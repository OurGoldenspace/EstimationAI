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S:\01 Jobs\24-1329 2500 Mountain Road\01 Estimate\E-2989 2500 Mountain Road Multi-Res\02 AG Documents\"/>
    </mc:Choice>
  </mc:AlternateContent>
  <xr:revisionPtr revIDLastSave="0" documentId="13_ncr:1_{CB7156A1-3CF1-46C4-A9FF-B881F0205E75}" xr6:coauthVersionLast="47" xr6:coauthVersionMax="47" xr10:uidLastSave="{00000000-0000-0000-0000-000000000000}"/>
  <bookViews>
    <workbookView xWindow="-19310" yWindow="-1410" windowWidth="19420" windowHeight="10300" tabRatio="920" firstSheet="4" activeTab="5" xr2:uid="{00000000-000D-0000-FFFF-FFFF00000000}"/>
  </bookViews>
  <sheets>
    <sheet name="Cost Data" sheetId="80" r:id="rId1"/>
    <sheet name="Cost Report" sheetId="81" r:id="rId2"/>
    <sheet name="DATA" sheetId="78" r:id="rId3"/>
    <sheet name="Estimate Version Comparison" sheetId="79" r:id="rId4"/>
    <sheet name="Client  Detailed Summary " sheetId="77" r:id="rId5"/>
    <sheet name="Estimate Summary" sheetId="1" r:id="rId6"/>
    <sheet name="1" sheetId="30" r:id="rId7"/>
    <sheet name="2" sheetId="29" r:id="rId8"/>
    <sheet name="3" sheetId="28" r:id="rId9"/>
    <sheet name="4" sheetId="42" r:id="rId10"/>
    <sheet name="5" sheetId="26" r:id="rId11"/>
    <sheet name="6" sheetId="25" r:id="rId12"/>
    <sheet name="7" sheetId="24" r:id="rId13"/>
    <sheet name="8" sheetId="75" r:id="rId14"/>
    <sheet name="9" sheetId="22" r:id="rId15"/>
    <sheet name="10" sheetId="43" r:id="rId16"/>
    <sheet name="11" sheetId="66" r:id="rId17"/>
    <sheet name="12" sheetId="49" r:id="rId18"/>
    <sheet name="13" sheetId="50" r:id="rId19"/>
    <sheet name="14" sheetId="45" r:id="rId20"/>
    <sheet name="21" sheetId="16" r:id="rId21"/>
    <sheet name="22" sheetId="15" r:id="rId22"/>
    <sheet name="23" sheetId="67" r:id="rId23"/>
    <sheet name="25" sheetId="68" r:id="rId24"/>
    <sheet name="26" sheetId="69" r:id="rId25"/>
    <sheet name="27" sheetId="70" r:id="rId26"/>
    <sheet name="28" sheetId="71" r:id="rId27"/>
    <sheet name="31" sheetId="72" r:id="rId28"/>
    <sheet name="32" sheetId="73" r:id="rId29"/>
    <sheet name="33" sheetId="74" r:id="rId30"/>
  </sheets>
  <definedNames>
    <definedName name="_xlnm._FilterDatabase" localSheetId="1" hidden="1">'Cost Report'!$B$1:$E$182</definedName>
    <definedName name="Discount" localSheetId="16">#REF!</definedName>
    <definedName name="Discount" localSheetId="22">#REF!</definedName>
    <definedName name="Discount" localSheetId="23">#REF!</definedName>
    <definedName name="Discount" localSheetId="24">#REF!</definedName>
    <definedName name="Discount" localSheetId="25">#REF!</definedName>
    <definedName name="Discount" localSheetId="26">#REF!</definedName>
    <definedName name="Discount" localSheetId="27">#REF!</definedName>
    <definedName name="Discount" localSheetId="28">#REF!</definedName>
    <definedName name="Discount" localSheetId="29">#REF!</definedName>
    <definedName name="Discount" localSheetId="13">#REF!</definedName>
    <definedName name="Discount" localSheetId="4">#REF!</definedName>
    <definedName name="Discount" localSheetId="0">#REF!</definedName>
    <definedName name="Discount" localSheetId="1">#REF!</definedName>
    <definedName name="Discount" localSheetId="3">#REF!</definedName>
    <definedName name="Discount">#REF!</definedName>
    <definedName name="_xlnm.Print_Area" localSheetId="6">'1'!$A$1:$K$138</definedName>
    <definedName name="_xlnm.Print_Area" localSheetId="15">'10'!$A$1:$K$26</definedName>
    <definedName name="_xlnm.Print_Area" localSheetId="16">'11'!$A$1:$K$36</definedName>
    <definedName name="_xlnm.Print_Area" localSheetId="17">'12'!$A$1:$K$22</definedName>
    <definedName name="_xlnm.Print_Area" localSheetId="18">'13'!$A$1:$K$22</definedName>
    <definedName name="_xlnm.Print_Area" localSheetId="19">'14'!$A:$K</definedName>
    <definedName name="_xlnm.Print_Area" localSheetId="7">'2'!$A$1:$K$48</definedName>
    <definedName name="_xlnm.Print_Area" localSheetId="20">'21'!$A$1:$K$25</definedName>
    <definedName name="_xlnm.Print_Area" localSheetId="21">'22'!$A$1:$K$26</definedName>
    <definedName name="_xlnm.Print_Area" localSheetId="22">'23'!$A$1:$K$20</definedName>
    <definedName name="_xlnm.Print_Area" localSheetId="23">'25'!$A$1:$K$26</definedName>
    <definedName name="_xlnm.Print_Area" localSheetId="24">'26'!$A$1:$K$28</definedName>
    <definedName name="_xlnm.Print_Area" localSheetId="25">'27'!$A$1:$K$26</definedName>
    <definedName name="_xlnm.Print_Area" localSheetId="26">'28'!$A$1:$K$26</definedName>
    <definedName name="_xlnm.Print_Area" localSheetId="8">'3'!$A$1:$K$50</definedName>
    <definedName name="_xlnm.Print_Area" localSheetId="27">'31'!$A$1:$K$28</definedName>
    <definedName name="_xlnm.Print_Area" localSheetId="28">'32'!$A$1:$K$23</definedName>
    <definedName name="_xlnm.Print_Area" localSheetId="29">'33'!$A$1:$K$28</definedName>
    <definedName name="_xlnm.Print_Area" localSheetId="9">'4'!$A$1:$K$27</definedName>
    <definedName name="_xlnm.Print_Area" localSheetId="10">'5'!$A$1:$K$26</definedName>
    <definedName name="_xlnm.Print_Area" localSheetId="11">'6'!$A$1:$K$53</definedName>
    <definedName name="_xlnm.Print_Area" localSheetId="12">'7'!$A$1:$K$21</definedName>
    <definedName name="_xlnm.Print_Area" localSheetId="13">'8'!$A$1:$K$23</definedName>
    <definedName name="_xlnm.Print_Area" localSheetId="14">'9'!$A$1:$K$30</definedName>
    <definedName name="_xlnm.Print_Area" localSheetId="4">'Client  Detailed Summary '!$B$1:$H$172</definedName>
    <definedName name="_xlnm.Print_Area" localSheetId="5">'Estimate Summary'!$A$1:$J$87</definedName>
    <definedName name="_xlnm.Print_Area" localSheetId="3">'Estimate Version Comparison'!$A$1:$K$164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J75" i="24" l="1"/>
  <c r="J11" i="22"/>
  <c r="M15" i="25" l="1"/>
  <c r="H20" i="24" l="1"/>
  <c r="J40" i="22"/>
  <c r="J58" i="26" l="1"/>
  <c r="J38" i="75" l="1"/>
  <c r="J57" i="22"/>
  <c r="J16" i="69" l="1"/>
  <c r="J11" i="50"/>
  <c r="M12" i="67" l="1"/>
  <c r="M13" i="75"/>
  <c r="E40" i="28" l="1"/>
  <c r="J14" i="15"/>
  <c r="C75" i="28" l="1"/>
  <c r="C73" i="28"/>
  <c r="G73" i="28" s="1"/>
  <c r="F18" i="26"/>
  <c r="J12" i="16" l="1"/>
  <c r="U76" i="25" l="1"/>
  <c r="V76" i="25" s="1"/>
  <c r="U77" i="25"/>
  <c r="V77" i="25" s="1"/>
  <c r="U78" i="25"/>
  <c r="V78" i="25" s="1"/>
  <c r="U79" i="25"/>
  <c r="V79" i="25" s="1"/>
  <c r="T77" i="25"/>
  <c r="T78" i="25"/>
  <c r="T79" i="25"/>
  <c r="T80" i="25"/>
  <c r="T81" i="25"/>
  <c r="T82" i="25"/>
  <c r="S77" i="25"/>
  <c r="S84" i="25"/>
  <c r="U84" i="25" s="1"/>
  <c r="V84" i="25" s="1"/>
  <c r="S83" i="25"/>
  <c r="T83" i="25" s="1"/>
  <c r="S82" i="25"/>
  <c r="U82" i="25" s="1"/>
  <c r="V82" i="25" s="1"/>
  <c r="S81" i="25"/>
  <c r="U81" i="25" s="1"/>
  <c r="V81" i="25" s="1"/>
  <c r="S80" i="25"/>
  <c r="U80" i="25" s="1"/>
  <c r="V80" i="25" s="1"/>
  <c r="S79" i="25"/>
  <c r="S78" i="25"/>
  <c r="S76" i="25"/>
  <c r="T76" i="25" s="1"/>
  <c r="S75" i="25"/>
  <c r="T75" i="25" s="1"/>
  <c r="R85" i="25"/>
  <c r="R86" i="25" s="1"/>
  <c r="C78" i="25" s="1"/>
  <c r="R76" i="25"/>
  <c r="R77" i="25"/>
  <c r="R78" i="25"/>
  <c r="R79" i="25"/>
  <c r="R80" i="25"/>
  <c r="R81" i="25"/>
  <c r="R82" i="25"/>
  <c r="R83" i="25"/>
  <c r="R84" i="25"/>
  <c r="R75" i="25"/>
  <c r="U75" i="25" l="1"/>
  <c r="V75" i="25" s="1"/>
  <c r="U83" i="25"/>
  <c r="V83" i="25" s="1"/>
  <c r="T84" i="25"/>
  <c r="T85" i="25" s="1"/>
  <c r="T86" i="25" s="1"/>
  <c r="C79" i="25" s="1"/>
  <c r="M41" i="22"/>
  <c r="M69" i="75"/>
  <c r="G98" i="77"/>
  <c r="J12" i="50"/>
  <c r="G97" i="77" s="1"/>
  <c r="M13" i="25"/>
  <c r="J11" i="25" s="1"/>
  <c r="V86" i="25" l="1"/>
  <c r="C80" i="25" s="1"/>
  <c r="M17" i="25"/>
  <c r="J54" i="28"/>
  <c r="O17" i="15"/>
  <c r="M18" i="15"/>
  <c r="M17" i="15"/>
  <c r="M45" i="25"/>
  <c r="M64" i="26"/>
  <c r="N67" i="75" l="1"/>
  <c r="N65" i="75"/>
  <c r="G168" i="77"/>
  <c r="J31" i="72"/>
  <c r="J14" i="28"/>
  <c r="J14" i="42" l="1"/>
  <c r="J16" i="42"/>
  <c r="M26" i="73" l="1"/>
  <c r="E41" i="28"/>
  <c r="E43" i="28"/>
  <c r="E45" i="28" s="1"/>
  <c r="E46" i="28"/>
  <c r="E42" i="28"/>
  <c r="J13" i="75" l="1"/>
  <c r="J47" i="43"/>
  <c r="M13" i="24"/>
  <c r="M56" i="28"/>
  <c r="J21" i="43"/>
  <c r="J55" i="75"/>
  <c r="J65" i="75"/>
  <c r="J40" i="25" l="1"/>
  <c r="I44" i="69"/>
  <c r="F44" i="69"/>
  <c r="K44" i="69" s="1"/>
  <c r="I43" i="69"/>
  <c r="F43" i="69"/>
  <c r="K43" i="69" s="1"/>
  <c r="AD25" i="69"/>
  <c r="AD26" i="69"/>
  <c r="AD27" i="69"/>
  <c r="AD28" i="69"/>
  <c r="AD29" i="69"/>
  <c r="AD30" i="69"/>
  <c r="AD31" i="69"/>
  <c r="AD32" i="69"/>
  <c r="AD33" i="69"/>
  <c r="AD24" i="69"/>
  <c r="AB25" i="69"/>
  <c r="AB26" i="69"/>
  <c r="AB27" i="69"/>
  <c r="AB28" i="69"/>
  <c r="AB29" i="69"/>
  <c r="AB30" i="69"/>
  <c r="AB31" i="69"/>
  <c r="AB32" i="69"/>
  <c r="AB33" i="69"/>
  <c r="AB24" i="69"/>
  <c r="Z25" i="69"/>
  <c r="Z26" i="69"/>
  <c r="Z27" i="69"/>
  <c r="Z28" i="69"/>
  <c r="Z29" i="69"/>
  <c r="Z30" i="69"/>
  <c r="Z31" i="69"/>
  <c r="Z32" i="69"/>
  <c r="Z33" i="69"/>
  <c r="Z24" i="69"/>
  <c r="X25" i="69"/>
  <c r="X26" i="69"/>
  <c r="X27" i="69"/>
  <c r="X28" i="69"/>
  <c r="X29" i="69"/>
  <c r="X30" i="69"/>
  <c r="X31" i="69"/>
  <c r="X32" i="69"/>
  <c r="X33" i="69"/>
  <c r="X24" i="69"/>
  <c r="V25" i="69"/>
  <c r="V26" i="69"/>
  <c r="V27" i="69"/>
  <c r="V28" i="69"/>
  <c r="V29" i="69"/>
  <c r="V30" i="69"/>
  <c r="V31" i="69"/>
  <c r="V32" i="69"/>
  <c r="V33" i="69"/>
  <c r="V24" i="69"/>
  <c r="J12" i="45"/>
  <c r="J11" i="73"/>
  <c r="J45" i="73"/>
  <c r="F60" i="43"/>
  <c r="J12" i="67"/>
  <c r="J37" i="24"/>
  <c r="J11" i="24"/>
  <c r="R33" i="25"/>
  <c r="J33" i="25" s="1"/>
  <c r="F25" i="24"/>
  <c r="E58" i="26"/>
  <c r="I45" i="28"/>
  <c r="I46" i="28"/>
  <c r="Q88" i="28"/>
  <c r="C45" i="28" s="1"/>
  <c r="F45" i="28" s="1"/>
  <c r="K45" i="28" s="1"/>
  <c r="Q89" i="28"/>
  <c r="C46" i="28" s="1"/>
  <c r="F46" i="28" s="1"/>
  <c r="K46" i="28" s="1"/>
  <c r="G74" i="28"/>
  <c r="C54" i="28"/>
  <c r="G20" i="24"/>
  <c r="M25" i="69"/>
  <c r="E16" i="69" s="1"/>
  <c r="M17" i="67"/>
  <c r="E12" i="67" s="1"/>
  <c r="M20" i="15"/>
  <c r="E12" i="15" s="1"/>
  <c r="E67" i="75"/>
  <c r="E13" i="75"/>
  <c r="M17" i="75"/>
  <c r="N32" i="25"/>
  <c r="Q32" i="25" s="1"/>
  <c r="M77" i="24"/>
  <c r="E75" i="24" s="1"/>
  <c r="M78" i="24"/>
  <c r="E25" i="24"/>
  <c r="P27" i="24"/>
  <c r="M15" i="24"/>
  <c r="E11" i="24" s="1"/>
  <c r="E50" i="25"/>
  <c r="M29" i="25"/>
  <c r="AD34" i="69" l="1"/>
  <c r="AB34" i="69"/>
  <c r="V34" i="69"/>
  <c r="Z34" i="69"/>
  <c r="X34" i="69"/>
  <c r="M28" i="25"/>
  <c r="C36" i="24"/>
  <c r="C14" i="42"/>
  <c r="O39" i="24" l="1"/>
  <c r="N38" i="24"/>
  <c r="J54" i="43"/>
  <c r="F12" i="25"/>
  <c r="J14" i="26"/>
  <c r="J53" i="73" l="1"/>
  <c r="P12" i="16"/>
  <c r="P13" i="42"/>
  <c r="J24" i="73"/>
  <c r="J37" i="73"/>
  <c r="M22" i="25"/>
  <c r="M82" i="25"/>
  <c r="E82" i="25" s="1"/>
  <c r="J78" i="25" l="1"/>
  <c r="J63" i="28"/>
  <c r="F15" i="25"/>
  <c r="F14" i="25"/>
  <c r="M102" i="30"/>
  <c r="K15" i="1" l="1"/>
  <c r="L15" i="1" s="1"/>
  <c r="L19" i="1"/>
  <c r="L21" i="1"/>
  <c r="L23" i="1"/>
  <c r="L25" i="1"/>
  <c r="L27" i="1"/>
  <c r="L29" i="1"/>
  <c r="L31" i="1"/>
  <c r="L33" i="1"/>
  <c r="L35" i="1"/>
  <c r="L37" i="1"/>
  <c r="L41" i="1"/>
  <c r="L43" i="1"/>
  <c r="L45" i="1"/>
  <c r="L47" i="1"/>
  <c r="L51" i="1"/>
  <c r="L57" i="1"/>
  <c r="L59" i="1"/>
  <c r="K47" i="28" l="1"/>
  <c r="E44" i="28"/>
  <c r="I41" i="28"/>
  <c r="Q83" i="28"/>
  <c r="C43" i="28" s="1"/>
  <c r="P41" i="28" s="1"/>
  <c r="Q84" i="28"/>
  <c r="Q85" i="28"/>
  <c r="C44" i="28" s="1"/>
  <c r="Q86" i="28"/>
  <c r="C40" i="28" s="1"/>
  <c r="Q87" i="28"/>
  <c r="C41" i="28" s="1"/>
  <c r="P42" i="28" s="1"/>
  <c r="Q82" i="28"/>
  <c r="A65" i="22"/>
  <c r="F91" i="30"/>
  <c r="K91" i="30" s="1"/>
  <c r="I102" i="30"/>
  <c r="C102" i="30"/>
  <c r="F102" i="30" s="1"/>
  <c r="K102" i="30" s="1"/>
  <c r="K11" i="78"/>
  <c r="H11" i="78"/>
  <c r="D11" i="78"/>
  <c r="C11" i="78"/>
  <c r="B11" i="78"/>
  <c r="A11" i="78"/>
  <c r="C42" i="28" l="1"/>
  <c r="P40" i="28" s="1"/>
  <c r="F41" i="28"/>
  <c r="K41" i="28" s="1"/>
  <c r="J97" i="73"/>
  <c r="J57" i="74"/>
  <c r="C49" i="28" l="1"/>
  <c r="C48" i="28"/>
  <c r="J99" i="50"/>
  <c r="T11" i="78" l="1"/>
  <c r="S11" i="78"/>
  <c r="R11" i="78"/>
  <c r="N11" i="78"/>
  <c r="J11" i="78"/>
  <c r="G11" i="78"/>
  <c r="F11" i="78"/>
  <c r="E11" i="78"/>
  <c r="G7" i="79" l="1"/>
  <c r="H7" i="79"/>
  <c r="E151" i="79"/>
  <c r="E146" i="79"/>
  <c r="E140" i="79"/>
  <c r="E134" i="79"/>
  <c r="E127" i="79"/>
  <c r="E122" i="79"/>
  <c r="E110" i="79"/>
  <c r="E105" i="79"/>
  <c r="E102" i="79"/>
  <c r="E98" i="79"/>
  <c r="E92" i="79"/>
  <c r="E86" i="79"/>
  <c r="E76" i="79"/>
  <c r="E68" i="79"/>
  <c r="E59" i="79"/>
  <c r="E47" i="79"/>
  <c r="E41" i="79"/>
  <c r="E35" i="79"/>
  <c r="E31" i="79"/>
  <c r="E24" i="79"/>
  <c r="E19" i="79"/>
  <c r="E8" i="79"/>
  <c r="C4" i="79"/>
  <c r="B3" i="79"/>
  <c r="B2" i="79"/>
  <c r="B3" i="77"/>
  <c r="G57" i="74" l="1"/>
  <c r="G69" i="72"/>
  <c r="J69" i="72"/>
  <c r="G55" i="71"/>
  <c r="J55" i="71"/>
  <c r="G58" i="69" l="1"/>
  <c r="J58" i="69"/>
  <c r="G65" i="22" l="1"/>
  <c r="J65" i="22"/>
  <c r="I41" i="22"/>
  <c r="F41" i="22"/>
  <c r="I40" i="22"/>
  <c r="I39" i="22"/>
  <c r="F39" i="22"/>
  <c r="I38" i="22"/>
  <c r="F38" i="22"/>
  <c r="K40" i="22" l="1"/>
  <c r="E100" i="81" s="1"/>
  <c r="K41" i="22"/>
  <c r="E101" i="81" s="1"/>
  <c r="K39" i="22"/>
  <c r="E99" i="81" s="1"/>
  <c r="K38" i="22"/>
  <c r="E98" i="81" s="1"/>
  <c r="Y42" i="28"/>
  <c r="Y51" i="28" s="1"/>
  <c r="F44" i="28" s="1"/>
  <c r="I44" i="28"/>
  <c r="C55" i="28"/>
  <c r="J77" i="26"/>
  <c r="G77" i="26"/>
  <c r="I42" i="28"/>
  <c r="G82" i="28"/>
  <c r="J82" i="28"/>
  <c r="Y39" i="28"/>
  <c r="I48" i="28"/>
  <c r="F48" i="28"/>
  <c r="I49" i="28"/>
  <c r="K44" i="28" l="1"/>
  <c r="K48" i="28"/>
  <c r="F117" i="30"/>
  <c r="C118" i="30" s="1"/>
  <c r="F118" i="30" s="1"/>
  <c r="F114" i="30"/>
  <c r="K114" i="30" s="1"/>
  <c r="F113" i="30"/>
  <c r="K113" i="30" s="1"/>
  <c r="F112" i="30"/>
  <c r="K112" i="30" s="1"/>
  <c r="F111" i="30"/>
  <c r="K111" i="30" s="1"/>
  <c r="F110" i="30"/>
  <c r="K110" i="30" s="1"/>
  <c r="F109" i="30"/>
  <c r="K109" i="30" s="1"/>
  <c r="K118" i="30" l="1"/>
  <c r="K120" i="30" s="1"/>
  <c r="Y38" i="28" l="1"/>
  <c r="Y36" i="28"/>
  <c r="Y35" i="28"/>
  <c r="Y34" i="28"/>
  <c r="Y32" i="28"/>
  <c r="Y31" i="28"/>
  <c r="G94" i="25"/>
  <c r="J94" i="25"/>
  <c r="Y50" i="28" l="1"/>
  <c r="Y48" i="28"/>
  <c r="Y49" i="28"/>
  <c r="F42" i="28" s="1"/>
  <c r="K42" i="28" s="1"/>
  <c r="F49" i="28" l="1"/>
  <c r="K49" i="28" s="1"/>
  <c r="G51" i="29"/>
  <c r="J51" i="29"/>
  <c r="I35" i="29"/>
  <c r="F35" i="29"/>
  <c r="K35" i="29" s="1"/>
  <c r="I34" i="29"/>
  <c r="F34" i="29"/>
  <c r="I33" i="29"/>
  <c r="F33" i="29"/>
  <c r="I32" i="29"/>
  <c r="F32" i="29"/>
  <c r="K32" i="29" s="1"/>
  <c r="I31" i="29"/>
  <c r="F31" i="29"/>
  <c r="I30" i="29"/>
  <c r="F30" i="29"/>
  <c r="K30" i="29" s="1"/>
  <c r="I29" i="29"/>
  <c r="F29" i="29"/>
  <c r="J88" i="79"/>
  <c r="K102" i="79"/>
  <c r="J102" i="79"/>
  <c r="J105" i="79"/>
  <c r="K110" i="79"/>
  <c r="J122" i="79"/>
  <c r="K34" i="29" l="1"/>
  <c r="K33" i="29"/>
  <c r="K29" i="29"/>
  <c r="K31" i="29"/>
  <c r="J110" i="79"/>
  <c r="K122" i="79"/>
  <c r="K88" i="79"/>
  <c r="K105" i="79"/>
  <c r="K37" i="29" l="1"/>
  <c r="G181" i="30"/>
  <c r="G180" i="30"/>
  <c r="F179" i="30"/>
  <c r="G179" i="30" s="1"/>
  <c r="G177" i="30"/>
  <c r="G176" i="30"/>
  <c r="G174" i="30"/>
  <c r="K171" i="30"/>
  <c r="M160" i="30" s="1"/>
  <c r="G21" i="79" l="1"/>
  <c r="E31" i="81"/>
  <c r="D17" i="80"/>
  <c r="G22" i="77"/>
  <c r="B87" i="1" l="1"/>
  <c r="D11" i="1" l="1"/>
  <c r="I11" i="78" s="1"/>
  <c r="J6" i="30" l="1"/>
  <c r="C40" i="30" l="1"/>
  <c r="G132" i="30"/>
  <c r="G139" i="30" s="1"/>
  <c r="E15" i="1" s="1"/>
  <c r="C133" i="30"/>
  <c r="F133" i="30" s="1"/>
  <c r="C80" i="30"/>
  <c r="C101" i="30"/>
  <c r="F101" i="30" s="1"/>
  <c r="C90" i="30"/>
  <c r="F90" i="30" s="1"/>
  <c r="C92" i="30"/>
  <c r="D55" i="30"/>
  <c r="J55" i="30" s="1"/>
  <c r="K55" i="30" s="1"/>
  <c r="D54" i="30"/>
  <c r="J54" i="30" s="1"/>
  <c r="K54" i="30" s="1"/>
  <c r="D53" i="30"/>
  <c r="J53" i="30" s="1"/>
  <c r="K53" i="30" s="1"/>
  <c r="D50" i="30"/>
  <c r="D51" i="30"/>
  <c r="J51" i="30" s="1"/>
  <c r="K51" i="30" s="1"/>
  <c r="D49" i="30"/>
  <c r="C30" i="30"/>
  <c r="F30" i="30" s="1"/>
  <c r="D172" i="30"/>
  <c r="F131" i="30"/>
  <c r="F132" i="30"/>
  <c r="E6" i="30"/>
  <c r="F134" i="30" s="1"/>
  <c r="F123" i="30"/>
  <c r="F124" i="30"/>
  <c r="F125" i="30"/>
  <c r="F126" i="30"/>
  <c r="F100" i="30"/>
  <c r="E17" i="1"/>
  <c r="E19" i="1"/>
  <c r="G68" i="42"/>
  <c r="E21" i="1" s="1"/>
  <c r="E23" i="1"/>
  <c r="E25" i="1"/>
  <c r="G108" i="75"/>
  <c r="E29" i="1" s="1"/>
  <c r="E31" i="1"/>
  <c r="G74" i="43"/>
  <c r="E33" i="1" s="1"/>
  <c r="G99" i="66"/>
  <c r="E35" i="1" s="1"/>
  <c r="G99" i="49"/>
  <c r="E37" i="1" s="1"/>
  <c r="G99" i="50"/>
  <c r="E39" i="1" s="1"/>
  <c r="E96" i="79" s="1"/>
  <c r="G99" i="45"/>
  <c r="E41" i="1" s="1"/>
  <c r="G99" i="16"/>
  <c r="E43" i="1" s="1"/>
  <c r="G94" i="15"/>
  <c r="E45" i="1" s="1"/>
  <c r="G102" i="67"/>
  <c r="E47" i="1" s="1"/>
  <c r="G54" i="68"/>
  <c r="E49" i="1" s="1"/>
  <c r="E120" i="79" s="1"/>
  <c r="E51" i="1"/>
  <c r="G99" i="70"/>
  <c r="E53" i="1" s="1"/>
  <c r="E55" i="1"/>
  <c r="E57" i="1"/>
  <c r="G97" i="73"/>
  <c r="E59" i="1" s="1"/>
  <c r="E61" i="1"/>
  <c r="F92" i="30"/>
  <c r="F13" i="29"/>
  <c r="F14" i="29"/>
  <c r="F15" i="29"/>
  <c r="F16" i="29"/>
  <c r="F17" i="29"/>
  <c r="F18" i="29"/>
  <c r="F19" i="29"/>
  <c r="F20" i="29"/>
  <c r="F21" i="29"/>
  <c r="F22" i="29"/>
  <c r="F23" i="29"/>
  <c r="F24" i="29"/>
  <c r="F40" i="29"/>
  <c r="F41" i="29"/>
  <c r="F42" i="29"/>
  <c r="F43" i="29"/>
  <c r="F44" i="29"/>
  <c r="F45" i="29"/>
  <c r="F46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40" i="29"/>
  <c r="I41" i="29"/>
  <c r="I42" i="29"/>
  <c r="I43" i="29"/>
  <c r="I44" i="29"/>
  <c r="I45" i="29"/>
  <c r="I46" i="29"/>
  <c r="G17" i="1"/>
  <c r="F75" i="28"/>
  <c r="F76" i="28"/>
  <c r="F77" i="28"/>
  <c r="F62" i="28"/>
  <c r="F63" i="28"/>
  <c r="F64" i="28"/>
  <c r="F65" i="28"/>
  <c r="F66" i="28"/>
  <c r="F67" i="28"/>
  <c r="F68" i="28"/>
  <c r="F53" i="28"/>
  <c r="F55" i="28"/>
  <c r="F56" i="28"/>
  <c r="F57" i="28"/>
  <c r="F40" i="28"/>
  <c r="F43" i="28"/>
  <c r="F30" i="28"/>
  <c r="F31" i="28"/>
  <c r="F32" i="28"/>
  <c r="F33" i="28"/>
  <c r="F34" i="28"/>
  <c r="K34" i="28" s="1"/>
  <c r="F35" i="28"/>
  <c r="F14" i="28"/>
  <c r="F15" i="28"/>
  <c r="F16" i="28"/>
  <c r="F17" i="28"/>
  <c r="F18" i="28"/>
  <c r="F19" i="28"/>
  <c r="F20" i="28"/>
  <c r="F73" i="28"/>
  <c r="F74" i="28"/>
  <c r="I75" i="28"/>
  <c r="I76" i="28"/>
  <c r="I77" i="28"/>
  <c r="I62" i="28"/>
  <c r="I63" i="28"/>
  <c r="I64" i="28"/>
  <c r="I65" i="28"/>
  <c r="I66" i="28"/>
  <c r="I67" i="28"/>
  <c r="K67" i="28" s="1"/>
  <c r="I68" i="28"/>
  <c r="I53" i="28"/>
  <c r="I54" i="28"/>
  <c r="I55" i="28"/>
  <c r="I56" i="28"/>
  <c r="I57" i="28"/>
  <c r="K57" i="28" s="1"/>
  <c r="I40" i="28"/>
  <c r="I43" i="28"/>
  <c r="I30" i="28"/>
  <c r="I31" i="28"/>
  <c r="I32" i="28"/>
  <c r="I33" i="28"/>
  <c r="I34" i="28"/>
  <c r="I35" i="28"/>
  <c r="K35" i="28" s="1"/>
  <c r="I14" i="28"/>
  <c r="I15" i="28"/>
  <c r="I16" i="28"/>
  <c r="K16" i="28" s="1"/>
  <c r="I17" i="28"/>
  <c r="I18" i="28"/>
  <c r="I19" i="28"/>
  <c r="I20" i="28"/>
  <c r="K20" i="28" s="1"/>
  <c r="I73" i="28"/>
  <c r="I74" i="28"/>
  <c r="G19" i="1"/>
  <c r="F57" i="42"/>
  <c r="F58" i="42"/>
  <c r="F59" i="42"/>
  <c r="F60" i="42"/>
  <c r="F61" i="42"/>
  <c r="F62" i="42"/>
  <c r="F63" i="42"/>
  <c r="F48" i="42"/>
  <c r="K48" i="42" s="1"/>
  <c r="F49" i="42"/>
  <c r="F50" i="42"/>
  <c r="F51" i="42"/>
  <c r="F52" i="42"/>
  <c r="F40" i="42"/>
  <c r="F41" i="42"/>
  <c r="F42" i="42"/>
  <c r="F29" i="42"/>
  <c r="F30" i="42"/>
  <c r="F31" i="42"/>
  <c r="F32" i="42"/>
  <c r="F33" i="42"/>
  <c r="F34" i="42"/>
  <c r="F35" i="42"/>
  <c r="F13" i="42"/>
  <c r="F15" i="42"/>
  <c r="K16" i="42"/>
  <c r="F17" i="42"/>
  <c r="F18" i="42"/>
  <c r="F19" i="42"/>
  <c r="F20" i="42"/>
  <c r="F21" i="42"/>
  <c r="F22" i="42"/>
  <c r="F23" i="42"/>
  <c r="F24" i="42"/>
  <c r="I57" i="42"/>
  <c r="I58" i="42"/>
  <c r="I59" i="42"/>
  <c r="I60" i="42"/>
  <c r="I61" i="42"/>
  <c r="I62" i="42"/>
  <c r="I63" i="42"/>
  <c r="I48" i="42"/>
  <c r="I49" i="42"/>
  <c r="I50" i="42"/>
  <c r="I51" i="42"/>
  <c r="I52" i="42"/>
  <c r="I40" i="42"/>
  <c r="I41" i="42"/>
  <c r="I42" i="42"/>
  <c r="I29" i="42"/>
  <c r="I30" i="42"/>
  <c r="I31" i="42"/>
  <c r="I32" i="42"/>
  <c r="I33" i="42"/>
  <c r="I34" i="42"/>
  <c r="I35" i="42"/>
  <c r="I13" i="42"/>
  <c r="I14" i="42"/>
  <c r="I15" i="42"/>
  <c r="I16" i="42"/>
  <c r="I17" i="42"/>
  <c r="I18" i="42"/>
  <c r="I19" i="42"/>
  <c r="I20" i="42"/>
  <c r="I21" i="42"/>
  <c r="I22" i="42"/>
  <c r="I23" i="42"/>
  <c r="I24" i="42"/>
  <c r="J68" i="42"/>
  <c r="G21" i="1" s="1"/>
  <c r="F68" i="26"/>
  <c r="F69" i="26"/>
  <c r="F70" i="26"/>
  <c r="K70" i="26" s="1"/>
  <c r="F71" i="26"/>
  <c r="F72" i="26"/>
  <c r="F57" i="26"/>
  <c r="F59" i="26"/>
  <c r="F60" i="26"/>
  <c r="F61" i="26"/>
  <c r="F62" i="26"/>
  <c r="F63" i="26"/>
  <c r="F48" i="26"/>
  <c r="F49" i="26"/>
  <c r="F50" i="26"/>
  <c r="F51" i="26"/>
  <c r="F52" i="26"/>
  <c r="F40" i="26"/>
  <c r="F41" i="26"/>
  <c r="F42" i="26"/>
  <c r="F29" i="26"/>
  <c r="F30" i="26"/>
  <c r="F31" i="26"/>
  <c r="F32" i="26"/>
  <c r="F33" i="26"/>
  <c r="F34" i="26"/>
  <c r="F35" i="26"/>
  <c r="F13" i="26"/>
  <c r="F14" i="26"/>
  <c r="F15" i="26"/>
  <c r="F16" i="26"/>
  <c r="F17" i="26"/>
  <c r="F19" i="26"/>
  <c r="F20" i="26"/>
  <c r="F21" i="26"/>
  <c r="F22" i="26"/>
  <c r="K22" i="26" s="1"/>
  <c r="F23" i="26"/>
  <c r="K23" i="26" s="1"/>
  <c r="F24" i="26"/>
  <c r="I68" i="26"/>
  <c r="I69" i="26"/>
  <c r="I70" i="26"/>
  <c r="I71" i="26"/>
  <c r="I72" i="26"/>
  <c r="I57" i="26"/>
  <c r="I58" i="26"/>
  <c r="I59" i="26"/>
  <c r="I60" i="26"/>
  <c r="K60" i="26" s="1"/>
  <c r="I61" i="26"/>
  <c r="I62" i="26"/>
  <c r="I63" i="26"/>
  <c r="I48" i="26"/>
  <c r="K48" i="26" s="1"/>
  <c r="I49" i="26"/>
  <c r="I50" i="26"/>
  <c r="K50" i="26" s="1"/>
  <c r="I51" i="26"/>
  <c r="I52" i="26"/>
  <c r="I40" i="26"/>
  <c r="I41" i="26"/>
  <c r="I42" i="26"/>
  <c r="I29" i="26"/>
  <c r="I30" i="26"/>
  <c r="I31" i="26"/>
  <c r="I32" i="26"/>
  <c r="I33" i="26"/>
  <c r="K33" i="26" s="1"/>
  <c r="I34" i="26"/>
  <c r="I35" i="26"/>
  <c r="I13" i="26"/>
  <c r="I14" i="26"/>
  <c r="K14" i="26" s="1"/>
  <c r="I15" i="26"/>
  <c r="I16" i="26"/>
  <c r="K16" i="26" s="1"/>
  <c r="I17" i="26"/>
  <c r="I18" i="26"/>
  <c r="I19" i="26"/>
  <c r="I20" i="26"/>
  <c r="I21" i="26"/>
  <c r="I22" i="26"/>
  <c r="I23" i="26"/>
  <c r="I24" i="26"/>
  <c r="G23" i="1"/>
  <c r="F87" i="25"/>
  <c r="F88" i="25"/>
  <c r="F89" i="25"/>
  <c r="F81" i="25"/>
  <c r="F82" i="25"/>
  <c r="F67" i="25"/>
  <c r="F68" i="25"/>
  <c r="F69" i="25"/>
  <c r="F70" i="25"/>
  <c r="F71" i="25"/>
  <c r="F72" i="25"/>
  <c r="F73" i="25"/>
  <c r="F58" i="25"/>
  <c r="F59" i="25"/>
  <c r="F60" i="25"/>
  <c r="F61" i="25"/>
  <c r="F62" i="25"/>
  <c r="F50" i="25"/>
  <c r="F51" i="25"/>
  <c r="F52" i="25"/>
  <c r="K52" i="25" s="1"/>
  <c r="F39" i="25"/>
  <c r="F41" i="25"/>
  <c r="F42" i="25"/>
  <c r="F43" i="25"/>
  <c r="F44" i="25"/>
  <c r="F45" i="25"/>
  <c r="F22" i="25"/>
  <c r="F23" i="25"/>
  <c r="K23" i="25" s="1"/>
  <c r="F24" i="25"/>
  <c r="F25" i="25"/>
  <c r="F26" i="25"/>
  <c r="F27" i="25"/>
  <c r="K27" i="25" s="1"/>
  <c r="F29" i="25"/>
  <c r="F30" i="25"/>
  <c r="F31" i="25"/>
  <c r="K31" i="25" s="1"/>
  <c r="I87" i="25"/>
  <c r="I88" i="25"/>
  <c r="I89" i="25"/>
  <c r="I78" i="25"/>
  <c r="I79" i="25"/>
  <c r="I80" i="25"/>
  <c r="I81" i="25"/>
  <c r="I82" i="25"/>
  <c r="I67" i="25"/>
  <c r="I68" i="25"/>
  <c r="I69" i="25"/>
  <c r="I70" i="25"/>
  <c r="I71" i="25"/>
  <c r="I72" i="25"/>
  <c r="I73" i="25"/>
  <c r="I58" i="25"/>
  <c r="I59" i="25"/>
  <c r="K59" i="25" s="1"/>
  <c r="I60" i="25"/>
  <c r="I61" i="25"/>
  <c r="I62" i="25"/>
  <c r="I50" i="25"/>
  <c r="I51" i="25"/>
  <c r="I52" i="25"/>
  <c r="I39" i="25"/>
  <c r="I40" i="25"/>
  <c r="I41" i="25"/>
  <c r="I42" i="25"/>
  <c r="I43" i="25"/>
  <c r="I44" i="25"/>
  <c r="K44" i="25" s="1"/>
  <c r="I45" i="25"/>
  <c r="I11" i="25"/>
  <c r="I12" i="25"/>
  <c r="I13" i="25"/>
  <c r="K13" i="25" s="1"/>
  <c r="I14" i="25"/>
  <c r="I15" i="25"/>
  <c r="I16" i="25"/>
  <c r="I17" i="25"/>
  <c r="K17" i="25" s="1"/>
  <c r="G25" i="1"/>
  <c r="F87" i="24"/>
  <c r="F88" i="24"/>
  <c r="F81" i="24"/>
  <c r="F82" i="24"/>
  <c r="F76" i="24"/>
  <c r="F69" i="24"/>
  <c r="F70" i="24"/>
  <c r="F71" i="24"/>
  <c r="F63" i="24"/>
  <c r="F64" i="24"/>
  <c r="F65" i="24"/>
  <c r="F58" i="24"/>
  <c r="F59" i="24"/>
  <c r="F53" i="24"/>
  <c r="F54" i="24"/>
  <c r="F48" i="24"/>
  <c r="F49" i="24"/>
  <c r="F42" i="24"/>
  <c r="F43" i="24"/>
  <c r="F44" i="24"/>
  <c r="F36" i="24"/>
  <c r="F37" i="24"/>
  <c r="F38" i="24"/>
  <c r="F30" i="24"/>
  <c r="F31" i="24"/>
  <c r="F32" i="24"/>
  <c r="F26" i="24"/>
  <c r="F20" i="24"/>
  <c r="F21" i="24"/>
  <c r="F12" i="24"/>
  <c r="F13" i="24"/>
  <c r="F14" i="24"/>
  <c r="I87" i="24"/>
  <c r="I88" i="24"/>
  <c r="I81" i="24"/>
  <c r="K81" i="24" s="1"/>
  <c r="I82" i="24"/>
  <c r="I75" i="24"/>
  <c r="I76" i="24"/>
  <c r="I69" i="24"/>
  <c r="K69" i="24" s="1"/>
  <c r="I70" i="24"/>
  <c r="I71" i="24"/>
  <c r="I63" i="24"/>
  <c r="I64" i="24"/>
  <c r="K64" i="24" s="1"/>
  <c r="I65" i="24"/>
  <c r="I58" i="24"/>
  <c r="I59" i="24"/>
  <c r="I53" i="24"/>
  <c r="I54" i="24"/>
  <c r="I48" i="24"/>
  <c r="I49" i="24"/>
  <c r="I42" i="24"/>
  <c r="K42" i="24" s="1"/>
  <c r="I43" i="24"/>
  <c r="I44" i="24"/>
  <c r="I36" i="24"/>
  <c r="I37" i="24"/>
  <c r="K37" i="24" s="1"/>
  <c r="I38" i="24"/>
  <c r="I30" i="24"/>
  <c r="I31" i="24"/>
  <c r="I32" i="24"/>
  <c r="I25" i="24"/>
  <c r="I26" i="24"/>
  <c r="I20" i="24"/>
  <c r="I21" i="24"/>
  <c r="I11" i="24"/>
  <c r="I12" i="24"/>
  <c r="I13" i="24"/>
  <c r="K13" i="24" s="1"/>
  <c r="I14" i="24"/>
  <c r="J93" i="24"/>
  <c r="G27" i="1" s="1"/>
  <c r="F102" i="75"/>
  <c r="F103" i="75"/>
  <c r="F96" i="75"/>
  <c r="F97" i="75"/>
  <c r="F90" i="75"/>
  <c r="F91" i="75"/>
  <c r="F84" i="75"/>
  <c r="K84" i="75" s="1"/>
  <c r="F85" i="75"/>
  <c r="F78" i="75"/>
  <c r="F79" i="75"/>
  <c r="F72" i="75"/>
  <c r="F73" i="75"/>
  <c r="F65" i="75"/>
  <c r="F66" i="75"/>
  <c r="F68" i="75"/>
  <c r="F60" i="75"/>
  <c r="F61" i="75"/>
  <c r="F56" i="75"/>
  <c r="F50" i="75"/>
  <c r="F51" i="75"/>
  <c r="F44" i="75"/>
  <c r="K44" i="75" s="1"/>
  <c r="F45" i="75"/>
  <c r="K45" i="75" s="1"/>
  <c r="F46" i="75"/>
  <c r="K46" i="75" s="1"/>
  <c r="F38" i="75"/>
  <c r="F39" i="75"/>
  <c r="F40" i="75"/>
  <c r="F32" i="75"/>
  <c r="F33" i="75"/>
  <c r="F34" i="75"/>
  <c r="F27" i="75"/>
  <c r="F28" i="75"/>
  <c r="F21" i="75"/>
  <c r="F22" i="75"/>
  <c r="F23" i="75"/>
  <c r="F14" i="75"/>
  <c r="F15" i="75"/>
  <c r="F16" i="75"/>
  <c r="I102" i="75"/>
  <c r="I103" i="75"/>
  <c r="I96" i="75"/>
  <c r="I97" i="75"/>
  <c r="I90" i="75"/>
  <c r="I91" i="75"/>
  <c r="I84" i="75"/>
  <c r="I85" i="75"/>
  <c r="I78" i="75"/>
  <c r="I79" i="75"/>
  <c r="I72" i="75"/>
  <c r="I73" i="75"/>
  <c r="I65" i="75"/>
  <c r="I66" i="75"/>
  <c r="I67" i="75"/>
  <c r="I68" i="75"/>
  <c r="K68" i="75" s="1"/>
  <c r="I60" i="75"/>
  <c r="I61" i="75"/>
  <c r="I55" i="75"/>
  <c r="I56" i="75"/>
  <c r="I50" i="75"/>
  <c r="I51" i="75"/>
  <c r="I44" i="75"/>
  <c r="I45" i="75"/>
  <c r="I46" i="75"/>
  <c r="I38" i="75"/>
  <c r="I39" i="75"/>
  <c r="I40" i="75"/>
  <c r="I32" i="75"/>
  <c r="I33" i="75"/>
  <c r="I34" i="75"/>
  <c r="I27" i="75"/>
  <c r="I28" i="75"/>
  <c r="I21" i="75"/>
  <c r="I22" i="75"/>
  <c r="I23" i="75"/>
  <c r="I13" i="75"/>
  <c r="I14" i="75"/>
  <c r="I15" i="75"/>
  <c r="I16" i="75"/>
  <c r="J108" i="75"/>
  <c r="G29" i="1" s="1"/>
  <c r="F56" i="22"/>
  <c r="F57" i="22"/>
  <c r="F35" i="22"/>
  <c r="F36" i="22"/>
  <c r="F37" i="22"/>
  <c r="F29" i="22"/>
  <c r="F30" i="22"/>
  <c r="F21" i="22"/>
  <c r="F22" i="22"/>
  <c r="F23" i="22"/>
  <c r="F24" i="22"/>
  <c r="F11" i="22"/>
  <c r="F12" i="22"/>
  <c r="F13" i="22"/>
  <c r="F14" i="22"/>
  <c r="F15" i="22"/>
  <c r="F16" i="22"/>
  <c r="I56" i="22"/>
  <c r="I57" i="22"/>
  <c r="I35" i="22"/>
  <c r="I36" i="22"/>
  <c r="I37" i="22"/>
  <c r="I29" i="22"/>
  <c r="I30" i="22"/>
  <c r="I21" i="22"/>
  <c r="I22" i="22"/>
  <c r="I23" i="22"/>
  <c r="I24" i="22"/>
  <c r="K24" i="22" s="1"/>
  <c r="I11" i="22"/>
  <c r="I12" i="22"/>
  <c r="I13" i="22"/>
  <c r="I14" i="22"/>
  <c r="I15" i="22"/>
  <c r="I16" i="22"/>
  <c r="G31" i="1"/>
  <c r="F66" i="43"/>
  <c r="F67" i="43"/>
  <c r="F68" i="43"/>
  <c r="F69" i="43"/>
  <c r="F61" i="43"/>
  <c r="F54" i="43"/>
  <c r="F55" i="43"/>
  <c r="F47" i="43"/>
  <c r="F48" i="43"/>
  <c r="F49" i="43"/>
  <c r="F41" i="43"/>
  <c r="F42" i="43"/>
  <c r="F28" i="43"/>
  <c r="F29" i="43"/>
  <c r="F30" i="43"/>
  <c r="F31" i="43"/>
  <c r="F32" i="43"/>
  <c r="F33" i="43"/>
  <c r="F34" i="43"/>
  <c r="F20" i="43"/>
  <c r="F22" i="43"/>
  <c r="F23" i="43"/>
  <c r="F11" i="43"/>
  <c r="F12" i="43"/>
  <c r="F13" i="43"/>
  <c r="F14" i="43"/>
  <c r="F15" i="43"/>
  <c r="I66" i="43"/>
  <c r="I67" i="43"/>
  <c r="I68" i="43"/>
  <c r="I69" i="43"/>
  <c r="I60" i="43"/>
  <c r="I61" i="43"/>
  <c r="I54" i="43"/>
  <c r="I55" i="43"/>
  <c r="I47" i="43"/>
  <c r="I48" i="43"/>
  <c r="I49" i="43"/>
  <c r="I41" i="43"/>
  <c r="K41" i="43" s="1"/>
  <c r="I42" i="43"/>
  <c r="I28" i="43"/>
  <c r="I29" i="43"/>
  <c r="I30" i="43"/>
  <c r="I31" i="43"/>
  <c r="I32" i="43"/>
  <c r="I33" i="43"/>
  <c r="I34" i="43"/>
  <c r="I20" i="43"/>
  <c r="I21" i="43"/>
  <c r="I22" i="43"/>
  <c r="I23" i="43"/>
  <c r="I11" i="43"/>
  <c r="I12" i="43"/>
  <c r="K12" i="43" s="1"/>
  <c r="I13" i="43"/>
  <c r="K13" i="43" s="1"/>
  <c r="I14" i="43"/>
  <c r="K14" i="43" s="1"/>
  <c r="I15" i="43"/>
  <c r="J74" i="43"/>
  <c r="G33" i="1" s="1"/>
  <c r="F91" i="66"/>
  <c r="F92" i="66"/>
  <c r="F93" i="66"/>
  <c r="F94" i="66"/>
  <c r="F82" i="66"/>
  <c r="F83" i="66"/>
  <c r="F84" i="66"/>
  <c r="F85" i="66"/>
  <c r="F86" i="66"/>
  <c r="F75" i="66"/>
  <c r="F76" i="66"/>
  <c r="F77" i="66"/>
  <c r="K77" i="66" s="1"/>
  <c r="F66" i="66"/>
  <c r="F67" i="66"/>
  <c r="F68" i="66"/>
  <c r="F69" i="66"/>
  <c r="F70" i="66"/>
  <c r="F55" i="66"/>
  <c r="F56" i="66"/>
  <c r="F57" i="66"/>
  <c r="F58" i="66"/>
  <c r="F59" i="66"/>
  <c r="F60" i="66"/>
  <c r="F61" i="66"/>
  <c r="F46" i="66"/>
  <c r="K46" i="66" s="1"/>
  <c r="F47" i="66"/>
  <c r="F48" i="66"/>
  <c r="F49" i="66"/>
  <c r="K49" i="66" s="1"/>
  <c r="F50" i="66"/>
  <c r="K50" i="66" s="1"/>
  <c r="F38" i="66"/>
  <c r="F39" i="66"/>
  <c r="F40" i="66"/>
  <c r="F27" i="66"/>
  <c r="F28" i="66"/>
  <c r="F29" i="66"/>
  <c r="F30" i="66"/>
  <c r="F31" i="66"/>
  <c r="F32" i="66"/>
  <c r="F33" i="66"/>
  <c r="F11" i="66"/>
  <c r="F12" i="66"/>
  <c r="F13" i="66"/>
  <c r="F14" i="66"/>
  <c r="F15" i="66"/>
  <c r="K15" i="66" s="1"/>
  <c r="F16" i="66"/>
  <c r="K16" i="66" s="1"/>
  <c r="F17" i="66"/>
  <c r="K17" i="66" s="1"/>
  <c r="F18" i="66"/>
  <c r="F19" i="66"/>
  <c r="F20" i="66"/>
  <c r="F21" i="66"/>
  <c r="F22" i="66"/>
  <c r="I91" i="66"/>
  <c r="I92" i="66"/>
  <c r="I93" i="66"/>
  <c r="I94" i="66"/>
  <c r="I82" i="66"/>
  <c r="I83" i="66"/>
  <c r="I84" i="66"/>
  <c r="I85" i="66"/>
  <c r="K85" i="66" s="1"/>
  <c r="I86" i="66"/>
  <c r="I75" i="66"/>
  <c r="K75" i="66" s="1"/>
  <c r="I76" i="66"/>
  <c r="K76" i="66" s="1"/>
  <c r="I77" i="66"/>
  <c r="I66" i="66"/>
  <c r="I67" i="66"/>
  <c r="I68" i="66"/>
  <c r="I69" i="66"/>
  <c r="I70" i="66"/>
  <c r="I55" i="66"/>
  <c r="I56" i="66"/>
  <c r="K56" i="66" s="1"/>
  <c r="I57" i="66"/>
  <c r="I58" i="66"/>
  <c r="I59" i="66"/>
  <c r="I60" i="66"/>
  <c r="I61" i="66"/>
  <c r="I46" i="66"/>
  <c r="I47" i="66"/>
  <c r="K47" i="66" s="1"/>
  <c r="I48" i="66"/>
  <c r="K48" i="66" s="1"/>
  <c r="I49" i="66"/>
  <c r="I50" i="66"/>
  <c r="I38" i="66"/>
  <c r="I39" i="66"/>
  <c r="I40" i="66"/>
  <c r="I27" i="66"/>
  <c r="I28" i="66"/>
  <c r="I29" i="66"/>
  <c r="I30" i="66"/>
  <c r="I31" i="66"/>
  <c r="I32" i="66"/>
  <c r="I33" i="66"/>
  <c r="I11" i="66"/>
  <c r="I12" i="66"/>
  <c r="K12" i="66" s="1"/>
  <c r="I13" i="66"/>
  <c r="K13" i="66" s="1"/>
  <c r="I14" i="66"/>
  <c r="K14" i="66" s="1"/>
  <c r="I15" i="66"/>
  <c r="I16" i="66"/>
  <c r="I17" i="66"/>
  <c r="I18" i="66"/>
  <c r="I19" i="66"/>
  <c r="I20" i="66"/>
  <c r="I21" i="66"/>
  <c r="I22" i="66"/>
  <c r="K22" i="66" s="1"/>
  <c r="J99" i="66"/>
  <c r="G35" i="1" s="1"/>
  <c r="F91" i="49"/>
  <c r="F92" i="49"/>
  <c r="F93" i="49"/>
  <c r="F94" i="49"/>
  <c r="K94" i="49" s="1"/>
  <c r="F82" i="49"/>
  <c r="F83" i="49"/>
  <c r="F84" i="49"/>
  <c r="K84" i="49" s="1"/>
  <c r="F85" i="49"/>
  <c r="F86" i="49"/>
  <c r="F75" i="49"/>
  <c r="F76" i="49"/>
  <c r="F77" i="49"/>
  <c r="F66" i="49"/>
  <c r="F67" i="49"/>
  <c r="F68" i="49"/>
  <c r="F69" i="49"/>
  <c r="F70" i="49"/>
  <c r="F55" i="49"/>
  <c r="F56" i="49"/>
  <c r="F57" i="49"/>
  <c r="F58" i="49"/>
  <c r="K58" i="49" s="1"/>
  <c r="F59" i="49"/>
  <c r="F60" i="49"/>
  <c r="K60" i="49" s="1"/>
  <c r="F61" i="49"/>
  <c r="F46" i="49"/>
  <c r="F47" i="49"/>
  <c r="F48" i="49"/>
  <c r="F49" i="49"/>
  <c r="F50" i="49"/>
  <c r="F38" i="49"/>
  <c r="F39" i="49"/>
  <c r="F40" i="49"/>
  <c r="F27" i="49"/>
  <c r="F28" i="49"/>
  <c r="F29" i="49"/>
  <c r="F30" i="49"/>
  <c r="F31" i="49"/>
  <c r="F32" i="49"/>
  <c r="F33" i="49"/>
  <c r="K33" i="49" s="1"/>
  <c r="F11" i="49"/>
  <c r="F12" i="49"/>
  <c r="F13" i="49"/>
  <c r="F14" i="49"/>
  <c r="F15" i="49"/>
  <c r="F16" i="49"/>
  <c r="F17" i="49"/>
  <c r="F18" i="49"/>
  <c r="F19" i="49"/>
  <c r="F20" i="49"/>
  <c r="F21" i="49"/>
  <c r="F22" i="49"/>
  <c r="I91" i="49"/>
  <c r="I92" i="49"/>
  <c r="I93" i="49"/>
  <c r="I94" i="49"/>
  <c r="I82" i="49"/>
  <c r="I83" i="49"/>
  <c r="I84" i="49"/>
  <c r="I85" i="49"/>
  <c r="I86" i="49"/>
  <c r="I75" i="49"/>
  <c r="I76" i="49"/>
  <c r="I77" i="49"/>
  <c r="K77" i="49" s="1"/>
  <c r="I66" i="49"/>
  <c r="I67" i="49"/>
  <c r="I68" i="49"/>
  <c r="I69" i="49"/>
  <c r="I70" i="49"/>
  <c r="K70" i="49" s="1"/>
  <c r="I55" i="49"/>
  <c r="I56" i="49"/>
  <c r="I57" i="49"/>
  <c r="I58" i="49"/>
  <c r="I59" i="49"/>
  <c r="I60" i="49"/>
  <c r="I61" i="49"/>
  <c r="I46" i="49"/>
  <c r="I47" i="49"/>
  <c r="I48" i="49"/>
  <c r="I49" i="49"/>
  <c r="I50" i="49"/>
  <c r="I38" i="49"/>
  <c r="I39" i="49"/>
  <c r="I40" i="49"/>
  <c r="K40" i="49" s="1"/>
  <c r="I27" i="49"/>
  <c r="I28" i="49"/>
  <c r="I29" i="49"/>
  <c r="I30" i="49"/>
  <c r="I31" i="49"/>
  <c r="I32" i="49"/>
  <c r="I33" i="49"/>
  <c r="I11" i="49"/>
  <c r="I12" i="49"/>
  <c r="I13" i="49"/>
  <c r="I14" i="49"/>
  <c r="I15" i="49"/>
  <c r="I16" i="49"/>
  <c r="I17" i="49"/>
  <c r="I18" i="49"/>
  <c r="I19" i="49"/>
  <c r="I20" i="49"/>
  <c r="I21" i="49"/>
  <c r="I22" i="49"/>
  <c r="J99" i="49"/>
  <c r="G37" i="1" s="1"/>
  <c r="F21" i="50"/>
  <c r="I91" i="50"/>
  <c r="I92" i="50"/>
  <c r="I93" i="50"/>
  <c r="I94" i="50"/>
  <c r="I82" i="50"/>
  <c r="I83" i="50"/>
  <c r="I84" i="50"/>
  <c r="I85" i="50"/>
  <c r="I86" i="50"/>
  <c r="I75" i="50"/>
  <c r="I76" i="50"/>
  <c r="I77" i="50"/>
  <c r="I66" i="50"/>
  <c r="I67" i="50"/>
  <c r="I68" i="50"/>
  <c r="I69" i="50"/>
  <c r="I70" i="50"/>
  <c r="I55" i="50"/>
  <c r="I56" i="50"/>
  <c r="I57" i="50"/>
  <c r="I58" i="50"/>
  <c r="I59" i="50"/>
  <c r="I60" i="50"/>
  <c r="I61" i="50"/>
  <c r="I46" i="50"/>
  <c r="I47" i="50"/>
  <c r="I48" i="50"/>
  <c r="I49" i="50"/>
  <c r="I50" i="50"/>
  <c r="I38" i="50"/>
  <c r="I39" i="50"/>
  <c r="I40" i="50"/>
  <c r="I27" i="50"/>
  <c r="I28" i="50"/>
  <c r="I29" i="50"/>
  <c r="I30" i="50"/>
  <c r="I31" i="50"/>
  <c r="I32" i="50"/>
  <c r="I33" i="50"/>
  <c r="I11" i="50"/>
  <c r="I12" i="50"/>
  <c r="I13" i="50"/>
  <c r="I14" i="50"/>
  <c r="I15" i="50"/>
  <c r="I16" i="50"/>
  <c r="I17" i="50"/>
  <c r="I18" i="50"/>
  <c r="I19" i="50"/>
  <c r="I20" i="50"/>
  <c r="I21" i="50"/>
  <c r="I22" i="50"/>
  <c r="G39" i="1"/>
  <c r="F91" i="45"/>
  <c r="F92" i="45"/>
  <c r="F93" i="45"/>
  <c r="F94" i="45"/>
  <c r="F82" i="45"/>
  <c r="F83" i="45"/>
  <c r="F84" i="45"/>
  <c r="F85" i="45"/>
  <c r="F86" i="45"/>
  <c r="F75" i="45"/>
  <c r="F76" i="45"/>
  <c r="F77" i="45"/>
  <c r="F66" i="45"/>
  <c r="F67" i="45"/>
  <c r="F68" i="45"/>
  <c r="F69" i="45"/>
  <c r="F70" i="45"/>
  <c r="F55" i="45"/>
  <c r="F56" i="45"/>
  <c r="F57" i="45"/>
  <c r="F58" i="45"/>
  <c r="F59" i="45"/>
  <c r="F60" i="45"/>
  <c r="F61" i="45"/>
  <c r="F46" i="45"/>
  <c r="K46" i="45" s="1"/>
  <c r="F47" i="45"/>
  <c r="K47" i="45" s="1"/>
  <c r="F48" i="45"/>
  <c r="K48" i="45" s="1"/>
  <c r="F49" i="45"/>
  <c r="F50" i="45"/>
  <c r="F38" i="45"/>
  <c r="F39" i="45"/>
  <c r="F40" i="45"/>
  <c r="F27" i="45"/>
  <c r="F28" i="45"/>
  <c r="F29" i="45"/>
  <c r="F30" i="45"/>
  <c r="F31" i="45"/>
  <c r="F32" i="45"/>
  <c r="F33" i="45"/>
  <c r="F11" i="45"/>
  <c r="F12" i="45"/>
  <c r="F13" i="45"/>
  <c r="K13" i="45" s="1"/>
  <c r="F14" i="45"/>
  <c r="K14" i="45" s="1"/>
  <c r="F15" i="45"/>
  <c r="F16" i="45"/>
  <c r="F17" i="45"/>
  <c r="F18" i="45"/>
  <c r="F19" i="45"/>
  <c r="F20" i="45"/>
  <c r="F21" i="45"/>
  <c r="F22" i="45"/>
  <c r="I91" i="45"/>
  <c r="I92" i="45"/>
  <c r="I93" i="45"/>
  <c r="I94" i="45"/>
  <c r="I82" i="45"/>
  <c r="K82" i="45" s="1"/>
  <c r="I83" i="45"/>
  <c r="I84" i="45"/>
  <c r="I85" i="45"/>
  <c r="I86" i="45"/>
  <c r="I75" i="45"/>
  <c r="I76" i="45"/>
  <c r="I77" i="45"/>
  <c r="I66" i="45"/>
  <c r="I67" i="45"/>
  <c r="I68" i="45"/>
  <c r="I69" i="45"/>
  <c r="I70" i="45"/>
  <c r="I55" i="45"/>
  <c r="I56" i="45"/>
  <c r="I57" i="45"/>
  <c r="I58" i="45"/>
  <c r="I59" i="45"/>
  <c r="I60" i="45"/>
  <c r="I61" i="45"/>
  <c r="I46" i="45"/>
  <c r="I47" i="45"/>
  <c r="I48" i="45"/>
  <c r="I49" i="45"/>
  <c r="I50" i="45"/>
  <c r="I38" i="45"/>
  <c r="I39" i="45"/>
  <c r="I40" i="45"/>
  <c r="I27" i="45"/>
  <c r="I28" i="45"/>
  <c r="I29" i="45"/>
  <c r="I30" i="45"/>
  <c r="I31" i="45"/>
  <c r="I32" i="45"/>
  <c r="I33" i="45"/>
  <c r="I11" i="45"/>
  <c r="I12" i="45"/>
  <c r="I13" i="45"/>
  <c r="I14" i="45"/>
  <c r="I15" i="45"/>
  <c r="I16" i="45"/>
  <c r="I17" i="45"/>
  <c r="I18" i="45"/>
  <c r="I19" i="45"/>
  <c r="I20" i="45"/>
  <c r="I21" i="45"/>
  <c r="I22" i="45"/>
  <c r="J99" i="45"/>
  <c r="G41" i="1" s="1"/>
  <c r="F91" i="16"/>
  <c r="K91" i="16" s="1"/>
  <c r="F92" i="16"/>
  <c r="F93" i="16"/>
  <c r="F94" i="16"/>
  <c r="K94" i="16" s="1"/>
  <c r="F82" i="16"/>
  <c r="F83" i="16"/>
  <c r="F84" i="16"/>
  <c r="F85" i="16"/>
  <c r="F86" i="16"/>
  <c r="F75" i="16"/>
  <c r="F76" i="16"/>
  <c r="F77" i="16"/>
  <c r="F66" i="16"/>
  <c r="F67" i="16"/>
  <c r="F68" i="16"/>
  <c r="F69" i="16"/>
  <c r="F70" i="16"/>
  <c r="F55" i="16"/>
  <c r="F56" i="16"/>
  <c r="F57" i="16"/>
  <c r="K57" i="16" s="1"/>
  <c r="F58" i="16"/>
  <c r="F59" i="16"/>
  <c r="F60" i="16"/>
  <c r="F61" i="16"/>
  <c r="F46" i="16"/>
  <c r="F47" i="16"/>
  <c r="F48" i="16"/>
  <c r="F49" i="16"/>
  <c r="F50" i="16"/>
  <c r="F38" i="16"/>
  <c r="F39" i="16"/>
  <c r="F40" i="16"/>
  <c r="F27" i="16"/>
  <c r="F28" i="16"/>
  <c r="F29" i="16"/>
  <c r="K29" i="16" s="1"/>
  <c r="F30" i="16"/>
  <c r="K30" i="16" s="1"/>
  <c r="F31" i="16"/>
  <c r="F32" i="16"/>
  <c r="F33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K22" i="16" s="1"/>
  <c r="I91" i="16"/>
  <c r="I92" i="16"/>
  <c r="I93" i="16"/>
  <c r="I94" i="16"/>
  <c r="I82" i="16"/>
  <c r="I83" i="16"/>
  <c r="I84" i="16"/>
  <c r="I85" i="16"/>
  <c r="I86" i="16"/>
  <c r="I75" i="16"/>
  <c r="I76" i="16"/>
  <c r="I77" i="16"/>
  <c r="I66" i="16"/>
  <c r="I67" i="16"/>
  <c r="I68" i="16"/>
  <c r="I69" i="16"/>
  <c r="I70" i="16"/>
  <c r="I55" i="16"/>
  <c r="I56" i="16"/>
  <c r="I57" i="16"/>
  <c r="I58" i="16"/>
  <c r="I59" i="16"/>
  <c r="I60" i="16"/>
  <c r="I61" i="16"/>
  <c r="I46" i="16"/>
  <c r="I47" i="16"/>
  <c r="I48" i="16"/>
  <c r="I49" i="16"/>
  <c r="I50" i="16"/>
  <c r="I38" i="16"/>
  <c r="I39" i="16"/>
  <c r="K39" i="16" s="1"/>
  <c r="I40" i="16"/>
  <c r="I27" i="16"/>
  <c r="I28" i="16"/>
  <c r="I29" i="16"/>
  <c r="I30" i="16"/>
  <c r="I31" i="16"/>
  <c r="I32" i="16"/>
  <c r="K32" i="16" s="1"/>
  <c r="I33" i="16"/>
  <c r="I11" i="16"/>
  <c r="I12" i="16"/>
  <c r="I13" i="16"/>
  <c r="K13" i="16" s="1"/>
  <c r="I14" i="16"/>
  <c r="I15" i="16"/>
  <c r="I16" i="16"/>
  <c r="I17" i="16"/>
  <c r="K17" i="16" s="1"/>
  <c r="I18" i="16"/>
  <c r="I19" i="16"/>
  <c r="I20" i="16"/>
  <c r="I21" i="16"/>
  <c r="I22" i="16"/>
  <c r="J99" i="16"/>
  <c r="G43" i="1" s="1"/>
  <c r="F77" i="15"/>
  <c r="F78" i="15"/>
  <c r="F79" i="15"/>
  <c r="F80" i="15"/>
  <c r="F81" i="15"/>
  <c r="F70" i="15"/>
  <c r="F71" i="15"/>
  <c r="F72" i="15"/>
  <c r="K72" i="15" s="1"/>
  <c r="F49" i="15"/>
  <c r="F50" i="15"/>
  <c r="F51" i="15"/>
  <c r="F52" i="15"/>
  <c r="K52" i="15" s="1"/>
  <c r="F53" i="15"/>
  <c r="K53" i="15" s="1"/>
  <c r="F54" i="15"/>
  <c r="F55" i="15"/>
  <c r="F56" i="15"/>
  <c r="F57" i="15"/>
  <c r="F58" i="15"/>
  <c r="F59" i="15"/>
  <c r="F60" i="15"/>
  <c r="F61" i="15"/>
  <c r="F62" i="15"/>
  <c r="F63" i="15"/>
  <c r="F64" i="15"/>
  <c r="K64" i="15" s="1"/>
  <c r="F65" i="15"/>
  <c r="F38" i="15"/>
  <c r="F39" i="15"/>
  <c r="F40" i="15"/>
  <c r="F41" i="15"/>
  <c r="K41" i="15" s="1"/>
  <c r="F42" i="15"/>
  <c r="F43" i="15"/>
  <c r="F44" i="15"/>
  <c r="F27" i="15"/>
  <c r="F28" i="15"/>
  <c r="F29" i="15"/>
  <c r="F30" i="15"/>
  <c r="F31" i="15"/>
  <c r="F32" i="15"/>
  <c r="F33" i="15"/>
  <c r="F11" i="15"/>
  <c r="F13" i="15"/>
  <c r="F14" i="15"/>
  <c r="F15" i="15"/>
  <c r="K15" i="15" s="1"/>
  <c r="F16" i="15"/>
  <c r="K16" i="15" s="1"/>
  <c r="F17" i="15"/>
  <c r="F18" i="15"/>
  <c r="F19" i="15"/>
  <c r="F20" i="15"/>
  <c r="F21" i="15"/>
  <c r="F22" i="15"/>
  <c r="I77" i="15"/>
  <c r="I78" i="15"/>
  <c r="I79" i="15"/>
  <c r="I80" i="15"/>
  <c r="I81" i="15"/>
  <c r="I70" i="15"/>
  <c r="I71" i="15"/>
  <c r="I72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38" i="15"/>
  <c r="I39" i="15"/>
  <c r="I40" i="15"/>
  <c r="I41" i="15"/>
  <c r="I42" i="15"/>
  <c r="I43" i="15"/>
  <c r="I44" i="15"/>
  <c r="I27" i="15"/>
  <c r="I28" i="15"/>
  <c r="I29" i="15"/>
  <c r="I30" i="15"/>
  <c r="I31" i="15"/>
  <c r="I32" i="15"/>
  <c r="I33" i="15"/>
  <c r="I11" i="15"/>
  <c r="K11" i="15" s="1"/>
  <c r="I12" i="15"/>
  <c r="I13" i="15"/>
  <c r="I14" i="15"/>
  <c r="I15" i="15"/>
  <c r="I16" i="15"/>
  <c r="I17" i="15"/>
  <c r="I18" i="15"/>
  <c r="I19" i="15"/>
  <c r="I20" i="15"/>
  <c r="I21" i="15"/>
  <c r="I22" i="15"/>
  <c r="J94" i="15"/>
  <c r="G45" i="1" s="1"/>
  <c r="F94" i="67"/>
  <c r="F95" i="67"/>
  <c r="F96" i="67"/>
  <c r="F97" i="67"/>
  <c r="F88" i="67"/>
  <c r="F89" i="67"/>
  <c r="F82" i="67"/>
  <c r="F83" i="67"/>
  <c r="F76" i="67"/>
  <c r="F77" i="67"/>
  <c r="F61" i="67"/>
  <c r="F62" i="67"/>
  <c r="F63" i="67"/>
  <c r="F64" i="67"/>
  <c r="F65" i="67"/>
  <c r="F66" i="67"/>
  <c r="F67" i="67"/>
  <c r="F68" i="67"/>
  <c r="F69" i="67"/>
  <c r="F70" i="67"/>
  <c r="K70" i="67" s="1"/>
  <c r="F71" i="67"/>
  <c r="K71" i="67" s="1"/>
  <c r="F56" i="67"/>
  <c r="F49" i="67"/>
  <c r="F50" i="67"/>
  <c r="F51" i="67"/>
  <c r="F41" i="67"/>
  <c r="F42" i="67"/>
  <c r="F43" i="67"/>
  <c r="F44" i="67"/>
  <c r="F34" i="67"/>
  <c r="F35" i="67"/>
  <c r="F36" i="67"/>
  <c r="F28" i="67"/>
  <c r="F29" i="67"/>
  <c r="F21" i="67"/>
  <c r="F22" i="67"/>
  <c r="F23" i="67"/>
  <c r="F11" i="67"/>
  <c r="F13" i="67"/>
  <c r="F14" i="67"/>
  <c r="F15" i="67"/>
  <c r="F16" i="67"/>
  <c r="I94" i="67"/>
  <c r="I95" i="67"/>
  <c r="I96" i="67"/>
  <c r="I97" i="67"/>
  <c r="I88" i="67"/>
  <c r="I89" i="67"/>
  <c r="I82" i="67"/>
  <c r="I83" i="67"/>
  <c r="I76" i="67"/>
  <c r="K76" i="67" s="1"/>
  <c r="I77" i="67"/>
  <c r="I61" i="67"/>
  <c r="I62" i="67"/>
  <c r="K62" i="67" s="1"/>
  <c r="I63" i="67"/>
  <c r="K63" i="67" s="1"/>
  <c r="I64" i="67"/>
  <c r="I65" i="67"/>
  <c r="I66" i="67"/>
  <c r="I67" i="67"/>
  <c r="I68" i="67"/>
  <c r="I69" i="67"/>
  <c r="I70" i="67"/>
  <c r="I71" i="67"/>
  <c r="I56" i="67"/>
  <c r="I49" i="67"/>
  <c r="I50" i="67"/>
  <c r="K50" i="67" s="1"/>
  <c r="I51" i="67"/>
  <c r="I41" i="67"/>
  <c r="I42" i="67"/>
  <c r="I43" i="67"/>
  <c r="K43" i="67" s="1"/>
  <c r="I44" i="67"/>
  <c r="K44" i="67" s="1"/>
  <c r="I34" i="67"/>
  <c r="I35" i="67"/>
  <c r="I36" i="67"/>
  <c r="I28" i="67"/>
  <c r="I29" i="67"/>
  <c r="I21" i="67"/>
  <c r="I22" i="67"/>
  <c r="I23" i="67"/>
  <c r="I11" i="67"/>
  <c r="I12" i="67"/>
  <c r="I13" i="67"/>
  <c r="I14" i="67"/>
  <c r="I15" i="67"/>
  <c r="I16" i="67"/>
  <c r="J102" i="67"/>
  <c r="G47" i="1" s="1"/>
  <c r="F46" i="68"/>
  <c r="K46" i="68" s="1"/>
  <c r="F47" i="68"/>
  <c r="F48" i="68"/>
  <c r="F49" i="68"/>
  <c r="F38" i="68"/>
  <c r="F39" i="68"/>
  <c r="F40" i="68"/>
  <c r="F27" i="68"/>
  <c r="F28" i="68"/>
  <c r="F29" i="68"/>
  <c r="F30" i="68"/>
  <c r="F31" i="68"/>
  <c r="F32" i="68"/>
  <c r="F33" i="68"/>
  <c r="F11" i="68"/>
  <c r="K11" i="68" s="1"/>
  <c r="F12" i="68"/>
  <c r="F13" i="68"/>
  <c r="K13" i="68" s="1"/>
  <c r="F14" i="68"/>
  <c r="F15" i="68"/>
  <c r="F16" i="68"/>
  <c r="F17" i="68"/>
  <c r="F18" i="68"/>
  <c r="F19" i="68"/>
  <c r="F20" i="68"/>
  <c r="F21" i="68"/>
  <c r="F22" i="68"/>
  <c r="I46" i="68"/>
  <c r="I47" i="68"/>
  <c r="I48" i="68"/>
  <c r="I49" i="68"/>
  <c r="I38" i="68"/>
  <c r="I39" i="68"/>
  <c r="I40" i="68"/>
  <c r="I27" i="68"/>
  <c r="I28" i="68"/>
  <c r="I29" i="68"/>
  <c r="I30" i="68"/>
  <c r="I31" i="68"/>
  <c r="I32" i="68"/>
  <c r="I33" i="68"/>
  <c r="I11" i="68"/>
  <c r="I12" i="68"/>
  <c r="I13" i="68"/>
  <c r="I14" i="68"/>
  <c r="I15" i="68"/>
  <c r="I16" i="68"/>
  <c r="I17" i="68"/>
  <c r="K17" i="68" s="1"/>
  <c r="I18" i="68"/>
  <c r="I19" i="68"/>
  <c r="I20" i="68"/>
  <c r="I21" i="68"/>
  <c r="I22" i="68"/>
  <c r="J54" i="68"/>
  <c r="G49" i="1" s="1"/>
  <c r="F49" i="69"/>
  <c r="F50" i="69"/>
  <c r="F51" i="69"/>
  <c r="F52" i="69"/>
  <c r="F53" i="69"/>
  <c r="F40" i="69"/>
  <c r="F41" i="69"/>
  <c r="F42" i="69"/>
  <c r="F29" i="69"/>
  <c r="F30" i="69"/>
  <c r="F31" i="69"/>
  <c r="F32" i="69"/>
  <c r="F33" i="69"/>
  <c r="F34" i="69"/>
  <c r="F35" i="69"/>
  <c r="F13" i="69"/>
  <c r="F14" i="69"/>
  <c r="F15" i="69"/>
  <c r="F17" i="69"/>
  <c r="F18" i="69"/>
  <c r="F19" i="69"/>
  <c r="F20" i="69"/>
  <c r="F21" i="69"/>
  <c r="F22" i="69"/>
  <c r="K22" i="69" s="1"/>
  <c r="F23" i="69"/>
  <c r="F24" i="69"/>
  <c r="I49" i="69"/>
  <c r="K49" i="69" s="1"/>
  <c r="I50" i="69"/>
  <c r="K50" i="69" s="1"/>
  <c r="I51" i="69"/>
  <c r="I52" i="69"/>
  <c r="I53" i="69"/>
  <c r="I40" i="69"/>
  <c r="I41" i="69"/>
  <c r="I42" i="69"/>
  <c r="I29" i="69"/>
  <c r="I30" i="69"/>
  <c r="I31" i="69"/>
  <c r="I32" i="69"/>
  <c r="I33" i="69"/>
  <c r="I34" i="69"/>
  <c r="I35" i="69"/>
  <c r="I13" i="69"/>
  <c r="K13" i="69" s="1"/>
  <c r="I14" i="69"/>
  <c r="K14" i="69" s="1"/>
  <c r="I15" i="69"/>
  <c r="K15" i="69" s="1"/>
  <c r="I16" i="69"/>
  <c r="K16" i="69" s="1"/>
  <c r="I17" i="69"/>
  <c r="I18" i="69"/>
  <c r="I19" i="69"/>
  <c r="I20" i="69"/>
  <c r="I21" i="69"/>
  <c r="I22" i="69"/>
  <c r="I23" i="69"/>
  <c r="I24" i="69"/>
  <c r="G51" i="1"/>
  <c r="F91" i="70"/>
  <c r="F92" i="70"/>
  <c r="F93" i="70"/>
  <c r="F94" i="70"/>
  <c r="F82" i="70"/>
  <c r="K82" i="70" s="1"/>
  <c r="F83" i="70"/>
  <c r="K83" i="70" s="1"/>
  <c r="F84" i="70"/>
  <c r="F85" i="70"/>
  <c r="F86" i="70"/>
  <c r="F75" i="70"/>
  <c r="F76" i="70"/>
  <c r="K76" i="70" s="1"/>
  <c r="F77" i="70"/>
  <c r="F66" i="70"/>
  <c r="F67" i="70"/>
  <c r="F68" i="70"/>
  <c r="F69" i="70"/>
  <c r="F70" i="70"/>
  <c r="F55" i="70"/>
  <c r="F56" i="70"/>
  <c r="F57" i="70"/>
  <c r="F58" i="70"/>
  <c r="K58" i="70" s="1"/>
  <c r="F59" i="70"/>
  <c r="F60" i="70"/>
  <c r="F61" i="70"/>
  <c r="F46" i="70"/>
  <c r="F47" i="70"/>
  <c r="F48" i="70"/>
  <c r="F49" i="70"/>
  <c r="F50" i="70"/>
  <c r="F38" i="70"/>
  <c r="F39" i="70"/>
  <c r="F40" i="70"/>
  <c r="F27" i="70"/>
  <c r="F28" i="70"/>
  <c r="F29" i="70"/>
  <c r="F30" i="70"/>
  <c r="F31" i="70"/>
  <c r="K31" i="70" s="1"/>
  <c r="F32" i="70"/>
  <c r="F33" i="70"/>
  <c r="F11" i="70"/>
  <c r="F12" i="70"/>
  <c r="F13" i="70"/>
  <c r="F14" i="70"/>
  <c r="F15" i="70"/>
  <c r="F16" i="70"/>
  <c r="F17" i="70"/>
  <c r="F18" i="70"/>
  <c r="F19" i="70"/>
  <c r="F20" i="70"/>
  <c r="F21" i="70"/>
  <c r="F22" i="70"/>
  <c r="I91" i="70"/>
  <c r="I92" i="70"/>
  <c r="I93" i="70"/>
  <c r="I94" i="70"/>
  <c r="I82" i="70"/>
  <c r="I83" i="70"/>
  <c r="I84" i="70"/>
  <c r="I85" i="70"/>
  <c r="K85" i="70" s="1"/>
  <c r="I86" i="70"/>
  <c r="I75" i="70"/>
  <c r="I76" i="70"/>
  <c r="I77" i="70"/>
  <c r="I66" i="70"/>
  <c r="I67" i="70"/>
  <c r="I68" i="70"/>
  <c r="I69" i="70"/>
  <c r="K69" i="70" s="1"/>
  <c r="I70" i="70"/>
  <c r="K70" i="70" s="1"/>
  <c r="I55" i="70"/>
  <c r="I56" i="70"/>
  <c r="I57" i="70"/>
  <c r="I58" i="70"/>
  <c r="I59" i="70"/>
  <c r="I60" i="70"/>
  <c r="I61" i="70"/>
  <c r="I46" i="70"/>
  <c r="I47" i="70"/>
  <c r="I48" i="70"/>
  <c r="I49" i="70"/>
  <c r="I50" i="70"/>
  <c r="I38" i="70"/>
  <c r="I39" i="70"/>
  <c r="I40" i="70"/>
  <c r="I27" i="70"/>
  <c r="I28" i="70"/>
  <c r="I29" i="70"/>
  <c r="I30" i="70"/>
  <c r="I31" i="70"/>
  <c r="I32" i="70"/>
  <c r="I33" i="70"/>
  <c r="I11" i="70"/>
  <c r="I12" i="70"/>
  <c r="I13" i="70"/>
  <c r="I14" i="70"/>
  <c r="I15" i="70"/>
  <c r="I16" i="70"/>
  <c r="I17" i="70"/>
  <c r="I18" i="70"/>
  <c r="I19" i="70"/>
  <c r="I20" i="70"/>
  <c r="I21" i="70"/>
  <c r="I22" i="70"/>
  <c r="J99" i="70"/>
  <c r="G53" i="1" s="1"/>
  <c r="F46" i="71"/>
  <c r="F47" i="71"/>
  <c r="F48" i="71"/>
  <c r="F49" i="71"/>
  <c r="F50" i="71"/>
  <c r="F38" i="71"/>
  <c r="F39" i="71"/>
  <c r="F40" i="71"/>
  <c r="F27" i="71"/>
  <c r="F28" i="71"/>
  <c r="F29" i="71"/>
  <c r="F30" i="71"/>
  <c r="F31" i="71"/>
  <c r="F32" i="71"/>
  <c r="F33" i="71"/>
  <c r="F11" i="71"/>
  <c r="F12" i="71"/>
  <c r="F13" i="71"/>
  <c r="F14" i="71"/>
  <c r="F15" i="71"/>
  <c r="F16" i="71"/>
  <c r="F17" i="71"/>
  <c r="F18" i="71"/>
  <c r="F19" i="71"/>
  <c r="F20" i="71"/>
  <c r="F21" i="71"/>
  <c r="K21" i="71" s="1"/>
  <c r="F22" i="71"/>
  <c r="I46" i="71"/>
  <c r="I47" i="71"/>
  <c r="K47" i="71" s="1"/>
  <c r="I48" i="71"/>
  <c r="I49" i="71"/>
  <c r="I50" i="71"/>
  <c r="K50" i="71" s="1"/>
  <c r="I38" i="71"/>
  <c r="I39" i="71"/>
  <c r="I40" i="71"/>
  <c r="I27" i="71"/>
  <c r="I28" i="71"/>
  <c r="I29" i="71"/>
  <c r="I30" i="71"/>
  <c r="I31" i="71"/>
  <c r="I32" i="71"/>
  <c r="I33" i="71"/>
  <c r="I11" i="71"/>
  <c r="I12" i="71"/>
  <c r="I13" i="71"/>
  <c r="I14" i="71"/>
  <c r="I15" i="71"/>
  <c r="I16" i="71"/>
  <c r="I17" i="71"/>
  <c r="I18" i="71"/>
  <c r="I19" i="71"/>
  <c r="I20" i="71"/>
  <c r="I21" i="71"/>
  <c r="I22" i="71"/>
  <c r="G55" i="1"/>
  <c r="F60" i="72"/>
  <c r="F61" i="72"/>
  <c r="F62" i="72"/>
  <c r="F63" i="72"/>
  <c r="F64" i="72"/>
  <c r="F52" i="72"/>
  <c r="F53" i="72"/>
  <c r="F54" i="72"/>
  <c r="F29" i="72"/>
  <c r="F30" i="72"/>
  <c r="F31" i="72"/>
  <c r="F32" i="72"/>
  <c r="F33" i="72"/>
  <c r="F34" i="72"/>
  <c r="F35" i="72"/>
  <c r="F36" i="72"/>
  <c r="F37" i="72"/>
  <c r="F38" i="72"/>
  <c r="F39" i="72"/>
  <c r="F40" i="72"/>
  <c r="F41" i="72"/>
  <c r="F42" i="72"/>
  <c r="F43" i="72"/>
  <c r="F44" i="72"/>
  <c r="F45" i="72"/>
  <c r="F46" i="72"/>
  <c r="F47" i="72"/>
  <c r="I60" i="72"/>
  <c r="I61" i="72"/>
  <c r="I62" i="72"/>
  <c r="I63" i="72"/>
  <c r="I64" i="72"/>
  <c r="I52" i="72"/>
  <c r="I53" i="72"/>
  <c r="I54" i="72"/>
  <c r="I29" i="72"/>
  <c r="I30" i="72"/>
  <c r="I31" i="72"/>
  <c r="I32" i="72"/>
  <c r="K32" i="72" s="1"/>
  <c r="I33" i="72"/>
  <c r="I34" i="72"/>
  <c r="I35" i="72"/>
  <c r="I36" i="72"/>
  <c r="K36" i="72" s="1"/>
  <c r="I37" i="72"/>
  <c r="I38" i="72"/>
  <c r="I39" i="72"/>
  <c r="I40" i="72"/>
  <c r="I41" i="72"/>
  <c r="I42" i="72"/>
  <c r="I43" i="72"/>
  <c r="I44" i="72"/>
  <c r="I45" i="72"/>
  <c r="I46" i="72"/>
  <c r="I47" i="72"/>
  <c r="G57" i="1"/>
  <c r="F89" i="73"/>
  <c r="F97" i="73" s="1"/>
  <c r="F90" i="73"/>
  <c r="F91" i="73"/>
  <c r="F92" i="73"/>
  <c r="F80" i="73"/>
  <c r="F81" i="73"/>
  <c r="F82" i="73"/>
  <c r="F83" i="73"/>
  <c r="F84" i="73"/>
  <c r="F73" i="73"/>
  <c r="F74" i="73"/>
  <c r="F75" i="73"/>
  <c r="F64" i="73"/>
  <c r="F65" i="73"/>
  <c r="F66" i="73"/>
  <c r="F67" i="73"/>
  <c r="K67" i="73" s="1"/>
  <c r="F68" i="73"/>
  <c r="K68" i="73" s="1"/>
  <c r="F53" i="73"/>
  <c r="F54" i="73"/>
  <c r="F55" i="73"/>
  <c r="F56" i="73"/>
  <c r="F57" i="73"/>
  <c r="F58" i="73"/>
  <c r="F59" i="73"/>
  <c r="F45" i="73"/>
  <c r="F46" i="73"/>
  <c r="F47" i="73"/>
  <c r="F48" i="73"/>
  <c r="F36" i="73"/>
  <c r="F37" i="73"/>
  <c r="K37" i="73" s="1"/>
  <c r="F38" i="73"/>
  <c r="F25" i="73"/>
  <c r="F26" i="73"/>
  <c r="F27" i="73"/>
  <c r="F28" i="73"/>
  <c r="F29" i="73"/>
  <c r="F30" i="73"/>
  <c r="F31" i="73"/>
  <c r="F11" i="73"/>
  <c r="F12" i="73"/>
  <c r="F13" i="73"/>
  <c r="F14" i="73"/>
  <c r="F15" i="73"/>
  <c r="F16" i="73"/>
  <c r="F17" i="73"/>
  <c r="F18" i="73"/>
  <c r="K18" i="73" s="1"/>
  <c r="F19" i="73"/>
  <c r="I89" i="73"/>
  <c r="I90" i="73"/>
  <c r="I91" i="73"/>
  <c r="I92" i="73"/>
  <c r="I80" i="73"/>
  <c r="I81" i="73"/>
  <c r="I82" i="73"/>
  <c r="I83" i="73"/>
  <c r="I84" i="73"/>
  <c r="I73" i="73"/>
  <c r="I74" i="73"/>
  <c r="I75" i="73"/>
  <c r="I64" i="73"/>
  <c r="I65" i="73"/>
  <c r="I66" i="73"/>
  <c r="I67" i="73"/>
  <c r="I68" i="73"/>
  <c r="I53" i="73"/>
  <c r="I54" i="73"/>
  <c r="I55" i="73"/>
  <c r="I56" i="73"/>
  <c r="I57" i="73"/>
  <c r="I58" i="73"/>
  <c r="I59" i="73"/>
  <c r="I44" i="73"/>
  <c r="I45" i="73"/>
  <c r="I46" i="73"/>
  <c r="I47" i="73"/>
  <c r="I48" i="73"/>
  <c r="I36" i="73"/>
  <c r="I37" i="73"/>
  <c r="I38" i="73"/>
  <c r="I25" i="73"/>
  <c r="I26" i="73"/>
  <c r="I27" i="73"/>
  <c r="I28" i="73"/>
  <c r="I29" i="73"/>
  <c r="I30" i="73"/>
  <c r="I31" i="73"/>
  <c r="I11" i="73"/>
  <c r="K11" i="73" s="1"/>
  <c r="I12" i="73"/>
  <c r="I13" i="73"/>
  <c r="I14" i="73"/>
  <c r="I15" i="73"/>
  <c r="K15" i="73" s="1"/>
  <c r="I16" i="73"/>
  <c r="I17" i="73"/>
  <c r="I18" i="73"/>
  <c r="I19" i="73"/>
  <c r="G59" i="1"/>
  <c r="F48" i="74"/>
  <c r="F49" i="74"/>
  <c r="F50" i="74"/>
  <c r="F51" i="74"/>
  <c r="F52" i="74"/>
  <c r="F40" i="74"/>
  <c r="F41" i="74"/>
  <c r="F42" i="74"/>
  <c r="F43" i="74"/>
  <c r="F29" i="74"/>
  <c r="F30" i="74"/>
  <c r="F31" i="74"/>
  <c r="K31" i="74" s="1"/>
  <c r="F32" i="74"/>
  <c r="F33" i="74"/>
  <c r="K33" i="74" s="1"/>
  <c r="F34" i="74"/>
  <c r="F35" i="74"/>
  <c r="K35" i="74" s="1"/>
  <c r="F13" i="74"/>
  <c r="F14" i="74"/>
  <c r="F15" i="74"/>
  <c r="F16" i="74"/>
  <c r="F17" i="74"/>
  <c r="F18" i="74"/>
  <c r="F19" i="74"/>
  <c r="F20" i="74"/>
  <c r="F21" i="74"/>
  <c r="F22" i="74"/>
  <c r="F23" i="74"/>
  <c r="F24" i="74"/>
  <c r="I48" i="74"/>
  <c r="I49" i="74"/>
  <c r="K49" i="74" s="1"/>
  <c r="I50" i="74"/>
  <c r="I51" i="74"/>
  <c r="K51" i="74" s="1"/>
  <c r="I52" i="74"/>
  <c r="I40" i="74"/>
  <c r="I41" i="74"/>
  <c r="I42" i="74"/>
  <c r="I43" i="74"/>
  <c r="I29" i="74"/>
  <c r="I30" i="74"/>
  <c r="I31" i="74"/>
  <c r="I32" i="74"/>
  <c r="I33" i="74"/>
  <c r="I34" i="74"/>
  <c r="I35" i="74"/>
  <c r="I13" i="74"/>
  <c r="I14" i="74"/>
  <c r="K14" i="74" s="1"/>
  <c r="I15" i="74"/>
  <c r="K15" i="74" s="1"/>
  <c r="I16" i="74"/>
  <c r="K16" i="74" s="1"/>
  <c r="I17" i="74"/>
  <c r="I18" i="74"/>
  <c r="I19" i="74"/>
  <c r="I20" i="74"/>
  <c r="I21" i="74"/>
  <c r="I22" i="74"/>
  <c r="I23" i="74"/>
  <c r="I24" i="74"/>
  <c r="G61" i="1"/>
  <c r="C94" i="30"/>
  <c r="F94" i="30" s="1"/>
  <c r="F95" i="30"/>
  <c r="F79" i="30"/>
  <c r="F80" i="30"/>
  <c r="F81" i="30"/>
  <c r="F82" i="30"/>
  <c r="F83" i="30"/>
  <c r="F84" i="30"/>
  <c r="F85" i="30"/>
  <c r="F70" i="30"/>
  <c r="F71" i="30"/>
  <c r="F72" i="30"/>
  <c r="F73" i="30"/>
  <c r="F74" i="30"/>
  <c r="F27" i="30"/>
  <c r="F28" i="30"/>
  <c r="C29" i="30"/>
  <c r="I29" i="30" s="1"/>
  <c r="C31" i="30"/>
  <c r="F32" i="30"/>
  <c r="F33" i="30"/>
  <c r="F11" i="30"/>
  <c r="F12" i="30"/>
  <c r="F13" i="30"/>
  <c r="F14" i="30"/>
  <c r="F15" i="30"/>
  <c r="F16" i="30"/>
  <c r="F17" i="30"/>
  <c r="F18" i="30"/>
  <c r="F19" i="30"/>
  <c r="F20" i="30"/>
  <c r="F21" i="30"/>
  <c r="F22" i="30"/>
  <c r="I131" i="30"/>
  <c r="I132" i="30"/>
  <c r="K132" i="30" s="1"/>
  <c r="E26" i="81" s="1"/>
  <c r="I133" i="30"/>
  <c r="I134" i="30"/>
  <c r="I123" i="30"/>
  <c r="K123" i="30" s="1"/>
  <c r="I124" i="30"/>
  <c r="K124" i="30" s="1"/>
  <c r="I125" i="30"/>
  <c r="I126" i="30"/>
  <c r="I100" i="30"/>
  <c r="K100" i="30" s="1"/>
  <c r="G15" i="77" s="1"/>
  <c r="I101" i="30"/>
  <c r="I103" i="30"/>
  <c r="I90" i="30"/>
  <c r="I92" i="30"/>
  <c r="I93" i="30"/>
  <c r="I94" i="30"/>
  <c r="I95" i="30"/>
  <c r="I79" i="30"/>
  <c r="I80" i="30"/>
  <c r="I81" i="30"/>
  <c r="I82" i="30"/>
  <c r="I83" i="30"/>
  <c r="I84" i="30"/>
  <c r="I85" i="30"/>
  <c r="K85" i="30" s="1"/>
  <c r="I70" i="30"/>
  <c r="I71" i="30"/>
  <c r="I72" i="30"/>
  <c r="I73" i="30"/>
  <c r="I74" i="30"/>
  <c r="I27" i="30"/>
  <c r="I28" i="30"/>
  <c r="I32" i="30"/>
  <c r="I33" i="30"/>
  <c r="I11" i="30"/>
  <c r="I12" i="30"/>
  <c r="I13" i="30"/>
  <c r="I14" i="30"/>
  <c r="I15" i="30"/>
  <c r="I16" i="30"/>
  <c r="I17" i="30"/>
  <c r="I18" i="30"/>
  <c r="I19" i="30"/>
  <c r="I20" i="30"/>
  <c r="I21" i="30"/>
  <c r="I22" i="30"/>
  <c r="J6" i="74"/>
  <c r="J6" i="73"/>
  <c r="J6" i="72"/>
  <c r="J6" i="71"/>
  <c r="J6" i="70"/>
  <c r="J6" i="69"/>
  <c r="J6" i="68"/>
  <c r="J6" i="67"/>
  <c r="J6" i="15"/>
  <c r="J6" i="16"/>
  <c r="J6" i="45"/>
  <c r="J6" i="50"/>
  <c r="J6" i="49"/>
  <c r="J6" i="66"/>
  <c r="J6" i="43"/>
  <c r="J6" i="22"/>
  <c r="J6" i="75"/>
  <c r="J6" i="24"/>
  <c r="J6" i="25"/>
  <c r="J6" i="26"/>
  <c r="J6" i="42"/>
  <c r="J6" i="28"/>
  <c r="J6" i="29"/>
  <c r="K87" i="25"/>
  <c r="K89" i="25"/>
  <c r="K71" i="25"/>
  <c r="K40" i="25"/>
  <c r="K40" i="74"/>
  <c r="K42" i="74"/>
  <c r="K29" i="74"/>
  <c r="K18" i="74"/>
  <c r="K20" i="74"/>
  <c r="K22" i="74"/>
  <c r="K24" i="74"/>
  <c r="K46" i="73"/>
  <c r="K12" i="73"/>
  <c r="K14" i="73"/>
  <c r="F24" i="73"/>
  <c r="I24" i="73"/>
  <c r="K27" i="73"/>
  <c r="K29" i="73"/>
  <c r="K30" i="73"/>
  <c r="K31" i="73"/>
  <c r="K54" i="73"/>
  <c r="K58" i="73"/>
  <c r="K61" i="72"/>
  <c r="K38" i="72"/>
  <c r="F13" i="72"/>
  <c r="I13" i="72"/>
  <c r="F14" i="72"/>
  <c r="I14" i="72"/>
  <c r="F15" i="72"/>
  <c r="I15" i="72"/>
  <c r="F16" i="72"/>
  <c r="I16" i="72"/>
  <c r="F17" i="72"/>
  <c r="I17" i="72"/>
  <c r="F18" i="72"/>
  <c r="I18" i="72"/>
  <c r="F19" i="72"/>
  <c r="I19" i="72"/>
  <c r="F20" i="72"/>
  <c r="I20" i="72"/>
  <c r="F21" i="72"/>
  <c r="I21" i="72"/>
  <c r="F22" i="72"/>
  <c r="I22" i="72"/>
  <c r="F23" i="72"/>
  <c r="I23" i="72"/>
  <c r="F24" i="72"/>
  <c r="I24" i="72"/>
  <c r="K31" i="71"/>
  <c r="K50" i="70"/>
  <c r="K27" i="70"/>
  <c r="K16" i="70"/>
  <c r="K20" i="70"/>
  <c r="K40" i="69"/>
  <c r="K67" i="67"/>
  <c r="K51" i="67"/>
  <c r="K34" i="67"/>
  <c r="K28" i="67"/>
  <c r="K23" i="67"/>
  <c r="K12" i="67"/>
  <c r="K14" i="67"/>
  <c r="K40" i="15"/>
  <c r="K56" i="15"/>
  <c r="K60" i="15"/>
  <c r="K30" i="15"/>
  <c r="K19" i="15"/>
  <c r="K14" i="16"/>
  <c r="K15" i="16"/>
  <c r="K29" i="45"/>
  <c r="K38" i="45"/>
  <c r="K18" i="45"/>
  <c r="K38" i="49"/>
  <c r="K46" i="49"/>
  <c r="K47" i="49"/>
  <c r="K50" i="49"/>
  <c r="K66" i="49"/>
  <c r="K12" i="49"/>
  <c r="K14" i="49"/>
  <c r="K16" i="49"/>
  <c r="K17" i="49"/>
  <c r="K20" i="49"/>
  <c r="K27" i="49"/>
  <c r="K31" i="49"/>
  <c r="K66" i="66"/>
  <c r="K67" i="66"/>
  <c r="K69" i="66"/>
  <c r="K70" i="66"/>
  <c r="K55" i="66"/>
  <c r="K57" i="66"/>
  <c r="K58" i="66"/>
  <c r="K59" i="66"/>
  <c r="K61" i="66"/>
  <c r="K39" i="66"/>
  <c r="K40" i="66"/>
  <c r="K11" i="66"/>
  <c r="K19" i="66"/>
  <c r="K20" i="66"/>
  <c r="K21" i="66"/>
  <c r="K27" i="66"/>
  <c r="K29" i="66"/>
  <c r="K30" i="66"/>
  <c r="K31" i="66"/>
  <c r="K33" i="66"/>
  <c r="K48" i="43"/>
  <c r="K49" i="43"/>
  <c r="K28" i="43"/>
  <c r="K29" i="43"/>
  <c r="K31" i="43"/>
  <c r="K32" i="43"/>
  <c r="K21" i="43"/>
  <c r="K56" i="22"/>
  <c r="F50" i="22"/>
  <c r="I50" i="22"/>
  <c r="F51" i="22"/>
  <c r="I51" i="22"/>
  <c r="K29" i="22"/>
  <c r="K13" i="22"/>
  <c r="K96" i="75"/>
  <c r="K97" i="75"/>
  <c r="K78" i="75"/>
  <c r="K85" i="75"/>
  <c r="K90" i="75"/>
  <c r="K72" i="75"/>
  <c r="K73" i="75"/>
  <c r="K65" i="75"/>
  <c r="K67" i="75"/>
  <c r="K55" i="75"/>
  <c r="K56" i="75"/>
  <c r="K60" i="75"/>
  <c r="K61" i="75"/>
  <c r="K27" i="75"/>
  <c r="K28" i="75"/>
  <c r="K32" i="75"/>
  <c r="K33" i="75"/>
  <c r="K34" i="75"/>
  <c r="K39" i="75"/>
  <c r="K40" i="75"/>
  <c r="K50" i="75"/>
  <c r="K13" i="75"/>
  <c r="K15" i="75"/>
  <c r="K16" i="75"/>
  <c r="K22" i="75"/>
  <c r="K23" i="75"/>
  <c r="K49" i="24"/>
  <c r="K32" i="24"/>
  <c r="K49" i="26"/>
  <c r="K52" i="26"/>
  <c r="K57" i="26"/>
  <c r="K58" i="26"/>
  <c r="K61" i="26"/>
  <c r="K62" i="26"/>
  <c r="K69" i="26"/>
  <c r="K40" i="26"/>
  <c r="K41" i="26"/>
  <c r="K29" i="26"/>
  <c r="K30" i="26"/>
  <c r="K31" i="26"/>
  <c r="K34" i="26"/>
  <c r="K35" i="26"/>
  <c r="K15" i="26"/>
  <c r="K19" i="26"/>
  <c r="K20" i="26"/>
  <c r="K24" i="26"/>
  <c r="K29" i="42"/>
  <c r="K30" i="42"/>
  <c r="K31" i="42"/>
  <c r="K33" i="42"/>
  <c r="K35" i="42"/>
  <c r="K14" i="42"/>
  <c r="K18" i="42"/>
  <c r="K20" i="42"/>
  <c r="K22" i="42"/>
  <c r="K23" i="42"/>
  <c r="K24" i="42"/>
  <c r="K13" i="29"/>
  <c r="K19" i="30"/>
  <c r="C1" i="74"/>
  <c r="C1" i="73"/>
  <c r="C1" i="72"/>
  <c r="C1" i="71"/>
  <c r="C1" i="70"/>
  <c r="C1" i="69"/>
  <c r="C1" i="68"/>
  <c r="C1" i="67"/>
  <c r="C1" i="15"/>
  <c r="C1" i="16"/>
  <c r="C1" i="45"/>
  <c r="C1" i="50"/>
  <c r="C1" i="49"/>
  <c r="C1" i="66"/>
  <c r="C1" i="43"/>
  <c r="C1" i="22"/>
  <c r="C1" i="75"/>
  <c r="C1" i="24"/>
  <c r="C1" i="25"/>
  <c r="C1" i="26"/>
  <c r="C1" i="42"/>
  <c r="C1" i="28"/>
  <c r="C1" i="29"/>
  <c r="C1" i="30"/>
  <c r="K86" i="70"/>
  <c r="K91" i="70"/>
  <c r="K75" i="70"/>
  <c r="K66" i="70"/>
  <c r="K67" i="70"/>
  <c r="K47" i="68"/>
  <c r="K28" i="68"/>
  <c r="K21" i="68"/>
  <c r="K94" i="67"/>
  <c r="K95" i="67"/>
  <c r="F86" i="15"/>
  <c r="I86" i="15"/>
  <c r="F87" i="15"/>
  <c r="I87" i="15"/>
  <c r="F88" i="15"/>
  <c r="I88" i="15"/>
  <c r="F89" i="15"/>
  <c r="I89" i="15"/>
  <c r="K80" i="15"/>
  <c r="K81" i="15"/>
  <c r="K38" i="16"/>
  <c r="K47" i="16"/>
  <c r="K48" i="16"/>
  <c r="K49" i="16"/>
  <c r="K55" i="16"/>
  <c r="K59" i="16"/>
  <c r="K67" i="16"/>
  <c r="K68" i="16"/>
  <c r="K75" i="16"/>
  <c r="K76" i="16"/>
  <c r="K77" i="16"/>
  <c r="K83" i="16"/>
  <c r="K50" i="45"/>
  <c r="K55" i="45"/>
  <c r="K58" i="45"/>
  <c r="K59" i="45"/>
  <c r="K66" i="45"/>
  <c r="K67" i="45"/>
  <c r="K70" i="45"/>
  <c r="K75" i="45"/>
  <c r="K76" i="45"/>
  <c r="K83" i="45"/>
  <c r="K86" i="45"/>
  <c r="K91" i="45"/>
  <c r="K92" i="45"/>
  <c r="F91" i="50"/>
  <c r="K91" i="50" s="1"/>
  <c r="F92" i="50"/>
  <c r="K92" i="50" s="1"/>
  <c r="F93" i="50"/>
  <c r="F94" i="50"/>
  <c r="K94" i="50" s="1"/>
  <c r="F82" i="50"/>
  <c r="K82" i="50" s="1"/>
  <c r="F83" i="50"/>
  <c r="K83" i="50" s="1"/>
  <c r="F84" i="50"/>
  <c r="F85" i="50"/>
  <c r="K85" i="50" s="1"/>
  <c r="F86" i="50"/>
  <c r="K86" i="50" s="1"/>
  <c r="F75" i="50"/>
  <c r="K75" i="50" s="1"/>
  <c r="F76" i="50"/>
  <c r="F77" i="50"/>
  <c r="F66" i="50"/>
  <c r="K66" i="50" s="1"/>
  <c r="F67" i="50"/>
  <c r="F68" i="50"/>
  <c r="F69" i="50"/>
  <c r="K69" i="50" s="1"/>
  <c r="F70" i="50"/>
  <c r="K70" i="50" s="1"/>
  <c r="F55" i="50"/>
  <c r="K55" i="50" s="1"/>
  <c r="F56" i="50"/>
  <c r="F57" i="50"/>
  <c r="K57" i="50" s="1"/>
  <c r="F58" i="50"/>
  <c r="K58" i="50" s="1"/>
  <c r="F59" i="50"/>
  <c r="F60" i="50"/>
  <c r="F61" i="50"/>
  <c r="K61" i="50" s="1"/>
  <c r="F46" i="50"/>
  <c r="K46" i="50" s="1"/>
  <c r="F47" i="50"/>
  <c r="K47" i="50" s="1"/>
  <c r="F48" i="50"/>
  <c r="F49" i="50"/>
  <c r="F50" i="50"/>
  <c r="K50" i="50" s="1"/>
  <c r="F38" i="50"/>
  <c r="F39" i="50"/>
  <c r="F40" i="50"/>
  <c r="K40" i="50" s="1"/>
  <c r="F27" i="50"/>
  <c r="K27" i="50" s="1"/>
  <c r="F28" i="50"/>
  <c r="K28" i="50" s="1"/>
  <c r="F29" i="50"/>
  <c r="F30" i="50"/>
  <c r="K30" i="50" s="1"/>
  <c r="F31" i="50"/>
  <c r="K31" i="50" s="1"/>
  <c r="F32" i="50"/>
  <c r="K32" i="50" s="1"/>
  <c r="F33" i="50"/>
  <c r="F11" i="50"/>
  <c r="K11" i="50" s="1"/>
  <c r="F12" i="50"/>
  <c r="K12" i="50" s="1"/>
  <c r="F13" i="50"/>
  <c r="K13" i="50" s="1"/>
  <c r="F14" i="50"/>
  <c r="F15" i="50"/>
  <c r="F16" i="50"/>
  <c r="K16" i="50" s="1"/>
  <c r="G96" i="77" s="1"/>
  <c r="H95" i="77" s="1"/>
  <c r="F17" i="50"/>
  <c r="F18" i="50"/>
  <c r="F19" i="50"/>
  <c r="K19" i="50" s="1"/>
  <c r="F20" i="50"/>
  <c r="K20" i="50" s="1"/>
  <c r="F22" i="50"/>
  <c r="K22" i="50" s="1"/>
  <c r="K21" i="50"/>
  <c r="K75" i="49"/>
  <c r="K82" i="49"/>
  <c r="K83" i="49"/>
  <c r="K86" i="49"/>
  <c r="K91" i="49"/>
  <c r="K92" i="49"/>
  <c r="K82" i="66"/>
  <c r="K83" i="66"/>
  <c r="K84" i="66"/>
  <c r="K86" i="66"/>
  <c r="K91" i="66"/>
  <c r="K92" i="66"/>
  <c r="K93" i="66"/>
  <c r="K94" i="66"/>
  <c r="K67" i="43"/>
  <c r="K68" i="43"/>
  <c r="K102" i="75"/>
  <c r="K103" i="75"/>
  <c r="K57" i="42"/>
  <c r="K58" i="42"/>
  <c r="K60" i="42"/>
  <c r="K61" i="42"/>
  <c r="K62" i="42"/>
  <c r="K49" i="42"/>
  <c r="K50" i="42"/>
  <c r="K52" i="42"/>
  <c r="K40" i="42"/>
  <c r="K41" i="42"/>
  <c r="E6" i="29"/>
  <c r="K40" i="29"/>
  <c r="K41" i="29"/>
  <c r="K44" i="29"/>
  <c r="K45" i="29"/>
  <c r="K17" i="29"/>
  <c r="K21" i="29"/>
  <c r="K24" i="29"/>
  <c r="K91" i="73"/>
  <c r="K92" i="73"/>
  <c r="K80" i="73"/>
  <c r="K82" i="73"/>
  <c r="K83" i="73"/>
  <c r="K84" i="73"/>
  <c r="K74" i="73"/>
  <c r="K75" i="73"/>
  <c r="K64" i="73"/>
  <c r="K66" i="73"/>
  <c r="E6" i="75"/>
  <c r="A108" i="75" s="1"/>
  <c r="F6" i="75"/>
  <c r="D6" i="75"/>
  <c r="E6" i="74"/>
  <c r="K13" i="74"/>
  <c r="F6" i="74"/>
  <c r="D6" i="74"/>
  <c r="E6" i="73"/>
  <c r="F6" i="73"/>
  <c r="D6" i="73"/>
  <c r="E6" i="72"/>
  <c r="F6" i="72"/>
  <c r="D6" i="72"/>
  <c r="E6" i="71"/>
  <c r="F6" i="71"/>
  <c r="D6" i="71"/>
  <c r="E6" i="70"/>
  <c r="F6" i="70"/>
  <c r="D6" i="70"/>
  <c r="E6" i="69"/>
  <c r="F6" i="69"/>
  <c r="D6" i="69"/>
  <c r="E6" i="68"/>
  <c r="F6" i="68"/>
  <c r="D6" i="68"/>
  <c r="E6" i="67"/>
  <c r="F6" i="67"/>
  <c r="D6" i="67"/>
  <c r="E6" i="66"/>
  <c r="F6" i="66"/>
  <c r="D6" i="66"/>
  <c r="E6" i="15"/>
  <c r="F6" i="15"/>
  <c r="D6" i="15"/>
  <c r="E6" i="16"/>
  <c r="F6" i="16"/>
  <c r="D6" i="16"/>
  <c r="E6" i="45"/>
  <c r="K12" i="45"/>
  <c r="F6" i="45"/>
  <c r="D6" i="45"/>
  <c r="E6" i="50"/>
  <c r="F6" i="50"/>
  <c r="D6" i="50"/>
  <c r="E6" i="49"/>
  <c r="F6" i="49"/>
  <c r="D6" i="49"/>
  <c r="E6" i="43"/>
  <c r="A74" i="43" s="1"/>
  <c r="F6" i="43"/>
  <c r="D6" i="43"/>
  <c r="E6" i="22"/>
  <c r="C40" i="22" s="1"/>
  <c r="F6" i="22"/>
  <c r="D6" i="22"/>
  <c r="E6" i="24"/>
  <c r="F6" i="24"/>
  <c r="D6" i="24"/>
  <c r="E6" i="25"/>
  <c r="F6" i="25"/>
  <c r="D6" i="25"/>
  <c r="E6" i="26"/>
  <c r="F6" i="26"/>
  <c r="D6" i="26"/>
  <c r="E6" i="42"/>
  <c r="F6" i="42"/>
  <c r="D6" i="42"/>
  <c r="E6" i="28"/>
  <c r="F6" i="28"/>
  <c r="D6" i="28"/>
  <c r="F6" i="29"/>
  <c r="D6" i="29"/>
  <c r="F6" i="30"/>
  <c r="D6" i="30"/>
  <c r="K17" i="69" l="1"/>
  <c r="K53" i="24"/>
  <c r="K89" i="73"/>
  <c r="K15" i="50"/>
  <c r="K49" i="50"/>
  <c r="K77" i="50"/>
  <c r="K21" i="16"/>
  <c r="K28" i="16"/>
  <c r="K92" i="16"/>
  <c r="K96" i="16" s="1"/>
  <c r="K92" i="30"/>
  <c r="E17" i="81" s="1"/>
  <c r="K93" i="70"/>
  <c r="K19" i="73"/>
  <c r="K81" i="30"/>
  <c r="K63" i="28"/>
  <c r="K44" i="72"/>
  <c r="K54" i="72"/>
  <c r="K13" i="67"/>
  <c r="K38" i="73"/>
  <c r="A93" i="24"/>
  <c r="C19" i="24"/>
  <c r="C25" i="24"/>
  <c r="K23" i="69"/>
  <c r="K31" i="15"/>
  <c r="K61" i="15"/>
  <c r="K22" i="45"/>
  <c r="K56" i="45"/>
  <c r="K93" i="45"/>
  <c r="K18" i="49"/>
  <c r="K39" i="49"/>
  <c r="K68" i="49"/>
  <c r="K34" i="43"/>
  <c r="K40" i="72"/>
  <c r="K63" i="72"/>
  <c r="K22" i="67"/>
  <c r="K97" i="67"/>
  <c r="K101" i="30"/>
  <c r="K21" i="69"/>
  <c r="K32" i="68"/>
  <c r="K19" i="68"/>
  <c r="K40" i="68"/>
  <c r="K67" i="25"/>
  <c r="K73" i="30"/>
  <c r="K17" i="50"/>
  <c r="K38" i="50"/>
  <c r="K43" i="50" s="1"/>
  <c r="K67" i="50"/>
  <c r="K36" i="67"/>
  <c r="K66" i="67"/>
  <c r="K34" i="72"/>
  <c r="K75" i="28"/>
  <c r="K79" i="25"/>
  <c r="K35" i="22"/>
  <c r="E96" i="81" s="1"/>
  <c r="K19" i="69"/>
  <c r="K52" i="69"/>
  <c r="K53" i="69"/>
  <c r="K50" i="25"/>
  <c r="K18" i="26"/>
  <c r="K44" i="73"/>
  <c r="K30" i="28"/>
  <c r="K20" i="24"/>
  <c r="K90" i="30"/>
  <c r="E16" i="81" s="1"/>
  <c r="K31" i="28"/>
  <c r="K62" i="28"/>
  <c r="K66" i="28"/>
  <c r="K22" i="30"/>
  <c r="K14" i="30"/>
  <c r="K18" i="30"/>
  <c r="K33" i="30"/>
  <c r="K20" i="30"/>
  <c r="K16" i="30"/>
  <c r="K125" i="30"/>
  <c r="K13" i="30"/>
  <c r="K27" i="30"/>
  <c r="E5" i="81" s="1"/>
  <c r="K83" i="30"/>
  <c r="K74" i="30"/>
  <c r="K80" i="30"/>
  <c r="K71" i="30"/>
  <c r="K79" i="30"/>
  <c r="K15" i="30"/>
  <c r="K95" i="30"/>
  <c r="E20" i="81" s="1"/>
  <c r="K21" i="30"/>
  <c r="K17" i="30"/>
  <c r="K32" i="30"/>
  <c r="E10" i="81" s="1"/>
  <c r="K84" i="30"/>
  <c r="K32" i="74"/>
  <c r="K52" i="74"/>
  <c r="F57" i="74"/>
  <c r="K19" i="71"/>
  <c r="K11" i="71"/>
  <c r="K77" i="70"/>
  <c r="K79" i="70" s="1"/>
  <c r="K94" i="70"/>
  <c r="K68" i="70"/>
  <c r="K84" i="70"/>
  <c r="K88" i="70" s="1"/>
  <c r="K15" i="68"/>
  <c r="K30" i="68"/>
  <c r="K48" i="68"/>
  <c r="K20" i="15"/>
  <c r="K12" i="15"/>
  <c r="K27" i="15"/>
  <c r="K65" i="15"/>
  <c r="K57" i="15"/>
  <c r="K49" i="15"/>
  <c r="K77" i="15"/>
  <c r="K19" i="16"/>
  <c r="K11" i="16"/>
  <c r="K40" i="16"/>
  <c r="K43" i="16" s="1"/>
  <c r="K61" i="16"/>
  <c r="K69" i="16"/>
  <c r="K85" i="16"/>
  <c r="K33" i="45"/>
  <c r="K39" i="45"/>
  <c r="K60" i="45"/>
  <c r="K68" i="45"/>
  <c r="K84" i="45"/>
  <c r="K85" i="49"/>
  <c r="K22" i="49"/>
  <c r="K29" i="49"/>
  <c r="K48" i="49"/>
  <c r="K56" i="49"/>
  <c r="K76" i="49"/>
  <c r="K79" i="49" s="1"/>
  <c r="K93" i="49"/>
  <c r="K18" i="66"/>
  <c r="K60" i="66"/>
  <c r="K68" i="66"/>
  <c r="K23" i="43"/>
  <c r="K30" i="43"/>
  <c r="K55" i="43"/>
  <c r="I97" i="73"/>
  <c r="I99" i="50"/>
  <c r="I69" i="72"/>
  <c r="K82" i="30"/>
  <c r="K42" i="69"/>
  <c r="F69" i="72"/>
  <c r="D57" i="1" s="1"/>
  <c r="I57" i="74"/>
  <c r="I55" i="71"/>
  <c r="K86" i="73"/>
  <c r="K70" i="30"/>
  <c r="F55" i="71"/>
  <c r="D55" i="1" s="1"/>
  <c r="K32" i="69"/>
  <c r="K83" i="67"/>
  <c r="K53" i="73"/>
  <c r="K73" i="73"/>
  <c r="K90" i="73"/>
  <c r="K15" i="43"/>
  <c r="K20" i="43"/>
  <c r="K42" i="43"/>
  <c r="K60" i="43"/>
  <c r="K12" i="24"/>
  <c r="K31" i="24"/>
  <c r="K63" i="24"/>
  <c r="K88" i="24"/>
  <c r="K25" i="73"/>
  <c r="K18" i="16"/>
  <c r="K33" i="16"/>
  <c r="K60" i="16"/>
  <c r="K84" i="16"/>
  <c r="K22" i="43"/>
  <c r="K25" i="43" s="1"/>
  <c r="K54" i="43"/>
  <c r="K69" i="43"/>
  <c r="K14" i="22"/>
  <c r="K30" i="22"/>
  <c r="K72" i="26"/>
  <c r="K65" i="73"/>
  <c r="K70" i="73" s="1"/>
  <c r="K81" i="73"/>
  <c r="K11" i="43"/>
  <c r="K47" i="43"/>
  <c r="K51" i="43" s="1"/>
  <c r="K66" i="43"/>
  <c r="K36" i="24"/>
  <c r="K39" i="24" s="1"/>
  <c r="K59" i="24"/>
  <c r="K76" i="24"/>
  <c r="K62" i="25"/>
  <c r="K16" i="73"/>
  <c r="K48" i="73"/>
  <c r="K56" i="73"/>
  <c r="K21" i="70"/>
  <c r="K13" i="70"/>
  <c r="K92" i="70"/>
  <c r="K41" i="67"/>
  <c r="K56" i="16"/>
  <c r="K93" i="16"/>
  <c r="K33" i="43"/>
  <c r="K38" i="43" s="1"/>
  <c r="K23" i="22"/>
  <c r="K12" i="70"/>
  <c r="K46" i="70"/>
  <c r="K16" i="67"/>
  <c r="K21" i="67"/>
  <c r="K25" i="67" s="1"/>
  <c r="K35" i="67"/>
  <c r="K38" i="67" s="1"/>
  <c r="K42" i="67"/>
  <c r="K49" i="67"/>
  <c r="K53" i="67" s="1"/>
  <c r="K69" i="67"/>
  <c r="K65" i="67"/>
  <c r="K61" i="67"/>
  <c r="K82" i="67"/>
  <c r="K96" i="67"/>
  <c r="K22" i="15"/>
  <c r="K18" i="15"/>
  <c r="K14" i="15"/>
  <c r="K33" i="15"/>
  <c r="K29" i="15"/>
  <c r="K43" i="15"/>
  <c r="K39" i="15"/>
  <c r="K63" i="15"/>
  <c r="K59" i="15"/>
  <c r="K55" i="15"/>
  <c r="K51" i="15"/>
  <c r="K71" i="15"/>
  <c r="K79" i="15"/>
  <c r="K18" i="50"/>
  <c r="K14" i="50"/>
  <c r="K33" i="50"/>
  <c r="K29" i="50"/>
  <c r="K39" i="50"/>
  <c r="K48" i="50"/>
  <c r="K60" i="50"/>
  <c r="K56" i="50"/>
  <c r="K68" i="50"/>
  <c r="K76" i="50"/>
  <c r="K84" i="50"/>
  <c r="K88" i="50" s="1"/>
  <c r="K93" i="50"/>
  <c r="K96" i="50" s="1"/>
  <c r="K17" i="70"/>
  <c r="K32" i="70"/>
  <c r="K28" i="70"/>
  <c r="K38" i="70"/>
  <c r="K47" i="70"/>
  <c r="K59" i="70"/>
  <c r="K55" i="70"/>
  <c r="F58" i="69"/>
  <c r="D51" i="1" s="1"/>
  <c r="K88" i="67"/>
  <c r="K44" i="15"/>
  <c r="K21" i="49"/>
  <c r="K13" i="49"/>
  <c r="K32" i="49"/>
  <c r="K28" i="49"/>
  <c r="K59" i="49"/>
  <c r="K55" i="49"/>
  <c r="K67" i="49"/>
  <c r="K19" i="28"/>
  <c r="K15" i="28"/>
  <c r="I51" i="29"/>
  <c r="K99" i="75"/>
  <c r="K47" i="72"/>
  <c r="K17" i="71"/>
  <c r="K13" i="71"/>
  <c r="K32" i="71"/>
  <c r="K28" i="71"/>
  <c r="K38" i="71"/>
  <c r="I58" i="69"/>
  <c r="F51" i="1" s="1"/>
  <c r="I65" i="22"/>
  <c r="F31" i="1" s="1"/>
  <c r="K40" i="28"/>
  <c r="K20" i="29"/>
  <c r="K16" i="29"/>
  <c r="K62" i="15"/>
  <c r="K58" i="15"/>
  <c r="K54" i="15"/>
  <c r="K50" i="15"/>
  <c r="K78" i="15"/>
  <c r="K20" i="16"/>
  <c r="K16" i="16"/>
  <c r="K12" i="16"/>
  <c r="K31" i="16"/>
  <c r="K35" i="16" s="1"/>
  <c r="K27" i="16"/>
  <c r="K50" i="16"/>
  <c r="K46" i="16"/>
  <c r="K58" i="16"/>
  <c r="K70" i="16"/>
  <c r="K66" i="16"/>
  <c r="K86" i="16"/>
  <c r="K82" i="16"/>
  <c r="F65" i="22"/>
  <c r="D31" i="1" s="1"/>
  <c r="F77" i="26"/>
  <c r="D23" i="1" s="1"/>
  <c r="I82" i="28"/>
  <c r="F19" i="1" s="1"/>
  <c r="G20" i="79"/>
  <c r="K29" i="75"/>
  <c r="K57" i="75"/>
  <c r="K48" i="74"/>
  <c r="K17" i="73"/>
  <c r="K36" i="73"/>
  <c r="K41" i="73" s="1"/>
  <c r="K46" i="72"/>
  <c r="K42" i="72"/>
  <c r="K30" i="72"/>
  <c r="K52" i="72"/>
  <c r="K57" i="72" s="1"/>
  <c r="G143" i="79" s="1"/>
  <c r="K20" i="71"/>
  <c r="K16" i="71"/>
  <c r="K12" i="71"/>
  <c r="K27" i="71"/>
  <c r="K46" i="71"/>
  <c r="I94" i="25"/>
  <c r="K68" i="26"/>
  <c r="I77" i="26"/>
  <c r="K21" i="26"/>
  <c r="K17" i="26"/>
  <c r="K13" i="26"/>
  <c r="K32" i="26"/>
  <c r="K37" i="26" s="1"/>
  <c r="G37" i="79" s="1"/>
  <c r="K42" i="26"/>
  <c r="K51" i="26"/>
  <c r="K63" i="26"/>
  <c r="K59" i="26"/>
  <c r="D159" i="79"/>
  <c r="I30" i="30"/>
  <c r="K30" i="30" s="1"/>
  <c r="K17" i="74"/>
  <c r="K43" i="72"/>
  <c r="K39" i="72"/>
  <c r="K35" i="72"/>
  <c r="K31" i="72"/>
  <c r="K53" i="72"/>
  <c r="K62" i="72"/>
  <c r="K15" i="71"/>
  <c r="K30" i="71"/>
  <c r="K40" i="71"/>
  <c r="K49" i="71"/>
  <c r="F94" i="25"/>
  <c r="D25" i="1" s="1"/>
  <c r="K55" i="28"/>
  <c r="K54" i="28"/>
  <c r="F82" i="28"/>
  <c r="D19" i="1" s="1"/>
  <c r="K131" i="30"/>
  <c r="E25" i="81" s="1"/>
  <c r="K43" i="28"/>
  <c r="H49" i="30"/>
  <c r="J49" i="30" s="1"/>
  <c r="H50" i="30"/>
  <c r="J50" i="30" s="1"/>
  <c r="K50" i="30" s="1"/>
  <c r="K45" i="72"/>
  <c r="K41" i="72"/>
  <c r="K37" i="72"/>
  <c r="K33" i="72"/>
  <c r="K29" i="72"/>
  <c r="K64" i="72"/>
  <c r="K60" i="72"/>
  <c r="K24" i="69"/>
  <c r="K20" i="69"/>
  <c r="K35" i="69"/>
  <c r="K31" i="69"/>
  <c r="K41" i="69"/>
  <c r="K51" i="69"/>
  <c r="K55" i="69" s="1"/>
  <c r="K18" i="69"/>
  <c r="K11" i="30"/>
  <c r="K72" i="30"/>
  <c r="K43" i="29"/>
  <c r="F51" i="29"/>
  <c r="D17" i="1" s="1"/>
  <c r="K21" i="74"/>
  <c r="K43" i="74"/>
  <c r="K13" i="73"/>
  <c r="K26" i="73"/>
  <c r="K45" i="73"/>
  <c r="K57" i="73"/>
  <c r="F74" i="43"/>
  <c r="D33" i="1" s="1"/>
  <c r="K51" i="22"/>
  <c r="I99" i="70"/>
  <c r="F53" i="1" s="1"/>
  <c r="K22" i="68"/>
  <c r="K18" i="68"/>
  <c r="K14" i="68"/>
  <c r="K33" i="68"/>
  <c r="K35" i="68" s="1"/>
  <c r="K29" i="68"/>
  <c r="K39" i="68"/>
  <c r="K20" i="68"/>
  <c r="K16" i="68"/>
  <c r="K12" i="68"/>
  <c r="K31" i="68"/>
  <c r="K27" i="68"/>
  <c r="K49" i="68"/>
  <c r="K51" i="68" s="1"/>
  <c r="K19" i="72"/>
  <c r="K17" i="72"/>
  <c r="K28" i="30"/>
  <c r="E6" i="81" s="1"/>
  <c r="K33" i="69"/>
  <c r="K29" i="69"/>
  <c r="K21" i="45"/>
  <c r="K17" i="45"/>
  <c r="K32" i="45"/>
  <c r="K28" i="45"/>
  <c r="K20" i="45"/>
  <c r="K16" i="45"/>
  <c r="K31" i="45"/>
  <c r="K27" i="45"/>
  <c r="K14" i="24"/>
  <c r="K21" i="24"/>
  <c r="K25" i="24"/>
  <c r="K38" i="24"/>
  <c r="K43" i="24"/>
  <c r="K54" i="24"/>
  <c r="K55" i="24" s="1"/>
  <c r="K65" i="24"/>
  <c r="K66" i="24" s="1"/>
  <c r="K70" i="24"/>
  <c r="K14" i="25"/>
  <c r="K33" i="25"/>
  <c r="K28" i="25"/>
  <c r="K24" i="25"/>
  <c r="K45" i="25"/>
  <c r="K41" i="25"/>
  <c r="K51" i="25"/>
  <c r="K60" i="25"/>
  <c r="K72" i="25"/>
  <c r="K68" i="25"/>
  <c r="K80" i="25"/>
  <c r="K88" i="25"/>
  <c r="K91" i="25" s="1"/>
  <c r="K16" i="25"/>
  <c r="K12" i="25"/>
  <c r="K30" i="25"/>
  <c r="K26" i="25"/>
  <c r="K22" i="25"/>
  <c r="K43" i="25"/>
  <c r="K39" i="25"/>
  <c r="K58" i="25"/>
  <c r="K70" i="25"/>
  <c r="K82" i="25"/>
  <c r="K78" i="25"/>
  <c r="K71" i="26"/>
  <c r="K21" i="42"/>
  <c r="K17" i="42"/>
  <c r="K13" i="42"/>
  <c r="K32" i="42"/>
  <c r="K42" i="42"/>
  <c r="K45" i="42" s="1"/>
  <c r="K51" i="42"/>
  <c r="K63" i="42"/>
  <c r="K65" i="42" s="1"/>
  <c r="K59" i="42"/>
  <c r="K19" i="42"/>
  <c r="K15" i="42"/>
  <c r="K26" i="42" s="1"/>
  <c r="K34" i="42"/>
  <c r="K46" i="29"/>
  <c r="K42" i="29"/>
  <c r="K23" i="29"/>
  <c r="K19" i="29"/>
  <c r="K15" i="29"/>
  <c r="K126" i="30"/>
  <c r="K128" i="30" s="1"/>
  <c r="K16" i="72"/>
  <c r="K22" i="71"/>
  <c r="K18" i="71"/>
  <c r="K14" i="71"/>
  <c r="K33" i="71"/>
  <c r="K29" i="71"/>
  <c r="K39" i="71"/>
  <c r="K48" i="71"/>
  <c r="K52" i="71" s="1"/>
  <c r="K19" i="70"/>
  <c r="K15" i="70"/>
  <c r="K11" i="70"/>
  <c r="K30" i="70"/>
  <c r="K40" i="70"/>
  <c r="K49" i="70"/>
  <c r="K61" i="70"/>
  <c r="K57" i="70"/>
  <c r="K22" i="70"/>
  <c r="K18" i="70"/>
  <c r="K14" i="70"/>
  <c r="K33" i="70"/>
  <c r="K29" i="70"/>
  <c r="K39" i="70"/>
  <c r="K43" i="70" s="1"/>
  <c r="K48" i="70"/>
  <c r="K60" i="70"/>
  <c r="K56" i="70"/>
  <c r="K63" i="70" s="1"/>
  <c r="K19" i="45"/>
  <c r="K15" i="45"/>
  <c r="K11" i="45"/>
  <c r="K30" i="45"/>
  <c r="K40" i="45"/>
  <c r="K43" i="45" s="1"/>
  <c r="K49" i="45"/>
  <c r="K61" i="45"/>
  <c r="K63" i="45" s="1"/>
  <c r="K57" i="45"/>
  <c r="K69" i="45"/>
  <c r="K72" i="45" s="1"/>
  <c r="K77" i="45"/>
  <c r="K79" i="45" s="1"/>
  <c r="K85" i="45"/>
  <c r="K88" i="45" s="1"/>
  <c r="K94" i="45"/>
  <c r="K96" i="45" s="1"/>
  <c r="K32" i="66"/>
  <c r="K35" i="66" s="1"/>
  <c r="K28" i="66"/>
  <c r="K38" i="66"/>
  <c r="K43" i="66" s="1"/>
  <c r="K61" i="43"/>
  <c r="K15" i="22"/>
  <c r="K11" i="22"/>
  <c r="K21" i="22"/>
  <c r="K36" i="22"/>
  <c r="K57" i="22"/>
  <c r="K62" i="22" s="1"/>
  <c r="K16" i="22"/>
  <c r="K12" i="22"/>
  <c r="K22" i="22"/>
  <c r="K37" i="22"/>
  <c r="E97" i="81" s="1"/>
  <c r="K22" i="29"/>
  <c r="K18" i="29"/>
  <c r="H176" i="30"/>
  <c r="H180" i="30"/>
  <c r="H177" i="30"/>
  <c r="H181" i="30"/>
  <c r="H178" i="30"/>
  <c r="H175" i="30"/>
  <c r="H179" i="30"/>
  <c r="H174" i="30"/>
  <c r="K82" i="24"/>
  <c r="K84" i="24" s="1"/>
  <c r="K79" i="66"/>
  <c r="I99" i="66"/>
  <c r="F35" i="1" s="1"/>
  <c r="K14" i="75"/>
  <c r="K18" i="75" s="1"/>
  <c r="K21" i="75"/>
  <c r="K24" i="75" s="1"/>
  <c r="G61" i="77" s="1"/>
  <c r="K38" i="75"/>
  <c r="K41" i="75" s="1"/>
  <c r="K51" i="75"/>
  <c r="K66" i="75"/>
  <c r="K69" i="75" s="1"/>
  <c r="K79" i="75"/>
  <c r="K81" i="75" s="1"/>
  <c r="K91" i="75"/>
  <c r="K93" i="75" s="1"/>
  <c r="K74" i="26"/>
  <c r="K88" i="49"/>
  <c r="K87" i="15"/>
  <c r="K96" i="70"/>
  <c r="F61" i="1"/>
  <c r="K23" i="74"/>
  <c r="K19" i="74"/>
  <c r="K30" i="74"/>
  <c r="K28" i="73"/>
  <c r="K47" i="73"/>
  <c r="K59" i="73"/>
  <c r="K55" i="73"/>
  <c r="F99" i="49"/>
  <c r="D37" i="1" s="1"/>
  <c r="K105" i="75"/>
  <c r="K57" i="43"/>
  <c r="G81" i="77" s="1"/>
  <c r="K96" i="66"/>
  <c r="F31" i="30"/>
  <c r="I31" i="30"/>
  <c r="I99" i="45"/>
  <c r="F41" i="1" s="1"/>
  <c r="K23" i="72"/>
  <c r="K21" i="15"/>
  <c r="K17" i="15"/>
  <c r="K13" i="15"/>
  <c r="K32" i="15"/>
  <c r="K28" i="15"/>
  <c r="K42" i="15"/>
  <c r="K73" i="28"/>
  <c r="E40" i="81" s="1"/>
  <c r="K17" i="28"/>
  <c r="K13" i="28"/>
  <c r="K32" i="28"/>
  <c r="K56" i="28"/>
  <c r="K68" i="28"/>
  <c r="K64" i="28"/>
  <c r="K76" i="28"/>
  <c r="K15" i="72"/>
  <c r="F29" i="30"/>
  <c r="K29" i="30" s="1"/>
  <c r="K50" i="22"/>
  <c r="K22" i="72"/>
  <c r="K14" i="72"/>
  <c r="K96" i="49"/>
  <c r="K79" i="16"/>
  <c r="K15" i="67"/>
  <c r="K11" i="67"/>
  <c r="F99" i="16"/>
  <c r="D43" i="1" s="1"/>
  <c r="K94" i="73"/>
  <c r="K52" i="50"/>
  <c r="K83" i="15"/>
  <c r="K88" i="15"/>
  <c r="K24" i="72"/>
  <c r="K24" i="73"/>
  <c r="K47" i="75"/>
  <c r="K24" i="66"/>
  <c r="F23" i="1"/>
  <c r="K77" i="73"/>
  <c r="K71" i="43"/>
  <c r="K52" i="45"/>
  <c r="K86" i="15"/>
  <c r="K54" i="26"/>
  <c r="K35" i="75"/>
  <c r="K79" i="50"/>
  <c r="K65" i="26"/>
  <c r="K62" i="75"/>
  <c r="K44" i="43"/>
  <c r="K72" i="66"/>
  <c r="K21" i="72"/>
  <c r="K34" i="69"/>
  <c r="K30" i="69"/>
  <c r="K89" i="15"/>
  <c r="K12" i="30"/>
  <c r="K94" i="30"/>
  <c r="E19" i="81" s="1"/>
  <c r="K34" i="74"/>
  <c r="K41" i="74"/>
  <c r="K45" i="74" s="1"/>
  <c r="K50" i="74"/>
  <c r="K29" i="67"/>
  <c r="K31" i="67" s="1"/>
  <c r="K56" i="67"/>
  <c r="K58" i="67" s="1"/>
  <c r="K68" i="67"/>
  <c r="K64" i="67"/>
  <c r="K77" i="67"/>
  <c r="K79" i="67" s="1"/>
  <c r="K89" i="67"/>
  <c r="K91" i="67" s="1"/>
  <c r="K38" i="15"/>
  <c r="K70" i="15"/>
  <c r="F94" i="15"/>
  <c r="D45" i="1" s="1"/>
  <c r="I99" i="49"/>
  <c r="F37" i="1" s="1"/>
  <c r="K11" i="24"/>
  <c r="K16" i="24" s="1"/>
  <c r="K26" i="24"/>
  <c r="K30" i="24"/>
  <c r="K33" i="24" s="1"/>
  <c r="K44" i="24"/>
  <c r="K48" i="24"/>
  <c r="K50" i="24" s="1"/>
  <c r="K58" i="24"/>
  <c r="K60" i="24" s="1"/>
  <c r="K71" i="24"/>
  <c r="K75" i="24"/>
  <c r="K78" i="24" s="1"/>
  <c r="K87" i="24"/>
  <c r="K74" i="28"/>
  <c r="E41" i="81" s="1"/>
  <c r="K18" i="28"/>
  <c r="K14" i="28"/>
  <c r="K33" i="28"/>
  <c r="K29" i="28"/>
  <c r="K53" i="28"/>
  <c r="K65" i="28"/>
  <c r="K77" i="28"/>
  <c r="K54" i="42"/>
  <c r="K52" i="75"/>
  <c r="K75" i="75"/>
  <c r="K87" i="75"/>
  <c r="K32" i="22"/>
  <c r="G71" i="79" s="1"/>
  <c r="K85" i="67"/>
  <c r="K20" i="72"/>
  <c r="K18" i="72"/>
  <c r="K13" i="72"/>
  <c r="K38" i="68"/>
  <c r="K43" i="68" s="1"/>
  <c r="K19" i="49"/>
  <c r="K15" i="49"/>
  <c r="K11" i="49"/>
  <c r="K30" i="49"/>
  <c r="K49" i="49"/>
  <c r="K52" i="49" s="1"/>
  <c r="K61" i="49"/>
  <c r="K57" i="49"/>
  <c r="K69" i="49"/>
  <c r="K72" i="49" s="1"/>
  <c r="I108" i="75"/>
  <c r="F29" i="1" s="1"/>
  <c r="K72" i="70"/>
  <c r="K14" i="29"/>
  <c r="K134" i="30"/>
  <c r="E28" i="81" s="1"/>
  <c r="K88" i="66"/>
  <c r="K72" i="50"/>
  <c r="K24" i="50"/>
  <c r="F99" i="50"/>
  <c r="D39" i="1" s="1"/>
  <c r="K59" i="50"/>
  <c r="K72" i="16"/>
  <c r="K37" i="42"/>
  <c r="K63" i="66"/>
  <c r="F59" i="1"/>
  <c r="F102" i="67"/>
  <c r="D47" i="1" s="1"/>
  <c r="I94" i="15"/>
  <c r="F45" i="1" s="1"/>
  <c r="K45" i="26"/>
  <c r="G38" i="79" s="1"/>
  <c r="K17" i="43"/>
  <c r="K52" i="66"/>
  <c r="K43" i="49"/>
  <c r="F54" i="68"/>
  <c r="D49" i="1" s="1"/>
  <c r="K24" i="70"/>
  <c r="I99" i="16"/>
  <c r="F43" i="1" s="1"/>
  <c r="F39" i="1"/>
  <c r="F99" i="66"/>
  <c r="D35" i="1" s="1"/>
  <c r="H35" i="1" s="1"/>
  <c r="I74" i="43"/>
  <c r="F33" i="1" s="1"/>
  <c r="F108" i="75"/>
  <c r="D29" i="1" s="1"/>
  <c r="F25" i="1"/>
  <c r="K15" i="25"/>
  <c r="K11" i="25"/>
  <c r="K29" i="25"/>
  <c r="K25" i="25"/>
  <c r="K42" i="25"/>
  <c r="K61" i="25"/>
  <c r="K73" i="25"/>
  <c r="K69" i="25"/>
  <c r="K81" i="25"/>
  <c r="K133" i="30"/>
  <c r="E27" i="81" s="1"/>
  <c r="F55" i="1"/>
  <c r="F99" i="70"/>
  <c r="D53" i="1" s="1"/>
  <c r="I54" i="68"/>
  <c r="F49" i="1" s="1"/>
  <c r="I102" i="67"/>
  <c r="F47" i="1" s="1"/>
  <c r="F68" i="42"/>
  <c r="D21" i="1" s="1"/>
  <c r="F17" i="1"/>
  <c r="D61" i="1"/>
  <c r="D59" i="1"/>
  <c r="F57" i="1"/>
  <c r="F99" i="45"/>
  <c r="D41" i="1" s="1"/>
  <c r="I68" i="42"/>
  <c r="F21" i="1" s="1"/>
  <c r="G66" i="77" l="1"/>
  <c r="H43" i="1"/>
  <c r="K35" i="49"/>
  <c r="K24" i="45"/>
  <c r="K26" i="74"/>
  <c r="G152" i="79" s="1"/>
  <c r="K24" i="71"/>
  <c r="G135" i="79" s="1"/>
  <c r="K88" i="16"/>
  <c r="K99" i="16" s="1"/>
  <c r="A99" i="16" s="1"/>
  <c r="K46" i="15"/>
  <c r="D151" i="80" s="1"/>
  <c r="K50" i="73"/>
  <c r="G19" i="24"/>
  <c r="F19" i="24"/>
  <c r="K21" i="73"/>
  <c r="G149" i="77" s="1"/>
  <c r="K37" i="74"/>
  <c r="K72" i="24"/>
  <c r="K35" i="50"/>
  <c r="K99" i="67"/>
  <c r="K45" i="24"/>
  <c r="K48" i="29"/>
  <c r="H39" i="1"/>
  <c r="I39" i="1" s="1"/>
  <c r="K46" i="69"/>
  <c r="G125" i="79" s="1"/>
  <c r="K26" i="69"/>
  <c r="G123" i="79" s="1"/>
  <c r="K55" i="25"/>
  <c r="E56" i="81" s="1"/>
  <c r="K27" i="24"/>
  <c r="G50" i="79" s="1"/>
  <c r="K59" i="28"/>
  <c r="E37" i="81" s="1"/>
  <c r="K90" i="24"/>
  <c r="K87" i="30"/>
  <c r="E14" i="81" s="1"/>
  <c r="K24" i="30"/>
  <c r="G8" i="77" s="1"/>
  <c r="K76" i="30"/>
  <c r="E13" i="81" s="1"/>
  <c r="K47" i="22"/>
  <c r="K50" i="28"/>
  <c r="D25" i="80" s="1"/>
  <c r="K33" i="73"/>
  <c r="K52" i="16"/>
  <c r="K67" i="15"/>
  <c r="K61" i="73"/>
  <c r="G39" i="79"/>
  <c r="K26" i="26"/>
  <c r="G36" i="79" s="1"/>
  <c r="K54" i="74"/>
  <c r="G155" i="79" s="1"/>
  <c r="K35" i="45"/>
  <c r="G100" i="79" s="1"/>
  <c r="K24" i="68"/>
  <c r="K63" i="43"/>
  <c r="G82" i="79" s="1"/>
  <c r="K63" i="16"/>
  <c r="K18" i="67"/>
  <c r="E142" i="81" s="1"/>
  <c r="K63" i="50"/>
  <c r="K99" i="50" s="1"/>
  <c r="A99" i="50" s="1"/>
  <c r="K24" i="15"/>
  <c r="E135" i="81" s="1"/>
  <c r="K24" i="16"/>
  <c r="G103" i="79" s="1"/>
  <c r="H102" i="79" s="1"/>
  <c r="K35" i="70"/>
  <c r="G131" i="77" s="1"/>
  <c r="K35" i="15"/>
  <c r="G89" i="77"/>
  <c r="K64" i="25"/>
  <c r="E57" i="81" s="1"/>
  <c r="K52" i="70"/>
  <c r="K46" i="67"/>
  <c r="G116" i="77" s="1"/>
  <c r="E8" i="81"/>
  <c r="E7" i="81"/>
  <c r="I139" i="30"/>
  <c r="F15" i="1" s="1"/>
  <c r="K43" i="71"/>
  <c r="G137" i="79" s="1"/>
  <c r="G118" i="79"/>
  <c r="K74" i="15"/>
  <c r="G108" i="79" s="1"/>
  <c r="K26" i="22"/>
  <c r="G70" i="79" s="1"/>
  <c r="K84" i="25"/>
  <c r="E59" i="81" s="1"/>
  <c r="E126" i="81"/>
  <c r="D130" i="80"/>
  <c r="G80" i="77"/>
  <c r="G79" i="79"/>
  <c r="E107" i="81"/>
  <c r="D106" i="80"/>
  <c r="G48" i="79"/>
  <c r="E62" i="81"/>
  <c r="D60" i="80"/>
  <c r="G65" i="77"/>
  <c r="G64" i="79"/>
  <c r="E86" i="81"/>
  <c r="D86" i="80"/>
  <c r="E70" i="81"/>
  <c r="D68" i="80"/>
  <c r="G119" i="77"/>
  <c r="G117" i="79"/>
  <c r="E150" i="81"/>
  <c r="D167" i="80"/>
  <c r="G115" i="77"/>
  <c r="G113" i="79"/>
  <c r="E144" i="81"/>
  <c r="D161" i="80"/>
  <c r="D185" i="80"/>
  <c r="G54" i="79"/>
  <c r="E69" i="81"/>
  <c r="D67" i="80"/>
  <c r="E81" i="81"/>
  <c r="D81" i="80"/>
  <c r="G132" i="77"/>
  <c r="G130" i="79"/>
  <c r="E160" i="81"/>
  <c r="D186" i="80"/>
  <c r="E71" i="81"/>
  <c r="D69" i="80"/>
  <c r="E132" i="81"/>
  <c r="I43" i="1"/>
  <c r="G77" i="79"/>
  <c r="E105" i="81"/>
  <c r="D104" i="80"/>
  <c r="G133" i="77"/>
  <c r="G131" i="79"/>
  <c r="E161" i="81"/>
  <c r="D187" i="80"/>
  <c r="G32" i="79"/>
  <c r="E43" i="81"/>
  <c r="D33" i="80"/>
  <c r="E124" i="81"/>
  <c r="D128" i="80"/>
  <c r="G87" i="77"/>
  <c r="G88" i="79"/>
  <c r="E115" i="81"/>
  <c r="D116" i="80"/>
  <c r="E82" i="81"/>
  <c r="D82" i="80"/>
  <c r="E68" i="81"/>
  <c r="D66" i="80"/>
  <c r="G90" i="79"/>
  <c r="E118" i="81"/>
  <c r="D119" i="80"/>
  <c r="E89" i="81"/>
  <c r="D89" i="80"/>
  <c r="G134" i="77"/>
  <c r="G132" i="79"/>
  <c r="E162" i="81"/>
  <c r="D188" i="80"/>
  <c r="G115" i="79"/>
  <c r="E147" i="81"/>
  <c r="D164" i="80"/>
  <c r="E138" i="81"/>
  <c r="D152" i="80"/>
  <c r="E114" i="81"/>
  <c r="D115" i="80"/>
  <c r="E176" i="81"/>
  <c r="D210" i="80"/>
  <c r="G114" i="77"/>
  <c r="G112" i="79"/>
  <c r="E143" i="81"/>
  <c r="D160" i="80"/>
  <c r="E119" i="81"/>
  <c r="D120" i="80"/>
  <c r="G17" i="77"/>
  <c r="G16" i="79"/>
  <c r="G130" i="77"/>
  <c r="G128" i="79"/>
  <c r="E158" i="81"/>
  <c r="D184" i="80"/>
  <c r="E123" i="81"/>
  <c r="D127" i="80"/>
  <c r="G34" i="77"/>
  <c r="G33" i="79"/>
  <c r="E44" i="81"/>
  <c r="D34" i="80"/>
  <c r="E122" i="81"/>
  <c r="D126" i="80"/>
  <c r="G57" i="77"/>
  <c r="G56" i="79"/>
  <c r="E73" i="81"/>
  <c r="D71" i="80"/>
  <c r="G53" i="79"/>
  <c r="E67" i="81"/>
  <c r="D65" i="80"/>
  <c r="E137" i="81"/>
  <c r="G157" i="77"/>
  <c r="G154" i="79"/>
  <c r="G114" i="79"/>
  <c r="E145" i="81"/>
  <c r="D162" i="80"/>
  <c r="G82" i="77"/>
  <c r="G81" i="79"/>
  <c r="E109" i="81"/>
  <c r="D108" i="80"/>
  <c r="G63" i="77"/>
  <c r="E84" i="81"/>
  <c r="D84" i="80"/>
  <c r="E79" i="81"/>
  <c r="D79" i="80"/>
  <c r="G86" i="77"/>
  <c r="G87" i="79"/>
  <c r="E113" i="81"/>
  <c r="D114" i="80"/>
  <c r="G79" i="77"/>
  <c r="G78" i="79"/>
  <c r="E106" i="81"/>
  <c r="D105" i="80"/>
  <c r="G65" i="79"/>
  <c r="E87" i="81"/>
  <c r="D87" i="80"/>
  <c r="K18" i="22"/>
  <c r="G69" i="79" s="1"/>
  <c r="G62" i="79"/>
  <c r="E83" i="81"/>
  <c r="D83" i="80"/>
  <c r="G67" i="77"/>
  <c r="G66" i="79"/>
  <c r="E90" i="81"/>
  <c r="D90" i="80"/>
  <c r="G89" i="79"/>
  <c r="E116" i="81"/>
  <c r="D117" i="80"/>
  <c r="E112" i="81"/>
  <c r="I35" i="1"/>
  <c r="G109" i="77"/>
  <c r="G107" i="79"/>
  <c r="E136" i="81"/>
  <c r="D150" i="80"/>
  <c r="E117" i="81"/>
  <c r="D118" i="80"/>
  <c r="G99" i="79"/>
  <c r="E129" i="81"/>
  <c r="D138" i="80"/>
  <c r="G22" i="79"/>
  <c r="H19" i="79" s="1"/>
  <c r="E32" i="81"/>
  <c r="D18" i="80"/>
  <c r="K63" i="49"/>
  <c r="G94" i="79" s="1"/>
  <c r="G151" i="77"/>
  <c r="G148" i="79"/>
  <c r="E177" i="81"/>
  <c r="D211" i="80"/>
  <c r="G138" i="79"/>
  <c r="E88" i="81"/>
  <c r="D88" i="80"/>
  <c r="G56" i="77"/>
  <c r="G55" i="79"/>
  <c r="E72" i="81"/>
  <c r="D70" i="80"/>
  <c r="G52" i="77"/>
  <c r="G51" i="79"/>
  <c r="E65" i="81"/>
  <c r="D63" i="80"/>
  <c r="E151" i="81"/>
  <c r="D168" i="80"/>
  <c r="E148" i="81"/>
  <c r="D165" i="80"/>
  <c r="G80" i="79"/>
  <c r="E108" i="81"/>
  <c r="D107" i="80"/>
  <c r="E80" i="81"/>
  <c r="D80" i="80"/>
  <c r="G53" i="77"/>
  <c r="G52" i="79"/>
  <c r="E66" i="81"/>
  <c r="D64" i="80"/>
  <c r="G64" i="77"/>
  <c r="G63" i="79"/>
  <c r="E85" i="81"/>
  <c r="D85" i="80"/>
  <c r="E77" i="81"/>
  <c r="D77" i="80"/>
  <c r="E140" i="81"/>
  <c r="D154" i="80"/>
  <c r="E131" i="81"/>
  <c r="D140" i="80"/>
  <c r="E110" i="81"/>
  <c r="D109" i="80"/>
  <c r="E146" i="81"/>
  <c r="D163" i="80"/>
  <c r="G60" i="79"/>
  <c r="E76" i="81"/>
  <c r="D76" i="80"/>
  <c r="G58" i="77"/>
  <c r="G57" i="79"/>
  <c r="E74" i="81"/>
  <c r="D72" i="80"/>
  <c r="G74" i="79"/>
  <c r="K35" i="71"/>
  <c r="G136" i="79" s="1"/>
  <c r="E60" i="81"/>
  <c r="D55" i="80"/>
  <c r="K49" i="72"/>
  <c r="G142" i="79" s="1"/>
  <c r="G61" i="79"/>
  <c r="E78" i="81"/>
  <c r="D78" i="80"/>
  <c r="H53" i="1"/>
  <c r="H37" i="1"/>
  <c r="H41" i="1"/>
  <c r="G101" i="77" s="1"/>
  <c r="J139" i="30"/>
  <c r="H61" i="1"/>
  <c r="G158" i="77"/>
  <c r="E182" i="81"/>
  <c r="D219" i="80"/>
  <c r="G155" i="77"/>
  <c r="E180" i="81"/>
  <c r="D217" i="80"/>
  <c r="G145" i="77"/>
  <c r="E171" i="81"/>
  <c r="D202" i="80"/>
  <c r="K66" i="72"/>
  <c r="G139" i="77"/>
  <c r="E166" i="81"/>
  <c r="D195" i="80"/>
  <c r="G140" i="77"/>
  <c r="E167" i="81"/>
  <c r="D196" i="80"/>
  <c r="G137" i="77"/>
  <c r="E164" i="81"/>
  <c r="D193" i="80"/>
  <c r="D177" i="80"/>
  <c r="K37" i="69"/>
  <c r="G124" i="79" s="1"/>
  <c r="G72" i="77"/>
  <c r="E94" i="81"/>
  <c r="D96" i="80"/>
  <c r="K53" i="22"/>
  <c r="G73" i="79" s="1"/>
  <c r="G75" i="77"/>
  <c r="E103" i="81"/>
  <c r="D99" i="80"/>
  <c r="H25" i="1"/>
  <c r="H23" i="1"/>
  <c r="E50" i="81"/>
  <c r="D42" i="80"/>
  <c r="E51" i="81"/>
  <c r="D43" i="80"/>
  <c r="G39" i="77"/>
  <c r="E48" i="81"/>
  <c r="D40" i="80"/>
  <c r="E49" i="81"/>
  <c r="D41" i="80"/>
  <c r="G38" i="77"/>
  <c r="E47" i="81"/>
  <c r="D39" i="80"/>
  <c r="K70" i="28"/>
  <c r="G28" i="79" s="1"/>
  <c r="K26" i="28"/>
  <c r="H19" i="1"/>
  <c r="E23" i="81"/>
  <c r="D10" i="80"/>
  <c r="E3" i="81"/>
  <c r="D3" i="80"/>
  <c r="K49" i="30"/>
  <c r="H33" i="1"/>
  <c r="H31" i="1"/>
  <c r="I31" i="1" s="1"/>
  <c r="K47" i="25"/>
  <c r="K136" i="30"/>
  <c r="G23" i="77"/>
  <c r="K79" i="28"/>
  <c r="G29" i="79" s="1"/>
  <c r="G153" i="79"/>
  <c r="K24" i="49"/>
  <c r="G62" i="77"/>
  <c r="G54" i="77"/>
  <c r="K73" i="67"/>
  <c r="H184" i="30"/>
  <c r="K31" i="30"/>
  <c r="H55" i="1"/>
  <c r="G88" i="77"/>
  <c r="K54" i="68"/>
  <c r="A54" i="68" s="1"/>
  <c r="K37" i="28"/>
  <c r="G26" i="79" s="1"/>
  <c r="G117" i="77"/>
  <c r="K108" i="75"/>
  <c r="H29" i="1"/>
  <c r="I29" i="1" s="1"/>
  <c r="K75" i="25"/>
  <c r="K74" i="43"/>
  <c r="H45" i="1"/>
  <c r="I45" i="1" s="1"/>
  <c r="H51" i="1"/>
  <c r="I51" i="1" s="1"/>
  <c r="G55" i="77"/>
  <c r="K99" i="66"/>
  <c r="A99" i="66" s="1"/>
  <c r="K91" i="15"/>
  <c r="K68" i="42"/>
  <c r="A68" i="42" s="1"/>
  <c r="G40" i="77"/>
  <c r="K26" i="72"/>
  <c r="G141" i="79" s="1"/>
  <c r="G120" i="77"/>
  <c r="H59" i="1"/>
  <c r="K19" i="25"/>
  <c r="H49" i="1"/>
  <c r="I49" i="1" s="1"/>
  <c r="H47" i="1"/>
  <c r="H21" i="1"/>
  <c r="K36" i="25"/>
  <c r="G78" i="77"/>
  <c r="G33" i="77"/>
  <c r="G49" i="77"/>
  <c r="K26" i="29"/>
  <c r="G21" i="77" s="1"/>
  <c r="H57" i="1"/>
  <c r="G93" i="77"/>
  <c r="K99" i="45"/>
  <c r="A99" i="45" s="1"/>
  <c r="K99" i="70"/>
  <c r="A99" i="70" s="1"/>
  <c r="H17" i="1"/>
  <c r="D153" i="80" l="1"/>
  <c r="G51" i="77"/>
  <c r="K97" i="73"/>
  <c r="A97" i="73" s="1"/>
  <c r="G150" i="77"/>
  <c r="E139" i="81"/>
  <c r="G72" i="79"/>
  <c r="O68" i="1"/>
  <c r="O69" i="1" s="1"/>
  <c r="F93" i="24"/>
  <c r="D27" i="1" s="1"/>
  <c r="G93" i="24"/>
  <c r="E27" i="1" s="1"/>
  <c r="E64" i="1" s="1"/>
  <c r="I19" i="24"/>
  <c r="I93" i="24" s="1"/>
  <c r="F27" i="1" s="1"/>
  <c r="F64" i="1" s="1"/>
  <c r="D139" i="80"/>
  <c r="D208" i="80"/>
  <c r="D52" i="80"/>
  <c r="E159" i="81"/>
  <c r="E174" i="81"/>
  <c r="G110" i="77"/>
  <c r="G12" i="79"/>
  <c r="D54" i="80"/>
  <c r="G9" i="79"/>
  <c r="D110" i="80"/>
  <c r="G83" i="77"/>
  <c r="E127" i="81"/>
  <c r="H96" i="79"/>
  <c r="J96" i="79" s="1"/>
  <c r="G37" i="77"/>
  <c r="G73" i="77"/>
  <c r="E154" i="81"/>
  <c r="G125" i="77"/>
  <c r="D144" i="80"/>
  <c r="E156" i="81"/>
  <c r="D179" i="80"/>
  <c r="G127" i="77"/>
  <c r="H122" i="79"/>
  <c r="E111" i="81"/>
  <c r="G111" i="79"/>
  <c r="G113" i="77"/>
  <c r="D159" i="80"/>
  <c r="D51" i="80"/>
  <c r="K77" i="26"/>
  <c r="A77" i="26" s="1"/>
  <c r="D38" i="80"/>
  <c r="E46" i="81"/>
  <c r="H35" i="79"/>
  <c r="J35" i="79" s="1"/>
  <c r="D62" i="80"/>
  <c r="E64" i="81"/>
  <c r="D7" i="80"/>
  <c r="G13" i="79"/>
  <c r="G13" i="77"/>
  <c r="E95" i="81"/>
  <c r="D97" i="80"/>
  <c r="H31" i="79"/>
  <c r="J31" i="79" s="1"/>
  <c r="G12" i="77"/>
  <c r="D6" i="80"/>
  <c r="D26" i="80"/>
  <c r="G28" i="77"/>
  <c r="E36" i="81"/>
  <c r="G27" i="79"/>
  <c r="G27" i="77"/>
  <c r="H85" i="77"/>
  <c r="G102" i="77"/>
  <c r="H100" i="77" s="1"/>
  <c r="G105" i="77"/>
  <c r="H104" i="77" s="1"/>
  <c r="H20" i="77"/>
  <c r="H134" i="79"/>
  <c r="K134" i="79" s="1"/>
  <c r="E130" i="81"/>
  <c r="E133" i="81"/>
  <c r="G129" i="79"/>
  <c r="D149" i="80"/>
  <c r="G71" i="77"/>
  <c r="G106" i="79"/>
  <c r="H105" i="79" s="1"/>
  <c r="E38" i="81"/>
  <c r="D95" i="80"/>
  <c r="G108" i="77"/>
  <c r="H107" i="77" s="1"/>
  <c r="H60" i="77"/>
  <c r="E93" i="81"/>
  <c r="H129" i="77"/>
  <c r="K94" i="15"/>
  <c r="A94" i="15" s="1"/>
  <c r="D194" i="80"/>
  <c r="H151" i="79"/>
  <c r="K151" i="79" s="1"/>
  <c r="E165" i="81"/>
  <c r="G138" i="77"/>
  <c r="H136" i="77" s="1"/>
  <c r="E92" i="81"/>
  <c r="J134" i="79"/>
  <c r="E30" i="81"/>
  <c r="D16" i="80"/>
  <c r="G43" i="79"/>
  <c r="G44" i="77"/>
  <c r="E141" i="81"/>
  <c r="I47" i="1"/>
  <c r="E175" i="81"/>
  <c r="D209" i="80"/>
  <c r="K51" i="29"/>
  <c r="A51" i="29" s="1"/>
  <c r="G152" i="77"/>
  <c r="H148" i="77" s="1"/>
  <c r="G149" i="79"/>
  <c r="E178" i="81"/>
  <c r="D212" i="80"/>
  <c r="H68" i="79"/>
  <c r="G147" i="79"/>
  <c r="H76" i="79"/>
  <c r="G92" i="77"/>
  <c r="H91" i="77" s="1"/>
  <c r="G93" i="79"/>
  <c r="H92" i="79" s="1"/>
  <c r="E121" i="81"/>
  <c r="D125" i="80"/>
  <c r="E104" i="81"/>
  <c r="I33" i="1"/>
  <c r="G29" i="77"/>
  <c r="G70" i="77"/>
  <c r="E170" i="81"/>
  <c r="E125" i="81"/>
  <c r="D129" i="80"/>
  <c r="J19" i="79"/>
  <c r="K19" i="79"/>
  <c r="H98" i="79"/>
  <c r="K58" i="69"/>
  <c r="A58" i="69" s="1"/>
  <c r="E128" i="81"/>
  <c r="I41" i="1"/>
  <c r="E163" i="81"/>
  <c r="I55" i="1"/>
  <c r="E29" i="81"/>
  <c r="I17" i="1"/>
  <c r="G42" i="79"/>
  <c r="G43" i="77"/>
  <c r="G46" i="77"/>
  <c r="E58" i="81"/>
  <c r="D53" i="80"/>
  <c r="G17" i="79"/>
  <c r="G18" i="77"/>
  <c r="E33" i="81"/>
  <c r="I19" i="1"/>
  <c r="E45" i="81"/>
  <c r="I23" i="1"/>
  <c r="D94" i="80"/>
  <c r="G144" i="79"/>
  <c r="H140" i="79" s="1"/>
  <c r="K69" i="72"/>
  <c r="A69" i="72" s="1"/>
  <c r="G144" i="77"/>
  <c r="E120" i="81"/>
  <c r="I37" i="1"/>
  <c r="K65" i="22"/>
  <c r="K55" i="71"/>
  <c r="A55" i="71" s="1"/>
  <c r="H86" i="79"/>
  <c r="E42" i="81"/>
  <c r="I21" i="1"/>
  <c r="G118" i="77"/>
  <c r="G116" i="79"/>
  <c r="E149" i="81"/>
  <c r="D166" i="80"/>
  <c r="E168" i="81"/>
  <c r="I57" i="1"/>
  <c r="H32" i="77"/>
  <c r="H77" i="77"/>
  <c r="K102" i="67"/>
  <c r="A102" i="67" s="1"/>
  <c r="E173" i="81"/>
  <c r="I59" i="1"/>
  <c r="K99" i="49"/>
  <c r="A99" i="49" s="1"/>
  <c r="G45" i="77"/>
  <c r="G44" i="79"/>
  <c r="E55" i="81"/>
  <c r="D50" i="80"/>
  <c r="D27" i="80"/>
  <c r="G25" i="79"/>
  <c r="E52" i="81"/>
  <c r="I25" i="1"/>
  <c r="D201" i="80"/>
  <c r="E179" i="81"/>
  <c r="I61" i="1"/>
  <c r="E157" i="81"/>
  <c r="I53" i="1"/>
  <c r="H59" i="79"/>
  <c r="G45" i="79"/>
  <c r="H127" i="79"/>
  <c r="K57" i="74"/>
  <c r="A57" i="74" s="1"/>
  <c r="E75" i="81"/>
  <c r="H120" i="79"/>
  <c r="E152" i="81"/>
  <c r="E134" i="81"/>
  <c r="E91" i="81"/>
  <c r="H36" i="77"/>
  <c r="E9" i="81"/>
  <c r="G156" i="77"/>
  <c r="H154" i="77" s="1"/>
  <c r="E181" i="81"/>
  <c r="D218" i="80"/>
  <c r="G143" i="77"/>
  <c r="E169" i="81"/>
  <c r="D200" i="80"/>
  <c r="G146" i="77"/>
  <c r="E172" i="81"/>
  <c r="D203" i="80"/>
  <c r="E153" i="81"/>
  <c r="G126" i="77"/>
  <c r="E155" i="81"/>
  <c r="D178" i="80"/>
  <c r="G74" i="77"/>
  <c r="E102" i="81"/>
  <c r="D98" i="80"/>
  <c r="E53" i="81"/>
  <c r="D48" i="80"/>
  <c r="E54" i="81"/>
  <c r="D49" i="80"/>
  <c r="K94" i="25"/>
  <c r="A94" i="25" s="1"/>
  <c r="D23" i="80"/>
  <c r="G26" i="77"/>
  <c r="E34" i="81"/>
  <c r="K82" i="28"/>
  <c r="A82" i="28" s="1"/>
  <c r="G30" i="77"/>
  <c r="E39" i="81"/>
  <c r="D28" i="80"/>
  <c r="E35" i="81"/>
  <c r="D24" i="80"/>
  <c r="K56" i="30"/>
  <c r="G15" i="1"/>
  <c r="G64" i="1" s="1"/>
  <c r="E24" i="81"/>
  <c r="D11" i="80"/>
  <c r="K34" i="30"/>
  <c r="H122" i="77"/>
  <c r="H27" i="1" l="1"/>
  <c r="K19" i="24"/>
  <c r="K22" i="24" s="1"/>
  <c r="K96" i="79"/>
  <c r="H110" i="79"/>
  <c r="H112" i="77"/>
  <c r="H124" i="77"/>
  <c r="K35" i="79"/>
  <c r="K31" i="79"/>
  <c r="H24" i="79"/>
  <c r="J24" i="79" s="1"/>
  <c r="K40" i="30"/>
  <c r="H69" i="77"/>
  <c r="J151" i="79"/>
  <c r="H146" i="79"/>
  <c r="K146" i="79" s="1"/>
  <c r="H42" i="77"/>
  <c r="K98" i="79"/>
  <c r="J98" i="79"/>
  <c r="K76" i="79"/>
  <c r="J76" i="79"/>
  <c r="K140" i="79"/>
  <c r="J140" i="79"/>
  <c r="K127" i="79"/>
  <c r="J127" i="79"/>
  <c r="K92" i="79"/>
  <c r="J92" i="79"/>
  <c r="J68" i="79"/>
  <c r="K68" i="79"/>
  <c r="J59" i="79"/>
  <c r="K59" i="79"/>
  <c r="H41" i="79"/>
  <c r="K120" i="79"/>
  <c r="J120" i="79"/>
  <c r="H25" i="77"/>
  <c r="H142" i="77"/>
  <c r="K35" i="30"/>
  <c r="G49" i="79" l="1"/>
  <c r="H47" i="79" s="1"/>
  <c r="D61" i="80"/>
  <c r="E63" i="81"/>
  <c r="K93" i="24"/>
  <c r="G50" i="77"/>
  <c r="H48" i="77" s="1"/>
  <c r="E61" i="81"/>
  <c r="C103" i="30"/>
  <c r="F103" i="30" s="1"/>
  <c r="K103" i="30" s="1"/>
  <c r="K105" i="30" s="1"/>
  <c r="C93" i="30"/>
  <c r="F93" i="30" s="1"/>
  <c r="K93" i="30" s="1"/>
  <c r="K97" i="30" s="1"/>
  <c r="C39" i="30"/>
  <c r="K39" i="30" s="1"/>
  <c r="C38" i="30"/>
  <c r="K38" i="30" s="1"/>
  <c r="C59" i="30"/>
  <c r="F59" i="30" s="1"/>
  <c r="K59" i="30" s="1"/>
  <c r="K67" i="30" s="1"/>
  <c r="D5" i="80" s="1"/>
  <c r="I27" i="1"/>
  <c r="C41" i="30"/>
  <c r="K24" i="79"/>
  <c r="K41" i="30"/>
  <c r="K45" i="30" s="1"/>
  <c r="G10" i="77" s="1"/>
  <c r="F139" i="30"/>
  <c r="D15" i="1" s="1"/>
  <c r="H15" i="1" s="1"/>
  <c r="J146" i="79"/>
  <c r="G10" i="79"/>
  <c r="G9" i="77"/>
  <c r="J41" i="79"/>
  <c r="K41" i="79"/>
  <c r="E12" i="81"/>
  <c r="E4" i="81"/>
  <c r="D4" i="80"/>
  <c r="G16" i="77" l="1"/>
  <c r="E21" i="81"/>
  <c r="G15" i="79"/>
  <c r="D9" i="80"/>
  <c r="G11" i="77"/>
  <c r="G11" i="79"/>
  <c r="E18" i="81"/>
  <c r="K47" i="79"/>
  <c r="J47" i="79"/>
  <c r="D64" i="1"/>
  <c r="D66" i="1" s="1"/>
  <c r="C23" i="1" s="1"/>
  <c r="G14" i="77"/>
  <c r="H7" i="77" s="1"/>
  <c r="G160" i="77" s="1"/>
  <c r="K139" i="30"/>
  <c r="A139" i="30" s="1"/>
  <c r="E2" i="81"/>
  <c r="I15" i="1"/>
  <c r="E15" i="81"/>
  <c r="G14" i="79"/>
  <c r="H8" i="79" s="1"/>
  <c r="D8" i="80"/>
  <c r="H64" i="1"/>
  <c r="I64" i="1" s="1"/>
  <c r="C43" i="1" l="1"/>
  <c r="C57" i="1"/>
  <c r="C61" i="1"/>
  <c r="C25" i="1"/>
  <c r="C49" i="1"/>
  <c r="C55" i="1"/>
  <c r="C31" i="1"/>
  <c r="C41" i="1"/>
  <c r="C15" i="1"/>
  <c r="C47" i="1"/>
  <c r="C51" i="1"/>
  <c r="C17" i="1"/>
  <c r="C29" i="1"/>
  <c r="C21" i="1"/>
  <c r="C39" i="1"/>
  <c r="C45" i="1"/>
  <c r="C19" i="1"/>
  <c r="C27" i="1"/>
  <c r="C53" i="1"/>
  <c r="D68" i="1"/>
  <c r="K68" i="1" s="1"/>
  <c r="C33" i="1"/>
  <c r="C37" i="1"/>
  <c r="C59" i="1"/>
  <c r="C35" i="1"/>
  <c r="J8" i="79"/>
  <c r="K8" i="79"/>
  <c r="D82" i="1" l="1"/>
  <c r="O11" i="78" s="1"/>
  <c r="G162" i="77"/>
  <c r="G170" i="77" s="1"/>
  <c r="C64" i="1"/>
  <c r="D71" i="1"/>
  <c r="G157" i="79"/>
  <c r="K157" i="79" s="1"/>
  <c r="G164" i="77" l="1"/>
  <c r="K173" i="77"/>
  <c r="K172" i="77"/>
  <c r="E82" i="1"/>
  <c r="P11" i="78" s="1"/>
  <c r="G159" i="79"/>
  <c r="J159" i="79" s="1"/>
  <c r="D84" i="1"/>
  <c r="Q11" i="78" s="1"/>
  <c r="F77" i="1"/>
  <c r="J157" i="79"/>
  <c r="D77" i="1"/>
  <c r="F71" i="1"/>
  <c r="G71" i="1" s="1"/>
  <c r="D75" i="1"/>
  <c r="K76" i="1" s="1"/>
  <c r="K170" i="77" l="1"/>
  <c r="L11" i="78"/>
  <c r="M11" i="78" s="1"/>
  <c r="E89" i="1"/>
  <c r="E90" i="1" s="1"/>
  <c r="K159" i="79"/>
  <c r="D86" i="1"/>
  <c r="D85" i="1"/>
  <c r="F75" i="1"/>
  <c r="G75" i="1" l="1"/>
</calcChain>
</file>

<file path=xl/sharedStrings.xml><?xml version="1.0" encoding="utf-8"?>
<sst xmlns="http://schemas.openxmlformats.org/spreadsheetml/2006/main" count="6416" uniqueCount="1295">
  <si>
    <t>CODE</t>
  </si>
  <si>
    <t>DESCRIPTION</t>
  </si>
  <si>
    <t>M-HRS</t>
  </si>
  <si>
    <t>General Requirements</t>
  </si>
  <si>
    <t>Concrete</t>
  </si>
  <si>
    <t>Masonry</t>
  </si>
  <si>
    <t>Metals</t>
  </si>
  <si>
    <t>Wood &amp; Plastics</t>
  </si>
  <si>
    <t>Finishes</t>
  </si>
  <si>
    <t>Specialties</t>
  </si>
  <si>
    <t>Electrical</t>
  </si>
  <si>
    <t>Sub Totals&gt;&gt;&gt;&gt;&gt;&gt;</t>
  </si>
  <si>
    <t>LAB $$</t>
  </si>
  <si>
    <t>M&amp;E $$</t>
  </si>
  <si>
    <t>MHrs</t>
  </si>
  <si>
    <t>Total Construction Cost&gt;&gt;&gt;&gt;&gt;&gt;</t>
  </si>
  <si>
    <t>OH&amp;P&gt;&gt;&gt;&gt;&gt;&gt;</t>
  </si>
  <si>
    <t>Estimated Price</t>
  </si>
  <si>
    <t>Job Sign</t>
  </si>
  <si>
    <t>Qty</t>
  </si>
  <si>
    <t>M</t>
  </si>
  <si>
    <t>LS</t>
  </si>
  <si>
    <t>TOTAL DIVISION 1</t>
  </si>
  <si>
    <t>TOTAL DIVISION 2</t>
  </si>
  <si>
    <t>TOTAL DIVISION 3</t>
  </si>
  <si>
    <t>TOTAL DIVISION 5</t>
  </si>
  <si>
    <t>TOTAL DIVISION 6</t>
  </si>
  <si>
    <t>TOTAL DIVISION 7</t>
  </si>
  <si>
    <t>TOTAL DIVISION 8</t>
  </si>
  <si>
    <t>TOTAL DIVISION 9</t>
  </si>
  <si>
    <t>Sub Total</t>
  </si>
  <si>
    <t>TOTAL</t>
  </si>
  <si>
    <t>$ / Sq.Ft</t>
  </si>
  <si>
    <t>Unit</t>
  </si>
  <si>
    <t>Labor</t>
  </si>
  <si>
    <t>U. Price</t>
  </si>
  <si>
    <t xml:space="preserve"> /sq.ft.</t>
  </si>
  <si>
    <t>SUB CONT.</t>
  </si>
  <si>
    <t>Total</t>
  </si>
  <si>
    <t>HST</t>
  </si>
  <si>
    <t>Controls</t>
  </si>
  <si>
    <t>Plumbing</t>
  </si>
  <si>
    <t>HVAC</t>
  </si>
  <si>
    <t>TOTAL DIVISION 4</t>
  </si>
  <si>
    <t>Fire Extinguishers</t>
  </si>
  <si>
    <t>TOTAL DIVISION 10</t>
  </si>
  <si>
    <t>Aluminum Doors and Frames</t>
  </si>
  <si>
    <t>Entrances and Storefronts</t>
  </si>
  <si>
    <t>Millwork</t>
  </si>
  <si>
    <t>Soil Investigation and Testing</t>
  </si>
  <si>
    <t>Material Inspection and Testing</t>
  </si>
  <si>
    <t>Survey and Layout</t>
  </si>
  <si>
    <t>Temporary Lighting</t>
  </si>
  <si>
    <t>Small Tools</t>
  </si>
  <si>
    <t>Final Cleaning</t>
  </si>
  <si>
    <t>Sidewalks</t>
  </si>
  <si>
    <t>Vapour Barrier</t>
  </si>
  <si>
    <t>Thermal and Moisture Protection</t>
  </si>
  <si>
    <t>Siding</t>
  </si>
  <si>
    <t>Membrane Roofing</t>
  </si>
  <si>
    <t>Traffic Doors</t>
  </si>
  <si>
    <t>Wood Windows</t>
  </si>
  <si>
    <t>Hardware</t>
  </si>
  <si>
    <t>Glazing</t>
  </si>
  <si>
    <t>Wood Flooring</t>
  </si>
  <si>
    <t>Exterior Painting</t>
  </si>
  <si>
    <t>Interior Painting</t>
  </si>
  <si>
    <t>Wall Coverings</t>
  </si>
  <si>
    <t>Lockers</t>
  </si>
  <si>
    <t>Elevators</t>
  </si>
  <si>
    <t>Lifts</t>
  </si>
  <si>
    <t>Equipment</t>
  </si>
  <si>
    <t>Food Service Equipment</t>
  </si>
  <si>
    <t>Schedule</t>
  </si>
  <si>
    <t>Weeks</t>
  </si>
  <si>
    <t>Security</t>
  </si>
  <si>
    <t>Furnishings</t>
  </si>
  <si>
    <t>Special Construction</t>
  </si>
  <si>
    <t>Demolition</t>
  </si>
  <si>
    <t>Finish Carpentry</t>
  </si>
  <si>
    <t>Flooring</t>
  </si>
  <si>
    <t>Painting</t>
  </si>
  <si>
    <t>Lighting</t>
  </si>
  <si>
    <t>Sanitary Line Video</t>
  </si>
  <si>
    <t>Total (HST excluded)</t>
  </si>
  <si>
    <t>Soft Cost</t>
  </si>
  <si>
    <t>Job Type</t>
  </si>
  <si>
    <t>Margin</t>
  </si>
  <si>
    <t>Target Margin</t>
  </si>
  <si>
    <t>A &gt; 1,000,000</t>
  </si>
  <si>
    <t>B &gt; 500,000</t>
  </si>
  <si>
    <t>C &gt; 100,000</t>
  </si>
  <si>
    <t>D &lt; 100,000</t>
  </si>
  <si>
    <t>Total (HST Excluded)</t>
  </si>
  <si>
    <t>Reprographics</t>
  </si>
  <si>
    <t>Windows</t>
  </si>
  <si>
    <t>sub</t>
  </si>
  <si>
    <t>qty</t>
  </si>
  <si>
    <t>unit $</t>
  </si>
  <si>
    <t>ext</t>
  </si>
  <si>
    <t>units</t>
  </si>
  <si>
    <t>Competititors on Bid</t>
  </si>
  <si>
    <t>Preconstruction Costs</t>
  </si>
  <si>
    <t>01 11 00</t>
  </si>
  <si>
    <t>01 31 00</t>
  </si>
  <si>
    <t>Project Management and Coordination</t>
  </si>
  <si>
    <t xml:space="preserve">01 41 00 </t>
  </si>
  <si>
    <t xml:space="preserve">Permits </t>
  </si>
  <si>
    <t>01 51 00</t>
  </si>
  <si>
    <t>Temporary Utilities</t>
  </si>
  <si>
    <t>Construction Facilities</t>
  </si>
  <si>
    <t>01 52 00</t>
  </si>
  <si>
    <t xml:space="preserve">01 54 00 </t>
  </si>
  <si>
    <t>Construction Aids</t>
  </si>
  <si>
    <t>01 56 00</t>
  </si>
  <si>
    <t>Temporary Barriers &amp; Enclosures</t>
  </si>
  <si>
    <t xml:space="preserve">01 74 00 </t>
  </si>
  <si>
    <t>Cleaning &amp; Waste Management</t>
  </si>
  <si>
    <t xml:space="preserve">Senior Estimator </t>
  </si>
  <si>
    <t>Junior Estimator</t>
  </si>
  <si>
    <t>Design Costs</t>
  </si>
  <si>
    <t>Architectural</t>
  </si>
  <si>
    <t>Civil</t>
  </si>
  <si>
    <t xml:space="preserve">Structural </t>
  </si>
  <si>
    <t>Geotechnical</t>
  </si>
  <si>
    <t>Senior Construction Manager</t>
  </si>
  <si>
    <t>Senior Estimator</t>
  </si>
  <si>
    <t>Senior Project Manager</t>
  </si>
  <si>
    <t>Project Superintendent</t>
  </si>
  <si>
    <t>Project Foreman</t>
  </si>
  <si>
    <t>Temporary Power</t>
  </si>
  <si>
    <t>Temporary Fuel Oil</t>
  </si>
  <si>
    <t>Temp HVAC</t>
  </si>
  <si>
    <t>Temporary Internet</t>
  </si>
  <si>
    <t>Temporary Water</t>
  </si>
  <si>
    <t>Temporary Fire Protection</t>
  </si>
  <si>
    <t>Sanitary Facilities</t>
  </si>
  <si>
    <t>Air/Dust Barriers</t>
  </si>
  <si>
    <t>Temp Barricades</t>
  </si>
  <si>
    <t>Temporary Fencing</t>
  </si>
  <si>
    <t xml:space="preserve">Hoarding </t>
  </si>
  <si>
    <t>Progress Cleaning</t>
  </si>
  <si>
    <t>Site Maintenance</t>
  </si>
  <si>
    <t>Construction Waste Mgmt &amp; Disposal</t>
  </si>
  <si>
    <t>01 45 00</t>
  </si>
  <si>
    <t>Quality Control</t>
  </si>
  <si>
    <t>Hazardous Idendification Inspection</t>
  </si>
  <si>
    <t>Construction Field Office</t>
  </si>
  <si>
    <t>Drawing Reprographics</t>
  </si>
  <si>
    <t>First-Aid / Safety</t>
  </si>
  <si>
    <t>Bldg Permit Fees</t>
  </si>
  <si>
    <t>Fire Suppression</t>
  </si>
  <si>
    <t>Division</t>
  </si>
  <si>
    <t>02 00 00</t>
  </si>
  <si>
    <t>02 41 00</t>
  </si>
  <si>
    <t>Existing Conditions</t>
  </si>
  <si>
    <t>02 82 00</t>
  </si>
  <si>
    <t xml:space="preserve">Asbestos Remediation </t>
  </si>
  <si>
    <t>02 83 00</t>
  </si>
  <si>
    <t>03 00 00</t>
  </si>
  <si>
    <t>03 11 00</t>
  </si>
  <si>
    <t xml:space="preserve">Concrete Forming </t>
  </si>
  <si>
    <t xml:space="preserve">Concrete Reinforcing </t>
  </si>
  <si>
    <t>03 20 00</t>
  </si>
  <si>
    <t>03 30 00</t>
  </si>
  <si>
    <t>03 35 00</t>
  </si>
  <si>
    <t>03 40 00</t>
  </si>
  <si>
    <t>03 60 00</t>
  </si>
  <si>
    <t xml:space="preserve">Cast-in-Place Concrete </t>
  </si>
  <si>
    <t xml:space="preserve">Concrete Finishing </t>
  </si>
  <si>
    <t xml:space="preserve">Precast Concrete </t>
  </si>
  <si>
    <t xml:space="preserve">Grouting </t>
  </si>
  <si>
    <t>04 00 00</t>
  </si>
  <si>
    <t>04 20 00</t>
  </si>
  <si>
    <t>04 43 00</t>
  </si>
  <si>
    <t xml:space="preserve">Unit Masonry </t>
  </si>
  <si>
    <t xml:space="preserve">Stone Masonry </t>
  </si>
  <si>
    <t xml:space="preserve">Division </t>
  </si>
  <si>
    <t xml:space="preserve">05 00 00 </t>
  </si>
  <si>
    <t>05 12 00</t>
  </si>
  <si>
    <t>05 20 00</t>
  </si>
  <si>
    <t>05 30 00</t>
  </si>
  <si>
    <t>05 51 00</t>
  </si>
  <si>
    <t>05 52 00</t>
  </si>
  <si>
    <t>05 59 00</t>
  </si>
  <si>
    <t xml:space="preserve">Structural Steel Framing </t>
  </si>
  <si>
    <t xml:space="preserve">Metal Joists </t>
  </si>
  <si>
    <t xml:space="preserve">Metal Decking </t>
  </si>
  <si>
    <t xml:space="preserve">Metal Stairs </t>
  </si>
  <si>
    <t xml:space="preserve">Metal Railings </t>
  </si>
  <si>
    <t xml:space="preserve">Metal Specialties </t>
  </si>
  <si>
    <t>06 00 00</t>
  </si>
  <si>
    <t xml:space="preserve">Wood, Plastics, and Composites </t>
  </si>
  <si>
    <t>06 20 00</t>
  </si>
  <si>
    <t>06 22 00</t>
  </si>
  <si>
    <t>06 41 00</t>
  </si>
  <si>
    <t>Architechtural Wood Casework</t>
  </si>
  <si>
    <t>Wood Paneling</t>
  </si>
  <si>
    <t>06 42 00</t>
  </si>
  <si>
    <t>06 43 00</t>
  </si>
  <si>
    <t>Wood Stairs and Railings</t>
  </si>
  <si>
    <t>06 46 00</t>
  </si>
  <si>
    <t>Wood Trim</t>
  </si>
  <si>
    <t>Wood Frames</t>
  </si>
  <si>
    <t>06 48 00</t>
  </si>
  <si>
    <t>07 00 00</t>
  </si>
  <si>
    <t>07 21 00</t>
  </si>
  <si>
    <t>Thermal Insulation</t>
  </si>
  <si>
    <t>07 21 16</t>
  </si>
  <si>
    <t>07 21 26</t>
  </si>
  <si>
    <t>07 21 29</t>
  </si>
  <si>
    <t>Blanket Insulation</t>
  </si>
  <si>
    <t>Blown Insulation</t>
  </si>
  <si>
    <t>Sprayed Insulation</t>
  </si>
  <si>
    <t>07 24 00</t>
  </si>
  <si>
    <t>EIFS</t>
  </si>
  <si>
    <t xml:space="preserve">07 31 00 </t>
  </si>
  <si>
    <t xml:space="preserve">Shingles </t>
  </si>
  <si>
    <t xml:space="preserve">07 42 00 </t>
  </si>
  <si>
    <t>Wall Panels</t>
  </si>
  <si>
    <t>07 46 00</t>
  </si>
  <si>
    <t>07 52 00</t>
  </si>
  <si>
    <t>Modified Bituminous Membrane Roofing</t>
  </si>
  <si>
    <t>07 53 00</t>
  </si>
  <si>
    <t>Elastomeric Membrane Roofing</t>
  </si>
  <si>
    <t>07 62 00</t>
  </si>
  <si>
    <t>Sheet Metal Flashing and Trim</t>
  </si>
  <si>
    <t>Sheet Metal Roofing Specialties</t>
  </si>
  <si>
    <t>Sheet Metal Wall Cladding</t>
  </si>
  <si>
    <t>07 63 00</t>
  </si>
  <si>
    <t>07 64 00</t>
  </si>
  <si>
    <t>07 72 00</t>
  </si>
  <si>
    <t>Roof Accessories</t>
  </si>
  <si>
    <t>07 72 26</t>
  </si>
  <si>
    <t>07 72 33</t>
  </si>
  <si>
    <t>Ridge Vents</t>
  </si>
  <si>
    <t>Roof Hatches</t>
  </si>
  <si>
    <t>07 81 00</t>
  </si>
  <si>
    <t>Applied Fireproofing</t>
  </si>
  <si>
    <t>07 84 00</t>
  </si>
  <si>
    <t>Firestopping</t>
  </si>
  <si>
    <t>07 90 00</t>
  </si>
  <si>
    <t>Joint Protection</t>
  </si>
  <si>
    <t>08 00 00</t>
  </si>
  <si>
    <t>Openings</t>
  </si>
  <si>
    <t>08 11 00</t>
  </si>
  <si>
    <t>Metal Doors and Frames</t>
  </si>
  <si>
    <t>08 11 13</t>
  </si>
  <si>
    <t>Hollow Metal Doors and Frames</t>
  </si>
  <si>
    <t>08 11 16</t>
  </si>
  <si>
    <t>08 14 00</t>
  </si>
  <si>
    <t>Wood Doors</t>
  </si>
  <si>
    <t>08 31 00</t>
  </si>
  <si>
    <t>Access Doors and Panels</t>
  </si>
  <si>
    <t>08 32 00</t>
  </si>
  <si>
    <t>Sliding Gates</t>
  </si>
  <si>
    <t>08 33 00</t>
  </si>
  <si>
    <t>Coiling Doors and Drilles</t>
  </si>
  <si>
    <t>08 34 00</t>
  </si>
  <si>
    <t>Special Function Doors</t>
  </si>
  <si>
    <t>08 38 00</t>
  </si>
  <si>
    <t>08 41 00</t>
  </si>
  <si>
    <t xml:space="preserve">08 44 00 </t>
  </si>
  <si>
    <t>Curtain Wall and Glazed Assemblies</t>
  </si>
  <si>
    <t>08 50 00</t>
  </si>
  <si>
    <t>Metal Windows</t>
  </si>
  <si>
    <t>Plastic Windows</t>
  </si>
  <si>
    <t>Composite Windows</t>
  </si>
  <si>
    <t>08 54 00</t>
  </si>
  <si>
    <t>08 51 00</t>
  </si>
  <si>
    <t>08 52 00</t>
  </si>
  <si>
    <t>08 53 00</t>
  </si>
  <si>
    <t>08 70 00</t>
  </si>
  <si>
    <t>08 81 00</t>
  </si>
  <si>
    <t>Glass Glazing</t>
  </si>
  <si>
    <t>08 83 00</t>
  </si>
  <si>
    <t>Mirrors</t>
  </si>
  <si>
    <t>08 87 00</t>
  </si>
  <si>
    <t>Glazing Surface Films</t>
  </si>
  <si>
    <t>08 91 00</t>
  </si>
  <si>
    <t>Louvers</t>
  </si>
  <si>
    <t>09 00 00</t>
  </si>
  <si>
    <t>09 20 00</t>
  </si>
  <si>
    <t>Plaster and Gypsum Board</t>
  </si>
  <si>
    <t>09 30 00</t>
  </si>
  <si>
    <t>Tiling</t>
  </si>
  <si>
    <t>09 50 00</t>
  </si>
  <si>
    <t>Ceiling</t>
  </si>
  <si>
    <t>09 60 00</t>
  </si>
  <si>
    <t>09 61 00</t>
  </si>
  <si>
    <t>09 62 00</t>
  </si>
  <si>
    <t>Specialty Flooring</t>
  </si>
  <si>
    <t>09 64 00</t>
  </si>
  <si>
    <t>09 65 00</t>
  </si>
  <si>
    <t>09 67 00</t>
  </si>
  <si>
    <t>09 68 00</t>
  </si>
  <si>
    <t>09 72 00</t>
  </si>
  <si>
    <t>09 91 00</t>
  </si>
  <si>
    <t>09 91 13</t>
  </si>
  <si>
    <t>09 91 23</t>
  </si>
  <si>
    <t>10 00 00</t>
  </si>
  <si>
    <t xml:space="preserve">10 11 00 </t>
  </si>
  <si>
    <t>Visual Display Units</t>
  </si>
  <si>
    <t>10 14 00</t>
  </si>
  <si>
    <t>Signage</t>
  </si>
  <si>
    <t>10 20 00</t>
  </si>
  <si>
    <t>Interior Specialties</t>
  </si>
  <si>
    <t>10 21 00</t>
  </si>
  <si>
    <t>10 21 13</t>
  </si>
  <si>
    <t>Toilet Compartments</t>
  </si>
  <si>
    <t>10 22 00</t>
  </si>
  <si>
    <t>Partitions</t>
  </si>
  <si>
    <t>10 22 19</t>
  </si>
  <si>
    <t>Demountable Partitions</t>
  </si>
  <si>
    <t>10 22 39</t>
  </si>
  <si>
    <t>Sliding Partions</t>
  </si>
  <si>
    <t>10 22 43</t>
  </si>
  <si>
    <t>10 28 00</t>
  </si>
  <si>
    <t>Toilet , Bath, and Laundry Accessories</t>
  </si>
  <si>
    <t xml:space="preserve">10 44 00 </t>
  </si>
  <si>
    <t>Fire Protection Specialties</t>
  </si>
  <si>
    <t>10 44 16</t>
  </si>
  <si>
    <t>10 51 00</t>
  </si>
  <si>
    <t>10 57 00</t>
  </si>
  <si>
    <t>Wardrobe and Closet Specialties</t>
  </si>
  <si>
    <t>10 70 00</t>
  </si>
  <si>
    <t>Exterior Specialties</t>
  </si>
  <si>
    <t>10 73 00</t>
  </si>
  <si>
    <t>10 73 16</t>
  </si>
  <si>
    <t>Canopies</t>
  </si>
  <si>
    <t>10 75 00</t>
  </si>
  <si>
    <t>Flagpoles</t>
  </si>
  <si>
    <t>11 00 00</t>
  </si>
  <si>
    <t>11 11 00</t>
  </si>
  <si>
    <t>Vehicle Service Equipment</t>
  </si>
  <si>
    <t>11 13 00</t>
  </si>
  <si>
    <t>Loading Dock Equipment</t>
  </si>
  <si>
    <t>11 30 00</t>
  </si>
  <si>
    <t>Residential Equipment</t>
  </si>
  <si>
    <t>11 30 13</t>
  </si>
  <si>
    <t>Residential Appliances</t>
  </si>
  <si>
    <t>11 41 00</t>
  </si>
  <si>
    <t>Food Storage Equipment</t>
  </si>
  <si>
    <t>11 41 23</t>
  </si>
  <si>
    <t>Walk-In Coolers</t>
  </si>
  <si>
    <t>11 48 00</t>
  </si>
  <si>
    <t>Food service Cleaning and Disposal Equipment</t>
  </si>
  <si>
    <t>11 48 13</t>
  </si>
  <si>
    <t>Commercial Dishwasher</t>
  </si>
  <si>
    <t>11 52 00</t>
  </si>
  <si>
    <t>Audio-Visual Equipment</t>
  </si>
  <si>
    <t>11 53 00</t>
  </si>
  <si>
    <t>Laboratory Equipment</t>
  </si>
  <si>
    <t>12 00 00</t>
  </si>
  <si>
    <t xml:space="preserve">12 20 00 </t>
  </si>
  <si>
    <t>Window Treatments</t>
  </si>
  <si>
    <t>12 21 00</t>
  </si>
  <si>
    <t>Window Blinds</t>
  </si>
  <si>
    <t>12 30 00</t>
  </si>
  <si>
    <t>Casework</t>
  </si>
  <si>
    <t>12 32 00</t>
  </si>
  <si>
    <t>12 35 00</t>
  </si>
  <si>
    <t>Manufactured Wood Casework</t>
  </si>
  <si>
    <t>Specialty Casework</t>
  </si>
  <si>
    <t>Countertops</t>
  </si>
  <si>
    <t>12 36 00</t>
  </si>
  <si>
    <t>13 00 00</t>
  </si>
  <si>
    <t>14 00 00</t>
  </si>
  <si>
    <t>Conveying Equipment</t>
  </si>
  <si>
    <t>14 20 00</t>
  </si>
  <si>
    <t>14 40 00</t>
  </si>
  <si>
    <t>Wheelchair Lifts</t>
  </si>
  <si>
    <t>14 42 00</t>
  </si>
  <si>
    <t>21 00 00</t>
  </si>
  <si>
    <t>21 10 00</t>
  </si>
  <si>
    <t>Water-Based Fire-Suppression System</t>
  </si>
  <si>
    <t>22 00 00</t>
  </si>
  <si>
    <t>22 10 00</t>
  </si>
  <si>
    <t>Plumbing Piping</t>
  </si>
  <si>
    <t>22 30 00</t>
  </si>
  <si>
    <t>Plumbing Equipment</t>
  </si>
  <si>
    <t>22 33 00</t>
  </si>
  <si>
    <t>Electric Domestic Water Heaters</t>
  </si>
  <si>
    <t>22 34 00</t>
  </si>
  <si>
    <t>Fuel-Fired Domestic Water Heaters</t>
  </si>
  <si>
    <t>22 40 00</t>
  </si>
  <si>
    <t>Plumbing Fixtures</t>
  </si>
  <si>
    <t>22 42 00</t>
  </si>
  <si>
    <t>Commercial Plumbing Fixtures</t>
  </si>
  <si>
    <t>Commercial Urinals</t>
  </si>
  <si>
    <t xml:space="preserve">Commercial Lavatories and Sinks </t>
  </si>
  <si>
    <t>Commercial Lavatories</t>
  </si>
  <si>
    <t>Commercial Sinks</t>
  </si>
  <si>
    <t>Commercial Bathtubs</t>
  </si>
  <si>
    <t>Commercial Showers</t>
  </si>
  <si>
    <t>Commercial Disposers</t>
  </si>
  <si>
    <t>Shampoo Bowls</t>
  </si>
  <si>
    <t>Wash Fountains</t>
  </si>
  <si>
    <t>Commercial Laundry Trays</t>
  </si>
  <si>
    <t xml:space="preserve">Commercial Faucets, Supplies, and Trim Flushometers </t>
  </si>
  <si>
    <t>Commercial Water Closets</t>
  </si>
  <si>
    <t>Flushometers</t>
  </si>
  <si>
    <t>22 42 13</t>
  </si>
  <si>
    <t>22 42 13.13</t>
  </si>
  <si>
    <t>22 42 13.16</t>
  </si>
  <si>
    <t>22 42 16</t>
  </si>
  <si>
    <t>22 42 16.13</t>
  </si>
  <si>
    <t>22 42 16.16</t>
  </si>
  <si>
    <t>22 42 19</t>
  </si>
  <si>
    <t>22 42 23</t>
  </si>
  <si>
    <t>22 42 26</t>
  </si>
  <si>
    <t>22 42 29</t>
  </si>
  <si>
    <t>22 42 33</t>
  </si>
  <si>
    <t>22 42 36</t>
  </si>
  <si>
    <t>22 42 39</t>
  </si>
  <si>
    <t>22 42 43</t>
  </si>
  <si>
    <t>22 45 00</t>
  </si>
  <si>
    <t>Emergency Plumbing Fixtures</t>
  </si>
  <si>
    <t>22 45 13</t>
  </si>
  <si>
    <t>22 45 16</t>
  </si>
  <si>
    <t>Emergency Showers</t>
  </si>
  <si>
    <t>Eyewash Station</t>
  </si>
  <si>
    <t>22 47 00</t>
  </si>
  <si>
    <t>Drinking Fountains and Water Coolers</t>
  </si>
  <si>
    <t>23 00 00</t>
  </si>
  <si>
    <t>Heating, Ventilating, and Air Conditioning</t>
  </si>
  <si>
    <t>23 07 00</t>
  </si>
  <si>
    <t>HVAC Insulation</t>
  </si>
  <si>
    <t>23 08 00</t>
  </si>
  <si>
    <t>Commissioning of HVAC</t>
  </si>
  <si>
    <t>23 09 00</t>
  </si>
  <si>
    <t>Instrumentation and Control for HVAC</t>
  </si>
  <si>
    <t>23 10 00</t>
  </si>
  <si>
    <t>Facility Fuel System</t>
  </si>
  <si>
    <t>23 11 23</t>
  </si>
  <si>
    <t>Facility Natural Gas Piping</t>
  </si>
  <si>
    <t>23 13 00</t>
  </si>
  <si>
    <t>Facility Fuel Storage</t>
  </si>
  <si>
    <t>23 20 00</t>
  </si>
  <si>
    <t>HVAC Piping and Pumps</t>
  </si>
  <si>
    <t>23 23 00</t>
  </si>
  <si>
    <t>Refrigerant Piping</t>
  </si>
  <si>
    <t>23 30 00</t>
  </si>
  <si>
    <t>HVAC Air Distribution</t>
  </si>
  <si>
    <t>HVAC Ducts and Casings</t>
  </si>
  <si>
    <t>23 31 00</t>
  </si>
  <si>
    <t>23 31 12</t>
  </si>
  <si>
    <t>Metal Ducts</t>
  </si>
  <si>
    <t>23 31 12.13</t>
  </si>
  <si>
    <t>Rectangular Metal Ducts</t>
  </si>
  <si>
    <t>23 31 12.16</t>
  </si>
  <si>
    <t>Round and Flat-Oval Spiral Ducts</t>
  </si>
  <si>
    <t>23 33 00</t>
  </si>
  <si>
    <t>Air Duct Accessories</t>
  </si>
  <si>
    <t>23 33 46</t>
  </si>
  <si>
    <t>Flexible Ducts</t>
  </si>
  <si>
    <t>23 34 00</t>
  </si>
  <si>
    <t>HVAC Fans</t>
  </si>
  <si>
    <t>23 38 00</t>
  </si>
  <si>
    <t>Ventilation Hoods</t>
  </si>
  <si>
    <t xml:space="preserve">23 70 00 </t>
  </si>
  <si>
    <t>Central HVAC Equipment</t>
  </si>
  <si>
    <t>23 74 00</t>
  </si>
  <si>
    <t>Packaged Outdoor HVAC Equipment</t>
  </si>
  <si>
    <t>23 83 00</t>
  </si>
  <si>
    <t>Radiant Heating Units</t>
  </si>
  <si>
    <t>23 84 00</t>
  </si>
  <si>
    <t>Humidity Control Equipment</t>
  </si>
  <si>
    <t>25 00 00</t>
  </si>
  <si>
    <t>Integrated Automation</t>
  </si>
  <si>
    <t>26 00 00</t>
  </si>
  <si>
    <t>26 09 00</t>
  </si>
  <si>
    <t>Instrumentation and Controls for Electrical Systems</t>
  </si>
  <si>
    <t>26 10 00</t>
  </si>
  <si>
    <t>Medium-Voltage Electrical Distribution</t>
  </si>
  <si>
    <t>26 11 00</t>
  </si>
  <si>
    <t>26 12 00</t>
  </si>
  <si>
    <t>26 13 00</t>
  </si>
  <si>
    <t>26 16 00</t>
  </si>
  <si>
    <t>Medium-Voltage Metering</t>
  </si>
  <si>
    <t>Medium-Voltage Circuit Protection Devices</t>
  </si>
  <si>
    <t>26 18 00</t>
  </si>
  <si>
    <t>26 50 00</t>
  </si>
  <si>
    <t>26 51 00</t>
  </si>
  <si>
    <t>26 52 00</t>
  </si>
  <si>
    <t>26 56 00</t>
  </si>
  <si>
    <t>27 00 00</t>
  </si>
  <si>
    <t>Communications</t>
  </si>
  <si>
    <t>27 10 00</t>
  </si>
  <si>
    <t>Structured Cabling</t>
  </si>
  <si>
    <t>27 20 00</t>
  </si>
  <si>
    <t>Data Communications</t>
  </si>
  <si>
    <t>27 21 00</t>
  </si>
  <si>
    <t>Data Communications Network Equipment</t>
  </si>
  <si>
    <t xml:space="preserve">27 22 00 </t>
  </si>
  <si>
    <t>Data Communications Hardware</t>
  </si>
  <si>
    <t>27 30 00</t>
  </si>
  <si>
    <t>Voice Communications</t>
  </si>
  <si>
    <t>27 40 00</t>
  </si>
  <si>
    <t>Audio-Voice Communications</t>
  </si>
  <si>
    <t>27 50 00</t>
  </si>
  <si>
    <t>Distributed Communications and Monitoring Systems</t>
  </si>
  <si>
    <t>28 00 00</t>
  </si>
  <si>
    <t>Electronic Safety and Security</t>
  </si>
  <si>
    <t>28 10 00</t>
  </si>
  <si>
    <t>Access Control</t>
  </si>
  <si>
    <t>28 15 00</t>
  </si>
  <si>
    <t>Access Control Hardware Devices</t>
  </si>
  <si>
    <t>28 20 00</t>
  </si>
  <si>
    <t>Video Surveillance</t>
  </si>
  <si>
    <t>28 30 00</t>
  </si>
  <si>
    <t>Security Detection, Aarm, and Monitoring</t>
  </si>
  <si>
    <t>28 40 00</t>
  </si>
  <si>
    <t>28 46 00</t>
  </si>
  <si>
    <t>Life Safety</t>
  </si>
  <si>
    <t>Fire Detection and Alarm</t>
  </si>
  <si>
    <t>31 00 00</t>
  </si>
  <si>
    <t>Earthwork</t>
  </si>
  <si>
    <t>31 10 00</t>
  </si>
  <si>
    <t>Site Clearing</t>
  </si>
  <si>
    <t>Clearing and Grubbing</t>
  </si>
  <si>
    <t>31 11 00</t>
  </si>
  <si>
    <t>31 20 00</t>
  </si>
  <si>
    <t>Earth Moving</t>
  </si>
  <si>
    <t>31 22 00</t>
  </si>
  <si>
    <t>Grading</t>
  </si>
  <si>
    <t>Rough Grading</t>
  </si>
  <si>
    <t>Fine Grading</t>
  </si>
  <si>
    <t>31 22 13</t>
  </si>
  <si>
    <t>31 22 16</t>
  </si>
  <si>
    <t>31 23 00</t>
  </si>
  <si>
    <t>Excavation and Fill</t>
  </si>
  <si>
    <t>31 23 13</t>
  </si>
  <si>
    <t>Subgrade Preparation</t>
  </si>
  <si>
    <t>Trenching</t>
  </si>
  <si>
    <t>Structural Excavation for Minor Structures</t>
  </si>
  <si>
    <t xml:space="preserve">Rock Removal </t>
  </si>
  <si>
    <t>Dewatering</t>
  </si>
  <si>
    <t>Fill</t>
  </si>
  <si>
    <t>Backfill</t>
  </si>
  <si>
    <t>Compaction</t>
  </si>
  <si>
    <t>Flowable Fill</t>
  </si>
  <si>
    <t>Geofoam</t>
  </si>
  <si>
    <t>Trenching and Backfilling</t>
  </si>
  <si>
    <t>31 23 16</t>
  </si>
  <si>
    <t>31 23 16.13</t>
  </si>
  <si>
    <t>31 23 16.16</t>
  </si>
  <si>
    <t>31 23 16.26</t>
  </si>
  <si>
    <t>31 23 19</t>
  </si>
  <si>
    <t>31 23 23</t>
  </si>
  <si>
    <t>31 23 23.13</t>
  </si>
  <si>
    <t>31 23 23.23</t>
  </si>
  <si>
    <t>31 23 23.33</t>
  </si>
  <si>
    <t>31 23 23.43</t>
  </si>
  <si>
    <t>31 23 33</t>
  </si>
  <si>
    <t>31 25 00</t>
  </si>
  <si>
    <t>Erosion nd Sedimentation Controls</t>
  </si>
  <si>
    <t>Riprap</t>
  </si>
  <si>
    <t>31 37 00</t>
  </si>
  <si>
    <t>31 70 00</t>
  </si>
  <si>
    <t>Tunneling</t>
  </si>
  <si>
    <t>32 00 00</t>
  </si>
  <si>
    <t>Exterior Improvements</t>
  </si>
  <si>
    <t xml:space="preserve">32 10 00 </t>
  </si>
  <si>
    <t>Bases, Ballasts, and Paving</t>
  </si>
  <si>
    <t>Base Course</t>
  </si>
  <si>
    <t>32 11 00</t>
  </si>
  <si>
    <t>32 12 00</t>
  </si>
  <si>
    <t>Flexible Paving</t>
  </si>
  <si>
    <t>Unit Paving</t>
  </si>
  <si>
    <t>32 14 00</t>
  </si>
  <si>
    <t>32 16 00</t>
  </si>
  <si>
    <t>Curbs, Gutters, Sidewalks, and Driveways</t>
  </si>
  <si>
    <t>32 16 13</t>
  </si>
  <si>
    <t>32 16 13.13</t>
  </si>
  <si>
    <t>32 16 13.16</t>
  </si>
  <si>
    <t>32 16 13.23</t>
  </si>
  <si>
    <t>32 16 13.33</t>
  </si>
  <si>
    <t>32 16 13.43</t>
  </si>
  <si>
    <t>32 16 23</t>
  </si>
  <si>
    <t>32 16 33</t>
  </si>
  <si>
    <t>Driveways</t>
  </si>
  <si>
    <t>Stone Curbs</t>
  </si>
  <si>
    <t>Asphalt Curbs</t>
  </si>
  <si>
    <t>Precast Concrete Curbs and Gutters</t>
  </si>
  <si>
    <t>Steel Faced Curbs</t>
  </si>
  <si>
    <t>Cast-In-Place Concrete Curbs and Gutters</t>
  </si>
  <si>
    <t>Curbs and Gutters</t>
  </si>
  <si>
    <t>32 17 00</t>
  </si>
  <si>
    <t>Paving Specialties</t>
  </si>
  <si>
    <t>Parking Bumpers</t>
  </si>
  <si>
    <t>Pavement Markings</t>
  </si>
  <si>
    <t>32 17 23</t>
  </si>
  <si>
    <t>32 17 13</t>
  </si>
  <si>
    <t>32 30 00</t>
  </si>
  <si>
    <t>Site Improvements</t>
  </si>
  <si>
    <t>32 31 00</t>
  </si>
  <si>
    <t>Fences and Gates</t>
  </si>
  <si>
    <t>32 32 00</t>
  </si>
  <si>
    <t>Retaining Walls</t>
  </si>
  <si>
    <t>32 33 00</t>
  </si>
  <si>
    <t>Site Furnishing</t>
  </si>
  <si>
    <t>Site Trash and Litter Receptacles</t>
  </si>
  <si>
    <t>32 33 23</t>
  </si>
  <si>
    <t>32 90 00</t>
  </si>
  <si>
    <t>Planting</t>
  </si>
  <si>
    <t>32 91 00</t>
  </si>
  <si>
    <t>Planting Preparation</t>
  </si>
  <si>
    <t>32 92 00</t>
  </si>
  <si>
    <t>Turf and Grasses</t>
  </si>
  <si>
    <t>Plants</t>
  </si>
  <si>
    <t>32 93 00</t>
  </si>
  <si>
    <t>33 00 00</t>
  </si>
  <si>
    <t>Utilities</t>
  </si>
  <si>
    <t>33 10 00</t>
  </si>
  <si>
    <t>Water Utilities</t>
  </si>
  <si>
    <t>Groundwater Sources</t>
  </si>
  <si>
    <t>33 11 00</t>
  </si>
  <si>
    <t>33 14 00</t>
  </si>
  <si>
    <t>Water Utility Transmission and Distribution</t>
  </si>
  <si>
    <t>33 30 00</t>
  </si>
  <si>
    <t>Sanitary Sewerage</t>
  </si>
  <si>
    <t>Sanitary Sewerage Piping</t>
  </si>
  <si>
    <t>33 31 00</t>
  </si>
  <si>
    <t>33 32 00</t>
  </si>
  <si>
    <t>Sanitary Sewerage Equipment</t>
  </si>
  <si>
    <t>33 40 00</t>
  </si>
  <si>
    <t>Stormwater Utilities</t>
  </si>
  <si>
    <t>33 41 00</t>
  </si>
  <si>
    <t>Subdrainage</t>
  </si>
  <si>
    <t>Foundation Drainage</t>
  </si>
  <si>
    <t>33 41 13</t>
  </si>
  <si>
    <t>33 42 00</t>
  </si>
  <si>
    <t>Stormwater Conveyance</t>
  </si>
  <si>
    <t>33 46 00</t>
  </si>
  <si>
    <t>Stormwater Management</t>
  </si>
  <si>
    <t>33 70 00</t>
  </si>
  <si>
    <t>Electrical Utilities</t>
  </si>
  <si>
    <t>33 71 00</t>
  </si>
  <si>
    <t>Electrical Utilities Transmission and Distribution</t>
  </si>
  <si>
    <t>33 71 19</t>
  </si>
  <si>
    <t>Electrical Underground Ducts, Ductbanks, and Manholes</t>
  </si>
  <si>
    <t>Sq. Ft.</t>
  </si>
  <si>
    <t>Area:</t>
  </si>
  <si>
    <t>01 11 13</t>
  </si>
  <si>
    <t>01 11 16</t>
  </si>
  <si>
    <t>01 11 23</t>
  </si>
  <si>
    <t>01 11 26</t>
  </si>
  <si>
    <t>01 11 19</t>
  </si>
  <si>
    <t>01 11 26.13</t>
  </si>
  <si>
    <t>01 11 26.16</t>
  </si>
  <si>
    <t>01 11 26.19</t>
  </si>
  <si>
    <t>01 11 26.23</t>
  </si>
  <si>
    <t>01 11 26.26</t>
  </si>
  <si>
    <t>01 11 26.29</t>
  </si>
  <si>
    <t>01 11 26.33</t>
  </si>
  <si>
    <t>Materials &amp; Equipment</t>
  </si>
  <si>
    <t>Labor Total</t>
  </si>
  <si>
    <t>Material Total</t>
  </si>
  <si>
    <t>Quote</t>
  </si>
  <si>
    <t>Thermal &amp; Moisture Protection</t>
  </si>
  <si>
    <t>Specalties</t>
  </si>
  <si>
    <t>Furnishing</t>
  </si>
  <si>
    <t>TOTAL DIVISION 11</t>
  </si>
  <si>
    <t>TOTAL DIVISION 12</t>
  </si>
  <si>
    <t>TOTAL DIVISION 14</t>
  </si>
  <si>
    <t>TOTAL DIVISION 13</t>
  </si>
  <si>
    <t>TOTAL DIVISION 22</t>
  </si>
  <si>
    <t>TOTAL DIVISION 21</t>
  </si>
  <si>
    <t>TOTAL DIVISION 33</t>
  </si>
  <si>
    <t>TOTAL DIVISION 32</t>
  </si>
  <si>
    <t>TOTAL DIVISION 31</t>
  </si>
  <si>
    <t>TOTAL DIVISION 28</t>
  </si>
  <si>
    <t>TOTAL DIVISION 27</t>
  </si>
  <si>
    <t>TOTAL DIVISION 26</t>
  </si>
  <si>
    <t>TOTAL DIVISION 25</t>
  </si>
  <si>
    <t>TOTAL DIVISION 23</t>
  </si>
  <si>
    <t>Compartments and Cubicles</t>
  </si>
  <si>
    <t xml:space="preserve">Commercial Water Closets, Urinals, and Bidets </t>
  </si>
  <si>
    <t>Facility Fuel piping</t>
  </si>
  <si>
    <t>23 11 00</t>
  </si>
  <si>
    <t>26 09 13</t>
  </si>
  <si>
    <t>Electrical Contractor</t>
  </si>
  <si>
    <t>%</t>
  </si>
  <si>
    <t>Total Hours</t>
  </si>
  <si>
    <t>Contractor Total</t>
  </si>
  <si>
    <t>01 00 00</t>
  </si>
  <si>
    <t>Fee</t>
  </si>
  <si>
    <t>04 40 00</t>
  </si>
  <si>
    <t>Stone Assemblies</t>
  </si>
  <si>
    <t>05 50 00</t>
  </si>
  <si>
    <t>Metal Fabrications</t>
  </si>
  <si>
    <t>06 40 00</t>
  </si>
  <si>
    <t>Architectural Woodwork</t>
  </si>
  <si>
    <t>07 50 00</t>
  </si>
  <si>
    <t>Flashing and Sheet Metal</t>
  </si>
  <si>
    <t>07 60 00</t>
  </si>
  <si>
    <t>07 80 00</t>
  </si>
  <si>
    <t>Smoke and Fire Protection</t>
  </si>
  <si>
    <t>08 10 00</t>
  </si>
  <si>
    <t>Doors and Frames</t>
  </si>
  <si>
    <t>08 30 00</t>
  </si>
  <si>
    <t>Speciality Doors and Frames</t>
  </si>
  <si>
    <t>08 40 00</t>
  </si>
  <si>
    <t>Store Fronts and Curtainwalls</t>
  </si>
  <si>
    <t>08 80 00</t>
  </si>
  <si>
    <t>08 90 00</t>
  </si>
  <si>
    <t>Hardeware</t>
  </si>
  <si>
    <t>09 70 00</t>
  </si>
  <si>
    <t>Wall Finishes</t>
  </si>
  <si>
    <t>09 90 00</t>
  </si>
  <si>
    <t>Safety Specialties</t>
  </si>
  <si>
    <t>10 40 00</t>
  </si>
  <si>
    <t>10 50 00</t>
  </si>
  <si>
    <t>Storage Specialties</t>
  </si>
  <si>
    <t>Vehicle Equipment</t>
  </si>
  <si>
    <t>11 10 00</t>
  </si>
  <si>
    <t>11 40 00</t>
  </si>
  <si>
    <t>11 50 00</t>
  </si>
  <si>
    <t>Educational &amp; Lab Equipment</t>
  </si>
  <si>
    <t>23 80 00</t>
  </si>
  <si>
    <t>Decentralized HVAC Equipment</t>
  </si>
  <si>
    <t>Electrical Distribution</t>
  </si>
  <si>
    <t>31 30 00</t>
  </si>
  <si>
    <t>Earthwork Methods</t>
  </si>
  <si>
    <t>06 11 00</t>
  </si>
  <si>
    <t>Framing</t>
  </si>
  <si>
    <t>Travel</t>
  </si>
  <si>
    <t>Hotel</t>
  </si>
  <si>
    <t>foreman - Mondays</t>
  </si>
  <si>
    <t>foreman: Tues to Thurs</t>
  </si>
  <si>
    <t>foreman: Fridays</t>
  </si>
  <si>
    <t>SF</t>
  </si>
  <si>
    <t>Week</t>
  </si>
  <si>
    <t>Ea</t>
  </si>
  <si>
    <t>Allow</t>
  </si>
  <si>
    <t>Month</t>
  </si>
  <si>
    <t>Province</t>
  </si>
  <si>
    <t>City/Town</t>
  </si>
  <si>
    <t>Estimate Name</t>
  </si>
  <si>
    <t>Area</t>
  </si>
  <si>
    <t>Estimate Price</t>
  </si>
  <si>
    <t>Cost per Week</t>
  </si>
  <si>
    <t>Buyouts</t>
  </si>
  <si>
    <t>CO's</t>
  </si>
  <si>
    <t>Project Information</t>
  </si>
  <si>
    <t>Contract Type</t>
  </si>
  <si>
    <t>Payment Method</t>
  </si>
  <si>
    <t>Project Coordinator</t>
  </si>
  <si>
    <t>Status</t>
  </si>
  <si>
    <t>Bid Docs</t>
  </si>
  <si>
    <t>Rate</t>
  </si>
  <si>
    <t>ft</t>
  </si>
  <si>
    <t>ea</t>
  </si>
  <si>
    <t>Insulation</t>
  </si>
  <si>
    <t>sf</t>
  </si>
  <si>
    <t>L/Hour</t>
  </si>
  <si>
    <t>Hours</t>
  </si>
  <si>
    <t>Winter Conditions</t>
  </si>
  <si>
    <t>L</t>
  </si>
  <si>
    <t>Months</t>
  </si>
  <si>
    <t>United Rentals</t>
  </si>
  <si>
    <t>Frost Fighters</t>
  </si>
  <si>
    <t>month</t>
  </si>
  <si>
    <t>9.1 litres / hour</t>
  </si>
  <si>
    <t>Tarps (10)</t>
  </si>
  <si>
    <t>Fans</t>
  </si>
  <si>
    <t>Fuel Cube</t>
  </si>
  <si>
    <t>Litres/day</t>
  </si>
  <si>
    <t>Days</t>
  </si>
  <si>
    <t>Fuel</t>
  </si>
  <si>
    <t>litre</t>
  </si>
  <si>
    <t>Delivery</t>
  </si>
  <si>
    <t>Pickup</t>
  </si>
  <si>
    <t>Snow removal</t>
  </si>
  <si>
    <t>Cost</t>
  </si>
  <si>
    <t>Quantity</t>
  </si>
  <si>
    <t>Budget Year</t>
  </si>
  <si>
    <t>Date:</t>
  </si>
  <si>
    <t xml:space="preserve">02 82 00 </t>
  </si>
  <si>
    <t>Asbestos Remediation</t>
  </si>
  <si>
    <t>Sanitary Trenching</t>
  </si>
  <si>
    <t>Conduit Trenching</t>
  </si>
  <si>
    <t>Sub Contractor</t>
  </si>
  <si>
    <t>Quote Total</t>
  </si>
  <si>
    <t>Additional Quote Info</t>
  </si>
  <si>
    <t>Comparable Project</t>
  </si>
  <si>
    <t>Sub Contractor Cost</t>
  </si>
  <si>
    <t>Volume m3</t>
  </si>
  <si>
    <t>Footings</t>
  </si>
  <si>
    <t>A</t>
  </si>
  <si>
    <t>B</t>
  </si>
  <si>
    <t>Strip Footing</t>
  </si>
  <si>
    <t>Walls</t>
  </si>
  <si>
    <t>Piers</t>
  </si>
  <si>
    <t>Slab - ground floor</t>
  </si>
  <si>
    <t>Slab - 2nd floor</t>
  </si>
  <si>
    <t>Total Volume - Slab</t>
  </si>
  <si>
    <t>Total Volume - Footing</t>
  </si>
  <si>
    <t>Total Volume - Walls</t>
  </si>
  <si>
    <t>Pump</t>
  </si>
  <si>
    <t>Rebar</t>
  </si>
  <si>
    <t>Mesh</t>
  </si>
  <si>
    <t xml:space="preserve">06 11 00 </t>
  </si>
  <si>
    <t>01 31 01</t>
  </si>
  <si>
    <t>01 31 02</t>
  </si>
  <si>
    <t>01 31 03</t>
  </si>
  <si>
    <t>01 31 05</t>
  </si>
  <si>
    <t>01 31 04</t>
  </si>
  <si>
    <t>01 31 06</t>
  </si>
  <si>
    <t>01 32 00</t>
  </si>
  <si>
    <t>PM KM</t>
  </si>
  <si>
    <t>Superintendent KM</t>
  </si>
  <si>
    <t>Frequency</t>
  </si>
  <si>
    <t>Distance (Round Trip)</t>
  </si>
  <si>
    <t>Toll Cost</t>
  </si>
  <si>
    <t>Per Diem</t>
  </si>
  <si>
    <t>01 55 00</t>
  </si>
  <si>
    <t>Quantity of Fuel</t>
  </si>
  <si>
    <t>Tank Size</t>
  </si>
  <si>
    <t>L/Hr</t>
  </si>
  <si>
    <t>Litres / Day</t>
  </si>
  <si>
    <t>Duration (Days)</t>
  </si>
  <si>
    <t>Running (Hours / Day)</t>
  </si>
  <si>
    <t>m3</t>
  </si>
  <si>
    <t>Footing Volume</t>
  </si>
  <si>
    <t>Foundation Wall Volume</t>
  </si>
  <si>
    <t>Width</t>
  </si>
  <si>
    <t>D</t>
  </si>
  <si>
    <t>Type</t>
  </si>
  <si>
    <t>Height</t>
  </si>
  <si>
    <t>Thickness (ft)</t>
  </si>
  <si>
    <t>Area (SF)</t>
  </si>
  <si>
    <t>Length (FT)</t>
  </si>
  <si>
    <t>Width (ft)</t>
  </si>
  <si>
    <t>Height (ft)</t>
  </si>
  <si>
    <t>Total Volume - Exterior</t>
  </si>
  <si>
    <t>01 74 01</t>
  </si>
  <si>
    <t>01 74 02</t>
  </si>
  <si>
    <t>01 74 03</t>
  </si>
  <si>
    <t>01 74 04</t>
  </si>
  <si>
    <t>Moncton</t>
  </si>
  <si>
    <t>Saint John</t>
  </si>
  <si>
    <t xml:space="preserve">Fredericton </t>
  </si>
  <si>
    <t>Halifax</t>
  </si>
  <si>
    <t>/$1000</t>
  </si>
  <si>
    <t>Dieppe</t>
  </si>
  <si>
    <t>01 56 01</t>
  </si>
  <si>
    <t>01 56 02</t>
  </si>
  <si>
    <t>01 56 03</t>
  </si>
  <si>
    <t>01 56 04</t>
  </si>
  <si>
    <t>01 55 01</t>
  </si>
  <si>
    <t>01 55 02</t>
  </si>
  <si>
    <t>01 55 03</t>
  </si>
  <si>
    <t>01 55 04</t>
  </si>
  <si>
    <t>01 55 05</t>
  </si>
  <si>
    <t>01 55 06</t>
  </si>
  <si>
    <t>01 55 07</t>
  </si>
  <si>
    <t>01 54 01</t>
  </si>
  <si>
    <t>01 54 02</t>
  </si>
  <si>
    <t>01 54 03</t>
  </si>
  <si>
    <t>01 52 01</t>
  </si>
  <si>
    <t>01 52 02</t>
  </si>
  <si>
    <t>01 52 03</t>
  </si>
  <si>
    <t>01 52 04</t>
  </si>
  <si>
    <t>01 52 05</t>
  </si>
  <si>
    <t xml:space="preserve">01 51 01 </t>
  </si>
  <si>
    <t xml:space="preserve">01 51 02 </t>
  </si>
  <si>
    <t>01 51 03</t>
  </si>
  <si>
    <t>01 51 04</t>
  </si>
  <si>
    <t>01 51 05</t>
  </si>
  <si>
    <t>01 51 06</t>
  </si>
  <si>
    <t>01 51 07</t>
  </si>
  <si>
    <t>01 45 01</t>
  </si>
  <si>
    <t>01 45 02</t>
  </si>
  <si>
    <t>01 45 03</t>
  </si>
  <si>
    <t>01 45 04</t>
  </si>
  <si>
    <t>01 45 05</t>
  </si>
  <si>
    <t>01 41 00</t>
  </si>
  <si>
    <t>Slab Finishing - Ground Floor</t>
  </si>
  <si>
    <t>Slab Finishing - 2nd Floor</t>
  </si>
  <si>
    <t>rolls</t>
  </si>
  <si>
    <t>sheet</t>
  </si>
  <si>
    <t>Contractor Quote</t>
  </si>
  <si>
    <t>03 11 01</t>
  </si>
  <si>
    <t>03 11 02.1</t>
  </si>
  <si>
    <t>03 11 02.2</t>
  </si>
  <si>
    <t>03 11 02.3</t>
  </si>
  <si>
    <t>03 20 02</t>
  </si>
  <si>
    <t>03 20 01</t>
  </si>
  <si>
    <t>03 20 03</t>
  </si>
  <si>
    <t>03 30 01</t>
  </si>
  <si>
    <t>03 30 02</t>
  </si>
  <si>
    <t>03 30 03</t>
  </si>
  <si>
    <t>03 30 04</t>
  </si>
  <si>
    <t>Exterior Pads</t>
  </si>
  <si>
    <t>Budget Year :</t>
  </si>
  <si>
    <t>Status :</t>
  </si>
  <si>
    <t>Bid Documents :</t>
  </si>
  <si>
    <t>Estimate Name :</t>
  </si>
  <si>
    <t>Client :</t>
  </si>
  <si>
    <t>Contract Type :</t>
  </si>
  <si>
    <t>Payment Method :</t>
  </si>
  <si>
    <t>Province :</t>
  </si>
  <si>
    <t>City/Town :</t>
  </si>
  <si>
    <t>Framing Materials</t>
  </si>
  <si>
    <t>Framing Labour</t>
  </si>
  <si>
    <t>2x8</t>
  </si>
  <si>
    <t>2x6 Stud</t>
  </si>
  <si>
    <t>2x10</t>
  </si>
  <si>
    <t xml:space="preserve">1x3 </t>
  </si>
  <si>
    <t>1x4</t>
  </si>
  <si>
    <t>PLYWOOD</t>
  </si>
  <si>
    <t>1/2" Standard</t>
  </si>
  <si>
    <t>EA</t>
  </si>
  <si>
    <t>5/8" Standard</t>
  </si>
  <si>
    <t>3/4" Standard</t>
  </si>
  <si>
    <t>Concrete Floor Polishing</t>
  </si>
  <si>
    <t>VCT</t>
  </si>
  <si>
    <t>LVT</t>
  </si>
  <si>
    <t>Carpet Tile</t>
  </si>
  <si>
    <t>"+ Development Fee</t>
  </si>
  <si>
    <t>$100 &lt;$500k, $150 $500k to 1M, $300 1M - 5 M, $500 &gt; 5M</t>
  </si>
  <si>
    <t>Framing Material</t>
  </si>
  <si>
    <t>Foundation Materials</t>
  </si>
  <si>
    <t>03 60 01</t>
  </si>
  <si>
    <t>03 60 02</t>
  </si>
  <si>
    <t>Sub - Division</t>
  </si>
  <si>
    <t>Discription</t>
  </si>
  <si>
    <t>Rentals</t>
  </si>
  <si>
    <t>Insurance</t>
  </si>
  <si>
    <t>Quarter</t>
  </si>
  <si>
    <t>Project Definition</t>
  </si>
  <si>
    <t>Contract  Type</t>
  </si>
  <si>
    <t>Q1</t>
  </si>
  <si>
    <t>NB</t>
  </si>
  <si>
    <t>CCDC 2</t>
  </si>
  <si>
    <t>Stipulated Price</t>
  </si>
  <si>
    <t>Result</t>
  </si>
  <si>
    <t>Q2</t>
  </si>
  <si>
    <t>PEI</t>
  </si>
  <si>
    <t>CCDC 5B</t>
  </si>
  <si>
    <t>Fixed Fee</t>
  </si>
  <si>
    <t>Awarded</t>
  </si>
  <si>
    <t>Office</t>
  </si>
  <si>
    <t>Successful</t>
  </si>
  <si>
    <t>Q3</t>
  </si>
  <si>
    <t>NS</t>
  </si>
  <si>
    <t>CCDC 5A</t>
  </si>
  <si>
    <t>Not Awarded</t>
  </si>
  <si>
    <t>Retail</t>
  </si>
  <si>
    <t>Unsuccessful</t>
  </si>
  <si>
    <t>Q4</t>
  </si>
  <si>
    <t>Other</t>
  </si>
  <si>
    <t>Design Build</t>
  </si>
  <si>
    <t>Pending</t>
  </si>
  <si>
    <t>Quarter:</t>
  </si>
  <si>
    <t>Estimate # E-</t>
  </si>
  <si>
    <t>Result:</t>
  </si>
  <si>
    <t>Closing Date :</t>
  </si>
  <si>
    <t>Closing Date</t>
  </si>
  <si>
    <t>CLIENT SUMMARY</t>
  </si>
  <si>
    <t>$/SF</t>
  </si>
  <si>
    <t>Construction Aids &amp; Winter Conditions</t>
  </si>
  <si>
    <t>Column1</t>
  </si>
  <si>
    <t>Multi Residential</t>
  </si>
  <si>
    <t>$120 Base Fee</t>
  </si>
  <si>
    <t>Type of Construction</t>
  </si>
  <si>
    <t>Price Category</t>
  </si>
  <si>
    <t>Successful / Unsuccessful</t>
  </si>
  <si>
    <t>&gt;5M</t>
  </si>
  <si>
    <t>2-5M</t>
  </si>
  <si>
    <t>C</t>
  </si>
  <si>
    <t>500K - 2M</t>
  </si>
  <si>
    <t>100K - 500K</t>
  </si>
  <si>
    <t>E</t>
  </si>
  <si>
    <t>less than 100K</t>
  </si>
  <si>
    <t>Food</t>
  </si>
  <si>
    <t>01 54 04</t>
  </si>
  <si>
    <t>Technology (Procore, Smartbid, On-screen, Imaginit, Sage 300)</t>
  </si>
  <si>
    <t>01 32 01</t>
  </si>
  <si>
    <t>Builders Risk</t>
  </si>
  <si>
    <t>Wrap-up Liability</t>
  </si>
  <si>
    <t>Estimate Number</t>
  </si>
  <si>
    <t>Field Office One Time Charges</t>
  </si>
  <si>
    <t>General Liability &amp; Contractor's Pollution Liability</t>
  </si>
  <si>
    <t>$1000/month</t>
  </si>
  <si>
    <t>Contractor's Pollution Liability</t>
  </si>
  <si>
    <t>2500 Mountain Road Multi-Res</t>
  </si>
  <si>
    <t>Ashish Goel</t>
  </si>
  <si>
    <t>Spent</t>
  </si>
  <si>
    <t>Labour Spent</t>
  </si>
  <si>
    <t>Spent incl Rebar</t>
  </si>
  <si>
    <t>Materials Spent</t>
  </si>
  <si>
    <t>F1 Footing</t>
  </si>
  <si>
    <t>CF</t>
  </si>
  <si>
    <t>F1 Wall</t>
  </si>
  <si>
    <t>Footing B</t>
  </si>
  <si>
    <t>Columns</t>
  </si>
  <si>
    <t>SOG</t>
  </si>
  <si>
    <t>Structural Slab</t>
  </si>
  <si>
    <t>M3</t>
  </si>
  <si>
    <t>SOG Volume</t>
  </si>
  <si>
    <t>25MPA</t>
  </si>
  <si>
    <t>30MPA</t>
  </si>
  <si>
    <t>35MPA</t>
  </si>
  <si>
    <t>Pump Hrs</t>
  </si>
  <si>
    <t>Hrs</t>
  </si>
  <si>
    <t>38M Pump</t>
  </si>
  <si>
    <t>Already Spent</t>
  </si>
  <si>
    <t>Belle Foret</t>
  </si>
  <si>
    <t>By Client</t>
  </si>
  <si>
    <t>Ekinox</t>
  </si>
  <si>
    <t>Crane</t>
  </si>
  <si>
    <t>wks</t>
  </si>
  <si>
    <t>Crane Setup/Dismantle</t>
  </si>
  <si>
    <t>APC</t>
  </si>
  <si>
    <t>AVT</t>
  </si>
  <si>
    <t>CMS</t>
  </si>
  <si>
    <t>Big Bang</t>
  </si>
  <si>
    <t>Gbro</t>
  </si>
  <si>
    <t>Framing Only. They supply manlift, we supply crane and zoom boom</t>
  </si>
  <si>
    <t>Framing, strapping and tyvek install</t>
  </si>
  <si>
    <t>GB Finish</t>
  </si>
  <si>
    <t>S&amp;J</t>
  </si>
  <si>
    <t>Belle Foret per unit</t>
  </si>
  <si>
    <t>Belle Foret per Unit</t>
  </si>
  <si>
    <t>Includes pre-hung doors</t>
  </si>
  <si>
    <t>Lumber &amp; Fasterners Allowance</t>
  </si>
  <si>
    <t>Gagnon</t>
  </si>
  <si>
    <t>Advantage</t>
  </si>
  <si>
    <t>Kone</t>
  </si>
  <si>
    <t>Otis</t>
  </si>
  <si>
    <t>TK</t>
  </si>
  <si>
    <t>B&amp;G</t>
  </si>
  <si>
    <t>Deploy</t>
  </si>
  <si>
    <t>Troy</t>
  </si>
  <si>
    <t>Viking</t>
  </si>
  <si>
    <t>Vipond</t>
  </si>
  <si>
    <t>Everline</t>
  </si>
  <si>
    <t>Reitzel</t>
  </si>
  <si>
    <t>Previous Quotes</t>
  </si>
  <si>
    <t>Ston Masonry</t>
  </si>
  <si>
    <t>Labour only for exterior. Labour + Mat for interior block walls</t>
  </si>
  <si>
    <t>Previous Quote</t>
  </si>
  <si>
    <t>All Angles Covered</t>
  </si>
  <si>
    <t>A1</t>
  </si>
  <si>
    <t>Greenfoot</t>
  </si>
  <si>
    <t>GreenFoot</t>
  </si>
  <si>
    <t>Ray Mutch</t>
  </si>
  <si>
    <t>HP and HRV Only. No Common Areas</t>
  </si>
  <si>
    <t>Delway Original</t>
  </si>
  <si>
    <t>*** Not confirmed</t>
  </si>
  <si>
    <t>Optimal</t>
  </si>
  <si>
    <t>Sewell</t>
  </si>
  <si>
    <t>Added $ for truss bracing</t>
  </si>
  <si>
    <t>JP Masonry</t>
  </si>
  <si>
    <t>Summit</t>
  </si>
  <si>
    <t>$4500 extra for brick lintels</t>
  </si>
  <si>
    <t>Brick Lintels</t>
  </si>
  <si>
    <t>Atlas</t>
  </si>
  <si>
    <t xml:space="preserve">East Coast </t>
  </si>
  <si>
    <t>Allowance for corner columns install</t>
  </si>
  <si>
    <t>Truss Peninsule</t>
  </si>
  <si>
    <t>Extreme Kitchen</t>
  </si>
  <si>
    <t>Foxwood</t>
  </si>
  <si>
    <t>Hang It</t>
  </si>
  <si>
    <t>Royalty</t>
  </si>
  <si>
    <t>Shaw</t>
  </si>
  <si>
    <t>Triangle</t>
  </si>
  <si>
    <t>Mike's</t>
  </si>
  <si>
    <t>All Angles</t>
  </si>
  <si>
    <t>Belvue</t>
  </si>
  <si>
    <t>Eastbound</t>
  </si>
  <si>
    <t>Century</t>
  </si>
  <si>
    <t>Shaw Materials</t>
  </si>
  <si>
    <t>AVT Install</t>
  </si>
  <si>
    <t>Premium</t>
  </si>
  <si>
    <t>Global</t>
  </si>
  <si>
    <t>Atlantic</t>
  </si>
  <si>
    <t>Maritime</t>
  </si>
  <si>
    <t>FCG</t>
  </si>
  <si>
    <t>Fundy</t>
  </si>
  <si>
    <t>Ritchies</t>
  </si>
  <si>
    <t>D&amp;S</t>
  </si>
  <si>
    <t>P4X</t>
  </si>
  <si>
    <t>PaintGenix</t>
  </si>
  <si>
    <t>Priority</t>
  </si>
  <si>
    <t>Interior Visions</t>
  </si>
  <si>
    <t xml:space="preserve">Short </t>
  </si>
  <si>
    <t>Wire shelving</t>
  </si>
  <si>
    <t>JR Snowdon</t>
  </si>
  <si>
    <t>Premiere</t>
  </si>
  <si>
    <t>Conair</t>
  </si>
  <si>
    <t>Sica</t>
  </si>
  <si>
    <t>Amplify</t>
  </si>
  <si>
    <t>Lakeview</t>
  </si>
  <si>
    <t>Lumar</t>
  </si>
  <si>
    <t>Melco</t>
  </si>
  <si>
    <t>Branco</t>
  </si>
  <si>
    <t>Bastech</t>
  </si>
  <si>
    <t>MacArthurs</t>
  </si>
  <si>
    <t>Modern</t>
  </si>
  <si>
    <t>Eastern</t>
  </si>
  <si>
    <t>Stor-it</t>
  </si>
  <si>
    <t>Ayles</t>
  </si>
  <si>
    <t>Groundtek</t>
  </si>
  <si>
    <t>Per Unit</t>
  </si>
  <si>
    <t>Does not follow ID schedule</t>
  </si>
  <si>
    <t>Culture Stone</t>
  </si>
  <si>
    <t>Metal Siding</t>
  </si>
  <si>
    <t>Block Walls</t>
  </si>
  <si>
    <t>Belle Foret Atlas</t>
  </si>
  <si>
    <t>Joyce Atlas</t>
  </si>
  <si>
    <t>Panel Allowance</t>
  </si>
  <si>
    <t>Joyce</t>
  </si>
  <si>
    <t>Pre-Hung Doors</t>
  </si>
  <si>
    <t>Joyce per unit</t>
  </si>
  <si>
    <t>Joyce per sf/floor</t>
  </si>
  <si>
    <t>Underground Garage Allowance</t>
  </si>
  <si>
    <t>Floors</t>
  </si>
  <si>
    <t>Trusses</t>
  </si>
  <si>
    <t>Stairs</t>
  </si>
  <si>
    <t>Attict Hatches</t>
  </si>
  <si>
    <t>Mailbox</t>
  </si>
  <si>
    <t>Bike Rack</t>
  </si>
  <si>
    <t>Maximum</t>
  </si>
  <si>
    <t>Install only</t>
  </si>
  <si>
    <t xml:space="preserve">Ekinox </t>
  </si>
  <si>
    <t>Spent to date $168k</t>
  </si>
  <si>
    <t>Sound Proofing</t>
  </si>
  <si>
    <t>Acoustiboard</t>
  </si>
  <si>
    <t>Sealant</t>
  </si>
  <si>
    <t>Texcon</t>
  </si>
  <si>
    <t>Retaining Footings</t>
  </si>
  <si>
    <t>Retaining Footing</t>
  </si>
  <si>
    <t>LF</t>
  </si>
  <si>
    <t>Wet system in parkade</t>
  </si>
  <si>
    <t>ADS</t>
  </si>
  <si>
    <t>Metal clips for handrails</t>
  </si>
  <si>
    <t>T&amp;M</t>
  </si>
  <si>
    <t>Incl</t>
  </si>
  <si>
    <t>Not Incl</t>
  </si>
  <si>
    <t>Ghiro / BenJo</t>
  </si>
  <si>
    <t>$55k credit if no need to install brick veneer. Includes strapping install</t>
  </si>
  <si>
    <t>Option 1</t>
  </si>
  <si>
    <t>Option 2</t>
  </si>
  <si>
    <t>Euro</t>
  </si>
  <si>
    <t>Fixtures</t>
  </si>
  <si>
    <t>Bollards</t>
  </si>
  <si>
    <t>Eastern Bollards</t>
  </si>
  <si>
    <t>Laforest</t>
  </si>
  <si>
    <t>Soft Close +$44,250. Quartz +$372,000</t>
  </si>
  <si>
    <t>Gable</t>
  </si>
  <si>
    <t>Floor does not have boarding</t>
  </si>
  <si>
    <t>Total with Trusses</t>
  </si>
  <si>
    <t>F</t>
  </si>
  <si>
    <t>G</t>
  </si>
  <si>
    <t>H</t>
  </si>
  <si>
    <t>I</t>
  </si>
  <si>
    <t>BF</t>
  </si>
  <si>
    <t>Exterior</t>
  </si>
  <si>
    <t>Large</t>
  </si>
  <si>
    <t>Small</t>
  </si>
  <si>
    <t>Pendant</t>
  </si>
  <si>
    <t>Vanity</t>
  </si>
  <si>
    <t>Exterior Light</t>
  </si>
  <si>
    <t>Large Flush</t>
  </si>
  <si>
    <t>Small Flush</t>
  </si>
  <si>
    <t>Master Interior</t>
  </si>
  <si>
    <t>Melamine Counter top and doors</t>
  </si>
  <si>
    <t>Includes deck install and Windows install</t>
  </si>
  <si>
    <t>Royal</t>
  </si>
  <si>
    <t>Short</t>
  </si>
  <si>
    <t>Champion</t>
  </si>
  <si>
    <t>$43/m3</t>
  </si>
  <si>
    <t>Trinity</t>
  </si>
  <si>
    <t>Blown insulation only</t>
  </si>
  <si>
    <t>Alternative in floor insulation</t>
  </si>
  <si>
    <t>Floors Plus</t>
  </si>
  <si>
    <t>Economy</t>
  </si>
  <si>
    <t>Sevy</t>
  </si>
  <si>
    <t>Leblanc</t>
  </si>
  <si>
    <t>Dexter</t>
  </si>
  <si>
    <t>Price per sf</t>
  </si>
  <si>
    <t>ECR</t>
  </si>
  <si>
    <t>Pricing quartz top with melamine doors</t>
  </si>
  <si>
    <t>Shaw Stone supply</t>
  </si>
  <si>
    <t>Screwed Vena Stone</t>
  </si>
  <si>
    <t>Framing and concrete deck install. Additional $45k for window install</t>
  </si>
  <si>
    <t>Riztcor Install</t>
  </si>
  <si>
    <t>Veneer</t>
  </si>
  <si>
    <t>Interior Blocks</t>
  </si>
  <si>
    <t>Coating for garage slab</t>
  </si>
  <si>
    <t>Iller</t>
  </si>
  <si>
    <t>Frame bulkheads extra $28,640</t>
  </si>
  <si>
    <t>$550 Per square</t>
  </si>
  <si>
    <t>$5.50 per SF</t>
  </si>
  <si>
    <t>Alternative heat pumps</t>
  </si>
  <si>
    <t>Closet shelving</t>
  </si>
  <si>
    <t>Exterior Stone Veneer</t>
  </si>
  <si>
    <t>Balcony Handrails</t>
  </si>
  <si>
    <t>Acoustiboard floor soundproofing</t>
  </si>
  <si>
    <t>Aluminum Doors and Glazing</t>
  </si>
  <si>
    <t>Washroom Specialties</t>
  </si>
  <si>
    <t>Appliances</t>
  </si>
  <si>
    <t>Curb &amp; Sidewalks</t>
  </si>
  <si>
    <t>Subtotal</t>
  </si>
  <si>
    <t>Recommended Contingency</t>
  </si>
  <si>
    <t>Ghiro</t>
  </si>
  <si>
    <t>Option 2 is fixed count. Balcony doors tempered</t>
  </si>
  <si>
    <t>Did not include BF unit doors</t>
  </si>
  <si>
    <t>Option 2 is fixed count</t>
  </si>
  <si>
    <t>W1A</t>
  </si>
  <si>
    <t>W1B</t>
  </si>
  <si>
    <t>W1C</t>
  </si>
  <si>
    <t>W2A</t>
  </si>
  <si>
    <t>PatioA</t>
  </si>
  <si>
    <t>PatioB</t>
  </si>
  <si>
    <t>Vintage (Late)</t>
  </si>
  <si>
    <t>Master Interior (Late)</t>
  </si>
  <si>
    <t>Master Interior Chrome (Late)</t>
  </si>
  <si>
    <t>Master Interior Black (Late)</t>
  </si>
  <si>
    <t>Master Interior Mirror (Black)</t>
  </si>
  <si>
    <t>Mirror</t>
  </si>
  <si>
    <t>Master Interior Fixtures Black</t>
  </si>
  <si>
    <t>Master Interior Fixtures Partial Chrome</t>
  </si>
  <si>
    <t>Snowdon Comparison to Master</t>
  </si>
  <si>
    <t>Arsenault</t>
  </si>
  <si>
    <t>Solar Panels</t>
  </si>
  <si>
    <t>Trusun</t>
  </si>
  <si>
    <t>Electrical Change</t>
  </si>
  <si>
    <t>Structural Change</t>
  </si>
  <si>
    <t>Solar Mods Included</t>
  </si>
  <si>
    <t>Includes deck install and Windows install &amp; Solar Panel Reinforcements</t>
  </si>
  <si>
    <t>Additional with solar bracing</t>
  </si>
  <si>
    <t>$9,750 additional for Solar</t>
  </si>
  <si>
    <t>Solar Panel System</t>
  </si>
  <si>
    <t>Solar</t>
  </si>
  <si>
    <t>Atlas, CMS, Materials</t>
  </si>
  <si>
    <t>Solar Panel Addition</t>
  </si>
  <si>
    <t>*** In Div 13</t>
  </si>
  <si>
    <t>Missing spray foam in underground garage</t>
  </si>
  <si>
    <t>Need epoxy quotes</t>
  </si>
  <si>
    <t>Can start within 2 weeks. Says 6 to 8 weeks of work left to do</t>
  </si>
  <si>
    <t>506-627-6727</t>
  </si>
  <si>
    <t>Devin</t>
  </si>
  <si>
    <t>Need plumber to do underground</t>
  </si>
  <si>
    <t>Need to know if the city is doing the tie in</t>
  </si>
  <si>
    <t>Sent drawings for review</t>
  </si>
  <si>
    <t>Mix of iron and CPVC piping. 4 Stories does not require dry system in attict</t>
  </si>
  <si>
    <t>All iron piping.</t>
  </si>
  <si>
    <t>Confirmed verbally with Alex Lissandro 19-Aug</t>
  </si>
  <si>
    <t>Suite A Floor Trim</t>
  </si>
  <si>
    <t>Suite B Floor Trim</t>
  </si>
  <si>
    <t>Suite BF Trim</t>
  </si>
  <si>
    <t>Suite C Floor Trim</t>
  </si>
  <si>
    <t>Suite D Trim</t>
  </si>
  <si>
    <t>Suite E Trim</t>
  </si>
  <si>
    <t>Suite F Trim</t>
  </si>
  <si>
    <t>Suite G Trim</t>
  </si>
  <si>
    <t>Suite H Trim</t>
  </si>
  <si>
    <t>Suite I Trim</t>
  </si>
  <si>
    <t>Trim LF</t>
  </si>
  <si>
    <t>Suite QTY</t>
  </si>
  <si>
    <t>Total Trim</t>
  </si>
  <si>
    <t>10% Factor</t>
  </si>
  <si>
    <t>Floor Trim</t>
  </si>
  <si>
    <t>Door Trim</t>
  </si>
  <si>
    <t>Total Door Trim</t>
  </si>
  <si>
    <t>Pre-hung Doors</t>
  </si>
  <si>
    <t>Pre-hung doors</t>
  </si>
  <si>
    <t>Revised price</t>
  </si>
  <si>
    <t>Price no longer valid - Merge with Arsenault</t>
  </si>
  <si>
    <t>Option 1 is spec but does not meet NAFS. Option 2 offers alternative split window half operable.</t>
  </si>
  <si>
    <t>Cannot start rough ins until March</t>
  </si>
  <si>
    <t xml:space="preserve"> </t>
  </si>
  <si>
    <t>Foundation waterproofing allowance</t>
  </si>
  <si>
    <t>Budget</t>
  </si>
  <si>
    <t>Difference</t>
  </si>
  <si>
    <t>2024 Prices</t>
  </si>
  <si>
    <t>Cheaper when using with firestopping</t>
  </si>
  <si>
    <t>Expert Concrete</t>
  </si>
  <si>
    <t>Alternative heat pumps Equivalet to Hisense. Removed in-unit professional balancing.</t>
  </si>
  <si>
    <t>Contingency for Greenfoot</t>
  </si>
  <si>
    <t>Includes electrical portion of the work. Their estimated kw/h is 100 short.</t>
  </si>
  <si>
    <t>Potential mods to pit required</t>
  </si>
  <si>
    <t>Ready to award / Awarded</t>
  </si>
  <si>
    <t xml:space="preserve">% </t>
  </si>
  <si>
    <t>Total Job</t>
  </si>
  <si>
    <t>Meets Soprema Acoustiboard requirements.</t>
  </si>
  <si>
    <t>Assuming 1 tube can do 10'</t>
  </si>
  <si>
    <t>Coldtech</t>
  </si>
  <si>
    <t>Allowance for Road Connection</t>
  </si>
  <si>
    <t>Revised to meeet Soprema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</si>
</sst>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;[Red]\-&quot;$&quot;#,##0.00"/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.00"/>
    <numFmt numFmtId="167" formatCode="0.0%"/>
    <numFmt numFmtId="168" formatCode="[$-409]mmmm\ d\,\ yyyy;@"/>
    <numFmt numFmtId="169" formatCode="dd/mm/yy;@"/>
    <numFmt numFmtId="170" formatCode="_(&quot;$&quot;* #,##0_);_(&quot;$&quot;* \(#,##0\);_(&quot;$&quot;* &quot;-&quot;??_);_(@_)"/>
    <numFmt numFmtId="171" formatCode="[$-1009]mmmm\ d\,\ yyyy;@"/>
    <numFmt numFmtId="172" formatCode="0.0"/>
  </numFmts>
  <fonts count="56" x14ac:knownFonts="1">
    <font>
      <sz val="1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sz val="9"/>
      <name val="Arial"/>
      <family val="2"/>
    </font>
    <font>
      <b/>
      <sz val="12"/>
      <name val="Tahoma"/>
      <family val="2"/>
    </font>
    <font>
      <sz val="12"/>
      <name val="Tahoma"/>
      <family val="2"/>
    </font>
    <font>
      <b/>
      <sz val="11"/>
      <name val="Arial"/>
      <family val="2"/>
    </font>
    <font>
      <sz val="12"/>
      <name val="Arial"/>
      <family val="2"/>
    </font>
    <font>
      <b/>
      <sz val="11"/>
      <name val="Tahoma"/>
      <family val="2"/>
    </font>
    <font>
      <b/>
      <sz val="10"/>
      <color theme="1" tint="0.499984740745262"/>
      <name val="Arial"/>
      <family val="2"/>
    </font>
    <font>
      <sz val="10"/>
      <color theme="1" tint="0.499984740745262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sz val="10"/>
      <color rgb="FFC00000"/>
      <name val="Tahoma"/>
      <family val="2"/>
    </font>
    <font>
      <b/>
      <sz val="11"/>
      <color rgb="FFC00000"/>
      <name val="Tahoma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name val="Tahoma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4"/>
      <name val="Tahoma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14"/>
      <name val="Tahoma"/>
      <family val="2"/>
    </font>
    <font>
      <sz val="16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11"/>
      <color rgb="FFC00000"/>
      <name val="Arial"/>
      <family val="2"/>
    </font>
    <font>
      <b/>
      <sz val="14"/>
      <name val="Arial"/>
      <family val="2"/>
    </font>
    <font>
      <b/>
      <sz val="14"/>
      <color theme="0" tint="-0.34998626667073579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rgb="FFC00000"/>
      <name val="Arial"/>
      <family val="2"/>
    </font>
    <font>
      <b/>
      <sz val="12"/>
      <color rgb="FFC00000"/>
      <name val="Arial"/>
      <family val="2"/>
    </font>
    <font>
      <b/>
      <sz val="14"/>
      <color rgb="FFC00000"/>
      <name val="Arial"/>
      <family val="2"/>
    </font>
    <font>
      <sz val="11"/>
      <color rgb="FFC00000"/>
      <name val="Arial"/>
      <family val="2"/>
    </font>
    <font>
      <b/>
      <i/>
      <sz val="11"/>
      <color rgb="FFC00000"/>
      <name val="Arial"/>
      <family val="2"/>
    </font>
    <font>
      <sz val="10"/>
      <color rgb="FFFF000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0"/>
      <color theme="0" tint="-0.34998626667073579"/>
      <name val="Arial"/>
      <family val="2"/>
    </font>
    <font>
      <b/>
      <i/>
      <sz val="10"/>
      <color rgb="FFC00000"/>
      <name val="Arial"/>
      <family val="2"/>
    </font>
    <font>
      <b/>
      <i/>
      <u/>
      <sz val="10"/>
      <name val="Arial"/>
      <family val="2"/>
    </font>
    <font>
      <b/>
      <sz val="12"/>
      <color theme="0" tint="-0.34998626667073579"/>
      <name val="Arial"/>
      <family val="2"/>
    </font>
    <font>
      <sz val="12"/>
      <color rgb="FFC00000"/>
      <name val="Arial"/>
      <family val="2"/>
    </font>
    <font>
      <b/>
      <i/>
      <sz val="12"/>
      <color rgb="FFC00000"/>
      <name val="Arial"/>
      <family val="2"/>
    </font>
    <font>
      <sz val="12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D1C24"/>
        <bgColor indexed="64"/>
      </patternFill>
    </fill>
    <fill>
      <patternFill patternType="solid">
        <fgColor rgb="FF9E9F9E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7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thick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auto="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thick">
        <color auto="1"/>
      </bottom>
      <diagonal/>
    </border>
    <border>
      <left style="thick">
        <color auto="1"/>
      </left>
      <right style="thin">
        <color theme="0" tint="-0.24994659260841701"/>
      </right>
      <top style="thick">
        <color auto="1"/>
      </top>
      <bottom/>
      <diagonal/>
    </border>
    <border>
      <left style="thick">
        <color auto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auto="1"/>
      </top>
      <bottom/>
      <diagonal/>
    </border>
    <border>
      <left style="thin">
        <color theme="0" tint="-0.24994659260841701"/>
      </left>
      <right style="thick">
        <color auto="1"/>
      </right>
      <top style="thick">
        <color auto="1"/>
      </top>
      <bottom/>
      <diagonal/>
    </border>
    <border>
      <left style="thin">
        <color theme="0" tint="-0.24994659260841701"/>
      </left>
      <right style="thick">
        <color auto="1"/>
      </right>
      <top/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medium">
        <color auto="1"/>
      </bottom>
      <diagonal/>
    </border>
    <border>
      <left style="thick">
        <color auto="1"/>
      </left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auto="1"/>
      </right>
      <top style="medium">
        <color auto="1"/>
      </top>
      <bottom style="thin">
        <color theme="0" tint="-0.2499465926084170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theme="0" tint="-0.2499465926084170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/>
      <diagonal/>
    </border>
    <border>
      <left style="thick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 style="thick">
        <color auto="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ck">
        <color auto="1"/>
      </right>
      <top style="thin">
        <color theme="0" tint="-0.24994659260841701"/>
      </top>
      <bottom/>
      <diagonal/>
    </border>
    <border>
      <left style="thick">
        <color auto="1"/>
      </left>
      <right/>
      <top/>
      <bottom style="thin">
        <color theme="0" tint="-0.24994659260841701"/>
      </bottom>
      <diagonal/>
    </border>
    <border>
      <left/>
      <right style="thick">
        <color auto="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/>
      <top style="thin">
        <color theme="0" tint="-0.24994659260841701"/>
      </top>
      <bottom style="thick">
        <color auto="1"/>
      </bottom>
      <diagonal/>
    </border>
    <border>
      <left/>
      <right/>
      <top style="thin">
        <color theme="0" tint="-0.24994659260841701"/>
      </top>
      <bottom style="thick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1"/>
      </left>
      <right style="thin">
        <color theme="0"/>
      </right>
      <top style="thick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1"/>
      </top>
      <bottom style="thin">
        <color theme="0"/>
      </bottom>
      <diagonal/>
    </border>
    <border>
      <left style="thin">
        <color theme="0"/>
      </left>
      <right/>
      <top style="thick">
        <color theme="1"/>
      </top>
      <bottom style="thin">
        <color theme="0"/>
      </bottom>
      <diagonal/>
    </border>
    <border>
      <left/>
      <right style="thin">
        <color theme="0"/>
      </right>
      <top style="thick">
        <color theme="1"/>
      </top>
      <bottom style="thin">
        <color theme="0"/>
      </bottom>
      <diagonal/>
    </border>
    <border>
      <left style="thin">
        <color theme="0"/>
      </left>
      <right style="thick">
        <color theme="1"/>
      </right>
      <top style="thick">
        <color theme="1"/>
      </top>
      <bottom style="thin">
        <color theme="0"/>
      </bottom>
      <diagonal/>
    </border>
    <border>
      <left style="thick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1"/>
      </right>
      <top style="thin">
        <color theme="0"/>
      </top>
      <bottom style="thin">
        <color theme="0"/>
      </bottom>
      <diagonal/>
    </border>
    <border>
      <left style="thick">
        <color theme="1"/>
      </left>
      <right style="thin">
        <color theme="0"/>
      </right>
      <top style="thin">
        <color theme="0"/>
      </top>
      <bottom style="thick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1"/>
      </bottom>
      <diagonal/>
    </border>
    <border>
      <left style="thin">
        <color theme="0"/>
      </left>
      <right style="thick">
        <color theme="1"/>
      </right>
      <top style="thin">
        <color theme="0"/>
      </top>
      <bottom style="thick">
        <color theme="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medium">
        <color theme="1"/>
      </left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/>
      <right/>
      <top style="thin">
        <color theme="0"/>
      </top>
      <bottom/>
      <diagonal/>
    </border>
    <border>
      <left style="thick">
        <color theme="1"/>
      </left>
      <right/>
      <top style="thick">
        <color theme="1"/>
      </top>
      <bottom style="thin">
        <color theme="0"/>
      </bottom>
      <diagonal/>
    </border>
    <border>
      <left/>
      <right/>
      <top style="thick">
        <color theme="1"/>
      </top>
      <bottom style="thin">
        <color theme="0"/>
      </bottom>
      <diagonal/>
    </border>
    <border>
      <left style="thick">
        <color theme="1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ck">
        <color theme="1"/>
      </right>
      <top/>
      <bottom style="thin">
        <color theme="0"/>
      </bottom>
      <diagonal/>
    </border>
    <border>
      <left style="thick">
        <color theme="1"/>
      </left>
      <right/>
      <top style="thin">
        <color theme="0"/>
      </top>
      <bottom/>
      <diagonal/>
    </border>
    <border>
      <left/>
      <right style="thick">
        <color theme="1"/>
      </right>
      <top style="thin">
        <color theme="0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medium">
        <color theme="1"/>
      </top>
      <bottom style="medium">
        <color auto="1"/>
      </bottom>
      <diagonal/>
    </border>
    <border>
      <left/>
      <right/>
      <top style="medium">
        <color theme="1"/>
      </top>
      <bottom style="medium">
        <color auto="1"/>
      </bottom>
      <diagonal/>
    </border>
    <border>
      <left style="thick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thick">
        <color theme="1"/>
      </right>
      <top style="medium">
        <color theme="1"/>
      </top>
      <bottom/>
      <diagonal/>
    </border>
    <border>
      <left style="thick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ck">
        <color theme="1"/>
      </right>
      <top/>
      <bottom style="medium">
        <color theme="1"/>
      </bottom>
      <diagonal/>
    </border>
    <border>
      <left style="thick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/>
      <bottom style="thick">
        <color auto="1"/>
      </bottom>
      <diagonal/>
    </border>
    <border>
      <left/>
      <right style="medium">
        <color theme="1"/>
      </right>
      <top/>
      <bottom/>
      <diagonal/>
    </border>
    <border>
      <left style="medium">
        <color theme="0"/>
      </left>
      <right/>
      <top style="medium">
        <color theme="1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theme="0"/>
      </bottom>
      <diagonal/>
    </border>
    <border>
      <left/>
      <right/>
      <top style="medium">
        <color auto="1"/>
      </top>
      <bottom style="thin">
        <color theme="0"/>
      </bottom>
      <diagonal/>
    </border>
    <border>
      <left/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/>
      <top/>
      <bottom style="thin">
        <color theme="0"/>
      </bottom>
      <diagonal/>
    </border>
    <border>
      <left style="medium">
        <color auto="1"/>
      </left>
      <right/>
      <top style="thin">
        <color theme="0"/>
      </top>
      <bottom style="thin">
        <color theme="0"/>
      </bottom>
      <diagonal/>
    </border>
    <border>
      <left/>
      <right style="medium">
        <color auto="1"/>
      </right>
      <top/>
      <bottom style="thin">
        <color theme="0"/>
      </bottom>
      <diagonal/>
    </border>
    <border>
      <left style="medium">
        <color auto="1"/>
      </left>
      <right/>
      <top style="thin">
        <color theme="0"/>
      </top>
      <bottom/>
      <diagonal/>
    </border>
    <border>
      <left/>
      <right style="medium">
        <color auto="1"/>
      </right>
      <top style="thin">
        <color theme="0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n">
        <color theme="0" tint="-0.24994659260841701"/>
      </left>
      <right style="thick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ck">
        <color theme="0" tint="-0.24994659260841701"/>
      </right>
      <top/>
      <bottom/>
      <diagonal/>
    </border>
    <border>
      <left style="thin">
        <color theme="0" tint="-0.24994659260841701"/>
      </left>
      <right style="thick">
        <color theme="0" tint="-0.24994659260841701"/>
      </right>
      <top/>
      <bottom style="thin">
        <color theme="0" tint="-0.24994659260841701"/>
      </bottom>
      <diagonal/>
    </border>
    <border>
      <left/>
      <right style="thick">
        <color theme="0" tint="-0.24994659260841701"/>
      </right>
      <top/>
      <bottom style="thin">
        <color theme="0" tint="-0.2499465926084170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</borders>
  <cellStyleXfs count="5">
    <xf numFmtId="0" fontId="0" fillId="0" borderId="0"/>
    <xf numFmtId="165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135">
    <xf numFmtId="0" fontId="0" fillId="0" borderId="0" xfId="0"/>
    <xf numFmtId="164" fontId="0" fillId="0" borderId="0" xfId="2" applyFont="1"/>
    <xf numFmtId="164" fontId="0" fillId="0" borderId="0" xfId="0" applyNumberFormat="1"/>
    <xf numFmtId="0" fontId="7" fillId="0" borderId="0" xfId="0" applyFont="1"/>
    <xf numFmtId="0" fontId="8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2" applyFont="1" applyAlignment="1"/>
    <xf numFmtId="49" fontId="19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33" xfId="0" applyBorder="1" applyAlignment="1">
      <alignment horizontal="center"/>
    </xf>
    <xf numFmtId="0" fontId="17" fillId="4" borderId="36" xfId="0" applyFont="1" applyFill="1" applyBorder="1" applyAlignment="1">
      <alignment horizontal="center"/>
    </xf>
    <xf numFmtId="0" fontId="17" fillId="4" borderId="37" xfId="0" applyFont="1" applyFill="1" applyBorder="1" applyAlignment="1">
      <alignment horizontal="left"/>
    </xf>
    <xf numFmtId="0" fontId="18" fillId="4" borderId="37" xfId="0" applyFont="1" applyFill="1" applyBorder="1" applyAlignment="1">
      <alignment vertical="center" wrapText="1"/>
    </xf>
    <xf numFmtId="1" fontId="0" fillId="0" borderId="0" xfId="0" applyNumberFormat="1"/>
    <xf numFmtId="10" fontId="0" fillId="0" borderId="0" xfId="0" applyNumberFormat="1"/>
    <xf numFmtId="0" fontId="0" fillId="0" borderId="33" xfId="0" applyBorder="1"/>
    <xf numFmtId="164" fontId="0" fillId="0" borderId="0" xfId="2" applyFont="1" applyBorder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164" fontId="7" fillId="0" borderId="0" xfId="0" applyNumberFormat="1" applyFont="1" applyAlignment="1">
      <alignment horizontal="center" vertical="center" wrapText="1"/>
    </xf>
    <xf numFmtId="164" fontId="0" fillId="4" borderId="37" xfId="2" applyFont="1" applyFill="1" applyBorder="1"/>
    <xf numFmtId="0" fontId="0" fillId="4" borderId="37" xfId="0" applyFill="1" applyBorder="1"/>
    <xf numFmtId="0" fontId="3" fillId="0" borderId="0" xfId="0" applyFont="1"/>
    <xf numFmtId="164" fontId="0" fillId="0" borderId="0" xfId="2" applyFont="1" applyFill="1"/>
    <xf numFmtId="170" fontId="3" fillId="0" borderId="0" xfId="2" applyNumberFormat="1" applyFont="1" applyFill="1"/>
    <xf numFmtId="170" fontId="3" fillId="0" borderId="0" xfId="2" applyNumberFormat="1" applyFont="1" applyFill="1" applyBorder="1"/>
    <xf numFmtId="164" fontId="0" fillId="0" borderId="0" xfId="0" applyNumberFormat="1" applyAlignment="1">
      <alignment vertical="center"/>
    </xf>
    <xf numFmtId="49" fontId="14" fillId="0" borderId="0" xfId="0" applyNumberFormat="1" applyFont="1" applyAlignment="1">
      <alignment horizontal="left"/>
    </xf>
    <xf numFmtId="49" fontId="14" fillId="0" borderId="0" xfId="0" applyNumberFormat="1" applyFont="1"/>
    <xf numFmtId="49" fontId="19" fillId="0" borderId="0" xfId="0" applyNumberFormat="1" applyFont="1"/>
    <xf numFmtId="49" fontId="10" fillId="0" borderId="0" xfId="0" applyNumberFormat="1" applyFont="1"/>
    <xf numFmtId="0" fontId="21" fillId="0" borderId="0" xfId="0" applyFont="1"/>
    <xf numFmtId="0" fontId="7" fillId="0" borderId="0" xfId="0" applyFont="1" applyAlignment="1">
      <alignment horizontal="left"/>
    </xf>
    <xf numFmtId="0" fontId="11" fillId="0" borderId="0" xfId="0" applyFont="1"/>
    <xf numFmtId="164" fontId="11" fillId="0" borderId="0" xfId="0" applyNumberFormat="1" applyFont="1"/>
    <xf numFmtId="49" fontId="9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left"/>
    </xf>
    <xf numFmtId="49" fontId="20" fillId="0" borderId="0" xfId="0" applyNumberFormat="1" applyFont="1"/>
    <xf numFmtId="49" fontId="22" fillId="0" borderId="0" xfId="0" applyNumberFormat="1" applyFont="1" applyAlignment="1">
      <alignment horizontal="left"/>
    </xf>
    <xf numFmtId="49" fontId="23" fillId="0" borderId="0" xfId="0" applyNumberFormat="1" applyFont="1" applyAlignment="1">
      <alignment horizontal="left"/>
    </xf>
    <xf numFmtId="49" fontId="23" fillId="0" borderId="0" xfId="0" applyNumberFormat="1" applyFont="1" applyAlignment="1">
      <alignment horizontal="center"/>
    </xf>
    <xf numFmtId="164" fontId="3" fillId="0" borderId="0" xfId="2" applyFont="1" applyBorder="1" applyAlignment="1">
      <alignment horizontal="center" vertical="center"/>
    </xf>
    <xf numFmtId="164" fontId="4" fillId="0" borderId="0" xfId="2" applyFont="1" applyBorder="1" applyAlignment="1">
      <alignment horizontal="center" vertical="center"/>
    </xf>
    <xf numFmtId="9" fontId="0" fillId="0" borderId="0" xfId="4" applyFont="1" applyAlignment="1"/>
    <xf numFmtId="164" fontId="7" fillId="0" borderId="0" xfId="2" applyFont="1" applyAlignment="1"/>
    <xf numFmtId="9" fontId="7" fillId="0" borderId="0" xfId="4" applyFont="1" applyAlignment="1"/>
    <xf numFmtId="0" fontId="15" fillId="5" borderId="0" xfId="0" applyFont="1" applyFill="1" applyAlignment="1">
      <alignment horizontal="left"/>
    </xf>
    <xf numFmtId="164" fontId="12" fillId="5" borderId="0" xfId="2" applyFont="1" applyFill="1" applyBorder="1" applyAlignment="1">
      <alignment horizontal="right"/>
    </xf>
    <xf numFmtId="164" fontId="13" fillId="5" borderId="0" xfId="2" applyFont="1" applyFill="1" applyBorder="1"/>
    <xf numFmtId="0" fontId="15" fillId="4" borderId="120" xfId="0" applyFont="1" applyFill="1" applyBorder="1" applyAlignment="1">
      <alignment horizontal="left"/>
    </xf>
    <xf numFmtId="164" fontId="12" fillId="4" borderId="120" xfId="2" applyFont="1" applyFill="1" applyBorder="1" applyAlignment="1">
      <alignment horizontal="right"/>
    </xf>
    <xf numFmtId="164" fontId="13" fillId="4" borderId="120" xfId="2" applyFont="1" applyFill="1" applyBorder="1"/>
    <xf numFmtId="0" fontId="15" fillId="4" borderId="127" xfId="0" applyFont="1" applyFill="1" applyBorder="1" applyAlignment="1">
      <alignment horizontal="center"/>
    </xf>
    <xf numFmtId="164" fontId="13" fillId="4" borderId="128" xfId="2" applyFont="1" applyFill="1" applyBorder="1"/>
    <xf numFmtId="0" fontId="15" fillId="5" borderId="129" xfId="0" applyFont="1" applyFill="1" applyBorder="1" applyAlignment="1">
      <alignment horizontal="center"/>
    </xf>
    <xf numFmtId="164" fontId="13" fillId="5" borderId="130" xfId="2" applyFont="1" applyFill="1" applyBorder="1"/>
    <xf numFmtId="164" fontId="0" fillId="0" borderId="0" xfId="2" applyFont="1" applyBorder="1"/>
    <xf numFmtId="0" fontId="0" fillId="0" borderId="130" xfId="0" applyBorder="1"/>
    <xf numFmtId="0" fontId="0" fillId="4" borderId="144" xfId="0" applyFill="1" applyBorder="1"/>
    <xf numFmtId="164" fontId="24" fillId="0" borderId="0" xfId="2" applyFont="1" applyBorder="1"/>
    <xf numFmtId="0" fontId="24" fillId="0" borderId="0" xfId="0" applyFont="1"/>
    <xf numFmtId="164" fontId="24" fillId="0" borderId="139" xfId="0" applyNumberFormat="1" applyFont="1" applyBorder="1"/>
    <xf numFmtId="164" fontId="24" fillId="0" borderId="139" xfId="2" applyFont="1" applyBorder="1"/>
    <xf numFmtId="0" fontId="24" fillId="0" borderId="139" xfId="0" applyFont="1" applyBorder="1"/>
    <xf numFmtId="0" fontId="24" fillId="0" borderId="140" xfId="0" applyFont="1" applyBorder="1"/>
    <xf numFmtId="0" fontId="25" fillId="5" borderId="129" xfId="0" applyFont="1" applyFill="1" applyBorder="1" applyAlignment="1">
      <alignment horizontal="center"/>
    </xf>
    <xf numFmtId="0" fontId="25" fillId="5" borderId="0" xfId="0" applyFont="1" applyFill="1" applyAlignment="1">
      <alignment horizontal="left"/>
    </xf>
    <xf numFmtId="0" fontId="24" fillId="5" borderId="0" xfId="0" applyFont="1" applyFill="1"/>
    <xf numFmtId="0" fontId="24" fillId="9" borderId="0" xfId="0" applyFont="1" applyFill="1"/>
    <xf numFmtId="164" fontId="24" fillId="5" borderId="0" xfId="2" applyFont="1" applyFill="1" applyBorder="1"/>
    <xf numFmtId="0" fontId="24" fillId="0" borderId="0" xfId="0" applyFont="1" applyAlignment="1">
      <alignment horizontal="left"/>
    </xf>
    <xf numFmtId="164" fontId="24" fillId="9" borderId="0" xfId="2" applyFont="1" applyFill="1" applyBorder="1"/>
    <xf numFmtId="0" fontId="24" fillId="0" borderId="138" xfId="0" applyFont="1" applyBorder="1"/>
    <xf numFmtId="0" fontId="25" fillId="5" borderId="133" xfId="0" applyFont="1" applyFill="1" applyBorder="1" applyAlignment="1">
      <alignment horizontal="center"/>
    </xf>
    <xf numFmtId="0" fontId="25" fillId="5" borderId="134" xfId="0" applyFont="1" applyFill="1" applyBorder="1" applyAlignment="1">
      <alignment horizontal="left"/>
    </xf>
    <xf numFmtId="0" fontId="24" fillId="0" borderId="0" xfId="0" applyFont="1" applyAlignment="1">
      <alignment horizontal="center"/>
    </xf>
    <xf numFmtId="164" fontId="24" fillId="5" borderId="0" xfId="0" applyNumberFormat="1" applyFont="1" applyFill="1"/>
    <xf numFmtId="0" fontId="25" fillId="5" borderId="13" xfId="0" applyFont="1" applyFill="1" applyBorder="1" applyAlignment="1">
      <alignment horizontal="center"/>
    </xf>
    <xf numFmtId="0" fontId="25" fillId="5" borderId="13" xfId="0" applyFont="1" applyFill="1" applyBorder="1" applyAlignment="1">
      <alignment horizontal="left"/>
    </xf>
    <xf numFmtId="164" fontId="27" fillId="0" borderId="0" xfId="2" applyFont="1" applyBorder="1" applyAlignment="1">
      <alignment vertical="center"/>
    </xf>
    <xf numFmtId="0" fontId="24" fillId="5" borderId="137" xfId="0" applyFont="1" applyFill="1" applyBorder="1"/>
    <xf numFmtId="0" fontId="16" fillId="6" borderId="131" xfId="2" applyNumberFormat="1" applyFont="1" applyFill="1" applyBorder="1" applyAlignment="1">
      <alignment horizontal="left" vertical="center"/>
    </xf>
    <xf numFmtId="0" fontId="28" fillId="6" borderId="0" xfId="2" applyNumberFormat="1" applyFont="1" applyFill="1" applyBorder="1" applyAlignment="1">
      <alignment horizontal="left" vertical="center"/>
    </xf>
    <xf numFmtId="171" fontId="28" fillId="6" borderId="125" xfId="2" applyNumberFormat="1" applyFont="1" applyFill="1" applyBorder="1" applyAlignment="1">
      <alignment horizontal="left" vertical="center"/>
    </xf>
    <xf numFmtId="164" fontId="26" fillId="6" borderId="123" xfId="2" applyFont="1" applyFill="1" applyBorder="1" applyAlignment="1">
      <alignment horizontal="right" vertical="center"/>
    </xf>
    <xf numFmtId="171" fontId="26" fillId="6" borderId="124" xfId="2" applyNumberFormat="1" applyFont="1" applyFill="1" applyBorder="1" applyAlignment="1">
      <alignment horizontal="left" vertical="center"/>
    </xf>
    <xf numFmtId="0" fontId="27" fillId="0" borderId="135" xfId="0" applyFont="1" applyBorder="1" applyAlignment="1">
      <alignment horizontal="center" vertical="center"/>
    </xf>
    <xf numFmtId="0" fontId="27" fillId="0" borderId="136" xfId="0" applyFont="1" applyBorder="1" applyAlignment="1">
      <alignment horizontal="left" vertical="center"/>
    </xf>
    <xf numFmtId="0" fontId="24" fillId="0" borderId="136" xfId="0" applyFont="1" applyBorder="1" applyAlignment="1">
      <alignment vertical="center"/>
    </xf>
    <xf numFmtId="164" fontId="24" fillId="0" borderId="136" xfId="2" applyFont="1" applyBorder="1" applyAlignment="1">
      <alignment vertical="center"/>
    </xf>
    <xf numFmtId="164" fontId="27" fillId="0" borderId="136" xfId="2" applyFont="1" applyBorder="1" applyAlignment="1">
      <alignment horizontal="right" vertical="center"/>
    </xf>
    <xf numFmtId="164" fontId="27" fillId="0" borderId="137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64" fontId="24" fillId="0" borderId="136" xfId="0" applyNumberFormat="1" applyFont="1" applyBorder="1" applyAlignment="1">
      <alignment vertical="center"/>
    </xf>
    <xf numFmtId="0" fontId="24" fillId="0" borderId="137" xfId="0" applyFont="1" applyBorder="1" applyAlignment="1">
      <alignment vertical="center"/>
    </xf>
    <xf numFmtId="0" fontId="27" fillId="0" borderId="141" xfId="0" applyFont="1" applyBorder="1" applyAlignment="1">
      <alignment horizontal="center" vertical="center"/>
    </xf>
    <xf numFmtId="0" fontId="27" fillId="0" borderId="142" xfId="0" applyFont="1" applyBorder="1" applyAlignment="1">
      <alignment horizontal="left" vertical="center"/>
    </xf>
    <xf numFmtId="164" fontId="24" fillId="0" borderId="142" xfId="2" applyFont="1" applyBorder="1" applyAlignment="1">
      <alignment vertical="center"/>
    </xf>
    <xf numFmtId="164" fontId="24" fillId="0" borderId="142" xfId="0" applyNumberFormat="1" applyFont="1" applyBorder="1" applyAlignment="1">
      <alignment vertical="center"/>
    </xf>
    <xf numFmtId="0" fontId="24" fillId="0" borderId="142" xfId="0" applyFont="1" applyBorder="1" applyAlignment="1">
      <alignment vertical="center"/>
    </xf>
    <xf numFmtId="164" fontId="27" fillId="0" borderId="142" xfId="2" applyFont="1" applyBorder="1" applyAlignment="1">
      <alignment horizontal="right" vertical="center"/>
    </xf>
    <xf numFmtId="164" fontId="27" fillId="0" borderId="143" xfId="0" applyNumberFormat="1" applyFont="1" applyBorder="1" applyAlignment="1">
      <alignment vertical="center"/>
    </xf>
    <xf numFmtId="0" fontId="24" fillId="0" borderId="129" xfId="0" applyFont="1" applyBorder="1" applyAlignment="1">
      <alignment vertical="center"/>
    </xf>
    <xf numFmtId="0" fontId="24" fillId="0" borderId="0" xfId="0" applyFont="1" applyAlignment="1">
      <alignment vertical="center"/>
    </xf>
    <xf numFmtId="164" fontId="24" fillId="0" borderId="0" xfId="2" applyFont="1" applyBorder="1" applyAlignment="1">
      <alignment vertical="center"/>
    </xf>
    <xf numFmtId="164" fontId="24" fillId="0" borderId="0" xfId="0" applyNumberFormat="1" applyFont="1" applyAlignment="1">
      <alignment vertical="center"/>
    </xf>
    <xf numFmtId="0" fontId="24" fillId="0" borderId="130" xfId="0" applyFont="1" applyBorder="1" applyAlignment="1">
      <alignment vertical="center"/>
    </xf>
    <xf numFmtId="0" fontId="24" fillId="0" borderId="138" xfId="0" applyFont="1" applyBorder="1" applyAlignment="1">
      <alignment vertical="center"/>
    </xf>
    <xf numFmtId="0" fontId="24" fillId="0" borderId="139" xfId="0" applyFont="1" applyBorder="1" applyAlignment="1">
      <alignment vertical="center"/>
    </xf>
    <xf numFmtId="164" fontId="24" fillId="0" borderId="139" xfId="2" applyFont="1" applyBorder="1" applyAlignment="1">
      <alignment vertical="center"/>
    </xf>
    <xf numFmtId="164" fontId="24" fillId="0" borderId="139" xfId="0" applyNumberFormat="1" applyFont="1" applyBorder="1" applyAlignment="1">
      <alignment vertical="center"/>
    </xf>
    <xf numFmtId="0" fontId="24" fillId="0" borderId="140" xfId="0" applyFont="1" applyBorder="1" applyAlignment="1">
      <alignment vertical="center"/>
    </xf>
    <xf numFmtId="164" fontId="24" fillId="5" borderId="0" xfId="2" applyFont="1" applyFill="1" applyBorder="1" applyAlignment="1">
      <alignment vertical="center"/>
    </xf>
    <xf numFmtId="0" fontId="24" fillId="5" borderId="0" xfId="0" applyFont="1" applyFill="1" applyAlignment="1">
      <alignment vertical="center"/>
    </xf>
    <xf numFmtId="164" fontId="24" fillId="5" borderId="0" xfId="0" applyNumberFormat="1" applyFont="1" applyFill="1" applyAlignment="1">
      <alignment vertical="center"/>
    </xf>
    <xf numFmtId="0" fontId="24" fillId="5" borderId="130" xfId="0" applyFont="1" applyFill="1" applyBorder="1" applyAlignment="1">
      <alignment vertical="center"/>
    </xf>
    <xf numFmtId="164" fontId="27" fillId="0" borderId="0" xfId="2" applyFont="1" applyBorder="1" applyAlignment="1">
      <alignment horizontal="right" vertical="center"/>
    </xf>
    <xf numFmtId="164" fontId="27" fillId="0" borderId="130" xfId="0" applyNumberFormat="1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24" fillId="0" borderId="139" xfId="0" applyFont="1" applyBorder="1" applyAlignment="1">
      <alignment horizontal="left" vertical="center"/>
    </xf>
    <xf numFmtId="0" fontId="24" fillId="0" borderId="129" xfId="0" applyFont="1" applyBorder="1" applyAlignment="1">
      <alignment horizontal="center" vertical="center"/>
    </xf>
    <xf numFmtId="0" fontId="24" fillId="0" borderId="138" xfId="0" applyFont="1" applyBorder="1" applyAlignment="1">
      <alignment horizontal="center" vertical="center"/>
    </xf>
    <xf numFmtId="164" fontId="24" fillId="0" borderId="139" xfId="2" applyFont="1" applyFill="1" applyBorder="1" applyAlignment="1">
      <alignment vertical="center"/>
    </xf>
    <xf numFmtId="49" fontId="26" fillId="0" borderId="129" xfId="0" applyNumberFormat="1" applyFont="1" applyBorder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5" fillId="0" borderId="129" xfId="0" applyNumberFormat="1" applyFont="1" applyBorder="1" applyAlignment="1">
      <alignment horizontal="center" vertical="center"/>
    </xf>
    <xf numFmtId="49" fontId="25" fillId="0" borderId="0" xfId="0" applyNumberFormat="1" applyFont="1" applyAlignment="1">
      <alignment horizontal="left" vertical="center"/>
    </xf>
    <xf numFmtId="49" fontId="25" fillId="0" borderId="138" xfId="0" applyNumberFormat="1" applyFont="1" applyBorder="1" applyAlignment="1">
      <alignment horizontal="center" vertical="center"/>
    </xf>
    <xf numFmtId="49" fontId="25" fillId="0" borderId="139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15" fillId="0" borderId="10" xfId="2" applyNumberFormat="1" applyFont="1" applyFill="1" applyBorder="1" applyAlignment="1"/>
    <xf numFmtId="164" fontId="15" fillId="0" borderId="10" xfId="2" applyFont="1" applyFill="1" applyBorder="1" applyAlignment="1"/>
    <xf numFmtId="171" fontId="0" fillId="0" borderId="0" xfId="0" applyNumberFormat="1"/>
    <xf numFmtId="0" fontId="29" fillId="12" borderId="163" xfId="0" applyFont="1" applyFill="1" applyBorder="1"/>
    <xf numFmtId="0" fontId="0" fillId="13" borderId="164" xfId="0" applyFill="1" applyBorder="1"/>
    <xf numFmtId="0" fontId="0" fillId="0" borderId="164" xfId="0" applyBorder="1"/>
    <xf numFmtId="0" fontId="0" fillId="13" borderId="165" xfId="0" applyFill="1" applyBorder="1"/>
    <xf numFmtId="171" fontId="7" fillId="0" borderId="0" xfId="0" applyNumberFormat="1" applyFont="1"/>
    <xf numFmtId="169" fontId="7" fillId="0" borderId="0" xfId="0" applyNumberFormat="1" applyFont="1"/>
    <xf numFmtId="37" fontId="0" fillId="0" borderId="0" xfId="0" applyNumberFormat="1"/>
    <xf numFmtId="2" fontId="0" fillId="0" borderId="2" xfId="0" applyNumberFormat="1" applyBorder="1" applyAlignment="1">
      <alignment horizontal="center"/>
    </xf>
    <xf numFmtId="0" fontId="0" fillId="0" borderId="2" xfId="0" applyBorder="1"/>
    <xf numFmtId="2" fontId="0" fillId="0" borderId="4" xfId="0" applyNumberFormat="1" applyBorder="1" applyAlignment="1">
      <alignment horizontal="center"/>
    </xf>
    <xf numFmtId="0" fontId="0" fillId="0" borderId="4" xfId="0" applyBorder="1"/>
    <xf numFmtId="2" fontId="0" fillId="0" borderId="3" xfId="0" applyNumberFormat="1" applyBorder="1" applyAlignment="1">
      <alignment horizontal="center"/>
    </xf>
    <xf numFmtId="171" fontId="0" fillId="0" borderId="3" xfId="0" applyNumberFormat="1" applyBorder="1"/>
    <xf numFmtId="0" fontId="1" fillId="0" borderId="10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6" borderId="0" xfId="0" applyFont="1" applyFill="1"/>
    <xf numFmtId="0" fontId="2" fillId="6" borderId="155" xfId="0" applyFont="1" applyFill="1" applyBorder="1" applyAlignment="1">
      <alignment horizontal="center"/>
    </xf>
    <xf numFmtId="0" fontId="2" fillId="6" borderId="156" xfId="0" applyFont="1" applyFill="1" applyBorder="1" applyAlignment="1">
      <alignment horizontal="left"/>
    </xf>
    <xf numFmtId="0" fontId="1" fillId="6" borderId="156" xfId="0" applyFont="1" applyFill="1" applyBorder="1"/>
    <xf numFmtId="0" fontId="15" fillId="6" borderId="156" xfId="2" applyNumberFormat="1" applyFont="1" applyFill="1" applyBorder="1" applyAlignment="1"/>
    <xf numFmtId="164" fontId="15" fillId="6" borderId="157" xfId="2" applyFont="1" applyFill="1" applyBorder="1" applyAlignment="1"/>
    <xf numFmtId="0" fontId="30" fillId="6" borderId="0" xfId="2" applyNumberFormat="1" applyFont="1" applyFill="1" applyBorder="1" applyAlignment="1">
      <alignment horizontal="left"/>
    </xf>
    <xf numFmtId="0" fontId="26" fillId="6" borderId="0" xfId="2" applyNumberFormat="1" applyFont="1" applyFill="1" applyBorder="1" applyAlignment="1">
      <alignment horizontal="left"/>
    </xf>
    <xf numFmtId="164" fontId="19" fillId="6" borderId="159" xfId="2" applyFont="1" applyFill="1" applyBorder="1" applyAlignment="1">
      <alignment horizontal="right"/>
    </xf>
    <xf numFmtId="171" fontId="19" fillId="6" borderId="124" xfId="2" applyNumberFormat="1" applyFont="1" applyFill="1" applyBorder="1" applyAlignment="1">
      <alignment horizontal="left"/>
    </xf>
    <xf numFmtId="171" fontId="19" fillId="6" borderId="125" xfId="2" applyNumberFormat="1" applyFont="1" applyFill="1" applyBorder="1" applyAlignment="1">
      <alignment horizontal="left"/>
    </xf>
    <xf numFmtId="0" fontId="15" fillId="10" borderId="161" xfId="0" applyFont="1" applyFill="1" applyBorder="1" applyAlignment="1">
      <alignment horizontal="center"/>
    </xf>
    <xf numFmtId="0" fontId="15" fillId="10" borderId="120" xfId="0" applyFont="1" applyFill="1" applyBorder="1" applyAlignment="1">
      <alignment horizontal="left"/>
    </xf>
    <xf numFmtId="164" fontId="12" fillId="10" borderId="120" xfId="2" applyFont="1" applyFill="1" applyBorder="1" applyAlignment="1">
      <alignment horizontal="right"/>
    </xf>
    <xf numFmtId="164" fontId="13" fillId="10" borderId="120" xfId="2" applyFont="1" applyFill="1" applyBorder="1" applyAlignment="1"/>
    <xf numFmtId="164" fontId="13" fillId="10" borderId="162" xfId="2" applyFont="1" applyFill="1" applyBorder="1" applyAlignment="1"/>
    <xf numFmtId="0" fontId="31" fillId="0" borderId="12" xfId="0" applyFont="1" applyBorder="1" applyAlignment="1">
      <alignment horizontal="center"/>
    </xf>
    <xf numFmtId="0" fontId="31" fillId="0" borderId="13" xfId="0" applyFont="1" applyBorder="1" applyAlignment="1">
      <alignment horizontal="left"/>
    </xf>
    <xf numFmtId="0" fontId="1" fillId="0" borderId="13" xfId="0" applyFont="1" applyBorder="1"/>
    <xf numFmtId="0" fontId="1" fillId="0" borderId="13" xfId="0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49" fontId="19" fillId="0" borderId="7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49" fontId="10" fillId="0" borderId="7" xfId="0" applyNumberFormat="1" applyFont="1" applyBorder="1" applyAlignment="1">
      <alignment horizontal="center"/>
    </xf>
    <xf numFmtId="0" fontId="1" fillId="11" borderId="151" xfId="0" applyFont="1" applyFill="1" applyBorder="1" applyAlignment="1">
      <alignment horizontal="center"/>
    </xf>
    <xf numFmtId="0" fontId="1" fillId="11" borderId="152" xfId="0" applyFont="1" applyFill="1" applyBorder="1" applyAlignment="1">
      <alignment horizontal="left"/>
    </xf>
    <xf numFmtId="0" fontId="1" fillId="11" borderId="152" xfId="0" applyFont="1" applyFill="1" applyBorder="1"/>
    <xf numFmtId="0" fontId="1" fillId="11" borderId="152" xfId="0" applyFont="1" applyFill="1" applyBorder="1" applyAlignment="1">
      <alignment horizontal="center"/>
    </xf>
    <xf numFmtId="0" fontId="1" fillId="11" borderId="153" xfId="0" applyFont="1" applyFill="1" applyBorder="1" applyAlignment="1">
      <alignment horizontal="center"/>
    </xf>
    <xf numFmtId="0" fontId="31" fillId="0" borderId="7" xfId="0" applyFont="1" applyBorder="1" applyAlignment="1">
      <alignment horizontal="center"/>
    </xf>
    <xf numFmtId="0" fontId="31" fillId="0" borderId="0" xfId="0" applyFont="1" applyAlignment="1">
      <alignment horizontal="left"/>
    </xf>
    <xf numFmtId="164" fontId="1" fillId="0" borderId="8" xfId="2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7" xfId="0" applyFont="1" applyBorder="1"/>
    <xf numFmtId="0" fontId="10" fillId="0" borderId="0" xfId="0" applyFont="1"/>
    <xf numFmtId="0" fontId="10" fillId="0" borderId="9" xfId="0" applyFont="1" applyBorder="1"/>
    <xf numFmtId="0" fontId="10" fillId="0" borderId="10" xfId="0" applyFont="1" applyBorder="1"/>
    <xf numFmtId="164" fontId="1" fillId="0" borderId="10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2" fillId="10" borderId="9" xfId="0" applyFont="1" applyFill="1" applyBorder="1" applyAlignment="1">
      <alignment horizontal="center"/>
    </xf>
    <xf numFmtId="0" fontId="32" fillId="10" borderId="10" xfId="0" applyFont="1" applyFill="1" applyBorder="1" applyAlignment="1">
      <alignment horizontal="left"/>
    </xf>
    <xf numFmtId="0" fontId="33" fillId="10" borderId="10" xfId="0" applyFont="1" applyFill="1" applyBorder="1" applyAlignment="1">
      <alignment wrapText="1"/>
    </xf>
    <xf numFmtId="0" fontId="33" fillId="10" borderId="11" xfId="0" applyFont="1" applyFill="1" applyBorder="1" applyAlignment="1">
      <alignment wrapText="1"/>
    </xf>
    <xf numFmtId="0" fontId="31" fillId="10" borderId="29" xfId="0" applyFont="1" applyFill="1" applyBorder="1"/>
    <xf numFmtId="0" fontId="34" fillId="10" borderId="30" xfId="0" applyFont="1" applyFill="1" applyBorder="1"/>
    <xf numFmtId="0" fontId="35" fillId="10" borderId="30" xfId="0" applyFont="1" applyFill="1" applyBorder="1" applyAlignment="1">
      <alignment horizontal="left"/>
    </xf>
    <xf numFmtId="0" fontId="35" fillId="10" borderId="30" xfId="0" applyFont="1" applyFill="1" applyBorder="1"/>
    <xf numFmtId="0" fontId="34" fillId="0" borderId="149" xfId="0" applyFont="1" applyBorder="1" applyAlignment="1">
      <alignment horizontal="center"/>
    </xf>
    <xf numFmtId="0" fontId="14" fillId="6" borderId="117" xfId="0" applyFont="1" applyFill="1" applyBorder="1" applyAlignment="1">
      <alignment horizontal="right"/>
    </xf>
    <xf numFmtId="171" fontId="14" fillId="6" borderId="47" xfId="0" applyNumberFormat="1" applyFont="1" applyFill="1" applyBorder="1" applyAlignment="1">
      <alignment horizontal="center"/>
    </xf>
    <xf numFmtId="164" fontId="31" fillId="0" borderId="47" xfId="2" applyFont="1" applyBorder="1" applyAlignment="1">
      <alignment horizontal="right"/>
    </xf>
    <xf numFmtId="164" fontId="31" fillId="0" borderId="147" xfId="2" applyFont="1" applyBorder="1" applyAlignment="1">
      <alignment horizontal="center"/>
    </xf>
    <xf numFmtId="1" fontId="1" fillId="0" borderId="0" xfId="0" applyNumberFormat="1" applyFont="1" applyAlignment="1">
      <alignment horizontal="right"/>
    </xf>
    <xf numFmtId="164" fontId="1" fillId="0" borderId="0" xfId="2" applyFont="1" applyBorder="1"/>
    <xf numFmtId="0" fontId="14" fillId="6" borderId="166" xfId="0" applyFont="1" applyFill="1" applyBorder="1" applyAlignment="1">
      <alignment horizontal="right"/>
    </xf>
    <xf numFmtId="0" fontId="36" fillId="6" borderId="147" xfId="0" applyFont="1" applyFill="1" applyBorder="1" applyAlignment="1">
      <alignment horizontal="center"/>
    </xf>
    <xf numFmtId="0" fontId="36" fillId="6" borderId="145" xfId="0" applyFont="1" applyFill="1" applyBorder="1" applyAlignment="1">
      <alignment horizontal="center"/>
    </xf>
    <xf numFmtId="0" fontId="14" fillId="6" borderId="47" xfId="0" applyFont="1" applyFill="1" applyBorder="1" applyAlignment="1">
      <alignment horizontal="center"/>
    </xf>
    <xf numFmtId="0" fontId="14" fillId="6" borderId="47" xfId="0" applyFont="1" applyFill="1" applyBorder="1" applyAlignment="1">
      <alignment horizontal="right"/>
    </xf>
    <xf numFmtId="0" fontId="14" fillId="6" borderId="147" xfId="0" applyFont="1" applyFill="1" applyBorder="1" applyAlignment="1">
      <alignment horizontal="center"/>
    </xf>
    <xf numFmtId="0" fontId="14" fillId="6" borderId="168" xfId="0" applyFont="1" applyFill="1" applyBorder="1" applyAlignment="1">
      <alignment horizontal="right"/>
    </xf>
    <xf numFmtId="0" fontId="14" fillId="6" borderId="168" xfId="0" applyFont="1" applyFill="1" applyBorder="1" applyAlignment="1">
      <alignment horizontal="center"/>
    </xf>
    <xf numFmtId="0" fontId="1" fillId="0" borderId="145" xfId="0" applyFont="1" applyBorder="1" applyAlignment="1">
      <alignment horizontal="center"/>
    </xf>
    <xf numFmtId="164" fontId="14" fillId="6" borderId="47" xfId="2" applyFont="1" applyFill="1" applyBorder="1" applyAlignment="1">
      <alignment horizontal="right"/>
    </xf>
    <xf numFmtId="164" fontId="14" fillId="6" borderId="47" xfId="2" applyFont="1" applyFill="1" applyBorder="1" applyAlignment="1">
      <alignment horizontal="center"/>
    </xf>
    <xf numFmtId="164" fontId="36" fillId="6" borderId="147" xfId="2" applyFont="1" applyFill="1" applyBorder="1" applyAlignment="1">
      <alignment horizontal="center"/>
    </xf>
    <xf numFmtId="164" fontId="36" fillId="6" borderId="145" xfId="2" applyFont="1" applyFill="1" applyBorder="1" applyAlignment="1">
      <alignment horizontal="center"/>
    </xf>
    <xf numFmtId="0" fontId="1" fillId="0" borderId="147" xfId="0" applyFont="1" applyBorder="1" applyAlignment="1">
      <alignment horizontal="center"/>
    </xf>
    <xf numFmtId="164" fontId="36" fillId="6" borderId="47" xfId="2" applyFont="1" applyFill="1" applyBorder="1" applyAlignment="1"/>
    <xf numFmtId="164" fontId="36" fillId="6" borderId="47" xfId="2" applyFont="1" applyFill="1" applyBorder="1" applyAlignment="1">
      <alignment horizontal="center"/>
    </xf>
    <xf numFmtId="164" fontId="36" fillId="6" borderId="47" xfId="2" applyFont="1" applyFill="1" applyBorder="1" applyAlignment="1">
      <alignment horizontal="left"/>
    </xf>
    <xf numFmtId="1" fontId="36" fillId="6" borderId="47" xfId="0" applyNumberFormat="1" applyFont="1" applyFill="1" applyBorder="1" applyAlignment="1">
      <alignment horizontal="right"/>
    </xf>
    <xf numFmtId="164" fontId="36" fillId="6" borderId="119" xfId="2" applyFont="1" applyFill="1" applyBorder="1" applyAlignment="1">
      <alignment horizontal="left"/>
    </xf>
    <xf numFmtId="37" fontId="36" fillId="6" borderId="119" xfId="2" applyNumberFormat="1" applyFont="1" applyFill="1" applyBorder="1" applyAlignment="1">
      <alignment horizontal="center"/>
    </xf>
    <xf numFmtId="1" fontId="36" fillId="6" borderId="119" xfId="0" applyNumberFormat="1" applyFont="1" applyFill="1" applyBorder="1" applyAlignment="1">
      <alignment horizontal="left"/>
    </xf>
    <xf numFmtId="164" fontId="36" fillId="6" borderId="119" xfId="2" applyFont="1" applyFill="1" applyBorder="1" applyAlignment="1">
      <alignment horizontal="right"/>
    </xf>
    <xf numFmtId="0" fontId="15" fillId="11" borderId="33" xfId="0" applyFont="1" applyFill="1" applyBorder="1" applyAlignment="1">
      <alignment horizontal="left"/>
    </xf>
    <xf numFmtId="0" fontId="15" fillId="11" borderId="0" xfId="0" applyFont="1" applyFill="1" applyAlignment="1">
      <alignment horizontal="left"/>
    </xf>
    <xf numFmtId="164" fontId="12" fillId="11" borderId="0" xfId="2" applyFont="1" applyFill="1" applyBorder="1" applyAlignment="1">
      <alignment horizontal="left"/>
    </xf>
    <xf numFmtId="37" fontId="13" fillId="11" borderId="0" xfId="2" applyNumberFormat="1" applyFont="1" applyFill="1" applyBorder="1" applyAlignment="1">
      <alignment horizontal="center"/>
    </xf>
    <xf numFmtId="1" fontId="12" fillId="11" borderId="0" xfId="0" applyNumberFormat="1" applyFont="1" applyFill="1" applyAlignment="1">
      <alignment horizontal="right"/>
    </xf>
    <xf numFmtId="164" fontId="2" fillId="11" borderId="0" xfId="2" applyFont="1" applyFill="1" applyBorder="1" applyAlignment="1">
      <alignment horizontal="left"/>
    </xf>
    <xf numFmtId="164" fontId="2" fillId="11" borderId="0" xfId="2" applyFont="1" applyFill="1" applyBorder="1" applyAlignment="1">
      <alignment horizontal="center"/>
    </xf>
    <xf numFmtId="0" fontId="31" fillId="0" borderId="0" xfId="0" applyFont="1" applyAlignment="1">
      <alignment horizontal="right"/>
    </xf>
    <xf numFmtId="9" fontId="1" fillId="0" borderId="0" xfId="4" applyFont="1" applyBorder="1" applyAlignment="1">
      <alignment horizontal="center"/>
    </xf>
    <xf numFmtId="164" fontId="1" fillId="0" borderId="0" xfId="2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2" applyFont="1" applyFill="1" applyBorder="1"/>
    <xf numFmtId="0" fontId="1" fillId="0" borderId="0" xfId="0" applyFont="1" applyAlignment="1">
      <alignment horizontal="right"/>
    </xf>
    <xf numFmtId="164" fontId="1" fillId="0" borderId="0" xfId="2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37" fillId="0" borderId="0" xfId="0" applyFont="1" applyAlignment="1">
      <alignment horizontal="right"/>
    </xf>
    <xf numFmtId="9" fontId="1" fillId="0" borderId="0" xfId="2" applyNumberFormat="1" applyFont="1" applyBorder="1" applyAlignment="1">
      <alignment horizontal="center"/>
    </xf>
    <xf numFmtId="164" fontId="1" fillId="0" borderId="0" xfId="2" applyFont="1" applyBorder="1" applyAlignment="1">
      <alignment horizontal="left"/>
    </xf>
    <xf numFmtId="0" fontId="6" fillId="0" borderId="0" xfId="0" applyFont="1"/>
    <xf numFmtId="164" fontId="37" fillId="0" borderId="0" xfId="2" applyFont="1" applyBorder="1" applyAlignment="1">
      <alignment horizontal="left"/>
    </xf>
    <xf numFmtId="0" fontId="37" fillId="0" borderId="0" xfId="0" applyFont="1"/>
    <xf numFmtId="164" fontId="1" fillId="0" borderId="0" xfId="2" applyFont="1" applyBorder="1" applyAlignment="1">
      <alignment horizontal="right"/>
    </xf>
    <xf numFmtId="167" fontId="2" fillId="0" borderId="0" xfId="4" applyNumberFormat="1" applyFont="1" applyBorder="1" applyAlignment="1">
      <alignment horizontal="right"/>
    </xf>
    <xf numFmtId="164" fontId="1" fillId="0" borderId="2" xfId="2" applyFont="1" applyBorder="1" applyAlignment="1">
      <alignment horizontal="center"/>
    </xf>
    <xf numFmtId="9" fontId="1" fillId="0" borderId="3" xfId="4" applyFont="1" applyBorder="1" applyAlignment="1">
      <alignment horizontal="center"/>
    </xf>
    <xf numFmtId="164" fontId="1" fillId="0" borderId="3" xfId="2" applyFont="1" applyBorder="1" applyAlignment="1">
      <alignment horizontal="center"/>
    </xf>
    <xf numFmtId="0" fontId="2" fillId="0" borderId="0" xfId="0" applyFont="1" applyAlignment="1">
      <alignment horizontal="right"/>
    </xf>
    <xf numFmtId="164" fontId="1" fillId="0" borderId="0" xfId="2" applyFont="1" applyFill="1" applyBorder="1" applyAlignment="1">
      <alignment horizontal="left"/>
    </xf>
    <xf numFmtId="1" fontId="37" fillId="0" borderId="0" xfId="0" applyNumberFormat="1" applyFont="1" applyAlignment="1">
      <alignment horizontal="right"/>
    </xf>
    <xf numFmtId="164" fontId="1" fillId="11" borderId="37" xfId="2" applyFont="1" applyFill="1" applyBorder="1" applyAlignment="1">
      <alignment horizontal="left"/>
    </xf>
    <xf numFmtId="164" fontId="1" fillId="0" borderId="0" xfId="2" applyFont="1" applyAlignment="1">
      <alignment horizontal="left"/>
    </xf>
    <xf numFmtId="164" fontId="1" fillId="0" borderId="0" xfId="2" applyFont="1" applyAlignment="1">
      <alignment horizontal="right"/>
    </xf>
    <xf numFmtId="164" fontId="1" fillId="0" borderId="0" xfId="2" applyFont="1"/>
    <xf numFmtId="164" fontId="1" fillId="2" borderId="0" xfId="2" applyFont="1" applyFill="1" applyAlignment="1">
      <alignment horizontal="left"/>
    </xf>
    <xf numFmtId="1" fontId="1" fillId="2" borderId="0" xfId="0" applyNumberFormat="1" applyFont="1" applyFill="1" applyAlignment="1">
      <alignment horizontal="right"/>
    </xf>
    <xf numFmtId="9" fontId="1" fillId="0" borderId="0" xfId="4" applyFont="1" applyAlignment="1">
      <alignment horizontal="center"/>
    </xf>
    <xf numFmtId="9" fontId="1" fillId="2" borderId="0" xfId="4" applyFont="1" applyFill="1" applyAlignment="1">
      <alignment horizontal="right"/>
    </xf>
    <xf numFmtId="0" fontId="39" fillId="0" borderId="0" xfId="0" applyFont="1" applyAlignment="1">
      <alignment horizontal="left"/>
    </xf>
    <xf numFmtId="164" fontId="39" fillId="0" borderId="0" xfId="0" applyNumberFormat="1" applyFont="1" applyAlignment="1">
      <alignment horizontal="left"/>
    </xf>
    <xf numFmtId="9" fontId="39" fillId="0" borderId="0" xfId="4" applyFont="1" applyFill="1" applyBorder="1" applyAlignment="1">
      <alignment horizontal="right"/>
    </xf>
    <xf numFmtId="0" fontId="1" fillId="0" borderId="0" xfId="2" applyNumberFormat="1" applyFont="1" applyAlignment="1"/>
    <xf numFmtId="0" fontId="40" fillId="0" borderId="0" xfId="0" applyFont="1"/>
    <xf numFmtId="0" fontId="1" fillId="10" borderId="31" xfId="0" applyFont="1" applyFill="1" applyBorder="1"/>
    <xf numFmtId="0" fontId="1" fillId="10" borderId="32" xfId="0" applyFont="1" applyFill="1" applyBorder="1"/>
    <xf numFmtId="164" fontId="1" fillId="0" borderId="0" xfId="2" applyFont="1" applyBorder="1" applyAlignment="1"/>
    <xf numFmtId="164" fontId="36" fillId="6" borderId="147" xfId="2" applyFont="1" applyFill="1" applyBorder="1" applyAlignment="1"/>
    <xf numFmtId="164" fontId="36" fillId="6" borderId="145" xfId="2" applyFont="1" applyFill="1" applyBorder="1" applyAlignment="1"/>
    <xf numFmtId="164" fontId="36" fillId="6" borderId="117" xfId="2" applyFont="1" applyFill="1" applyBorder="1" applyAlignment="1"/>
    <xf numFmtId="164" fontId="36" fillId="6" borderId="118" xfId="2" applyFont="1" applyFill="1" applyBorder="1" applyAlignment="1"/>
    <xf numFmtId="164" fontId="36" fillId="6" borderId="119" xfId="2" applyFont="1" applyFill="1" applyBorder="1" applyAlignment="1"/>
    <xf numFmtId="0" fontId="36" fillId="6" borderId="148" xfId="0" applyFont="1" applyFill="1" applyBorder="1"/>
    <xf numFmtId="0" fontId="36" fillId="6" borderId="150" xfId="0" applyFont="1" applyFill="1" applyBorder="1"/>
    <xf numFmtId="164" fontId="13" fillId="11" borderId="0" xfId="2" applyFont="1" applyFill="1" applyBorder="1" applyAlignment="1"/>
    <xf numFmtId="0" fontId="13" fillId="11" borderId="0" xfId="0" applyFont="1" applyFill="1"/>
    <xf numFmtId="0" fontId="1" fillId="11" borderId="32" xfId="0" applyFont="1" applyFill="1" applyBorder="1"/>
    <xf numFmtId="0" fontId="9" fillId="11" borderId="0" xfId="0" applyFont="1" applyFill="1" applyAlignment="1">
      <alignment horizontal="center"/>
    </xf>
    <xf numFmtId="0" fontId="31" fillId="0" borderId="33" xfId="0" applyFont="1" applyBorder="1"/>
    <xf numFmtId="164" fontId="1" fillId="0" borderId="0" xfId="2" applyFont="1" applyFill="1" applyBorder="1" applyAlignment="1"/>
    <xf numFmtId="164" fontId="1" fillId="0" borderId="0" xfId="0" applyNumberFormat="1" applyFont="1"/>
    <xf numFmtId="0" fontId="1" fillId="0" borderId="33" xfId="0" applyFont="1" applyBorder="1"/>
    <xf numFmtId="164" fontId="1" fillId="0" borderId="1" xfId="2" applyFont="1" applyBorder="1" applyAlignment="1"/>
    <xf numFmtId="164" fontId="1" fillId="0" borderId="1" xfId="0" applyNumberFormat="1" applyFont="1" applyBorder="1"/>
    <xf numFmtId="0" fontId="1" fillId="11" borderId="34" xfId="0" applyFont="1" applyFill="1" applyBorder="1"/>
    <xf numFmtId="164" fontId="1" fillId="0" borderId="3" xfId="2" applyFont="1" applyBorder="1" applyAlignment="1"/>
    <xf numFmtId="164" fontId="1" fillId="3" borderId="0" xfId="2" applyFont="1" applyFill="1" applyBorder="1" applyAlignment="1"/>
    <xf numFmtId="164" fontId="37" fillId="0" borderId="0" xfId="2" applyFont="1" applyBorder="1" applyAlignment="1"/>
    <xf numFmtId="0" fontId="1" fillId="11" borderId="36" xfId="0" applyFont="1" applyFill="1" applyBorder="1"/>
    <xf numFmtId="0" fontId="1" fillId="11" borderId="37" xfId="0" applyFont="1" applyFill="1" applyBorder="1"/>
    <xf numFmtId="164" fontId="1" fillId="11" borderId="37" xfId="2" applyFont="1" applyFill="1" applyBorder="1" applyAlignment="1"/>
    <xf numFmtId="0" fontId="1" fillId="11" borderId="0" xfId="0" applyFont="1" applyFill="1"/>
    <xf numFmtId="164" fontId="1" fillId="0" borderId="0" xfId="2" applyFont="1" applyAlignment="1"/>
    <xf numFmtId="0" fontId="38" fillId="0" borderId="0" xfId="0" applyFont="1"/>
    <xf numFmtId="0" fontId="2" fillId="2" borderId="0" xfId="0" applyFont="1" applyFill="1"/>
    <xf numFmtId="0" fontId="1" fillId="2" borderId="0" xfId="0" applyFont="1" applyFill="1"/>
    <xf numFmtId="164" fontId="1" fillId="2" borderId="0" xfId="2" applyFont="1" applyFill="1" applyAlignment="1"/>
    <xf numFmtId="0" fontId="1" fillId="2" borderId="0" xfId="2" applyNumberFormat="1" applyFont="1" applyFill="1" applyAlignment="1"/>
    <xf numFmtId="0" fontId="2" fillId="0" borderId="0" xfId="0" applyFont="1"/>
    <xf numFmtId="10" fontId="1" fillId="2" borderId="0" xfId="2" applyNumberFormat="1" applyFont="1" applyFill="1" applyAlignment="1"/>
    <xf numFmtId="0" fontId="31" fillId="10" borderId="12" xfId="0" applyFont="1" applyFill="1" applyBorder="1"/>
    <xf numFmtId="0" fontId="34" fillId="10" borderId="13" xfId="0" applyFont="1" applyFill="1" applyBorder="1"/>
    <xf numFmtId="0" fontId="2" fillId="6" borderId="48" xfId="0" applyFont="1" applyFill="1" applyBorder="1" applyAlignment="1">
      <alignment horizontal="left"/>
    </xf>
    <xf numFmtId="0" fontId="2" fillId="6" borderId="47" xfId="0" applyFont="1" applyFill="1" applyBorder="1" applyAlignment="1">
      <alignment horizontal="left"/>
    </xf>
    <xf numFmtId="0" fontId="41" fillId="6" borderId="47" xfId="2" applyNumberFormat="1" applyFont="1" applyFill="1" applyBorder="1" applyAlignment="1"/>
    <xf numFmtId="164" fontId="15" fillId="6" borderId="47" xfId="2" applyFont="1" applyFill="1" applyBorder="1" applyAlignment="1"/>
    <xf numFmtId="164" fontId="1" fillId="6" borderId="47" xfId="2" applyFont="1" applyFill="1" applyBorder="1"/>
    <xf numFmtId="0" fontId="1" fillId="6" borderId="47" xfId="0" applyFont="1" applyFill="1" applyBorder="1"/>
    <xf numFmtId="0" fontId="1" fillId="6" borderId="49" xfId="0" applyFont="1" applyFill="1" applyBorder="1"/>
    <xf numFmtId="0" fontId="42" fillId="6" borderId="47" xfId="2" applyNumberFormat="1" applyFont="1" applyFill="1" applyBorder="1" applyAlignment="1">
      <alignment horizontal="center"/>
    </xf>
    <xf numFmtId="0" fontId="32" fillId="6" borderId="47" xfId="0" applyFont="1" applyFill="1" applyBorder="1"/>
    <xf numFmtId="164" fontId="31" fillId="6" borderId="47" xfId="2" applyFont="1" applyFill="1" applyBorder="1" applyAlignment="1"/>
    <xf numFmtId="164" fontId="31" fillId="6" borderId="49" xfId="2" applyFont="1" applyFill="1" applyBorder="1" applyAlignment="1"/>
    <xf numFmtId="0" fontId="43" fillId="6" borderId="47" xfId="2" applyNumberFormat="1" applyFont="1" applyFill="1" applyBorder="1" applyAlignment="1">
      <alignment vertical="center"/>
    </xf>
    <xf numFmtId="164" fontId="43" fillId="6" borderId="47" xfId="2" applyFont="1" applyFill="1" applyBorder="1" applyAlignment="1">
      <alignment vertical="center"/>
    </xf>
    <xf numFmtId="164" fontId="16" fillId="6" borderId="48" xfId="2" applyFont="1" applyFill="1" applyBorder="1" applyAlignment="1">
      <alignment vertical="center"/>
    </xf>
    <xf numFmtId="164" fontId="16" fillId="6" borderId="47" xfId="2" applyFont="1" applyFill="1" applyBorder="1" applyAlignment="1">
      <alignment vertical="center"/>
    </xf>
    <xf numFmtId="0" fontId="42" fillId="6" borderId="47" xfId="2" applyNumberFormat="1" applyFont="1" applyFill="1" applyBorder="1" applyAlignment="1"/>
    <xf numFmtId="164" fontId="32" fillId="6" borderId="47" xfId="2" applyFont="1" applyFill="1" applyBorder="1"/>
    <xf numFmtId="1" fontId="32" fillId="6" borderId="47" xfId="0" applyNumberFormat="1" applyFont="1" applyFill="1" applyBorder="1" applyAlignment="1">
      <alignment horizontal="right"/>
    </xf>
    <xf numFmtId="0" fontId="41" fillId="6" borderId="47" xfId="2" applyNumberFormat="1" applyFont="1" applyFill="1" applyBorder="1" applyAlignment="1">
      <alignment horizontal="right"/>
    </xf>
    <xf numFmtId="37" fontId="15" fillId="6" borderId="47" xfId="2" applyNumberFormat="1" applyFont="1" applyFill="1" applyBorder="1" applyAlignment="1">
      <alignment horizontal="center"/>
    </xf>
    <xf numFmtId="1" fontId="15" fillId="6" borderId="47" xfId="0" applyNumberFormat="1" applyFont="1" applyFill="1" applyBorder="1" applyAlignment="1">
      <alignment horizontal="center"/>
    </xf>
    <xf numFmtId="0" fontId="1" fillId="7" borderId="47" xfId="0" applyFont="1" applyFill="1" applyBorder="1"/>
    <xf numFmtId="0" fontId="2" fillId="10" borderId="7" xfId="0" applyFont="1" applyFill="1" applyBorder="1" applyAlignment="1">
      <alignment horizontal="left"/>
    </xf>
    <xf numFmtId="0" fontId="2" fillId="10" borderId="0" xfId="0" applyFont="1" applyFill="1" applyAlignment="1">
      <alignment horizontal="left"/>
    </xf>
    <xf numFmtId="164" fontId="2" fillId="10" borderId="0" xfId="2" applyFont="1" applyFill="1" applyBorder="1" applyAlignment="1">
      <alignment horizontal="left"/>
    </xf>
    <xf numFmtId="0" fontId="1" fillId="10" borderId="8" xfId="0" applyFont="1" applyFill="1" applyBorder="1"/>
    <xf numFmtId="164" fontId="38" fillId="0" borderId="52" xfId="2" applyFont="1" applyBorder="1" applyAlignment="1">
      <alignment horizontal="center"/>
    </xf>
    <xf numFmtId="0" fontId="38" fillId="0" borderId="52" xfId="0" applyFont="1" applyBorder="1" applyAlignment="1">
      <alignment horizontal="center"/>
    </xf>
    <xf numFmtId="164" fontId="38" fillId="0" borderId="52" xfId="0" applyNumberFormat="1" applyFont="1" applyBorder="1" applyAlignment="1">
      <alignment horizont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164" fontId="1" fillId="5" borderId="10" xfId="2" applyFont="1" applyFill="1" applyBorder="1"/>
    <xf numFmtId="164" fontId="1" fillId="5" borderId="10" xfId="0" applyNumberFormat="1" applyFont="1" applyFill="1" applyBorder="1"/>
    <xf numFmtId="49" fontId="14" fillId="5" borderId="12" xfId="0" applyNumberFormat="1" applyFont="1" applyFill="1" applyBorder="1" applyAlignment="1">
      <alignment horizontal="left"/>
    </xf>
    <xf numFmtId="49" fontId="14" fillId="5" borderId="13" xfId="0" applyNumberFormat="1" applyFont="1" applyFill="1" applyBorder="1"/>
    <xf numFmtId="0" fontId="2" fillId="5" borderId="17" xfId="0" applyFont="1" applyFill="1" applyBorder="1" applyAlignment="1">
      <alignment horizontal="center" vertical="center" shrinkToFit="1"/>
    </xf>
    <xf numFmtId="0" fontId="2" fillId="5" borderId="13" xfId="0" applyFont="1" applyFill="1" applyBorder="1" applyAlignment="1">
      <alignment horizontal="center" vertical="center" shrinkToFit="1"/>
    </xf>
    <xf numFmtId="164" fontId="2" fillId="5" borderId="13" xfId="2" applyFont="1" applyFill="1" applyBorder="1" applyAlignment="1">
      <alignment horizontal="center" vertical="center"/>
    </xf>
    <xf numFmtId="164" fontId="2" fillId="5" borderId="18" xfId="2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164" fontId="2" fillId="5" borderId="21" xfId="2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0" borderId="0" xfId="0" applyFont="1" applyAlignment="1">
      <alignment vertical="center" shrinkToFit="1"/>
    </xf>
    <xf numFmtId="164" fontId="2" fillId="0" borderId="0" xfId="2" applyFont="1" applyFill="1" applyBorder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7" xfId="0" applyNumberFormat="1" applyFont="1" applyBorder="1" applyAlignment="1">
      <alignment horizontal="center"/>
    </xf>
    <xf numFmtId="0" fontId="1" fillId="0" borderId="5" xfId="2" applyNumberFormat="1" applyFont="1" applyFill="1" applyBorder="1" applyAlignment="1">
      <alignment shrinkToFit="1"/>
    </xf>
    <xf numFmtId="0" fontId="1" fillId="0" borderId="0" xfId="0" applyFont="1" applyAlignment="1">
      <alignment horizontal="center" shrinkToFit="1"/>
    </xf>
    <xf numFmtId="164" fontId="1" fillId="0" borderId="6" xfId="2" applyFont="1" applyFill="1" applyBorder="1" applyAlignment="1">
      <alignment horizontal="center"/>
    </xf>
    <xf numFmtId="0" fontId="1" fillId="0" borderId="5" xfId="0" applyFont="1" applyBorder="1" applyAlignment="1">
      <alignment horizontal="right"/>
    </xf>
    <xf numFmtId="164" fontId="1" fillId="0" borderId="0" xfId="2" applyFont="1" applyFill="1" applyBorder="1" applyAlignment="1">
      <alignment horizontal="right"/>
    </xf>
    <xf numFmtId="164" fontId="1" fillId="0" borderId="4" xfId="2" applyFont="1" applyFill="1" applyBorder="1"/>
    <xf numFmtId="164" fontId="1" fillId="0" borderId="5" xfId="0" applyNumberFormat="1" applyFont="1" applyBorder="1"/>
    <xf numFmtId="0" fontId="1" fillId="0" borderId="55" xfId="0" applyFont="1" applyBorder="1" applyAlignment="1">
      <alignment horizontal="left"/>
    </xf>
    <xf numFmtId="164" fontId="1" fillId="0" borderId="40" xfId="2" applyFont="1" applyFill="1" applyBorder="1"/>
    <xf numFmtId="0" fontId="1" fillId="0" borderId="56" xfId="0" applyFont="1" applyBorder="1"/>
    <xf numFmtId="164" fontId="2" fillId="0" borderId="74" xfId="0" applyNumberFormat="1" applyFont="1" applyBorder="1" applyAlignment="1">
      <alignment horizontal="center"/>
    </xf>
    <xf numFmtId="164" fontId="2" fillId="0" borderId="75" xfId="0" applyNumberFormat="1" applyFont="1" applyBorder="1" applyAlignment="1">
      <alignment horizontal="center"/>
    </xf>
    <xf numFmtId="0" fontId="2" fillId="0" borderId="76" xfId="0" applyFont="1" applyBorder="1" applyAlignment="1">
      <alignment horizontal="center"/>
    </xf>
    <xf numFmtId="49" fontId="6" fillId="0" borderId="7" xfId="0" applyNumberFormat="1" applyFont="1" applyBorder="1" applyAlignment="1">
      <alignment horizontal="right"/>
    </xf>
    <xf numFmtId="49" fontId="31" fillId="0" borderId="0" xfId="0" applyNumberFormat="1" applyFont="1" applyAlignment="1">
      <alignment horizontal="left"/>
    </xf>
    <xf numFmtId="49" fontId="31" fillId="0" borderId="0" xfId="0" applyNumberFormat="1" applyFont="1"/>
    <xf numFmtId="49" fontId="2" fillId="0" borderId="7" xfId="0" applyNumberFormat="1" applyFont="1" applyBorder="1" applyAlignment="1">
      <alignment horizontal="right"/>
    </xf>
    <xf numFmtId="0" fontId="1" fillId="0" borderId="5" xfId="0" applyFont="1" applyBorder="1" applyAlignment="1">
      <alignment shrinkToFit="1"/>
    </xf>
    <xf numFmtId="164" fontId="2" fillId="0" borderId="0" xfId="2" applyFont="1" applyFill="1" applyBorder="1" applyAlignment="1">
      <alignment horizontal="right"/>
    </xf>
    <xf numFmtId="164" fontId="2" fillId="0" borderId="30" xfId="0" applyNumberFormat="1" applyFont="1" applyBorder="1"/>
    <xf numFmtId="0" fontId="1" fillId="5" borderId="65" xfId="0" applyFont="1" applyFill="1" applyBorder="1" applyAlignment="1">
      <alignment horizontal="left"/>
    </xf>
    <xf numFmtId="164" fontId="1" fillId="5" borderId="66" xfId="2" applyFont="1" applyFill="1" applyBorder="1"/>
    <xf numFmtId="0" fontId="1" fillId="5" borderId="67" xfId="0" applyFont="1" applyFill="1" applyBorder="1"/>
    <xf numFmtId="49" fontId="31" fillId="5" borderId="7" xfId="0" applyNumberFormat="1" applyFont="1" applyFill="1" applyBorder="1" applyAlignment="1">
      <alignment horizontal="left"/>
    </xf>
    <xf numFmtId="49" fontId="31" fillId="5" borderId="0" xfId="0" applyNumberFormat="1" applyFont="1" applyFill="1"/>
    <xf numFmtId="0" fontId="2" fillId="5" borderId="14" xfId="0" applyFont="1" applyFill="1" applyBorder="1" applyAlignment="1">
      <alignment vertical="center" shrinkToFit="1"/>
    </xf>
    <xf numFmtId="0" fontId="2" fillId="5" borderId="15" xfId="0" applyFont="1" applyFill="1" applyBorder="1" applyAlignment="1">
      <alignment vertical="center" shrinkToFit="1"/>
    </xf>
    <xf numFmtId="164" fontId="2" fillId="5" borderId="15" xfId="2" applyFont="1" applyFill="1" applyBorder="1" applyAlignment="1">
      <alignment vertical="center"/>
    </xf>
    <xf numFmtId="164" fontId="2" fillId="5" borderId="16" xfId="2" applyFont="1" applyFill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1" fillId="5" borderId="68" xfId="0" applyFont="1" applyFill="1" applyBorder="1" applyAlignment="1">
      <alignment horizontal="left"/>
    </xf>
    <xf numFmtId="164" fontId="1" fillId="5" borderId="69" xfId="2" applyFont="1" applyFill="1" applyBorder="1"/>
    <xf numFmtId="0" fontId="1" fillId="5" borderId="70" xfId="0" applyFont="1" applyFill="1" applyBorder="1"/>
    <xf numFmtId="49" fontId="2" fillId="0" borderId="12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left"/>
    </xf>
    <xf numFmtId="164" fontId="2" fillId="5" borderId="15" xfId="2" applyFont="1" applyFill="1" applyBorder="1" applyAlignment="1">
      <alignment vertical="center" wrapText="1"/>
    </xf>
    <xf numFmtId="164" fontId="1" fillId="5" borderId="13" xfId="2" applyFont="1" applyFill="1" applyBorder="1"/>
    <xf numFmtId="0" fontId="1" fillId="5" borderId="71" xfId="0" applyFont="1" applyFill="1" applyBorder="1"/>
    <xf numFmtId="0" fontId="2" fillId="0" borderId="7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1" fillId="0" borderId="0" xfId="0" applyNumberFormat="1" applyFont="1"/>
    <xf numFmtId="0" fontId="1" fillId="0" borderId="40" xfId="0" applyFont="1" applyBorder="1"/>
    <xf numFmtId="164" fontId="1" fillId="0" borderId="40" xfId="0" applyNumberFormat="1" applyFont="1" applyBorder="1"/>
    <xf numFmtId="164" fontId="1" fillId="0" borderId="5" xfId="2" applyFont="1" applyFill="1" applyBorder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164" fontId="1" fillId="0" borderId="0" xfId="2" applyFont="1" applyFill="1" applyBorder="1" applyAlignment="1">
      <alignment horizontal="center" vertical="center"/>
    </xf>
    <xf numFmtId="164" fontId="1" fillId="0" borderId="6" xfId="2" applyFont="1" applyFill="1" applyBorder="1" applyAlignment="1">
      <alignment horizontal="center" vertical="center"/>
    </xf>
    <xf numFmtId="0" fontId="1" fillId="0" borderId="6" xfId="2" applyNumberFormat="1" applyFont="1" applyFill="1" applyBorder="1" applyAlignment="1">
      <alignment horizontal="center"/>
    </xf>
    <xf numFmtId="164" fontId="1" fillId="0" borderId="5" xfId="2" applyFont="1" applyFill="1" applyBorder="1" applyAlignment="1">
      <alignment horizontal="right"/>
    </xf>
    <xf numFmtId="0" fontId="1" fillId="0" borderId="32" xfId="0" applyFont="1" applyBorder="1"/>
    <xf numFmtId="0" fontId="1" fillId="0" borderId="0" xfId="2" applyNumberFormat="1" applyFont="1" applyFill="1" applyBorder="1" applyAlignment="1">
      <alignment horizontal="center"/>
    </xf>
    <xf numFmtId="164" fontId="1" fillId="0" borderId="5" xfId="0" applyNumberFormat="1" applyFont="1" applyBorder="1" applyAlignment="1">
      <alignment horizontal="right"/>
    </xf>
    <xf numFmtId="49" fontId="2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164" fontId="1" fillId="0" borderId="0" xfId="2" applyFont="1" applyFill="1" applyBorder="1" applyAlignment="1">
      <alignment horizontal="right" vertical="center"/>
    </xf>
    <xf numFmtId="164" fontId="1" fillId="0" borderId="4" xfId="2" applyFont="1" applyFill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49" fontId="1" fillId="0" borderId="12" xfId="0" applyNumberFormat="1" applyFont="1" applyBorder="1" applyAlignment="1">
      <alignment horizontal="left"/>
    </xf>
    <xf numFmtId="164" fontId="1" fillId="0" borderId="13" xfId="2" applyFont="1" applyFill="1" applyBorder="1" applyAlignment="1">
      <alignment shrinkToFit="1"/>
    </xf>
    <xf numFmtId="0" fontId="1" fillId="0" borderId="13" xfId="0" applyFont="1" applyBorder="1" applyAlignment="1">
      <alignment horizontal="center" shrinkToFit="1"/>
    </xf>
    <xf numFmtId="49" fontId="1" fillId="0" borderId="7" xfId="0" applyNumberFormat="1" applyFont="1" applyBorder="1" applyAlignment="1">
      <alignment horizontal="left"/>
    </xf>
    <xf numFmtId="164" fontId="1" fillId="0" borderId="0" xfId="2" applyFont="1" applyFill="1" applyBorder="1" applyAlignment="1">
      <alignment shrinkToFit="1"/>
    </xf>
    <xf numFmtId="0" fontId="1" fillId="0" borderId="9" xfId="0" applyFont="1" applyBorder="1"/>
    <xf numFmtId="164" fontId="2" fillId="0" borderId="77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1" fillId="5" borderId="72" xfId="0" applyFont="1" applyFill="1" applyBorder="1"/>
    <xf numFmtId="164" fontId="1" fillId="0" borderId="5" xfId="2" applyFont="1" applyFill="1" applyBorder="1" applyAlignment="1">
      <alignment shrinkToFit="1"/>
    </xf>
    <xf numFmtId="0" fontId="1" fillId="0" borderId="0" xfId="0" applyFont="1" applyAlignment="1">
      <alignment shrinkToFit="1"/>
    </xf>
    <xf numFmtId="164" fontId="1" fillId="0" borderId="0" xfId="2" applyFont="1" applyAlignment="1">
      <alignment shrinkToFit="1"/>
    </xf>
    <xf numFmtId="49" fontId="2" fillId="0" borderId="8" xfId="0" applyNumberFormat="1" applyFont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3" xfId="0" applyFont="1" applyFill="1" applyBorder="1"/>
    <xf numFmtId="164" fontId="2" fillId="5" borderId="13" xfId="2" applyFont="1" applyFill="1" applyBorder="1" applyAlignment="1">
      <alignment horizontal="center"/>
    </xf>
    <xf numFmtId="0" fontId="1" fillId="5" borderId="21" xfId="0" applyFont="1" applyFill="1" applyBorder="1" applyAlignment="1">
      <alignment horizontal="right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horizontal="right" wrapText="1"/>
    </xf>
    <xf numFmtId="0" fontId="9" fillId="0" borderId="0" xfId="0" applyFont="1"/>
    <xf numFmtId="0" fontId="9" fillId="0" borderId="8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9" fillId="0" borderId="10" xfId="2" applyNumberFormat="1" applyFont="1" applyFill="1" applyBorder="1" applyAlignment="1">
      <alignment shrinkToFit="1"/>
    </xf>
    <xf numFmtId="0" fontId="9" fillId="0" borderId="10" xfId="0" applyFont="1" applyBorder="1" applyAlignment="1">
      <alignment horizontal="center" shrinkToFit="1"/>
    </xf>
    <xf numFmtId="164" fontId="9" fillId="0" borderId="10" xfId="2" applyFont="1" applyBorder="1" applyAlignment="1">
      <alignment shrinkToFit="1"/>
    </xf>
    <xf numFmtId="164" fontId="9" fillId="0" borderId="10" xfId="2" applyFont="1" applyFill="1" applyBorder="1" applyAlignment="1">
      <alignment horizontal="center"/>
    </xf>
    <xf numFmtId="0" fontId="1" fillId="0" borderId="11" xfId="0" applyFont="1" applyBorder="1" applyAlignment="1">
      <alignment horizontal="right"/>
    </xf>
    <xf numFmtId="0" fontId="1" fillId="0" borderId="57" xfId="0" applyFont="1" applyBorder="1" applyAlignment="1">
      <alignment horizontal="left"/>
    </xf>
    <xf numFmtId="164" fontId="1" fillId="0" borderId="58" xfId="2" applyFont="1" applyFill="1" applyBorder="1"/>
    <xf numFmtId="0" fontId="1" fillId="0" borderId="59" xfId="0" applyFont="1" applyBorder="1"/>
    <xf numFmtId="164" fontId="2" fillId="0" borderId="78" xfId="0" applyNumberFormat="1" applyFont="1" applyBorder="1" applyAlignment="1">
      <alignment horizontal="center"/>
    </xf>
    <xf numFmtId="164" fontId="2" fillId="0" borderId="79" xfId="0" applyNumberFormat="1" applyFont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1" fillId="0" borderId="53" xfId="0" applyFont="1" applyBorder="1" applyAlignment="1">
      <alignment horizontal="left"/>
    </xf>
    <xf numFmtId="164" fontId="1" fillId="0" borderId="54" xfId="2" applyFont="1" applyFill="1" applyBorder="1"/>
    <xf numFmtId="164" fontId="1" fillId="0" borderId="54" xfId="0" applyNumberFormat="1" applyFont="1" applyBorder="1"/>
    <xf numFmtId="0" fontId="1" fillId="0" borderId="41" xfId="0" applyFont="1" applyBorder="1" applyAlignment="1">
      <alignment horizontal="left"/>
    </xf>
    <xf numFmtId="164" fontId="1" fillId="0" borderId="40" xfId="2" applyFont="1" applyBorder="1"/>
    <xf numFmtId="0" fontId="1" fillId="0" borderId="40" xfId="0" applyFont="1" applyBorder="1" applyAlignment="1">
      <alignment horizontal="left"/>
    </xf>
    <xf numFmtId="164" fontId="1" fillId="0" borderId="0" xfId="2" applyFont="1" applyFill="1"/>
    <xf numFmtId="0" fontId="40" fillId="0" borderId="9" xfId="0" applyFont="1" applyBorder="1" applyAlignment="1">
      <alignment horizontal="center"/>
    </xf>
    <xf numFmtId="0" fontId="1" fillId="0" borderId="23" xfId="0" applyFont="1" applyBorder="1" applyAlignment="1">
      <alignment shrinkToFit="1"/>
    </xf>
    <xf numFmtId="0" fontId="1" fillId="0" borderId="10" xfId="0" applyFont="1" applyBorder="1" applyAlignment="1">
      <alignment shrinkToFit="1"/>
    </xf>
    <xf numFmtId="164" fontId="1" fillId="0" borderId="10" xfId="2" applyFont="1" applyFill="1" applyBorder="1"/>
    <xf numFmtId="164" fontId="1" fillId="0" borderId="22" xfId="2" applyFont="1" applyFill="1" applyBorder="1" applyAlignment="1">
      <alignment horizontal="center"/>
    </xf>
    <xf numFmtId="0" fontId="1" fillId="0" borderId="23" xfId="0" applyFont="1" applyBorder="1" applyAlignment="1">
      <alignment horizontal="right"/>
    </xf>
    <xf numFmtId="164" fontId="2" fillId="0" borderId="10" xfId="2" applyFont="1" applyFill="1" applyBorder="1" applyAlignment="1">
      <alignment horizontal="right"/>
    </xf>
    <xf numFmtId="164" fontId="2" fillId="0" borderId="51" xfId="0" applyNumberFormat="1" applyFont="1" applyBorder="1"/>
    <xf numFmtId="0" fontId="33" fillId="8" borderId="12" xfId="0" applyFont="1" applyFill="1" applyBorder="1" applyAlignment="1">
      <alignment horizontal="center"/>
    </xf>
    <xf numFmtId="0" fontId="44" fillId="8" borderId="13" xfId="0" applyFont="1" applyFill="1" applyBorder="1"/>
    <xf numFmtId="0" fontId="44" fillId="8" borderId="13" xfId="0" applyFont="1" applyFill="1" applyBorder="1" applyAlignment="1">
      <alignment shrinkToFit="1"/>
    </xf>
    <xf numFmtId="164" fontId="44" fillId="8" borderId="13" xfId="2" applyFont="1" applyFill="1" applyBorder="1"/>
    <xf numFmtId="0" fontId="44" fillId="8" borderId="7" xfId="0" applyFont="1" applyFill="1" applyBorder="1"/>
    <xf numFmtId="0" fontId="1" fillId="8" borderId="0" xfId="0" applyFont="1" applyFill="1"/>
    <xf numFmtId="0" fontId="33" fillId="8" borderId="0" xfId="0" applyFont="1" applyFill="1" applyAlignment="1">
      <alignment vertical="center" shrinkToFit="1"/>
    </xf>
    <xf numFmtId="3" fontId="33" fillId="8" borderId="0" xfId="0" applyNumberFormat="1" applyFont="1" applyFill="1" applyAlignment="1">
      <alignment vertical="center"/>
    </xf>
    <xf numFmtId="0" fontId="33" fillId="8" borderId="7" xfId="2" applyNumberFormat="1" applyFont="1" applyFill="1" applyBorder="1"/>
    <xf numFmtId="0" fontId="44" fillId="8" borderId="9" xfId="0" applyFont="1" applyFill="1" applyBorder="1"/>
    <xf numFmtId="0" fontId="44" fillId="8" borderId="10" xfId="0" applyFont="1" applyFill="1" applyBorder="1"/>
    <xf numFmtId="0" fontId="1" fillId="10" borderId="9" xfId="0" applyFont="1" applyFill="1" applyBorder="1"/>
    <xf numFmtId="0" fontId="1" fillId="10" borderId="10" xfId="0" applyFont="1" applyFill="1" applyBorder="1"/>
    <xf numFmtId="0" fontId="1" fillId="10" borderId="11" xfId="0" applyFont="1" applyFill="1" applyBorder="1"/>
    <xf numFmtId="0" fontId="1" fillId="0" borderId="0" xfId="2" applyNumberFormat="1" applyFont="1" applyFill="1" applyAlignment="1">
      <alignment horizontal="left"/>
    </xf>
    <xf numFmtId="164" fontId="1" fillId="0" borderId="0" xfId="2" applyFont="1" applyFill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3" applyFont="1"/>
    <xf numFmtId="164" fontId="1" fillId="0" borderId="0" xfId="3" applyNumberFormat="1" applyFont="1"/>
    <xf numFmtId="165" fontId="46" fillId="0" borderId="0" xfId="1" applyFont="1" applyFill="1"/>
    <xf numFmtId="0" fontId="47" fillId="0" borderId="14" xfId="3" applyFont="1" applyBorder="1"/>
    <xf numFmtId="166" fontId="47" fillId="0" borderId="15" xfId="3" applyNumberFormat="1" applyFont="1" applyBorder="1"/>
    <xf numFmtId="164" fontId="47" fillId="0" borderId="16" xfId="3" applyNumberFormat="1" applyFont="1" applyBorder="1"/>
    <xf numFmtId="0" fontId="48" fillId="0" borderId="0" xfId="0" applyFont="1"/>
    <xf numFmtId="0" fontId="1" fillId="0" borderId="5" xfId="3" applyFont="1" applyBorder="1"/>
    <xf numFmtId="166" fontId="1" fillId="0" borderId="6" xfId="3" applyNumberFormat="1" applyFont="1" applyBorder="1"/>
    <xf numFmtId="0" fontId="1" fillId="0" borderId="5" xfId="3" applyFont="1" applyBorder="1" applyAlignment="1">
      <alignment horizontal="left"/>
    </xf>
    <xf numFmtId="0" fontId="1" fillId="0" borderId="6" xfId="3" applyFont="1" applyBorder="1" applyAlignment="1">
      <alignment horizontal="left"/>
    </xf>
    <xf numFmtId="164" fontId="1" fillId="0" borderId="38" xfId="2" applyFont="1" applyFill="1" applyBorder="1" applyAlignment="1">
      <alignment horizontal="left"/>
    </xf>
    <xf numFmtId="0" fontId="47" fillId="0" borderId="15" xfId="3" applyFont="1" applyBorder="1"/>
    <xf numFmtId="166" fontId="1" fillId="0" borderId="15" xfId="3" applyNumberFormat="1" applyFont="1" applyBorder="1"/>
    <xf numFmtId="164" fontId="47" fillId="0" borderId="15" xfId="3" applyNumberFormat="1" applyFont="1" applyBorder="1"/>
    <xf numFmtId="166" fontId="1" fillId="0" borderId="0" xfId="3" applyNumberFormat="1" applyFont="1"/>
    <xf numFmtId="0" fontId="1" fillId="0" borderId="0" xfId="3" applyFont="1" applyAlignment="1">
      <alignment horizontal="left"/>
    </xf>
    <xf numFmtId="0" fontId="1" fillId="0" borderId="0" xfId="2" applyNumberFormat="1" applyFont="1" applyFill="1" applyBorder="1" applyAlignment="1">
      <alignment horizontal="left"/>
    </xf>
    <xf numFmtId="164" fontId="1" fillId="0" borderId="38" xfId="2" applyFont="1" applyFill="1" applyBorder="1"/>
    <xf numFmtId="164" fontId="41" fillId="6" borderId="47" xfId="2" applyFont="1" applyFill="1" applyBorder="1" applyAlignment="1"/>
    <xf numFmtId="164" fontId="42" fillId="6" borderId="47" xfId="2" applyFont="1" applyFill="1" applyBorder="1" applyAlignment="1">
      <alignment horizontal="center"/>
    </xf>
    <xf numFmtId="164" fontId="42" fillId="6" borderId="47" xfId="2" applyFont="1" applyFill="1" applyBorder="1" applyAlignment="1"/>
    <xf numFmtId="164" fontId="41" fillId="6" borderId="47" xfId="2" applyFont="1" applyFill="1" applyBorder="1" applyAlignment="1">
      <alignment horizontal="right"/>
    </xf>
    <xf numFmtId="0" fontId="38" fillId="0" borderId="40" xfId="0" applyFont="1" applyBorder="1" applyAlignment="1">
      <alignment horizontal="center"/>
    </xf>
    <xf numFmtId="164" fontId="38" fillId="0" borderId="40" xfId="2" applyFont="1" applyBorder="1" applyAlignment="1">
      <alignment horizontal="center"/>
    </xf>
    <xf numFmtId="164" fontId="38" fillId="0" borderId="40" xfId="0" applyNumberFormat="1" applyFont="1" applyBorder="1" applyAlignment="1">
      <alignment horizontal="center"/>
    </xf>
    <xf numFmtId="0" fontId="1" fillId="5" borderId="7" xfId="0" applyFont="1" applyFill="1" applyBorder="1"/>
    <xf numFmtId="0" fontId="2" fillId="5" borderId="0" xfId="0" applyFont="1" applyFill="1" applyAlignment="1">
      <alignment vertical="center"/>
    </xf>
    <xf numFmtId="164" fontId="1" fillId="5" borderId="11" xfId="0" applyNumberFormat="1" applyFont="1" applyFill="1" applyBorder="1"/>
    <xf numFmtId="0" fontId="31" fillId="5" borderId="0" xfId="0" applyFont="1" applyFill="1" applyAlignment="1">
      <alignment horizontal="left"/>
    </xf>
    <xf numFmtId="0" fontId="31" fillId="5" borderId="0" xfId="0" applyFont="1" applyFill="1"/>
    <xf numFmtId="1" fontId="2" fillId="5" borderId="17" xfId="0" applyNumberFormat="1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" fontId="1" fillId="0" borderId="5" xfId="0" applyNumberFormat="1" applyFont="1" applyBorder="1" applyAlignment="1">
      <alignment horizontal="right"/>
    </xf>
    <xf numFmtId="164" fontId="1" fillId="0" borderId="19" xfId="0" applyNumberFormat="1" applyFont="1" applyBorder="1"/>
    <xf numFmtId="49" fontId="6" fillId="0" borderId="7" xfId="0" applyNumberFormat="1" applyFont="1" applyBorder="1" applyAlignment="1">
      <alignment horizontal="center"/>
    </xf>
    <xf numFmtId="164" fontId="2" fillId="0" borderId="25" xfId="0" applyNumberFormat="1" applyFont="1" applyBorder="1"/>
    <xf numFmtId="1" fontId="2" fillId="5" borderId="14" xfId="0" applyNumberFormat="1" applyFont="1" applyFill="1" applyBorder="1" applyAlignment="1">
      <alignment vertical="center"/>
    </xf>
    <xf numFmtId="0" fontId="2" fillId="5" borderId="26" xfId="0" applyFont="1" applyFill="1" applyBorder="1" applyAlignment="1">
      <alignment vertical="center"/>
    </xf>
    <xf numFmtId="164" fontId="1" fillId="0" borderId="8" xfId="0" applyNumberFormat="1" applyFont="1" applyBorder="1"/>
    <xf numFmtId="0" fontId="1" fillId="0" borderId="85" xfId="0" applyFont="1" applyBorder="1" applyAlignment="1">
      <alignment horizontal="left"/>
    </xf>
    <xf numFmtId="0" fontId="1" fillId="0" borderId="86" xfId="0" applyFont="1" applyBorder="1"/>
    <xf numFmtId="0" fontId="1" fillId="0" borderId="61" xfId="0" applyFont="1" applyBorder="1" applyAlignment="1">
      <alignment horizontal="left"/>
    </xf>
    <xf numFmtId="0" fontId="1" fillId="0" borderId="64" xfId="0" applyFont="1" applyBorder="1"/>
    <xf numFmtId="164" fontId="2" fillId="0" borderId="87" xfId="0" applyNumberFormat="1" applyFont="1" applyBorder="1" applyAlignment="1">
      <alignment horizontal="center"/>
    </xf>
    <xf numFmtId="164" fontId="2" fillId="0" borderId="88" xfId="0" applyNumberFormat="1" applyFont="1" applyBorder="1" applyAlignment="1">
      <alignment horizontal="center"/>
    </xf>
    <xf numFmtId="0" fontId="1" fillId="0" borderId="90" xfId="0" applyFont="1" applyBorder="1" applyAlignment="1">
      <alignment horizontal="left"/>
    </xf>
    <xf numFmtId="164" fontId="1" fillId="0" borderId="30" xfId="2" applyFont="1" applyFill="1" applyBorder="1"/>
    <xf numFmtId="0" fontId="1" fillId="0" borderId="30" xfId="0" applyFont="1" applyBorder="1"/>
    <xf numFmtId="164" fontId="2" fillId="0" borderId="30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4" fillId="8" borderId="0" xfId="0" applyFont="1" applyFill="1"/>
    <xf numFmtId="49" fontId="2" fillId="0" borderId="13" xfId="0" applyNumberFormat="1" applyFont="1" applyBorder="1" applyAlignment="1">
      <alignment horizontal="right"/>
    </xf>
    <xf numFmtId="0" fontId="1" fillId="6" borderId="102" xfId="0" applyFont="1" applyFill="1" applyBorder="1"/>
    <xf numFmtId="0" fontId="1" fillId="6" borderId="103" xfId="0" applyFont="1" applyFill="1" applyBorder="1"/>
    <xf numFmtId="0" fontId="1" fillId="6" borderId="103" xfId="0" applyFont="1" applyFill="1" applyBorder="1" applyAlignment="1">
      <alignment horizontal="center"/>
    </xf>
    <xf numFmtId="0" fontId="1" fillId="6" borderId="106" xfId="0" applyFont="1" applyFill="1" applyBorder="1"/>
    <xf numFmtId="0" fontId="1" fillId="6" borderId="107" xfId="0" applyFont="1" applyFill="1" applyBorder="1"/>
    <xf numFmtId="0" fontId="1" fillId="6" borderId="101" xfId="0" applyFont="1" applyFill="1" applyBorder="1"/>
    <xf numFmtId="0" fontId="1" fillId="6" borderId="101" xfId="0" applyFont="1" applyFill="1" applyBorder="1" applyAlignment="1">
      <alignment horizontal="center"/>
    </xf>
    <xf numFmtId="0" fontId="1" fillId="6" borderId="108" xfId="0" applyFont="1" applyFill="1" applyBorder="1"/>
    <xf numFmtId="0" fontId="31" fillId="0" borderId="0" xfId="0" applyFont="1"/>
    <xf numFmtId="0" fontId="9" fillId="6" borderId="107" xfId="0" applyFont="1" applyFill="1" applyBorder="1"/>
    <xf numFmtId="1" fontId="1" fillId="6" borderId="101" xfId="0" applyNumberFormat="1" applyFont="1" applyFill="1" applyBorder="1"/>
    <xf numFmtId="2" fontId="1" fillId="6" borderId="101" xfId="0" applyNumberFormat="1" applyFont="1" applyFill="1" applyBorder="1"/>
    <xf numFmtId="2" fontId="1" fillId="0" borderId="5" xfId="2" applyNumberFormat="1" applyFont="1" applyFill="1" applyBorder="1" applyAlignment="1">
      <alignment shrinkToFit="1"/>
    </xf>
    <xf numFmtId="0" fontId="2" fillId="6" borderId="107" xfId="0" applyFont="1" applyFill="1" applyBorder="1"/>
    <xf numFmtId="0" fontId="31" fillId="6" borderId="101" xfId="0" applyFont="1" applyFill="1" applyBorder="1"/>
    <xf numFmtId="2" fontId="31" fillId="6" borderId="101" xfId="0" applyNumberFormat="1" applyFont="1" applyFill="1" applyBorder="1"/>
    <xf numFmtId="1" fontId="1" fillId="0" borderId="5" xfId="2" applyNumberFormat="1" applyFont="1" applyFill="1" applyBorder="1" applyAlignment="1">
      <alignment shrinkToFit="1"/>
    </xf>
    <xf numFmtId="0" fontId="1" fillId="6" borderId="109" xfId="0" applyFont="1" applyFill="1" applyBorder="1"/>
    <xf numFmtId="0" fontId="1" fillId="6" borderId="110" xfId="0" applyFont="1" applyFill="1" applyBorder="1"/>
    <xf numFmtId="0" fontId="31" fillId="6" borderId="110" xfId="0" applyFont="1" applyFill="1" applyBorder="1"/>
    <xf numFmtId="2" fontId="31" fillId="6" borderId="110" xfId="0" applyNumberFormat="1" applyFont="1" applyFill="1" applyBorder="1"/>
    <xf numFmtId="0" fontId="1" fillId="6" borderId="111" xfId="0" applyFont="1" applyFill="1" applyBorder="1"/>
    <xf numFmtId="164" fontId="1" fillId="0" borderId="52" xfId="2" applyFont="1" applyFill="1" applyBorder="1"/>
    <xf numFmtId="164" fontId="1" fillId="0" borderId="30" xfId="2" applyFont="1" applyBorder="1"/>
    <xf numFmtId="164" fontId="1" fillId="0" borderId="30" xfId="0" applyNumberFormat="1" applyFont="1" applyBorder="1"/>
    <xf numFmtId="1" fontId="1" fillId="0" borderId="0" xfId="0" applyNumberFormat="1" applyFont="1" applyAlignment="1">
      <alignment horizontal="right" shrinkToFit="1"/>
    </xf>
    <xf numFmtId="1" fontId="1" fillId="0" borderId="0" xfId="0" applyNumberFormat="1" applyFont="1"/>
    <xf numFmtId="0" fontId="31" fillId="5" borderId="27" xfId="0" applyFont="1" applyFill="1" applyBorder="1"/>
    <xf numFmtId="0" fontId="31" fillId="5" borderId="28" xfId="0" applyFont="1" applyFill="1" applyBorder="1"/>
    <xf numFmtId="0" fontId="47" fillId="0" borderId="0" xfId="0" applyFont="1"/>
    <xf numFmtId="1" fontId="1" fillId="0" borderId="5" xfId="0" applyNumberFormat="1" applyFont="1" applyBorder="1" applyAlignment="1">
      <alignment shrinkToFit="1"/>
    </xf>
    <xf numFmtId="0" fontId="1" fillId="0" borderId="89" xfId="0" applyFont="1" applyBorder="1" applyAlignment="1">
      <alignment horizontal="left"/>
    </xf>
    <xf numFmtId="164" fontId="1" fillId="0" borderId="37" xfId="2" applyFont="1" applyBorder="1"/>
    <xf numFmtId="0" fontId="1" fillId="0" borderId="37" xfId="0" applyFont="1" applyBorder="1"/>
    <xf numFmtId="0" fontId="2" fillId="10" borderId="12" xfId="0" applyFont="1" applyFill="1" applyBorder="1"/>
    <xf numFmtId="0" fontId="2" fillId="10" borderId="13" xfId="0" applyFont="1" applyFill="1" applyBorder="1"/>
    <xf numFmtId="164" fontId="41" fillId="6" borderId="47" xfId="2" applyFont="1" applyFill="1" applyBorder="1" applyAlignment="1">
      <alignment horizontal="center"/>
    </xf>
    <xf numFmtId="164" fontId="2" fillId="6" borderId="47" xfId="2" applyFont="1" applyFill="1" applyBorder="1" applyAlignment="1"/>
    <xf numFmtId="164" fontId="2" fillId="6" borderId="49" xfId="2" applyFont="1" applyFill="1" applyBorder="1" applyAlignment="1"/>
    <xf numFmtId="164" fontId="41" fillId="6" borderId="47" xfId="2" applyFont="1" applyFill="1" applyBorder="1" applyAlignment="1">
      <alignment vertical="center"/>
    </xf>
    <xf numFmtId="164" fontId="15" fillId="6" borderId="48" xfId="2" applyFont="1" applyFill="1" applyBorder="1" applyAlignment="1">
      <alignment vertical="center"/>
    </xf>
    <xf numFmtId="164" fontId="15" fillId="6" borderId="47" xfId="2" applyFont="1" applyFill="1" applyBorder="1" applyAlignment="1">
      <alignment vertical="center"/>
    </xf>
    <xf numFmtId="0" fontId="2" fillId="0" borderId="40" xfId="0" applyFont="1" applyBorder="1" applyAlignment="1">
      <alignment horizontal="center"/>
    </xf>
    <xf numFmtId="164" fontId="2" fillId="0" borderId="40" xfId="2" applyFont="1" applyBorder="1" applyAlignment="1">
      <alignment horizontal="center"/>
    </xf>
    <xf numFmtId="164" fontId="2" fillId="0" borderId="40" xfId="0" applyNumberFormat="1" applyFont="1" applyBorder="1" applyAlignment="1">
      <alignment horizontal="center"/>
    </xf>
    <xf numFmtId="0" fontId="2" fillId="5" borderId="27" xfId="0" applyFont="1" applyFill="1" applyBorder="1"/>
    <xf numFmtId="0" fontId="2" fillId="5" borderId="28" xfId="0" applyFont="1" applyFill="1" applyBorder="1"/>
    <xf numFmtId="49" fontId="1" fillId="0" borderId="7" xfId="0" applyNumberFormat="1" applyFont="1" applyBorder="1" applyAlignment="1">
      <alignment horizontal="right"/>
    </xf>
    <xf numFmtId="0" fontId="41" fillId="8" borderId="12" xfId="0" applyFont="1" applyFill="1" applyBorder="1" applyAlignment="1">
      <alignment horizontal="center"/>
    </xf>
    <xf numFmtId="0" fontId="32" fillId="8" borderId="13" xfId="0" applyFont="1" applyFill="1" applyBorder="1"/>
    <xf numFmtId="0" fontId="32" fillId="8" borderId="13" xfId="0" applyFont="1" applyFill="1" applyBorder="1" applyAlignment="1">
      <alignment shrinkToFit="1"/>
    </xf>
    <xf numFmtId="164" fontId="32" fillId="8" borderId="13" xfId="2" applyFont="1" applyFill="1" applyBorder="1"/>
    <xf numFmtId="0" fontId="32" fillId="8" borderId="7" xfId="0" applyFont="1" applyFill="1" applyBorder="1"/>
    <xf numFmtId="0" fontId="41" fillId="8" borderId="0" xfId="0" applyFont="1" applyFill="1" applyAlignment="1">
      <alignment vertical="center" shrinkToFit="1"/>
    </xf>
    <xf numFmtId="3" fontId="41" fillId="8" borderId="0" xfId="0" applyNumberFormat="1" applyFont="1" applyFill="1" applyAlignment="1">
      <alignment vertical="center"/>
    </xf>
    <xf numFmtId="0" fontId="32" fillId="8" borderId="0" xfId="0" applyFont="1" applyFill="1"/>
    <xf numFmtId="0" fontId="32" fillId="8" borderId="10" xfId="0" applyFont="1" applyFill="1" applyBorder="1"/>
    <xf numFmtId="164" fontId="1" fillId="6" borderId="47" xfId="2" applyFont="1" applyFill="1" applyBorder="1" applyAlignment="1"/>
    <xf numFmtId="164" fontId="43" fillId="6" borderId="47" xfId="2" applyFont="1" applyFill="1" applyBorder="1" applyAlignment="1"/>
    <xf numFmtId="164" fontId="16" fillId="6" borderId="48" xfId="2" applyFont="1" applyFill="1" applyBorder="1" applyAlignment="1"/>
    <xf numFmtId="164" fontId="16" fillId="6" borderId="47" xfId="2" applyFont="1" applyFill="1" applyBorder="1" applyAlignment="1"/>
    <xf numFmtId="164" fontId="32" fillId="6" borderId="47" xfId="2" applyFont="1" applyFill="1" applyBorder="1" applyAlignment="1"/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164" fontId="1" fillId="5" borderId="10" xfId="2" applyFont="1" applyFill="1" applyBorder="1" applyAlignment="1"/>
    <xf numFmtId="0" fontId="2" fillId="5" borderId="13" xfId="0" applyFont="1" applyFill="1" applyBorder="1" applyAlignment="1">
      <alignment horizontal="center" shrinkToFit="1"/>
    </xf>
    <xf numFmtId="164" fontId="2" fillId="5" borderId="18" xfId="2" applyFont="1" applyFill="1" applyBorder="1" applyAlignment="1">
      <alignment horizontal="center"/>
    </xf>
    <xf numFmtId="1" fontId="2" fillId="5" borderId="17" xfId="0" applyNumberFormat="1" applyFont="1" applyFill="1" applyBorder="1" applyAlignment="1">
      <alignment horizontal="center"/>
    </xf>
    <xf numFmtId="164" fontId="2" fillId="5" borderId="21" xfId="2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164" fontId="1" fillId="0" borderId="4" xfId="2" applyFont="1" applyFill="1" applyBorder="1" applyAlignment="1"/>
    <xf numFmtId="164" fontId="1" fillId="0" borderId="40" xfId="2" applyFont="1" applyFill="1" applyBorder="1" applyAlignment="1"/>
    <xf numFmtId="164" fontId="1" fillId="5" borderId="66" xfId="2" applyFont="1" applyFill="1" applyBorder="1" applyAlignment="1"/>
    <xf numFmtId="0" fontId="2" fillId="5" borderId="15" xfId="0" applyFont="1" applyFill="1" applyBorder="1" applyAlignment="1">
      <alignment shrinkToFit="1"/>
    </xf>
    <xf numFmtId="164" fontId="2" fillId="5" borderId="15" xfId="2" applyFont="1" applyFill="1" applyBorder="1" applyAlignment="1"/>
    <xf numFmtId="164" fontId="2" fillId="5" borderId="16" xfId="2" applyFont="1" applyFill="1" applyBorder="1" applyAlignment="1"/>
    <xf numFmtId="1" fontId="2" fillId="5" borderId="14" xfId="0" applyNumberFormat="1" applyFont="1" applyFill="1" applyBorder="1"/>
    <xf numFmtId="0" fontId="2" fillId="5" borderId="26" xfId="0" applyFont="1" applyFill="1" applyBorder="1"/>
    <xf numFmtId="164" fontId="1" fillId="5" borderId="69" xfId="2" applyFont="1" applyFill="1" applyBorder="1" applyAlignment="1"/>
    <xf numFmtId="164" fontId="1" fillId="0" borderId="0" xfId="2" applyFont="1" applyFill="1" applyAlignment="1"/>
    <xf numFmtId="164" fontId="1" fillId="5" borderId="13" xfId="2" applyFont="1" applyFill="1" applyBorder="1" applyAlignment="1"/>
    <xf numFmtId="164" fontId="1" fillId="0" borderId="10" xfId="2" applyFont="1" applyFill="1" applyBorder="1" applyAlignment="1"/>
    <xf numFmtId="1" fontId="1" fillId="0" borderId="23" xfId="0" applyNumberFormat="1" applyFont="1" applyBorder="1" applyAlignment="1">
      <alignment horizontal="right"/>
    </xf>
    <xf numFmtId="164" fontId="2" fillId="0" borderId="24" xfId="0" applyNumberFormat="1" applyFont="1" applyBorder="1"/>
    <xf numFmtId="0" fontId="10" fillId="0" borderId="12" xfId="0" applyFont="1" applyBorder="1"/>
    <xf numFmtId="0" fontId="10" fillId="0" borderId="18" xfId="0" applyFont="1" applyBorder="1"/>
    <xf numFmtId="0" fontId="2" fillId="5" borderId="14" xfId="0" applyFont="1" applyFill="1" applyBorder="1" applyAlignment="1">
      <alignment shrinkToFit="1"/>
    </xf>
    <xf numFmtId="49" fontId="2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4" fontId="1" fillId="0" borderId="37" xfId="2" applyFont="1" applyBorder="1" applyAlignment="1"/>
    <xf numFmtId="164" fontId="44" fillId="8" borderId="13" xfId="2" applyFont="1" applyFill="1" applyBorder="1" applyAlignment="1"/>
    <xf numFmtId="0" fontId="33" fillId="8" borderId="0" xfId="0" applyFont="1" applyFill="1" applyAlignment="1">
      <alignment shrinkToFit="1"/>
    </xf>
    <xf numFmtId="3" fontId="33" fillId="8" borderId="0" xfId="0" applyNumberFormat="1" applyFont="1" applyFill="1"/>
    <xf numFmtId="0" fontId="10" fillId="0" borderId="13" xfId="0" applyFont="1" applyBorder="1" applyAlignment="1">
      <alignment horizontal="center"/>
    </xf>
    <xf numFmtId="0" fontId="1" fillId="0" borderId="0" xfId="2" applyNumberFormat="1" applyFont="1" applyFill="1" applyBorder="1" applyAlignment="1">
      <alignment shrinkToFit="1"/>
    </xf>
    <xf numFmtId="0" fontId="10" fillId="0" borderId="6" xfId="0" applyFont="1" applyBorder="1"/>
    <xf numFmtId="164" fontId="1" fillId="0" borderId="40" xfId="2" applyFont="1" applyBorder="1" applyAlignment="1"/>
    <xf numFmtId="0" fontId="2" fillId="5" borderId="7" xfId="0" applyFont="1" applyFill="1" applyBorder="1"/>
    <xf numFmtId="0" fontId="2" fillId="5" borderId="0" xfId="0" applyFont="1" applyFill="1"/>
    <xf numFmtId="0" fontId="1" fillId="0" borderId="6" xfId="0" applyFont="1" applyBorder="1" applyAlignment="1">
      <alignment horizontal="left"/>
    </xf>
    <xf numFmtId="164" fontId="1" fillId="0" borderId="30" xfId="2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164" fontId="1" fillId="0" borderId="30" xfId="0" applyNumberFormat="1" applyFont="1" applyBorder="1" applyAlignment="1">
      <alignment horizontal="left"/>
    </xf>
    <xf numFmtId="0" fontId="1" fillId="0" borderId="0" xfId="0" applyFont="1" applyAlignment="1">
      <alignment horizontal="left" shrinkToFit="1"/>
    </xf>
    <xf numFmtId="0" fontId="10" fillId="0" borderId="13" xfId="0" applyFont="1" applyBorder="1"/>
    <xf numFmtId="164" fontId="1" fillId="0" borderId="37" xfId="2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1" fillId="0" borderId="0" xfId="0" applyFont="1" applyAlignment="1">
      <alignment horizontal="right" shrinkToFit="1"/>
    </xf>
    <xf numFmtId="0" fontId="2" fillId="5" borderId="17" xfId="0" applyFont="1" applyFill="1" applyBorder="1" applyAlignment="1">
      <alignment horizontal="center" shrinkToFit="1"/>
    </xf>
    <xf numFmtId="0" fontId="1" fillId="0" borderId="91" xfId="0" applyFont="1" applyBorder="1" applyAlignment="1">
      <alignment horizontal="left"/>
    </xf>
    <xf numFmtId="164" fontId="1" fillId="0" borderId="92" xfId="2" applyFont="1" applyFill="1" applyBorder="1"/>
    <xf numFmtId="0" fontId="1" fillId="0" borderId="93" xfId="0" applyFont="1" applyBorder="1"/>
    <xf numFmtId="0" fontId="1" fillId="0" borderId="94" xfId="0" applyFont="1" applyBorder="1" applyAlignment="1">
      <alignment horizontal="left"/>
    </xf>
    <xf numFmtId="0" fontId="1" fillId="0" borderId="95" xfId="0" applyFont="1" applyBorder="1"/>
    <xf numFmtId="164" fontId="1" fillId="0" borderId="96" xfId="2" applyFont="1" applyFill="1" applyBorder="1"/>
    <xf numFmtId="164" fontId="2" fillId="0" borderId="98" xfId="0" applyNumberFormat="1" applyFont="1" applyBorder="1" applyAlignment="1">
      <alignment horizontal="center"/>
    </xf>
    <xf numFmtId="164" fontId="2" fillId="0" borderId="97" xfId="2" applyFont="1" applyFill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164" fontId="2" fillId="0" borderId="99" xfId="0" applyNumberFormat="1" applyFont="1" applyBorder="1" applyAlignment="1">
      <alignment horizontal="center"/>
    </xf>
    <xf numFmtId="164" fontId="2" fillId="0" borderId="100" xfId="2" applyFont="1" applyFill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5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1" fillId="0" borderId="6" xfId="0" applyFont="1" applyBorder="1"/>
    <xf numFmtId="0" fontId="6" fillId="0" borderId="7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1" fillId="0" borderId="89" xfId="0" applyFont="1" applyBorder="1"/>
    <xf numFmtId="164" fontId="1" fillId="0" borderId="37" xfId="2" applyFont="1" applyFill="1" applyBorder="1"/>
    <xf numFmtId="164" fontId="2" fillId="0" borderId="113" xfId="0" applyNumberFormat="1" applyFont="1" applyBorder="1" applyAlignment="1">
      <alignment horizontal="center"/>
    </xf>
    <xf numFmtId="164" fontId="2" fillId="0" borderId="114" xfId="0" applyNumberFormat="1" applyFont="1" applyBorder="1" applyAlignment="1">
      <alignment horizontal="center"/>
    </xf>
    <xf numFmtId="0" fontId="31" fillId="10" borderId="13" xfId="0" applyFont="1" applyFill="1" applyBorder="1"/>
    <xf numFmtId="164" fontId="10" fillId="0" borderId="0" xfId="2" applyFont="1"/>
    <xf numFmtId="164" fontId="10" fillId="0" borderId="0" xfId="0" applyNumberFormat="1" applyFont="1"/>
    <xf numFmtId="0" fontId="31" fillId="6" borderId="48" xfId="0" applyFont="1" applyFill="1" applyBorder="1" applyAlignment="1">
      <alignment horizontal="left"/>
    </xf>
    <xf numFmtId="0" fontId="31" fillId="6" borderId="47" xfId="0" applyFont="1" applyFill="1" applyBorder="1" applyAlignment="1">
      <alignment horizontal="left"/>
    </xf>
    <xf numFmtId="164" fontId="14" fillId="6" borderId="47" xfId="2" applyFont="1" applyFill="1" applyBorder="1" applyAlignment="1"/>
    <xf numFmtId="164" fontId="10" fillId="6" borderId="47" xfId="2" applyFont="1" applyFill="1" applyBorder="1"/>
    <xf numFmtId="0" fontId="10" fillId="6" borderId="47" xfId="0" applyFont="1" applyFill="1" applyBorder="1"/>
    <xf numFmtId="0" fontId="10" fillId="6" borderId="49" xfId="0" applyFont="1" applyFill="1" applyBorder="1"/>
    <xf numFmtId="0" fontId="53" fillId="6" borderId="47" xfId="0" applyFont="1" applyFill="1" applyBorder="1"/>
    <xf numFmtId="164" fontId="42" fillId="6" borderId="47" xfId="2" applyFont="1" applyFill="1" applyBorder="1" applyAlignment="1">
      <alignment vertical="center"/>
    </xf>
    <xf numFmtId="164" fontId="14" fillId="6" borderId="48" xfId="2" applyFont="1" applyFill="1" applyBorder="1" applyAlignment="1">
      <alignment vertical="center"/>
    </xf>
    <xf numFmtId="164" fontId="14" fillId="6" borderId="47" xfId="2" applyFont="1" applyFill="1" applyBorder="1" applyAlignment="1">
      <alignment vertical="center"/>
    </xf>
    <xf numFmtId="164" fontId="53" fillId="6" borderId="47" xfId="2" applyFont="1" applyFill="1" applyBorder="1"/>
    <xf numFmtId="1" fontId="53" fillId="6" borderId="47" xfId="0" applyNumberFormat="1" applyFont="1" applyFill="1" applyBorder="1" applyAlignment="1">
      <alignment horizontal="right"/>
    </xf>
    <xf numFmtId="164" fontId="42" fillId="6" borderId="47" xfId="2" applyFont="1" applyFill="1" applyBorder="1" applyAlignment="1">
      <alignment horizontal="right"/>
    </xf>
    <xf numFmtId="37" fontId="14" fillId="6" borderId="47" xfId="2" applyNumberFormat="1" applyFont="1" applyFill="1" applyBorder="1" applyAlignment="1">
      <alignment horizontal="center"/>
    </xf>
    <xf numFmtId="1" fontId="14" fillId="6" borderId="47" xfId="0" applyNumberFormat="1" applyFont="1" applyFill="1" applyBorder="1" applyAlignment="1">
      <alignment horizontal="center"/>
    </xf>
    <xf numFmtId="164" fontId="19" fillId="6" borderId="47" xfId="2" applyFont="1" applyFill="1" applyBorder="1" applyAlignment="1">
      <alignment horizontal="left"/>
    </xf>
    <xf numFmtId="0" fontId="10" fillId="7" borderId="47" xfId="0" applyFont="1" applyFill="1" applyBorder="1"/>
    <xf numFmtId="0" fontId="31" fillId="10" borderId="7" xfId="0" applyFont="1" applyFill="1" applyBorder="1" applyAlignment="1">
      <alignment horizontal="left"/>
    </xf>
    <xf numFmtId="0" fontId="31" fillId="10" borderId="0" xfId="0" applyFont="1" applyFill="1" applyAlignment="1">
      <alignment horizontal="left"/>
    </xf>
    <xf numFmtId="164" fontId="31" fillId="10" borderId="0" xfId="2" applyFont="1" applyFill="1" applyBorder="1" applyAlignment="1">
      <alignment horizontal="left"/>
    </xf>
    <xf numFmtId="0" fontId="10" fillId="10" borderId="8" xfId="0" applyFont="1" applyFill="1" applyBorder="1"/>
    <xf numFmtId="0" fontId="31" fillId="0" borderId="40" xfId="0" applyFont="1" applyBorder="1" applyAlignment="1">
      <alignment horizontal="center"/>
    </xf>
    <xf numFmtId="164" fontId="31" fillId="0" borderId="40" xfId="2" applyFont="1" applyBorder="1" applyAlignment="1">
      <alignment horizontal="center"/>
    </xf>
    <xf numFmtId="164" fontId="31" fillId="0" borderId="40" xfId="0" applyNumberFormat="1" applyFont="1" applyBorder="1" applyAlignment="1">
      <alignment horizontal="center"/>
    </xf>
    <xf numFmtId="0" fontId="10" fillId="5" borderId="7" xfId="0" applyFont="1" applyFill="1" applyBorder="1"/>
    <xf numFmtId="0" fontId="10" fillId="5" borderId="0" xfId="0" applyFont="1" applyFill="1"/>
    <xf numFmtId="0" fontId="10" fillId="0" borderId="40" xfId="0" applyFont="1" applyBorder="1" applyAlignment="1">
      <alignment horizontal="left"/>
    </xf>
    <xf numFmtId="164" fontId="10" fillId="0" borderId="40" xfId="2" applyFont="1" applyBorder="1"/>
    <xf numFmtId="0" fontId="10" fillId="0" borderId="40" xfId="0" applyFont="1" applyBorder="1"/>
    <xf numFmtId="164" fontId="10" fillId="0" borderId="40" xfId="0" applyNumberFormat="1" applyFont="1" applyBorder="1"/>
    <xf numFmtId="0" fontId="31" fillId="5" borderId="7" xfId="0" applyFont="1" applyFill="1" applyBorder="1" applyAlignment="1">
      <alignment vertical="center"/>
    </xf>
    <xf numFmtId="0" fontId="31" fillId="5" borderId="0" xfId="0" applyFont="1" applyFill="1" applyAlignment="1">
      <alignment vertical="center"/>
    </xf>
    <xf numFmtId="0" fontId="31" fillId="5" borderId="9" xfId="0" applyFont="1" applyFill="1" applyBorder="1" applyAlignment="1">
      <alignment horizontal="center" vertical="center"/>
    </xf>
    <xf numFmtId="0" fontId="31" fillId="5" borderId="10" xfId="0" applyFont="1" applyFill="1" applyBorder="1" applyAlignment="1">
      <alignment horizontal="center" vertical="center"/>
    </xf>
    <xf numFmtId="164" fontId="10" fillId="5" borderId="10" xfId="2" applyFont="1" applyFill="1" applyBorder="1"/>
    <xf numFmtId="164" fontId="10" fillId="5" borderId="11" xfId="0" applyNumberFormat="1" applyFont="1" applyFill="1" applyBorder="1"/>
    <xf numFmtId="0" fontId="31" fillId="5" borderId="17" xfId="0" applyFont="1" applyFill="1" applyBorder="1" applyAlignment="1">
      <alignment horizontal="center" vertical="center" shrinkToFit="1"/>
    </xf>
    <xf numFmtId="0" fontId="31" fillId="5" borderId="13" xfId="0" applyFont="1" applyFill="1" applyBorder="1" applyAlignment="1">
      <alignment horizontal="center" vertical="center" shrinkToFit="1"/>
    </xf>
    <xf numFmtId="164" fontId="31" fillId="5" borderId="13" xfId="2" applyFont="1" applyFill="1" applyBorder="1" applyAlignment="1">
      <alignment horizontal="center" vertical="center"/>
    </xf>
    <xf numFmtId="164" fontId="31" fillId="5" borderId="18" xfId="2" applyFont="1" applyFill="1" applyBorder="1" applyAlignment="1">
      <alignment horizontal="center" vertical="center"/>
    </xf>
    <xf numFmtId="1" fontId="31" fillId="5" borderId="17" xfId="0" applyNumberFormat="1" applyFont="1" applyFill="1" applyBorder="1" applyAlignment="1">
      <alignment horizontal="center" vertical="center"/>
    </xf>
    <xf numFmtId="164" fontId="31" fillId="5" borderId="21" xfId="2" applyFont="1" applyFill="1" applyBorder="1" applyAlignment="1">
      <alignment horizontal="center" vertical="center"/>
    </xf>
    <xf numFmtId="0" fontId="31" fillId="5" borderId="20" xfId="0" applyFont="1" applyFill="1" applyBorder="1" applyAlignment="1">
      <alignment horizontal="center" vertical="center"/>
    </xf>
    <xf numFmtId="49" fontId="31" fillId="0" borderId="7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right"/>
    </xf>
    <xf numFmtId="0" fontId="10" fillId="0" borderId="5" xfId="2" applyNumberFormat="1" applyFont="1" applyFill="1" applyBorder="1" applyAlignment="1">
      <alignment shrinkToFit="1"/>
    </xf>
    <xf numFmtId="0" fontId="10" fillId="0" borderId="0" xfId="0" applyFont="1" applyAlignment="1">
      <alignment horizontal="center" shrinkToFit="1"/>
    </xf>
    <xf numFmtId="164" fontId="10" fillId="0" borderId="0" xfId="2" applyFont="1" applyFill="1" applyBorder="1" applyAlignment="1">
      <alignment horizontal="center"/>
    </xf>
    <xf numFmtId="164" fontId="10" fillId="0" borderId="6" xfId="2" applyFont="1" applyFill="1" applyBorder="1" applyAlignment="1">
      <alignment horizontal="center"/>
    </xf>
    <xf numFmtId="1" fontId="10" fillId="0" borderId="5" xfId="0" applyNumberFormat="1" applyFont="1" applyBorder="1" applyAlignment="1">
      <alignment horizontal="right"/>
    </xf>
    <xf numFmtId="164" fontId="10" fillId="0" borderId="0" xfId="2" applyFont="1" applyFill="1" applyBorder="1" applyAlignment="1">
      <alignment horizontal="right"/>
    </xf>
    <xf numFmtId="164" fontId="10" fillId="0" borderId="4" xfId="2" applyFont="1" applyFill="1" applyBorder="1"/>
    <xf numFmtId="164" fontId="10" fillId="0" borderId="19" xfId="0" applyNumberFormat="1" applyFont="1" applyBorder="1"/>
    <xf numFmtId="0" fontId="10" fillId="0" borderId="55" xfId="0" applyFont="1" applyBorder="1" applyAlignment="1">
      <alignment horizontal="left"/>
    </xf>
    <xf numFmtId="164" fontId="10" fillId="0" borderId="40" xfId="2" applyFont="1" applyFill="1" applyBorder="1"/>
    <xf numFmtId="0" fontId="10" fillId="0" borderId="56" xfId="0" applyFont="1" applyBorder="1"/>
    <xf numFmtId="164" fontId="31" fillId="0" borderId="74" xfId="0" applyNumberFormat="1" applyFont="1" applyBorder="1" applyAlignment="1">
      <alignment horizontal="center"/>
    </xf>
    <xf numFmtId="164" fontId="31" fillId="0" borderId="75" xfId="0" applyNumberFormat="1" applyFont="1" applyBorder="1" applyAlignment="1">
      <alignment horizontal="center"/>
    </xf>
    <xf numFmtId="0" fontId="31" fillId="0" borderId="76" xfId="0" applyFont="1" applyBorder="1" applyAlignment="1">
      <alignment horizontal="center"/>
    </xf>
    <xf numFmtId="49" fontId="10" fillId="0" borderId="7" xfId="0" applyNumberFormat="1" applyFont="1" applyBorder="1" applyAlignment="1">
      <alignment horizontal="right"/>
    </xf>
    <xf numFmtId="164" fontId="10" fillId="0" borderId="0" xfId="2" applyFont="1" applyFill="1"/>
    <xf numFmtId="0" fontId="10" fillId="0" borderId="85" xfId="0" applyFont="1" applyBorder="1" applyAlignment="1">
      <alignment horizontal="left"/>
    </xf>
    <xf numFmtId="164" fontId="10" fillId="0" borderId="52" xfId="2" applyFont="1" applyFill="1" applyBorder="1"/>
    <xf numFmtId="0" fontId="10" fillId="0" borderId="86" xfId="0" applyFont="1" applyBorder="1"/>
    <xf numFmtId="0" fontId="10" fillId="0" borderId="61" xfId="0" applyFont="1" applyBorder="1" applyAlignment="1">
      <alignment horizontal="left"/>
    </xf>
    <xf numFmtId="164" fontId="10" fillId="0" borderId="54" xfId="2" applyFont="1" applyFill="1" applyBorder="1"/>
    <xf numFmtId="0" fontId="10" fillId="0" borderId="64" xfId="0" applyFont="1" applyBorder="1"/>
    <xf numFmtId="49" fontId="31" fillId="0" borderId="7" xfId="0" applyNumberFormat="1" applyFont="1" applyBorder="1" applyAlignment="1">
      <alignment horizontal="right"/>
    </xf>
    <xf numFmtId="0" fontId="10" fillId="0" borderId="5" xfId="0" applyFont="1" applyBorder="1" applyAlignment="1">
      <alignment shrinkToFit="1"/>
    </xf>
    <xf numFmtId="164" fontId="31" fillId="0" borderId="0" xfId="2" applyFont="1" applyFill="1" applyBorder="1" applyAlignment="1">
      <alignment horizontal="right"/>
    </xf>
    <xf numFmtId="164" fontId="31" fillId="0" borderId="25" xfId="0" applyNumberFormat="1" applyFont="1" applyBorder="1"/>
    <xf numFmtId="0" fontId="10" fillId="5" borderId="65" xfId="0" applyFont="1" applyFill="1" applyBorder="1" applyAlignment="1">
      <alignment horizontal="left"/>
    </xf>
    <xf numFmtId="164" fontId="10" fillId="5" borderId="66" xfId="2" applyFont="1" applyFill="1" applyBorder="1"/>
    <xf numFmtId="0" fontId="10" fillId="5" borderId="67" xfId="0" applyFont="1" applyFill="1" applyBorder="1"/>
    <xf numFmtId="0" fontId="31" fillId="5" borderId="14" xfId="0" applyFont="1" applyFill="1" applyBorder="1" applyAlignment="1">
      <alignment vertical="center" shrinkToFit="1"/>
    </xf>
    <xf numFmtId="0" fontId="31" fillId="5" borderId="15" xfId="0" applyFont="1" applyFill="1" applyBorder="1" applyAlignment="1">
      <alignment vertical="center" shrinkToFit="1"/>
    </xf>
    <xf numFmtId="164" fontId="31" fillId="5" borderId="15" xfId="2" applyFont="1" applyFill="1" applyBorder="1" applyAlignment="1">
      <alignment vertical="center"/>
    </xf>
    <xf numFmtId="164" fontId="31" fillId="5" borderId="16" xfId="2" applyFont="1" applyFill="1" applyBorder="1" applyAlignment="1">
      <alignment vertical="center"/>
    </xf>
    <xf numFmtId="1" fontId="31" fillId="5" borderId="14" xfId="0" applyNumberFormat="1" applyFont="1" applyFill="1" applyBorder="1" applyAlignment="1">
      <alignment vertical="center"/>
    </xf>
    <xf numFmtId="0" fontId="31" fillId="5" borderId="26" xfId="0" applyFont="1" applyFill="1" applyBorder="1" applyAlignment="1">
      <alignment vertical="center"/>
    </xf>
    <xf numFmtId="0" fontId="10" fillId="5" borderId="68" xfId="0" applyFont="1" applyFill="1" applyBorder="1" applyAlignment="1">
      <alignment horizontal="left"/>
    </xf>
    <xf numFmtId="164" fontId="10" fillId="5" borderId="69" xfId="2" applyFont="1" applyFill="1" applyBorder="1"/>
    <xf numFmtId="0" fontId="10" fillId="5" borderId="70" xfId="0" applyFont="1" applyFill="1" applyBorder="1"/>
    <xf numFmtId="164" fontId="10" fillId="0" borderId="0" xfId="2" applyFont="1" applyAlignment="1">
      <alignment horizontal="left"/>
    </xf>
    <xf numFmtId="164" fontId="10" fillId="0" borderId="8" xfId="0" applyNumberFormat="1" applyFont="1" applyBorder="1"/>
    <xf numFmtId="164" fontId="10" fillId="5" borderId="13" xfId="2" applyFont="1" applyFill="1" applyBorder="1"/>
    <xf numFmtId="0" fontId="10" fillId="5" borderId="71" xfId="0" applyFont="1" applyFill="1" applyBorder="1"/>
    <xf numFmtId="0" fontId="31" fillId="0" borderId="77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49" fontId="31" fillId="0" borderId="12" xfId="0" applyNumberFormat="1" applyFont="1" applyBorder="1" applyAlignment="1">
      <alignment horizontal="center"/>
    </xf>
    <xf numFmtId="49" fontId="10" fillId="0" borderId="13" xfId="0" applyNumberFormat="1" applyFont="1" applyBorder="1" applyAlignment="1">
      <alignment horizontal="left"/>
    </xf>
    <xf numFmtId="164" fontId="10" fillId="0" borderId="0" xfId="2" applyFont="1" applyFill="1" applyBorder="1"/>
    <xf numFmtId="0" fontId="10" fillId="0" borderId="32" xfId="0" applyFont="1" applyBorder="1"/>
    <xf numFmtId="164" fontId="10" fillId="0" borderId="5" xfId="0" applyNumberFormat="1" applyFont="1" applyBorder="1"/>
    <xf numFmtId="0" fontId="10" fillId="0" borderId="33" xfId="0" applyFont="1" applyBorder="1" applyAlignment="1">
      <alignment horizontal="left"/>
    </xf>
    <xf numFmtId="164" fontId="31" fillId="0" borderId="112" xfId="0" applyNumberFormat="1" applyFont="1" applyBorder="1" applyAlignment="1">
      <alignment horizontal="center"/>
    </xf>
    <xf numFmtId="0" fontId="10" fillId="0" borderId="94" xfId="0" applyFont="1" applyBorder="1" applyAlignment="1">
      <alignment horizontal="left"/>
    </xf>
    <xf numFmtId="0" fontId="10" fillId="0" borderId="89" xfId="0" applyFont="1" applyBorder="1"/>
    <xf numFmtId="164" fontId="10" fillId="0" borderId="37" xfId="2" applyFont="1" applyFill="1" applyBorder="1"/>
    <xf numFmtId="0" fontId="10" fillId="0" borderId="37" xfId="0" applyFont="1" applyBorder="1"/>
    <xf numFmtId="164" fontId="31" fillId="0" borderId="113" xfId="0" applyNumberFormat="1" applyFont="1" applyBorder="1" applyAlignment="1">
      <alignment horizontal="center"/>
    </xf>
    <xf numFmtId="164" fontId="31" fillId="0" borderId="114" xfId="0" applyNumberFormat="1" applyFont="1" applyBorder="1" applyAlignment="1">
      <alignment horizontal="center"/>
    </xf>
    <xf numFmtId="0" fontId="31" fillId="0" borderId="80" xfId="0" applyFont="1" applyBorder="1" applyAlignment="1">
      <alignment horizontal="center"/>
    </xf>
    <xf numFmtId="0" fontId="42" fillId="8" borderId="12" xfId="0" applyFont="1" applyFill="1" applyBorder="1" applyAlignment="1">
      <alignment horizontal="center"/>
    </xf>
    <xf numFmtId="0" fontId="53" fillId="8" borderId="13" xfId="0" applyFont="1" applyFill="1" applyBorder="1"/>
    <xf numFmtId="0" fontId="53" fillId="8" borderId="13" xfId="0" applyFont="1" applyFill="1" applyBorder="1" applyAlignment="1">
      <alignment shrinkToFit="1"/>
    </xf>
    <xf numFmtId="164" fontId="53" fillId="8" borderId="13" xfId="2" applyFont="1" applyFill="1" applyBorder="1"/>
    <xf numFmtId="0" fontId="53" fillId="8" borderId="7" xfId="0" applyFont="1" applyFill="1" applyBorder="1"/>
    <xf numFmtId="0" fontId="10" fillId="8" borderId="0" xfId="0" applyFont="1" applyFill="1"/>
    <xf numFmtId="0" fontId="42" fillId="8" borderId="0" xfId="0" applyFont="1" applyFill="1" applyAlignment="1">
      <alignment vertical="center" shrinkToFit="1"/>
    </xf>
    <xf numFmtId="3" fontId="42" fillId="8" borderId="0" xfId="0" applyNumberFormat="1" applyFont="1" applyFill="1" applyAlignment="1">
      <alignment vertical="center"/>
    </xf>
    <xf numFmtId="0" fontId="53" fillId="8" borderId="0" xfId="0" applyFont="1" applyFill="1"/>
    <xf numFmtId="0" fontId="53" fillId="8" borderId="10" xfId="0" applyFont="1" applyFill="1" applyBorder="1"/>
    <xf numFmtId="0" fontId="10" fillId="10" borderId="9" xfId="0" applyFont="1" applyFill="1" applyBorder="1"/>
    <xf numFmtId="0" fontId="10" fillId="10" borderId="10" xfId="0" applyFont="1" applyFill="1" applyBorder="1"/>
    <xf numFmtId="0" fontId="10" fillId="10" borderId="11" xfId="0" applyFont="1" applyFill="1" applyBorder="1"/>
    <xf numFmtId="0" fontId="10" fillId="0" borderId="0" xfId="0" applyFont="1" applyAlignment="1">
      <alignment horizontal="left" shrinkToFit="1"/>
    </xf>
    <xf numFmtId="0" fontId="10" fillId="0" borderId="0" xfId="0" applyFont="1" applyAlignment="1">
      <alignment shrinkToFit="1"/>
    </xf>
    <xf numFmtId="0" fontId="10" fillId="0" borderId="0" xfId="0" applyFont="1" applyAlignment="1">
      <alignment horizontal="right"/>
    </xf>
    <xf numFmtId="0" fontId="31" fillId="5" borderId="0" xfId="0" applyFont="1" applyFill="1" applyAlignment="1">
      <alignment horizontal="center"/>
    </xf>
    <xf numFmtId="0" fontId="1" fillId="0" borderId="29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165" fontId="0" fillId="0" borderId="0" xfId="1" applyFont="1"/>
    <xf numFmtId="164" fontId="1" fillId="0" borderId="32" xfId="0" applyNumberFormat="1" applyFont="1" applyBorder="1"/>
    <xf numFmtId="164" fontId="2" fillId="0" borderId="31" xfId="0" applyNumberFormat="1" applyFont="1" applyBorder="1"/>
    <xf numFmtId="164" fontId="1" fillId="0" borderId="76" xfId="0" applyNumberFormat="1" applyFont="1" applyBorder="1"/>
    <xf numFmtId="164" fontId="1" fillId="0" borderId="80" xfId="0" applyNumberFormat="1" applyFont="1" applyBorder="1"/>
    <xf numFmtId="164" fontId="1" fillId="5" borderId="72" xfId="0" applyNumberFormat="1" applyFont="1" applyFill="1" applyBorder="1"/>
    <xf numFmtId="0" fontId="2" fillId="5" borderId="169" xfId="0" applyFont="1" applyFill="1" applyBorder="1" applyAlignment="1">
      <alignment vertical="center"/>
    </xf>
    <xf numFmtId="164" fontId="2" fillId="0" borderId="112" xfId="0" applyNumberFormat="1" applyFont="1" applyBorder="1" applyAlignment="1">
      <alignment horizontal="center"/>
    </xf>
    <xf numFmtId="164" fontId="1" fillId="0" borderId="53" xfId="0" applyNumberFormat="1" applyFont="1" applyBorder="1"/>
    <xf numFmtId="164" fontId="1" fillId="0" borderId="41" xfId="0" applyNumberFormat="1" applyFont="1" applyBorder="1"/>
    <xf numFmtId="0" fontId="1" fillId="0" borderId="170" xfId="0" applyFont="1" applyBorder="1"/>
    <xf numFmtId="0" fontId="1" fillId="0" borderId="171" xfId="0" applyFont="1" applyBorder="1"/>
    <xf numFmtId="0" fontId="1" fillId="0" borderId="172" xfId="0" applyFont="1" applyBorder="1"/>
    <xf numFmtId="0" fontId="1" fillId="0" borderId="173" xfId="0" applyFont="1" applyBorder="1"/>
    <xf numFmtId="172" fontId="1" fillId="0" borderId="5" xfId="2" applyNumberFormat="1" applyFont="1" applyFill="1" applyBorder="1" applyAlignment="1">
      <alignment shrinkToFit="1"/>
    </xf>
    <xf numFmtId="14" fontId="0" fillId="0" borderId="0" xfId="0" applyNumberFormat="1"/>
    <xf numFmtId="0" fontId="0" fillId="0" borderId="0" xfId="1" applyNumberFormat="1" applyFont="1"/>
    <xf numFmtId="164" fontId="33" fillId="8" borderId="7" xfId="2" applyFont="1" applyFill="1" applyBorder="1"/>
    <xf numFmtId="44" fontId="33" fillId="8" borderId="7" xfId="2" applyNumberFormat="1" applyFont="1" applyFill="1" applyBorder="1"/>
    <xf numFmtId="44" fontId="41" fillId="8" borderId="7" xfId="2" applyNumberFormat="1" applyFont="1" applyFill="1" applyBorder="1"/>
    <xf numFmtId="44" fontId="33" fillId="8" borderId="7" xfId="2" applyNumberFormat="1" applyFont="1" applyFill="1" applyBorder="1" applyAlignment="1"/>
    <xf numFmtId="44" fontId="42" fillId="8" borderId="7" xfId="2" applyNumberFormat="1" applyFont="1" applyFill="1" applyBorder="1"/>
    <xf numFmtId="0" fontId="33" fillId="8" borderId="7" xfId="2" applyNumberFormat="1" applyFont="1" applyFill="1" applyBorder="1" applyAlignment="1"/>
    <xf numFmtId="3" fontId="1" fillId="0" borderId="0" xfId="0" applyNumberFormat="1" applyFont="1"/>
    <xf numFmtId="1" fontId="1" fillId="0" borderId="0" xfId="2" applyNumberFormat="1" applyFont="1"/>
    <xf numFmtId="2" fontId="2" fillId="0" borderId="4" xfId="0" applyNumberFormat="1" applyFont="1" applyBorder="1" applyAlignment="1">
      <alignment horizontal="center"/>
    </xf>
    <xf numFmtId="164" fontId="6" fillId="0" borderId="0" xfId="2" applyFont="1"/>
    <xf numFmtId="164" fontId="6" fillId="0" borderId="0" xfId="0" applyNumberFormat="1" applyFont="1"/>
    <xf numFmtId="44" fontId="1" fillId="0" borderId="0" xfId="0" applyNumberFormat="1" applyFont="1"/>
    <xf numFmtId="10" fontId="1" fillId="0" borderId="0" xfId="0" applyNumberFormat="1" applyFont="1"/>
    <xf numFmtId="0" fontId="2" fillId="0" borderId="76" xfId="0" applyFont="1" applyBorder="1" applyAlignment="1">
      <alignment horizontal="left"/>
    </xf>
    <xf numFmtId="164" fontId="2" fillId="0" borderId="4" xfId="2" applyFont="1" applyBorder="1" applyAlignment="1">
      <alignment horizontal="center"/>
    </xf>
    <xf numFmtId="164" fontId="1" fillId="0" borderId="56" xfId="2" applyFont="1" applyBorder="1"/>
    <xf numFmtId="164" fontId="2" fillId="0" borderId="76" xfId="0" applyNumberFormat="1" applyFont="1" applyBorder="1" applyAlignment="1">
      <alignment horizontal="center"/>
    </xf>
    <xf numFmtId="1" fontId="1" fillId="0" borderId="0" xfId="2" applyNumberFormat="1" applyFont="1" applyFill="1" applyBorder="1" applyAlignment="1">
      <alignment shrinkToFit="1"/>
    </xf>
    <xf numFmtId="164" fontId="1" fillId="5" borderId="70" xfId="2" applyFont="1" applyFill="1" applyBorder="1"/>
    <xf numFmtId="164" fontId="2" fillId="0" borderId="74" xfId="0" applyNumberFormat="1" applyFont="1" applyBorder="1" applyAlignment="1">
      <alignment horizontal="left"/>
    </xf>
    <xf numFmtId="0" fontId="55" fillId="0" borderId="0" xfId="0" applyFont="1" applyAlignment="1">
      <alignment horizontal="center"/>
    </xf>
    <xf numFmtId="164" fontId="1" fillId="3" borderId="40" xfId="2" applyFont="1" applyFill="1" applyBorder="1"/>
    <xf numFmtId="44" fontId="1" fillId="0" borderId="32" xfId="0" applyNumberFormat="1" applyFont="1" applyBorder="1"/>
    <xf numFmtId="0" fontId="1" fillId="3" borderId="56" xfId="0" applyFont="1" applyFill="1" applyBorder="1"/>
    <xf numFmtId="0" fontId="1" fillId="11" borderId="176" xfId="0" applyFont="1" applyFill="1" applyBorder="1" applyAlignment="1">
      <alignment horizontal="center"/>
    </xf>
    <xf numFmtId="0" fontId="1" fillId="11" borderId="177" xfId="0" applyFont="1" applyFill="1" applyBorder="1" applyAlignment="1">
      <alignment horizontal="center"/>
    </xf>
    <xf numFmtId="0" fontId="1" fillId="11" borderId="178" xfId="0" applyFont="1" applyFill="1" applyBorder="1" applyAlignment="1">
      <alignment horizontal="center"/>
    </xf>
    <xf numFmtId="0" fontId="1" fillId="11" borderId="15" xfId="0" applyFont="1" applyFill="1" applyBorder="1" applyAlignment="1">
      <alignment horizontal="left"/>
    </xf>
    <xf numFmtId="0" fontId="1" fillId="11" borderId="15" xfId="0" applyFont="1" applyFill="1" applyBorder="1"/>
    <xf numFmtId="0" fontId="1" fillId="11" borderId="175" xfId="0" applyFont="1" applyFill="1" applyBorder="1"/>
    <xf numFmtId="0" fontId="1" fillId="0" borderId="12" xfId="0" applyFont="1" applyBorder="1" applyAlignment="1">
      <alignment horizontal="center"/>
    </xf>
    <xf numFmtId="0" fontId="23" fillId="0" borderId="13" xfId="0" applyFont="1" applyBorder="1"/>
    <xf numFmtId="0" fontId="1" fillId="0" borderId="9" xfId="0" applyFont="1" applyBorder="1" applyAlignment="1">
      <alignment horizontal="center"/>
    </xf>
    <xf numFmtId="0" fontId="23" fillId="0" borderId="0" xfId="0" applyFont="1"/>
    <xf numFmtId="164" fontId="10" fillId="14" borderId="40" xfId="2" applyFont="1" applyFill="1" applyBorder="1"/>
    <xf numFmtId="164" fontId="1" fillId="0" borderId="0" xfId="2" applyFont="1" applyAlignment="1">
      <alignment horizontal="center"/>
    </xf>
    <xf numFmtId="164" fontId="2" fillId="0" borderId="77" xfId="2" applyFont="1" applyBorder="1" applyAlignment="1">
      <alignment horizontal="center"/>
    </xf>
    <xf numFmtId="0" fontId="1" fillId="15" borderId="55" xfId="0" applyFont="1" applyFill="1" applyBorder="1" applyAlignment="1">
      <alignment horizontal="left"/>
    </xf>
    <xf numFmtId="164" fontId="10" fillId="15" borderId="40" xfId="2" applyFont="1" applyFill="1" applyBorder="1"/>
    <xf numFmtId="164" fontId="1" fillId="15" borderId="40" xfId="2" applyFont="1" applyFill="1" applyBorder="1"/>
    <xf numFmtId="0" fontId="1" fillId="16" borderId="55" xfId="0" applyFont="1" applyFill="1" applyBorder="1" applyAlignment="1">
      <alignment horizontal="left"/>
    </xf>
    <xf numFmtId="164" fontId="1" fillId="14" borderId="40" xfId="2" applyFont="1" applyFill="1" applyBorder="1"/>
    <xf numFmtId="164" fontId="1" fillId="16" borderId="40" xfId="2" applyFont="1" applyFill="1" applyBorder="1" applyAlignment="1"/>
    <xf numFmtId="0" fontId="1" fillId="14" borderId="55" xfId="0" applyFont="1" applyFill="1" applyBorder="1" applyAlignment="1">
      <alignment horizontal="left"/>
    </xf>
    <xf numFmtId="164" fontId="1" fillId="15" borderId="0" xfId="2" applyFont="1" applyFill="1" applyAlignment="1"/>
    <xf numFmtId="44" fontId="1" fillId="15" borderId="0" xfId="0" applyNumberFormat="1" applyFont="1" applyFill="1"/>
    <xf numFmtId="8" fontId="6" fillId="0" borderId="0" xfId="0" applyNumberFormat="1" applyFont="1"/>
    <xf numFmtId="0" fontId="1" fillId="14" borderId="0" xfId="0" applyFont="1" applyFill="1" applyAlignment="1">
      <alignment horizontal="left"/>
    </xf>
    <xf numFmtId="0" fontId="1" fillId="15" borderId="0" xfId="0" applyFont="1" applyFill="1"/>
    <xf numFmtId="164" fontId="1" fillId="16" borderId="40" xfId="2" applyFont="1" applyFill="1" applyBorder="1"/>
    <xf numFmtId="0" fontId="1" fillId="16" borderId="0" xfId="0" applyFont="1" applyFill="1" applyAlignment="1">
      <alignment horizontal="left"/>
    </xf>
    <xf numFmtId="164" fontId="1" fillId="16" borderId="0" xfId="2" applyFont="1" applyFill="1" applyAlignment="1"/>
    <xf numFmtId="164" fontId="1" fillId="15" borderId="0" xfId="2" applyFont="1" applyFill="1" applyBorder="1"/>
    <xf numFmtId="0" fontId="1" fillId="14" borderId="68" xfId="0" applyFont="1" applyFill="1" applyBorder="1" applyAlignment="1">
      <alignment horizontal="left"/>
    </xf>
    <xf numFmtId="0" fontId="15" fillId="5" borderId="139" xfId="0" applyFont="1" applyFill="1" applyBorder="1" applyAlignment="1">
      <alignment horizontal="center"/>
    </xf>
    <xf numFmtId="164" fontId="11" fillId="0" borderId="0" xfId="0" applyNumberFormat="1" applyFont="1" applyAlignment="1">
      <alignment horizontal="center" vertical="center"/>
    </xf>
    <xf numFmtId="164" fontId="4" fillId="0" borderId="0" xfId="2" applyFont="1" applyBorder="1" applyAlignment="1">
      <alignment horizontal="center" vertical="center"/>
    </xf>
    <xf numFmtId="164" fontId="3" fillId="0" borderId="0" xfId="2" applyFont="1" applyBorder="1" applyAlignment="1">
      <alignment horizontal="center" vertical="center"/>
    </xf>
    <xf numFmtId="164" fontId="3" fillId="0" borderId="0" xfId="2" applyFont="1" applyBorder="1" applyAlignment="1">
      <alignment horizontal="right" vertical="center"/>
    </xf>
    <xf numFmtId="0" fontId="16" fillId="6" borderId="121" xfId="2" applyNumberFormat="1" applyFont="1" applyFill="1" applyBorder="1" applyAlignment="1">
      <alignment horizontal="left" vertical="center"/>
    </xf>
    <xf numFmtId="0" fontId="16" fillId="6" borderId="122" xfId="2" applyNumberFormat="1" applyFont="1" applyFill="1" applyBorder="1" applyAlignment="1">
      <alignment horizontal="left" vertical="center"/>
    </xf>
    <xf numFmtId="0" fontId="16" fillId="6" borderId="131" xfId="2" applyNumberFormat="1" applyFont="1" applyFill="1" applyBorder="1" applyAlignment="1">
      <alignment horizontal="center" vertical="center"/>
    </xf>
    <xf numFmtId="0" fontId="16" fillId="6" borderId="132" xfId="2" applyNumberFormat="1" applyFont="1" applyFill="1" applyBorder="1" applyAlignment="1">
      <alignment horizontal="center" vertical="center"/>
    </xf>
    <xf numFmtId="0" fontId="16" fillId="6" borderId="0" xfId="2" applyNumberFormat="1" applyFont="1" applyFill="1" applyBorder="1" applyAlignment="1">
      <alignment horizontal="center" vertical="center"/>
    </xf>
    <xf numFmtId="0" fontId="16" fillId="6" borderId="130" xfId="2" applyNumberFormat="1" applyFont="1" applyFill="1" applyBorder="1" applyAlignment="1">
      <alignment horizontal="center" vertical="center"/>
    </xf>
    <xf numFmtId="0" fontId="16" fillId="6" borderId="125" xfId="2" applyNumberFormat="1" applyFont="1" applyFill="1" applyBorder="1" applyAlignment="1">
      <alignment horizontal="center" vertical="center"/>
    </xf>
    <xf numFmtId="0" fontId="16" fillId="6" borderId="126" xfId="2" applyNumberFormat="1" applyFont="1" applyFill="1" applyBorder="1" applyAlignment="1">
      <alignment horizontal="center" vertical="center"/>
    </xf>
    <xf numFmtId="0" fontId="26" fillId="6" borderId="123" xfId="2" applyNumberFormat="1" applyFont="1" applyFill="1" applyBorder="1" applyAlignment="1">
      <alignment horizontal="left" vertical="center"/>
    </xf>
    <xf numFmtId="0" fontId="26" fillId="6" borderId="124" xfId="2" applyNumberFormat="1" applyFont="1" applyFill="1" applyBorder="1" applyAlignment="1">
      <alignment horizontal="left" vertical="center"/>
    </xf>
    <xf numFmtId="9" fontId="27" fillId="0" borderId="0" xfId="4" applyFont="1" applyAlignment="1">
      <alignment horizontal="right" vertical="center"/>
    </xf>
    <xf numFmtId="164" fontId="7" fillId="0" borderId="130" xfId="0" applyNumberFormat="1" applyFont="1" applyBorder="1" applyAlignment="1">
      <alignment horizontal="center" vertical="center"/>
    </xf>
    <xf numFmtId="164" fontId="0" fillId="0" borderId="0" xfId="2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15" fillId="5" borderId="0" xfId="0" applyFont="1" applyFill="1" applyAlignment="1">
      <alignment horizontal="center"/>
    </xf>
    <xf numFmtId="0" fontId="31" fillId="0" borderId="0" xfId="0" applyFont="1" applyAlignment="1">
      <alignment horizontal="right" wrapText="1"/>
    </xf>
    <xf numFmtId="0" fontId="31" fillId="0" borderId="10" xfId="0" applyFont="1" applyBorder="1" applyAlignment="1">
      <alignment horizontal="right" wrapText="1"/>
    </xf>
    <xf numFmtId="0" fontId="26" fillId="6" borderId="159" xfId="2" applyNumberFormat="1" applyFont="1" applyFill="1" applyBorder="1" applyAlignment="1">
      <alignment horizontal="left"/>
    </xf>
    <xf numFmtId="0" fontId="26" fillId="6" borderId="124" xfId="2" applyNumberFormat="1" applyFont="1" applyFill="1" applyBorder="1" applyAlignment="1">
      <alignment horizontal="left"/>
    </xf>
    <xf numFmtId="0" fontId="16" fillId="6" borderId="0" xfId="2" applyNumberFormat="1" applyFont="1" applyFill="1" applyBorder="1" applyAlignment="1">
      <alignment horizontal="center"/>
    </xf>
    <xf numFmtId="0" fontId="16" fillId="6" borderId="8" xfId="2" applyNumberFormat="1" applyFont="1" applyFill="1" applyBorder="1" applyAlignment="1">
      <alignment horizontal="center"/>
    </xf>
    <xf numFmtId="0" fontId="16" fillId="6" borderId="125" xfId="2" applyNumberFormat="1" applyFont="1" applyFill="1" applyBorder="1" applyAlignment="1">
      <alignment horizontal="center"/>
    </xf>
    <xf numFmtId="0" fontId="16" fillId="6" borderId="160" xfId="2" applyNumberFormat="1" applyFont="1" applyFill="1" applyBorder="1" applyAlignment="1">
      <alignment horizontal="center"/>
    </xf>
    <xf numFmtId="0" fontId="16" fillId="6" borderId="158" xfId="2" applyNumberFormat="1" applyFont="1" applyFill="1" applyBorder="1" applyAlignment="1">
      <alignment horizontal="left"/>
    </xf>
    <xf numFmtId="0" fontId="16" fillId="6" borderId="125" xfId="2" applyNumberFormat="1" applyFont="1" applyFill="1" applyBorder="1" applyAlignment="1">
      <alignment horizontal="left"/>
    </xf>
    <xf numFmtId="164" fontId="9" fillId="0" borderId="39" xfId="0" applyNumberFormat="1" applyFont="1" applyBorder="1" applyAlignment="1">
      <alignment horizontal="right"/>
    </xf>
    <xf numFmtId="164" fontId="9" fillId="0" borderId="154" xfId="0" applyNumberFormat="1" applyFont="1" applyBorder="1" applyAlignment="1">
      <alignment horizontal="right"/>
    </xf>
    <xf numFmtId="164" fontId="9" fillId="0" borderId="10" xfId="0" applyNumberFormat="1" applyFont="1" applyBorder="1" applyAlignment="1">
      <alignment horizontal="right"/>
    </xf>
    <xf numFmtId="164" fontId="9" fillId="0" borderId="11" xfId="0" applyNumberFormat="1" applyFont="1" applyBorder="1" applyAlignment="1">
      <alignment horizontal="right"/>
    </xf>
    <xf numFmtId="164" fontId="1" fillId="0" borderId="0" xfId="0" applyNumberFormat="1" applyFont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23" fillId="0" borderId="0" xfId="0" applyFont="1" applyAlignment="1">
      <alignment horizontal="right"/>
    </xf>
    <xf numFmtId="0" fontId="23" fillId="0" borderId="13" xfId="0" applyFont="1" applyBorder="1" applyAlignment="1">
      <alignment horizontal="right"/>
    </xf>
    <xf numFmtId="164" fontId="1" fillId="0" borderId="13" xfId="0" applyNumberFormat="1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64" fontId="1" fillId="0" borderId="0" xfId="2" applyFont="1" applyBorder="1" applyAlignment="1">
      <alignment horizontal="center"/>
    </xf>
    <xf numFmtId="164" fontId="1" fillId="0" borderId="8" xfId="2" applyFont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1" fillId="0" borderId="174" xfId="2" applyFont="1" applyBorder="1" applyAlignment="1">
      <alignment horizontal="center"/>
    </xf>
    <xf numFmtId="0" fontId="34" fillId="0" borderId="115" xfId="0" applyFont="1" applyBorder="1" applyAlignment="1">
      <alignment horizontal="center"/>
    </xf>
    <xf numFmtId="0" fontId="34" fillId="0" borderId="116" xfId="0" applyFont="1" applyBorder="1" applyAlignment="1">
      <alignment horizontal="center"/>
    </xf>
    <xf numFmtId="0" fontId="34" fillId="0" borderId="167" xfId="0" applyFont="1" applyBorder="1" applyAlignment="1">
      <alignment horizontal="center"/>
    </xf>
    <xf numFmtId="0" fontId="34" fillId="0" borderId="146" xfId="0" applyFont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9" fillId="11" borderId="33" xfId="0" applyFont="1" applyFill="1" applyBorder="1" applyAlignment="1">
      <alignment horizontal="center"/>
    </xf>
    <xf numFmtId="164" fontId="36" fillId="6" borderId="47" xfId="2" applyFont="1" applyFill="1" applyBorder="1" applyAlignment="1">
      <alignment horizontal="center"/>
    </xf>
    <xf numFmtId="0" fontId="36" fillId="6" borderId="117" xfId="0" applyFont="1" applyFill="1" applyBorder="1" applyAlignment="1">
      <alignment horizontal="left"/>
    </xf>
    <xf numFmtId="0" fontId="36" fillId="6" borderId="47" xfId="0" applyFont="1" applyFill="1" applyBorder="1" applyAlignment="1">
      <alignment horizontal="left"/>
    </xf>
    <xf numFmtId="164" fontId="9" fillId="11" borderId="0" xfId="2" applyFont="1" applyFill="1" applyBorder="1" applyAlignment="1">
      <alignment horizontal="center"/>
    </xf>
    <xf numFmtId="1" fontId="9" fillId="11" borderId="0" xfId="0" applyNumberFormat="1" applyFont="1" applyFill="1" applyAlignment="1">
      <alignment horizontal="center"/>
    </xf>
    <xf numFmtId="0" fontId="1" fillId="0" borderId="0" xfId="0" applyFont="1"/>
    <xf numFmtId="164" fontId="1" fillId="0" borderId="0" xfId="2" applyFont="1"/>
    <xf numFmtId="10" fontId="1" fillId="0" borderId="0" xfId="0" applyNumberFormat="1" applyFont="1"/>
    <xf numFmtId="0" fontId="2" fillId="5" borderId="33" xfId="0" applyFont="1" applyFill="1" applyBorder="1" applyAlignment="1">
      <alignment horizontal="center"/>
    </xf>
    <xf numFmtId="1" fontId="1" fillId="5" borderId="10" xfId="0" applyNumberFormat="1" applyFont="1" applyFill="1" applyBorder="1" applyAlignment="1">
      <alignment horizontal="center" shrinkToFit="1"/>
    </xf>
    <xf numFmtId="0" fontId="9" fillId="5" borderId="73" xfId="0" applyFont="1" applyFill="1" applyBorder="1" applyAlignment="1">
      <alignment horizontal="center" vertical="center"/>
    </xf>
    <xf numFmtId="0" fontId="9" fillId="5" borderId="76" xfId="0" applyFont="1" applyFill="1" applyBorder="1" applyAlignment="1">
      <alignment horizontal="center" vertical="center"/>
    </xf>
    <xf numFmtId="0" fontId="9" fillId="5" borderId="60" xfId="0" applyFont="1" applyFill="1" applyBorder="1" applyAlignment="1">
      <alignment horizontal="center" vertical="center"/>
    </xf>
    <xf numFmtId="0" fontId="9" fillId="5" borderId="61" xfId="0" applyFont="1" applyFill="1" applyBorder="1" applyAlignment="1">
      <alignment horizontal="center" vertical="center"/>
    </xf>
    <xf numFmtId="164" fontId="9" fillId="5" borderId="62" xfId="2" applyFont="1" applyFill="1" applyBorder="1" applyAlignment="1">
      <alignment horizontal="center" vertical="center"/>
    </xf>
    <xf numFmtId="164" fontId="9" fillId="5" borderId="54" xfId="2" applyFont="1" applyFill="1" applyBorder="1" applyAlignment="1">
      <alignment horizontal="center" vertical="center"/>
    </xf>
    <xf numFmtId="0" fontId="9" fillId="5" borderId="63" xfId="0" applyFont="1" applyFill="1" applyBorder="1" applyAlignment="1">
      <alignment horizontal="center" vertical="center"/>
    </xf>
    <xf numFmtId="0" fontId="9" fillId="5" borderId="64" xfId="0" applyFont="1" applyFill="1" applyBorder="1" applyAlignment="1">
      <alignment horizontal="center" vertical="center"/>
    </xf>
    <xf numFmtId="0" fontId="9" fillId="5" borderId="81" xfId="0" applyFont="1" applyFill="1" applyBorder="1" applyAlignment="1">
      <alignment horizontal="center" vertical="center"/>
    </xf>
    <xf numFmtId="0" fontId="9" fillId="5" borderId="82" xfId="0" applyFont="1" applyFill="1" applyBorder="1" applyAlignment="1">
      <alignment horizontal="center" vertical="center"/>
    </xf>
    <xf numFmtId="0" fontId="9" fillId="5" borderId="83" xfId="0" applyFont="1" applyFill="1" applyBorder="1" applyAlignment="1">
      <alignment horizontal="center" vertical="center"/>
    </xf>
    <xf numFmtId="0" fontId="9" fillId="5" borderId="84" xfId="0" applyFont="1" applyFill="1" applyBorder="1" applyAlignment="1">
      <alignment horizontal="center" vertical="center"/>
    </xf>
    <xf numFmtId="164" fontId="33" fillId="8" borderId="0" xfId="2" applyFont="1" applyFill="1" applyBorder="1" applyAlignment="1">
      <alignment horizontal="center" vertical="center" wrapText="1"/>
    </xf>
    <xf numFmtId="164" fontId="33" fillId="8" borderId="10" xfId="2" applyFont="1" applyFill="1" applyBorder="1" applyAlignment="1">
      <alignment horizontal="center" vertical="center" wrapText="1"/>
    </xf>
    <xf numFmtId="164" fontId="33" fillId="8" borderId="8" xfId="2" applyFont="1" applyFill="1" applyBorder="1" applyAlignment="1">
      <alignment horizontal="center" vertical="center"/>
    </xf>
    <xf numFmtId="164" fontId="33" fillId="8" borderId="11" xfId="2" applyFont="1" applyFill="1" applyBorder="1" applyAlignment="1">
      <alignment horizontal="center" vertical="center"/>
    </xf>
    <xf numFmtId="164" fontId="43" fillId="8" borderId="21" xfId="2" applyFont="1" applyFill="1" applyBorder="1" applyAlignment="1">
      <alignment horizontal="center" vertical="center" wrapText="1"/>
    </xf>
    <xf numFmtId="164" fontId="43" fillId="8" borderId="8" xfId="2" applyFont="1" applyFill="1" applyBorder="1" applyAlignment="1">
      <alignment horizontal="center" vertical="center" wrapText="1"/>
    </xf>
    <xf numFmtId="0" fontId="33" fillId="8" borderId="13" xfId="0" applyFont="1" applyFill="1" applyBorder="1" applyAlignment="1">
      <alignment horizontal="center" wrapText="1"/>
    </xf>
    <xf numFmtId="0" fontId="33" fillId="8" borderId="0" xfId="0" applyFont="1" applyFill="1" applyAlignment="1">
      <alignment horizontal="center" wrapText="1"/>
    </xf>
    <xf numFmtId="164" fontId="33" fillId="8" borderId="0" xfId="2" applyFont="1" applyFill="1" applyBorder="1" applyAlignment="1">
      <alignment horizontal="center" vertical="center"/>
    </xf>
    <xf numFmtId="164" fontId="33" fillId="8" borderId="10" xfId="2" applyFont="1" applyFill="1" applyBorder="1" applyAlignment="1">
      <alignment horizontal="center" vertical="center"/>
    </xf>
    <xf numFmtId="3" fontId="33" fillId="8" borderId="13" xfId="0" applyNumberFormat="1" applyFont="1" applyFill="1" applyBorder="1" applyAlignment="1">
      <alignment horizontal="center" vertical="center" wrapText="1"/>
    </xf>
    <xf numFmtId="3" fontId="33" fillId="8" borderId="0" xfId="0" applyNumberFormat="1" applyFont="1" applyFill="1" applyAlignment="1">
      <alignment horizontal="center" vertical="center" wrapText="1"/>
    </xf>
    <xf numFmtId="0" fontId="45" fillId="8" borderId="0" xfId="0" applyFont="1" applyFill="1" applyAlignment="1">
      <alignment horizontal="center" vertical="center"/>
    </xf>
    <xf numFmtId="0" fontId="44" fillId="8" borderId="13" xfId="2" applyNumberFormat="1" applyFont="1" applyFill="1" applyBorder="1" applyAlignment="1">
      <alignment horizontal="center" wrapText="1"/>
    </xf>
    <xf numFmtId="0" fontId="44" fillId="8" borderId="0" xfId="2" applyNumberFormat="1" applyFont="1" applyFill="1" applyBorder="1" applyAlignment="1">
      <alignment horizontal="center" wrapText="1"/>
    </xf>
    <xf numFmtId="0" fontId="44" fillId="8" borderId="0" xfId="0" applyFont="1" applyFill="1" applyAlignment="1">
      <alignment horizontal="center" vertical="center"/>
    </xf>
    <xf numFmtId="0" fontId="44" fillId="8" borderId="10" xfId="0" applyFont="1" applyFill="1" applyBorder="1" applyAlignment="1">
      <alignment horizontal="center" vertical="center"/>
    </xf>
    <xf numFmtId="0" fontId="33" fillId="8" borderId="13" xfId="0" applyFont="1" applyFill="1" applyBorder="1" applyAlignment="1">
      <alignment horizontal="center" vertical="center" wrapText="1" shrinkToFit="1"/>
    </xf>
    <xf numFmtId="0" fontId="33" fillId="8" borderId="0" xfId="0" applyFont="1" applyFill="1" applyAlignment="1">
      <alignment horizontal="center" vertical="center" wrapText="1" shrinkToFit="1"/>
    </xf>
    <xf numFmtId="1" fontId="2" fillId="10" borderId="0" xfId="0" applyNumberFormat="1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15" fillId="6" borderId="48" xfId="0" applyFont="1" applyFill="1" applyBorder="1" applyAlignment="1">
      <alignment horizontal="left"/>
    </xf>
    <xf numFmtId="0" fontId="15" fillId="6" borderId="47" xfId="0" applyFont="1" applyFill="1" applyBorder="1" applyAlignment="1">
      <alignment horizontal="left"/>
    </xf>
    <xf numFmtId="0" fontId="40" fillId="0" borderId="0" xfId="0" applyFont="1" applyAlignment="1">
      <alignment horizontal="right"/>
    </xf>
    <xf numFmtId="0" fontId="35" fillId="10" borderId="13" xfId="0" applyFont="1" applyFill="1" applyBorder="1" applyAlignment="1">
      <alignment horizontal="center"/>
    </xf>
    <xf numFmtId="0" fontId="35" fillId="10" borderId="21" xfId="0" applyFont="1" applyFill="1" applyBorder="1" applyAlignment="1">
      <alignment horizontal="center"/>
    </xf>
    <xf numFmtId="0" fontId="15" fillId="10" borderId="7" xfId="0" applyFont="1" applyFill="1" applyBorder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0" borderId="8" xfId="0" applyFont="1" applyFill="1" applyBorder="1" applyAlignment="1">
      <alignment horizontal="center"/>
    </xf>
    <xf numFmtId="0" fontId="9" fillId="6" borderId="47" xfId="0" applyFont="1" applyFill="1" applyBorder="1" applyAlignment="1">
      <alignment horizontal="center"/>
    </xf>
    <xf numFmtId="0" fontId="9" fillId="6" borderId="49" xfId="0" applyFont="1" applyFill="1" applyBorder="1" applyAlignment="1">
      <alignment horizontal="center"/>
    </xf>
    <xf numFmtId="164" fontId="30" fillId="6" borderId="47" xfId="2" applyFont="1" applyFill="1" applyBorder="1" applyAlignment="1">
      <alignment horizontal="center" vertical="center"/>
    </xf>
    <xf numFmtId="164" fontId="15" fillId="6" borderId="47" xfId="2" applyFont="1" applyFill="1" applyBorder="1" applyAlignment="1">
      <alignment horizontal="left"/>
    </xf>
    <xf numFmtId="168" fontId="1" fillId="0" borderId="0" xfId="0" applyNumberFormat="1" applyFont="1"/>
    <xf numFmtId="164" fontId="1" fillId="0" borderId="13" xfId="2" applyFont="1" applyFill="1" applyBorder="1" applyAlignment="1">
      <alignment horizontal="center"/>
    </xf>
    <xf numFmtId="164" fontId="1" fillId="0" borderId="21" xfId="2" applyFont="1" applyFill="1" applyBorder="1" applyAlignment="1">
      <alignment horizontal="center"/>
    </xf>
    <xf numFmtId="164" fontId="1" fillId="0" borderId="8" xfId="2" applyFont="1" applyFill="1" applyBorder="1" applyAlignment="1">
      <alignment horizontal="center"/>
    </xf>
    <xf numFmtId="164" fontId="1" fillId="0" borderId="11" xfId="2" applyFont="1" applyFill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164" fontId="44" fillId="8" borderId="13" xfId="2" applyFont="1" applyFill="1" applyBorder="1" applyAlignment="1">
      <alignment horizontal="center" wrapText="1"/>
    </xf>
    <xf numFmtId="164" fontId="44" fillId="8" borderId="0" xfId="2" applyFont="1" applyFill="1" applyBorder="1" applyAlignment="1">
      <alignment horizontal="center" wrapText="1"/>
    </xf>
    <xf numFmtId="164" fontId="43" fillId="8" borderId="13" xfId="2" applyFont="1" applyFill="1" applyBorder="1" applyAlignment="1">
      <alignment horizontal="center" vertical="center" wrapText="1"/>
    </xf>
    <xf numFmtId="164" fontId="43" fillId="8" borderId="0" xfId="2" applyFont="1" applyFill="1" applyBorder="1" applyAlignment="1">
      <alignment horizontal="center" vertical="center" wrapText="1"/>
    </xf>
    <xf numFmtId="164" fontId="2" fillId="5" borderId="0" xfId="2" applyFont="1" applyFill="1" applyBorder="1" applyAlignment="1">
      <alignment horizontal="center" vertical="center"/>
    </xf>
    <xf numFmtId="0" fontId="33" fillId="8" borderId="0" xfId="2" applyNumberFormat="1" applyFont="1" applyFill="1" applyBorder="1" applyAlignment="1">
      <alignment horizontal="center" vertical="center" wrapText="1"/>
    </xf>
    <xf numFmtId="0" fontId="33" fillId="8" borderId="10" xfId="2" applyNumberFormat="1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 shrinkToFit="1"/>
    </xf>
    <xf numFmtId="1" fontId="2" fillId="5" borderId="0" xfId="0" applyNumberFormat="1" applyFont="1" applyFill="1" applyAlignment="1">
      <alignment horizontal="center" vertical="center"/>
    </xf>
    <xf numFmtId="0" fontId="39" fillId="0" borderId="7" xfId="0" applyFont="1" applyBorder="1" applyAlignment="1">
      <alignment horizontal="right"/>
    </xf>
    <xf numFmtId="0" fontId="39" fillId="0" borderId="0" xfId="0" applyFont="1" applyAlignment="1">
      <alignment horizontal="right"/>
    </xf>
    <xf numFmtId="0" fontId="1" fillId="6" borderId="104" xfId="0" applyFont="1" applyFill="1" applyBorder="1" applyAlignment="1">
      <alignment horizontal="center"/>
    </xf>
    <xf numFmtId="0" fontId="1" fillId="6" borderId="105" xfId="0" applyFont="1" applyFill="1" applyBorder="1" applyAlignment="1">
      <alignment horizontal="center"/>
    </xf>
    <xf numFmtId="1" fontId="44" fillId="8" borderId="0" xfId="0" applyNumberFormat="1" applyFont="1" applyFill="1" applyAlignment="1">
      <alignment horizontal="center" vertical="center"/>
    </xf>
    <xf numFmtId="1" fontId="44" fillId="8" borderId="10" xfId="0" applyNumberFormat="1" applyFont="1" applyFill="1" applyBorder="1" applyAlignment="1">
      <alignment horizontal="center" vertical="center"/>
    </xf>
    <xf numFmtId="0" fontId="2" fillId="5" borderId="73" xfId="0" applyFont="1" applyFill="1" applyBorder="1" applyAlignment="1">
      <alignment horizontal="center" vertical="center"/>
    </xf>
    <xf numFmtId="0" fontId="2" fillId="5" borderId="76" xfId="0" applyFont="1" applyFill="1" applyBorder="1" applyAlignment="1">
      <alignment horizontal="center" vertical="center"/>
    </xf>
    <xf numFmtId="0" fontId="2" fillId="5" borderId="60" xfId="0" applyFont="1" applyFill="1" applyBorder="1" applyAlignment="1">
      <alignment horizontal="center" vertical="center"/>
    </xf>
    <xf numFmtId="0" fontId="2" fillId="5" borderId="61" xfId="0" applyFont="1" applyFill="1" applyBorder="1" applyAlignment="1">
      <alignment horizontal="center" vertical="center"/>
    </xf>
    <xf numFmtId="164" fontId="2" fillId="5" borderId="62" xfId="2" applyFont="1" applyFill="1" applyBorder="1" applyAlignment="1">
      <alignment horizontal="center" vertical="center"/>
    </xf>
    <xf numFmtId="164" fontId="2" fillId="5" borderId="54" xfId="2" applyFont="1" applyFill="1" applyBorder="1" applyAlignment="1">
      <alignment horizontal="center" vertical="center"/>
    </xf>
    <xf numFmtId="0" fontId="2" fillId="5" borderId="63" xfId="0" applyFont="1" applyFill="1" applyBorder="1" applyAlignment="1">
      <alignment horizontal="center" vertical="center"/>
    </xf>
    <xf numFmtId="0" fontId="2" fillId="5" borderId="64" xfId="0" applyFont="1" applyFill="1" applyBorder="1" applyAlignment="1">
      <alignment horizontal="center" vertical="center"/>
    </xf>
    <xf numFmtId="0" fontId="2" fillId="5" borderId="81" xfId="0" applyFont="1" applyFill="1" applyBorder="1" applyAlignment="1">
      <alignment horizontal="center" vertical="center"/>
    </xf>
    <xf numFmtId="0" fontId="2" fillId="5" borderId="82" xfId="0" applyFont="1" applyFill="1" applyBorder="1" applyAlignment="1">
      <alignment horizontal="center" vertical="center"/>
    </xf>
    <xf numFmtId="0" fontId="2" fillId="5" borderId="83" xfId="0" applyFont="1" applyFill="1" applyBorder="1" applyAlignment="1">
      <alignment horizontal="center" vertical="center"/>
    </xf>
    <xf numFmtId="0" fontId="2" fillId="5" borderId="84" xfId="0" applyFont="1" applyFill="1" applyBorder="1" applyAlignment="1">
      <alignment horizontal="center" vertical="center"/>
    </xf>
    <xf numFmtId="164" fontId="41" fillId="8" borderId="0" xfId="2" applyFont="1" applyFill="1" applyBorder="1" applyAlignment="1">
      <alignment horizontal="center" vertical="center" wrapText="1"/>
    </xf>
    <xf numFmtId="164" fontId="41" fillId="8" borderId="10" xfId="2" applyFont="1" applyFill="1" applyBorder="1" applyAlignment="1">
      <alignment horizontal="center" vertical="center" wrapText="1"/>
    </xf>
    <xf numFmtId="164" fontId="41" fillId="8" borderId="8" xfId="2" applyFont="1" applyFill="1" applyBorder="1" applyAlignment="1">
      <alignment horizontal="center" vertical="center"/>
    </xf>
    <xf numFmtId="164" fontId="41" fillId="8" borderId="11" xfId="2" applyFont="1" applyFill="1" applyBorder="1" applyAlignment="1">
      <alignment horizontal="center" vertical="center"/>
    </xf>
    <xf numFmtId="0" fontId="41" fillId="8" borderId="13" xfId="0" applyFont="1" applyFill="1" applyBorder="1" applyAlignment="1">
      <alignment horizontal="center" vertical="center" wrapText="1" shrinkToFit="1"/>
    </xf>
    <xf numFmtId="0" fontId="41" fillId="8" borderId="0" xfId="0" applyFont="1" applyFill="1" applyAlignment="1">
      <alignment horizontal="center" vertical="center" wrapText="1" shrinkToFit="1"/>
    </xf>
    <xf numFmtId="164" fontId="32" fillId="8" borderId="13" xfId="2" applyFont="1" applyFill="1" applyBorder="1" applyAlignment="1">
      <alignment horizontal="center" wrapText="1"/>
    </xf>
    <xf numFmtId="164" fontId="32" fillId="8" borderId="0" xfId="2" applyFont="1" applyFill="1" applyBorder="1" applyAlignment="1">
      <alignment horizontal="center" wrapText="1"/>
    </xf>
    <xf numFmtId="3" fontId="41" fillId="8" borderId="13" xfId="0" applyNumberFormat="1" applyFont="1" applyFill="1" applyBorder="1" applyAlignment="1">
      <alignment horizontal="center" vertical="center" wrapText="1"/>
    </xf>
    <xf numFmtId="3" fontId="41" fillId="8" borderId="0" xfId="0" applyNumberFormat="1" applyFont="1" applyFill="1" applyAlignment="1">
      <alignment horizontal="center" vertical="center" wrapText="1"/>
    </xf>
    <xf numFmtId="0" fontId="41" fillId="8" borderId="13" xfId="0" applyFont="1" applyFill="1" applyBorder="1" applyAlignment="1">
      <alignment horizontal="center" wrapText="1"/>
    </xf>
    <xf numFmtId="0" fontId="41" fillId="8" borderId="0" xfId="0" applyFont="1" applyFill="1" applyAlignment="1">
      <alignment horizontal="center" wrapText="1"/>
    </xf>
    <xf numFmtId="164" fontId="41" fillId="8" borderId="21" xfId="2" applyFont="1" applyFill="1" applyBorder="1" applyAlignment="1">
      <alignment horizontal="center" vertical="center" wrapText="1"/>
    </xf>
    <xf numFmtId="164" fontId="41" fillId="8" borderId="8" xfId="2" applyFont="1" applyFill="1" applyBorder="1" applyAlignment="1">
      <alignment horizontal="center" vertical="center" wrapText="1"/>
    </xf>
    <xf numFmtId="0" fontId="50" fillId="8" borderId="0" xfId="0" applyFont="1" applyFill="1" applyAlignment="1">
      <alignment horizontal="center" vertical="center"/>
    </xf>
    <xf numFmtId="0" fontId="41" fillId="8" borderId="0" xfId="2" applyNumberFormat="1" applyFont="1" applyFill="1" applyBorder="1" applyAlignment="1">
      <alignment horizontal="center" vertical="center" wrapText="1"/>
    </xf>
    <xf numFmtId="0" fontId="41" fillId="8" borderId="10" xfId="2" applyNumberFormat="1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49" fillId="10" borderId="13" xfId="0" applyFont="1" applyFill="1" applyBorder="1" applyAlignment="1">
      <alignment horizontal="center"/>
    </xf>
    <xf numFmtId="0" fontId="49" fillId="10" borderId="21" xfId="0" applyFont="1" applyFill="1" applyBorder="1" applyAlignment="1">
      <alignment horizontal="center"/>
    </xf>
    <xf numFmtId="164" fontId="15" fillId="6" borderId="47" xfId="2" applyFont="1" applyFill="1" applyBorder="1" applyAlignment="1">
      <alignment horizontal="center" vertical="center"/>
    </xf>
    <xf numFmtId="0" fontId="2" fillId="6" borderId="47" xfId="0" applyFont="1" applyFill="1" applyBorder="1" applyAlignment="1">
      <alignment horizontal="center"/>
    </xf>
    <xf numFmtId="0" fontId="2" fillId="6" borderId="49" xfId="0" applyFont="1" applyFill="1" applyBorder="1" applyAlignment="1">
      <alignment horizontal="center"/>
    </xf>
    <xf numFmtId="0" fontId="9" fillId="5" borderId="73" xfId="0" applyFont="1" applyFill="1" applyBorder="1" applyAlignment="1">
      <alignment horizontal="center"/>
    </xf>
    <xf numFmtId="0" fontId="9" fillId="5" borderId="76" xfId="0" applyFont="1" applyFill="1" applyBorder="1" applyAlignment="1">
      <alignment horizontal="center"/>
    </xf>
    <xf numFmtId="0" fontId="9" fillId="5" borderId="60" xfId="0" applyFont="1" applyFill="1" applyBorder="1" applyAlignment="1">
      <alignment horizontal="center"/>
    </xf>
    <xf numFmtId="0" fontId="9" fillId="5" borderId="61" xfId="0" applyFont="1" applyFill="1" applyBorder="1" applyAlignment="1">
      <alignment horizontal="center"/>
    </xf>
    <xf numFmtId="164" fontId="9" fillId="5" borderId="62" xfId="2" applyFont="1" applyFill="1" applyBorder="1" applyAlignment="1">
      <alignment horizontal="center"/>
    </xf>
    <xf numFmtId="164" fontId="9" fillId="5" borderId="54" xfId="2" applyFont="1" applyFill="1" applyBorder="1" applyAlignment="1">
      <alignment horizontal="center"/>
    </xf>
    <xf numFmtId="0" fontId="9" fillId="5" borderId="63" xfId="0" applyFont="1" applyFill="1" applyBorder="1" applyAlignment="1">
      <alignment horizontal="center"/>
    </xf>
    <xf numFmtId="0" fontId="9" fillId="5" borderId="64" xfId="0" applyFont="1" applyFill="1" applyBorder="1" applyAlignment="1">
      <alignment horizontal="center"/>
    </xf>
    <xf numFmtId="0" fontId="9" fillId="5" borderId="81" xfId="0" applyFont="1" applyFill="1" applyBorder="1" applyAlignment="1">
      <alignment horizontal="center"/>
    </xf>
    <xf numFmtId="0" fontId="9" fillId="5" borderId="82" xfId="0" applyFont="1" applyFill="1" applyBorder="1" applyAlignment="1">
      <alignment horizontal="center"/>
    </xf>
    <xf numFmtId="0" fontId="9" fillId="5" borderId="83" xfId="0" applyFont="1" applyFill="1" applyBorder="1" applyAlignment="1">
      <alignment horizontal="center"/>
    </xf>
    <xf numFmtId="0" fontId="9" fillId="5" borderId="84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 shrinkToFit="1"/>
    </xf>
    <xf numFmtId="164" fontId="43" fillId="8" borderId="21" xfId="2" applyFont="1" applyFill="1" applyBorder="1" applyAlignment="1">
      <alignment horizontal="center" wrapText="1"/>
    </xf>
    <xf numFmtId="164" fontId="43" fillId="8" borderId="8" xfId="2" applyFont="1" applyFill="1" applyBorder="1" applyAlignment="1">
      <alignment horizontal="center" wrapText="1"/>
    </xf>
    <xf numFmtId="164" fontId="33" fillId="8" borderId="0" xfId="2" applyFont="1" applyFill="1" applyBorder="1" applyAlignment="1">
      <alignment horizontal="center" wrapText="1"/>
    </xf>
    <xf numFmtId="164" fontId="33" fillId="8" borderId="10" xfId="2" applyFont="1" applyFill="1" applyBorder="1" applyAlignment="1">
      <alignment horizontal="center" wrapText="1"/>
    </xf>
    <xf numFmtId="0" fontId="33" fillId="8" borderId="0" xfId="2" applyNumberFormat="1" applyFont="1" applyFill="1" applyBorder="1" applyAlignment="1">
      <alignment horizontal="center" wrapText="1"/>
    </xf>
    <xf numFmtId="0" fontId="33" fillId="8" borderId="10" xfId="2" applyNumberFormat="1" applyFont="1" applyFill="1" applyBorder="1" applyAlignment="1">
      <alignment horizontal="center" wrapText="1"/>
    </xf>
    <xf numFmtId="164" fontId="33" fillId="8" borderId="8" xfId="2" applyFont="1" applyFill="1" applyBorder="1" applyAlignment="1">
      <alignment horizontal="center"/>
    </xf>
    <xf numFmtId="164" fontId="33" fillId="8" borderId="11" xfId="2" applyFont="1" applyFill="1" applyBorder="1" applyAlignment="1">
      <alignment horizontal="center"/>
    </xf>
    <xf numFmtId="3" fontId="33" fillId="8" borderId="13" xfId="0" applyNumberFormat="1" applyFont="1" applyFill="1" applyBorder="1" applyAlignment="1">
      <alignment horizontal="center" wrapText="1"/>
    </xf>
    <xf numFmtId="3" fontId="33" fillId="8" borderId="0" xfId="0" applyNumberFormat="1" applyFont="1" applyFill="1" applyAlignment="1">
      <alignment horizontal="center" wrapText="1"/>
    </xf>
    <xf numFmtId="0" fontId="45" fillId="8" borderId="0" xfId="0" applyFont="1" applyFill="1" applyAlignment="1">
      <alignment horizontal="center"/>
    </xf>
    <xf numFmtId="0" fontId="33" fillId="8" borderId="13" xfId="0" applyFont="1" applyFill="1" applyBorder="1" applyAlignment="1">
      <alignment horizontal="center" wrapText="1" shrinkToFit="1"/>
    </xf>
    <xf numFmtId="0" fontId="33" fillId="8" borderId="0" xfId="0" applyFont="1" applyFill="1" applyAlignment="1">
      <alignment horizontal="center" wrapText="1" shrinkToFit="1"/>
    </xf>
    <xf numFmtId="164" fontId="30" fillId="6" borderId="50" xfId="2" applyFont="1" applyFill="1" applyBorder="1" applyAlignment="1">
      <alignment horizontal="center" wrapText="1"/>
    </xf>
    <xf numFmtId="164" fontId="30" fillId="6" borderId="42" xfId="2" applyFont="1" applyFill="1" applyBorder="1" applyAlignment="1">
      <alignment horizontal="center" wrapText="1"/>
    </xf>
    <xf numFmtId="164" fontId="30" fillId="6" borderId="43" xfId="2" applyFont="1" applyFill="1" applyBorder="1" applyAlignment="1">
      <alignment horizontal="center" wrapText="1"/>
    </xf>
    <xf numFmtId="164" fontId="30" fillId="6" borderId="44" xfId="2" applyFont="1" applyFill="1" applyBorder="1" applyAlignment="1">
      <alignment horizontal="center" wrapText="1"/>
    </xf>
    <xf numFmtId="164" fontId="30" fillId="6" borderId="45" xfId="2" applyFont="1" applyFill="1" applyBorder="1" applyAlignment="1">
      <alignment horizontal="center" wrapText="1"/>
    </xf>
    <xf numFmtId="164" fontId="30" fillId="6" borderId="46" xfId="2" applyFont="1" applyFill="1" applyBorder="1" applyAlignment="1">
      <alignment horizontal="center" wrapText="1"/>
    </xf>
    <xf numFmtId="0" fontId="2" fillId="5" borderId="0" xfId="0" applyFont="1" applyFill="1" applyAlignment="1">
      <alignment horizontal="center" shrinkToFit="1"/>
    </xf>
    <xf numFmtId="164" fontId="2" fillId="5" borderId="0" xfId="2" applyFont="1" applyFill="1" applyBorder="1" applyAlignment="1">
      <alignment horizontal="center"/>
    </xf>
    <xf numFmtId="1" fontId="2" fillId="5" borderId="0" xfId="0" applyNumberFormat="1" applyFont="1" applyFill="1" applyAlignment="1">
      <alignment horizontal="center"/>
    </xf>
    <xf numFmtId="0" fontId="2" fillId="5" borderId="8" xfId="0" applyFont="1" applyFill="1" applyBorder="1" applyAlignment="1">
      <alignment horizontal="center"/>
    </xf>
    <xf numFmtId="1" fontId="33" fillId="8" borderId="0" xfId="2" applyNumberFormat="1" applyFont="1" applyFill="1" applyBorder="1" applyAlignment="1">
      <alignment horizontal="center" wrapText="1"/>
    </xf>
    <xf numFmtId="164" fontId="30" fillId="6" borderId="47" xfId="2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31" fillId="5" borderId="73" xfId="0" applyFont="1" applyFill="1" applyBorder="1" applyAlignment="1">
      <alignment horizontal="center" vertical="center"/>
    </xf>
    <xf numFmtId="0" fontId="31" fillId="5" borderId="76" xfId="0" applyFont="1" applyFill="1" applyBorder="1" applyAlignment="1">
      <alignment horizontal="center" vertical="center"/>
    </xf>
    <xf numFmtId="0" fontId="31" fillId="5" borderId="60" xfId="0" applyFont="1" applyFill="1" applyBorder="1" applyAlignment="1">
      <alignment horizontal="center" vertical="center"/>
    </xf>
    <xf numFmtId="0" fontId="31" fillId="5" borderId="61" xfId="0" applyFont="1" applyFill="1" applyBorder="1" applyAlignment="1">
      <alignment horizontal="center" vertical="center"/>
    </xf>
    <xf numFmtId="164" fontId="31" fillId="5" borderId="62" xfId="2" applyFont="1" applyFill="1" applyBorder="1" applyAlignment="1">
      <alignment horizontal="center" vertical="center"/>
    </xf>
    <xf numFmtId="164" fontId="31" fillId="5" borderId="54" xfId="2" applyFont="1" applyFill="1" applyBorder="1" applyAlignment="1">
      <alignment horizontal="center" vertical="center"/>
    </xf>
    <xf numFmtId="0" fontId="31" fillId="5" borderId="63" xfId="0" applyFont="1" applyFill="1" applyBorder="1" applyAlignment="1">
      <alignment horizontal="center" vertical="center"/>
    </xf>
    <xf numFmtId="0" fontId="31" fillId="5" borderId="64" xfId="0" applyFont="1" applyFill="1" applyBorder="1" applyAlignment="1">
      <alignment horizontal="center" vertical="center"/>
    </xf>
    <xf numFmtId="0" fontId="31" fillId="5" borderId="81" xfId="0" applyFont="1" applyFill="1" applyBorder="1" applyAlignment="1">
      <alignment horizontal="center" vertical="center"/>
    </xf>
    <xf numFmtId="0" fontId="31" fillId="5" borderId="82" xfId="0" applyFont="1" applyFill="1" applyBorder="1" applyAlignment="1">
      <alignment horizontal="center" vertical="center"/>
    </xf>
    <xf numFmtId="0" fontId="31" fillId="5" borderId="83" xfId="0" applyFont="1" applyFill="1" applyBorder="1" applyAlignment="1">
      <alignment horizontal="center" vertical="center"/>
    </xf>
    <xf numFmtId="0" fontId="31" fillId="5" borderId="84" xfId="0" applyFont="1" applyFill="1" applyBorder="1" applyAlignment="1">
      <alignment horizontal="center" vertical="center"/>
    </xf>
    <xf numFmtId="1" fontId="10" fillId="5" borderId="10" xfId="0" applyNumberFormat="1" applyFont="1" applyFill="1" applyBorder="1" applyAlignment="1">
      <alignment horizontal="center" shrinkToFit="1"/>
    </xf>
    <xf numFmtId="0" fontId="54" fillId="8" borderId="0" xfId="0" applyFont="1" applyFill="1" applyAlignment="1">
      <alignment horizontal="center" vertical="center"/>
    </xf>
    <xf numFmtId="164" fontId="42" fillId="8" borderId="8" xfId="2" applyFont="1" applyFill="1" applyBorder="1" applyAlignment="1">
      <alignment horizontal="center" vertical="center"/>
    </xf>
    <xf numFmtId="164" fontId="42" fillId="8" borderId="11" xfId="2" applyFont="1" applyFill="1" applyBorder="1" applyAlignment="1">
      <alignment horizontal="center" vertical="center"/>
    </xf>
    <xf numFmtId="0" fontId="42" fillId="8" borderId="13" xfId="0" applyFont="1" applyFill="1" applyBorder="1" applyAlignment="1">
      <alignment horizontal="center" vertical="center" wrapText="1" shrinkToFit="1"/>
    </xf>
    <xf numFmtId="0" fontId="42" fillId="8" borderId="0" xfId="0" applyFont="1" applyFill="1" applyAlignment="1">
      <alignment horizontal="center" vertical="center" wrapText="1" shrinkToFit="1"/>
    </xf>
    <xf numFmtId="164" fontId="53" fillId="8" borderId="13" xfId="2" applyFont="1" applyFill="1" applyBorder="1" applyAlignment="1">
      <alignment horizontal="center" wrapText="1"/>
    </xf>
    <xf numFmtId="164" fontId="53" fillId="8" borderId="0" xfId="2" applyFont="1" applyFill="1" applyBorder="1" applyAlignment="1">
      <alignment horizontal="center" wrapText="1"/>
    </xf>
    <xf numFmtId="3" fontId="42" fillId="8" borderId="13" xfId="0" applyNumberFormat="1" applyFont="1" applyFill="1" applyBorder="1" applyAlignment="1">
      <alignment horizontal="center" vertical="center" wrapText="1"/>
    </xf>
    <xf numFmtId="3" fontId="42" fillId="8" borderId="0" xfId="0" applyNumberFormat="1" applyFont="1" applyFill="1" applyAlignment="1">
      <alignment horizontal="center" vertical="center" wrapText="1"/>
    </xf>
    <xf numFmtId="0" fontId="42" fillId="8" borderId="13" xfId="0" applyFont="1" applyFill="1" applyBorder="1" applyAlignment="1">
      <alignment horizontal="center" wrapText="1"/>
    </xf>
    <xf numFmtId="0" fontId="42" fillId="8" borderId="0" xfId="0" applyFont="1" applyFill="1" applyAlignment="1">
      <alignment horizontal="center" wrapText="1"/>
    </xf>
    <xf numFmtId="164" fontId="42" fillId="8" borderId="21" xfId="2" applyFont="1" applyFill="1" applyBorder="1" applyAlignment="1">
      <alignment horizontal="center" vertical="center" wrapText="1"/>
    </xf>
    <xf numFmtId="164" fontId="42" fillId="8" borderId="8" xfId="2" applyFont="1" applyFill="1" applyBorder="1" applyAlignment="1">
      <alignment horizontal="center" vertical="center" wrapText="1"/>
    </xf>
    <xf numFmtId="164" fontId="42" fillId="8" borderId="0" xfId="2" applyFont="1" applyFill="1" applyBorder="1" applyAlignment="1">
      <alignment horizontal="center" vertical="center" wrapText="1"/>
    </xf>
    <xf numFmtId="164" fontId="42" fillId="8" borderId="10" xfId="2" applyFont="1" applyFill="1" applyBorder="1" applyAlignment="1">
      <alignment horizontal="center" vertical="center" wrapText="1"/>
    </xf>
    <xf numFmtId="1" fontId="42" fillId="8" borderId="0" xfId="2" applyNumberFormat="1" applyFont="1" applyFill="1" applyBorder="1" applyAlignment="1">
      <alignment horizontal="center" vertical="center" wrapText="1"/>
    </xf>
    <xf numFmtId="0" fontId="42" fillId="8" borderId="10" xfId="2" applyNumberFormat="1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/>
    </xf>
    <xf numFmtId="0" fontId="14" fillId="10" borderId="0" xfId="0" applyFont="1" applyFill="1" applyAlignment="1">
      <alignment horizontal="center"/>
    </xf>
    <xf numFmtId="0" fontId="14" fillId="10" borderId="8" xfId="0" applyFont="1" applyFill="1" applyBorder="1" applyAlignment="1">
      <alignment horizontal="center"/>
    </xf>
    <xf numFmtId="0" fontId="31" fillId="10" borderId="0" xfId="0" applyFont="1" applyFill="1" applyAlignment="1">
      <alignment horizontal="center"/>
    </xf>
    <xf numFmtId="1" fontId="31" fillId="10" borderId="0" xfId="0" applyNumberFormat="1" applyFont="1" applyFill="1" applyAlignment="1">
      <alignment horizontal="center"/>
    </xf>
    <xf numFmtId="0" fontId="31" fillId="5" borderId="0" xfId="0" applyFont="1" applyFill="1" applyAlignment="1">
      <alignment horizontal="center" vertical="center" shrinkToFit="1"/>
    </xf>
    <xf numFmtId="164" fontId="31" fillId="5" borderId="0" xfId="2" applyFont="1" applyFill="1" applyBorder="1" applyAlignment="1">
      <alignment horizontal="center" vertical="center"/>
    </xf>
    <xf numFmtId="1" fontId="31" fillId="5" borderId="0" xfId="0" applyNumberFormat="1" applyFont="1" applyFill="1" applyAlignment="1">
      <alignment horizontal="center" vertical="center"/>
    </xf>
    <xf numFmtId="0" fontId="31" fillId="5" borderId="8" xfId="0" applyFont="1" applyFill="1" applyBorder="1" applyAlignment="1">
      <alignment horizontal="center" vertical="center"/>
    </xf>
    <xf numFmtId="0" fontId="14" fillId="6" borderId="48" xfId="0" applyFont="1" applyFill="1" applyBorder="1" applyAlignment="1">
      <alignment horizontal="left"/>
    </xf>
    <xf numFmtId="0" fontId="14" fillId="6" borderId="47" xfId="0" applyFont="1" applyFill="1" applyBorder="1" applyAlignment="1">
      <alignment horizontal="left"/>
    </xf>
    <xf numFmtId="164" fontId="14" fillId="6" borderId="47" xfId="2" applyFont="1" applyFill="1" applyBorder="1" applyAlignment="1">
      <alignment horizontal="left"/>
    </xf>
    <xf numFmtId="0" fontId="10" fillId="0" borderId="7" xfId="0" applyFont="1" applyBorder="1" applyAlignment="1">
      <alignment horizontal="right"/>
    </xf>
    <xf numFmtId="0" fontId="10" fillId="0" borderId="0" xfId="0" applyFont="1" applyAlignment="1">
      <alignment horizontal="right"/>
    </xf>
    <xf numFmtId="168" fontId="10" fillId="0" borderId="0" xfId="0" applyNumberFormat="1" applyFont="1"/>
    <xf numFmtId="0" fontId="10" fillId="0" borderId="0" xfId="0" applyFont="1"/>
    <xf numFmtId="164" fontId="14" fillId="6" borderId="47" xfId="2" applyFont="1" applyFill="1" applyBorder="1" applyAlignment="1">
      <alignment horizontal="center" vertical="center"/>
    </xf>
    <xf numFmtId="0" fontId="31" fillId="6" borderId="47" xfId="0" applyFont="1" applyFill="1" applyBorder="1" applyAlignment="1">
      <alignment horizontal="center"/>
    </xf>
    <xf numFmtId="0" fontId="31" fillId="6" borderId="49" xfId="0" applyFont="1" applyFill="1" applyBorder="1" applyAlignment="1">
      <alignment horizontal="center"/>
    </xf>
    <xf numFmtId="0" fontId="52" fillId="10" borderId="13" xfId="0" applyFont="1" applyFill="1" applyBorder="1" applyAlignment="1">
      <alignment horizontal="center"/>
    </xf>
    <xf numFmtId="0" fontId="52" fillId="10" borderId="21" xfId="0" applyFont="1" applyFill="1" applyBorder="1" applyAlignment="1">
      <alignment horizontal="center"/>
    </xf>
    <xf numFmtId="1" fontId="33" fillId="8" borderId="0" xfId="2" applyNumberFormat="1" applyFont="1" applyFill="1" applyBorder="1" applyAlignment="1">
      <alignment horizontal="center" vertical="center" wrapText="1"/>
    </xf>
  </cellXfs>
  <cellStyles count="5">
    <cellStyle name="Comma" xfId="1" builtinId="3"/>
    <cellStyle name="Currency" xfId="2" builtinId="4"/>
    <cellStyle name="Normal" xfId="0" builtinId="0"/>
    <cellStyle name="Normal 4" xfId="3" xr:uid="{00000000-0005-0000-0000-000003000000}"/>
    <cellStyle name="Percent" xfId="4" builtinId="5"/>
  </cellStyles>
  <dxfs count="19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D1C24"/>
      <color rgb="FF9E9F9E"/>
      <color rgb="FF3D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1072930</xdr:colOff>
      <xdr:row>0</xdr:row>
      <xdr:rowOff>224791</xdr:rowOff>
    </xdr:from>
    <xdr:to>
      <xdr:col>7</xdr:col>
      <xdr:colOff>1108262</xdr:colOff>
      <xdr:row>6</xdr:row>
      <xdr:rowOff>110952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D9B227-3BDC-9048-8698-6C2EC642C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4521" y="224791"/>
          <a:ext cx="3152605" cy="11173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139700</xdr:rowOff>
    </xdr:from>
    <xdr:to>
      <xdr:col>1</xdr:col>
      <xdr:colOff>1206500</xdr:colOff>
      <xdr:row>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D75123-7BA3-7540-9470-BC09EF21D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39700"/>
          <a:ext cx="1333500" cy="1333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606777</xdr:colOff>
      <xdr:row>0</xdr:row>
      <xdr:rowOff>112888</xdr:rowOff>
    </xdr:from>
    <xdr:to>
      <xdr:col>1</xdr:col>
      <xdr:colOff>1178277</xdr:colOff>
      <xdr:row>6</xdr:row>
      <xdr:rowOff>88194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83B9819-F315-EC40-B560-4CB1F957A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77" y="112888"/>
          <a:ext cx="1333500" cy="1333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622300</xdr:colOff>
      <xdr:row>0</xdr:row>
      <xdr:rowOff>190500</xdr:rowOff>
    </xdr:from>
    <xdr:to>
      <xdr:col>1</xdr:col>
      <xdr:colOff>1181100</xdr:colOff>
      <xdr:row>6</xdr:row>
      <xdr:rowOff>97790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E96C3B-AFE5-1141-9DB5-035DFB669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190500"/>
          <a:ext cx="1333500" cy="1333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0</xdr:row>
      <xdr:rowOff>183444</xdr:rowOff>
    </xdr:from>
    <xdr:to>
      <xdr:col>1</xdr:col>
      <xdr:colOff>1192389</xdr:colOff>
      <xdr:row>6</xdr:row>
      <xdr:rowOff>70555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CB16EF-C29A-F542-BEEE-598524B72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183444"/>
          <a:ext cx="1333500" cy="1333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649111</xdr:colOff>
      <xdr:row>0</xdr:row>
      <xdr:rowOff>141111</xdr:rowOff>
    </xdr:from>
    <xdr:to>
      <xdr:col>1</xdr:col>
      <xdr:colOff>1198880</xdr:colOff>
      <xdr:row>6</xdr:row>
      <xdr:rowOff>55103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1CE14B1-D719-7849-A21D-1A83C1555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111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622300</xdr:colOff>
      <xdr:row>0</xdr:row>
      <xdr:rowOff>165100</xdr:rowOff>
    </xdr:from>
    <xdr:to>
      <xdr:col>1</xdr:col>
      <xdr:colOff>1181100</xdr:colOff>
      <xdr:row>8</xdr:row>
      <xdr:rowOff>93345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3E5311-C3A7-BC48-B257-BDE6722E8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165100"/>
          <a:ext cx="1333500" cy="13335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691445</xdr:colOff>
      <xdr:row>0</xdr:row>
      <xdr:rowOff>169333</xdr:rowOff>
    </xdr:from>
    <xdr:to>
      <xdr:col>1</xdr:col>
      <xdr:colOff>1198881</xdr:colOff>
      <xdr:row>6</xdr:row>
      <xdr:rowOff>56655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81DACA-B6B3-E948-9DD9-BB32423D5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445" y="169333"/>
          <a:ext cx="1333500" cy="13335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0</xdr:row>
      <xdr:rowOff>183444</xdr:rowOff>
    </xdr:from>
    <xdr:to>
      <xdr:col>1</xdr:col>
      <xdr:colOff>1159581</xdr:colOff>
      <xdr:row>6</xdr:row>
      <xdr:rowOff>62935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DBA7C4-FC76-EA42-B46C-B5A0C8DE7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183444"/>
          <a:ext cx="1333500" cy="13335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169333</xdr:rowOff>
    </xdr:from>
    <xdr:to>
      <xdr:col>1</xdr:col>
      <xdr:colOff>1178278</xdr:colOff>
      <xdr:row>6</xdr:row>
      <xdr:rowOff>60465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8E0A07E-8EA1-6B48-8120-CD6ACD965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69333"/>
          <a:ext cx="1333500" cy="13335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0</xdr:row>
      <xdr:rowOff>151848</xdr:rowOff>
    </xdr:from>
    <xdr:to>
      <xdr:col>1</xdr:col>
      <xdr:colOff>1164038</xdr:colOff>
      <xdr:row>6</xdr:row>
      <xdr:rowOff>60160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CA3A8F-3CDC-1B48-928F-AC3302D9B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151848"/>
          <a:ext cx="1333500" cy="13335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127000</xdr:rowOff>
    </xdr:from>
    <xdr:to>
      <xdr:col>1</xdr:col>
      <xdr:colOff>1178278</xdr:colOff>
      <xdr:row>6</xdr:row>
      <xdr:rowOff>35277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237D7A0-8821-8545-90BC-E3343EB83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27000"/>
          <a:ext cx="1333500" cy="13335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155222</xdr:rowOff>
    </xdr:from>
    <xdr:to>
      <xdr:col>1</xdr:col>
      <xdr:colOff>1134040</xdr:colOff>
      <xdr:row>6</xdr:row>
      <xdr:rowOff>59689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757F287-7FDE-A349-8083-CF7AD22CE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55222"/>
          <a:ext cx="1333500" cy="13335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493888</xdr:colOff>
      <xdr:row>0</xdr:row>
      <xdr:rowOff>141111</xdr:rowOff>
    </xdr:from>
    <xdr:to>
      <xdr:col>1</xdr:col>
      <xdr:colOff>1160356</xdr:colOff>
      <xdr:row>6</xdr:row>
      <xdr:rowOff>51293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0B22E3-E7C3-9343-BE1B-4F7E6BAE0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888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606778</xdr:colOff>
      <xdr:row>0</xdr:row>
      <xdr:rowOff>183444</xdr:rowOff>
    </xdr:from>
    <xdr:to>
      <xdr:col>1</xdr:col>
      <xdr:colOff>1160357</xdr:colOff>
      <xdr:row>6</xdr:row>
      <xdr:rowOff>64840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DDC990-1AE0-A342-B898-CD723CEF9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78" y="183444"/>
          <a:ext cx="1333500" cy="13335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606778</xdr:colOff>
      <xdr:row>0</xdr:row>
      <xdr:rowOff>155222</xdr:rowOff>
    </xdr:from>
    <xdr:to>
      <xdr:col>1</xdr:col>
      <xdr:colOff>1167977</xdr:colOff>
      <xdr:row>6</xdr:row>
      <xdr:rowOff>65404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11F8A7-31D4-144A-9DD2-D05DAC069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78" y="155222"/>
          <a:ext cx="1333500" cy="13335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649111</xdr:colOff>
      <xdr:row>0</xdr:row>
      <xdr:rowOff>169333</xdr:rowOff>
    </xdr:from>
    <xdr:to>
      <xdr:col>1</xdr:col>
      <xdr:colOff>1198880</xdr:colOff>
      <xdr:row>6</xdr:row>
      <xdr:rowOff>64275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10967F-A8A2-B84E-AD9D-C50933D6D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111" y="169333"/>
          <a:ext cx="1333500" cy="13335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643467</xdr:colOff>
      <xdr:row>0</xdr:row>
      <xdr:rowOff>152399</xdr:rowOff>
    </xdr:from>
    <xdr:to>
      <xdr:col>1</xdr:col>
      <xdr:colOff>1160357</xdr:colOff>
      <xdr:row>6</xdr:row>
      <xdr:rowOff>38099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C93470-7259-2D45-BA1D-B64D790AA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467" y="152399"/>
          <a:ext cx="1333500" cy="13335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550333</xdr:colOff>
      <xdr:row>0</xdr:row>
      <xdr:rowOff>169334</xdr:rowOff>
    </xdr:from>
    <xdr:to>
      <xdr:col>1</xdr:col>
      <xdr:colOff>1192389</xdr:colOff>
      <xdr:row>6</xdr:row>
      <xdr:rowOff>68086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79E860-308C-9440-BD28-2863C8BE9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333" y="169334"/>
          <a:ext cx="1333500" cy="13335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186267</xdr:rowOff>
    </xdr:from>
    <xdr:to>
      <xdr:col>1</xdr:col>
      <xdr:colOff>1167977</xdr:colOff>
      <xdr:row>6</xdr:row>
      <xdr:rowOff>173990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F4F537-8DFD-594E-A2EA-A33EAAA43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6267"/>
          <a:ext cx="1333500" cy="13335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626534</xdr:colOff>
      <xdr:row>0</xdr:row>
      <xdr:rowOff>169334</xdr:rowOff>
    </xdr:from>
    <xdr:to>
      <xdr:col>1</xdr:col>
      <xdr:colOff>1181101</xdr:colOff>
      <xdr:row>6</xdr:row>
      <xdr:rowOff>45509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99F139-ECE7-204F-BDAA-E6B59FF69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534" y="169334"/>
          <a:ext cx="1333500" cy="13335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507999</xdr:colOff>
      <xdr:row>0</xdr:row>
      <xdr:rowOff>155223</xdr:rowOff>
    </xdr:from>
    <xdr:to>
      <xdr:col>1</xdr:col>
      <xdr:colOff>1065388</xdr:colOff>
      <xdr:row>6</xdr:row>
      <xdr:rowOff>64559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9A9798-9203-C847-AB16-510DE3421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99" y="155223"/>
          <a:ext cx="1333500" cy="13335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141111</xdr:rowOff>
    </xdr:from>
    <xdr:to>
      <xdr:col>1</xdr:col>
      <xdr:colOff>1178278</xdr:colOff>
      <xdr:row>6</xdr:row>
      <xdr:rowOff>51293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149023-958B-EF4E-B3F7-029CB3ECC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634999</xdr:colOff>
      <xdr:row>0</xdr:row>
      <xdr:rowOff>141111</xdr:rowOff>
    </xdr:from>
    <xdr:to>
      <xdr:col>1</xdr:col>
      <xdr:colOff>1153865</xdr:colOff>
      <xdr:row>6</xdr:row>
      <xdr:rowOff>55103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8F5687-D7BB-3145-8D9D-173B70CD4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999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620888</xdr:colOff>
      <xdr:row>0</xdr:row>
      <xdr:rowOff>141111</xdr:rowOff>
    </xdr:from>
    <xdr:to>
      <xdr:col>1</xdr:col>
      <xdr:colOff>1178277</xdr:colOff>
      <xdr:row>6</xdr:row>
      <xdr:rowOff>49388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DBF4B6-C10A-784F-879F-2E576B548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8" y="141111"/>
          <a:ext cx="1333500" cy="1333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4000000}" name="Quarter" displayName="Quarter" ref="B2:B6" totalsRowShown="0" headerRowDxfId="18" dataDxfId="17">
  <autoFilter ref="B2:B6" xr:uid="{00000000-0009-0000-0100-00001C000000}"/>
  <tableColumns count="1">
    <tableColumn id="1" xr3:uid="{00000000-0010-0000-0400-000001000000}" name="Quarter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5000000}" name="Province" displayName="Province" ref="D2:D6" totalsRowShown="0" headerRowDxfId="15" dataDxfId="14">
  <autoFilter ref="D2:D6" xr:uid="{00000000-0009-0000-0100-00001D000000}"/>
  <tableColumns count="1">
    <tableColumn id="1" xr3:uid="{00000000-0010-0000-0500-000001000000}" name="Province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6000000}" name="Contract_Type" displayName="Contract_Type" ref="J2:J6" totalsRowShown="0" headerRowDxfId="12" dataDxfId="11">
  <autoFilter ref="J2:J6" xr:uid="{00000000-0009-0000-0100-00001E000000}"/>
  <tableColumns count="1">
    <tableColumn id="1" xr3:uid="{00000000-0010-0000-0600-000001000000}" name="Contract  Type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07000000}" name="Payment_Method" displayName="Payment_Method" ref="K2:K4" totalsRowShown="0" headerRowDxfId="9" dataDxfId="8">
  <autoFilter ref="K2:K4" xr:uid="{00000000-0009-0000-0100-00001F000000}"/>
  <tableColumns count="1">
    <tableColumn id="1" xr3:uid="{00000000-0010-0000-0700-000001000000}" name="Payment Method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8000000}" name="Status" displayName="Status" ref="R4:R7" totalsRowShown="0" headerRowDxfId="6" headerRowBorderDxfId="5" tableBorderDxfId="4" totalsRowBorderDxfId="3">
  <autoFilter ref="R4:R7" xr:uid="{00000000-0009-0000-0100-000020000000}"/>
  <tableColumns count="1">
    <tableColumn id="1" xr3:uid="{00000000-0010-0000-0800-000001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9000000}" name="Result" displayName="Result" ref="T4:T6" totalsRowShown="0" headerRowDxfId="2" dataDxfId="1">
  <autoFilter ref="T4:T6" xr:uid="{00000000-0009-0000-0100-000021000000}"/>
  <tableColumns count="1">
    <tableColumn id="1" xr3:uid="{00000000-0010-0000-0900-000001000000}" name="Resul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9"/>
  <sheetViews>
    <sheetView showFormulas="1" zoomScale="91" workbookViewId="0">
      <selection activeCell="A13" sqref="A13:B13"/>
    </sheetView>
  </sheetViews>
  <sheetFormatPr defaultColWidth="11.42578125" defaultRowHeight="12.75" x14ac:dyDescent="0.2"/>
  <cols>
    <col min="2" max="2" width="14" bestFit="1" customWidth="1"/>
    <col min="3" max="3" width="66.85546875" bestFit="1" customWidth="1"/>
    <col min="4" max="4" width="26.42578125" customWidth="1"/>
  </cols>
  <sheetData>
    <row r="1" spans="1:4" x14ac:dyDescent="0.2">
      <c r="A1" t="s">
        <v>152</v>
      </c>
      <c r="B1">
        <v>2</v>
      </c>
    </row>
    <row r="2" spans="1:4" ht="15.75" x14ac:dyDescent="0.25">
      <c r="B2" s="34" t="s">
        <v>686</v>
      </c>
      <c r="C2" s="35" t="s">
        <v>3</v>
      </c>
    </row>
    <row r="3" spans="1:4" ht="15" x14ac:dyDescent="0.2">
      <c r="B3" s="14" t="s">
        <v>103</v>
      </c>
      <c r="C3" s="36" t="s">
        <v>102</v>
      </c>
      <c r="D3" s="2">
        <f>'1'!K24</f>
        <v>0</v>
      </c>
    </row>
    <row r="4" spans="1:4" ht="15" x14ac:dyDescent="0.2">
      <c r="B4" s="15" t="s">
        <v>104</v>
      </c>
      <c r="C4" s="37" t="s">
        <v>105</v>
      </c>
      <c r="D4" s="2">
        <f>'1'!K35</f>
        <v>165000</v>
      </c>
    </row>
    <row r="5" spans="1:4" ht="15" x14ac:dyDescent="0.2">
      <c r="B5" s="15" t="s">
        <v>106</v>
      </c>
      <c r="C5" s="37" t="s">
        <v>107</v>
      </c>
      <c r="D5" s="2">
        <f>'1'!K67</f>
        <v>3000</v>
      </c>
    </row>
    <row r="6" spans="1:4" ht="15" x14ac:dyDescent="0.2">
      <c r="B6" s="15" t="s">
        <v>144</v>
      </c>
      <c r="C6" s="37" t="s">
        <v>145</v>
      </c>
      <c r="D6" s="2">
        <f>'1'!K76</f>
        <v>8000</v>
      </c>
    </row>
    <row r="7" spans="1:4" ht="15" x14ac:dyDescent="0.2">
      <c r="B7" s="15" t="s">
        <v>108</v>
      </c>
      <c r="C7" s="37" t="s">
        <v>109</v>
      </c>
      <c r="D7" s="2">
        <f>'1'!K87</f>
        <v>15000</v>
      </c>
    </row>
    <row r="8" spans="1:4" ht="15" x14ac:dyDescent="0.2">
      <c r="B8" s="15" t="s">
        <v>111</v>
      </c>
      <c r="C8" s="37" t="s">
        <v>110</v>
      </c>
      <c r="D8" s="2">
        <f>'1'!K97</f>
        <v>35468.078905137212</v>
      </c>
    </row>
    <row r="9" spans="1:4" ht="15" x14ac:dyDescent="0.2">
      <c r="B9" s="15" t="s">
        <v>112</v>
      </c>
      <c r="C9" s="37" t="s">
        <v>113</v>
      </c>
      <c r="D9" s="2">
        <f>'1'!K105</f>
        <v>203313.04336176309</v>
      </c>
    </row>
    <row r="10" spans="1:4" ht="15" x14ac:dyDescent="0.2">
      <c r="B10" s="15" t="s">
        <v>114</v>
      </c>
      <c r="C10" s="37" t="s">
        <v>115</v>
      </c>
      <c r="D10" s="2">
        <f>'1'!K128</f>
        <v>25000</v>
      </c>
    </row>
    <row r="11" spans="1:4" ht="15" x14ac:dyDescent="0.2">
      <c r="B11" s="15" t="s">
        <v>116</v>
      </c>
      <c r="C11" s="37" t="s">
        <v>117</v>
      </c>
      <c r="D11" s="2">
        <f>'1'!K136</f>
        <v>54500</v>
      </c>
    </row>
    <row r="13" spans="1:4" x14ac:dyDescent="0.2">
      <c r="A13" t="s">
        <v>152</v>
      </c>
      <c r="B13">
        <v>2</v>
      </c>
    </row>
    <row r="15" spans="1:4" ht="15" x14ac:dyDescent="0.2">
      <c r="B15" s="3" t="s">
        <v>153</v>
      </c>
      <c r="C15" s="3" t="s">
        <v>155</v>
      </c>
    </row>
    <row r="16" spans="1:4" ht="15" x14ac:dyDescent="0.2">
      <c r="B16" s="4" t="s">
        <v>154</v>
      </c>
      <c r="C16" s="4" t="s">
        <v>78</v>
      </c>
      <c r="D16" s="2">
        <f>'2'!K26</f>
        <v>0</v>
      </c>
    </row>
    <row r="17" spans="1:4" ht="15" x14ac:dyDescent="0.2">
      <c r="B17" s="4" t="s">
        <v>156</v>
      </c>
      <c r="C17" s="4" t="s">
        <v>157</v>
      </c>
      <c r="D17" s="2">
        <f>'2'!K37</f>
        <v>0</v>
      </c>
    </row>
    <row r="18" spans="1:4" ht="15" x14ac:dyDescent="0.2">
      <c r="B18" s="4" t="s">
        <v>158</v>
      </c>
      <c r="C18" s="4" t="s">
        <v>534</v>
      </c>
      <c r="D18" s="2">
        <f>'2'!K48</f>
        <v>0</v>
      </c>
    </row>
    <row r="21" spans="1:4" x14ac:dyDescent="0.2">
      <c r="A21" t="s">
        <v>152</v>
      </c>
      <c r="B21">
        <v>3</v>
      </c>
    </row>
    <row r="22" spans="1:4" ht="15" x14ac:dyDescent="0.2">
      <c r="B22" s="3" t="s">
        <v>159</v>
      </c>
      <c r="C22" s="3" t="s">
        <v>4</v>
      </c>
    </row>
    <row r="23" spans="1:4" ht="15" x14ac:dyDescent="0.2">
      <c r="B23" s="4" t="s">
        <v>160</v>
      </c>
      <c r="C23" s="4" t="s">
        <v>161</v>
      </c>
      <c r="D23" s="2">
        <f>'3'!K26</f>
        <v>302400</v>
      </c>
    </row>
    <row r="24" spans="1:4" ht="15" x14ac:dyDescent="0.2">
      <c r="B24" s="4" t="s">
        <v>163</v>
      </c>
      <c r="C24" s="4" t="s">
        <v>162</v>
      </c>
      <c r="D24" s="2">
        <f>'3'!K37</f>
        <v>0</v>
      </c>
    </row>
    <row r="25" spans="1:4" ht="15" x14ac:dyDescent="0.2">
      <c r="B25" s="4" t="s">
        <v>164</v>
      </c>
      <c r="C25" s="4" t="s">
        <v>168</v>
      </c>
      <c r="D25" s="2">
        <f>'3'!K50</f>
        <v>177795.86089593248</v>
      </c>
    </row>
    <row r="26" spans="1:4" ht="15" x14ac:dyDescent="0.2">
      <c r="B26" s="4" t="s">
        <v>165</v>
      </c>
      <c r="C26" s="4" t="s">
        <v>169</v>
      </c>
      <c r="D26" s="2">
        <f>'3'!K59</f>
        <v>44527</v>
      </c>
    </row>
    <row r="27" spans="1:4" ht="15" x14ac:dyDescent="0.2">
      <c r="B27" s="4" t="s">
        <v>166</v>
      </c>
      <c r="C27" s="4" t="s">
        <v>170</v>
      </c>
      <c r="D27" s="2">
        <f>'3'!K70</f>
        <v>77850</v>
      </c>
    </row>
    <row r="28" spans="1:4" ht="15" x14ac:dyDescent="0.2">
      <c r="B28" s="4" t="s">
        <v>167</v>
      </c>
      <c r="C28" s="4" t="s">
        <v>171</v>
      </c>
      <c r="D28" s="2">
        <f>'3'!K79</f>
        <v>68035</v>
      </c>
    </row>
    <row r="31" spans="1:4" x14ac:dyDescent="0.2">
      <c r="A31" t="s">
        <v>152</v>
      </c>
      <c r="B31">
        <v>4</v>
      </c>
    </row>
    <row r="32" spans="1:4" ht="15" x14ac:dyDescent="0.2">
      <c r="B32" s="3" t="s">
        <v>172</v>
      </c>
      <c r="C32" s="3" t="s">
        <v>5</v>
      </c>
    </row>
    <row r="33" spans="1:4" ht="15" x14ac:dyDescent="0.2">
      <c r="B33" s="4" t="s">
        <v>173</v>
      </c>
      <c r="C33" s="4" t="s">
        <v>175</v>
      </c>
      <c r="D33" s="2">
        <f>'4'!K26</f>
        <v>140360</v>
      </c>
    </row>
    <row r="34" spans="1:4" ht="15" x14ac:dyDescent="0.2">
      <c r="B34" s="4" t="s">
        <v>174</v>
      </c>
      <c r="C34" s="4" t="s">
        <v>176</v>
      </c>
      <c r="D34" s="2">
        <f>'4'!K37</f>
        <v>0</v>
      </c>
    </row>
    <row r="36" spans="1:4" x14ac:dyDescent="0.2">
      <c r="A36" t="s">
        <v>177</v>
      </c>
      <c r="B36">
        <v>5</v>
      </c>
    </row>
    <row r="37" spans="1:4" ht="15" x14ac:dyDescent="0.2">
      <c r="B37" s="3" t="s">
        <v>178</v>
      </c>
      <c r="C37" s="3" t="s">
        <v>6</v>
      </c>
    </row>
    <row r="38" spans="1:4" ht="15" x14ac:dyDescent="0.2">
      <c r="B38" s="4" t="s">
        <v>179</v>
      </c>
      <c r="C38" s="4" t="s">
        <v>185</v>
      </c>
      <c r="D38" s="2">
        <f>'5'!K26</f>
        <v>141400</v>
      </c>
    </row>
    <row r="39" spans="1:4" ht="15" x14ac:dyDescent="0.2">
      <c r="B39" s="4" t="s">
        <v>180</v>
      </c>
      <c r="C39" s="4" t="s">
        <v>186</v>
      </c>
      <c r="D39" s="2">
        <f>'5'!K37</f>
        <v>0</v>
      </c>
    </row>
    <row r="40" spans="1:4" ht="15" x14ac:dyDescent="0.2">
      <c r="B40" s="4" t="s">
        <v>181</v>
      </c>
      <c r="C40" s="4" t="s">
        <v>187</v>
      </c>
      <c r="D40" s="2">
        <f>'5'!K45</f>
        <v>0</v>
      </c>
    </row>
    <row r="41" spans="1:4" ht="15" x14ac:dyDescent="0.2">
      <c r="B41" s="4" t="s">
        <v>182</v>
      </c>
      <c r="C41" s="4" t="s">
        <v>188</v>
      </c>
      <c r="D41" s="2">
        <f>'5'!K54</f>
        <v>0</v>
      </c>
    </row>
    <row r="42" spans="1:4" ht="15" x14ac:dyDescent="0.2">
      <c r="B42" s="4" t="s">
        <v>183</v>
      </c>
      <c r="C42" s="4" t="s">
        <v>189</v>
      </c>
      <c r="D42" s="2">
        <f>'5'!K65</f>
        <v>73570</v>
      </c>
    </row>
    <row r="43" spans="1:4" ht="15" x14ac:dyDescent="0.2">
      <c r="B43" s="4" t="s">
        <v>184</v>
      </c>
      <c r="C43" s="4" t="s">
        <v>190</v>
      </c>
      <c r="D43" s="2">
        <f>'5'!K74</f>
        <v>0</v>
      </c>
    </row>
    <row r="46" spans="1:4" x14ac:dyDescent="0.2">
      <c r="A46" t="s">
        <v>177</v>
      </c>
      <c r="B46">
        <v>6</v>
      </c>
    </row>
    <row r="47" spans="1:4" ht="15" x14ac:dyDescent="0.2">
      <c r="B47" s="3" t="s">
        <v>191</v>
      </c>
      <c r="C47" s="3" t="s">
        <v>192</v>
      </c>
    </row>
    <row r="48" spans="1:4" ht="15" x14ac:dyDescent="0.2">
      <c r="B48" s="4" t="s">
        <v>803</v>
      </c>
      <c r="C48" s="4" t="s">
        <v>726</v>
      </c>
      <c r="D48" s="2">
        <f>'6'!K19</f>
        <v>571330</v>
      </c>
    </row>
    <row r="49" spans="1:4" ht="15" x14ac:dyDescent="0.2">
      <c r="B49" s="4" t="s">
        <v>193</v>
      </c>
      <c r="C49" s="4" t="s">
        <v>79</v>
      </c>
      <c r="D49" s="2">
        <f>'6'!K36</f>
        <v>1261823.6599999999</v>
      </c>
    </row>
    <row r="50" spans="1:4" ht="15" x14ac:dyDescent="0.2">
      <c r="B50" s="4" t="s">
        <v>194</v>
      </c>
      <c r="C50" s="4" t="s">
        <v>48</v>
      </c>
      <c r="D50" s="2">
        <f>'6'!K47</f>
        <v>425900</v>
      </c>
    </row>
    <row r="51" spans="1:4" ht="15" x14ac:dyDescent="0.2">
      <c r="B51" s="4" t="s">
        <v>195</v>
      </c>
      <c r="C51" s="4" t="s">
        <v>196</v>
      </c>
      <c r="D51" s="2">
        <f>'6'!K55</f>
        <v>0</v>
      </c>
    </row>
    <row r="52" spans="1:4" ht="15" x14ac:dyDescent="0.2">
      <c r="B52" s="4" t="s">
        <v>198</v>
      </c>
      <c r="C52" s="4" t="s">
        <v>197</v>
      </c>
      <c r="D52" s="2">
        <f>'6'!K64</f>
        <v>0</v>
      </c>
    </row>
    <row r="53" spans="1:4" ht="15" x14ac:dyDescent="0.2">
      <c r="B53" s="4" t="s">
        <v>199</v>
      </c>
      <c r="C53" s="4" t="s">
        <v>200</v>
      </c>
      <c r="D53" s="2">
        <f>'6'!K75</f>
        <v>0</v>
      </c>
    </row>
    <row r="54" spans="1:4" ht="15" x14ac:dyDescent="0.2">
      <c r="B54" s="4" t="s">
        <v>201</v>
      </c>
      <c r="C54" s="4" t="s">
        <v>202</v>
      </c>
      <c r="D54" s="2">
        <f>'6'!K84</f>
        <v>315803.89444444445</v>
      </c>
    </row>
    <row r="55" spans="1:4" ht="15" x14ac:dyDescent="0.2">
      <c r="B55" s="4" t="s">
        <v>204</v>
      </c>
      <c r="C55" s="4" t="s">
        <v>203</v>
      </c>
      <c r="D55" s="2">
        <f>'6'!K91</f>
        <v>0</v>
      </c>
    </row>
    <row r="58" spans="1:4" x14ac:dyDescent="0.2">
      <c r="A58" t="s">
        <v>177</v>
      </c>
      <c r="B58">
        <v>7</v>
      </c>
    </row>
    <row r="59" spans="1:4" ht="15" x14ac:dyDescent="0.2">
      <c r="B59" s="3" t="s">
        <v>205</v>
      </c>
      <c r="C59" s="3" t="s">
        <v>57</v>
      </c>
    </row>
    <row r="60" spans="1:4" ht="15" x14ac:dyDescent="0.2">
      <c r="B60" s="4" t="s">
        <v>206</v>
      </c>
      <c r="C60" s="4" t="s">
        <v>207</v>
      </c>
      <c r="D60" s="2">
        <f>'7'!K16</f>
        <v>237835</v>
      </c>
    </row>
    <row r="61" spans="1:4" ht="15" x14ac:dyDescent="0.2">
      <c r="B61" s="4" t="s">
        <v>214</v>
      </c>
      <c r="C61" s="4" t="s">
        <v>215</v>
      </c>
      <c r="D61" s="2">
        <f>'7'!K22</f>
        <v>271678.01399999997</v>
      </c>
    </row>
    <row r="62" spans="1:4" ht="15" x14ac:dyDescent="0.2">
      <c r="B62" s="4" t="s">
        <v>216</v>
      </c>
      <c r="C62" s="4" t="s">
        <v>217</v>
      </c>
      <c r="D62" s="2">
        <f>'7'!K27</f>
        <v>81750</v>
      </c>
    </row>
    <row r="63" spans="1:4" ht="15" x14ac:dyDescent="0.2">
      <c r="B63" s="4" t="s">
        <v>218</v>
      </c>
      <c r="C63" s="4" t="s">
        <v>219</v>
      </c>
      <c r="D63" s="2">
        <f>'7'!K33</f>
        <v>0</v>
      </c>
    </row>
    <row r="64" spans="1:4" ht="15" x14ac:dyDescent="0.2">
      <c r="B64" s="4" t="s">
        <v>220</v>
      </c>
      <c r="C64" s="4" t="s">
        <v>58</v>
      </c>
      <c r="D64" s="2">
        <f>'7'!K39</f>
        <v>561708</v>
      </c>
    </row>
    <row r="65" spans="1:4" ht="15" x14ac:dyDescent="0.2">
      <c r="B65" s="4" t="s">
        <v>221</v>
      </c>
      <c r="C65" s="4" t="s">
        <v>222</v>
      </c>
      <c r="D65" s="2">
        <f>'7'!K45</f>
        <v>0</v>
      </c>
    </row>
    <row r="66" spans="1:4" ht="15" x14ac:dyDescent="0.2">
      <c r="B66" s="4" t="s">
        <v>223</v>
      </c>
      <c r="C66" s="4" t="s">
        <v>224</v>
      </c>
      <c r="D66" s="2">
        <f>'7'!K50</f>
        <v>0</v>
      </c>
    </row>
    <row r="67" spans="1:4" ht="15" x14ac:dyDescent="0.2">
      <c r="B67" s="4" t="s">
        <v>225</v>
      </c>
      <c r="C67" s="4" t="s">
        <v>226</v>
      </c>
      <c r="D67" s="2">
        <f>'7'!K55</f>
        <v>0</v>
      </c>
    </row>
    <row r="68" spans="1:4" ht="15" x14ac:dyDescent="0.2">
      <c r="B68" s="4" t="s">
        <v>229</v>
      </c>
      <c r="C68" s="4" t="s">
        <v>227</v>
      </c>
      <c r="D68" s="2">
        <f>'7'!K60</f>
        <v>0</v>
      </c>
    </row>
    <row r="69" spans="1:4" ht="15" x14ac:dyDescent="0.2">
      <c r="B69" s="4" t="s">
        <v>230</v>
      </c>
      <c r="C69" s="4" t="s">
        <v>228</v>
      </c>
      <c r="D69" s="2">
        <f>'7'!K66</f>
        <v>0</v>
      </c>
    </row>
    <row r="70" spans="1:4" ht="15" x14ac:dyDescent="0.2">
      <c r="B70" s="4" t="s">
        <v>231</v>
      </c>
      <c r="C70" s="4" t="s">
        <v>232</v>
      </c>
      <c r="D70" s="2">
        <f>'7'!K72</f>
        <v>0</v>
      </c>
    </row>
    <row r="71" spans="1:4" ht="15" x14ac:dyDescent="0.2">
      <c r="B71" s="4" t="s">
        <v>237</v>
      </c>
      <c r="C71" s="4" t="s">
        <v>238</v>
      </c>
      <c r="D71" s="2">
        <f>'7'!K78</f>
        <v>26550</v>
      </c>
    </row>
    <row r="72" spans="1:4" ht="15" x14ac:dyDescent="0.2">
      <c r="B72" s="4" t="s">
        <v>241</v>
      </c>
      <c r="C72" s="4" t="s">
        <v>242</v>
      </c>
      <c r="D72" s="2">
        <f>'7'!K84</f>
        <v>0</v>
      </c>
    </row>
    <row r="74" spans="1:4" x14ac:dyDescent="0.2">
      <c r="A74" t="s">
        <v>152</v>
      </c>
      <c r="B74">
        <v>8</v>
      </c>
    </row>
    <row r="75" spans="1:4" ht="15" x14ac:dyDescent="0.2">
      <c r="B75" s="3" t="s">
        <v>243</v>
      </c>
      <c r="C75" s="3" t="s">
        <v>244</v>
      </c>
    </row>
    <row r="76" spans="1:4" ht="15" x14ac:dyDescent="0.2">
      <c r="B76" s="4" t="s">
        <v>245</v>
      </c>
      <c r="C76" s="4" t="s">
        <v>246</v>
      </c>
      <c r="D76" s="2">
        <f>'8'!K18</f>
        <v>89875</v>
      </c>
    </row>
    <row r="77" spans="1:4" ht="15" x14ac:dyDescent="0.2">
      <c r="B77" s="4" t="s">
        <v>250</v>
      </c>
      <c r="C77" s="4" t="s">
        <v>251</v>
      </c>
      <c r="D77" s="2">
        <f>'8'!K24</f>
        <v>0</v>
      </c>
    </row>
    <row r="78" spans="1:4" ht="15" x14ac:dyDescent="0.2">
      <c r="B78" s="4" t="s">
        <v>252</v>
      </c>
      <c r="C78" s="4" t="s">
        <v>253</v>
      </c>
      <c r="D78" s="2">
        <f>'8'!K29</f>
        <v>8000</v>
      </c>
    </row>
    <row r="79" spans="1:4" ht="15" x14ac:dyDescent="0.2">
      <c r="B79" s="4" t="s">
        <v>254</v>
      </c>
      <c r="C79" s="4" t="s">
        <v>255</v>
      </c>
      <c r="D79" s="2">
        <f>'8'!K35</f>
        <v>0</v>
      </c>
    </row>
    <row r="80" spans="1:4" ht="15" x14ac:dyDescent="0.2">
      <c r="B80" s="4" t="s">
        <v>256</v>
      </c>
      <c r="C80" s="4" t="s">
        <v>257</v>
      </c>
      <c r="D80" s="2">
        <f>'8'!K41</f>
        <v>10984.51</v>
      </c>
    </row>
    <row r="81" spans="1:4" ht="15" x14ac:dyDescent="0.2">
      <c r="B81" s="4" t="s">
        <v>258</v>
      </c>
      <c r="C81" s="4" t="s">
        <v>259</v>
      </c>
      <c r="D81" s="2">
        <f>'8'!K47</f>
        <v>0</v>
      </c>
    </row>
    <row r="82" spans="1:4" ht="15" x14ac:dyDescent="0.2">
      <c r="B82" s="4" t="s">
        <v>260</v>
      </c>
      <c r="C82" s="4" t="s">
        <v>60</v>
      </c>
      <c r="D82" s="2">
        <f>'8'!K52</f>
        <v>0</v>
      </c>
    </row>
    <row r="83" spans="1:4" ht="15" x14ac:dyDescent="0.2">
      <c r="B83" s="4" t="s">
        <v>261</v>
      </c>
      <c r="C83" s="4" t="s">
        <v>47</v>
      </c>
      <c r="D83" s="2">
        <f>'8'!K57</f>
        <v>39425</v>
      </c>
    </row>
    <row r="84" spans="1:4" ht="15" x14ac:dyDescent="0.2">
      <c r="B84" s="4" t="s">
        <v>262</v>
      </c>
      <c r="C84" s="4" t="s">
        <v>263</v>
      </c>
      <c r="D84" s="2">
        <f>'8'!K62</f>
        <v>0</v>
      </c>
    </row>
    <row r="85" spans="1:4" ht="15" x14ac:dyDescent="0.2">
      <c r="B85" s="4" t="s">
        <v>264</v>
      </c>
      <c r="C85" s="4" t="s">
        <v>95</v>
      </c>
      <c r="D85" s="2">
        <f>'8'!K69</f>
        <v>126145.3</v>
      </c>
    </row>
    <row r="86" spans="1:4" ht="15" x14ac:dyDescent="0.2">
      <c r="B86" s="4" t="s">
        <v>272</v>
      </c>
      <c r="C86" s="4" t="s">
        <v>62</v>
      </c>
      <c r="D86" s="2">
        <f>'8'!K75</f>
        <v>0</v>
      </c>
    </row>
    <row r="87" spans="1:4" ht="15" x14ac:dyDescent="0.2">
      <c r="B87" s="4" t="s">
        <v>273</v>
      </c>
      <c r="C87" s="4" t="s">
        <v>274</v>
      </c>
      <c r="D87" s="2">
        <f>'8'!K81</f>
        <v>0</v>
      </c>
    </row>
    <row r="88" spans="1:4" ht="15" x14ac:dyDescent="0.2">
      <c r="B88" s="4" t="s">
        <v>275</v>
      </c>
      <c r="C88" s="4" t="s">
        <v>276</v>
      </c>
      <c r="D88" s="2">
        <f>'8'!K87</f>
        <v>0</v>
      </c>
    </row>
    <row r="89" spans="1:4" ht="15" x14ac:dyDescent="0.2">
      <c r="B89" s="4" t="s">
        <v>277</v>
      </c>
      <c r="C89" s="4" t="s">
        <v>278</v>
      </c>
      <c r="D89" s="2">
        <f>'8'!K93</f>
        <v>0</v>
      </c>
    </row>
    <row r="90" spans="1:4" ht="15" x14ac:dyDescent="0.2">
      <c r="B90" s="4" t="s">
        <v>279</v>
      </c>
      <c r="C90" s="4" t="s">
        <v>280</v>
      </c>
      <c r="D90" s="2">
        <f>'8'!K99</f>
        <v>0</v>
      </c>
    </row>
    <row r="92" spans="1:4" x14ac:dyDescent="0.2">
      <c r="A92" t="s">
        <v>177</v>
      </c>
      <c r="B92">
        <v>9</v>
      </c>
    </row>
    <row r="93" spans="1:4" ht="15" x14ac:dyDescent="0.2">
      <c r="B93" s="3" t="s">
        <v>281</v>
      </c>
      <c r="C93" s="3" t="s">
        <v>8</v>
      </c>
    </row>
    <row r="94" spans="1:4" ht="15" x14ac:dyDescent="0.2">
      <c r="B94" s="4" t="s">
        <v>282</v>
      </c>
      <c r="C94" s="4" t="s">
        <v>283</v>
      </c>
      <c r="D94" s="2">
        <f>'9'!K18</f>
        <v>1139222</v>
      </c>
    </row>
    <row r="95" spans="1:4" ht="15" x14ac:dyDescent="0.2">
      <c r="B95" s="4" t="s">
        <v>284</v>
      </c>
      <c r="C95" s="4" t="s">
        <v>285</v>
      </c>
      <c r="D95" s="2">
        <f>'9'!K26</f>
        <v>0</v>
      </c>
    </row>
    <row r="96" spans="1:4" ht="15" x14ac:dyDescent="0.2">
      <c r="B96" s="4" t="s">
        <v>286</v>
      </c>
      <c r="C96" s="4" t="s">
        <v>287</v>
      </c>
      <c r="D96" s="2">
        <f>'9'!K32</f>
        <v>0</v>
      </c>
    </row>
    <row r="97" spans="1:4" ht="15" x14ac:dyDescent="0.2">
      <c r="B97" s="4" t="s">
        <v>288</v>
      </c>
      <c r="C97" s="4" t="s">
        <v>80</v>
      </c>
      <c r="D97" s="2">
        <f>'9'!K47</f>
        <v>411100</v>
      </c>
    </row>
    <row r="98" spans="1:4" ht="15" x14ac:dyDescent="0.2">
      <c r="B98" s="4" t="s">
        <v>296</v>
      </c>
      <c r="C98" s="4" t="s">
        <v>67</v>
      </c>
      <c r="D98" s="2">
        <f>'9'!K53</f>
        <v>0</v>
      </c>
    </row>
    <row r="99" spans="1:4" ht="15" x14ac:dyDescent="0.2">
      <c r="B99" s="4" t="s">
        <v>297</v>
      </c>
      <c r="C99" s="4" t="s">
        <v>81</v>
      </c>
      <c r="D99" s="2">
        <f>'9'!K62</f>
        <v>197003</v>
      </c>
    </row>
    <row r="102" spans="1:4" x14ac:dyDescent="0.2">
      <c r="A102" t="s">
        <v>152</v>
      </c>
      <c r="B102">
        <v>10</v>
      </c>
    </row>
    <row r="103" spans="1:4" ht="15" x14ac:dyDescent="0.2">
      <c r="B103" s="3" t="s">
        <v>300</v>
      </c>
      <c r="C103" s="3" t="s">
        <v>9</v>
      </c>
    </row>
    <row r="104" spans="1:4" ht="15" x14ac:dyDescent="0.2">
      <c r="B104" s="4" t="s">
        <v>301</v>
      </c>
      <c r="C104" s="4" t="s">
        <v>302</v>
      </c>
      <c r="D104" s="2">
        <f>'10'!K17</f>
        <v>0</v>
      </c>
    </row>
    <row r="105" spans="1:4" ht="15" x14ac:dyDescent="0.2">
      <c r="B105" s="4" t="s">
        <v>303</v>
      </c>
      <c r="C105" s="4" t="s">
        <v>304</v>
      </c>
      <c r="D105" s="2">
        <f>'10'!K25</f>
        <v>10950</v>
      </c>
    </row>
    <row r="106" spans="1:4" ht="15" x14ac:dyDescent="0.2">
      <c r="B106" s="4" t="s">
        <v>305</v>
      </c>
      <c r="C106" s="4" t="s">
        <v>306</v>
      </c>
      <c r="D106" s="2">
        <f>'10'!K38</f>
        <v>11989.390000000001</v>
      </c>
    </row>
    <row r="107" spans="1:4" ht="15" x14ac:dyDescent="0.2">
      <c r="B107" s="4" t="s">
        <v>319</v>
      </c>
      <c r="C107" s="4" t="s">
        <v>320</v>
      </c>
      <c r="D107" s="2">
        <f>'10'!K44</f>
        <v>0</v>
      </c>
    </row>
    <row r="108" spans="1:4" ht="15" x14ac:dyDescent="0.2">
      <c r="B108" s="4" t="s">
        <v>322</v>
      </c>
      <c r="C108" s="4" t="s">
        <v>68</v>
      </c>
      <c r="D108" s="2">
        <f>'10'!K51</f>
        <v>31062.37</v>
      </c>
    </row>
    <row r="109" spans="1:4" ht="15" x14ac:dyDescent="0.2">
      <c r="B109" s="4" t="s">
        <v>323</v>
      </c>
      <c r="C109" s="4" t="s">
        <v>324</v>
      </c>
      <c r="D109" s="2">
        <f>'10'!K57</f>
        <v>32532</v>
      </c>
    </row>
    <row r="110" spans="1:4" ht="15" x14ac:dyDescent="0.2">
      <c r="B110" s="4" t="s">
        <v>325</v>
      </c>
      <c r="C110" s="4" t="s">
        <v>326</v>
      </c>
      <c r="D110" s="2">
        <f>'10'!K63</f>
        <v>1640</v>
      </c>
    </row>
    <row r="112" spans="1:4" x14ac:dyDescent="0.2">
      <c r="A112" t="s">
        <v>177</v>
      </c>
      <c r="B112">
        <v>11</v>
      </c>
    </row>
    <row r="113" spans="1:4" ht="15" x14ac:dyDescent="0.2">
      <c r="B113" s="3" t="s">
        <v>332</v>
      </c>
      <c r="C113" s="3" t="s">
        <v>71</v>
      </c>
    </row>
    <row r="114" spans="1:4" ht="15" x14ac:dyDescent="0.2">
      <c r="B114" s="4" t="s">
        <v>333</v>
      </c>
      <c r="C114" s="4" t="s">
        <v>334</v>
      </c>
      <c r="D114" s="2">
        <f>'11'!K24</f>
        <v>0</v>
      </c>
    </row>
    <row r="115" spans="1:4" ht="15" x14ac:dyDescent="0.2">
      <c r="B115" s="4" t="s">
        <v>335</v>
      </c>
      <c r="C115" s="4" t="s">
        <v>336</v>
      </c>
      <c r="D115" s="2">
        <f>'11'!K35</f>
        <v>0</v>
      </c>
    </row>
    <row r="116" spans="1:4" ht="15" x14ac:dyDescent="0.2">
      <c r="B116" s="4" t="s">
        <v>337</v>
      </c>
      <c r="C116" s="4" t="s">
        <v>338</v>
      </c>
      <c r="D116" s="2">
        <f>'11'!K43</f>
        <v>200600</v>
      </c>
    </row>
    <row r="117" spans="1:4" ht="15" x14ac:dyDescent="0.2">
      <c r="B117" s="4" t="s">
        <v>341</v>
      </c>
      <c r="C117" s="4" t="s">
        <v>342</v>
      </c>
      <c r="D117" s="2">
        <f>'11'!K52</f>
        <v>0</v>
      </c>
    </row>
    <row r="118" spans="1:4" ht="15" x14ac:dyDescent="0.2">
      <c r="B118" s="4" t="s">
        <v>345</v>
      </c>
      <c r="C118" s="4" t="s">
        <v>346</v>
      </c>
      <c r="D118" s="2">
        <f>'11'!K63</f>
        <v>0</v>
      </c>
    </row>
    <row r="119" spans="1:4" ht="15" x14ac:dyDescent="0.2">
      <c r="B119" s="4" t="s">
        <v>349</v>
      </c>
      <c r="C119" s="4" t="s">
        <v>350</v>
      </c>
      <c r="D119" s="2">
        <f>'11'!K72</f>
        <v>0</v>
      </c>
    </row>
    <row r="120" spans="1:4" ht="15" x14ac:dyDescent="0.2">
      <c r="B120" s="4" t="s">
        <v>351</v>
      </c>
      <c r="C120" s="4" t="s">
        <v>352</v>
      </c>
      <c r="D120" s="2">
        <f>'11'!K79</f>
        <v>0</v>
      </c>
    </row>
    <row r="123" spans="1:4" x14ac:dyDescent="0.2">
      <c r="A123" t="s">
        <v>177</v>
      </c>
      <c r="B123">
        <v>12</v>
      </c>
    </row>
    <row r="124" spans="1:4" ht="15" x14ac:dyDescent="0.2">
      <c r="B124" s="3" t="s">
        <v>353</v>
      </c>
      <c r="C124" s="3" t="s">
        <v>76</v>
      </c>
    </row>
    <row r="125" spans="1:4" ht="15" x14ac:dyDescent="0.2">
      <c r="B125" s="4" t="s">
        <v>354</v>
      </c>
      <c r="C125" s="4" t="s">
        <v>355</v>
      </c>
      <c r="D125" s="2">
        <f>'12'!K24</f>
        <v>0</v>
      </c>
    </row>
    <row r="126" spans="1:4" ht="15" x14ac:dyDescent="0.2">
      <c r="B126" s="4" t="s">
        <v>356</v>
      </c>
      <c r="C126" s="4" t="s">
        <v>357</v>
      </c>
      <c r="D126" s="2">
        <f>'12'!K35</f>
        <v>41300</v>
      </c>
    </row>
    <row r="127" spans="1:4" ht="15" x14ac:dyDescent="0.2">
      <c r="B127" s="4" t="s">
        <v>358</v>
      </c>
      <c r="C127" s="4" t="s">
        <v>359</v>
      </c>
      <c r="D127" s="2">
        <f>'12'!K43</f>
        <v>0</v>
      </c>
    </row>
    <row r="128" spans="1:4" ht="15" x14ac:dyDescent="0.2">
      <c r="B128" s="4" t="s">
        <v>360</v>
      </c>
      <c r="C128" s="4" t="s">
        <v>362</v>
      </c>
      <c r="D128" s="2">
        <f>'12'!K52</f>
        <v>0</v>
      </c>
    </row>
    <row r="129" spans="1:4" ht="15" x14ac:dyDescent="0.2">
      <c r="B129" s="4" t="s">
        <v>361</v>
      </c>
      <c r="C129" s="4" t="s">
        <v>363</v>
      </c>
      <c r="D129" s="2">
        <f>'12'!K63</f>
        <v>0</v>
      </c>
    </row>
    <row r="130" spans="1:4" ht="15" x14ac:dyDescent="0.2">
      <c r="B130" s="4" t="s">
        <v>365</v>
      </c>
      <c r="C130" s="4" t="s">
        <v>364</v>
      </c>
      <c r="D130" s="2">
        <f>'12'!K72</f>
        <v>0</v>
      </c>
    </row>
    <row r="132" spans="1:4" x14ac:dyDescent="0.2">
      <c r="A132" t="s">
        <v>177</v>
      </c>
      <c r="B132">
        <v>13</v>
      </c>
    </row>
    <row r="133" spans="1:4" ht="15" x14ac:dyDescent="0.2">
      <c r="B133" s="3" t="s">
        <v>366</v>
      </c>
      <c r="C133" s="3" t="s">
        <v>77</v>
      </c>
    </row>
    <row r="136" spans="1:4" x14ac:dyDescent="0.2">
      <c r="A136" t="s">
        <v>177</v>
      </c>
      <c r="B136">
        <v>14</v>
      </c>
    </row>
    <row r="137" spans="1:4" ht="15" x14ac:dyDescent="0.2">
      <c r="B137" s="3" t="s">
        <v>367</v>
      </c>
      <c r="C137" s="3" t="s">
        <v>368</v>
      </c>
    </row>
    <row r="138" spans="1:4" ht="15" x14ac:dyDescent="0.2">
      <c r="B138" s="4" t="s">
        <v>369</v>
      </c>
      <c r="C138" s="4" t="s">
        <v>69</v>
      </c>
      <c r="D138" s="2">
        <f>'14'!K24</f>
        <v>0</v>
      </c>
    </row>
    <row r="139" spans="1:4" ht="15" x14ac:dyDescent="0.2">
      <c r="B139" s="4" t="s">
        <v>370</v>
      </c>
      <c r="C139" s="4" t="s">
        <v>70</v>
      </c>
      <c r="D139" s="2">
        <f>'14'!K35</f>
        <v>0</v>
      </c>
    </row>
    <row r="140" spans="1:4" ht="15" x14ac:dyDescent="0.2">
      <c r="B140" s="4" t="s">
        <v>372</v>
      </c>
      <c r="C140" s="4" t="s">
        <v>371</v>
      </c>
      <c r="D140" s="2">
        <f>'14'!K43</f>
        <v>0</v>
      </c>
    </row>
    <row r="142" spans="1:4" x14ac:dyDescent="0.2">
      <c r="A142" t="s">
        <v>177</v>
      </c>
      <c r="B142">
        <v>21</v>
      </c>
    </row>
    <row r="143" spans="1:4" ht="15" x14ac:dyDescent="0.2">
      <c r="B143" s="3" t="s">
        <v>373</v>
      </c>
      <c r="C143" s="3" t="s">
        <v>151</v>
      </c>
    </row>
    <row r="144" spans="1:4" ht="15" x14ac:dyDescent="0.2">
      <c r="B144" s="4" t="s">
        <v>374</v>
      </c>
      <c r="C144" s="4" t="s">
        <v>375</v>
      </c>
      <c r="D144" s="2">
        <f>'21'!K24</f>
        <v>212000</v>
      </c>
    </row>
    <row r="147" spans="1:4" x14ac:dyDescent="0.2">
      <c r="A147" t="s">
        <v>177</v>
      </c>
      <c r="B147">
        <v>22</v>
      </c>
    </row>
    <row r="148" spans="1:4" ht="15" x14ac:dyDescent="0.2">
      <c r="B148" s="3" t="s">
        <v>376</v>
      </c>
      <c r="C148" s="3" t="s">
        <v>41</v>
      </c>
    </row>
    <row r="149" spans="1:4" ht="15" x14ac:dyDescent="0.2">
      <c r="B149" s="4" t="s">
        <v>377</v>
      </c>
      <c r="C149" s="4" t="s">
        <v>378</v>
      </c>
      <c r="D149" s="2">
        <f>'22'!K24</f>
        <v>674850</v>
      </c>
    </row>
    <row r="150" spans="1:4" ht="15" x14ac:dyDescent="0.2">
      <c r="B150" s="4" t="s">
        <v>379</v>
      </c>
      <c r="C150" s="4" t="s">
        <v>380</v>
      </c>
      <c r="D150" s="2">
        <f>'22'!K35</f>
        <v>0</v>
      </c>
    </row>
    <row r="151" spans="1:4" ht="15" x14ac:dyDescent="0.2">
      <c r="B151" s="4" t="s">
        <v>385</v>
      </c>
      <c r="C151" s="4" t="s">
        <v>386</v>
      </c>
      <c r="D151" s="2">
        <f>'22'!K46</f>
        <v>0</v>
      </c>
    </row>
    <row r="152" spans="1:4" ht="15" x14ac:dyDescent="0.2">
      <c r="B152" s="4" t="s">
        <v>387</v>
      </c>
      <c r="C152" s="4" t="s">
        <v>388</v>
      </c>
      <c r="D152" s="2">
        <f>'22'!K67</f>
        <v>0</v>
      </c>
    </row>
    <row r="153" spans="1:4" ht="15" x14ac:dyDescent="0.2">
      <c r="B153" s="4" t="s">
        <v>416</v>
      </c>
      <c r="C153" s="4" t="s">
        <v>417</v>
      </c>
      <c r="D153" s="2">
        <f>'22'!K74</f>
        <v>0</v>
      </c>
    </row>
    <row r="154" spans="1:4" ht="15" x14ac:dyDescent="0.2">
      <c r="B154" s="4" t="s">
        <v>422</v>
      </c>
      <c r="C154" s="4" t="s">
        <v>423</v>
      </c>
      <c r="D154" s="2">
        <f>'22'!K83</f>
        <v>0</v>
      </c>
    </row>
    <row r="157" spans="1:4" x14ac:dyDescent="0.2">
      <c r="A157" t="s">
        <v>177</v>
      </c>
      <c r="B157">
        <v>23</v>
      </c>
    </row>
    <row r="158" spans="1:4" ht="15" x14ac:dyDescent="0.2">
      <c r="B158" s="3" t="s">
        <v>424</v>
      </c>
      <c r="C158" s="3" t="s">
        <v>425</v>
      </c>
    </row>
    <row r="159" spans="1:4" ht="15" x14ac:dyDescent="0.2">
      <c r="B159" s="4" t="s">
        <v>426</v>
      </c>
      <c r="C159" s="4" t="s">
        <v>427</v>
      </c>
      <c r="D159" s="2">
        <f>'23'!K18</f>
        <v>467650</v>
      </c>
    </row>
    <row r="160" spans="1:4" ht="15" x14ac:dyDescent="0.2">
      <c r="B160" s="4" t="s">
        <v>428</v>
      </c>
      <c r="C160" s="4" t="s">
        <v>429</v>
      </c>
      <c r="D160" s="2">
        <f>'23'!K25</f>
        <v>0</v>
      </c>
    </row>
    <row r="161" spans="1:4" ht="15" x14ac:dyDescent="0.2">
      <c r="B161" s="4" t="s">
        <v>430</v>
      </c>
      <c r="C161" s="4" t="s">
        <v>431</v>
      </c>
      <c r="D161" s="2">
        <f>'23'!K31</f>
        <v>0</v>
      </c>
    </row>
    <row r="162" spans="1:4" ht="15" x14ac:dyDescent="0.2">
      <c r="B162" s="4" t="s">
        <v>432</v>
      </c>
      <c r="C162" s="4" t="s">
        <v>433</v>
      </c>
      <c r="D162" s="2">
        <f>'23'!K38</f>
        <v>0</v>
      </c>
    </row>
    <row r="163" spans="1:4" ht="15" x14ac:dyDescent="0.2">
      <c r="B163" s="4" t="s">
        <v>436</v>
      </c>
      <c r="C163" s="4" t="s">
        <v>437</v>
      </c>
      <c r="D163" s="2">
        <f>'23'!K46</f>
        <v>0</v>
      </c>
    </row>
    <row r="164" spans="1:4" ht="15" x14ac:dyDescent="0.2">
      <c r="B164" s="4" t="s">
        <v>438</v>
      </c>
      <c r="C164" s="4" t="s">
        <v>439</v>
      </c>
      <c r="D164" s="2">
        <f>'23'!K53</f>
        <v>0</v>
      </c>
    </row>
    <row r="165" spans="1:4" ht="15" x14ac:dyDescent="0.2">
      <c r="B165" s="4" t="s">
        <v>440</v>
      </c>
      <c r="C165" s="4" t="s">
        <v>441</v>
      </c>
      <c r="D165" s="2">
        <f>'23'!K58</f>
        <v>0</v>
      </c>
    </row>
    <row r="166" spans="1:4" ht="15" x14ac:dyDescent="0.2">
      <c r="B166" s="4" t="s">
        <v>442</v>
      </c>
      <c r="C166" s="4" t="s">
        <v>443</v>
      </c>
      <c r="D166" s="2">
        <f>'23'!K73</f>
        <v>0</v>
      </c>
    </row>
    <row r="167" spans="1:4" ht="15" x14ac:dyDescent="0.2">
      <c r="B167" s="4" t="s">
        <v>460</v>
      </c>
      <c r="C167" s="4" t="s">
        <v>461</v>
      </c>
      <c r="D167" s="2">
        <f>'23'!K79</f>
        <v>0</v>
      </c>
    </row>
    <row r="168" spans="1:4" ht="15" x14ac:dyDescent="0.2">
      <c r="B168" s="4" t="s">
        <v>464</v>
      </c>
      <c r="C168" s="4" t="s">
        <v>465</v>
      </c>
      <c r="D168" s="2">
        <f>'23'!K91</f>
        <v>0</v>
      </c>
    </row>
    <row r="171" spans="1:4" x14ac:dyDescent="0.2">
      <c r="A171" t="s">
        <v>152</v>
      </c>
      <c r="B171">
        <v>25</v>
      </c>
    </row>
    <row r="172" spans="1:4" ht="15" x14ac:dyDescent="0.2">
      <c r="B172" s="3" t="s">
        <v>468</v>
      </c>
      <c r="C172" s="3" t="s">
        <v>469</v>
      </c>
    </row>
    <row r="175" spans="1:4" x14ac:dyDescent="0.2">
      <c r="A175" t="s">
        <v>177</v>
      </c>
      <c r="B175">
        <v>26</v>
      </c>
    </row>
    <row r="176" spans="1:4" ht="15" x14ac:dyDescent="0.2">
      <c r="B176" s="3" t="s">
        <v>470</v>
      </c>
      <c r="C176" s="3" t="s">
        <v>10</v>
      </c>
    </row>
    <row r="177" spans="1:16" ht="15" x14ac:dyDescent="0.2">
      <c r="B177" s="4" t="s">
        <v>471</v>
      </c>
      <c r="C177" s="4" t="s">
        <v>472</v>
      </c>
      <c r="D177" s="2">
        <f>'26'!K26</f>
        <v>770000</v>
      </c>
    </row>
    <row r="178" spans="1:16" ht="15" x14ac:dyDescent="0.2">
      <c r="B178" s="4" t="s">
        <v>473</v>
      </c>
      <c r="C178" s="4" t="s">
        <v>474</v>
      </c>
      <c r="D178" s="2">
        <f>'26'!K37</f>
        <v>0</v>
      </c>
    </row>
    <row r="179" spans="1:16" ht="15" x14ac:dyDescent="0.2">
      <c r="B179" s="4" t="s">
        <v>482</v>
      </c>
      <c r="C179" s="4" t="s">
        <v>82</v>
      </c>
      <c r="D179" s="2">
        <f>'26'!K46</f>
        <v>52897</v>
      </c>
    </row>
    <row r="181" spans="1:16" x14ac:dyDescent="0.2">
      <c r="O181" s="8"/>
      <c r="P181" s="5"/>
    </row>
    <row r="182" spans="1:16" ht="15" x14ac:dyDescent="0.2">
      <c r="A182" t="s">
        <v>177</v>
      </c>
      <c r="B182">
        <v>27</v>
      </c>
      <c r="C182" s="3"/>
      <c r="O182" s="8"/>
      <c r="P182" s="5"/>
    </row>
    <row r="183" spans="1:16" ht="15" x14ac:dyDescent="0.2">
      <c r="B183" s="3" t="s">
        <v>486</v>
      </c>
      <c r="C183" s="3" t="s">
        <v>487</v>
      </c>
      <c r="O183" s="8"/>
      <c r="P183" s="5"/>
    </row>
    <row r="184" spans="1:16" ht="15" x14ac:dyDescent="0.2">
      <c r="B184" s="4" t="s">
        <v>488</v>
      </c>
      <c r="C184" s="4" t="s">
        <v>489</v>
      </c>
      <c r="D184" s="2">
        <f>'27'!K24</f>
        <v>0</v>
      </c>
      <c r="O184" s="8"/>
      <c r="P184" s="5"/>
    </row>
    <row r="185" spans="1:16" ht="15" x14ac:dyDescent="0.2">
      <c r="B185" s="4" t="s">
        <v>490</v>
      </c>
      <c r="C185" s="4" t="s">
        <v>491</v>
      </c>
      <c r="D185" s="2">
        <f>'27'!K35</f>
        <v>0</v>
      </c>
      <c r="O185" s="8"/>
      <c r="P185" s="6"/>
    </row>
    <row r="186" spans="1:16" ht="15" x14ac:dyDescent="0.2">
      <c r="B186" s="4" t="s">
        <v>496</v>
      </c>
      <c r="C186" s="4" t="s">
        <v>497</v>
      </c>
      <c r="D186" s="2">
        <f>'27'!K43</f>
        <v>0</v>
      </c>
      <c r="O186" s="9"/>
      <c r="P186" s="5"/>
    </row>
    <row r="187" spans="1:16" ht="15" x14ac:dyDescent="0.2">
      <c r="B187" s="4" t="s">
        <v>498</v>
      </c>
      <c r="C187" s="4" t="s">
        <v>499</v>
      </c>
      <c r="D187" s="2">
        <f>'27'!K52</f>
        <v>0</v>
      </c>
      <c r="O187" s="9"/>
      <c r="P187" s="5"/>
    </row>
    <row r="188" spans="1:16" ht="15" x14ac:dyDescent="0.2">
      <c r="B188" s="4" t="s">
        <v>500</v>
      </c>
      <c r="C188" s="4" t="s">
        <v>501</v>
      </c>
      <c r="D188" s="2">
        <f>'27'!K63</f>
        <v>0</v>
      </c>
      <c r="O188" s="9"/>
      <c r="P188" s="5"/>
    </row>
    <row r="189" spans="1:16" x14ac:dyDescent="0.2">
      <c r="O189" s="9"/>
      <c r="P189" s="5"/>
    </row>
    <row r="190" spans="1:16" x14ac:dyDescent="0.2">
      <c r="O190" s="9"/>
      <c r="P190" s="5"/>
    </row>
    <row r="191" spans="1:16" x14ac:dyDescent="0.2">
      <c r="A191" t="s">
        <v>152</v>
      </c>
      <c r="B191">
        <v>28</v>
      </c>
      <c r="O191" s="10"/>
      <c r="P191" s="7"/>
    </row>
    <row r="192" spans="1:16" ht="15" x14ac:dyDescent="0.2">
      <c r="B192" s="3" t="s">
        <v>502</v>
      </c>
      <c r="C192" s="3" t="s">
        <v>503</v>
      </c>
      <c r="O192" s="10"/>
      <c r="P192" s="7"/>
    </row>
    <row r="193" spans="1:16" ht="15" x14ac:dyDescent="0.2">
      <c r="B193" s="4" t="s">
        <v>504</v>
      </c>
      <c r="C193" s="4" t="s">
        <v>505</v>
      </c>
      <c r="D193" s="2">
        <f>'28'!K24</f>
        <v>0</v>
      </c>
      <c r="O193" s="11"/>
      <c r="P193" s="11"/>
    </row>
    <row r="194" spans="1:16" ht="15" x14ac:dyDescent="0.2">
      <c r="B194" s="4" t="s">
        <v>508</v>
      </c>
      <c r="C194" s="4" t="s">
        <v>509</v>
      </c>
      <c r="D194" s="2">
        <f>'28'!K35</f>
        <v>0</v>
      </c>
    </row>
    <row r="195" spans="1:16" ht="15" x14ac:dyDescent="0.2">
      <c r="B195" s="4" t="s">
        <v>510</v>
      </c>
      <c r="C195" s="4" t="s">
        <v>511</v>
      </c>
      <c r="D195" s="2">
        <f>'28'!K43</f>
        <v>0</v>
      </c>
    </row>
    <row r="196" spans="1:16" ht="15" x14ac:dyDescent="0.2">
      <c r="B196" s="4" t="s">
        <v>512</v>
      </c>
      <c r="C196" s="4" t="s">
        <v>514</v>
      </c>
      <c r="D196" s="2">
        <f>'28'!K52</f>
        <v>0</v>
      </c>
      <c r="O196" s="8"/>
      <c r="P196" s="5"/>
    </row>
    <row r="197" spans="1:16" x14ac:dyDescent="0.2">
      <c r="O197" s="8"/>
      <c r="P197" s="5"/>
    </row>
    <row r="198" spans="1:16" x14ac:dyDescent="0.2">
      <c r="A198" t="s">
        <v>152</v>
      </c>
      <c r="B198">
        <v>31</v>
      </c>
      <c r="O198" s="8"/>
      <c r="P198" s="5"/>
    </row>
    <row r="199" spans="1:16" ht="15" x14ac:dyDescent="0.2">
      <c r="B199" s="3" t="s">
        <v>516</v>
      </c>
      <c r="C199" s="3" t="s">
        <v>517</v>
      </c>
      <c r="O199" s="8"/>
      <c r="P199" s="5"/>
    </row>
    <row r="200" spans="1:16" ht="15" x14ac:dyDescent="0.2">
      <c r="B200" s="4" t="s">
        <v>518</v>
      </c>
      <c r="C200" s="4" t="s">
        <v>519</v>
      </c>
      <c r="D200" s="2">
        <f>'31'!K26</f>
        <v>0</v>
      </c>
      <c r="O200" s="10"/>
      <c r="P200" s="5"/>
    </row>
    <row r="201" spans="1:16" ht="15" x14ac:dyDescent="0.2">
      <c r="B201" s="4" t="s">
        <v>522</v>
      </c>
      <c r="C201" s="4" t="s">
        <v>523</v>
      </c>
      <c r="D201" s="2">
        <f>'31'!K49</f>
        <v>268300</v>
      </c>
    </row>
    <row r="202" spans="1:16" ht="15" x14ac:dyDescent="0.2">
      <c r="B202" s="4" t="s">
        <v>558</v>
      </c>
      <c r="C202" s="4" t="s">
        <v>557</v>
      </c>
      <c r="D202" s="2">
        <f>'31'!K57</f>
        <v>0</v>
      </c>
    </row>
    <row r="203" spans="1:16" ht="15" x14ac:dyDescent="0.2">
      <c r="B203" s="4" t="s">
        <v>559</v>
      </c>
      <c r="C203" s="4" t="s">
        <v>560</v>
      </c>
      <c r="D203" s="2">
        <f>'31'!K66</f>
        <v>0</v>
      </c>
    </row>
    <row r="206" spans="1:16" x14ac:dyDescent="0.2">
      <c r="A206" t="s">
        <v>177</v>
      </c>
      <c r="B206">
        <v>32</v>
      </c>
    </row>
    <row r="207" spans="1:16" ht="15" x14ac:dyDescent="0.2">
      <c r="B207" s="3" t="s">
        <v>561</v>
      </c>
      <c r="C207" s="3" t="s">
        <v>562</v>
      </c>
    </row>
    <row r="208" spans="1:16" ht="15" x14ac:dyDescent="0.2">
      <c r="B208" s="4" t="s">
        <v>563</v>
      </c>
      <c r="C208" s="4" t="s">
        <v>564</v>
      </c>
      <c r="D208" s="2">
        <f>'32'!K21</f>
        <v>53250</v>
      </c>
    </row>
    <row r="209" spans="1:4" ht="15" x14ac:dyDescent="0.2">
      <c r="B209" s="4" t="s">
        <v>571</v>
      </c>
      <c r="C209" s="4" t="s">
        <v>572</v>
      </c>
      <c r="D209" s="2">
        <f>'32'!K33</f>
        <v>28809.84</v>
      </c>
    </row>
    <row r="210" spans="1:4" ht="15" x14ac:dyDescent="0.2">
      <c r="B210" s="4" t="s">
        <v>588</v>
      </c>
      <c r="C210" s="4" t="s">
        <v>589</v>
      </c>
      <c r="D210" s="2">
        <f>'32'!K41</f>
        <v>960</v>
      </c>
    </row>
    <row r="211" spans="1:4" ht="15" x14ac:dyDescent="0.2">
      <c r="B211" s="4" t="s">
        <v>594</v>
      </c>
      <c r="C211" s="4" t="s">
        <v>595</v>
      </c>
      <c r="D211" s="2">
        <f>'32'!K50</f>
        <v>16800</v>
      </c>
    </row>
    <row r="212" spans="1:4" ht="15" x14ac:dyDescent="0.2">
      <c r="B212" s="4" t="s">
        <v>604</v>
      </c>
      <c r="C212" s="4" t="s">
        <v>605</v>
      </c>
      <c r="D212" s="2">
        <f>'32'!K61</f>
        <v>51251.17</v>
      </c>
    </row>
    <row r="215" spans="1:4" x14ac:dyDescent="0.2">
      <c r="A215" t="s">
        <v>152</v>
      </c>
      <c r="B215">
        <v>33</v>
      </c>
    </row>
    <row r="216" spans="1:4" ht="15" x14ac:dyDescent="0.2">
      <c r="B216" s="3" t="s">
        <v>612</v>
      </c>
      <c r="C216" s="3" t="s">
        <v>613</v>
      </c>
    </row>
    <row r="217" spans="1:4" ht="15" x14ac:dyDescent="0.2">
      <c r="B217" s="4" t="s">
        <v>614</v>
      </c>
      <c r="C217" s="4" t="s">
        <v>615</v>
      </c>
      <c r="D217" s="2">
        <f>'33'!K26</f>
        <v>0</v>
      </c>
    </row>
    <row r="218" spans="1:4" ht="15" x14ac:dyDescent="0.2">
      <c r="B218" s="4" t="s">
        <v>620</v>
      </c>
      <c r="C218" s="4" t="s">
        <v>621</v>
      </c>
      <c r="D218" s="2">
        <f>'33'!K37</f>
        <v>0</v>
      </c>
    </row>
    <row r="219" spans="1:4" ht="15" x14ac:dyDescent="0.2">
      <c r="B219" s="4" t="s">
        <v>636</v>
      </c>
      <c r="C219" s="4" t="s">
        <v>637</v>
      </c>
      <c r="D219" s="2">
        <f>'33'!K54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2"/>
  <sheetViews>
    <sheetView showFormulas="1" zoomScale="91" workbookViewId="0">
      <selection activeCell="E29" sqref="E29"/>
    </sheetView>
  </sheetViews>
  <sheetFormatPr defaultColWidth="11.42578125" defaultRowHeight="12.75" x14ac:dyDescent="0.2"/>
  <cols>
    <col min="2" max="3" width="22" customWidth="1"/>
    <col min="4" max="4" width="60" bestFit="1" customWidth="1"/>
    <col min="5" max="5" width="34" customWidth="1"/>
  </cols>
  <sheetData>
    <row r="1" spans="1:5" ht="15" x14ac:dyDescent="0.2">
      <c r="A1" s="3"/>
      <c r="B1" s="39" t="s">
        <v>152</v>
      </c>
      <c r="C1" s="39" t="s">
        <v>927</v>
      </c>
      <c r="D1" s="39" t="s">
        <v>928</v>
      </c>
      <c r="E1" s="39" t="s">
        <v>775</v>
      </c>
    </row>
    <row r="2" spans="1:5" s="40" customFormat="1" ht="15" x14ac:dyDescent="0.25">
      <c r="B2" s="45" t="s">
        <v>686</v>
      </c>
      <c r="C2" s="47"/>
      <c r="D2" s="46" t="s">
        <v>3</v>
      </c>
      <c r="E2" s="41">
        <f>'Estimate Summary'!H15</f>
        <v>584281.12226690026</v>
      </c>
    </row>
    <row r="3" spans="1:5" ht="15" x14ac:dyDescent="0.2">
      <c r="B3" s="14" t="s">
        <v>103</v>
      </c>
      <c r="C3" s="47"/>
      <c r="D3" s="36" t="s">
        <v>102</v>
      </c>
      <c r="E3" s="2">
        <f>'1'!K24</f>
        <v>0</v>
      </c>
    </row>
    <row r="4" spans="1:5" ht="15" x14ac:dyDescent="0.2">
      <c r="B4" s="15" t="s">
        <v>104</v>
      </c>
      <c r="C4" s="48"/>
      <c r="D4" s="37" t="s">
        <v>105</v>
      </c>
      <c r="E4" s="2">
        <f>'1'!K35</f>
        <v>165000</v>
      </c>
    </row>
    <row r="5" spans="1:5" ht="15" x14ac:dyDescent="0.2">
      <c r="B5" s="15" t="s">
        <v>104</v>
      </c>
      <c r="C5" s="49" t="s">
        <v>804</v>
      </c>
      <c r="D5" s="5" t="s">
        <v>125</v>
      </c>
      <c r="E5" s="2">
        <f>'1'!K27</f>
        <v>0</v>
      </c>
    </row>
    <row r="6" spans="1:5" ht="15" x14ac:dyDescent="0.2">
      <c r="B6" s="15" t="s">
        <v>104</v>
      </c>
      <c r="C6" s="49" t="s">
        <v>805</v>
      </c>
      <c r="D6" s="5" t="s">
        <v>126</v>
      </c>
      <c r="E6" s="2">
        <f>'1'!K28</f>
        <v>0</v>
      </c>
    </row>
    <row r="7" spans="1:5" ht="15" x14ac:dyDescent="0.2">
      <c r="B7" s="15" t="s">
        <v>104</v>
      </c>
      <c r="C7" s="49" t="s">
        <v>806</v>
      </c>
      <c r="D7" s="5" t="s">
        <v>127</v>
      </c>
      <c r="E7" s="2">
        <f>'1'!K29</f>
        <v>0</v>
      </c>
    </row>
    <row r="8" spans="1:5" ht="15" x14ac:dyDescent="0.2">
      <c r="B8" s="15" t="s">
        <v>104</v>
      </c>
      <c r="C8" s="49" t="s">
        <v>808</v>
      </c>
      <c r="D8" s="5" t="s">
        <v>748</v>
      </c>
      <c r="E8" s="2">
        <f>'1'!K30</f>
        <v>0</v>
      </c>
    </row>
    <row r="9" spans="1:5" ht="15" x14ac:dyDescent="0.2">
      <c r="B9" s="15" t="s">
        <v>104</v>
      </c>
      <c r="C9" s="49" t="s">
        <v>807</v>
      </c>
      <c r="D9" s="5" t="s">
        <v>128</v>
      </c>
      <c r="E9" s="2">
        <f>'1'!K31</f>
        <v>165000</v>
      </c>
    </row>
    <row r="10" spans="1:5" ht="15" x14ac:dyDescent="0.2">
      <c r="B10" s="15" t="s">
        <v>104</v>
      </c>
      <c r="C10" s="49" t="s">
        <v>809</v>
      </c>
      <c r="D10" s="5" t="s">
        <v>129</v>
      </c>
      <c r="E10" s="2">
        <f>'1'!K32</f>
        <v>0</v>
      </c>
    </row>
    <row r="11" spans="1:5" ht="15" x14ac:dyDescent="0.2">
      <c r="B11" s="15" t="s">
        <v>810</v>
      </c>
      <c r="C11" s="49" t="s">
        <v>810</v>
      </c>
      <c r="D11" s="5" t="s">
        <v>727</v>
      </c>
      <c r="E11" s="2"/>
    </row>
    <row r="12" spans="1:5" ht="15" x14ac:dyDescent="0.2">
      <c r="B12" s="15" t="s">
        <v>106</v>
      </c>
      <c r="C12" s="48"/>
      <c r="D12" s="37" t="s">
        <v>107</v>
      </c>
      <c r="E12" s="2">
        <f>'1'!K67</f>
        <v>3000</v>
      </c>
    </row>
    <row r="13" spans="1:5" ht="15" x14ac:dyDescent="0.2">
      <c r="B13" s="15" t="s">
        <v>144</v>
      </c>
      <c r="C13" s="48"/>
      <c r="D13" s="37" t="s">
        <v>145</v>
      </c>
      <c r="E13" s="2">
        <f>'1'!K76</f>
        <v>8000</v>
      </c>
    </row>
    <row r="14" spans="1:5" ht="15" x14ac:dyDescent="0.2">
      <c r="B14" s="15" t="s">
        <v>108</v>
      </c>
      <c r="C14" s="48"/>
      <c r="D14" s="37" t="s">
        <v>109</v>
      </c>
      <c r="E14" s="2">
        <f>'1'!K87</f>
        <v>15000</v>
      </c>
    </row>
    <row r="15" spans="1:5" ht="15" x14ac:dyDescent="0.2">
      <c r="B15" s="15" t="s">
        <v>111</v>
      </c>
      <c r="C15" s="48"/>
      <c r="D15" s="37" t="s">
        <v>110</v>
      </c>
      <c r="E15" s="2">
        <f>'1'!K97</f>
        <v>35468.078905137212</v>
      </c>
    </row>
    <row r="16" spans="1:5" ht="15" x14ac:dyDescent="0.2">
      <c r="B16" s="15" t="s">
        <v>111</v>
      </c>
      <c r="C16" s="8" t="s">
        <v>861</v>
      </c>
      <c r="D16" s="5" t="s">
        <v>147</v>
      </c>
      <c r="E16" s="2">
        <f>'1'!K90</f>
        <v>12375</v>
      </c>
    </row>
    <row r="17" spans="2:5" ht="15" x14ac:dyDescent="0.2">
      <c r="B17" s="15" t="s">
        <v>111</v>
      </c>
      <c r="C17" s="8" t="s">
        <v>862</v>
      </c>
      <c r="D17" s="5" t="s">
        <v>136</v>
      </c>
      <c r="E17" s="2">
        <f>'1'!K92</f>
        <v>12000</v>
      </c>
    </row>
    <row r="18" spans="2:5" ht="15" x14ac:dyDescent="0.2">
      <c r="B18" s="15" t="s">
        <v>111</v>
      </c>
      <c r="C18" s="8" t="s">
        <v>863</v>
      </c>
      <c r="D18" s="5" t="s">
        <v>148</v>
      </c>
      <c r="E18" s="2">
        <f>'1'!K93</f>
        <v>5503.0789051372085</v>
      </c>
    </row>
    <row r="19" spans="2:5" ht="15" x14ac:dyDescent="0.2">
      <c r="B19" s="15" t="s">
        <v>111</v>
      </c>
      <c r="C19" s="8" t="s">
        <v>864</v>
      </c>
      <c r="D19" s="5" t="s">
        <v>149</v>
      </c>
      <c r="E19" s="2">
        <f>'1'!K94</f>
        <v>3750</v>
      </c>
    </row>
    <row r="20" spans="2:5" ht="15" x14ac:dyDescent="0.2">
      <c r="B20" s="15" t="s">
        <v>111</v>
      </c>
      <c r="C20" s="8" t="s">
        <v>865</v>
      </c>
      <c r="D20" s="5" t="s">
        <v>18</v>
      </c>
      <c r="E20" s="2">
        <f>'1'!K95</f>
        <v>0</v>
      </c>
    </row>
    <row r="21" spans="2:5" ht="15" x14ac:dyDescent="0.2">
      <c r="B21" s="15" t="s">
        <v>112</v>
      </c>
      <c r="C21" s="48"/>
      <c r="D21" s="37" t="s">
        <v>113</v>
      </c>
      <c r="E21" s="2">
        <f>'1'!K105</f>
        <v>203313.04336176309</v>
      </c>
    </row>
    <row r="22" spans="2:5" ht="15" x14ac:dyDescent="0.2">
      <c r="B22" s="15" t="s">
        <v>817</v>
      </c>
      <c r="C22" s="48" t="s">
        <v>817</v>
      </c>
      <c r="D22" s="37" t="s">
        <v>758</v>
      </c>
      <c r="E22" s="2"/>
    </row>
    <row r="23" spans="2:5" ht="15" x14ac:dyDescent="0.2">
      <c r="B23" s="15" t="s">
        <v>114</v>
      </c>
      <c r="C23" s="48"/>
      <c r="D23" s="37" t="s">
        <v>115</v>
      </c>
      <c r="E23" s="2">
        <f>'1'!K128</f>
        <v>25000</v>
      </c>
    </row>
    <row r="24" spans="2:5" ht="15" x14ac:dyDescent="0.2">
      <c r="B24" s="15" t="s">
        <v>116</v>
      </c>
      <c r="C24" s="48"/>
      <c r="D24" s="37" t="s">
        <v>117</v>
      </c>
      <c r="E24" s="2">
        <f>'1'!K136</f>
        <v>54500</v>
      </c>
    </row>
    <row r="25" spans="2:5" ht="15" x14ac:dyDescent="0.2">
      <c r="B25" s="15" t="s">
        <v>116</v>
      </c>
      <c r="C25" s="49" t="s">
        <v>837</v>
      </c>
      <c r="D25" s="5" t="s">
        <v>141</v>
      </c>
      <c r="E25" s="2">
        <f>'1'!K131</f>
        <v>0</v>
      </c>
    </row>
    <row r="26" spans="2:5" ht="15" x14ac:dyDescent="0.2">
      <c r="B26" s="15" t="s">
        <v>116</v>
      </c>
      <c r="C26" s="49" t="s">
        <v>838</v>
      </c>
      <c r="D26" s="5" t="s">
        <v>142</v>
      </c>
      <c r="E26" s="2">
        <f>'1'!K132</f>
        <v>14400</v>
      </c>
    </row>
    <row r="27" spans="2:5" ht="15" x14ac:dyDescent="0.2">
      <c r="B27" s="15" t="s">
        <v>116</v>
      </c>
      <c r="C27" s="49" t="s">
        <v>839</v>
      </c>
      <c r="D27" s="5" t="s">
        <v>143</v>
      </c>
      <c r="E27" s="2">
        <f>'1'!K133</f>
        <v>16500</v>
      </c>
    </row>
    <row r="28" spans="2:5" ht="15" x14ac:dyDescent="0.2">
      <c r="B28" s="15" t="s">
        <v>116</v>
      </c>
      <c r="C28" s="49" t="s">
        <v>840</v>
      </c>
      <c r="D28" s="5" t="s">
        <v>54</v>
      </c>
      <c r="E28" s="2">
        <f>'1'!K134</f>
        <v>23600</v>
      </c>
    </row>
    <row r="29" spans="2:5" s="40" customFormat="1" ht="14.25" x14ac:dyDescent="0.2">
      <c r="B29" s="40" t="s">
        <v>153</v>
      </c>
      <c r="C29" s="38"/>
      <c r="D29" s="40" t="s">
        <v>155</v>
      </c>
      <c r="E29" s="41">
        <f>'Estimate Summary'!H17</f>
        <v>0</v>
      </c>
    </row>
    <row r="30" spans="2:5" ht="15" x14ac:dyDescent="0.2">
      <c r="B30" s="4" t="s">
        <v>154</v>
      </c>
      <c r="C30" s="38"/>
      <c r="D30" s="4" t="s">
        <v>78</v>
      </c>
      <c r="E30" s="2">
        <f>'2'!K26</f>
        <v>0</v>
      </c>
    </row>
    <row r="31" spans="2:5" ht="15" x14ac:dyDescent="0.2">
      <c r="B31" s="4" t="s">
        <v>156</v>
      </c>
      <c r="C31" s="38"/>
      <c r="D31" s="4" t="s">
        <v>157</v>
      </c>
      <c r="E31" s="2">
        <f>'2'!K37</f>
        <v>0</v>
      </c>
    </row>
    <row r="32" spans="2:5" ht="15" x14ac:dyDescent="0.2">
      <c r="B32" s="4" t="s">
        <v>158</v>
      </c>
      <c r="C32" s="38"/>
      <c r="D32" s="4" t="s">
        <v>534</v>
      </c>
      <c r="E32" s="2">
        <f>'2'!K48</f>
        <v>0</v>
      </c>
    </row>
    <row r="33" spans="2:5" s="40" customFormat="1" ht="14.25" x14ac:dyDescent="0.2">
      <c r="B33" s="40" t="s">
        <v>159</v>
      </c>
      <c r="C33" s="38"/>
      <c r="D33" s="40" t="s">
        <v>4</v>
      </c>
      <c r="E33" s="41">
        <f>'Estimate Summary'!H19</f>
        <v>670607.86089593242</v>
      </c>
    </row>
    <row r="34" spans="2:5" ht="15" x14ac:dyDescent="0.2">
      <c r="B34" s="4" t="s">
        <v>160</v>
      </c>
      <c r="C34" s="38"/>
      <c r="D34" s="4" t="s">
        <v>161</v>
      </c>
      <c r="E34" s="2">
        <f>'3'!K26</f>
        <v>302400</v>
      </c>
    </row>
    <row r="35" spans="2:5" ht="15" x14ac:dyDescent="0.2">
      <c r="B35" s="4" t="s">
        <v>163</v>
      </c>
      <c r="C35" s="38"/>
      <c r="D35" s="4" t="s">
        <v>162</v>
      </c>
      <c r="E35" s="2">
        <f>'3'!K37</f>
        <v>0</v>
      </c>
    </row>
    <row r="36" spans="2:5" ht="15" x14ac:dyDescent="0.2">
      <c r="B36" s="4" t="s">
        <v>164</v>
      </c>
      <c r="C36" s="38"/>
      <c r="D36" s="4" t="s">
        <v>168</v>
      </c>
      <c r="E36" s="2">
        <f>'3'!K50</f>
        <v>177795.86089593248</v>
      </c>
    </row>
    <row r="37" spans="2:5" ht="15" x14ac:dyDescent="0.2">
      <c r="B37" s="4" t="s">
        <v>165</v>
      </c>
      <c r="C37" s="38"/>
      <c r="D37" s="4" t="s">
        <v>169</v>
      </c>
      <c r="E37" s="2">
        <f>'3'!K59</f>
        <v>44527</v>
      </c>
    </row>
    <row r="38" spans="2:5" ht="15" x14ac:dyDescent="0.2">
      <c r="B38" s="4" t="s">
        <v>166</v>
      </c>
      <c r="C38" s="38"/>
      <c r="D38" s="4" t="s">
        <v>170</v>
      </c>
      <c r="E38" s="2">
        <f>'3'!K70</f>
        <v>77850</v>
      </c>
    </row>
    <row r="39" spans="2:5" ht="15" x14ac:dyDescent="0.2">
      <c r="B39" s="4" t="s">
        <v>167</v>
      </c>
      <c r="C39" s="38"/>
      <c r="D39" s="4" t="s">
        <v>924</v>
      </c>
      <c r="E39" s="2">
        <f>'3'!K79</f>
        <v>68035</v>
      </c>
    </row>
    <row r="40" spans="2:5" ht="15" x14ac:dyDescent="0.2">
      <c r="B40" s="4" t="s">
        <v>167</v>
      </c>
      <c r="C40" s="49" t="s">
        <v>925</v>
      </c>
      <c r="D40" s="5" t="s">
        <v>754</v>
      </c>
      <c r="E40" s="2">
        <f>'3'!K73</f>
        <v>15640</v>
      </c>
    </row>
    <row r="41" spans="2:5" ht="15" x14ac:dyDescent="0.2">
      <c r="B41" s="4" t="s">
        <v>167</v>
      </c>
      <c r="C41" s="49" t="s">
        <v>926</v>
      </c>
      <c r="D41" s="5" t="s">
        <v>56</v>
      </c>
      <c r="E41" s="2">
        <f>'3'!K74</f>
        <v>8235</v>
      </c>
    </row>
    <row r="42" spans="2:5" s="40" customFormat="1" ht="14.25" x14ac:dyDescent="0.2">
      <c r="B42" s="40" t="s">
        <v>172</v>
      </c>
      <c r="C42" s="38"/>
      <c r="D42" s="40" t="s">
        <v>5</v>
      </c>
      <c r="E42" s="41">
        <f>'Estimate Summary'!H21</f>
        <v>140360</v>
      </c>
    </row>
    <row r="43" spans="2:5" ht="15" x14ac:dyDescent="0.2">
      <c r="B43" s="4" t="s">
        <v>173</v>
      </c>
      <c r="C43" s="38"/>
      <c r="D43" s="4" t="s">
        <v>175</v>
      </c>
      <c r="E43" s="2">
        <f>'4'!K26</f>
        <v>140360</v>
      </c>
    </row>
    <row r="44" spans="2:5" ht="15" x14ac:dyDescent="0.2">
      <c r="B44" s="4" t="s">
        <v>174</v>
      </c>
      <c r="C44" s="38"/>
      <c r="D44" s="4" t="s">
        <v>176</v>
      </c>
      <c r="E44" s="2">
        <f>'4'!K37</f>
        <v>0</v>
      </c>
    </row>
    <row r="45" spans="2:5" s="40" customFormat="1" ht="14.25" x14ac:dyDescent="0.2">
      <c r="B45" s="40" t="s">
        <v>178</v>
      </c>
      <c r="C45" s="38"/>
      <c r="D45" s="40" t="s">
        <v>6</v>
      </c>
      <c r="E45" s="41">
        <f>'Estimate Summary'!H23</f>
        <v>214970</v>
      </c>
    </row>
    <row r="46" spans="2:5" ht="15" x14ac:dyDescent="0.2">
      <c r="B46" s="4" t="s">
        <v>179</v>
      </c>
      <c r="C46" s="38"/>
      <c r="D46" s="4" t="s">
        <v>185</v>
      </c>
      <c r="E46" s="2">
        <f>'5'!K26</f>
        <v>141400</v>
      </c>
    </row>
    <row r="47" spans="2:5" ht="15" x14ac:dyDescent="0.2">
      <c r="B47" s="4" t="s">
        <v>180</v>
      </c>
      <c r="C47" s="38"/>
      <c r="D47" s="4" t="s">
        <v>186</v>
      </c>
      <c r="E47" s="2">
        <f>'5'!K37</f>
        <v>0</v>
      </c>
    </row>
    <row r="48" spans="2:5" ht="15" x14ac:dyDescent="0.2">
      <c r="B48" s="4" t="s">
        <v>181</v>
      </c>
      <c r="C48" s="38"/>
      <c r="D48" s="4" t="s">
        <v>187</v>
      </c>
      <c r="E48" s="2">
        <f>'5'!K45</f>
        <v>0</v>
      </c>
    </row>
    <row r="49" spans="2:5" ht="15" x14ac:dyDescent="0.2">
      <c r="B49" s="4" t="s">
        <v>182</v>
      </c>
      <c r="C49" s="38"/>
      <c r="D49" s="4" t="s">
        <v>188</v>
      </c>
      <c r="E49" s="2">
        <f>'5'!K54</f>
        <v>0</v>
      </c>
    </row>
    <row r="50" spans="2:5" ht="15" x14ac:dyDescent="0.2">
      <c r="B50" s="4" t="s">
        <v>183</v>
      </c>
      <c r="C50" s="38"/>
      <c r="D50" s="4" t="s">
        <v>189</v>
      </c>
      <c r="E50" s="2">
        <f>'5'!K65</f>
        <v>73570</v>
      </c>
    </row>
    <row r="51" spans="2:5" ht="15" x14ac:dyDescent="0.2">
      <c r="B51" s="4" t="s">
        <v>184</v>
      </c>
      <c r="C51" s="38"/>
      <c r="D51" s="4" t="s">
        <v>190</v>
      </c>
      <c r="E51" s="2">
        <f>'5'!K74</f>
        <v>0</v>
      </c>
    </row>
    <row r="52" spans="2:5" s="40" customFormat="1" ht="14.25" x14ac:dyDescent="0.2">
      <c r="B52" s="40" t="s">
        <v>191</v>
      </c>
      <c r="C52" s="38"/>
      <c r="D52" s="40" t="s">
        <v>192</v>
      </c>
      <c r="E52" s="41">
        <f>'Estimate Summary'!H25</f>
        <v>2574857.5544444444</v>
      </c>
    </row>
    <row r="53" spans="2:5" ht="15" x14ac:dyDescent="0.2">
      <c r="B53" s="4" t="s">
        <v>803</v>
      </c>
      <c r="C53" s="38"/>
      <c r="D53" s="4" t="s">
        <v>906</v>
      </c>
      <c r="E53" s="2">
        <f>'6'!K19</f>
        <v>571330</v>
      </c>
    </row>
    <row r="54" spans="2:5" ht="15" x14ac:dyDescent="0.2">
      <c r="B54" s="4" t="s">
        <v>193</v>
      </c>
      <c r="C54" s="38"/>
      <c r="D54" s="4" t="s">
        <v>923</v>
      </c>
      <c r="E54" s="2">
        <f>'6'!K36</f>
        <v>1261823.6599999999</v>
      </c>
    </row>
    <row r="55" spans="2:5" ht="15" x14ac:dyDescent="0.2">
      <c r="B55" s="4" t="s">
        <v>194</v>
      </c>
      <c r="C55" s="38"/>
      <c r="D55" s="4" t="s">
        <v>48</v>
      </c>
      <c r="E55" s="2">
        <f>'6'!K47</f>
        <v>425900</v>
      </c>
    </row>
    <row r="56" spans="2:5" ht="15" x14ac:dyDescent="0.2">
      <c r="B56" s="4" t="s">
        <v>195</v>
      </c>
      <c r="C56" s="38"/>
      <c r="D56" s="4" t="s">
        <v>196</v>
      </c>
      <c r="E56" s="2">
        <f>'6'!K55</f>
        <v>0</v>
      </c>
    </row>
    <row r="57" spans="2:5" ht="15" x14ac:dyDescent="0.2">
      <c r="B57" s="4" t="s">
        <v>198</v>
      </c>
      <c r="C57" s="38"/>
      <c r="D57" s="4" t="s">
        <v>197</v>
      </c>
      <c r="E57" s="2">
        <f>'6'!K64</f>
        <v>0</v>
      </c>
    </row>
    <row r="58" spans="2:5" ht="15" x14ac:dyDescent="0.2">
      <c r="B58" s="4" t="s">
        <v>199</v>
      </c>
      <c r="C58" s="38"/>
      <c r="D58" s="4" t="s">
        <v>200</v>
      </c>
      <c r="E58" s="2">
        <f>'6'!K75</f>
        <v>0</v>
      </c>
    </row>
    <row r="59" spans="2:5" ht="15" x14ac:dyDescent="0.2">
      <c r="B59" s="4" t="s">
        <v>201</v>
      </c>
      <c r="C59" s="38"/>
      <c r="D59" s="4" t="s">
        <v>202</v>
      </c>
      <c r="E59" s="2">
        <f>'6'!K84</f>
        <v>315803.89444444445</v>
      </c>
    </row>
    <row r="60" spans="2:5" ht="15" x14ac:dyDescent="0.2">
      <c r="B60" s="4" t="s">
        <v>204</v>
      </c>
      <c r="C60" s="38"/>
      <c r="D60" s="4" t="s">
        <v>203</v>
      </c>
      <c r="E60" s="2">
        <f>'6'!K91</f>
        <v>0</v>
      </c>
    </row>
    <row r="61" spans="2:5" s="40" customFormat="1" ht="14.25" x14ac:dyDescent="0.2">
      <c r="B61" s="40" t="s">
        <v>205</v>
      </c>
      <c r="C61" s="38"/>
      <c r="D61" s="40" t="s">
        <v>57</v>
      </c>
      <c r="E61" s="41">
        <f>'Estimate Summary'!H27</f>
        <v>1179521.014</v>
      </c>
    </row>
    <row r="62" spans="2:5" ht="15" x14ac:dyDescent="0.2">
      <c r="B62" s="4" t="s">
        <v>206</v>
      </c>
      <c r="C62" s="38"/>
      <c r="D62" s="4" t="s">
        <v>207</v>
      </c>
      <c r="E62" s="2">
        <f>'7'!K16</f>
        <v>237835</v>
      </c>
    </row>
    <row r="63" spans="2:5" ht="15" x14ac:dyDescent="0.2">
      <c r="B63" s="4" t="s">
        <v>214</v>
      </c>
      <c r="C63" s="38"/>
      <c r="D63" s="4" t="s">
        <v>215</v>
      </c>
      <c r="E63" s="2">
        <f>'7'!K22</f>
        <v>271678.01399999997</v>
      </c>
    </row>
    <row r="64" spans="2:5" ht="15" x14ac:dyDescent="0.2">
      <c r="B64" s="4" t="s">
        <v>216</v>
      </c>
      <c r="C64" s="38"/>
      <c r="D64" s="4" t="s">
        <v>217</v>
      </c>
      <c r="E64" s="2">
        <f>'7'!K27</f>
        <v>81750</v>
      </c>
    </row>
    <row r="65" spans="2:5" ht="15" x14ac:dyDescent="0.2">
      <c r="B65" s="4" t="s">
        <v>218</v>
      </c>
      <c r="C65" s="38"/>
      <c r="D65" s="4" t="s">
        <v>219</v>
      </c>
      <c r="E65" s="2">
        <f>'7'!K33</f>
        <v>0</v>
      </c>
    </row>
    <row r="66" spans="2:5" ht="15" x14ac:dyDescent="0.2">
      <c r="B66" s="4" t="s">
        <v>220</v>
      </c>
      <c r="C66" s="38"/>
      <c r="D66" s="4" t="s">
        <v>58</v>
      </c>
      <c r="E66" s="2">
        <f>'7'!K39</f>
        <v>561708</v>
      </c>
    </row>
    <row r="67" spans="2:5" ht="15" x14ac:dyDescent="0.2">
      <c r="B67" s="4" t="s">
        <v>221</v>
      </c>
      <c r="C67" s="38"/>
      <c r="D67" s="4" t="s">
        <v>222</v>
      </c>
      <c r="E67" s="2">
        <f>'7'!K45</f>
        <v>0</v>
      </c>
    </row>
    <row r="68" spans="2:5" ht="15" x14ac:dyDescent="0.2">
      <c r="B68" s="4" t="s">
        <v>223</v>
      </c>
      <c r="C68" s="38"/>
      <c r="D68" s="4" t="s">
        <v>224</v>
      </c>
      <c r="E68" s="2">
        <f>'7'!K50</f>
        <v>0</v>
      </c>
    </row>
    <row r="69" spans="2:5" ht="15" x14ac:dyDescent="0.2">
      <c r="B69" s="4" t="s">
        <v>225</v>
      </c>
      <c r="C69" s="38"/>
      <c r="D69" s="4" t="s">
        <v>226</v>
      </c>
      <c r="E69" s="2">
        <f>'7'!K55</f>
        <v>0</v>
      </c>
    </row>
    <row r="70" spans="2:5" ht="15" x14ac:dyDescent="0.2">
      <c r="B70" s="4" t="s">
        <v>229</v>
      </c>
      <c r="C70" s="38"/>
      <c r="D70" s="4" t="s">
        <v>227</v>
      </c>
      <c r="E70" s="2">
        <f>'7'!K60</f>
        <v>0</v>
      </c>
    </row>
    <row r="71" spans="2:5" ht="15" x14ac:dyDescent="0.2">
      <c r="B71" s="4" t="s">
        <v>230</v>
      </c>
      <c r="C71" s="38"/>
      <c r="D71" s="4" t="s">
        <v>228</v>
      </c>
      <c r="E71" s="2">
        <f>'7'!K66</f>
        <v>0</v>
      </c>
    </row>
    <row r="72" spans="2:5" ht="15" x14ac:dyDescent="0.2">
      <c r="B72" s="4" t="s">
        <v>231</v>
      </c>
      <c r="C72" s="38"/>
      <c r="D72" s="4" t="s">
        <v>232</v>
      </c>
      <c r="E72" s="2">
        <f>'7'!K72</f>
        <v>0</v>
      </c>
    </row>
    <row r="73" spans="2:5" ht="15" x14ac:dyDescent="0.2">
      <c r="B73" s="4" t="s">
        <v>237</v>
      </c>
      <c r="C73" s="38"/>
      <c r="D73" s="4" t="s">
        <v>238</v>
      </c>
      <c r="E73" s="2">
        <f>'7'!K78</f>
        <v>26550</v>
      </c>
    </row>
    <row r="74" spans="2:5" ht="15" x14ac:dyDescent="0.2">
      <c r="B74" s="4" t="s">
        <v>241</v>
      </c>
      <c r="C74" s="38"/>
      <c r="D74" s="4" t="s">
        <v>242</v>
      </c>
      <c r="E74" s="2">
        <f>'7'!K84</f>
        <v>0</v>
      </c>
    </row>
    <row r="75" spans="2:5" s="40" customFormat="1" ht="14.25" x14ac:dyDescent="0.2">
      <c r="B75" s="40" t="s">
        <v>243</v>
      </c>
      <c r="C75" s="38"/>
      <c r="D75" s="40" t="s">
        <v>244</v>
      </c>
      <c r="E75" s="41">
        <f>'Estimate Summary'!H29</f>
        <v>274429.81</v>
      </c>
    </row>
    <row r="76" spans="2:5" ht="15" x14ac:dyDescent="0.2">
      <c r="B76" s="4" t="s">
        <v>245</v>
      </c>
      <c r="C76" s="38"/>
      <c r="D76" s="4" t="s">
        <v>246</v>
      </c>
      <c r="E76" s="2">
        <f>'8'!K18</f>
        <v>89875</v>
      </c>
    </row>
    <row r="77" spans="2:5" ht="15" x14ac:dyDescent="0.2">
      <c r="B77" s="4" t="s">
        <v>250</v>
      </c>
      <c r="C77" s="38"/>
      <c r="D77" s="4" t="s">
        <v>251</v>
      </c>
      <c r="E77" s="2">
        <f>'8'!K24</f>
        <v>0</v>
      </c>
    </row>
    <row r="78" spans="2:5" ht="15" x14ac:dyDescent="0.2">
      <c r="B78" s="4" t="s">
        <v>252</v>
      </c>
      <c r="C78" s="38"/>
      <c r="D78" s="4" t="s">
        <v>253</v>
      </c>
      <c r="E78" s="2">
        <f>'8'!K29</f>
        <v>8000</v>
      </c>
    </row>
    <row r="79" spans="2:5" ht="15" x14ac:dyDescent="0.2">
      <c r="B79" s="4" t="s">
        <v>254</v>
      </c>
      <c r="C79" s="38"/>
      <c r="D79" s="4" t="s">
        <v>255</v>
      </c>
      <c r="E79" s="2">
        <f>'8'!K35</f>
        <v>0</v>
      </c>
    </row>
    <row r="80" spans="2:5" ht="15" x14ac:dyDescent="0.2">
      <c r="B80" s="4" t="s">
        <v>256</v>
      </c>
      <c r="C80" s="38"/>
      <c r="D80" s="4" t="s">
        <v>257</v>
      </c>
      <c r="E80" s="2">
        <f>'8'!K41</f>
        <v>10984.51</v>
      </c>
    </row>
    <row r="81" spans="2:5" ht="15" x14ac:dyDescent="0.2">
      <c r="B81" s="4" t="s">
        <v>258</v>
      </c>
      <c r="C81" s="38"/>
      <c r="D81" s="4" t="s">
        <v>259</v>
      </c>
      <c r="E81" s="2">
        <f>'8'!K47</f>
        <v>0</v>
      </c>
    </row>
    <row r="82" spans="2:5" ht="15" x14ac:dyDescent="0.2">
      <c r="B82" s="4" t="s">
        <v>260</v>
      </c>
      <c r="C82" s="38"/>
      <c r="D82" s="4" t="s">
        <v>60</v>
      </c>
      <c r="E82" s="2">
        <f>'8'!K52</f>
        <v>0</v>
      </c>
    </row>
    <row r="83" spans="2:5" ht="15" x14ac:dyDescent="0.2">
      <c r="B83" s="4" t="s">
        <v>261</v>
      </c>
      <c r="C83" s="38"/>
      <c r="D83" s="4" t="s">
        <v>47</v>
      </c>
      <c r="E83" s="2">
        <f>'8'!K57</f>
        <v>39425</v>
      </c>
    </row>
    <row r="84" spans="2:5" ht="15" x14ac:dyDescent="0.2">
      <c r="B84" s="4" t="s">
        <v>262</v>
      </c>
      <c r="C84" s="38"/>
      <c r="D84" s="4" t="s">
        <v>263</v>
      </c>
      <c r="E84" s="2">
        <f>'8'!K62</f>
        <v>0</v>
      </c>
    </row>
    <row r="85" spans="2:5" ht="15" x14ac:dyDescent="0.2">
      <c r="B85" s="4" t="s">
        <v>264</v>
      </c>
      <c r="C85" s="38"/>
      <c r="D85" s="4" t="s">
        <v>95</v>
      </c>
      <c r="E85" s="2">
        <f>'8'!K69</f>
        <v>126145.3</v>
      </c>
    </row>
    <row r="86" spans="2:5" ht="15" x14ac:dyDescent="0.2">
      <c r="B86" s="4" t="s">
        <v>272</v>
      </c>
      <c r="C86" s="38"/>
      <c r="D86" s="4" t="s">
        <v>62</v>
      </c>
      <c r="E86" s="2">
        <f>'8'!K75</f>
        <v>0</v>
      </c>
    </row>
    <row r="87" spans="2:5" ht="15" x14ac:dyDescent="0.2">
      <c r="B87" s="4" t="s">
        <v>273</v>
      </c>
      <c r="C87" s="38"/>
      <c r="D87" s="4" t="s">
        <v>274</v>
      </c>
      <c r="E87" s="2">
        <f>'8'!K81</f>
        <v>0</v>
      </c>
    </row>
    <row r="88" spans="2:5" ht="15" x14ac:dyDescent="0.2">
      <c r="B88" s="4" t="s">
        <v>275</v>
      </c>
      <c r="C88" s="38"/>
      <c r="D88" s="4" t="s">
        <v>276</v>
      </c>
      <c r="E88" s="2">
        <f>'8'!K87</f>
        <v>0</v>
      </c>
    </row>
    <row r="89" spans="2:5" ht="15" x14ac:dyDescent="0.2">
      <c r="B89" s="4" t="s">
        <v>277</v>
      </c>
      <c r="C89" s="38"/>
      <c r="D89" s="4" t="s">
        <v>278</v>
      </c>
      <c r="E89" s="2">
        <f>'8'!K93</f>
        <v>0</v>
      </c>
    </row>
    <row r="90" spans="2:5" ht="17.100000000000001" customHeight="1" x14ac:dyDescent="0.2">
      <c r="B90" s="4" t="s">
        <v>279</v>
      </c>
      <c r="C90" s="38"/>
      <c r="D90" s="4" t="s">
        <v>280</v>
      </c>
      <c r="E90" s="2">
        <f>'8'!K99</f>
        <v>0</v>
      </c>
    </row>
    <row r="91" spans="2:5" s="40" customFormat="1" ht="14.25" x14ac:dyDescent="0.2">
      <c r="B91" s="40" t="s">
        <v>281</v>
      </c>
      <c r="C91" s="38"/>
      <c r="D91" s="40" t="s">
        <v>8</v>
      </c>
      <c r="E91" s="41">
        <f>'Estimate Summary'!H31</f>
        <v>1747325</v>
      </c>
    </row>
    <row r="92" spans="2:5" ht="15" x14ac:dyDescent="0.2">
      <c r="B92" s="4" t="s">
        <v>282</v>
      </c>
      <c r="C92" s="38"/>
      <c r="D92" s="4" t="s">
        <v>283</v>
      </c>
      <c r="E92" s="2">
        <f>'9'!K18</f>
        <v>1139222</v>
      </c>
    </row>
    <row r="93" spans="2:5" ht="15" x14ac:dyDescent="0.2">
      <c r="B93" s="4" t="s">
        <v>284</v>
      </c>
      <c r="C93" s="38"/>
      <c r="D93" s="4" t="s">
        <v>285</v>
      </c>
      <c r="E93" s="2">
        <f>'9'!K26</f>
        <v>0</v>
      </c>
    </row>
    <row r="94" spans="2:5" ht="15" x14ac:dyDescent="0.2">
      <c r="B94" s="4" t="s">
        <v>286</v>
      </c>
      <c r="C94" s="38"/>
      <c r="D94" s="4" t="s">
        <v>287</v>
      </c>
      <c r="E94" s="2">
        <f>'9'!K32</f>
        <v>0</v>
      </c>
    </row>
    <row r="95" spans="2:5" ht="15" x14ac:dyDescent="0.2">
      <c r="B95" s="4" t="s">
        <v>288</v>
      </c>
      <c r="C95" s="38"/>
      <c r="D95" s="4" t="s">
        <v>80</v>
      </c>
      <c r="E95" s="2">
        <f>'9'!K47</f>
        <v>411100</v>
      </c>
    </row>
    <row r="96" spans="2:5" ht="15" x14ac:dyDescent="0.2">
      <c r="B96" s="4" t="s">
        <v>288</v>
      </c>
      <c r="C96" s="4" t="s">
        <v>289</v>
      </c>
      <c r="D96" s="4" t="s">
        <v>917</v>
      </c>
      <c r="E96" s="2">
        <f>'9'!K35</f>
        <v>121100</v>
      </c>
    </row>
    <row r="97" spans="2:5" ht="15" x14ac:dyDescent="0.2">
      <c r="B97" s="4" t="s">
        <v>288</v>
      </c>
      <c r="C97" s="4" t="s">
        <v>290</v>
      </c>
      <c r="D97" s="4" t="s">
        <v>291</v>
      </c>
      <c r="E97" s="2">
        <f>'9'!K37</f>
        <v>0</v>
      </c>
    </row>
    <row r="98" spans="2:5" ht="15" x14ac:dyDescent="0.2">
      <c r="B98" s="4" t="s">
        <v>288</v>
      </c>
      <c r="C98" s="4" t="s">
        <v>292</v>
      </c>
      <c r="D98" s="4" t="s">
        <v>64</v>
      </c>
      <c r="E98" s="2">
        <f>'9'!K38</f>
        <v>0</v>
      </c>
    </row>
    <row r="99" spans="2:5" ht="15" x14ac:dyDescent="0.2">
      <c r="B99" s="4" t="s">
        <v>288</v>
      </c>
      <c r="C99" s="4" t="s">
        <v>293</v>
      </c>
      <c r="D99" s="4" t="s">
        <v>918</v>
      </c>
      <c r="E99" s="2">
        <f>'9'!K39</f>
        <v>0</v>
      </c>
    </row>
    <row r="100" spans="2:5" ht="15" x14ac:dyDescent="0.2">
      <c r="B100" s="4" t="s">
        <v>288</v>
      </c>
      <c r="C100" s="4" t="s">
        <v>294</v>
      </c>
      <c r="D100" s="4" t="s">
        <v>919</v>
      </c>
      <c r="E100" s="2">
        <f>'9'!K40</f>
        <v>290000</v>
      </c>
    </row>
    <row r="101" spans="2:5" ht="15" x14ac:dyDescent="0.2">
      <c r="B101" s="4" t="s">
        <v>288</v>
      </c>
      <c r="C101" s="4" t="s">
        <v>295</v>
      </c>
      <c r="D101" s="4" t="s">
        <v>920</v>
      </c>
      <c r="E101" s="2">
        <f>'9'!K41</f>
        <v>0</v>
      </c>
    </row>
    <row r="102" spans="2:5" ht="15" x14ac:dyDescent="0.2">
      <c r="B102" s="4" t="s">
        <v>296</v>
      </c>
      <c r="C102" s="38"/>
      <c r="D102" s="4" t="s">
        <v>67</v>
      </c>
      <c r="E102" s="2">
        <f>'9'!K53</f>
        <v>0</v>
      </c>
    </row>
    <row r="103" spans="2:5" ht="15" x14ac:dyDescent="0.2">
      <c r="B103" s="4" t="s">
        <v>297</v>
      </c>
      <c r="C103" s="38"/>
      <c r="D103" s="4" t="s">
        <v>81</v>
      </c>
      <c r="E103" s="2">
        <f>'9'!K62</f>
        <v>197003</v>
      </c>
    </row>
    <row r="104" spans="2:5" s="40" customFormat="1" ht="14.25" x14ac:dyDescent="0.2">
      <c r="B104" s="40" t="s">
        <v>300</v>
      </c>
      <c r="C104" s="38"/>
      <c r="D104" s="40" t="s">
        <v>9</v>
      </c>
      <c r="E104" s="41">
        <f>'Estimate Summary'!H33</f>
        <v>88173.759999999995</v>
      </c>
    </row>
    <row r="105" spans="2:5" ht="15" x14ac:dyDescent="0.2">
      <c r="B105" s="4" t="s">
        <v>301</v>
      </c>
      <c r="C105" s="38"/>
      <c r="D105" s="4" t="s">
        <v>302</v>
      </c>
      <c r="E105" s="2">
        <f>'10'!K17</f>
        <v>0</v>
      </c>
    </row>
    <row r="106" spans="2:5" ht="15" x14ac:dyDescent="0.2">
      <c r="B106" s="4" t="s">
        <v>303</v>
      </c>
      <c r="C106" s="38"/>
      <c r="D106" s="4" t="s">
        <v>304</v>
      </c>
      <c r="E106" s="2">
        <f>'10'!K25</f>
        <v>10950</v>
      </c>
    </row>
    <row r="107" spans="2:5" ht="15" x14ac:dyDescent="0.2">
      <c r="B107" s="4" t="s">
        <v>305</v>
      </c>
      <c r="C107" s="38"/>
      <c r="D107" s="4" t="s">
        <v>306</v>
      </c>
      <c r="E107" s="2">
        <f>'10'!K38</f>
        <v>11989.390000000001</v>
      </c>
    </row>
    <row r="108" spans="2:5" ht="15" x14ac:dyDescent="0.2">
      <c r="B108" s="4" t="s">
        <v>319</v>
      </c>
      <c r="C108" s="38"/>
      <c r="D108" s="4" t="s">
        <v>320</v>
      </c>
      <c r="E108" s="2">
        <f>'10'!K44</f>
        <v>0</v>
      </c>
    </row>
    <row r="109" spans="2:5" ht="15" x14ac:dyDescent="0.2">
      <c r="B109" s="4" t="s">
        <v>322</v>
      </c>
      <c r="C109" s="38"/>
      <c r="D109" s="4" t="s">
        <v>68</v>
      </c>
      <c r="E109" s="2">
        <f>'10'!K51</f>
        <v>31062.37</v>
      </c>
    </row>
    <row r="110" spans="2:5" ht="15" x14ac:dyDescent="0.2">
      <c r="B110" s="4" t="s">
        <v>323</v>
      </c>
      <c r="C110" s="38"/>
      <c r="D110" s="4" t="s">
        <v>324</v>
      </c>
      <c r="E110" s="2">
        <f>'10'!K57</f>
        <v>32532</v>
      </c>
    </row>
    <row r="111" spans="2:5" ht="15" x14ac:dyDescent="0.2">
      <c r="B111" s="4" t="s">
        <v>325</v>
      </c>
      <c r="C111" s="38"/>
      <c r="D111" s="4" t="s">
        <v>326</v>
      </c>
      <c r="E111" s="2">
        <f>'10'!K63</f>
        <v>1640</v>
      </c>
    </row>
    <row r="112" spans="2:5" s="40" customFormat="1" ht="14.25" x14ac:dyDescent="0.2">
      <c r="B112" s="40" t="s">
        <v>332</v>
      </c>
      <c r="C112" s="38"/>
      <c r="D112" s="40" t="s">
        <v>71</v>
      </c>
      <c r="E112" s="41">
        <f>'Estimate Summary'!H35</f>
        <v>200600</v>
      </c>
    </row>
    <row r="113" spans="2:5" ht="15" x14ac:dyDescent="0.2">
      <c r="B113" s="4" t="s">
        <v>333</v>
      </c>
      <c r="C113" s="38"/>
      <c r="D113" s="4" t="s">
        <v>334</v>
      </c>
      <c r="E113" s="2">
        <f>'11'!K24</f>
        <v>0</v>
      </c>
    </row>
    <row r="114" spans="2:5" ht="15" x14ac:dyDescent="0.2">
      <c r="B114" s="4" t="s">
        <v>335</v>
      </c>
      <c r="C114" s="38"/>
      <c r="D114" s="4" t="s">
        <v>336</v>
      </c>
      <c r="E114" s="2">
        <f>'11'!K35</f>
        <v>0</v>
      </c>
    </row>
    <row r="115" spans="2:5" ht="15" x14ac:dyDescent="0.2">
      <c r="B115" s="4" t="s">
        <v>337</v>
      </c>
      <c r="C115" s="38"/>
      <c r="D115" s="4" t="s">
        <v>338</v>
      </c>
      <c r="E115" s="2">
        <f>'11'!K43</f>
        <v>200600</v>
      </c>
    </row>
    <row r="116" spans="2:5" ht="15" x14ac:dyDescent="0.2">
      <c r="B116" s="4" t="s">
        <v>341</v>
      </c>
      <c r="C116" s="38"/>
      <c r="D116" s="4" t="s">
        <v>342</v>
      </c>
      <c r="E116" s="2">
        <f>'11'!K52</f>
        <v>0</v>
      </c>
    </row>
    <row r="117" spans="2:5" ht="15" x14ac:dyDescent="0.2">
      <c r="B117" s="4" t="s">
        <v>345</v>
      </c>
      <c r="C117" s="38"/>
      <c r="D117" s="4" t="s">
        <v>346</v>
      </c>
      <c r="E117" s="2">
        <f>'11'!K63</f>
        <v>0</v>
      </c>
    </row>
    <row r="118" spans="2:5" ht="15" x14ac:dyDescent="0.2">
      <c r="B118" s="4" t="s">
        <v>349</v>
      </c>
      <c r="C118" s="38"/>
      <c r="D118" s="4" t="s">
        <v>350</v>
      </c>
      <c r="E118" s="2">
        <f>'11'!K72</f>
        <v>0</v>
      </c>
    </row>
    <row r="119" spans="2:5" ht="15" x14ac:dyDescent="0.2">
      <c r="B119" s="4" t="s">
        <v>351</v>
      </c>
      <c r="C119" s="38"/>
      <c r="D119" s="4" t="s">
        <v>352</v>
      </c>
      <c r="E119" s="2">
        <f>'11'!K79</f>
        <v>0</v>
      </c>
    </row>
    <row r="120" spans="2:5" s="40" customFormat="1" ht="14.25" x14ac:dyDescent="0.2">
      <c r="B120" s="40" t="s">
        <v>353</v>
      </c>
      <c r="C120" s="38"/>
      <c r="D120" s="40" t="s">
        <v>76</v>
      </c>
      <c r="E120" s="41">
        <f>'Estimate Summary'!H37</f>
        <v>41300</v>
      </c>
    </row>
    <row r="121" spans="2:5" ht="15" x14ac:dyDescent="0.2">
      <c r="B121" s="4" t="s">
        <v>354</v>
      </c>
      <c r="C121" s="38"/>
      <c r="D121" s="4" t="s">
        <v>355</v>
      </c>
      <c r="E121" s="2">
        <f>'12'!K24</f>
        <v>0</v>
      </c>
    </row>
    <row r="122" spans="2:5" ht="15" x14ac:dyDescent="0.2">
      <c r="B122" s="4" t="s">
        <v>356</v>
      </c>
      <c r="C122" s="38"/>
      <c r="D122" s="4" t="s">
        <v>357</v>
      </c>
      <c r="E122" s="2">
        <f>'12'!K35</f>
        <v>41300</v>
      </c>
    </row>
    <row r="123" spans="2:5" ht="15" x14ac:dyDescent="0.2">
      <c r="B123" s="4" t="s">
        <v>358</v>
      </c>
      <c r="C123" s="38"/>
      <c r="D123" s="4" t="s">
        <v>359</v>
      </c>
      <c r="E123" s="2">
        <f>'12'!K43</f>
        <v>0</v>
      </c>
    </row>
    <row r="124" spans="2:5" ht="15" x14ac:dyDescent="0.2">
      <c r="B124" s="4" t="s">
        <v>360</v>
      </c>
      <c r="C124" s="38"/>
      <c r="D124" s="4" t="s">
        <v>362</v>
      </c>
      <c r="E124" s="2">
        <f>'12'!K52</f>
        <v>0</v>
      </c>
    </row>
    <row r="125" spans="2:5" ht="15" x14ac:dyDescent="0.2">
      <c r="B125" s="4" t="s">
        <v>361</v>
      </c>
      <c r="C125" s="38"/>
      <c r="D125" s="4" t="s">
        <v>363</v>
      </c>
      <c r="E125" s="2">
        <f>'12'!K63</f>
        <v>0</v>
      </c>
    </row>
    <row r="126" spans="2:5" ht="15" x14ac:dyDescent="0.2">
      <c r="B126" s="4" t="s">
        <v>365</v>
      </c>
      <c r="C126" s="38"/>
      <c r="D126" s="4" t="s">
        <v>364</v>
      </c>
      <c r="E126" s="2">
        <f>'12'!K72</f>
        <v>0</v>
      </c>
    </row>
    <row r="127" spans="2:5" s="40" customFormat="1" ht="14.25" x14ac:dyDescent="0.2">
      <c r="B127" s="40" t="s">
        <v>366</v>
      </c>
      <c r="C127" s="38"/>
      <c r="D127" s="40" t="s">
        <v>77</v>
      </c>
      <c r="E127" s="41">
        <f>'Estimate Summary'!H39</f>
        <v>121400</v>
      </c>
    </row>
    <row r="128" spans="2:5" s="40" customFormat="1" ht="14.25" x14ac:dyDescent="0.2">
      <c r="B128" s="40" t="s">
        <v>367</v>
      </c>
      <c r="C128" s="38"/>
      <c r="D128" s="40" t="s">
        <v>368</v>
      </c>
      <c r="E128" s="41">
        <f>'Estimate Summary'!H41</f>
        <v>155285</v>
      </c>
    </row>
    <row r="129" spans="2:5" ht="15" x14ac:dyDescent="0.2">
      <c r="B129" s="4" t="s">
        <v>369</v>
      </c>
      <c r="C129" s="38"/>
      <c r="D129" s="4" t="s">
        <v>69</v>
      </c>
      <c r="E129" s="2">
        <f>'14'!K24</f>
        <v>0</v>
      </c>
    </row>
    <row r="130" spans="2:5" ht="15" x14ac:dyDescent="0.2">
      <c r="B130" s="4" t="s">
        <v>370</v>
      </c>
      <c r="C130" s="38"/>
      <c r="D130" s="4" t="s">
        <v>70</v>
      </c>
      <c r="E130" s="2">
        <f>'14'!K35</f>
        <v>0</v>
      </c>
    </row>
    <row r="131" spans="2:5" ht="15" x14ac:dyDescent="0.2">
      <c r="B131" s="4" t="s">
        <v>372</v>
      </c>
      <c r="C131" s="38"/>
      <c r="D131" s="4" t="s">
        <v>371</v>
      </c>
      <c r="E131" s="2">
        <f>'14'!K43</f>
        <v>0</v>
      </c>
    </row>
    <row r="132" spans="2:5" s="40" customFormat="1" ht="14.25" x14ac:dyDescent="0.2">
      <c r="B132" s="40" t="s">
        <v>373</v>
      </c>
      <c r="C132" s="38"/>
      <c r="D132" s="40" t="s">
        <v>151</v>
      </c>
      <c r="E132" s="41">
        <f>'Estimate Summary'!H43</f>
        <v>212000</v>
      </c>
    </row>
    <row r="133" spans="2:5" ht="15" x14ac:dyDescent="0.2">
      <c r="B133" s="4" t="s">
        <v>374</v>
      </c>
      <c r="C133" s="38"/>
      <c r="D133" s="4" t="s">
        <v>375</v>
      </c>
      <c r="E133" s="2">
        <f>'21'!K24</f>
        <v>212000</v>
      </c>
    </row>
    <row r="134" spans="2:5" s="40" customFormat="1" ht="14.25" x14ac:dyDescent="0.2">
      <c r="B134" s="40" t="s">
        <v>376</v>
      </c>
      <c r="C134" s="38"/>
      <c r="D134" s="40" t="s">
        <v>41</v>
      </c>
      <c r="E134" s="41">
        <f>'Estimate Summary'!H45</f>
        <v>674850</v>
      </c>
    </row>
    <row r="135" spans="2:5" ht="15" x14ac:dyDescent="0.2">
      <c r="B135" s="4" t="s">
        <v>377</v>
      </c>
      <c r="C135" s="38"/>
      <c r="D135" s="4" t="s">
        <v>378</v>
      </c>
      <c r="E135" s="2">
        <f>'22'!K24</f>
        <v>674850</v>
      </c>
    </row>
    <row r="136" spans="2:5" ht="15" x14ac:dyDescent="0.2">
      <c r="B136" s="4" t="s">
        <v>379</v>
      </c>
      <c r="C136" s="38"/>
      <c r="D136" s="4" t="s">
        <v>380</v>
      </c>
      <c r="E136" s="2">
        <f>'22'!K35</f>
        <v>0</v>
      </c>
    </row>
    <row r="137" spans="2:5" ht="15" x14ac:dyDescent="0.2">
      <c r="B137" s="4" t="s">
        <v>385</v>
      </c>
      <c r="C137" s="38"/>
      <c r="D137" s="4" t="s">
        <v>386</v>
      </c>
      <c r="E137" s="2">
        <f>'22'!K46</f>
        <v>0</v>
      </c>
    </row>
    <row r="138" spans="2:5" ht="15" x14ac:dyDescent="0.2">
      <c r="B138" s="4" t="s">
        <v>387</v>
      </c>
      <c r="C138" s="38"/>
      <c r="D138" s="4" t="s">
        <v>388</v>
      </c>
      <c r="E138" s="2">
        <f>'22'!K67</f>
        <v>0</v>
      </c>
    </row>
    <row r="139" spans="2:5" ht="15" x14ac:dyDescent="0.2">
      <c r="B139" s="4" t="s">
        <v>416</v>
      </c>
      <c r="C139" s="38"/>
      <c r="D139" s="4" t="s">
        <v>417</v>
      </c>
      <c r="E139" s="2">
        <f>'22'!K74</f>
        <v>0</v>
      </c>
    </row>
    <row r="140" spans="2:5" ht="15" x14ac:dyDescent="0.2">
      <c r="B140" s="4" t="s">
        <v>422</v>
      </c>
      <c r="C140" s="38"/>
      <c r="D140" s="4" t="s">
        <v>423</v>
      </c>
      <c r="E140" s="2">
        <f>'22'!K83</f>
        <v>0</v>
      </c>
    </row>
    <row r="141" spans="2:5" s="40" customFormat="1" ht="14.25" x14ac:dyDescent="0.2">
      <c r="B141" s="40" t="s">
        <v>424</v>
      </c>
      <c r="C141" s="38"/>
      <c r="D141" s="40" t="s">
        <v>425</v>
      </c>
      <c r="E141" s="41">
        <f>'Estimate Summary'!H47</f>
        <v>467650</v>
      </c>
    </row>
    <row r="142" spans="2:5" ht="15" x14ac:dyDescent="0.2">
      <c r="B142" s="4" t="s">
        <v>426</v>
      </c>
      <c r="C142" s="38"/>
      <c r="D142" s="4" t="s">
        <v>427</v>
      </c>
      <c r="E142" s="2">
        <f>'23'!K18</f>
        <v>467650</v>
      </c>
    </row>
    <row r="143" spans="2:5" ht="15" x14ac:dyDescent="0.2">
      <c r="B143" s="4" t="s">
        <v>428</v>
      </c>
      <c r="C143" s="38"/>
      <c r="D143" s="4" t="s">
        <v>429</v>
      </c>
      <c r="E143" s="2">
        <f>'23'!K25</f>
        <v>0</v>
      </c>
    </row>
    <row r="144" spans="2:5" ht="15" x14ac:dyDescent="0.2">
      <c r="B144" s="4" t="s">
        <v>430</v>
      </c>
      <c r="C144" s="38"/>
      <c r="D144" s="4" t="s">
        <v>431</v>
      </c>
      <c r="E144" s="2">
        <f>'23'!K31</f>
        <v>0</v>
      </c>
    </row>
    <row r="145" spans="2:17" ht="15" x14ac:dyDescent="0.2">
      <c r="B145" s="4" t="s">
        <v>432</v>
      </c>
      <c r="C145" s="38"/>
      <c r="D145" s="4" t="s">
        <v>433</v>
      </c>
      <c r="E145" s="2">
        <f>'23'!K38</f>
        <v>0</v>
      </c>
    </row>
    <row r="146" spans="2:17" ht="15" x14ac:dyDescent="0.2">
      <c r="B146" s="4" t="s">
        <v>436</v>
      </c>
      <c r="C146" s="38"/>
      <c r="D146" s="4" t="s">
        <v>437</v>
      </c>
      <c r="E146" s="2">
        <f>'23'!K46</f>
        <v>0</v>
      </c>
    </row>
    <row r="147" spans="2:17" ht="15" x14ac:dyDescent="0.2">
      <c r="B147" s="4" t="s">
        <v>438</v>
      </c>
      <c r="C147" s="38"/>
      <c r="D147" s="4" t="s">
        <v>439</v>
      </c>
      <c r="E147" s="2">
        <f>'23'!K53</f>
        <v>0</v>
      </c>
    </row>
    <row r="148" spans="2:17" ht="15" x14ac:dyDescent="0.2">
      <c r="B148" s="4" t="s">
        <v>440</v>
      </c>
      <c r="C148" s="38"/>
      <c r="D148" s="4" t="s">
        <v>441</v>
      </c>
      <c r="E148" s="2">
        <f>'23'!K58</f>
        <v>0</v>
      </c>
    </row>
    <row r="149" spans="2:17" ht="15" x14ac:dyDescent="0.2">
      <c r="B149" s="4" t="s">
        <v>442</v>
      </c>
      <c r="C149" s="38"/>
      <c r="D149" s="4" t="s">
        <v>443</v>
      </c>
      <c r="E149" s="2">
        <f>'23'!K73</f>
        <v>0</v>
      </c>
    </row>
    <row r="150" spans="2:17" ht="15" x14ac:dyDescent="0.2">
      <c r="B150" s="4" t="s">
        <v>460</v>
      </c>
      <c r="C150" s="38"/>
      <c r="D150" s="4" t="s">
        <v>461</v>
      </c>
      <c r="E150" s="2">
        <f>'23'!K79</f>
        <v>0</v>
      </c>
    </row>
    <row r="151" spans="2:17" ht="15" x14ac:dyDescent="0.2">
      <c r="B151" s="4" t="s">
        <v>464</v>
      </c>
      <c r="C151" s="38"/>
      <c r="D151" s="4" t="s">
        <v>465</v>
      </c>
      <c r="E151" s="2">
        <f>'23'!K91</f>
        <v>0</v>
      </c>
    </row>
    <row r="152" spans="2:17" s="40" customFormat="1" ht="14.25" x14ac:dyDescent="0.2">
      <c r="B152" s="40" t="s">
        <v>468</v>
      </c>
      <c r="C152" s="38"/>
      <c r="D152" s="40" t="s">
        <v>469</v>
      </c>
      <c r="E152" s="41">
        <f>'Estimate Summary'!H49</f>
        <v>0</v>
      </c>
    </row>
    <row r="153" spans="2:17" s="40" customFormat="1" ht="14.25" x14ac:dyDescent="0.2">
      <c r="B153" s="40" t="s">
        <v>470</v>
      </c>
      <c r="C153" s="38"/>
      <c r="D153" s="40" t="s">
        <v>10</v>
      </c>
      <c r="E153" s="41">
        <f>'Estimate Summary'!H51</f>
        <v>822897</v>
      </c>
    </row>
    <row r="154" spans="2:17" ht="15" x14ac:dyDescent="0.2">
      <c r="B154" s="4" t="s">
        <v>471</v>
      </c>
      <c r="C154" s="38"/>
      <c r="D154" s="4" t="s">
        <v>472</v>
      </c>
      <c r="E154" s="2">
        <f>'26'!K26</f>
        <v>770000</v>
      </c>
      <c r="P154" s="8"/>
      <c r="Q154" s="5"/>
    </row>
    <row r="155" spans="2:17" ht="15" x14ac:dyDescent="0.2">
      <c r="B155" s="4" t="s">
        <v>473</v>
      </c>
      <c r="C155" s="38"/>
      <c r="D155" s="4" t="s">
        <v>474</v>
      </c>
      <c r="E155" s="2">
        <f>'26'!K37</f>
        <v>0</v>
      </c>
      <c r="P155" s="8"/>
      <c r="Q155" s="5"/>
    </row>
    <row r="156" spans="2:17" ht="15" x14ac:dyDescent="0.2">
      <c r="B156" s="4" t="s">
        <v>482</v>
      </c>
      <c r="C156" s="38"/>
      <c r="D156" s="4" t="s">
        <v>82</v>
      </c>
      <c r="E156" s="2">
        <f>'26'!K46</f>
        <v>52897</v>
      </c>
      <c r="P156" s="8"/>
      <c r="Q156" s="5"/>
    </row>
    <row r="157" spans="2:17" s="40" customFormat="1" ht="15" x14ac:dyDescent="0.25">
      <c r="B157" s="40" t="s">
        <v>486</v>
      </c>
      <c r="C157" s="38"/>
      <c r="D157" s="40" t="s">
        <v>487</v>
      </c>
      <c r="E157" s="41">
        <f>'Estimate Summary'!H53</f>
        <v>0</v>
      </c>
      <c r="P157" s="44"/>
      <c r="Q157" s="43"/>
    </row>
    <row r="158" spans="2:17" ht="15" x14ac:dyDescent="0.2">
      <c r="B158" s="4" t="s">
        <v>488</v>
      </c>
      <c r="C158" s="38"/>
      <c r="D158" s="4" t="s">
        <v>489</v>
      </c>
      <c r="E158" s="2">
        <f>'27'!K24</f>
        <v>0</v>
      </c>
      <c r="P158" s="9"/>
      <c r="Q158" s="5"/>
    </row>
    <row r="159" spans="2:17" ht="15" x14ac:dyDescent="0.2">
      <c r="B159" s="4" t="s">
        <v>490</v>
      </c>
      <c r="C159" s="38"/>
      <c r="D159" s="4" t="s">
        <v>491</v>
      </c>
      <c r="E159" s="2">
        <f>'27'!K35</f>
        <v>0</v>
      </c>
      <c r="P159" s="9"/>
      <c r="Q159" s="5"/>
    </row>
    <row r="160" spans="2:17" ht="15" x14ac:dyDescent="0.2">
      <c r="B160" s="4" t="s">
        <v>496</v>
      </c>
      <c r="C160" s="38"/>
      <c r="D160" s="4" t="s">
        <v>497</v>
      </c>
      <c r="E160" s="2">
        <f>'27'!K43</f>
        <v>0</v>
      </c>
      <c r="P160" s="9"/>
      <c r="Q160" s="5"/>
    </row>
    <row r="161" spans="2:17" ht="15" x14ac:dyDescent="0.2">
      <c r="B161" s="4" t="s">
        <v>498</v>
      </c>
      <c r="C161" s="38"/>
      <c r="D161" s="4" t="s">
        <v>499</v>
      </c>
      <c r="E161" s="2">
        <f>'27'!K52</f>
        <v>0</v>
      </c>
      <c r="P161" s="10"/>
      <c r="Q161" s="7"/>
    </row>
    <row r="162" spans="2:17" ht="15" x14ac:dyDescent="0.2">
      <c r="B162" s="4" t="s">
        <v>500</v>
      </c>
      <c r="C162" s="38"/>
      <c r="D162" s="4" t="s">
        <v>501</v>
      </c>
      <c r="E162" s="2">
        <f>'27'!K63</f>
        <v>0</v>
      </c>
      <c r="P162" s="10"/>
      <c r="Q162" s="7"/>
    </row>
    <row r="163" spans="2:17" s="40" customFormat="1" ht="15" x14ac:dyDescent="0.25">
      <c r="B163" s="40" t="s">
        <v>502</v>
      </c>
      <c r="C163" s="38"/>
      <c r="D163" s="40" t="s">
        <v>503</v>
      </c>
      <c r="E163" s="41">
        <f>'Estimate Summary'!H55</f>
        <v>0</v>
      </c>
      <c r="P163" s="42"/>
      <c r="Q163" s="43"/>
    </row>
    <row r="164" spans="2:17" ht="15" x14ac:dyDescent="0.2">
      <c r="B164" s="4" t="s">
        <v>504</v>
      </c>
      <c r="C164" s="38"/>
      <c r="D164" s="4" t="s">
        <v>505</v>
      </c>
      <c r="E164" s="2">
        <f>'28'!K24</f>
        <v>0</v>
      </c>
      <c r="P164" s="8"/>
      <c r="Q164" s="5"/>
    </row>
    <row r="165" spans="2:17" ht="15" x14ac:dyDescent="0.2">
      <c r="B165" s="4" t="s">
        <v>508</v>
      </c>
      <c r="C165" s="38"/>
      <c r="D165" s="4" t="s">
        <v>509</v>
      </c>
      <c r="E165" s="2">
        <f>'28'!K35</f>
        <v>0</v>
      </c>
      <c r="P165" s="8"/>
      <c r="Q165" s="5"/>
    </row>
    <row r="166" spans="2:17" ht="15" x14ac:dyDescent="0.2">
      <c r="B166" s="4" t="s">
        <v>510</v>
      </c>
      <c r="C166" s="38"/>
      <c r="D166" s="4" t="s">
        <v>511</v>
      </c>
      <c r="E166" s="2">
        <f>'28'!K43</f>
        <v>0</v>
      </c>
      <c r="P166" s="8"/>
      <c r="Q166" s="5"/>
    </row>
    <row r="167" spans="2:17" ht="15" x14ac:dyDescent="0.2">
      <c r="B167" s="4" t="s">
        <v>512</v>
      </c>
      <c r="C167" s="38"/>
      <c r="D167" s="4" t="s">
        <v>514</v>
      </c>
      <c r="E167" s="2">
        <f>'28'!K52</f>
        <v>0</v>
      </c>
      <c r="P167" s="10"/>
      <c r="Q167" s="5"/>
    </row>
    <row r="168" spans="2:17" s="40" customFormat="1" ht="14.25" x14ac:dyDescent="0.2">
      <c r="B168" s="40" t="s">
        <v>516</v>
      </c>
      <c r="C168" s="38"/>
      <c r="D168" s="40" t="s">
        <v>517</v>
      </c>
      <c r="E168" s="41">
        <f>'Estimate Summary'!H57</f>
        <v>268300</v>
      </c>
    </row>
    <row r="169" spans="2:17" ht="15" x14ac:dyDescent="0.2">
      <c r="B169" s="4" t="s">
        <v>518</v>
      </c>
      <c r="C169" s="38"/>
      <c r="D169" s="4" t="s">
        <v>519</v>
      </c>
      <c r="E169" s="2">
        <f>'31'!K26</f>
        <v>0</v>
      </c>
    </row>
    <row r="170" spans="2:17" ht="15" x14ac:dyDescent="0.2">
      <c r="B170" s="4" t="s">
        <v>522</v>
      </c>
      <c r="C170" s="38"/>
      <c r="D170" s="4" t="s">
        <v>523</v>
      </c>
      <c r="E170" s="2">
        <f>'31'!K49</f>
        <v>268300</v>
      </c>
    </row>
    <row r="171" spans="2:17" ht="15" x14ac:dyDescent="0.2">
      <c r="B171" s="4" t="s">
        <v>558</v>
      </c>
      <c r="C171" s="38"/>
      <c r="D171" s="4" t="s">
        <v>557</v>
      </c>
      <c r="E171" s="2">
        <f>'31'!K57</f>
        <v>0</v>
      </c>
    </row>
    <row r="172" spans="2:17" ht="15" x14ac:dyDescent="0.2">
      <c r="B172" s="4" t="s">
        <v>559</v>
      </c>
      <c r="C172" s="38"/>
      <c r="D172" s="4" t="s">
        <v>560</v>
      </c>
      <c r="E172" s="2">
        <f>'31'!K66</f>
        <v>0</v>
      </c>
    </row>
    <row r="173" spans="2:17" s="40" customFormat="1" ht="14.25" x14ac:dyDescent="0.2">
      <c r="B173" s="40" t="s">
        <v>561</v>
      </c>
      <c r="C173" s="38"/>
      <c r="D173" s="40" t="s">
        <v>562</v>
      </c>
      <c r="E173" s="41">
        <f>'Estimate Summary'!H59</f>
        <v>151071.01</v>
      </c>
    </row>
    <row r="174" spans="2:17" ht="15" x14ac:dyDescent="0.2">
      <c r="B174" s="4" t="s">
        <v>563</v>
      </c>
      <c r="C174" s="38"/>
      <c r="D174" s="4" t="s">
        <v>564</v>
      </c>
      <c r="E174" s="2">
        <f>'32'!K21</f>
        <v>53250</v>
      </c>
    </row>
    <row r="175" spans="2:17" ht="15" x14ac:dyDescent="0.2">
      <c r="B175" s="4" t="s">
        <v>571</v>
      </c>
      <c r="C175" s="38"/>
      <c r="D175" s="4" t="s">
        <v>572</v>
      </c>
      <c r="E175" s="2">
        <f>'32'!K33</f>
        <v>28809.84</v>
      </c>
    </row>
    <row r="176" spans="2:17" ht="15" x14ac:dyDescent="0.2">
      <c r="B176" s="4" t="s">
        <v>588</v>
      </c>
      <c r="C176" s="38"/>
      <c r="D176" s="4" t="s">
        <v>589</v>
      </c>
      <c r="E176" s="2">
        <f>'32'!K41</f>
        <v>960</v>
      </c>
    </row>
    <row r="177" spans="2:5" ht="15" x14ac:dyDescent="0.2">
      <c r="B177" s="4" t="s">
        <v>594</v>
      </c>
      <c r="C177" s="38"/>
      <c r="D177" s="4" t="s">
        <v>595</v>
      </c>
      <c r="E177" s="2">
        <f>'32'!K50</f>
        <v>16800</v>
      </c>
    </row>
    <row r="178" spans="2:5" ht="15" x14ac:dyDescent="0.2">
      <c r="B178" s="4" t="s">
        <v>604</v>
      </c>
      <c r="C178" s="38"/>
      <c r="D178" s="4" t="s">
        <v>605</v>
      </c>
      <c r="E178" s="2">
        <f>'32'!K61</f>
        <v>51251.17</v>
      </c>
    </row>
    <row r="179" spans="2:5" s="40" customFormat="1" ht="14.25" x14ac:dyDescent="0.2">
      <c r="B179" s="40" t="s">
        <v>612</v>
      </c>
      <c r="C179" s="38"/>
      <c r="D179" s="40" t="s">
        <v>613</v>
      </c>
      <c r="E179" s="41">
        <f>'Estimate Summary'!H61</f>
        <v>0</v>
      </c>
    </row>
    <row r="180" spans="2:5" ht="15" x14ac:dyDescent="0.2">
      <c r="B180" s="4" t="s">
        <v>614</v>
      </c>
      <c r="C180" s="38"/>
      <c r="D180" s="4" t="s">
        <v>615</v>
      </c>
      <c r="E180" s="2">
        <f>'33'!K26</f>
        <v>0</v>
      </c>
    </row>
    <row r="181" spans="2:5" ht="15" x14ac:dyDescent="0.2">
      <c r="B181" s="4" t="s">
        <v>620</v>
      </c>
      <c r="C181" s="38"/>
      <c r="D181" s="4" t="s">
        <v>621</v>
      </c>
      <c r="E181" s="2">
        <f>'33'!K37</f>
        <v>0</v>
      </c>
    </row>
    <row r="182" spans="2:5" ht="15" x14ac:dyDescent="0.2">
      <c r="B182" s="4" t="s">
        <v>636</v>
      </c>
      <c r="C182" s="38"/>
      <c r="D182" s="4" t="s">
        <v>637</v>
      </c>
      <c r="E182" s="2">
        <f>'33'!K54</f>
        <v>0</v>
      </c>
    </row>
  </sheetData>
  <autoFilter ref="B1:E182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"/>
  <sheetViews>
    <sheetView workbookViewId="0">
      <selection activeCell="A11" sqref="A11"/>
    </sheetView>
  </sheetViews>
  <sheetFormatPr defaultColWidth="11.42578125" defaultRowHeight="12.75" x14ac:dyDescent="0.2"/>
  <cols>
    <col min="1" max="1" width="17" bestFit="1" customWidth="1"/>
    <col min="2" max="2" width="16.5703125" bestFit="1" customWidth="1"/>
    <col min="3" max="3" width="10.5703125" bestFit="1" customWidth="1"/>
    <col min="4" max="4" width="12.85546875" customWidth="1"/>
    <col min="5" max="5" width="14.140625" bestFit="1" customWidth="1"/>
    <col min="6" max="6" width="24.140625" bestFit="1" customWidth="1"/>
    <col min="7" max="7" width="19.5703125" bestFit="1" customWidth="1"/>
    <col min="8" max="8" width="25" customWidth="1"/>
    <col min="9" max="9" width="6.85546875" bestFit="1" customWidth="1"/>
    <col min="10" max="10" width="18.42578125" bestFit="1" customWidth="1"/>
    <col min="11" max="11" width="22.42578125" bestFit="1" customWidth="1"/>
    <col min="12" max="12" width="32.42578125" bestFit="1" customWidth="1"/>
    <col min="13" max="13" width="30.85546875" customWidth="1"/>
    <col min="14" max="14" width="12.5703125" bestFit="1" customWidth="1"/>
    <col min="15" max="15" width="14.42578125" bestFit="1" customWidth="1"/>
    <col min="16" max="16" width="21" bestFit="1" customWidth="1"/>
    <col min="17" max="17" width="10" bestFit="1" customWidth="1"/>
    <col min="18" max="18" width="12.85546875" bestFit="1" customWidth="1"/>
    <col min="19" max="19" width="11.85546875" bestFit="1" customWidth="1"/>
    <col min="20" max="20" width="32.5703125" bestFit="1" customWidth="1"/>
  </cols>
  <sheetData>
    <row r="1" spans="1:20" x14ac:dyDescent="0.2">
      <c r="A1" s="142"/>
      <c r="L1" s="13"/>
      <c r="M1" s="13"/>
      <c r="O1" s="13"/>
      <c r="P1" s="13"/>
      <c r="Q1" s="52"/>
    </row>
    <row r="2" spans="1:20" s="3" customFormat="1" ht="15" x14ac:dyDescent="0.2">
      <c r="A2" s="142"/>
      <c r="B2" t="s">
        <v>931</v>
      </c>
      <c r="C2" t="s">
        <v>964</v>
      </c>
      <c r="D2" t="s">
        <v>737</v>
      </c>
      <c r="E2"/>
      <c r="G2"/>
      <c r="H2" t="s">
        <v>932</v>
      </c>
      <c r="I2"/>
      <c r="J2" t="s">
        <v>933</v>
      </c>
      <c r="K2" t="s">
        <v>747</v>
      </c>
      <c r="L2" s="13"/>
      <c r="M2" s="150" t="s">
        <v>790</v>
      </c>
      <c r="N2" s="151" t="s">
        <v>970</v>
      </c>
      <c r="O2" s="13"/>
      <c r="P2" s="13"/>
      <c r="Q2" s="52"/>
      <c r="R2"/>
      <c r="S2"/>
      <c r="T2"/>
    </row>
    <row r="3" spans="1:20" x14ac:dyDescent="0.2">
      <c r="A3" s="142"/>
      <c r="B3" t="s">
        <v>934</v>
      </c>
      <c r="D3" t="s">
        <v>935</v>
      </c>
      <c r="H3" t="s">
        <v>965</v>
      </c>
      <c r="J3" t="s">
        <v>936</v>
      </c>
      <c r="K3" t="s">
        <v>937</v>
      </c>
      <c r="L3" s="13"/>
      <c r="M3" s="152" t="s">
        <v>791</v>
      </c>
      <c r="N3" s="153" t="s">
        <v>971</v>
      </c>
      <c r="O3" s="13"/>
      <c r="P3" s="13"/>
      <c r="Q3" s="52"/>
    </row>
    <row r="4" spans="1:20" ht="15.75" x14ac:dyDescent="0.25">
      <c r="A4" s="142"/>
      <c r="B4" t="s">
        <v>939</v>
      </c>
      <c r="D4" t="s">
        <v>940</v>
      </c>
      <c r="H4" t="s">
        <v>944</v>
      </c>
      <c r="J4" t="s">
        <v>941</v>
      </c>
      <c r="K4" t="s">
        <v>942</v>
      </c>
      <c r="L4" s="13"/>
      <c r="M4" s="152" t="s">
        <v>972</v>
      </c>
      <c r="N4" s="153" t="s">
        <v>973</v>
      </c>
      <c r="O4" s="13"/>
      <c r="P4" s="13"/>
      <c r="Q4" s="52"/>
      <c r="R4" s="143" t="s">
        <v>749</v>
      </c>
      <c r="T4" t="s">
        <v>938</v>
      </c>
    </row>
    <row r="5" spans="1:20" x14ac:dyDescent="0.2">
      <c r="A5" s="142"/>
      <c r="B5" t="s">
        <v>946</v>
      </c>
      <c r="D5" t="s">
        <v>947</v>
      </c>
      <c r="H5" t="s">
        <v>950</v>
      </c>
      <c r="J5" t="s">
        <v>948</v>
      </c>
      <c r="L5" s="13"/>
      <c r="M5" s="152" t="s">
        <v>828</v>
      </c>
      <c r="N5" s="153" t="s">
        <v>974</v>
      </c>
      <c r="O5" s="13"/>
      <c r="P5" s="13"/>
      <c r="Q5" s="52"/>
      <c r="R5" s="144" t="s">
        <v>943</v>
      </c>
      <c r="T5" t="s">
        <v>945</v>
      </c>
    </row>
    <row r="6" spans="1:20" x14ac:dyDescent="0.2">
      <c r="A6" s="142"/>
      <c r="B6" t="s">
        <v>952</v>
      </c>
      <c r="D6" t="s">
        <v>953</v>
      </c>
      <c r="H6" t="s">
        <v>977</v>
      </c>
      <c r="J6" t="s">
        <v>954</v>
      </c>
      <c r="L6" s="13"/>
      <c r="M6" s="154" t="s">
        <v>975</v>
      </c>
      <c r="N6" s="155" t="s">
        <v>976</v>
      </c>
      <c r="O6" s="13"/>
      <c r="P6" s="13"/>
      <c r="Q6" s="52"/>
      <c r="R6" s="145" t="s">
        <v>949</v>
      </c>
      <c r="T6" t="s">
        <v>951</v>
      </c>
    </row>
    <row r="7" spans="1:20" x14ac:dyDescent="0.2">
      <c r="A7" s="142"/>
      <c r="L7" s="13"/>
      <c r="M7" s="13"/>
      <c r="O7" s="13"/>
      <c r="P7" s="13"/>
      <c r="Q7" s="52"/>
      <c r="R7" s="146" t="s">
        <v>955</v>
      </c>
    </row>
    <row r="8" spans="1:20" x14ac:dyDescent="0.2">
      <c r="A8" s="142"/>
      <c r="L8" s="13"/>
      <c r="M8" s="13"/>
      <c r="O8" s="13"/>
      <c r="P8" s="13"/>
      <c r="Q8" s="52"/>
      <c r="R8" s="145"/>
    </row>
    <row r="9" spans="1:20" x14ac:dyDescent="0.2">
      <c r="A9" s="142"/>
      <c r="L9" s="13"/>
      <c r="M9" s="13"/>
      <c r="O9" s="13"/>
      <c r="P9" s="13"/>
      <c r="Q9" s="52"/>
      <c r="R9" s="144"/>
    </row>
    <row r="10" spans="1:20" ht="15" x14ac:dyDescent="0.2">
      <c r="A10" s="147" t="s">
        <v>960</v>
      </c>
      <c r="B10" s="148" t="s">
        <v>777</v>
      </c>
      <c r="C10" s="148" t="s">
        <v>931</v>
      </c>
      <c r="D10" s="3" t="s">
        <v>737</v>
      </c>
      <c r="E10" s="3" t="s">
        <v>738</v>
      </c>
      <c r="F10" s="3" t="s">
        <v>983</v>
      </c>
      <c r="G10" s="3" t="s">
        <v>739</v>
      </c>
      <c r="H10" s="3" t="s">
        <v>967</v>
      </c>
      <c r="I10" s="3" t="s">
        <v>740</v>
      </c>
      <c r="J10" s="3" t="s">
        <v>746</v>
      </c>
      <c r="K10" s="3" t="s">
        <v>747</v>
      </c>
      <c r="L10" s="53" t="s">
        <v>741</v>
      </c>
      <c r="M10" s="53" t="s">
        <v>968</v>
      </c>
      <c r="N10" s="3" t="s">
        <v>73</v>
      </c>
      <c r="O10" s="53" t="s">
        <v>85</v>
      </c>
      <c r="P10" s="53" t="s">
        <v>742</v>
      </c>
      <c r="Q10" s="54" t="s">
        <v>87</v>
      </c>
      <c r="R10" s="3" t="s">
        <v>749</v>
      </c>
      <c r="S10" s="3" t="s">
        <v>750</v>
      </c>
      <c r="T10" s="3" t="s">
        <v>969</v>
      </c>
    </row>
    <row r="11" spans="1:20" x14ac:dyDescent="0.2">
      <c r="A11" s="823">
        <f>+'Estimate Summary'!B3</f>
        <v>45379</v>
      </c>
      <c r="B11" s="824">
        <f>+'Estimate Summary'!B7</f>
        <v>2024</v>
      </c>
      <c r="C11" s="808" t="str">
        <f>+'Estimate Summary'!B8</f>
        <v>Q2</v>
      </c>
      <c r="D11" t="str">
        <f>+'Estimate Summary'!B5</f>
        <v>NB</v>
      </c>
      <c r="E11" s="2" t="str">
        <f>'Estimate Summary'!B6</f>
        <v>Moncton</v>
      </c>
      <c r="F11">
        <f>'Estimate Summary'!B4</f>
        <v>2989</v>
      </c>
      <c r="G11" s="2" t="str">
        <f>'Estimate Summary'!D5</f>
        <v>2500 Mountain Road Multi-Res</v>
      </c>
      <c r="H11" s="2">
        <f>+'Estimate Summary'!F8</f>
        <v>0</v>
      </c>
      <c r="I11" s="149">
        <f>+'Estimate Summary'!D11</f>
        <v>65592</v>
      </c>
      <c r="J11" s="2" t="str">
        <f>'Estimate Summary'!D7</f>
        <v>CCDC 5B</v>
      </c>
      <c r="K11" s="2" t="str">
        <f>+'Estimate Summary'!D8</f>
        <v>Fixed Fee</v>
      </c>
      <c r="L11" s="2">
        <f>+'Estimate Summary'!D75</f>
        <v>11119373.088187641</v>
      </c>
      <c r="M11" s="2" t="str">
        <f>IF(L11&lt;100000,"E",IF(L11&lt;500000,"D",IF(L11&lt;2000000,"C",IF(L11&lt;5000000,"B",IF(L11&gt;=5000000,"A")))))</f>
        <v>A</v>
      </c>
      <c r="N11">
        <f>'Estimate Summary'!D81</f>
        <v>60</v>
      </c>
      <c r="O11" s="2">
        <f>'Estimate Summary'!D82</f>
        <v>737710.07884726429</v>
      </c>
      <c r="P11" s="21">
        <f>'Estimate Summary'!E82</f>
        <v>12295.167980787739</v>
      </c>
      <c r="Q11" s="22">
        <f>'Estimate Summary'!D84</f>
        <v>6.6344574734249206E-2</v>
      </c>
      <c r="R11">
        <f>'Estimate Summary'!F6</f>
        <v>0</v>
      </c>
      <c r="S11">
        <f>'Estimate Summary'!F5</f>
        <v>0</v>
      </c>
      <c r="T11">
        <f>'Estimate Summary'!F7</f>
        <v>0</v>
      </c>
    </row>
  </sheetData>
  <dataValidations count="1">
    <dataValidation type="list" allowBlank="1" showInputMessage="1" showErrorMessage="1" sqref="H2" xr:uid="{2494BA54-5772-4C23-A978-EBD7A7E30474}">
      <formula1>$H$2:$H$6</formula1>
    </dataValidation>
  </dataValidations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172"/>
  <sheetViews>
    <sheetView view="pageLayout" topLeftCell="A64" zoomScale="75" zoomScaleNormal="100" zoomScaleSheetLayoutView="110" zoomScalePageLayoutView="75" workbookViewId="0">
      <selection activeCell="D51" sqref="D51"/>
    </sheetView>
  </sheetViews>
  <sheetFormatPr defaultColWidth="11.42578125" defaultRowHeight="12.75" x14ac:dyDescent="0.2"/>
  <cols>
    <col min="1" max="1" width="2.42578125" customWidth="1"/>
    <col min="2" max="2" width="17.140625" style="12" customWidth="1"/>
    <col min="3" max="3" width="55.85546875" style="16" customWidth="1"/>
    <col min="4" max="4" width="25.5703125" customWidth="1"/>
    <col min="5" max="5" width="22" customWidth="1"/>
    <col min="6" max="6" width="2.5703125" customWidth="1"/>
    <col min="7" max="7" width="24" customWidth="1"/>
    <col min="8" max="8" width="16.5703125" customWidth="1"/>
    <col min="9" max="9" width="3.5703125" customWidth="1"/>
    <col min="10" max="10" width="41.5703125" style="1" customWidth="1"/>
    <col min="11" max="11" width="20.5703125" customWidth="1"/>
    <col min="12" max="12" width="2.140625" customWidth="1"/>
    <col min="13" max="13" width="14" bestFit="1" customWidth="1"/>
  </cols>
  <sheetData>
    <row r="1" spans="2:12" ht="13.5" thickBot="1" x14ac:dyDescent="0.25"/>
    <row r="2" spans="2:12" ht="30" customHeight="1" thickTop="1" x14ac:dyDescent="0.2">
      <c r="B2" s="884" t="str">
        <f>'Estimate Summary'!D5</f>
        <v>2500 Mountain Road Multi-Res</v>
      </c>
      <c r="C2" s="885"/>
      <c r="D2" s="90"/>
      <c r="E2" s="90"/>
      <c r="F2" s="90"/>
      <c r="G2" s="90"/>
      <c r="H2" s="90"/>
      <c r="I2" s="886" t="s">
        <v>961</v>
      </c>
      <c r="J2" s="886"/>
      <c r="K2" s="887"/>
    </row>
    <row r="3" spans="2:12" ht="26.1" customHeight="1" x14ac:dyDescent="0.2">
      <c r="B3" s="892" t="str">
        <f>'Estimate Summary'!D6</f>
        <v>Ashish Goel</v>
      </c>
      <c r="C3" s="893"/>
      <c r="D3" s="91"/>
      <c r="E3" s="91"/>
      <c r="F3" s="91"/>
      <c r="G3" s="91"/>
      <c r="H3" s="91"/>
      <c r="I3" s="888"/>
      <c r="J3" s="888"/>
      <c r="K3" s="889"/>
    </row>
    <row r="4" spans="2:12" ht="24" customHeight="1" x14ac:dyDescent="0.2">
      <c r="B4" s="93" t="s">
        <v>778</v>
      </c>
      <c r="C4" s="94">
        <f>'Estimate Summary'!B3</f>
        <v>45379</v>
      </c>
      <c r="D4" s="92"/>
      <c r="E4" s="92"/>
      <c r="F4" s="92"/>
      <c r="G4" s="92"/>
      <c r="H4" s="92"/>
      <c r="I4" s="890"/>
      <c r="J4" s="890"/>
      <c r="K4" s="891"/>
    </row>
    <row r="5" spans="2:12" x14ac:dyDescent="0.2">
      <c r="B5" s="61"/>
      <c r="C5" s="58"/>
      <c r="D5" s="58"/>
      <c r="E5" s="58"/>
      <c r="F5" s="58"/>
      <c r="G5" s="58"/>
      <c r="H5" s="58"/>
      <c r="I5" s="59"/>
      <c r="J5" s="60"/>
      <c r="K5" s="62"/>
      <c r="L5" s="23"/>
    </row>
    <row r="6" spans="2:12" x14ac:dyDescent="0.2">
      <c r="B6" s="63"/>
      <c r="C6" s="55"/>
      <c r="D6" s="899"/>
      <c r="E6" s="899"/>
      <c r="F6" s="55"/>
      <c r="G6" s="899"/>
      <c r="H6" s="899"/>
      <c r="I6" s="56"/>
      <c r="J6" s="57"/>
      <c r="K6" s="64"/>
      <c r="L6" s="23"/>
    </row>
    <row r="7" spans="2:12" ht="13.5" thickBot="1" x14ac:dyDescent="0.25">
      <c r="B7" s="63"/>
      <c r="C7" s="55"/>
      <c r="D7" s="879"/>
      <c r="E7" s="879"/>
      <c r="F7" s="55"/>
      <c r="G7" s="879">
        <f>'Estimate Summary'!B3</f>
        <v>45379</v>
      </c>
      <c r="H7" s="879">
        <f>'Estimate Summary'!G8</f>
        <v>0</v>
      </c>
      <c r="I7" s="56"/>
      <c r="J7" s="57"/>
      <c r="K7" s="64"/>
      <c r="L7" s="23"/>
    </row>
    <row r="8" spans="2:12" s="101" customFormat="1" ht="21.6" customHeight="1" x14ac:dyDescent="0.2">
      <c r="B8" s="95" t="s">
        <v>686</v>
      </c>
      <c r="C8" s="96" t="s">
        <v>3</v>
      </c>
      <c r="D8" s="97"/>
      <c r="E8" s="98">
        <f>SUM(D9:D17)</f>
        <v>0</v>
      </c>
      <c r="F8" s="102"/>
      <c r="G8" s="97"/>
      <c r="H8" s="98">
        <f>SUM(G9:G17)</f>
        <v>509281.12226690026</v>
      </c>
      <c r="I8" s="97"/>
      <c r="J8" s="99" t="str">
        <f>IF(H8&gt;E8,"Increase","Decrease or No Change")</f>
        <v>Increase</v>
      </c>
      <c r="K8" s="100">
        <f>H8-E8</f>
        <v>509281.12226690026</v>
      </c>
    </row>
    <row r="9" spans="2:12" s="101" customFormat="1" ht="18" customHeight="1" x14ac:dyDescent="0.2">
      <c r="B9" s="132" t="s">
        <v>103</v>
      </c>
      <c r="C9" s="133" t="s">
        <v>102</v>
      </c>
      <c r="D9" s="114">
        <v>0</v>
      </c>
      <c r="E9" s="113"/>
      <c r="F9" s="112"/>
      <c r="G9" s="114">
        <f>'1'!K24</f>
        <v>0</v>
      </c>
      <c r="H9" s="114"/>
      <c r="I9" s="112"/>
      <c r="J9" s="113"/>
      <c r="K9" s="115"/>
    </row>
    <row r="10" spans="2:12" s="101" customFormat="1" ht="18" customHeight="1" x14ac:dyDescent="0.2">
      <c r="B10" s="134" t="s">
        <v>104</v>
      </c>
      <c r="C10" s="135" t="s">
        <v>105</v>
      </c>
      <c r="D10" s="114">
        <v>0</v>
      </c>
      <c r="E10" s="113"/>
      <c r="F10" s="112"/>
      <c r="G10" s="114">
        <f>'1'!K35</f>
        <v>165000</v>
      </c>
      <c r="H10" s="114"/>
      <c r="I10" s="112"/>
      <c r="J10" s="113"/>
      <c r="K10" s="115"/>
    </row>
    <row r="11" spans="2:12" s="101" customFormat="1" ht="18" customHeight="1" x14ac:dyDescent="0.2">
      <c r="B11" s="134" t="s">
        <v>106</v>
      </c>
      <c r="C11" s="135" t="s">
        <v>107</v>
      </c>
      <c r="D11" s="114">
        <v>0</v>
      </c>
      <c r="E11" s="113"/>
      <c r="F11" s="112"/>
      <c r="G11" s="114">
        <f>'1'!K67</f>
        <v>3000</v>
      </c>
      <c r="H11" s="114"/>
      <c r="I11" s="112"/>
      <c r="J11" s="113"/>
      <c r="K11" s="115"/>
    </row>
    <row r="12" spans="2:12" s="101" customFormat="1" ht="18" customHeight="1" x14ac:dyDescent="0.2">
      <c r="B12" s="134" t="s">
        <v>144</v>
      </c>
      <c r="C12" s="135" t="s">
        <v>145</v>
      </c>
      <c r="D12" s="114">
        <v>0</v>
      </c>
      <c r="E12" s="113"/>
      <c r="F12" s="112"/>
      <c r="G12" s="114">
        <f>'1'!K76</f>
        <v>8000</v>
      </c>
      <c r="H12" s="114"/>
      <c r="I12" s="112"/>
      <c r="J12" s="113"/>
      <c r="K12" s="115"/>
    </row>
    <row r="13" spans="2:12" s="101" customFormat="1" ht="18" customHeight="1" x14ac:dyDescent="0.2">
      <c r="B13" s="134" t="s">
        <v>108</v>
      </c>
      <c r="C13" s="135" t="s">
        <v>109</v>
      </c>
      <c r="D13" s="114">
        <v>0</v>
      </c>
      <c r="E13" s="113"/>
      <c r="F13" s="112"/>
      <c r="G13" s="114">
        <f>'1'!K87</f>
        <v>15000</v>
      </c>
      <c r="H13" s="114"/>
      <c r="I13" s="112"/>
      <c r="J13" s="113"/>
      <c r="K13" s="115"/>
    </row>
    <row r="14" spans="2:12" s="101" customFormat="1" ht="18" customHeight="1" x14ac:dyDescent="0.2">
      <c r="B14" s="134" t="s">
        <v>111</v>
      </c>
      <c r="C14" s="135" t="s">
        <v>110</v>
      </c>
      <c r="D14" s="114">
        <v>0</v>
      </c>
      <c r="E14" s="113"/>
      <c r="F14" s="112"/>
      <c r="G14" s="114">
        <f>'1'!K97</f>
        <v>35468.078905137212</v>
      </c>
      <c r="H14" s="114"/>
      <c r="I14" s="112"/>
      <c r="J14" s="113"/>
      <c r="K14" s="115"/>
    </row>
    <row r="15" spans="2:12" s="101" customFormat="1" ht="18" customHeight="1" x14ac:dyDescent="0.2">
      <c r="B15" s="134" t="s">
        <v>112</v>
      </c>
      <c r="C15" s="135" t="s">
        <v>113</v>
      </c>
      <c r="D15" s="114">
        <v>0</v>
      </c>
      <c r="E15" s="113"/>
      <c r="F15" s="112"/>
      <c r="G15" s="114">
        <f>'1'!K105</f>
        <v>203313.04336176309</v>
      </c>
      <c r="H15" s="114"/>
      <c r="I15" s="112"/>
      <c r="J15" s="113"/>
      <c r="K15" s="115"/>
    </row>
    <row r="16" spans="2:12" s="101" customFormat="1" ht="18" customHeight="1" x14ac:dyDescent="0.2">
      <c r="B16" s="134" t="s">
        <v>114</v>
      </c>
      <c r="C16" s="135" t="s">
        <v>115</v>
      </c>
      <c r="D16" s="114">
        <v>0</v>
      </c>
      <c r="E16" s="113"/>
      <c r="F16" s="112"/>
      <c r="G16" s="114">
        <f>'1'!K128</f>
        <v>25000</v>
      </c>
      <c r="H16" s="114"/>
      <c r="I16" s="112"/>
      <c r="J16" s="113"/>
      <c r="K16" s="115"/>
    </row>
    <row r="17" spans="2:11" s="101" customFormat="1" ht="18" customHeight="1" thickBot="1" x14ac:dyDescent="0.25">
      <c r="B17" s="136" t="s">
        <v>116</v>
      </c>
      <c r="C17" s="137" t="s">
        <v>117</v>
      </c>
      <c r="D17" s="119">
        <v>0</v>
      </c>
      <c r="E17" s="118"/>
      <c r="F17" s="117"/>
      <c r="G17" s="119">
        <f>'1'!K136</f>
        <v>54500</v>
      </c>
      <c r="H17" s="119"/>
      <c r="I17" s="117"/>
      <c r="J17" s="118"/>
      <c r="K17" s="120"/>
    </row>
    <row r="18" spans="2:11" ht="6.95" customHeight="1" thickBot="1" x14ac:dyDescent="0.3">
      <c r="B18" s="74"/>
      <c r="C18" s="75"/>
      <c r="D18" s="76"/>
      <c r="E18" s="75"/>
      <c r="F18" s="77"/>
      <c r="G18" s="76"/>
      <c r="H18" s="76"/>
      <c r="I18" s="77"/>
      <c r="J18" s="78"/>
      <c r="K18" s="76"/>
    </row>
    <row r="19" spans="2:11" s="101" customFormat="1" ht="21.6" customHeight="1" x14ac:dyDescent="0.2">
      <c r="B19" s="95" t="s">
        <v>153</v>
      </c>
      <c r="C19" s="96" t="s">
        <v>155</v>
      </c>
      <c r="D19" s="97"/>
      <c r="E19" s="98">
        <f>SUM(D20:D22)</f>
        <v>0</v>
      </c>
      <c r="F19" s="102"/>
      <c r="G19" s="97"/>
      <c r="H19" s="98">
        <f>SUM(G20:G22)</f>
        <v>0</v>
      </c>
      <c r="I19" s="97"/>
      <c r="J19" s="99" t="str">
        <f>IF(H19&gt;E19,"Increase","Decrease or No Change")</f>
        <v>Decrease or No Change</v>
      </c>
      <c r="K19" s="100">
        <f>H19-E19</f>
        <v>0</v>
      </c>
    </row>
    <row r="20" spans="2:11" s="101" customFormat="1" ht="18" customHeight="1" x14ac:dyDescent="0.2">
      <c r="B20" s="129" t="s">
        <v>154</v>
      </c>
      <c r="C20" s="127" t="s">
        <v>78</v>
      </c>
      <c r="D20" s="114">
        <v>0</v>
      </c>
      <c r="E20" s="113"/>
      <c r="F20" s="112"/>
      <c r="G20" s="114">
        <f>'2'!K13</f>
        <v>0</v>
      </c>
      <c r="H20" s="114"/>
      <c r="I20" s="112"/>
      <c r="J20" s="113"/>
      <c r="K20" s="115"/>
    </row>
    <row r="21" spans="2:11" s="101" customFormat="1" ht="18" customHeight="1" x14ac:dyDescent="0.2">
      <c r="B21" s="129" t="s">
        <v>156</v>
      </c>
      <c r="C21" s="127" t="s">
        <v>157</v>
      </c>
      <c r="D21" s="114">
        <v>0</v>
      </c>
      <c r="E21" s="113"/>
      <c r="F21" s="112"/>
      <c r="G21" s="114">
        <f>'2'!K37</f>
        <v>0</v>
      </c>
      <c r="H21" s="114"/>
      <c r="I21" s="112"/>
      <c r="J21" s="113"/>
      <c r="K21" s="115"/>
    </row>
    <row r="22" spans="2:11" s="101" customFormat="1" ht="18" customHeight="1" thickBot="1" x14ac:dyDescent="0.25">
      <c r="B22" s="130" t="s">
        <v>158</v>
      </c>
      <c r="C22" s="128" t="s">
        <v>534</v>
      </c>
      <c r="D22" s="119">
        <v>0</v>
      </c>
      <c r="E22" s="118"/>
      <c r="F22" s="117"/>
      <c r="G22" s="119">
        <f>'2'!K48</f>
        <v>0</v>
      </c>
      <c r="H22" s="119"/>
      <c r="I22" s="117"/>
      <c r="J22" s="118"/>
      <c r="K22" s="120"/>
    </row>
    <row r="23" spans="2:11" ht="6.95" customHeight="1" thickBot="1" x14ac:dyDescent="0.3">
      <c r="B23" s="74"/>
      <c r="C23" s="75"/>
      <c r="D23" s="76"/>
      <c r="E23" s="80"/>
      <c r="F23" s="77"/>
      <c r="G23" s="76"/>
      <c r="H23" s="76"/>
      <c r="I23" s="77"/>
      <c r="J23" s="78"/>
      <c r="K23" s="76"/>
    </row>
    <row r="24" spans="2:11" s="101" customFormat="1" ht="21.6" customHeight="1" x14ac:dyDescent="0.2">
      <c r="B24" s="95" t="s">
        <v>159</v>
      </c>
      <c r="C24" s="96" t="s">
        <v>4</v>
      </c>
      <c r="D24" s="97"/>
      <c r="E24" s="98">
        <f>SUM(D25:D29)</f>
        <v>0</v>
      </c>
      <c r="F24" s="97"/>
      <c r="G24" s="97"/>
      <c r="H24" s="98">
        <f>SUM(G25:G29)</f>
        <v>670607.86089593242</v>
      </c>
      <c r="I24" s="97"/>
      <c r="J24" s="99" t="str">
        <f>IF(H24&gt;E24,"Increase","Decrease or No Change")</f>
        <v>Increase</v>
      </c>
      <c r="K24" s="100">
        <f>H24-E24</f>
        <v>670607.86089593242</v>
      </c>
    </row>
    <row r="25" spans="2:11" s="101" customFormat="1" ht="18" customHeight="1" x14ac:dyDescent="0.2">
      <c r="B25" s="129" t="s">
        <v>160</v>
      </c>
      <c r="C25" s="127" t="s">
        <v>161</v>
      </c>
      <c r="D25" s="114">
        <v>0</v>
      </c>
      <c r="E25" s="113"/>
      <c r="F25" s="112"/>
      <c r="G25" s="114">
        <f>'3'!K26</f>
        <v>302400</v>
      </c>
      <c r="H25" s="114"/>
      <c r="I25" s="112"/>
      <c r="J25" s="113"/>
      <c r="K25" s="115"/>
    </row>
    <row r="26" spans="2:11" s="101" customFormat="1" ht="18" customHeight="1" x14ac:dyDescent="0.2">
      <c r="B26" s="129" t="s">
        <v>163</v>
      </c>
      <c r="C26" s="127" t="s">
        <v>162</v>
      </c>
      <c r="D26" s="114">
        <v>0</v>
      </c>
      <c r="E26" s="113"/>
      <c r="F26" s="112"/>
      <c r="G26" s="114">
        <f>'3'!K37</f>
        <v>0</v>
      </c>
      <c r="H26" s="114"/>
      <c r="I26" s="112"/>
      <c r="J26" s="113"/>
      <c r="K26" s="115"/>
    </row>
    <row r="27" spans="2:11" s="101" customFormat="1" ht="18" customHeight="1" x14ac:dyDescent="0.2">
      <c r="B27" s="129" t="s">
        <v>164</v>
      </c>
      <c r="C27" s="127" t="s">
        <v>168</v>
      </c>
      <c r="D27" s="114">
        <v>0</v>
      </c>
      <c r="E27" s="113"/>
      <c r="F27" s="112"/>
      <c r="G27" s="114">
        <f>'3'!K50+'3'!K59</f>
        <v>222322.86089593248</v>
      </c>
      <c r="H27" s="114"/>
      <c r="I27" s="112"/>
      <c r="J27" s="113"/>
      <c r="K27" s="115"/>
    </row>
    <row r="28" spans="2:11" s="101" customFormat="1" ht="18" customHeight="1" x14ac:dyDescent="0.2">
      <c r="B28" s="129" t="s">
        <v>166</v>
      </c>
      <c r="C28" s="127" t="s">
        <v>170</v>
      </c>
      <c r="D28" s="114">
        <v>0</v>
      </c>
      <c r="E28" s="113"/>
      <c r="F28" s="112"/>
      <c r="G28" s="114">
        <f>'3'!K70</f>
        <v>77850</v>
      </c>
      <c r="H28" s="114"/>
      <c r="I28" s="112"/>
      <c r="J28" s="113"/>
      <c r="K28" s="115"/>
    </row>
    <row r="29" spans="2:11" s="101" customFormat="1" ht="18" customHeight="1" thickBot="1" x14ac:dyDescent="0.25">
      <c r="B29" s="130" t="s">
        <v>167</v>
      </c>
      <c r="C29" s="128" t="s">
        <v>171</v>
      </c>
      <c r="D29" s="119">
        <v>0</v>
      </c>
      <c r="E29" s="118"/>
      <c r="F29" s="117"/>
      <c r="G29" s="119">
        <f>'3'!K79</f>
        <v>68035</v>
      </c>
      <c r="H29" s="119"/>
      <c r="I29" s="117"/>
      <c r="J29" s="118"/>
      <c r="K29" s="120"/>
    </row>
    <row r="30" spans="2:11" ht="6.95" customHeight="1" thickBot="1" x14ac:dyDescent="0.3">
      <c r="B30" s="74"/>
      <c r="C30" s="75"/>
      <c r="D30" s="76"/>
      <c r="E30" s="78"/>
      <c r="F30" s="76"/>
      <c r="G30" s="76"/>
      <c r="H30" s="76"/>
      <c r="I30" s="76"/>
      <c r="J30" s="78"/>
      <c r="K30" s="76"/>
    </row>
    <row r="31" spans="2:11" s="101" customFormat="1" ht="21.6" customHeight="1" x14ac:dyDescent="0.2">
      <c r="B31" s="95" t="s">
        <v>172</v>
      </c>
      <c r="C31" s="96" t="s">
        <v>5</v>
      </c>
      <c r="D31" s="97"/>
      <c r="E31" s="98">
        <f>SUM(D32:D33)</f>
        <v>0</v>
      </c>
      <c r="F31" s="97"/>
      <c r="G31" s="97"/>
      <c r="H31" s="98">
        <f>SUM(G32:G33)</f>
        <v>140360</v>
      </c>
      <c r="I31" s="97"/>
      <c r="J31" s="99" t="str">
        <f>IF(H31&gt;E31,"Increase","Decrease or No Change")</f>
        <v>Increase</v>
      </c>
      <c r="K31" s="100">
        <f>H31-E31</f>
        <v>140360</v>
      </c>
    </row>
    <row r="32" spans="2:11" s="101" customFormat="1" ht="18" customHeight="1" x14ac:dyDescent="0.2">
      <c r="B32" s="129" t="s">
        <v>173</v>
      </c>
      <c r="C32" s="127" t="s">
        <v>175</v>
      </c>
      <c r="D32" s="114">
        <v>0</v>
      </c>
      <c r="E32" s="113"/>
      <c r="F32" s="112"/>
      <c r="G32" s="114">
        <f>'4'!K26</f>
        <v>140360</v>
      </c>
      <c r="H32" s="114"/>
      <c r="I32" s="112"/>
      <c r="J32" s="113"/>
      <c r="K32" s="115"/>
    </row>
    <row r="33" spans="2:11" s="101" customFormat="1" ht="18" customHeight="1" thickBot="1" x14ac:dyDescent="0.25">
      <c r="B33" s="130" t="s">
        <v>688</v>
      </c>
      <c r="C33" s="128" t="s">
        <v>689</v>
      </c>
      <c r="D33" s="119">
        <v>0</v>
      </c>
      <c r="E33" s="131"/>
      <c r="F33" s="117"/>
      <c r="G33" s="119">
        <f>'4'!K37</f>
        <v>0</v>
      </c>
      <c r="H33" s="119"/>
      <c r="I33" s="117"/>
      <c r="J33" s="131"/>
      <c r="K33" s="120"/>
    </row>
    <row r="34" spans="2:11" ht="6.95" customHeight="1" thickBot="1" x14ac:dyDescent="0.3">
      <c r="B34" s="74"/>
      <c r="C34" s="75"/>
      <c r="D34" s="76"/>
      <c r="E34" s="78"/>
      <c r="F34" s="76"/>
      <c r="G34" s="76"/>
      <c r="H34" s="76"/>
      <c r="I34" s="76"/>
      <c r="J34" s="78"/>
      <c r="K34" s="76"/>
    </row>
    <row r="35" spans="2:11" s="101" customFormat="1" ht="21.6" customHeight="1" x14ac:dyDescent="0.2">
      <c r="B35" s="95" t="s">
        <v>178</v>
      </c>
      <c r="C35" s="96" t="s">
        <v>6</v>
      </c>
      <c r="D35" s="97"/>
      <c r="E35" s="98">
        <f>SUM(D36:D39)</f>
        <v>0</v>
      </c>
      <c r="F35" s="102"/>
      <c r="G35" s="97"/>
      <c r="H35" s="98">
        <f>SUM(G36:G39)</f>
        <v>214970</v>
      </c>
      <c r="I35" s="97"/>
      <c r="J35" s="99" t="str">
        <f>IF(H35&gt;E35,"Increase","Decrease or No Change")</f>
        <v>Increase</v>
      </c>
      <c r="K35" s="100">
        <f>H35-E35</f>
        <v>214970</v>
      </c>
    </row>
    <row r="36" spans="2:11" s="101" customFormat="1" ht="18" customHeight="1" x14ac:dyDescent="0.2">
      <c r="B36" s="111" t="s">
        <v>179</v>
      </c>
      <c r="C36" s="127" t="s">
        <v>185</v>
      </c>
      <c r="D36" s="114">
        <v>0</v>
      </c>
      <c r="E36" s="113"/>
      <c r="F36" s="112"/>
      <c r="G36" s="114">
        <f>'5'!K26</f>
        <v>141400</v>
      </c>
      <c r="H36" s="114"/>
      <c r="I36" s="112"/>
      <c r="J36" s="113"/>
      <c r="K36" s="115"/>
    </row>
    <row r="37" spans="2:11" s="101" customFormat="1" ht="18" customHeight="1" x14ac:dyDescent="0.2">
      <c r="B37" s="111" t="s">
        <v>180</v>
      </c>
      <c r="C37" s="127" t="s">
        <v>186</v>
      </c>
      <c r="D37" s="114">
        <v>0</v>
      </c>
      <c r="E37" s="113"/>
      <c r="F37" s="112"/>
      <c r="G37" s="114">
        <f>'5'!K37</f>
        <v>0</v>
      </c>
      <c r="H37" s="114"/>
      <c r="I37" s="112"/>
      <c r="J37" s="113"/>
      <c r="K37" s="115"/>
    </row>
    <row r="38" spans="2:11" s="101" customFormat="1" ht="18" customHeight="1" x14ac:dyDescent="0.2">
      <c r="B38" s="111" t="s">
        <v>181</v>
      </c>
      <c r="C38" s="127" t="s">
        <v>187</v>
      </c>
      <c r="D38" s="114">
        <v>0</v>
      </c>
      <c r="E38" s="113"/>
      <c r="F38" s="112"/>
      <c r="G38" s="114">
        <f>'5'!K45</f>
        <v>0</v>
      </c>
      <c r="H38" s="114"/>
      <c r="I38" s="112"/>
      <c r="J38" s="113"/>
      <c r="K38" s="115"/>
    </row>
    <row r="39" spans="2:11" s="101" customFormat="1" ht="18" customHeight="1" thickBot="1" x14ac:dyDescent="0.25">
      <c r="B39" s="116" t="s">
        <v>690</v>
      </c>
      <c r="C39" s="128" t="s">
        <v>691</v>
      </c>
      <c r="D39" s="119">
        <v>0</v>
      </c>
      <c r="E39" s="118"/>
      <c r="F39" s="117"/>
      <c r="G39" s="119">
        <f>'5'!K54+'5'!K65+'5'!K74</f>
        <v>73570</v>
      </c>
      <c r="H39" s="119"/>
      <c r="I39" s="117"/>
      <c r="J39" s="118"/>
      <c r="K39" s="120"/>
    </row>
    <row r="40" spans="2:11" ht="6.95" customHeight="1" thickBot="1" x14ac:dyDescent="0.3">
      <c r="B40" s="74"/>
      <c r="C40" s="75"/>
      <c r="D40" s="76"/>
      <c r="E40" s="80"/>
      <c r="F40" s="77"/>
      <c r="G40" s="76"/>
      <c r="H40" s="76"/>
      <c r="I40" s="77"/>
      <c r="J40" s="78"/>
      <c r="K40" s="76"/>
    </row>
    <row r="41" spans="2:11" s="101" customFormat="1" ht="21.6" customHeight="1" x14ac:dyDescent="0.2">
      <c r="B41" s="95" t="s">
        <v>191</v>
      </c>
      <c r="C41" s="96" t="s">
        <v>192</v>
      </c>
      <c r="D41" s="97"/>
      <c r="E41" s="98">
        <f>SUM(D42:D45)</f>
        <v>0</v>
      </c>
      <c r="F41" s="102"/>
      <c r="G41" s="97"/>
      <c r="H41" s="98">
        <f>SUM(G42:G45)</f>
        <v>2574857.5544444444</v>
      </c>
      <c r="I41" s="97"/>
      <c r="J41" s="99" t="str">
        <f>IF(H41&gt;E41,"Increase","Decrease or No Change")</f>
        <v>Increase</v>
      </c>
      <c r="K41" s="100">
        <f>H41-E41</f>
        <v>2574857.5544444444</v>
      </c>
    </row>
    <row r="42" spans="2:11" s="101" customFormat="1" ht="18" customHeight="1" x14ac:dyDescent="0.2">
      <c r="B42" s="111" t="s">
        <v>725</v>
      </c>
      <c r="C42" s="112" t="s">
        <v>906</v>
      </c>
      <c r="D42" s="114">
        <v>0</v>
      </c>
      <c r="E42" s="113"/>
      <c r="F42" s="114"/>
      <c r="G42" s="114">
        <f>'6'!K19</f>
        <v>571330</v>
      </c>
      <c r="H42" s="114"/>
      <c r="I42" s="112"/>
      <c r="J42" s="125"/>
      <c r="K42" s="126"/>
    </row>
    <row r="43" spans="2:11" s="101" customFormat="1" ht="18" customHeight="1" x14ac:dyDescent="0.2">
      <c r="B43" s="111" t="s">
        <v>725</v>
      </c>
      <c r="C43" s="112" t="s">
        <v>923</v>
      </c>
      <c r="D43" s="114">
        <v>0</v>
      </c>
      <c r="E43" s="113"/>
      <c r="F43" s="114"/>
      <c r="G43" s="114">
        <f>'6'!K36</f>
        <v>1261823.6599999999</v>
      </c>
      <c r="H43" s="114"/>
      <c r="I43" s="112"/>
      <c r="J43" s="125"/>
      <c r="K43" s="126"/>
    </row>
    <row r="44" spans="2:11" s="101" customFormat="1" ht="18" customHeight="1" x14ac:dyDescent="0.2">
      <c r="B44" s="111" t="s">
        <v>194</v>
      </c>
      <c r="C44" s="112" t="s">
        <v>48</v>
      </c>
      <c r="D44" s="114">
        <v>0</v>
      </c>
      <c r="E44" s="113"/>
      <c r="F44" s="112"/>
      <c r="G44" s="114">
        <f>'6'!K47</f>
        <v>425900</v>
      </c>
      <c r="H44" s="114"/>
      <c r="I44" s="112"/>
      <c r="J44" s="113"/>
      <c r="K44" s="115"/>
    </row>
    <row r="45" spans="2:11" s="101" customFormat="1" ht="18" customHeight="1" thickBot="1" x14ac:dyDescent="0.25">
      <c r="B45" s="116" t="s">
        <v>692</v>
      </c>
      <c r="C45" s="117" t="s">
        <v>693</v>
      </c>
      <c r="D45" s="119">
        <v>0</v>
      </c>
      <c r="E45" s="118"/>
      <c r="F45" s="117"/>
      <c r="G45" s="119">
        <f>'6'!K55+'6'!K64+'6'!K75+'6'!K84+'6'!K91</f>
        <v>315803.89444444445</v>
      </c>
      <c r="H45" s="119"/>
      <c r="I45" s="117"/>
      <c r="J45" s="118"/>
      <c r="K45" s="120"/>
    </row>
    <row r="46" spans="2:11" ht="6.95" customHeight="1" thickBot="1" x14ac:dyDescent="0.3">
      <c r="B46" s="74"/>
      <c r="C46" s="75"/>
      <c r="D46" s="76"/>
      <c r="E46" s="80"/>
      <c r="F46" s="77"/>
      <c r="G46" s="76"/>
      <c r="H46" s="76"/>
      <c r="I46" s="77"/>
      <c r="J46" s="78"/>
      <c r="K46" s="76"/>
    </row>
    <row r="47" spans="2:11" s="101" customFormat="1" ht="21.6" customHeight="1" x14ac:dyDescent="0.2">
      <c r="B47" s="95" t="s">
        <v>205</v>
      </c>
      <c r="C47" s="96" t="s">
        <v>57</v>
      </c>
      <c r="D47" s="97"/>
      <c r="E47" s="98">
        <f>SUM(D48:D57)</f>
        <v>0</v>
      </c>
      <c r="F47" s="102"/>
      <c r="G47" s="97"/>
      <c r="H47" s="98">
        <f>SUM(G48:G57)</f>
        <v>1179521.014</v>
      </c>
      <c r="I47" s="97"/>
      <c r="J47" s="99" t="str">
        <f>IF(H47&gt;E47,"Increase","Decrease or No Change")</f>
        <v>Increase</v>
      </c>
      <c r="K47" s="100">
        <f>H47-E47</f>
        <v>1179521.014</v>
      </c>
    </row>
    <row r="48" spans="2:11" s="101" customFormat="1" ht="18" customHeight="1" x14ac:dyDescent="0.2">
      <c r="B48" s="111" t="s">
        <v>206</v>
      </c>
      <c r="C48" s="112" t="s">
        <v>207</v>
      </c>
      <c r="D48" s="114">
        <v>0</v>
      </c>
      <c r="E48" s="113"/>
      <c r="F48" s="112"/>
      <c r="G48" s="114">
        <f>'7'!K16</f>
        <v>237835</v>
      </c>
      <c r="H48" s="114"/>
      <c r="I48" s="112"/>
      <c r="J48" s="113"/>
      <c r="K48" s="115"/>
    </row>
    <row r="49" spans="2:11" s="101" customFormat="1" ht="18" customHeight="1" x14ac:dyDescent="0.2">
      <c r="B49" s="111" t="s">
        <v>214</v>
      </c>
      <c r="C49" s="112" t="s">
        <v>215</v>
      </c>
      <c r="D49" s="114">
        <v>0</v>
      </c>
      <c r="E49" s="113"/>
      <c r="F49" s="112"/>
      <c r="G49" s="114">
        <f>'7'!K22</f>
        <v>271678.01399999997</v>
      </c>
      <c r="H49" s="114"/>
      <c r="I49" s="112"/>
      <c r="J49" s="113"/>
      <c r="K49" s="115"/>
    </row>
    <row r="50" spans="2:11" s="101" customFormat="1" ht="18" customHeight="1" x14ac:dyDescent="0.2">
      <c r="B50" s="111" t="s">
        <v>216</v>
      </c>
      <c r="C50" s="112" t="s">
        <v>217</v>
      </c>
      <c r="D50" s="114">
        <v>0</v>
      </c>
      <c r="E50" s="113"/>
      <c r="F50" s="112"/>
      <c r="G50" s="114">
        <f>'7'!K27</f>
        <v>81750</v>
      </c>
      <c r="H50" s="114"/>
      <c r="I50" s="112"/>
      <c r="J50" s="113"/>
      <c r="K50" s="115"/>
    </row>
    <row r="51" spans="2:11" s="101" customFormat="1" ht="18" customHeight="1" x14ac:dyDescent="0.2">
      <c r="B51" s="111" t="s">
        <v>218</v>
      </c>
      <c r="C51" s="112" t="s">
        <v>219</v>
      </c>
      <c r="D51" s="114">
        <v>0</v>
      </c>
      <c r="E51" s="113"/>
      <c r="F51" s="112"/>
      <c r="G51" s="114">
        <f>'7'!K33</f>
        <v>0</v>
      </c>
      <c r="H51" s="114"/>
      <c r="I51" s="112"/>
      <c r="J51" s="113"/>
      <c r="K51" s="115"/>
    </row>
    <row r="52" spans="2:11" s="101" customFormat="1" ht="18" customHeight="1" x14ac:dyDescent="0.2">
      <c r="B52" s="111" t="s">
        <v>220</v>
      </c>
      <c r="C52" s="112" t="s">
        <v>58</v>
      </c>
      <c r="D52" s="114">
        <v>0</v>
      </c>
      <c r="E52" s="113"/>
      <c r="F52" s="112"/>
      <c r="G52" s="114">
        <f>'7'!K39</f>
        <v>561708</v>
      </c>
      <c r="H52" s="114"/>
      <c r="I52" s="112"/>
      <c r="J52" s="113"/>
      <c r="K52" s="115"/>
    </row>
    <row r="53" spans="2:11" s="101" customFormat="1" ht="18" customHeight="1" x14ac:dyDescent="0.2">
      <c r="B53" s="111" t="s">
        <v>694</v>
      </c>
      <c r="C53" s="112" t="s">
        <v>59</v>
      </c>
      <c r="D53" s="114">
        <v>0</v>
      </c>
      <c r="E53" s="113"/>
      <c r="F53" s="112"/>
      <c r="G53" s="114">
        <f>'7'!K45+'7'!K50</f>
        <v>0</v>
      </c>
      <c r="H53" s="114"/>
      <c r="I53" s="112"/>
      <c r="J53" s="113"/>
      <c r="K53" s="115"/>
    </row>
    <row r="54" spans="2:11" s="101" customFormat="1" ht="18" customHeight="1" x14ac:dyDescent="0.2">
      <c r="B54" s="111" t="s">
        <v>696</v>
      </c>
      <c r="C54" s="112" t="s">
        <v>695</v>
      </c>
      <c r="D54" s="114">
        <v>0</v>
      </c>
      <c r="E54" s="113"/>
      <c r="F54" s="112"/>
      <c r="G54" s="114">
        <f>'7'!K55+'7'!K60+'7'!K66</f>
        <v>0</v>
      </c>
      <c r="H54" s="114"/>
      <c r="I54" s="112"/>
      <c r="J54" s="113"/>
      <c r="K54" s="115"/>
    </row>
    <row r="55" spans="2:11" s="101" customFormat="1" ht="18" customHeight="1" x14ac:dyDescent="0.2">
      <c r="B55" s="111" t="s">
        <v>231</v>
      </c>
      <c r="C55" s="112" t="s">
        <v>232</v>
      </c>
      <c r="D55" s="114">
        <v>0</v>
      </c>
      <c r="E55" s="113"/>
      <c r="F55" s="112"/>
      <c r="G55" s="114">
        <f>'7'!K72</f>
        <v>0</v>
      </c>
      <c r="H55" s="114"/>
      <c r="I55" s="112"/>
      <c r="J55" s="113"/>
      <c r="K55" s="115"/>
    </row>
    <row r="56" spans="2:11" s="101" customFormat="1" ht="18" customHeight="1" x14ac:dyDescent="0.2">
      <c r="B56" s="111" t="s">
        <v>697</v>
      </c>
      <c r="C56" s="112" t="s">
        <v>698</v>
      </c>
      <c r="D56" s="114">
        <v>0</v>
      </c>
      <c r="E56" s="113"/>
      <c r="F56" s="112"/>
      <c r="G56" s="114">
        <f>'7'!K78</f>
        <v>26550</v>
      </c>
      <c r="H56" s="114"/>
      <c r="I56" s="112"/>
      <c r="J56" s="113"/>
      <c r="K56" s="115"/>
    </row>
    <row r="57" spans="2:11" s="101" customFormat="1" ht="18" customHeight="1" thickBot="1" x14ac:dyDescent="0.25">
      <c r="B57" s="116" t="s">
        <v>241</v>
      </c>
      <c r="C57" s="117" t="s">
        <v>242</v>
      </c>
      <c r="D57" s="119">
        <v>0</v>
      </c>
      <c r="E57" s="118"/>
      <c r="F57" s="117"/>
      <c r="G57" s="119">
        <f>'7'!K84</f>
        <v>0</v>
      </c>
      <c r="H57" s="119"/>
      <c r="I57" s="117"/>
      <c r="J57" s="118"/>
      <c r="K57" s="120"/>
    </row>
    <row r="58" spans="2:11" ht="6.95" customHeight="1" thickBot="1" x14ac:dyDescent="0.3">
      <c r="B58" s="74"/>
      <c r="C58" s="75"/>
      <c r="D58" s="76"/>
      <c r="E58" s="80"/>
      <c r="F58" s="77"/>
      <c r="G58" s="76"/>
      <c r="H58" s="76"/>
      <c r="I58" s="77"/>
      <c r="J58" s="78"/>
      <c r="K58" s="76"/>
    </row>
    <row r="59" spans="2:11" s="101" customFormat="1" ht="21.6" customHeight="1" x14ac:dyDescent="0.2">
      <c r="B59" s="95" t="s">
        <v>243</v>
      </c>
      <c r="C59" s="96" t="s">
        <v>244</v>
      </c>
      <c r="D59" s="97"/>
      <c r="E59" s="98">
        <f>SUM(D60:D66)</f>
        <v>0</v>
      </c>
      <c r="F59" s="102"/>
      <c r="G59" s="97"/>
      <c r="H59" s="98">
        <f>SUM(G60:G66)</f>
        <v>274429.81</v>
      </c>
      <c r="I59" s="97"/>
      <c r="J59" s="99" t="str">
        <f>IF(H59&gt;E59,"Increase","Decrease or No Change")</f>
        <v>Increase</v>
      </c>
      <c r="K59" s="100">
        <f>H59-E59</f>
        <v>274429.81</v>
      </c>
    </row>
    <row r="60" spans="2:11" s="101" customFormat="1" ht="18" customHeight="1" x14ac:dyDescent="0.2">
      <c r="B60" s="111" t="s">
        <v>699</v>
      </c>
      <c r="C60" s="112" t="s">
        <v>700</v>
      </c>
      <c r="D60" s="114">
        <v>0</v>
      </c>
      <c r="E60" s="113"/>
      <c r="F60" s="112"/>
      <c r="G60" s="114">
        <f>'8'!K18+'8'!K24</f>
        <v>89875</v>
      </c>
      <c r="H60" s="114"/>
      <c r="I60" s="112"/>
      <c r="J60" s="113"/>
      <c r="K60" s="115"/>
    </row>
    <row r="61" spans="2:11" s="101" customFormat="1" ht="18" customHeight="1" x14ac:dyDescent="0.2">
      <c r="B61" s="111" t="s">
        <v>701</v>
      </c>
      <c r="C61" s="112" t="s">
        <v>702</v>
      </c>
      <c r="D61" s="114">
        <v>0</v>
      </c>
      <c r="E61" s="113"/>
      <c r="F61" s="112"/>
      <c r="G61" s="114">
        <f>'8'!K29+'8'!K35+'8'!K41+'8'!K47+'8'!K52</f>
        <v>18984.510000000002</v>
      </c>
      <c r="H61" s="114"/>
      <c r="I61" s="112"/>
      <c r="J61" s="113"/>
      <c r="K61" s="115"/>
    </row>
    <row r="62" spans="2:11" s="101" customFormat="1" ht="18" customHeight="1" x14ac:dyDescent="0.2">
      <c r="B62" s="111" t="s">
        <v>703</v>
      </c>
      <c r="C62" s="112" t="s">
        <v>704</v>
      </c>
      <c r="D62" s="114">
        <v>0</v>
      </c>
      <c r="E62" s="113"/>
      <c r="F62" s="112"/>
      <c r="G62" s="114">
        <f>'8'!K57+'8'!K62</f>
        <v>39425</v>
      </c>
      <c r="H62" s="114"/>
      <c r="I62" s="112"/>
      <c r="J62" s="113"/>
      <c r="K62" s="115"/>
    </row>
    <row r="63" spans="2:11" s="101" customFormat="1" ht="18" customHeight="1" x14ac:dyDescent="0.2">
      <c r="B63" s="111" t="s">
        <v>264</v>
      </c>
      <c r="C63" s="112" t="s">
        <v>95</v>
      </c>
      <c r="D63" s="114">
        <v>0</v>
      </c>
      <c r="E63" s="113"/>
      <c r="F63" s="112"/>
      <c r="G63" s="114">
        <f>'8'!K69</f>
        <v>126145.3</v>
      </c>
      <c r="H63" s="114"/>
      <c r="I63" s="112"/>
      <c r="J63" s="113"/>
      <c r="K63" s="115"/>
    </row>
    <row r="64" spans="2:11" s="101" customFormat="1" ht="18" customHeight="1" x14ac:dyDescent="0.2">
      <c r="B64" s="111" t="s">
        <v>272</v>
      </c>
      <c r="C64" s="112" t="s">
        <v>707</v>
      </c>
      <c r="D64" s="114">
        <v>0</v>
      </c>
      <c r="E64" s="113"/>
      <c r="F64" s="112"/>
      <c r="G64" s="114">
        <f>'8'!K75</f>
        <v>0</v>
      </c>
      <c r="H64" s="114"/>
      <c r="I64" s="112"/>
      <c r="J64" s="113"/>
      <c r="K64" s="115"/>
    </row>
    <row r="65" spans="2:11" s="101" customFormat="1" ht="18" customHeight="1" x14ac:dyDescent="0.2">
      <c r="B65" s="111" t="s">
        <v>705</v>
      </c>
      <c r="C65" s="112" t="s">
        <v>63</v>
      </c>
      <c r="D65" s="114">
        <v>0</v>
      </c>
      <c r="E65" s="113"/>
      <c r="F65" s="112"/>
      <c r="G65" s="114">
        <f>'8'!K81+'8'!K87+'8'!K93</f>
        <v>0</v>
      </c>
      <c r="H65" s="114"/>
      <c r="I65" s="112"/>
      <c r="J65" s="113"/>
      <c r="K65" s="115"/>
    </row>
    <row r="66" spans="2:11" s="101" customFormat="1" ht="18" customHeight="1" thickBot="1" x14ac:dyDescent="0.25">
      <c r="B66" s="116" t="s">
        <v>706</v>
      </c>
      <c r="C66" s="117" t="s">
        <v>280</v>
      </c>
      <c r="D66" s="119">
        <v>0</v>
      </c>
      <c r="E66" s="118"/>
      <c r="F66" s="117"/>
      <c r="G66" s="119">
        <f>'8'!K99</f>
        <v>0</v>
      </c>
      <c r="H66" s="119"/>
      <c r="I66" s="117"/>
      <c r="J66" s="118"/>
      <c r="K66" s="120"/>
    </row>
    <row r="67" spans="2:11" ht="6.95" customHeight="1" thickBot="1" x14ac:dyDescent="0.3">
      <c r="B67" s="74"/>
      <c r="C67" s="75"/>
      <c r="D67" s="76"/>
      <c r="E67" s="80"/>
      <c r="F67" s="77"/>
      <c r="G67" s="76"/>
      <c r="H67" s="76"/>
      <c r="I67" s="77"/>
      <c r="J67" s="78"/>
      <c r="K67" s="76"/>
    </row>
    <row r="68" spans="2:11" s="101" customFormat="1" ht="21.6" customHeight="1" x14ac:dyDescent="0.2">
      <c r="B68" s="95" t="s">
        <v>281</v>
      </c>
      <c r="C68" s="96" t="s">
        <v>8</v>
      </c>
      <c r="D68" s="97"/>
      <c r="E68" s="98">
        <f>SUM(D69:D74)</f>
        <v>0</v>
      </c>
      <c r="F68" s="102"/>
      <c r="G68" s="97"/>
      <c r="H68" s="98">
        <f>SUM(G69:G74)</f>
        <v>1747325</v>
      </c>
      <c r="I68" s="97"/>
      <c r="J68" s="99" t="str">
        <f>IF(H68&gt;E68,"Increase","Decrease or No Change")</f>
        <v>Increase</v>
      </c>
      <c r="K68" s="100">
        <f>H68-E68</f>
        <v>1747325</v>
      </c>
    </row>
    <row r="69" spans="2:11" s="101" customFormat="1" ht="18" customHeight="1" x14ac:dyDescent="0.2">
      <c r="B69" s="111" t="s">
        <v>282</v>
      </c>
      <c r="C69" s="112" t="s">
        <v>283</v>
      </c>
      <c r="D69" s="114">
        <v>0</v>
      </c>
      <c r="E69" s="113"/>
      <c r="F69" s="112"/>
      <c r="G69" s="114">
        <f>'9'!K18</f>
        <v>1139222</v>
      </c>
      <c r="H69" s="114"/>
      <c r="I69" s="112"/>
      <c r="J69" s="113"/>
      <c r="K69" s="115"/>
    </row>
    <row r="70" spans="2:11" s="101" customFormat="1" ht="18" customHeight="1" x14ac:dyDescent="0.2">
      <c r="B70" s="111" t="s">
        <v>284</v>
      </c>
      <c r="C70" s="112" t="s">
        <v>285</v>
      </c>
      <c r="D70" s="114">
        <v>0</v>
      </c>
      <c r="E70" s="113"/>
      <c r="F70" s="112"/>
      <c r="G70" s="114">
        <f>'9'!K26</f>
        <v>0</v>
      </c>
      <c r="H70" s="114"/>
      <c r="I70" s="112"/>
      <c r="J70" s="113"/>
      <c r="K70" s="115"/>
    </row>
    <row r="71" spans="2:11" s="101" customFormat="1" ht="18" customHeight="1" x14ac:dyDescent="0.2">
      <c r="B71" s="111" t="s">
        <v>286</v>
      </c>
      <c r="C71" s="112" t="s">
        <v>287</v>
      </c>
      <c r="D71" s="114">
        <v>0</v>
      </c>
      <c r="E71" s="113"/>
      <c r="F71" s="112"/>
      <c r="G71" s="114">
        <f>'9'!K32</f>
        <v>0</v>
      </c>
      <c r="H71" s="114"/>
      <c r="I71" s="112"/>
      <c r="J71" s="113"/>
      <c r="K71" s="115"/>
    </row>
    <row r="72" spans="2:11" s="101" customFormat="1" ht="18" customHeight="1" x14ac:dyDescent="0.2">
      <c r="B72" s="111" t="s">
        <v>288</v>
      </c>
      <c r="C72" s="112" t="s">
        <v>80</v>
      </c>
      <c r="D72" s="114">
        <v>0</v>
      </c>
      <c r="E72" s="113"/>
      <c r="F72" s="112"/>
      <c r="G72" s="114">
        <f>'9'!K47</f>
        <v>411100</v>
      </c>
      <c r="H72" s="114"/>
      <c r="I72" s="112"/>
      <c r="J72" s="113"/>
      <c r="K72" s="115"/>
    </row>
    <row r="73" spans="2:11" s="101" customFormat="1" ht="18" customHeight="1" x14ac:dyDescent="0.2">
      <c r="B73" s="111" t="s">
        <v>708</v>
      </c>
      <c r="C73" s="112" t="s">
        <v>709</v>
      </c>
      <c r="D73" s="114">
        <v>0</v>
      </c>
      <c r="E73" s="113"/>
      <c r="F73" s="112"/>
      <c r="G73" s="114">
        <f>'9'!K53</f>
        <v>0</v>
      </c>
      <c r="H73" s="114"/>
      <c r="I73" s="112"/>
      <c r="J73" s="113"/>
      <c r="K73" s="115"/>
    </row>
    <row r="74" spans="2:11" s="101" customFormat="1" ht="18" customHeight="1" thickBot="1" x14ac:dyDescent="0.25">
      <c r="B74" s="116" t="s">
        <v>710</v>
      </c>
      <c r="C74" s="117" t="s">
        <v>81</v>
      </c>
      <c r="D74" s="119">
        <v>0</v>
      </c>
      <c r="E74" s="118"/>
      <c r="F74" s="117"/>
      <c r="G74" s="119">
        <f>'9'!K62</f>
        <v>197003</v>
      </c>
      <c r="H74" s="119"/>
      <c r="I74" s="117"/>
      <c r="J74" s="118"/>
      <c r="K74" s="120"/>
    </row>
    <row r="75" spans="2:11" ht="6.95" customHeight="1" thickBot="1" x14ac:dyDescent="0.3">
      <c r="B75" s="82"/>
      <c r="C75" s="83"/>
      <c r="D75" s="76"/>
      <c r="E75" s="80"/>
      <c r="F75" s="77"/>
      <c r="G75" s="76"/>
      <c r="H75" s="76"/>
      <c r="I75" s="77"/>
      <c r="J75" s="78"/>
      <c r="K75" s="76"/>
    </row>
    <row r="76" spans="2:11" s="101" customFormat="1" ht="21.6" customHeight="1" x14ac:dyDescent="0.2">
      <c r="B76" s="95" t="s">
        <v>300</v>
      </c>
      <c r="C76" s="96" t="s">
        <v>9</v>
      </c>
      <c r="D76" s="97"/>
      <c r="E76" s="98">
        <f>SUM(D77:D82)</f>
        <v>0</v>
      </c>
      <c r="F76" s="97"/>
      <c r="G76" s="97"/>
      <c r="H76" s="98">
        <f>SUM(G77:G82)</f>
        <v>55641.759999999995</v>
      </c>
      <c r="I76" s="97"/>
      <c r="J76" s="99" t="str">
        <f>IF(H76&gt;E76,"Increase","Decrease or No Change")</f>
        <v>Increase</v>
      </c>
      <c r="K76" s="100">
        <f>H76-E76</f>
        <v>55641.759999999995</v>
      </c>
    </row>
    <row r="77" spans="2:11" s="101" customFormat="1" ht="18" customHeight="1" x14ac:dyDescent="0.2">
      <c r="B77" s="111" t="s">
        <v>301</v>
      </c>
      <c r="C77" s="112" t="s">
        <v>302</v>
      </c>
      <c r="D77" s="114">
        <v>0</v>
      </c>
      <c r="E77" s="113"/>
      <c r="F77" s="112"/>
      <c r="G77" s="114">
        <f>'10'!K17</f>
        <v>0</v>
      </c>
      <c r="H77" s="114"/>
      <c r="I77" s="112"/>
      <c r="J77" s="113"/>
      <c r="K77" s="115"/>
    </row>
    <row r="78" spans="2:11" s="101" customFormat="1" ht="18" customHeight="1" x14ac:dyDescent="0.2">
      <c r="B78" s="111" t="s">
        <v>303</v>
      </c>
      <c r="C78" s="112" t="s">
        <v>304</v>
      </c>
      <c r="D78" s="114">
        <v>0</v>
      </c>
      <c r="E78" s="113"/>
      <c r="F78" s="112"/>
      <c r="G78" s="114">
        <f>'10'!K25</f>
        <v>10950</v>
      </c>
      <c r="H78" s="114"/>
      <c r="I78" s="112"/>
      <c r="J78" s="113"/>
      <c r="K78" s="115"/>
    </row>
    <row r="79" spans="2:11" s="101" customFormat="1" ht="18" customHeight="1" x14ac:dyDescent="0.2">
      <c r="B79" s="111" t="s">
        <v>305</v>
      </c>
      <c r="C79" s="112" t="s">
        <v>306</v>
      </c>
      <c r="D79" s="114">
        <v>0</v>
      </c>
      <c r="E79" s="113"/>
      <c r="F79" s="112"/>
      <c r="G79" s="114">
        <f>'10'!K38</f>
        <v>11989.390000000001</v>
      </c>
      <c r="H79" s="114"/>
      <c r="I79" s="112"/>
      <c r="J79" s="113"/>
      <c r="K79" s="115"/>
    </row>
    <row r="80" spans="2:11" s="101" customFormat="1" ht="18" customHeight="1" x14ac:dyDescent="0.2">
      <c r="B80" s="111" t="s">
        <v>712</v>
      </c>
      <c r="C80" s="112" t="s">
        <v>711</v>
      </c>
      <c r="D80" s="114">
        <v>0</v>
      </c>
      <c r="E80" s="113"/>
      <c r="F80" s="112"/>
      <c r="G80" s="114">
        <f>'10'!K44</f>
        <v>0</v>
      </c>
      <c r="H80" s="114"/>
      <c r="I80" s="112"/>
      <c r="J80" s="113"/>
      <c r="K80" s="115"/>
    </row>
    <row r="81" spans="2:11" s="101" customFormat="1" ht="18" customHeight="1" x14ac:dyDescent="0.2">
      <c r="B81" s="111" t="s">
        <v>713</v>
      </c>
      <c r="C81" s="112" t="s">
        <v>714</v>
      </c>
      <c r="D81" s="114">
        <v>0</v>
      </c>
      <c r="E81" s="113"/>
      <c r="F81" s="112"/>
      <c r="G81" s="114">
        <f>'10'!K51</f>
        <v>31062.37</v>
      </c>
      <c r="H81" s="114"/>
      <c r="I81" s="112"/>
      <c r="J81" s="113"/>
      <c r="K81" s="115"/>
    </row>
    <row r="82" spans="2:11" s="101" customFormat="1" ht="18" customHeight="1" thickBot="1" x14ac:dyDescent="0.25">
      <c r="B82" s="116" t="s">
        <v>325</v>
      </c>
      <c r="C82" s="117" t="s">
        <v>326</v>
      </c>
      <c r="D82" s="119">
        <v>0</v>
      </c>
      <c r="E82" s="118"/>
      <c r="F82" s="117"/>
      <c r="G82" s="119">
        <f>'10'!K63</f>
        <v>1640</v>
      </c>
      <c r="H82" s="119"/>
      <c r="I82" s="117"/>
      <c r="J82" s="118"/>
      <c r="K82" s="120"/>
    </row>
    <row r="83" spans="2:11" ht="6.95" customHeight="1" thickBot="1" x14ac:dyDescent="0.3">
      <c r="B83" s="82"/>
      <c r="C83" s="83"/>
      <c r="D83" s="80"/>
      <c r="E83" s="80"/>
      <c r="F83" s="77"/>
      <c r="G83" s="76"/>
      <c r="H83" s="76"/>
      <c r="I83" s="77"/>
      <c r="J83" s="78"/>
      <c r="K83" s="76"/>
    </row>
    <row r="84" spans="2:11" ht="15" customHeight="1" x14ac:dyDescent="0.25">
      <c r="B84" s="84"/>
      <c r="C84" s="79"/>
      <c r="D84" s="79"/>
      <c r="E84" s="79"/>
      <c r="F84" s="69"/>
      <c r="G84" s="69"/>
      <c r="H84" s="69"/>
      <c r="I84" s="69"/>
      <c r="J84" s="68"/>
      <c r="K84" s="69"/>
    </row>
    <row r="85" spans="2:11" ht="15" customHeight="1" thickBot="1" x14ac:dyDescent="0.3">
      <c r="B85" s="84"/>
      <c r="C85" s="79"/>
      <c r="D85" s="79"/>
      <c r="E85" s="79"/>
      <c r="F85" s="69"/>
      <c r="G85" s="69"/>
      <c r="H85" s="69"/>
      <c r="I85" s="69"/>
      <c r="J85" s="68"/>
      <c r="K85" s="69"/>
    </row>
    <row r="86" spans="2:11" s="101" customFormat="1" ht="21.6" customHeight="1" x14ac:dyDescent="0.2">
      <c r="B86" s="95" t="s">
        <v>332</v>
      </c>
      <c r="C86" s="96" t="s">
        <v>71</v>
      </c>
      <c r="D86" s="98"/>
      <c r="E86" s="98">
        <f>SUM(D87:D90)</f>
        <v>0</v>
      </c>
      <c r="F86" s="97"/>
      <c r="G86" s="102"/>
      <c r="H86" s="102">
        <f>SUM(G87:G90)</f>
        <v>200600</v>
      </c>
      <c r="I86" s="97"/>
      <c r="J86" s="98"/>
      <c r="K86" s="103"/>
    </row>
    <row r="87" spans="2:11" s="101" customFormat="1" ht="18" customHeight="1" x14ac:dyDescent="0.2">
      <c r="B87" s="111" t="s">
        <v>716</v>
      </c>
      <c r="C87" s="112" t="s">
        <v>715</v>
      </c>
      <c r="D87" s="121">
        <v>0</v>
      </c>
      <c r="E87" s="121"/>
      <c r="F87" s="122"/>
      <c r="G87" s="123">
        <f>'11'!K24+'11'!K35</f>
        <v>0</v>
      </c>
      <c r="H87" s="123"/>
      <c r="I87" s="122"/>
      <c r="J87" s="121"/>
      <c r="K87" s="124"/>
    </row>
    <row r="88" spans="2:11" s="101" customFormat="1" ht="18" customHeight="1" x14ac:dyDescent="0.2">
      <c r="B88" s="111" t="s">
        <v>337</v>
      </c>
      <c r="C88" s="112" t="s">
        <v>338</v>
      </c>
      <c r="D88" s="113">
        <v>0</v>
      </c>
      <c r="E88" s="113"/>
      <c r="F88" s="114"/>
      <c r="G88" s="114">
        <f>'11'!K43</f>
        <v>200600</v>
      </c>
      <c r="H88" s="113"/>
      <c r="I88" s="112"/>
      <c r="J88" s="125" t="str">
        <f>IF(H88&gt;E88,"Increase","Decrease or No Change")</f>
        <v>Decrease or No Change</v>
      </c>
      <c r="K88" s="126">
        <f>H88-E88</f>
        <v>0</v>
      </c>
    </row>
    <row r="89" spans="2:11" s="101" customFormat="1" ht="18" customHeight="1" x14ac:dyDescent="0.2">
      <c r="B89" s="111" t="s">
        <v>717</v>
      </c>
      <c r="C89" s="112" t="s">
        <v>72</v>
      </c>
      <c r="D89" s="113">
        <v>0</v>
      </c>
      <c r="E89" s="113"/>
      <c r="F89" s="112"/>
      <c r="G89" s="114">
        <f>'11'!K52+'11'!K63</f>
        <v>0</v>
      </c>
      <c r="H89" s="114"/>
      <c r="I89" s="112"/>
      <c r="J89" s="113"/>
      <c r="K89" s="115"/>
    </row>
    <row r="90" spans="2:11" s="101" customFormat="1" ht="18" customHeight="1" thickBot="1" x14ac:dyDescent="0.25">
      <c r="B90" s="116" t="s">
        <v>718</v>
      </c>
      <c r="C90" s="117" t="s">
        <v>719</v>
      </c>
      <c r="D90" s="118">
        <v>0</v>
      </c>
      <c r="E90" s="118"/>
      <c r="F90" s="117"/>
      <c r="G90" s="119">
        <f>'11'!K72+'11'!K79</f>
        <v>0</v>
      </c>
      <c r="H90" s="119"/>
      <c r="I90" s="117"/>
      <c r="J90" s="118"/>
      <c r="K90" s="120"/>
    </row>
    <row r="91" spans="2:11" ht="6.95" customHeight="1" thickBot="1" x14ac:dyDescent="0.3">
      <c r="B91" s="86"/>
      <c r="C91" s="87"/>
      <c r="D91" s="80"/>
      <c r="E91" s="80"/>
      <c r="F91" s="77"/>
      <c r="G91" s="85"/>
      <c r="H91" s="85"/>
      <c r="I91" s="77"/>
      <c r="J91" s="78"/>
      <c r="K91" s="76"/>
    </row>
    <row r="92" spans="2:11" s="101" customFormat="1" ht="21.6" customHeight="1" x14ac:dyDescent="0.2">
      <c r="B92" s="95" t="s">
        <v>353</v>
      </c>
      <c r="C92" s="96" t="s">
        <v>76</v>
      </c>
      <c r="D92" s="98"/>
      <c r="E92" s="98">
        <f>SUM(D93:D94)</f>
        <v>0</v>
      </c>
      <c r="F92" s="97"/>
      <c r="G92" s="102"/>
      <c r="H92" s="98">
        <f>SUM(G93:G94)</f>
        <v>41300</v>
      </c>
      <c r="I92" s="97"/>
      <c r="J92" s="99" t="str">
        <f>IF(H92&gt;E92,"Increase","Decrease or No Change")</f>
        <v>Increase</v>
      </c>
      <c r="K92" s="100">
        <f>H92-E92</f>
        <v>41300</v>
      </c>
    </row>
    <row r="93" spans="2:11" s="101" customFormat="1" ht="18" customHeight="1" x14ac:dyDescent="0.2">
      <c r="B93" s="111" t="s">
        <v>354</v>
      </c>
      <c r="C93" s="112" t="s">
        <v>355</v>
      </c>
      <c r="D93" s="113">
        <v>0</v>
      </c>
      <c r="E93" s="113"/>
      <c r="F93" s="112"/>
      <c r="G93" s="114">
        <f>'12'!K24+'12'!K35</f>
        <v>41300</v>
      </c>
      <c r="H93" s="114"/>
      <c r="I93" s="112"/>
      <c r="J93" s="113"/>
      <c r="K93" s="115"/>
    </row>
    <row r="94" spans="2:11" s="101" customFormat="1" ht="18" customHeight="1" thickBot="1" x14ac:dyDescent="0.25">
      <c r="B94" s="116" t="s">
        <v>358</v>
      </c>
      <c r="C94" s="117" t="s">
        <v>359</v>
      </c>
      <c r="D94" s="118">
        <v>0</v>
      </c>
      <c r="E94" s="118"/>
      <c r="F94" s="117"/>
      <c r="G94" s="119">
        <f>'12'!K43+'12'!K52+'12'!K63+'12'!K72</f>
        <v>0</v>
      </c>
      <c r="H94" s="119"/>
      <c r="I94" s="117"/>
      <c r="J94" s="118"/>
      <c r="K94" s="120"/>
    </row>
    <row r="95" spans="2:11" ht="6.95" customHeight="1" thickBot="1" x14ac:dyDescent="0.3">
      <c r="B95" s="74"/>
      <c r="C95" s="75"/>
      <c r="D95" s="78"/>
      <c r="E95" s="78"/>
      <c r="F95" s="76"/>
      <c r="G95" s="85"/>
      <c r="H95" s="85"/>
      <c r="I95" s="76"/>
      <c r="J95" s="78"/>
      <c r="K95" s="76"/>
    </row>
    <row r="96" spans="2:11" s="101" customFormat="1" ht="21.6" customHeight="1" thickBot="1" x14ac:dyDescent="0.25">
      <c r="B96" s="104" t="s">
        <v>366</v>
      </c>
      <c r="C96" s="105" t="s">
        <v>77</v>
      </c>
      <c r="D96" s="106"/>
      <c r="E96" s="106">
        <f>'Estimate Summary'!E39</f>
        <v>0</v>
      </c>
      <c r="F96" s="107"/>
      <c r="G96" s="107"/>
      <c r="H96" s="106">
        <f>'Estimate Summary'!H39</f>
        <v>121400</v>
      </c>
      <c r="I96" s="108"/>
      <c r="J96" s="109" t="str">
        <f>IF(H96&gt;E96,"Increase","Decrease or No Change")</f>
        <v>Increase</v>
      </c>
      <c r="K96" s="110">
        <f>H96-E96</f>
        <v>121400</v>
      </c>
    </row>
    <row r="97" spans="2:11" ht="6.95" customHeight="1" thickBot="1" x14ac:dyDescent="0.3">
      <c r="B97" s="74"/>
      <c r="C97" s="75"/>
      <c r="D97" s="80"/>
      <c r="E97" s="80"/>
      <c r="F97" s="77"/>
      <c r="G97" s="85"/>
      <c r="H97" s="85"/>
      <c r="I97" s="77"/>
      <c r="J97" s="78"/>
      <c r="K97" s="76"/>
    </row>
    <row r="98" spans="2:11" s="101" customFormat="1" ht="21.6" customHeight="1" x14ac:dyDescent="0.2">
      <c r="B98" s="95" t="s">
        <v>367</v>
      </c>
      <c r="C98" s="96" t="s">
        <v>368</v>
      </c>
      <c r="D98" s="98"/>
      <c r="E98" s="98">
        <f>SUM(D99:D100)</f>
        <v>0</v>
      </c>
      <c r="F98" s="97"/>
      <c r="G98" s="102"/>
      <c r="H98" s="98">
        <f>SUM(G99:G100)</f>
        <v>0</v>
      </c>
      <c r="I98" s="97"/>
      <c r="J98" s="99" t="str">
        <f>IF(H98&gt;E98,"Increase","Decrease or No Change")</f>
        <v>Decrease or No Change</v>
      </c>
      <c r="K98" s="100">
        <f>H98-E98</f>
        <v>0</v>
      </c>
    </row>
    <row r="99" spans="2:11" s="101" customFormat="1" ht="18" customHeight="1" x14ac:dyDescent="0.2">
      <c r="B99" s="111" t="s">
        <v>369</v>
      </c>
      <c r="C99" s="112" t="s">
        <v>69</v>
      </c>
      <c r="D99" s="113">
        <v>0</v>
      </c>
      <c r="E99" s="113"/>
      <c r="F99" s="112"/>
      <c r="G99" s="114">
        <f>'14'!K24</f>
        <v>0</v>
      </c>
      <c r="H99" s="114"/>
      <c r="I99" s="112"/>
      <c r="J99" s="113"/>
      <c r="K99" s="115"/>
    </row>
    <row r="100" spans="2:11" s="101" customFormat="1" ht="18" customHeight="1" thickBot="1" x14ac:dyDescent="0.25">
      <c r="B100" s="116" t="s">
        <v>370</v>
      </c>
      <c r="C100" s="117" t="s">
        <v>70</v>
      </c>
      <c r="D100" s="118">
        <v>0</v>
      </c>
      <c r="E100" s="118"/>
      <c r="F100" s="117"/>
      <c r="G100" s="119">
        <f>'14'!K35+'14'!K43</f>
        <v>0</v>
      </c>
      <c r="H100" s="119"/>
      <c r="I100" s="117"/>
      <c r="J100" s="118"/>
      <c r="K100" s="120"/>
    </row>
    <row r="101" spans="2:11" ht="6.95" customHeight="1" thickBot="1" x14ac:dyDescent="0.3">
      <c r="B101" s="74"/>
      <c r="C101" s="75"/>
      <c r="D101" s="78"/>
      <c r="E101" s="78"/>
      <c r="F101" s="76"/>
      <c r="G101" s="85"/>
      <c r="H101" s="85"/>
      <c r="I101" s="76"/>
      <c r="J101" s="78"/>
      <c r="K101" s="76"/>
    </row>
    <row r="102" spans="2:11" s="101" customFormat="1" ht="21.6" customHeight="1" x14ac:dyDescent="0.2">
      <c r="B102" s="95" t="s">
        <v>373</v>
      </c>
      <c r="C102" s="96" t="s">
        <v>151</v>
      </c>
      <c r="D102" s="98"/>
      <c r="E102" s="98">
        <f>D103</f>
        <v>0</v>
      </c>
      <c r="F102" s="102"/>
      <c r="G102" s="102"/>
      <c r="H102" s="98">
        <f>G103</f>
        <v>212000</v>
      </c>
      <c r="I102" s="97"/>
      <c r="J102" s="99" t="str">
        <f>IF(H103&gt;E102,"Increase","Decrease or No Change")</f>
        <v>Decrease or No Change</v>
      </c>
      <c r="K102" s="100">
        <f>H103-E102</f>
        <v>0</v>
      </c>
    </row>
    <row r="103" spans="2:11" s="101" customFormat="1" ht="18" customHeight="1" thickBot="1" x14ac:dyDescent="0.25">
      <c r="B103" s="116" t="s">
        <v>374</v>
      </c>
      <c r="C103" s="117" t="s">
        <v>375</v>
      </c>
      <c r="D103" s="118">
        <v>0</v>
      </c>
      <c r="E103" s="118"/>
      <c r="F103" s="117"/>
      <c r="G103" s="119">
        <f>'21'!K24</f>
        <v>212000</v>
      </c>
      <c r="H103" s="119"/>
      <c r="I103" s="117"/>
      <c r="J103" s="118"/>
      <c r="K103" s="120"/>
    </row>
    <row r="104" spans="2:11" ht="6.95" customHeight="1" thickBot="1" x14ac:dyDescent="0.3">
      <c r="B104" s="74"/>
      <c r="C104" s="75"/>
      <c r="D104" s="80"/>
      <c r="E104" s="80"/>
      <c r="F104" s="77"/>
      <c r="G104" s="85"/>
      <c r="H104" s="85"/>
      <c r="I104" s="77"/>
      <c r="J104" s="78"/>
      <c r="K104" s="76"/>
    </row>
    <row r="105" spans="2:11" s="101" customFormat="1" ht="21.6" customHeight="1" x14ac:dyDescent="0.2">
      <c r="B105" s="95" t="s">
        <v>376</v>
      </c>
      <c r="C105" s="96" t="s">
        <v>41</v>
      </c>
      <c r="D105" s="98"/>
      <c r="E105" s="98">
        <f>SUM(D106:D108)</f>
        <v>0</v>
      </c>
      <c r="F105" s="102"/>
      <c r="G105" s="102"/>
      <c r="H105" s="98">
        <f>SUM(G106:G108)</f>
        <v>674850</v>
      </c>
      <c r="I105" s="97"/>
      <c r="J105" s="99" t="str">
        <f>IF(H106&gt;E105,"Increase","Decrease or No Change")</f>
        <v>Decrease or No Change</v>
      </c>
      <c r="K105" s="100">
        <f>H106-E105</f>
        <v>0</v>
      </c>
    </row>
    <row r="106" spans="2:11" s="101" customFormat="1" ht="18" customHeight="1" x14ac:dyDescent="0.2">
      <c r="B106" s="111" t="s">
        <v>377</v>
      </c>
      <c r="C106" s="112" t="s">
        <v>378</v>
      </c>
      <c r="D106" s="113">
        <v>0</v>
      </c>
      <c r="E106" s="113"/>
      <c r="F106" s="112"/>
      <c r="G106" s="114">
        <f>'22'!K24</f>
        <v>674850</v>
      </c>
      <c r="H106" s="114"/>
      <c r="I106" s="112"/>
      <c r="J106" s="113"/>
      <c r="K106" s="115"/>
    </row>
    <row r="107" spans="2:11" s="101" customFormat="1" ht="18" customHeight="1" x14ac:dyDescent="0.2">
      <c r="B107" s="111" t="s">
        <v>379</v>
      </c>
      <c r="C107" s="112" t="s">
        <v>380</v>
      </c>
      <c r="D107" s="113">
        <v>0</v>
      </c>
      <c r="E107" s="113"/>
      <c r="F107" s="112"/>
      <c r="G107" s="114">
        <f>'22'!K35</f>
        <v>0</v>
      </c>
      <c r="H107" s="114"/>
      <c r="I107" s="112"/>
      <c r="J107" s="113"/>
      <c r="K107" s="115"/>
    </row>
    <row r="108" spans="2:11" s="101" customFormat="1" ht="18" customHeight="1" thickBot="1" x14ac:dyDescent="0.25">
      <c r="B108" s="116" t="s">
        <v>385</v>
      </c>
      <c r="C108" s="117" t="s">
        <v>386</v>
      </c>
      <c r="D108" s="118">
        <v>0</v>
      </c>
      <c r="E108" s="118"/>
      <c r="F108" s="117"/>
      <c r="G108" s="119">
        <f>'22'!K46+'22'!K67+'22'!K74</f>
        <v>0</v>
      </c>
      <c r="H108" s="119"/>
      <c r="I108" s="117"/>
      <c r="J108" s="118"/>
      <c r="K108" s="120"/>
    </row>
    <row r="109" spans="2:11" ht="6.95" customHeight="1" thickBot="1" x14ac:dyDescent="0.3">
      <c r="B109" s="74"/>
      <c r="C109" s="75"/>
      <c r="D109" s="80"/>
      <c r="E109" s="80"/>
      <c r="F109" s="77"/>
      <c r="G109" s="85"/>
      <c r="H109" s="85"/>
      <c r="I109" s="77"/>
      <c r="J109" s="78"/>
      <c r="K109" s="76"/>
    </row>
    <row r="110" spans="2:11" s="101" customFormat="1" ht="21.6" customHeight="1" x14ac:dyDescent="0.2">
      <c r="B110" s="95" t="s">
        <v>424</v>
      </c>
      <c r="C110" s="96" t="s">
        <v>42</v>
      </c>
      <c r="D110" s="98"/>
      <c r="E110" s="98">
        <f>SUM(D111:D118)</f>
        <v>0</v>
      </c>
      <c r="F110" s="102"/>
      <c r="G110" s="102"/>
      <c r="H110" s="98">
        <f>SUM(G111:G118)</f>
        <v>467650</v>
      </c>
      <c r="I110" s="97"/>
      <c r="J110" s="99" t="str">
        <f>IF(H111&gt;E110,"Increase","Decrease or No Change")</f>
        <v>Decrease or No Change</v>
      </c>
      <c r="K110" s="100">
        <f>H111-E110</f>
        <v>0</v>
      </c>
    </row>
    <row r="111" spans="2:11" s="101" customFormat="1" ht="18" customHeight="1" x14ac:dyDescent="0.2">
      <c r="B111" s="111" t="s">
        <v>426</v>
      </c>
      <c r="C111" s="112" t="s">
        <v>427</v>
      </c>
      <c r="D111" s="113">
        <v>0</v>
      </c>
      <c r="E111" s="113"/>
      <c r="F111" s="112"/>
      <c r="G111" s="114">
        <f>'23'!K18</f>
        <v>467650</v>
      </c>
      <c r="H111" s="114"/>
      <c r="I111" s="112"/>
      <c r="J111" s="113"/>
      <c r="K111" s="115"/>
    </row>
    <row r="112" spans="2:11" s="101" customFormat="1" ht="18" customHeight="1" x14ac:dyDescent="0.2">
      <c r="B112" s="111" t="s">
        <v>428</v>
      </c>
      <c r="C112" s="112" t="s">
        <v>429</v>
      </c>
      <c r="D112" s="113">
        <v>0</v>
      </c>
      <c r="E112" s="113"/>
      <c r="F112" s="112"/>
      <c r="G112" s="114">
        <f>'23'!K25</f>
        <v>0</v>
      </c>
      <c r="H112" s="114"/>
      <c r="I112" s="112"/>
      <c r="J112" s="113"/>
      <c r="K112" s="115"/>
    </row>
    <row r="113" spans="2:11" s="101" customFormat="1" ht="18" customHeight="1" x14ac:dyDescent="0.2">
      <c r="B113" s="111" t="s">
        <v>430</v>
      </c>
      <c r="C113" s="112" t="s">
        <v>431</v>
      </c>
      <c r="D113" s="113">
        <v>0</v>
      </c>
      <c r="E113" s="113"/>
      <c r="F113" s="112"/>
      <c r="G113" s="114">
        <f>'23'!K31</f>
        <v>0</v>
      </c>
      <c r="H113" s="114"/>
      <c r="I113" s="112"/>
      <c r="J113" s="113"/>
      <c r="K113" s="115"/>
    </row>
    <row r="114" spans="2:11" s="101" customFormat="1" ht="18" customHeight="1" x14ac:dyDescent="0.2">
      <c r="B114" s="111" t="s">
        <v>432</v>
      </c>
      <c r="C114" s="112" t="s">
        <v>433</v>
      </c>
      <c r="D114" s="113">
        <v>0</v>
      </c>
      <c r="E114" s="113"/>
      <c r="F114" s="112"/>
      <c r="G114" s="114">
        <f>'23'!K38+'23'!K46</f>
        <v>0</v>
      </c>
      <c r="H114" s="114"/>
      <c r="I114" s="112"/>
      <c r="J114" s="113"/>
      <c r="K114" s="115"/>
    </row>
    <row r="115" spans="2:11" s="101" customFormat="1" ht="18" customHeight="1" x14ac:dyDescent="0.2">
      <c r="B115" s="111" t="s">
        <v>438</v>
      </c>
      <c r="C115" s="112" t="s">
        <v>439</v>
      </c>
      <c r="D115" s="113">
        <v>0</v>
      </c>
      <c r="E115" s="113"/>
      <c r="F115" s="112"/>
      <c r="G115" s="114">
        <f>'23'!K53+'23'!K58</f>
        <v>0</v>
      </c>
      <c r="H115" s="114"/>
      <c r="I115" s="112"/>
      <c r="J115" s="113"/>
      <c r="K115" s="115"/>
    </row>
    <row r="116" spans="2:11" s="101" customFormat="1" ht="18" customHeight="1" x14ac:dyDescent="0.2">
      <c r="B116" s="111" t="s">
        <v>442</v>
      </c>
      <c r="C116" s="112" t="s">
        <v>443</v>
      </c>
      <c r="D116" s="113">
        <v>0</v>
      </c>
      <c r="E116" s="113"/>
      <c r="F116" s="112"/>
      <c r="G116" s="114">
        <f>'23'!K73</f>
        <v>0</v>
      </c>
      <c r="H116" s="114"/>
      <c r="I116" s="112"/>
      <c r="J116" s="113"/>
      <c r="K116" s="115"/>
    </row>
    <row r="117" spans="2:11" s="101" customFormat="1" ht="18" customHeight="1" x14ac:dyDescent="0.2">
      <c r="B117" s="111" t="s">
        <v>460</v>
      </c>
      <c r="C117" s="112" t="s">
        <v>461</v>
      </c>
      <c r="D117" s="113">
        <v>0</v>
      </c>
      <c r="E117" s="113"/>
      <c r="F117" s="112"/>
      <c r="G117" s="114">
        <f>'23'!K79</f>
        <v>0</v>
      </c>
      <c r="H117" s="114"/>
      <c r="I117" s="112"/>
      <c r="J117" s="113"/>
      <c r="K117" s="115"/>
    </row>
    <row r="118" spans="2:11" s="101" customFormat="1" ht="18" customHeight="1" thickBot="1" x14ac:dyDescent="0.25">
      <c r="B118" s="116" t="s">
        <v>720</v>
      </c>
      <c r="C118" s="117" t="s">
        <v>721</v>
      </c>
      <c r="D118" s="118">
        <v>0</v>
      </c>
      <c r="E118" s="118"/>
      <c r="F118" s="117"/>
      <c r="G118" s="119">
        <f>'23'!K85+'23'!K91</f>
        <v>0</v>
      </c>
      <c r="H118" s="119"/>
      <c r="I118" s="117"/>
      <c r="J118" s="118"/>
      <c r="K118" s="120"/>
    </row>
    <row r="119" spans="2:11" ht="6.95" customHeight="1" thickBot="1" x14ac:dyDescent="0.3">
      <c r="B119" s="74"/>
      <c r="C119" s="75"/>
      <c r="D119" s="78"/>
      <c r="E119" s="78"/>
      <c r="F119" s="76"/>
      <c r="G119" s="85"/>
      <c r="H119" s="85"/>
      <c r="I119" s="76"/>
      <c r="J119" s="78"/>
      <c r="K119" s="76"/>
    </row>
    <row r="120" spans="2:11" s="101" customFormat="1" ht="21.6" customHeight="1" thickBot="1" x14ac:dyDescent="0.25">
      <c r="B120" s="104" t="s">
        <v>468</v>
      </c>
      <c r="C120" s="105" t="s">
        <v>469</v>
      </c>
      <c r="D120" s="106"/>
      <c r="E120" s="106">
        <f>'Estimate Summary'!E49</f>
        <v>0</v>
      </c>
      <c r="F120" s="108"/>
      <c r="G120" s="107"/>
      <c r="H120" s="106">
        <f>'Estimate Summary'!H49</f>
        <v>0</v>
      </c>
      <c r="I120" s="108"/>
      <c r="J120" s="109" t="str">
        <f>IF(H120&gt;E120,"Increase","Decrease or No Change")</f>
        <v>Decrease or No Change</v>
      </c>
      <c r="K120" s="110">
        <f>H120-E120</f>
        <v>0</v>
      </c>
    </row>
    <row r="121" spans="2:11" ht="6.95" customHeight="1" thickBot="1" x14ac:dyDescent="0.3">
      <c r="B121" s="74"/>
      <c r="C121" s="75"/>
      <c r="D121" s="80"/>
      <c r="E121" s="80"/>
      <c r="F121" s="77"/>
      <c r="G121" s="85"/>
      <c r="H121" s="85"/>
      <c r="I121" s="77"/>
      <c r="J121" s="78"/>
      <c r="K121" s="76"/>
    </row>
    <row r="122" spans="2:11" s="101" customFormat="1" ht="21.6" customHeight="1" x14ac:dyDescent="0.2">
      <c r="B122" s="95" t="s">
        <v>470</v>
      </c>
      <c r="C122" s="96" t="s">
        <v>10</v>
      </c>
      <c r="D122" s="98"/>
      <c r="E122" s="98">
        <f>SUM(D123:D125)</f>
        <v>0</v>
      </c>
      <c r="F122" s="102"/>
      <c r="G122" s="102"/>
      <c r="H122" s="98">
        <f>SUM(G123:G125)</f>
        <v>822897</v>
      </c>
      <c r="I122" s="97"/>
      <c r="J122" s="99" t="str">
        <f>IF(H123&gt;E122,"Increase","Decrease or No Change")</f>
        <v>Decrease or No Change</v>
      </c>
      <c r="K122" s="100">
        <f>H123-E122</f>
        <v>0</v>
      </c>
    </row>
    <row r="123" spans="2:11" s="101" customFormat="1" ht="18" customHeight="1" x14ac:dyDescent="0.2">
      <c r="B123" s="111" t="s">
        <v>471</v>
      </c>
      <c r="C123" s="112" t="s">
        <v>787</v>
      </c>
      <c r="D123" s="113">
        <v>0</v>
      </c>
      <c r="E123" s="113"/>
      <c r="F123" s="112"/>
      <c r="G123" s="114">
        <f>'26'!K26</f>
        <v>770000</v>
      </c>
      <c r="H123" s="114"/>
      <c r="I123" s="112"/>
      <c r="J123" s="113"/>
      <c r="K123" s="115"/>
    </row>
    <row r="124" spans="2:11" s="101" customFormat="1" ht="18" customHeight="1" x14ac:dyDescent="0.2">
      <c r="B124" s="111" t="s">
        <v>473</v>
      </c>
      <c r="C124" s="112" t="s">
        <v>722</v>
      </c>
      <c r="D124" s="113">
        <v>0</v>
      </c>
      <c r="E124" s="113"/>
      <c r="F124" s="112"/>
      <c r="G124" s="114">
        <f>'26'!K37</f>
        <v>0</v>
      </c>
      <c r="H124" s="114"/>
      <c r="I124" s="112"/>
      <c r="J124" s="113"/>
      <c r="K124" s="115"/>
    </row>
    <row r="125" spans="2:11" s="101" customFormat="1" ht="18" customHeight="1" thickBot="1" x14ac:dyDescent="0.25">
      <c r="B125" s="116" t="s">
        <v>482</v>
      </c>
      <c r="C125" s="117" t="s">
        <v>82</v>
      </c>
      <c r="D125" s="118">
        <v>0</v>
      </c>
      <c r="E125" s="118"/>
      <c r="F125" s="117"/>
      <c r="G125" s="119">
        <f>'26'!K46</f>
        <v>52897</v>
      </c>
      <c r="H125" s="119"/>
      <c r="I125" s="117"/>
      <c r="J125" s="118"/>
      <c r="K125" s="120"/>
    </row>
    <row r="126" spans="2:11" ht="6.95" customHeight="1" thickBot="1" x14ac:dyDescent="0.3">
      <c r="B126" s="74"/>
      <c r="C126" s="75"/>
      <c r="D126" s="80"/>
      <c r="E126" s="80"/>
      <c r="F126" s="77"/>
      <c r="G126" s="85"/>
      <c r="H126" s="85"/>
      <c r="I126" s="77"/>
      <c r="J126" s="78"/>
      <c r="K126" s="76"/>
    </row>
    <row r="127" spans="2:11" s="101" customFormat="1" ht="21.6" customHeight="1" x14ac:dyDescent="0.2">
      <c r="B127" s="95" t="s">
        <v>486</v>
      </c>
      <c r="C127" s="96" t="s">
        <v>487</v>
      </c>
      <c r="D127" s="98"/>
      <c r="E127" s="98">
        <f>SUM(D128:D132)</f>
        <v>0</v>
      </c>
      <c r="F127" s="97"/>
      <c r="G127" s="102"/>
      <c r="H127" s="98">
        <f>SUM(G128:G132)</f>
        <v>0</v>
      </c>
      <c r="I127" s="97"/>
      <c r="J127" s="99" t="str">
        <f>IF(H127&gt;E127,"Increase","Decrease or No Change")</f>
        <v>Decrease or No Change</v>
      </c>
      <c r="K127" s="100">
        <f>H127-E127</f>
        <v>0</v>
      </c>
    </row>
    <row r="128" spans="2:11" s="101" customFormat="1" ht="18" customHeight="1" x14ac:dyDescent="0.2">
      <c r="B128" s="111" t="s">
        <v>488</v>
      </c>
      <c r="C128" s="112" t="s">
        <v>489</v>
      </c>
      <c r="D128" s="113">
        <v>0</v>
      </c>
      <c r="E128" s="113"/>
      <c r="F128" s="112"/>
      <c r="G128" s="114">
        <f>'27'!K24</f>
        <v>0</v>
      </c>
      <c r="H128" s="114"/>
      <c r="I128" s="112"/>
      <c r="J128" s="113"/>
      <c r="K128" s="115"/>
    </row>
    <row r="129" spans="2:11" s="101" customFormat="1" ht="18" customHeight="1" x14ac:dyDescent="0.2">
      <c r="B129" s="111" t="s">
        <v>490</v>
      </c>
      <c r="C129" s="112" t="s">
        <v>491</v>
      </c>
      <c r="D129" s="113">
        <v>0</v>
      </c>
      <c r="E129" s="113"/>
      <c r="F129" s="112"/>
      <c r="G129" s="114">
        <f>'27'!K35</f>
        <v>0</v>
      </c>
      <c r="H129" s="114"/>
      <c r="I129" s="112"/>
      <c r="J129" s="113"/>
      <c r="K129" s="115"/>
    </row>
    <row r="130" spans="2:11" s="101" customFormat="1" ht="18" customHeight="1" x14ac:dyDescent="0.2">
      <c r="B130" s="111" t="s">
        <v>496</v>
      </c>
      <c r="C130" s="112" t="s">
        <v>497</v>
      </c>
      <c r="D130" s="113">
        <v>0</v>
      </c>
      <c r="E130" s="113"/>
      <c r="F130" s="112"/>
      <c r="G130" s="114">
        <f>'27'!K43</f>
        <v>0</v>
      </c>
      <c r="H130" s="114"/>
      <c r="I130" s="112"/>
      <c r="J130" s="113"/>
      <c r="K130" s="115"/>
    </row>
    <row r="131" spans="2:11" s="101" customFormat="1" ht="18" customHeight="1" x14ac:dyDescent="0.2">
      <c r="B131" s="111" t="s">
        <v>498</v>
      </c>
      <c r="C131" s="112" t="s">
        <v>499</v>
      </c>
      <c r="D131" s="113">
        <v>0</v>
      </c>
      <c r="E131" s="113"/>
      <c r="F131" s="112"/>
      <c r="G131" s="114">
        <f>'27'!K52</f>
        <v>0</v>
      </c>
      <c r="H131" s="114"/>
      <c r="I131" s="112"/>
      <c r="J131" s="113"/>
      <c r="K131" s="115"/>
    </row>
    <row r="132" spans="2:11" s="101" customFormat="1" ht="18" customHeight="1" thickBot="1" x14ac:dyDescent="0.25">
      <c r="B132" s="116" t="s">
        <v>500</v>
      </c>
      <c r="C132" s="117" t="s">
        <v>501</v>
      </c>
      <c r="D132" s="118">
        <v>0</v>
      </c>
      <c r="E132" s="118"/>
      <c r="F132" s="117"/>
      <c r="G132" s="119">
        <f>'27'!K63</f>
        <v>0</v>
      </c>
      <c r="H132" s="119"/>
      <c r="I132" s="117"/>
      <c r="J132" s="118"/>
      <c r="K132" s="120"/>
    </row>
    <row r="133" spans="2:11" ht="6.95" customHeight="1" thickBot="1" x14ac:dyDescent="0.3">
      <c r="B133" s="74"/>
      <c r="C133" s="75"/>
      <c r="D133" s="78"/>
      <c r="E133" s="78"/>
      <c r="F133" s="76"/>
      <c r="G133" s="85"/>
      <c r="H133" s="85"/>
      <c r="I133" s="76"/>
      <c r="J133" s="78"/>
      <c r="K133" s="76"/>
    </row>
    <row r="134" spans="2:11" s="101" customFormat="1" ht="21.6" customHeight="1" x14ac:dyDescent="0.2">
      <c r="B134" s="95" t="s">
        <v>502</v>
      </c>
      <c r="C134" s="96" t="s">
        <v>503</v>
      </c>
      <c r="D134" s="98"/>
      <c r="E134" s="98">
        <f>SUM(D135:D138)</f>
        <v>0</v>
      </c>
      <c r="F134" s="102"/>
      <c r="G134" s="102"/>
      <c r="H134" s="98">
        <f>SUM(G135:G138)</f>
        <v>0</v>
      </c>
      <c r="I134" s="97"/>
      <c r="J134" s="99" t="str">
        <f>IF(H134&gt;E134,"Increase","Decrease or No Change")</f>
        <v>Decrease or No Change</v>
      </c>
      <c r="K134" s="100">
        <f>H134-E134</f>
        <v>0</v>
      </c>
    </row>
    <row r="135" spans="2:11" s="101" customFormat="1" ht="18" customHeight="1" x14ac:dyDescent="0.2">
      <c r="B135" s="111" t="s">
        <v>504</v>
      </c>
      <c r="C135" s="112" t="s">
        <v>505</v>
      </c>
      <c r="D135" s="113">
        <v>0</v>
      </c>
      <c r="E135" s="113"/>
      <c r="F135" s="112"/>
      <c r="G135" s="114">
        <f>'28'!K24</f>
        <v>0</v>
      </c>
      <c r="H135" s="114"/>
      <c r="I135" s="112"/>
      <c r="J135" s="88"/>
      <c r="K135" s="115"/>
    </row>
    <row r="136" spans="2:11" s="101" customFormat="1" ht="18" customHeight="1" x14ac:dyDescent="0.2">
      <c r="B136" s="111" t="s">
        <v>508</v>
      </c>
      <c r="C136" s="112" t="s">
        <v>509</v>
      </c>
      <c r="D136" s="113">
        <v>0</v>
      </c>
      <c r="E136" s="113"/>
      <c r="F136" s="112"/>
      <c r="G136" s="114">
        <f>'28'!K35</f>
        <v>0</v>
      </c>
      <c r="H136" s="114"/>
      <c r="I136" s="112"/>
      <c r="J136" s="113"/>
      <c r="K136" s="115"/>
    </row>
    <row r="137" spans="2:11" s="101" customFormat="1" ht="18" customHeight="1" x14ac:dyDescent="0.2">
      <c r="B137" s="111" t="s">
        <v>510</v>
      </c>
      <c r="C137" s="112" t="s">
        <v>511</v>
      </c>
      <c r="D137" s="113">
        <v>0</v>
      </c>
      <c r="E137" s="113"/>
      <c r="F137" s="112"/>
      <c r="G137" s="114">
        <f>'28'!K43</f>
        <v>0</v>
      </c>
      <c r="H137" s="114"/>
      <c r="I137" s="112"/>
      <c r="J137" s="113"/>
      <c r="K137" s="115"/>
    </row>
    <row r="138" spans="2:11" s="101" customFormat="1" ht="18" customHeight="1" thickBot="1" x14ac:dyDescent="0.25">
      <c r="B138" s="116" t="s">
        <v>512</v>
      </c>
      <c r="C138" s="117" t="s">
        <v>514</v>
      </c>
      <c r="D138" s="118">
        <v>0</v>
      </c>
      <c r="E138" s="118"/>
      <c r="F138" s="117"/>
      <c r="G138" s="119">
        <f>'28'!K52</f>
        <v>0</v>
      </c>
      <c r="H138" s="119"/>
      <c r="I138" s="117"/>
      <c r="J138" s="118"/>
      <c r="K138" s="120"/>
    </row>
    <row r="139" spans="2:11" ht="6.95" customHeight="1" thickBot="1" x14ac:dyDescent="0.3">
      <c r="B139" s="74"/>
      <c r="C139" s="75"/>
      <c r="D139" s="78"/>
      <c r="E139" s="78"/>
      <c r="F139" s="76"/>
      <c r="G139" s="85"/>
      <c r="H139" s="85"/>
      <c r="I139" s="76"/>
      <c r="J139" s="78"/>
      <c r="K139" s="76"/>
    </row>
    <row r="140" spans="2:11" s="101" customFormat="1" ht="21.6" customHeight="1" x14ac:dyDescent="0.2">
      <c r="B140" s="95" t="s">
        <v>516</v>
      </c>
      <c r="C140" s="96" t="s">
        <v>517</v>
      </c>
      <c r="D140" s="98"/>
      <c r="E140" s="98">
        <f>SUM(D141:D144)</f>
        <v>0</v>
      </c>
      <c r="F140" s="97"/>
      <c r="G140" s="102"/>
      <c r="H140" s="98">
        <f>SUM(G141:G144)</f>
        <v>268300</v>
      </c>
      <c r="I140" s="97"/>
      <c r="J140" s="99" t="str">
        <f>IF(H140&gt;E140,"Increase","Decrease or No Change")</f>
        <v>Increase</v>
      </c>
      <c r="K140" s="100">
        <f>H140-E140</f>
        <v>268300</v>
      </c>
    </row>
    <row r="141" spans="2:11" s="101" customFormat="1" ht="18" customHeight="1" x14ac:dyDescent="0.2">
      <c r="B141" s="111" t="s">
        <v>518</v>
      </c>
      <c r="C141" s="112" t="s">
        <v>519</v>
      </c>
      <c r="D141" s="113">
        <v>0</v>
      </c>
      <c r="E141" s="113"/>
      <c r="F141" s="112"/>
      <c r="G141" s="114">
        <f>'31'!K26</f>
        <v>0</v>
      </c>
      <c r="H141" s="114"/>
      <c r="I141" s="112"/>
      <c r="J141" s="113"/>
      <c r="K141" s="115"/>
    </row>
    <row r="142" spans="2:11" s="101" customFormat="1" ht="18" customHeight="1" x14ac:dyDescent="0.2">
      <c r="B142" s="111" t="s">
        <v>522</v>
      </c>
      <c r="C142" s="112" t="s">
        <v>523</v>
      </c>
      <c r="D142" s="113">
        <v>0</v>
      </c>
      <c r="E142" s="113"/>
      <c r="F142" s="112"/>
      <c r="G142" s="114">
        <f>'31'!K49</f>
        <v>268300</v>
      </c>
      <c r="H142" s="114"/>
      <c r="I142" s="112"/>
      <c r="J142" s="113"/>
      <c r="K142" s="115"/>
    </row>
    <row r="143" spans="2:11" s="101" customFormat="1" ht="18" customHeight="1" x14ac:dyDescent="0.2">
      <c r="B143" s="111" t="s">
        <v>723</v>
      </c>
      <c r="C143" s="112" t="s">
        <v>724</v>
      </c>
      <c r="D143" s="113">
        <v>0</v>
      </c>
      <c r="E143" s="113"/>
      <c r="F143" s="112"/>
      <c r="G143" s="114">
        <f>'31'!K57</f>
        <v>0</v>
      </c>
      <c r="H143" s="114"/>
      <c r="I143" s="112"/>
      <c r="J143" s="113"/>
      <c r="K143" s="115"/>
    </row>
    <row r="144" spans="2:11" s="101" customFormat="1" ht="18" customHeight="1" thickBot="1" x14ac:dyDescent="0.25">
      <c r="B144" s="116" t="s">
        <v>559</v>
      </c>
      <c r="C144" s="117" t="s">
        <v>560</v>
      </c>
      <c r="D144" s="118">
        <v>0</v>
      </c>
      <c r="E144" s="118"/>
      <c r="F144" s="117"/>
      <c r="G144" s="119">
        <f>'31'!K66</f>
        <v>0</v>
      </c>
      <c r="H144" s="119"/>
      <c r="I144" s="117"/>
      <c r="J144" s="118"/>
      <c r="K144" s="120"/>
    </row>
    <row r="145" spans="2:11" ht="6.95" customHeight="1" thickBot="1" x14ac:dyDescent="0.3">
      <c r="B145" s="74"/>
      <c r="C145" s="75"/>
      <c r="D145" s="78"/>
      <c r="E145" s="78"/>
      <c r="F145" s="76"/>
      <c r="G145" s="85"/>
      <c r="H145" s="85"/>
      <c r="I145" s="76"/>
      <c r="J145" s="78"/>
      <c r="K145" s="76"/>
    </row>
    <row r="146" spans="2:11" s="101" customFormat="1" ht="21.6" customHeight="1" x14ac:dyDescent="0.2">
      <c r="B146" s="95" t="s">
        <v>561</v>
      </c>
      <c r="C146" s="96" t="s">
        <v>562</v>
      </c>
      <c r="D146" s="98"/>
      <c r="E146" s="98">
        <f>SUM(D147:D149)</f>
        <v>0</v>
      </c>
      <c r="F146" s="97"/>
      <c r="G146" s="102"/>
      <c r="H146" s="98">
        <f>SUM(G147:G149)</f>
        <v>151071.01</v>
      </c>
      <c r="I146" s="97"/>
      <c r="J146" s="99" t="str">
        <f>IF(H146&gt;E146,"Increase","Decrease or No Change")</f>
        <v>Increase</v>
      </c>
      <c r="K146" s="100">
        <f>H146-E146</f>
        <v>151071.01</v>
      </c>
    </row>
    <row r="147" spans="2:11" s="101" customFormat="1" ht="18" customHeight="1" x14ac:dyDescent="0.2">
      <c r="B147" s="111" t="s">
        <v>563</v>
      </c>
      <c r="C147" s="112" t="s">
        <v>564</v>
      </c>
      <c r="D147" s="113">
        <v>0</v>
      </c>
      <c r="E147" s="113"/>
      <c r="F147" s="112"/>
      <c r="G147" s="114">
        <f>'32'!K21+'32'!K33+'32'!K41</f>
        <v>83019.839999999997</v>
      </c>
      <c r="H147" s="114"/>
      <c r="I147" s="112"/>
      <c r="J147" s="113"/>
      <c r="K147" s="115"/>
    </row>
    <row r="148" spans="2:11" s="101" customFormat="1" ht="18" customHeight="1" x14ac:dyDescent="0.2">
      <c r="B148" s="111" t="s">
        <v>594</v>
      </c>
      <c r="C148" s="112" t="s">
        <v>595</v>
      </c>
      <c r="D148" s="113">
        <v>0</v>
      </c>
      <c r="E148" s="113"/>
      <c r="F148" s="112"/>
      <c r="G148" s="114">
        <f>'32'!K50</f>
        <v>16800</v>
      </c>
      <c r="H148" s="114"/>
      <c r="I148" s="112"/>
      <c r="J148" s="113"/>
      <c r="K148" s="115"/>
    </row>
    <row r="149" spans="2:11" s="101" customFormat="1" ht="18" customHeight="1" thickBot="1" x14ac:dyDescent="0.25">
      <c r="B149" s="116" t="s">
        <v>604</v>
      </c>
      <c r="C149" s="117" t="s">
        <v>605</v>
      </c>
      <c r="D149" s="118">
        <v>0</v>
      </c>
      <c r="E149" s="118"/>
      <c r="F149" s="117"/>
      <c r="G149" s="119">
        <f>'32'!K61</f>
        <v>51251.17</v>
      </c>
      <c r="H149" s="119"/>
      <c r="I149" s="117"/>
      <c r="J149" s="118"/>
      <c r="K149" s="120"/>
    </row>
    <row r="150" spans="2:11" ht="6.95" customHeight="1" thickBot="1" x14ac:dyDescent="0.3">
      <c r="B150" s="74"/>
      <c r="C150" s="75"/>
      <c r="D150" s="78"/>
      <c r="E150" s="78"/>
      <c r="F150" s="76"/>
      <c r="G150" s="85"/>
      <c r="H150" s="85"/>
      <c r="I150" s="76"/>
      <c r="J150" s="78"/>
      <c r="K150" s="76"/>
    </row>
    <row r="151" spans="2:11" s="101" customFormat="1" ht="21.6" customHeight="1" x14ac:dyDescent="0.2">
      <c r="B151" s="95" t="s">
        <v>612</v>
      </c>
      <c r="C151" s="96" t="s">
        <v>613</v>
      </c>
      <c r="D151" s="98"/>
      <c r="E151" s="98">
        <f>SUM(D152:D155)</f>
        <v>0</v>
      </c>
      <c r="F151" s="97"/>
      <c r="G151" s="102"/>
      <c r="H151" s="98">
        <f>SUM(G152:G155)</f>
        <v>0</v>
      </c>
      <c r="I151" s="97"/>
      <c r="J151" s="99" t="str">
        <f>IF(H151&gt;E151,"Increase","Decrease or No Change")</f>
        <v>Decrease or No Change</v>
      </c>
      <c r="K151" s="100">
        <f>H151-E151</f>
        <v>0</v>
      </c>
    </row>
    <row r="152" spans="2:11" s="101" customFormat="1" ht="18" customHeight="1" x14ac:dyDescent="0.2">
      <c r="B152" s="111" t="s">
        <v>614</v>
      </c>
      <c r="C152" s="112" t="s">
        <v>615</v>
      </c>
      <c r="D152" s="113">
        <v>0</v>
      </c>
      <c r="E152" s="113"/>
      <c r="F152" s="112"/>
      <c r="G152" s="114">
        <f>'33'!K26</f>
        <v>0</v>
      </c>
      <c r="H152" s="114"/>
      <c r="I152" s="112"/>
      <c r="J152" s="113"/>
      <c r="K152" s="115"/>
    </row>
    <row r="153" spans="2:11" s="101" customFormat="1" ht="18" customHeight="1" x14ac:dyDescent="0.2">
      <c r="B153" s="111" t="s">
        <v>620</v>
      </c>
      <c r="C153" s="112" t="s">
        <v>621</v>
      </c>
      <c r="D153" s="113">
        <v>0</v>
      </c>
      <c r="E153" s="113"/>
      <c r="F153" s="112"/>
      <c r="G153" s="114">
        <f>'33'!K37</f>
        <v>0</v>
      </c>
      <c r="H153" s="114"/>
      <c r="I153" s="112"/>
      <c r="J153" s="113"/>
      <c r="K153" s="115"/>
    </row>
    <row r="154" spans="2:11" s="101" customFormat="1" ht="18" customHeight="1" x14ac:dyDescent="0.2">
      <c r="B154" s="111" t="s">
        <v>626</v>
      </c>
      <c r="C154" s="112" t="s">
        <v>627</v>
      </c>
      <c r="D154" s="113">
        <v>0</v>
      </c>
      <c r="E154" s="113"/>
      <c r="F154" s="112"/>
      <c r="G154" s="114">
        <f>'33'!K45</f>
        <v>0</v>
      </c>
      <c r="H154" s="114"/>
      <c r="I154" s="112"/>
      <c r="J154" s="113"/>
      <c r="K154" s="115"/>
    </row>
    <row r="155" spans="2:11" ht="15" customHeight="1" thickBot="1" x14ac:dyDescent="0.3">
      <c r="B155" s="81" t="s">
        <v>636</v>
      </c>
      <c r="C155" s="72" t="s">
        <v>637</v>
      </c>
      <c r="D155" s="71">
        <v>0</v>
      </c>
      <c r="E155" s="71"/>
      <c r="F155" s="72"/>
      <c r="G155" s="70">
        <f>'33'!K54</f>
        <v>0</v>
      </c>
      <c r="H155" s="70"/>
      <c r="I155" s="72"/>
      <c r="J155" s="71"/>
      <c r="K155" s="73"/>
    </row>
    <row r="156" spans="2:11" ht="6.95" customHeight="1" x14ac:dyDescent="0.25">
      <c r="B156" s="74"/>
      <c r="C156" s="75"/>
      <c r="D156" s="78"/>
      <c r="E156" s="78"/>
      <c r="F156" s="76"/>
      <c r="G156" s="76"/>
      <c r="H156" s="76"/>
      <c r="I156" s="76"/>
      <c r="J156" s="78"/>
      <c r="K156" s="89"/>
    </row>
    <row r="157" spans="2:11" ht="15" customHeight="1" x14ac:dyDescent="0.2">
      <c r="B157" s="17"/>
      <c r="C157" s="894" t="s">
        <v>687</v>
      </c>
      <c r="D157" s="896"/>
      <c r="E157" s="896"/>
      <c r="F157" s="24"/>
      <c r="G157" s="897">
        <f>'Estimate Summary'!D68</f>
        <v>529493.95658036391</v>
      </c>
      <c r="H157" s="897"/>
      <c r="J157" s="883" t="str">
        <f>IF(G157&gt;D157,"Increase","Decrease or No Change")</f>
        <v>Increase</v>
      </c>
      <c r="K157" s="895">
        <f>G157-D157</f>
        <v>529493.95658036391</v>
      </c>
    </row>
    <row r="158" spans="2:11" ht="15" customHeight="1" x14ac:dyDescent="0.2">
      <c r="B158" s="17"/>
      <c r="C158" s="894"/>
      <c r="D158" s="896"/>
      <c r="E158" s="896"/>
      <c r="F158" s="24"/>
      <c r="G158" s="897"/>
      <c r="H158" s="897"/>
      <c r="J158" s="883"/>
      <c r="K158" s="895"/>
    </row>
    <row r="159" spans="2:11" ht="15" customHeight="1" x14ac:dyDescent="0.2">
      <c r="B159" s="17"/>
      <c r="C159" s="898" t="s">
        <v>93</v>
      </c>
      <c r="D159" s="880">
        <f>SUM(E8:E155)+D157</f>
        <v>0</v>
      </c>
      <c r="E159" s="880"/>
      <c r="F159" s="50"/>
      <c r="G159" s="880">
        <f>SUM(H8:H155)+G157</f>
        <v>10856556.088187641</v>
      </c>
      <c r="H159" s="880"/>
      <c r="J159" s="883" t="str">
        <f>IF(G159&gt;D159,"Increase","Decrease or No Change")</f>
        <v>Increase</v>
      </c>
      <c r="K159" s="895">
        <f>G159-D159</f>
        <v>10856556.088187641</v>
      </c>
    </row>
    <row r="160" spans="2:11" ht="15" customHeight="1" x14ac:dyDescent="0.2">
      <c r="B160" s="17"/>
      <c r="C160" s="898"/>
      <c r="D160" s="880"/>
      <c r="E160" s="880"/>
      <c r="F160" s="50"/>
      <c r="G160" s="880"/>
      <c r="H160" s="880"/>
      <c r="J160" s="883"/>
      <c r="K160" s="895"/>
    </row>
    <row r="161" spans="2:13" ht="15" customHeight="1" x14ac:dyDescent="0.2">
      <c r="B161" s="17"/>
      <c r="C161" s="25"/>
      <c r="D161" s="881"/>
      <c r="E161" s="881"/>
      <c r="F161" s="51"/>
      <c r="G161" s="26"/>
      <c r="H161" s="26"/>
      <c r="J161" s="65"/>
      <c r="K161" s="66"/>
    </row>
    <row r="162" spans="2:13" ht="15" customHeight="1" x14ac:dyDescent="0.2">
      <c r="B162" s="17"/>
      <c r="C162" s="25"/>
      <c r="D162" s="881"/>
      <c r="E162" s="881"/>
      <c r="F162" s="51"/>
      <c r="G162" s="26"/>
      <c r="H162" s="26"/>
      <c r="J162" s="65"/>
      <c r="K162" s="66"/>
    </row>
    <row r="163" spans="2:13" ht="15" customHeight="1" x14ac:dyDescent="0.2">
      <c r="B163" s="17"/>
      <c r="C163" s="25"/>
      <c r="D163" s="882"/>
      <c r="E163" s="882"/>
      <c r="F163" s="50"/>
      <c r="G163" s="26"/>
      <c r="H163" s="26"/>
      <c r="J163" s="65"/>
      <c r="K163" s="66"/>
    </row>
    <row r="164" spans="2:13" ht="15" customHeight="1" thickBot="1" x14ac:dyDescent="0.25">
      <c r="B164" s="18"/>
      <c r="C164" s="19"/>
      <c r="D164" s="27"/>
      <c r="E164" s="28"/>
      <c r="F164" s="28"/>
      <c r="G164" s="20"/>
      <c r="H164" s="20"/>
      <c r="I164" s="28"/>
      <c r="J164" s="27"/>
      <c r="K164" s="67"/>
    </row>
    <row r="165" spans="2:13" ht="13.5" thickTop="1" x14ac:dyDescent="0.2"/>
    <row r="167" spans="2:13" x14ac:dyDescent="0.2">
      <c r="C167" s="29"/>
      <c r="D167" s="29"/>
      <c r="E167" s="29"/>
      <c r="G167" s="29"/>
      <c r="J167" s="30"/>
      <c r="L167" s="31"/>
      <c r="M167" s="2"/>
    </row>
    <row r="168" spans="2:13" x14ac:dyDescent="0.2">
      <c r="C168"/>
      <c r="G168" s="32"/>
      <c r="H168" s="2"/>
      <c r="J168" s="30"/>
      <c r="L168" s="31"/>
      <c r="M168" s="2"/>
    </row>
    <row r="169" spans="2:13" x14ac:dyDescent="0.2">
      <c r="C169"/>
      <c r="G169" s="32"/>
      <c r="H169" s="2"/>
      <c r="J169" s="30"/>
      <c r="L169" s="31"/>
      <c r="M169" s="2"/>
    </row>
    <row r="170" spans="2:13" x14ac:dyDescent="0.2">
      <c r="C170"/>
      <c r="G170" s="32"/>
      <c r="H170" s="33"/>
      <c r="J170" s="30"/>
      <c r="L170" s="31"/>
      <c r="M170" s="2"/>
    </row>
    <row r="171" spans="2:13" x14ac:dyDescent="0.2">
      <c r="C171"/>
      <c r="G171" s="32"/>
      <c r="H171" s="33"/>
    </row>
    <row r="172" spans="2:13" x14ac:dyDescent="0.2">
      <c r="C172"/>
      <c r="D172" s="29"/>
      <c r="E172" s="29"/>
      <c r="G172" s="32"/>
      <c r="H172" s="2"/>
    </row>
  </sheetData>
  <mergeCells count="20">
    <mergeCell ref="D163:E163"/>
    <mergeCell ref="J159:J160"/>
    <mergeCell ref="B2:C2"/>
    <mergeCell ref="I2:K4"/>
    <mergeCell ref="B3:C3"/>
    <mergeCell ref="C157:C158"/>
    <mergeCell ref="K157:K158"/>
    <mergeCell ref="D157:E158"/>
    <mergeCell ref="G157:H158"/>
    <mergeCell ref="J157:J158"/>
    <mergeCell ref="K159:K160"/>
    <mergeCell ref="C159:C160"/>
    <mergeCell ref="D6:E6"/>
    <mergeCell ref="D7:E7"/>
    <mergeCell ref="G6:H6"/>
    <mergeCell ref="G7:H7"/>
    <mergeCell ref="D159:E160"/>
    <mergeCell ref="G159:H160"/>
    <mergeCell ref="D161:E161"/>
    <mergeCell ref="D162:E162"/>
  </mergeCells>
  <pageMargins left="0.7" right="1.2814814814814814" top="0.75" bottom="0.75" header="0.3" footer="0.3"/>
  <pageSetup scale="40" orientation="portrait" copies="3" r:id="rId1"/>
  <headerFooter>
    <oddHeader>&amp;L&amp;G</oddHeader>
    <oddFooter>&amp;L&amp;"Arial,Regular"&amp;12&amp;D&amp;R&amp;"Arial,Regular"&amp;12&amp;P/&amp;N</oddFooter>
  </headerFooter>
  <rowBreaks count="1" manualBreakCount="1">
    <brk id="83" max="10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73"/>
  <sheetViews>
    <sheetView topLeftCell="A147" zoomScaleNormal="100" zoomScaleSheetLayoutView="100" workbookViewId="0">
      <selection activeCell="G170" sqref="G170:H171"/>
    </sheetView>
  </sheetViews>
  <sheetFormatPr defaultColWidth="11.42578125" defaultRowHeight="12.75" x14ac:dyDescent="0.2"/>
  <cols>
    <col min="1" max="1" width="1.140625" style="157" customWidth="1"/>
    <col min="2" max="2" width="13.140625" style="158" bestFit="1" customWidth="1"/>
    <col min="3" max="3" width="58.140625" style="159" customWidth="1"/>
    <col min="4" max="4" width="14.42578125" style="159" hidden="1" customWidth="1"/>
    <col min="5" max="5" width="12.42578125" style="159" hidden="1" customWidth="1"/>
    <col min="6" max="6" width="12.85546875" style="157" hidden="1" customWidth="1"/>
    <col min="7" max="7" width="25.85546875" style="157" customWidth="1"/>
    <col min="8" max="8" width="23.140625" style="157" customWidth="1"/>
    <col min="9" max="9" width="6.85546875" style="157" customWidth="1"/>
    <col min="10" max="10" width="8.140625" style="157" customWidth="1"/>
    <col min="11" max="11" width="12.85546875" style="157" bestFit="1" customWidth="1"/>
    <col min="12" max="16384" width="11.42578125" style="157"/>
  </cols>
  <sheetData>
    <row r="1" spans="2:9" ht="6.95" customHeight="1" thickBot="1" x14ac:dyDescent="0.25">
      <c r="B1" s="138"/>
      <c r="C1" s="139"/>
      <c r="D1" s="139"/>
      <c r="E1" s="139"/>
      <c r="F1" s="156"/>
      <c r="G1" s="140"/>
      <c r="H1" s="141"/>
      <c r="I1" s="160"/>
    </row>
    <row r="2" spans="2:9" ht="6" customHeight="1" x14ac:dyDescent="0.2">
      <c r="B2" s="161"/>
      <c r="C2" s="162"/>
      <c r="D2" s="162"/>
      <c r="E2" s="162"/>
      <c r="F2" s="163"/>
      <c r="G2" s="164"/>
      <c r="H2" s="165"/>
      <c r="I2" s="160"/>
    </row>
    <row r="3" spans="2:9" ht="21" customHeight="1" x14ac:dyDescent="0.3">
      <c r="B3" s="908" t="str">
        <f>'Estimate Summary'!D5</f>
        <v>2500 Mountain Road Multi-Res</v>
      </c>
      <c r="C3" s="909"/>
      <c r="D3" s="166"/>
      <c r="E3" s="166"/>
      <c r="F3" s="904" t="s">
        <v>961</v>
      </c>
      <c r="G3" s="904"/>
      <c r="H3" s="905"/>
    </row>
    <row r="4" spans="2:9" ht="18" x14ac:dyDescent="0.25">
      <c r="B4" s="902"/>
      <c r="C4" s="903"/>
      <c r="D4" s="167"/>
      <c r="E4" s="167"/>
      <c r="F4" s="904"/>
      <c r="G4" s="904"/>
      <c r="H4" s="905"/>
    </row>
    <row r="5" spans="2:9" ht="18" customHeight="1" x14ac:dyDescent="0.2">
      <c r="B5" s="168" t="s">
        <v>778</v>
      </c>
      <c r="C5" s="169">
        <v>45421</v>
      </c>
      <c r="D5" s="170"/>
      <c r="E5" s="170"/>
      <c r="F5" s="906"/>
      <c r="G5" s="906"/>
      <c r="H5" s="907"/>
    </row>
    <row r="6" spans="2:9" ht="9" customHeight="1" thickBot="1" x14ac:dyDescent="0.25">
      <c r="B6" s="171"/>
      <c r="C6" s="172"/>
      <c r="D6" s="172"/>
      <c r="E6" s="172"/>
      <c r="F6" s="173"/>
      <c r="G6" s="174"/>
      <c r="H6" s="175"/>
    </row>
    <row r="7" spans="2:9" ht="18" customHeight="1" x14ac:dyDescent="0.25">
      <c r="B7" s="176" t="s">
        <v>686</v>
      </c>
      <c r="C7" s="177" t="s">
        <v>3</v>
      </c>
      <c r="D7" s="177"/>
      <c r="E7" s="177"/>
      <c r="F7" s="178"/>
      <c r="G7" s="179"/>
      <c r="H7" s="180">
        <f>SUM(G8:G18)</f>
        <v>584281.12226690026</v>
      </c>
    </row>
    <row r="8" spans="2:9" ht="17.100000000000001" hidden="1" customHeight="1" x14ac:dyDescent="0.2">
      <c r="B8" s="181" t="s">
        <v>103</v>
      </c>
      <c r="C8" s="14" t="s">
        <v>102</v>
      </c>
      <c r="D8" s="14"/>
      <c r="E8" s="14"/>
      <c r="G8" s="182">
        <f>'1'!K24</f>
        <v>0</v>
      </c>
      <c r="H8" s="183"/>
    </row>
    <row r="9" spans="2:9" ht="17.100000000000001" customHeight="1" x14ac:dyDescent="0.2">
      <c r="B9" s="184" t="s">
        <v>104</v>
      </c>
      <c r="C9" s="15" t="s">
        <v>105</v>
      </c>
      <c r="D9" s="15"/>
      <c r="E9" s="15"/>
      <c r="G9" s="182">
        <f>'1'!K35</f>
        <v>165000</v>
      </c>
      <c r="H9" s="183"/>
    </row>
    <row r="10" spans="2:9" ht="17.100000000000001" customHeight="1" x14ac:dyDescent="0.2">
      <c r="B10" s="184" t="s">
        <v>810</v>
      </c>
      <c r="C10" s="15" t="s">
        <v>930</v>
      </c>
      <c r="D10" s="15"/>
      <c r="E10" s="15"/>
      <c r="G10" s="182">
        <f>'1'!K45+'1'!K56</f>
        <v>0</v>
      </c>
      <c r="H10" s="183" t="s">
        <v>1011</v>
      </c>
    </row>
    <row r="11" spans="2:9" ht="17.100000000000001" customHeight="1" x14ac:dyDescent="0.2">
      <c r="B11" s="184" t="s">
        <v>106</v>
      </c>
      <c r="C11" s="15" t="s">
        <v>107</v>
      </c>
      <c r="D11" s="15"/>
      <c r="E11" s="15"/>
      <c r="G11" s="182">
        <f>'1'!K67</f>
        <v>3000</v>
      </c>
      <c r="H11" s="183" t="s">
        <v>1011</v>
      </c>
    </row>
    <row r="12" spans="2:9" ht="17.100000000000001" customHeight="1" x14ac:dyDescent="0.2">
      <c r="B12" s="184" t="s">
        <v>144</v>
      </c>
      <c r="C12" s="15" t="s">
        <v>145</v>
      </c>
      <c r="D12" s="15"/>
      <c r="E12" s="15"/>
      <c r="G12" s="182">
        <f>'1'!K76</f>
        <v>8000</v>
      </c>
      <c r="H12" s="183"/>
    </row>
    <row r="13" spans="2:9" ht="17.100000000000001" customHeight="1" x14ac:dyDescent="0.2">
      <c r="B13" s="184" t="s">
        <v>108</v>
      </c>
      <c r="C13" s="15" t="s">
        <v>109</v>
      </c>
      <c r="D13" s="15"/>
      <c r="E13" s="15"/>
      <c r="G13" s="182">
        <f>'1'!K87</f>
        <v>15000</v>
      </c>
      <c r="H13" s="183"/>
    </row>
    <row r="14" spans="2:9" ht="17.100000000000001" customHeight="1" x14ac:dyDescent="0.2">
      <c r="B14" s="184" t="s">
        <v>111</v>
      </c>
      <c r="C14" s="15" t="s">
        <v>110</v>
      </c>
      <c r="D14" s="15"/>
      <c r="E14" s="15"/>
      <c r="G14" s="182">
        <f>'1'!K97</f>
        <v>35468.078905137212</v>
      </c>
      <c r="H14" s="183"/>
    </row>
    <row r="15" spans="2:9" ht="17.100000000000001" customHeight="1" x14ac:dyDescent="0.2">
      <c r="B15" s="184" t="s">
        <v>112</v>
      </c>
      <c r="C15" s="15" t="s">
        <v>75</v>
      </c>
      <c r="D15" s="15"/>
      <c r="E15" s="15"/>
      <c r="G15" s="182">
        <f>'1'!K100</f>
        <v>30000</v>
      </c>
      <c r="H15" s="183"/>
    </row>
    <row r="16" spans="2:9" ht="17.100000000000001" customHeight="1" x14ac:dyDescent="0.2">
      <c r="B16" s="184" t="s">
        <v>112</v>
      </c>
      <c r="C16" s="15" t="s">
        <v>963</v>
      </c>
      <c r="D16" s="15"/>
      <c r="E16" s="15"/>
      <c r="G16" s="182">
        <f>'1'!K105+'1'!K120-G15</f>
        <v>248313.04336176312</v>
      </c>
      <c r="H16" s="183"/>
    </row>
    <row r="17" spans="2:8" ht="17.100000000000001" customHeight="1" x14ac:dyDescent="0.2">
      <c r="B17" s="184" t="s">
        <v>114</v>
      </c>
      <c r="C17" s="15" t="s">
        <v>115</v>
      </c>
      <c r="D17" s="15"/>
      <c r="E17" s="15"/>
      <c r="G17" s="182">
        <f>'1'!K128</f>
        <v>25000</v>
      </c>
      <c r="H17" s="183"/>
    </row>
    <row r="18" spans="2:8" ht="17.100000000000001" customHeight="1" x14ac:dyDescent="0.2">
      <c r="B18" s="184" t="s">
        <v>116</v>
      </c>
      <c r="C18" s="15" t="s">
        <v>117</v>
      </c>
      <c r="D18" s="15"/>
      <c r="E18" s="15"/>
      <c r="G18" s="182">
        <f>'1'!K136</f>
        <v>54500</v>
      </c>
      <c r="H18" s="183"/>
    </row>
    <row r="19" spans="2:8" ht="5.0999999999999996" customHeight="1" x14ac:dyDescent="0.2">
      <c r="B19" s="185"/>
      <c r="C19" s="186"/>
      <c r="D19" s="186"/>
      <c r="E19" s="186"/>
      <c r="F19" s="187"/>
      <c r="G19" s="188"/>
      <c r="H19" s="189"/>
    </row>
    <row r="20" spans="2:8" ht="18.95" hidden="1" customHeight="1" x14ac:dyDescent="0.25">
      <c r="B20" s="190" t="s">
        <v>153</v>
      </c>
      <c r="C20" s="191" t="s">
        <v>155</v>
      </c>
      <c r="D20" s="191"/>
      <c r="E20" s="191"/>
      <c r="G20" s="158"/>
      <c r="H20" s="192">
        <f>SUM(G21:G23)</f>
        <v>0</v>
      </c>
    </row>
    <row r="21" spans="2:8" ht="17.100000000000001" hidden="1" customHeight="1" x14ac:dyDescent="0.2">
      <c r="B21" s="193" t="s">
        <v>154</v>
      </c>
      <c r="C21" s="194" t="s">
        <v>78</v>
      </c>
      <c r="D21" s="194"/>
      <c r="E21" s="194"/>
      <c r="G21" s="182">
        <f>'2'!K26</f>
        <v>0</v>
      </c>
      <c r="H21" s="183"/>
    </row>
    <row r="22" spans="2:8" ht="17.100000000000001" hidden="1" customHeight="1" x14ac:dyDescent="0.2">
      <c r="B22" s="193" t="s">
        <v>156</v>
      </c>
      <c r="C22" s="194" t="s">
        <v>157</v>
      </c>
      <c r="D22" s="194"/>
      <c r="E22" s="194"/>
      <c r="G22" s="182">
        <f>'2'!K37</f>
        <v>0</v>
      </c>
      <c r="H22" s="183"/>
    </row>
    <row r="23" spans="2:8" ht="17.100000000000001" hidden="1" customHeight="1" x14ac:dyDescent="0.2">
      <c r="B23" s="193" t="s">
        <v>158</v>
      </c>
      <c r="C23" s="194" t="s">
        <v>534</v>
      </c>
      <c r="D23" s="194"/>
      <c r="E23" s="194"/>
      <c r="G23" s="182">
        <f>'2'!K48</f>
        <v>0</v>
      </c>
      <c r="H23" s="183"/>
    </row>
    <row r="24" spans="2:8" ht="5.0999999999999996" hidden="1" customHeight="1" x14ac:dyDescent="0.2">
      <c r="B24" s="185"/>
      <c r="C24" s="186"/>
      <c r="D24" s="186"/>
      <c r="E24" s="186"/>
      <c r="F24" s="187"/>
      <c r="G24" s="188"/>
      <c r="H24" s="189"/>
    </row>
    <row r="25" spans="2:8" ht="18.95" customHeight="1" x14ac:dyDescent="0.25">
      <c r="B25" s="190" t="s">
        <v>159</v>
      </c>
      <c r="C25" s="191" t="s">
        <v>4</v>
      </c>
      <c r="D25" s="191"/>
      <c r="E25" s="191"/>
      <c r="G25" s="158"/>
      <c r="H25" s="192">
        <f>SUM(G26:G30)</f>
        <v>670607.86089593242</v>
      </c>
    </row>
    <row r="26" spans="2:8" ht="17.100000000000001" customHeight="1" x14ac:dyDescent="0.2">
      <c r="B26" s="193" t="s">
        <v>160</v>
      </c>
      <c r="C26" s="194" t="s">
        <v>161</v>
      </c>
      <c r="D26" s="194"/>
      <c r="E26" s="194"/>
      <c r="G26" s="182">
        <f>'3'!K26</f>
        <v>302400</v>
      </c>
      <c r="H26" s="183"/>
    </row>
    <row r="27" spans="2:8" ht="17.100000000000001" hidden="1" customHeight="1" x14ac:dyDescent="0.2">
      <c r="B27" s="193" t="s">
        <v>163</v>
      </c>
      <c r="C27" s="194" t="s">
        <v>162</v>
      </c>
      <c r="D27" s="194"/>
      <c r="E27" s="194"/>
      <c r="G27" s="182">
        <f>'3'!K37</f>
        <v>0</v>
      </c>
      <c r="H27" s="183"/>
    </row>
    <row r="28" spans="2:8" ht="17.100000000000001" customHeight="1" x14ac:dyDescent="0.2">
      <c r="B28" s="193" t="s">
        <v>164</v>
      </c>
      <c r="C28" s="194" t="s">
        <v>168</v>
      </c>
      <c r="D28" s="194"/>
      <c r="E28" s="194"/>
      <c r="G28" s="182">
        <f>'3'!K50+'3'!K59</f>
        <v>222322.86089593248</v>
      </c>
      <c r="H28" s="183"/>
    </row>
    <row r="29" spans="2:8" ht="17.100000000000001" customHeight="1" x14ac:dyDescent="0.2">
      <c r="B29" s="193" t="s">
        <v>166</v>
      </c>
      <c r="C29" s="194" t="s">
        <v>170</v>
      </c>
      <c r="D29" s="194"/>
      <c r="E29" s="194"/>
      <c r="G29" s="182">
        <f>'3'!K70</f>
        <v>77850</v>
      </c>
      <c r="H29" s="183"/>
    </row>
    <row r="30" spans="2:8" ht="17.100000000000001" customHeight="1" x14ac:dyDescent="0.2">
      <c r="B30" s="193" t="s">
        <v>167</v>
      </c>
      <c r="C30" s="194" t="s">
        <v>171</v>
      </c>
      <c r="D30" s="194"/>
      <c r="E30" s="194"/>
      <c r="G30" s="182">
        <f>'3'!K79</f>
        <v>68035</v>
      </c>
      <c r="H30" s="183"/>
    </row>
    <row r="31" spans="2:8" ht="5.0999999999999996" customHeight="1" x14ac:dyDescent="0.2">
      <c r="B31" s="185"/>
      <c r="C31" s="186"/>
      <c r="D31" s="186"/>
      <c r="E31" s="186"/>
      <c r="F31" s="187"/>
      <c r="G31" s="188"/>
      <c r="H31" s="189"/>
    </row>
    <row r="32" spans="2:8" ht="17.100000000000001" customHeight="1" x14ac:dyDescent="0.25">
      <c r="B32" s="190" t="s">
        <v>172</v>
      </c>
      <c r="C32" s="191" t="s">
        <v>5</v>
      </c>
      <c r="D32" s="191"/>
      <c r="E32" s="191"/>
      <c r="G32" s="158"/>
      <c r="H32" s="192">
        <f>SUM(G33:G34)</f>
        <v>140360</v>
      </c>
    </row>
    <row r="33" spans="2:8" ht="17.100000000000001" customHeight="1" x14ac:dyDescent="0.2">
      <c r="B33" s="193" t="s">
        <v>173</v>
      </c>
      <c r="C33" s="194" t="s">
        <v>1200</v>
      </c>
      <c r="D33" s="194"/>
      <c r="E33" s="194"/>
      <c r="G33" s="182">
        <f>'4'!K26</f>
        <v>140360</v>
      </c>
      <c r="H33" s="183"/>
    </row>
    <row r="34" spans="2:8" ht="17.100000000000001" hidden="1" customHeight="1" x14ac:dyDescent="0.2">
      <c r="B34" s="193" t="s">
        <v>688</v>
      </c>
      <c r="C34" s="194" t="s">
        <v>689</v>
      </c>
      <c r="D34" s="194"/>
      <c r="E34" s="194"/>
      <c r="G34" s="182">
        <f>'4'!K37</f>
        <v>0</v>
      </c>
      <c r="H34" s="183"/>
    </row>
    <row r="35" spans="2:8" ht="5.0999999999999996" customHeight="1" x14ac:dyDescent="0.2">
      <c r="B35" s="185"/>
      <c r="C35" s="186"/>
      <c r="D35" s="186"/>
      <c r="E35" s="186"/>
      <c r="F35" s="187"/>
      <c r="G35" s="188"/>
      <c r="H35" s="189"/>
    </row>
    <row r="36" spans="2:8" ht="18.95" customHeight="1" x14ac:dyDescent="0.25">
      <c r="B36" s="190" t="s">
        <v>178</v>
      </c>
      <c r="C36" s="191" t="s">
        <v>6</v>
      </c>
      <c r="D36" s="191"/>
      <c r="E36" s="191"/>
      <c r="G36" s="158"/>
      <c r="H36" s="192">
        <f>SUM(G37:G40)</f>
        <v>214970</v>
      </c>
    </row>
    <row r="37" spans="2:8" ht="17.100000000000001" customHeight="1" x14ac:dyDescent="0.2">
      <c r="B37" s="195" t="s">
        <v>179</v>
      </c>
      <c r="C37" s="194" t="s">
        <v>185</v>
      </c>
      <c r="D37" s="194"/>
      <c r="E37" s="194"/>
      <c r="G37" s="182">
        <f>'5'!K26</f>
        <v>141400</v>
      </c>
      <c r="H37" s="183"/>
    </row>
    <row r="38" spans="2:8" ht="17.100000000000001" hidden="1" customHeight="1" x14ac:dyDescent="0.2">
      <c r="B38" s="195" t="s">
        <v>180</v>
      </c>
      <c r="C38" s="194" t="s">
        <v>186</v>
      </c>
      <c r="D38" s="194"/>
      <c r="E38" s="194"/>
      <c r="G38" s="182">
        <f>'5'!K37</f>
        <v>0</v>
      </c>
      <c r="H38" s="183"/>
    </row>
    <row r="39" spans="2:8" ht="17.100000000000001" hidden="1" customHeight="1" x14ac:dyDescent="0.2">
      <c r="B39" s="195" t="s">
        <v>181</v>
      </c>
      <c r="C39" s="194" t="s">
        <v>187</v>
      </c>
      <c r="D39" s="194"/>
      <c r="E39" s="194"/>
      <c r="G39" s="182">
        <f>'5'!K45</f>
        <v>0</v>
      </c>
      <c r="H39" s="183"/>
    </row>
    <row r="40" spans="2:8" ht="17.100000000000001" customHeight="1" x14ac:dyDescent="0.2">
      <c r="B40" s="195" t="s">
        <v>690</v>
      </c>
      <c r="C40" s="194" t="s">
        <v>1201</v>
      </c>
      <c r="D40" s="194"/>
      <c r="E40" s="194"/>
      <c r="G40" s="182">
        <f>'5'!K54+'5'!K65+'5'!K74</f>
        <v>73570</v>
      </c>
      <c r="H40" s="183"/>
    </row>
    <row r="41" spans="2:8" ht="5.0999999999999996" customHeight="1" x14ac:dyDescent="0.2">
      <c r="B41" s="185"/>
      <c r="C41" s="186"/>
      <c r="D41" s="186"/>
      <c r="E41" s="186"/>
      <c r="F41" s="187"/>
      <c r="G41" s="188"/>
      <c r="H41" s="189"/>
    </row>
    <row r="42" spans="2:8" ht="18.95" customHeight="1" x14ac:dyDescent="0.25">
      <c r="B42" s="190" t="s">
        <v>191</v>
      </c>
      <c r="C42" s="191" t="s">
        <v>192</v>
      </c>
      <c r="D42" s="191"/>
      <c r="E42" s="191"/>
      <c r="G42" s="158"/>
      <c r="H42" s="192">
        <f>SUM(G43:G46)</f>
        <v>2574857.5544444444</v>
      </c>
    </row>
    <row r="43" spans="2:8" ht="17.100000000000001" customHeight="1" x14ac:dyDescent="0.2">
      <c r="B43" s="195" t="s">
        <v>725</v>
      </c>
      <c r="C43" s="196" t="s">
        <v>906</v>
      </c>
      <c r="D43" s="196"/>
      <c r="E43" s="196"/>
      <c r="G43" s="182">
        <f>'6'!K19</f>
        <v>571330</v>
      </c>
      <c r="H43" s="183"/>
    </row>
    <row r="44" spans="2:8" ht="17.100000000000001" customHeight="1" x14ac:dyDescent="0.2">
      <c r="B44" s="195" t="s">
        <v>725</v>
      </c>
      <c r="C44" s="196" t="s">
        <v>923</v>
      </c>
      <c r="D44" s="196"/>
      <c r="E44" s="196"/>
      <c r="G44" s="182">
        <f>'6'!K36</f>
        <v>1261823.6599999999</v>
      </c>
      <c r="H44" s="183"/>
    </row>
    <row r="45" spans="2:8" ht="17.100000000000001" customHeight="1" x14ac:dyDescent="0.2">
      <c r="B45" s="195" t="s">
        <v>194</v>
      </c>
      <c r="C45" s="196" t="s">
        <v>48</v>
      </c>
      <c r="D45" s="196"/>
      <c r="E45" s="196"/>
      <c r="G45" s="182">
        <f>'6'!K47</f>
        <v>425900</v>
      </c>
      <c r="H45" s="183"/>
    </row>
    <row r="46" spans="2:8" ht="17.100000000000001" customHeight="1" x14ac:dyDescent="0.2">
      <c r="B46" s="195" t="s">
        <v>692</v>
      </c>
      <c r="C46" s="196" t="s">
        <v>693</v>
      </c>
      <c r="D46" s="196"/>
      <c r="E46" s="196"/>
      <c r="G46" s="182">
        <f>'6'!K55+'6'!K64+'6'!K75+'6'!K84+'6'!K91</f>
        <v>315803.89444444445</v>
      </c>
      <c r="H46" s="183"/>
    </row>
    <row r="47" spans="2:8" ht="5.0999999999999996" customHeight="1" x14ac:dyDescent="0.2">
      <c r="B47" s="185"/>
      <c r="C47" s="186"/>
      <c r="D47" s="186"/>
      <c r="E47" s="186"/>
      <c r="F47" s="187"/>
      <c r="G47" s="188"/>
      <c r="H47" s="189"/>
    </row>
    <row r="48" spans="2:8" ht="18.95" customHeight="1" x14ac:dyDescent="0.25">
      <c r="B48" s="190" t="s">
        <v>205</v>
      </c>
      <c r="C48" s="191" t="s">
        <v>57</v>
      </c>
      <c r="D48" s="191"/>
      <c r="E48" s="191"/>
      <c r="G48" s="158"/>
      <c r="H48" s="192">
        <f>SUM(G49:G58)</f>
        <v>1179521.014</v>
      </c>
    </row>
    <row r="49" spans="2:8" ht="17.100000000000001" customHeight="1" x14ac:dyDescent="0.2">
      <c r="B49" s="195" t="s">
        <v>206</v>
      </c>
      <c r="C49" s="196" t="s">
        <v>207</v>
      </c>
      <c r="D49" s="196"/>
      <c r="E49" s="196"/>
      <c r="G49" s="182">
        <f>'7'!K16</f>
        <v>237835</v>
      </c>
      <c r="H49" s="183"/>
    </row>
    <row r="50" spans="2:8" ht="17.100000000000001" customHeight="1" x14ac:dyDescent="0.2">
      <c r="B50" s="195" t="s">
        <v>214</v>
      </c>
      <c r="C50" s="196" t="s">
        <v>1202</v>
      </c>
      <c r="D50" s="196"/>
      <c r="E50" s="196"/>
      <c r="G50" s="182">
        <f>'7'!K22</f>
        <v>271678.01399999997</v>
      </c>
      <c r="H50" s="183"/>
    </row>
    <row r="51" spans="2:8" ht="17.100000000000001" customHeight="1" x14ac:dyDescent="0.2">
      <c r="B51" s="195" t="s">
        <v>216</v>
      </c>
      <c r="C51" s="196" t="s">
        <v>217</v>
      </c>
      <c r="D51" s="196"/>
      <c r="E51" s="196"/>
      <c r="G51" s="182">
        <f>'7'!K27</f>
        <v>81750</v>
      </c>
      <c r="H51" s="183"/>
    </row>
    <row r="52" spans="2:8" ht="17.100000000000001" hidden="1" customHeight="1" x14ac:dyDescent="0.2">
      <c r="B52" s="195" t="s">
        <v>218</v>
      </c>
      <c r="C52" s="196" t="s">
        <v>219</v>
      </c>
      <c r="D52" s="196"/>
      <c r="E52" s="196"/>
      <c r="G52" s="182">
        <f>'7'!K33</f>
        <v>0</v>
      </c>
      <c r="H52" s="183"/>
    </row>
    <row r="53" spans="2:8" ht="17.100000000000001" customHeight="1" x14ac:dyDescent="0.2">
      <c r="B53" s="195" t="s">
        <v>220</v>
      </c>
      <c r="C53" s="196" t="s">
        <v>58</v>
      </c>
      <c r="D53" s="196"/>
      <c r="E53" s="196"/>
      <c r="G53" s="182">
        <f>'7'!K39</f>
        <v>561708</v>
      </c>
      <c r="H53" s="183"/>
    </row>
    <row r="54" spans="2:8" ht="17.100000000000001" hidden="1" customHeight="1" x14ac:dyDescent="0.2">
      <c r="B54" s="195" t="s">
        <v>694</v>
      </c>
      <c r="C54" s="196" t="s">
        <v>59</v>
      </c>
      <c r="D54" s="196"/>
      <c r="E54" s="196"/>
      <c r="G54" s="182">
        <f>'7'!K45+'7'!K50</f>
        <v>0</v>
      </c>
      <c r="H54" s="183"/>
    </row>
    <row r="55" spans="2:8" ht="17.100000000000001" hidden="1" customHeight="1" x14ac:dyDescent="0.2">
      <c r="B55" s="195" t="s">
        <v>696</v>
      </c>
      <c r="C55" s="196" t="s">
        <v>695</v>
      </c>
      <c r="D55" s="196"/>
      <c r="E55" s="196"/>
      <c r="G55" s="182">
        <f>'7'!K55+'7'!K60+'7'!K66</f>
        <v>0</v>
      </c>
      <c r="H55" s="183"/>
    </row>
    <row r="56" spans="2:8" ht="17.100000000000001" hidden="1" customHeight="1" x14ac:dyDescent="0.2">
      <c r="B56" s="195" t="s">
        <v>231</v>
      </c>
      <c r="C56" s="196" t="s">
        <v>232</v>
      </c>
      <c r="D56" s="196"/>
      <c r="E56" s="196"/>
      <c r="G56" s="182">
        <f>'7'!K72</f>
        <v>0</v>
      </c>
      <c r="H56" s="183"/>
    </row>
    <row r="57" spans="2:8" ht="17.100000000000001" customHeight="1" x14ac:dyDescent="0.2">
      <c r="B57" s="195" t="s">
        <v>697</v>
      </c>
      <c r="C57" s="196" t="s">
        <v>698</v>
      </c>
      <c r="D57" s="196"/>
      <c r="E57" s="196"/>
      <c r="G57" s="182">
        <f>'7'!K78</f>
        <v>26550</v>
      </c>
      <c r="H57" s="183"/>
    </row>
    <row r="58" spans="2:8" ht="17.100000000000001" hidden="1" customHeight="1" x14ac:dyDescent="0.2">
      <c r="B58" s="195" t="s">
        <v>241</v>
      </c>
      <c r="C58" s="196" t="s">
        <v>242</v>
      </c>
      <c r="D58" s="196"/>
      <c r="E58" s="196"/>
      <c r="G58" s="182">
        <f>'7'!K84</f>
        <v>0</v>
      </c>
      <c r="H58" s="183"/>
    </row>
    <row r="59" spans="2:8" ht="5.0999999999999996" customHeight="1" x14ac:dyDescent="0.2">
      <c r="B59" s="185"/>
      <c r="C59" s="186"/>
      <c r="D59" s="186"/>
      <c r="E59" s="186"/>
      <c r="F59" s="187"/>
      <c r="G59" s="188"/>
      <c r="H59" s="189"/>
    </row>
    <row r="60" spans="2:8" ht="18.95" customHeight="1" x14ac:dyDescent="0.25">
      <c r="B60" s="190" t="s">
        <v>243</v>
      </c>
      <c r="C60" s="191" t="s">
        <v>244</v>
      </c>
      <c r="D60" s="191"/>
      <c r="E60" s="191"/>
      <c r="G60" s="158"/>
      <c r="H60" s="192">
        <f>SUM(G61:G67)</f>
        <v>274429.81</v>
      </c>
    </row>
    <row r="61" spans="2:8" ht="17.100000000000001" customHeight="1" x14ac:dyDescent="0.2">
      <c r="B61" s="195" t="s">
        <v>699</v>
      </c>
      <c r="C61" s="196" t="s">
        <v>700</v>
      </c>
      <c r="D61" s="196"/>
      <c r="E61" s="196"/>
      <c r="G61" s="182">
        <f>'8'!K18+'8'!K24</f>
        <v>89875</v>
      </c>
      <c r="H61" s="183"/>
    </row>
    <row r="62" spans="2:8" ht="17.100000000000001" customHeight="1" x14ac:dyDescent="0.2">
      <c r="B62" s="195" t="s">
        <v>701</v>
      </c>
      <c r="C62" s="196" t="s">
        <v>702</v>
      </c>
      <c r="D62" s="196"/>
      <c r="E62" s="196"/>
      <c r="G62" s="182">
        <f>'8'!K29+'8'!K35+'8'!K41+'8'!K47+'8'!K52</f>
        <v>18984.510000000002</v>
      </c>
      <c r="H62" s="183"/>
    </row>
    <row r="63" spans="2:8" ht="17.100000000000001" customHeight="1" x14ac:dyDescent="0.2">
      <c r="B63" s="195" t="s">
        <v>703</v>
      </c>
      <c r="C63" s="196" t="s">
        <v>1203</v>
      </c>
      <c r="D63" s="196"/>
      <c r="E63" s="196"/>
      <c r="G63" s="182">
        <f>'8'!K57+'8'!K62</f>
        <v>39425</v>
      </c>
      <c r="H63" s="183"/>
    </row>
    <row r="64" spans="2:8" ht="17.100000000000001" customHeight="1" x14ac:dyDescent="0.2">
      <c r="B64" s="195" t="s">
        <v>264</v>
      </c>
      <c r="C64" s="196" t="s">
        <v>95</v>
      </c>
      <c r="D64" s="196"/>
      <c r="E64" s="196"/>
      <c r="G64" s="182">
        <f>'8'!K69</f>
        <v>126145.3</v>
      </c>
      <c r="H64" s="183"/>
    </row>
    <row r="65" spans="2:8" ht="17.100000000000001" hidden="1" customHeight="1" x14ac:dyDescent="0.2">
      <c r="B65" s="195" t="s">
        <v>272</v>
      </c>
      <c r="C65" s="196" t="s">
        <v>707</v>
      </c>
      <c r="D65" s="196"/>
      <c r="E65" s="196"/>
      <c r="G65" s="182">
        <f>'8'!K75</f>
        <v>0</v>
      </c>
      <c r="H65" s="183"/>
    </row>
    <row r="66" spans="2:8" ht="17.100000000000001" hidden="1" customHeight="1" x14ac:dyDescent="0.2">
      <c r="B66" s="195" t="s">
        <v>705</v>
      </c>
      <c r="C66" s="196" t="s">
        <v>63</v>
      </c>
      <c r="D66" s="196"/>
      <c r="E66" s="196"/>
      <c r="G66" s="182">
        <f>'8'!K81+'8'!K87+'8'!K93</f>
        <v>0</v>
      </c>
      <c r="H66" s="183"/>
    </row>
    <row r="67" spans="2:8" ht="17.100000000000001" hidden="1" customHeight="1" thickBot="1" x14ac:dyDescent="0.25">
      <c r="B67" s="197" t="s">
        <v>706</v>
      </c>
      <c r="C67" s="198" t="s">
        <v>280</v>
      </c>
      <c r="D67" s="198"/>
      <c r="E67" s="198"/>
      <c r="F67" s="156"/>
      <c r="G67" s="199">
        <f>'8'!K99</f>
        <v>0</v>
      </c>
      <c r="H67" s="200"/>
    </row>
    <row r="68" spans="2:8" ht="5.0999999999999996" customHeight="1" thickBot="1" x14ac:dyDescent="0.25">
      <c r="B68" s="201"/>
      <c r="C68" s="202"/>
      <c r="D68" s="202"/>
      <c r="E68" s="202"/>
      <c r="F68" s="203"/>
      <c r="G68" s="204"/>
      <c r="H68" s="205"/>
    </row>
    <row r="69" spans="2:8" ht="18.95" customHeight="1" x14ac:dyDescent="0.25">
      <c r="B69" s="176" t="s">
        <v>281</v>
      </c>
      <c r="C69" s="177" t="s">
        <v>8</v>
      </c>
      <c r="D69" s="177"/>
      <c r="E69" s="177"/>
      <c r="F69" s="178"/>
      <c r="G69" s="179"/>
      <c r="H69" s="180">
        <f>SUM(G70:G75)</f>
        <v>1747325</v>
      </c>
    </row>
    <row r="70" spans="2:8" ht="17.100000000000001" customHeight="1" x14ac:dyDescent="0.2">
      <c r="B70" s="195" t="s">
        <v>282</v>
      </c>
      <c r="C70" s="196" t="s">
        <v>283</v>
      </c>
      <c r="D70" s="196"/>
      <c r="E70" s="196"/>
      <c r="G70" s="182">
        <f>'9'!K18</f>
        <v>1139222</v>
      </c>
      <c r="H70" s="183"/>
    </row>
    <row r="71" spans="2:8" ht="17.100000000000001" hidden="1" customHeight="1" x14ac:dyDescent="0.2">
      <c r="B71" s="195" t="s">
        <v>284</v>
      </c>
      <c r="C71" s="196" t="s">
        <v>285</v>
      </c>
      <c r="D71" s="196"/>
      <c r="E71" s="196"/>
      <c r="G71" s="182">
        <f>'9'!K26</f>
        <v>0</v>
      </c>
      <c r="H71" s="183"/>
    </row>
    <row r="72" spans="2:8" ht="17.100000000000001" hidden="1" customHeight="1" x14ac:dyDescent="0.2">
      <c r="B72" s="195" t="s">
        <v>286</v>
      </c>
      <c r="C72" s="196" t="s">
        <v>287</v>
      </c>
      <c r="D72" s="196"/>
      <c r="E72" s="196"/>
      <c r="G72" s="182">
        <f>'9'!K32</f>
        <v>0</v>
      </c>
      <c r="H72" s="183"/>
    </row>
    <row r="73" spans="2:8" ht="17.100000000000001" customHeight="1" x14ac:dyDescent="0.2">
      <c r="B73" s="195" t="s">
        <v>288</v>
      </c>
      <c r="C73" s="196" t="s">
        <v>80</v>
      </c>
      <c r="D73" s="196"/>
      <c r="E73" s="196"/>
      <c r="G73" s="182">
        <f>'9'!K47</f>
        <v>411100</v>
      </c>
      <c r="H73" s="183"/>
    </row>
    <row r="74" spans="2:8" ht="17.100000000000001" hidden="1" customHeight="1" x14ac:dyDescent="0.2">
      <c r="B74" s="195" t="s">
        <v>708</v>
      </c>
      <c r="C74" s="196" t="s">
        <v>709</v>
      </c>
      <c r="D74" s="196"/>
      <c r="E74" s="196"/>
      <c r="G74" s="182">
        <f>'9'!K53</f>
        <v>0</v>
      </c>
      <c r="H74" s="183"/>
    </row>
    <row r="75" spans="2:8" ht="17.100000000000001" customHeight="1" x14ac:dyDescent="0.2">
      <c r="B75" s="195" t="s">
        <v>710</v>
      </c>
      <c r="C75" s="196" t="s">
        <v>81</v>
      </c>
      <c r="D75" s="196"/>
      <c r="E75" s="196"/>
      <c r="G75" s="182">
        <f>'9'!K62</f>
        <v>197003</v>
      </c>
      <c r="H75" s="183"/>
    </row>
    <row r="76" spans="2:8" ht="5.0999999999999996" customHeight="1" x14ac:dyDescent="0.2">
      <c r="B76" s="185"/>
      <c r="C76" s="186"/>
      <c r="D76" s="186"/>
      <c r="E76" s="186"/>
      <c r="F76" s="187"/>
      <c r="G76" s="188"/>
      <c r="H76" s="189"/>
    </row>
    <row r="77" spans="2:8" ht="18.95" customHeight="1" x14ac:dyDescent="0.25">
      <c r="B77" s="190" t="s">
        <v>300</v>
      </c>
      <c r="C77" s="191" t="s">
        <v>9</v>
      </c>
      <c r="D77" s="191"/>
      <c r="E77" s="191"/>
      <c r="G77" s="158"/>
      <c r="H77" s="192">
        <f>SUM(G78:G83)</f>
        <v>88173.759999999995</v>
      </c>
    </row>
    <row r="78" spans="2:8" ht="17.100000000000001" hidden="1" customHeight="1" x14ac:dyDescent="0.2">
      <c r="B78" s="195" t="s">
        <v>301</v>
      </c>
      <c r="C78" s="196" t="s">
        <v>302</v>
      </c>
      <c r="D78" s="196"/>
      <c r="E78" s="196"/>
      <c r="G78" s="182">
        <f>'10'!K17</f>
        <v>0</v>
      </c>
      <c r="H78" s="183"/>
    </row>
    <row r="79" spans="2:8" ht="17.100000000000001" customHeight="1" x14ac:dyDescent="0.2">
      <c r="B79" s="195" t="s">
        <v>303</v>
      </c>
      <c r="C79" s="196" t="s">
        <v>1124</v>
      </c>
      <c r="D79" s="196"/>
      <c r="E79" s="196"/>
      <c r="G79" s="182">
        <f>'10'!K25</f>
        <v>10950</v>
      </c>
      <c r="H79" s="183"/>
    </row>
    <row r="80" spans="2:8" ht="17.100000000000001" customHeight="1" x14ac:dyDescent="0.2">
      <c r="B80" s="195" t="s">
        <v>305</v>
      </c>
      <c r="C80" s="196" t="s">
        <v>1204</v>
      </c>
      <c r="D80" s="196"/>
      <c r="E80" s="196"/>
      <c r="G80" s="182">
        <f>'10'!K38</f>
        <v>11989.390000000001</v>
      </c>
      <c r="H80" s="183"/>
    </row>
    <row r="81" spans="2:8" ht="17.100000000000001" customHeight="1" x14ac:dyDescent="0.2">
      <c r="B81" s="195" t="s">
        <v>712</v>
      </c>
      <c r="C81" s="196" t="s">
        <v>1199</v>
      </c>
      <c r="D81" s="196"/>
      <c r="E81" s="196"/>
      <c r="G81" s="182">
        <f>'10'!K57</f>
        <v>32532</v>
      </c>
      <c r="H81" s="183"/>
    </row>
    <row r="82" spans="2:8" ht="17.100000000000001" customHeight="1" x14ac:dyDescent="0.2">
      <c r="B82" s="195" t="s">
        <v>713</v>
      </c>
      <c r="C82" s="196" t="s">
        <v>714</v>
      </c>
      <c r="D82" s="196"/>
      <c r="E82" s="196"/>
      <c r="G82" s="182">
        <f>'10'!K51</f>
        <v>31062.37</v>
      </c>
      <c r="H82" s="183"/>
    </row>
    <row r="83" spans="2:8" ht="17.100000000000001" customHeight="1" x14ac:dyDescent="0.2">
      <c r="B83" s="195" t="s">
        <v>325</v>
      </c>
      <c r="C83" s="196" t="s">
        <v>1125</v>
      </c>
      <c r="D83" s="196"/>
      <c r="E83" s="196"/>
      <c r="G83" s="182">
        <f>'10'!K63</f>
        <v>1640</v>
      </c>
      <c r="H83" s="183"/>
    </row>
    <row r="84" spans="2:8" ht="6.95" customHeight="1" x14ac:dyDescent="0.2">
      <c r="B84" s="849"/>
      <c r="C84" s="186"/>
      <c r="D84" s="186"/>
      <c r="E84" s="186"/>
      <c r="F84" s="187"/>
      <c r="G84" s="188"/>
      <c r="H84" s="850"/>
    </row>
    <row r="85" spans="2:8" ht="18.95" customHeight="1" x14ac:dyDescent="0.25">
      <c r="B85" s="190" t="s">
        <v>332</v>
      </c>
      <c r="C85" s="191" t="s">
        <v>71</v>
      </c>
      <c r="D85" s="191"/>
      <c r="E85" s="191"/>
      <c r="G85" s="158"/>
      <c r="H85" s="192">
        <f>SUM(G86:G89)</f>
        <v>200600</v>
      </c>
    </row>
    <row r="86" spans="2:8" ht="17.100000000000001" hidden="1" customHeight="1" x14ac:dyDescent="0.2">
      <c r="B86" s="195" t="s">
        <v>716</v>
      </c>
      <c r="C86" s="196" t="s">
        <v>715</v>
      </c>
      <c r="D86" s="196"/>
      <c r="E86" s="196"/>
      <c r="G86" s="182">
        <f>'11'!K24+'11'!K35</f>
        <v>0</v>
      </c>
      <c r="H86" s="183"/>
    </row>
    <row r="87" spans="2:8" ht="17.100000000000001" customHeight="1" x14ac:dyDescent="0.2">
      <c r="B87" s="195" t="s">
        <v>337</v>
      </c>
      <c r="C87" s="196" t="s">
        <v>1205</v>
      </c>
      <c r="D87" s="196"/>
      <c r="E87" s="196"/>
      <c r="G87" s="182">
        <f>'11'!K43</f>
        <v>200600</v>
      </c>
      <c r="H87" s="183"/>
    </row>
    <row r="88" spans="2:8" ht="17.100000000000001" hidden="1" customHeight="1" x14ac:dyDescent="0.2">
      <c r="B88" s="195" t="s">
        <v>717</v>
      </c>
      <c r="C88" s="196" t="s">
        <v>72</v>
      </c>
      <c r="D88" s="196"/>
      <c r="E88" s="196"/>
      <c r="G88" s="182">
        <f>'11'!K52+'11'!K63</f>
        <v>0</v>
      </c>
      <c r="H88" s="183"/>
    </row>
    <row r="89" spans="2:8" ht="17.100000000000001" hidden="1" customHeight="1" x14ac:dyDescent="0.2">
      <c r="B89" s="195" t="s">
        <v>718</v>
      </c>
      <c r="C89" s="196" t="s">
        <v>719</v>
      </c>
      <c r="D89" s="196"/>
      <c r="E89" s="196"/>
      <c r="G89" s="182">
        <f>'11'!K72+'11'!K79</f>
        <v>0</v>
      </c>
      <c r="H89" s="183"/>
    </row>
    <row r="90" spans="2:8" ht="5.0999999999999996" customHeight="1" x14ac:dyDescent="0.2">
      <c r="B90" s="185"/>
      <c r="C90" s="186"/>
      <c r="D90" s="186"/>
      <c r="E90" s="186"/>
      <c r="F90" s="187"/>
      <c r="G90" s="188"/>
      <c r="H90" s="189"/>
    </row>
    <row r="91" spans="2:8" ht="18.95" customHeight="1" x14ac:dyDescent="0.25">
      <c r="B91" s="190" t="s">
        <v>353</v>
      </c>
      <c r="C91" s="191" t="s">
        <v>76</v>
      </c>
      <c r="D91" s="191"/>
      <c r="E91" s="191"/>
      <c r="G91" s="158"/>
      <c r="H91" s="192">
        <f>SUM(G92:G93)</f>
        <v>41300</v>
      </c>
    </row>
    <row r="92" spans="2:8" ht="17.100000000000001" customHeight="1" x14ac:dyDescent="0.2">
      <c r="B92" s="195" t="s">
        <v>354</v>
      </c>
      <c r="C92" s="196" t="s">
        <v>355</v>
      </c>
      <c r="D92" s="196"/>
      <c r="E92" s="196"/>
      <c r="G92" s="182">
        <f>'12'!K24+'12'!K35</f>
        <v>41300</v>
      </c>
      <c r="H92" s="183"/>
    </row>
    <row r="93" spans="2:8" ht="17.100000000000001" customHeight="1" x14ac:dyDescent="0.2">
      <c r="B93" s="195" t="s">
        <v>358</v>
      </c>
      <c r="C93" s="196" t="s">
        <v>359</v>
      </c>
      <c r="D93" s="196"/>
      <c r="E93" s="196"/>
      <c r="G93" s="182">
        <f>'12'!K43+'12'!K52+'12'!K63+'12'!K72</f>
        <v>0</v>
      </c>
      <c r="H93" s="183"/>
    </row>
    <row r="94" spans="2:8" ht="5.0999999999999996" customHeight="1" x14ac:dyDescent="0.2">
      <c r="B94" s="185"/>
      <c r="C94" s="186"/>
      <c r="D94" s="186"/>
      <c r="E94" s="186"/>
      <c r="F94" s="187"/>
      <c r="G94" s="188"/>
      <c r="H94" s="189"/>
    </row>
    <row r="95" spans="2:8" ht="18.95" customHeight="1" x14ac:dyDescent="0.25">
      <c r="B95" s="190" t="s">
        <v>366</v>
      </c>
      <c r="C95" s="191" t="s">
        <v>1240</v>
      </c>
      <c r="D95" s="191"/>
      <c r="E95" s="191"/>
      <c r="G95" s="158"/>
      <c r="H95" s="192">
        <f>SUM(G96:G98)</f>
        <v>121400</v>
      </c>
    </row>
    <row r="96" spans="2:8" ht="18.95" customHeight="1" x14ac:dyDescent="0.25">
      <c r="B96" s="190"/>
      <c r="C96" s="194" t="s">
        <v>1237</v>
      </c>
      <c r="D96" s="191"/>
      <c r="E96" s="191"/>
      <c r="G96" s="860">
        <f>'13'!J11+'13'!K16</f>
        <v>96400</v>
      </c>
      <c r="H96" s="192"/>
    </row>
    <row r="97" spans="2:8" ht="18.95" customHeight="1" x14ac:dyDescent="0.25">
      <c r="B97" s="190"/>
      <c r="C97" s="194" t="s">
        <v>726</v>
      </c>
      <c r="D97" s="191"/>
      <c r="E97" s="191"/>
      <c r="G97" s="860">
        <f>'13'!J12</f>
        <v>25000</v>
      </c>
      <c r="H97" s="192"/>
    </row>
    <row r="98" spans="2:8" ht="18.95" customHeight="1" x14ac:dyDescent="0.25">
      <c r="B98" s="190"/>
      <c r="C98" s="194" t="s">
        <v>10</v>
      </c>
      <c r="D98" s="191"/>
      <c r="E98" s="191"/>
      <c r="G98" s="860">
        <f>'13'!J13</f>
        <v>0</v>
      </c>
      <c r="H98" s="192"/>
    </row>
    <row r="99" spans="2:8" ht="5.0999999999999996" customHeight="1" x14ac:dyDescent="0.2">
      <c r="B99" s="185"/>
      <c r="C99" s="186"/>
      <c r="D99" s="186"/>
      <c r="E99" s="186"/>
      <c r="F99" s="187"/>
      <c r="G99" s="188"/>
      <c r="H99" s="189"/>
    </row>
    <row r="100" spans="2:8" ht="18.95" customHeight="1" x14ac:dyDescent="0.25">
      <c r="B100" s="190" t="s">
        <v>367</v>
      </c>
      <c r="C100" s="191" t="s">
        <v>368</v>
      </c>
      <c r="D100" s="191"/>
      <c r="E100" s="191"/>
      <c r="G100" s="158"/>
      <c r="H100" s="192">
        <f>SUM(G101:G102)</f>
        <v>155285</v>
      </c>
    </row>
    <row r="101" spans="2:8" ht="17.100000000000001" customHeight="1" x14ac:dyDescent="0.2">
      <c r="B101" s="195" t="s">
        <v>369</v>
      </c>
      <c r="C101" s="196" t="s">
        <v>69</v>
      </c>
      <c r="D101" s="196"/>
      <c r="E101" s="196"/>
      <c r="G101" s="182">
        <f>'Estimate Summary'!H41</f>
        <v>155285</v>
      </c>
      <c r="H101" s="183"/>
    </row>
    <row r="102" spans="2:8" ht="17.100000000000001" hidden="1" customHeight="1" x14ac:dyDescent="0.2">
      <c r="B102" s="195" t="s">
        <v>370</v>
      </c>
      <c r="C102" s="196" t="s">
        <v>70</v>
      </c>
      <c r="D102" s="196"/>
      <c r="E102" s="196"/>
      <c r="G102" s="182">
        <f>'14'!K35+'14'!K43</f>
        <v>0</v>
      </c>
      <c r="H102" s="183"/>
    </row>
    <row r="103" spans="2:8" ht="5.0999999999999996" customHeight="1" x14ac:dyDescent="0.2">
      <c r="B103" s="185"/>
      <c r="C103" s="186"/>
      <c r="D103" s="186"/>
      <c r="E103" s="186"/>
      <c r="F103" s="187"/>
      <c r="G103" s="188"/>
      <c r="H103" s="189"/>
    </row>
    <row r="104" spans="2:8" ht="18.95" customHeight="1" x14ac:dyDescent="0.25">
      <c r="B104" s="190" t="s">
        <v>373</v>
      </c>
      <c r="C104" s="191" t="s">
        <v>151</v>
      </c>
      <c r="D104" s="191"/>
      <c r="E104" s="191"/>
      <c r="G104" s="158"/>
      <c r="H104" s="192">
        <f>G105</f>
        <v>212000</v>
      </c>
    </row>
    <row r="105" spans="2:8" ht="17.100000000000001" customHeight="1" x14ac:dyDescent="0.2">
      <c r="B105" s="195" t="s">
        <v>374</v>
      </c>
      <c r="C105" s="196" t="s">
        <v>375</v>
      </c>
      <c r="D105" s="196"/>
      <c r="E105" s="196"/>
      <c r="G105" s="182">
        <f>'21'!K24</f>
        <v>212000</v>
      </c>
      <c r="H105" s="183"/>
    </row>
    <row r="106" spans="2:8" ht="5.0999999999999996" customHeight="1" x14ac:dyDescent="0.2">
      <c r="B106" s="185"/>
      <c r="C106" s="186"/>
      <c r="D106" s="186"/>
      <c r="E106" s="186"/>
      <c r="F106" s="187"/>
      <c r="G106" s="188"/>
      <c r="H106" s="189"/>
    </row>
    <row r="107" spans="2:8" ht="18.95" customHeight="1" x14ac:dyDescent="0.25">
      <c r="B107" s="190" t="s">
        <v>376</v>
      </c>
      <c r="C107" s="191" t="s">
        <v>41</v>
      </c>
      <c r="D107" s="191"/>
      <c r="E107" s="191"/>
      <c r="G107" s="158"/>
      <c r="H107" s="192">
        <f>SUM(G108:G110)</f>
        <v>674850</v>
      </c>
    </row>
    <row r="108" spans="2:8" ht="17.100000000000001" customHeight="1" x14ac:dyDescent="0.2">
      <c r="B108" s="195" t="s">
        <v>377</v>
      </c>
      <c r="C108" s="196" t="s">
        <v>41</v>
      </c>
      <c r="D108" s="196"/>
      <c r="E108" s="196"/>
      <c r="G108" s="182">
        <f>'22'!K24</f>
        <v>674850</v>
      </c>
      <c r="H108" s="183"/>
    </row>
    <row r="109" spans="2:8" ht="16.899999999999999" hidden="1" customHeight="1" x14ac:dyDescent="0.2">
      <c r="B109" s="195" t="s">
        <v>379</v>
      </c>
      <c r="C109" s="196" t="s">
        <v>380</v>
      </c>
      <c r="D109" s="196"/>
      <c r="E109" s="196"/>
      <c r="G109" s="182">
        <f>'22'!K35</f>
        <v>0</v>
      </c>
      <c r="H109" s="183"/>
    </row>
    <row r="110" spans="2:8" ht="17.100000000000001" hidden="1" customHeight="1" x14ac:dyDescent="0.2">
      <c r="B110" s="195" t="s">
        <v>385</v>
      </c>
      <c r="C110" s="196" t="s">
        <v>386</v>
      </c>
      <c r="D110" s="196"/>
      <c r="E110" s="196"/>
      <c r="G110" s="182">
        <f>'22'!K46+'22'!K67+'22'!K74</f>
        <v>0</v>
      </c>
      <c r="H110" s="183"/>
    </row>
    <row r="111" spans="2:8" ht="5.0999999999999996" customHeight="1" x14ac:dyDescent="0.2">
      <c r="B111" s="185"/>
      <c r="C111" s="186"/>
      <c r="D111" s="186"/>
      <c r="E111" s="186"/>
      <c r="F111" s="187"/>
      <c r="G111" s="188"/>
      <c r="H111" s="189"/>
    </row>
    <row r="112" spans="2:8" ht="18.95" customHeight="1" x14ac:dyDescent="0.25">
      <c r="B112" s="190" t="s">
        <v>424</v>
      </c>
      <c r="C112" s="191" t="s">
        <v>42</v>
      </c>
      <c r="D112" s="191"/>
      <c r="E112" s="191"/>
      <c r="G112" s="158"/>
      <c r="H112" s="192">
        <f>SUM(G113:G120)</f>
        <v>467650</v>
      </c>
    </row>
    <row r="113" spans="2:8" ht="17.100000000000001" customHeight="1" x14ac:dyDescent="0.2">
      <c r="B113" s="195" t="s">
        <v>426</v>
      </c>
      <c r="C113" s="196" t="s">
        <v>42</v>
      </c>
      <c r="D113" s="196"/>
      <c r="E113" s="196"/>
      <c r="G113" s="182">
        <f>'23'!K18</f>
        <v>467650</v>
      </c>
      <c r="H113" s="183"/>
    </row>
    <row r="114" spans="2:8" ht="17.100000000000001" hidden="1" customHeight="1" x14ac:dyDescent="0.2">
      <c r="B114" s="195" t="s">
        <v>428</v>
      </c>
      <c r="C114" s="196" t="s">
        <v>429</v>
      </c>
      <c r="D114" s="196"/>
      <c r="E114" s="196"/>
      <c r="G114" s="182">
        <f>'23'!K25</f>
        <v>0</v>
      </c>
      <c r="H114" s="183"/>
    </row>
    <row r="115" spans="2:8" ht="17.100000000000001" hidden="1" customHeight="1" x14ac:dyDescent="0.2">
      <c r="B115" s="195" t="s">
        <v>430</v>
      </c>
      <c r="C115" s="196" t="s">
        <v>431</v>
      </c>
      <c r="D115" s="196"/>
      <c r="E115" s="196"/>
      <c r="G115" s="182">
        <f>'23'!K31</f>
        <v>0</v>
      </c>
      <c r="H115" s="183"/>
    </row>
    <row r="116" spans="2:8" ht="17.100000000000001" hidden="1" customHeight="1" x14ac:dyDescent="0.2">
      <c r="B116" s="195" t="s">
        <v>432</v>
      </c>
      <c r="C116" s="196" t="s">
        <v>433</v>
      </c>
      <c r="D116" s="196"/>
      <c r="E116" s="196"/>
      <c r="G116" s="182">
        <f>'23'!K38+'23'!K46</f>
        <v>0</v>
      </c>
      <c r="H116" s="183"/>
    </row>
    <row r="117" spans="2:8" ht="17.100000000000001" hidden="1" customHeight="1" x14ac:dyDescent="0.2">
      <c r="B117" s="195" t="s">
        <v>438</v>
      </c>
      <c r="C117" s="196" t="s">
        <v>439</v>
      </c>
      <c r="D117" s="196"/>
      <c r="E117" s="196"/>
      <c r="G117" s="182">
        <f>'23'!K53+'23'!K58</f>
        <v>0</v>
      </c>
      <c r="H117" s="183"/>
    </row>
    <row r="118" spans="2:8" ht="17.100000000000001" hidden="1" customHeight="1" x14ac:dyDescent="0.2">
      <c r="B118" s="195" t="s">
        <v>442</v>
      </c>
      <c r="C118" s="196" t="s">
        <v>443</v>
      </c>
      <c r="D118" s="196"/>
      <c r="E118" s="196"/>
      <c r="G118" s="182">
        <f>'23'!K73</f>
        <v>0</v>
      </c>
      <c r="H118" s="183"/>
    </row>
    <row r="119" spans="2:8" ht="17.100000000000001" hidden="1" customHeight="1" x14ac:dyDescent="0.2">
      <c r="B119" s="195" t="s">
        <v>460</v>
      </c>
      <c r="C119" s="196" t="s">
        <v>461</v>
      </c>
      <c r="D119" s="196"/>
      <c r="E119" s="196"/>
      <c r="G119" s="182">
        <f>'23'!K79</f>
        <v>0</v>
      </c>
      <c r="H119" s="183"/>
    </row>
    <row r="120" spans="2:8" ht="17.100000000000001" hidden="1" customHeight="1" x14ac:dyDescent="0.2">
      <c r="B120" s="195" t="s">
        <v>720</v>
      </c>
      <c r="C120" s="196" t="s">
        <v>721</v>
      </c>
      <c r="D120" s="196"/>
      <c r="E120" s="196"/>
      <c r="G120" s="182">
        <f>'23'!K85+'23'!K91</f>
        <v>0</v>
      </c>
      <c r="H120" s="183"/>
    </row>
    <row r="121" spans="2:8" ht="5.0999999999999996" hidden="1" customHeight="1" x14ac:dyDescent="0.2">
      <c r="B121" s="185"/>
      <c r="C121" s="186"/>
      <c r="D121" s="186"/>
      <c r="E121" s="186"/>
      <c r="F121" s="187"/>
      <c r="G121" s="188"/>
      <c r="H121" s="189"/>
    </row>
    <row r="122" spans="2:8" ht="20.100000000000001" hidden="1" customHeight="1" x14ac:dyDescent="0.25">
      <c r="B122" s="190" t="s">
        <v>468</v>
      </c>
      <c r="C122" s="191" t="s">
        <v>469</v>
      </c>
      <c r="D122" s="191"/>
      <c r="E122" s="191"/>
      <c r="G122" s="158"/>
      <c r="H122" s="192">
        <f>'Estimate Summary'!H49</f>
        <v>0</v>
      </c>
    </row>
    <row r="123" spans="2:8" ht="6.95" customHeight="1" x14ac:dyDescent="0.2">
      <c r="B123" s="185"/>
      <c r="C123" s="186"/>
      <c r="D123" s="186"/>
      <c r="E123" s="186"/>
      <c r="F123" s="187"/>
      <c r="G123" s="188"/>
      <c r="H123" s="189"/>
    </row>
    <row r="124" spans="2:8" ht="18.95" customHeight="1" x14ac:dyDescent="0.25">
      <c r="B124" s="190" t="s">
        <v>470</v>
      </c>
      <c r="C124" s="191" t="s">
        <v>10</v>
      </c>
      <c r="D124" s="191"/>
      <c r="E124" s="191"/>
      <c r="G124" s="158"/>
      <c r="H124" s="192">
        <f>SUM(G125:G127)</f>
        <v>822897</v>
      </c>
    </row>
    <row r="125" spans="2:8" ht="17.100000000000001" customHeight="1" x14ac:dyDescent="0.2">
      <c r="B125" s="195" t="s">
        <v>471</v>
      </c>
      <c r="C125" s="196" t="s">
        <v>10</v>
      </c>
      <c r="D125" s="196"/>
      <c r="E125" s="196"/>
      <c r="G125" s="182">
        <f>'26'!K26</f>
        <v>770000</v>
      </c>
      <c r="H125" s="183"/>
    </row>
    <row r="126" spans="2:8" ht="17.100000000000001" hidden="1" customHeight="1" x14ac:dyDescent="0.2">
      <c r="B126" s="195" t="s">
        <v>473</v>
      </c>
      <c r="C126" s="196" t="s">
        <v>1229</v>
      </c>
      <c r="D126" s="196"/>
      <c r="E126" s="196"/>
      <c r="G126" s="182">
        <f>'26'!K37</f>
        <v>0</v>
      </c>
      <c r="H126" s="183"/>
    </row>
    <row r="127" spans="2:8" ht="17.100000000000001" customHeight="1" x14ac:dyDescent="0.2">
      <c r="B127" s="195" t="s">
        <v>482</v>
      </c>
      <c r="C127" s="196" t="s">
        <v>82</v>
      </c>
      <c r="D127" s="196"/>
      <c r="E127" s="196"/>
      <c r="G127" s="182">
        <f>'26'!K46</f>
        <v>52897</v>
      </c>
      <c r="H127" s="183"/>
    </row>
    <row r="128" spans="2:8" ht="5.0999999999999996" customHeight="1" x14ac:dyDescent="0.2">
      <c r="B128" s="185"/>
      <c r="C128" s="186"/>
      <c r="D128" s="186"/>
      <c r="E128" s="186"/>
      <c r="F128" s="187"/>
      <c r="G128" s="188"/>
      <c r="H128" s="189"/>
    </row>
    <row r="129" spans="2:8" ht="18.95" hidden="1" customHeight="1" x14ac:dyDescent="0.25">
      <c r="B129" s="190" t="s">
        <v>486</v>
      </c>
      <c r="C129" s="191" t="s">
        <v>487</v>
      </c>
      <c r="D129" s="191"/>
      <c r="E129" s="191"/>
      <c r="G129" s="158"/>
      <c r="H129" s="192">
        <f>SUM(G130:G134)</f>
        <v>0</v>
      </c>
    </row>
    <row r="130" spans="2:8" ht="17.100000000000001" hidden="1" customHeight="1" x14ac:dyDescent="0.2">
      <c r="B130" s="195" t="s">
        <v>488</v>
      </c>
      <c r="C130" s="196" t="s">
        <v>489</v>
      </c>
      <c r="D130" s="196"/>
      <c r="E130" s="196"/>
      <c r="G130" s="182">
        <f>'27'!K24</f>
        <v>0</v>
      </c>
      <c r="H130" s="183"/>
    </row>
    <row r="131" spans="2:8" ht="17.100000000000001" hidden="1" customHeight="1" x14ac:dyDescent="0.2">
      <c r="B131" s="195" t="s">
        <v>490</v>
      </c>
      <c r="C131" s="196" t="s">
        <v>491</v>
      </c>
      <c r="D131" s="196"/>
      <c r="E131" s="196"/>
      <c r="G131" s="182">
        <f>'27'!K35</f>
        <v>0</v>
      </c>
      <c r="H131" s="183"/>
    </row>
    <row r="132" spans="2:8" ht="17.100000000000001" hidden="1" customHeight="1" x14ac:dyDescent="0.2">
      <c r="B132" s="195" t="s">
        <v>496</v>
      </c>
      <c r="C132" s="196" t="s">
        <v>497</v>
      </c>
      <c r="D132" s="196"/>
      <c r="E132" s="196"/>
      <c r="G132" s="182">
        <f>'27'!K43</f>
        <v>0</v>
      </c>
      <c r="H132" s="183"/>
    </row>
    <row r="133" spans="2:8" ht="17.100000000000001" hidden="1" customHeight="1" x14ac:dyDescent="0.2">
      <c r="B133" s="195" t="s">
        <v>498</v>
      </c>
      <c r="C133" s="196" t="s">
        <v>499</v>
      </c>
      <c r="D133" s="196"/>
      <c r="E133" s="196"/>
      <c r="G133" s="182">
        <f>'27'!K52</f>
        <v>0</v>
      </c>
      <c r="H133" s="183"/>
    </row>
    <row r="134" spans="2:8" ht="17.100000000000001" hidden="1" customHeight="1" x14ac:dyDescent="0.2">
      <c r="B134" s="195" t="s">
        <v>500</v>
      </c>
      <c r="C134" s="196" t="s">
        <v>501</v>
      </c>
      <c r="D134" s="196"/>
      <c r="E134" s="196"/>
      <c r="G134" s="182">
        <f>'27'!K63</f>
        <v>0</v>
      </c>
      <c r="H134" s="183"/>
    </row>
    <row r="135" spans="2:8" ht="5.0999999999999996" hidden="1" customHeight="1" x14ac:dyDescent="0.2">
      <c r="B135" s="185"/>
      <c r="C135" s="186"/>
      <c r="D135" s="186"/>
      <c r="E135" s="186"/>
      <c r="F135" s="187"/>
      <c r="G135" s="188"/>
      <c r="H135" s="189"/>
    </row>
    <row r="136" spans="2:8" ht="18.95" hidden="1" customHeight="1" x14ac:dyDescent="0.25">
      <c r="B136" s="190" t="s">
        <v>502</v>
      </c>
      <c r="C136" s="191" t="s">
        <v>503</v>
      </c>
      <c r="D136" s="191"/>
      <c r="E136" s="191"/>
      <c r="G136" s="158"/>
      <c r="H136" s="192">
        <f>SUM(G137:G140)</f>
        <v>0</v>
      </c>
    </row>
    <row r="137" spans="2:8" ht="17.100000000000001" hidden="1" customHeight="1" x14ac:dyDescent="0.2">
      <c r="B137" s="195" t="s">
        <v>504</v>
      </c>
      <c r="C137" s="196" t="s">
        <v>505</v>
      </c>
      <c r="D137" s="196"/>
      <c r="E137" s="196"/>
      <c r="G137" s="182">
        <f>'28'!K24</f>
        <v>0</v>
      </c>
      <c r="H137" s="183"/>
    </row>
    <row r="138" spans="2:8" ht="17.100000000000001" hidden="1" customHeight="1" x14ac:dyDescent="0.2">
      <c r="B138" s="195" t="s">
        <v>508</v>
      </c>
      <c r="C138" s="196" t="s">
        <v>509</v>
      </c>
      <c r="D138" s="196"/>
      <c r="E138" s="196"/>
      <c r="G138" s="182">
        <f>'28'!K35</f>
        <v>0</v>
      </c>
      <c r="H138" s="183"/>
    </row>
    <row r="139" spans="2:8" ht="17.100000000000001" hidden="1" customHeight="1" x14ac:dyDescent="0.2">
      <c r="B139" s="195" t="s">
        <v>510</v>
      </c>
      <c r="C139" s="196" t="s">
        <v>511</v>
      </c>
      <c r="D139" s="196"/>
      <c r="E139" s="196"/>
      <c r="G139" s="182">
        <f>'28'!K43</f>
        <v>0</v>
      </c>
      <c r="H139" s="183"/>
    </row>
    <row r="140" spans="2:8" ht="17.100000000000001" hidden="1" customHeight="1" x14ac:dyDescent="0.2">
      <c r="B140" s="195" t="s">
        <v>512</v>
      </c>
      <c r="C140" s="196" t="s">
        <v>514</v>
      </c>
      <c r="D140" s="196"/>
      <c r="E140" s="196"/>
      <c r="G140" s="182">
        <f>'28'!K52</f>
        <v>0</v>
      </c>
      <c r="H140" s="183"/>
    </row>
    <row r="141" spans="2:8" ht="5.0999999999999996" hidden="1" customHeight="1" x14ac:dyDescent="0.2">
      <c r="B141" s="185"/>
      <c r="C141" s="186"/>
      <c r="D141" s="186"/>
      <c r="E141" s="186"/>
      <c r="F141" s="187"/>
      <c r="G141" s="188"/>
      <c r="H141" s="189"/>
    </row>
    <row r="142" spans="2:8" ht="17.100000000000001" customHeight="1" x14ac:dyDescent="0.25">
      <c r="B142" s="190" t="s">
        <v>516</v>
      </c>
      <c r="C142" s="191" t="s">
        <v>517</v>
      </c>
      <c r="D142" s="191"/>
      <c r="E142" s="191"/>
      <c r="G142" s="158"/>
      <c r="H142" s="192">
        <f>SUM(G143:G146)</f>
        <v>268300</v>
      </c>
    </row>
    <row r="143" spans="2:8" ht="17.100000000000001" hidden="1" customHeight="1" x14ac:dyDescent="0.2">
      <c r="B143" s="195" t="s">
        <v>518</v>
      </c>
      <c r="C143" s="196" t="s">
        <v>519</v>
      </c>
      <c r="D143" s="196"/>
      <c r="E143" s="196"/>
      <c r="G143" s="182">
        <f>'31'!K26</f>
        <v>0</v>
      </c>
      <c r="H143" s="183"/>
    </row>
    <row r="144" spans="2:8" ht="17.100000000000001" hidden="1" customHeight="1" x14ac:dyDescent="0.2">
      <c r="B144" s="195" t="s">
        <v>522</v>
      </c>
      <c r="C144" s="196" t="s">
        <v>523</v>
      </c>
      <c r="D144" s="196"/>
      <c r="E144" s="196"/>
      <c r="G144" s="182">
        <f>'31'!K49</f>
        <v>268300</v>
      </c>
      <c r="H144" s="183"/>
    </row>
    <row r="145" spans="2:8" ht="17.100000000000001" hidden="1" customHeight="1" x14ac:dyDescent="0.2">
      <c r="B145" s="195" t="s">
        <v>723</v>
      </c>
      <c r="C145" s="196" t="s">
        <v>724</v>
      </c>
      <c r="D145" s="196"/>
      <c r="E145" s="196"/>
      <c r="G145" s="182">
        <f>'31'!K57</f>
        <v>0</v>
      </c>
      <c r="H145" s="183"/>
    </row>
    <row r="146" spans="2:8" ht="17.100000000000001" hidden="1" customHeight="1" x14ac:dyDescent="0.2">
      <c r="B146" s="195" t="s">
        <v>559</v>
      </c>
      <c r="C146" s="196" t="s">
        <v>560</v>
      </c>
      <c r="D146" s="196"/>
      <c r="E146" s="196"/>
      <c r="G146" s="182">
        <f>'31'!K66</f>
        <v>0</v>
      </c>
      <c r="H146" s="183"/>
    </row>
    <row r="147" spans="2:8" ht="5.0999999999999996" customHeight="1" x14ac:dyDescent="0.2">
      <c r="B147" s="185"/>
      <c r="C147" s="186"/>
      <c r="D147" s="186"/>
      <c r="E147" s="186"/>
      <c r="F147" s="187"/>
      <c r="G147" s="188"/>
      <c r="H147" s="189"/>
    </row>
    <row r="148" spans="2:8" ht="18.95" customHeight="1" x14ac:dyDescent="0.25">
      <c r="B148" s="190" t="s">
        <v>561</v>
      </c>
      <c r="C148" s="191" t="s">
        <v>562</v>
      </c>
      <c r="D148" s="191"/>
      <c r="E148" s="191"/>
      <c r="G148" s="158"/>
      <c r="H148" s="192">
        <f>SUM(G149:G152)</f>
        <v>151071.01</v>
      </c>
    </row>
    <row r="149" spans="2:8" ht="17.100000000000001" customHeight="1" x14ac:dyDescent="0.2">
      <c r="B149" s="195" t="s">
        <v>563</v>
      </c>
      <c r="C149" s="196" t="s">
        <v>564</v>
      </c>
      <c r="D149" s="196"/>
      <c r="E149" s="196"/>
      <c r="G149" s="182">
        <f>'32'!K21+'32'!K41</f>
        <v>54210</v>
      </c>
      <c r="H149" s="183"/>
    </row>
    <row r="150" spans="2:8" ht="17.100000000000001" customHeight="1" x14ac:dyDescent="0.2">
      <c r="B150" s="195" t="s">
        <v>571</v>
      </c>
      <c r="C150" s="196" t="s">
        <v>1206</v>
      </c>
      <c r="D150" s="196"/>
      <c r="E150" s="196"/>
      <c r="G150" s="182">
        <f>'32'!K33</f>
        <v>28809.84</v>
      </c>
      <c r="H150" s="183"/>
    </row>
    <row r="151" spans="2:8" ht="17.100000000000001" customHeight="1" x14ac:dyDescent="0.2">
      <c r="B151" s="195" t="s">
        <v>594</v>
      </c>
      <c r="C151" s="196" t="s">
        <v>1149</v>
      </c>
      <c r="D151" s="196"/>
      <c r="E151" s="196"/>
      <c r="G151" s="182">
        <f>'32'!K50</f>
        <v>16800</v>
      </c>
      <c r="H151" s="183"/>
    </row>
    <row r="152" spans="2:8" ht="17.100000000000001" customHeight="1" x14ac:dyDescent="0.2">
      <c r="B152" s="195" t="s">
        <v>604</v>
      </c>
      <c r="C152" s="196" t="s">
        <v>605</v>
      </c>
      <c r="D152" s="196"/>
      <c r="E152" s="196"/>
      <c r="G152" s="182">
        <f>'32'!K61</f>
        <v>51251.17</v>
      </c>
      <c r="H152" s="183"/>
    </row>
    <row r="153" spans="2:8" ht="5.0999999999999996" customHeight="1" thickBot="1" x14ac:dyDescent="0.25">
      <c r="B153" s="185"/>
      <c r="C153" s="186"/>
      <c r="D153" s="186"/>
      <c r="E153" s="186"/>
      <c r="F153" s="187"/>
      <c r="G153" s="188"/>
      <c r="H153" s="189"/>
    </row>
    <row r="154" spans="2:8" ht="18.95" hidden="1" customHeight="1" x14ac:dyDescent="0.25">
      <c r="B154" s="190" t="s">
        <v>612</v>
      </c>
      <c r="C154" s="191" t="s">
        <v>613</v>
      </c>
      <c r="D154" s="191"/>
      <c r="E154" s="191"/>
      <c r="G154" s="158"/>
      <c r="H154" s="192">
        <f>SUM(G155:G158)</f>
        <v>0</v>
      </c>
    </row>
    <row r="155" spans="2:8" ht="17.100000000000001" hidden="1" customHeight="1" x14ac:dyDescent="0.2">
      <c r="B155" s="195" t="s">
        <v>614</v>
      </c>
      <c r="C155" s="196" t="s">
        <v>615</v>
      </c>
      <c r="D155" s="196"/>
      <c r="E155" s="196"/>
      <c r="G155" s="182">
        <f>'33'!K26</f>
        <v>0</v>
      </c>
      <c r="H155" s="183"/>
    </row>
    <row r="156" spans="2:8" ht="17.100000000000001" hidden="1" customHeight="1" x14ac:dyDescent="0.2">
      <c r="B156" s="195" t="s">
        <v>620</v>
      </c>
      <c r="C156" s="196" t="s">
        <v>621</v>
      </c>
      <c r="D156" s="196"/>
      <c r="E156" s="196"/>
      <c r="G156" s="182">
        <f>'33'!K37</f>
        <v>0</v>
      </c>
      <c r="H156" s="183"/>
    </row>
    <row r="157" spans="2:8" ht="17.100000000000001" hidden="1" customHeight="1" x14ac:dyDescent="0.2">
      <c r="B157" s="195" t="s">
        <v>626</v>
      </c>
      <c r="C157" s="196" t="s">
        <v>627</v>
      </c>
      <c r="D157" s="196"/>
      <c r="E157" s="196"/>
      <c r="G157" s="182">
        <f>'33'!K45</f>
        <v>0</v>
      </c>
      <c r="H157" s="183"/>
    </row>
    <row r="158" spans="2:8" ht="17.100000000000001" hidden="1" customHeight="1" x14ac:dyDescent="0.2">
      <c r="B158" s="195" t="s">
        <v>636</v>
      </c>
      <c r="C158" s="196" t="s">
        <v>637</v>
      </c>
      <c r="D158" s="196"/>
      <c r="E158" s="196"/>
      <c r="G158" s="182">
        <f>'33'!K54</f>
        <v>0</v>
      </c>
      <c r="H158" s="183"/>
    </row>
    <row r="159" spans="2:8" ht="5.0999999999999996" hidden="1" customHeight="1" x14ac:dyDescent="0.2">
      <c r="B159" s="851"/>
      <c r="C159" s="852"/>
      <c r="D159" s="852"/>
      <c r="E159" s="852"/>
      <c r="F159" s="853"/>
      <c r="G159" s="853"/>
      <c r="H159" s="854"/>
    </row>
    <row r="160" spans="2:8" ht="12.95" customHeight="1" x14ac:dyDescent="0.2">
      <c r="B160" s="855"/>
      <c r="C160" s="917" t="s">
        <v>1207</v>
      </c>
      <c r="D160" s="856"/>
      <c r="E160" s="856"/>
      <c r="F160" s="856"/>
      <c r="G160" s="918">
        <f>SUM(H7,H25,H32,H36,H42,H48,H60,H69,H77,H85,H91,H100,H104,H107,H112,H124,H142,H148)+H95</f>
        <v>10589879.131607277</v>
      </c>
      <c r="H160" s="919"/>
    </row>
    <row r="161" spans="2:11" ht="12.95" customHeight="1" x14ac:dyDescent="0.2">
      <c r="B161" s="206"/>
      <c r="C161" s="916"/>
      <c r="D161" s="858"/>
      <c r="E161" s="858"/>
      <c r="F161" s="858"/>
      <c r="G161" s="914"/>
      <c r="H161" s="915"/>
    </row>
    <row r="162" spans="2:11" ht="12.95" customHeight="1" x14ac:dyDescent="0.2">
      <c r="B162" s="206"/>
      <c r="C162" s="916" t="s">
        <v>687</v>
      </c>
      <c r="D162" s="858"/>
      <c r="E162" s="858"/>
      <c r="F162" s="858"/>
      <c r="G162" s="914">
        <f>'Estimate Summary'!D68</f>
        <v>529493.95658036391</v>
      </c>
      <c r="H162" s="915"/>
    </row>
    <row r="163" spans="2:11" ht="11.1" customHeight="1" x14ac:dyDescent="0.2">
      <c r="B163" s="206"/>
      <c r="C163" s="916"/>
      <c r="D163" s="858"/>
      <c r="E163" s="858"/>
      <c r="F163" s="858"/>
      <c r="G163" s="914"/>
      <c r="H163" s="915"/>
    </row>
    <row r="164" spans="2:11" ht="11.1" customHeight="1" x14ac:dyDescent="0.2">
      <c r="B164" s="206"/>
      <c r="C164" s="916" t="s">
        <v>1207</v>
      </c>
      <c r="D164" s="858"/>
      <c r="E164" s="858"/>
      <c r="F164" s="858"/>
      <c r="G164" s="920">
        <f>G160+G162</f>
        <v>11119373.088187641</v>
      </c>
      <c r="H164" s="921"/>
    </row>
    <row r="165" spans="2:11" ht="11.1" customHeight="1" x14ac:dyDescent="0.2">
      <c r="B165" s="206"/>
      <c r="C165" s="916"/>
      <c r="D165" s="858"/>
      <c r="E165" s="858"/>
      <c r="F165" s="858"/>
      <c r="G165" s="920"/>
      <c r="H165" s="921"/>
    </row>
    <row r="166" spans="2:11" ht="11.1" customHeight="1" x14ac:dyDescent="0.2">
      <c r="B166" s="206"/>
      <c r="C166" s="916" t="s">
        <v>1208</v>
      </c>
      <c r="D166" s="858"/>
      <c r="E166" s="858"/>
      <c r="F166" s="858"/>
      <c r="G166" s="920" t="s">
        <v>1011</v>
      </c>
      <c r="H166" s="921"/>
    </row>
    <row r="167" spans="2:11" ht="11.1" customHeight="1" x14ac:dyDescent="0.2">
      <c r="B167" s="206"/>
      <c r="C167" s="916"/>
      <c r="D167" s="858"/>
      <c r="E167" s="858"/>
      <c r="F167" s="858"/>
      <c r="G167" s="920"/>
      <c r="H167" s="921"/>
    </row>
    <row r="168" spans="2:11" ht="11.1" customHeight="1" x14ac:dyDescent="0.2">
      <c r="B168" s="206"/>
      <c r="C168" s="916" t="s">
        <v>1009</v>
      </c>
      <c r="D168" s="858"/>
      <c r="E168" s="858"/>
      <c r="F168" s="858"/>
      <c r="G168" s="920">
        <f>'3'!M13+'3'!M40+'3'!M73+'3'!M74+'22'!M12+'31'!M30</f>
        <v>1243730.75</v>
      </c>
      <c r="H168" s="921"/>
    </row>
    <row r="169" spans="2:11" ht="11.1" customHeight="1" thickBot="1" x14ac:dyDescent="0.25">
      <c r="B169" s="206"/>
      <c r="C169" s="916"/>
      <c r="D169" s="858"/>
      <c r="E169" s="858"/>
      <c r="F169" s="858"/>
      <c r="G169" s="922"/>
      <c r="H169" s="923"/>
    </row>
    <row r="170" spans="2:11" ht="12.95" customHeight="1" thickTop="1" x14ac:dyDescent="0.2">
      <c r="B170" s="206"/>
      <c r="C170" s="900" t="s">
        <v>93</v>
      </c>
      <c r="D170" s="900"/>
      <c r="E170" s="900"/>
      <c r="F170" s="900"/>
      <c r="G170" s="910">
        <f>SUM(H7:H158)+G162+G168</f>
        <v>12363103.838187641</v>
      </c>
      <c r="H170" s="911"/>
      <c r="K170" s="836">
        <f>G164-'Estimate Summary'!D75</f>
        <v>0</v>
      </c>
    </row>
    <row r="171" spans="2:11" ht="9.9499999999999993" customHeight="1" thickBot="1" x14ac:dyDescent="0.25">
      <c r="B171" s="857"/>
      <c r="C171" s="901"/>
      <c r="D171" s="901"/>
      <c r="E171" s="901"/>
      <c r="F171" s="901"/>
      <c r="G171" s="912"/>
      <c r="H171" s="913"/>
    </row>
    <row r="172" spans="2:11" ht="12.95" customHeight="1" thickBot="1" x14ac:dyDescent="0.3">
      <c r="B172" s="207"/>
      <c r="C172" s="208"/>
      <c r="D172" s="208"/>
      <c r="E172" s="208"/>
      <c r="F172" s="209"/>
      <c r="G172" s="209"/>
      <c r="H172" s="210"/>
      <c r="K172" s="836">
        <f>G170/59</f>
        <v>209544.13285063798</v>
      </c>
    </row>
    <row r="173" spans="2:11" x14ac:dyDescent="0.2">
      <c r="K173" s="836">
        <f>G170/'Estimate Summary'!D11</f>
        <v>188.48493472050922</v>
      </c>
    </row>
  </sheetData>
  <mergeCells count="15">
    <mergeCell ref="C170:F171"/>
    <mergeCell ref="B4:C4"/>
    <mergeCell ref="F3:H5"/>
    <mergeCell ref="B3:C3"/>
    <mergeCell ref="G170:H171"/>
    <mergeCell ref="G162:H163"/>
    <mergeCell ref="C162:C163"/>
    <mergeCell ref="C160:C161"/>
    <mergeCell ref="G160:H161"/>
    <mergeCell ref="C166:C167"/>
    <mergeCell ref="G166:H167"/>
    <mergeCell ref="C164:C165"/>
    <mergeCell ref="G164:H165"/>
    <mergeCell ref="C168:C169"/>
    <mergeCell ref="G168:H169"/>
  </mergeCells>
  <printOptions horizontalCentered="1"/>
  <pageMargins left="0.75" right="1.5605555555555555" top="0.75" bottom="0.75" header="0.05" footer="0.3"/>
  <pageSetup scale="42" orientation="portrait" r:id="rId1"/>
  <headerFooter differentFirst="1">
    <oddFooter xml:space="preserve">&amp;L&amp;D&amp;C&amp;G&amp;R&amp;"Arial,Regular"&amp;12&amp;K000000&amp;P/&amp;N
</oddFooter>
    <firstHeader>&amp;L&amp;"Times,Regular"&amp;K000000&amp;G</firstHeader>
    <firstFooter xml:space="preserve">&amp;L&amp;D&amp;C&amp;"Times,Regular"&amp;K000000&amp;G&amp;R&amp;P/&amp;N
</first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O111"/>
  <sheetViews>
    <sheetView tabSelected="1" topLeftCell="B64" zoomScale="90" zoomScaleNormal="90" zoomScaleSheetLayoutView="90" zoomScalePageLayoutView="90" workbookViewId="0">
      <selection activeCell="F63" sqref="F63"/>
    </sheetView>
  </sheetViews>
  <sheetFormatPr defaultColWidth="9.140625" defaultRowHeight="12.75" x14ac:dyDescent="0.2"/>
  <cols>
    <col min="1" max="1" width="24.140625" style="157" customWidth="1"/>
    <col min="2" max="2" width="39.140625" style="157" customWidth="1"/>
    <col min="3" max="3" width="22.85546875" style="274" customWidth="1"/>
    <col min="4" max="4" width="18.5703125" style="314" customWidth="1"/>
    <col min="5" max="5" width="26.85546875" style="220" customWidth="1"/>
    <col min="6" max="6" width="26.5703125" style="314" customWidth="1"/>
    <col min="7" max="7" width="22.5703125" style="314" customWidth="1"/>
    <col min="8" max="8" width="23" style="157" customWidth="1"/>
    <col min="9" max="9" width="8.85546875" style="157" customWidth="1"/>
    <col min="10" max="10" width="1.5703125" style="157" customWidth="1"/>
    <col min="11" max="11" width="20.42578125" style="157" bestFit="1" customWidth="1"/>
    <col min="12" max="12" width="11.5703125" style="157" customWidth="1"/>
    <col min="13" max="13" width="9.140625" style="157"/>
    <col min="14" max="14" width="23.42578125" style="157" bestFit="1" customWidth="1"/>
    <col min="15" max="15" width="15.7109375" style="157" bestFit="1" customWidth="1"/>
    <col min="16" max="16384" width="9.140625" style="157"/>
  </cols>
  <sheetData>
    <row r="1" spans="1:13" ht="19.5" thickTop="1" thickBot="1" x14ac:dyDescent="0.3">
      <c r="A1" s="211"/>
      <c r="B1" s="212"/>
      <c r="C1" s="213"/>
      <c r="D1" s="214"/>
      <c r="E1" s="214"/>
      <c r="F1" s="214"/>
      <c r="G1" s="214"/>
      <c r="H1" s="214"/>
      <c r="I1" s="214"/>
      <c r="J1" s="286"/>
    </row>
    <row r="2" spans="1:13" ht="18" customHeight="1" thickBot="1" x14ac:dyDescent="0.3">
      <c r="A2" s="924" t="s">
        <v>745</v>
      </c>
      <c r="B2" s="925"/>
      <c r="C2" s="925"/>
      <c r="D2" s="925"/>
      <c r="E2" s="926"/>
      <c r="F2" s="926"/>
      <c r="G2" s="925"/>
      <c r="H2" s="927"/>
      <c r="I2" s="215"/>
      <c r="J2" s="287"/>
    </row>
    <row r="3" spans="1:13" ht="16.5" thickBot="1" x14ac:dyDescent="0.3">
      <c r="A3" s="216" t="s">
        <v>959</v>
      </c>
      <c r="B3" s="217">
        <v>45379</v>
      </c>
      <c r="C3" s="218"/>
      <c r="D3" s="219"/>
      <c r="F3" s="288"/>
      <c r="G3" s="222"/>
      <c r="H3" s="223"/>
      <c r="I3" s="224"/>
      <c r="J3" s="287"/>
    </row>
    <row r="4" spans="1:13" ht="16.5" thickBot="1" x14ac:dyDescent="0.3">
      <c r="A4" s="216" t="s">
        <v>957</v>
      </c>
      <c r="B4" s="225">
        <v>2989</v>
      </c>
      <c r="C4" s="226" t="s">
        <v>643</v>
      </c>
      <c r="D4" s="227">
        <v>65592</v>
      </c>
      <c r="F4" s="288"/>
      <c r="G4" s="222"/>
      <c r="H4" s="223"/>
      <c r="I4" s="224"/>
      <c r="J4" s="287"/>
    </row>
    <row r="5" spans="1:13" ht="16.5" thickBot="1" x14ac:dyDescent="0.3">
      <c r="A5" s="216" t="s">
        <v>903</v>
      </c>
      <c r="B5" s="225" t="s">
        <v>935</v>
      </c>
      <c r="C5" s="226" t="s">
        <v>899</v>
      </c>
      <c r="D5" s="225" t="s">
        <v>988</v>
      </c>
      <c r="E5" s="228" t="s">
        <v>898</v>
      </c>
      <c r="F5" s="229"/>
      <c r="G5" s="226"/>
      <c r="H5" s="223"/>
      <c r="I5" s="224"/>
      <c r="J5" s="287"/>
    </row>
    <row r="6" spans="1:13" ht="16.5" thickBot="1" x14ac:dyDescent="0.3">
      <c r="A6" s="216" t="s">
        <v>904</v>
      </c>
      <c r="B6" s="225" t="s">
        <v>841</v>
      </c>
      <c r="C6" s="226" t="s">
        <v>900</v>
      </c>
      <c r="D6" s="225" t="s">
        <v>989</v>
      </c>
      <c r="E6" s="226" t="s">
        <v>897</v>
      </c>
      <c r="F6" s="225"/>
      <c r="G6" s="157"/>
      <c r="I6" s="230"/>
      <c r="J6" s="287"/>
    </row>
    <row r="7" spans="1:13" ht="16.5" thickBot="1" x14ac:dyDescent="0.3">
      <c r="A7" s="216" t="s">
        <v>896</v>
      </c>
      <c r="B7" s="225">
        <v>2024</v>
      </c>
      <c r="C7" s="231" t="s">
        <v>901</v>
      </c>
      <c r="D7" s="232" t="s">
        <v>941</v>
      </c>
      <c r="E7" s="226" t="s">
        <v>958</v>
      </c>
      <c r="F7" s="225"/>
      <c r="G7" s="231"/>
      <c r="H7" s="233"/>
      <c r="I7" s="234"/>
      <c r="J7" s="287"/>
    </row>
    <row r="8" spans="1:13" ht="16.5" thickBot="1" x14ac:dyDescent="0.3">
      <c r="A8" s="216" t="s">
        <v>956</v>
      </c>
      <c r="B8" s="225" t="s">
        <v>939</v>
      </c>
      <c r="C8" s="231" t="s">
        <v>902</v>
      </c>
      <c r="D8" s="232" t="s">
        <v>942</v>
      </c>
      <c r="E8" s="226"/>
      <c r="F8" s="225"/>
      <c r="G8" s="218"/>
      <c r="H8" s="235"/>
      <c r="I8" s="224"/>
      <c r="J8" s="287"/>
    </row>
    <row r="9" spans="1:13" ht="12.95" customHeight="1" thickBot="1" x14ac:dyDescent="0.25">
      <c r="A9" s="931"/>
      <c r="B9" s="932"/>
      <c r="C9" s="236"/>
      <c r="D9" s="237"/>
      <c r="E9" s="236"/>
      <c r="F9" s="930"/>
      <c r="G9" s="930"/>
      <c r="H9" s="289"/>
      <c r="I9" s="290"/>
      <c r="J9" s="287"/>
    </row>
    <row r="10" spans="1:13" ht="11.1" customHeight="1" thickBot="1" x14ac:dyDescent="0.25">
      <c r="A10" s="291"/>
      <c r="B10" s="236"/>
      <c r="C10" s="238"/>
      <c r="D10" s="236"/>
      <c r="E10" s="239"/>
      <c r="F10" s="930"/>
      <c r="G10" s="930"/>
      <c r="H10" s="289"/>
      <c r="I10" s="290"/>
      <c r="J10" s="287"/>
    </row>
    <row r="11" spans="1:13" ht="18" customHeight="1" thickBot="1" x14ac:dyDescent="0.25">
      <c r="A11" s="292"/>
      <c r="B11" s="293"/>
      <c r="C11" s="240" t="s">
        <v>643</v>
      </c>
      <c r="D11" s="241">
        <f>D4</f>
        <v>65592</v>
      </c>
      <c r="E11" s="242" t="s">
        <v>642</v>
      </c>
      <c r="F11" s="293"/>
      <c r="G11" s="243"/>
      <c r="H11" s="294"/>
      <c r="I11" s="295"/>
      <c r="J11" s="287"/>
      <c r="K11" s="157" t="s">
        <v>1010</v>
      </c>
      <c r="L11" s="157">
        <v>77648</v>
      </c>
      <c r="M11" s="157" t="s">
        <v>732</v>
      </c>
    </row>
    <row r="12" spans="1:13" ht="9" customHeight="1" x14ac:dyDescent="0.2">
      <c r="A12" s="244"/>
      <c r="B12" s="245"/>
      <c r="C12" s="246"/>
      <c r="D12" s="247"/>
      <c r="E12" s="248"/>
      <c r="F12" s="296"/>
      <c r="G12" s="296"/>
      <c r="H12" s="297"/>
      <c r="I12" s="297"/>
      <c r="J12" s="298"/>
    </row>
    <row r="13" spans="1:13" ht="9.9499999999999993" customHeight="1" x14ac:dyDescent="0.25">
      <c r="A13" s="929" t="s">
        <v>0</v>
      </c>
      <c r="B13" s="928" t="s">
        <v>1</v>
      </c>
      <c r="C13" s="249"/>
      <c r="D13" s="933" t="s">
        <v>13</v>
      </c>
      <c r="E13" s="934" t="s">
        <v>2</v>
      </c>
      <c r="F13" s="933" t="s">
        <v>12</v>
      </c>
      <c r="G13" s="933" t="s">
        <v>37</v>
      </c>
      <c r="H13" s="928" t="s">
        <v>38</v>
      </c>
      <c r="I13" s="299"/>
      <c r="J13" s="298"/>
      <c r="K13" s="938" t="s">
        <v>786</v>
      </c>
    </row>
    <row r="14" spans="1:13" ht="8.1" customHeight="1" x14ac:dyDescent="0.25">
      <c r="A14" s="929"/>
      <c r="B14" s="928"/>
      <c r="C14" s="250" t="s">
        <v>683</v>
      </c>
      <c r="D14" s="933"/>
      <c r="E14" s="934"/>
      <c r="F14" s="933"/>
      <c r="G14" s="933"/>
      <c r="H14" s="928"/>
      <c r="I14" s="299" t="s">
        <v>962</v>
      </c>
      <c r="J14" s="298"/>
      <c r="K14" s="938"/>
    </row>
    <row r="15" spans="1:13" ht="15.75" x14ac:dyDescent="0.25">
      <c r="A15" s="300" t="s">
        <v>686</v>
      </c>
      <c r="B15" s="251" t="s">
        <v>3</v>
      </c>
      <c r="C15" s="252">
        <f>H15/D$66</f>
        <v>5.5173540227009286E-2</v>
      </c>
      <c r="D15" s="253">
        <f>SUM('1'!F139:F140)</f>
        <v>401881.12226690026</v>
      </c>
      <c r="E15" s="254">
        <f>SUM('1'!G139:G140)</f>
        <v>241</v>
      </c>
      <c r="F15" s="301">
        <f>SUM('1'!I139:I140)</f>
        <v>179400</v>
      </c>
      <c r="G15" s="301">
        <f>SUM('1'!J139:J140)</f>
        <v>3000</v>
      </c>
      <c r="H15" s="302">
        <f>D15+F15+G15</f>
        <v>584281.12226690026</v>
      </c>
      <c r="I15" s="302" t="str">
        <f>ROUNDUP(H15/D$11,1)&amp;"$/SF"</f>
        <v>9$/SF</v>
      </c>
      <c r="J15" s="298"/>
      <c r="K15" s="276">
        <f>669794.47+187000</f>
        <v>856794.47</v>
      </c>
      <c r="L15" s="276">
        <f>K15/$L$11</f>
        <v>11.034340485266846</v>
      </c>
    </row>
    <row r="16" spans="1:13" x14ac:dyDescent="0.2">
      <c r="A16" s="303"/>
      <c r="B16" s="256"/>
      <c r="C16" s="252"/>
      <c r="D16" s="253"/>
      <c r="E16" s="254"/>
      <c r="F16" s="301"/>
      <c r="G16" s="301"/>
      <c r="H16" s="302"/>
      <c r="I16" s="302"/>
      <c r="J16" s="298"/>
      <c r="K16" s="276"/>
      <c r="L16" s="276"/>
    </row>
    <row r="17" spans="1:12" ht="15.75" x14ac:dyDescent="0.25">
      <c r="A17" s="300" t="s">
        <v>153</v>
      </c>
      <c r="B17" s="251" t="s">
        <v>155</v>
      </c>
      <c r="C17" s="252">
        <f>H17/D$66</f>
        <v>0</v>
      </c>
      <c r="D17" s="253">
        <f>SUM('2'!F51:F52)</f>
        <v>0</v>
      </c>
      <c r="E17" s="254">
        <f>SUM('2'!G51:G52)</f>
        <v>0</v>
      </c>
      <c r="F17" s="301">
        <f>SUM('2'!I51:I52)</f>
        <v>0</v>
      </c>
      <c r="G17" s="301">
        <f>SUM('2'!J51:J52)</f>
        <v>0</v>
      </c>
      <c r="H17" s="302">
        <f>D17+F17+G17</f>
        <v>0</v>
      </c>
      <c r="I17" s="302" t="str">
        <f>ROUNDUP(H17/D$11,1)&amp;"$/SF"</f>
        <v>0$/SF</v>
      </c>
      <c r="J17" s="298"/>
      <c r="K17" s="276"/>
      <c r="L17" s="276"/>
    </row>
    <row r="18" spans="1:12" x14ac:dyDescent="0.2">
      <c r="A18" s="303"/>
      <c r="B18" s="256"/>
      <c r="C18" s="252"/>
      <c r="D18" s="253"/>
      <c r="E18" s="254"/>
      <c r="F18" s="301"/>
      <c r="G18" s="301"/>
      <c r="H18" s="302"/>
      <c r="I18" s="302"/>
      <c r="J18" s="298"/>
      <c r="K18" s="276"/>
      <c r="L18" s="276"/>
    </row>
    <row r="19" spans="1:12" ht="15.75" x14ac:dyDescent="0.25">
      <c r="A19" s="300" t="s">
        <v>159</v>
      </c>
      <c r="B19" s="251" t="s">
        <v>4</v>
      </c>
      <c r="C19" s="252">
        <f>H19/D$66</f>
        <v>6.3325355517457257E-2</v>
      </c>
      <c r="D19" s="253">
        <f>SUM('3'!F82:F83)</f>
        <v>236330.86089593248</v>
      </c>
      <c r="E19" s="254">
        <f>SUM('3'!G82:G83)</f>
        <v>158.33333333333331</v>
      </c>
      <c r="F19" s="301">
        <f>SUM('3'!I82:I83)</f>
        <v>9500</v>
      </c>
      <c r="G19" s="301">
        <f>SUM('3'!J82:J83)</f>
        <v>424777</v>
      </c>
      <c r="H19" s="302">
        <f>D19+F19+G19</f>
        <v>670607.86089593242</v>
      </c>
      <c r="I19" s="302" t="str">
        <f>ROUNDUP(H19/D$11,1)&amp;"$/SF"</f>
        <v>10.3$/SF</v>
      </c>
      <c r="J19" s="298"/>
      <c r="K19" s="276">
        <v>1469855.97</v>
      </c>
      <c r="L19" s="276">
        <f t="shared" ref="L19:L59" si="0">K19/$L$11</f>
        <v>18.929733798681227</v>
      </c>
    </row>
    <row r="20" spans="1:12" x14ac:dyDescent="0.2">
      <c r="A20" s="303"/>
      <c r="B20" s="256"/>
      <c r="C20" s="252"/>
      <c r="D20" s="253"/>
      <c r="E20" s="254"/>
      <c r="F20" s="301"/>
      <c r="G20" s="301"/>
      <c r="H20" s="302"/>
      <c r="I20" s="302"/>
      <c r="J20" s="298"/>
      <c r="K20" s="276"/>
      <c r="L20" s="276"/>
    </row>
    <row r="21" spans="1:12" ht="15.75" x14ac:dyDescent="0.25">
      <c r="A21" s="300" t="s">
        <v>172</v>
      </c>
      <c r="B21" s="251" t="s">
        <v>5</v>
      </c>
      <c r="C21" s="252">
        <f>H21/D$66</f>
        <v>1.325416449570911E-2</v>
      </c>
      <c r="D21" s="253">
        <f>SUM('4'!F68:F69)</f>
        <v>0</v>
      </c>
      <c r="E21" s="254">
        <f>SUM('4'!G68:G69)</f>
        <v>0</v>
      </c>
      <c r="F21" s="301">
        <f>SUM('4'!I68:I69)</f>
        <v>0</v>
      </c>
      <c r="G21" s="301">
        <f>SUM('4'!J68:J69)</f>
        <v>140360</v>
      </c>
      <c r="H21" s="302">
        <f>D21+F21+G21</f>
        <v>140360</v>
      </c>
      <c r="I21" s="302" t="str">
        <f>ROUNDUP(H21/D$11,1)&amp;"$/SF"</f>
        <v>2.2$/SF</v>
      </c>
      <c r="J21" s="298"/>
      <c r="K21" s="276">
        <v>240000</v>
      </c>
      <c r="L21" s="276">
        <f t="shared" si="0"/>
        <v>3.0908716257984752</v>
      </c>
    </row>
    <row r="22" spans="1:12" x14ac:dyDescent="0.2">
      <c r="A22" s="303"/>
      <c r="B22" s="256"/>
      <c r="C22" s="252"/>
      <c r="D22" s="253"/>
      <c r="E22" s="254"/>
      <c r="F22" s="301"/>
      <c r="G22" s="301"/>
      <c r="H22" s="302"/>
      <c r="I22" s="302"/>
      <c r="J22" s="298"/>
      <c r="K22" s="276"/>
      <c r="L22" s="276"/>
    </row>
    <row r="23" spans="1:12" ht="15.75" x14ac:dyDescent="0.25">
      <c r="A23" s="300" t="s">
        <v>178</v>
      </c>
      <c r="B23" s="251" t="s">
        <v>6</v>
      </c>
      <c r="C23" s="252">
        <f>H23/D$66</f>
        <v>2.0299570687108772E-2</v>
      </c>
      <c r="D23" s="253">
        <f>SUM('5'!F77:F78)</f>
        <v>800</v>
      </c>
      <c r="E23" s="254">
        <f>SUM('5'!G77:G78)</f>
        <v>0</v>
      </c>
      <c r="F23" s="301">
        <f>SUM('5'!I77:I78)</f>
        <v>0</v>
      </c>
      <c r="G23" s="301">
        <f>SUM('5'!J77:J78)</f>
        <v>214170</v>
      </c>
      <c r="H23" s="302">
        <f>D23+F23+G23</f>
        <v>214970</v>
      </c>
      <c r="I23" s="302" t="str">
        <f>ROUNDUP(H23/D$11,1)&amp;"$/SF"</f>
        <v>3.3$/SF</v>
      </c>
      <c r="J23" s="298"/>
      <c r="K23" s="276">
        <v>141945.5</v>
      </c>
      <c r="L23" s="276">
        <f t="shared" si="0"/>
        <v>1.8280638264990727</v>
      </c>
    </row>
    <row r="24" spans="1:12" x14ac:dyDescent="0.2">
      <c r="A24" s="303"/>
      <c r="B24" s="256"/>
      <c r="C24" s="252"/>
      <c r="D24" s="253"/>
      <c r="E24" s="254"/>
      <c r="F24" s="301"/>
      <c r="G24" s="301"/>
      <c r="H24" s="302"/>
      <c r="I24" s="302"/>
      <c r="J24" s="298"/>
      <c r="K24" s="276"/>
      <c r="L24" s="276"/>
    </row>
    <row r="25" spans="1:12" ht="15.75" x14ac:dyDescent="0.25">
      <c r="A25" s="300" t="s">
        <v>191</v>
      </c>
      <c r="B25" s="251" t="s">
        <v>192</v>
      </c>
      <c r="C25" s="252">
        <f>H25/D$66</f>
        <v>0.24314324294404346</v>
      </c>
      <c r="D25" s="253">
        <f>SUM('6'!F94:F95)</f>
        <v>551103.89444444445</v>
      </c>
      <c r="E25" s="254">
        <f>SUM('6'!G94:G95)</f>
        <v>0</v>
      </c>
      <c r="F25" s="301">
        <f>SUM('6'!I94:I95)</f>
        <v>0</v>
      </c>
      <c r="G25" s="301">
        <f>SUM('6'!J94:J95)</f>
        <v>2023753.66</v>
      </c>
      <c r="H25" s="302">
        <f>D25+F25+G25</f>
        <v>2574857.5544444444</v>
      </c>
      <c r="I25" s="302" t="str">
        <f>ROUNDUP(H25/D$11,1)&amp;"$/SF"</f>
        <v>39.3$/SF</v>
      </c>
      <c r="J25" s="298"/>
      <c r="K25" s="276">
        <v>2971859.63</v>
      </c>
      <c r="L25" s="276">
        <f t="shared" si="0"/>
        <v>38.273485859262308</v>
      </c>
    </row>
    <row r="26" spans="1:12" x14ac:dyDescent="0.2">
      <c r="A26" s="303"/>
      <c r="B26" s="256"/>
      <c r="C26" s="252"/>
      <c r="D26" s="253"/>
      <c r="E26" s="254"/>
      <c r="F26" s="301"/>
      <c r="G26" s="301"/>
      <c r="H26" s="302"/>
      <c r="I26" s="302"/>
      <c r="J26" s="298"/>
      <c r="K26" s="276"/>
      <c r="L26" s="276"/>
    </row>
    <row r="27" spans="1:12" ht="15.75" x14ac:dyDescent="0.25">
      <c r="A27" s="300" t="s">
        <v>205</v>
      </c>
      <c r="B27" s="251" t="s">
        <v>57</v>
      </c>
      <c r="C27" s="252">
        <f>H27/D$66</f>
        <v>0.11138191468866919</v>
      </c>
      <c r="D27" s="253">
        <f>SUM('7'!F93:F94)</f>
        <v>545786.8139999999</v>
      </c>
      <c r="E27" s="254">
        <f>SUM('7'!G93:G94)</f>
        <v>59077.799999999996</v>
      </c>
      <c r="F27" s="301">
        <f>SUM('7'!I93:I94)</f>
        <v>99349.2</v>
      </c>
      <c r="G27" s="301">
        <f>SUM('7'!J93:J94)</f>
        <v>534385</v>
      </c>
      <c r="H27" s="302">
        <f>D27+F27+G27</f>
        <v>1179521.014</v>
      </c>
      <c r="I27" s="302" t="str">
        <f>ROUNDUP(H27/D$11,1)&amp;"$/SF"</f>
        <v>18$/SF</v>
      </c>
      <c r="J27" s="298"/>
      <c r="K27" s="276">
        <v>1267203.6499999999</v>
      </c>
      <c r="L27" s="276">
        <f t="shared" si="0"/>
        <v>16.319849191221923</v>
      </c>
    </row>
    <row r="28" spans="1:12" x14ac:dyDescent="0.2">
      <c r="A28" s="303"/>
      <c r="B28" s="256"/>
      <c r="C28" s="252"/>
      <c r="D28" s="253"/>
      <c r="E28" s="254"/>
      <c r="F28" s="301"/>
      <c r="G28" s="301"/>
      <c r="H28" s="302"/>
      <c r="I28" s="302"/>
      <c r="J28" s="298"/>
      <c r="K28" s="276"/>
      <c r="L28" s="276"/>
    </row>
    <row r="29" spans="1:12" ht="15.75" x14ac:dyDescent="0.25">
      <c r="A29" s="300" t="s">
        <v>243</v>
      </c>
      <c r="B29" s="251" t="s">
        <v>244</v>
      </c>
      <c r="C29" s="252">
        <f>H29/D$66</f>
        <v>2.5914347707795646E-2</v>
      </c>
      <c r="D29" s="253">
        <f>SUM('8'!F108:F109)</f>
        <v>8000</v>
      </c>
      <c r="E29" s="254">
        <f>SUM('8'!G108:G109)</f>
        <v>0</v>
      </c>
      <c r="F29" s="301">
        <f>SUM('8'!I108:I109)</f>
        <v>0</v>
      </c>
      <c r="G29" s="301">
        <f>SUM('8'!J108:J109)</f>
        <v>266429.81</v>
      </c>
      <c r="H29" s="302">
        <f>D29+F29+G29</f>
        <v>274429.81</v>
      </c>
      <c r="I29" s="302" t="str">
        <f>ROUNDUP(H29/D$11,1)&amp;"$/SF"</f>
        <v>4.2$/SF</v>
      </c>
      <c r="J29" s="298"/>
      <c r="K29" s="276">
        <v>508342.1</v>
      </c>
      <c r="L29" s="276">
        <f t="shared" si="0"/>
        <v>6.5467507212033791</v>
      </c>
    </row>
    <row r="30" spans="1:12" x14ac:dyDescent="0.2">
      <c r="A30" s="303"/>
      <c r="B30" s="256"/>
      <c r="C30" s="252"/>
      <c r="D30" s="253"/>
      <c r="E30" s="254"/>
      <c r="F30" s="301"/>
      <c r="G30" s="301"/>
      <c r="H30" s="302"/>
      <c r="I30" s="302"/>
      <c r="J30" s="298"/>
      <c r="K30" s="276"/>
      <c r="L30" s="276"/>
    </row>
    <row r="31" spans="1:12" ht="15.75" x14ac:dyDescent="0.25">
      <c r="A31" s="300" t="s">
        <v>281</v>
      </c>
      <c r="B31" s="251" t="s">
        <v>8</v>
      </c>
      <c r="C31" s="252">
        <f>H31/D$66</f>
        <v>0.16499952249547536</v>
      </c>
      <c r="D31" s="253">
        <f>SUM('9'!F65:F66)</f>
        <v>121100</v>
      </c>
      <c r="E31" s="254">
        <f>SUM('9'!G65:G66)</f>
        <v>0</v>
      </c>
      <c r="F31" s="301">
        <f>SUM('9'!I65:I66)</f>
        <v>0</v>
      </c>
      <c r="G31" s="301">
        <f>SUM('9'!J65:J66)</f>
        <v>1626225</v>
      </c>
      <c r="H31" s="302">
        <f>D31+F31+G31</f>
        <v>1747325</v>
      </c>
      <c r="I31" s="302" t="str">
        <f>ROUNDUP(H31/D$11,1)&amp;"$/SF"</f>
        <v>26.7$/SF</v>
      </c>
      <c r="J31" s="298"/>
      <c r="K31" s="276">
        <v>1804882.75</v>
      </c>
      <c r="L31" s="276">
        <f t="shared" si="0"/>
        <v>23.244420332783847</v>
      </c>
    </row>
    <row r="32" spans="1:12" x14ac:dyDescent="0.2">
      <c r="A32" s="303"/>
      <c r="B32" s="256"/>
      <c r="C32" s="252"/>
      <c r="D32" s="253"/>
      <c r="E32" s="254"/>
      <c r="F32" s="301"/>
      <c r="G32" s="301"/>
      <c r="H32" s="302"/>
      <c r="I32" s="302"/>
      <c r="J32" s="298"/>
      <c r="K32" s="276"/>
      <c r="L32" s="276"/>
    </row>
    <row r="33" spans="1:12" ht="15.75" x14ac:dyDescent="0.25">
      <c r="A33" s="300" t="s">
        <v>300</v>
      </c>
      <c r="B33" s="251" t="s">
        <v>9</v>
      </c>
      <c r="C33" s="252">
        <f>H33/D$66</f>
        <v>8.3262291197290974E-3</v>
      </c>
      <c r="D33" s="253">
        <f>SUM('10'!F74:F75)</f>
        <v>13329.390000000001</v>
      </c>
      <c r="E33" s="254">
        <f>SUM('10'!G74:G75)</f>
        <v>5</v>
      </c>
      <c r="F33" s="301">
        <f>SUM('10'!I74:I75)</f>
        <v>300</v>
      </c>
      <c r="G33" s="301">
        <f>SUM('10'!J74:J75)</f>
        <v>74544.37</v>
      </c>
      <c r="H33" s="302">
        <f>D33+F33+G33</f>
        <v>88173.759999999995</v>
      </c>
      <c r="I33" s="302" t="str">
        <f>ROUNDUP(H33/D$11,1)&amp;"$/SF"</f>
        <v>1.4$/SF</v>
      </c>
      <c r="J33" s="298"/>
      <c r="K33" s="276">
        <v>101680</v>
      </c>
      <c r="L33" s="276">
        <f t="shared" si="0"/>
        <v>1.3094992787966206</v>
      </c>
    </row>
    <row r="34" spans="1:12" x14ac:dyDescent="0.2">
      <c r="A34" s="303"/>
      <c r="B34" s="256"/>
      <c r="C34" s="252"/>
      <c r="D34" s="253"/>
      <c r="E34" s="254"/>
      <c r="F34" s="301"/>
      <c r="G34" s="301"/>
      <c r="H34" s="302"/>
      <c r="I34" s="302"/>
      <c r="J34" s="298"/>
      <c r="K34" s="276"/>
      <c r="L34" s="276"/>
    </row>
    <row r="35" spans="1:12" ht="15.75" x14ac:dyDescent="0.25">
      <c r="A35" s="300" t="s">
        <v>332</v>
      </c>
      <c r="B35" s="251" t="s">
        <v>71</v>
      </c>
      <c r="C35" s="252">
        <f>H35/D$66</f>
        <v>1.8942614689649813E-2</v>
      </c>
      <c r="D35" s="253">
        <f>SUM('11'!F99:F100)</f>
        <v>200600</v>
      </c>
      <c r="E35" s="254">
        <f>SUM('11'!G99:G100)</f>
        <v>0</v>
      </c>
      <c r="F35" s="301">
        <f>SUM('11'!I99:I100)</f>
        <v>0</v>
      </c>
      <c r="G35" s="301">
        <f>SUM('11'!J99:J100)</f>
        <v>0</v>
      </c>
      <c r="H35" s="302">
        <f>D35+F35+G35</f>
        <v>200600</v>
      </c>
      <c r="I35" s="302" t="str">
        <f>ROUNDUP(H35/D$11,1)&amp;"$/SF"</f>
        <v>3.1$/SF</v>
      </c>
      <c r="J35" s="298"/>
      <c r="K35" s="276">
        <v>234000</v>
      </c>
      <c r="L35" s="276">
        <f t="shared" si="0"/>
        <v>3.0135998351535132</v>
      </c>
    </row>
    <row r="36" spans="1:12" x14ac:dyDescent="0.2">
      <c r="A36" s="303"/>
      <c r="B36" s="256"/>
      <c r="C36" s="252"/>
      <c r="D36" s="253"/>
      <c r="E36" s="254"/>
      <c r="F36" s="301"/>
      <c r="G36" s="301"/>
      <c r="H36" s="302"/>
      <c r="I36" s="302"/>
      <c r="J36" s="298"/>
      <c r="K36" s="276"/>
      <c r="L36" s="276"/>
    </row>
    <row r="37" spans="1:12" ht="15.75" x14ac:dyDescent="0.25">
      <c r="A37" s="300" t="s">
        <v>353</v>
      </c>
      <c r="B37" s="251" t="s">
        <v>76</v>
      </c>
      <c r="C37" s="252">
        <f>H37/D$66</f>
        <v>3.8999500831631965E-3</v>
      </c>
      <c r="D37" s="253">
        <f>SUM('12'!F99:F100)</f>
        <v>41300</v>
      </c>
      <c r="E37" s="254">
        <f>SUM('12'!G99:G100)</f>
        <v>0</v>
      </c>
      <c r="F37" s="301">
        <f>SUM('12'!I99:I100)</f>
        <v>0</v>
      </c>
      <c r="G37" s="301">
        <f>SUM('12'!J99:J100)</f>
        <v>0</v>
      </c>
      <c r="H37" s="302">
        <f>D37+F37+G37</f>
        <v>41300</v>
      </c>
      <c r="I37" s="302" t="str">
        <f>ROUNDUP(H37/D$11,1)&amp;"$/SF"</f>
        <v>0.7$/SF</v>
      </c>
      <c r="J37" s="298"/>
      <c r="K37" s="276">
        <v>47669</v>
      </c>
      <c r="L37" s="276">
        <f t="shared" si="0"/>
        <v>0.61391149804244793</v>
      </c>
    </row>
    <row r="38" spans="1:12" x14ac:dyDescent="0.2">
      <c r="A38" s="303"/>
      <c r="B38" s="256"/>
      <c r="C38" s="252"/>
      <c r="D38" s="253"/>
      <c r="E38" s="254"/>
      <c r="F38" s="301"/>
      <c r="G38" s="301"/>
      <c r="H38" s="302"/>
      <c r="I38" s="302"/>
      <c r="J38" s="298"/>
      <c r="K38" s="276"/>
      <c r="L38" s="276"/>
    </row>
    <row r="39" spans="1:12" ht="15.75" x14ac:dyDescent="0.25">
      <c r="A39" s="300" t="s">
        <v>366</v>
      </c>
      <c r="B39" s="251" t="s">
        <v>77</v>
      </c>
      <c r="C39" s="252">
        <f>H39/D$66</f>
        <v>1.1463775789249687E-2</v>
      </c>
      <c r="D39" s="253">
        <f>+SUM('13'!F99:F100)</f>
        <v>10000</v>
      </c>
      <c r="E39" s="254">
        <f>SUM('13'!G99:G100)</f>
        <v>0</v>
      </c>
      <c r="F39" s="301">
        <f>SUM('13'!I99:I100)</f>
        <v>0</v>
      </c>
      <c r="G39" s="301">
        <f>SUM('13'!J99:J100)</f>
        <v>111400</v>
      </c>
      <c r="H39" s="302">
        <f>D39+F39+G39</f>
        <v>121400</v>
      </c>
      <c r="I39" s="302" t="str">
        <f>ROUNDUP(H39/D$11,1)&amp;"$/SF"</f>
        <v>1.9$/SF</v>
      </c>
      <c r="J39" s="298"/>
      <c r="K39" s="276"/>
      <c r="L39" s="276"/>
    </row>
    <row r="40" spans="1:12" x14ac:dyDescent="0.2">
      <c r="A40" s="303"/>
      <c r="B40" s="256"/>
      <c r="C40" s="252"/>
      <c r="D40" s="253"/>
      <c r="E40" s="254"/>
      <c r="F40" s="301"/>
      <c r="G40" s="301"/>
      <c r="H40" s="302"/>
      <c r="I40" s="302"/>
      <c r="J40" s="298"/>
      <c r="K40" s="276"/>
      <c r="L40" s="276"/>
    </row>
    <row r="41" spans="1:12" ht="15.75" x14ac:dyDescent="0.25">
      <c r="A41" s="300" t="s">
        <v>367</v>
      </c>
      <c r="B41" s="251" t="s">
        <v>368</v>
      </c>
      <c r="C41" s="252">
        <f>H41/D$66</f>
        <v>1.466352902334133E-2</v>
      </c>
      <c r="D41" s="253">
        <f>SUM('14'!F99:F100)</f>
        <v>0</v>
      </c>
      <c r="E41" s="254">
        <f>SUM('14'!G99:G100)</f>
        <v>0</v>
      </c>
      <c r="F41" s="301">
        <f>SUM('14'!I99:I100)</f>
        <v>0</v>
      </c>
      <c r="G41" s="301">
        <f>SUM('14'!J99:J100)</f>
        <v>155285</v>
      </c>
      <c r="H41" s="302">
        <f>D41+F41+G41</f>
        <v>155285</v>
      </c>
      <c r="I41" s="302" t="str">
        <f>ROUNDUP(H41/D$11,1)&amp;"$/SF"</f>
        <v>2.4$/SF</v>
      </c>
      <c r="J41" s="298"/>
      <c r="K41" s="276">
        <v>324859</v>
      </c>
      <c r="L41" s="276">
        <f t="shared" si="0"/>
        <v>4.1837394395219452</v>
      </c>
    </row>
    <row r="42" spans="1:12" x14ac:dyDescent="0.2">
      <c r="A42" s="303"/>
      <c r="B42" s="256"/>
      <c r="C42" s="252"/>
      <c r="D42" s="253"/>
      <c r="E42" s="254"/>
      <c r="F42" s="301"/>
      <c r="G42" s="301"/>
      <c r="H42" s="302"/>
      <c r="I42" s="302"/>
      <c r="J42" s="298"/>
      <c r="K42" s="276"/>
      <c r="L42" s="276"/>
    </row>
    <row r="43" spans="1:12" ht="15.75" x14ac:dyDescent="0.25">
      <c r="A43" s="300" t="s">
        <v>373</v>
      </c>
      <c r="B43" s="251" t="s">
        <v>151</v>
      </c>
      <c r="C43" s="252">
        <f>H43/D$66</f>
        <v>2.0019114228343769E-2</v>
      </c>
      <c r="D43" s="253">
        <f>SUM('21'!F99:F100)</f>
        <v>0</v>
      </c>
      <c r="E43" s="254">
        <f>SUM('21'!G99:G100)</f>
        <v>0</v>
      </c>
      <c r="F43" s="301">
        <f>SUM('21'!I99:I100)</f>
        <v>0</v>
      </c>
      <c r="G43" s="301">
        <f>SUM('21'!J99:J100)</f>
        <v>212000</v>
      </c>
      <c r="H43" s="302">
        <f>D43+F43+G43</f>
        <v>212000</v>
      </c>
      <c r="I43" s="302" t="str">
        <f>ROUNDUP(H43/D$11,1)&amp;"$/SF"</f>
        <v>3.3$/SF</v>
      </c>
      <c r="J43" s="298"/>
      <c r="K43" s="276">
        <v>256043.6</v>
      </c>
      <c r="L43" s="276">
        <f t="shared" si="0"/>
        <v>3.2974912425303935</v>
      </c>
    </row>
    <row r="44" spans="1:12" x14ac:dyDescent="0.2">
      <c r="A44" s="303"/>
      <c r="B44" s="256"/>
      <c r="C44" s="252"/>
      <c r="D44" s="253"/>
      <c r="E44" s="254"/>
      <c r="F44" s="301"/>
      <c r="G44" s="301"/>
      <c r="H44" s="302"/>
      <c r="I44" s="302"/>
      <c r="J44" s="298"/>
      <c r="K44" s="276"/>
      <c r="L44" s="276"/>
    </row>
    <row r="45" spans="1:12" ht="15.75" x14ac:dyDescent="0.25">
      <c r="A45" s="300" t="s">
        <v>376</v>
      </c>
      <c r="B45" s="251" t="s">
        <v>41</v>
      </c>
      <c r="C45" s="252">
        <f>H45/D$66</f>
        <v>6.3725939797159403E-2</v>
      </c>
      <c r="D45" s="253">
        <f>SUM('22'!F94:F95)</f>
        <v>0</v>
      </c>
      <c r="E45" s="254">
        <f>SUM('22'!G94:G95)</f>
        <v>0</v>
      </c>
      <c r="F45" s="301">
        <f>SUM('22'!I94:I95)</f>
        <v>0</v>
      </c>
      <c r="G45" s="301">
        <f>SUM('22'!J94:J95)</f>
        <v>674850</v>
      </c>
      <c r="H45" s="302">
        <f>D45+F45+G45</f>
        <v>674850</v>
      </c>
      <c r="I45" s="302" t="str">
        <f>ROUNDUP(H45/D$11,1)&amp;"$/SF"</f>
        <v>10.3$/SF</v>
      </c>
      <c r="J45" s="298"/>
      <c r="K45" s="276">
        <v>813490.08</v>
      </c>
      <c r="L45" s="276">
        <f t="shared" si="0"/>
        <v>10.476639192252215</v>
      </c>
    </row>
    <row r="46" spans="1:12" x14ac:dyDescent="0.2">
      <c r="A46" s="303"/>
      <c r="B46" s="256"/>
      <c r="C46" s="252"/>
      <c r="D46" s="253"/>
      <c r="E46" s="254"/>
      <c r="F46" s="301"/>
      <c r="G46" s="301"/>
      <c r="H46" s="302"/>
      <c r="I46" s="302"/>
      <c r="J46" s="298"/>
      <c r="K46" s="276"/>
      <c r="L46" s="276"/>
    </row>
    <row r="47" spans="1:12" ht="15.75" x14ac:dyDescent="0.25">
      <c r="A47" s="300" t="s">
        <v>424</v>
      </c>
      <c r="B47" s="251" t="s">
        <v>42</v>
      </c>
      <c r="C47" s="252">
        <f>H47/D$66</f>
        <v>4.4160088532476244E-2</v>
      </c>
      <c r="D47" s="253">
        <f>SUM('23'!F102:F103)</f>
        <v>0</v>
      </c>
      <c r="E47" s="254">
        <f>SUM('23'!G102:G103)</f>
        <v>0</v>
      </c>
      <c r="F47" s="301">
        <f>SUM('23'!I102:I103)</f>
        <v>0</v>
      </c>
      <c r="G47" s="301">
        <f>SUM('23'!J102:J103)</f>
        <v>467650</v>
      </c>
      <c r="H47" s="302">
        <f>D47+F47+G47</f>
        <v>467650</v>
      </c>
      <c r="I47" s="302" t="str">
        <f>ROUNDUP(H47/D$11,1)&amp;"$/SF"</f>
        <v>7.2$/SF</v>
      </c>
      <c r="J47" s="298"/>
      <c r="K47" s="276">
        <v>641638.63</v>
      </c>
      <c r="L47" s="276">
        <f t="shared" si="0"/>
        <v>8.2634276478466937</v>
      </c>
    </row>
    <row r="48" spans="1:12" x14ac:dyDescent="0.2">
      <c r="A48" s="303"/>
      <c r="B48" s="256"/>
      <c r="C48" s="252"/>
      <c r="D48" s="253"/>
      <c r="E48" s="254"/>
      <c r="F48" s="301"/>
      <c r="G48" s="301"/>
      <c r="H48" s="302"/>
      <c r="I48" s="302"/>
      <c r="J48" s="298"/>
      <c r="K48" s="276"/>
      <c r="L48" s="276"/>
    </row>
    <row r="49" spans="1:15" ht="15.75" x14ac:dyDescent="0.25">
      <c r="A49" s="300" t="s">
        <v>468</v>
      </c>
      <c r="B49" s="251" t="s">
        <v>469</v>
      </c>
      <c r="C49" s="252">
        <f>H49/D$66</f>
        <v>0</v>
      </c>
      <c r="D49" s="253">
        <f>SUM('25'!F54:F55)</f>
        <v>0</v>
      </c>
      <c r="E49" s="254">
        <f>SUM('25'!G54:G55)</f>
        <v>0</v>
      </c>
      <c r="F49" s="301">
        <f>SUM('25'!I54:I55)</f>
        <v>0</v>
      </c>
      <c r="G49" s="301">
        <f>SUM('25'!J54:J55)</f>
        <v>0</v>
      </c>
      <c r="H49" s="302">
        <f>D49+F49+G49</f>
        <v>0</v>
      </c>
      <c r="I49" s="302" t="str">
        <f>ROUNDUP(H49/D$11,1)&amp;"$/SF"</f>
        <v>0$/SF</v>
      </c>
      <c r="J49" s="298"/>
      <c r="K49" s="276"/>
      <c r="L49" s="276"/>
    </row>
    <row r="50" spans="1:15" x14ac:dyDescent="0.2">
      <c r="A50" s="303"/>
      <c r="B50" s="256"/>
      <c r="C50" s="252"/>
      <c r="D50" s="253"/>
      <c r="E50" s="254"/>
      <c r="F50" s="301"/>
      <c r="G50" s="301"/>
      <c r="H50" s="302"/>
      <c r="I50" s="302"/>
      <c r="J50" s="298"/>
      <c r="K50" s="276"/>
      <c r="L50" s="276"/>
    </row>
    <row r="51" spans="1:15" ht="15.75" x14ac:dyDescent="0.25">
      <c r="A51" s="300" t="s">
        <v>470</v>
      </c>
      <c r="B51" s="251" t="s">
        <v>10</v>
      </c>
      <c r="C51" s="252">
        <f>H51/D$66</f>
        <v>7.7705986043214159E-2</v>
      </c>
      <c r="D51" s="253">
        <f>SUM('26'!F58:F59)</f>
        <v>52897</v>
      </c>
      <c r="E51" s="254">
        <f>SUM('26'!G58:G59)</f>
        <v>0</v>
      </c>
      <c r="F51" s="301">
        <f>SUM('26'!I58:I59)</f>
        <v>0</v>
      </c>
      <c r="G51" s="301">
        <f>SUM('26'!J58:J59)</f>
        <v>770000</v>
      </c>
      <c r="H51" s="302">
        <f>D51+F51+G51</f>
        <v>822897</v>
      </c>
      <c r="I51" s="302" t="str">
        <f>ROUNDUP(H51/D$11,1)&amp;"$/SF"</f>
        <v>12.6$/SF</v>
      </c>
      <c r="J51" s="298"/>
      <c r="K51" s="276">
        <v>1110432.08</v>
      </c>
      <c r="L51" s="276">
        <f t="shared" si="0"/>
        <v>14.300845868534928</v>
      </c>
    </row>
    <row r="52" spans="1:15" x14ac:dyDescent="0.2">
      <c r="A52" s="303"/>
      <c r="B52" s="256"/>
      <c r="C52" s="252"/>
      <c r="D52" s="253"/>
      <c r="E52" s="254"/>
      <c r="F52" s="301"/>
      <c r="G52" s="301"/>
      <c r="H52" s="302"/>
      <c r="I52" s="302"/>
      <c r="J52" s="298"/>
      <c r="K52" s="276"/>
      <c r="L52" s="276"/>
    </row>
    <row r="53" spans="1:15" ht="15.75" x14ac:dyDescent="0.25">
      <c r="A53" s="300" t="s">
        <v>486</v>
      </c>
      <c r="B53" s="251" t="s">
        <v>487</v>
      </c>
      <c r="C53" s="252">
        <f>H53/D$66</f>
        <v>0</v>
      </c>
      <c r="D53" s="253">
        <f>SUM('27'!F99:F100)</f>
        <v>0</v>
      </c>
      <c r="E53" s="254">
        <f>SUM('27'!G99:G100)</f>
        <v>0</v>
      </c>
      <c r="F53" s="301">
        <f>SUM('27'!I99:I100)</f>
        <v>0</v>
      </c>
      <c r="G53" s="301">
        <f>SUM('27'!J99:J100)</f>
        <v>0</v>
      </c>
      <c r="H53" s="302">
        <f>D53+F53+G53</f>
        <v>0</v>
      </c>
      <c r="I53" s="302" t="str">
        <f>ROUNDUP(H53/D$11,1)&amp;"$/SF"</f>
        <v>0$/SF</v>
      </c>
      <c r="J53" s="298"/>
      <c r="K53" s="276"/>
      <c r="L53" s="276"/>
    </row>
    <row r="54" spans="1:15" x14ac:dyDescent="0.2">
      <c r="A54" s="303"/>
      <c r="B54" s="256"/>
      <c r="C54" s="252"/>
      <c r="D54" s="253"/>
      <c r="E54" s="254"/>
      <c r="F54" s="301"/>
      <c r="G54" s="301"/>
      <c r="H54" s="302"/>
      <c r="I54" s="302"/>
      <c r="J54" s="298"/>
      <c r="K54" s="276"/>
      <c r="L54" s="276"/>
    </row>
    <row r="55" spans="1:15" ht="15.75" x14ac:dyDescent="0.25">
      <c r="A55" s="300" t="s">
        <v>502</v>
      </c>
      <c r="B55" s="251" t="s">
        <v>503</v>
      </c>
      <c r="C55" s="252">
        <f>H55/D$66</f>
        <v>0</v>
      </c>
      <c r="D55" s="253">
        <f>SUM('28'!F55:F56)</f>
        <v>0</v>
      </c>
      <c r="E55" s="254">
        <f>SUM('28'!G55:G56)</f>
        <v>0</v>
      </c>
      <c r="F55" s="301">
        <f>SUM('28'!I55:I56)</f>
        <v>0</v>
      </c>
      <c r="G55" s="301">
        <f>SUM('28'!J55:J56)</f>
        <v>0</v>
      </c>
      <c r="H55" s="302">
        <f>D55+F55+G55</f>
        <v>0</v>
      </c>
      <c r="I55" s="302" t="str">
        <f>ROUNDUP(H55/D$11,1)&amp;"$/SF"</f>
        <v>0$/SF</v>
      </c>
      <c r="J55" s="298"/>
      <c r="K55" s="276"/>
      <c r="L55" s="276"/>
    </row>
    <row r="56" spans="1:15" x14ac:dyDescent="0.2">
      <c r="A56" s="303"/>
      <c r="B56" s="256"/>
      <c r="C56" s="252"/>
      <c r="D56" s="253"/>
      <c r="E56" s="254"/>
      <c r="F56" s="301"/>
      <c r="G56" s="301"/>
      <c r="H56" s="302"/>
      <c r="I56" s="302"/>
      <c r="J56" s="298"/>
      <c r="K56" s="276"/>
      <c r="L56" s="276"/>
    </row>
    <row r="57" spans="1:15" ht="15.75" x14ac:dyDescent="0.25">
      <c r="A57" s="300" t="s">
        <v>516</v>
      </c>
      <c r="B57" s="251" t="s">
        <v>517</v>
      </c>
      <c r="C57" s="252">
        <f>H57/D$66</f>
        <v>2.5335511072946383E-2</v>
      </c>
      <c r="D57" s="253">
        <f>SUM('31'!F69:F70)</f>
        <v>40000</v>
      </c>
      <c r="E57" s="254">
        <f>SUM('31'!G69:G70)</f>
        <v>0</v>
      </c>
      <c r="F57" s="301">
        <f>SUM('31'!I69:I70)</f>
        <v>0</v>
      </c>
      <c r="G57" s="301">
        <f>SUM('31'!J69:J70)</f>
        <v>228300</v>
      </c>
      <c r="H57" s="302">
        <f>D57+F57+G57</f>
        <v>268300</v>
      </c>
      <c r="I57" s="302" t="str">
        <f>ROUNDUP(H57/D$11,1)&amp;"$/SF"</f>
        <v>4.1$/SF</v>
      </c>
      <c r="J57" s="298"/>
      <c r="K57" s="276">
        <v>771509.48</v>
      </c>
      <c r="L57" s="276">
        <f t="shared" si="0"/>
        <v>9.9359865031939005</v>
      </c>
    </row>
    <row r="58" spans="1:15" x14ac:dyDescent="0.2">
      <c r="A58" s="303"/>
      <c r="B58" s="256"/>
      <c r="C58" s="252"/>
      <c r="D58" s="253"/>
      <c r="E58" s="254"/>
      <c r="F58" s="301"/>
      <c r="G58" s="301"/>
      <c r="H58" s="302"/>
      <c r="I58" s="302"/>
      <c r="J58" s="298"/>
      <c r="K58" s="276"/>
      <c r="L58" s="276"/>
    </row>
    <row r="59" spans="1:15" ht="15.75" x14ac:dyDescent="0.25">
      <c r="A59" s="300" t="s">
        <v>561</v>
      </c>
      <c r="B59" s="251" t="s">
        <v>562</v>
      </c>
      <c r="C59" s="252">
        <f>H59/D$66</f>
        <v>1.4265602857458792E-2</v>
      </c>
      <c r="D59" s="253">
        <f>SUM('32'!F97:F98)</f>
        <v>0</v>
      </c>
      <c r="E59" s="254">
        <f>SUM('32'!G97:G98)</f>
        <v>0</v>
      </c>
      <c r="F59" s="301">
        <f>SUM('32'!I97:I98)</f>
        <v>0</v>
      </c>
      <c r="G59" s="301">
        <f>SUM('32'!J97:J98)</f>
        <v>151071.01</v>
      </c>
      <c r="H59" s="302">
        <f>D59+F59+G59</f>
        <v>151071.01</v>
      </c>
      <c r="I59" s="302" t="str">
        <f>ROUNDUP(H59/D$11,1)&amp;"$/SF"</f>
        <v>2.4$/SF</v>
      </c>
      <c r="J59" s="298"/>
      <c r="K59" s="276">
        <v>211970</v>
      </c>
      <c r="L59" s="276">
        <f t="shared" si="0"/>
        <v>2.7298835771687617</v>
      </c>
    </row>
    <row r="60" spans="1:15" x14ac:dyDescent="0.2">
      <c r="A60" s="303"/>
      <c r="B60" s="256"/>
      <c r="C60" s="252"/>
      <c r="D60" s="253"/>
      <c r="E60" s="254"/>
      <c r="F60" s="301"/>
      <c r="G60" s="301"/>
      <c r="H60" s="302"/>
      <c r="I60" s="302"/>
      <c r="J60" s="298"/>
      <c r="K60" s="276"/>
      <c r="L60" s="276"/>
    </row>
    <row r="61" spans="1:15" ht="15.75" x14ac:dyDescent="0.25">
      <c r="A61" s="300" t="s">
        <v>612</v>
      </c>
      <c r="B61" s="251" t="s">
        <v>613</v>
      </c>
      <c r="C61" s="252">
        <f>H61/D$66</f>
        <v>0</v>
      </c>
      <c r="D61" s="253">
        <f>SUM('33'!F57:F58)</f>
        <v>0</v>
      </c>
      <c r="E61" s="254">
        <f>SUM('33'!G57:G58)</f>
        <v>0</v>
      </c>
      <c r="F61" s="301">
        <f>SUM('33'!I57:I58)</f>
        <v>0</v>
      </c>
      <c r="G61" s="301">
        <f>SUM('33'!J57:J58)</f>
        <v>0</v>
      </c>
      <c r="H61" s="302">
        <f>D61+F61+G61</f>
        <v>0</v>
      </c>
      <c r="I61" s="302" t="str">
        <f>ROUNDUP(H61/D$11,1)&amp;"$/SF"</f>
        <v>0$/SF</v>
      </c>
      <c r="J61" s="298"/>
      <c r="K61" s="276"/>
      <c r="L61" s="276"/>
    </row>
    <row r="62" spans="1:15" x14ac:dyDescent="0.2">
      <c r="A62" s="303"/>
      <c r="B62" s="256"/>
      <c r="C62" s="252"/>
      <c r="D62" s="253"/>
      <c r="E62" s="254"/>
      <c r="F62" s="301"/>
      <c r="G62" s="301"/>
      <c r="H62" s="302"/>
      <c r="I62" s="302"/>
      <c r="J62" s="298"/>
      <c r="K62" s="276"/>
      <c r="L62" s="276"/>
    </row>
    <row r="63" spans="1:15" ht="13.5" thickBot="1" x14ac:dyDescent="0.25">
      <c r="A63" s="303"/>
      <c r="C63" s="257"/>
      <c r="D63" s="304"/>
      <c r="E63" s="258"/>
      <c r="F63" s="304"/>
      <c r="G63" s="304"/>
      <c r="H63" s="305"/>
      <c r="I63" s="302"/>
      <c r="J63" s="298"/>
      <c r="K63" s="276"/>
      <c r="L63" s="276"/>
    </row>
    <row r="64" spans="1:15" ht="13.5" thickTop="1" x14ac:dyDescent="0.2">
      <c r="A64" s="303"/>
      <c r="B64" s="259" t="s">
        <v>11</v>
      </c>
      <c r="C64" s="260">
        <f t="shared" ref="C64:H64" si="1">SUM(C15:C63)</f>
        <v>1</v>
      </c>
      <c r="D64" s="257">
        <f t="shared" si="1"/>
        <v>2223129.0816072766</v>
      </c>
      <c r="E64" s="254">
        <f t="shared" si="1"/>
        <v>59482.133333333331</v>
      </c>
      <c r="F64" s="257">
        <f t="shared" si="1"/>
        <v>288549.2</v>
      </c>
      <c r="G64" s="257">
        <f t="shared" si="1"/>
        <v>8078200.8500000006</v>
      </c>
      <c r="H64" s="302">
        <f t="shared" si="1"/>
        <v>10589879.131607277</v>
      </c>
      <c r="I64" s="302" t="str">
        <f>ROUNDUP(H64/D$11,1)&amp;"$/SF"</f>
        <v>161.5$/SF</v>
      </c>
      <c r="J64" s="306"/>
      <c r="K64" s="276"/>
      <c r="L64" s="276"/>
      <c r="N64" s="302"/>
      <c r="O64" s="836"/>
    </row>
    <row r="65" spans="1:15" x14ac:dyDescent="0.2">
      <c r="A65" s="303"/>
      <c r="B65" s="259"/>
      <c r="C65" s="261"/>
      <c r="D65" s="257"/>
      <c r="F65" s="257"/>
      <c r="G65" s="257"/>
      <c r="J65" s="298"/>
      <c r="K65" s="834"/>
      <c r="L65" s="276"/>
    </row>
    <row r="66" spans="1:15" x14ac:dyDescent="0.2">
      <c r="A66" s="303"/>
      <c r="B66" s="259" t="s">
        <v>15</v>
      </c>
      <c r="C66" s="263"/>
      <c r="D66" s="257">
        <f>D64+F64+G64</f>
        <v>10589879.131607277</v>
      </c>
      <c r="F66" s="288"/>
      <c r="G66" s="288"/>
      <c r="J66" s="298"/>
      <c r="K66" s="834"/>
      <c r="L66" s="276"/>
    </row>
    <row r="67" spans="1:15" x14ac:dyDescent="0.2">
      <c r="A67" s="303"/>
      <c r="B67" s="264"/>
      <c r="C67" s="263"/>
      <c r="D67" s="288"/>
      <c r="F67" s="288"/>
      <c r="G67" s="265"/>
      <c r="J67" s="298"/>
      <c r="K67" s="262"/>
      <c r="N67" s="158" t="s">
        <v>1289</v>
      </c>
      <c r="O67" s="860">
        <v>12246312.689999999</v>
      </c>
    </row>
    <row r="68" spans="1:15" x14ac:dyDescent="0.2">
      <c r="A68" s="303"/>
      <c r="B68" s="259" t="s">
        <v>16</v>
      </c>
      <c r="C68" s="263"/>
      <c r="D68" s="257">
        <f>(D66*E68)</f>
        <v>529493.95658036391</v>
      </c>
      <c r="E68" s="266">
        <v>0.05</v>
      </c>
      <c r="F68" s="288"/>
      <c r="G68" s="288"/>
      <c r="J68" s="298"/>
      <c r="K68" s="834">
        <f>D68/59</f>
        <v>8974.4738403451502</v>
      </c>
      <c r="L68" s="276"/>
      <c r="N68" s="837" t="s">
        <v>1287</v>
      </c>
      <c r="O68" s="275">
        <f>'3'!M13+'3'!J14+'5'!M14+'6'!J33+'6'!J11+'7'!M76+'7'!M36+'8'!M13+'8'!M38+'9'!J11+'9'!J57+'9'!K47+'10'!M48+'10'!M54+'13'!M15+'14'!J12+'21'!J12+'22'!J14+'23'!J12+'26'!J16+'31'!M31+'3'!M40+'5'!M58+'8'!K69</f>
        <v>8049129.8799999999</v>
      </c>
    </row>
    <row r="69" spans="1:15" x14ac:dyDescent="0.2">
      <c r="A69" s="303"/>
      <c r="C69" s="261"/>
      <c r="D69" s="288"/>
      <c r="F69" s="267" t="s">
        <v>39</v>
      </c>
      <c r="G69" s="267" t="s">
        <v>31</v>
      </c>
      <c r="J69" s="298"/>
      <c r="K69" s="262"/>
      <c r="N69" s="157" t="s">
        <v>1288</v>
      </c>
      <c r="O69" s="157">
        <f>O68/O67</f>
        <v>0.65726966832822231</v>
      </c>
    </row>
    <row r="70" spans="1:15" x14ac:dyDescent="0.2">
      <c r="A70" s="303"/>
      <c r="C70" s="261"/>
      <c r="D70" s="288"/>
      <c r="F70" s="268">
        <v>0.15</v>
      </c>
      <c r="G70" s="269"/>
      <c r="J70" s="298"/>
      <c r="K70" s="262"/>
    </row>
    <row r="71" spans="1:15" x14ac:dyDescent="0.2">
      <c r="A71" s="303"/>
      <c r="B71" s="270" t="s">
        <v>17</v>
      </c>
      <c r="C71" s="271"/>
      <c r="D71" s="301">
        <f>D68+D66</f>
        <v>11119373.088187641</v>
      </c>
      <c r="F71" s="307">
        <f>D71*F70</f>
        <v>1667905.9632281461</v>
      </c>
      <c r="G71" s="307">
        <f>D71+F71</f>
        <v>12787279.051415786</v>
      </c>
      <c r="J71" s="298"/>
      <c r="K71" s="835"/>
      <c r="L71" s="276"/>
    </row>
    <row r="72" spans="1:15" x14ac:dyDescent="0.2">
      <c r="A72" s="303"/>
      <c r="B72" s="270"/>
      <c r="C72" s="271"/>
      <c r="D72" s="301"/>
      <c r="F72" s="288"/>
      <c r="G72" s="288"/>
      <c r="J72" s="298"/>
      <c r="K72" s="262"/>
    </row>
    <row r="73" spans="1:15" x14ac:dyDescent="0.2">
      <c r="A73" s="303"/>
      <c r="B73" s="270"/>
      <c r="C73" s="271"/>
      <c r="D73" s="301"/>
      <c r="F73" s="288"/>
      <c r="G73" s="288"/>
      <c r="J73" s="298"/>
      <c r="K73" s="262" t="s">
        <v>1278</v>
      </c>
    </row>
    <row r="74" spans="1:15" x14ac:dyDescent="0.2">
      <c r="A74" s="303"/>
      <c r="B74" s="270"/>
      <c r="C74" s="271"/>
      <c r="D74" s="301"/>
      <c r="F74" s="267" t="s">
        <v>39</v>
      </c>
      <c r="G74" s="267" t="s">
        <v>31</v>
      </c>
      <c r="J74" s="298"/>
      <c r="K74" s="871">
        <v>11301598.07</v>
      </c>
    </row>
    <row r="75" spans="1:15" x14ac:dyDescent="0.2">
      <c r="A75" s="303"/>
      <c r="B75" s="270" t="s">
        <v>84</v>
      </c>
      <c r="C75" s="271"/>
      <c r="D75" s="308">
        <f>D71+D73</f>
        <v>11119373.088187641</v>
      </c>
      <c r="F75" s="307">
        <f>D75*F70</f>
        <v>1667905.9632281461</v>
      </c>
      <c r="G75" s="307">
        <f>D75+F75</f>
        <v>12787279.051415786</v>
      </c>
      <c r="J75" s="298"/>
      <c r="K75" s="262" t="s">
        <v>1279</v>
      </c>
      <c r="N75" s="836"/>
    </row>
    <row r="76" spans="1:15" x14ac:dyDescent="0.2">
      <c r="A76" s="303"/>
      <c r="B76" s="270"/>
      <c r="C76" s="271"/>
      <c r="D76" s="301"/>
      <c r="F76" s="288"/>
      <c r="G76" s="288"/>
      <c r="J76" s="298"/>
      <c r="K76" s="834">
        <f>K74-D75</f>
        <v>182224.98181235977</v>
      </c>
      <c r="L76" s="276"/>
    </row>
    <row r="77" spans="1:15" x14ac:dyDescent="0.2">
      <c r="A77" s="303"/>
      <c r="B77" s="270"/>
      <c r="C77" s="271"/>
      <c r="D77" s="309">
        <f>D71/D11</f>
        <v>169.52331211409381</v>
      </c>
      <c r="E77" s="272" t="s">
        <v>36</v>
      </c>
      <c r="F77" s="288">
        <f>D71/59</f>
        <v>188463.95064724816</v>
      </c>
      <c r="G77" s="288"/>
      <c r="J77" s="298"/>
      <c r="K77" s="262"/>
    </row>
    <row r="78" spans="1:15" ht="6" customHeight="1" thickBot="1" x14ac:dyDescent="0.25">
      <c r="A78" s="310"/>
      <c r="B78" s="311"/>
      <c r="C78" s="273"/>
      <c r="D78" s="311"/>
      <c r="E78" s="311"/>
      <c r="F78" s="312"/>
      <c r="G78" s="312"/>
      <c r="H78" s="311"/>
      <c r="I78" s="313"/>
      <c r="J78" s="298"/>
      <c r="K78" s="262"/>
    </row>
    <row r="79" spans="1:15" ht="13.5" thickTop="1" x14ac:dyDescent="0.2">
      <c r="D79" s="275"/>
      <c r="K79" s="315"/>
      <c r="L79" s="935"/>
      <c r="M79" s="935"/>
    </row>
    <row r="80" spans="1:15" x14ac:dyDescent="0.2">
      <c r="A80" s="316"/>
      <c r="B80" s="317"/>
      <c r="C80" s="277"/>
      <c r="D80" s="318"/>
      <c r="E80" s="278"/>
      <c r="F80" s="318"/>
      <c r="G80" s="318"/>
      <c r="H80" s="317"/>
      <c r="I80" s="317"/>
      <c r="K80" s="315"/>
      <c r="L80" s="936"/>
      <c r="M80" s="936"/>
    </row>
    <row r="81" spans="1:13" x14ac:dyDescent="0.2">
      <c r="A81" s="317"/>
      <c r="B81" s="317"/>
      <c r="C81" s="277" t="s">
        <v>73</v>
      </c>
      <c r="D81" s="319">
        <v>60</v>
      </c>
      <c r="E81" s="278" t="s">
        <v>74</v>
      </c>
      <c r="F81" s="318"/>
      <c r="G81" s="157" t="s">
        <v>86</v>
      </c>
      <c r="H81" s="157" t="s">
        <v>88</v>
      </c>
      <c r="K81" s="315"/>
      <c r="L81" s="935"/>
      <c r="M81" s="935"/>
    </row>
    <row r="82" spans="1:13" x14ac:dyDescent="0.2">
      <c r="A82" s="317"/>
      <c r="B82" s="317"/>
      <c r="C82" s="277" t="s">
        <v>85</v>
      </c>
      <c r="D82" s="318">
        <f>D68+F15+'1'!K14+'1'!K93+'1'!K38+'1'!K103</f>
        <v>737710.07884726429</v>
      </c>
      <c r="E82" s="278">
        <f>D82/D81</f>
        <v>12295.167980787739</v>
      </c>
      <c r="F82" s="318"/>
      <c r="G82" s="157" t="s">
        <v>89</v>
      </c>
      <c r="H82" s="279">
        <v>0.1</v>
      </c>
      <c r="I82" s="279"/>
      <c r="K82" s="320"/>
      <c r="L82" s="937"/>
      <c r="M82" s="935"/>
    </row>
    <row r="83" spans="1:13" x14ac:dyDescent="0.2">
      <c r="A83" s="317"/>
      <c r="B83" s="317"/>
      <c r="C83" s="277"/>
      <c r="D83" s="318"/>
      <c r="E83" s="278"/>
      <c r="F83" s="318"/>
      <c r="G83" s="157" t="s">
        <v>90</v>
      </c>
      <c r="H83" s="279">
        <v>0.15</v>
      </c>
      <c r="I83" s="279"/>
      <c r="K83" s="315"/>
      <c r="L83" s="935"/>
      <c r="M83" s="935"/>
    </row>
    <row r="84" spans="1:13" x14ac:dyDescent="0.2">
      <c r="A84" s="317"/>
      <c r="B84" s="317"/>
      <c r="C84" s="277" t="s">
        <v>87</v>
      </c>
      <c r="D84" s="321">
        <f>D82/D71</f>
        <v>6.6344574734249206E-2</v>
      </c>
      <c r="E84" s="278"/>
      <c r="F84" s="318"/>
      <c r="G84" s="157" t="s">
        <v>91</v>
      </c>
      <c r="H84" s="279">
        <v>0.2</v>
      </c>
      <c r="I84" s="279"/>
      <c r="K84" s="315"/>
      <c r="L84" s="935"/>
      <c r="M84" s="935"/>
    </row>
    <row r="85" spans="1:13" x14ac:dyDescent="0.2">
      <c r="A85" s="317"/>
      <c r="B85" s="317"/>
      <c r="C85" s="277" t="s">
        <v>743</v>
      </c>
      <c r="D85" s="318">
        <f>D75*E85</f>
        <v>111193.73088187641</v>
      </c>
      <c r="E85" s="280">
        <v>0.01</v>
      </c>
      <c r="F85" s="318"/>
      <c r="G85" s="157" t="s">
        <v>92</v>
      </c>
      <c r="H85" s="279">
        <v>0.25</v>
      </c>
      <c r="I85" s="279"/>
      <c r="K85" s="315"/>
      <c r="L85" s="935"/>
      <c r="M85" s="935"/>
    </row>
    <row r="86" spans="1:13" x14ac:dyDescent="0.2">
      <c r="B86" s="281"/>
      <c r="C86" s="277" t="s">
        <v>744</v>
      </c>
      <c r="D86" s="282">
        <f>D75*E86</f>
        <v>555968.65440938203</v>
      </c>
      <c r="E86" s="283">
        <v>0.05</v>
      </c>
      <c r="F86" s="281"/>
      <c r="G86" s="157"/>
      <c r="K86" s="284"/>
      <c r="M86" s="159"/>
    </row>
    <row r="87" spans="1:13" x14ac:dyDescent="0.2">
      <c r="A87" s="285" t="s">
        <v>101</v>
      </c>
      <c r="B87" s="157">
        <f>COUNTIF(A88:A96,"*")</f>
        <v>0</v>
      </c>
      <c r="C87" s="159"/>
      <c r="D87" s="157"/>
      <c r="E87" s="157"/>
      <c r="F87" s="157"/>
      <c r="G87" s="157"/>
      <c r="K87" s="284"/>
      <c r="M87" s="159"/>
    </row>
    <row r="88" spans="1:13" x14ac:dyDescent="0.2">
      <c r="C88" s="159"/>
      <c r="D88" s="157"/>
      <c r="E88" s="157"/>
      <c r="F88" s="157"/>
      <c r="G88" s="157"/>
      <c r="K88" s="284"/>
      <c r="M88" s="159"/>
    </row>
    <row r="89" spans="1:13" x14ac:dyDescent="0.2">
      <c r="C89" s="159"/>
      <c r="D89" s="157"/>
      <c r="E89" s="836">
        <f>D75*0.025</f>
        <v>277984.32720469101</v>
      </c>
      <c r="F89" s="157"/>
      <c r="G89" s="157"/>
      <c r="K89" s="284"/>
      <c r="M89" s="159"/>
    </row>
    <row r="90" spans="1:13" x14ac:dyDescent="0.2">
      <c r="C90" s="159"/>
      <c r="D90" s="157"/>
      <c r="E90" s="836">
        <f>D75+E89</f>
        <v>11397357.415392332</v>
      </c>
      <c r="F90" s="157"/>
      <c r="G90" s="157"/>
      <c r="K90" s="284"/>
      <c r="M90" s="159"/>
    </row>
    <row r="91" spans="1:13" x14ac:dyDescent="0.2">
      <c r="C91" s="159"/>
      <c r="D91" s="157"/>
      <c r="E91" s="157"/>
      <c r="F91" s="157"/>
      <c r="G91" s="157"/>
      <c r="K91" s="284"/>
      <c r="M91" s="159"/>
    </row>
    <row r="92" spans="1:13" x14ac:dyDescent="0.2">
      <c r="C92" s="159"/>
      <c r="D92" s="157"/>
      <c r="E92" s="157"/>
      <c r="F92" s="157"/>
      <c r="G92" s="157"/>
      <c r="K92" s="284"/>
      <c r="M92" s="159"/>
    </row>
    <row r="93" spans="1:13" x14ac:dyDescent="0.2">
      <c r="C93" s="159"/>
      <c r="D93" s="157"/>
      <c r="E93" s="157"/>
      <c r="F93" s="157"/>
      <c r="G93" s="157"/>
      <c r="K93" s="284"/>
      <c r="M93" s="159"/>
    </row>
    <row r="94" spans="1:13" x14ac:dyDescent="0.2">
      <c r="C94" s="159"/>
      <c r="D94" s="157"/>
      <c r="E94" s="157"/>
      <c r="F94" s="157"/>
      <c r="G94" s="157"/>
      <c r="K94" s="284"/>
      <c r="M94" s="159"/>
    </row>
    <row r="95" spans="1:13" x14ac:dyDescent="0.2">
      <c r="C95" s="159"/>
      <c r="D95" s="157"/>
      <c r="E95" s="157"/>
      <c r="F95" s="157"/>
      <c r="G95" s="157"/>
      <c r="K95" s="284"/>
      <c r="M95" s="159"/>
    </row>
    <row r="96" spans="1:13" x14ac:dyDescent="0.2">
      <c r="C96" s="159"/>
      <c r="D96" s="157"/>
      <c r="E96" s="157"/>
      <c r="F96" s="157"/>
      <c r="G96" s="157"/>
      <c r="K96" s="284"/>
      <c r="M96" s="159"/>
    </row>
    <row r="97" spans="3:13" x14ac:dyDescent="0.2">
      <c r="C97" s="159"/>
      <c r="D97" s="157"/>
      <c r="E97" s="157"/>
      <c r="F97" s="157"/>
      <c r="G97" s="157"/>
      <c r="K97" s="284"/>
      <c r="M97" s="159"/>
    </row>
    <row r="98" spans="3:13" x14ac:dyDescent="0.2">
      <c r="C98" s="159"/>
      <c r="D98" s="157"/>
      <c r="E98" s="157"/>
      <c r="F98" s="157"/>
      <c r="G98" s="157"/>
      <c r="K98" s="284"/>
      <c r="M98" s="159"/>
    </row>
    <row r="99" spans="3:13" x14ac:dyDescent="0.2">
      <c r="C99" s="159"/>
      <c r="D99" s="157"/>
      <c r="E99" s="157"/>
      <c r="F99" s="157"/>
      <c r="G99" s="157"/>
      <c r="K99" s="284"/>
      <c r="M99" s="159"/>
    </row>
    <row r="100" spans="3:13" x14ac:dyDescent="0.2">
      <c r="C100" s="159"/>
      <c r="D100" s="157"/>
      <c r="E100" s="157"/>
      <c r="F100" s="157"/>
      <c r="G100" s="157"/>
      <c r="K100" s="284"/>
      <c r="M100" s="159"/>
    </row>
    <row r="101" spans="3:13" x14ac:dyDescent="0.2">
      <c r="C101" s="159"/>
      <c r="D101" s="157"/>
      <c r="E101" s="157"/>
      <c r="F101" s="157"/>
      <c r="G101" s="157"/>
      <c r="K101" s="284"/>
      <c r="M101" s="159"/>
    </row>
    <row r="102" spans="3:13" x14ac:dyDescent="0.2">
      <c r="C102" s="159"/>
      <c r="D102" s="157"/>
      <c r="E102" s="157"/>
      <c r="F102" s="157"/>
      <c r="G102" s="157"/>
      <c r="K102" s="284"/>
      <c r="M102" s="159"/>
    </row>
    <row r="103" spans="3:13" x14ac:dyDescent="0.2">
      <c r="C103" s="159"/>
      <c r="D103" s="157"/>
      <c r="E103" s="157"/>
      <c r="F103" s="157"/>
      <c r="G103" s="157"/>
      <c r="K103" s="284"/>
      <c r="M103" s="159"/>
    </row>
    <row r="104" spans="3:13" x14ac:dyDescent="0.2">
      <c r="C104" s="159"/>
      <c r="D104" s="157"/>
      <c r="E104" s="157"/>
      <c r="F104" s="157"/>
      <c r="G104" s="157"/>
      <c r="K104" s="284"/>
      <c r="M104" s="159"/>
    </row>
    <row r="105" spans="3:13" x14ac:dyDescent="0.2">
      <c r="C105" s="159"/>
      <c r="D105" s="157"/>
      <c r="E105" s="157"/>
      <c r="F105" s="157"/>
      <c r="G105" s="157"/>
      <c r="K105" s="284"/>
      <c r="M105" s="159"/>
    </row>
    <row r="106" spans="3:13" x14ac:dyDescent="0.2">
      <c r="C106" s="159"/>
      <c r="D106" s="157"/>
      <c r="E106" s="157"/>
      <c r="F106" s="157"/>
      <c r="G106" s="157"/>
      <c r="K106" s="284"/>
      <c r="M106" s="159"/>
    </row>
    <row r="107" spans="3:13" x14ac:dyDescent="0.2">
      <c r="C107" s="159"/>
      <c r="D107" s="157"/>
      <c r="E107" s="157"/>
      <c r="F107" s="157"/>
      <c r="G107" s="157"/>
      <c r="K107" s="284"/>
      <c r="M107" s="159"/>
    </row>
    <row r="108" spans="3:13" x14ac:dyDescent="0.2">
      <c r="C108" s="159"/>
      <c r="D108" s="157"/>
      <c r="E108" s="157"/>
      <c r="F108" s="157"/>
      <c r="G108" s="157"/>
      <c r="K108" s="284"/>
      <c r="M108" s="159"/>
    </row>
    <row r="109" spans="3:13" x14ac:dyDescent="0.2">
      <c r="C109" s="159"/>
      <c r="D109" s="157"/>
      <c r="E109" s="157"/>
      <c r="F109" s="157"/>
      <c r="G109" s="157"/>
      <c r="K109" s="284"/>
      <c r="M109" s="159"/>
    </row>
    <row r="110" spans="3:13" x14ac:dyDescent="0.2">
      <c r="C110" s="159"/>
      <c r="D110" s="157"/>
      <c r="E110" s="157"/>
      <c r="F110" s="157"/>
      <c r="G110" s="157"/>
      <c r="K110" s="284"/>
      <c r="M110" s="159"/>
    </row>
    <row r="111" spans="3:13" x14ac:dyDescent="0.2">
      <c r="C111" s="159"/>
      <c r="D111" s="157"/>
      <c r="E111" s="157"/>
      <c r="F111" s="157"/>
      <c r="G111" s="157"/>
      <c r="K111" s="284"/>
      <c r="M111" s="159"/>
    </row>
  </sheetData>
  <mergeCells count="18">
    <mergeCell ref="L84:M84"/>
    <mergeCell ref="D13:D14"/>
    <mergeCell ref="L79:M79"/>
    <mergeCell ref="H13:H14"/>
    <mergeCell ref="L85:M85"/>
    <mergeCell ref="L80:M80"/>
    <mergeCell ref="L81:M81"/>
    <mergeCell ref="L82:M82"/>
    <mergeCell ref="L83:M83"/>
    <mergeCell ref="K13:K14"/>
    <mergeCell ref="A2:H2"/>
    <mergeCell ref="B13:B14"/>
    <mergeCell ref="A13:A14"/>
    <mergeCell ref="F9:G10"/>
    <mergeCell ref="A9:B9"/>
    <mergeCell ref="G13:G14"/>
    <mergeCell ref="F13:F14"/>
    <mergeCell ref="E13:E14"/>
  </mergeCells>
  <phoneticPr fontId="5" type="noConversion"/>
  <printOptions horizontalCentered="1"/>
  <pageMargins left="0.7" right="0.7" top="0.75" bottom="0.75" header="0.5" footer="0.5"/>
  <pageSetup scale="44" orientation="portrait" horizontalDpi="360" verticalDpi="200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1">
        <x14:dataValidation type="list" allowBlank="1" showInputMessage="1" showErrorMessage="1" promptTitle="Province" prompt="Please Select From List" xr:uid="{00000000-0002-0000-0500-000000000000}">
          <x14:formula1>
            <xm:f>DATA!$D$3:$D$6</xm:f>
          </x14:formula1>
          <xm:sqref>B5</xm:sqref>
        </x14:dataValidation>
        <x14:dataValidation type="list" showInputMessage="1" showErrorMessage="1" promptTitle="Select Quarter" prompt="Please Select From List" xr:uid="{00000000-0002-0000-0500-000001000000}">
          <x14:formula1>
            <xm:f>DATA!$B$3:$B$6</xm:f>
          </x14:formula1>
          <xm:sqref>B8</xm:sqref>
        </x14:dataValidation>
        <x14:dataValidation type="list" allowBlank="1" showInputMessage="1" showErrorMessage="1" promptTitle="Satus" prompt="Please Select From List" xr:uid="{00000000-0002-0000-0500-000005000000}">
          <x14:formula1>
            <xm:f>DATA!$R$5:$R$7</xm:f>
          </x14:formula1>
          <xm:sqref>F6</xm:sqref>
        </x14:dataValidation>
        <x14:dataValidation type="list" allowBlank="1" showInputMessage="1" showErrorMessage="1" promptTitle="Result" prompt="Please Select From LIst" xr:uid="{00000000-0002-0000-0500-000006000000}">
          <x14:formula1>
            <xm:f>DATA!$T$5:$T$6</xm:f>
          </x14:formula1>
          <xm:sqref>F7</xm:sqref>
        </x14:dataValidation>
        <x14:dataValidation type="list" allowBlank="1" showInputMessage="1" showErrorMessage="1" promptTitle="Client Definition" prompt="Please Select From List" xr:uid="{00000000-0002-0000-0500-000008000000}">
          <x14:formula1>
            <xm:f>DATA!$P$3:$P$5</xm:f>
          </x14:formula1>
          <xm:sqref>I6</xm:sqref>
        </x14:dataValidation>
        <x14:dataValidation type="list" allowBlank="1" showInputMessage="1" showErrorMessage="1" promptTitle="Project Definition" prompt="Please Select From List" xr:uid="{00000000-0002-0000-0500-000009000000}">
          <x14:formula1>
            <xm:f>DATA!#REF!</xm:f>
          </x14:formula1>
          <xm:sqref>F8</xm:sqref>
        </x14:dataValidation>
        <x14:dataValidation type="list" allowBlank="1" showInputMessage="1" showErrorMessage="1" promptTitle="Lead" prompt="Please Select From List" xr:uid="{00000000-0002-0000-0500-00000A000000}">
          <x14:formula1>
            <xm:f>DATA!#REF!</xm:f>
          </x14:formula1>
          <xm:sqref>H7:I7</xm:sqref>
        </x14:dataValidation>
        <x14:dataValidation type="list" allowBlank="1" showInputMessage="1" showErrorMessage="1" promptTitle="F / H / P" prompt="Please Select From List" xr:uid="{00000000-0002-0000-0500-00000B000000}">
          <x14:formula1>
            <xm:f>DATA!#REF!</xm:f>
          </x14:formula1>
          <xm:sqref>I8</xm:sqref>
        </x14:dataValidation>
        <x14:dataValidation type="list" allowBlank="1" showInputMessage="1" showErrorMessage="1" promptTitle="Client Definition" prompt="Please Select From List" xr:uid="{00000000-0002-0000-0500-00000C000000}">
          <x14:formula1>
            <xm:f>DATA!#REF!</xm:f>
          </x14:formula1>
          <xm:sqref>H8</xm:sqref>
        </x14:dataValidation>
        <x14:dataValidation type="list" allowBlank="1" showInputMessage="1" showErrorMessage="1" promptTitle="Contract Type" prompt="Please Select From List" xr:uid="{00000000-0002-0000-0500-000003000000}">
          <x14:formula1>
            <xm:f>DATA!$J$3:$J$6</xm:f>
          </x14:formula1>
          <xm:sqref>D7</xm:sqref>
        </x14:dataValidation>
        <x14:dataValidation type="list" allowBlank="1" showInputMessage="1" showErrorMessage="1" promptTitle="Payment Method" prompt="Please Select From List" xr:uid="{00000000-0002-0000-0500-000004000000}">
          <x14:formula1>
            <xm:f>DATA!$K$3:$K$4</xm:f>
          </x14:formula1>
          <xm:sqref>D8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>
    <pageSetUpPr fitToPage="1"/>
  </sheetPr>
  <dimension ref="A1:AA184"/>
  <sheetViews>
    <sheetView topLeftCell="A115" zoomScaleNormal="75" zoomScaleSheetLayoutView="90" zoomScalePageLayoutView="75" workbookViewId="0">
      <selection activeCell="E134" sqref="E134"/>
    </sheetView>
  </sheetViews>
  <sheetFormatPr defaultColWidth="9.140625" defaultRowHeight="12.75" x14ac:dyDescent="0.2"/>
  <cols>
    <col min="1" max="1" width="12.140625" style="157" customWidth="1"/>
    <col min="2" max="2" width="48.85546875" style="157" customWidth="1"/>
    <col min="3" max="3" width="13" style="440" customWidth="1"/>
    <col min="4" max="4" width="9" style="440" customWidth="1"/>
    <col min="5" max="5" width="12" style="157" customWidth="1"/>
    <col min="6" max="6" width="12.5703125" style="157" customWidth="1"/>
    <col min="7" max="7" width="11.140625" style="157" customWidth="1"/>
    <col min="8" max="8" width="11.42578125" style="157" customWidth="1"/>
    <col min="9" max="9" width="12.5703125" style="157" customWidth="1"/>
    <col min="10" max="10" width="16.140625" style="157" customWidth="1"/>
    <col min="11" max="11" width="14.42578125" style="157" customWidth="1"/>
    <col min="12" max="12" width="26.85546875" style="159" customWidth="1"/>
    <col min="13" max="13" width="17.42578125" style="276" customWidth="1"/>
    <col min="14" max="14" width="25.140625" style="157" customWidth="1"/>
    <col min="15" max="15" width="23.85546875" style="302" customWidth="1"/>
    <col min="16" max="16" width="27.42578125" style="302" customWidth="1"/>
    <col min="17" max="17" width="30.85546875" style="157" customWidth="1"/>
    <col min="18" max="16384" width="9.140625" style="157"/>
  </cols>
  <sheetData>
    <row r="1" spans="1:27" ht="18.75" thickBot="1" x14ac:dyDescent="0.3">
      <c r="A1" s="322"/>
      <c r="B1" s="323"/>
      <c r="C1" s="976">
        <f>'Estimate Summary'!C1:H1</f>
        <v>0</v>
      </c>
      <c r="D1" s="976"/>
      <c r="E1" s="976"/>
      <c r="F1" s="976"/>
      <c r="G1" s="976"/>
      <c r="H1" s="976"/>
      <c r="I1" s="976"/>
      <c r="J1" s="976"/>
      <c r="K1" s="977"/>
    </row>
    <row r="2" spans="1:27" ht="13.5" thickBot="1" x14ac:dyDescent="0.25">
      <c r="A2" s="324"/>
      <c r="B2" s="325"/>
      <c r="C2" s="326"/>
      <c r="D2" s="984"/>
      <c r="E2" s="984"/>
      <c r="F2" s="984"/>
      <c r="G2" s="326"/>
      <c r="H2" s="327"/>
      <c r="I2" s="328"/>
      <c r="J2" s="329"/>
      <c r="K2" s="330"/>
    </row>
    <row r="3" spans="1:27" ht="16.5" thickBot="1" x14ac:dyDescent="0.3">
      <c r="A3" s="973"/>
      <c r="B3" s="974"/>
      <c r="C3" s="326"/>
      <c r="D3" s="984"/>
      <c r="E3" s="984"/>
      <c r="F3" s="984"/>
      <c r="G3" s="331"/>
      <c r="H3" s="332"/>
      <c r="I3" s="333"/>
      <c r="J3" s="333"/>
      <c r="K3" s="334"/>
      <c r="L3" s="975"/>
      <c r="M3" s="975"/>
      <c r="N3" s="985"/>
      <c r="O3" s="985"/>
      <c r="P3" s="935"/>
    </row>
    <row r="4" spans="1:27" ht="12.95" customHeight="1" thickBot="1" x14ac:dyDescent="0.25">
      <c r="A4" s="973"/>
      <c r="B4" s="974"/>
      <c r="C4" s="326"/>
      <c r="D4" s="984"/>
      <c r="E4" s="984"/>
      <c r="F4" s="984"/>
      <c r="G4" s="335"/>
      <c r="H4" s="336"/>
      <c r="I4" s="328"/>
      <c r="J4" s="329"/>
      <c r="K4" s="330"/>
      <c r="L4" s="975"/>
      <c r="M4" s="975"/>
      <c r="N4" s="985"/>
      <c r="O4" s="985"/>
      <c r="P4" s="935"/>
    </row>
    <row r="5" spans="1:27" ht="21" thickBot="1" x14ac:dyDescent="0.3">
      <c r="A5" s="337"/>
      <c r="B5" s="338"/>
      <c r="C5" s="339"/>
      <c r="D5" s="340"/>
      <c r="E5" s="341"/>
      <c r="F5" s="336"/>
      <c r="G5" s="983" t="s">
        <v>3</v>
      </c>
      <c r="H5" s="983"/>
      <c r="I5" s="983"/>
      <c r="J5" s="981" t="s">
        <v>73</v>
      </c>
      <c r="K5" s="982"/>
      <c r="L5" s="975"/>
      <c r="M5" s="975"/>
      <c r="N5" s="985"/>
      <c r="O5" s="985"/>
      <c r="P5" s="935"/>
    </row>
    <row r="6" spans="1:27" ht="21" thickBot="1" x14ac:dyDescent="0.25">
      <c r="A6" s="337"/>
      <c r="B6" s="338"/>
      <c r="C6" s="342"/>
      <c r="D6" s="343" t="str">
        <f>'Estimate Summary'!C11</f>
        <v>Area:</v>
      </c>
      <c r="E6" s="344">
        <f>'Estimate Summary'!D11</f>
        <v>65592</v>
      </c>
      <c r="F6" s="238" t="str">
        <f>'Estimate Summary'!E11</f>
        <v>Sq. Ft.</v>
      </c>
      <c r="G6" s="983"/>
      <c r="H6" s="983"/>
      <c r="I6" s="983"/>
      <c r="J6" s="345">
        <f>'Estimate Summary'!D81</f>
        <v>60</v>
      </c>
      <c r="K6" s="330" t="s">
        <v>74</v>
      </c>
      <c r="L6" s="975"/>
      <c r="M6" s="975"/>
      <c r="N6" s="985"/>
      <c r="O6" s="985"/>
      <c r="P6" s="935"/>
    </row>
    <row r="7" spans="1:27" x14ac:dyDescent="0.2">
      <c r="A7" s="978"/>
      <c r="B7" s="979"/>
      <c r="C7" s="979"/>
      <c r="D7" s="979"/>
      <c r="E7" s="979"/>
      <c r="F7" s="979"/>
      <c r="G7" s="979"/>
      <c r="H7" s="979"/>
      <c r="I7" s="979"/>
      <c r="J7" s="979"/>
      <c r="K7" s="980"/>
    </row>
    <row r="8" spans="1:27" ht="13.5" thickBot="1" x14ac:dyDescent="0.25">
      <c r="A8" s="346"/>
      <c r="B8" s="347"/>
      <c r="C8" s="972"/>
      <c r="D8" s="972"/>
      <c r="E8" s="972"/>
      <c r="F8" s="972"/>
      <c r="G8" s="971"/>
      <c r="H8" s="971"/>
      <c r="I8" s="971"/>
      <c r="J8" s="348"/>
      <c r="K8" s="349"/>
      <c r="M8" s="350"/>
      <c r="N8" s="351"/>
      <c r="O8" s="352"/>
      <c r="P8" s="352"/>
    </row>
    <row r="9" spans="1:27" ht="14.25" thickTop="1" thickBot="1" x14ac:dyDescent="0.25">
      <c r="A9" s="353" t="s">
        <v>0</v>
      </c>
      <c r="B9" s="354" t="s">
        <v>1</v>
      </c>
      <c r="C9" s="939" t="s">
        <v>656</v>
      </c>
      <c r="D9" s="939"/>
      <c r="E9" s="939"/>
      <c r="F9" s="939"/>
      <c r="G9" s="939" t="s">
        <v>34</v>
      </c>
      <c r="H9" s="939"/>
      <c r="I9" s="939"/>
      <c r="J9" s="355"/>
      <c r="K9" s="356"/>
      <c r="L9" s="942" t="s">
        <v>783</v>
      </c>
      <c r="M9" s="944" t="s">
        <v>784</v>
      </c>
      <c r="N9" s="946" t="s">
        <v>785</v>
      </c>
      <c r="O9" s="948"/>
      <c r="P9" s="950"/>
      <c r="Q9" s="940"/>
    </row>
    <row r="10" spans="1:27" ht="15.75" x14ac:dyDescent="0.25">
      <c r="A10" s="357" t="s">
        <v>103</v>
      </c>
      <c r="B10" s="358" t="s">
        <v>102</v>
      </c>
      <c r="C10" s="359" t="s">
        <v>19</v>
      </c>
      <c r="D10" s="360" t="s">
        <v>33</v>
      </c>
      <c r="E10" s="361" t="s">
        <v>35</v>
      </c>
      <c r="F10" s="362" t="s">
        <v>30</v>
      </c>
      <c r="G10" s="363" t="s">
        <v>14</v>
      </c>
      <c r="H10" s="361" t="s">
        <v>35</v>
      </c>
      <c r="I10" s="362" t="s">
        <v>30</v>
      </c>
      <c r="J10" s="364" t="s">
        <v>659</v>
      </c>
      <c r="K10" s="365" t="s">
        <v>38</v>
      </c>
      <c r="L10" s="943"/>
      <c r="M10" s="945"/>
      <c r="N10" s="947"/>
      <c r="O10" s="949"/>
      <c r="P10" s="951"/>
      <c r="Q10" s="941"/>
      <c r="S10" s="366"/>
      <c r="T10" s="366"/>
      <c r="U10" s="367"/>
      <c r="V10" s="367"/>
      <c r="W10" s="368"/>
      <c r="X10" s="367"/>
      <c r="Y10" s="367"/>
      <c r="Z10" s="367"/>
      <c r="AA10" s="369"/>
    </row>
    <row r="11" spans="1:27" x14ac:dyDescent="0.2">
      <c r="A11" s="370" t="s">
        <v>644</v>
      </c>
      <c r="B11" s="5" t="s">
        <v>125</v>
      </c>
      <c r="C11" s="371"/>
      <c r="D11" s="372" t="s">
        <v>21</v>
      </c>
      <c r="E11" s="253">
        <v>0</v>
      </c>
      <c r="F11" s="373">
        <f>C11*E11</f>
        <v>0</v>
      </c>
      <c r="G11" s="374"/>
      <c r="H11" s="375">
        <v>0</v>
      </c>
      <c r="I11" s="373">
        <f>G11*H11</f>
        <v>0</v>
      </c>
      <c r="J11" s="376"/>
      <c r="K11" s="377">
        <f>F11+I11+J11</f>
        <v>0</v>
      </c>
      <c r="L11" s="378"/>
      <c r="M11" s="379"/>
      <c r="N11" s="380"/>
      <c r="O11" s="381"/>
      <c r="P11" s="382"/>
      <c r="Q11" s="383"/>
      <c r="S11" s="366"/>
      <c r="T11" s="366"/>
      <c r="U11" s="367"/>
      <c r="V11" s="367"/>
      <c r="W11" s="368"/>
      <c r="X11" s="367"/>
      <c r="Y11" s="367"/>
      <c r="Z11" s="367"/>
      <c r="AA11" s="369"/>
    </row>
    <row r="12" spans="1:27" x14ac:dyDescent="0.2">
      <c r="A12" s="370" t="s">
        <v>645</v>
      </c>
      <c r="B12" s="5" t="s">
        <v>118</v>
      </c>
      <c r="C12" s="371"/>
      <c r="D12" s="372" t="s">
        <v>21</v>
      </c>
      <c r="E12" s="253">
        <v>0</v>
      </c>
      <c r="F12" s="373">
        <f t="shared" ref="F12:F22" si="0">C12*E12</f>
        <v>0</v>
      </c>
      <c r="G12" s="374"/>
      <c r="H12" s="375">
        <v>0</v>
      </c>
      <c r="I12" s="373">
        <f t="shared" ref="I12:I22" si="1">G12*H12</f>
        <v>0</v>
      </c>
      <c r="J12" s="376"/>
      <c r="K12" s="377">
        <f t="shared" ref="K12:K22" si="2">F12+I12+J12</f>
        <v>0</v>
      </c>
      <c r="L12" s="378"/>
      <c r="M12" s="379"/>
      <c r="N12" s="380"/>
      <c r="O12" s="381"/>
      <c r="P12" s="382"/>
      <c r="Q12" s="383"/>
    </row>
    <row r="13" spans="1:27" x14ac:dyDescent="0.2">
      <c r="A13" s="370" t="s">
        <v>648</v>
      </c>
      <c r="B13" s="5" t="s">
        <v>119</v>
      </c>
      <c r="C13" s="371"/>
      <c r="D13" s="372" t="s">
        <v>21</v>
      </c>
      <c r="E13" s="253">
        <v>0</v>
      </c>
      <c r="F13" s="373">
        <f t="shared" si="0"/>
        <v>0</v>
      </c>
      <c r="G13" s="374"/>
      <c r="H13" s="375">
        <v>0</v>
      </c>
      <c r="I13" s="373">
        <f t="shared" si="1"/>
        <v>0</v>
      </c>
      <c r="J13" s="376"/>
      <c r="K13" s="377">
        <f t="shared" si="2"/>
        <v>0</v>
      </c>
      <c r="L13" s="378"/>
      <c r="M13" s="379"/>
      <c r="N13" s="380"/>
      <c r="O13" s="381"/>
      <c r="P13" s="382"/>
      <c r="Q13" s="383"/>
    </row>
    <row r="14" spans="1:27" x14ac:dyDescent="0.2">
      <c r="A14" s="370" t="s">
        <v>646</v>
      </c>
      <c r="B14" s="5" t="s">
        <v>94</v>
      </c>
      <c r="C14" s="371"/>
      <c r="D14" s="372" t="s">
        <v>21</v>
      </c>
      <c r="E14" s="253">
        <v>0</v>
      </c>
      <c r="F14" s="373">
        <f t="shared" si="0"/>
        <v>0</v>
      </c>
      <c r="G14" s="374"/>
      <c r="H14" s="375">
        <v>0</v>
      </c>
      <c r="I14" s="373">
        <f t="shared" si="1"/>
        <v>0</v>
      </c>
      <c r="J14" s="376"/>
      <c r="K14" s="377">
        <f t="shared" si="2"/>
        <v>0</v>
      </c>
      <c r="L14" s="378"/>
      <c r="M14" s="379"/>
      <c r="N14" s="380"/>
      <c r="O14" s="381"/>
      <c r="P14" s="382"/>
      <c r="Q14" s="383"/>
    </row>
    <row r="15" spans="1:27" x14ac:dyDescent="0.2">
      <c r="A15" s="370" t="s">
        <v>647</v>
      </c>
      <c r="B15" s="6" t="s">
        <v>120</v>
      </c>
      <c r="C15" s="371"/>
      <c r="D15" s="372" t="s">
        <v>21</v>
      </c>
      <c r="E15" s="253">
        <v>0</v>
      </c>
      <c r="F15" s="373">
        <f t="shared" si="0"/>
        <v>0</v>
      </c>
      <c r="G15" s="374"/>
      <c r="H15" s="375">
        <v>0</v>
      </c>
      <c r="I15" s="373">
        <f t="shared" si="1"/>
        <v>0</v>
      </c>
      <c r="J15" s="376"/>
      <c r="K15" s="377">
        <f t="shared" si="2"/>
        <v>0</v>
      </c>
      <c r="L15" s="378"/>
      <c r="M15" s="379"/>
      <c r="N15" s="380"/>
      <c r="O15" s="381"/>
      <c r="P15" s="382"/>
      <c r="Q15" s="383"/>
    </row>
    <row r="16" spans="1:27" x14ac:dyDescent="0.2">
      <c r="A16" s="384" t="s">
        <v>649</v>
      </c>
      <c r="B16" s="5" t="s">
        <v>121</v>
      </c>
      <c r="C16" s="371"/>
      <c r="D16" s="372" t="s">
        <v>21</v>
      </c>
      <c r="E16" s="253">
        <v>0</v>
      </c>
      <c r="F16" s="373">
        <f t="shared" si="0"/>
        <v>0</v>
      </c>
      <c r="G16" s="374"/>
      <c r="H16" s="375">
        <v>0</v>
      </c>
      <c r="I16" s="373">
        <f t="shared" si="1"/>
        <v>0</v>
      </c>
      <c r="J16" s="376"/>
      <c r="K16" s="377">
        <f t="shared" si="2"/>
        <v>0</v>
      </c>
      <c r="L16" s="378"/>
      <c r="M16" s="379"/>
      <c r="N16" s="380"/>
      <c r="O16" s="381"/>
      <c r="P16" s="382"/>
      <c r="Q16" s="383"/>
    </row>
    <row r="17" spans="1:26" x14ac:dyDescent="0.2">
      <c r="A17" s="384" t="s">
        <v>650</v>
      </c>
      <c r="B17" s="5" t="s">
        <v>122</v>
      </c>
      <c r="C17" s="371"/>
      <c r="D17" s="372" t="s">
        <v>21</v>
      </c>
      <c r="E17" s="253">
        <v>0</v>
      </c>
      <c r="F17" s="373">
        <f t="shared" si="0"/>
        <v>0</v>
      </c>
      <c r="G17" s="374"/>
      <c r="H17" s="375">
        <v>0</v>
      </c>
      <c r="I17" s="373">
        <f t="shared" si="1"/>
        <v>0</v>
      </c>
      <c r="J17" s="376"/>
      <c r="K17" s="377">
        <f t="shared" si="2"/>
        <v>0</v>
      </c>
      <c r="L17" s="378"/>
      <c r="M17" s="379"/>
      <c r="N17" s="380"/>
      <c r="O17" s="381"/>
      <c r="P17" s="382"/>
      <c r="Q17" s="383"/>
    </row>
    <row r="18" spans="1:26" x14ac:dyDescent="0.2">
      <c r="A18" s="384" t="s">
        <v>651</v>
      </c>
      <c r="B18" s="5" t="s">
        <v>123</v>
      </c>
      <c r="C18" s="371"/>
      <c r="D18" s="372" t="s">
        <v>21</v>
      </c>
      <c r="E18" s="253">
        <v>0</v>
      </c>
      <c r="F18" s="373">
        <f t="shared" si="0"/>
        <v>0</v>
      </c>
      <c r="G18" s="374"/>
      <c r="H18" s="375">
        <v>0</v>
      </c>
      <c r="I18" s="373">
        <f t="shared" si="1"/>
        <v>0</v>
      </c>
      <c r="J18" s="376"/>
      <c r="K18" s="377">
        <f t="shared" si="2"/>
        <v>0</v>
      </c>
      <c r="L18" s="378"/>
      <c r="M18" s="379"/>
      <c r="N18" s="380"/>
      <c r="O18" s="381"/>
      <c r="P18" s="382"/>
      <c r="Q18" s="383"/>
    </row>
    <row r="19" spans="1:26" ht="15.75" x14ac:dyDescent="0.25">
      <c r="A19" s="384" t="s">
        <v>652</v>
      </c>
      <c r="B19" s="5" t="s">
        <v>42</v>
      </c>
      <c r="C19" s="371"/>
      <c r="D19" s="372" t="s">
        <v>21</v>
      </c>
      <c r="E19" s="253">
        <v>0</v>
      </c>
      <c r="F19" s="373">
        <f t="shared" si="0"/>
        <v>0</v>
      </c>
      <c r="G19" s="374"/>
      <c r="H19" s="375">
        <v>0</v>
      </c>
      <c r="I19" s="373">
        <f t="shared" si="1"/>
        <v>0</v>
      </c>
      <c r="J19" s="376"/>
      <c r="K19" s="377">
        <f t="shared" si="2"/>
        <v>0</v>
      </c>
      <c r="L19" s="378"/>
      <c r="M19" s="379"/>
      <c r="N19" s="380"/>
      <c r="O19" s="381"/>
      <c r="P19" s="382"/>
      <c r="Q19" s="383"/>
      <c r="Y19" s="34"/>
      <c r="Z19" s="35"/>
    </row>
    <row r="20" spans="1:26" ht="15.75" x14ac:dyDescent="0.25">
      <c r="A20" s="384" t="s">
        <v>653</v>
      </c>
      <c r="B20" s="5" t="s">
        <v>41</v>
      </c>
      <c r="C20" s="371"/>
      <c r="D20" s="372" t="s">
        <v>21</v>
      </c>
      <c r="E20" s="253">
        <v>0</v>
      </c>
      <c r="F20" s="373">
        <f t="shared" si="0"/>
        <v>0</v>
      </c>
      <c r="G20" s="374"/>
      <c r="H20" s="375">
        <v>0</v>
      </c>
      <c r="I20" s="373">
        <f t="shared" si="1"/>
        <v>0</v>
      </c>
      <c r="J20" s="376"/>
      <c r="K20" s="377">
        <f t="shared" si="2"/>
        <v>0</v>
      </c>
      <c r="L20" s="378"/>
      <c r="M20" s="379"/>
      <c r="N20" s="380"/>
      <c r="O20" s="381"/>
      <c r="P20" s="382"/>
      <c r="Q20" s="383"/>
      <c r="Y20" s="385"/>
      <c r="Z20" s="386"/>
    </row>
    <row r="21" spans="1:26" ht="15.75" x14ac:dyDescent="0.25">
      <c r="A21" s="384" t="s">
        <v>654</v>
      </c>
      <c r="B21" s="5" t="s">
        <v>10</v>
      </c>
      <c r="C21" s="371"/>
      <c r="D21" s="372" t="s">
        <v>21</v>
      </c>
      <c r="E21" s="253">
        <v>0</v>
      </c>
      <c r="F21" s="373">
        <f t="shared" si="0"/>
        <v>0</v>
      </c>
      <c r="G21" s="374"/>
      <c r="H21" s="375">
        <v>0</v>
      </c>
      <c r="I21" s="373">
        <f t="shared" si="1"/>
        <v>0</v>
      </c>
      <c r="J21" s="376"/>
      <c r="K21" s="377">
        <f t="shared" si="2"/>
        <v>0</v>
      </c>
      <c r="L21" s="378"/>
      <c r="M21" s="379"/>
      <c r="N21" s="380"/>
      <c r="O21" s="381"/>
      <c r="P21" s="382"/>
      <c r="Q21" s="383"/>
      <c r="Y21" s="385"/>
      <c r="Z21" s="386"/>
    </row>
    <row r="22" spans="1:26" ht="15.75" x14ac:dyDescent="0.25">
      <c r="A22" s="384" t="s">
        <v>655</v>
      </c>
      <c r="B22" s="5" t="s">
        <v>124</v>
      </c>
      <c r="C22" s="371"/>
      <c r="D22" s="372" t="s">
        <v>21</v>
      </c>
      <c r="E22" s="253">
        <v>0</v>
      </c>
      <c r="F22" s="373">
        <f t="shared" si="0"/>
        <v>0</v>
      </c>
      <c r="G22" s="374"/>
      <c r="H22" s="375">
        <v>0</v>
      </c>
      <c r="I22" s="373">
        <f t="shared" si="1"/>
        <v>0</v>
      </c>
      <c r="J22" s="376"/>
      <c r="K22" s="377">
        <f t="shared" si="2"/>
        <v>0</v>
      </c>
      <c r="L22" s="378"/>
      <c r="M22" s="379"/>
      <c r="N22" s="380"/>
      <c r="O22" s="381"/>
      <c r="P22" s="382"/>
      <c r="Q22" s="383"/>
      <c r="Y22" s="385"/>
      <c r="Z22" s="386"/>
    </row>
    <row r="23" spans="1:26" ht="16.5" thickBot="1" x14ac:dyDescent="0.3">
      <c r="A23" s="387"/>
      <c r="B23" s="7"/>
      <c r="C23" s="388"/>
      <c r="D23" s="372"/>
      <c r="E23" s="253"/>
      <c r="F23" s="373"/>
      <c r="G23" s="374"/>
      <c r="H23" s="375"/>
      <c r="I23" s="373"/>
      <c r="J23" s="376"/>
      <c r="K23" s="377"/>
      <c r="L23" s="378"/>
      <c r="M23" s="379"/>
      <c r="N23" s="380"/>
      <c r="O23" s="381"/>
      <c r="P23" s="382"/>
      <c r="Q23" s="383"/>
      <c r="Y23" s="385"/>
      <c r="Z23" s="386"/>
    </row>
    <row r="24" spans="1:26" ht="16.5" thickTop="1" x14ac:dyDescent="0.25">
      <c r="A24" s="387"/>
      <c r="B24" s="7"/>
      <c r="C24" s="388"/>
      <c r="D24" s="372"/>
      <c r="E24" s="253"/>
      <c r="F24" s="373"/>
      <c r="G24" s="374"/>
      <c r="H24" s="375"/>
      <c r="I24" s="373"/>
      <c r="J24" s="389" t="s">
        <v>30</v>
      </c>
      <c r="K24" s="390">
        <f>SUM(K11:K23)</f>
        <v>0</v>
      </c>
      <c r="L24" s="378"/>
      <c r="M24" s="379"/>
      <c r="N24" s="380"/>
      <c r="O24" s="381"/>
      <c r="P24" s="382"/>
      <c r="Q24" s="383"/>
      <c r="Y24" s="385"/>
      <c r="Z24" s="386"/>
    </row>
    <row r="25" spans="1:26" ht="16.5" thickBot="1" x14ac:dyDescent="0.3">
      <c r="A25" s="353" t="s">
        <v>0</v>
      </c>
      <c r="B25" s="354" t="s">
        <v>1</v>
      </c>
      <c r="C25" s="939" t="s">
        <v>656</v>
      </c>
      <c r="D25" s="939"/>
      <c r="E25" s="939"/>
      <c r="F25" s="939"/>
      <c r="G25" s="939" t="s">
        <v>34</v>
      </c>
      <c r="H25" s="939"/>
      <c r="I25" s="939"/>
      <c r="J25" s="355"/>
      <c r="K25" s="356"/>
      <c r="L25" s="391"/>
      <c r="M25" s="392"/>
      <c r="N25" s="393"/>
      <c r="O25" s="381"/>
      <c r="P25" s="382"/>
      <c r="Q25" s="383"/>
      <c r="Y25" s="385"/>
      <c r="Z25" s="386"/>
    </row>
    <row r="26" spans="1:26" ht="16.5" thickBot="1" x14ac:dyDescent="0.3">
      <c r="A26" s="394" t="s">
        <v>104</v>
      </c>
      <c r="B26" s="395" t="s">
        <v>105</v>
      </c>
      <c r="C26" s="396" t="s">
        <v>19</v>
      </c>
      <c r="D26" s="397" t="s">
        <v>33</v>
      </c>
      <c r="E26" s="398" t="s">
        <v>35</v>
      </c>
      <c r="F26" s="399" t="s">
        <v>30</v>
      </c>
      <c r="G26" s="400" t="s">
        <v>14</v>
      </c>
      <c r="H26" s="398" t="s">
        <v>35</v>
      </c>
      <c r="I26" s="399" t="s">
        <v>30</v>
      </c>
      <c r="J26" s="364" t="s">
        <v>659</v>
      </c>
      <c r="K26" s="401" t="s">
        <v>38</v>
      </c>
      <c r="L26" s="402"/>
      <c r="M26" s="403"/>
      <c r="N26" s="404"/>
      <c r="O26" s="381"/>
      <c r="P26" s="382"/>
      <c r="Q26" s="383"/>
      <c r="Y26" s="385"/>
      <c r="Z26" s="386"/>
    </row>
    <row r="27" spans="1:26" ht="15.75" x14ac:dyDescent="0.25">
      <c r="A27" s="405" t="s">
        <v>804</v>
      </c>
      <c r="B27" s="406" t="s">
        <v>125</v>
      </c>
      <c r="C27" s="371"/>
      <c r="D27" s="372" t="s">
        <v>21</v>
      </c>
      <c r="E27" s="253">
        <v>0</v>
      </c>
      <c r="F27" s="373">
        <f>C27*E27</f>
        <v>0</v>
      </c>
      <c r="G27" s="374"/>
      <c r="H27" s="375">
        <v>0</v>
      </c>
      <c r="I27" s="373">
        <f>G27*H27</f>
        <v>0</v>
      </c>
      <c r="J27" s="376"/>
      <c r="K27" s="377">
        <f>F27+I27+J27</f>
        <v>0</v>
      </c>
      <c r="L27" s="378"/>
      <c r="M27" s="379"/>
      <c r="N27" s="380"/>
      <c r="O27" s="381"/>
      <c r="P27" s="382"/>
      <c r="Q27" s="383"/>
      <c r="Y27" s="385"/>
      <c r="Z27" s="386"/>
    </row>
    <row r="28" spans="1:26" x14ac:dyDescent="0.2">
      <c r="A28" s="370" t="s">
        <v>805</v>
      </c>
      <c r="B28" s="5" t="s">
        <v>126</v>
      </c>
      <c r="C28" s="371"/>
      <c r="D28" s="372" t="s">
        <v>21</v>
      </c>
      <c r="E28" s="253">
        <v>0</v>
      </c>
      <c r="F28" s="373">
        <f t="shared" ref="F28:F33" si="3">C28*E28</f>
        <v>0</v>
      </c>
      <c r="G28" s="374"/>
      <c r="H28" s="375">
        <v>0</v>
      </c>
      <c r="I28" s="373">
        <f t="shared" ref="I28:I33" si="4">G28*H28</f>
        <v>0</v>
      </c>
      <c r="J28" s="376"/>
      <c r="K28" s="377">
        <f t="shared" ref="K28:K34" si="5">F28+I28+J28</f>
        <v>0</v>
      </c>
      <c r="L28" s="378"/>
      <c r="M28" s="379"/>
      <c r="N28" s="380"/>
      <c r="O28" s="381"/>
      <c r="P28" s="382"/>
      <c r="Q28" s="383"/>
    </row>
    <row r="29" spans="1:26" x14ac:dyDescent="0.2">
      <c r="A29" s="370" t="s">
        <v>806</v>
      </c>
      <c r="B29" s="5" t="s">
        <v>127</v>
      </c>
      <c r="C29" s="371">
        <f>J6</f>
        <v>60</v>
      </c>
      <c r="D29" s="372" t="s">
        <v>21</v>
      </c>
      <c r="E29" s="253">
        <v>0</v>
      </c>
      <c r="F29" s="373">
        <f t="shared" si="3"/>
        <v>0</v>
      </c>
      <c r="G29" s="374"/>
      <c r="H29" s="375">
        <v>100</v>
      </c>
      <c r="I29" s="373">
        <f>H29*G29*C29</f>
        <v>0</v>
      </c>
      <c r="J29" s="376"/>
      <c r="K29" s="377">
        <f t="shared" si="5"/>
        <v>0</v>
      </c>
      <c r="L29" s="378"/>
      <c r="M29" s="379"/>
      <c r="N29" s="380"/>
      <c r="O29" s="381"/>
      <c r="P29" s="382"/>
      <c r="Q29" s="383"/>
    </row>
    <row r="30" spans="1:26" x14ac:dyDescent="0.2">
      <c r="A30" s="370" t="s">
        <v>808</v>
      </c>
      <c r="B30" s="5" t="s">
        <v>748</v>
      </c>
      <c r="C30" s="371">
        <f>J6</f>
        <v>60</v>
      </c>
      <c r="D30" s="372" t="s">
        <v>21</v>
      </c>
      <c r="E30" s="253">
        <v>0</v>
      </c>
      <c r="F30" s="373">
        <f t="shared" si="3"/>
        <v>0</v>
      </c>
      <c r="G30" s="374"/>
      <c r="H30" s="375">
        <v>75</v>
      </c>
      <c r="I30" s="373">
        <f>H30*G30*C30</f>
        <v>0</v>
      </c>
      <c r="J30" s="376"/>
      <c r="K30" s="377">
        <f t="shared" si="5"/>
        <v>0</v>
      </c>
      <c r="L30" s="378"/>
      <c r="M30" s="379"/>
      <c r="N30" s="380"/>
      <c r="O30" s="381"/>
      <c r="P30" s="382"/>
      <c r="Q30" s="383"/>
    </row>
    <row r="31" spans="1:26" x14ac:dyDescent="0.2">
      <c r="A31" s="370" t="s">
        <v>807</v>
      </c>
      <c r="B31" s="5" t="s">
        <v>128</v>
      </c>
      <c r="C31" s="371">
        <f>J6</f>
        <v>60</v>
      </c>
      <c r="D31" s="372" t="s">
        <v>21</v>
      </c>
      <c r="E31" s="253">
        <v>0</v>
      </c>
      <c r="F31" s="373">
        <f t="shared" si="3"/>
        <v>0</v>
      </c>
      <c r="G31" s="374">
        <v>1</v>
      </c>
      <c r="H31" s="375">
        <v>2750</v>
      </c>
      <c r="I31" s="373">
        <f>H31*G31*C31</f>
        <v>165000</v>
      </c>
      <c r="J31" s="376"/>
      <c r="K31" s="377">
        <f t="shared" si="5"/>
        <v>165000</v>
      </c>
      <c r="L31" s="378" t="s">
        <v>1128</v>
      </c>
      <c r="M31" s="379">
        <v>188344</v>
      </c>
      <c r="N31" s="380" t="s">
        <v>1129</v>
      </c>
      <c r="O31" s="381"/>
      <c r="P31" s="382"/>
      <c r="Q31" s="383"/>
    </row>
    <row r="32" spans="1:26" x14ac:dyDescent="0.2">
      <c r="A32" s="370" t="s">
        <v>809</v>
      </c>
      <c r="B32" s="5" t="s">
        <v>129</v>
      </c>
      <c r="C32" s="371"/>
      <c r="D32" s="372" t="s">
        <v>21</v>
      </c>
      <c r="E32" s="253">
        <v>0</v>
      </c>
      <c r="F32" s="373">
        <f t="shared" si="3"/>
        <v>0</v>
      </c>
      <c r="G32" s="374"/>
      <c r="H32" s="375">
        <v>0</v>
      </c>
      <c r="I32" s="373">
        <f t="shared" si="4"/>
        <v>0</v>
      </c>
      <c r="J32" s="376"/>
      <c r="K32" s="377">
        <f t="shared" si="5"/>
        <v>0</v>
      </c>
      <c r="L32" s="378"/>
      <c r="M32" s="379"/>
      <c r="N32" s="380"/>
      <c r="O32" s="381"/>
      <c r="P32" s="382"/>
      <c r="Q32" s="383"/>
    </row>
    <row r="33" spans="1:24" x14ac:dyDescent="0.2">
      <c r="A33" s="370"/>
      <c r="B33" s="5"/>
      <c r="C33" s="371"/>
      <c r="D33" s="372" t="s">
        <v>21</v>
      </c>
      <c r="E33" s="253">
        <v>0</v>
      </c>
      <c r="F33" s="373">
        <f t="shared" si="3"/>
        <v>0</v>
      </c>
      <c r="G33" s="374"/>
      <c r="H33" s="375">
        <v>0</v>
      </c>
      <c r="I33" s="373">
        <f t="shared" si="4"/>
        <v>0</v>
      </c>
      <c r="J33" s="376"/>
      <c r="K33" s="377">
        <f t="shared" si="5"/>
        <v>0</v>
      </c>
      <c r="L33" s="378"/>
      <c r="M33" s="379"/>
      <c r="N33" s="380"/>
      <c r="O33" s="381"/>
      <c r="P33" s="382"/>
      <c r="Q33" s="383"/>
    </row>
    <row r="34" spans="1:24" ht="13.5" thickBot="1" x14ac:dyDescent="0.25">
      <c r="A34" s="370"/>
      <c r="B34" s="5"/>
      <c r="C34" s="371"/>
      <c r="D34" s="372"/>
      <c r="E34" s="253"/>
      <c r="F34" s="373"/>
      <c r="G34" s="374"/>
      <c r="H34" s="375"/>
      <c r="I34" s="373"/>
      <c r="J34" s="376"/>
      <c r="K34" s="377">
        <f t="shared" si="5"/>
        <v>0</v>
      </c>
      <c r="L34" s="378"/>
      <c r="M34" s="379"/>
      <c r="N34" s="380"/>
      <c r="O34" s="381"/>
      <c r="P34" s="382"/>
      <c r="Q34" s="383"/>
    </row>
    <row r="35" spans="1:24" ht="13.5" thickTop="1" x14ac:dyDescent="0.2">
      <c r="A35" s="387"/>
      <c r="B35" s="5"/>
      <c r="C35" s="388"/>
      <c r="D35" s="372"/>
      <c r="E35" s="253"/>
      <c r="F35" s="373"/>
      <c r="G35" s="374"/>
      <c r="H35" s="375"/>
      <c r="I35" s="373"/>
      <c r="J35" s="389" t="s">
        <v>30</v>
      </c>
      <c r="K35" s="390">
        <f>SUM(K27:K34)</f>
        <v>165000</v>
      </c>
      <c r="L35" s="378"/>
      <c r="M35" s="379"/>
      <c r="N35" s="380"/>
      <c r="O35" s="381"/>
      <c r="P35" s="382"/>
      <c r="Q35" s="383"/>
    </row>
    <row r="36" spans="1:24" ht="13.5" thickBot="1" x14ac:dyDescent="0.25">
      <c r="A36" s="353" t="s">
        <v>0</v>
      </c>
      <c r="B36" s="354" t="s">
        <v>1</v>
      </c>
      <c r="C36" s="939"/>
      <c r="D36" s="939"/>
      <c r="E36" s="939"/>
      <c r="F36" s="939"/>
      <c r="G36" s="939"/>
      <c r="H36" s="939"/>
      <c r="I36" s="939"/>
      <c r="J36" s="355"/>
      <c r="K36" s="356"/>
      <c r="L36" s="391"/>
      <c r="M36" s="392"/>
      <c r="N36" s="393"/>
      <c r="O36" s="381"/>
      <c r="P36" s="382"/>
      <c r="Q36" s="383"/>
    </row>
    <row r="37" spans="1:24" ht="16.5" thickBot="1" x14ac:dyDescent="0.3">
      <c r="A37" s="394" t="s">
        <v>810</v>
      </c>
      <c r="B37" s="395" t="s">
        <v>930</v>
      </c>
      <c r="C37" s="396"/>
      <c r="D37" s="397" t="s">
        <v>845</v>
      </c>
      <c r="E37" s="407" t="s">
        <v>775</v>
      </c>
      <c r="F37" s="399" t="s">
        <v>751</v>
      </c>
      <c r="G37" s="398" t="s">
        <v>815</v>
      </c>
      <c r="H37" s="399" t="s">
        <v>813</v>
      </c>
      <c r="I37" s="203"/>
      <c r="J37" s="400" t="s">
        <v>30</v>
      </c>
      <c r="K37" s="401" t="s">
        <v>38</v>
      </c>
      <c r="L37" s="402"/>
      <c r="M37" s="408"/>
      <c r="N37" s="409"/>
      <c r="O37" s="410"/>
      <c r="P37" s="411"/>
      <c r="Q37" s="383"/>
      <c r="U37" s="412"/>
      <c r="V37" s="413"/>
      <c r="W37" s="414"/>
      <c r="X37" s="414"/>
    </row>
    <row r="38" spans="1:24" x14ac:dyDescent="0.2">
      <c r="A38" s="405" t="s">
        <v>980</v>
      </c>
      <c r="B38" s="406" t="s">
        <v>985</v>
      </c>
      <c r="C38" s="415">
        <f>SUM('Estimate Summary'!H17:H61)/1000</f>
        <v>10005.598009340378</v>
      </c>
      <c r="D38" s="416" t="s">
        <v>845</v>
      </c>
      <c r="E38" s="417">
        <v>0.63</v>
      </c>
      <c r="F38" s="418"/>
      <c r="G38" s="375"/>
      <c r="H38" s="419"/>
      <c r="J38" s="420"/>
      <c r="K38" s="377">
        <f>F38</f>
        <v>0</v>
      </c>
      <c r="L38" s="378"/>
      <c r="M38" s="255"/>
      <c r="N38" s="421"/>
      <c r="O38" s="410"/>
      <c r="P38" s="411"/>
      <c r="Q38" s="383"/>
      <c r="U38" s="412"/>
      <c r="V38" s="413"/>
      <c r="W38" s="414"/>
      <c r="X38" s="414"/>
    </row>
    <row r="39" spans="1:24" x14ac:dyDescent="0.2">
      <c r="A39" s="370"/>
      <c r="B39" s="5" t="s">
        <v>987</v>
      </c>
      <c r="C39" s="415">
        <f>SUM('Estimate Summary'!H17:H61)/1000</f>
        <v>10005.598009340378</v>
      </c>
      <c r="D39" s="416" t="s">
        <v>845</v>
      </c>
      <c r="E39" s="417">
        <v>1.29</v>
      </c>
      <c r="F39" s="418"/>
      <c r="G39" s="375"/>
      <c r="H39" s="419"/>
      <c r="J39" s="420"/>
      <c r="K39" s="377">
        <f>F39</f>
        <v>0</v>
      </c>
      <c r="L39" s="378" t="s">
        <v>1011</v>
      </c>
      <c r="M39" s="255"/>
      <c r="N39" s="421"/>
      <c r="O39" s="410"/>
      <c r="P39" s="411"/>
      <c r="Q39" s="383"/>
      <c r="U39" s="412"/>
      <c r="V39" s="413"/>
      <c r="W39" s="414"/>
      <c r="X39" s="414"/>
    </row>
    <row r="40" spans="1:24" x14ac:dyDescent="0.2">
      <c r="A40" s="370"/>
      <c r="B40" s="5" t="s">
        <v>981</v>
      </c>
      <c r="C40" s="822">
        <f>+J6/4.5</f>
        <v>13.333333333333334</v>
      </c>
      <c r="D40" s="372" t="s">
        <v>986</v>
      </c>
      <c r="E40" s="253">
        <v>0.75</v>
      </c>
      <c r="F40" s="418"/>
      <c r="H40" s="375"/>
      <c r="I40" s="373"/>
      <c r="J40" s="423"/>
      <c r="K40" s="377">
        <f>F40</f>
        <v>0</v>
      </c>
      <c r="L40" s="378" t="s">
        <v>1012</v>
      </c>
      <c r="M40" s="255">
        <v>188344</v>
      </c>
      <c r="N40" s="421"/>
      <c r="O40" s="410"/>
      <c r="P40" s="411"/>
      <c r="Q40" s="383"/>
      <c r="U40" s="412"/>
      <c r="V40" s="413"/>
      <c r="W40" s="414"/>
      <c r="X40" s="414"/>
    </row>
    <row r="41" spans="1:24" x14ac:dyDescent="0.2">
      <c r="A41" s="387"/>
      <c r="B41" s="412" t="s">
        <v>982</v>
      </c>
      <c r="C41" s="439">
        <f>SUM('Estimate Summary'!H17:H61)/1000</f>
        <v>10005.598009340378</v>
      </c>
      <c r="D41" s="372" t="s">
        <v>845</v>
      </c>
      <c r="E41" s="253">
        <v>1.88</v>
      </c>
      <c r="F41" s="418"/>
      <c r="H41" s="375"/>
      <c r="I41" s="373"/>
      <c r="J41" s="374"/>
      <c r="K41" s="377">
        <f>F41</f>
        <v>0</v>
      </c>
      <c r="L41" s="378"/>
      <c r="M41" s="255"/>
      <c r="N41" s="421"/>
      <c r="O41" s="410"/>
      <c r="P41" s="411"/>
      <c r="Q41" s="383"/>
      <c r="U41" s="412"/>
      <c r="V41" s="413"/>
      <c r="W41" s="414"/>
      <c r="X41" s="414"/>
    </row>
    <row r="42" spans="1:24" x14ac:dyDescent="0.2">
      <c r="A42" s="387"/>
      <c r="B42" s="256"/>
      <c r="C42" s="388"/>
      <c r="D42" s="372"/>
      <c r="E42" s="253"/>
      <c r="F42" s="373"/>
      <c r="H42" s="375"/>
      <c r="I42" s="373"/>
      <c r="J42" s="423"/>
      <c r="K42" s="377"/>
      <c r="L42" s="378"/>
      <c r="M42" s="255"/>
      <c r="N42" s="421"/>
      <c r="O42" s="410"/>
      <c r="P42" s="411"/>
      <c r="Q42" s="383"/>
      <c r="U42" s="412"/>
      <c r="V42" s="413"/>
      <c r="W42" s="414"/>
      <c r="X42" s="414"/>
    </row>
    <row r="43" spans="1:24" x14ac:dyDescent="0.2">
      <c r="A43" s="387"/>
      <c r="B43" s="256"/>
      <c r="C43" s="388"/>
      <c r="D43" s="372"/>
      <c r="E43" s="253"/>
      <c r="F43" s="373"/>
      <c r="H43" s="375"/>
      <c r="I43" s="373"/>
      <c r="J43" s="423"/>
      <c r="K43" s="377"/>
      <c r="L43" s="378"/>
      <c r="M43" s="255"/>
      <c r="N43" s="421"/>
      <c r="O43" s="410"/>
      <c r="P43" s="411"/>
      <c r="Q43" s="383"/>
      <c r="U43" s="412"/>
      <c r="V43" s="413"/>
      <c r="W43" s="414"/>
      <c r="X43" s="414"/>
    </row>
    <row r="44" spans="1:24" ht="13.5" thickBot="1" x14ac:dyDescent="0.25">
      <c r="A44" s="387"/>
      <c r="B44" s="256"/>
      <c r="C44" s="388"/>
      <c r="D44" s="372"/>
      <c r="E44" s="253"/>
      <c r="F44" s="373"/>
      <c r="H44" s="375"/>
      <c r="I44" s="373"/>
      <c r="J44" s="423"/>
      <c r="K44" s="377"/>
      <c r="L44" s="378"/>
      <c r="M44" s="255"/>
      <c r="N44" s="421"/>
      <c r="O44" s="410"/>
      <c r="P44" s="411"/>
      <c r="Q44" s="383"/>
      <c r="U44" s="412"/>
      <c r="V44" s="413"/>
      <c r="W44" s="414"/>
      <c r="X44" s="414"/>
    </row>
    <row r="45" spans="1:24" ht="13.5" thickTop="1" x14ac:dyDescent="0.2">
      <c r="A45" s="387" t="s">
        <v>810</v>
      </c>
      <c r="B45" s="412"/>
      <c r="C45" s="388"/>
      <c r="D45" s="372"/>
      <c r="E45" s="253"/>
      <c r="F45" s="373"/>
      <c r="G45" s="374"/>
      <c r="H45" s="375"/>
      <c r="I45" s="373"/>
      <c r="J45" s="389" t="s">
        <v>30</v>
      </c>
      <c r="K45" s="390">
        <f>SUM(K38:K44)</f>
        <v>0</v>
      </c>
      <c r="L45" s="378"/>
      <c r="M45" s="255"/>
      <c r="N45" s="380"/>
      <c r="O45" s="381"/>
      <c r="P45" s="382"/>
      <c r="Q45" s="383"/>
    </row>
    <row r="46" spans="1:24" ht="13.5" thickBot="1" x14ac:dyDescent="0.25">
      <c r="A46" s="353" t="s">
        <v>0</v>
      </c>
      <c r="B46" s="354" t="s">
        <v>1</v>
      </c>
      <c r="C46" s="939" t="s">
        <v>656</v>
      </c>
      <c r="D46" s="939"/>
      <c r="E46" s="939"/>
      <c r="F46" s="939"/>
      <c r="G46" s="939" t="s">
        <v>34</v>
      </c>
      <c r="H46" s="939"/>
      <c r="I46" s="939"/>
      <c r="J46" s="355"/>
      <c r="K46" s="356"/>
      <c r="L46" s="391"/>
      <c r="M46" s="392"/>
      <c r="N46" s="393"/>
      <c r="O46" s="381"/>
      <c r="P46" s="382"/>
      <c r="Q46" s="383"/>
    </row>
    <row r="47" spans="1:24" ht="13.5" thickBot="1" x14ac:dyDescent="0.25">
      <c r="A47" s="353" t="s">
        <v>0</v>
      </c>
      <c r="B47" s="354" t="s">
        <v>1</v>
      </c>
      <c r="C47" s="939"/>
      <c r="D47" s="939"/>
      <c r="E47" s="939"/>
      <c r="F47" s="939"/>
      <c r="G47" s="939"/>
      <c r="H47" s="939"/>
      <c r="I47" s="939"/>
      <c r="J47" s="355"/>
      <c r="K47" s="356"/>
      <c r="L47" s="402"/>
      <c r="M47" s="408"/>
      <c r="N47" s="409"/>
      <c r="O47" s="410"/>
      <c r="P47" s="411"/>
      <c r="Q47" s="383"/>
      <c r="U47" s="412"/>
      <c r="V47" s="413"/>
      <c r="W47" s="414"/>
      <c r="X47" s="414"/>
    </row>
    <row r="48" spans="1:24" ht="21.95" customHeight="1" thickBot="1" x14ac:dyDescent="0.3">
      <c r="A48" s="394" t="s">
        <v>810</v>
      </c>
      <c r="B48" s="395" t="s">
        <v>727</v>
      </c>
      <c r="C48" s="396" t="s">
        <v>813</v>
      </c>
      <c r="D48" s="397" t="s">
        <v>74</v>
      </c>
      <c r="E48" s="407" t="s">
        <v>814</v>
      </c>
      <c r="F48" s="399" t="s">
        <v>751</v>
      </c>
      <c r="G48" s="398" t="s">
        <v>815</v>
      </c>
      <c r="H48" s="399" t="s">
        <v>813</v>
      </c>
      <c r="I48" s="203"/>
      <c r="J48" s="400" t="s">
        <v>30</v>
      </c>
      <c r="K48" s="401" t="s">
        <v>38</v>
      </c>
      <c r="L48" s="378"/>
      <c r="M48" s="255"/>
      <c r="N48" s="421"/>
      <c r="O48" s="410"/>
      <c r="P48" s="411"/>
      <c r="Q48" s="383"/>
      <c r="U48" s="412"/>
      <c r="V48" s="413"/>
      <c r="W48" s="414"/>
      <c r="X48" s="414"/>
    </row>
    <row r="49" spans="1:24" ht="27" customHeight="1" x14ac:dyDescent="0.2">
      <c r="A49" s="405"/>
      <c r="B49" s="406" t="s">
        <v>811</v>
      </c>
      <c r="C49" s="371"/>
      <c r="D49" s="372">
        <f>J6</f>
        <v>60</v>
      </c>
      <c r="E49" s="422">
        <v>0</v>
      </c>
      <c r="F49" s="373">
        <v>0.45</v>
      </c>
      <c r="G49" s="375"/>
      <c r="H49" s="419">
        <f>C49*D49</f>
        <v>0</v>
      </c>
      <c r="J49" s="420">
        <f>C49*D49*E49*F49+G49*H49</f>
        <v>0</v>
      </c>
      <c r="K49" s="377">
        <f>J49+(G49*H49)</f>
        <v>0</v>
      </c>
      <c r="L49" s="378"/>
      <c r="M49" s="255"/>
      <c r="N49" s="421"/>
      <c r="O49" s="410"/>
      <c r="P49" s="411"/>
      <c r="Q49" s="383"/>
      <c r="U49" s="412"/>
      <c r="V49" s="413"/>
      <c r="W49" s="414"/>
      <c r="X49" s="414"/>
    </row>
    <row r="50" spans="1:24" x14ac:dyDescent="0.2">
      <c r="A50" s="370"/>
      <c r="B50" s="5" t="s">
        <v>812</v>
      </c>
      <c r="C50" s="371"/>
      <c r="D50" s="372">
        <f>J6</f>
        <v>60</v>
      </c>
      <c r="E50" s="422">
        <v>0</v>
      </c>
      <c r="F50" s="373">
        <v>0.45</v>
      </c>
      <c r="G50" s="375"/>
      <c r="H50" s="419">
        <f>C50*D50</f>
        <v>0</v>
      </c>
      <c r="J50" s="420">
        <f>C50*D50*E50*F50+G50*H50</f>
        <v>0</v>
      </c>
      <c r="K50" s="377">
        <f>J50+(G50*H50)</f>
        <v>0</v>
      </c>
      <c r="L50" s="378"/>
      <c r="M50" s="255"/>
      <c r="N50" s="421"/>
      <c r="O50" s="410"/>
      <c r="P50" s="411"/>
      <c r="Q50" s="383"/>
      <c r="U50" s="412"/>
      <c r="V50" s="413"/>
      <c r="W50" s="414"/>
      <c r="X50" s="414"/>
    </row>
    <row r="51" spans="1:24" x14ac:dyDescent="0.2">
      <c r="A51" s="370"/>
      <c r="B51" s="5" t="s">
        <v>728</v>
      </c>
      <c r="C51" s="371"/>
      <c r="D51" s="372">
        <f>J6</f>
        <v>60</v>
      </c>
      <c r="E51" s="253"/>
      <c r="F51" s="373">
        <v>120</v>
      </c>
      <c r="H51" s="375"/>
      <c r="I51" s="373"/>
      <c r="J51" s="423">
        <f>C51*D51*F51</f>
        <v>0</v>
      </c>
      <c r="K51" s="377">
        <f>J51</f>
        <v>0</v>
      </c>
      <c r="L51" s="378"/>
      <c r="M51" s="255"/>
      <c r="N51" s="421"/>
      <c r="O51" s="410"/>
      <c r="P51" s="411"/>
      <c r="Q51" s="383"/>
      <c r="U51" s="412"/>
      <c r="V51" s="413"/>
      <c r="W51" s="414"/>
      <c r="X51" s="414"/>
    </row>
    <row r="52" spans="1:24" x14ac:dyDescent="0.2">
      <c r="A52" s="387"/>
      <c r="B52" s="412" t="s">
        <v>816</v>
      </c>
      <c r="C52" s="388"/>
      <c r="D52" s="372"/>
      <c r="E52" s="253"/>
      <c r="F52" s="373"/>
      <c r="H52" s="375"/>
      <c r="I52" s="373"/>
      <c r="J52" s="374"/>
      <c r="K52" s="302"/>
      <c r="L52" s="378"/>
      <c r="M52" s="255"/>
      <c r="N52" s="421"/>
      <c r="O52" s="410"/>
      <c r="P52" s="411"/>
      <c r="Q52" s="383"/>
      <c r="U52" s="412"/>
      <c r="V52" s="413"/>
      <c r="W52" s="414"/>
      <c r="X52" s="414"/>
    </row>
    <row r="53" spans="1:24" x14ac:dyDescent="0.2">
      <c r="A53" s="387"/>
      <c r="B53" s="256" t="s">
        <v>729</v>
      </c>
      <c r="C53" s="388"/>
      <c r="D53" s="372">
        <f>J$6</f>
        <v>60</v>
      </c>
      <c r="E53" s="253"/>
      <c r="F53" s="373">
        <v>40</v>
      </c>
      <c r="H53" s="375"/>
      <c r="I53" s="373"/>
      <c r="J53" s="423">
        <f>C53*D53*F53</f>
        <v>0</v>
      </c>
      <c r="K53" s="377">
        <f>J53</f>
        <v>0</v>
      </c>
      <c r="L53" s="378"/>
      <c r="M53" s="255"/>
      <c r="N53" s="421"/>
      <c r="O53" s="410"/>
      <c r="P53" s="411"/>
      <c r="Q53" s="383"/>
      <c r="U53" s="412"/>
      <c r="V53" s="413"/>
      <c r="W53" s="414"/>
      <c r="X53" s="414"/>
    </row>
    <row r="54" spans="1:24" x14ac:dyDescent="0.2">
      <c r="A54" s="387"/>
      <c r="B54" s="256" t="s">
        <v>730</v>
      </c>
      <c r="C54" s="388"/>
      <c r="D54" s="372">
        <f>J$6</f>
        <v>60</v>
      </c>
      <c r="E54" s="253"/>
      <c r="F54" s="373">
        <v>47</v>
      </c>
      <c r="H54" s="375"/>
      <c r="I54" s="373"/>
      <c r="J54" s="423">
        <f>C54*D54*F54</f>
        <v>0</v>
      </c>
      <c r="K54" s="377">
        <f>J54</f>
        <v>0</v>
      </c>
      <c r="L54" s="378"/>
      <c r="M54" s="255"/>
      <c r="N54" s="421"/>
      <c r="O54" s="410"/>
      <c r="P54" s="411"/>
      <c r="Q54" s="383"/>
      <c r="U54" s="412"/>
      <c r="V54" s="413"/>
      <c r="W54" s="414"/>
      <c r="X54" s="414"/>
    </row>
    <row r="55" spans="1:24" ht="13.5" thickBot="1" x14ac:dyDescent="0.25">
      <c r="A55" s="387"/>
      <c r="B55" s="256" t="s">
        <v>731</v>
      </c>
      <c r="C55" s="388"/>
      <c r="D55" s="372">
        <f>J$6</f>
        <v>60</v>
      </c>
      <c r="E55" s="253"/>
      <c r="F55" s="373">
        <v>22</v>
      </c>
      <c r="H55" s="375"/>
      <c r="I55" s="373"/>
      <c r="J55" s="423">
        <f>C55*D55*F55</f>
        <v>0</v>
      </c>
      <c r="K55" s="377">
        <f>J55</f>
        <v>0</v>
      </c>
      <c r="L55" s="378"/>
      <c r="M55" s="255"/>
      <c r="N55" s="421"/>
      <c r="O55" s="410"/>
      <c r="P55" s="411"/>
      <c r="Q55" s="383"/>
      <c r="U55" s="412"/>
      <c r="V55" s="413"/>
      <c r="W55" s="414"/>
      <c r="X55" s="414"/>
    </row>
    <row r="56" spans="1:24" ht="13.5" thickTop="1" x14ac:dyDescent="0.2">
      <c r="A56" s="387" t="s">
        <v>810</v>
      </c>
      <c r="B56" s="412"/>
      <c r="C56" s="388"/>
      <c r="D56" s="372"/>
      <c r="E56" s="253"/>
      <c r="F56" s="373"/>
      <c r="G56" s="374"/>
      <c r="H56" s="375"/>
      <c r="I56" s="373"/>
      <c r="J56" s="389" t="s">
        <v>30</v>
      </c>
      <c r="K56" s="390">
        <f>SUM(K49:K55)</f>
        <v>0</v>
      </c>
      <c r="L56" s="378"/>
      <c r="M56" s="255"/>
      <c r="N56" s="380"/>
      <c r="O56" s="381"/>
      <c r="P56" s="382"/>
      <c r="Q56" s="383"/>
    </row>
    <row r="57" spans="1:24" ht="13.5" thickBot="1" x14ac:dyDescent="0.25">
      <c r="A57" s="353" t="s">
        <v>0</v>
      </c>
      <c r="B57" s="354" t="s">
        <v>1</v>
      </c>
      <c r="C57" s="939" t="s">
        <v>656</v>
      </c>
      <c r="D57" s="939"/>
      <c r="E57" s="939"/>
      <c r="F57" s="939"/>
      <c r="G57" s="939" t="s">
        <v>34</v>
      </c>
      <c r="H57" s="939"/>
      <c r="I57" s="939"/>
      <c r="J57" s="355"/>
      <c r="K57" s="356"/>
      <c r="L57" s="391"/>
      <c r="M57" s="355"/>
      <c r="N57" s="393"/>
      <c r="O57" s="381"/>
      <c r="P57" s="382"/>
      <c r="Q57" s="383"/>
    </row>
    <row r="58" spans="1:24" ht="16.5" thickBot="1" x14ac:dyDescent="0.3">
      <c r="A58" s="394" t="s">
        <v>106</v>
      </c>
      <c r="B58" s="395" t="s">
        <v>107</v>
      </c>
      <c r="C58" s="396" t="s">
        <v>19</v>
      </c>
      <c r="D58" s="397" t="s">
        <v>33</v>
      </c>
      <c r="E58" s="398" t="s">
        <v>35</v>
      </c>
      <c r="F58" s="399" t="s">
        <v>30</v>
      </c>
      <c r="G58" s="400" t="s">
        <v>14</v>
      </c>
      <c r="H58" s="398" t="s">
        <v>35</v>
      </c>
      <c r="I58" s="399" t="s">
        <v>30</v>
      </c>
      <c r="J58" s="364" t="s">
        <v>659</v>
      </c>
      <c r="K58" s="401" t="s">
        <v>38</v>
      </c>
      <c r="L58" s="402"/>
      <c r="M58" s="408"/>
      <c r="N58" s="404"/>
      <c r="O58" s="381"/>
      <c r="P58" s="411"/>
      <c r="Q58" s="383"/>
    </row>
    <row r="59" spans="1:24" ht="13.5" thickBot="1" x14ac:dyDescent="0.25">
      <c r="A59" s="424" t="s">
        <v>878</v>
      </c>
      <c r="B59" s="425" t="s">
        <v>150</v>
      </c>
      <c r="C59" s="415">
        <f>SUM('Estimate Summary'!H17:H61)/1000</f>
        <v>10005.598009340378</v>
      </c>
      <c r="D59" s="416" t="s">
        <v>845</v>
      </c>
      <c r="E59" s="417">
        <v>0</v>
      </c>
      <c r="F59" s="418">
        <f>C59*E59</f>
        <v>0</v>
      </c>
      <c r="G59" s="426"/>
      <c r="H59" s="427"/>
      <c r="I59" s="418"/>
      <c r="J59" s="428">
        <v>3000</v>
      </c>
      <c r="K59" s="429">
        <f>F59+I59+J59</f>
        <v>3000</v>
      </c>
      <c r="L59" s="378" t="s">
        <v>1011</v>
      </c>
      <c r="M59" s="255"/>
      <c r="N59" s="380"/>
      <c r="O59" s="381"/>
      <c r="P59" s="382"/>
      <c r="Q59" s="383"/>
    </row>
    <row r="60" spans="1:24" x14ac:dyDescent="0.2">
      <c r="A60" s="370"/>
      <c r="B60" s="430" t="s">
        <v>841</v>
      </c>
      <c r="C60" s="431">
        <v>8</v>
      </c>
      <c r="D60" s="432" t="s">
        <v>845</v>
      </c>
      <c r="E60" s="986" t="s">
        <v>921</v>
      </c>
      <c r="F60" s="987"/>
      <c r="G60" s="990" t="s">
        <v>922</v>
      </c>
      <c r="H60" s="991"/>
      <c r="I60" s="991"/>
      <c r="J60" s="255"/>
      <c r="K60" s="302"/>
      <c r="L60" s="378"/>
      <c r="M60" s="255"/>
      <c r="N60" s="380"/>
      <c r="O60" s="381"/>
      <c r="P60" s="382"/>
      <c r="Q60" s="383"/>
    </row>
    <row r="61" spans="1:24" x14ac:dyDescent="0.2">
      <c r="A61" s="370"/>
      <c r="B61" s="433" t="s">
        <v>846</v>
      </c>
      <c r="C61" s="434">
        <v>7.5</v>
      </c>
      <c r="D61" s="372" t="s">
        <v>845</v>
      </c>
      <c r="E61" s="988"/>
      <c r="F61" s="988"/>
      <c r="G61" s="256"/>
      <c r="H61" s="375"/>
      <c r="I61" s="253"/>
      <c r="J61" s="255"/>
      <c r="K61" s="302"/>
      <c r="L61" s="378"/>
      <c r="M61" s="255"/>
      <c r="N61" s="380"/>
      <c r="O61" s="381"/>
      <c r="P61" s="382"/>
      <c r="Q61" s="383"/>
    </row>
    <row r="62" spans="1:24" x14ac:dyDescent="0.2">
      <c r="A62" s="370"/>
      <c r="B62" s="433" t="s">
        <v>842</v>
      </c>
      <c r="C62" s="434">
        <v>8.9</v>
      </c>
      <c r="D62" s="372" t="s">
        <v>845</v>
      </c>
      <c r="E62" s="988" t="s">
        <v>966</v>
      </c>
      <c r="F62" s="988"/>
      <c r="G62" s="256"/>
      <c r="H62" s="375"/>
      <c r="I62" s="253"/>
      <c r="J62" s="255"/>
      <c r="K62" s="302"/>
      <c r="L62" s="378"/>
      <c r="M62" s="255"/>
      <c r="N62" s="380"/>
      <c r="O62" s="381"/>
      <c r="P62" s="382"/>
      <c r="Q62" s="383"/>
    </row>
    <row r="63" spans="1:24" x14ac:dyDescent="0.2">
      <c r="A63" s="370"/>
      <c r="B63" s="433" t="s">
        <v>843</v>
      </c>
      <c r="C63" s="434">
        <v>8</v>
      </c>
      <c r="D63" s="372" t="s">
        <v>845</v>
      </c>
      <c r="E63" s="988"/>
      <c r="F63" s="988"/>
      <c r="G63" s="256"/>
      <c r="H63" s="375"/>
      <c r="I63" s="253"/>
      <c r="J63" s="255"/>
      <c r="K63" s="302"/>
      <c r="L63" s="378"/>
      <c r="M63" s="255"/>
      <c r="N63" s="380"/>
      <c r="O63" s="381"/>
      <c r="P63" s="382"/>
      <c r="Q63" s="383"/>
    </row>
    <row r="64" spans="1:24" x14ac:dyDescent="0.2">
      <c r="A64" s="370"/>
      <c r="B64" s="433" t="s">
        <v>844</v>
      </c>
      <c r="C64" s="434">
        <v>5.5</v>
      </c>
      <c r="D64" s="372" t="s">
        <v>845</v>
      </c>
      <c r="E64" s="988"/>
      <c r="F64" s="988"/>
      <c r="L64" s="378"/>
      <c r="M64" s="255"/>
      <c r="N64" s="380"/>
      <c r="O64" s="381"/>
      <c r="P64" s="382"/>
      <c r="Q64" s="383"/>
    </row>
    <row r="65" spans="1:17" ht="13.5" thickBot="1" x14ac:dyDescent="0.25">
      <c r="A65" s="370"/>
      <c r="B65" s="435"/>
      <c r="C65" s="156"/>
      <c r="D65" s="156"/>
      <c r="E65" s="989"/>
      <c r="F65" s="989"/>
      <c r="L65" s="378"/>
      <c r="M65" s="255"/>
      <c r="N65" s="421"/>
      <c r="O65" s="436"/>
      <c r="P65" s="437"/>
      <c r="Q65" s="383"/>
    </row>
    <row r="66" spans="1:17" ht="13.5" thickBot="1" x14ac:dyDescent="0.25">
      <c r="A66" s="387"/>
      <c r="B66" s="5"/>
      <c r="C66" s="371"/>
      <c r="D66" s="372"/>
      <c r="E66" s="253"/>
      <c r="F66" s="373"/>
      <c r="G66" s="374"/>
      <c r="H66" s="375"/>
      <c r="I66" s="373"/>
      <c r="J66" s="376"/>
      <c r="K66" s="811"/>
      <c r="L66" s="157"/>
      <c r="M66" s="157"/>
      <c r="O66" s="436"/>
      <c r="P66" s="437"/>
      <c r="Q66" s="383"/>
    </row>
    <row r="67" spans="1:17" ht="13.5" thickTop="1" x14ac:dyDescent="0.2">
      <c r="A67" s="387"/>
      <c r="B67" s="412"/>
      <c r="C67" s="388"/>
      <c r="D67" s="372"/>
      <c r="E67" s="253"/>
      <c r="F67" s="373"/>
      <c r="G67" s="374"/>
      <c r="H67" s="375"/>
      <c r="I67" s="373"/>
      <c r="J67" s="389" t="s">
        <v>30</v>
      </c>
      <c r="K67" s="810">
        <f>SUM(K59:K66)</f>
        <v>3000</v>
      </c>
      <c r="L67" s="157"/>
      <c r="M67" s="157"/>
      <c r="O67" s="410"/>
      <c r="P67" s="411"/>
      <c r="Q67" s="383"/>
    </row>
    <row r="68" spans="1:17" ht="13.5" thickBot="1" x14ac:dyDescent="0.25">
      <c r="A68" s="353" t="s">
        <v>0</v>
      </c>
      <c r="B68" s="354" t="s">
        <v>1</v>
      </c>
      <c r="C68" s="939" t="s">
        <v>656</v>
      </c>
      <c r="D68" s="939"/>
      <c r="E68" s="939"/>
      <c r="F68" s="939"/>
      <c r="G68" s="939" t="s">
        <v>34</v>
      </c>
      <c r="H68" s="939"/>
      <c r="I68" s="939"/>
      <c r="J68" s="355"/>
      <c r="K68" s="356"/>
      <c r="L68" s="391"/>
      <c r="M68" s="355"/>
      <c r="N68" s="438"/>
      <c r="O68" s="381"/>
      <c r="P68" s="382"/>
      <c r="Q68" s="383"/>
    </row>
    <row r="69" spans="1:17" ht="16.5" thickBot="1" x14ac:dyDescent="0.3">
      <c r="A69" s="394" t="s">
        <v>144</v>
      </c>
      <c r="B69" s="395" t="s">
        <v>145</v>
      </c>
      <c r="C69" s="396" t="s">
        <v>19</v>
      </c>
      <c r="D69" s="397" t="s">
        <v>33</v>
      </c>
      <c r="E69" s="398" t="s">
        <v>35</v>
      </c>
      <c r="F69" s="399" t="s">
        <v>30</v>
      </c>
      <c r="G69" s="400" t="s">
        <v>14</v>
      </c>
      <c r="H69" s="398" t="s">
        <v>35</v>
      </c>
      <c r="I69" s="399" t="s">
        <v>30</v>
      </c>
      <c r="J69" s="364" t="s">
        <v>659</v>
      </c>
      <c r="K69" s="401" t="s">
        <v>38</v>
      </c>
      <c r="L69" s="402"/>
      <c r="M69" s="408"/>
      <c r="N69" s="409"/>
      <c r="O69" s="381"/>
      <c r="P69" s="382"/>
      <c r="Q69" s="383"/>
    </row>
    <row r="70" spans="1:17" x14ac:dyDescent="0.2">
      <c r="A70" s="405" t="s">
        <v>873</v>
      </c>
      <c r="B70" s="406" t="s">
        <v>49</v>
      </c>
      <c r="C70" s="371">
        <v>1</v>
      </c>
      <c r="D70" s="372" t="s">
        <v>21</v>
      </c>
      <c r="E70" s="253">
        <v>2500</v>
      </c>
      <c r="F70" s="373">
        <f>C70*E70</f>
        <v>2500</v>
      </c>
      <c r="G70" s="374"/>
      <c r="H70" s="375">
        <v>0</v>
      </c>
      <c r="I70" s="373">
        <f>G70*H70</f>
        <v>0</v>
      </c>
      <c r="J70" s="376"/>
      <c r="K70" s="377">
        <f>F70+I70+J70</f>
        <v>2500</v>
      </c>
      <c r="L70" s="378"/>
      <c r="M70" s="379"/>
      <c r="N70" s="380"/>
      <c r="O70" s="381"/>
      <c r="P70" s="382"/>
      <c r="Q70" s="383"/>
    </row>
    <row r="71" spans="1:17" x14ac:dyDescent="0.2">
      <c r="A71" s="370" t="s">
        <v>874</v>
      </c>
      <c r="B71" s="5" t="s">
        <v>50</v>
      </c>
      <c r="C71" s="371">
        <v>1</v>
      </c>
      <c r="D71" s="372" t="s">
        <v>21</v>
      </c>
      <c r="E71" s="253">
        <v>2500</v>
      </c>
      <c r="F71" s="373">
        <f>C71*E71</f>
        <v>2500</v>
      </c>
      <c r="G71" s="374"/>
      <c r="H71" s="375">
        <v>0</v>
      </c>
      <c r="I71" s="373">
        <f>G71*H71</f>
        <v>0</v>
      </c>
      <c r="J71" s="376"/>
      <c r="K71" s="377">
        <f>F71+I71+J71</f>
        <v>2500</v>
      </c>
      <c r="L71" s="378" t="s">
        <v>1012</v>
      </c>
      <c r="M71" s="379">
        <v>25768</v>
      </c>
      <c r="N71" s="380"/>
      <c r="O71" s="381"/>
      <c r="P71" s="382"/>
      <c r="Q71" s="383"/>
    </row>
    <row r="72" spans="1:17" x14ac:dyDescent="0.2">
      <c r="A72" s="370" t="s">
        <v>875</v>
      </c>
      <c r="B72" s="5" t="s">
        <v>51</v>
      </c>
      <c r="C72" s="371">
        <v>1</v>
      </c>
      <c r="D72" s="372" t="s">
        <v>21</v>
      </c>
      <c r="E72" s="253">
        <v>3000</v>
      </c>
      <c r="F72" s="373">
        <f>C72*E72</f>
        <v>3000</v>
      </c>
      <c r="G72" s="374"/>
      <c r="H72" s="375">
        <v>0</v>
      </c>
      <c r="I72" s="373">
        <f>G72*H72</f>
        <v>0</v>
      </c>
      <c r="J72" s="376"/>
      <c r="K72" s="377">
        <f>F72+I72+J72</f>
        <v>3000</v>
      </c>
      <c r="L72" s="378"/>
      <c r="M72" s="379"/>
      <c r="N72" s="380"/>
      <c r="O72" s="381"/>
      <c r="P72" s="382"/>
      <c r="Q72" s="383"/>
    </row>
    <row r="73" spans="1:17" x14ac:dyDescent="0.2">
      <c r="A73" s="370" t="s">
        <v>876</v>
      </c>
      <c r="B73" s="5" t="s">
        <v>146</v>
      </c>
      <c r="C73" s="371"/>
      <c r="D73" s="372" t="s">
        <v>21</v>
      </c>
      <c r="E73" s="253">
        <v>0</v>
      </c>
      <c r="F73" s="373">
        <f>C73*E73</f>
        <v>0</v>
      </c>
      <c r="G73" s="374"/>
      <c r="H73" s="375">
        <v>0</v>
      </c>
      <c r="I73" s="373">
        <f>G73*H73</f>
        <v>0</v>
      </c>
      <c r="J73" s="376"/>
      <c r="K73" s="377">
        <f>F73+I73+J73</f>
        <v>0</v>
      </c>
      <c r="L73" s="378"/>
      <c r="M73" s="379"/>
      <c r="N73" s="380"/>
      <c r="O73" s="381"/>
      <c r="P73" s="382"/>
      <c r="Q73" s="383"/>
    </row>
    <row r="74" spans="1:17" x14ac:dyDescent="0.2">
      <c r="A74" s="370" t="s">
        <v>877</v>
      </c>
      <c r="B74" s="5" t="s">
        <v>83</v>
      </c>
      <c r="C74" s="371"/>
      <c r="D74" s="372" t="s">
        <v>21</v>
      </c>
      <c r="E74" s="253">
        <v>0</v>
      </c>
      <c r="F74" s="373">
        <f>C74*E74</f>
        <v>0</v>
      </c>
      <c r="G74" s="374"/>
      <c r="H74" s="375">
        <v>0</v>
      </c>
      <c r="I74" s="373">
        <f>G74*H74</f>
        <v>0</v>
      </c>
      <c r="J74" s="376"/>
      <c r="K74" s="377">
        <f>F74+I74+J74</f>
        <v>0</v>
      </c>
      <c r="L74" s="378"/>
      <c r="M74" s="379"/>
      <c r="N74" s="380"/>
      <c r="O74" s="381"/>
      <c r="P74" s="382"/>
      <c r="Q74" s="383"/>
    </row>
    <row r="75" spans="1:17" ht="13.5" thickBot="1" x14ac:dyDescent="0.25">
      <c r="A75" s="387"/>
      <c r="B75" s="412"/>
      <c r="C75" s="388"/>
      <c r="D75" s="372"/>
      <c r="E75" s="253"/>
      <c r="F75" s="373"/>
      <c r="G75" s="374"/>
      <c r="H75" s="375"/>
      <c r="I75" s="373"/>
      <c r="J75" s="376"/>
      <c r="K75" s="302"/>
      <c r="L75" s="378"/>
      <c r="M75" s="379"/>
      <c r="N75" s="380"/>
      <c r="O75" s="381"/>
      <c r="P75" s="382"/>
      <c r="Q75" s="383"/>
    </row>
    <row r="76" spans="1:17" ht="13.5" thickTop="1" x14ac:dyDescent="0.2">
      <c r="A76" s="387"/>
      <c r="B76" s="412"/>
      <c r="C76" s="388"/>
      <c r="D76" s="372"/>
      <c r="E76" s="253"/>
      <c r="F76" s="373"/>
      <c r="G76" s="374"/>
      <c r="H76" s="375"/>
      <c r="I76" s="373"/>
      <c r="J76" s="389" t="s">
        <v>30</v>
      </c>
      <c r="K76" s="390">
        <f>SUM(K70:K75)</f>
        <v>8000</v>
      </c>
      <c r="L76" s="378"/>
      <c r="M76" s="379"/>
      <c r="N76" s="380"/>
      <c r="O76" s="381"/>
      <c r="P76" s="382"/>
      <c r="Q76" s="383"/>
    </row>
    <row r="77" spans="1:17" ht="13.5" thickBot="1" x14ac:dyDescent="0.25">
      <c r="A77" s="353" t="s">
        <v>0</v>
      </c>
      <c r="B77" s="354" t="s">
        <v>1</v>
      </c>
      <c r="C77" s="939" t="s">
        <v>656</v>
      </c>
      <c r="D77" s="939"/>
      <c r="E77" s="939"/>
      <c r="F77" s="939"/>
      <c r="G77" s="939" t="s">
        <v>34</v>
      </c>
      <c r="H77" s="939"/>
      <c r="I77" s="939"/>
      <c r="J77" s="355"/>
      <c r="K77" s="356"/>
      <c r="L77" s="391"/>
      <c r="M77" s="392"/>
      <c r="N77" s="393"/>
      <c r="O77" s="381"/>
      <c r="P77" s="382"/>
      <c r="Q77" s="383"/>
    </row>
    <row r="78" spans="1:17" ht="16.5" thickBot="1" x14ac:dyDescent="0.3">
      <c r="A78" s="394" t="s">
        <v>108</v>
      </c>
      <c r="B78" s="395" t="s">
        <v>109</v>
      </c>
      <c r="C78" s="396" t="s">
        <v>19</v>
      </c>
      <c r="D78" s="397" t="s">
        <v>33</v>
      </c>
      <c r="E78" s="398" t="s">
        <v>35</v>
      </c>
      <c r="F78" s="399" t="s">
        <v>30</v>
      </c>
      <c r="G78" s="400" t="s">
        <v>14</v>
      </c>
      <c r="H78" s="398" t="s">
        <v>35</v>
      </c>
      <c r="I78" s="399" t="s">
        <v>30</v>
      </c>
      <c r="J78" s="364" t="s">
        <v>659</v>
      </c>
      <c r="K78" s="401" t="s">
        <v>38</v>
      </c>
      <c r="L78" s="402"/>
      <c r="M78" s="403"/>
      <c r="N78" s="404"/>
      <c r="O78" s="381"/>
      <c r="P78" s="382"/>
      <c r="Q78" s="383"/>
    </row>
    <row r="79" spans="1:17" x14ac:dyDescent="0.2">
      <c r="A79" s="405" t="s">
        <v>866</v>
      </c>
      <c r="B79" s="406" t="s">
        <v>135</v>
      </c>
      <c r="C79" s="371"/>
      <c r="D79" s="372" t="s">
        <v>733</v>
      </c>
      <c r="E79" s="253">
        <v>0</v>
      </c>
      <c r="F79" s="373">
        <f t="shared" ref="F79:F85" si="6">C79*E79</f>
        <v>0</v>
      </c>
      <c r="G79" s="374"/>
      <c r="H79" s="375">
        <v>0</v>
      </c>
      <c r="I79" s="373">
        <f t="shared" ref="I79:I85" si="7">G79*H79</f>
        <v>0</v>
      </c>
      <c r="J79" s="376"/>
      <c r="K79" s="377">
        <f t="shared" ref="K79:K85" si="8">F79+I79+J79</f>
        <v>0</v>
      </c>
      <c r="L79" s="378"/>
      <c r="M79" s="379"/>
      <c r="N79" s="380"/>
      <c r="O79" s="381"/>
      <c r="P79" s="382"/>
      <c r="Q79" s="383"/>
    </row>
    <row r="80" spans="1:17" x14ac:dyDescent="0.2">
      <c r="A80" s="370" t="s">
        <v>867</v>
      </c>
      <c r="B80" s="5" t="s">
        <v>130</v>
      </c>
      <c r="C80" s="371">
        <f>J6</f>
        <v>60</v>
      </c>
      <c r="D80" s="372" t="s">
        <v>733</v>
      </c>
      <c r="E80" s="253">
        <v>250</v>
      </c>
      <c r="F80" s="373">
        <f t="shared" si="6"/>
        <v>15000</v>
      </c>
      <c r="G80" s="374"/>
      <c r="H80" s="375">
        <v>0</v>
      </c>
      <c r="I80" s="373">
        <f t="shared" si="7"/>
        <v>0</v>
      </c>
      <c r="J80" s="376"/>
      <c r="K80" s="377">
        <f t="shared" si="8"/>
        <v>15000</v>
      </c>
      <c r="L80" s="378" t="s">
        <v>1012</v>
      </c>
      <c r="M80" s="379">
        <v>16732.93</v>
      </c>
      <c r="N80" s="380"/>
      <c r="O80" s="381"/>
      <c r="P80" s="382"/>
      <c r="Q80" s="383"/>
    </row>
    <row r="81" spans="1:17" x14ac:dyDescent="0.2">
      <c r="A81" s="370" t="s">
        <v>868</v>
      </c>
      <c r="B81" s="5" t="s">
        <v>52</v>
      </c>
      <c r="C81" s="371"/>
      <c r="D81" s="372" t="s">
        <v>733</v>
      </c>
      <c r="E81" s="253">
        <v>0</v>
      </c>
      <c r="F81" s="373">
        <f t="shared" si="6"/>
        <v>0</v>
      </c>
      <c r="G81" s="374"/>
      <c r="H81" s="375">
        <v>0</v>
      </c>
      <c r="I81" s="373">
        <f t="shared" si="7"/>
        <v>0</v>
      </c>
      <c r="J81" s="376"/>
      <c r="K81" s="377">
        <f t="shared" si="8"/>
        <v>0</v>
      </c>
      <c r="L81" s="378"/>
      <c r="M81" s="379"/>
      <c r="N81" s="380"/>
      <c r="O81" s="381"/>
      <c r="P81" s="382"/>
      <c r="Q81" s="383"/>
    </row>
    <row r="82" spans="1:17" x14ac:dyDescent="0.2">
      <c r="A82" s="370" t="s">
        <v>869</v>
      </c>
      <c r="B82" s="5" t="s">
        <v>131</v>
      </c>
      <c r="C82" s="371"/>
      <c r="D82" s="372" t="s">
        <v>733</v>
      </c>
      <c r="E82" s="253">
        <v>0</v>
      </c>
      <c r="F82" s="373">
        <f t="shared" si="6"/>
        <v>0</v>
      </c>
      <c r="G82" s="374"/>
      <c r="H82" s="375">
        <v>0</v>
      </c>
      <c r="I82" s="373">
        <f t="shared" si="7"/>
        <v>0</v>
      </c>
      <c r="J82" s="376"/>
      <c r="K82" s="377">
        <f t="shared" si="8"/>
        <v>0</v>
      </c>
      <c r="L82" s="378"/>
      <c r="M82" s="379"/>
      <c r="N82" s="380"/>
      <c r="O82" s="381"/>
      <c r="P82" s="382"/>
      <c r="Q82" s="383"/>
    </row>
    <row r="83" spans="1:17" x14ac:dyDescent="0.2">
      <c r="A83" s="370" t="s">
        <v>870</v>
      </c>
      <c r="B83" s="5" t="s">
        <v>132</v>
      </c>
      <c r="C83" s="371"/>
      <c r="D83" s="372" t="s">
        <v>733</v>
      </c>
      <c r="E83" s="253">
        <v>0</v>
      </c>
      <c r="F83" s="373">
        <f t="shared" si="6"/>
        <v>0</v>
      </c>
      <c r="G83" s="374"/>
      <c r="H83" s="375">
        <v>0</v>
      </c>
      <c r="I83" s="373">
        <f t="shared" si="7"/>
        <v>0</v>
      </c>
      <c r="J83" s="376"/>
      <c r="K83" s="377">
        <f t="shared" si="8"/>
        <v>0</v>
      </c>
      <c r="L83" s="378"/>
      <c r="M83" s="379"/>
      <c r="N83" s="380"/>
      <c r="O83" s="381"/>
      <c r="P83" s="382"/>
      <c r="Q83" s="383"/>
    </row>
    <row r="84" spans="1:17" x14ac:dyDescent="0.2">
      <c r="A84" s="370" t="s">
        <v>871</v>
      </c>
      <c r="B84" s="5" t="s">
        <v>133</v>
      </c>
      <c r="C84" s="371"/>
      <c r="D84" s="372" t="s">
        <v>733</v>
      </c>
      <c r="E84" s="253">
        <v>0</v>
      </c>
      <c r="F84" s="373">
        <f t="shared" si="6"/>
        <v>0</v>
      </c>
      <c r="G84" s="374"/>
      <c r="H84" s="375">
        <v>0</v>
      </c>
      <c r="I84" s="373">
        <f t="shared" si="7"/>
        <v>0</v>
      </c>
      <c r="J84" s="376"/>
      <c r="K84" s="377">
        <f t="shared" si="8"/>
        <v>0</v>
      </c>
      <c r="L84" s="378"/>
      <c r="M84" s="379"/>
      <c r="N84" s="380"/>
      <c r="O84" s="381"/>
      <c r="P84" s="382"/>
      <c r="Q84" s="383"/>
    </row>
    <row r="85" spans="1:17" x14ac:dyDescent="0.2">
      <c r="A85" s="370" t="s">
        <v>872</v>
      </c>
      <c r="B85" s="5" t="s">
        <v>134</v>
      </c>
      <c r="C85" s="371"/>
      <c r="D85" s="372" t="s">
        <v>733</v>
      </c>
      <c r="E85" s="253">
        <v>0</v>
      </c>
      <c r="F85" s="373">
        <f t="shared" si="6"/>
        <v>0</v>
      </c>
      <c r="G85" s="374"/>
      <c r="H85" s="375">
        <v>0</v>
      </c>
      <c r="I85" s="373">
        <f t="shared" si="7"/>
        <v>0</v>
      </c>
      <c r="J85" s="376"/>
      <c r="K85" s="377">
        <f t="shared" si="8"/>
        <v>0</v>
      </c>
      <c r="L85" s="378"/>
      <c r="M85" s="379"/>
      <c r="N85" s="380"/>
      <c r="O85" s="381"/>
      <c r="P85" s="382"/>
      <c r="Q85" s="383"/>
    </row>
    <row r="86" spans="1:17" ht="13.5" thickBot="1" x14ac:dyDescent="0.25">
      <c r="A86" s="387"/>
      <c r="B86" s="5"/>
      <c r="C86" s="388"/>
      <c r="D86" s="372"/>
      <c r="E86" s="253"/>
      <c r="F86" s="373"/>
      <c r="G86" s="374"/>
      <c r="H86" s="375"/>
      <c r="I86" s="373"/>
      <c r="J86" s="376"/>
      <c r="K86" s="809"/>
      <c r="L86" s="157"/>
      <c r="M86" s="157"/>
      <c r="O86" s="381"/>
      <c r="P86" s="382"/>
      <c r="Q86" s="383"/>
    </row>
    <row r="87" spans="1:17" ht="13.5" thickTop="1" x14ac:dyDescent="0.2">
      <c r="A87" s="387"/>
      <c r="B87" s="412"/>
      <c r="C87" s="388"/>
      <c r="D87" s="372"/>
      <c r="E87" s="253"/>
      <c r="F87" s="373"/>
      <c r="G87" s="374"/>
      <c r="H87" s="375"/>
      <c r="I87" s="373"/>
      <c r="J87" s="389" t="s">
        <v>30</v>
      </c>
      <c r="K87" s="810">
        <f>SUM(K79:K86)</f>
        <v>15000</v>
      </c>
      <c r="L87" s="157"/>
      <c r="M87" s="157"/>
      <c r="O87" s="381"/>
      <c r="P87" s="382"/>
      <c r="Q87" s="383"/>
    </row>
    <row r="88" spans="1:17" ht="13.5" thickBot="1" x14ac:dyDescent="0.25">
      <c r="A88" s="353" t="s">
        <v>0</v>
      </c>
      <c r="B88" s="354" t="s">
        <v>1</v>
      </c>
      <c r="C88" s="939" t="s">
        <v>656</v>
      </c>
      <c r="D88" s="939"/>
      <c r="E88" s="939"/>
      <c r="F88" s="939"/>
      <c r="G88" s="939" t="s">
        <v>34</v>
      </c>
      <c r="H88" s="939"/>
      <c r="I88" s="939"/>
      <c r="J88" s="355"/>
      <c r="K88" s="356"/>
      <c r="L88" s="391"/>
      <c r="M88" s="392"/>
      <c r="N88" s="393"/>
      <c r="O88" s="381"/>
      <c r="P88" s="382"/>
      <c r="Q88" s="383"/>
    </row>
    <row r="89" spans="1:17" ht="16.5" thickBot="1" x14ac:dyDescent="0.3">
      <c r="A89" s="394" t="s">
        <v>111</v>
      </c>
      <c r="B89" s="395" t="s">
        <v>110</v>
      </c>
      <c r="C89" s="396" t="s">
        <v>19</v>
      </c>
      <c r="D89" s="397" t="s">
        <v>33</v>
      </c>
      <c r="E89" s="398" t="s">
        <v>35</v>
      </c>
      <c r="F89" s="399" t="s">
        <v>30</v>
      </c>
      <c r="G89" s="400" t="s">
        <v>14</v>
      </c>
      <c r="H89" s="398" t="s">
        <v>35</v>
      </c>
      <c r="I89" s="399" t="s">
        <v>30</v>
      </c>
      <c r="J89" s="364" t="s">
        <v>659</v>
      </c>
      <c r="K89" s="401" t="s">
        <v>38</v>
      </c>
      <c r="L89" s="402"/>
      <c r="M89" s="403"/>
      <c r="N89" s="404"/>
      <c r="O89" s="381"/>
      <c r="P89" s="382"/>
      <c r="Q89" s="383"/>
    </row>
    <row r="90" spans="1:17" ht="13.5" thickBot="1" x14ac:dyDescent="0.25">
      <c r="A90" s="405" t="s">
        <v>861</v>
      </c>
      <c r="B90" s="406" t="s">
        <v>147</v>
      </c>
      <c r="C90" s="371">
        <f>J6/4</f>
        <v>15</v>
      </c>
      <c r="D90" s="372" t="s">
        <v>736</v>
      </c>
      <c r="E90" s="253">
        <v>825</v>
      </c>
      <c r="F90" s="373">
        <f t="shared" ref="F90:F95" si="9">C90*E90</f>
        <v>12375</v>
      </c>
      <c r="G90" s="374"/>
      <c r="H90" s="375">
        <v>0</v>
      </c>
      <c r="I90" s="373">
        <f>G90*H90</f>
        <v>0</v>
      </c>
      <c r="J90" s="376"/>
      <c r="K90" s="377">
        <f t="shared" ref="K90:K95" si="10">F90+I90+J90</f>
        <v>12375</v>
      </c>
      <c r="L90" s="378"/>
      <c r="M90" s="379"/>
      <c r="N90" s="380"/>
      <c r="O90" s="381"/>
      <c r="P90" s="382"/>
      <c r="Q90" s="383"/>
    </row>
    <row r="91" spans="1:17" x14ac:dyDescent="0.2">
      <c r="A91" s="405" t="s">
        <v>861</v>
      </c>
      <c r="B91" s="5" t="s">
        <v>984</v>
      </c>
      <c r="C91" s="371">
        <v>1</v>
      </c>
      <c r="D91" s="372" t="s">
        <v>734</v>
      </c>
      <c r="E91" s="253">
        <v>1840</v>
      </c>
      <c r="F91" s="373">
        <f t="shared" si="9"/>
        <v>1840</v>
      </c>
      <c r="G91" s="374"/>
      <c r="H91" s="375"/>
      <c r="I91" s="373"/>
      <c r="J91" s="376"/>
      <c r="K91" s="377">
        <f t="shared" si="10"/>
        <v>1840</v>
      </c>
      <c r="L91" s="378"/>
      <c r="M91" s="379"/>
      <c r="N91" s="380"/>
      <c r="O91" s="381"/>
      <c r="P91" s="382"/>
      <c r="Q91" s="383"/>
    </row>
    <row r="92" spans="1:17" x14ac:dyDescent="0.2">
      <c r="A92" s="370" t="s">
        <v>862</v>
      </c>
      <c r="B92" s="5" t="s">
        <v>136</v>
      </c>
      <c r="C92" s="371">
        <f>J6*4</f>
        <v>240</v>
      </c>
      <c r="D92" s="372" t="s">
        <v>733</v>
      </c>
      <c r="E92" s="253">
        <v>50</v>
      </c>
      <c r="F92" s="373">
        <f t="shared" si="9"/>
        <v>12000</v>
      </c>
      <c r="G92" s="374"/>
      <c r="H92" s="375">
        <v>0</v>
      </c>
      <c r="I92" s="373">
        <f>G92*H92</f>
        <v>0</v>
      </c>
      <c r="J92" s="376"/>
      <c r="K92" s="377">
        <f t="shared" si="10"/>
        <v>12000</v>
      </c>
      <c r="L92" s="378" t="s">
        <v>1012</v>
      </c>
      <c r="M92" s="379">
        <v>32020</v>
      </c>
      <c r="N92" s="380"/>
      <c r="O92" s="381"/>
      <c r="P92" s="382"/>
      <c r="Q92" s="383"/>
    </row>
    <row r="93" spans="1:17" x14ac:dyDescent="0.2">
      <c r="A93" s="370" t="s">
        <v>863</v>
      </c>
      <c r="B93" s="5" t="s">
        <v>148</v>
      </c>
      <c r="C93" s="439">
        <f>SUM('Estimate Summary'!H17:H61)/1000</f>
        <v>10005.598009340378</v>
      </c>
      <c r="D93" s="372" t="s">
        <v>20</v>
      </c>
      <c r="E93" s="253">
        <v>0.55000000000000004</v>
      </c>
      <c r="F93" s="373">
        <f t="shared" si="9"/>
        <v>5503.0789051372085</v>
      </c>
      <c r="G93" s="374"/>
      <c r="H93" s="375">
        <v>0</v>
      </c>
      <c r="I93" s="373">
        <f>G93*H93</f>
        <v>0</v>
      </c>
      <c r="J93" s="376"/>
      <c r="K93" s="377">
        <f t="shared" si="10"/>
        <v>5503.0789051372085</v>
      </c>
      <c r="L93" s="378"/>
      <c r="M93" s="379"/>
      <c r="N93" s="380"/>
      <c r="O93" s="381"/>
      <c r="P93" s="382"/>
      <c r="Q93" s="383"/>
    </row>
    <row r="94" spans="1:17" x14ac:dyDescent="0.2">
      <c r="A94" s="370" t="s">
        <v>864</v>
      </c>
      <c r="B94" s="5" t="s">
        <v>149</v>
      </c>
      <c r="C94" s="371">
        <f>J6/2</f>
        <v>30</v>
      </c>
      <c r="D94" s="372" t="s">
        <v>733</v>
      </c>
      <c r="E94" s="253">
        <v>125</v>
      </c>
      <c r="F94" s="373">
        <f t="shared" si="9"/>
        <v>3750</v>
      </c>
      <c r="G94" s="374"/>
      <c r="H94" s="375">
        <v>0</v>
      </c>
      <c r="I94" s="373">
        <f>G94*H94</f>
        <v>0</v>
      </c>
      <c r="J94" s="376"/>
      <c r="K94" s="811">
        <f t="shared" si="10"/>
        <v>3750</v>
      </c>
      <c r="L94" s="157"/>
      <c r="M94" s="157"/>
      <c r="O94" s="381"/>
      <c r="P94" s="382"/>
      <c r="Q94" s="383"/>
    </row>
    <row r="95" spans="1:17" x14ac:dyDescent="0.2">
      <c r="A95" s="370" t="s">
        <v>865</v>
      </c>
      <c r="B95" s="5" t="s">
        <v>18</v>
      </c>
      <c r="C95" s="371"/>
      <c r="D95" s="372" t="s">
        <v>734</v>
      </c>
      <c r="E95" s="253">
        <v>200</v>
      </c>
      <c r="F95" s="373">
        <f t="shared" si="9"/>
        <v>0</v>
      </c>
      <c r="G95" s="374"/>
      <c r="H95" s="375">
        <v>0</v>
      </c>
      <c r="I95" s="373">
        <f>G95*H95</f>
        <v>0</v>
      </c>
      <c r="J95" s="376"/>
      <c r="K95" s="811">
        <f t="shared" si="10"/>
        <v>0</v>
      </c>
      <c r="L95" s="157"/>
      <c r="M95" s="157"/>
      <c r="O95" s="381"/>
      <c r="P95" s="382"/>
      <c r="Q95" s="383"/>
    </row>
    <row r="96" spans="1:17" ht="13.5" thickBot="1" x14ac:dyDescent="0.25">
      <c r="A96" s="387"/>
      <c r="B96" s="5"/>
      <c r="C96" s="388"/>
      <c r="D96" s="372"/>
      <c r="E96" s="253"/>
      <c r="F96" s="373"/>
      <c r="G96" s="374"/>
      <c r="H96" s="375"/>
      <c r="I96" s="373"/>
      <c r="J96" s="376"/>
      <c r="K96" s="812"/>
      <c r="L96" s="466"/>
      <c r="M96" s="379"/>
      <c r="N96" s="380"/>
      <c r="O96" s="381"/>
      <c r="P96" s="382"/>
      <c r="Q96" s="383"/>
    </row>
    <row r="97" spans="1:17" ht="13.5" thickTop="1" x14ac:dyDescent="0.2">
      <c r="A97" s="387"/>
      <c r="B97" s="412"/>
      <c r="C97" s="388"/>
      <c r="D97" s="372"/>
      <c r="E97" s="253"/>
      <c r="F97" s="373"/>
      <c r="G97" s="374"/>
      <c r="H97" s="375"/>
      <c r="I97" s="373"/>
      <c r="J97" s="389" t="s">
        <v>30</v>
      </c>
      <c r="K97" s="390">
        <f>SUM(K90:K96)</f>
        <v>35468.078905137212</v>
      </c>
      <c r="L97" s="378"/>
      <c r="M97" s="379"/>
      <c r="N97" s="380"/>
      <c r="O97" s="381"/>
      <c r="P97" s="382"/>
      <c r="Q97" s="383"/>
    </row>
    <row r="98" spans="1:17" ht="13.5" thickBot="1" x14ac:dyDescent="0.25">
      <c r="A98" s="353" t="s">
        <v>0</v>
      </c>
      <c r="B98" s="354" t="s">
        <v>1</v>
      </c>
      <c r="C98" s="939" t="s">
        <v>656</v>
      </c>
      <c r="D98" s="939"/>
      <c r="E98" s="939"/>
      <c r="F98" s="939"/>
      <c r="G98" s="939" t="s">
        <v>34</v>
      </c>
      <c r="H98" s="939"/>
      <c r="I98" s="939"/>
      <c r="J98" s="355"/>
      <c r="K98" s="356"/>
      <c r="L98" s="391"/>
      <c r="M98" s="392"/>
      <c r="N98" s="393"/>
      <c r="O98" s="381"/>
      <c r="P98" s="382"/>
      <c r="Q98" s="383"/>
    </row>
    <row r="99" spans="1:17" ht="16.5" thickBot="1" x14ac:dyDescent="0.3">
      <c r="A99" s="394" t="s">
        <v>112</v>
      </c>
      <c r="B99" s="395" t="s">
        <v>113</v>
      </c>
      <c r="C99" s="396" t="s">
        <v>19</v>
      </c>
      <c r="D99" s="397" t="s">
        <v>33</v>
      </c>
      <c r="E99" s="398" t="s">
        <v>35</v>
      </c>
      <c r="F99" s="399" t="s">
        <v>30</v>
      </c>
      <c r="G99" s="400" t="s">
        <v>14</v>
      </c>
      <c r="H99" s="398" t="s">
        <v>35</v>
      </c>
      <c r="I99" s="399" t="s">
        <v>30</v>
      </c>
      <c r="J99" s="364" t="s">
        <v>659</v>
      </c>
      <c r="K99" s="401" t="s">
        <v>38</v>
      </c>
      <c r="L99" s="402"/>
      <c r="M99" s="403"/>
      <c r="N99" s="404"/>
      <c r="O99" s="381"/>
      <c r="P99" s="382"/>
      <c r="Q99" s="383"/>
    </row>
    <row r="100" spans="1:17" x14ac:dyDescent="0.2">
      <c r="A100" s="405" t="s">
        <v>858</v>
      </c>
      <c r="B100" s="406" t="s">
        <v>75</v>
      </c>
      <c r="C100" s="371">
        <v>1</v>
      </c>
      <c r="D100" s="372" t="s">
        <v>21</v>
      </c>
      <c r="E100" s="253">
        <v>30000</v>
      </c>
      <c r="F100" s="373">
        <f>C100*E100</f>
        <v>30000</v>
      </c>
      <c r="G100" s="374"/>
      <c r="H100" s="375">
        <v>0</v>
      </c>
      <c r="I100" s="373">
        <f>G100*H100</f>
        <v>0</v>
      </c>
      <c r="J100" s="376"/>
      <c r="K100" s="377">
        <f>F100+I100+J100</f>
        <v>30000</v>
      </c>
      <c r="L100" s="378" t="s">
        <v>1012</v>
      </c>
      <c r="M100" s="379">
        <v>30000</v>
      </c>
      <c r="N100" s="380"/>
      <c r="O100" s="381"/>
      <c r="P100" s="382"/>
      <c r="Q100" s="383"/>
    </row>
    <row r="101" spans="1:17" x14ac:dyDescent="0.2">
      <c r="A101" s="370" t="s">
        <v>859</v>
      </c>
      <c r="B101" s="5" t="s">
        <v>929</v>
      </c>
      <c r="C101" s="371">
        <f>J6/4</f>
        <v>15</v>
      </c>
      <c r="D101" s="372" t="s">
        <v>21</v>
      </c>
      <c r="E101" s="253">
        <v>10000</v>
      </c>
      <c r="F101" s="373">
        <f>C101*E101</f>
        <v>150000</v>
      </c>
      <c r="G101" s="374"/>
      <c r="H101" s="375">
        <v>0</v>
      </c>
      <c r="I101" s="373">
        <f>G101*H101</f>
        <v>0</v>
      </c>
      <c r="J101" s="376"/>
      <c r="K101" s="377">
        <f>F101+I101+J101</f>
        <v>150000</v>
      </c>
      <c r="L101" s="378"/>
      <c r="M101" s="379"/>
      <c r="N101" s="380"/>
      <c r="O101" s="381"/>
      <c r="P101" s="382"/>
      <c r="Q101" s="383"/>
    </row>
    <row r="102" spans="1:17" x14ac:dyDescent="0.2">
      <c r="A102" s="370" t="s">
        <v>860</v>
      </c>
      <c r="B102" s="5" t="s">
        <v>53</v>
      </c>
      <c r="C102" s="371">
        <f>'Estimate Summary'!E62</f>
        <v>0</v>
      </c>
      <c r="D102" s="372" t="s">
        <v>735</v>
      </c>
      <c r="E102" s="253">
        <v>0</v>
      </c>
      <c r="F102" s="373">
        <f>C102*E102</f>
        <v>0</v>
      </c>
      <c r="G102" s="374"/>
      <c r="H102" s="375">
        <v>0</v>
      </c>
      <c r="I102" s="373">
        <f>G102*H102</f>
        <v>0</v>
      </c>
      <c r="J102" s="376"/>
      <c r="K102" s="377">
        <f>F102+I102+J102</f>
        <v>0</v>
      </c>
      <c r="L102" s="378" t="s">
        <v>1012</v>
      </c>
      <c r="M102" s="379">
        <f>29784+97825</f>
        <v>127609</v>
      </c>
      <c r="N102" s="380"/>
      <c r="O102" s="381"/>
      <c r="P102" s="382"/>
      <c r="Q102" s="383"/>
    </row>
    <row r="103" spans="1:17" x14ac:dyDescent="0.2">
      <c r="A103" s="370" t="s">
        <v>978</v>
      </c>
      <c r="B103" s="5" t="s">
        <v>979</v>
      </c>
      <c r="C103" s="439">
        <f>SUM('Estimate Summary'!H17:H63)/1000</f>
        <v>10005.598009340378</v>
      </c>
      <c r="D103" s="416" t="s">
        <v>845</v>
      </c>
      <c r="E103" s="253">
        <v>2.33</v>
      </c>
      <c r="F103" s="373">
        <f>C103*E103</f>
        <v>23313.043361763081</v>
      </c>
      <c r="G103" s="374"/>
      <c r="H103" s="375">
        <v>0</v>
      </c>
      <c r="I103" s="373">
        <f>G103*H103</f>
        <v>0</v>
      </c>
      <c r="J103" s="376"/>
      <c r="K103" s="377">
        <f>F103+I103+J103</f>
        <v>23313.043361763081</v>
      </c>
      <c r="L103" s="378"/>
      <c r="M103" s="379"/>
      <c r="N103" s="380"/>
      <c r="O103" s="381"/>
      <c r="P103" s="382"/>
      <c r="Q103" s="383"/>
    </row>
    <row r="104" spans="1:17" ht="13.5" thickBot="1" x14ac:dyDescent="0.25">
      <c r="A104" s="387"/>
      <c r="B104" s="5"/>
      <c r="C104" s="388"/>
      <c r="D104" s="372"/>
      <c r="E104" s="253"/>
      <c r="F104" s="373"/>
      <c r="G104" s="374"/>
      <c r="H104" s="375"/>
      <c r="I104" s="373"/>
      <c r="J104" s="376"/>
      <c r="K104" s="302"/>
      <c r="L104" s="378"/>
      <c r="M104" s="379"/>
      <c r="N104" s="380"/>
      <c r="O104" s="381"/>
      <c r="P104" s="382"/>
      <c r="Q104" s="383"/>
    </row>
    <row r="105" spans="1:17" ht="17.100000000000001" customHeight="1" thickTop="1" x14ac:dyDescent="0.2">
      <c r="A105" s="387"/>
      <c r="C105" s="388"/>
      <c r="D105" s="372"/>
      <c r="E105" s="253"/>
      <c r="F105" s="373"/>
      <c r="G105" s="374"/>
      <c r="H105" s="375"/>
      <c r="I105" s="373"/>
      <c r="J105" s="389" t="s">
        <v>30</v>
      </c>
      <c r="K105" s="390">
        <f>SUM(K100:K104)</f>
        <v>203313.04336176309</v>
      </c>
      <c r="L105" s="378"/>
      <c r="M105" s="379"/>
      <c r="N105" s="380"/>
      <c r="O105" s="381"/>
      <c r="P105" s="382"/>
      <c r="Q105" s="383"/>
    </row>
    <row r="106" spans="1:17" ht="13.5" thickBot="1" x14ac:dyDescent="0.25">
      <c r="A106" s="353" t="s">
        <v>0</v>
      </c>
      <c r="B106" s="354" t="s">
        <v>1</v>
      </c>
      <c r="C106" s="939" t="s">
        <v>656</v>
      </c>
      <c r="D106" s="939"/>
      <c r="E106" s="939"/>
      <c r="F106" s="939"/>
      <c r="G106" s="939" t="s">
        <v>34</v>
      </c>
      <c r="H106" s="939"/>
      <c r="I106" s="939"/>
      <c r="J106" s="355"/>
      <c r="K106" s="356"/>
      <c r="L106" s="391"/>
      <c r="M106" s="392"/>
      <c r="N106" s="393"/>
      <c r="O106" s="381"/>
      <c r="P106" s="382"/>
      <c r="Q106" s="383"/>
    </row>
    <row r="107" spans="1:17" ht="16.5" thickBot="1" x14ac:dyDescent="0.3">
      <c r="A107" s="394" t="s">
        <v>817</v>
      </c>
      <c r="B107" s="395" t="s">
        <v>758</v>
      </c>
      <c r="C107" s="396" t="s">
        <v>19</v>
      </c>
      <c r="D107" s="397" t="s">
        <v>33</v>
      </c>
      <c r="E107" s="398" t="s">
        <v>35</v>
      </c>
      <c r="F107" s="399" t="s">
        <v>30</v>
      </c>
      <c r="G107" s="400" t="s">
        <v>14</v>
      </c>
      <c r="H107" s="398" t="s">
        <v>35</v>
      </c>
      <c r="I107" s="399" t="s">
        <v>30</v>
      </c>
      <c r="J107" s="364" t="s">
        <v>659</v>
      </c>
      <c r="K107" s="401" t="s">
        <v>38</v>
      </c>
      <c r="L107" s="402"/>
      <c r="M107" s="403"/>
      <c r="N107" s="404"/>
      <c r="O107" s="381"/>
      <c r="P107" s="382"/>
      <c r="Q107" s="383"/>
    </row>
    <row r="108" spans="1:17" x14ac:dyDescent="0.2">
      <c r="A108" s="405"/>
      <c r="B108" s="406"/>
      <c r="C108" s="371"/>
      <c r="D108" s="372"/>
      <c r="E108" s="253"/>
      <c r="F108" s="373"/>
      <c r="G108" s="374"/>
      <c r="H108" s="375"/>
      <c r="I108" s="373"/>
      <c r="J108" s="376"/>
      <c r="K108" s="377"/>
      <c r="L108" s="378"/>
      <c r="M108" s="379"/>
      <c r="N108" s="380"/>
      <c r="O108" s="381"/>
      <c r="P108" s="382"/>
      <c r="Q108" s="383"/>
    </row>
    <row r="109" spans="1:17" x14ac:dyDescent="0.2">
      <c r="A109" s="370" t="s">
        <v>851</v>
      </c>
      <c r="B109" s="157" t="s">
        <v>758</v>
      </c>
      <c r="C109" s="371">
        <v>5</v>
      </c>
      <c r="D109" s="440" t="s">
        <v>763</v>
      </c>
      <c r="E109" s="441">
        <v>15000</v>
      </c>
      <c r="F109" s="373">
        <f t="shared" ref="F109:F114" si="11">C109*E109</f>
        <v>75000</v>
      </c>
      <c r="G109" s="374"/>
      <c r="H109" s="375"/>
      <c r="I109" s="373"/>
      <c r="J109" s="376"/>
      <c r="K109" s="377">
        <f>F109</f>
        <v>75000</v>
      </c>
      <c r="L109" s="378" t="s">
        <v>1012</v>
      </c>
      <c r="M109" s="379">
        <v>72459.759999999995</v>
      </c>
      <c r="N109" s="380"/>
      <c r="O109" s="381"/>
      <c r="P109" s="382"/>
      <c r="Q109" s="383"/>
    </row>
    <row r="110" spans="1:17" x14ac:dyDescent="0.2">
      <c r="A110" s="370" t="s">
        <v>852</v>
      </c>
      <c r="B110" s="157" t="s">
        <v>765</v>
      </c>
      <c r="C110" s="371"/>
      <c r="D110" s="440" t="s">
        <v>753</v>
      </c>
      <c r="E110" s="441">
        <v>73</v>
      </c>
      <c r="F110" s="373">
        <f t="shared" si="11"/>
        <v>0</v>
      </c>
      <c r="G110" s="374"/>
      <c r="H110" s="375"/>
      <c r="I110" s="373"/>
      <c r="J110" s="376"/>
      <c r="K110" s="811">
        <f t="shared" ref="K110:K114" si="12">F110</f>
        <v>0</v>
      </c>
      <c r="L110" s="157"/>
      <c r="M110" s="157"/>
      <c r="O110" s="381"/>
      <c r="P110" s="382"/>
      <c r="Q110" s="383"/>
    </row>
    <row r="111" spans="1:17" x14ac:dyDescent="0.2">
      <c r="A111" s="370" t="s">
        <v>853</v>
      </c>
      <c r="B111" s="157" t="s">
        <v>766</v>
      </c>
      <c r="C111" s="371"/>
      <c r="D111" s="440" t="s">
        <v>763</v>
      </c>
      <c r="E111" s="441">
        <v>355</v>
      </c>
      <c r="F111" s="373">
        <f t="shared" si="11"/>
        <v>0</v>
      </c>
      <c r="G111" s="374"/>
      <c r="H111" s="375"/>
      <c r="I111" s="373"/>
      <c r="J111" s="376"/>
      <c r="K111" s="811">
        <f t="shared" si="12"/>
        <v>0</v>
      </c>
      <c r="L111" s="157"/>
      <c r="M111" s="157"/>
      <c r="O111" s="381"/>
      <c r="P111" s="382"/>
      <c r="Q111" s="383"/>
    </row>
    <row r="112" spans="1:17" x14ac:dyDescent="0.2">
      <c r="A112" s="370" t="s">
        <v>854</v>
      </c>
      <c r="B112" s="157" t="s">
        <v>767</v>
      </c>
      <c r="C112" s="371"/>
      <c r="D112" s="440" t="s">
        <v>763</v>
      </c>
      <c r="E112" s="441">
        <v>609</v>
      </c>
      <c r="F112" s="373">
        <f t="shared" si="11"/>
        <v>0</v>
      </c>
      <c r="G112" s="374"/>
      <c r="H112" s="375"/>
      <c r="I112" s="373"/>
      <c r="J112" s="376"/>
      <c r="K112" s="377">
        <f t="shared" si="12"/>
        <v>0</v>
      </c>
      <c r="L112" s="378"/>
      <c r="M112" s="379"/>
      <c r="N112" s="380"/>
      <c r="O112" s="381"/>
      <c r="P112" s="382"/>
      <c r="Q112" s="383"/>
    </row>
    <row r="113" spans="1:17" x14ac:dyDescent="0.2">
      <c r="A113" s="370" t="s">
        <v>855</v>
      </c>
      <c r="B113" s="157" t="s">
        <v>772</v>
      </c>
      <c r="C113" s="371"/>
      <c r="D113" s="372" t="s">
        <v>753</v>
      </c>
      <c r="E113" s="441">
        <v>98</v>
      </c>
      <c r="F113" s="373">
        <f t="shared" si="11"/>
        <v>0</v>
      </c>
      <c r="G113" s="374"/>
      <c r="H113" s="375"/>
      <c r="I113" s="373"/>
      <c r="J113" s="376"/>
      <c r="K113" s="377">
        <f t="shared" si="12"/>
        <v>0</v>
      </c>
      <c r="L113" s="378"/>
      <c r="M113" s="379"/>
      <c r="N113" s="380"/>
      <c r="O113" s="381"/>
      <c r="P113" s="382"/>
      <c r="Q113" s="383"/>
    </row>
    <row r="114" spans="1:17" ht="13.5" thickBot="1" x14ac:dyDescent="0.25">
      <c r="A114" s="370" t="s">
        <v>856</v>
      </c>
      <c r="B114" s="157" t="s">
        <v>773</v>
      </c>
      <c r="C114" s="371"/>
      <c r="D114" s="372" t="s">
        <v>753</v>
      </c>
      <c r="E114" s="441">
        <v>98</v>
      </c>
      <c r="F114" s="373">
        <f t="shared" si="11"/>
        <v>0</v>
      </c>
      <c r="G114" s="374"/>
      <c r="H114" s="375"/>
      <c r="I114" s="373"/>
      <c r="J114" s="376"/>
      <c r="K114" s="377">
        <f t="shared" si="12"/>
        <v>0</v>
      </c>
      <c r="L114" s="378"/>
      <c r="M114" s="379"/>
      <c r="N114" s="380"/>
      <c r="O114" s="381"/>
      <c r="P114" s="382"/>
      <c r="Q114" s="383"/>
    </row>
    <row r="115" spans="1:17" x14ac:dyDescent="0.2">
      <c r="A115" s="442"/>
      <c r="B115" s="443" t="s">
        <v>818</v>
      </c>
      <c r="C115" s="444"/>
      <c r="D115" s="444"/>
      <c r="E115" s="444"/>
      <c r="F115" s="445"/>
      <c r="G115" s="446"/>
      <c r="H115" s="375"/>
      <c r="I115" s="373"/>
      <c r="J115" s="376"/>
      <c r="K115" s="377"/>
      <c r="L115" s="378"/>
      <c r="M115" s="379"/>
      <c r="N115" s="380"/>
      <c r="O115" s="381"/>
      <c r="P115" s="382"/>
      <c r="Q115" s="383"/>
    </row>
    <row r="116" spans="1:17" ht="45" x14ac:dyDescent="0.25">
      <c r="A116" s="442"/>
      <c r="C116" s="157" t="s">
        <v>819</v>
      </c>
      <c r="D116" s="157" t="s">
        <v>820</v>
      </c>
      <c r="E116" s="447" t="s">
        <v>823</v>
      </c>
      <c r="F116" s="157" t="s">
        <v>821</v>
      </c>
      <c r="G116" s="448" t="s">
        <v>822</v>
      </c>
      <c r="H116" s="375"/>
      <c r="I116" s="373"/>
      <c r="J116" s="376"/>
      <c r="K116" s="377"/>
      <c r="L116" s="378"/>
      <c r="M116" s="379"/>
      <c r="N116" s="380"/>
      <c r="O116" s="381"/>
      <c r="P116" s="382"/>
      <c r="Q116" s="383"/>
    </row>
    <row r="117" spans="1:17" ht="15" x14ac:dyDescent="0.25">
      <c r="A117" s="442"/>
      <c r="C117" s="157">
        <v>90</v>
      </c>
      <c r="D117" s="157">
        <v>6</v>
      </c>
      <c r="E117" s="449">
        <v>24</v>
      </c>
      <c r="F117" s="157">
        <f>D117*E117</f>
        <v>144</v>
      </c>
      <c r="G117" s="450">
        <v>0</v>
      </c>
      <c r="H117" s="375"/>
      <c r="I117" s="373"/>
      <c r="J117" s="376"/>
      <c r="K117" s="377"/>
      <c r="L117" s="378"/>
      <c r="M117" s="379"/>
      <c r="N117" s="380"/>
      <c r="O117" s="381"/>
      <c r="P117" s="382"/>
      <c r="Q117" s="383"/>
    </row>
    <row r="118" spans="1:17" ht="15.75" thickBot="1" x14ac:dyDescent="0.3">
      <c r="A118" s="442" t="s">
        <v>857</v>
      </c>
      <c r="B118" s="451" t="s">
        <v>770</v>
      </c>
      <c r="C118" s="452">
        <f>F117*G117</f>
        <v>0</v>
      </c>
      <c r="D118" s="453" t="s">
        <v>759</v>
      </c>
      <c r="E118" s="454">
        <v>1.3</v>
      </c>
      <c r="F118" s="455">
        <f>C118*E118</f>
        <v>0</v>
      </c>
      <c r="G118" s="456"/>
      <c r="H118" s="375"/>
      <c r="I118" s="373"/>
      <c r="J118" s="376"/>
      <c r="K118" s="811">
        <f>F118</f>
        <v>0</v>
      </c>
      <c r="L118" s="157"/>
      <c r="M118" s="157"/>
      <c r="O118" s="381"/>
      <c r="P118" s="382"/>
      <c r="Q118" s="383"/>
    </row>
    <row r="119" spans="1:17" ht="13.5" thickBot="1" x14ac:dyDescent="0.25">
      <c r="A119" s="387"/>
      <c r="B119" s="5"/>
      <c r="C119" s="388"/>
      <c r="D119" s="372"/>
      <c r="E119" s="253"/>
      <c r="F119" s="373"/>
      <c r="G119" s="374"/>
      <c r="H119" s="375"/>
      <c r="I119" s="373"/>
      <c r="J119" s="376"/>
      <c r="K119" s="812"/>
      <c r="L119" s="157"/>
      <c r="M119" s="157"/>
      <c r="O119" s="381"/>
      <c r="P119" s="382"/>
      <c r="Q119" s="383"/>
    </row>
    <row r="120" spans="1:17" ht="13.5" thickTop="1" x14ac:dyDescent="0.2">
      <c r="A120" s="387"/>
      <c r="B120" s="412"/>
      <c r="C120" s="388"/>
      <c r="D120" s="372"/>
      <c r="E120" s="253"/>
      <c r="F120" s="373"/>
      <c r="G120" s="374"/>
      <c r="H120" s="375"/>
      <c r="I120" s="373"/>
      <c r="J120" s="389" t="s">
        <v>30</v>
      </c>
      <c r="K120" s="390">
        <f>SUM(K108:K119)</f>
        <v>75000</v>
      </c>
      <c r="L120" s="378"/>
      <c r="M120" s="379"/>
      <c r="N120" s="380"/>
      <c r="O120" s="381"/>
      <c r="P120" s="382"/>
      <c r="Q120" s="383"/>
    </row>
    <row r="121" spans="1:17" ht="13.5" thickBot="1" x14ac:dyDescent="0.25">
      <c r="A121" s="353" t="s">
        <v>0</v>
      </c>
      <c r="B121" s="354" t="s">
        <v>1</v>
      </c>
      <c r="C121" s="939" t="s">
        <v>656</v>
      </c>
      <c r="D121" s="939"/>
      <c r="E121" s="939"/>
      <c r="F121" s="939"/>
      <c r="G121" s="939" t="s">
        <v>34</v>
      </c>
      <c r="H121" s="939"/>
      <c r="I121" s="939"/>
      <c r="J121" s="355"/>
      <c r="K121" s="356"/>
      <c r="L121" s="391"/>
      <c r="M121" s="392"/>
      <c r="N121" s="393"/>
      <c r="O121" s="381"/>
      <c r="P121" s="382"/>
      <c r="Q121" s="383"/>
    </row>
    <row r="122" spans="1:17" ht="16.5" thickBot="1" x14ac:dyDescent="0.3">
      <c r="A122" s="394" t="s">
        <v>114</v>
      </c>
      <c r="B122" s="395" t="s">
        <v>115</v>
      </c>
      <c r="C122" s="396" t="s">
        <v>19</v>
      </c>
      <c r="D122" s="397" t="s">
        <v>33</v>
      </c>
      <c r="E122" s="398" t="s">
        <v>35</v>
      </c>
      <c r="F122" s="399" t="s">
        <v>30</v>
      </c>
      <c r="G122" s="400" t="s">
        <v>14</v>
      </c>
      <c r="H122" s="398" t="s">
        <v>35</v>
      </c>
      <c r="I122" s="399" t="s">
        <v>30</v>
      </c>
      <c r="J122" s="364" t="s">
        <v>659</v>
      </c>
      <c r="K122" s="401" t="s">
        <v>38</v>
      </c>
      <c r="L122" s="402"/>
      <c r="M122" s="403"/>
      <c r="N122" s="404"/>
      <c r="O122" s="381"/>
      <c r="P122" s="382"/>
      <c r="Q122" s="383"/>
    </row>
    <row r="123" spans="1:17" x14ac:dyDescent="0.2">
      <c r="A123" s="405" t="s">
        <v>847</v>
      </c>
      <c r="B123" s="406" t="s">
        <v>137</v>
      </c>
      <c r="C123" s="371"/>
      <c r="D123" s="372" t="s">
        <v>21</v>
      </c>
      <c r="E123" s="253">
        <v>0</v>
      </c>
      <c r="F123" s="373">
        <f>C123*E123</f>
        <v>0</v>
      </c>
      <c r="G123" s="374"/>
      <c r="H123" s="375">
        <v>0</v>
      </c>
      <c r="I123" s="373">
        <f>G123*H123</f>
        <v>0</v>
      </c>
      <c r="J123" s="376"/>
      <c r="K123" s="377">
        <f>F123+I123+J123</f>
        <v>0</v>
      </c>
      <c r="L123" s="378"/>
      <c r="M123" s="379"/>
      <c r="N123" s="380"/>
      <c r="O123" s="381"/>
      <c r="P123" s="382"/>
      <c r="Q123" s="383"/>
    </row>
    <row r="124" spans="1:17" x14ac:dyDescent="0.2">
      <c r="A124" s="370" t="s">
        <v>848</v>
      </c>
      <c r="B124" s="5" t="s">
        <v>138</v>
      </c>
      <c r="C124" s="371"/>
      <c r="D124" s="372" t="s">
        <v>21</v>
      </c>
      <c r="E124" s="253">
        <v>0</v>
      </c>
      <c r="F124" s="373">
        <f>C124*E124</f>
        <v>0</v>
      </c>
      <c r="G124" s="374"/>
      <c r="H124" s="375">
        <v>0</v>
      </c>
      <c r="I124" s="373">
        <f>G124*H124</f>
        <v>0</v>
      </c>
      <c r="J124" s="376"/>
      <c r="K124" s="377">
        <f>F124+I124+J124</f>
        <v>0</v>
      </c>
      <c r="L124" s="378" t="s">
        <v>1012</v>
      </c>
      <c r="M124" s="379">
        <v>21600</v>
      </c>
      <c r="N124" s="818"/>
      <c r="O124" s="815"/>
      <c r="P124" s="382"/>
      <c r="Q124" s="383"/>
    </row>
    <row r="125" spans="1:17" x14ac:dyDescent="0.2">
      <c r="A125" s="370" t="s">
        <v>849</v>
      </c>
      <c r="B125" s="159" t="s">
        <v>139</v>
      </c>
      <c r="C125" s="371">
        <v>1</v>
      </c>
      <c r="D125" s="372" t="s">
        <v>21</v>
      </c>
      <c r="E125" s="253">
        <v>25000</v>
      </c>
      <c r="F125" s="373">
        <f>C125*E125</f>
        <v>25000</v>
      </c>
      <c r="G125" s="374"/>
      <c r="H125" s="375">
        <v>0</v>
      </c>
      <c r="I125" s="373">
        <f>G125*H125</f>
        <v>0</v>
      </c>
      <c r="J125" s="376"/>
      <c r="K125" s="811">
        <f>F125+I125+J125</f>
        <v>25000</v>
      </c>
      <c r="L125" s="157"/>
      <c r="M125" s="157"/>
      <c r="N125" s="819"/>
      <c r="O125" s="157"/>
      <c r="P125" s="157"/>
    </row>
    <row r="126" spans="1:17" ht="14.1" customHeight="1" x14ac:dyDescent="0.2">
      <c r="A126" s="370" t="s">
        <v>850</v>
      </c>
      <c r="B126" s="5" t="s">
        <v>140</v>
      </c>
      <c r="C126" s="371"/>
      <c r="D126" s="372" t="s">
        <v>21</v>
      </c>
      <c r="E126" s="253">
        <v>0</v>
      </c>
      <c r="F126" s="373">
        <f>C126*E126</f>
        <v>0</v>
      </c>
      <c r="G126" s="374"/>
      <c r="H126" s="375">
        <v>0</v>
      </c>
      <c r="I126" s="373">
        <f>G126*H126</f>
        <v>0</v>
      </c>
      <c r="J126" s="376"/>
      <c r="K126" s="811">
        <f>F126+I126+J126</f>
        <v>0</v>
      </c>
      <c r="L126" s="463"/>
      <c r="M126" s="464"/>
      <c r="N126" s="820"/>
      <c r="O126" s="816"/>
      <c r="P126" s="465"/>
    </row>
    <row r="127" spans="1:17" ht="13.5" thickBot="1" x14ac:dyDescent="0.25">
      <c r="A127" s="387"/>
      <c r="B127" s="5"/>
      <c r="C127" s="388"/>
      <c r="D127" s="372"/>
      <c r="E127" s="253"/>
      <c r="F127" s="373"/>
      <c r="G127" s="374"/>
      <c r="H127" s="375"/>
      <c r="I127" s="373"/>
      <c r="J127" s="376"/>
      <c r="K127" s="809"/>
      <c r="L127" s="466"/>
      <c r="M127" s="379"/>
      <c r="N127" s="818"/>
      <c r="O127" s="817"/>
      <c r="P127" s="414"/>
    </row>
    <row r="128" spans="1:17" ht="13.5" thickTop="1" x14ac:dyDescent="0.2">
      <c r="A128" s="387"/>
      <c r="B128" s="412"/>
      <c r="C128" s="388"/>
      <c r="D128" s="372"/>
      <c r="E128" s="253"/>
      <c r="F128" s="373"/>
      <c r="G128" s="374"/>
      <c r="H128" s="375"/>
      <c r="I128" s="373"/>
      <c r="J128" s="389" t="s">
        <v>30</v>
      </c>
      <c r="K128" s="810">
        <f>SUM(K123:K127)</f>
        <v>25000</v>
      </c>
      <c r="L128" s="466"/>
      <c r="M128" s="379"/>
      <c r="N128" s="818"/>
      <c r="O128" s="817"/>
      <c r="P128" s="414"/>
    </row>
    <row r="129" spans="1:19" ht="13.5" thickBot="1" x14ac:dyDescent="0.25">
      <c r="A129" s="353" t="s">
        <v>0</v>
      </c>
      <c r="B129" s="354" t="s">
        <v>1</v>
      </c>
      <c r="C129" s="939" t="s">
        <v>656</v>
      </c>
      <c r="D129" s="939"/>
      <c r="E129" s="939"/>
      <c r="F129" s="939"/>
      <c r="G129" s="939" t="s">
        <v>34</v>
      </c>
      <c r="H129" s="939"/>
      <c r="I129" s="939"/>
      <c r="J129" s="355"/>
      <c r="K129" s="813"/>
      <c r="L129" s="466"/>
      <c r="M129" s="379"/>
      <c r="N129" s="818"/>
      <c r="O129" s="817"/>
      <c r="P129" s="414"/>
    </row>
    <row r="130" spans="1:19" ht="16.5" thickBot="1" x14ac:dyDescent="0.3">
      <c r="A130" s="394" t="s">
        <v>116</v>
      </c>
      <c r="B130" s="395" t="s">
        <v>117</v>
      </c>
      <c r="C130" s="396" t="s">
        <v>19</v>
      </c>
      <c r="D130" s="397" t="s">
        <v>33</v>
      </c>
      <c r="E130" s="398" t="s">
        <v>35</v>
      </c>
      <c r="F130" s="399" t="s">
        <v>30</v>
      </c>
      <c r="G130" s="400" t="s">
        <v>14</v>
      </c>
      <c r="H130" s="398" t="s">
        <v>35</v>
      </c>
      <c r="I130" s="399" t="s">
        <v>30</v>
      </c>
      <c r="J130" s="364" t="s">
        <v>659</v>
      </c>
      <c r="K130" s="814" t="s">
        <v>38</v>
      </c>
      <c r="L130" s="466"/>
      <c r="M130" s="467"/>
      <c r="N130" s="818"/>
      <c r="O130" s="817"/>
      <c r="P130" s="414"/>
    </row>
    <row r="131" spans="1:19" x14ac:dyDescent="0.2">
      <c r="A131" s="405" t="s">
        <v>837</v>
      </c>
      <c r="B131" s="406" t="s">
        <v>141</v>
      </c>
      <c r="C131" s="371"/>
      <c r="D131" s="372" t="s">
        <v>21</v>
      </c>
      <c r="E131" s="253">
        <v>0</v>
      </c>
      <c r="F131" s="373">
        <f>C131*E131</f>
        <v>0</v>
      </c>
      <c r="G131" s="374"/>
      <c r="H131" s="375">
        <v>0</v>
      </c>
      <c r="I131" s="373">
        <f>G131*H131</f>
        <v>0</v>
      </c>
      <c r="J131" s="376"/>
      <c r="K131" s="811">
        <f>F131+I131+J131</f>
        <v>0</v>
      </c>
      <c r="L131" s="466"/>
      <c r="M131" s="467"/>
      <c r="N131" s="818"/>
      <c r="O131" s="817"/>
      <c r="P131" s="414"/>
    </row>
    <row r="132" spans="1:19" x14ac:dyDescent="0.2">
      <c r="A132" s="370" t="s">
        <v>838</v>
      </c>
      <c r="B132" s="5" t="s">
        <v>142</v>
      </c>
      <c r="C132" s="371"/>
      <c r="D132" s="372" t="s">
        <v>21</v>
      </c>
      <c r="E132" s="253">
        <v>0</v>
      </c>
      <c r="F132" s="373">
        <f>C132*E132</f>
        <v>0</v>
      </c>
      <c r="G132" s="374">
        <f>J6*4</f>
        <v>240</v>
      </c>
      <c r="H132" s="375">
        <v>60</v>
      </c>
      <c r="I132" s="373">
        <f>G132*H132</f>
        <v>14400</v>
      </c>
      <c r="J132" s="376"/>
      <c r="K132" s="811">
        <f>F132+I132+J132</f>
        <v>14400</v>
      </c>
      <c r="N132" s="819"/>
    </row>
    <row r="133" spans="1:19" x14ac:dyDescent="0.2">
      <c r="A133" s="370" t="s">
        <v>839</v>
      </c>
      <c r="B133" s="5" t="s">
        <v>143</v>
      </c>
      <c r="C133" s="371">
        <f>J6/2</f>
        <v>30</v>
      </c>
      <c r="D133" s="372" t="s">
        <v>753</v>
      </c>
      <c r="E133" s="253">
        <v>550</v>
      </c>
      <c r="F133" s="373">
        <f>C133*E133</f>
        <v>16500</v>
      </c>
      <c r="G133" s="374"/>
      <c r="H133" s="375">
        <v>0</v>
      </c>
      <c r="I133" s="373">
        <f>G133*H133</f>
        <v>0</v>
      </c>
      <c r="J133" s="376"/>
      <c r="K133" s="811">
        <f>F133+I133+J133</f>
        <v>16500</v>
      </c>
      <c r="N133" s="819"/>
    </row>
    <row r="134" spans="1:19" x14ac:dyDescent="0.2">
      <c r="A134" s="370" t="s">
        <v>840</v>
      </c>
      <c r="B134" s="5" t="s">
        <v>54</v>
      </c>
      <c r="C134" s="371">
        <v>59</v>
      </c>
      <c r="D134" s="372" t="s">
        <v>33</v>
      </c>
      <c r="E134" s="253">
        <v>400</v>
      </c>
      <c r="F134" s="373">
        <f>C134*E134</f>
        <v>23600</v>
      </c>
      <c r="G134" s="374"/>
      <c r="H134" s="375">
        <v>0</v>
      </c>
      <c r="I134" s="373">
        <f>G134*H134</f>
        <v>0</v>
      </c>
      <c r="J134" s="376"/>
      <c r="K134" s="811">
        <f>F134+I134+J134</f>
        <v>23600</v>
      </c>
      <c r="N134" s="819"/>
    </row>
    <row r="135" spans="1:19" ht="13.5" thickBot="1" x14ac:dyDescent="0.25">
      <c r="A135" s="387"/>
      <c r="B135" s="412"/>
      <c r="C135" s="371"/>
      <c r="D135" s="372"/>
      <c r="E135" s="253"/>
      <c r="F135" s="373"/>
      <c r="G135" s="374"/>
      <c r="H135" s="375"/>
      <c r="I135" s="373"/>
      <c r="J135" s="376"/>
      <c r="K135" s="812"/>
      <c r="L135" s="157"/>
      <c r="M135" s="469"/>
      <c r="N135" s="821"/>
      <c r="O135" s="157"/>
      <c r="P135" s="157"/>
    </row>
    <row r="136" spans="1:19" ht="14.25" thickTop="1" thickBot="1" x14ac:dyDescent="0.25">
      <c r="A136" s="470"/>
      <c r="B136" s="156"/>
      <c r="C136" s="471"/>
      <c r="D136" s="472"/>
      <c r="E136" s="473"/>
      <c r="F136" s="474"/>
      <c r="G136" s="475"/>
      <c r="H136" s="473"/>
      <c r="I136" s="474"/>
      <c r="J136" s="476" t="s">
        <v>30</v>
      </c>
      <c r="K136" s="477">
        <f>SUM(K131:K135)</f>
        <v>54500</v>
      </c>
      <c r="L136" s="457"/>
      <c r="M136" s="458"/>
      <c r="N136" s="459"/>
      <c r="O136" s="460"/>
      <c r="P136" s="461"/>
      <c r="Q136" s="462"/>
    </row>
    <row r="137" spans="1:19" ht="15" x14ac:dyDescent="0.25">
      <c r="A137" s="478"/>
      <c r="B137" s="479"/>
      <c r="C137" s="480"/>
      <c r="D137" s="480"/>
      <c r="E137" s="481"/>
      <c r="F137" s="969" t="s">
        <v>658</v>
      </c>
      <c r="G137" s="965" t="s">
        <v>684</v>
      </c>
      <c r="H137" s="481"/>
      <c r="I137" s="962" t="s">
        <v>657</v>
      </c>
      <c r="J137" s="958" t="s">
        <v>685</v>
      </c>
      <c r="K137" s="956" t="s">
        <v>31</v>
      </c>
      <c r="L137" s="157"/>
      <c r="M137" s="469"/>
      <c r="O137" s="157"/>
      <c r="P137" s="157"/>
    </row>
    <row r="138" spans="1:19" ht="15" x14ac:dyDescent="0.2">
      <c r="A138" s="482" t="s">
        <v>32</v>
      </c>
      <c r="B138" s="964" t="s">
        <v>22</v>
      </c>
      <c r="C138" s="483"/>
      <c r="D138" s="484"/>
      <c r="E138" s="484"/>
      <c r="F138" s="970"/>
      <c r="G138" s="966"/>
      <c r="H138" s="485"/>
      <c r="I138" s="963"/>
      <c r="J138" s="959"/>
      <c r="K138" s="957"/>
      <c r="L138" s="157"/>
      <c r="M138" s="469"/>
      <c r="O138" s="157"/>
      <c r="P138" s="157"/>
    </row>
    <row r="139" spans="1:19" ht="15" x14ac:dyDescent="0.25">
      <c r="A139" s="825">
        <f>+K139/E6</f>
        <v>8.9078107431836244</v>
      </c>
      <c r="B139" s="964"/>
      <c r="C139" s="484"/>
      <c r="D139" s="484"/>
      <c r="E139" s="484"/>
      <c r="F139" s="960">
        <f>SUM(F131:F135,F123:F127,F100:F104,F90:F96,F79:F86,F70:F75,F59,F27:F34,F11:F23,F118:F118,F109:F114,F38,F40,F39)+F41</f>
        <v>401881.12226690026</v>
      </c>
      <c r="G139" s="967">
        <f>SUM(G131:G136,G123:G127,G90:G96,G79:G86,G70:G75,G59:G66,G27:G34,G11:G22,,G100:G103)</f>
        <v>241</v>
      </c>
      <c r="H139" s="485"/>
      <c r="I139" s="960">
        <f>SUM(I131:I135,I123:I127,I100:I104,I90:I96,I79:I86,I70:I75,I59:I66,I27:I34,I11:I23)</f>
        <v>179400</v>
      </c>
      <c r="J139" s="952">
        <f>SUM(J131:J135,J123:J127,J100:J104,J90:J96,J79:J85,J70:J75,J59:J66,J27:J34,J11:J23,J49:J55)</f>
        <v>3000</v>
      </c>
      <c r="K139" s="954">
        <f>SUM(K136,K128,K105,K97,K87,K76,K67,K35,K24,K56,K120,K45)</f>
        <v>584281.12226690026</v>
      </c>
      <c r="L139" s="157"/>
      <c r="M139" s="469"/>
      <c r="O139" s="157"/>
      <c r="P139" s="157"/>
    </row>
    <row r="140" spans="1:19" ht="15" thickBot="1" x14ac:dyDescent="0.25">
      <c r="A140" s="487"/>
      <c r="B140" s="488"/>
      <c r="C140" s="488"/>
      <c r="D140" s="488"/>
      <c r="E140" s="488"/>
      <c r="F140" s="961"/>
      <c r="G140" s="968"/>
      <c r="H140" s="488"/>
      <c r="I140" s="961"/>
      <c r="J140" s="953"/>
      <c r="K140" s="955"/>
      <c r="L140" s="157"/>
      <c r="M140" s="469"/>
      <c r="O140" s="157"/>
      <c r="P140" s="157"/>
    </row>
    <row r="141" spans="1:19" ht="13.5" thickBot="1" x14ac:dyDescent="0.25">
      <c r="A141" s="489"/>
      <c r="B141" s="490"/>
      <c r="C141" s="490"/>
      <c r="D141" s="490"/>
      <c r="E141" s="490"/>
      <c r="F141" s="490"/>
      <c r="G141" s="490"/>
      <c r="H141" s="490"/>
      <c r="I141" s="490"/>
      <c r="J141" s="490"/>
      <c r="K141" s="491"/>
      <c r="L141" s="157"/>
      <c r="M141" s="469"/>
      <c r="O141" s="157"/>
      <c r="P141" s="157"/>
    </row>
    <row r="142" spans="1:19" x14ac:dyDescent="0.2">
      <c r="L142" s="492"/>
      <c r="M142" s="493"/>
      <c r="N142" s="494"/>
      <c r="O142" s="159"/>
      <c r="P142" s="469"/>
      <c r="Q142" s="495"/>
      <c r="R142" s="495"/>
      <c r="S142" s="496"/>
    </row>
    <row r="143" spans="1:19" x14ac:dyDescent="0.2">
      <c r="L143" s="492"/>
      <c r="M143" s="493"/>
      <c r="N143" s="494"/>
      <c r="O143" s="159"/>
      <c r="P143" s="469"/>
      <c r="Q143" s="495"/>
      <c r="R143" s="495"/>
      <c r="S143" s="496"/>
    </row>
    <row r="144" spans="1:19" x14ac:dyDescent="0.2">
      <c r="L144" s="492"/>
      <c r="M144" s="493"/>
      <c r="N144" s="494"/>
      <c r="O144" s="159"/>
      <c r="P144" s="495"/>
      <c r="Q144" s="495"/>
      <c r="R144" s="497"/>
      <c r="S144" s="496"/>
    </row>
    <row r="145" spans="1:19" x14ac:dyDescent="0.2">
      <c r="L145" s="492"/>
      <c r="M145" s="493"/>
      <c r="N145" s="494"/>
      <c r="O145" s="159"/>
      <c r="P145" s="469"/>
      <c r="Q145" s="498"/>
      <c r="R145" s="499"/>
      <c r="S145" s="500"/>
    </row>
    <row r="146" spans="1:19" x14ac:dyDescent="0.2">
      <c r="A146" s="501"/>
      <c r="C146" s="157"/>
      <c r="D146" s="157"/>
      <c r="L146" s="492"/>
      <c r="M146" s="493"/>
      <c r="N146" s="494"/>
      <c r="O146" s="159"/>
      <c r="P146" s="469"/>
      <c r="Q146" s="502"/>
      <c r="R146" s="255"/>
      <c r="S146" s="503"/>
    </row>
    <row r="147" spans="1:19" x14ac:dyDescent="0.2">
      <c r="A147" s="501"/>
      <c r="C147" s="157"/>
      <c r="D147" s="157"/>
      <c r="L147" s="492"/>
      <c r="M147" s="493"/>
      <c r="N147" s="494"/>
      <c r="O147" s="159"/>
      <c r="P147" s="469"/>
      <c r="Q147" s="504"/>
      <c r="R147" s="271"/>
      <c r="S147" s="505"/>
    </row>
    <row r="148" spans="1:19" x14ac:dyDescent="0.2">
      <c r="C148" s="157"/>
      <c r="D148" s="157"/>
      <c r="L148" s="492"/>
      <c r="M148" s="493"/>
      <c r="N148" s="494"/>
      <c r="O148" s="159"/>
      <c r="P148" s="469"/>
      <c r="Q148" s="504"/>
      <c r="R148" s="506"/>
      <c r="S148" s="505"/>
    </row>
    <row r="149" spans="1:19" x14ac:dyDescent="0.2">
      <c r="B149" s="320"/>
      <c r="C149" s="157"/>
      <c r="D149" s="157"/>
      <c r="L149" s="492"/>
      <c r="M149" s="493"/>
      <c r="N149" s="494"/>
      <c r="O149" s="159"/>
      <c r="P149" s="495"/>
      <c r="Q149" s="507"/>
      <c r="R149" s="508"/>
      <c r="S149" s="509"/>
    </row>
    <row r="150" spans="1:19" x14ac:dyDescent="0.2">
      <c r="C150" s="157"/>
      <c r="D150" s="157"/>
      <c r="L150" s="492"/>
      <c r="M150" s="493"/>
      <c r="N150" s="494"/>
      <c r="O150" s="159"/>
      <c r="P150" s="495"/>
      <c r="Q150" s="495"/>
      <c r="R150" s="255"/>
      <c r="S150" s="510"/>
    </row>
    <row r="151" spans="1:19" x14ac:dyDescent="0.2">
      <c r="C151" s="157"/>
      <c r="D151" s="157"/>
      <c r="L151" s="492"/>
      <c r="M151" s="493"/>
      <c r="N151" s="494"/>
      <c r="O151" s="159"/>
      <c r="P151" s="469"/>
      <c r="Q151" s="159"/>
      <c r="R151" s="159"/>
      <c r="S151" s="511"/>
    </row>
    <row r="152" spans="1:19" x14ac:dyDescent="0.2">
      <c r="C152" s="157"/>
      <c r="D152" s="157"/>
      <c r="L152" s="492"/>
      <c r="M152" s="493"/>
      <c r="N152" s="494"/>
      <c r="O152" s="159"/>
      <c r="P152" s="469"/>
      <c r="Q152" s="159"/>
      <c r="R152" s="159"/>
      <c r="S152" s="511"/>
    </row>
    <row r="153" spans="1:19" x14ac:dyDescent="0.2">
      <c r="B153" s="159"/>
      <c r="C153" s="159"/>
      <c r="D153" s="512"/>
      <c r="F153" s="159"/>
      <c r="G153" s="159"/>
      <c r="H153" s="159"/>
      <c r="I153" s="159"/>
      <c r="J153" s="159"/>
      <c r="K153" s="159"/>
      <c r="L153" s="492"/>
      <c r="M153" s="493"/>
      <c r="N153" s="494"/>
      <c r="O153" s="159"/>
      <c r="P153" s="469"/>
      <c r="Q153" s="159"/>
      <c r="R153" s="159"/>
      <c r="S153" s="511"/>
    </row>
    <row r="154" spans="1:19" x14ac:dyDescent="0.2">
      <c r="B154" s="159"/>
      <c r="C154" s="159"/>
      <c r="D154" s="512"/>
      <c r="F154" s="159"/>
      <c r="G154" s="159"/>
      <c r="H154" s="159"/>
      <c r="I154" s="159"/>
      <c r="J154" s="159"/>
      <c r="K154" s="159"/>
      <c r="L154" s="492"/>
      <c r="M154" s="493"/>
      <c r="N154" s="494"/>
      <c r="O154" s="159"/>
      <c r="P154" s="513"/>
      <c r="Q154" s="495"/>
      <c r="R154" s="495"/>
      <c r="S154" s="496"/>
    </row>
    <row r="155" spans="1:19" x14ac:dyDescent="0.2">
      <c r="B155" s="159"/>
      <c r="C155" s="159"/>
      <c r="D155" s="159"/>
      <c r="F155" s="159"/>
      <c r="G155" s="159"/>
      <c r="H155" s="159"/>
      <c r="I155" s="159"/>
      <c r="J155" s="159"/>
      <c r="K155" s="159"/>
      <c r="L155" s="157"/>
      <c r="M155" s="469"/>
      <c r="N155" s="159"/>
      <c r="O155" s="157"/>
      <c r="Q155" s="302"/>
      <c r="R155" s="302"/>
    </row>
    <row r="156" spans="1:19" x14ac:dyDescent="0.2">
      <c r="B156" s="159"/>
      <c r="C156" s="159"/>
      <c r="D156" s="159"/>
      <c r="F156" s="159"/>
      <c r="G156" s="159"/>
      <c r="H156" s="159"/>
      <c r="I156" s="494"/>
      <c r="J156" s="159"/>
      <c r="K156" s="159"/>
    </row>
    <row r="157" spans="1:19" x14ac:dyDescent="0.2">
      <c r="B157" s="159"/>
      <c r="C157" s="159"/>
      <c r="D157" s="159"/>
      <c r="F157" s="159"/>
      <c r="G157" s="159"/>
      <c r="H157" s="159"/>
      <c r="I157" s="494"/>
      <c r="J157" s="159"/>
      <c r="K157" s="159"/>
    </row>
    <row r="158" spans="1:19" x14ac:dyDescent="0.2">
      <c r="B158" s="159"/>
      <c r="C158" s="159"/>
      <c r="D158" s="159"/>
      <c r="F158" s="159"/>
      <c r="G158" s="159"/>
      <c r="H158" s="159"/>
      <c r="I158" s="494"/>
      <c r="J158" s="159"/>
      <c r="K158" s="159"/>
    </row>
    <row r="159" spans="1:19" x14ac:dyDescent="0.2">
      <c r="B159" s="159"/>
      <c r="C159" s="159"/>
      <c r="D159" s="159"/>
      <c r="F159" s="159"/>
      <c r="G159" s="159"/>
      <c r="H159" s="159"/>
      <c r="I159" s="494"/>
      <c r="J159" s="159"/>
      <c r="K159" s="159"/>
      <c r="L159" s="159" t="s">
        <v>757</v>
      </c>
    </row>
    <row r="160" spans="1:19" x14ac:dyDescent="0.2">
      <c r="B160" s="159"/>
      <c r="C160" s="159"/>
      <c r="D160" s="159"/>
      <c r="F160" s="159"/>
      <c r="G160" s="159"/>
      <c r="H160" s="159"/>
      <c r="I160" s="494"/>
      <c r="J160" s="159"/>
      <c r="K160" s="159"/>
      <c r="L160" s="159">
        <v>24</v>
      </c>
      <c r="M160" s="276">
        <f>K171*L160</f>
        <v>144</v>
      </c>
    </row>
    <row r="161" spans="1:11" x14ac:dyDescent="0.2">
      <c r="B161" s="159"/>
      <c r="C161" s="159"/>
      <c r="D161" s="159"/>
      <c r="F161" s="159"/>
      <c r="G161" s="159"/>
      <c r="H161" s="159"/>
      <c r="I161" s="494"/>
      <c r="J161" s="159"/>
      <c r="K161" s="159"/>
    </row>
    <row r="162" spans="1:11" x14ac:dyDescent="0.2">
      <c r="B162" s="159"/>
      <c r="C162" s="159"/>
      <c r="D162" s="159"/>
      <c r="F162" s="159"/>
      <c r="G162" s="159"/>
      <c r="H162" s="159"/>
      <c r="I162" s="494"/>
      <c r="J162" s="159"/>
      <c r="K162" s="159"/>
    </row>
    <row r="163" spans="1:11" x14ac:dyDescent="0.2">
      <c r="B163" s="159"/>
      <c r="C163" s="159"/>
      <c r="D163" s="159"/>
      <c r="F163" s="159"/>
      <c r="G163" s="159"/>
      <c r="H163" s="159"/>
      <c r="I163" s="494"/>
      <c r="J163" s="159"/>
      <c r="K163" s="159"/>
    </row>
    <row r="164" spans="1:11" x14ac:dyDescent="0.2">
      <c r="B164" s="159"/>
      <c r="C164" s="159"/>
      <c r="D164" s="159"/>
      <c r="F164" s="159"/>
      <c r="G164" s="159"/>
      <c r="H164" s="159"/>
      <c r="I164" s="159"/>
      <c r="J164" s="159"/>
      <c r="K164" s="159"/>
    </row>
    <row r="165" spans="1:11" x14ac:dyDescent="0.2">
      <c r="B165" s="159"/>
      <c r="C165" s="159"/>
      <c r="D165" s="512"/>
      <c r="F165" s="159"/>
      <c r="G165" s="159"/>
      <c r="H165" s="159"/>
      <c r="I165" s="159"/>
      <c r="J165" s="159"/>
      <c r="K165" s="159"/>
    </row>
    <row r="166" spans="1:11" x14ac:dyDescent="0.2">
      <c r="C166" s="157"/>
      <c r="F166" s="440"/>
    </row>
    <row r="170" spans="1:11" x14ac:dyDescent="0.2">
      <c r="K170" s="157" t="s">
        <v>756</v>
      </c>
    </row>
    <row r="171" spans="1:11" x14ac:dyDescent="0.2">
      <c r="A171" s="320" t="s">
        <v>758</v>
      </c>
      <c r="H171" s="157">
        <v>90</v>
      </c>
      <c r="I171" s="157" t="s">
        <v>759</v>
      </c>
      <c r="J171" s="157">
        <v>15</v>
      </c>
      <c r="K171" s="157">
        <f>H171/J171</f>
        <v>6</v>
      </c>
    </row>
    <row r="172" spans="1:11" x14ac:dyDescent="0.2">
      <c r="C172" s="440" t="s">
        <v>73</v>
      </c>
      <c r="D172" s="440">
        <f>J6/4</f>
        <v>15</v>
      </c>
      <c r="E172" s="157" t="s">
        <v>760</v>
      </c>
    </row>
    <row r="173" spans="1:11" x14ac:dyDescent="0.2">
      <c r="C173" s="440" t="s">
        <v>775</v>
      </c>
      <c r="F173" s="157" t="s">
        <v>776</v>
      </c>
      <c r="G173" s="157" t="s">
        <v>30</v>
      </c>
      <c r="H173" s="157" t="s">
        <v>38</v>
      </c>
    </row>
    <row r="174" spans="1:11" x14ac:dyDescent="0.2">
      <c r="A174" s="157" t="s">
        <v>761</v>
      </c>
      <c r="B174" s="157" t="s">
        <v>762</v>
      </c>
      <c r="C174" s="440">
        <v>602</v>
      </c>
      <c r="D174" s="440" t="s">
        <v>763</v>
      </c>
      <c r="E174" s="157" t="s">
        <v>764</v>
      </c>
      <c r="F174" s="157">
        <v>1</v>
      </c>
      <c r="G174" s="276">
        <f>F174*C174</f>
        <v>602</v>
      </c>
      <c r="H174" s="276">
        <f>G174*D$172</f>
        <v>9030</v>
      </c>
    </row>
    <row r="175" spans="1:11" x14ac:dyDescent="0.2">
      <c r="B175" s="157" t="s">
        <v>765</v>
      </c>
      <c r="C175" s="440">
        <v>73</v>
      </c>
      <c r="D175" s="440" t="s">
        <v>753</v>
      </c>
      <c r="F175" s="157">
        <v>1</v>
      </c>
      <c r="G175" s="276">
        <v>73</v>
      </c>
      <c r="H175" s="276">
        <f>G175*D$172</f>
        <v>1095</v>
      </c>
    </row>
    <row r="176" spans="1:11" x14ac:dyDescent="0.2">
      <c r="B176" s="157" t="s">
        <v>766</v>
      </c>
      <c r="C176" s="440">
        <v>355</v>
      </c>
      <c r="D176" s="440" t="s">
        <v>763</v>
      </c>
      <c r="F176" s="157">
        <v>2</v>
      </c>
      <c r="G176" s="276">
        <f>F176*C176</f>
        <v>710</v>
      </c>
      <c r="H176" s="276">
        <f t="shared" ref="H176:H181" si="13">G176*D$172</f>
        <v>10650</v>
      </c>
    </row>
    <row r="177" spans="2:8" x14ac:dyDescent="0.2">
      <c r="B177" s="157" t="s">
        <v>767</v>
      </c>
      <c r="C177" s="440">
        <v>609</v>
      </c>
      <c r="D177" s="440" t="s">
        <v>763</v>
      </c>
      <c r="F177" s="157">
        <v>1</v>
      </c>
      <c r="G177" s="276">
        <f>F177*C177</f>
        <v>609</v>
      </c>
      <c r="H177" s="276">
        <f t="shared" si="13"/>
        <v>9135</v>
      </c>
    </row>
    <row r="178" spans="2:8" x14ac:dyDescent="0.2">
      <c r="E178" s="157" t="s">
        <v>768</v>
      </c>
      <c r="F178" s="157" t="s">
        <v>769</v>
      </c>
      <c r="G178" s="276"/>
      <c r="H178" s="276">
        <f t="shared" si="13"/>
        <v>0</v>
      </c>
    </row>
    <row r="179" spans="2:8" x14ac:dyDescent="0.2">
      <c r="B179" s="157" t="s">
        <v>770</v>
      </c>
      <c r="C179" s="440">
        <v>1.3</v>
      </c>
      <c r="D179" s="440" t="s">
        <v>771</v>
      </c>
      <c r="E179" s="157">
        <v>144</v>
      </c>
      <c r="F179" s="157">
        <f>J8*7</f>
        <v>0</v>
      </c>
      <c r="G179" s="276">
        <f>F179*E179*C179</f>
        <v>0</v>
      </c>
      <c r="H179" s="276">
        <f t="shared" si="13"/>
        <v>0</v>
      </c>
    </row>
    <row r="180" spans="2:8" x14ac:dyDescent="0.2">
      <c r="B180" s="157" t="s">
        <v>772</v>
      </c>
      <c r="C180" s="440">
        <v>98</v>
      </c>
      <c r="F180" s="157">
        <v>1</v>
      </c>
      <c r="G180" s="276">
        <f>F180*C180</f>
        <v>98</v>
      </c>
      <c r="H180" s="276">
        <f t="shared" si="13"/>
        <v>1470</v>
      </c>
    </row>
    <row r="181" spans="2:8" x14ac:dyDescent="0.2">
      <c r="B181" s="157" t="s">
        <v>773</v>
      </c>
      <c r="C181" s="440">
        <v>98</v>
      </c>
      <c r="F181" s="157">
        <v>1</v>
      </c>
      <c r="G181" s="276">
        <f>F181*C181</f>
        <v>98</v>
      </c>
      <c r="H181" s="276">
        <f t="shared" si="13"/>
        <v>1470</v>
      </c>
    </row>
    <row r="182" spans="2:8" x14ac:dyDescent="0.2">
      <c r="G182" s="276"/>
      <c r="H182" s="276"/>
    </row>
    <row r="183" spans="2:8" x14ac:dyDescent="0.2">
      <c r="B183" s="157" t="s">
        <v>774</v>
      </c>
    </row>
    <row r="184" spans="2:8" x14ac:dyDescent="0.2">
      <c r="G184" s="157" t="s">
        <v>38</v>
      </c>
      <c r="H184" s="302">
        <f>SUM(H174:H183)</f>
        <v>32850</v>
      </c>
    </row>
  </sheetData>
  <mergeCells count="69">
    <mergeCell ref="G57:I57"/>
    <mergeCell ref="C68:F68"/>
    <mergeCell ref="G68:I68"/>
    <mergeCell ref="C77:F77"/>
    <mergeCell ref="G77:I77"/>
    <mergeCell ref="E60:F60"/>
    <mergeCell ref="E61:F61"/>
    <mergeCell ref="E62:F62"/>
    <mergeCell ref="E63:F63"/>
    <mergeCell ref="E64:F64"/>
    <mergeCell ref="E65:F65"/>
    <mergeCell ref="G60:I60"/>
    <mergeCell ref="C57:F57"/>
    <mergeCell ref="N5:P5"/>
    <mergeCell ref="L6:M6"/>
    <mergeCell ref="N6:P6"/>
    <mergeCell ref="L3:M3"/>
    <mergeCell ref="L4:M4"/>
    <mergeCell ref="N3:P3"/>
    <mergeCell ref="N4:P4"/>
    <mergeCell ref="C1:K1"/>
    <mergeCell ref="A7:K7"/>
    <mergeCell ref="J5:K5"/>
    <mergeCell ref="G5:I6"/>
    <mergeCell ref="D2:F2"/>
    <mergeCell ref="D3:F3"/>
    <mergeCell ref="D4:F4"/>
    <mergeCell ref="G8:I8"/>
    <mergeCell ref="C8:F8"/>
    <mergeCell ref="A3:B3"/>
    <mergeCell ref="A4:B4"/>
    <mergeCell ref="L5:M5"/>
    <mergeCell ref="B138:B139"/>
    <mergeCell ref="C129:F129"/>
    <mergeCell ref="G129:I129"/>
    <mergeCell ref="C88:F88"/>
    <mergeCell ref="G88:I88"/>
    <mergeCell ref="C98:F98"/>
    <mergeCell ref="G98:I98"/>
    <mergeCell ref="C121:F121"/>
    <mergeCell ref="G121:I121"/>
    <mergeCell ref="G137:G138"/>
    <mergeCell ref="G139:G140"/>
    <mergeCell ref="F139:F140"/>
    <mergeCell ref="F137:F138"/>
    <mergeCell ref="C106:F106"/>
    <mergeCell ref="G106:I106"/>
    <mergeCell ref="J139:J140"/>
    <mergeCell ref="K139:K140"/>
    <mergeCell ref="K137:K138"/>
    <mergeCell ref="J137:J138"/>
    <mergeCell ref="I139:I140"/>
    <mergeCell ref="I137:I138"/>
    <mergeCell ref="Q9:Q10"/>
    <mergeCell ref="L9:L10"/>
    <mergeCell ref="M9:M10"/>
    <mergeCell ref="N9:N10"/>
    <mergeCell ref="O9:O10"/>
    <mergeCell ref="P9:P10"/>
    <mergeCell ref="C9:F9"/>
    <mergeCell ref="G9:I9"/>
    <mergeCell ref="C25:F25"/>
    <mergeCell ref="G25:I25"/>
    <mergeCell ref="C47:F47"/>
    <mergeCell ref="G47:I47"/>
    <mergeCell ref="C36:F36"/>
    <mergeCell ref="G36:I36"/>
    <mergeCell ref="C46:F46"/>
    <mergeCell ref="G46:I46"/>
  </mergeCells>
  <phoneticPr fontId="5" type="noConversion"/>
  <printOptions horizontalCentered="1"/>
  <pageMargins left="0.7" right="0.7" top="0.75" bottom="0.75" header="0.5" footer="0.5"/>
  <pageSetup scale="54" fitToHeight="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fitToPage="1"/>
  </sheetPr>
  <dimension ref="A1:Q98"/>
  <sheetViews>
    <sheetView zoomScale="90" zoomScaleNormal="75" zoomScaleSheetLayoutView="90" zoomScalePageLayoutView="75" workbookViewId="0">
      <selection activeCell="J43" sqref="J43"/>
    </sheetView>
  </sheetViews>
  <sheetFormatPr defaultColWidth="9.140625" defaultRowHeight="12.75" x14ac:dyDescent="0.2"/>
  <cols>
    <col min="1" max="1" width="12" style="157" customWidth="1"/>
    <col min="2" max="2" width="44.5703125" style="157" customWidth="1"/>
    <col min="3" max="4" width="4.85546875" style="440" customWidth="1"/>
    <col min="5" max="5" width="11.140625" style="276" customWidth="1"/>
    <col min="6" max="6" width="12.42578125" style="157" customWidth="1"/>
    <col min="7" max="7" width="7" style="157" customWidth="1"/>
    <col min="8" max="8" width="11.140625" style="157" customWidth="1"/>
    <col min="9" max="9" width="12.42578125" style="157" customWidth="1"/>
    <col min="10" max="10" width="15.85546875" style="157" customWidth="1"/>
    <col min="11" max="11" width="14.140625" style="157" customWidth="1"/>
    <col min="12" max="12" width="17.85546875" style="159" bestFit="1" customWidth="1"/>
    <col min="13" max="13" width="14" style="276" bestFit="1" customWidth="1"/>
    <col min="14" max="14" width="24.85546875" style="157" bestFit="1" customWidth="1"/>
    <col min="15" max="15" width="22" style="302" bestFit="1" customWidth="1"/>
    <col min="16" max="16" width="22.140625" style="302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2"/>
      <c r="B1" s="323"/>
      <c r="C1" s="976">
        <f>'Estimate Summary'!C1:H1</f>
        <v>0</v>
      </c>
      <c r="D1" s="976"/>
      <c r="E1" s="976"/>
      <c r="F1" s="976"/>
      <c r="G1" s="976"/>
      <c r="H1" s="976"/>
      <c r="I1" s="976"/>
      <c r="J1" s="976"/>
      <c r="K1" s="977"/>
    </row>
    <row r="2" spans="1:17" ht="13.5" thickBot="1" x14ac:dyDescent="0.25">
      <c r="A2" s="324"/>
      <c r="B2" s="325"/>
      <c r="C2" s="514"/>
      <c r="D2" s="984"/>
      <c r="E2" s="984"/>
      <c r="F2" s="984"/>
      <c r="G2" s="514"/>
      <c r="H2" s="327"/>
      <c r="I2" s="328"/>
      <c r="J2" s="329"/>
      <c r="K2" s="330"/>
    </row>
    <row r="3" spans="1:17" ht="16.5" thickBot="1" x14ac:dyDescent="0.3">
      <c r="A3" s="973"/>
      <c r="B3" s="974"/>
      <c r="C3" s="514"/>
      <c r="D3" s="984"/>
      <c r="E3" s="984"/>
      <c r="F3" s="984"/>
      <c r="G3" s="515"/>
      <c r="H3" s="332"/>
      <c r="I3" s="333"/>
      <c r="J3" s="333"/>
      <c r="K3" s="334"/>
      <c r="L3" s="1002"/>
      <c r="M3" s="1003"/>
      <c r="N3" s="985"/>
      <c r="O3" s="985"/>
      <c r="P3" s="935"/>
    </row>
    <row r="4" spans="1:17" ht="12.95" customHeight="1" thickBot="1" x14ac:dyDescent="0.25">
      <c r="A4" s="973"/>
      <c r="B4" s="974"/>
      <c r="C4" s="514"/>
      <c r="D4" s="984"/>
      <c r="E4" s="984"/>
      <c r="F4" s="984"/>
      <c r="G4" s="336"/>
      <c r="H4" s="336"/>
      <c r="I4" s="328"/>
      <c r="J4" s="329"/>
      <c r="K4" s="330"/>
      <c r="L4" s="1002"/>
      <c r="M4" s="1003"/>
      <c r="N4" s="985"/>
      <c r="O4" s="985"/>
      <c r="P4" s="935"/>
    </row>
    <row r="5" spans="1:17" ht="21" thickBot="1" x14ac:dyDescent="0.3">
      <c r="A5" s="337"/>
      <c r="B5" s="338"/>
      <c r="C5" s="516"/>
      <c r="D5" s="340"/>
      <c r="E5" s="341"/>
      <c r="F5" s="336"/>
      <c r="G5" s="983" t="s">
        <v>155</v>
      </c>
      <c r="H5" s="983"/>
      <c r="I5" s="983"/>
      <c r="J5" s="981" t="s">
        <v>73</v>
      </c>
      <c r="K5" s="982"/>
      <c r="L5" s="1002"/>
      <c r="M5" s="1003"/>
      <c r="N5" s="985"/>
      <c r="O5" s="985"/>
      <c r="P5" s="935"/>
    </row>
    <row r="6" spans="1:17" ht="21" thickBot="1" x14ac:dyDescent="0.25">
      <c r="A6" s="337"/>
      <c r="B6" s="338"/>
      <c r="C6" s="517"/>
      <c r="D6" s="343" t="str">
        <f>'Estimate Summary'!C11</f>
        <v>Area:</v>
      </c>
      <c r="E6" s="344">
        <f>'Estimate Summary'!D11</f>
        <v>65592</v>
      </c>
      <c r="F6" s="238" t="str">
        <f>'Estimate Summary'!E11</f>
        <v>Sq. Ft.</v>
      </c>
      <c r="G6" s="983"/>
      <c r="H6" s="983"/>
      <c r="I6" s="983"/>
      <c r="J6" s="345">
        <f>'1'!J6</f>
        <v>60</v>
      </c>
      <c r="K6" s="330" t="s">
        <v>74</v>
      </c>
      <c r="L6" s="1002"/>
      <c r="M6" s="1003"/>
      <c r="N6" s="985"/>
      <c r="O6" s="985"/>
      <c r="P6" s="935"/>
    </row>
    <row r="7" spans="1:17" x14ac:dyDescent="0.2">
      <c r="A7" s="978"/>
      <c r="B7" s="979"/>
      <c r="C7" s="979"/>
      <c r="D7" s="979"/>
      <c r="E7" s="979"/>
      <c r="F7" s="979"/>
      <c r="G7" s="979"/>
      <c r="H7" s="979"/>
      <c r="I7" s="979"/>
      <c r="J7" s="979"/>
      <c r="K7" s="980"/>
    </row>
    <row r="8" spans="1:17" x14ac:dyDescent="0.2">
      <c r="A8" s="346"/>
      <c r="B8" s="347"/>
      <c r="C8" s="972"/>
      <c r="D8" s="972"/>
      <c r="E8" s="972"/>
      <c r="F8" s="972"/>
      <c r="G8" s="971"/>
      <c r="H8" s="971"/>
      <c r="I8" s="971"/>
      <c r="J8" s="348"/>
      <c r="K8" s="349"/>
      <c r="L8" s="518"/>
      <c r="M8" s="519"/>
      <c r="N8" s="518"/>
      <c r="O8" s="520"/>
      <c r="P8" s="520"/>
    </row>
    <row r="9" spans="1:17" x14ac:dyDescent="0.2">
      <c r="A9" s="521"/>
      <c r="B9" s="203"/>
      <c r="C9" s="1000"/>
      <c r="D9" s="1000"/>
      <c r="E9" s="996"/>
      <c r="F9" s="996"/>
      <c r="G9" s="1001"/>
      <c r="H9" s="996"/>
      <c r="I9" s="996"/>
      <c r="J9" s="996"/>
      <c r="K9" s="999"/>
      <c r="L9" s="468"/>
      <c r="M9" s="467"/>
      <c r="N9" s="413"/>
      <c r="O9" s="414"/>
      <c r="P9" s="414"/>
    </row>
    <row r="10" spans="1:17" ht="13.5" thickBot="1" x14ac:dyDescent="0.25">
      <c r="A10" s="401"/>
      <c r="B10" s="522"/>
      <c r="C10" s="1000"/>
      <c r="D10" s="1000"/>
      <c r="E10" s="996"/>
      <c r="F10" s="996"/>
      <c r="G10" s="1001"/>
      <c r="H10" s="996"/>
      <c r="I10" s="996"/>
      <c r="J10" s="996"/>
      <c r="K10" s="999"/>
      <c r="L10" s="468"/>
      <c r="M10" s="467"/>
      <c r="N10" s="413"/>
      <c r="O10" s="414"/>
      <c r="P10" s="414"/>
    </row>
    <row r="11" spans="1:17" ht="14.25" thickTop="1" thickBot="1" x14ac:dyDescent="0.25">
      <c r="A11" s="353" t="s">
        <v>0</v>
      </c>
      <c r="B11" s="354" t="s">
        <v>1</v>
      </c>
      <c r="C11" s="939" t="s">
        <v>656</v>
      </c>
      <c r="D11" s="939"/>
      <c r="E11" s="939"/>
      <c r="F11" s="939"/>
      <c r="G11" s="939" t="s">
        <v>34</v>
      </c>
      <c r="H11" s="939"/>
      <c r="I11" s="939"/>
      <c r="J11" s="355"/>
      <c r="K11" s="523"/>
      <c r="L11" s="942" t="s">
        <v>783</v>
      </c>
      <c r="M11" s="944" t="s">
        <v>784</v>
      </c>
      <c r="N11" s="946" t="s">
        <v>785</v>
      </c>
      <c r="O11" s="948"/>
      <c r="P11" s="950"/>
      <c r="Q11" s="940"/>
    </row>
    <row r="12" spans="1:17" ht="15.75" x14ac:dyDescent="0.25">
      <c r="A12" s="524" t="s">
        <v>153</v>
      </c>
      <c r="B12" s="525" t="s">
        <v>155</v>
      </c>
      <c r="C12" s="359" t="s">
        <v>19</v>
      </c>
      <c r="D12" s="360" t="s">
        <v>33</v>
      </c>
      <c r="E12" s="361" t="s">
        <v>35</v>
      </c>
      <c r="F12" s="362" t="s">
        <v>30</v>
      </c>
      <c r="G12" s="526" t="s">
        <v>14</v>
      </c>
      <c r="H12" s="361" t="s">
        <v>35</v>
      </c>
      <c r="I12" s="362" t="s">
        <v>30</v>
      </c>
      <c r="J12" s="364" t="s">
        <v>659</v>
      </c>
      <c r="K12" s="527" t="s">
        <v>38</v>
      </c>
      <c r="L12" s="943"/>
      <c r="M12" s="945"/>
      <c r="N12" s="947"/>
      <c r="O12" s="949"/>
      <c r="P12" s="951"/>
      <c r="Q12" s="941"/>
    </row>
    <row r="13" spans="1:17" ht="15" x14ac:dyDescent="0.2">
      <c r="A13" s="528" t="s">
        <v>154</v>
      </c>
      <c r="B13" s="196" t="s">
        <v>78</v>
      </c>
      <c r="C13" s="371"/>
      <c r="D13" s="372" t="s">
        <v>21</v>
      </c>
      <c r="E13" s="253">
        <v>0</v>
      </c>
      <c r="F13" s="373">
        <f t="shared" ref="F13:F24" si="0">C13*E13</f>
        <v>0</v>
      </c>
      <c r="G13" s="529"/>
      <c r="H13" s="375">
        <v>0</v>
      </c>
      <c r="I13" s="373">
        <f t="shared" ref="I13:I24" si="1">G13*H13</f>
        <v>0</v>
      </c>
      <c r="J13" s="376"/>
      <c r="K13" s="530">
        <f t="shared" ref="K13:K24" si="2">F13+I13+J13</f>
        <v>0</v>
      </c>
      <c r="L13" s="378"/>
      <c r="M13" s="379"/>
      <c r="N13" s="380"/>
      <c r="O13" s="381"/>
      <c r="P13" s="382"/>
      <c r="Q13" s="383"/>
    </row>
    <row r="14" spans="1:17" x14ac:dyDescent="0.2">
      <c r="A14" s="370"/>
      <c r="B14" s="5"/>
      <c r="C14" s="371"/>
      <c r="D14" s="372" t="s">
        <v>21</v>
      </c>
      <c r="E14" s="253">
        <v>0</v>
      </c>
      <c r="F14" s="373">
        <f t="shared" si="0"/>
        <v>0</v>
      </c>
      <c r="G14" s="529"/>
      <c r="H14" s="375">
        <v>0</v>
      </c>
      <c r="I14" s="373">
        <f t="shared" si="1"/>
        <v>0</v>
      </c>
      <c r="J14" s="376"/>
      <c r="K14" s="530">
        <f t="shared" si="2"/>
        <v>0</v>
      </c>
      <c r="L14" s="378"/>
      <c r="M14" s="379"/>
      <c r="N14" s="380"/>
      <c r="O14" s="381"/>
      <c r="P14" s="382"/>
      <c r="Q14" s="383"/>
    </row>
    <row r="15" spans="1:17" x14ac:dyDescent="0.2">
      <c r="A15" s="370"/>
      <c r="B15" s="5"/>
      <c r="C15" s="371"/>
      <c r="D15" s="372" t="s">
        <v>21</v>
      </c>
      <c r="E15" s="253">
        <v>0</v>
      </c>
      <c r="F15" s="373">
        <f t="shared" si="0"/>
        <v>0</v>
      </c>
      <c r="G15" s="529"/>
      <c r="H15" s="375">
        <v>0</v>
      </c>
      <c r="I15" s="373">
        <f t="shared" si="1"/>
        <v>0</v>
      </c>
      <c r="J15" s="376"/>
      <c r="K15" s="530">
        <f t="shared" si="2"/>
        <v>0</v>
      </c>
      <c r="L15" s="378"/>
      <c r="M15" s="379"/>
      <c r="N15" s="380"/>
      <c r="O15" s="381"/>
      <c r="P15" s="382"/>
      <c r="Q15" s="383"/>
    </row>
    <row r="16" spans="1:17" ht="15" x14ac:dyDescent="0.2">
      <c r="A16" s="528"/>
      <c r="B16" s="196"/>
      <c r="C16" s="371"/>
      <c r="D16" s="372" t="s">
        <v>21</v>
      </c>
      <c r="E16" s="253">
        <v>0</v>
      </c>
      <c r="F16" s="373">
        <f t="shared" si="0"/>
        <v>0</v>
      </c>
      <c r="G16" s="529"/>
      <c r="H16" s="375">
        <v>0</v>
      </c>
      <c r="I16" s="373">
        <f t="shared" si="1"/>
        <v>0</v>
      </c>
      <c r="J16" s="376"/>
      <c r="K16" s="530">
        <f t="shared" si="2"/>
        <v>0</v>
      </c>
      <c r="L16" s="378"/>
      <c r="M16" s="379"/>
      <c r="N16" s="380"/>
      <c r="O16" s="381"/>
      <c r="P16" s="382"/>
      <c r="Q16" s="383"/>
    </row>
    <row r="17" spans="1:17" x14ac:dyDescent="0.2">
      <c r="A17" s="370"/>
      <c r="B17" s="6"/>
      <c r="C17" s="371"/>
      <c r="D17" s="372" t="s">
        <v>21</v>
      </c>
      <c r="E17" s="253">
        <v>0</v>
      </c>
      <c r="F17" s="373">
        <f t="shared" si="0"/>
        <v>0</v>
      </c>
      <c r="G17" s="529"/>
      <c r="H17" s="375">
        <v>0</v>
      </c>
      <c r="I17" s="373">
        <f t="shared" si="1"/>
        <v>0</v>
      </c>
      <c r="J17" s="376"/>
      <c r="K17" s="530">
        <f t="shared" si="2"/>
        <v>0</v>
      </c>
      <c r="L17" s="378"/>
      <c r="M17" s="379"/>
      <c r="N17" s="380"/>
      <c r="O17" s="381"/>
      <c r="P17" s="382"/>
      <c r="Q17" s="383"/>
    </row>
    <row r="18" spans="1:17" x14ac:dyDescent="0.2">
      <c r="A18" s="531"/>
      <c r="B18" s="5"/>
      <c r="C18" s="371"/>
      <c r="D18" s="372" t="s">
        <v>21</v>
      </c>
      <c r="E18" s="253">
        <v>0</v>
      </c>
      <c r="F18" s="373">
        <f t="shared" si="0"/>
        <v>0</v>
      </c>
      <c r="G18" s="529"/>
      <c r="H18" s="375">
        <v>0</v>
      </c>
      <c r="I18" s="373">
        <f t="shared" si="1"/>
        <v>0</v>
      </c>
      <c r="J18" s="376"/>
      <c r="K18" s="530">
        <f t="shared" si="2"/>
        <v>0</v>
      </c>
      <c r="L18" s="378"/>
      <c r="M18" s="379"/>
      <c r="N18" s="380"/>
      <c r="O18" s="381"/>
      <c r="P18" s="382"/>
      <c r="Q18" s="383"/>
    </row>
    <row r="19" spans="1:17" ht="15" x14ac:dyDescent="0.2">
      <c r="A19" s="528"/>
      <c r="B19" s="194"/>
      <c r="C19" s="371"/>
      <c r="D19" s="372" t="s">
        <v>21</v>
      </c>
      <c r="E19" s="253">
        <v>0</v>
      </c>
      <c r="F19" s="373">
        <f t="shared" si="0"/>
        <v>0</v>
      </c>
      <c r="G19" s="529"/>
      <c r="H19" s="375">
        <v>0</v>
      </c>
      <c r="I19" s="373">
        <f t="shared" si="1"/>
        <v>0</v>
      </c>
      <c r="J19" s="376"/>
      <c r="K19" s="530">
        <f t="shared" si="2"/>
        <v>0</v>
      </c>
      <c r="L19" s="378"/>
      <c r="M19" s="379"/>
      <c r="N19" s="380"/>
      <c r="O19" s="381"/>
      <c r="P19" s="382"/>
      <c r="Q19" s="383"/>
    </row>
    <row r="20" spans="1:17" x14ac:dyDescent="0.2">
      <c r="A20" s="384"/>
      <c r="B20" s="5"/>
      <c r="C20" s="371"/>
      <c r="D20" s="372" t="s">
        <v>21</v>
      </c>
      <c r="E20" s="253">
        <v>0</v>
      </c>
      <c r="F20" s="373">
        <f t="shared" si="0"/>
        <v>0</v>
      </c>
      <c r="G20" s="529"/>
      <c r="H20" s="375">
        <v>0</v>
      </c>
      <c r="I20" s="373">
        <f t="shared" si="1"/>
        <v>0</v>
      </c>
      <c r="J20" s="376"/>
      <c r="K20" s="530">
        <f t="shared" si="2"/>
        <v>0</v>
      </c>
      <c r="L20" s="378"/>
      <c r="M20" s="379"/>
      <c r="N20" s="380"/>
      <c r="O20" s="381"/>
      <c r="P20" s="382"/>
      <c r="Q20" s="383"/>
    </row>
    <row r="21" spans="1:17" x14ac:dyDescent="0.2">
      <c r="A21" s="384"/>
      <c r="B21" s="5"/>
      <c r="C21" s="371"/>
      <c r="D21" s="372" t="s">
        <v>21</v>
      </c>
      <c r="E21" s="253">
        <v>0</v>
      </c>
      <c r="F21" s="373">
        <f t="shared" si="0"/>
        <v>0</v>
      </c>
      <c r="G21" s="529"/>
      <c r="H21" s="375">
        <v>0</v>
      </c>
      <c r="I21" s="373">
        <f t="shared" si="1"/>
        <v>0</v>
      </c>
      <c r="J21" s="376"/>
      <c r="K21" s="530">
        <f t="shared" si="2"/>
        <v>0</v>
      </c>
      <c r="L21" s="378"/>
      <c r="M21" s="379"/>
      <c r="N21" s="380"/>
      <c r="O21" s="381"/>
      <c r="P21" s="382"/>
      <c r="Q21" s="383"/>
    </row>
    <row r="22" spans="1:17" x14ac:dyDescent="0.2">
      <c r="A22" s="384"/>
      <c r="B22" s="5"/>
      <c r="C22" s="371"/>
      <c r="D22" s="372" t="s">
        <v>21</v>
      </c>
      <c r="E22" s="253">
        <v>0</v>
      </c>
      <c r="F22" s="373">
        <f t="shared" si="0"/>
        <v>0</v>
      </c>
      <c r="G22" s="529"/>
      <c r="H22" s="375">
        <v>0</v>
      </c>
      <c r="I22" s="373">
        <f t="shared" si="1"/>
        <v>0</v>
      </c>
      <c r="J22" s="376"/>
      <c r="K22" s="530">
        <f t="shared" si="2"/>
        <v>0</v>
      </c>
      <c r="L22" s="378"/>
      <c r="M22" s="379"/>
      <c r="N22" s="380"/>
      <c r="O22" s="381"/>
      <c r="P22" s="382"/>
      <c r="Q22" s="383"/>
    </row>
    <row r="23" spans="1:17" x14ac:dyDescent="0.2">
      <c r="A23" s="384"/>
      <c r="B23" s="5"/>
      <c r="C23" s="371"/>
      <c r="D23" s="372" t="s">
        <v>21</v>
      </c>
      <c r="E23" s="253">
        <v>0</v>
      </c>
      <c r="F23" s="373">
        <f t="shared" si="0"/>
        <v>0</v>
      </c>
      <c r="G23" s="529"/>
      <c r="H23" s="375">
        <v>0</v>
      </c>
      <c r="I23" s="373">
        <f t="shared" si="1"/>
        <v>0</v>
      </c>
      <c r="J23" s="376"/>
      <c r="K23" s="530">
        <f t="shared" si="2"/>
        <v>0</v>
      </c>
      <c r="L23" s="378"/>
      <c r="M23" s="379"/>
      <c r="N23" s="380"/>
      <c r="O23" s="381"/>
      <c r="P23" s="382"/>
      <c r="Q23" s="383"/>
    </row>
    <row r="24" spans="1:17" x14ac:dyDescent="0.2">
      <c r="A24" s="384"/>
      <c r="B24" s="5"/>
      <c r="C24" s="371"/>
      <c r="D24" s="372" t="s">
        <v>21</v>
      </c>
      <c r="E24" s="253">
        <v>0</v>
      </c>
      <c r="F24" s="373">
        <f t="shared" si="0"/>
        <v>0</v>
      </c>
      <c r="G24" s="529"/>
      <c r="H24" s="375">
        <v>0</v>
      </c>
      <c r="I24" s="373">
        <f t="shared" si="1"/>
        <v>0</v>
      </c>
      <c r="J24" s="376"/>
      <c r="K24" s="530">
        <f t="shared" si="2"/>
        <v>0</v>
      </c>
      <c r="L24" s="378"/>
      <c r="M24" s="379"/>
      <c r="N24" s="380"/>
      <c r="O24" s="381"/>
      <c r="P24" s="382"/>
      <c r="Q24" s="383"/>
    </row>
    <row r="25" spans="1:17" ht="13.5" thickBot="1" x14ac:dyDescent="0.25">
      <c r="A25" s="387"/>
      <c r="B25" s="7"/>
      <c r="C25" s="388"/>
      <c r="D25" s="372"/>
      <c r="E25" s="253"/>
      <c r="F25" s="373"/>
      <c r="G25" s="529"/>
      <c r="H25" s="375"/>
      <c r="I25" s="373"/>
      <c r="J25" s="376"/>
      <c r="K25" s="530"/>
      <c r="L25" s="378"/>
      <c r="M25" s="379"/>
      <c r="N25" s="380"/>
      <c r="O25" s="381"/>
      <c r="P25" s="382"/>
      <c r="Q25" s="383"/>
    </row>
    <row r="26" spans="1:17" ht="13.5" thickTop="1" x14ac:dyDescent="0.2">
      <c r="A26" s="387"/>
      <c r="B26" s="7"/>
      <c r="C26" s="388"/>
      <c r="D26" s="372"/>
      <c r="E26" s="253"/>
      <c r="F26" s="373"/>
      <c r="G26" s="529"/>
      <c r="H26" s="375"/>
      <c r="I26" s="373"/>
      <c r="J26" s="389" t="s">
        <v>30</v>
      </c>
      <c r="K26" s="532">
        <f>SUM(K13:K25)</f>
        <v>0</v>
      </c>
      <c r="L26" s="378"/>
      <c r="M26" s="379"/>
      <c r="N26" s="380"/>
      <c r="O26" s="381"/>
      <c r="P26" s="382"/>
      <c r="Q26" s="383"/>
    </row>
    <row r="27" spans="1:17" ht="13.5" thickBot="1" x14ac:dyDescent="0.25">
      <c r="A27" s="353" t="s">
        <v>0</v>
      </c>
      <c r="B27" s="354" t="s">
        <v>1</v>
      </c>
      <c r="C27" s="939" t="s">
        <v>656</v>
      </c>
      <c r="D27" s="939"/>
      <c r="E27" s="939"/>
      <c r="F27" s="939"/>
      <c r="G27" s="939" t="s">
        <v>34</v>
      </c>
      <c r="H27" s="939"/>
      <c r="I27" s="939"/>
      <c r="J27" s="355"/>
      <c r="K27" s="523"/>
      <c r="L27" s="391"/>
      <c r="M27" s="392"/>
      <c r="N27" s="393"/>
      <c r="O27" s="381"/>
      <c r="P27" s="382"/>
      <c r="Q27" s="383"/>
    </row>
    <row r="28" spans="1:17" ht="16.5" thickBot="1" x14ac:dyDescent="0.3">
      <c r="A28" s="394" t="s">
        <v>779</v>
      </c>
      <c r="B28" s="395" t="s">
        <v>780</v>
      </c>
      <c r="C28" s="396" t="s">
        <v>19</v>
      </c>
      <c r="D28" s="397" t="s">
        <v>33</v>
      </c>
      <c r="E28" s="398" t="s">
        <v>35</v>
      </c>
      <c r="F28" s="399" t="s">
        <v>30</v>
      </c>
      <c r="G28" s="533" t="s">
        <v>14</v>
      </c>
      <c r="H28" s="398" t="s">
        <v>35</v>
      </c>
      <c r="I28" s="399" t="s">
        <v>30</v>
      </c>
      <c r="J28" s="364" t="s">
        <v>659</v>
      </c>
      <c r="K28" s="534" t="s">
        <v>38</v>
      </c>
      <c r="L28" s="402"/>
      <c r="M28" s="403"/>
      <c r="N28" s="404"/>
      <c r="O28" s="381"/>
      <c r="P28" s="382"/>
      <c r="Q28" s="383"/>
    </row>
    <row r="29" spans="1:17" x14ac:dyDescent="0.2">
      <c r="A29" s="405"/>
      <c r="B29" s="406"/>
      <c r="C29" s="371"/>
      <c r="D29" s="372" t="s">
        <v>21</v>
      </c>
      <c r="E29" s="253">
        <v>0</v>
      </c>
      <c r="F29" s="373">
        <f t="shared" ref="F29:F35" si="3">C29*E29</f>
        <v>0</v>
      </c>
      <c r="G29" s="529"/>
      <c r="H29" s="375">
        <v>0</v>
      </c>
      <c r="I29" s="373">
        <f t="shared" ref="I29:I35" si="4">G29*H29</f>
        <v>0</v>
      </c>
      <c r="J29" s="376"/>
      <c r="K29" s="530">
        <f t="shared" ref="K29:K35" si="5">F29+I29+J29</f>
        <v>0</v>
      </c>
      <c r="L29" s="378"/>
      <c r="M29" s="379"/>
      <c r="N29" s="380"/>
      <c r="O29" s="381"/>
      <c r="P29" s="382"/>
      <c r="Q29" s="383"/>
    </row>
    <row r="30" spans="1:17" x14ac:dyDescent="0.2">
      <c r="A30" s="370"/>
      <c r="B30" s="5"/>
      <c r="C30" s="371"/>
      <c r="D30" s="372" t="s">
        <v>21</v>
      </c>
      <c r="E30" s="253">
        <v>0</v>
      </c>
      <c r="F30" s="373">
        <f t="shared" si="3"/>
        <v>0</v>
      </c>
      <c r="G30" s="529"/>
      <c r="H30" s="375">
        <v>0</v>
      </c>
      <c r="I30" s="373">
        <f t="shared" si="4"/>
        <v>0</v>
      </c>
      <c r="J30" s="376"/>
      <c r="K30" s="530">
        <f t="shared" si="5"/>
        <v>0</v>
      </c>
      <c r="L30" s="378"/>
      <c r="M30" s="379"/>
      <c r="N30" s="380"/>
      <c r="O30" s="381"/>
      <c r="P30" s="382"/>
      <c r="Q30" s="383"/>
    </row>
    <row r="31" spans="1:17" x14ac:dyDescent="0.2">
      <c r="A31" s="370"/>
      <c r="B31" s="5"/>
      <c r="C31" s="371"/>
      <c r="D31" s="372" t="s">
        <v>21</v>
      </c>
      <c r="E31" s="253">
        <v>0</v>
      </c>
      <c r="F31" s="373">
        <f t="shared" si="3"/>
        <v>0</v>
      </c>
      <c r="G31" s="529"/>
      <c r="H31" s="375">
        <v>0</v>
      </c>
      <c r="I31" s="373">
        <f t="shared" si="4"/>
        <v>0</v>
      </c>
      <c r="J31" s="376"/>
      <c r="K31" s="530">
        <f t="shared" si="5"/>
        <v>0</v>
      </c>
      <c r="L31" s="378"/>
      <c r="M31" s="379"/>
      <c r="N31" s="380"/>
      <c r="O31" s="381"/>
      <c r="P31" s="382"/>
      <c r="Q31" s="383"/>
    </row>
    <row r="32" spans="1:17" x14ac:dyDescent="0.2">
      <c r="A32" s="370"/>
      <c r="B32" s="5"/>
      <c r="C32" s="371"/>
      <c r="D32" s="372" t="s">
        <v>21</v>
      </c>
      <c r="E32" s="253">
        <v>0</v>
      </c>
      <c r="F32" s="373">
        <f t="shared" si="3"/>
        <v>0</v>
      </c>
      <c r="G32" s="529"/>
      <c r="H32" s="375">
        <v>0</v>
      </c>
      <c r="I32" s="373">
        <f t="shared" si="4"/>
        <v>0</v>
      </c>
      <c r="J32" s="376"/>
      <c r="K32" s="530">
        <f t="shared" si="5"/>
        <v>0</v>
      </c>
      <c r="L32" s="378"/>
      <c r="M32" s="379"/>
      <c r="N32" s="380"/>
      <c r="O32" s="381"/>
      <c r="P32" s="382"/>
      <c r="Q32" s="383"/>
    </row>
    <row r="33" spans="1:17" x14ac:dyDescent="0.2">
      <c r="A33" s="370"/>
      <c r="B33" s="5"/>
      <c r="C33" s="371"/>
      <c r="D33" s="372" t="s">
        <v>21</v>
      </c>
      <c r="E33" s="253">
        <v>0</v>
      </c>
      <c r="F33" s="373">
        <f t="shared" si="3"/>
        <v>0</v>
      </c>
      <c r="G33" s="529"/>
      <c r="H33" s="375">
        <v>0</v>
      </c>
      <c r="I33" s="373">
        <f t="shared" si="4"/>
        <v>0</v>
      </c>
      <c r="J33" s="376"/>
      <c r="K33" s="530">
        <f t="shared" si="5"/>
        <v>0</v>
      </c>
      <c r="L33" s="378"/>
      <c r="M33" s="379"/>
      <c r="N33" s="380"/>
      <c r="O33" s="381"/>
      <c r="P33" s="382"/>
      <c r="Q33" s="383"/>
    </row>
    <row r="34" spans="1:17" x14ac:dyDescent="0.2">
      <c r="A34" s="370"/>
      <c r="B34" s="5"/>
      <c r="C34" s="371"/>
      <c r="D34" s="372" t="s">
        <v>21</v>
      </c>
      <c r="E34" s="253">
        <v>0</v>
      </c>
      <c r="F34" s="373">
        <f t="shared" si="3"/>
        <v>0</v>
      </c>
      <c r="G34" s="529"/>
      <c r="H34" s="375">
        <v>0</v>
      </c>
      <c r="I34" s="373">
        <f t="shared" si="4"/>
        <v>0</v>
      </c>
      <c r="J34" s="376"/>
      <c r="K34" s="530">
        <f t="shared" si="5"/>
        <v>0</v>
      </c>
      <c r="L34" s="378"/>
      <c r="M34" s="379"/>
      <c r="N34" s="380"/>
      <c r="O34" s="381"/>
      <c r="P34" s="382"/>
      <c r="Q34" s="383"/>
    </row>
    <row r="35" spans="1:17" x14ac:dyDescent="0.2">
      <c r="A35" s="370"/>
      <c r="B35" s="5"/>
      <c r="C35" s="371"/>
      <c r="D35" s="372" t="s">
        <v>21</v>
      </c>
      <c r="E35" s="253">
        <v>0</v>
      </c>
      <c r="F35" s="373">
        <f t="shared" si="3"/>
        <v>0</v>
      </c>
      <c r="G35" s="529"/>
      <c r="H35" s="375">
        <v>0</v>
      </c>
      <c r="I35" s="373">
        <f t="shared" si="4"/>
        <v>0</v>
      </c>
      <c r="J35" s="376"/>
      <c r="K35" s="530">
        <f t="shared" si="5"/>
        <v>0</v>
      </c>
      <c r="L35" s="378"/>
      <c r="M35" s="379"/>
      <c r="N35" s="380"/>
      <c r="O35" s="381"/>
      <c r="P35" s="382"/>
      <c r="Q35" s="383"/>
    </row>
    <row r="36" spans="1:17" ht="13.5" thickBot="1" x14ac:dyDescent="0.25">
      <c r="A36" s="387"/>
      <c r="B36" s="5"/>
      <c r="C36" s="388"/>
      <c r="D36" s="372"/>
      <c r="E36" s="253"/>
      <c r="F36" s="373"/>
      <c r="G36" s="529"/>
      <c r="H36" s="375"/>
      <c r="I36" s="373"/>
      <c r="J36" s="376"/>
      <c r="K36" s="535"/>
      <c r="L36" s="378"/>
      <c r="M36" s="379"/>
      <c r="N36" s="380"/>
      <c r="O36" s="381"/>
      <c r="P36" s="382"/>
      <c r="Q36" s="383"/>
    </row>
    <row r="37" spans="1:17" ht="13.5" thickTop="1" x14ac:dyDescent="0.2">
      <c r="A37" s="387"/>
      <c r="B37" s="412"/>
      <c r="C37" s="388"/>
      <c r="D37" s="372"/>
      <c r="E37" s="253"/>
      <c r="F37" s="373"/>
      <c r="G37" s="529"/>
      <c r="H37" s="375"/>
      <c r="I37" s="373"/>
      <c r="J37" s="389" t="s">
        <v>30</v>
      </c>
      <c r="K37" s="532">
        <f>SUM(K29:K36)</f>
        <v>0</v>
      </c>
      <c r="L37" s="378"/>
      <c r="M37" s="379"/>
      <c r="N37" s="380"/>
      <c r="O37" s="381"/>
      <c r="P37" s="382"/>
      <c r="Q37" s="383"/>
    </row>
    <row r="38" spans="1:17" ht="13.5" thickBot="1" x14ac:dyDescent="0.25">
      <c r="A38" s="353" t="s">
        <v>0</v>
      </c>
      <c r="B38" s="354" t="s">
        <v>1</v>
      </c>
      <c r="C38" s="939" t="s">
        <v>656</v>
      </c>
      <c r="D38" s="939"/>
      <c r="E38" s="939"/>
      <c r="F38" s="939"/>
      <c r="G38" s="939" t="s">
        <v>34</v>
      </c>
      <c r="H38" s="939"/>
      <c r="I38" s="939"/>
      <c r="J38" s="355"/>
      <c r="K38" s="523"/>
      <c r="L38" s="391"/>
      <c r="M38" s="392"/>
      <c r="N38" s="393"/>
      <c r="O38" s="381"/>
      <c r="P38" s="382"/>
      <c r="Q38" s="383"/>
    </row>
    <row r="39" spans="1:17" ht="16.5" thickBot="1" x14ac:dyDescent="0.3">
      <c r="A39" s="394" t="s">
        <v>158</v>
      </c>
      <c r="B39" s="395" t="s">
        <v>534</v>
      </c>
      <c r="C39" s="396" t="s">
        <v>19</v>
      </c>
      <c r="D39" s="397" t="s">
        <v>33</v>
      </c>
      <c r="E39" s="398" t="s">
        <v>35</v>
      </c>
      <c r="F39" s="399" t="s">
        <v>30</v>
      </c>
      <c r="G39" s="533" t="s">
        <v>14</v>
      </c>
      <c r="H39" s="398" t="s">
        <v>35</v>
      </c>
      <c r="I39" s="399" t="s">
        <v>30</v>
      </c>
      <c r="J39" s="364" t="s">
        <v>659</v>
      </c>
      <c r="K39" s="534" t="s">
        <v>38</v>
      </c>
      <c r="L39" s="402"/>
      <c r="M39" s="408"/>
      <c r="N39" s="409"/>
      <c r="O39" s="410"/>
      <c r="P39" s="411"/>
      <c r="Q39" s="383"/>
    </row>
    <row r="40" spans="1:17" x14ac:dyDescent="0.2">
      <c r="A40" s="405"/>
      <c r="B40" s="406"/>
      <c r="C40" s="371"/>
      <c r="D40" s="372" t="s">
        <v>21</v>
      </c>
      <c r="E40" s="253">
        <v>0</v>
      </c>
      <c r="F40" s="373">
        <f t="shared" ref="F40:F46" si="6">C40*E40</f>
        <v>0</v>
      </c>
      <c r="G40" s="529"/>
      <c r="H40" s="375">
        <v>0</v>
      </c>
      <c r="I40" s="373">
        <f t="shared" ref="I40:I46" si="7">G40*H40</f>
        <v>0</v>
      </c>
      <c r="J40" s="376"/>
      <c r="K40" s="530">
        <f t="shared" ref="K40:K46" si="8">F40+I40+J40</f>
        <v>0</v>
      </c>
      <c r="L40" s="378"/>
      <c r="M40" s="255"/>
      <c r="N40" s="421"/>
      <c r="O40" s="410"/>
      <c r="P40" s="411"/>
      <c r="Q40" s="383"/>
    </row>
    <row r="41" spans="1:17" x14ac:dyDescent="0.2">
      <c r="A41" s="370"/>
      <c r="B41" s="5" t="s">
        <v>781</v>
      </c>
      <c r="C41" s="371"/>
      <c r="D41" s="372" t="s">
        <v>752</v>
      </c>
      <c r="E41" s="253">
        <v>65</v>
      </c>
      <c r="F41" s="373">
        <f t="shared" si="6"/>
        <v>0</v>
      </c>
      <c r="G41" s="529"/>
      <c r="H41" s="375">
        <v>0</v>
      </c>
      <c r="I41" s="373">
        <f t="shared" si="7"/>
        <v>0</v>
      </c>
      <c r="J41" s="376"/>
      <c r="K41" s="530">
        <f t="shared" si="8"/>
        <v>0</v>
      </c>
      <c r="L41" s="378"/>
      <c r="M41" s="255"/>
      <c r="N41" s="421"/>
      <c r="O41" s="410"/>
      <c r="P41" s="411"/>
      <c r="Q41" s="383"/>
    </row>
    <row r="42" spans="1:17" x14ac:dyDescent="0.2">
      <c r="A42" s="370"/>
      <c r="B42" s="5"/>
      <c r="C42" s="371"/>
      <c r="D42" s="372" t="s">
        <v>21</v>
      </c>
      <c r="E42" s="253">
        <v>0</v>
      </c>
      <c r="F42" s="373">
        <f t="shared" si="6"/>
        <v>0</v>
      </c>
      <c r="G42" s="529"/>
      <c r="H42" s="375">
        <v>0</v>
      </c>
      <c r="I42" s="373">
        <f t="shared" si="7"/>
        <v>0</v>
      </c>
      <c r="J42" s="376"/>
      <c r="K42" s="530">
        <f t="shared" si="8"/>
        <v>0</v>
      </c>
      <c r="L42" s="378"/>
      <c r="M42" s="255"/>
      <c r="N42" s="421"/>
      <c r="O42" s="410"/>
      <c r="P42" s="411"/>
      <c r="Q42" s="383"/>
    </row>
    <row r="43" spans="1:17" x14ac:dyDescent="0.2">
      <c r="A43" s="370"/>
      <c r="B43" s="5" t="s">
        <v>782</v>
      </c>
      <c r="C43" s="371"/>
      <c r="D43" s="372" t="s">
        <v>752</v>
      </c>
      <c r="E43" s="253">
        <v>35</v>
      </c>
      <c r="F43" s="373">
        <f t="shared" si="6"/>
        <v>0</v>
      </c>
      <c r="G43" s="529"/>
      <c r="H43" s="375">
        <v>0</v>
      </c>
      <c r="I43" s="373">
        <f t="shared" si="7"/>
        <v>0</v>
      </c>
      <c r="J43" s="376"/>
      <c r="K43" s="530">
        <f t="shared" si="8"/>
        <v>0</v>
      </c>
      <c r="L43" s="378"/>
      <c r="M43" s="255"/>
      <c r="N43" s="421"/>
      <c r="O43" s="410"/>
      <c r="P43" s="411"/>
      <c r="Q43" s="383"/>
    </row>
    <row r="44" spans="1:17" x14ac:dyDescent="0.2">
      <c r="A44" s="370"/>
      <c r="B44" s="5"/>
      <c r="C44" s="371"/>
      <c r="D44" s="372" t="s">
        <v>21</v>
      </c>
      <c r="E44" s="253">
        <v>0</v>
      </c>
      <c r="F44" s="373">
        <f t="shared" si="6"/>
        <v>0</v>
      </c>
      <c r="G44" s="529"/>
      <c r="H44" s="375">
        <v>0</v>
      </c>
      <c r="I44" s="373">
        <f t="shared" si="7"/>
        <v>0</v>
      </c>
      <c r="J44" s="376"/>
      <c r="K44" s="530">
        <f t="shared" si="8"/>
        <v>0</v>
      </c>
      <c r="L44" s="378"/>
      <c r="M44" s="255"/>
      <c r="N44" s="421"/>
      <c r="O44" s="410"/>
      <c r="P44" s="411"/>
      <c r="Q44" s="383"/>
    </row>
    <row r="45" spans="1:17" x14ac:dyDescent="0.2">
      <c r="A45" s="370"/>
      <c r="B45" s="5"/>
      <c r="C45" s="371"/>
      <c r="D45" s="372" t="s">
        <v>21</v>
      </c>
      <c r="E45" s="253">
        <v>0</v>
      </c>
      <c r="F45" s="373">
        <f t="shared" si="6"/>
        <v>0</v>
      </c>
      <c r="G45" s="529"/>
      <c r="H45" s="375">
        <v>0</v>
      </c>
      <c r="I45" s="373">
        <f t="shared" si="7"/>
        <v>0</v>
      </c>
      <c r="J45" s="376"/>
      <c r="K45" s="530">
        <f t="shared" si="8"/>
        <v>0</v>
      </c>
      <c r="L45" s="378"/>
      <c r="M45" s="255"/>
      <c r="N45" s="380"/>
      <c r="O45" s="381"/>
      <c r="P45" s="382"/>
      <c r="Q45" s="383"/>
    </row>
    <row r="46" spans="1:17" x14ac:dyDescent="0.2">
      <c r="A46" s="370"/>
      <c r="B46" s="5"/>
      <c r="C46" s="371"/>
      <c r="D46" s="372" t="s">
        <v>21</v>
      </c>
      <c r="E46" s="253">
        <v>0</v>
      </c>
      <c r="F46" s="373">
        <f t="shared" si="6"/>
        <v>0</v>
      </c>
      <c r="G46" s="529"/>
      <c r="H46" s="375">
        <v>0</v>
      </c>
      <c r="I46" s="373">
        <f t="shared" si="7"/>
        <v>0</v>
      </c>
      <c r="J46" s="376"/>
      <c r="K46" s="530">
        <f t="shared" si="8"/>
        <v>0</v>
      </c>
      <c r="L46" s="536"/>
      <c r="M46" s="255"/>
      <c r="N46" s="537"/>
      <c r="O46" s="381"/>
      <c r="P46" s="382"/>
      <c r="Q46" s="383"/>
    </row>
    <row r="47" spans="1:17" ht="13.5" thickBot="1" x14ac:dyDescent="0.25">
      <c r="A47" s="387"/>
      <c r="B47" s="5"/>
      <c r="C47" s="388"/>
      <c r="D47" s="372"/>
      <c r="E47" s="253"/>
      <c r="F47" s="373"/>
      <c r="G47" s="529"/>
      <c r="H47" s="375"/>
      <c r="I47" s="373"/>
      <c r="J47" s="376"/>
      <c r="K47" s="535"/>
      <c r="L47" s="538"/>
      <c r="M47" s="255"/>
      <c r="N47" s="539"/>
      <c r="O47" s="381"/>
      <c r="P47" s="411"/>
      <c r="Q47" s="383"/>
    </row>
    <row r="48" spans="1:17" ht="14.25" thickTop="1" thickBot="1" x14ac:dyDescent="0.25">
      <c r="A48" s="387"/>
      <c r="B48" s="412"/>
      <c r="C48" s="388"/>
      <c r="D48" s="372"/>
      <c r="E48" s="253"/>
      <c r="F48" s="373"/>
      <c r="G48" s="529"/>
      <c r="H48" s="375"/>
      <c r="I48" s="373"/>
      <c r="J48" s="389" t="s">
        <v>30</v>
      </c>
      <c r="K48" s="532">
        <f>SUM(K40:K47)</f>
        <v>0</v>
      </c>
      <c r="L48" s="536"/>
      <c r="M48" s="255"/>
      <c r="N48" s="537"/>
      <c r="O48" s="540"/>
      <c r="P48" s="541"/>
      <c r="Q48" s="383"/>
    </row>
    <row r="49" spans="1:17" ht="14.1" customHeight="1" thickTop="1" x14ac:dyDescent="0.25">
      <c r="A49" s="478"/>
      <c r="B49" s="479"/>
      <c r="C49" s="480"/>
      <c r="D49" s="480"/>
      <c r="E49" s="481"/>
      <c r="F49" s="969" t="s">
        <v>658</v>
      </c>
      <c r="G49" s="992" t="s">
        <v>684</v>
      </c>
      <c r="H49" s="481"/>
      <c r="I49" s="962" t="s">
        <v>657</v>
      </c>
      <c r="J49" s="958" t="s">
        <v>685</v>
      </c>
      <c r="K49" s="994" t="s">
        <v>31</v>
      </c>
      <c r="L49" s="542"/>
      <c r="M49" s="543"/>
      <c r="N49" s="544"/>
      <c r="O49" s="545"/>
      <c r="P49" s="545"/>
      <c r="Q49" s="546"/>
    </row>
    <row r="50" spans="1:17" ht="15" x14ac:dyDescent="0.2">
      <c r="A50" s="482" t="s">
        <v>32</v>
      </c>
      <c r="B50" s="964" t="s">
        <v>23</v>
      </c>
      <c r="C50" s="483"/>
      <c r="D50" s="484"/>
      <c r="E50" s="484"/>
      <c r="F50" s="970"/>
      <c r="G50" s="993"/>
      <c r="H50" s="485"/>
      <c r="I50" s="963"/>
      <c r="J50" s="959"/>
      <c r="K50" s="995"/>
      <c r="L50" s="547"/>
      <c r="M50" s="255"/>
      <c r="O50" s="548"/>
      <c r="P50" s="548"/>
      <c r="Q50" s="549"/>
    </row>
    <row r="51" spans="1:17" ht="15" x14ac:dyDescent="0.25">
      <c r="A51" s="825">
        <f>K51/E6</f>
        <v>0</v>
      </c>
      <c r="B51" s="964"/>
      <c r="C51" s="484"/>
      <c r="D51" s="484"/>
      <c r="E51" s="484"/>
      <c r="F51" s="952">
        <f>SUM(F13:F25,F40:F47,F29:F35)</f>
        <v>0</v>
      </c>
      <c r="G51" s="997">
        <f>SUM(G13:G25,G40:G47,G29:G35)</f>
        <v>0</v>
      </c>
      <c r="H51" s="485"/>
      <c r="I51" s="952">
        <f>SUM(I13:I25,I40:I47,I29:I35)</f>
        <v>0</v>
      </c>
      <c r="J51" s="952">
        <f>SUM(J13:J25,J40:J47,J29:J35)</f>
        <v>0</v>
      </c>
      <c r="K51" s="960">
        <f>SUM(K48,K26,K37)</f>
        <v>0</v>
      </c>
      <c r="L51" s="547"/>
      <c r="M51" s="255"/>
      <c r="O51" s="548"/>
      <c r="P51" s="548"/>
      <c r="Q51" s="549"/>
    </row>
    <row r="52" spans="1:17" ht="15" thickBot="1" x14ac:dyDescent="0.25">
      <c r="A52" s="482"/>
      <c r="B52" s="550"/>
      <c r="C52" s="488"/>
      <c r="D52" s="488"/>
      <c r="E52" s="488"/>
      <c r="F52" s="953"/>
      <c r="G52" s="998"/>
      <c r="H52" s="488"/>
      <c r="I52" s="953"/>
      <c r="J52" s="953"/>
      <c r="K52" s="961"/>
      <c r="L52" s="547"/>
      <c r="M52" s="255"/>
      <c r="O52" s="548"/>
      <c r="P52" s="548"/>
      <c r="Q52" s="549"/>
    </row>
    <row r="53" spans="1:17" ht="13.5" thickBot="1" x14ac:dyDescent="0.25">
      <c r="A53" s="489"/>
      <c r="B53" s="490"/>
      <c r="C53" s="490"/>
      <c r="D53" s="490"/>
      <c r="E53" s="490"/>
      <c r="F53" s="490"/>
      <c r="G53" s="490"/>
      <c r="H53" s="490"/>
      <c r="I53" s="490"/>
      <c r="J53" s="490"/>
      <c r="K53" s="490"/>
      <c r="L53" s="547"/>
      <c r="M53" s="255"/>
      <c r="O53" s="548"/>
      <c r="P53" s="548"/>
      <c r="Q53" s="549"/>
    </row>
    <row r="54" spans="1:17" x14ac:dyDescent="0.2">
      <c r="M54" s="255"/>
      <c r="O54" s="548"/>
      <c r="P54" s="548"/>
      <c r="Q54" s="549"/>
    </row>
    <row r="55" spans="1:17" x14ac:dyDescent="0.2">
      <c r="M55" s="255"/>
      <c r="O55" s="548"/>
      <c r="P55" s="548"/>
      <c r="Q55" s="549"/>
    </row>
    <row r="56" spans="1:17" x14ac:dyDescent="0.2">
      <c r="M56" s="255"/>
      <c r="O56" s="549"/>
      <c r="P56" s="549"/>
      <c r="Q56" s="549"/>
    </row>
    <row r="57" spans="1:17" x14ac:dyDescent="0.2">
      <c r="M57" s="255"/>
      <c r="O57" s="548"/>
      <c r="P57" s="548"/>
      <c r="Q57" s="549"/>
    </row>
    <row r="58" spans="1:17" x14ac:dyDescent="0.2">
      <c r="M58" s="255"/>
      <c r="O58" s="548"/>
      <c r="P58" s="548"/>
      <c r="Q58" s="549"/>
    </row>
    <row r="59" spans="1:17" x14ac:dyDescent="0.2">
      <c r="M59" s="255"/>
      <c r="O59" s="548"/>
      <c r="P59" s="548"/>
      <c r="Q59" s="549"/>
    </row>
    <row r="60" spans="1:17" x14ac:dyDescent="0.2">
      <c r="M60" s="255"/>
      <c r="O60" s="548"/>
      <c r="P60" s="548"/>
      <c r="Q60" s="549"/>
    </row>
    <row r="61" spans="1:17" x14ac:dyDescent="0.2">
      <c r="M61" s="255"/>
      <c r="O61" s="548"/>
      <c r="P61" s="548"/>
      <c r="Q61" s="549"/>
    </row>
    <row r="62" spans="1:17" x14ac:dyDescent="0.2">
      <c r="M62" s="255"/>
      <c r="O62" s="548"/>
      <c r="P62" s="548"/>
      <c r="Q62" s="549"/>
    </row>
    <row r="63" spans="1:17" x14ac:dyDescent="0.2">
      <c r="M63" s="255"/>
      <c r="O63" s="548"/>
      <c r="P63" s="548"/>
      <c r="Q63" s="549"/>
    </row>
    <row r="64" spans="1:17" x14ac:dyDescent="0.2">
      <c r="M64" s="255"/>
      <c r="O64" s="548"/>
      <c r="P64" s="548"/>
      <c r="Q64" s="549"/>
    </row>
    <row r="65" spans="13:17" x14ac:dyDescent="0.2">
      <c r="M65" s="255"/>
      <c r="O65" s="548"/>
      <c r="P65" s="548"/>
      <c r="Q65" s="549"/>
    </row>
    <row r="66" spans="13:17" x14ac:dyDescent="0.2">
      <c r="M66" s="255"/>
      <c r="O66" s="548"/>
      <c r="P66" s="548"/>
      <c r="Q66" s="549"/>
    </row>
    <row r="67" spans="13:17" x14ac:dyDescent="0.2">
      <c r="M67" s="255"/>
      <c r="O67" s="548"/>
      <c r="P67" s="548"/>
      <c r="Q67" s="549"/>
    </row>
    <row r="68" spans="13:17" x14ac:dyDescent="0.2">
      <c r="M68" s="255"/>
      <c r="O68" s="548"/>
      <c r="P68" s="548"/>
      <c r="Q68" s="549"/>
    </row>
    <row r="69" spans="13:17" x14ac:dyDescent="0.2">
      <c r="M69" s="255"/>
      <c r="O69" s="548"/>
      <c r="P69" s="548"/>
      <c r="Q69" s="549"/>
    </row>
    <row r="70" spans="13:17" x14ac:dyDescent="0.2">
      <c r="M70" s="255"/>
      <c r="O70" s="548"/>
      <c r="P70" s="548"/>
      <c r="Q70" s="549"/>
    </row>
    <row r="71" spans="13:17" x14ac:dyDescent="0.2">
      <c r="M71" s="255"/>
      <c r="O71" s="548"/>
      <c r="P71" s="548"/>
      <c r="Q71" s="549"/>
    </row>
    <row r="72" spans="13:17" x14ac:dyDescent="0.2">
      <c r="M72" s="255"/>
      <c r="O72" s="548"/>
      <c r="P72" s="548"/>
      <c r="Q72" s="549"/>
    </row>
    <row r="73" spans="13:17" x14ac:dyDescent="0.2">
      <c r="M73" s="255"/>
      <c r="O73" s="548"/>
      <c r="P73" s="548"/>
      <c r="Q73" s="549"/>
    </row>
    <row r="74" spans="13:17" x14ac:dyDescent="0.2">
      <c r="M74" s="255"/>
      <c r="O74" s="548"/>
      <c r="P74" s="548"/>
      <c r="Q74" s="549"/>
    </row>
    <row r="75" spans="13:17" x14ac:dyDescent="0.2">
      <c r="M75" s="255"/>
      <c r="O75" s="548"/>
      <c r="P75" s="548"/>
      <c r="Q75" s="549"/>
    </row>
    <row r="76" spans="13:17" x14ac:dyDescent="0.2">
      <c r="M76" s="255"/>
      <c r="O76" s="548"/>
      <c r="P76" s="548"/>
      <c r="Q76" s="549"/>
    </row>
    <row r="77" spans="13:17" x14ac:dyDescent="0.2">
      <c r="M77" s="255"/>
      <c r="O77" s="548"/>
      <c r="P77" s="548"/>
      <c r="Q77" s="549"/>
    </row>
    <row r="78" spans="13:17" x14ac:dyDescent="0.2">
      <c r="M78" s="255"/>
      <c r="O78" s="548"/>
      <c r="P78" s="548"/>
      <c r="Q78" s="549"/>
    </row>
    <row r="79" spans="13:17" x14ac:dyDescent="0.2">
      <c r="M79" s="255"/>
      <c r="O79" s="548"/>
      <c r="P79" s="548"/>
      <c r="Q79" s="549"/>
    </row>
    <row r="80" spans="13:17" x14ac:dyDescent="0.2">
      <c r="M80" s="255"/>
      <c r="O80" s="548"/>
      <c r="P80" s="548"/>
      <c r="Q80" s="549"/>
    </row>
    <row r="81" spans="13:17" x14ac:dyDescent="0.2">
      <c r="M81" s="255"/>
      <c r="O81" s="548"/>
      <c r="P81" s="548"/>
      <c r="Q81" s="549"/>
    </row>
    <row r="82" spans="13:17" x14ac:dyDescent="0.2">
      <c r="M82" s="255"/>
      <c r="O82" s="548"/>
      <c r="P82" s="548"/>
      <c r="Q82" s="549"/>
    </row>
    <row r="83" spans="13:17" x14ac:dyDescent="0.2">
      <c r="M83" s="255"/>
      <c r="O83" s="548"/>
      <c r="P83" s="548"/>
      <c r="Q83" s="549"/>
    </row>
    <row r="84" spans="13:17" x14ac:dyDescent="0.2">
      <c r="M84" s="255"/>
      <c r="O84" s="548"/>
      <c r="P84" s="548"/>
      <c r="Q84" s="549"/>
    </row>
    <row r="85" spans="13:17" x14ac:dyDescent="0.2">
      <c r="M85" s="255"/>
      <c r="O85" s="548"/>
      <c r="P85" s="548"/>
      <c r="Q85" s="549"/>
    </row>
    <row r="86" spans="13:17" x14ac:dyDescent="0.2">
      <c r="M86" s="255"/>
      <c r="O86" s="548"/>
      <c r="P86" s="548"/>
      <c r="Q86" s="549"/>
    </row>
    <row r="87" spans="13:17" x14ac:dyDescent="0.2">
      <c r="M87" s="255"/>
      <c r="O87" s="548"/>
      <c r="P87" s="548"/>
      <c r="Q87" s="549"/>
    </row>
    <row r="88" spans="13:17" x14ac:dyDescent="0.2">
      <c r="M88" s="255"/>
      <c r="O88" s="548"/>
      <c r="P88" s="548"/>
      <c r="Q88" s="549"/>
    </row>
    <row r="89" spans="13:17" x14ac:dyDescent="0.2">
      <c r="M89" s="255"/>
      <c r="O89" s="548"/>
      <c r="P89" s="548"/>
      <c r="Q89" s="549"/>
    </row>
    <row r="90" spans="13:17" x14ac:dyDescent="0.2">
      <c r="M90" s="255"/>
      <c r="O90" s="548"/>
      <c r="P90" s="548"/>
      <c r="Q90" s="549"/>
    </row>
    <row r="91" spans="13:17" x14ac:dyDescent="0.2">
      <c r="M91" s="255"/>
      <c r="O91" s="548"/>
      <c r="P91" s="548"/>
      <c r="Q91" s="549"/>
    </row>
    <row r="92" spans="13:17" x14ac:dyDescent="0.2">
      <c r="M92" s="255"/>
      <c r="O92" s="548"/>
      <c r="P92" s="548"/>
      <c r="Q92" s="549"/>
    </row>
    <row r="93" spans="13:17" x14ac:dyDescent="0.2">
      <c r="M93" s="255"/>
      <c r="O93" s="548"/>
      <c r="P93" s="548"/>
      <c r="Q93" s="549"/>
    </row>
    <row r="94" spans="13:17" x14ac:dyDescent="0.2">
      <c r="M94" s="255"/>
      <c r="O94" s="548"/>
      <c r="P94" s="548"/>
      <c r="Q94" s="549"/>
    </row>
    <row r="95" spans="13:17" x14ac:dyDescent="0.2">
      <c r="M95" s="255"/>
      <c r="O95" s="548"/>
      <c r="P95" s="548"/>
      <c r="Q95" s="549"/>
    </row>
    <row r="96" spans="13:17" x14ac:dyDescent="0.2">
      <c r="M96" s="255"/>
      <c r="O96" s="548"/>
      <c r="P96" s="548"/>
      <c r="Q96" s="549"/>
    </row>
    <row r="97" spans="13:17" x14ac:dyDescent="0.2">
      <c r="M97" s="255"/>
      <c r="O97" s="548"/>
      <c r="P97" s="548"/>
      <c r="Q97" s="549"/>
    </row>
    <row r="98" spans="13:17" x14ac:dyDescent="0.2">
      <c r="M98" s="255"/>
      <c r="O98" s="548"/>
      <c r="P98" s="548"/>
      <c r="Q98" s="549"/>
    </row>
  </sheetData>
  <mergeCells count="51">
    <mergeCell ref="C8:F8"/>
    <mergeCell ref="G8:I8"/>
    <mergeCell ref="A3:B3"/>
    <mergeCell ref="A4:B4"/>
    <mergeCell ref="L6:M6"/>
    <mergeCell ref="A7:K7"/>
    <mergeCell ref="N6:P6"/>
    <mergeCell ref="L3:M3"/>
    <mergeCell ref="N3:P3"/>
    <mergeCell ref="L4:M4"/>
    <mergeCell ref="N4:P4"/>
    <mergeCell ref="L5:M5"/>
    <mergeCell ref="N5:P5"/>
    <mergeCell ref="C1:K1"/>
    <mergeCell ref="D2:F2"/>
    <mergeCell ref="D3:F3"/>
    <mergeCell ref="D4:F4"/>
    <mergeCell ref="G5:I6"/>
    <mergeCell ref="J5:K5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B50:B51"/>
    <mergeCell ref="C38:F38"/>
    <mergeCell ref="G38:I38"/>
    <mergeCell ref="H9:H10"/>
    <mergeCell ref="I9:I10"/>
    <mergeCell ref="F51:F52"/>
    <mergeCell ref="G51:G52"/>
    <mergeCell ref="I51:I52"/>
    <mergeCell ref="C27:F27"/>
    <mergeCell ref="G27:I27"/>
    <mergeCell ref="J51:J52"/>
    <mergeCell ref="K51:K52"/>
    <mergeCell ref="F49:F50"/>
    <mergeCell ref="G49:G50"/>
    <mergeCell ref="I49:I50"/>
    <mergeCell ref="J49:J50"/>
    <mergeCell ref="K49:K50"/>
    <mergeCell ref="Q11:Q12"/>
    <mergeCell ref="L11:L12"/>
    <mergeCell ref="M11:M12"/>
    <mergeCell ref="N11:N12"/>
    <mergeCell ref="O11:O12"/>
    <mergeCell ref="P11:P12"/>
  </mergeCells>
  <phoneticPr fontId="5" type="noConversion"/>
  <printOptions horizontalCentered="1"/>
  <pageMargins left="0.7" right="0.7" top="0.75" bottom="0.75" header="0.5" footer="0.5"/>
  <pageSetup scale="62" fitToHeight="6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AA89"/>
  <sheetViews>
    <sheetView topLeftCell="B55" zoomScaleNormal="100" zoomScaleSheetLayoutView="90" zoomScalePageLayoutView="75" workbookViewId="0">
      <selection activeCell="J14" sqref="J14"/>
    </sheetView>
  </sheetViews>
  <sheetFormatPr defaultColWidth="9.140625" defaultRowHeight="12.75" x14ac:dyDescent="0.2"/>
  <cols>
    <col min="1" max="1" width="12.140625" style="157" customWidth="1"/>
    <col min="2" max="2" width="45.42578125" style="157" customWidth="1"/>
    <col min="3" max="3" width="8.42578125" style="577" customWidth="1"/>
    <col min="4" max="4" width="5" style="372" customWidth="1"/>
    <col min="5" max="5" width="11.42578125" style="157" customWidth="1"/>
    <col min="6" max="6" width="12.5703125" style="157" customWidth="1"/>
    <col min="7" max="7" width="7" style="578" customWidth="1"/>
    <col min="8" max="8" width="11.42578125" style="157" customWidth="1"/>
    <col min="9" max="9" width="12.5703125" style="157" customWidth="1"/>
    <col min="10" max="10" width="16.140625" style="157" customWidth="1"/>
    <col min="11" max="11" width="15.7109375" style="157" bestFit="1" customWidth="1"/>
    <col min="12" max="12" width="17.85546875" style="159" bestFit="1" customWidth="1"/>
    <col min="13" max="13" width="14" style="276" bestFit="1" customWidth="1"/>
    <col min="14" max="14" width="24.85546875" style="157" bestFit="1" customWidth="1"/>
    <col min="15" max="15" width="22" style="302" bestFit="1" customWidth="1"/>
    <col min="16" max="16" width="22.140625" style="302" bestFit="1" customWidth="1"/>
    <col min="17" max="17" width="18.140625" style="157" bestFit="1" customWidth="1"/>
    <col min="18" max="18" width="9.140625" style="157"/>
    <col min="19" max="19" width="13.5703125" style="157" customWidth="1"/>
    <col min="20" max="20" width="9.140625" style="157"/>
    <col min="21" max="21" width="13.42578125" style="157" customWidth="1"/>
    <col min="22" max="22" width="12.5703125" style="157" customWidth="1"/>
    <col min="23" max="23" width="29" style="157" bestFit="1" customWidth="1"/>
    <col min="24" max="16384" width="9.140625" style="157"/>
  </cols>
  <sheetData>
    <row r="1" spans="1:17" ht="18.75" thickBot="1" x14ac:dyDescent="0.3">
      <c r="A1" s="322"/>
      <c r="B1" s="323"/>
      <c r="C1" s="976">
        <f>'Estimate Summary'!C1:H1</f>
        <v>0</v>
      </c>
      <c r="D1" s="976"/>
      <c r="E1" s="976"/>
      <c r="F1" s="976"/>
      <c r="G1" s="976"/>
      <c r="H1" s="976"/>
      <c r="I1" s="976"/>
      <c r="J1" s="976"/>
      <c r="K1" s="977"/>
    </row>
    <row r="2" spans="1:17" ht="13.5" thickBot="1" x14ac:dyDescent="0.25">
      <c r="A2" s="324"/>
      <c r="B2" s="325"/>
      <c r="C2" s="514"/>
      <c r="D2" s="984"/>
      <c r="E2" s="984"/>
      <c r="F2" s="984"/>
      <c r="G2" s="514"/>
      <c r="H2" s="327"/>
      <c r="I2" s="328"/>
      <c r="J2" s="329"/>
      <c r="K2" s="330"/>
    </row>
    <row r="3" spans="1:17" ht="16.5" thickBot="1" x14ac:dyDescent="0.3">
      <c r="A3" s="973"/>
      <c r="B3" s="974"/>
      <c r="C3" s="514"/>
      <c r="D3" s="984"/>
      <c r="E3" s="984"/>
      <c r="F3" s="984"/>
      <c r="G3" s="515"/>
      <c r="H3" s="332"/>
      <c r="I3" s="333"/>
      <c r="J3" s="333"/>
      <c r="K3" s="334"/>
      <c r="L3" s="1002"/>
      <c r="M3" s="1003"/>
      <c r="N3" s="985"/>
      <c r="O3" s="985"/>
      <c r="P3" s="935"/>
    </row>
    <row r="4" spans="1:17" ht="18.75" thickBot="1" x14ac:dyDescent="0.25">
      <c r="A4" s="973"/>
      <c r="B4" s="974"/>
      <c r="C4" s="514"/>
      <c r="D4" s="984"/>
      <c r="E4" s="984"/>
      <c r="F4" s="984"/>
      <c r="G4" s="336"/>
      <c r="H4" s="336"/>
      <c r="I4" s="328"/>
      <c r="J4" s="329"/>
      <c r="K4" s="330"/>
      <c r="L4" s="1002"/>
      <c r="M4" s="1003"/>
      <c r="N4" s="985"/>
      <c r="O4" s="985"/>
      <c r="P4" s="935"/>
    </row>
    <row r="5" spans="1:17" ht="21" thickBot="1" x14ac:dyDescent="0.3">
      <c r="A5" s="337"/>
      <c r="B5" s="338"/>
      <c r="C5" s="516"/>
      <c r="D5" s="340"/>
      <c r="E5" s="341"/>
      <c r="F5" s="336"/>
      <c r="G5" s="983" t="s">
        <v>4</v>
      </c>
      <c r="H5" s="983"/>
      <c r="I5" s="983"/>
      <c r="J5" s="981" t="s">
        <v>73</v>
      </c>
      <c r="K5" s="982"/>
      <c r="L5" s="1002"/>
      <c r="M5" s="1003"/>
      <c r="N5" s="985"/>
      <c r="O5" s="985"/>
      <c r="P5" s="935"/>
    </row>
    <row r="6" spans="1:17" ht="21" thickBot="1" x14ac:dyDescent="0.25">
      <c r="A6" s="337"/>
      <c r="B6" s="338"/>
      <c r="C6" s="517"/>
      <c r="D6" s="343" t="str">
        <f>'Estimate Summary'!C11</f>
        <v>Area:</v>
      </c>
      <c r="E6" s="344">
        <f>'Estimate Summary'!D11</f>
        <v>65592</v>
      </c>
      <c r="F6" s="238" t="str">
        <f>'Estimate Summary'!E11</f>
        <v>Sq. Ft.</v>
      </c>
      <c r="G6" s="983"/>
      <c r="H6" s="983"/>
      <c r="I6" s="983"/>
      <c r="J6" s="345">
        <f>'1'!J6</f>
        <v>60</v>
      </c>
      <c r="K6" s="330" t="s">
        <v>74</v>
      </c>
      <c r="L6" s="1002"/>
      <c r="M6" s="1003"/>
      <c r="N6" s="985"/>
      <c r="O6" s="985"/>
      <c r="P6" s="935"/>
    </row>
    <row r="7" spans="1:17" x14ac:dyDescent="0.2">
      <c r="A7" s="978"/>
      <c r="B7" s="979"/>
      <c r="C7" s="979"/>
      <c r="D7" s="979"/>
      <c r="E7" s="979"/>
      <c r="F7" s="979"/>
      <c r="G7" s="979"/>
      <c r="H7" s="979"/>
      <c r="I7" s="979"/>
      <c r="J7" s="979"/>
      <c r="K7" s="980"/>
    </row>
    <row r="8" spans="1:17" x14ac:dyDescent="0.2">
      <c r="A8" s="346"/>
      <c r="B8" s="347"/>
      <c r="C8" s="972"/>
      <c r="D8" s="972"/>
      <c r="E8" s="972"/>
      <c r="F8" s="972"/>
      <c r="G8" s="971"/>
      <c r="H8" s="971"/>
      <c r="I8" s="971"/>
      <c r="J8" s="348"/>
      <c r="K8" s="349"/>
      <c r="L8" s="518"/>
      <c r="M8" s="519"/>
      <c r="N8" s="518"/>
      <c r="O8" s="520"/>
      <c r="P8" s="520"/>
    </row>
    <row r="9" spans="1:17" x14ac:dyDescent="0.2">
      <c r="A9" s="521"/>
      <c r="B9" s="203"/>
      <c r="C9" s="1000"/>
      <c r="D9" s="1000"/>
      <c r="E9" s="996"/>
      <c r="F9" s="996"/>
      <c r="G9" s="1001"/>
      <c r="H9" s="996"/>
      <c r="I9" s="996"/>
      <c r="J9" s="996"/>
      <c r="K9" s="999"/>
      <c r="L9" s="468"/>
      <c r="M9" s="467"/>
      <c r="N9" s="413"/>
      <c r="O9" s="414"/>
      <c r="P9" s="414"/>
    </row>
    <row r="10" spans="1:17" ht="13.5" thickBot="1" x14ac:dyDescent="0.25">
      <c r="A10" s="401"/>
      <c r="B10" s="522"/>
      <c r="C10" s="1000"/>
      <c r="D10" s="1000"/>
      <c r="E10" s="996"/>
      <c r="F10" s="996"/>
      <c r="G10" s="1001"/>
      <c r="H10" s="996"/>
      <c r="I10" s="996"/>
      <c r="J10" s="996"/>
      <c r="K10" s="999"/>
      <c r="L10" s="468"/>
      <c r="M10" s="467"/>
      <c r="N10" s="413"/>
      <c r="O10" s="414"/>
      <c r="P10" s="414"/>
    </row>
    <row r="11" spans="1:17" ht="14.25" thickTop="1" thickBot="1" x14ac:dyDescent="0.25">
      <c r="A11" s="353" t="s">
        <v>0</v>
      </c>
      <c r="B11" s="354" t="s">
        <v>1</v>
      </c>
      <c r="C11" s="939" t="s">
        <v>656</v>
      </c>
      <c r="D11" s="939"/>
      <c r="E11" s="939"/>
      <c r="F11" s="939"/>
      <c r="G11" s="939" t="s">
        <v>34</v>
      </c>
      <c r="H11" s="939"/>
      <c r="I11" s="939"/>
      <c r="J11" s="355"/>
      <c r="K11" s="523"/>
      <c r="L11" s="942" t="s">
        <v>783</v>
      </c>
      <c r="M11" s="944" t="s">
        <v>784</v>
      </c>
      <c r="N11" s="946" t="s">
        <v>785</v>
      </c>
      <c r="O11" s="948"/>
      <c r="P11" s="950"/>
      <c r="Q11" s="940"/>
    </row>
    <row r="12" spans="1:17" ht="15.75" x14ac:dyDescent="0.25">
      <c r="A12" s="525" t="s">
        <v>160</v>
      </c>
      <c r="B12" s="525" t="s">
        <v>161</v>
      </c>
      <c r="C12" s="359" t="s">
        <v>19</v>
      </c>
      <c r="D12" s="360" t="s">
        <v>33</v>
      </c>
      <c r="E12" s="361" t="s">
        <v>35</v>
      </c>
      <c r="F12" s="362" t="s">
        <v>30</v>
      </c>
      <c r="G12" s="526" t="s">
        <v>14</v>
      </c>
      <c r="H12" s="361" t="s">
        <v>35</v>
      </c>
      <c r="I12" s="362" t="s">
        <v>30</v>
      </c>
      <c r="J12" s="364" t="s">
        <v>659</v>
      </c>
      <c r="K12" s="527" t="s">
        <v>38</v>
      </c>
      <c r="L12" s="943"/>
      <c r="M12" s="945"/>
      <c r="N12" s="947"/>
      <c r="O12" s="949"/>
      <c r="P12" s="951"/>
      <c r="Q12" s="941"/>
    </row>
    <row r="13" spans="1:17" x14ac:dyDescent="0.2">
      <c r="A13" s="370" t="s">
        <v>884</v>
      </c>
      <c r="B13" s="10" t="s">
        <v>883</v>
      </c>
      <c r="C13" s="371"/>
      <c r="E13" s="253"/>
      <c r="F13" s="373"/>
      <c r="G13" s="529"/>
      <c r="H13" s="375"/>
      <c r="I13" s="373"/>
      <c r="J13" s="376"/>
      <c r="K13" s="530">
        <f t="shared" ref="K13:K20" si="0">F13+I13+J13</f>
        <v>0</v>
      </c>
      <c r="L13" s="378" t="s">
        <v>992</v>
      </c>
      <c r="M13" s="379">
        <v>561600</v>
      </c>
      <c r="N13" s="380"/>
      <c r="O13" s="381"/>
      <c r="P13" s="382"/>
      <c r="Q13" s="383"/>
    </row>
    <row r="14" spans="1:17" x14ac:dyDescent="0.2">
      <c r="A14" s="370" t="s">
        <v>885</v>
      </c>
      <c r="B14" s="5" t="s">
        <v>789</v>
      </c>
      <c r="C14" s="371"/>
      <c r="D14" s="372" t="s">
        <v>752</v>
      </c>
      <c r="E14" s="253">
        <v>25</v>
      </c>
      <c r="F14" s="373">
        <f t="shared" ref="F14:F20" si="1">C14*E14</f>
        <v>0</v>
      </c>
      <c r="G14" s="529"/>
      <c r="H14" s="375">
        <v>0</v>
      </c>
      <c r="I14" s="373">
        <f t="shared" ref="I14:I20" si="2">G14*H14</f>
        <v>0</v>
      </c>
      <c r="J14" s="376">
        <f>M14-M13</f>
        <v>302400</v>
      </c>
      <c r="K14" s="530">
        <f t="shared" si="0"/>
        <v>302400</v>
      </c>
      <c r="L14" s="378" t="s">
        <v>1053</v>
      </c>
      <c r="M14" s="379">
        <v>864000</v>
      </c>
      <c r="N14" s="380" t="s">
        <v>1244</v>
      </c>
      <c r="O14" s="381"/>
      <c r="P14" s="382"/>
      <c r="Q14" s="383"/>
    </row>
    <row r="15" spans="1:17" x14ac:dyDescent="0.2">
      <c r="A15" s="370" t="s">
        <v>886</v>
      </c>
      <c r="B15" s="5" t="s">
        <v>793</v>
      </c>
      <c r="C15" s="371"/>
      <c r="D15" s="372" t="s">
        <v>752</v>
      </c>
      <c r="E15" s="253">
        <v>45</v>
      </c>
      <c r="F15" s="373">
        <f t="shared" si="1"/>
        <v>0</v>
      </c>
      <c r="G15" s="529"/>
      <c r="H15" s="375">
        <v>0</v>
      </c>
      <c r="I15" s="373">
        <f t="shared" si="2"/>
        <v>0</v>
      </c>
      <c r="J15" s="376"/>
      <c r="K15" s="530">
        <f t="shared" si="0"/>
        <v>0</v>
      </c>
      <c r="L15" s="378"/>
      <c r="M15" s="379"/>
      <c r="N15" s="380"/>
      <c r="O15" s="381"/>
      <c r="P15" s="382"/>
      <c r="Q15" s="383"/>
    </row>
    <row r="16" spans="1:17" x14ac:dyDescent="0.2">
      <c r="A16" s="370" t="s">
        <v>887</v>
      </c>
      <c r="B16" s="5" t="s">
        <v>794</v>
      </c>
      <c r="C16" s="371"/>
      <c r="D16" s="372" t="s">
        <v>753</v>
      </c>
      <c r="E16" s="253">
        <v>150</v>
      </c>
      <c r="F16" s="373">
        <f t="shared" si="1"/>
        <v>0</v>
      </c>
      <c r="G16" s="529"/>
      <c r="H16" s="375">
        <v>0</v>
      </c>
      <c r="I16" s="373">
        <f t="shared" si="2"/>
        <v>0</v>
      </c>
      <c r="J16" s="376"/>
      <c r="K16" s="530">
        <f t="shared" si="0"/>
        <v>0</v>
      </c>
      <c r="L16" s="378"/>
      <c r="M16" s="379"/>
      <c r="N16" s="380"/>
      <c r="O16" s="381"/>
      <c r="P16" s="382"/>
      <c r="Q16" s="383"/>
    </row>
    <row r="17" spans="1:27" x14ac:dyDescent="0.2">
      <c r="A17" s="370"/>
      <c r="B17" s="6"/>
      <c r="C17" s="371"/>
      <c r="D17" s="372" t="s">
        <v>21</v>
      </c>
      <c r="E17" s="253">
        <v>0</v>
      </c>
      <c r="F17" s="373">
        <f t="shared" si="1"/>
        <v>0</v>
      </c>
      <c r="G17" s="529"/>
      <c r="H17" s="375">
        <v>0</v>
      </c>
      <c r="I17" s="373">
        <f t="shared" si="2"/>
        <v>0</v>
      </c>
      <c r="J17" s="376"/>
      <c r="K17" s="530">
        <f t="shared" si="0"/>
        <v>0</v>
      </c>
      <c r="L17" s="378"/>
      <c r="M17" s="379"/>
      <c r="N17" s="380"/>
      <c r="O17" s="381"/>
      <c r="P17" s="382"/>
      <c r="Q17" s="383"/>
    </row>
    <row r="18" spans="1:27" x14ac:dyDescent="0.2">
      <c r="A18" s="384"/>
      <c r="B18" s="5"/>
      <c r="C18" s="371"/>
      <c r="D18" s="372" t="s">
        <v>21</v>
      </c>
      <c r="E18" s="253">
        <v>0</v>
      </c>
      <c r="F18" s="373">
        <f t="shared" si="1"/>
        <v>0</v>
      </c>
      <c r="G18" s="529"/>
      <c r="H18" s="375">
        <v>0</v>
      </c>
      <c r="I18" s="373">
        <f t="shared" si="2"/>
        <v>0</v>
      </c>
      <c r="J18" s="376"/>
      <c r="K18" s="530">
        <f t="shared" si="0"/>
        <v>0</v>
      </c>
      <c r="L18" s="378"/>
      <c r="M18" s="379"/>
      <c r="N18" s="380"/>
      <c r="O18" s="381"/>
      <c r="P18" s="382"/>
      <c r="Q18" s="383"/>
    </row>
    <row r="19" spans="1:27" x14ac:dyDescent="0.2">
      <c r="A19" s="384"/>
      <c r="B19" s="5"/>
      <c r="C19" s="371"/>
      <c r="D19" s="372" t="s">
        <v>21</v>
      </c>
      <c r="E19" s="253">
        <v>0</v>
      </c>
      <c r="F19" s="373">
        <f t="shared" si="1"/>
        <v>0</v>
      </c>
      <c r="G19" s="529"/>
      <c r="H19" s="375">
        <v>0</v>
      </c>
      <c r="I19" s="373">
        <f t="shared" si="2"/>
        <v>0</v>
      </c>
      <c r="J19" s="376"/>
      <c r="K19" s="530">
        <f t="shared" si="0"/>
        <v>0</v>
      </c>
      <c r="L19" s="378"/>
      <c r="M19" s="379"/>
      <c r="N19" s="380"/>
      <c r="O19" s="381"/>
      <c r="P19" s="382"/>
      <c r="Q19" s="383"/>
    </row>
    <row r="20" spans="1:27" x14ac:dyDescent="0.2">
      <c r="A20" s="384"/>
      <c r="B20" s="5"/>
      <c r="C20" s="371"/>
      <c r="D20" s="372" t="s">
        <v>21</v>
      </c>
      <c r="E20" s="253">
        <v>0</v>
      </c>
      <c r="F20" s="373">
        <f t="shared" si="1"/>
        <v>0</v>
      </c>
      <c r="G20" s="529"/>
      <c r="H20" s="375">
        <v>0</v>
      </c>
      <c r="I20" s="373">
        <f t="shared" si="2"/>
        <v>0</v>
      </c>
      <c r="J20" s="376"/>
      <c r="K20" s="530">
        <f t="shared" si="0"/>
        <v>0</v>
      </c>
      <c r="L20" s="378"/>
      <c r="M20" s="379"/>
      <c r="N20" s="380"/>
      <c r="O20" s="381"/>
      <c r="P20" s="382"/>
      <c r="Q20" s="383"/>
    </row>
    <row r="21" spans="1:27" x14ac:dyDescent="0.2">
      <c r="C21" s="157"/>
      <c r="D21" s="157"/>
      <c r="G21" s="157"/>
      <c r="L21" s="378"/>
      <c r="M21" s="379"/>
      <c r="N21" s="380"/>
      <c r="O21" s="381"/>
      <c r="P21" s="382"/>
      <c r="Q21" s="383"/>
    </row>
    <row r="22" spans="1:27" x14ac:dyDescent="0.2">
      <c r="C22" s="157"/>
      <c r="D22" s="157"/>
      <c r="G22" s="157"/>
      <c r="L22" s="378"/>
      <c r="M22" s="379"/>
      <c r="N22" s="380"/>
      <c r="O22" s="381"/>
      <c r="P22" s="382"/>
      <c r="Q22" s="383"/>
    </row>
    <row r="23" spans="1:27" x14ac:dyDescent="0.2">
      <c r="A23" s="384"/>
      <c r="B23" s="5"/>
      <c r="C23" s="371"/>
      <c r="E23" s="253"/>
      <c r="F23" s="373"/>
      <c r="G23" s="529"/>
      <c r="H23" s="375"/>
      <c r="I23" s="373"/>
      <c r="J23" s="376"/>
      <c r="K23" s="530"/>
      <c r="L23" s="378"/>
      <c r="M23" s="379"/>
      <c r="N23" s="380"/>
      <c r="O23" s="381"/>
      <c r="P23" s="382"/>
      <c r="Q23" s="383"/>
    </row>
    <row r="24" spans="1:27" x14ac:dyDescent="0.2">
      <c r="A24" s="384"/>
      <c r="B24" s="5"/>
      <c r="C24" s="371"/>
      <c r="E24" s="253"/>
      <c r="F24" s="373"/>
      <c r="G24" s="529"/>
      <c r="H24" s="375"/>
      <c r="I24" s="373"/>
      <c r="J24" s="376"/>
      <c r="K24" s="530"/>
      <c r="L24" s="378"/>
      <c r="M24" s="379"/>
      <c r="N24" s="380"/>
      <c r="O24" s="381"/>
      <c r="P24" s="382"/>
      <c r="Q24" s="383"/>
    </row>
    <row r="25" spans="1:27" ht="13.5" thickBot="1" x14ac:dyDescent="0.25">
      <c r="A25" s="387"/>
      <c r="B25" s="7"/>
      <c r="C25" s="388"/>
      <c r="E25" s="253"/>
      <c r="F25" s="373"/>
      <c r="G25" s="529"/>
      <c r="H25" s="375"/>
      <c r="I25" s="373"/>
      <c r="J25" s="376"/>
      <c r="K25" s="530"/>
      <c r="L25" s="378"/>
      <c r="M25" s="379"/>
      <c r="N25" s="380"/>
      <c r="O25" s="381"/>
      <c r="P25" s="382"/>
      <c r="Q25" s="383"/>
    </row>
    <row r="26" spans="1:27" ht="13.5" thickTop="1" x14ac:dyDescent="0.2">
      <c r="A26" s="387"/>
      <c r="B26" s="7"/>
      <c r="C26" s="388"/>
      <c r="E26" s="253"/>
      <c r="F26" s="373"/>
      <c r="G26" s="529"/>
      <c r="H26" s="375"/>
      <c r="I26" s="373"/>
      <c r="J26" s="389" t="s">
        <v>30</v>
      </c>
      <c r="K26" s="532">
        <f>SUM(K13:K25)</f>
        <v>302400</v>
      </c>
      <c r="L26" s="378"/>
      <c r="M26" s="379"/>
      <c r="N26" s="380"/>
      <c r="O26" s="381"/>
      <c r="P26" s="382"/>
      <c r="Q26" s="383"/>
    </row>
    <row r="27" spans="1:27" ht="13.5" thickBot="1" x14ac:dyDescent="0.25">
      <c r="A27" s="353" t="s">
        <v>0</v>
      </c>
      <c r="B27" s="354" t="s">
        <v>1</v>
      </c>
      <c r="C27" s="939" t="s">
        <v>656</v>
      </c>
      <c r="D27" s="939"/>
      <c r="E27" s="939"/>
      <c r="F27" s="939"/>
      <c r="G27" s="939" t="s">
        <v>34</v>
      </c>
      <c r="H27" s="939"/>
      <c r="I27" s="939"/>
      <c r="J27" s="355"/>
      <c r="K27" s="523"/>
      <c r="L27" s="391"/>
      <c r="M27" s="392"/>
      <c r="N27" s="393"/>
      <c r="O27" s="381"/>
      <c r="P27" s="382"/>
      <c r="Q27" s="383"/>
    </row>
    <row r="28" spans="1:27" ht="16.5" thickBot="1" x14ac:dyDescent="0.3">
      <c r="A28" s="525" t="s">
        <v>163</v>
      </c>
      <c r="B28" s="525" t="s">
        <v>162</v>
      </c>
      <c r="C28" s="396" t="s">
        <v>19</v>
      </c>
      <c r="D28" s="397" t="s">
        <v>33</v>
      </c>
      <c r="E28" s="398" t="s">
        <v>35</v>
      </c>
      <c r="F28" s="399" t="s">
        <v>30</v>
      </c>
      <c r="G28" s="533" t="s">
        <v>14</v>
      </c>
      <c r="H28" s="398" t="s">
        <v>35</v>
      </c>
      <c r="I28" s="399" t="s">
        <v>30</v>
      </c>
      <c r="J28" s="364" t="s">
        <v>659</v>
      </c>
      <c r="K28" s="534" t="s">
        <v>38</v>
      </c>
      <c r="L28" s="402"/>
      <c r="M28" s="403"/>
      <c r="N28" s="404"/>
      <c r="O28" s="381"/>
      <c r="P28" s="382"/>
      <c r="Q28" s="383"/>
    </row>
    <row r="29" spans="1:27" ht="13.5" thickTop="1" x14ac:dyDescent="0.2">
      <c r="A29" s="405" t="s">
        <v>889</v>
      </c>
      <c r="B29" s="551" t="s">
        <v>883</v>
      </c>
      <c r="C29" s="371"/>
      <c r="E29" s="253"/>
      <c r="F29" s="373"/>
      <c r="G29" s="529"/>
      <c r="H29" s="375"/>
      <c r="I29" s="373"/>
      <c r="J29" s="376"/>
      <c r="K29" s="530">
        <f t="shared" ref="K29:K35" si="3">F29+I29+J29</f>
        <v>0</v>
      </c>
      <c r="L29" s="378"/>
      <c r="M29" s="379"/>
      <c r="N29" s="380"/>
      <c r="O29" s="381"/>
      <c r="P29" s="382"/>
      <c r="Q29" s="383"/>
      <c r="S29" s="552"/>
      <c r="T29" s="553" t="s">
        <v>829</v>
      </c>
      <c r="U29" s="1004" t="s">
        <v>827</v>
      </c>
      <c r="V29" s="1005"/>
      <c r="W29" s="554" t="s">
        <v>830</v>
      </c>
      <c r="X29" s="553"/>
      <c r="Y29" s="553"/>
      <c r="Z29" s="555"/>
    </row>
    <row r="30" spans="1:27" ht="15.75" x14ac:dyDescent="0.25">
      <c r="A30" s="370" t="s">
        <v>888</v>
      </c>
      <c r="B30" s="5" t="s">
        <v>801</v>
      </c>
      <c r="C30" s="371"/>
      <c r="D30" s="372" t="s">
        <v>21</v>
      </c>
      <c r="E30" s="253">
        <v>0</v>
      </c>
      <c r="F30" s="373">
        <f t="shared" ref="F30:F35" si="4">C30*E30</f>
        <v>0</v>
      </c>
      <c r="G30" s="529"/>
      <c r="H30" s="375">
        <v>0</v>
      </c>
      <c r="I30" s="373">
        <f t="shared" ref="I30:I35" si="5">G30*H30</f>
        <v>0</v>
      </c>
      <c r="J30" s="376"/>
      <c r="K30" s="530">
        <f t="shared" si="3"/>
        <v>0</v>
      </c>
      <c r="L30" s="378"/>
      <c r="M30" s="379"/>
      <c r="N30" s="380"/>
      <c r="O30" s="381"/>
      <c r="P30" s="382"/>
      <c r="Q30" s="383"/>
      <c r="S30" s="556"/>
      <c r="T30" s="557"/>
      <c r="U30" s="558" t="s">
        <v>790</v>
      </c>
      <c r="V30" s="558" t="s">
        <v>791</v>
      </c>
      <c r="W30" s="558" t="s">
        <v>828</v>
      </c>
      <c r="X30" s="557" t="s">
        <v>776</v>
      </c>
      <c r="Y30" s="557" t="s">
        <v>788</v>
      </c>
      <c r="Z30" s="559"/>
      <c r="AA30" s="560"/>
    </row>
    <row r="31" spans="1:27" ht="15" x14ac:dyDescent="0.25">
      <c r="A31" s="370" t="s">
        <v>890</v>
      </c>
      <c r="B31" s="5" t="s">
        <v>802</v>
      </c>
      <c r="C31" s="371"/>
      <c r="D31" s="372" t="s">
        <v>21</v>
      </c>
      <c r="E31" s="253">
        <v>0</v>
      </c>
      <c r="F31" s="373">
        <f t="shared" si="4"/>
        <v>0</v>
      </c>
      <c r="G31" s="529"/>
      <c r="H31" s="375">
        <v>0</v>
      </c>
      <c r="I31" s="373">
        <f t="shared" si="5"/>
        <v>0</v>
      </c>
      <c r="J31" s="376"/>
      <c r="K31" s="530">
        <f t="shared" si="3"/>
        <v>0</v>
      </c>
      <c r="L31" s="378"/>
      <c r="M31" s="379"/>
      <c r="N31" s="380"/>
      <c r="O31" s="381"/>
      <c r="P31" s="382"/>
      <c r="Q31" s="383"/>
      <c r="S31" s="561" t="s">
        <v>789</v>
      </c>
      <c r="T31" s="557">
        <v>1</v>
      </c>
      <c r="U31" s="557"/>
      <c r="V31" s="557"/>
      <c r="W31" s="557"/>
      <c r="X31" s="557"/>
      <c r="Y31" s="557">
        <f>U31*V31*W31*0.0000163871*X31</f>
        <v>0</v>
      </c>
      <c r="Z31" s="559"/>
    </row>
    <row r="32" spans="1:27" ht="15" x14ac:dyDescent="0.25">
      <c r="A32" s="370"/>
      <c r="B32" s="5"/>
      <c r="C32" s="371"/>
      <c r="D32" s="372" t="s">
        <v>21</v>
      </c>
      <c r="E32" s="253">
        <v>0</v>
      </c>
      <c r="F32" s="373">
        <f t="shared" si="4"/>
        <v>0</v>
      </c>
      <c r="G32" s="529"/>
      <c r="H32" s="375">
        <v>0</v>
      </c>
      <c r="I32" s="373">
        <f t="shared" si="5"/>
        <v>0</v>
      </c>
      <c r="J32" s="376"/>
      <c r="K32" s="530">
        <f t="shared" si="3"/>
        <v>0</v>
      </c>
      <c r="L32" s="378"/>
      <c r="M32" s="379"/>
      <c r="N32" s="380"/>
      <c r="O32" s="381"/>
      <c r="P32" s="382"/>
      <c r="Q32" s="383"/>
      <c r="S32" s="561"/>
      <c r="T32" s="557">
        <v>2</v>
      </c>
      <c r="U32" s="557"/>
      <c r="V32" s="557"/>
      <c r="W32" s="557"/>
      <c r="X32" s="557"/>
      <c r="Y32" s="557">
        <f>U32*V32*W32*0.0000163871*X32</f>
        <v>0</v>
      </c>
      <c r="Z32" s="559"/>
    </row>
    <row r="33" spans="1:26" ht="15" x14ac:dyDescent="0.25">
      <c r="A33" s="370"/>
      <c r="B33" s="5"/>
      <c r="C33" s="371"/>
      <c r="D33" s="372" t="s">
        <v>21</v>
      </c>
      <c r="E33" s="253">
        <v>0</v>
      </c>
      <c r="F33" s="373">
        <f t="shared" si="4"/>
        <v>0</v>
      </c>
      <c r="G33" s="529"/>
      <c r="H33" s="375">
        <v>0</v>
      </c>
      <c r="I33" s="373">
        <f t="shared" si="5"/>
        <v>0</v>
      </c>
      <c r="J33" s="376"/>
      <c r="K33" s="530">
        <f t="shared" si="3"/>
        <v>0</v>
      </c>
      <c r="L33" s="378"/>
      <c r="M33" s="379"/>
      <c r="N33" s="380"/>
      <c r="O33" s="381"/>
      <c r="P33" s="382"/>
      <c r="Q33" s="383"/>
      <c r="S33" s="561"/>
      <c r="T33" s="557"/>
      <c r="U33" s="557" t="s">
        <v>833</v>
      </c>
      <c r="V33" s="557" t="s">
        <v>834</v>
      </c>
      <c r="W33" s="557" t="s">
        <v>835</v>
      </c>
      <c r="X33" s="557"/>
      <c r="Y33" s="557"/>
      <c r="Z33" s="559"/>
    </row>
    <row r="34" spans="1:26" ht="15" x14ac:dyDescent="0.25">
      <c r="A34" s="370"/>
      <c r="B34" s="5"/>
      <c r="C34" s="371"/>
      <c r="D34" s="372" t="s">
        <v>21</v>
      </c>
      <c r="E34" s="253">
        <v>0</v>
      </c>
      <c r="F34" s="373">
        <f t="shared" si="4"/>
        <v>0</v>
      </c>
      <c r="G34" s="529"/>
      <c r="H34" s="375">
        <v>0</v>
      </c>
      <c r="I34" s="373">
        <f t="shared" si="5"/>
        <v>0</v>
      </c>
      <c r="J34" s="376"/>
      <c r="K34" s="530">
        <f t="shared" si="3"/>
        <v>0</v>
      </c>
      <c r="L34" s="378"/>
      <c r="M34" s="379"/>
      <c r="N34" s="380"/>
      <c r="O34" s="381"/>
      <c r="P34" s="382"/>
      <c r="Q34" s="383"/>
      <c r="S34" s="561" t="s">
        <v>792</v>
      </c>
      <c r="T34" s="557"/>
      <c r="U34" s="557"/>
      <c r="V34" s="557"/>
      <c r="W34" s="557"/>
      <c r="X34" s="557"/>
      <c r="Y34" s="557">
        <f>U34*V34*W34*0.028</f>
        <v>0</v>
      </c>
      <c r="Z34" s="559"/>
    </row>
    <row r="35" spans="1:26" ht="15" x14ac:dyDescent="0.25">
      <c r="A35" s="370"/>
      <c r="B35" s="5"/>
      <c r="C35" s="371"/>
      <c r="D35" s="372" t="s">
        <v>21</v>
      </c>
      <c r="E35" s="253">
        <v>0</v>
      </c>
      <c r="F35" s="373">
        <f t="shared" si="4"/>
        <v>0</v>
      </c>
      <c r="G35" s="529"/>
      <c r="H35" s="375">
        <v>0</v>
      </c>
      <c r="I35" s="373">
        <f t="shared" si="5"/>
        <v>0</v>
      </c>
      <c r="J35" s="376"/>
      <c r="K35" s="530">
        <f t="shared" si="3"/>
        <v>0</v>
      </c>
      <c r="L35" s="378"/>
      <c r="M35" s="379"/>
      <c r="N35" s="380"/>
      <c r="O35" s="381"/>
      <c r="P35" s="382"/>
      <c r="Q35" s="383"/>
      <c r="S35" s="561" t="s">
        <v>793</v>
      </c>
      <c r="T35" s="557"/>
      <c r="U35" s="557"/>
      <c r="V35" s="557"/>
      <c r="W35" s="557"/>
      <c r="X35" s="557"/>
      <c r="Y35" s="557">
        <f>U35*V35*W35*0.028</f>
        <v>0</v>
      </c>
      <c r="Z35" s="559"/>
    </row>
    <row r="36" spans="1:26" ht="15.75" thickBot="1" x14ac:dyDescent="0.3">
      <c r="A36" s="370"/>
      <c r="B36" s="5"/>
      <c r="C36" s="388"/>
      <c r="E36" s="253"/>
      <c r="F36" s="373"/>
      <c r="G36" s="529"/>
      <c r="H36" s="375"/>
      <c r="I36" s="373"/>
      <c r="J36" s="376"/>
      <c r="K36" s="535"/>
      <c r="L36" s="378"/>
      <c r="M36" s="379"/>
      <c r="N36" s="380"/>
      <c r="O36" s="381"/>
      <c r="P36" s="382"/>
      <c r="Q36" s="383"/>
      <c r="S36" s="561" t="s">
        <v>794</v>
      </c>
      <c r="T36" s="557"/>
      <c r="U36" s="557"/>
      <c r="V36" s="557"/>
      <c r="W36" s="557"/>
      <c r="X36" s="557"/>
      <c r="Y36" s="557">
        <f>U36*V36*W36*0.028*X36</f>
        <v>0</v>
      </c>
      <c r="Z36" s="559"/>
    </row>
    <row r="37" spans="1:26" ht="15.75" thickTop="1" x14ac:dyDescent="0.25">
      <c r="A37" s="387"/>
      <c r="B37" s="5"/>
      <c r="C37" s="388"/>
      <c r="E37" s="253"/>
      <c r="F37" s="373"/>
      <c r="G37" s="529"/>
      <c r="H37" s="375"/>
      <c r="I37" s="373"/>
      <c r="J37" s="389" t="s">
        <v>30</v>
      </c>
      <c r="K37" s="532">
        <f>SUM(K29:K36)</f>
        <v>0</v>
      </c>
      <c r="L37" s="378"/>
      <c r="M37" s="379"/>
      <c r="N37" s="380"/>
      <c r="O37" s="381"/>
      <c r="P37" s="382"/>
      <c r="Q37" s="383"/>
      <c r="S37" s="561"/>
      <c r="T37" s="557"/>
      <c r="U37" s="557" t="s">
        <v>832</v>
      </c>
      <c r="V37" s="557"/>
      <c r="W37" s="557" t="s">
        <v>831</v>
      </c>
      <c r="X37" s="557"/>
      <c r="Y37" s="557"/>
      <c r="Z37" s="559"/>
    </row>
    <row r="38" spans="1:26" ht="15.75" thickBot="1" x14ac:dyDescent="0.3">
      <c r="A38" s="353" t="s">
        <v>0</v>
      </c>
      <c r="B38" s="354" t="s">
        <v>1</v>
      </c>
      <c r="C38" s="939" t="s">
        <v>656</v>
      </c>
      <c r="D38" s="939"/>
      <c r="E38" s="939"/>
      <c r="F38" s="939"/>
      <c r="G38" s="939" t="s">
        <v>34</v>
      </c>
      <c r="H38" s="939"/>
      <c r="I38" s="939"/>
      <c r="J38" s="355"/>
      <c r="K38" s="523"/>
      <c r="L38" s="391"/>
      <c r="M38" s="392"/>
      <c r="N38" s="393"/>
      <c r="O38" s="381"/>
      <c r="P38" s="382"/>
      <c r="Q38" s="383"/>
      <c r="S38" s="561" t="s">
        <v>795</v>
      </c>
      <c r="T38" s="557"/>
      <c r="U38" s="562"/>
      <c r="V38" s="557"/>
      <c r="W38" s="563"/>
      <c r="X38" s="557"/>
      <c r="Y38" s="557">
        <f>U38*W38*0.028</f>
        <v>0</v>
      </c>
      <c r="Z38" s="559"/>
    </row>
    <row r="39" spans="1:26" ht="16.5" thickBot="1" x14ac:dyDescent="0.3">
      <c r="A39" s="525" t="s">
        <v>164</v>
      </c>
      <c r="B39" s="525" t="s">
        <v>168</v>
      </c>
      <c r="C39" s="396" t="s">
        <v>19</v>
      </c>
      <c r="D39" s="397" t="s">
        <v>33</v>
      </c>
      <c r="E39" s="398" t="s">
        <v>35</v>
      </c>
      <c r="F39" s="399" t="s">
        <v>30</v>
      </c>
      <c r="G39" s="533" t="s">
        <v>14</v>
      </c>
      <c r="H39" s="398" t="s">
        <v>35</v>
      </c>
      <c r="I39" s="399" t="s">
        <v>30</v>
      </c>
      <c r="J39" s="364" t="s">
        <v>659</v>
      </c>
      <c r="K39" s="534" t="s">
        <v>38</v>
      </c>
      <c r="L39" s="402"/>
      <c r="M39" s="408"/>
      <c r="N39" s="409"/>
      <c r="O39" s="410"/>
      <c r="P39" s="411"/>
      <c r="Q39" s="383"/>
      <c r="S39" s="561" t="s">
        <v>796</v>
      </c>
      <c r="T39" s="557"/>
      <c r="U39" s="557"/>
      <c r="V39" s="557"/>
      <c r="W39" s="557"/>
      <c r="X39" s="557"/>
      <c r="Y39" s="557">
        <f>U39*W39*0.028</f>
        <v>0</v>
      </c>
      <c r="Z39" s="559"/>
    </row>
    <row r="40" spans="1:26" x14ac:dyDescent="0.2">
      <c r="A40" s="405" t="s">
        <v>891</v>
      </c>
      <c r="B40" s="406" t="s">
        <v>1002</v>
      </c>
      <c r="C40" s="564">
        <f>Q86*1.1</f>
        <v>264.51332738519045</v>
      </c>
      <c r="D40" s="372" t="s">
        <v>824</v>
      </c>
      <c r="E40" s="253">
        <f>161.42+20</f>
        <v>181.42</v>
      </c>
      <c r="F40" s="373">
        <f t="shared" ref="F40:F49" si="6">C40*E40</f>
        <v>47988.00785422125</v>
      </c>
      <c r="G40" s="529"/>
      <c r="H40" s="375">
        <v>0</v>
      </c>
      <c r="I40" s="373">
        <f t="shared" ref="I40:I49" si="7">G40*H40</f>
        <v>0</v>
      </c>
      <c r="J40" s="376"/>
      <c r="K40" s="530">
        <f t="shared" ref="K40:K49" si="8">F40+I40+J40</f>
        <v>47988.00785422125</v>
      </c>
      <c r="L40" s="378" t="s">
        <v>990</v>
      </c>
      <c r="M40" s="255">
        <v>100052.75</v>
      </c>
      <c r="N40" s="421"/>
      <c r="O40" s="410" t="s">
        <v>1003</v>
      </c>
      <c r="P40" s="833">
        <f>C40+C42</f>
        <v>281.33353426083846</v>
      </c>
      <c r="Q40" s="383"/>
      <c r="S40" s="556"/>
      <c r="T40" s="557"/>
      <c r="U40" s="557"/>
      <c r="V40" s="557"/>
      <c r="W40" s="557"/>
      <c r="X40" s="557"/>
      <c r="Y40" s="557"/>
      <c r="Z40" s="559"/>
    </row>
    <row r="41" spans="1:26" x14ac:dyDescent="0.2">
      <c r="A41" s="370"/>
      <c r="B41" s="5" t="s">
        <v>1000</v>
      </c>
      <c r="C41" s="564">
        <f>Q87*1.1</f>
        <v>493.95340858152969</v>
      </c>
      <c r="D41" s="372" t="s">
        <v>824</v>
      </c>
      <c r="E41" s="253">
        <f>190.58+20</f>
        <v>210.58</v>
      </c>
      <c r="F41" s="373">
        <f t="shared" ref="F41" si="9">C41*E41</f>
        <v>104016.70877909852</v>
      </c>
      <c r="G41" s="529"/>
      <c r="H41" s="375">
        <v>0</v>
      </c>
      <c r="I41" s="373">
        <f t="shared" ref="I41" si="10">G41*H41</f>
        <v>0</v>
      </c>
      <c r="J41" s="376"/>
      <c r="K41" s="530">
        <f t="shared" ref="K41" si="11">F41+I41+J41</f>
        <v>104016.70877909852</v>
      </c>
      <c r="L41" s="378" t="s">
        <v>1280</v>
      </c>
      <c r="M41" s="255"/>
      <c r="N41" s="421"/>
      <c r="O41" s="410" t="s">
        <v>1004</v>
      </c>
      <c r="P41" s="833">
        <f>C43</f>
        <v>22.956467532134404</v>
      </c>
      <c r="Q41" s="383"/>
      <c r="S41" s="556"/>
      <c r="T41" s="557"/>
      <c r="U41" s="557"/>
      <c r="V41" s="557"/>
      <c r="W41" s="557"/>
      <c r="X41" s="557"/>
      <c r="Y41" s="557"/>
      <c r="Z41" s="559"/>
    </row>
    <row r="42" spans="1:26" x14ac:dyDescent="0.2">
      <c r="A42" s="370" t="s">
        <v>892</v>
      </c>
      <c r="B42" s="5" t="s">
        <v>825</v>
      </c>
      <c r="C42" s="564">
        <f>(Q82+Q84)*1.1</f>
        <v>16.820206875648001</v>
      </c>
      <c r="D42" s="372" t="s">
        <v>824</v>
      </c>
      <c r="E42" s="253">
        <f>E40</f>
        <v>181.42</v>
      </c>
      <c r="F42" s="373">
        <f t="shared" si="6"/>
        <v>3051.5219313800603</v>
      </c>
      <c r="G42" s="529"/>
      <c r="H42" s="375">
        <v>0</v>
      </c>
      <c r="I42" s="373">
        <f t="shared" si="7"/>
        <v>0</v>
      </c>
      <c r="J42" s="376"/>
      <c r="K42" s="530">
        <f t="shared" si="8"/>
        <v>3051.5219313800603</v>
      </c>
      <c r="L42" s="378"/>
      <c r="M42" s="255"/>
      <c r="N42" s="421"/>
      <c r="O42" s="410" t="s">
        <v>1005</v>
      </c>
      <c r="P42" s="833">
        <f>C41+C44</f>
        <v>495.44853808158729</v>
      </c>
      <c r="Q42" s="383"/>
      <c r="S42" s="565" t="s">
        <v>895</v>
      </c>
      <c r="T42" s="557"/>
      <c r="U42" s="557"/>
      <c r="V42" s="557"/>
      <c r="W42" s="557"/>
      <c r="X42" s="557"/>
      <c r="Y42" s="557">
        <f>U42*W42*0.028</f>
        <v>0</v>
      </c>
      <c r="Z42" s="559"/>
    </row>
    <row r="43" spans="1:26" x14ac:dyDescent="0.2">
      <c r="A43" s="370" t="s">
        <v>893</v>
      </c>
      <c r="B43" s="5" t="s">
        <v>826</v>
      </c>
      <c r="C43" s="564">
        <f>Q83*1.1</f>
        <v>22.956467532134404</v>
      </c>
      <c r="D43" s="372" t="s">
        <v>824</v>
      </c>
      <c r="E43" s="253">
        <f>177.6+20</f>
        <v>197.6</v>
      </c>
      <c r="F43" s="373">
        <f t="shared" si="6"/>
        <v>4536.1979843497584</v>
      </c>
      <c r="G43" s="529"/>
      <c r="H43" s="375">
        <v>0</v>
      </c>
      <c r="I43" s="373">
        <f t="shared" si="7"/>
        <v>0</v>
      </c>
      <c r="J43" s="376"/>
      <c r="K43" s="530">
        <f t="shared" si="8"/>
        <v>4536.1979843497584</v>
      </c>
      <c r="L43" s="378"/>
      <c r="M43" s="255"/>
      <c r="N43" s="421"/>
      <c r="O43" s="410"/>
      <c r="P43" s="411"/>
      <c r="Q43" s="383"/>
      <c r="S43" s="556"/>
      <c r="T43" s="557"/>
      <c r="U43" s="557"/>
      <c r="V43" s="557"/>
      <c r="W43" s="557"/>
      <c r="X43" s="557"/>
      <c r="Y43" s="557"/>
      <c r="Z43" s="559"/>
    </row>
    <row r="44" spans="1:26" x14ac:dyDescent="0.2">
      <c r="A44" s="370" t="s">
        <v>894</v>
      </c>
      <c r="B44" s="5" t="s">
        <v>998</v>
      </c>
      <c r="C44" s="564">
        <f>Q85*1.1</f>
        <v>1.4951295000576001</v>
      </c>
      <c r="D44" s="372" t="s">
        <v>824</v>
      </c>
      <c r="E44" s="253">
        <f>E41</f>
        <v>210.58</v>
      </c>
      <c r="F44" s="373">
        <f t="shared" si="6"/>
        <v>314.84437012212948</v>
      </c>
      <c r="G44" s="529"/>
      <c r="H44" s="375">
        <v>0</v>
      </c>
      <c r="I44" s="373">
        <f t="shared" si="7"/>
        <v>0</v>
      </c>
      <c r="J44" s="376"/>
      <c r="K44" s="530">
        <f t="shared" si="8"/>
        <v>314.84437012212948</v>
      </c>
      <c r="L44" s="378"/>
      <c r="M44" s="255"/>
      <c r="N44" s="421"/>
      <c r="O44" s="410"/>
      <c r="P44" s="411"/>
      <c r="Q44" s="383"/>
      <c r="S44" s="556"/>
      <c r="T44" s="557"/>
      <c r="U44" s="557"/>
      <c r="V44" s="557"/>
      <c r="W44" s="557"/>
      <c r="X44" s="557"/>
      <c r="Y44" s="557"/>
      <c r="Z44" s="559"/>
    </row>
    <row r="45" spans="1:26" x14ac:dyDescent="0.2">
      <c r="A45" s="370"/>
      <c r="B45" s="5" t="s">
        <v>599</v>
      </c>
      <c r="C45" s="564">
        <f>Q88</f>
        <v>35.849127785472</v>
      </c>
      <c r="D45" s="372" t="s">
        <v>824</v>
      </c>
      <c r="E45" s="253">
        <f>E43</f>
        <v>197.6</v>
      </c>
      <c r="F45" s="373">
        <f t="shared" ref="F45" si="12">C45*E45</f>
        <v>7083.7876504092674</v>
      </c>
      <c r="G45" s="529"/>
      <c r="H45" s="375">
        <v>0</v>
      </c>
      <c r="I45" s="373">
        <f t="shared" ref="I45" si="13">G45*H45</f>
        <v>0</v>
      </c>
      <c r="J45" s="376"/>
      <c r="K45" s="530">
        <f t="shared" ref="K45" si="14">F45+I45+J45</f>
        <v>7083.7876504092674</v>
      </c>
      <c r="L45" s="378"/>
      <c r="M45" s="255"/>
      <c r="N45" s="421"/>
      <c r="O45" s="410"/>
      <c r="P45" s="411"/>
      <c r="Q45" s="383"/>
      <c r="S45" s="556"/>
      <c r="T45" s="557"/>
      <c r="U45" s="557"/>
      <c r="V45" s="557"/>
      <c r="W45" s="557"/>
      <c r="X45" s="557"/>
      <c r="Y45" s="557"/>
      <c r="Z45" s="559"/>
    </row>
    <row r="46" spans="1:26" x14ac:dyDescent="0.2">
      <c r="A46" s="370"/>
      <c r="B46" s="5" t="s">
        <v>1134</v>
      </c>
      <c r="C46" s="564">
        <f>Q89</f>
        <v>4.0209922160640001</v>
      </c>
      <c r="D46" s="372" t="s">
        <v>824</v>
      </c>
      <c r="E46" s="253">
        <f>E40</f>
        <v>181.42</v>
      </c>
      <c r="F46" s="373">
        <f t="shared" ref="F46" si="15">C46*E46</f>
        <v>729.48840783833089</v>
      </c>
      <c r="G46" s="529"/>
      <c r="H46" s="375">
        <v>0</v>
      </c>
      <c r="I46" s="373">
        <f t="shared" ref="I46" si="16">G46*H46</f>
        <v>0</v>
      </c>
      <c r="J46" s="376"/>
      <c r="K46" s="530">
        <f t="shared" ref="K46" si="17">F46+I46+J46</f>
        <v>729.48840783833089</v>
      </c>
      <c r="L46" s="378"/>
      <c r="M46" s="255"/>
      <c r="N46" s="421"/>
      <c r="O46" s="410"/>
      <c r="P46" s="411"/>
      <c r="Q46" s="383"/>
      <c r="S46" s="556"/>
      <c r="T46" s="557"/>
      <c r="U46" s="557"/>
      <c r="V46" s="557"/>
      <c r="W46" s="557"/>
      <c r="X46" s="557"/>
      <c r="Y46" s="557"/>
      <c r="Z46" s="559"/>
    </row>
    <row r="47" spans="1:26" x14ac:dyDescent="0.2">
      <c r="A47" s="370"/>
      <c r="B47" s="5" t="s">
        <v>1009</v>
      </c>
      <c r="C47" s="564"/>
      <c r="E47" s="253"/>
      <c r="F47" s="373"/>
      <c r="G47" s="529"/>
      <c r="H47" s="375"/>
      <c r="I47" s="373"/>
      <c r="J47" s="376"/>
      <c r="K47" s="530">
        <f t="shared" si="8"/>
        <v>0</v>
      </c>
      <c r="L47" s="378"/>
      <c r="M47" s="255"/>
      <c r="N47" s="421"/>
      <c r="O47" s="410"/>
      <c r="P47" s="411"/>
      <c r="Q47" s="383"/>
      <c r="S47" s="556"/>
      <c r="T47" s="557"/>
      <c r="U47" s="557"/>
      <c r="V47" s="557"/>
      <c r="W47" s="557"/>
      <c r="X47" s="557"/>
      <c r="Y47" s="557"/>
      <c r="Z47" s="559"/>
    </row>
    <row r="48" spans="1:26" ht="15.75" x14ac:dyDescent="0.25">
      <c r="A48" s="370"/>
      <c r="B48" s="5" t="s">
        <v>1006</v>
      </c>
      <c r="C48" s="564">
        <f>SUM(C40:C46)/35</f>
        <v>23.988818853602744</v>
      </c>
      <c r="D48" s="372" t="s">
        <v>1007</v>
      </c>
      <c r="E48" s="253">
        <v>280</v>
      </c>
      <c r="F48" s="373">
        <f t="shared" si="6"/>
        <v>6716.869279008768</v>
      </c>
      <c r="G48" s="529"/>
      <c r="H48" s="375">
        <v>0</v>
      </c>
      <c r="I48" s="373">
        <f t="shared" si="7"/>
        <v>0</v>
      </c>
      <c r="J48" s="376"/>
      <c r="K48" s="530">
        <f t="shared" si="8"/>
        <v>6716.869279008768</v>
      </c>
      <c r="L48" s="378" t="s">
        <v>1008</v>
      </c>
      <c r="M48" s="255"/>
      <c r="N48" s="421"/>
      <c r="O48" s="410"/>
      <c r="P48" s="411"/>
      <c r="Q48" s="383"/>
      <c r="S48" s="556"/>
      <c r="T48" s="557"/>
      <c r="U48" s="557"/>
      <c r="V48" s="557"/>
      <c r="W48" s="566" t="s">
        <v>797</v>
      </c>
      <c r="X48" s="566"/>
      <c r="Y48" s="567">
        <f>Y38+Y39</f>
        <v>0</v>
      </c>
      <c r="Z48" s="559"/>
    </row>
    <row r="49" spans="1:26" ht="16.5" thickBot="1" x14ac:dyDescent="0.3">
      <c r="A49" s="387" t="s">
        <v>894</v>
      </c>
      <c r="B49" s="412" t="s">
        <v>800</v>
      </c>
      <c r="C49" s="568">
        <f>SUM(C40:C46)</f>
        <v>839.608659876096</v>
      </c>
      <c r="D49" s="372" t="s">
        <v>824</v>
      </c>
      <c r="E49" s="253">
        <v>4</v>
      </c>
      <c r="F49" s="373">
        <f t="shared" si="6"/>
        <v>3358.434639504384</v>
      </c>
      <c r="G49" s="529"/>
      <c r="H49" s="375">
        <v>0</v>
      </c>
      <c r="I49" s="373">
        <f t="shared" si="7"/>
        <v>0</v>
      </c>
      <c r="J49" s="376"/>
      <c r="K49" s="530">
        <f t="shared" si="8"/>
        <v>3358.434639504384</v>
      </c>
      <c r="L49" s="378"/>
      <c r="M49" s="255"/>
      <c r="N49" s="421"/>
      <c r="O49" s="410"/>
      <c r="P49" s="411"/>
      <c r="Q49" s="383"/>
      <c r="S49" s="556"/>
      <c r="T49" s="557"/>
      <c r="U49" s="557"/>
      <c r="V49" s="557"/>
      <c r="W49" s="566" t="s">
        <v>798</v>
      </c>
      <c r="X49" s="566"/>
      <c r="Y49" s="567">
        <f>Y31+Y32+Y34</f>
        <v>0</v>
      </c>
      <c r="Z49" s="559"/>
    </row>
    <row r="50" spans="1:26" ht="16.5" thickTop="1" x14ac:dyDescent="0.25">
      <c r="A50" s="387"/>
      <c r="B50" s="412"/>
      <c r="C50" s="388"/>
      <c r="E50" s="253"/>
      <c r="F50" s="373"/>
      <c r="G50" s="529"/>
      <c r="H50" s="375"/>
      <c r="I50" s="373"/>
      <c r="J50" s="389" t="s">
        <v>30</v>
      </c>
      <c r="K50" s="532">
        <f>SUM(K40:K49)</f>
        <v>177795.86089593248</v>
      </c>
      <c r="L50" s="378"/>
      <c r="M50" s="255"/>
      <c r="N50" s="380"/>
      <c r="O50" s="381"/>
      <c r="P50" s="382"/>
      <c r="Q50" s="383"/>
      <c r="S50" s="556"/>
      <c r="T50" s="557"/>
      <c r="U50" s="557"/>
      <c r="V50" s="557"/>
      <c r="W50" s="566" t="s">
        <v>799</v>
      </c>
      <c r="X50" s="566"/>
      <c r="Y50" s="567">
        <f>Y35+Y36</f>
        <v>0</v>
      </c>
      <c r="Z50" s="559"/>
    </row>
    <row r="51" spans="1:26" ht="16.5" thickBot="1" x14ac:dyDescent="0.3">
      <c r="A51" s="353" t="s">
        <v>0</v>
      </c>
      <c r="B51" s="354" t="s">
        <v>1</v>
      </c>
      <c r="C51" s="939" t="s">
        <v>656</v>
      </c>
      <c r="D51" s="939"/>
      <c r="E51" s="939"/>
      <c r="F51" s="939"/>
      <c r="G51" s="939" t="s">
        <v>34</v>
      </c>
      <c r="H51" s="939"/>
      <c r="I51" s="939"/>
      <c r="J51" s="355"/>
      <c r="K51" s="523"/>
      <c r="L51" s="391"/>
      <c r="M51" s="355"/>
      <c r="N51" s="393"/>
      <c r="O51" s="381"/>
      <c r="P51" s="382"/>
      <c r="Q51" s="383"/>
      <c r="S51" s="569"/>
      <c r="T51" s="570"/>
      <c r="U51" s="570"/>
      <c r="V51" s="570"/>
      <c r="W51" s="571" t="s">
        <v>836</v>
      </c>
      <c r="X51" s="570"/>
      <c r="Y51" s="572">
        <f>Y42</f>
        <v>0</v>
      </c>
      <c r="Z51" s="573"/>
    </row>
    <row r="52" spans="1:26" ht="16.5" thickBot="1" x14ac:dyDescent="0.3">
      <c r="A52" s="525" t="s">
        <v>165</v>
      </c>
      <c r="B52" s="525" t="s">
        <v>169</v>
      </c>
      <c r="C52" s="396" t="s">
        <v>19</v>
      </c>
      <c r="D52" s="397" t="s">
        <v>33</v>
      </c>
      <c r="E52" s="398" t="s">
        <v>35</v>
      </c>
      <c r="F52" s="399" t="s">
        <v>30</v>
      </c>
      <c r="G52" s="533" t="s">
        <v>14</v>
      </c>
      <c r="H52" s="398" t="s">
        <v>35</v>
      </c>
      <c r="I52" s="399" t="s">
        <v>30</v>
      </c>
      <c r="J52" s="364" t="s">
        <v>659</v>
      </c>
      <c r="K52" s="534" t="s">
        <v>38</v>
      </c>
      <c r="L52" s="402"/>
      <c r="M52" s="408"/>
      <c r="N52" s="404"/>
      <c r="O52" s="381"/>
      <c r="P52" s="411"/>
      <c r="Q52" s="383"/>
    </row>
    <row r="53" spans="1:26" x14ac:dyDescent="0.2">
      <c r="A53" s="405"/>
      <c r="B53" s="406"/>
      <c r="C53" s="371"/>
      <c r="D53" s="372" t="s">
        <v>21</v>
      </c>
      <c r="E53" s="253">
        <v>0</v>
      </c>
      <c r="F53" s="373">
        <f>C53*E53</f>
        <v>0</v>
      </c>
      <c r="G53" s="529"/>
      <c r="H53" s="375">
        <v>0</v>
      </c>
      <c r="I53" s="373">
        <f>G53*H53</f>
        <v>0</v>
      </c>
      <c r="J53" s="376"/>
      <c r="K53" s="530">
        <f>F53+I53+J53</f>
        <v>0</v>
      </c>
      <c r="L53" s="378"/>
      <c r="M53" s="255"/>
      <c r="N53" s="848" t="s">
        <v>1193</v>
      </c>
      <c r="O53" s="381"/>
      <c r="P53" s="382"/>
      <c r="Q53" s="383"/>
    </row>
    <row r="54" spans="1:26" x14ac:dyDescent="0.2">
      <c r="A54" s="370"/>
      <c r="B54" s="5" t="s">
        <v>879</v>
      </c>
      <c r="C54" s="568">
        <f>17300*2</f>
        <v>34600</v>
      </c>
      <c r="D54" s="372" t="s">
        <v>755</v>
      </c>
      <c r="E54" s="253">
        <v>2</v>
      </c>
      <c r="F54" s="373"/>
      <c r="G54" s="529"/>
      <c r="H54" s="375">
        <v>0</v>
      </c>
      <c r="I54" s="373">
        <f>G54*H54</f>
        <v>0</v>
      </c>
      <c r="J54" s="376">
        <f>M55</f>
        <v>44527</v>
      </c>
      <c r="K54" s="530">
        <f>F54+I54+J54</f>
        <v>44527</v>
      </c>
      <c r="L54" s="378" t="s">
        <v>1133</v>
      </c>
      <c r="M54" s="255">
        <v>46000</v>
      </c>
      <c r="N54" s="380"/>
      <c r="O54" s="381"/>
      <c r="P54" s="382"/>
      <c r="Q54" s="383"/>
    </row>
    <row r="55" spans="1:26" x14ac:dyDescent="0.2">
      <c r="A55" s="370"/>
      <c r="B55" s="5" t="s">
        <v>880</v>
      </c>
      <c r="C55" s="371">
        <f>U39</f>
        <v>0</v>
      </c>
      <c r="D55" s="372" t="s">
        <v>755</v>
      </c>
      <c r="E55" s="253">
        <v>1</v>
      </c>
      <c r="F55" s="373">
        <f>C55*E55</f>
        <v>0</v>
      </c>
      <c r="G55" s="529"/>
      <c r="H55" s="375">
        <v>0</v>
      </c>
      <c r="I55" s="373">
        <f>G55*H55</f>
        <v>0</v>
      </c>
      <c r="J55" s="376"/>
      <c r="K55" s="530">
        <f>F55+I55+J55</f>
        <v>0</v>
      </c>
      <c r="L55" s="378" t="s">
        <v>1147</v>
      </c>
      <c r="M55" s="877">
        <v>44527</v>
      </c>
      <c r="N55" s="380"/>
      <c r="O55" s="381"/>
      <c r="P55" s="382"/>
      <c r="Q55" s="383"/>
    </row>
    <row r="56" spans="1:26" x14ac:dyDescent="0.2">
      <c r="A56" s="370"/>
      <c r="B56" s="5"/>
      <c r="C56" s="371"/>
      <c r="D56" s="372" t="s">
        <v>21</v>
      </c>
      <c r="E56" s="253">
        <v>0</v>
      </c>
      <c r="F56" s="373">
        <f>C56*E56</f>
        <v>0</v>
      </c>
      <c r="G56" s="529"/>
      <c r="H56" s="375">
        <v>0</v>
      </c>
      <c r="I56" s="373">
        <f>G56*H56</f>
        <v>0</v>
      </c>
      <c r="J56" s="376"/>
      <c r="K56" s="530">
        <f>F56+I56+J56</f>
        <v>0</v>
      </c>
      <c r="L56" s="378" t="s">
        <v>1174</v>
      </c>
      <c r="M56" s="255">
        <f>39303+5207+6884</f>
        <v>51394</v>
      </c>
      <c r="N56" s="380"/>
      <c r="O56" s="381"/>
      <c r="P56" s="382"/>
      <c r="Q56" s="383"/>
    </row>
    <row r="57" spans="1:26" x14ac:dyDescent="0.2">
      <c r="A57" s="370"/>
      <c r="B57" s="5"/>
      <c r="C57" s="371"/>
      <c r="D57" s="372" t="s">
        <v>21</v>
      </c>
      <c r="E57" s="253">
        <v>0</v>
      </c>
      <c r="F57" s="373">
        <f>C57*E57</f>
        <v>0</v>
      </c>
      <c r="G57" s="529"/>
      <c r="H57" s="375">
        <v>0</v>
      </c>
      <c r="I57" s="373">
        <f>G57*H57</f>
        <v>0</v>
      </c>
      <c r="J57" s="376"/>
      <c r="K57" s="530">
        <f>F57+I57+J57</f>
        <v>0</v>
      </c>
      <c r="L57" s="378"/>
      <c r="M57" s="255"/>
      <c r="N57" s="380"/>
      <c r="O57" s="381"/>
      <c r="P57" s="382"/>
      <c r="Q57" s="383"/>
    </row>
    <row r="58" spans="1:26" ht="13.5" thickBot="1" x14ac:dyDescent="0.25">
      <c r="A58" s="387"/>
      <c r="B58" s="412"/>
      <c r="C58" s="388"/>
      <c r="E58" s="253"/>
      <c r="F58" s="373"/>
      <c r="G58" s="529"/>
      <c r="H58" s="375"/>
      <c r="I58" s="373"/>
      <c r="J58" s="376"/>
      <c r="K58" s="535"/>
      <c r="L58" s="378"/>
      <c r="M58" s="255"/>
      <c r="N58" s="380"/>
      <c r="O58" s="381"/>
      <c r="P58" s="382"/>
      <c r="Q58" s="383"/>
    </row>
    <row r="59" spans="1:26" ht="13.5" thickTop="1" x14ac:dyDescent="0.2">
      <c r="A59" s="387"/>
      <c r="B59" s="412"/>
      <c r="C59" s="388"/>
      <c r="E59" s="253"/>
      <c r="F59" s="373"/>
      <c r="G59" s="529"/>
      <c r="H59" s="375"/>
      <c r="I59" s="373"/>
      <c r="J59" s="389" t="s">
        <v>30</v>
      </c>
      <c r="K59" s="532">
        <f>SUM(K53:K58)</f>
        <v>44527</v>
      </c>
      <c r="L59" s="378"/>
      <c r="M59" s="255"/>
      <c r="N59" s="421"/>
      <c r="O59" s="436"/>
      <c r="P59" s="437"/>
      <c r="Q59" s="383"/>
    </row>
    <row r="60" spans="1:26" ht="13.5" thickBot="1" x14ac:dyDescent="0.25">
      <c r="A60" s="353" t="s">
        <v>0</v>
      </c>
      <c r="B60" s="354" t="s">
        <v>1</v>
      </c>
      <c r="C60" s="939" t="s">
        <v>656</v>
      </c>
      <c r="D60" s="939"/>
      <c r="E60" s="939"/>
      <c r="F60" s="939"/>
      <c r="G60" s="939" t="s">
        <v>34</v>
      </c>
      <c r="H60" s="939"/>
      <c r="I60" s="939"/>
      <c r="J60" s="355"/>
      <c r="K60" s="523"/>
      <c r="L60" s="391"/>
      <c r="M60" s="355"/>
      <c r="N60" s="438"/>
      <c r="O60" s="436"/>
      <c r="P60" s="437"/>
      <c r="Q60" s="383"/>
    </row>
    <row r="61" spans="1:26" ht="16.5" thickBot="1" x14ac:dyDescent="0.3">
      <c r="A61" s="525" t="s">
        <v>166</v>
      </c>
      <c r="B61" s="525" t="s">
        <v>170</v>
      </c>
      <c r="C61" s="396" t="s">
        <v>19</v>
      </c>
      <c r="D61" s="397" t="s">
        <v>33</v>
      </c>
      <c r="E61" s="398" t="s">
        <v>35</v>
      </c>
      <c r="F61" s="399" t="s">
        <v>30</v>
      </c>
      <c r="G61" s="533" t="s">
        <v>14</v>
      </c>
      <c r="H61" s="398" t="s">
        <v>35</v>
      </c>
      <c r="I61" s="399" t="s">
        <v>30</v>
      </c>
      <c r="J61" s="364" t="s">
        <v>659</v>
      </c>
      <c r="K61" s="534" t="s">
        <v>38</v>
      </c>
      <c r="L61" s="402"/>
      <c r="M61" s="408"/>
      <c r="N61" s="409"/>
      <c r="O61" s="410"/>
      <c r="P61" s="411"/>
      <c r="Q61" s="383"/>
    </row>
    <row r="62" spans="1:26" x14ac:dyDescent="0.2">
      <c r="A62" s="405"/>
      <c r="B62" s="406"/>
      <c r="C62" s="371"/>
      <c r="D62" s="372" t="s">
        <v>21</v>
      </c>
      <c r="E62" s="253">
        <v>0</v>
      </c>
      <c r="F62" s="373">
        <f t="shared" ref="F62:F68" si="18">C62*E62</f>
        <v>0</v>
      </c>
      <c r="G62" s="529"/>
      <c r="H62" s="375">
        <v>0</v>
      </c>
      <c r="I62" s="373">
        <f t="shared" ref="I62:I68" si="19">G62*H62</f>
        <v>0</v>
      </c>
      <c r="J62" s="376"/>
      <c r="K62" s="530">
        <f t="shared" ref="K62:K68" si="20">F62+I62+J62</f>
        <v>0</v>
      </c>
      <c r="L62" s="378"/>
      <c r="M62" s="255"/>
      <c r="N62" s="380"/>
      <c r="O62" s="381"/>
      <c r="P62" s="382"/>
      <c r="Q62" s="383"/>
    </row>
    <row r="63" spans="1:26" x14ac:dyDescent="0.2">
      <c r="A63" s="370"/>
      <c r="B63" s="5"/>
      <c r="C63" s="371"/>
      <c r="D63" s="372" t="s">
        <v>21</v>
      </c>
      <c r="E63" s="253">
        <v>0</v>
      </c>
      <c r="F63" s="373">
        <f t="shared" si="18"/>
        <v>0</v>
      </c>
      <c r="G63" s="529"/>
      <c r="H63" s="375">
        <v>0</v>
      </c>
      <c r="I63" s="373">
        <f t="shared" si="19"/>
        <v>0</v>
      </c>
      <c r="J63" s="376">
        <f>M63</f>
        <v>77850</v>
      </c>
      <c r="K63" s="530">
        <f t="shared" si="20"/>
        <v>77850</v>
      </c>
      <c r="L63" s="378" t="s">
        <v>1016</v>
      </c>
      <c r="M63" s="379">
        <v>77850</v>
      </c>
      <c r="N63" s="380"/>
      <c r="O63" s="381"/>
      <c r="P63" s="382"/>
      <c r="Q63" s="383"/>
    </row>
    <row r="64" spans="1:26" x14ac:dyDescent="0.2">
      <c r="A64" s="370"/>
      <c r="B64" s="5"/>
      <c r="C64" s="371"/>
      <c r="D64" s="372" t="s">
        <v>21</v>
      </c>
      <c r="E64" s="253">
        <v>0</v>
      </c>
      <c r="F64" s="373">
        <f t="shared" si="18"/>
        <v>0</v>
      </c>
      <c r="G64" s="529"/>
      <c r="H64" s="375">
        <v>0</v>
      </c>
      <c r="I64" s="373">
        <f t="shared" si="19"/>
        <v>0</v>
      </c>
      <c r="J64" s="376"/>
      <c r="K64" s="530">
        <f t="shared" si="20"/>
        <v>0</v>
      </c>
      <c r="L64" s="378"/>
      <c r="M64" s="379"/>
      <c r="N64" s="380"/>
      <c r="O64" s="381"/>
      <c r="P64" s="382"/>
      <c r="Q64" s="383"/>
    </row>
    <row r="65" spans="1:17" x14ac:dyDescent="0.2">
      <c r="A65" s="370"/>
      <c r="B65" s="5"/>
      <c r="C65" s="371"/>
      <c r="D65" s="372" t="s">
        <v>21</v>
      </c>
      <c r="E65" s="253">
        <v>0</v>
      </c>
      <c r="F65" s="373">
        <f t="shared" si="18"/>
        <v>0</v>
      </c>
      <c r="G65" s="529"/>
      <c r="H65" s="375">
        <v>0</v>
      </c>
      <c r="I65" s="373">
        <f t="shared" si="19"/>
        <v>0</v>
      </c>
      <c r="J65" s="376"/>
      <c r="K65" s="530">
        <f t="shared" si="20"/>
        <v>0</v>
      </c>
      <c r="L65" s="378"/>
      <c r="M65" s="379"/>
      <c r="N65" s="380"/>
      <c r="O65" s="381"/>
      <c r="P65" s="382"/>
      <c r="Q65" s="383"/>
    </row>
    <row r="66" spans="1:17" x14ac:dyDescent="0.2">
      <c r="A66" s="370"/>
      <c r="B66" s="5"/>
      <c r="C66" s="371"/>
      <c r="D66" s="372" t="s">
        <v>21</v>
      </c>
      <c r="E66" s="253">
        <v>0</v>
      </c>
      <c r="F66" s="373">
        <f t="shared" si="18"/>
        <v>0</v>
      </c>
      <c r="G66" s="529"/>
      <c r="H66" s="375">
        <v>0</v>
      </c>
      <c r="I66" s="373">
        <f t="shared" si="19"/>
        <v>0</v>
      </c>
      <c r="J66" s="376"/>
      <c r="K66" s="530">
        <f t="shared" si="20"/>
        <v>0</v>
      </c>
      <c r="L66" s="378"/>
      <c r="M66" s="379"/>
      <c r="N66" s="380"/>
      <c r="O66" s="381"/>
      <c r="P66" s="382"/>
      <c r="Q66" s="383"/>
    </row>
    <row r="67" spans="1:17" x14ac:dyDescent="0.2">
      <c r="A67" s="370"/>
      <c r="B67" s="5"/>
      <c r="C67" s="371"/>
      <c r="D67" s="372" t="s">
        <v>21</v>
      </c>
      <c r="E67" s="253">
        <v>0</v>
      </c>
      <c r="F67" s="373">
        <f t="shared" si="18"/>
        <v>0</v>
      </c>
      <c r="G67" s="529"/>
      <c r="H67" s="375">
        <v>0</v>
      </c>
      <c r="I67" s="373">
        <f t="shared" si="19"/>
        <v>0</v>
      </c>
      <c r="J67" s="376"/>
      <c r="K67" s="530">
        <f t="shared" si="20"/>
        <v>0</v>
      </c>
      <c r="L67" s="378"/>
      <c r="M67" s="379"/>
      <c r="N67" s="380"/>
      <c r="O67" s="381"/>
      <c r="P67" s="382"/>
      <c r="Q67" s="383"/>
    </row>
    <row r="68" spans="1:17" x14ac:dyDescent="0.2">
      <c r="A68" s="370"/>
      <c r="B68" s="5"/>
      <c r="C68" s="371"/>
      <c r="D68" s="372" t="s">
        <v>21</v>
      </c>
      <c r="E68" s="253">
        <v>0</v>
      </c>
      <c r="F68" s="373">
        <f t="shared" si="18"/>
        <v>0</v>
      </c>
      <c r="G68" s="529"/>
      <c r="H68" s="375">
        <v>0</v>
      </c>
      <c r="I68" s="373">
        <f t="shared" si="19"/>
        <v>0</v>
      </c>
      <c r="J68" s="376"/>
      <c r="K68" s="530">
        <f t="shared" si="20"/>
        <v>0</v>
      </c>
      <c r="L68" s="378"/>
      <c r="M68" s="379"/>
      <c r="N68" s="380"/>
      <c r="O68" s="381"/>
      <c r="P68" s="382"/>
      <c r="Q68" s="383"/>
    </row>
    <row r="69" spans="1:17" ht="13.5" thickBot="1" x14ac:dyDescent="0.25">
      <c r="A69" s="387"/>
      <c r="B69" s="5"/>
      <c r="C69" s="388"/>
      <c r="E69" s="253"/>
      <c r="F69" s="373"/>
      <c r="G69" s="529"/>
      <c r="H69" s="375"/>
      <c r="I69" s="373"/>
      <c r="J69" s="376"/>
      <c r="K69" s="535"/>
      <c r="L69" s="378"/>
      <c r="M69" s="379"/>
      <c r="N69" s="380"/>
      <c r="O69" s="381"/>
      <c r="P69" s="382"/>
      <c r="Q69" s="383"/>
    </row>
    <row r="70" spans="1:17" ht="13.5" thickTop="1" x14ac:dyDescent="0.2">
      <c r="A70" s="387"/>
      <c r="B70" s="412"/>
      <c r="C70" s="388"/>
      <c r="E70" s="253"/>
      <c r="F70" s="373"/>
      <c r="G70" s="529"/>
      <c r="H70" s="375"/>
      <c r="I70" s="373"/>
      <c r="J70" s="389" t="s">
        <v>30</v>
      </c>
      <c r="K70" s="532">
        <f>SUM(K62:K69)</f>
        <v>77850</v>
      </c>
      <c r="L70" s="378"/>
      <c r="M70" s="379"/>
      <c r="N70" s="380"/>
      <c r="O70" s="381"/>
      <c r="P70" s="382"/>
      <c r="Q70" s="383"/>
    </row>
    <row r="71" spans="1:17" ht="13.5" thickBot="1" x14ac:dyDescent="0.25">
      <c r="A71" s="353" t="s">
        <v>0</v>
      </c>
      <c r="B71" s="354" t="s">
        <v>1</v>
      </c>
      <c r="C71" s="939" t="s">
        <v>656</v>
      </c>
      <c r="D71" s="939"/>
      <c r="E71" s="939"/>
      <c r="F71" s="939"/>
      <c r="G71" s="939" t="s">
        <v>34</v>
      </c>
      <c r="H71" s="939"/>
      <c r="I71" s="939"/>
      <c r="J71" s="355"/>
      <c r="K71" s="523"/>
      <c r="L71" s="391"/>
      <c r="M71" s="392"/>
      <c r="N71" s="393"/>
      <c r="O71" s="381"/>
      <c r="P71" s="382"/>
      <c r="Q71" s="383"/>
    </row>
    <row r="72" spans="1:17" ht="15.75" x14ac:dyDescent="0.25">
      <c r="A72" s="525" t="s">
        <v>167</v>
      </c>
      <c r="B72" s="525" t="s">
        <v>924</v>
      </c>
      <c r="C72" s="396" t="s">
        <v>19</v>
      </c>
      <c r="D72" s="397" t="s">
        <v>33</v>
      </c>
      <c r="E72" s="398" t="s">
        <v>35</v>
      </c>
      <c r="F72" s="399" t="s">
        <v>30</v>
      </c>
      <c r="G72" s="533" t="s">
        <v>14</v>
      </c>
      <c r="H72" s="398" t="s">
        <v>35</v>
      </c>
      <c r="I72" s="399" t="s">
        <v>30</v>
      </c>
      <c r="J72" s="364" t="s">
        <v>659</v>
      </c>
      <c r="K72" s="534" t="s">
        <v>38</v>
      </c>
      <c r="L72" s="402"/>
      <c r="M72" s="403"/>
      <c r="N72" s="404"/>
      <c r="O72" s="381"/>
      <c r="P72" s="382"/>
      <c r="Q72" s="383"/>
    </row>
    <row r="73" spans="1:17" x14ac:dyDescent="0.2">
      <c r="A73" s="384" t="s">
        <v>925</v>
      </c>
      <c r="B73" s="5" t="s">
        <v>754</v>
      </c>
      <c r="C73" s="371">
        <f>10+(660*4/8)</f>
        <v>340</v>
      </c>
      <c r="D73" s="372" t="s">
        <v>882</v>
      </c>
      <c r="E73" s="253">
        <v>26</v>
      </c>
      <c r="F73" s="373">
        <f>C73*E73</f>
        <v>8840</v>
      </c>
      <c r="G73" s="529">
        <f>C73/3</f>
        <v>113.33333333333333</v>
      </c>
      <c r="H73" s="375">
        <v>60</v>
      </c>
      <c r="I73" s="373">
        <f>G73*H73</f>
        <v>6800</v>
      </c>
      <c r="J73" s="376"/>
      <c r="K73" s="530">
        <f>F73+I73+J73</f>
        <v>15640</v>
      </c>
      <c r="L73" s="378" t="s">
        <v>991</v>
      </c>
      <c r="M73" s="379">
        <v>31200</v>
      </c>
      <c r="N73" s="380"/>
      <c r="O73" s="381"/>
      <c r="P73" s="382"/>
      <c r="Q73" s="383"/>
    </row>
    <row r="74" spans="1:17" x14ac:dyDescent="0.2">
      <c r="A74" s="384" t="s">
        <v>926</v>
      </c>
      <c r="B74" s="5" t="s">
        <v>56</v>
      </c>
      <c r="C74" s="371">
        <v>9</v>
      </c>
      <c r="D74" s="372" t="s">
        <v>881</v>
      </c>
      <c r="E74" s="253">
        <v>615</v>
      </c>
      <c r="F74" s="373">
        <f>C74*E74</f>
        <v>5535</v>
      </c>
      <c r="G74" s="529">
        <f>C74*5</f>
        <v>45</v>
      </c>
      <c r="H74" s="375">
        <v>60</v>
      </c>
      <c r="I74" s="373">
        <f>G74*H74</f>
        <v>2700</v>
      </c>
      <c r="J74" s="376"/>
      <c r="K74" s="530">
        <f>F74+I74+J74</f>
        <v>8235</v>
      </c>
      <c r="L74" s="378" t="s">
        <v>993</v>
      </c>
      <c r="M74" s="379">
        <v>33171</v>
      </c>
      <c r="N74" s="380"/>
      <c r="O74" s="381"/>
      <c r="P74" s="382"/>
      <c r="Q74" s="383"/>
    </row>
    <row r="75" spans="1:17" x14ac:dyDescent="0.2">
      <c r="A75" s="370"/>
      <c r="B75" s="5" t="s">
        <v>1277</v>
      </c>
      <c r="C75" s="371">
        <f>(670*4)+(60*10)+(40*10)</f>
        <v>3680</v>
      </c>
      <c r="D75" s="372" t="s">
        <v>732</v>
      </c>
      <c r="E75" s="253">
        <v>12</v>
      </c>
      <c r="F75" s="373">
        <f>C75*E75</f>
        <v>44160</v>
      </c>
      <c r="G75" s="529"/>
      <c r="H75" s="375">
        <v>0</v>
      </c>
      <c r="I75" s="373">
        <f>G75*H75</f>
        <v>0</v>
      </c>
      <c r="J75" s="376"/>
      <c r="K75" s="530">
        <f>F75+I75+J75</f>
        <v>44160</v>
      </c>
      <c r="L75" s="378"/>
      <c r="M75" s="379"/>
      <c r="N75" s="380"/>
      <c r="O75" s="381"/>
      <c r="P75" s="382"/>
      <c r="Q75" s="383"/>
    </row>
    <row r="76" spans="1:17" x14ac:dyDescent="0.2">
      <c r="A76" s="370"/>
      <c r="B76" s="5"/>
      <c r="C76" s="371"/>
      <c r="D76" s="372" t="s">
        <v>21</v>
      </c>
      <c r="E76" s="253">
        <v>0</v>
      </c>
      <c r="F76" s="373">
        <f>C76*E76</f>
        <v>0</v>
      </c>
      <c r="G76" s="529"/>
      <c r="H76" s="375">
        <v>0</v>
      </c>
      <c r="I76" s="373">
        <f>G76*H76</f>
        <v>0</v>
      </c>
      <c r="J76" s="376"/>
      <c r="K76" s="530">
        <f>F76+I76+J76</f>
        <v>0</v>
      </c>
      <c r="L76" s="378"/>
      <c r="M76" s="379"/>
      <c r="N76" s="380"/>
      <c r="O76" s="381"/>
      <c r="P76" s="382"/>
      <c r="Q76" s="383"/>
    </row>
    <row r="77" spans="1:17" x14ac:dyDescent="0.2">
      <c r="A77" s="370"/>
      <c r="B77" s="5"/>
      <c r="C77" s="371"/>
      <c r="D77" s="372" t="s">
        <v>21</v>
      </c>
      <c r="E77" s="253">
        <v>0</v>
      </c>
      <c r="F77" s="373">
        <f>C77*E77</f>
        <v>0</v>
      </c>
      <c r="G77" s="529"/>
      <c r="H77" s="375">
        <v>0</v>
      </c>
      <c r="I77" s="373">
        <f>G77*H77</f>
        <v>0</v>
      </c>
      <c r="J77" s="376"/>
      <c r="K77" s="530">
        <f>F77+I77+J77</f>
        <v>0</v>
      </c>
      <c r="L77" s="378"/>
      <c r="M77" s="379"/>
      <c r="N77" s="380"/>
      <c r="O77" s="381"/>
      <c r="P77" s="382"/>
      <c r="Q77" s="383"/>
    </row>
    <row r="78" spans="1:17" ht="13.5" thickBot="1" x14ac:dyDescent="0.25">
      <c r="A78" s="387"/>
      <c r="B78" s="5"/>
      <c r="C78" s="388"/>
      <c r="E78" s="253"/>
      <c r="F78" s="373"/>
      <c r="G78" s="529"/>
      <c r="H78" s="375"/>
      <c r="I78" s="373"/>
      <c r="J78" s="376"/>
      <c r="K78" s="535"/>
      <c r="L78" s="378"/>
      <c r="M78" s="379"/>
      <c r="N78" s="380"/>
      <c r="O78" s="381"/>
      <c r="P78" s="382"/>
      <c r="Q78" s="383"/>
    </row>
    <row r="79" spans="1:17" ht="14.25" thickTop="1" thickBot="1" x14ac:dyDescent="0.25">
      <c r="A79" s="387"/>
      <c r="B79" s="412"/>
      <c r="C79" s="388"/>
      <c r="E79" s="253"/>
      <c r="F79" s="373"/>
      <c r="G79" s="529"/>
      <c r="H79" s="375"/>
      <c r="I79" s="373"/>
      <c r="J79" s="389" t="s">
        <v>30</v>
      </c>
      <c r="K79" s="532">
        <f>SUM(K73:K78)</f>
        <v>68035</v>
      </c>
      <c r="L79" s="536"/>
      <c r="M79" s="574"/>
      <c r="N79" s="537"/>
      <c r="O79" s="540"/>
      <c r="P79" s="541"/>
      <c r="Q79" s="383"/>
    </row>
    <row r="80" spans="1:17" ht="14.1" customHeight="1" thickTop="1" x14ac:dyDescent="0.25">
      <c r="A80" s="478"/>
      <c r="B80" s="479"/>
      <c r="C80" s="480"/>
      <c r="D80" s="480"/>
      <c r="E80" s="481"/>
      <c r="F80" s="969" t="s">
        <v>658</v>
      </c>
      <c r="G80" s="992" t="s">
        <v>684</v>
      </c>
      <c r="H80" s="481"/>
      <c r="I80" s="962" t="s">
        <v>657</v>
      </c>
      <c r="J80" s="958" t="s">
        <v>685</v>
      </c>
      <c r="K80" s="956" t="s">
        <v>31</v>
      </c>
      <c r="L80" s="542"/>
      <c r="M80" s="575"/>
      <c r="N80" s="544"/>
      <c r="O80" s="576"/>
      <c r="P80" s="576"/>
      <c r="Q80" s="544"/>
    </row>
    <row r="81" spans="1:17" ht="15" x14ac:dyDescent="0.2">
      <c r="A81" s="482" t="s">
        <v>32</v>
      </c>
      <c r="B81" s="964" t="s">
        <v>24</v>
      </c>
      <c r="C81" s="483"/>
      <c r="D81" s="484"/>
      <c r="E81" s="484"/>
      <c r="F81" s="970"/>
      <c r="G81" s="993"/>
      <c r="H81" s="485"/>
      <c r="I81" s="963"/>
      <c r="J81" s="959"/>
      <c r="K81" s="957"/>
      <c r="Q81" s="157" t="s">
        <v>1001</v>
      </c>
    </row>
    <row r="82" spans="1:17" ht="15" x14ac:dyDescent="0.25">
      <c r="A82" s="825">
        <f>K82/E6</f>
        <v>10.223927626782723</v>
      </c>
      <c r="B82" s="964"/>
      <c r="C82" s="484"/>
      <c r="D82" s="484"/>
      <c r="E82" s="484"/>
      <c r="F82" s="960">
        <f>SUM(F73:F78,F62:F69,F53:F58,F40:F49,F29:F36,F13:F25)</f>
        <v>236330.86089593248</v>
      </c>
      <c r="G82" s="1006">
        <f>SUM(G73:G78,G62:G69,G53:G58,G40:G49,G29:G36,G13:G24)</f>
        <v>158.33333333333331</v>
      </c>
      <c r="H82" s="485"/>
      <c r="I82" s="960">
        <f>SUM(I73:I78,I62:I69,I53:I58,I40:I49,I29:I36,I13:I25)</f>
        <v>9500</v>
      </c>
      <c r="J82" s="952">
        <f>SUM(J73:J78,J62:J68,J53:J58,J40:J49,J29:J36,J13:J25)</f>
        <v>424777</v>
      </c>
      <c r="K82" s="954">
        <f>SUM(K79,K70,K59,K50,K37,K26)</f>
        <v>670607.86089593242</v>
      </c>
      <c r="M82" s="832">
        <v>1</v>
      </c>
      <c r="N82" s="157" t="s">
        <v>994</v>
      </c>
      <c r="O82" s="157">
        <v>284</v>
      </c>
      <c r="P82" s="157" t="s">
        <v>995</v>
      </c>
      <c r="Q82" s="578">
        <f>CONVERT(O82,"ft^3","m^3")</f>
        <v>8.0419844321280003</v>
      </c>
    </row>
    <row r="83" spans="1:17" ht="15" thickBot="1" x14ac:dyDescent="0.25">
      <c r="A83" s="482"/>
      <c r="B83" s="550"/>
      <c r="C83" s="488"/>
      <c r="D83" s="488"/>
      <c r="E83" s="488"/>
      <c r="F83" s="961"/>
      <c r="G83" s="1007"/>
      <c r="H83" s="488"/>
      <c r="I83" s="961"/>
      <c r="J83" s="953"/>
      <c r="K83" s="955"/>
      <c r="M83" s="832">
        <v>2</v>
      </c>
      <c r="N83" s="157" t="s">
        <v>996</v>
      </c>
      <c r="O83" s="157">
        <v>737</v>
      </c>
      <c r="P83" s="157" t="s">
        <v>995</v>
      </c>
      <c r="Q83" s="578">
        <f t="shared" ref="Q83:Q89" si="21">CONVERT(O83,"ft^3","m^3")</f>
        <v>20.869515938304001</v>
      </c>
    </row>
    <row r="84" spans="1:17" ht="13.5" thickBot="1" x14ac:dyDescent="0.25">
      <c r="A84" s="489"/>
      <c r="B84" s="490"/>
      <c r="C84" s="490"/>
      <c r="D84" s="490"/>
      <c r="E84" s="490"/>
      <c r="F84" s="490"/>
      <c r="G84" s="490"/>
      <c r="H84" s="490"/>
      <c r="I84" s="490"/>
      <c r="J84" s="490"/>
      <c r="K84" s="491"/>
      <c r="M84" s="832">
        <v>3</v>
      </c>
      <c r="N84" s="157" t="s">
        <v>997</v>
      </c>
      <c r="O84" s="157">
        <v>256</v>
      </c>
      <c r="P84" s="157" t="s">
        <v>995</v>
      </c>
      <c r="Q84" s="578">
        <f t="shared" si="21"/>
        <v>7.2491127275520002</v>
      </c>
    </row>
    <row r="85" spans="1:17" x14ac:dyDescent="0.2">
      <c r="M85" s="832">
        <v>4</v>
      </c>
      <c r="N85" s="157" t="s">
        <v>998</v>
      </c>
      <c r="O85" s="157">
        <v>48</v>
      </c>
      <c r="P85" s="157" t="s">
        <v>995</v>
      </c>
      <c r="Q85" s="578">
        <f t="shared" si="21"/>
        <v>1.3592086364160001</v>
      </c>
    </row>
    <row r="86" spans="1:17" x14ac:dyDescent="0.2">
      <c r="M86" s="832">
        <v>5</v>
      </c>
      <c r="N86" s="157" t="s">
        <v>999</v>
      </c>
      <c r="O86" s="831">
        <v>8492</v>
      </c>
      <c r="P86" s="157" t="s">
        <v>995</v>
      </c>
      <c r="Q86" s="578">
        <f t="shared" si="21"/>
        <v>240.46666125926401</v>
      </c>
    </row>
    <row r="87" spans="1:17" x14ac:dyDescent="0.2">
      <c r="M87" s="832">
        <v>6</v>
      </c>
      <c r="N87" s="157" t="s">
        <v>1000</v>
      </c>
      <c r="O87" s="831">
        <v>15858</v>
      </c>
      <c r="P87" s="157" t="s">
        <v>995</v>
      </c>
      <c r="Q87" s="578">
        <f t="shared" si="21"/>
        <v>449.04855325593604</v>
      </c>
    </row>
    <row r="88" spans="1:17" x14ac:dyDescent="0.2">
      <c r="M88" s="276">
        <v>7</v>
      </c>
      <c r="N88" s="157" t="s">
        <v>599</v>
      </c>
      <c r="O88" s="302">
        <v>1266</v>
      </c>
      <c r="Q88" s="578">
        <f t="shared" si="21"/>
        <v>35.849127785472</v>
      </c>
    </row>
    <row r="89" spans="1:17" x14ac:dyDescent="0.2">
      <c r="M89" s="276">
        <v>8</v>
      </c>
      <c r="N89" s="157" t="s">
        <v>1135</v>
      </c>
      <c r="O89" s="302">
        <v>142</v>
      </c>
      <c r="Q89" s="578">
        <f t="shared" si="21"/>
        <v>4.0209922160640001</v>
      </c>
    </row>
  </sheetData>
  <mergeCells count="58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H9:H10"/>
    <mergeCell ref="I9:I10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C27:F27"/>
    <mergeCell ref="G27:I27"/>
    <mergeCell ref="C38:F38"/>
    <mergeCell ref="G38:I38"/>
    <mergeCell ref="C51:F51"/>
    <mergeCell ref="G51:I51"/>
    <mergeCell ref="B81:B82"/>
    <mergeCell ref="C60:F60"/>
    <mergeCell ref="G60:I60"/>
    <mergeCell ref="C71:F71"/>
    <mergeCell ref="G71:I71"/>
    <mergeCell ref="J80:J81"/>
    <mergeCell ref="K80:K81"/>
    <mergeCell ref="F82:F83"/>
    <mergeCell ref="G82:G83"/>
    <mergeCell ref="I82:I83"/>
    <mergeCell ref="J82:J83"/>
    <mergeCell ref="K82:K83"/>
    <mergeCell ref="F80:F81"/>
    <mergeCell ref="G80:G81"/>
    <mergeCell ref="I80:I81"/>
    <mergeCell ref="U29:V29"/>
    <mergeCell ref="Q11:Q12"/>
    <mergeCell ref="L11:L12"/>
    <mergeCell ref="M11:M12"/>
    <mergeCell ref="N11:N12"/>
    <mergeCell ref="O11:O12"/>
    <mergeCell ref="P11:P12"/>
  </mergeCells>
  <phoneticPr fontId="5" type="noConversion"/>
  <printOptions horizontalCentered="1"/>
  <pageMargins left="0.7" right="0.7" top="0.75" bottom="0.75" header="0.5" footer="0.5"/>
  <pageSetup scale="59" fitToHeight="2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pageSetUpPr fitToPage="1"/>
  </sheetPr>
  <dimension ref="A1:Q98"/>
  <sheetViews>
    <sheetView zoomScale="90" zoomScaleNormal="75" zoomScaleSheetLayoutView="90" zoomScalePageLayoutView="75" workbookViewId="0">
      <selection activeCell="L14" sqref="L14"/>
    </sheetView>
  </sheetViews>
  <sheetFormatPr defaultColWidth="9.140625" defaultRowHeight="12.75" x14ac:dyDescent="0.2"/>
  <cols>
    <col min="1" max="1" width="12.140625" style="157" bestFit="1" customWidth="1"/>
    <col min="2" max="2" width="44" style="157" customWidth="1"/>
    <col min="3" max="4" width="4.85546875" style="440" customWidth="1"/>
    <col min="5" max="5" width="11" style="157" customWidth="1"/>
    <col min="6" max="6" width="12.42578125" style="157" customWidth="1"/>
    <col min="7" max="7" width="6.85546875" style="157" customWidth="1"/>
    <col min="8" max="8" width="11" style="157" customWidth="1"/>
    <col min="9" max="9" width="12.42578125" style="157" customWidth="1"/>
    <col min="10" max="10" width="15.5703125" style="157" customWidth="1"/>
    <col min="11" max="11" width="14" style="157" customWidth="1"/>
    <col min="12" max="12" width="17.85546875" style="159" bestFit="1" customWidth="1"/>
    <col min="13" max="13" width="14" style="276" bestFit="1" customWidth="1"/>
    <col min="14" max="14" width="24.85546875" style="157" bestFit="1" customWidth="1"/>
    <col min="15" max="15" width="22" style="302" bestFit="1" customWidth="1"/>
    <col min="16" max="16" width="22.140625" style="302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2"/>
      <c r="B1" s="323"/>
      <c r="C1" s="976">
        <f>'Estimate Summary'!C1:H1</f>
        <v>0</v>
      </c>
      <c r="D1" s="976"/>
      <c r="E1" s="976"/>
      <c r="F1" s="976"/>
      <c r="G1" s="976"/>
      <c r="H1" s="976"/>
      <c r="I1" s="976"/>
      <c r="J1" s="976"/>
      <c r="K1" s="977"/>
    </row>
    <row r="2" spans="1:17" ht="13.5" thickBot="1" x14ac:dyDescent="0.25">
      <c r="A2" s="324"/>
      <c r="B2" s="325"/>
      <c r="C2" s="514"/>
      <c r="D2" s="984"/>
      <c r="E2" s="984"/>
      <c r="F2" s="984"/>
      <c r="G2" s="514"/>
      <c r="H2" s="327"/>
      <c r="I2" s="328"/>
      <c r="J2" s="329"/>
      <c r="K2" s="330"/>
    </row>
    <row r="3" spans="1:17" ht="16.5" thickBot="1" x14ac:dyDescent="0.3">
      <c r="A3" s="973"/>
      <c r="B3" s="974"/>
      <c r="C3" s="514"/>
      <c r="D3" s="984"/>
      <c r="E3" s="984"/>
      <c r="F3" s="984"/>
      <c r="G3" s="515"/>
      <c r="H3" s="332"/>
      <c r="I3" s="333"/>
      <c r="J3" s="333"/>
      <c r="K3" s="334"/>
      <c r="L3" s="1002"/>
      <c r="M3" s="1003"/>
      <c r="N3" s="985"/>
      <c r="O3" s="985"/>
      <c r="P3" s="935"/>
    </row>
    <row r="4" spans="1:17" ht="18.75" thickBot="1" x14ac:dyDescent="0.25">
      <c r="A4" s="973"/>
      <c r="B4" s="974"/>
      <c r="C4" s="514"/>
      <c r="D4" s="984"/>
      <c r="E4" s="984"/>
      <c r="F4" s="984"/>
      <c r="G4" s="336"/>
      <c r="H4" s="336"/>
      <c r="I4" s="328"/>
      <c r="J4" s="329"/>
      <c r="K4" s="330"/>
      <c r="L4" s="1002"/>
      <c r="M4" s="1003"/>
      <c r="N4" s="985"/>
      <c r="O4" s="985"/>
      <c r="P4" s="935"/>
    </row>
    <row r="5" spans="1:17" ht="21" thickBot="1" x14ac:dyDescent="0.3">
      <c r="A5" s="337"/>
      <c r="B5" s="338"/>
      <c r="C5" s="516"/>
      <c r="D5" s="340"/>
      <c r="E5" s="341"/>
      <c r="F5" s="336"/>
      <c r="G5" s="983" t="s">
        <v>5</v>
      </c>
      <c r="H5" s="983"/>
      <c r="I5" s="983"/>
      <c r="J5" s="981" t="s">
        <v>73</v>
      </c>
      <c r="K5" s="982"/>
      <c r="L5" s="1002"/>
      <c r="M5" s="1003"/>
      <c r="N5" s="985"/>
      <c r="O5" s="985"/>
      <c r="P5" s="935"/>
    </row>
    <row r="6" spans="1:17" ht="21" thickBot="1" x14ac:dyDescent="0.25">
      <c r="A6" s="337"/>
      <c r="B6" s="338"/>
      <c r="C6" s="517"/>
      <c r="D6" s="343" t="str">
        <f>'Estimate Summary'!C11</f>
        <v>Area:</v>
      </c>
      <c r="E6" s="344">
        <f>'Estimate Summary'!D11</f>
        <v>65592</v>
      </c>
      <c r="F6" s="238" t="str">
        <f>'Estimate Summary'!E11</f>
        <v>Sq. Ft.</v>
      </c>
      <c r="G6" s="983"/>
      <c r="H6" s="983"/>
      <c r="I6" s="983"/>
      <c r="J6" s="345">
        <f>'1'!J6</f>
        <v>60</v>
      </c>
      <c r="K6" s="330" t="s">
        <v>74</v>
      </c>
      <c r="L6" s="1002"/>
      <c r="M6" s="1003"/>
      <c r="N6" s="985"/>
      <c r="O6" s="985"/>
      <c r="P6" s="935"/>
    </row>
    <row r="7" spans="1:17" x14ac:dyDescent="0.2">
      <c r="A7" s="978"/>
      <c r="B7" s="979"/>
      <c r="C7" s="979"/>
      <c r="D7" s="979"/>
      <c r="E7" s="979"/>
      <c r="F7" s="979"/>
      <c r="G7" s="979"/>
      <c r="H7" s="979"/>
      <c r="I7" s="979"/>
      <c r="J7" s="979"/>
      <c r="K7" s="980"/>
    </row>
    <row r="8" spans="1:17" x14ac:dyDescent="0.2">
      <c r="A8" s="346"/>
      <c r="B8" s="347"/>
      <c r="C8" s="972"/>
      <c r="D8" s="972"/>
      <c r="E8" s="972"/>
      <c r="F8" s="972"/>
      <c r="G8" s="971"/>
      <c r="H8" s="971"/>
      <c r="I8" s="971"/>
      <c r="J8" s="348"/>
      <c r="K8" s="349"/>
      <c r="L8" s="518"/>
      <c r="M8" s="519"/>
      <c r="N8" s="518"/>
      <c r="O8" s="520"/>
      <c r="P8" s="520"/>
    </row>
    <row r="9" spans="1:17" x14ac:dyDescent="0.2">
      <c r="A9" s="521"/>
      <c r="B9" s="203"/>
      <c r="C9" s="1000"/>
      <c r="D9" s="1000"/>
      <c r="E9" s="996"/>
      <c r="F9" s="996"/>
      <c r="G9" s="1001"/>
      <c r="H9" s="996"/>
      <c r="I9" s="996"/>
      <c r="J9" s="996"/>
      <c r="K9" s="999"/>
      <c r="L9" s="468"/>
      <c r="M9" s="467"/>
      <c r="N9" s="413"/>
      <c r="O9" s="414"/>
      <c r="P9" s="414"/>
    </row>
    <row r="10" spans="1:17" ht="13.5" thickBot="1" x14ac:dyDescent="0.25">
      <c r="A10" s="401"/>
      <c r="B10" s="522"/>
      <c r="C10" s="1000"/>
      <c r="D10" s="1000"/>
      <c r="E10" s="996"/>
      <c r="F10" s="996"/>
      <c r="G10" s="1001"/>
      <c r="H10" s="996"/>
      <c r="I10" s="996"/>
      <c r="J10" s="996"/>
      <c r="K10" s="999"/>
      <c r="L10" s="468"/>
      <c r="M10" s="467"/>
      <c r="N10" s="413"/>
      <c r="O10" s="414"/>
      <c r="P10" s="414"/>
    </row>
    <row r="11" spans="1:17" ht="14.25" thickTop="1" thickBot="1" x14ac:dyDescent="0.25">
      <c r="A11" s="353" t="s">
        <v>0</v>
      </c>
      <c r="B11" s="354" t="s">
        <v>1</v>
      </c>
      <c r="C11" s="939" t="s">
        <v>656</v>
      </c>
      <c r="D11" s="939"/>
      <c r="E11" s="939"/>
      <c r="F11" s="939"/>
      <c r="G11" s="939" t="s">
        <v>34</v>
      </c>
      <c r="H11" s="939"/>
      <c r="I11" s="939"/>
      <c r="J11" s="355"/>
      <c r="K11" s="523"/>
      <c r="L11" s="942" t="s">
        <v>783</v>
      </c>
      <c r="M11" s="944" t="s">
        <v>784</v>
      </c>
      <c r="N11" s="946" t="s">
        <v>785</v>
      </c>
      <c r="O11" s="948" t="s">
        <v>1041</v>
      </c>
      <c r="P11" s="950"/>
      <c r="Q11" s="940"/>
    </row>
    <row r="12" spans="1:17" ht="15.75" x14ac:dyDescent="0.25">
      <c r="A12" s="525" t="s">
        <v>173</v>
      </c>
      <c r="B12" s="525" t="s">
        <v>175</v>
      </c>
      <c r="C12" s="359" t="s">
        <v>19</v>
      </c>
      <c r="D12" s="360" t="s">
        <v>33</v>
      </c>
      <c r="E12" s="361" t="s">
        <v>35</v>
      </c>
      <c r="F12" s="362" t="s">
        <v>30</v>
      </c>
      <c r="G12" s="526" t="s">
        <v>14</v>
      </c>
      <c r="H12" s="361" t="s">
        <v>35</v>
      </c>
      <c r="I12" s="362" t="s">
        <v>30</v>
      </c>
      <c r="J12" s="364" t="s">
        <v>659</v>
      </c>
      <c r="K12" s="527" t="s">
        <v>38</v>
      </c>
      <c r="L12" s="943"/>
      <c r="M12" s="945"/>
      <c r="N12" s="947"/>
      <c r="O12" s="949"/>
      <c r="P12" s="951"/>
      <c r="Q12" s="941"/>
    </row>
    <row r="13" spans="1:17" x14ac:dyDescent="0.2">
      <c r="A13" s="370"/>
      <c r="B13" s="5"/>
      <c r="C13" s="371"/>
      <c r="D13" s="372" t="s">
        <v>21</v>
      </c>
      <c r="E13" s="253">
        <v>0</v>
      </c>
      <c r="F13" s="373">
        <f t="shared" ref="F13:F24" si="0">C13*E13</f>
        <v>0</v>
      </c>
      <c r="G13" s="529"/>
      <c r="H13" s="375">
        <v>0</v>
      </c>
      <c r="I13" s="373">
        <f t="shared" ref="I13:I24" si="1">G13*H13</f>
        <v>0</v>
      </c>
      <c r="J13" s="376"/>
      <c r="K13" s="530">
        <f t="shared" ref="K13:K24" si="2">F13+I13+J13</f>
        <v>0</v>
      </c>
      <c r="L13" s="378"/>
      <c r="M13" s="379" t="s">
        <v>1191</v>
      </c>
      <c r="N13" s="380" t="s">
        <v>1192</v>
      </c>
      <c r="O13" s="381" t="s">
        <v>1042</v>
      </c>
      <c r="P13" s="382">
        <f>94000+37400</f>
        <v>131400</v>
      </c>
      <c r="Q13" s="838" t="s">
        <v>1043</v>
      </c>
    </row>
    <row r="14" spans="1:17" x14ac:dyDescent="0.2">
      <c r="A14" s="370"/>
      <c r="B14" s="5" t="s">
        <v>1109</v>
      </c>
      <c r="C14" s="371">
        <f>2745+545</f>
        <v>3290</v>
      </c>
      <c r="D14" s="372" t="s">
        <v>732</v>
      </c>
      <c r="E14" s="253">
        <v>50</v>
      </c>
      <c r="F14" s="373"/>
      <c r="G14" s="529"/>
      <c r="H14" s="375">
        <v>0</v>
      </c>
      <c r="I14" s="373">
        <f t="shared" si="1"/>
        <v>0</v>
      </c>
      <c r="J14" s="376">
        <f>M14</f>
        <v>104000</v>
      </c>
      <c r="K14" s="530">
        <f t="shared" si="2"/>
        <v>104000</v>
      </c>
      <c r="L14" s="378" t="s">
        <v>1056</v>
      </c>
      <c r="M14" s="379">
        <v>104000</v>
      </c>
      <c r="N14" s="840">
        <v>36360</v>
      </c>
      <c r="O14" s="381"/>
      <c r="P14" s="382"/>
      <c r="Q14" s="383"/>
    </row>
    <row r="15" spans="1:17" x14ac:dyDescent="0.2">
      <c r="A15" s="370"/>
      <c r="B15" s="5"/>
      <c r="C15" s="371"/>
      <c r="D15" s="372" t="s">
        <v>21</v>
      </c>
      <c r="E15" s="253">
        <v>0</v>
      </c>
      <c r="F15" s="373">
        <f t="shared" si="0"/>
        <v>0</v>
      </c>
      <c r="G15" s="529"/>
      <c r="H15" s="375">
        <v>0</v>
      </c>
      <c r="I15" s="373">
        <f t="shared" si="1"/>
        <v>0</v>
      </c>
      <c r="J15" s="376"/>
      <c r="K15" s="530">
        <f t="shared" si="2"/>
        <v>0</v>
      </c>
      <c r="L15" s="378" t="s">
        <v>1219</v>
      </c>
      <c r="M15" s="379">
        <v>219495</v>
      </c>
      <c r="N15" s="380"/>
      <c r="O15" s="381"/>
      <c r="P15" s="382"/>
      <c r="Q15" s="383"/>
    </row>
    <row r="16" spans="1:17" x14ac:dyDescent="0.2">
      <c r="A16" s="370"/>
      <c r="B16" s="5" t="s">
        <v>1111</v>
      </c>
      <c r="C16" s="371">
        <v>1600</v>
      </c>
      <c r="D16" s="372" t="s">
        <v>732</v>
      </c>
      <c r="E16" s="253">
        <v>40</v>
      </c>
      <c r="F16" s="373"/>
      <c r="G16" s="529"/>
      <c r="H16" s="375">
        <v>0</v>
      </c>
      <c r="I16" s="373">
        <f t="shared" si="1"/>
        <v>0</v>
      </c>
      <c r="J16" s="376">
        <f>N14</f>
        <v>36360</v>
      </c>
      <c r="K16" s="530">
        <f t="shared" si="2"/>
        <v>36360</v>
      </c>
      <c r="L16" s="378"/>
      <c r="M16" s="379"/>
      <c r="N16" s="380"/>
      <c r="O16" s="381"/>
      <c r="P16" s="382"/>
      <c r="Q16" s="383"/>
    </row>
    <row r="17" spans="1:17" x14ac:dyDescent="0.2">
      <c r="A17" s="370"/>
      <c r="B17" s="6"/>
      <c r="C17" s="371"/>
      <c r="D17" s="372" t="s">
        <v>21</v>
      </c>
      <c r="E17" s="253">
        <v>0</v>
      </c>
      <c r="F17" s="373">
        <f t="shared" si="0"/>
        <v>0</v>
      </c>
      <c r="G17" s="529"/>
      <c r="H17" s="375">
        <v>0</v>
      </c>
      <c r="I17" s="373">
        <f t="shared" si="1"/>
        <v>0</v>
      </c>
      <c r="J17" s="376"/>
      <c r="K17" s="530">
        <f t="shared" si="2"/>
        <v>0</v>
      </c>
      <c r="L17" s="378"/>
      <c r="M17" s="379"/>
      <c r="N17" s="380"/>
      <c r="O17" s="381"/>
      <c r="P17" s="382"/>
      <c r="Q17" s="383"/>
    </row>
    <row r="18" spans="1:17" x14ac:dyDescent="0.2">
      <c r="A18" s="384"/>
      <c r="B18" s="5"/>
      <c r="C18" s="371"/>
      <c r="D18" s="372" t="s">
        <v>21</v>
      </c>
      <c r="E18" s="253">
        <v>0</v>
      </c>
      <c r="F18" s="373">
        <f t="shared" si="0"/>
        <v>0</v>
      </c>
      <c r="G18" s="529"/>
      <c r="H18" s="375">
        <v>0</v>
      </c>
      <c r="I18" s="373">
        <f t="shared" si="1"/>
        <v>0</v>
      </c>
      <c r="J18" s="376"/>
      <c r="K18" s="530">
        <f t="shared" si="2"/>
        <v>0</v>
      </c>
      <c r="L18" s="378"/>
      <c r="M18" s="379"/>
      <c r="N18" s="380"/>
      <c r="O18" s="381"/>
      <c r="P18" s="382"/>
      <c r="Q18" s="383"/>
    </row>
    <row r="19" spans="1:17" x14ac:dyDescent="0.2">
      <c r="A19" s="384"/>
      <c r="B19" s="5"/>
      <c r="C19" s="371"/>
      <c r="D19" s="372" t="s">
        <v>21</v>
      </c>
      <c r="E19" s="253">
        <v>0</v>
      </c>
      <c r="F19" s="373">
        <f t="shared" si="0"/>
        <v>0</v>
      </c>
      <c r="G19" s="529"/>
      <c r="H19" s="375">
        <v>0</v>
      </c>
      <c r="I19" s="373">
        <f t="shared" si="1"/>
        <v>0</v>
      </c>
      <c r="J19" s="376"/>
      <c r="K19" s="530">
        <f t="shared" si="2"/>
        <v>0</v>
      </c>
      <c r="L19" s="378" t="s">
        <v>1187</v>
      </c>
      <c r="M19" s="379">
        <v>51352</v>
      </c>
      <c r="N19" s="380" t="s">
        <v>1188</v>
      </c>
      <c r="O19" s="381"/>
      <c r="P19" s="382"/>
      <c r="Q19" s="383"/>
    </row>
    <row r="20" spans="1:17" x14ac:dyDescent="0.2">
      <c r="A20" s="384"/>
      <c r="B20" s="5"/>
      <c r="C20" s="371"/>
      <c r="D20" s="372" t="s">
        <v>21</v>
      </c>
      <c r="E20" s="253">
        <v>0</v>
      </c>
      <c r="F20" s="373">
        <f t="shared" si="0"/>
        <v>0</v>
      </c>
      <c r="G20" s="529"/>
      <c r="H20" s="375">
        <v>0</v>
      </c>
      <c r="I20" s="373">
        <f t="shared" si="1"/>
        <v>0</v>
      </c>
      <c r="J20" s="376"/>
      <c r="K20" s="530">
        <f t="shared" si="2"/>
        <v>0</v>
      </c>
      <c r="L20" s="378" t="s">
        <v>1076</v>
      </c>
      <c r="M20" s="379">
        <v>55000</v>
      </c>
      <c r="N20" s="380"/>
      <c r="O20" s="381"/>
      <c r="P20" s="382"/>
      <c r="Q20" s="383"/>
    </row>
    <row r="21" spans="1:17" x14ac:dyDescent="0.2">
      <c r="A21" s="384"/>
      <c r="B21" s="5"/>
      <c r="C21" s="371"/>
      <c r="D21" s="372" t="s">
        <v>21</v>
      </c>
      <c r="E21" s="253">
        <v>0</v>
      </c>
      <c r="F21" s="373">
        <f t="shared" si="0"/>
        <v>0</v>
      </c>
      <c r="G21" s="529"/>
      <c r="H21" s="375">
        <v>0</v>
      </c>
      <c r="I21" s="373">
        <f t="shared" si="1"/>
        <v>0</v>
      </c>
      <c r="J21" s="376"/>
      <c r="K21" s="530">
        <f t="shared" si="2"/>
        <v>0</v>
      </c>
      <c r="L21" s="378"/>
      <c r="M21" s="379"/>
      <c r="N21" s="380"/>
      <c r="O21" s="381"/>
      <c r="P21" s="382"/>
      <c r="Q21" s="383"/>
    </row>
    <row r="22" spans="1:17" x14ac:dyDescent="0.2">
      <c r="A22" s="384"/>
      <c r="B22" s="5"/>
      <c r="C22" s="371"/>
      <c r="D22" s="372" t="s">
        <v>21</v>
      </c>
      <c r="E22" s="253">
        <v>0</v>
      </c>
      <c r="F22" s="373">
        <f t="shared" si="0"/>
        <v>0</v>
      </c>
      <c r="G22" s="529"/>
      <c r="H22" s="375">
        <v>0</v>
      </c>
      <c r="I22" s="373">
        <f t="shared" si="1"/>
        <v>0</v>
      </c>
      <c r="J22" s="376"/>
      <c r="K22" s="530">
        <f t="shared" si="2"/>
        <v>0</v>
      </c>
      <c r="L22" s="378"/>
      <c r="M22" s="379"/>
      <c r="N22" s="380"/>
      <c r="O22" s="381"/>
      <c r="P22" s="382"/>
      <c r="Q22" s="383"/>
    </row>
    <row r="23" spans="1:17" x14ac:dyDescent="0.2">
      <c r="A23" s="384"/>
      <c r="B23" s="5"/>
      <c r="C23" s="371"/>
      <c r="D23" s="372" t="s">
        <v>21</v>
      </c>
      <c r="E23" s="253">
        <v>0</v>
      </c>
      <c r="F23" s="373">
        <f t="shared" si="0"/>
        <v>0</v>
      </c>
      <c r="G23" s="529"/>
      <c r="H23" s="375">
        <v>0</v>
      </c>
      <c r="I23" s="373">
        <f t="shared" si="1"/>
        <v>0</v>
      </c>
      <c r="J23" s="376"/>
      <c r="K23" s="530">
        <f t="shared" si="2"/>
        <v>0</v>
      </c>
      <c r="L23" s="378"/>
      <c r="M23" s="379"/>
      <c r="N23" s="380"/>
      <c r="O23" s="381"/>
      <c r="P23" s="382"/>
      <c r="Q23" s="383"/>
    </row>
    <row r="24" spans="1:17" x14ac:dyDescent="0.2">
      <c r="A24" s="384"/>
      <c r="B24" s="5"/>
      <c r="C24" s="371"/>
      <c r="D24" s="372" t="s">
        <v>21</v>
      </c>
      <c r="E24" s="253">
        <v>0</v>
      </c>
      <c r="F24" s="373">
        <f t="shared" si="0"/>
        <v>0</v>
      </c>
      <c r="G24" s="529"/>
      <c r="H24" s="375">
        <v>0</v>
      </c>
      <c r="I24" s="373">
        <f t="shared" si="1"/>
        <v>0</v>
      </c>
      <c r="J24" s="376"/>
      <c r="K24" s="530">
        <f t="shared" si="2"/>
        <v>0</v>
      </c>
      <c r="L24" s="378"/>
      <c r="M24" s="379"/>
      <c r="N24" s="380"/>
      <c r="O24" s="381"/>
      <c r="P24" s="382"/>
      <c r="Q24" s="383"/>
    </row>
    <row r="25" spans="1:17" ht="13.5" thickBot="1" x14ac:dyDescent="0.25">
      <c r="A25" s="387"/>
      <c r="B25" s="7"/>
      <c r="C25" s="388"/>
      <c r="D25" s="372"/>
      <c r="E25" s="253"/>
      <c r="F25" s="373"/>
      <c r="G25" s="529"/>
      <c r="H25" s="375"/>
      <c r="I25" s="373"/>
      <c r="J25" s="376"/>
      <c r="K25" s="530"/>
      <c r="L25" s="378"/>
      <c r="M25" s="379"/>
      <c r="N25" s="380"/>
      <c r="O25" s="381"/>
      <c r="P25" s="382"/>
      <c r="Q25" s="383"/>
    </row>
    <row r="26" spans="1:17" ht="13.5" thickTop="1" x14ac:dyDescent="0.2">
      <c r="A26" s="387"/>
      <c r="B26" s="7"/>
      <c r="C26" s="388"/>
      <c r="D26" s="372"/>
      <c r="E26" s="253"/>
      <c r="F26" s="373"/>
      <c r="G26" s="529"/>
      <c r="H26" s="375"/>
      <c r="I26" s="373"/>
      <c r="J26" s="389" t="s">
        <v>30</v>
      </c>
      <c r="K26" s="532">
        <f>SUM(K13:K25)</f>
        <v>140360</v>
      </c>
      <c r="L26" s="378"/>
      <c r="M26" s="379"/>
      <c r="N26" s="380"/>
      <c r="O26" s="381"/>
      <c r="P26" s="382"/>
      <c r="Q26" s="383"/>
    </row>
    <row r="27" spans="1:17" ht="13.5" thickBot="1" x14ac:dyDescent="0.25">
      <c r="A27" s="353" t="s">
        <v>0</v>
      </c>
      <c r="B27" s="354" t="s">
        <v>1</v>
      </c>
      <c r="C27" s="939" t="s">
        <v>656</v>
      </c>
      <c r="D27" s="939"/>
      <c r="E27" s="939"/>
      <c r="F27" s="939"/>
      <c r="G27" s="939" t="s">
        <v>34</v>
      </c>
      <c r="H27" s="939"/>
      <c r="I27" s="939"/>
      <c r="J27" s="355"/>
      <c r="K27" s="523"/>
      <c r="L27" s="391"/>
      <c r="M27" s="392"/>
      <c r="N27" s="393"/>
      <c r="O27" s="381"/>
      <c r="P27" s="382"/>
      <c r="Q27" s="383"/>
    </row>
    <row r="28" spans="1:17" ht="16.5" thickBot="1" x14ac:dyDescent="0.3">
      <c r="A28" s="525" t="s">
        <v>174</v>
      </c>
      <c r="B28" s="525" t="s">
        <v>176</v>
      </c>
      <c r="C28" s="396" t="s">
        <v>19</v>
      </c>
      <c r="D28" s="397" t="s">
        <v>33</v>
      </c>
      <c r="E28" s="398" t="s">
        <v>35</v>
      </c>
      <c r="F28" s="399" t="s">
        <v>30</v>
      </c>
      <c r="G28" s="533" t="s">
        <v>14</v>
      </c>
      <c r="H28" s="398" t="s">
        <v>35</v>
      </c>
      <c r="I28" s="399" t="s">
        <v>30</v>
      </c>
      <c r="J28" s="364" t="s">
        <v>659</v>
      </c>
      <c r="K28" s="534" t="s">
        <v>38</v>
      </c>
      <c r="L28" s="402"/>
      <c r="M28" s="403"/>
      <c r="N28" s="404"/>
      <c r="O28" s="381"/>
      <c r="P28" s="382"/>
      <c r="Q28" s="383"/>
    </row>
    <row r="29" spans="1:17" x14ac:dyDescent="0.2">
      <c r="A29" s="405"/>
      <c r="B29" s="406"/>
      <c r="C29" s="371"/>
      <c r="D29" s="372" t="s">
        <v>21</v>
      </c>
      <c r="E29" s="253">
        <v>0</v>
      </c>
      <c r="F29" s="373">
        <f t="shared" ref="F29:F35" si="3">C29*E29</f>
        <v>0</v>
      </c>
      <c r="G29" s="529"/>
      <c r="H29" s="375">
        <v>0</v>
      </c>
      <c r="I29" s="373">
        <f t="shared" ref="I29:I35" si="4">G29*H29</f>
        <v>0</v>
      </c>
      <c r="J29" s="376"/>
      <c r="K29" s="530">
        <f t="shared" ref="K29:K35" si="5">F29+I29+J29</f>
        <v>0</v>
      </c>
      <c r="L29" s="378"/>
      <c r="M29" s="379"/>
      <c r="N29" s="380"/>
      <c r="O29" s="381"/>
      <c r="P29" s="382"/>
      <c r="Q29" s="383"/>
    </row>
    <row r="30" spans="1:17" x14ac:dyDescent="0.2">
      <c r="A30" s="370"/>
      <c r="B30" s="5"/>
      <c r="C30" s="371"/>
      <c r="D30" s="372" t="s">
        <v>21</v>
      </c>
      <c r="E30" s="253">
        <v>0</v>
      </c>
      <c r="F30" s="373">
        <f t="shared" si="3"/>
        <v>0</v>
      </c>
      <c r="G30" s="529"/>
      <c r="H30" s="375">
        <v>0</v>
      </c>
      <c r="I30" s="373">
        <f t="shared" si="4"/>
        <v>0</v>
      </c>
      <c r="J30" s="376"/>
      <c r="K30" s="530">
        <f t="shared" si="5"/>
        <v>0</v>
      </c>
      <c r="L30" s="378"/>
      <c r="M30" s="379"/>
      <c r="N30" s="380"/>
      <c r="O30" s="381"/>
      <c r="P30" s="382"/>
      <c r="Q30" s="383"/>
    </row>
    <row r="31" spans="1:17" x14ac:dyDescent="0.2">
      <c r="A31" s="370"/>
      <c r="B31" s="5"/>
      <c r="C31" s="371"/>
      <c r="D31" s="372" t="s">
        <v>21</v>
      </c>
      <c r="E31" s="253">
        <v>0</v>
      </c>
      <c r="F31" s="373">
        <f t="shared" si="3"/>
        <v>0</v>
      </c>
      <c r="G31" s="529"/>
      <c r="H31" s="375">
        <v>0</v>
      </c>
      <c r="I31" s="373">
        <f t="shared" si="4"/>
        <v>0</v>
      </c>
      <c r="J31" s="376"/>
      <c r="K31" s="530">
        <f t="shared" si="5"/>
        <v>0</v>
      </c>
      <c r="L31" s="378"/>
      <c r="M31" s="379"/>
      <c r="N31" s="380"/>
      <c r="O31" s="381"/>
      <c r="P31" s="382"/>
      <c r="Q31" s="383"/>
    </row>
    <row r="32" spans="1:17" x14ac:dyDescent="0.2">
      <c r="A32" s="370"/>
      <c r="B32" s="5"/>
      <c r="C32" s="371"/>
      <c r="D32" s="372" t="s">
        <v>21</v>
      </c>
      <c r="E32" s="253">
        <v>0</v>
      </c>
      <c r="F32" s="373">
        <f t="shared" si="3"/>
        <v>0</v>
      </c>
      <c r="G32" s="529"/>
      <c r="H32" s="375">
        <v>0</v>
      </c>
      <c r="I32" s="373">
        <f t="shared" si="4"/>
        <v>0</v>
      </c>
      <c r="J32" s="376"/>
      <c r="K32" s="530">
        <f t="shared" si="5"/>
        <v>0</v>
      </c>
      <c r="L32" s="378"/>
      <c r="M32" s="379"/>
      <c r="N32" s="380"/>
      <c r="O32" s="381"/>
      <c r="P32" s="382"/>
      <c r="Q32" s="383"/>
    </row>
    <row r="33" spans="1:17" x14ac:dyDescent="0.2">
      <c r="A33" s="370"/>
      <c r="B33" s="5"/>
      <c r="C33" s="371"/>
      <c r="D33" s="372" t="s">
        <v>21</v>
      </c>
      <c r="E33" s="253">
        <v>0</v>
      </c>
      <c r="F33" s="373">
        <f t="shared" si="3"/>
        <v>0</v>
      </c>
      <c r="G33" s="529"/>
      <c r="H33" s="375">
        <v>0</v>
      </c>
      <c r="I33" s="373">
        <f t="shared" si="4"/>
        <v>0</v>
      </c>
      <c r="J33" s="376"/>
      <c r="K33" s="530">
        <f t="shared" si="5"/>
        <v>0</v>
      </c>
      <c r="L33" s="378"/>
      <c r="M33" s="379"/>
      <c r="N33" s="380"/>
      <c r="O33" s="381"/>
      <c r="P33" s="382"/>
      <c r="Q33" s="383"/>
    </row>
    <row r="34" spans="1:17" x14ac:dyDescent="0.2">
      <c r="A34" s="370"/>
      <c r="B34" s="5"/>
      <c r="C34" s="371"/>
      <c r="D34" s="372" t="s">
        <v>21</v>
      </c>
      <c r="E34" s="253">
        <v>0</v>
      </c>
      <c r="F34" s="373">
        <f t="shared" si="3"/>
        <v>0</v>
      </c>
      <c r="G34" s="529"/>
      <c r="H34" s="375">
        <v>0</v>
      </c>
      <c r="I34" s="373">
        <f t="shared" si="4"/>
        <v>0</v>
      </c>
      <c r="J34" s="376"/>
      <c r="K34" s="530">
        <f t="shared" si="5"/>
        <v>0</v>
      </c>
      <c r="L34" s="378"/>
      <c r="M34" s="379"/>
      <c r="N34" s="380"/>
      <c r="O34" s="381"/>
      <c r="P34" s="382"/>
      <c r="Q34" s="383"/>
    </row>
    <row r="35" spans="1:17" x14ac:dyDescent="0.2">
      <c r="A35" s="370"/>
      <c r="B35" s="5"/>
      <c r="C35" s="371"/>
      <c r="D35" s="372" t="s">
        <v>21</v>
      </c>
      <c r="E35" s="253">
        <v>0</v>
      </c>
      <c r="F35" s="373">
        <f t="shared" si="3"/>
        <v>0</v>
      </c>
      <c r="G35" s="529"/>
      <c r="H35" s="375">
        <v>0</v>
      </c>
      <c r="I35" s="373">
        <f t="shared" si="4"/>
        <v>0</v>
      </c>
      <c r="J35" s="376"/>
      <c r="K35" s="530">
        <f t="shared" si="5"/>
        <v>0</v>
      </c>
      <c r="L35" s="378"/>
      <c r="M35" s="379"/>
      <c r="N35" s="380"/>
      <c r="O35" s="381"/>
      <c r="P35" s="382"/>
      <c r="Q35" s="383"/>
    </row>
    <row r="36" spans="1:17" ht="13.5" thickBot="1" x14ac:dyDescent="0.25">
      <c r="A36" s="370"/>
      <c r="B36" s="5"/>
      <c r="C36" s="388"/>
      <c r="D36" s="372"/>
      <c r="E36" s="253"/>
      <c r="F36" s="373"/>
      <c r="G36" s="529"/>
      <c r="H36" s="375"/>
      <c r="I36" s="373"/>
      <c r="J36" s="376"/>
      <c r="K36" s="535"/>
      <c r="L36" s="378"/>
      <c r="M36" s="379"/>
      <c r="N36" s="380"/>
      <c r="O36" s="381"/>
      <c r="P36" s="382"/>
      <c r="Q36" s="383"/>
    </row>
    <row r="37" spans="1:17" ht="13.5" thickTop="1" x14ac:dyDescent="0.2">
      <c r="A37" s="387"/>
      <c r="B37" s="5"/>
      <c r="C37" s="388"/>
      <c r="D37" s="372"/>
      <c r="E37" s="253"/>
      <c r="F37" s="373"/>
      <c r="G37" s="529"/>
      <c r="H37" s="375"/>
      <c r="I37" s="373"/>
      <c r="J37" s="389" t="s">
        <v>30</v>
      </c>
      <c r="K37" s="532">
        <f>SUM(K29:K36)</f>
        <v>0</v>
      </c>
      <c r="L37" s="378"/>
      <c r="M37" s="379"/>
      <c r="N37" s="380"/>
      <c r="O37" s="381"/>
      <c r="P37" s="382"/>
      <c r="Q37" s="383"/>
    </row>
    <row r="38" spans="1:17" ht="13.5" thickBot="1" x14ac:dyDescent="0.25">
      <c r="A38" s="353" t="s">
        <v>0</v>
      </c>
      <c r="B38" s="354" t="s">
        <v>1</v>
      </c>
      <c r="C38" s="939" t="s">
        <v>656</v>
      </c>
      <c r="D38" s="939"/>
      <c r="E38" s="939"/>
      <c r="F38" s="939"/>
      <c r="G38" s="939" t="s">
        <v>34</v>
      </c>
      <c r="H38" s="939"/>
      <c r="I38" s="939"/>
      <c r="J38" s="355"/>
      <c r="K38" s="523"/>
      <c r="L38" s="391"/>
      <c r="M38" s="392"/>
      <c r="N38" s="393"/>
      <c r="O38" s="381"/>
      <c r="P38" s="382"/>
      <c r="Q38" s="383"/>
    </row>
    <row r="39" spans="1:17" ht="16.5" thickBot="1" x14ac:dyDescent="0.3">
      <c r="A39" s="394"/>
      <c r="B39" s="395"/>
      <c r="C39" s="396" t="s">
        <v>19</v>
      </c>
      <c r="D39" s="397" t="s">
        <v>33</v>
      </c>
      <c r="E39" s="398" t="s">
        <v>35</v>
      </c>
      <c r="F39" s="399" t="s">
        <v>30</v>
      </c>
      <c r="G39" s="533" t="s">
        <v>14</v>
      </c>
      <c r="H39" s="398" t="s">
        <v>35</v>
      </c>
      <c r="I39" s="399" t="s">
        <v>30</v>
      </c>
      <c r="J39" s="364" t="s">
        <v>659</v>
      </c>
      <c r="K39" s="534" t="s">
        <v>38</v>
      </c>
      <c r="L39" s="402"/>
      <c r="M39" s="408"/>
      <c r="N39" s="409"/>
      <c r="O39" s="410"/>
      <c r="P39" s="411"/>
      <c r="Q39" s="383"/>
    </row>
    <row r="40" spans="1:17" x14ac:dyDescent="0.2">
      <c r="A40" s="405"/>
      <c r="B40" s="406"/>
      <c r="C40" s="371"/>
      <c r="D40" s="372" t="s">
        <v>21</v>
      </c>
      <c r="E40" s="253">
        <v>0</v>
      </c>
      <c r="F40" s="373">
        <f>C40*E40</f>
        <v>0</v>
      </c>
      <c r="G40" s="529"/>
      <c r="H40" s="375">
        <v>0</v>
      </c>
      <c r="I40" s="373">
        <f>G40*H40</f>
        <v>0</v>
      </c>
      <c r="J40" s="376"/>
      <c r="K40" s="530">
        <f>F40+I40+J40</f>
        <v>0</v>
      </c>
      <c r="L40" s="378"/>
      <c r="M40" s="255"/>
      <c r="N40" s="421"/>
      <c r="O40" s="410"/>
      <c r="P40" s="411"/>
      <c r="Q40" s="383"/>
    </row>
    <row r="41" spans="1:17" x14ac:dyDescent="0.2">
      <c r="A41" s="370"/>
      <c r="B41" s="5"/>
      <c r="C41" s="371"/>
      <c r="D41" s="372" t="s">
        <v>21</v>
      </c>
      <c r="E41" s="253">
        <v>0</v>
      </c>
      <c r="F41" s="373">
        <f>C41*E41</f>
        <v>0</v>
      </c>
      <c r="G41" s="529"/>
      <c r="H41" s="375">
        <v>0</v>
      </c>
      <c r="I41" s="373">
        <f>G41*H41</f>
        <v>0</v>
      </c>
      <c r="J41" s="376"/>
      <c r="K41" s="530">
        <f>F41+I41+J41</f>
        <v>0</v>
      </c>
      <c r="L41" s="378"/>
      <c r="M41" s="255"/>
      <c r="N41" s="421"/>
      <c r="O41" s="410"/>
      <c r="P41" s="411"/>
      <c r="Q41" s="383"/>
    </row>
    <row r="42" spans="1:17" x14ac:dyDescent="0.2">
      <c r="A42" s="370"/>
      <c r="B42" s="5"/>
      <c r="C42" s="371"/>
      <c r="D42" s="372" t="s">
        <v>21</v>
      </c>
      <c r="E42" s="253">
        <v>0</v>
      </c>
      <c r="F42" s="373">
        <f>C42*E42</f>
        <v>0</v>
      </c>
      <c r="G42" s="529"/>
      <c r="H42" s="375">
        <v>0</v>
      </c>
      <c r="I42" s="373">
        <f>G42*H42</f>
        <v>0</v>
      </c>
      <c r="J42" s="376"/>
      <c r="K42" s="530">
        <f>F42+I42+J42</f>
        <v>0</v>
      </c>
      <c r="L42" s="378"/>
      <c r="M42" s="255"/>
      <c r="N42" s="421"/>
      <c r="O42" s="410"/>
      <c r="P42" s="411"/>
      <c r="Q42" s="383"/>
    </row>
    <row r="43" spans="1:17" x14ac:dyDescent="0.2">
      <c r="A43" s="387"/>
      <c r="B43" s="412"/>
      <c r="C43" s="388"/>
      <c r="D43" s="372"/>
      <c r="E43" s="253"/>
      <c r="F43" s="373"/>
      <c r="G43" s="529"/>
      <c r="H43" s="375"/>
      <c r="I43" s="373"/>
      <c r="J43" s="376"/>
      <c r="K43" s="535"/>
      <c r="L43" s="378"/>
      <c r="M43" s="255"/>
      <c r="N43" s="421"/>
      <c r="O43" s="410"/>
      <c r="P43" s="411"/>
      <c r="Q43" s="383"/>
    </row>
    <row r="44" spans="1:17" ht="13.5" thickBot="1" x14ac:dyDescent="0.25">
      <c r="A44" s="387"/>
      <c r="B44" s="412"/>
      <c r="C44" s="388"/>
      <c r="D44" s="372"/>
      <c r="E44" s="253"/>
      <c r="F44" s="373"/>
      <c r="G44" s="529"/>
      <c r="H44" s="375"/>
      <c r="I44" s="373"/>
      <c r="J44" s="376"/>
      <c r="K44" s="535"/>
      <c r="L44" s="378"/>
      <c r="M44" s="255"/>
      <c r="N44" s="421"/>
      <c r="O44" s="410"/>
      <c r="P44" s="411"/>
      <c r="Q44" s="383"/>
    </row>
    <row r="45" spans="1:17" ht="13.5" thickTop="1" x14ac:dyDescent="0.2">
      <c r="A45" s="387"/>
      <c r="B45" s="412"/>
      <c r="C45" s="388"/>
      <c r="D45" s="372"/>
      <c r="E45" s="253"/>
      <c r="F45" s="373"/>
      <c r="G45" s="529"/>
      <c r="H45" s="375"/>
      <c r="I45" s="373"/>
      <c r="J45" s="389" t="s">
        <v>30</v>
      </c>
      <c r="K45" s="532">
        <f>SUM(K40:K44)</f>
        <v>0</v>
      </c>
      <c r="L45" s="378"/>
      <c r="M45" s="255"/>
      <c r="N45" s="380"/>
      <c r="O45" s="381"/>
      <c r="P45" s="382"/>
      <c r="Q45" s="383"/>
    </row>
    <row r="46" spans="1:17" ht="13.5" thickBot="1" x14ac:dyDescent="0.25">
      <c r="A46" s="353" t="s">
        <v>0</v>
      </c>
      <c r="B46" s="354" t="s">
        <v>1</v>
      </c>
      <c r="C46" s="939" t="s">
        <v>656</v>
      </c>
      <c r="D46" s="939"/>
      <c r="E46" s="939"/>
      <c r="F46" s="939"/>
      <c r="G46" s="939" t="s">
        <v>34</v>
      </c>
      <c r="H46" s="939"/>
      <c r="I46" s="939"/>
      <c r="J46" s="355"/>
      <c r="K46" s="523"/>
      <c r="L46" s="391"/>
      <c r="M46" s="355"/>
      <c r="N46" s="393"/>
      <c r="O46" s="381"/>
      <c r="P46" s="382"/>
      <c r="Q46" s="383"/>
    </row>
    <row r="47" spans="1:17" ht="16.5" thickBot="1" x14ac:dyDescent="0.3">
      <c r="A47" s="394"/>
      <c r="B47" s="395"/>
      <c r="C47" s="396" t="s">
        <v>19</v>
      </c>
      <c r="D47" s="397" t="s">
        <v>33</v>
      </c>
      <c r="E47" s="398" t="s">
        <v>35</v>
      </c>
      <c r="F47" s="399" t="s">
        <v>30</v>
      </c>
      <c r="G47" s="533" t="s">
        <v>14</v>
      </c>
      <c r="H47" s="398" t="s">
        <v>35</v>
      </c>
      <c r="I47" s="399" t="s">
        <v>30</v>
      </c>
      <c r="J47" s="364" t="s">
        <v>659</v>
      </c>
      <c r="K47" s="534" t="s">
        <v>38</v>
      </c>
      <c r="L47" s="402"/>
      <c r="M47" s="408"/>
      <c r="N47" s="404"/>
      <c r="O47" s="381"/>
      <c r="P47" s="411"/>
      <c r="Q47" s="383"/>
    </row>
    <row r="48" spans="1:17" x14ac:dyDescent="0.2">
      <c r="A48" s="405"/>
      <c r="B48" s="406"/>
      <c r="C48" s="371"/>
      <c r="D48" s="372" t="s">
        <v>21</v>
      </c>
      <c r="E48" s="253">
        <v>0</v>
      </c>
      <c r="F48" s="373">
        <f>C48*E48</f>
        <v>0</v>
      </c>
      <c r="G48" s="529"/>
      <c r="H48" s="375">
        <v>0</v>
      </c>
      <c r="I48" s="373">
        <f>G48*H48</f>
        <v>0</v>
      </c>
      <c r="J48" s="376"/>
      <c r="K48" s="530">
        <f>F48+I48+J48</f>
        <v>0</v>
      </c>
      <c r="L48" s="378"/>
      <c r="M48" s="255"/>
      <c r="N48" s="380"/>
      <c r="O48" s="381"/>
      <c r="P48" s="382"/>
      <c r="Q48" s="383"/>
    </row>
    <row r="49" spans="1:17" x14ac:dyDescent="0.2">
      <c r="A49" s="370"/>
      <c r="B49" s="5"/>
      <c r="C49" s="371"/>
      <c r="D49" s="372" t="s">
        <v>21</v>
      </c>
      <c r="E49" s="253">
        <v>0</v>
      </c>
      <c r="F49" s="373">
        <f>C49*E49</f>
        <v>0</v>
      </c>
      <c r="G49" s="529"/>
      <c r="H49" s="375">
        <v>0</v>
      </c>
      <c r="I49" s="373">
        <f>G49*H49</f>
        <v>0</v>
      </c>
      <c r="J49" s="376"/>
      <c r="K49" s="530">
        <f>F49+I49+J49</f>
        <v>0</v>
      </c>
      <c r="L49" s="378"/>
      <c r="M49" s="255"/>
      <c r="N49" s="380"/>
      <c r="O49" s="381"/>
      <c r="P49" s="382"/>
      <c r="Q49" s="383"/>
    </row>
    <row r="50" spans="1:17" x14ac:dyDescent="0.2">
      <c r="A50" s="370"/>
      <c r="B50" s="5"/>
      <c r="C50" s="371"/>
      <c r="D50" s="372" t="s">
        <v>21</v>
      </c>
      <c r="E50" s="253">
        <v>0</v>
      </c>
      <c r="F50" s="373">
        <f>C50*E50</f>
        <v>0</v>
      </c>
      <c r="G50" s="529"/>
      <c r="H50" s="375">
        <v>0</v>
      </c>
      <c r="I50" s="373">
        <f>G50*H50</f>
        <v>0</v>
      </c>
      <c r="J50" s="376"/>
      <c r="K50" s="530">
        <f>F50+I50+J50</f>
        <v>0</v>
      </c>
      <c r="L50" s="378"/>
      <c r="M50" s="255"/>
      <c r="N50" s="380"/>
      <c r="O50" s="381"/>
      <c r="P50" s="382"/>
      <c r="Q50" s="383"/>
    </row>
    <row r="51" spans="1:17" x14ac:dyDescent="0.2">
      <c r="A51" s="370"/>
      <c r="B51" s="5"/>
      <c r="C51" s="371"/>
      <c r="D51" s="372" t="s">
        <v>21</v>
      </c>
      <c r="E51" s="253">
        <v>0</v>
      </c>
      <c r="F51" s="373">
        <f>C51*E51</f>
        <v>0</v>
      </c>
      <c r="G51" s="529"/>
      <c r="H51" s="375">
        <v>0</v>
      </c>
      <c r="I51" s="373">
        <f>G51*H51</f>
        <v>0</v>
      </c>
      <c r="J51" s="376"/>
      <c r="K51" s="530">
        <f>F51+I51+J51</f>
        <v>0</v>
      </c>
      <c r="L51" s="378"/>
      <c r="M51" s="255"/>
      <c r="N51" s="380"/>
      <c r="O51" s="381"/>
      <c r="P51" s="382"/>
      <c r="Q51" s="383"/>
    </row>
    <row r="52" spans="1:17" x14ac:dyDescent="0.2">
      <c r="A52" s="370"/>
      <c r="B52" s="5"/>
      <c r="C52" s="371"/>
      <c r="D52" s="372" t="s">
        <v>21</v>
      </c>
      <c r="E52" s="253">
        <v>0</v>
      </c>
      <c r="F52" s="373">
        <f>C52*E52</f>
        <v>0</v>
      </c>
      <c r="G52" s="529"/>
      <c r="H52" s="375">
        <v>0</v>
      </c>
      <c r="I52" s="373">
        <f>G52*H52</f>
        <v>0</v>
      </c>
      <c r="J52" s="376"/>
      <c r="K52" s="530">
        <f>F52+I52+J52</f>
        <v>0</v>
      </c>
      <c r="L52" s="378"/>
      <c r="M52" s="255"/>
      <c r="N52" s="380"/>
      <c r="O52" s="381"/>
      <c r="P52" s="382"/>
      <c r="Q52" s="383"/>
    </row>
    <row r="53" spans="1:17" ht="13.5" thickBot="1" x14ac:dyDescent="0.25">
      <c r="A53" s="387"/>
      <c r="B53" s="412"/>
      <c r="C53" s="388"/>
      <c r="D53" s="372"/>
      <c r="E53" s="253"/>
      <c r="F53" s="373"/>
      <c r="G53" s="529"/>
      <c r="H53" s="375"/>
      <c r="I53" s="373"/>
      <c r="J53" s="376"/>
      <c r="K53" s="535"/>
      <c r="L53" s="378"/>
      <c r="M53" s="255"/>
      <c r="N53" s="380"/>
      <c r="O53" s="381"/>
      <c r="P53" s="382"/>
      <c r="Q53" s="383"/>
    </row>
    <row r="54" spans="1:17" ht="13.5" thickTop="1" x14ac:dyDescent="0.2">
      <c r="A54" s="387"/>
      <c r="B54" s="412"/>
      <c r="C54" s="388"/>
      <c r="D54" s="372"/>
      <c r="E54" s="253"/>
      <c r="F54" s="373"/>
      <c r="G54" s="529"/>
      <c r="H54" s="375"/>
      <c r="I54" s="373"/>
      <c r="J54" s="389" t="s">
        <v>30</v>
      </c>
      <c r="K54" s="532">
        <f>SUM(K48:K53)</f>
        <v>0</v>
      </c>
      <c r="L54" s="378"/>
      <c r="M54" s="255"/>
      <c r="N54" s="421"/>
      <c r="O54" s="436"/>
      <c r="P54" s="437"/>
      <c r="Q54" s="383"/>
    </row>
    <row r="55" spans="1:17" ht="13.5" thickBot="1" x14ac:dyDescent="0.25">
      <c r="A55" s="353" t="s">
        <v>0</v>
      </c>
      <c r="B55" s="354" t="s">
        <v>1</v>
      </c>
      <c r="C55" s="939" t="s">
        <v>656</v>
      </c>
      <c r="D55" s="939"/>
      <c r="E55" s="939"/>
      <c r="F55" s="939"/>
      <c r="G55" s="939" t="s">
        <v>34</v>
      </c>
      <c r="H55" s="939"/>
      <c r="I55" s="939"/>
      <c r="J55" s="355"/>
      <c r="K55" s="523"/>
      <c r="L55" s="391"/>
      <c r="M55" s="355"/>
      <c r="N55" s="438"/>
      <c r="O55" s="436"/>
      <c r="P55" s="437"/>
      <c r="Q55" s="383"/>
    </row>
    <row r="56" spans="1:17" ht="16.5" thickBot="1" x14ac:dyDescent="0.3">
      <c r="A56" s="394"/>
      <c r="B56" s="395"/>
      <c r="C56" s="396" t="s">
        <v>19</v>
      </c>
      <c r="D56" s="397" t="s">
        <v>33</v>
      </c>
      <c r="E56" s="398" t="s">
        <v>35</v>
      </c>
      <c r="F56" s="399" t="s">
        <v>30</v>
      </c>
      <c r="G56" s="533" t="s">
        <v>14</v>
      </c>
      <c r="H56" s="398" t="s">
        <v>35</v>
      </c>
      <c r="I56" s="399" t="s">
        <v>30</v>
      </c>
      <c r="J56" s="364" t="s">
        <v>659</v>
      </c>
      <c r="K56" s="534" t="s">
        <v>38</v>
      </c>
      <c r="L56" s="402"/>
      <c r="M56" s="408"/>
      <c r="N56" s="409"/>
      <c r="O56" s="410"/>
      <c r="P56" s="411"/>
      <c r="Q56" s="383"/>
    </row>
    <row r="57" spans="1:17" x14ac:dyDescent="0.2">
      <c r="A57" s="405"/>
      <c r="B57" s="406"/>
      <c r="C57" s="371"/>
      <c r="D57" s="372" t="s">
        <v>21</v>
      </c>
      <c r="E57" s="253">
        <v>0</v>
      </c>
      <c r="F57" s="373">
        <f t="shared" ref="F57:F63" si="6">C57*E57</f>
        <v>0</v>
      </c>
      <c r="G57" s="529"/>
      <c r="H57" s="375">
        <v>0</v>
      </c>
      <c r="I57" s="373">
        <f t="shared" ref="I57:I63" si="7">G57*H57</f>
        <v>0</v>
      </c>
      <c r="J57" s="376"/>
      <c r="K57" s="530">
        <f t="shared" ref="K57:K63" si="8">F57+I57+J57</f>
        <v>0</v>
      </c>
      <c r="L57" s="378"/>
      <c r="M57" s="255"/>
      <c r="N57" s="380"/>
      <c r="O57" s="381"/>
      <c r="P57" s="382"/>
      <c r="Q57" s="383"/>
    </row>
    <row r="58" spans="1:17" x14ac:dyDescent="0.2">
      <c r="A58" s="370"/>
      <c r="B58" s="5"/>
      <c r="C58" s="371"/>
      <c r="D58" s="372" t="s">
        <v>21</v>
      </c>
      <c r="E58" s="253">
        <v>0</v>
      </c>
      <c r="F58" s="373">
        <f t="shared" si="6"/>
        <v>0</v>
      </c>
      <c r="G58" s="529"/>
      <c r="H58" s="375">
        <v>0</v>
      </c>
      <c r="I58" s="373">
        <f t="shared" si="7"/>
        <v>0</v>
      </c>
      <c r="J58" s="376"/>
      <c r="K58" s="530">
        <f t="shared" si="8"/>
        <v>0</v>
      </c>
      <c r="L58" s="378"/>
      <c r="M58" s="379"/>
      <c r="N58" s="380"/>
      <c r="O58" s="381"/>
      <c r="P58" s="382"/>
      <c r="Q58" s="383"/>
    </row>
    <row r="59" spans="1:17" x14ac:dyDescent="0.2">
      <c r="A59" s="370"/>
      <c r="B59" s="5"/>
      <c r="C59" s="371"/>
      <c r="D59" s="372" t="s">
        <v>21</v>
      </c>
      <c r="E59" s="253">
        <v>0</v>
      </c>
      <c r="F59" s="373">
        <f t="shared" si="6"/>
        <v>0</v>
      </c>
      <c r="G59" s="529"/>
      <c r="H59" s="375">
        <v>0</v>
      </c>
      <c r="I59" s="373">
        <f t="shared" si="7"/>
        <v>0</v>
      </c>
      <c r="J59" s="376"/>
      <c r="K59" s="530">
        <f t="shared" si="8"/>
        <v>0</v>
      </c>
      <c r="L59" s="378"/>
      <c r="M59" s="379"/>
      <c r="N59" s="380"/>
      <c r="O59" s="381"/>
      <c r="P59" s="382"/>
      <c r="Q59" s="383"/>
    </row>
    <row r="60" spans="1:17" x14ac:dyDescent="0.2">
      <c r="A60" s="370"/>
      <c r="B60" s="5"/>
      <c r="C60" s="371"/>
      <c r="D60" s="372" t="s">
        <v>21</v>
      </c>
      <c r="E60" s="253">
        <v>0</v>
      </c>
      <c r="F60" s="373">
        <f t="shared" si="6"/>
        <v>0</v>
      </c>
      <c r="G60" s="529"/>
      <c r="H60" s="375">
        <v>0</v>
      </c>
      <c r="I60" s="373">
        <f t="shared" si="7"/>
        <v>0</v>
      </c>
      <c r="J60" s="376"/>
      <c r="K60" s="530">
        <f t="shared" si="8"/>
        <v>0</v>
      </c>
      <c r="L60" s="378"/>
      <c r="M60" s="379"/>
      <c r="N60" s="380"/>
      <c r="O60" s="381"/>
      <c r="P60" s="382"/>
      <c r="Q60" s="383"/>
    </row>
    <row r="61" spans="1:17" x14ac:dyDescent="0.2">
      <c r="A61" s="370"/>
      <c r="B61" s="5"/>
      <c r="C61" s="371"/>
      <c r="D61" s="372" t="s">
        <v>21</v>
      </c>
      <c r="E61" s="253">
        <v>0</v>
      </c>
      <c r="F61" s="373">
        <f t="shared" si="6"/>
        <v>0</v>
      </c>
      <c r="G61" s="529"/>
      <c r="H61" s="375">
        <v>0</v>
      </c>
      <c r="I61" s="373">
        <f t="shared" si="7"/>
        <v>0</v>
      </c>
      <c r="J61" s="376"/>
      <c r="K61" s="530">
        <f t="shared" si="8"/>
        <v>0</v>
      </c>
      <c r="L61" s="378"/>
      <c r="M61" s="379"/>
      <c r="N61" s="380"/>
      <c r="O61" s="381"/>
      <c r="P61" s="382"/>
      <c r="Q61" s="383"/>
    </row>
    <row r="62" spans="1:17" x14ac:dyDescent="0.2">
      <c r="A62" s="370"/>
      <c r="B62" s="5"/>
      <c r="C62" s="371"/>
      <c r="D62" s="372" t="s">
        <v>21</v>
      </c>
      <c r="E62" s="253">
        <v>0</v>
      </c>
      <c r="F62" s="373">
        <f t="shared" si="6"/>
        <v>0</v>
      </c>
      <c r="G62" s="529"/>
      <c r="H62" s="375">
        <v>0</v>
      </c>
      <c r="I62" s="373">
        <f t="shared" si="7"/>
        <v>0</v>
      </c>
      <c r="J62" s="376"/>
      <c r="K62" s="530">
        <f t="shared" si="8"/>
        <v>0</v>
      </c>
      <c r="L62" s="378"/>
      <c r="M62" s="379"/>
      <c r="N62" s="380"/>
      <c r="O62" s="381"/>
      <c r="P62" s="382"/>
      <c r="Q62" s="383"/>
    </row>
    <row r="63" spans="1:17" x14ac:dyDescent="0.2">
      <c r="A63" s="370"/>
      <c r="B63" s="5"/>
      <c r="C63" s="371"/>
      <c r="D63" s="372" t="s">
        <v>21</v>
      </c>
      <c r="E63" s="253">
        <v>0</v>
      </c>
      <c r="F63" s="373">
        <f t="shared" si="6"/>
        <v>0</v>
      </c>
      <c r="G63" s="529"/>
      <c r="H63" s="375">
        <v>0</v>
      </c>
      <c r="I63" s="373">
        <f t="shared" si="7"/>
        <v>0</v>
      </c>
      <c r="J63" s="376"/>
      <c r="K63" s="530">
        <f t="shared" si="8"/>
        <v>0</v>
      </c>
      <c r="L63" s="378"/>
      <c r="M63" s="379"/>
      <c r="N63" s="380"/>
      <c r="O63" s="381"/>
      <c r="P63" s="382"/>
      <c r="Q63" s="383"/>
    </row>
    <row r="64" spans="1:17" ht="13.5" thickBot="1" x14ac:dyDescent="0.25">
      <c r="A64" s="387"/>
      <c r="B64" s="5"/>
      <c r="C64" s="388"/>
      <c r="D64" s="372"/>
      <c r="E64" s="253"/>
      <c r="F64" s="373"/>
      <c r="G64" s="529"/>
      <c r="H64" s="375"/>
      <c r="I64" s="373"/>
      <c r="J64" s="376"/>
      <c r="K64" s="535"/>
      <c r="L64" s="378"/>
      <c r="M64" s="379"/>
      <c r="N64" s="380"/>
      <c r="O64" s="381"/>
      <c r="P64" s="382"/>
      <c r="Q64" s="383"/>
    </row>
    <row r="65" spans="1:17" ht="14.25" thickTop="1" thickBot="1" x14ac:dyDescent="0.25">
      <c r="A65" s="387"/>
      <c r="B65" s="412"/>
      <c r="C65" s="388"/>
      <c r="D65" s="372"/>
      <c r="E65" s="253"/>
      <c r="F65" s="373"/>
      <c r="G65" s="529"/>
      <c r="H65" s="375"/>
      <c r="I65" s="373"/>
      <c r="J65" s="389" t="s">
        <v>30</v>
      </c>
      <c r="K65" s="532">
        <f>SUM(K57:K64)</f>
        <v>0</v>
      </c>
      <c r="L65" s="536"/>
      <c r="M65" s="574"/>
      <c r="N65" s="537"/>
      <c r="O65" s="540"/>
      <c r="P65" s="541"/>
      <c r="Q65" s="383"/>
    </row>
    <row r="66" spans="1:17" ht="14.1" customHeight="1" thickTop="1" x14ac:dyDescent="0.25">
      <c r="A66" s="478"/>
      <c r="B66" s="479"/>
      <c r="C66" s="480"/>
      <c r="D66" s="480"/>
      <c r="E66" s="481"/>
      <c r="F66" s="969" t="s">
        <v>658</v>
      </c>
      <c r="G66" s="992" t="s">
        <v>684</v>
      </c>
      <c r="H66" s="481"/>
      <c r="I66" s="962" t="s">
        <v>657</v>
      </c>
      <c r="J66" s="958" t="s">
        <v>685</v>
      </c>
      <c r="K66" s="994" t="s">
        <v>31</v>
      </c>
      <c r="L66" s="542"/>
      <c r="M66" s="543"/>
      <c r="N66" s="544"/>
      <c r="O66" s="545"/>
      <c r="P66" s="545"/>
      <c r="Q66" s="546"/>
    </row>
    <row r="67" spans="1:17" ht="15" x14ac:dyDescent="0.2">
      <c r="A67" s="482" t="s">
        <v>32</v>
      </c>
      <c r="B67" s="964" t="s">
        <v>43</v>
      </c>
      <c r="C67" s="483"/>
      <c r="D67" s="484"/>
      <c r="E67" s="484"/>
      <c r="F67" s="970"/>
      <c r="G67" s="993"/>
      <c r="H67" s="485"/>
      <c r="I67" s="963"/>
      <c r="J67" s="959"/>
      <c r="K67" s="995"/>
      <c r="L67" s="547"/>
      <c r="M67" s="255"/>
      <c r="O67" s="548"/>
      <c r="P67" s="548"/>
      <c r="Q67" s="549"/>
    </row>
    <row r="68" spans="1:17" ht="15" x14ac:dyDescent="0.25">
      <c r="A68" s="486">
        <f>K68/E6</f>
        <v>2.1398951091596534</v>
      </c>
      <c r="B68" s="964"/>
      <c r="C68" s="484"/>
      <c r="D68" s="484"/>
      <c r="E68" s="484"/>
      <c r="F68" s="952">
        <f>SUM(F57:F64,F48:F53,F40:F44,F29:F36,F13:F25)</f>
        <v>0</v>
      </c>
      <c r="G68" s="997">
        <f>SUM(G57:G64,G48:G53,G40:G44,G29:G36,G13:G25)</f>
        <v>0</v>
      </c>
      <c r="H68" s="485"/>
      <c r="I68" s="952">
        <f>SUM(I57:I64,I48:I53,I40:I44,I29:I36,I13:I25)</f>
        <v>0</v>
      </c>
      <c r="J68" s="952">
        <f>SUM(J57:J64,J48:J53,J40:J44,J29:J36,J13:J25)</f>
        <v>140360</v>
      </c>
      <c r="K68" s="960">
        <f>K65+K54+K45+K37+K26</f>
        <v>140360</v>
      </c>
      <c r="L68" s="547"/>
      <c r="M68" s="255"/>
      <c r="O68" s="548"/>
      <c r="P68" s="548"/>
      <c r="Q68" s="549"/>
    </row>
    <row r="69" spans="1:17" ht="15" thickBot="1" x14ac:dyDescent="0.25">
      <c r="A69" s="482"/>
      <c r="B69" s="550"/>
      <c r="C69" s="488"/>
      <c r="D69" s="488"/>
      <c r="E69" s="488"/>
      <c r="F69" s="953"/>
      <c r="G69" s="998"/>
      <c r="H69" s="488"/>
      <c r="I69" s="953"/>
      <c r="J69" s="953"/>
      <c r="K69" s="961"/>
      <c r="L69" s="547"/>
      <c r="M69" s="255"/>
      <c r="O69" s="548"/>
      <c r="P69" s="548"/>
      <c r="Q69" s="549"/>
    </row>
    <row r="70" spans="1:17" ht="13.5" thickBot="1" x14ac:dyDescent="0.25">
      <c r="A70" s="489"/>
      <c r="B70" s="490"/>
      <c r="C70" s="490"/>
      <c r="D70" s="490"/>
      <c r="E70" s="490"/>
      <c r="F70" s="490"/>
      <c r="G70" s="490"/>
      <c r="H70" s="490"/>
      <c r="I70" s="490"/>
      <c r="J70" s="490"/>
      <c r="K70" s="490"/>
      <c r="L70" s="547"/>
      <c r="M70" s="255"/>
      <c r="O70" s="548"/>
      <c r="P70" s="548"/>
      <c r="Q70" s="549"/>
    </row>
    <row r="71" spans="1:17" x14ac:dyDescent="0.2">
      <c r="M71" s="255"/>
      <c r="O71" s="548"/>
      <c r="P71" s="548"/>
      <c r="Q71" s="549"/>
    </row>
    <row r="72" spans="1:17" x14ac:dyDescent="0.2">
      <c r="M72" s="255"/>
      <c r="O72" s="548"/>
      <c r="P72" s="548"/>
      <c r="Q72" s="549"/>
    </row>
    <row r="73" spans="1:17" x14ac:dyDescent="0.2">
      <c r="M73" s="255"/>
      <c r="O73" s="548"/>
      <c r="P73" s="548"/>
      <c r="Q73" s="549"/>
    </row>
    <row r="74" spans="1:17" x14ac:dyDescent="0.2">
      <c r="M74" s="255"/>
      <c r="O74" s="548"/>
      <c r="P74" s="548"/>
      <c r="Q74" s="549"/>
    </row>
    <row r="75" spans="1:17" x14ac:dyDescent="0.2">
      <c r="M75" s="255"/>
      <c r="O75" s="548"/>
      <c r="P75" s="548"/>
      <c r="Q75" s="549"/>
    </row>
    <row r="76" spans="1:17" x14ac:dyDescent="0.2">
      <c r="M76" s="255"/>
      <c r="O76" s="548"/>
      <c r="P76" s="548"/>
      <c r="Q76" s="549"/>
    </row>
    <row r="77" spans="1:17" x14ac:dyDescent="0.2">
      <c r="M77" s="255"/>
      <c r="O77" s="548"/>
      <c r="P77" s="548"/>
      <c r="Q77" s="549"/>
    </row>
    <row r="78" spans="1:17" x14ac:dyDescent="0.2">
      <c r="M78" s="255"/>
      <c r="O78" s="548"/>
      <c r="P78" s="548"/>
      <c r="Q78" s="549"/>
    </row>
    <row r="79" spans="1:17" x14ac:dyDescent="0.2">
      <c r="M79" s="255"/>
      <c r="O79" s="548"/>
      <c r="P79" s="548"/>
      <c r="Q79" s="549"/>
    </row>
    <row r="80" spans="1:17" x14ac:dyDescent="0.2">
      <c r="M80" s="255"/>
      <c r="O80" s="548"/>
      <c r="P80" s="548"/>
      <c r="Q80" s="549"/>
    </row>
    <row r="81" spans="13:17" x14ac:dyDescent="0.2">
      <c r="M81" s="255"/>
      <c r="O81" s="548"/>
      <c r="P81" s="548"/>
      <c r="Q81" s="549"/>
    </row>
    <row r="82" spans="13:17" x14ac:dyDescent="0.2">
      <c r="M82" s="255"/>
      <c r="O82" s="548"/>
      <c r="P82" s="548"/>
      <c r="Q82" s="549"/>
    </row>
    <row r="83" spans="13:17" x14ac:dyDescent="0.2">
      <c r="M83" s="255"/>
      <c r="O83" s="548"/>
      <c r="P83" s="548"/>
      <c r="Q83" s="549"/>
    </row>
    <row r="84" spans="13:17" x14ac:dyDescent="0.2">
      <c r="M84" s="255"/>
      <c r="O84" s="548"/>
      <c r="P84" s="548"/>
      <c r="Q84" s="549"/>
    </row>
    <row r="85" spans="13:17" x14ac:dyDescent="0.2">
      <c r="M85" s="255"/>
      <c r="O85" s="548"/>
      <c r="P85" s="548"/>
      <c r="Q85" s="549"/>
    </row>
    <row r="86" spans="13:17" x14ac:dyDescent="0.2">
      <c r="M86" s="255"/>
      <c r="O86" s="548"/>
      <c r="P86" s="548"/>
      <c r="Q86" s="549"/>
    </row>
    <row r="87" spans="13:17" x14ac:dyDescent="0.2">
      <c r="M87" s="255"/>
      <c r="O87" s="548"/>
      <c r="P87" s="548"/>
      <c r="Q87" s="549"/>
    </row>
    <row r="88" spans="13:17" x14ac:dyDescent="0.2">
      <c r="M88" s="255"/>
      <c r="O88" s="548"/>
      <c r="P88" s="548"/>
      <c r="Q88" s="549"/>
    </row>
    <row r="89" spans="13:17" x14ac:dyDescent="0.2">
      <c r="M89" s="255"/>
      <c r="O89" s="548"/>
      <c r="P89" s="548"/>
      <c r="Q89" s="549"/>
    </row>
    <row r="90" spans="13:17" x14ac:dyDescent="0.2">
      <c r="M90" s="255"/>
      <c r="O90" s="548"/>
      <c r="P90" s="548"/>
      <c r="Q90" s="549"/>
    </row>
    <row r="91" spans="13:17" x14ac:dyDescent="0.2">
      <c r="M91" s="255"/>
      <c r="O91" s="548"/>
      <c r="P91" s="548"/>
      <c r="Q91" s="549"/>
    </row>
    <row r="92" spans="13:17" x14ac:dyDescent="0.2">
      <c r="M92" s="255"/>
      <c r="O92" s="548"/>
      <c r="P92" s="548"/>
      <c r="Q92" s="549"/>
    </row>
    <row r="93" spans="13:17" x14ac:dyDescent="0.2">
      <c r="M93" s="255"/>
      <c r="O93" s="548"/>
      <c r="P93" s="548"/>
      <c r="Q93" s="549"/>
    </row>
    <row r="94" spans="13:17" x14ac:dyDescent="0.2">
      <c r="M94" s="255"/>
      <c r="O94" s="548"/>
      <c r="P94" s="548"/>
      <c r="Q94" s="549"/>
    </row>
    <row r="95" spans="13:17" x14ac:dyDescent="0.2">
      <c r="M95" s="255"/>
      <c r="O95" s="548"/>
      <c r="P95" s="548"/>
      <c r="Q95" s="549"/>
    </row>
    <row r="96" spans="13:17" x14ac:dyDescent="0.2">
      <c r="M96" s="255"/>
      <c r="O96" s="548"/>
      <c r="P96" s="548"/>
      <c r="Q96" s="549"/>
    </row>
    <row r="97" spans="13:17" x14ac:dyDescent="0.2">
      <c r="M97" s="255"/>
      <c r="O97" s="548"/>
      <c r="P97" s="548"/>
      <c r="Q97" s="549"/>
    </row>
    <row r="98" spans="13:17" x14ac:dyDescent="0.2">
      <c r="M98" s="255"/>
      <c r="O98" s="548"/>
      <c r="P98" s="548"/>
      <c r="Q98" s="549"/>
    </row>
  </sheetData>
  <mergeCells count="55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H9:H10"/>
    <mergeCell ref="I9:I10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B67:B68"/>
    <mergeCell ref="C55:F55"/>
    <mergeCell ref="G55:I55"/>
    <mergeCell ref="C27:F27"/>
    <mergeCell ref="G27:I27"/>
    <mergeCell ref="C38:F38"/>
    <mergeCell ref="G38:I38"/>
    <mergeCell ref="C46:F46"/>
    <mergeCell ref="G46:I46"/>
    <mergeCell ref="F68:F69"/>
    <mergeCell ref="G68:G69"/>
    <mergeCell ref="I68:I69"/>
    <mergeCell ref="J68:J69"/>
    <mergeCell ref="K68:K69"/>
    <mergeCell ref="F66:F67"/>
    <mergeCell ref="G66:G67"/>
    <mergeCell ref="I66:I67"/>
    <mergeCell ref="J66:J67"/>
    <mergeCell ref="K66:K67"/>
    <mergeCell ref="Q11:Q12"/>
    <mergeCell ref="L11:L12"/>
    <mergeCell ref="M11:M12"/>
    <mergeCell ref="N11:N12"/>
    <mergeCell ref="O11:O12"/>
    <mergeCell ref="P11:P12"/>
  </mergeCells>
  <phoneticPr fontId="5" type="noConversion"/>
  <printOptions horizontalCentered="1"/>
  <pageMargins left="0.7" right="0.7" top="0.75" bottom="0.75" header="0.5" footer="0.5"/>
  <pageSetup scale="63" fitToHeight="3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pageSetUpPr fitToPage="1"/>
  </sheetPr>
  <dimension ref="A1:Q79"/>
  <sheetViews>
    <sheetView topLeftCell="A40" zoomScale="90" zoomScaleNormal="75" zoomScaleSheetLayoutView="90" zoomScalePageLayoutView="75" workbookViewId="0">
      <selection activeCell="N57" sqref="N57"/>
    </sheetView>
  </sheetViews>
  <sheetFormatPr defaultColWidth="9.140625" defaultRowHeight="12.75" x14ac:dyDescent="0.2"/>
  <cols>
    <col min="1" max="1" width="12.140625" style="157" bestFit="1" customWidth="1"/>
    <col min="2" max="2" width="44.5703125" style="157" customWidth="1"/>
    <col min="3" max="4" width="4.85546875" style="440" customWidth="1"/>
    <col min="5" max="5" width="11.140625" style="157" customWidth="1"/>
    <col min="6" max="6" width="12.42578125" style="157" customWidth="1"/>
    <col min="7" max="7" width="7" style="157" customWidth="1"/>
    <col min="8" max="8" width="11.140625" style="157" customWidth="1"/>
    <col min="9" max="9" width="12.42578125" style="157" customWidth="1"/>
    <col min="10" max="10" width="15.85546875" style="157" customWidth="1"/>
    <col min="11" max="11" width="14.140625" style="157" customWidth="1"/>
    <col min="12" max="12" width="17.85546875" style="159" bestFit="1" customWidth="1"/>
    <col min="13" max="13" width="14" style="276" bestFit="1" customWidth="1"/>
    <col min="14" max="14" width="24.85546875" style="157" bestFit="1" customWidth="1"/>
    <col min="15" max="15" width="22" style="302" bestFit="1" customWidth="1"/>
    <col min="16" max="16" width="22.140625" style="302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2"/>
      <c r="B1" s="323"/>
      <c r="C1" s="976">
        <f>'Estimate Summary'!C1:H1</f>
        <v>0</v>
      </c>
      <c r="D1" s="976"/>
      <c r="E1" s="976"/>
      <c r="F1" s="976"/>
      <c r="G1" s="976"/>
      <c r="H1" s="976"/>
      <c r="I1" s="976"/>
      <c r="J1" s="976"/>
      <c r="K1" s="977"/>
    </row>
    <row r="2" spans="1:17" ht="13.5" thickBot="1" x14ac:dyDescent="0.25">
      <c r="A2" s="324"/>
      <c r="B2" s="325"/>
      <c r="C2" s="514"/>
      <c r="D2" s="984"/>
      <c r="E2" s="984"/>
      <c r="F2" s="984"/>
      <c r="G2" s="514"/>
      <c r="H2" s="327"/>
      <c r="I2" s="328"/>
      <c r="J2" s="329"/>
      <c r="K2" s="330"/>
    </row>
    <row r="3" spans="1:17" ht="16.5" thickBot="1" x14ac:dyDescent="0.3">
      <c r="A3" s="973"/>
      <c r="B3" s="974"/>
      <c r="C3" s="514"/>
      <c r="D3" s="984"/>
      <c r="E3" s="984"/>
      <c r="F3" s="984"/>
      <c r="G3" s="515"/>
      <c r="H3" s="332"/>
      <c r="I3" s="333"/>
      <c r="J3" s="333"/>
      <c r="K3" s="334"/>
      <c r="L3" s="1002"/>
      <c r="M3" s="1003"/>
      <c r="N3" s="985"/>
      <c r="O3" s="985"/>
      <c r="P3" s="935"/>
    </row>
    <row r="4" spans="1:17" ht="18.75" thickBot="1" x14ac:dyDescent="0.25">
      <c r="A4" s="973"/>
      <c r="B4" s="974"/>
      <c r="C4" s="514"/>
      <c r="D4" s="984"/>
      <c r="E4" s="984"/>
      <c r="F4" s="984"/>
      <c r="G4" s="336"/>
      <c r="H4" s="336"/>
      <c r="I4" s="328"/>
      <c r="J4" s="329"/>
      <c r="K4" s="330"/>
      <c r="L4" s="1002"/>
      <c r="M4" s="1003"/>
      <c r="N4" s="985"/>
      <c r="O4" s="985"/>
      <c r="P4" s="935"/>
    </row>
    <row r="5" spans="1:17" ht="21" thickBot="1" x14ac:dyDescent="0.3">
      <c r="A5" s="337"/>
      <c r="B5" s="338"/>
      <c r="C5" s="516"/>
      <c r="D5" s="340"/>
      <c r="E5" s="341"/>
      <c r="F5" s="336"/>
      <c r="G5" s="983" t="s">
        <v>6</v>
      </c>
      <c r="H5" s="983"/>
      <c r="I5" s="983"/>
      <c r="J5" s="981" t="s">
        <v>73</v>
      </c>
      <c r="K5" s="982"/>
      <c r="L5" s="1002"/>
      <c r="M5" s="1003"/>
      <c r="N5" s="985"/>
      <c r="O5" s="985"/>
      <c r="P5" s="935"/>
    </row>
    <row r="6" spans="1:17" ht="21" thickBot="1" x14ac:dyDescent="0.25">
      <c r="A6" s="337"/>
      <c r="B6" s="338"/>
      <c r="C6" s="517"/>
      <c r="D6" s="343" t="str">
        <f>'Estimate Summary'!C11</f>
        <v>Area:</v>
      </c>
      <c r="E6" s="344">
        <f>'Estimate Summary'!D11</f>
        <v>65592</v>
      </c>
      <c r="F6" s="238" t="str">
        <f>'Estimate Summary'!E11</f>
        <v>Sq. Ft.</v>
      </c>
      <c r="G6" s="983"/>
      <c r="H6" s="983"/>
      <c r="I6" s="983"/>
      <c r="J6" s="345">
        <f>'1'!J6</f>
        <v>60</v>
      </c>
      <c r="K6" s="330" t="s">
        <v>74</v>
      </c>
      <c r="L6" s="1002"/>
      <c r="M6" s="1003"/>
      <c r="N6" s="985"/>
      <c r="O6" s="985"/>
      <c r="P6" s="935"/>
    </row>
    <row r="7" spans="1:17" x14ac:dyDescent="0.2">
      <c r="A7" s="978"/>
      <c r="B7" s="979"/>
      <c r="C7" s="979"/>
      <c r="D7" s="979"/>
      <c r="E7" s="979"/>
      <c r="F7" s="979"/>
      <c r="G7" s="979"/>
      <c r="H7" s="979"/>
      <c r="I7" s="979"/>
      <c r="J7" s="979"/>
      <c r="K7" s="980"/>
    </row>
    <row r="8" spans="1:17" x14ac:dyDescent="0.2">
      <c r="A8" s="346"/>
      <c r="B8" s="347"/>
      <c r="C8" s="972"/>
      <c r="D8" s="972"/>
      <c r="E8" s="972"/>
      <c r="F8" s="972"/>
      <c r="G8" s="971"/>
      <c r="H8" s="971"/>
      <c r="I8" s="971"/>
      <c r="J8" s="348"/>
      <c r="K8" s="349"/>
      <c r="L8" s="518"/>
      <c r="M8" s="519"/>
      <c r="N8" s="518"/>
      <c r="O8" s="520"/>
      <c r="P8" s="520"/>
    </row>
    <row r="9" spans="1:17" x14ac:dyDescent="0.2">
      <c r="A9" s="521"/>
      <c r="B9" s="203"/>
      <c r="C9" s="1000"/>
      <c r="D9" s="1000"/>
      <c r="E9" s="996"/>
      <c r="F9" s="996"/>
      <c r="G9" s="1001"/>
      <c r="H9" s="996"/>
      <c r="I9" s="996"/>
      <c r="J9" s="996"/>
      <c r="K9" s="999"/>
      <c r="L9" s="468"/>
      <c r="M9" s="467"/>
      <c r="N9" s="413"/>
      <c r="O9" s="414"/>
      <c r="P9" s="414"/>
    </row>
    <row r="10" spans="1:17" ht="13.5" thickBot="1" x14ac:dyDescent="0.25">
      <c r="A10" s="401"/>
      <c r="B10" s="522"/>
      <c r="C10" s="1000"/>
      <c r="D10" s="1000"/>
      <c r="E10" s="996"/>
      <c r="F10" s="996"/>
      <c r="G10" s="1001"/>
      <c r="H10" s="996"/>
      <c r="I10" s="996"/>
      <c r="J10" s="996"/>
      <c r="K10" s="999"/>
      <c r="L10" s="468"/>
      <c r="M10" s="467"/>
      <c r="N10" s="413"/>
      <c r="O10" s="414"/>
      <c r="P10" s="414"/>
    </row>
    <row r="11" spans="1:17" ht="14.25" thickTop="1" thickBot="1" x14ac:dyDescent="0.25">
      <c r="A11" s="353" t="s">
        <v>0</v>
      </c>
      <c r="B11" s="354" t="s">
        <v>1</v>
      </c>
      <c r="C11" s="939" t="s">
        <v>656</v>
      </c>
      <c r="D11" s="939"/>
      <c r="E11" s="939"/>
      <c r="F11" s="939"/>
      <c r="G11" s="939" t="s">
        <v>34</v>
      </c>
      <c r="H11" s="939"/>
      <c r="I11" s="939"/>
      <c r="J11" s="355"/>
      <c r="K11" s="523"/>
      <c r="L11" s="942" t="s">
        <v>783</v>
      </c>
      <c r="M11" s="944" t="s">
        <v>784</v>
      </c>
      <c r="N11" s="946" t="s">
        <v>785</v>
      </c>
      <c r="O11" s="948"/>
      <c r="P11" s="950"/>
      <c r="Q11" s="940"/>
    </row>
    <row r="12" spans="1:17" ht="16.5" thickBot="1" x14ac:dyDescent="0.3">
      <c r="A12" s="579" t="s">
        <v>179</v>
      </c>
      <c r="B12" s="580" t="s">
        <v>185</v>
      </c>
      <c r="C12" s="360" t="s">
        <v>19</v>
      </c>
      <c r="D12" s="360" t="s">
        <v>33</v>
      </c>
      <c r="E12" s="361" t="s">
        <v>35</v>
      </c>
      <c r="F12" s="362" t="s">
        <v>30</v>
      </c>
      <c r="G12" s="526" t="s">
        <v>14</v>
      </c>
      <c r="H12" s="361" t="s">
        <v>35</v>
      </c>
      <c r="I12" s="362" t="s">
        <v>30</v>
      </c>
      <c r="J12" s="364" t="s">
        <v>659</v>
      </c>
      <c r="K12" s="527" t="s">
        <v>38</v>
      </c>
      <c r="L12" s="943"/>
      <c r="M12" s="945"/>
      <c r="N12" s="947"/>
      <c r="O12" s="949"/>
      <c r="P12" s="951"/>
      <c r="Q12" s="941"/>
    </row>
    <row r="13" spans="1:17" x14ac:dyDescent="0.2">
      <c r="A13" s="370"/>
      <c r="B13" s="5"/>
      <c r="C13" s="371"/>
      <c r="D13" s="372" t="s">
        <v>21</v>
      </c>
      <c r="E13" s="253">
        <v>0</v>
      </c>
      <c r="F13" s="373">
        <f t="shared" ref="F13:F24" si="0">C13*E13</f>
        <v>0</v>
      </c>
      <c r="G13" s="529"/>
      <c r="H13" s="375">
        <v>0</v>
      </c>
      <c r="I13" s="373">
        <f t="shared" ref="I13:I24" si="1">G13*H13</f>
        <v>0</v>
      </c>
      <c r="J13" s="376"/>
      <c r="K13" s="530">
        <f t="shared" ref="K13:K24" si="2">F13+I13+J13</f>
        <v>0</v>
      </c>
      <c r="L13" s="378"/>
      <c r="M13" s="379"/>
      <c r="N13" s="380"/>
      <c r="O13" s="381"/>
      <c r="P13" s="382"/>
      <c r="Q13" s="383"/>
    </row>
    <row r="14" spans="1:17" x14ac:dyDescent="0.2">
      <c r="A14" s="370"/>
      <c r="B14" s="5"/>
      <c r="C14" s="371"/>
      <c r="D14" s="372" t="s">
        <v>21</v>
      </c>
      <c r="E14" s="253">
        <v>0</v>
      </c>
      <c r="F14" s="373">
        <f t="shared" si="0"/>
        <v>0</v>
      </c>
      <c r="G14" s="529"/>
      <c r="H14" s="375">
        <v>0</v>
      </c>
      <c r="I14" s="373">
        <f t="shared" si="1"/>
        <v>0</v>
      </c>
      <c r="J14" s="376">
        <f>M14</f>
        <v>136100</v>
      </c>
      <c r="K14" s="530">
        <f t="shared" si="2"/>
        <v>136100</v>
      </c>
      <c r="L14" s="868" t="s">
        <v>1057</v>
      </c>
      <c r="M14" s="379">
        <v>136100</v>
      </c>
      <c r="N14" s="380" t="s">
        <v>1058</v>
      </c>
      <c r="O14" s="381"/>
      <c r="P14" s="382"/>
      <c r="Q14" s="383"/>
    </row>
    <row r="15" spans="1:17" x14ac:dyDescent="0.2">
      <c r="A15" s="370"/>
      <c r="B15" s="5"/>
      <c r="C15" s="371"/>
      <c r="D15" s="372" t="s">
        <v>21</v>
      </c>
      <c r="E15" s="253">
        <v>0</v>
      </c>
      <c r="F15" s="373">
        <f t="shared" si="0"/>
        <v>0</v>
      </c>
      <c r="G15" s="529"/>
      <c r="H15" s="375">
        <v>0</v>
      </c>
      <c r="I15" s="373">
        <f t="shared" si="1"/>
        <v>0</v>
      </c>
      <c r="J15" s="376"/>
      <c r="K15" s="530">
        <f t="shared" si="2"/>
        <v>0</v>
      </c>
      <c r="L15" s="378"/>
      <c r="M15" s="379"/>
      <c r="N15" s="380"/>
      <c r="O15" s="381"/>
      <c r="P15" s="382"/>
      <c r="Q15" s="383"/>
    </row>
    <row r="16" spans="1:17" x14ac:dyDescent="0.2">
      <c r="A16" s="370"/>
      <c r="B16" s="5" t="s">
        <v>1059</v>
      </c>
      <c r="C16" s="371"/>
      <c r="D16" s="372" t="s">
        <v>21</v>
      </c>
      <c r="E16" s="253">
        <v>0</v>
      </c>
      <c r="F16" s="373">
        <f t="shared" si="0"/>
        <v>0</v>
      </c>
      <c r="G16" s="529"/>
      <c r="H16" s="375">
        <v>0</v>
      </c>
      <c r="I16" s="373">
        <f t="shared" si="1"/>
        <v>0</v>
      </c>
      <c r="J16" s="376">
        <v>4500</v>
      </c>
      <c r="K16" s="530">
        <f t="shared" si="2"/>
        <v>4500</v>
      </c>
      <c r="L16" s="378"/>
      <c r="M16" s="379"/>
      <c r="N16" s="380"/>
      <c r="O16" s="381"/>
      <c r="P16" s="382"/>
      <c r="Q16" s="383"/>
    </row>
    <row r="17" spans="1:17" x14ac:dyDescent="0.2">
      <c r="A17" s="370"/>
      <c r="B17" s="6"/>
      <c r="C17" s="371"/>
      <c r="D17" s="372" t="s">
        <v>21</v>
      </c>
      <c r="E17" s="253">
        <v>0</v>
      </c>
      <c r="F17" s="373">
        <f t="shared" si="0"/>
        <v>0</v>
      </c>
      <c r="G17" s="529"/>
      <c r="H17" s="375">
        <v>0</v>
      </c>
      <c r="I17" s="373">
        <f t="shared" si="1"/>
        <v>0</v>
      </c>
      <c r="J17" s="376"/>
      <c r="K17" s="530">
        <f t="shared" si="2"/>
        <v>0</v>
      </c>
      <c r="L17" s="378"/>
      <c r="M17" s="379"/>
      <c r="N17" s="380"/>
      <c r="O17" s="381"/>
      <c r="P17" s="382"/>
      <c r="Q17" s="383"/>
    </row>
    <row r="18" spans="1:17" x14ac:dyDescent="0.2">
      <c r="A18" s="384"/>
      <c r="B18" s="5" t="s">
        <v>1139</v>
      </c>
      <c r="C18" s="371">
        <v>8</v>
      </c>
      <c r="D18" s="372" t="s">
        <v>21</v>
      </c>
      <c r="E18" s="253">
        <v>100</v>
      </c>
      <c r="F18" s="373">
        <f t="shared" si="0"/>
        <v>800</v>
      </c>
      <c r="G18" s="529"/>
      <c r="H18" s="375">
        <v>0</v>
      </c>
      <c r="I18" s="373">
        <f t="shared" si="1"/>
        <v>0</v>
      </c>
      <c r="J18" s="376"/>
      <c r="K18" s="530">
        <f t="shared" si="2"/>
        <v>800</v>
      </c>
      <c r="L18" s="378"/>
      <c r="M18" s="379"/>
      <c r="N18" s="380"/>
      <c r="O18" s="381"/>
      <c r="P18" s="382"/>
      <c r="Q18" s="383"/>
    </row>
    <row r="19" spans="1:17" x14ac:dyDescent="0.2">
      <c r="A19" s="384"/>
      <c r="B19" s="5"/>
      <c r="C19" s="371"/>
      <c r="D19" s="372" t="s">
        <v>21</v>
      </c>
      <c r="E19" s="253">
        <v>0</v>
      </c>
      <c r="F19" s="373">
        <f t="shared" si="0"/>
        <v>0</v>
      </c>
      <c r="G19" s="529"/>
      <c r="H19" s="375">
        <v>0</v>
      </c>
      <c r="I19" s="373">
        <f t="shared" si="1"/>
        <v>0</v>
      </c>
      <c r="J19" s="376"/>
      <c r="K19" s="530">
        <f t="shared" si="2"/>
        <v>0</v>
      </c>
      <c r="L19" s="378"/>
      <c r="M19" s="379"/>
      <c r="N19" s="380"/>
      <c r="O19" s="381"/>
      <c r="P19" s="382"/>
      <c r="Q19" s="383"/>
    </row>
    <row r="20" spans="1:17" x14ac:dyDescent="0.2">
      <c r="A20" s="384"/>
      <c r="B20" s="5"/>
      <c r="C20" s="371"/>
      <c r="D20" s="372" t="s">
        <v>21</v>
      </c>
      <c r="E20" s="253">
        <v>0</v>
      </c>
      <c r="F20" s="373">
        <f t="shared" si="0"/>
        <v>0</v>
      </c>
      <c r="G20" s="529"/>
      <c r="H20" s="375">
        <v>0</v>
      </c>
      <c r="I20" s="373">
        <f t="shared" si="1"/>
        <v>0</v>
      </c>
      <c r="J20" s="376"/>
      <c r="K20" s="530">
        <f t="shared" si="2"/>
        <v>0</v>
      </c>
      <c r="L20" s="378"/>
      <c r="M20" s="379"/>
      <c r="N20" s="380"/>
      <c r="O20" s="381"/>
      <c r="P20" s="382"/>
      <c r="Q20" s="383"/>
    </row>
    <row r="21" spans="1:17" x14ac:dyDescent="0.2">
      <c r="A21" s="384"/>
      <c r="B21" s="5"/>
      <c r="C21" s="371"/>
      <c r="D21" s="372" t="s">
        <v>21</v>
      </c>
      <c r="E21" s="253">
        <v>0</v>
      </c>
      <c r="F21" s="373">
        <f t="shared" si="0"/>
        <v>0</v>
      </c>
      <c r="G21" s="529"/>
      <c r="H21" s="375">
        <v>0</v>
      </c>
      <c r="I21" s="373">
        <f t="shared" si="1"/>
        <v>0</v>
      </c>
      <c r="J21" s="376"/>
      <c r="K21" s="530">
        <f t="shared" si="2"/>
        <v>0</v>
      </c>
      <c r="L21" s="378"/>
      <c r="M21" s="379"/>
      <c r="N21" s="380"/>
      <c r="O21" s="381"/>
      <c r="P21" s="382"/>
      <c r="Q21" s="383"/>
    </row>
    <row r="22" spans="1:17" x14ac:dyDescent="0.2">
      <c r="A22" s="384"/>
      <c r="B22" s="5"/>
      <c r="C22" s="371"/>
      <c r="D22" s="372" t="s">
        <v>21</v>
      </c>
      <c r="E22" s="253">
        <v>0</v>
      </c>
      <c r="F22" s="373">
        <f t="shared" si="0"/>
        <v>0</v>
      </c>
      <c r="G22" s="529"/>
      <c r="H22" s="375">
        <v>0</v>
      </c>
      <c r="I22" s="373">
        <f t="shared" si="1"/>
        <v>0</v>
      </c>
      <c r="J22" s="376"/>
      <c r="K22" s="530">
        <f t="shared" si="2"/>
        <v>0</v>
      </c>
      <c r="L22" s="378"/>
      <c r="M22" s="379"/>
      <c r="N22" s="380"/>
      <c r="O22" s="381"/>
      <c r="P22" s="382"/>
      <c r="Q22" s="383"/>
    </row>
    <row r="23" spans="1:17" x14ac:dyDescent="0.2">
      <c r="A23" s="384"/>
      <c r="B23" s="5"/>
      <c r="C23" s="371"/>
      <c r="D23" s="372" t="s">
        <v>21</v>
      </c>
      <c r="E23" s="253">
        <v>0</v>
      </c>
      <c r="F23" s="373">
        <f t="shared" si="0"/>
        <v>0</v>
      </c>
      <c r="G23" s="529"/>
      <c r="H23" s="375">
        <v>0</v>
      </c>
      <c r="I23" s="373">
        <f t="shared" si="1"/>
        <v>0</v>
      </c>
      <c r="J23" s="376"/>
      <c r="K23" s="530">
        <f t="shared" si="2"/>
        <v>0</v>
      </c>
      <c r="L23" s="378"/>
      <c r="M23" s="379"/>
      <c r="N23" s="380"/>
      <c r="O23" s="381"/>
      <c r="P23" s="382"/>
      <c r="Q23" s="383"/>
    </row>
    <row r="24" spans="1:17" x14ac:dyDescent="0.2">
      <c r="A24" s="384"/>
      <c r="B24" s="5"/>
      <c r="C24" s="371"/>
      <c r="D24" s="372" t="s">
        <v>21</v>
      </c>
      <c r="E24" s="253">
        <v>0</v>
      </c>
      <c r="F24" s="373">
        <f t="shared" si="0"/>
        <v>0</v>
      </c>
      <c r="G24" s="529"/>
      <c r="H24" s="375">
        <v>0</v>
      </c>
      <c r="I24" s="373">
        <f t="shared" si="1"/>
        <v>0</v>
      </c>
      <c r="J24" s="376"/>
      <c r="K24" s="530">
        <f t="shared" si="2"/>
        <v>0</v>
      </c>
      <c r="L24" s="378"/>
      <c r="M24" s="379"/>
      <c r="N24" s="380"/>
      <c r="O24" s="381"/>
      <c r="P24" s="382"/>
      <c r="Q24" s="383"/>
    </row>
    <row r="25" spans="1:17" ht="13.5" thickBot="1" x14ac:dyDescent="0.25">
      <c r="A25" s="387"/>
      <c r="B25" s="7"/>
      <c r="C25" s="388"/>
      <c r="D25" s="372"/>
      <c r="E25" s="253"/>
      <c r="F25" s="373"/>
      <c r="G25" s="529"/>
      <c r="H25" s="375"/>
      <c r="I25" s="373"/>
      <c r="J25" s="376"/>
      <c r="K25" s="530"/>
      <c r="L25" s="378"/>
      <c r="M25" s="379"/>
      <c r="N25" s="380"/>
      <c r="O25" s="381"/>
      <c r="P25" s="382"/>
      <c r="Q25" s="383"/>
    </row>
    <row r="26" spans="1:17" ht="13.5" thickTop="1" x14ac:dyDescent="0.2">
      <c r="A26" s="387"/>
      <c r="B26" s="7"/>
      <c r="C26" s="388"/>
      <c r="D26" s="372"/>
      <c r="E26" s="253"/>
      <c r="F26" s="373"/>
      <c r="G26" s="529"/>
      <c r="H26" s="375"/>
      <c r="I26" s="373"/>
      <c r="J26" s="389" t="s">
        <v>30</v>
      </c>
      <c r="K26" s="532">
        <f>SUM(K13:K25)</f>
        <v>141400</v>
      </c>
      <c r="L26" s="378"/>
      <c r="M26" s="379"/>
      <c r="N26" s="380"/>
      <c r="O26" s="381"/>
      <c r="P26" s="382"/>
      <c r="Q26" s="383"/>
    </row>
    <row r="27" spans="1:17" s="159" customFormat="1" ht="13.5" thickBot="1" x14ac:dyDescent="0.25">
      <c r="A27" s="353" t="s">
        <v>0</v>
      </c>
      <c r="B27" s="354" t="s">
        <v>1</v>
      </c>
      <c r="C27" s="939" t="s">
        <v>656</v>
      </c>
      <c r="D27" s="939"/>
      <c r="E27" s="939"/>
      <c r="F27" s="939"/>
      <c r="G27" s="939" t="s">
        <v>34</v>
      </c>
      <c r="H27" s="939"/>
      <c r="I27" s="939"/>
      <c r="J27" s="355"/>
      <c r="K27" s="523"/>
      <c r="L27" s="391"/>
      <c r="M27" s="392"/>
      <c r="N27" s="393"/>
      <c r="O27" s="381"/>
      <c r="P27" s="382"/>
      <c r="Q27" s="383"/>
    </row>
    <row r="28" spans="1:17" s="159" customFormat="1" ht="16.5" thickBot="1" x14ac:dyDescent="0.3">
      <c r="A28" s="579" t="s">
        <v>180</v>
      </c>
      <c r="B28" s="580" t="s">
        <v>186</v>
      </c>
      <c r="C28" s="397" t="s">
        <v>19</v>
      </c>
      <c r="D28" s="397" t="s">
        <v>33</v>
      </c>
      <c r="E28" s="398" t="s">
        <v>35</v>
      </c>
      <c r="F28" s="399" t="s">
        <v>30</v>
      </c>
      <c r="G28" s="533" t="s">
        <v>14</v>
      </c>
      <c r="H28" s="398" t="s">
        <v>35</v>
      </c>
      <c r="I28" s="399" t="s">
        <v>30</v>
      </c>
      <c r="J28" s="364" t="s">
        <v>659</v>
      </c>
      <c r="K28" s="534" t="s">
        <v>38</v>
      </c>
      <c r="L28" s="402"/>
      <c r="M28" s="403"/>
      <c r="N28" s="404"/>
      <c r="O28" s="381"/>
      <c r="P28" s="382"/>
      <c r="Q28" s="383"/>
    </row>
    <row r="29" spans="1:17" s="159" customFormat="1" x14ac:dyDescent="0.2">
      <c r="A29" s="370"/>
      <c r="B29" s="5"/>
      <c r="C29" s="371"/>
      <c r="D29" s="372" t="s">
        <v>21</v>
      </c>
      <c r="E29" s="253">
        <v>0</v>
      </c>
      <c r="F29" s="373">
        <f t="shared" ref="F29:F35" si="3">C29*E29</f>
        <v>0</v>
      </c>
      <c r="G29" s="529"/>
      <c r="H29" s="375">
        <v>0</v>
      </c>
      <c r="I29" s="373">
        <f t="shared" ref="I29:I35" si="4">G29*H29</f>
        <v>0</v>
      </c>
      <c r="J29" s="376"/>
      <c r="K29" s="530">
        <f t="shared" ref="K29:K35" si="5">F29+I29+J29</f>
        <v>0</v>
      </c>
      <c r="L29" s="378"/>
      <c r="M29" s="379"/>
      <c r="N29" s="380"/>
      <c r="O29" s="381"/>
      <c r="P29" s="382"/>
      <c r="Q29" s="383"/>
    </row>
    <row r="30" spans="1:17" s="159" customFormat="1" x14ac:dyDescent="0.2">
      <c r="A30" s="370"/>
      <c r="B30" s="5"/>
      <c r="C30" s="371"/>
      <c r="D30" s="372" t="s">
        <v>21</v>
      </c>
      <c r="E30" s="253">
        <v>0</v>
      </c>
      <c r="F30" s="373">
        <f t="shared" si="3"/>
        <v>0</v>
      </c>
      <c r="G30" s="529"/>
      <c r="H30" s="375">
        <v>0</v>
      </c>
      <c r="I30" s="373">
        <f t="shared" si="4"/>
        <v>0</v>
      </c>
      <c r="J30" s="376"/>
      <c r="K30" s="530">
        <f t="shared" si="5"/>
        <v>0</v>
      </c>
      <c r="L30" s="378"/>
      <c r="M30" s="379"/>
      <c r="N30" s="380"/>
      <c r="O30" s="381"/>
      <c r="P30" s="382"/>
      <c r="Q30" s="383"/>
    </row>
    <row r="31" spans="1:17" s="159" customFormat="1" x14ac:dyDescent="0.2">
      <c r="A31" s="370"/>
      <c r="B31" s="5"/>
      <c r="C31" s="371"/>
      <c r="D31" s="372" t="s">
        <v>21</v>
      </c>
      <c r="E31" s="253">
        <v>0</v>
      </c>
      <c r="F31" s="373">
        <f t="shared" si="3"/>
        <v>0</v>
      </c>
      <c r="G31" s="529"/>
      <c r="H31" s="375">
        <v>0</v>
      </c>
      <c r="I31" s="373">
        <f t="shared" si="4"/>
        <v>0</v>
      </c>
      <c r="J31" s="376"/>
      <c r="K31" s="530">
        <f t="shared" si="5"/>
        <v>0</v>
      </c>
      <c r="L31" s="378"/>
      <c r="M31" s="379"/>
      <c r="N31" s="380"/>
      <c r="O31" s="381"/>
      <c r="P31" s="382"/>
      <c r="Q31" s="383"/>
    </row>
    <row r="32" spans="1:17" s="159" customFormat="1" x14ac:dyDescent="0.2">
      <c r="A32" s="370"/>
      <c r="B32" s="5"/>
      <c r="C32" s="371"/>
      <c r="D32" s="372" t="s">
        <v>21</v>
      </c>
      <c r="E32" s="253">
        <v>0</v>
      </c>
      <c r="F32" s="373">
        <f t="shared" si="3"/>
        <v>0</v>
      </c>
      <c r="G32" s="529"/>
      <c r="H32" s="375">
        <v>0</v>
      </c>
      <c r="I32" s="373">
        <f t="shared" si="4"/>
        <v>0</v>
      </c>
      <c r="J32" s="376"/>
      <c r="K32" s="530">
        <f t="shared" si="5"/>
        <v>0</v>
      </c>
      <c r="L32" s="378"/>
      <c r="M32" s="379"/>
      <c r="N32" s="380"/>
      <c r="O32" s="381"/>
      <c r="P32" s="382"/>
      <c r="Q32" s="383"/>
    </row>
    <row r="33" spans="1:17" s="159" customFormat="1" x14ac:dyDescent="0.2">
      <c r="A33" s="370"/>
      <c r="B33" s="5"/>
      <c r="C33" s="371"/>
      <c r="D33" s="372" t="s">
        <v>21</v>
      </c>
      <c r="E33" s="253">
        <v>0</v>
      </c>
      <c r="F33" s="373">
        <f t="shared" si="3"/>
        <v>0</v>
      </c>
      <c r="G33" s="529"/>
      <c r="H33" s="375">
        <v>0</v>
      </c>
      <c r="I33" s="373">
        <f t="shared" si="4"/>
        <v>0</v>
      </c>
      <c r="J33" s="376"/>
      <c r="K33" s="530">
        <f t="shared" si="5"/>
        <v>0</v>
      </c>
      <c r="L33" s="378"/>
      <c r="M33" s="379"/>
      <c r="N33" s="380"/>
      <c r="O33" s="381"/>
      <c r="P33" s="382"/>
      <c r="Q33" s="383"/>
    </row>
    <row r="34" spans="1:17" s="159" customFormat="1" x14ac:dyDescent="0.2">
      <c r="A34" s="370"/>
      <c r="B34" s="5"/>
      <c r="C34" s="371"/>
      <c r="D34" s="372" t="s">
        <v>21</v>
      </c>
      <c r="E34" s="253">
        <v>0</v>
      </c>
      <c r="F34" s="373">
        <f t="shared" si="3"/>
        <v>0</v>
      </c>
      <c r="G34" s="529"/>
      <c r="H34" s="375">
        <v>0</v>
      </c>
      <c r="I34" s="373">
        <f t="shared" si="4"/>
        <v>0</v>
      </c>
      <c r="J34" s="376"/>
      <c r="K34" s="530">
        <f t="shared" si="5"/>
        <v>0</v>
      </c>
      <c r="L34" s="378"/>
      <c r="M34" s="379"/>
      <c r="N34" s="380"/>
      <c r="O34" s="381"/>
      <c r="P34" s="382"/>
      <c r="Q34" s="383"/>
    </row>
    <row r="35" spans="1:17" s="159" customFormat="1" x14ac:dyDescent="0.2">
      <c r="A35" s="370"/>
      <c r="B35" s="5"/>
      <c r="C35" s="371"/>
      <c r="D35" s="372" t="s">
        <v>21</v>
      </c>
      <c r="E35" s="253">
        <v>0</v>
      </c>
      <c r="F35" s="373">
        <f t="shared" si="3"/>
        <v>0</v>
      </c>
      <c r="G35" s="529"/>
      <c r="H35" s="375">
        <v>0</v>
      </c>
      <c r="I35" s="373">
        <f t="shared" si="4"/>
        <v>0</v>
      </c>
      <c r="J35" s="376"/>
      <c r="K35" s="530">
        <f t="shared" si="5"/>
        <v>0</v>
      </c>
      <c r="L35" s="378"/>
      <c r="M35" s="379"/>
      <c r="N35" s="380"/>
      <c r="O35" s="381"/>
      <c r="P35" s="382"/>
      <c r="Q35" s="383"/>
    </row>
    <row r="36" spans="1:17" s="159" customFormat="1" ht="13.5" thickBot="1" x14ac:dyDescent="0.25">
      <c r="A36" s="370"/>
      <c r="B36" s="5"/>
      <c r="C36" s="388"/>
      <c r="D36" s="372"/>
      <c r="E36" s="253"/>
      <c r="F36" s="373"/>
      <c r="G36" s="529"/>
      <c r="H36" s="375"/>
      <c r="I36" s="373"/>
      <c r="J36" s="376"/>
      <c r="K36" s="535"/>
      <c r="L36" s="378"/>
      <c r="M36" s="379"/>
      <c r="N36" s="380"/>
      <c r="O36" s="381"/>
      <c r="P36" s="382"/>
      <c r="Q36" s="383"/>
    </row>
    <row r="37" spans="1:17" s="159" customFormat="1" ht="13.5" thickTop="1" x14ac:dyDescent="0.2">
      <c r="A37" s="387"/>
      <c r="B37" s="5"/>
      <c r="C37" s="388"/>
      <c r="D37" s="372"/>
      <c r="E37" s="253"/>
      <c r="F37" s="373"/>
      <c r="G37" s="529"/>
      <c r="H37" s="375"/>
      <c r="I37" s="373"/>
      <c r="J37" s="389" t="s">
        <v>30</v>
      </c>
      <c r="K37" s="532">
        <f>SUM(K29:K36)</f>
        <v>0</v>
      </c>
      <c r="L37" s="378"/>
      <c r="M37" s="379"/>
      <c r="N37" s="380"/>
      <c r="O37" s="381"/>
      <c r="P37" s="382"/>
      <c r="Q37" s="383"/>
    </row>
    <row r="38" spans="1:17" s="159" customFormat="1" ht="13.5" thickBot="1" x14ac:dyDescent="0.25">
      <c r="A38" s="353" t="s">
        <v>0</v>
      </c>
      <c r="B38" s="354" t="s">
        <v>1</v>
      </c>
      <c r="C38" s="939" t="s">
        <v>656</v>
      </c>
      <c r="D38" s="939"/>
      <c r="E38" s="939"/>
      <c r="F38" s="939"/>
      <c r="G38" s="939" t="s">
        <v>34</v>
      </c>
      <c r="H38" s="939"/>
      <c r="I38" s="939"/>
      <c r="J38" s="355"/>
      <c r="K38" s="523"/>
      <c r="L38" s="391"/>
      <c r="M38" s="392"/>
      <c r="N38" s="393"/>
      <c r="O38" s="381"/>
      <c r="P38" s="382"/>
      <c r="Q38" s="383"/>
    </row>
    <row r="39" spans="1:17" s="159" customFormat="1" ht="16.5" thickBot="1" x14ac:dyDescent="0.3">
      <c r="A39" s="579" t="s">
        <v>181</v>
      </c>
      <c r="B39" s="580" t="s">
        <v>187</v>
      </c>
      <c r="C39" s="397" t="s">
        <v>19</v>
      </c>
      <c r="D39" s="397" t="s">
        <v>33</v>
      </c>
      <c r="E39" s="398" t="s">
        <v>35</v>
      </c>
      <c r="F39" s="399" t="s">
        <v>30</v>
      </c>
      <c r="G39" s="533" t="s">
        <v>14</v>
      </c>
      <c r="H39" s="398" t="s">
        <v>35</v>
      </c>
      <c r="I39" s="399" t="s">
        <v>30</v>
      </c>
      <c r="J39" s="364" t="s">
        <v>659</v>
      </c>
      <c r="K39" s="534" t="s">
        <v>38</v>
      </c>
      <c r="L39" s="402"/>
      <c r="M39" s="408"/>
      <c r="N39" s="409"/>
      <c r="O39" s="410"/>
      <c r="P39" s="411"/>
      <c r="Q39" s="383"/>
    </row>
    <row r="40" spans="1:17" s="159" customFormat="1" x14ac:dyDescent="0.2">
      <c r="A40" s="370"/>
      <c r="B40" s="5"/>
      <c r="C40" s="371"/>
      <c r="D40" s="372" t="s">
        <v>21</v>
      </c>
      <c r="E40" s="253">
        <v>0</v>
      </c>
      <c r="F40" s="373">
        <f>C40*E40</f>
        <v>0</v>
      </c>
      <c r="G40" s="529"/>
      <c r="H40" s="375">
        <v>0</v>
      </c>
      <c r="I40" s="373">
        <f>G40*H40</f>
        <v>0</v>
      </c>
      <c r="J40" s="376"/>
      <c r="K40" s="530">
        <f>F40+I40+J40</f>
        <v>0</v>
      </c>
      <c r="L40" s="378"/>
      <c r="M40" s="255"/>
      <c r="N40" s="421"/>
      <c r="O40" s="410"/>
      <c r="P40" s="411"/>
      <c r="Q40" s="383"/>
    </row>
    <row r="41" spans="1:17" s="159" customFormat="1" x14ac:dyDescent="0.2">
      <c r="A41" s="370"/>
      <c r="B41" s="5"/>
      <c r="C41" s="371"/>
      <c r="D41" s="372" t="s">
        <v>21</v>
      </c>
      <c r="E41" s="253">
        <v>0</v>
      </c>
      <c r="F41" s="373">
        <f>C41*E41</f>
        <v>0</v>
      </c>
      <c r="G41" s="529"/>
      <c r="H41" s="375">
        <v>0</v>
      </c>
      <c r="I41" s="373">
        <f>G41*H41</f>
        <v>0</v>
      </c>
      <c r="J41" s="376"/>
      <c r="K41" s="530">
        <f>F41+I41+J41</f>
        <v>0</v>
      </c>
      <c r="L41" s="378"/>
      <c r="M41" s="255"/>
      <c r="N41" s="421"/>
      <c r="O41" s="410"/>
      <c r="P41" s="411"/>
      <c r="Q41" s="383"/>
    </row>
    <row r="42" spans="1:17" s="159" customFormat="1" x14ac:dyDescent="0.2">
      <c r="A42" s="370"/>
      <c r="B42" s="5"/>
      <c r="C42" s="371"/>
      <c r="D42" s="372" t="s">
        <v>21</v>
      </c>
      <c r="E42" s="253">
        <v>0</v>
      </c>
      <c r="F42" s="373">
        <f>C42*E42</f>
        <v>0</v>
      </c>
      <c r="G42" s="529"/>
      <c r="H42" s="375">
        <v>0</v>
      </c>
      <c r="I42" s="373">
        <f>G42*H42</f>
        <v>0</v>
      </c>
      <c r="J42" s="376"/>
      <c r="K42" s="530">
        <f>F42+I42+J42</f>
        <v>0</v>
      </c>
      <c r="L42" s="378"/>
      <c r="M42" s="255"/>
      <c r="N42" s="421"/>
      <c r="O42" s="410"/>
      <c r="P42" s="411"/>
      <c r="Q42" s="383"/>
    </row>
    <row r="43" spans="1:17" s="159" customFormat="1" x14ac:dyDescent="0.2">
      <c r="A43" s="387"/>
      <c r="B43" s="412"/>
      <c r="C43" s="388"/>
      <c r="D43" s="372"/>
      <c r="E43" s="253"/>
      <c r="F43" s="373"/>
      <c r="G43" s="529"/>
      <c r="H43" s="375"/>
      <c r="I43" s="373"/>
      <c r="J43" s="376"/>
      <c r="K43" s="535"/>
      <c r="L43" s="378"/>
      <c r="M43" s="255"/>
      <c r="N43" s="421"/>
      <c r="O43" s="410"/>
      <c r="P43" s="411"/>
      <c r="Q43" s="383"/>
    </row>
    <row r="44" spans="1:17" s="159" customFormat="1" ht="13.5" thickBot="1" x14ac:dyDescent="0.25">
      <c r="A44" s="387"/>
      <c r="B44" s="412"/>
      <c r="C44" s="388"/>
      <c r="D44" s="372"/>
      <c r="E44" s="253"/>
      <c r="F44" s="373"/>
      <c r="G44" s="529"/>
      <c r="H44" s="375"/>
      <c r="I44" s="373"/>
      <c r="J44" s="376"/>
      <c r="K44" s="535"/>
      <c r="L44" s="378"/>
      <c r="M44" s="255"/>
      <c r="N44" s="421"/>
      <c r="O44" s="410"/>
      <c r="P44" s="411"/>
      <c r="Q44" s="383"/>
    </row>
    <row r="45" spans="1:17" s="159" customFormat="1" ht="13.5" thickTop="1" x14ac:dyDescent="0.2">
      <c r="A45" s="387"/>
      <c r="B45" s="412"/>
      <c r="C45" s="388"/>
      <c r="D45" s="372"/>
      <c r="E45" s="253"/>
      <c r="F45" s="373"/>
      <c r="G45" s="529"/>
      <c r="H45" s="375"/>
      <c r="I45" s="373"/>
      <c r="J45" s="389" t="s">
        <v>30</v>
      </c>
      <c r="K45" s="532">
        <f>SUM(K40:K44)</f>
        <v>0</v>
      </c>
      <c r="L45" s="378"/>
      <c r="M45" s="255"/>
      <c r="N45" s="380"/>
      <c r="O45" s="381"/>
      <c r="P45" s="382"/>
      <c r="Q45" s="383"/>
    </row>
    <row r="46" spans="1:17" s="159" customFormat="1" ht="13.5" thickBot="1" x14ac:dyDescent="0.25">
      <c r="A46" s="353" t="s">
        <v>0</v>
      </c>
      <c r="B46" s="354" t="s">
        <v>1</v>
      </c>
      <c r="C46" s="939" t="s">
        <v>656</v>
      </c>
      <c r="D46" s="939"/>
      <c r="E46" s="939"/>
      <c r="F46" s="939"/>
      <c r="G46" s="939" t="s">
        <v>34</v>
      </c>
      <c r="H46" s="939"/>
      <c r="I46" s="939"/>
      <c r="J46" s="355"/>
      <c r="K46" s="523"/>
      <c r="L46" s="391"/>
      <c r="M46" s="355"/>
      <c r="N46" s="393"/>
      <c r="O46" s="381"/>
      <c r="P46" s="382"/>
      <c r="Q46" s="383"/>
    </row>
    <row r="47" spans="1:17" s="159" customFormat="1" ht="16.5" thickBot="1" x14ac:dyDescent="0.3">
      <c r="A47" s="579" t="s">
        <v>182</v>
      </c>
      <c r="B47" s="580" t="s">
        <v>188</v>
      </c>
      <c r="C47" s="397" t="s">
        <v>19</v>
      </c>
      <c r="D47" s="397" t="s">
        <v>33</v>
      </c>
      <c r="E47" s="398" t="s">
        <v>35</v>
      </c>
      <c r="F47" s="399" t="s">
        <v>30</v>
      </c>
      <c r="G47" s="533" t="s">
        <v>14</v>
      </c>
      <c r="H47" s="398" t="s">
        <v>35</v>
      </c>
      <c r="I47" s="399" t="s">
        <v>30</v>
      </c>
      <c r="J47" s="364" t="s">
        <v>659</v>
      </c>
      <c r="K47" s="534" t="s">
        <v>38</v>
      </c>
      <c r="L47" s="402"/>
      <c r="M47" s="408"/>
      <c r="N47" s="404"/>
      <c r="O47" s="381"/>
      <c r="P47" s="411"/>
      <c r="Q47" s="383"/>
    </row>
    <row r="48" spans="1:17" s="159" customFormat="1" x14ac:dyDescent="0.2">
      <c r="A48" s="370"/>
      <c r="B48" s="5"/>
      <c r="C48" s="371"/>
      <c r="D48" s="372" t="s">
        <v>21</v>
      </c>
      <c r="E48" s="253">
        <v>0</v>
      </c>
      <c r="F48" s="373">
        <f>C48*E48</f>
        <v>0</v>
      </c>
      <c r="G48" s="529"/>
      <c r="H48" s="375">
        <v>0</v>
      </c>
      <c r="I48" s="373">
        <f>G48*H48</f>
        <v>0</v>
      </c>
      <c r="J48" s="376"/>
      <c r="K48" s="530">
        <f>F48+I48+J48</f>
        <v>0</v>
      </c>
      <c r="L48" s="378"/>
      <c r="M48" s="255"/>
      <c r="N48" s="380"/>
      <c r="O48" s="381"/>
      <c r="P48" s="382"/>
      <c r="Q48" s="383"/>
    </row>
    <row r="49" spans="1:17" s="159" customFormat="1" x14ac:dyDescent="0.2">
      <c r="A49" s="370"/>
      <c r="B49" s="5"/>
      <c r="C49" s="371"/>
      <c r="D49" s="372" t="s">
        <v>21</v>
      </c>
      <c r="E49" s="253">
        <v>0</v>
      </c>
      <c r="F49" s="373">
        <f>C49*E49</f>
        <v>0</v>
      </c>
      <c r="G49" s="529"/>
      <c r="H49" s="375">
        <v>0</v>
      </c>
      <c r="I49" s="373">
        <f>G49*H49</f>
        <v>0</v>
      </c>
      <c r="J49" s="376"/>
      <c r="K49" s="530">
        <f>F49+I49+J49</f>
        <v>0</v>
      </c>
      <c r="L49" s="378"/>
      <c r="M49" s="255"/>
      <c r="N49" s="380"/>
      <c r="O49" s="381"/>
      <c r="P49" s="382"/>
      <c r="Q49" s="383"/>
    </row>
    <row r="50" spans="1:17" s="159" customFormat="1" x14ac:dyDescent="0.2">
      <c r="A50" s="370"/>
      <c r="B50" s="5"/>
      <c r="C50" s="371"/>
      <c r="D50" s="372" t="s">
        <v>21</v>
      </c>
      <c r="E50" s="253">
        <v>0</v>
      </c>
      <c r="F50" s="373">
        <f>C50*E50</f>
        <v>0</v>
      </c>
      <c r="G50" s="529"/>
      <c r="H50" s="375">
        <v>0</v>
      </c>
      <c r="I50" s="373">
        <f>G50*H50</f>
        <v>0</v>
      </c>
      <c r="J50" s="376"/>
      <c r="K50" s="530">
        <f>F50+I50+J50</f>
        <v>0</v>
      </c>
      <c r="L50" s="378"/>
      <c r="M50" s="255"/>
      <c r="N50" s="380"/>
      <c r="O50" s="381"/>
      <c r="P50" s="382"/>
      <c r="Q50" s="383"/>
    </row>
    <row r="51" spans="1:17" s="159" customFormat="1" x14ac:dyDescent="0.2">
      <c r="A51" s="370"/>
      <c r="B51" s="5"/>
      <c r="C51" s="371"/>
      <c r="D51" s="372" t="s">
        <v>21</v>
      </c>
      <c r="E51" s="253">
        <v>0</v>
      </c>
      <c r="F51" s="373">
        <f>C51*E51</f>
        <v>0</v>
      </c>
      <c r="G51" s="529"/>
      <c r="H51" s="375">
        <v>0</v>
      </c>
      <c r="I51" s="373">
        <f>G51*H51</f>
        <v>0</v>
      </c>
      <c r="J51" s="376"/>
      <c r="K51" s="530">
        <f>F51+I51+J51</f>
        <v>0</v>
      </c>
      <c r="L51" s="378"/>
      <c r="M51" s="255"/>
      <c r="N51" s="380"/>
      <c r="O51" s="381"/>
      <c r="P51" s="382"/>
      <c r="Q51" s="383"/>
    </row>
    <row r="52" spans="1:17" s="159" customFormat="1" x14ac:dyDescent="0.2">
      <c r="A52" s="370"/>
      <c r="B52" s="5"/>
      <c r="C52" s="371"/>
      <c r="D52" s="372" t="s">
        <v>21</v>
      </c>
      <c r="E52" s="253">
        <v>0</v>
      </c>
      <c r="F52" s="373">
        <f>C52*E52</f>
        <v>0</v>
      </c>
      <c r="G52" s="529"/>
      <c r="H52" s="375">
        <v>0</v>
      </c>
      <c r="I52" s="373">
        <f>G52*H52</f>
        <v>0</v>
      </c>
      <c r="J52" s="376"/>
      <c r="K52" s="530">
        <f>F52+I52+J52</f>
        <v>0</v>
      </c>
      <c r="L52" s="378"/>
      <c r="M52" s="255"/>
      <c r="N52" s="380"/>
      <c r="O52" s="381"/>
      <c r="P52" s="382"/>
      <c r="Q52" s="383"/>
    </row>
    <row r="53" spans="1:17" s="159" customFormat="1" ht="13.5" thickBot="1" x14ac:dyDescent="0.25">
      <c r="A53" s="387"/>
      <c r="B53" s="412"/>
      <c r="C53" s="388"/>
      <c r="D53" s="372"/>
      <c r="E53" s="253"/>
      <c r="F53" s="373"/>
      <c r="G53" s="529"/>
      <c r="H53" s="375"/>
      <c r="I53" s="373"/>
      <c r="J53" s="376"/>
      <c r="K53" s="535"/>
      <c r="L53" s="378"/>
      <c r="M53" s="255"/>
      <c r="N53" s="380"/>
      <c r="O53" s="381"/>
      <c r="P53" s="382"/>
      <c r="Q53" s="383"/>
    </row>
    <row r="54" spans="1:17" s="159" customFormat="1" ht="13.5" thickTop="1" x14ac:dyDescent="0.2">
      <c r="A54" s="387"/>
      <c r="B54" s="412"/>
      <c r="C54" s="388"/>
      <c r="D54" s="372"/>
      <c r="E54" s="253"/>
      <c r="F54" s="373"/>
      <c r="G54" s="529"/>
      <c r="H54" s="375"/>
      <c r="I54" s="373"/>
      <c r="J54" s="389" t="s">
        <v>30</v>
      </c>
      <c r="K54" s="532">
        <f>SUM(K48:K53)</f>
        <v>0</v>
      </c>
      <c r="L54" s="378"/>
      <c r="M54" s="255"/>
      <c r="N54" s="421"/>
      <c r="O54" s="436"/>
      <c r="P54" s="437"/>
      <c r="Q54" s="383"/>
    </row>
    <row r="55" spans="1:17" s="159" customFormat="1" ht="13.5" thickBot="1" x14ac:dyDescent="0.25">
      <c r="A55" s="353" t="s">
        <v>0</v>
      </c>
      <c r="B55" s="354" t="s">
        <v>1</v>
      </c>
      <c r="C55" s="939" t="s">
        <v>656</v>
      </c>
      <c r="D55" s="939"/>
      <c r="E55" s="939"/>
      <c r="F55" s="939"/>
      <c r="G55" s="939" t="s">
        <v>34</v>
      </c>
      <c r="H55" s="939"/>
      <c r="I55" s="939"/>
      <c r="J55" s="355"/>
      <c r="K55" s="523"/>
      <c r="L55" s="391"/>
      <c r="M55" s="355"/>
      <c r="N55" s="438"/>
      <c r="O55" s="436"/>
      <c r="P55" s="437"/>
      <c r="Q55" s="383"/>
    </row>
    <row r="56" spans="1:17" s="159" customFormat="1" ht="16.5" thickBot="1" x14ac:dyDescent="0.3">
      <c r="A56" s="579" t="s">
        <v>183</v>
      </c>
      <c r="B56" s="580" t="s">
        <v>189</v>
      </c>
      <c r="C56" s="397" t="s">
        <v>19</v>
      </c>
      <c r="D56" s="397" t="s">
        <v>33</v>
      </c>
      <c r="E56" s="398" t="s">
        <v>35</v>
      </c>
      <c r="F56" s="399" t="s">
        <v>30</v>
      </c>
      <c r="G56" s="533" t="s">
        <v>14</v>
      </c>
      <c r="H56" s="398" t="s">
        <v>35</v>
      </c>
      <c r="I56" s="399" t="s">
        <v>30</v>
      </c>
      <c r="J56" s="364" t="s">
        <v>659</v>
      </c>
      <c r="K56" s="534" t="s">
        <v>38</v>
      </c>
      <c r="L56" s="402"/>
      <c r="M56" s="408"/>
      <c r="N56" s="409"/>
      <c r="O56" s="410"/>
      <c r="P56" s="411"/>
      <c r="Q56" s="383"/>
    </row>
    <row r="57" spans="1:17" x14ac:dyDescent="0.2">
      <c r="A57" s="370"/>
      <c r="B57" s="5"/>
      <c r="C57" s="371"/>
      <c r="D57" s="372" t="s">
        <v>21</v>
      </c>
      <c r="E57" s="253">
        <v>0</v>
      </c>
      <c r="F57" s="373">
        <f t="shared" ref="F57:F63" si="6">C57*E57</f>
        <v>0</v>
      </c>
      <c r="G57" s="529"/>
      <c r="H57" s="375">
        <v>0</v>
      </c>
      <c r="I57" s="373">
        <f t="shared" ref="I57:I63" si="7">G57*H57</f>
        <v>0</v>
      </c>
      <c r="J57" s="376"/>
      <c r="K57" s="530">
        <f t="shared" ref="K57:K63" si="8">F57+I57+J57</f>
        <v>0</v>
      </c>
      <c r="L57" s="378" t="s">
        <v>1138</v>
      </c>
      <c r="M57" s="255">
        <v>67400</v>
      </c>
      <c r="N57" s="380"/>
      <c r="O57" s="381"/>
      <c r="P57" s="382"/>
      <c r="Q57" s="383"/>
    </row>
    <row r="58" spans="1:17" x14ac:dyDescent="0.2">
      <c r="A58" s="370"/>
      <c r="B58" s="5"/>
      <c r="C58" s="371">
        <v>59</v>
      </c>
      <c r="D58" s="372" t="s">
        <v>33</v>
      </c>
      <c r="E58" s="253">
        <f>M64</f>
        <v>1752.8813559322034</v>
      </c>
      <c r="F58" s="373"/>
      <c r="G58" s="529"/>
      <c r="H58" s="375">
        <v>0</v>
      </c>
      <c r="I58" s="373">
        <f t="shared" si="7"/>
        <v>0</v>
      </c>
      <c r="J58" s="376">
        <f>M58</f>
        <v>73570</v>
      </c>
      <c r="K58" s="530">
        <f t="shared" si="8"/>
        <v>73570</v>
      </c>
      <c r="L58" s="865" t="s">
        <v>1081</v>
      </c>
      <c r="M58" s="379">
        <v>73570</v>
      </c>
      <c r="N58" s="380"/>
      <c r="O58" s="381"/>
      <c r="P58" s="382"/>
      <c r="Q58" s="383"/>
    </row>
    <row r="59" spans="1:17" x14ac:dyDescent="0.2">
      <c r="A59" s="370"/>
      <c r="B59" s="5"/>
      <c r="C59" s="371"/>
      <c r="D59" s="372" t="s">
        <v>21</v>
      </c>
      <c r="E59" s="253">
        <v>0</v>
      </c>
      <c r="F59" s="373">
        <f t="shared" si="6"/>
        <v>0</v>
      </c>
      <c r="G59" s="529"/>
      <c r="H59" s="375">
        <v>0</v>
      </c>
      <c r="I59" s="373">
        <f t="shared" si="7"/>
        <v>0</v>
      </c>
      <c r="J59" s="376"/>
      <c r="K59" s="530">
        <f t="shared" si="8"/>
        <v>0</v>
      </c>
      <c r="L59" s="378"/>
      <c r="M59" s="379"/>
      <c r="N59" s="380"/>
      <c r="O59" s="381"/>
      <c r="P59" s="382"/>
      <c r="Q59" s="383"/>
    </row>
    <row r="60" spans="1:17" x14ac:dyDescent="0.2">
      <c r="A60" s="370"/>
      <c r="B60" s="5"/>
      <c r="C60" s="371"/>
      <c r="D60" s="372" t="s">
        <v>21</v>
      </c>
      <c r="E60" s="253">
        <v>0</v>
      </c>
      <c r="F60" s="373">
        <f t="shared" si="6"/>
        <v>0</v>
      </c>
      <c r="G60" s="529"/>
      <c r="H60" s="375">
        <v>0</v>
      </c>
      <c r="I60" s="373">
        <f t="shared" si="7"/>
        <v>0</v>
      </c>
      <c r="J60" s="376"/>
      <c r="K60" s="530">
        <f t="shared" si="8"/>
        <v>0</v>
      </c>
      <c r="L60" s="378"/>
      <c r="M60" s="379"/>
      <c r="N60" s="380"/>
      <c r="O60" s="381"/>
      <c r="P60" s="382"/>
      <c r="Q60" s="383"/>
    </row>
    <row r="61" spans="1:17" x14ac:dyDescent="0.2">
      <c r="A61" s="370"/>
      <c r="B61" s="5"/>
      <c r="C61" s="371"/>
      <c r="D61" s="372" t="s">
        <v>21</v>
      </c>
      <c r="E61" s="253">
        <v>0</v>
      </c>
      <c r="F61" s="373">
        <f t="shared" si="6"/>
        <v>0</v>
      </c>
      <c r="G61" s="529"/>
      <c r="H61" s="375">
        <v>0</v>
      </c>
      <c r="I61" s="373">
        <f t="shared" si="7"/>
        <v>0</v>
      </c>
      <c r="J61" s="376"/>
      <c r="K61" s="530">
        <f t="shared" si="8"/>
        <v>0</v>
      </c>
      <c r="L61" s="378"/>
      <c r="M61" s="379"/>
      <c r="N61" s="380"/>
      <c r="O61" s="381"/>
      <c r="P61" s="382"/>
      <c r="Q61" s="383"/>
    </row>
    <row r="62" spans="1:17" x14ac:dyDescent="0.2">
      <c r="A62" s="370"/>
      <c r="B62" s="5"/>
      <c r="C62" s="371"/>
      <c r="D62" s="372" t="s">
        <v>21</v>
      </c>
      <c r="E62" s="253">
        <v>0</v>
      </c>
      <c r="F62" s="373">
        <f t="shared" si="6"/>
        <v>0</v>
      </c>
      <c r="G62" s="529"/>
      <c r="H62" s="375">
        <v>0</v>
      </c>
      <c r="I62" s="373">
        <f t="shared" si="7"/>
        <v>0</v>
      </c>
      <c r="J62" s="376"/>
      <c r="K62" s="530">
        <f t="shared" si="8"/>
        <v>0</v>
      </c>
      <c r="L62" s="378"/>
      <c r="M62" s="379"/>
      <c r="N62" s="380"/>
      <c r="O62" s="381"/>
      <c r="P62" s="382"/>
      <c r="Q62" s="383"/>
    </row>
    <row r="63" spans="1:17" x14ac:dyDescent="0.2">
      <c r="A63" s="370"/>
      <c r="B63" s="5"/>
      <c r="C63" s="371"/>
      <c r="D63" s="372" t="s">
        <v>21</v>
      </c>
      <c r="E63" s="253">
        <v>0</v>
      </c>
      <c r="F63" s="373">
        <f t="shared" si="6"/>
        <v>0</v>
      </c>
      <c r="G63" s="529"/>
      <c r="H63" s="375">
        <v>0</v>
      </c>
      <c r="I63" s="373">
        <f t="shared" si="7"/>
        <v>0</v>
      </c>
      <c r="J63" s="376"/>
      <c r="K63" s="530">
        <f t="shared" si="8"/>
        <v>0</v>
      </c>
      <c r="L63" s="378"/>
      <c r="M63" s="379"/>
      <c r="N63" s="380"/>
      <c r="O63" s="381"/>
      <c r="P63" s="382"/>
      <c r="Q63" s="383"/>
    </row>
    <row r="64" spans="1:17" ht="13.5" thickBot="1" x14ac:dyDescent="0.25">
      <c r="A64" s="387"/>
      <c r="B64" s="5"/>
      <c r="C64" s="388"/>
      <c r="D64" s="372"/>
      <c r="E64" s="253"/>
      <c r="F64" s="373"/>
      <c r="G64" s="529"/>
      <c r="H64" s="375"/>
      <c r="I64" s="373"/>
      <c r="J64" s="376"/>
      <c r="K64" s="535"/>
      <c r="L64" s="378" t="s">
        <v>1117</v>
      </c>
      <c r="M64" s="379">
        <f>103420/59</f>
        <v>1752.8813559322034</v>
      </c>
      <c r="N64" s="380"/>
      <c r="O64" s="381"/>
      <c r="P64" s="382"/>
      <c r="Q64" s="383"/>
    </row>
    <row r="65" spans="1:17" ht="13.5" thickTop="1" x14ac:dyDescent="0.2">
      <c r="A65" s="387"/>
      <c r="B65" s="412"/>
      <c r="C65" s="388"/>
      <c r="D65" s="372"/>
      <c r="E65" s="253"/>
      <c r="F65" s="373"/>
      <c r="G65" s="529"/>
      <c r="H65" s="375"/>
      <c r="I65" s="373"/>
      <c r="J65" s="389" t="s">
        <v>30</v>
      </c>
      <c r="K65" s="532">
        <f>SUM(K57:K64)</f>
        <v>73570</v>
      </c>
      <c r="L65" s="378"/>
      <c r="M65" s="379"/>
      <c r="N65" s="380"/>
      <c r="O65" s="381"/>
      <c r="P65" s="382"/>
      <c r="Q65" s="383"/>
    </row>
    <row r="66" spans="1:17" ht="13.5" thickBot="1" x14ac:dyDescent="0.25">
      <c r="A66" s="353" t="s">
        <v>0</v>
      </c>
      <c r="B66" s="354" t="s">
        <v>1</v>
      </c>
      <c r="C66" s="939" t="s">
        <v>656</v>
      </c>
      <c r="D66" s="939"/>
      <c r="E66" s="939"/>
      <c r="F66" s="939"/>
      <c r="G66" s="939" t="s">
        <v>34</v>
      </c>
      <c r="H66" s="939"/>
      <c r="I66" s="939"/>
      <c r="J66" s="355"/>
      <c r="K66" s="523"/>
      <c r="L66" s="391"/>
      <c r="M66" s="392"/>
      <c r="N66" s="393"/>
      <c r="O66" s="381"/>
      <c r="P66" s="382"/>
      <c r="Q66" s="383"/>
    </row>
    <row r="67" spans="1:17" ht="16.5" thickBot="1" x14ac:dyDescent="0.3">
      <c r="A67" s="579" t="s">
        <v>184</v>
      </c>
      <c r="B67" s="580" t="s">
        <v>190</v>
      </c>
      <c r="C67" s="397" t="s">
        <v>19</v>
      </c>
      <c r="D67" s="397" t="s">
        <v>33</v>
      </c>
      <c r="E67" s="398" t="s">
        <v>35</v>
      </c>
      <c r="F67" s="399" t="s">
        <v>30</v>
      </c>
      <c r="G67" s="533" t="s">
        <v>14</v>
      </c>
      <c r="H67" s="398" t="s">
        <v>35</v>
      </c>
      <c r="I67" s="399" t="s">
        <v>30</v>
      </c>
      <c r="J67" s="364" t="s">
        <v>659</v>
      </c>
      <c r="K67" s="534" t="s">
        <v>38</v>
      </c>
      <c r="L67" s="402"/>
      <c r="M67" s="403"/>
      <c r="N67" s="404"/>
      <c r="O67" s="381"/>
      <c r="P67" s="382"/>
      <c r="Q67" s="383"/>
    </row>
    <row r="68" spans="1:17" x14ac:dyDescent="0.2">
      <c r="A68" s="370"/>
      <c r="B68" s="5"/>
      <c r="C68" s="371"/>
      <c r="D68" s="372" t="s">
        <v>21</v>
      </c>
      <c r="E68" s="253">
        <v>0</v>
      </c>
      <c r="F68" s="373">
        <f>C68*E68</f>
        <v>0</v>
      </c>
      <c r="G68" s="529"/>
      <c r="H68" s="375">
        <v>0</v>
      </c>
      <c r="I68" s="373">
        <f>G68*H68</f>
        <v>0</v>
      </c>
      <c r="J68" s="376"/>
      <c r="K68" s="530">
        <f>F68+I68+J68</f>
        <v>0</v>
      </c>
      <c r="L68" s="378"/>
      <c r="M68" s="379"/>
      <c r="N68" s="380"/>
      <c r="O68" s="381"/>
      <c r="P68" s="382"/>
      <c r="Q68" s="383"/>
    </row>
    <row r="69" spans="1:17" x14ac:dyDescent="0.2">
      <c r="A69" s="370"/>
      <c r="B69" s="5"/>
      <c r="C69" s="371"/>
      <c r="D69" s="372" t="s">
        <v>21</v>
      </c>
      <c r="E69" s="253">
        <v>0</v>
      </c>
      <c r="F69" s="373">
        <f>C69*E69</f>
        <v>0</v>
      </c>
      <c r="G69" s="529"/>
      <c r="H69" s="375">
        <v>0</v>
      </c>
      <c r="I69" s="373">
        <f>G69*H69</f>
        <v>0</v>
      </c>
      <c r="J69" s="376"/>
      <c r="K69" s="530">
        <f>F69+I69+J69</f>
        <v>0</v>
      </c>
      <c r="L69" s="378"/>
      <c r="M69" s="379"/>
      <c r="N69" s="380"/>
      <c r="O69" s="381"/>
      <c r="P69" s="382"/>
      <c r="Q69" s="383"/>
    </row>
    <row r="70" spans="1:17" x14ac:dyDescent="0.2">
      <c r="A70" s="370"/>
      <c r="B70" s="5"/>
      <c r="C70" s="371"/>
      <c r="D70" s="372" t="s">
        <v>21</v>
      </c>
      <c r="E70" s="253">
        <v>0</v>
      </c>
      <c r="F70" s="373">
        <f>C70*E70</f>
        <v>0</v>
      </c>
      <c r="G70" s="529"/>
      <c r="H70" s="375">
        <v>0</v>
      </c>
      <c r="I70" s="373">
        <f>G70*H70</f>
        <v>0</v>
      </c>
      <c r="J70" s="376"/>
      <c r="K70" s="530">
        <f>F70+I70+J70</f>
        <v>0</v>
      </c>
      <c r="L70" s="378"/>
      <c r="M70" s="379"/>
      <c r="N70" s="380"/>
      <c r="O70" s="381"/>
      <c r="P70" s="382"/>
      <c r="Q70" s="383"/>
    </row>
    <row r="71" spans="1:17" x14ac:dyDescent="0.2">
      <c r="A71" s="370"/>
      <c r="B71" s="5"/>
      <c r="C71" s="371"/>
      <c r="D71" s="372" t="s">
        <v>21</v>
      </c>
      <c r="E71" s="253">
        <v>0</v>
      </c>
      <c r="F71" s="373">
        <f>C71*E71</f>
        <v>0</v>
      </c>
      <c r="G71" s="529"/>
      <c r="H71" s="375">
        <v>0</v>
      </c>
      <c r="I71" s="373">
        <f>G71*H71</f>
        <v>0</v>
      </c>
      <c r="J71" s="376"/>
      <c r="K71" s="530">
        <f>F71+I71+J71</f>
        <v>0</v>
      </c>
      <c r="L71" s="378"/>
      <c r="M71" s="379"/>
      <c r="N71" s="380"/>
      <c r="O71" s="381"/>
      <c r="P71" s="382"/>
      <c r="Q71" s="383"/>
    </row>
    <row r="72" spans="1:17" x14ac:dyDescent="0.2">
      <c r="A72" s="370"/>
      <c r="B72" s="5"/>
      <c r="C72" s="371"/>
      <c r="D72" s="372" t="s">
        <v>21</v>
      </c>
      <c r="E72" s="253">
        <v>0</v>
      </c>
      <c r="F72" s="373">
        <f>C72*E72</f>
        <v>0</v>
      </c>
      <c r="G72" s="529"/>
      <c r="H72" s="375">
        <v>0</v>
      </c>
      <c r="I72" s="373">
        <f>G72*H72</f>
        <v>0</v>
      </c>
      <c r="J72" s="376"/>
      <c r="K72" s="530">
        <f>F72+I72+J72</f>
        <v>0</v>
      </c>
      <c r="L72" s="378"/>
      <c r="M72" s="379"/>
      <c r="N72" s="380"/>
      <c r="O72" s="381"/>
      <c r="P72" s="382"/>
      <c r="Q72" s="383"/>
    </row>
    <row r="73" spans="1:17" ht="13.5" thickBot="1" x14ac:dyDescent="0.25">
      <c r="A73" s="387"/>
      <c r="B73" s="5"/>
      <c r="C73" s="388"/>
      <c r="D73" s="372"/>
      <c r="E73" s="253"/>
      <c r="F73" s="373"/>
      <c r="G73" s="529"/>
      <c r="H73" s="375"/>
      <c r="I73" s="373"/>
      <c r="J73" s="376"/>
      <c r="K73" s="535"/>
      <c r="L73" s="378"/>
      <c r="M73" s="379"/>
      <c r="N73" s="380"/>
      <c r="O73" s="381"/>
      <c r="P73" s="382"/>
      <c r="Q73" s="383"/>
    </row>
    <row r="74" spans="1:17" ht="14.25" thickTop="1" thickBot="1" x14ac:dyDescent="0.25">
      <c r="A74" s="387"/>
      <c r="B74" s="412"/>
      <c r="C74" s="388"/>
      <c r="D74" s="372"/>
      <c r="E74" s="253"/>
      <c r="F74" s="373"/>
      <c r="G74" s="529"/>
      <c r="H74" s="375"/>
      <c r="I74" s="373"/>
      <c r="J74" s="389" t="s">
        <v>30</v>
      </c>
      <c r="K74" s="532">
        <f>SUM(K68:K73)</f>
        <v>0</v>
      </c>
      <c r="L74" s="457"/>
      <c r="M74" s="458"/>
      <c r="N74" s="459"/>
      <c r="O74" s="460"/>
      <c r="P74" s="461"/>
      <c r="Q74" s="462"/>
    </row>
    <row r="75" spans="1:17" ht="14.1" customHeight="1" thickTop="1" x14ac:dyDescent="0.25">
      <c r="A75" s="478"/>
      <c r="B75" s="479"/>
      <c r="C75" s="480"/>
      <c r="D75" s="480"/>
      <c r="E75" s="481"/>
      <c r="F75" s="969" t="s">
        <v>658</v>
      </c>
      <c r="G75" s="992" t="s">
        <v>684</v>
      </c>
      <c r="H75" s="481"/>
      <c r="I75" s="962" t="s">
        <v>657</v>
      </c>
      <c r="J75" s="958" t="s">
        <v>685</v>
      </c>
      <c r="K75" s="956" t="s">
        <v>31</v>
      </c>
    </row>
    <row r="76" spans="1:17" ht="15" x14ac:dyDescent="0.2">
      <c r="A76" s="482" t="s">
        <v>32</v>
      </c>
      <c r="B76" s="964" t="s">
        <v>25</v>
      </c>
      <c r="C76" s="483"/>
      <c r="D76" s="484"/>
      <c r="E76" s="484"/>
      <c r="F76" s="970"/>
      <c r="G76" s="993"/>
      <c r="H76" s="485"/>
      <c r="I76" s="963"/>
      <c r="J76" s="959"/>
      <c r="K76" s="957"/>
    </row>
    <row r="77" spans="1:17" ht="15" x14ac:dyDescent="0.25">
      <c r="A77" s="825">
        <f>K77/E6</f>
        <v>3.2773813879741431</v>
      </c>
      <c r="B77" s="964"/>
      <c r="C77" s="484"/>
      <c r="D77" s="484"/>
      <c r="E77" s="484"/>
      <c r="F77" s="960">
        <f>SUM(F68:F73,F57:F64,F48:F53,F40:F44,F29:F36,F13:F25)</f>
        <v>800</v>
      </c>
      <c r="G77" s="1006">
        <f>SUM(G68:G73,G57:G64,G48:G53,G40:G44,G29:G36,G13:G24)</f>
        <v>0</v>
      </c>
      <c r="H77" s="485"/>
      <c r="I77" s="960">
        <f>SUM(I68:I73,I57:I64,I48:I53,I40:I44,I29:I36,I13:I25)</f>
        <v>0</v>
      </c>
      <c r="J77" s="952">
        <f>SUM(J68:J73,J57:J63,J48:J53,J40:J44,J29:J36,J13:J25)</f>
        <v>214170</v>
      </c>
      <c r="K77" s="954">
        <f>SUM(,K74,K65,K54,K45,K37,K26)</f>
        <v>214970</v>
      </c>
    </row>
    <row r="78" spans="1:17" ht="15" thickBot="1" x14ac:dyDescent="0.25">
      <c r="A78" s="482"/>
      <c r="B78" s="550"/>
      <c r="C78" s="488"/>
      <c r="D78" s="488"/>
      <c r="E78" s="488"/>
      <c r="F78" s="961"/>
      <c r="G78" s="1007"/>
      <c r="H78" s="488"/>
      <c r="I78" s="961"/>
      <c r="J78" s="953"/>
      <c r="K78" s="955"/>
    </row>
    <row r="79" spans="1:17" ht="13.5" thickBot="1" x14ac:dyDescent="0.25">
      <c r="A79" s="489"/>
      <c r="B79" s="490"/>
      <c r="C79" s="490"/>
      <c r="D79" s="490"/>
      <c r="E79" s="490"/>
      <c r="F79" s="490"/>
      <c r="G79" s="490"/>
      <c r="H79" s="490"/>
      <c r="I79" s="490"/>
      <c r="J79" s="490"/>
      <c r="K79" s="491"/>
    </row>
  </sheetData>
  <mergeCells count="57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H9:H10"/>
    <mergeCell ref="I9:I10"/>
    <mergeCell ref="C27:F27"/>
    <mergeCell ref="G27:I27"/>
    <mergeCell ref="C38:F38"/>
    <mergeCell ref="G38:I38"/>
    <mergeCell ref="C46:F46"/>
    <mergeCell ref="G46:I46"/>
    <mergeCell ref="B76:B77"/>
    <mergeCell ref="F77:F78"/>
    <mergeCell ref="G77:G78"/>
    <mergeCell ref="I77:I78"/>
    <mergeCell ref="C55:F55"/>
    <mergeCell ref="G55:I55"/>
    <mergeCell ref="C66:F66"/>
    <mergeCell ref="G66:I66"/>
    <mergeCell ref="J77:J78"/>
    <mergeCell ref="K77:K78"/>
    <mergeCell ref="F75:F76"/>
    <mergeCell ref="G75:G76"/>
    <mergeCell ref="I75:I76"/>
    <mergeCell ref="J75:J76"/>
    <mergeCell ref="K75:K76"/>
    <mergeCell ref="Q11:Q12"/>
    <mergeCell ref="L11:L12"/>
    <mergeCell ref="M11:M12"/>
    <mergeCell ref="N11:N12"/>
    <mergeCell ref="O11:O12"/>
    <mergeCell ref="P11:P12"/>
  </mergeCells>
  <phoneticPr fontId="5" type="noConversion"/>
  <printOptions horizontalCentered="1"/>
  <pageMargins left="0.7" right="0.7" top="0.75" bottom="0.75" header="0.5" footer="0.5"/>
  <pageSetup scale="62" fitToHeight="2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>
    <pageSetUpPr fitToPage="1"/>
  </sheetPr>
  <dimension ref="A1:W240"/>
  <sheetViews>
    <sheetView topLeftCell="A4" zoomScaleNormal="100" zoomScaleSheetLayoutView="90" zoomScalePageLayoutView="75" workbookViewId="0">
      <selection activeCell="B50" sqref="B50"/>
    </sheetView>
  </sheetViews>
  <sheetFormatPr defaultColWidth="9.140625" defaultRowHeight="12.75" x14ac:dyDescent="0.2"/>
  <cols>
    <col min="1" max="1" width="12.140625" style="157" bestFit="1" customWidth="1"/>
    <col min="2" max="2" width="44.5703125" style="320" customWidth="1"/>
    <col min="3" max="4" width="5" style="440" customWidth="1"/>
    <col min="5" max="5" width="12.42578125" style="157" bestFit="1" customWidth="1"/>
    <col min="6" max="6" width="14" style="157" bestFit="1" customWidth="1"/>
    <col min="7" max="7" width="7" style="157" bestFit="1" customWidth="1"/>
    <col min="8" max="8" width="10.85546875" style="157" bestFit="1" customWidth="1"/>
    <col min="9" max="9" width="14.85546875" style="157" bestFit="1" customWidth="1"/>
    <col min="10" max="10" width="16.140625" style="157" bestFit="1" customWidth="1"/>
    <col min="11" max="11" width="14.140625" style="157" customWidth="1"/>
    <col min="12" max="12" width="17.85546875" style="159" bestFit="1" customWidth="1"/>
    <col min="13" max="13" width="14" style="276" bestFit="1" customWidth="1"/>
    <col min="14" max="14" width="24.85546875" style="157" bestFit="1" customWidth="1"/>
    <col min="15" max="15" width="22" style="302" bestFit="1" customWidth="1"/>
    <col min="16" max="16" width="22.140625" style="302" bestFit="1" customWidth="1"/>
    <col min="17" max="17" width="18.140625" style="157" bestFit="1" customWidth="1"/>
    <col min="18" max="18" width="14" style="157" bestFit="1" customWidth="1"/>
    <col min="19" max="19" width="11.42578125" style="157" customWidth="1"/>
    <col min="20" max="20" width="12.5703125" style="157" customWidth="1"/>
    <col min="21" max="21" width="9.140625" style="157" customWidth="1"/>
    <col min="22" max="22" width="13.42578125" style="157" customWidth="1"/>
    <col min="23" max="23" width="12.42578125" style="157" customWidth="1"/>
    <col min="24" max="16384" width="9.140625" style="157"/>
  </cols>
  <sheetData>
    <row r="1" spans="1:19" ht="13.5" thickBot="1" x14ac:dyDescent="0.25">
      <c r="A1" s="586"/>
      <c r="B1" s="587"/>
      <c r="C1" s="1039">
        <f>'Estimate Summary'!C1:H1</f>
        <v>0</v>
      </c>
      <c r="D1" s="1039"/>
      <c r="E1" s="1039"/>
      <c r="F1" s="1039"/>
      <c r="G1" s="1039"/>
      <c r="H1" s="1039"/>
      <c r="I1" s="1039"/>
      <c r="J1" s="1039"/>
      <c r="K1" s="1040"/>
    </row>
    <row r="2" spans="1:19" ht="13.5" thickBot="1" x14ac:dyDescent="0.25">
      <c r="A2" s="324"/>
      <c r="B2" s="325"/>
      <c r="C2" s="514"/>
      <c r="D2" s="984"/>
      <c r="E2" s="984"/>
      <c r="F2" s="984"/>
      <c r="G2" s="514"/>
      <c r="H2" s="327"/>
      <c r="I2" s="328"/>
      <c r="J2" s="329"/>
      <c r="K2" s="330"/>
    </row>
    <row r="3" spans="1:19" ht="13.5" thickBot="1" x14ac:dyDescent="0.25">
      <c r="A3" s="973"/>
      <c r="B3" s="974"/>
      <c r="C3" s="514"/>
      <c r="D3" s="984"/>
      <c r="E3" s="984"/>
      <c r="F3" s="984"/>
      <c r="G3" s="588"/>
      <c r="H3" s="332"/>
      <c r="I3" s="589"/>
      <c r="J3" s="589"/>
      <c r="K3" s="590"/>
      <c r="L3" s="1037"/>
      <c r="M3" s="1038"/>
      <c r="N3" s="985"/>
      <c r="O3" s="985"/>
      <c r="P3" s="935"/>
    </row>
    <row r="4" spans="1:19" ht="13.5" thickBot="1" x14ac:dyDescent="0.25">
      <c r="A4" s="973"/>
      <c r="B4" s="974"/>
      <c r="C4" s="514"/>
      <c r="D4" s="984"/>
      <c r="E4" s="984"/>
      <c r="F4" s="984"/>
      <c r="G4" s="591"/>
      <c r="H4" s="591"/>
      <c r="I4" s="328"/>
      <c r="J4" s="329"/>
      <c r="K4" s="330"/>
      <c r="L4" s="1037"/>
      <c r="M4" s="1038"/>
      <c r="N4" s="985"/>
      <c r="O4" s="985"/>
      <c r="P4" s="935"/>
    </row>
    <row r="5" spans="1:19" ht="13.5" thickBot="1" x14ac:dyDescent="0.25">
      <c r="A5" s="592"/>
      <c r="B5" s="593"/>
      <c r="C5" s="514"/>
      <c r="D5" s="340"/>
      <c r="E5" s="341"/>
      <c r="F5" s="591"/>
      <c r="G5" s="1041" t="s">
        <v>7</v>
      </c>
      <c r="H5" s="1041"/>
      <c r="I5" s="1041"/>
      <c r="J5" s="1042" t="s">
        <v>73</v>
      </c>
      <c r="K5" s="1043"/>
      <c r="L5" s="1037"/>
      <c r="M5" s="1038"/>
      <c r="N5" s="985"/>
      <c r="O5" s="985"/>
      <c r="P5" s="935"/>
    </row>
    <row r="6" spans="1:19" ht="13.5" thickBot="1" x14ac:dyDescent="0.25">
      <c r="A6" s="592"/>
      <c r="B6" s="593"/>
      <c r="C6" s="517"/>
      <c r="D6" s="343" t="str">
        <f>'Estimate Summary'!C11</f>
        <v>Area:</v>
      </c>
      <c r="E6" s="344">
        <f>'Estimate Summary'!D11</f>
        <v>65592</v>
      </c>
      <c r="F6" s="238" t="str">
        <f>'Estimate Summary'!E11</f>
        <v>Sq. Ft.</v>
      </c>
      <c r="G6" s="1041"/>
      <c r="H6" s="1041"/>
      <c r="I6" s="1041"/>
      <c r="J6" s="345">
        <f>'1'!J6</f>
        <v>60</v>
      </c>
      <c r="K6" s="330" t="s">
        <v>74</v>
      </c>
      <c r="L6" s="1037"/>
      <c r="M6" s="1038"/>
      <c r="N6" s="985"/>
      <c r="O6" s="985"/>
      <c r="P6" s="935"/>
    </row>
    <row r="7" spans="1:19" x14ac:dyDescent="0.2">
      <c r="A7" s="978"/>
      <c r="B7" s="979"/>
      <c r="C7" s="979"/>
      <c r="D7" s="979"/>
      <c r="E7" s="979"/>
      <c r="F7" s="979"/>
      <c r="G7" s="979"/>
      <c r="H7" s="979"/>
      <c r="I7" s="979"/>
      <c r="J7" s="979"/>
      <c r="K7" s="980"/>
    </row>
    <row r="8" spans="1:19" ht="13.5" thickBot="1" x14ac:dyDescent="0.25">
      <c r="A8" s="346"/>
      <c r="B8" s="347"/>
      <c r="C8" s="972"/>
      <c r="D8" s="972"/>
      <c r="E8" s="972"/>
      <c r="F8" s="972"/>
      <c r="G8" s="971"/>
      <c r="H8" s="971"/>
      <c r="I8" s="971"/>
      <c r="J8" s="348"/>
      <c r="K8" s="349"/>
      <c r="L8" s="594"/>
      <c r="M8" s="595"/>
      <c r="N8" s="594"/>
      <c r="O8" s="596"/>
      <c r="P8" s="596"/>
    </row>
    <row r="9" spans="1:19" ht="14.25" thickTop="1" thickBot="1" x14ac:dyDescent="0.25">
      <c r="A9" s="353" t="s">
        <v>0</v>
      </c>
      <c r="B9" s="354" t="s">
        <v>1</v>
      </c>
      <c r="C9" s="939" t="s">
        <v>656</v>
      </c>
      <c r="D9" s="939"/>
      <c r="E9" s="939"/>
      <c r="F9" s="939"/>
      <c r="G9" s="939" t="s">
        <v>34</v>
      </c>
      <c r="H9" s="939"/>
      <c r="I9" s="939"/>
      <c r="J9" s="355"/>
      <c r="K9" s="523"/>
      <c r="L9" s="1010" t="s">
        <v>783</v>
      </c>
      <c r="M9" s="1012" t="s">
        <v>784</v>
      </c>
      <c r="N9" s="1014" t="s">
        <v>785</v>
      </c>
      <c r="O9" s="1016"/>
      <c r="P9" s="1018"/>
      <c r="Q9" s="1008"/>
      <c r="S9" s="581"/>
    </row>
    <row r="10" spans="1:19" ht="13.5" thickBot="1" x14ac:dyDescent="0.25">
      <c r="A10" s="597" t="s">
        <v>725</v>
      </c>
      <c r="B10" s="598" t="s">
        <v>906</v>
      </c>
      <c r="C10" s="397" t="s">
        <v>19</v>
      </c>
      <c r="D10" s="397" t="s">
        <v>33</v>
      </c>
      <c r="E10" s="398" t="s">
        <v>35</v>
      </c>
      <c r="F10" s="399" t="s">
        <v>30</v>
      </c>
      <c r="G10" s="533" t="s">
        <v>14</v>
      </c>
      <c r="H10" s="398" t="s">
        <v>35</v>
      </c>
      <c r="I10" s="399" t="s">
        <v>30</v>
      </c>
      <c r="J10" s="364" t="s">
        <v>659</v>
      </c>
      <c r="K10" s="534" t="s">
        <v>38</v>
      </c>
      <c r="L10" s="1011"/>
      <c r="M10" s="1013"/>
      <c r="N10" s="1015"/>
      <c r="O10" s="1017"/>
      <c r="P10" s="1019"/>
      <c r="Q10" s="1009"/>
    </row>
    <row r="11" spans="1:19" x14ac:dyDescent="0.2">
      <c r="A11" s="370"/>
      <c r="B11" s="5"/>
      <c r="C11" s="371"/>
      <c r="D11" s="372"/>
      <c r="E11" s="253"/>
      <c r="F11" s="373"/>
      <c r="G11" s="529"/>
      <c r="H11" s="375">
        <v>0</v>
      </c>
      <c r="I11" s="373">
        <f t="shared" ref="I11:I17" si="0">G11*H11</f>
        <v>0</v>
      </c>
      <c r="J11" s="376">
        <f>M13</f>
        <v>459330</v>
      </c>
      <c r="K11" s="530">
        <f t="shared" ref="K11:K17" si="1">F11+I11+J11</f>
        <v>459330</v>
      </c>
      <c r="L11" s="378" t="s">
        <v>1017</v>
      </c>
      <c r="M11" s="379">
        <v>445000</v>
      </c>
      <c r="N11" s="380" t="s">
        <v>1021</v>
      </c>
      <c r="O11" s="381"/>
      <c r="P11" s="382"/>
      <c r="Q11" s="383"/>
    </row>
    <row r="12" spans="1:19" x14ac:dyDescent="0.2">
      <c r="A12" s="370"/>
      <c r="B12" s="5" t="s">
        <v>1062</v>
      </c>
      <c r="C12" s="371">
        <v>6</v>
      </c>
      <c r="D12" s="372" t="s">
        <v>21</v>
      </c>
      <c r="E12" s="253">
        <v>500</v>
      </c>
      <c r="F12" s="373">
        <f>E12*C12</f>
        <v>3000</v>
      </c>
      <c r="G12" s="529"/>
      <c r="H12" s="375">
        <v>0</v>
      </c>
      <c r="I12" s="373">
        <f t="shared" si="0"/>
        <v>0</v>
      </c>
      <c r="J12" s="376"/>
      <c r="K12" s="530">
        <f t="shared" si="1"/>
        <v>3000</v>
      </c>
      <c r="L12" s="378" t="s">
        <v>1019</v>
      </c>
      <c r="M12" s="379">
        <v>545000</v>
      </c>
      <c r="N12" s="380" t="s">
        <v>1022</v>
      </c>
      <c r="O12" s="381"/>
      <c r="P12" s="382"/>
      <c r="Q12" s="383"/>
    </row>
    <row r="13" spans="1:19" x14ac:dyDescent="0.2">
      <c r="A13" s="370"/>
      <c r="B13" s="5"/>
      <c r="C13" s="371"/>
      <c r="D13" s="372"/>
      <c r="E13" s="253"/>
      <c r="F13" s="373"/>
      <c r="G13" s="529"/>
      <c r="H13" s="375">
        <v>0</v>
      </c>
      <c r="I13" s="373">
        <f t="shared" si="0"/>
        <v>0</v>
      </c>
      <c r="J13" s="376"/>
      <c r="K13" s="530">
        <f t="shared" si="1"/>
        <v>0</v>
      </c>
      <c r="L13" s="378" t="s">
        <v>1018</v>
      </c>
      <c r="M13" s="846">
        <f>459330</f>
        <v>459330</v>
      </c>
      <c r="N13" s="380" t="s">
        <v>1234</v>
      </c>
      <c r="O13" s="381"/>
      <c r="P13" s="382"/>
      <c r="Q13" s="383"/>
    </row>
    <row r="14" spans="1:19" x14ac:dyDescent="0.2">
      <c r="A14" s="370"/>
      <c r="B14" s="5" t="s">
        <v>1013</v>
      </c>
      <c r="C14" s="371">
        <v>15</v>
      </c>
      <c r="D14" s="372" t="s">
        <v>1014</v>
      </c>
      <c r="E14" s="253">
        <v>7000</v>
      </c>
      <c r="F14" s="373">
        <f>E14*C14</f>
        <v>105000</v>
      </c>
      <c r="G14" s="529"/>
      <c r="H14" s="375">
        <v>0</v>
      </c>
      <c r="I14" s="373">
        <f t="shared" si="0"/>
        <v>0</v>
      </c>
      <c r="J14" s="376"/>
      <c r="K14" s="530">
        <f t="shared" si="1"/>
        <v>105000</v>
      </c>
      <c r="L14" s="378" t="s">
        <v>1020</v>
      </c>
      <c r="M14" s="846">
        <v>569550</v>
      </c>
      <c r="N14" s="380" t="s">
        <v>1171</v>
      </c>
      <c r="O14" s="381"/>
      <c r="P14" s="382"/>
      <c r="Q14" s="383"/>
    </row>
    <row r="15" spans="1:19" x14ac:dyDescent="0.2">
      <c r="A15" s="370"/>
      <c r="B15" s="5" t="s">
        <v>1015</v>
      </c>
      <c r="C15" s="371">
        <v>2</v>
      </c>
      <c r="D15" s="372" t="s">
        <v>21</v>
      </c>
      <c r="E15" s="253">
        <v>2000</v>
      </c>
      <c r="F15" s="373">
        <f>E15*C15</f>
        <v>4000</v>
      </c>
      <c r="G15" s="529"/>
      <c r="H15" s="375">
        <v>0</v>
      </c>
      <c r="I15" s="373">
        <f t="shared" si="0"/>
        <v>0</v>
      </c>
      <c r="J15" s="376"/>
      <c r="K15" s="530">
        <f t="shared" si="1"/>
        <v>4000</v>
      </c>
      <c r="L15" s="378" t="s">
        <v>1061</v>
      </c>
      <c r="M15" s="864">
        <f>350000+45000</f>
        <v>395000</v>
      </c>
      <c r="N15" s="380" t="s">
        <v>1189</v>
      </c>
      <c r="O15" s="381"/>
      <c r="P15" s="382"/>
      <c r="Q15" s="383"/>
    </row>
    <row r="16" spans="1:19" x14ac:dyDescent="0.2">
      <c r="A16" s="370"/>
      <c r="B16" s="5"/>
      <c r="C16" s="371"/>
      <c r="D16" s="372"/>
      <c r="E16" s="253"/>
      <c r="F16" s="373"/>
      <c r="G16" s="529"/>
      <c r="H16" s="375">
        <v>0</v>
      </c>
      <c r="I16" s="373">
        <f t="shared" si="0"/>
        <v>0</v>
      </c>
      <c r="J16" s="376"/>
      <c r="K16" s="530">
        <f t="shared" si="1"/>
        <v>0</v>
      </c>
      <c r="L16" s="378" t="s">
        <v>1024</v>
      </c>
      <c r="M16" s="864">
        <v>389956.2</v>
      </c>
      <c r="N16" s="380" t="s">
        <v>1171</v>
      </c>
      <c r="O16" s="381"/>
      <c r="P16" s="382"/>
      <c r="Q16" s="383"/>
    </row>
    <row r="17" spans="1:22" x14ac:dyDescent="0.2">
      <c r="A17" s="370"/>
      <c r="B17" s="5"/>
      <c r="C17" s="371"/>
      <c r="D17" s="372"/>
      <c r="E17" s="253"/>
      <c r="F17" s="373"/>
      <c r="G17" s="529"/>
      <c r="H17" s="375">
        <v>0</v>
      </c>
      <c r="I17" s="373">
        <f t="shared" si="0"/>
        <v>0</v>
      </c>
      <c r="J17" s="376"/>
      <c r="K17" s="530">
        <f t="shared" si="1"/>
        <v>0</v>
      </c>
      <c r="L17" s="378" t="s">
        <v>1099</v>
      </c>
      <c r="M17" s="846">
        <f>469227.2+8400</f>
        <v>477627.2</v>
      </c>
      <c r="N17" s="380" t="s">
        <v>1234</v>
      </c>
      <c r="O17" s="381"/>
      <c r="P17" s="382"/>
      <c r="Q17" s="383"/>
    </row>
    <row r="18" spans="1:22" ht="13.5" thickBot="1" x14ac:dyDescent="0.25">
      <c r="A18" s="370"/>
      <c r="B18" s="5"/>
      <c r="C18" s="388"/>
      <c r="D18" s="372"/>
      <c r="E18" s="253"/>
      <c r="F18" s="373"/>
      <c r="G18" s="529"/>
      <c r="H18" s="375"/>
      <c r="I18" s="373"/>
      <c r="J18" s="376"/>
      <c r="K18" s="535"/>
      <c r="L18" s="378"/>
      <c r="M18" s="379"/>
      <c r="N18" s="380"/>
      <c r="O18" s="381"/>
      <c r="P18" s="382"/>
      <c r="Q18" s="383"/>
    </row>
    <row r="19" spans="1:22" ht="14.25" thickTop="1" thickBot="1" x14ac:dyDescent="0.25">
      <c r="A19" s="387"/>
      <c r="B19" s="5"/>
      <c r="C19" s="388"/>
      <c r="D19" s="372"/>
      <c r="E19" s="253"/>
      <c r="F19" s="373"/>
      <c r="G19" s="529"/>
      <c r="H19" s="375"/>
      <c r="I19" s="373"/>
      <c r="J19" s="389" t="s">
        <v>30</v>
      </c>
      <c r="K19" s="532">
        <f>SUM(K11:K18)</f>
        <v>571330</v>
      </c>
      <c r="L19" s="391"/>
      <c r="M19" s="392"/>
      <c r="N19" s="393"/>
      <c r="O19" s="381"/>
      <c r="P19" s="382"/>
      <c r="Q19" s="383"/>
    </row>
    <row r="20" spans="1:22" ht="13.5" thickBot="1" x14ac:dyDescent="0.25">
      <c r="A20" s="597" t="s">
        <v>193</v>
      </c>
      <c r="B20" s="598" t="s">
        <v>905</v>
      </c>
      <c r="C20" s="360" t="s">
        <v>19</v>
      </c>
      <c r="D20" s="360" t="s">
        <v>33</v>
      </c>
      <c r="E20" s="361" t="s">
        <v>35</v>
      </c>
      <c r="F20" s="362" t="s">
        <v>30</v>
      </c>
      <c r="G20" s="526"/>
      <c r="H20" s="361"/>
      <c r="I20" s="362"/>
      <c r="J20" s="364" t="s">
        <v>659</v>
      </c>
      <c r="K20" s="527" t="s">
        <v>38</v>
      </c>
      <c r="L20" s="402"/>
      <c r="M20" s="403"/>
      <c r="N20" s="404"/>
      <c r="O20" s="381"/>
      <c r="P20" s="382"/>
      <c r="Q20" s="383"/>
      <c r="V20" s="255"/>
    </row>
    <row r="21" spans="1:22" x14ac:dyDescent="0.2">
      <c r="A21" s="370"/>
      <c r="B21" s="5"/>
      <c r="C21" s="371"/>
      <c r="D21" s="372"/>
      <c r="E21" s="253"/>
      <c r="F21" s="373"/>
      <c r="G21" s="529"/>
      <c r="H21" s="375"/>
      <c r="I21" s="373"/>
      <c r="J21" s="376"/>
      <c r="K21" s="530"/>
      <c r="L21" s="378"/>
      <c r="M21" s="379"/>
      <c r="N21" s="380"/>
      <c r="O21" s="381"/>
      <c r="P21" s="382"/>
      <c r="Q21" s="383"/>
    </row>
    <row r="22" spans="1:22" x14ac:dyDescent="0.2">
      <c r="A22" s="370"/>
      <c r="B22" s="5" t="s">
        <v>1028</v>
      </c>
      <c r="C22" s="371">
        <v>59</v>
      </c>
      <c r="D22" s="372" t="s">
        <v>33</v>
      </c>
      <c r="E22" s="253">
        <v>3250</v>
      </c>
      <c r="F22" s="373">
        <f t="shared" ref="F22:F31" si="2">C22*E22</f>
        <v>191750</v>
      </c>
      <c r="G22" s="529"/>
      <c r="H22" s="375"/>
      <c r="I22" s="373"/>
      <c r="J22" s="376"/>
      <c r="K22" s="530">
        <f t="shared" ref="K22:K33" si="3">F22+I22+J22</f>
        <v>191750</v>
      </c>
      <c r="L22" s="378" t="s">
        <v>1025</v>
      </c>
      <c r="M22" s="379">
        <f>175845.44/63</f>
        <v>2791.1974603174604</v>
      </c>
      <c r="N22" s="380" t="s">
        <v>1055</v>
      </c>
      <c r="O22" s="381"/>
      <c r="P22" s="382"/>
      <c r="Q22" s="383"/>
    </row>
    <row r="23" spans="1:22" x14ac:dyDescent="0.2">
      <c r="A23" s="370"/>
      <c r="B23" s="5" t="s">
        <v>908</v>
      </c>
      <c r="C23" s="371"/>
      <c r="D23" s="372" t="s">
        <v>752</v>
      </c>
      <c r="E23" s="253">
        <v>0.81</v>
      </c>
      <c r="F23" s="373">
        <f t="shared" si="2"/>
        <v>0</v>
      </c>
      <c r="G23" s="529"/>
      <c r="H23" s="375"/>
      <c r="I23" s="373"/>
      <c r="J23" s="376"/>
      <c r="K23" s="530">
        <f t="shared" si="3"/>
        <v>0</v>
      </c>
      <c r="L23" s="378"/>
      <c r="M23" s="379"/>
      <c r="N23" s="380"/>
      <c r="O23" s="381"/>
      <c r="P23" s="382"/>
      <c r="Q23" s="383"/>
    </row>
    <row r="24" spans="1:22" x14ac:dyDescent="0.2">
      <c r="A24" s="370"/>
      <c r="B24" s="5" t="s">
        <v>907</v>
      </c>
      <c r="C24" s="371"/>
      <c r="D24" s="372" t="s">
        <v>752</v>
      </c>
      <c r="E24" s="253">
        <v>1.24</v>
      </c>
      <c r="F24" s="373">
        <f t="shared" si="2"/>
        <v>0</v>
      </c>
      <c r="G24" s="529"/>
      <c r="H24" s="375"/>
      <c r="I24" s="373"/>
      <c r="J24" s="376"/>
      <c r="K24" s="530">
        <f t="shared" si="3"/>
        <v>0</v>
      </c>
      <c r="L24" s="378"/>
      <c r="M24" s="379"/>
      <c r="N24" s="380"/>
      <c r="O24" s="381"/>
      <c r="P24" s="382"/>
      <c r="Q24" s="383"/>
      <c r="V24" s="255"/>
    </row>
    <row r="25" spans="1:22" x14ac:dyDescent="0.2">
      <c r="A25" s="370"/>
      <c r="B25" s="5" t="s">
        <v>909</v>
      </c>
      <c r="C25" s="371"/>
      <c r="D25" s="372" t="s">
        <v>752</v>
      </c>
      <c r="E25" s="253">
        <v>1.61</v>
      </c>
      <c r="F25" s="373">
        <f t="shared" si="2"/>
        <v>0</v>
      </c>
      <c r="G25" s="529"/>
      <c r="H25" s="375"/>
      <c r="I25" s="373"/>
      <c r="J25" s="376"/>
      <c r="K25" s="530">
        <f t="shared" si="3"/>
        <v>0</v>
      </c>
      <c r="L25" s="157"/>
      <c r="M25" s="469"/>
      <c r="O25" s="381"/>
      <c r="P25" s="382"/>
      <c r="Q25" s="383"/>
      <c r="V25" s="255"/>
    </row>
    <row r="26" spans="1:22" x14ac:dyDescent="0.2">
      <c r="A26" s="599"/>
      <c r="B26" s="5" t="s">
        <v>910</v>
      </c>
      <c r="C26" s="371"/>
      <c r="D26" s="372" t="s">
        <v>752</v>
      </c>
      <c r="E26" s="253">
        <v>0.25</v>
      </c>
      <c r="F26" s="373">
        <f t="shared" si="2"/>
        <v>0</v>
      </c>
      <c r="G26" s="529"/>
      <c r="H26" s="375"/>
      <c r="I26" s="373"/>
      <c r="J26" s="376"/>
      <c r="K26" s="530">
        <f t="shared" si="3"/>
        <v>0</v>
      </c>
      <c r="L26" s="157"/>
      <c r="M26" s="469"/>
      <c r="O26" s="381"/>
      <c r="P26" s="382"/>
      <c r="Q26" s="383"/>
      <c r="V26" s="255"/>
    </row>
    <row r="27" spans="1:22" x14ac:dyDescent="0.2">
      <c r="A27" s="599"/>
      <c r="B27" s="5" t="s">
        <v>911</v>
      </c>
      <c r="C27" s="371"/>
      <c r="D27" s="372" t="s">
        <v>752</v>
      </c>
      <c r="E27" s="253">
        <v>0.37</v>
      </c>
      <c r="F27" s="373">
        <f t="shared" si="2"/>
        <v>0</v>
      </c>
      <c r="G27" s="529"/>
      <c r="H27" s="375"/>
      <c r="I27" s="373"/>
      <c r="J27" s="376"/>
      <c r="K27" s="530">
        <f t="shared" si="3"/>
        <v>0</v>
      </c>
      <c r="L27" s="378"/>
      <c r="M27" s="379" t="s">
        <v>1107</v>
      </c>
      <c r="N27" s="380"/>
      <c r="O27" s="381"/>
      <c r="P27" s="382"/>
      <c r="Q27" s="383"/>
      <c r="V27" s="255"/>
    </row>
    <row r="28" spans="1:22" x14ac:dyDescent="0.2">
      <c r="A28" s="599"/>
      <c r="B28" s="6" t="s">
        <v>912</v>
      </c>
      <c r="C28" s="371"/>
      <c r="D28" s="372"/>
      <c r="E28" s="253"/>
      <c r="F28" s="373"/>
      <c r="G28" s="529"/>
      <c r="H28" s="375"/>
      <c r="I28" s="373"/>
      <c r="J28" s="376"/>
      <c r="K28" s="530">
        <f t="shared" si="3"/>
        <v>0</v>
      </c>
      <c r="L28" s="378" t="s">
        <v>1112</v>
      </c>
      <c r="M28" s="379">
        <f>1362134/63</f>
        <v>21621.174603174604</v>
      </c>
      <c r="N28" s="380"/>
      <c r="O28" s="381"/>
      <c r="P28" s="382"/>
      <c r="Q28" s="383"/>
      <c r="V28" s="255"/>
    </row>
    <row r="29" spans="1:22" x14ac:dyDescent="0.2">
      <c r="A29" s="599"/>
      <c r="B29" s="5" t="s">
        <v>913</v>
      </c>
      <c r="C29" s="371"/>
      <c r="D29" s="372" t="s">
        <v>914</v>
      </c>
      <c r="E29" s="253">
        <v>30.65</v>
      </c>
      <c r="F29" s="373">
        <f t="shared" si="2"/>
        <v>0</v>
      </c>
      <c r="G29" s="529"/>
      <c r="H29" s="375"/>
      <c r="I29" s="373"/>
      <c r="J29" s="376"/>
      <c r="K29" s="530">
        <f t="shared" si="3"/>
        <v>0</v>
      </c>
      <c r="L29" s="378" t="s">
        <v>1113</v>
      </c>
      <c r="M29" s="379">
        <f>1361600/59</f>
        <v>23077.966101694914</v>
      </c>
      <c r="N29" s="380"/>
      <c r="O29" s="381"/>
      <c r="P29" s="382"/>
      <c r="Q29" s="383"/>
      <c r="V29" s="255"/>
    </row>
    <row r="30" spans="1:22" x14ac:dyDescent="0.2">
      <c r="A30" s="599"/>
      <c r="B30" s="5" t="s">
        <v>915</v>
      </c>
      <c r="C30" s="371"/>
      <c r="D30" s="372" t="s">
        <v>914</v>
      </c>
      <c r="E30" s="253">
        <v>43.69</v>
      </c>
      <c r="F30" s="373">
        <f t="shared" si="2"/>
        <v>0</v>
      </c>
      <c r="G30" s="529"/>
      <c r="H30" s="375"/>
      <c r="I30" s="373"/>
      <c r="J30" s="376"/>
      <c r="K30" s="530">
        <f t="shared" si="3"/>
        <v>0</v>
      </c>
      <c r="L30" s="378"/>
      <c r="M30" s="379"/>
      <c r="N30" s="380"/>
      <c r="O30" s="381"/>
      <c r="P30" s="382"/>
      <c r="Q30" s="383"/>
      <c r="V30" s="255"/>
    </row>
    <row r="31" spans="1:22" x14ac:dyDescent="0.2">
      <c r="A31" s="599"/>
      <c r="B31" s="5" t="s">
        <v>916</v>
      </c>
      <c r="C31" s="371"/>
      <c r="D31" s="372" t="s">
        <v>914</v>
      </c>
      <c r="E31" s="253">
        <v>47.47</v>
      </c>
      <c r="F31" s="373">
        <f t="shared" si="2"/>
        <v>0</v>
      </c>
      <c r="G31" s="529"/>
      <c r="H31" s="375"/>
      <c r="I31" s="373"/>
      <c r="J31" s="376"/>
      <c r="K31" s="530">
        <f t="shared" si="3"/>
        <v>0</v>
      </c>
      <c r="L31" s="378"/>
      <c r="M31" s="379" t="s">
        <v>793</v>
      </c>
      <c r="N31" s="380" t="s">
        <v>1120</v>
      </c>
      <c r="O31" s="381" t="s">
        <v>1121</v>
      </c>
      <c r="P31" s="382" t="s">
        <v>1122</v>
      </c>
      <c r="Q31" s="383" t="s">
        <v>38</v>
      </c>
      <c r="S31" s="157" t="s">
        <v>1235</v>
      </c>
      <c r="V31" s="255"/>
    </row>
    <row r="32" spans="1:22" x14ac:dyDescent="0.2">
      <c r="A32" s="599"/>
      <c r="B32" s="5"/>
      <c r="C32" s="371"/>
      <c r="D32" s="372"/>
      <c r="E32" s="253"/>
      <c r="F32" s="373"/>
      <c r="G32" s="529"/>
      <c r="H32" s="375"/>
      <c r="I32" s="373"/>
      <c r="J32" s="376"/>
      <c r="K32" s="530"/>
      <c r="L32" s="862" t="s">
        <v>1060</v>
      </c>
      <c r="M32" s="379">
        <v>466300</v>
      </c>
      <c r="N32" s="840">
        <f>263000+218650+43200</f>
        <v>524850</v>
      </c>
      <c r="O32" s="381">
        <v>104900</v>
      </c>
      <c r="P32" s="382">
        <v>32400</v>
      </c>
      <c r="Q32" s="841">
        <f>SUM(M32:P32)</f>
        <v>1128450</v>
      </c>
      <c r="R32" s="157" t="s">
        <v>1155</v>
      </c>
      <c r="S32" s="157">
        <v>19500</v>
      </c>
      <c r="V32" s="255"/>
    </row>
    <row r="33" spans="1:23" x14ac:dyDescent="0.2">
      <c r="A33" s="599"/>
      <c r="B33" s="5" t="s">
        <v>1114</v>
      </c>
      <c r="C33" s="371">
        <v>59</v>
      </c>
      <c r="D33" s="372" t="s">
        <v>914</v>
      </c>
      <c r="E33" s="253">
        <v>23077.97</v>
      </c>
      <c r="F33" s="373"/>
      <c r="G33" s="529"/>
      <c r="H33" s="375"/>
      <c r="I33" s="373"/>
      <c r="J33" s="376">
        <f>R33</f>
        <v>1070073.6599999999</v>
      </c>
      <c r="K33" s="530">
        <f t="shared" si="3"/>
        <v>1070073.6599999999</v>
      </c>
      <c r="L33" s="868" t="s">
        <v>1140</v>
      </c>
      <c r="M33" s="379">
        <v>1003550</v>
      </c>
      <c r="N33" s="380" t="s">
        <v>1141</v>
      </c>
      <c r="O33" s="381" t="s">
        <v>1142</v>
      </c>
      <c r="P33" s="382" t="s">
        <v>1141</v>
      </c>
      <c r="Q33" s="841">
        <v>930650</v>
      </c>
      <c r="R33" s="836">
        <f>Q33+O35</f>
        <v>1070073.6599999999</v>
      </c>
      <c r="V33" s="320"/>
      <c r="W33" s="320"/>
    </row>
    <row r="34" spans="1:23" x14ac:dyDescent="0.2">
      <c r="A34" s="599"/>
      <c r="B34" s="5"/>
      <c r="C34" s="371"/>
      <c r="D34" s="372"/>
      <c r="E34" s="253"/>
      <c r="F34" s="373"/>
      <c r="G34" s="529"/>
      <c r="H34" s="375"/>
      <c r="I34" s="373"/>
      <c r="J34" s="376"/>
      <c r="K34" s="530"/>
      <c r="L34" s="378" t="s">
        <v>1063</v>
      </c>
      <c r="M34" s="379"/>
      <c r="N34" s="380"/>
      <c r="O34" s="381"/>
      <c r="P34" s="382"/>
      <c r="Q34" s="383"/>
      <c r="V34" s="320"/>
      <c r="W34" s="320"/>
    </row>
    <row r="35" spans="1:23" ht="13.5" thickBot="1" x14ac:dyDescent="0.25">
      <c r="A35" s="387"/>
      <c r="B35" s="7"/>
      <c r="C35" s="388"/>
      <c r="D35" s="372"/>
      <c r="E35" s="253"/>
      <c r="F35" s="373"/>
      <c r="G35" s="529"/>
      <c r="H35" s="375"/>
      <c r="I35" s="373"/>
      <c r="J35" s="376"/>
      <c r="K35" s="530"/>
      <c r="L35" s="868" t="s">
        <v>1153</v>
      </c>
      <c r="M35" s="379" t="s">
        <v>1142</v>
      </c>
      <c r="N35" s="840">
        <v>266240.78000000003</v>
      </c>
      <c r="O35" s="381">
        <v>139423.66</v>
      </c>
      <c r="P35" s="382" t="s">
        <v>1142</v>
      </c>
      <c r="Q35" s="838" t="s">
        <v>1154</v>
      </c>
    </row>
    <row r="36" spans="1:23" ht="13.5" thickTop="1" x14ac:dyDescent="0.2">
      <c r="A36" s="387"/>
      <c r="B36" s="7"/>
      <c r="C36" s="388"/>
      <c r="D36" s="372"/>
      <c r="E36" s="253"/>
      <c r="F36" s="373"/>
      <c r="G36" s="529"/>
      <c r="H36" s="375"/>
      <c r="I36" s="373"/>
      <c r="J36" s="389" t="s">
        <v>30</v>
      </c>
      <c r="K36" s="532">
        <f>SUM(K21:K35)</f>
        <v>1261823.6599999999</v>
      </c>
      <c r="L36" s="378"/>
      <c r="M36" s="379"/>
      <c r="N36" s="380"/>
      <c r="O36" s="381"/>
      <c r="P36" s="382"/>
      <c r="Q36" s="383"/>
    </row>
    <row r="37" spans="1:23" ht="13.5" thickBot="1" x14ac:dyDescent="0.25">
      <c r="A37" s="353" t="s">
        <v>0</v>
      </c>
      <c r="B37" s="354" t="s">
        <v>1</v>
      </c>
      <c r="C37" s="939" t="s">
        <v>656</v>
      </c>
      <c r="D37" s="939"/>
      <c r="E37" s="939"/>
      <c r="F37" s="939"/>
      <c r="G37" s="939" t="s">
        <v>34</v>
      </c>
      <c r="H37" s="939"/>
      <c r="I37" s="939"/>
      <c r="J37" s="355"/>
      <c r="K37" s="523"/>
      <c r="L37" s="391"/>
      <c r="M37" s="392"/>
      <c r="N37" s="393"/>
      <c r="O37" s="381"/>
      <c r="P37" s="382"/>
      <c r="Q37" s="383"/>
      <c r="S37" s="581"/>
    </row>
    <row r="38" spans="1:23" ht="13.5" thickBot="1" x14ac:dyDescent="0.25">
      <c r="A38" s="597" t="s">
        <v>194</v>
      </c>
      <c r="B38" s="598" t="s">
        <v>48</v>
      </c>
      <c r="C38" s="397" t="s">
        <v>19</v>
      </c>
      <c r="D38" s="397" t="s">
        <v>33</v>
      </c>
      <c r="E38" s="398" t="s">
        <v>35</v>
      </c>
      <c r="F38" s="399" t="s">
        <v>30</v>
      </c>
      <c r="G38" s="533" t="s">
        <v>14</v>
      </c>
      <c r="H38" s="398" t="s">
        <v>35</v>
      </c>
      <c r="I38" s="399" t="s">
        <v>30</v>
      </c>
      <c r="J38" s="364" t="s">
        <v>659</v>
      </c>
      <c r="K38" s="534" t="s">
        <v>38</v>
      </c>
      <c r="L38" s="402"/>
      <c r="M38" s="408"/>
      <c r="N38" s="409"/>
      <c r="O38" s="381"/>
      <c r="P38" s="382"/>
      <c r="Q38" s="383"/>
    </row>
    <row r="39" spans="1:23" x14ac:dyDescent="0.2">
      <c r="A39" s="370"/>
      <c r="B39" s="5"/>
      <c r="C39" s="371"/>
      <c r="D39" s="372" t="s">
        <v>21</v>
      </c>
      <c r="E39" s="253">
        <v>0</v>
      </c>
      <c r="F39" s="373">
        <f t="shared" ref="F39:F45" si="4">C39*E39</f>
        <v>0</v>
      </c>
      <c r="G39" s="529"/>
      <c r="H39" s="375">
        <v>0</v>
      </c>
      <c r="I39" s="373">
        <f t="shared" ref="I39:I45" si="5">G39*H39</f>
        <v>0</v>
      </c>
      <c r="J39" s="376"/>
      <c r="K39" s="530">
        <f t="shared" ref="K39:K45" si="6">F39+I39+J39</f>
        <v>0</v>
      </c>
      <c r="L39" s="157" t="s">
        <v>1064</v>
      </c>
      <c r="M39" s="469"/>
      <c r="O39" s="410"/>
      <c r="P39" s="411"/>
      <c r="Q39" s="383"/>
    </row>
    <row r="40" spans="1:23" x14ac:dyDescent="0.2">
      <c r="A40" s="370"/>
      <c r="B40" s="5"/>
      <c r="C40" s="371">
        <v>59</v>
      </c>
      <c r="D40" s="372" t="s">
        <v>33</v>
      </c>
      <c r="E40" s="253">
        <v>6000</v>
      </c>
      <c r="F40" s="373"/>
      <c r="G40" s="529"/>
      <c r="H40" s="375">
        <v>0</v>
      </c>
      <c r="I40" s="373">
        <f t="shared" si="5"/>
        <v>0</v>
      </c>
      <c r="J40" s="376">
        <f>M40</f>
        <v>425900</v>
      </c>
      <c r="K40" s="530">
        <f t="shared" si="6"/>
        <v>425900</v>
      </c>
      <c r="L40" s="862" t="s">
        <v>1065</v>
      </c>
      <c r="M40" s="255">
        <v>425900</v>
      </c>
      <c r="N40" s="421" t="s">
        <v>1170</v>
      </c>
      <c r="O40" s="410"/>
      <c r="P40" s="411"/>
      <c r="Q40" s="383"/>
    </row>
    <row r="41" spans="1:23" x14ac:dyDescent="0.2">
      <c r="A41" s="370"/>
      <c r="B41" s="5"/>
      <c r="C41" s="371"/>
      <c r="D41" s="372" t="s">
        <v>21</v>
      </c>
      <c r="E41" s="253">
        <v>0</v>
      </c>
      <c r="F41" s="373">
        <f t="shared" si="4"/>
        <v>0</v>
      </c>
      <c r="G41" s="529"/>
      <c r="H41" s="375">
        <v>0</v>
      </c>
      <c r="I41" s="373">
        <f t="shared" si="5"/>
        <v>0</v>
      </c>
      <c r="J41" s="376"/>
      <c r="K41" s="530">
        <f t="shared" si="6"/>
        <v>0</v>
      </c>
      <c r="L41" s="378" t="s">
        <v>1067</v>
      </c>
      <c r="M41" s="255">
        <v>633000</v>
      </c>
      <c r="N41" s="421"/>
      <c r="O41" s="410"/>
      <c r="P41" s="411"/>
      <c r="Q41" s="383"/>
    </row>
    <row r="42" spans="1:23" x14ac:dyDescent="0.2">
      <c r="A42" s="370"/>
      <c r="B42" s="5"/>
      <c r="C42" s="371"/>
      <c r="D42" s="372" t="s">
        <v>21</v>
      </c>
      <c r="E42" s="253">
        <v>0</v>
      </c>
      <c r="F42" s="373">
        <f t="shared" si="4"/>
        <v>0</v>
      </c>
      <c r="G42" s="529"/>
      <c r="H42" s="375">
        <v>0</v>
      </c>
      <c r="I42" s="373">
        <f t="shared" si="5"/>
        <v>0</v>
      </c>
      <c r="J42" s="376"/>
      <c r="K42" s="530">
        <f t="shared" si="6"/>
        <v>0</v>
      </c>
      <c r="L42" s="378" t="s">
        <v>1068</v>
      </c>
      <c r="M42" s="255"/>
      <c r="N42" s="421"/>
      <c r="O42" s="410"/>
      <c r="P42" s="411"/>
      <c r="Q42" s="383"/>
    </row>
    <row r="43" spans="1:23" x14ac:dyDescent="0.2">
      <c r="A43" s="370"/>
      <c r="B43" s="5"/>
      <c r="C43" s="371"/>
      <c r="D43" s="372" t="s">
        <v>21</v>
      </c>
      <c r="E43" s="253">
        <v>0</v>
      </c>
      <c r="F43" s="373">
        <f t="shared" si="4"/>
        <v>0</v>
      </c>
      <c r="G43" s="529"/>
      <c r="H43" s="375">
        <v>0</v>
      </c>
      <c r="I43" s="373">
        <f t="shared" si="5"/>
        <v>0</v>
      </c>
      <c r="J43" s="376"/>
      <c r="K43" s="530">
        <f t="shared" si="6"/>
        <v>0</v>
      </c>
      <c r="L43" s="378" t="s">
        <v>1069</v>
      </c>
      <c r="M43" s="255">
        <v>446883.98</v>
      </c>
      <c r="N43" s="421" t="s">
        <v>1186</v>
      </c>
      <c r="O43" s="410"/>
      <c r="P43" s="411"/>
      <c r="Q43" s="383"/>
    </row>
    <row r="44" spans="1:23" x14ac:dyDescent="0.2">
      <c r="A44" s="370"/>
      <c r="B44" s="5"/>
      <c r="C44" s="371"/>
      <c r="D44" s="372" t="s">
        <v>21</v>
      </c>
      <c r="E44" s="253">
        <v>0</v>
      </c>
      <c r="F44" s="373">
        <f t="shared" si="4"/>
        <v>0</v>
      </c>
      <c r="G44" s="529"/>
      <c r="H44" s="375">
        <v>0</v>
      </c>
      <c r="I44" s="373">
        <f t="shared" si="5"/>
        <v>0</v>
      </c>
      <c r="J44" s="376"/>
      <c r="K44" s="530">
        <f t="shared" si="6"/>
        <v>0</v>
      </c>
      <c r="L44" s="378" t="s">
        <v>1151</v>
      </c>
      <c r="M44" s="255">
        <v>604750</v>
      </c>
      <c r="N44" s="421" t="s">
        <v>1152</v>
      </c>
      <c r="O44" s="410"/>
      <c r="P44" s="411"/>
      <c r="Q44" s="383"/>
    </row>
    <row r="45" spans="1:23" x14ac:dyDescent="0.2">
      <c r="A45" s="370"/>
      <c r="B45" s="5"/>
      <c r="C45" s="371"/>
      <c r="D45" s="372" t="s">
        <v>21</v>
      </c>
      <c r="E45" s="253">
        <v>0</v>
      </c>
      <c r="F45" s="373">
        <f t="shared" si="4"/>
        <v>0</v>
      </c>
      <c r="G45" s="529"/>
      <c r="H45" s="375">
        <v>0</v>
      </c>
      <c r="I45" s="373">
        <f t="shared" si="5"/>
        <v>0</v>
      </c>
      <c r="J45" s="376"/>
      <c r="K45" s="530">
        <f t="shared" si="6"/>
        <v>0</v>
      </c>
      <c r="L45" s="378" t="s">
        <v>1220</v>
      </c>
      <c r="M45" s="255">
        <f>194016.19+96052+83585.89+30680</f>
        <v>404334.08000000002</v>
      </c>
      <c r="N45" s="380"/>
      <c r="O45" s="381"/>
      <c r="P45" s="382"/>
      <c r="Q45" s="383"/>
    </row>
    <row r="46" spans="1:23" ht="13.5" thickBot="1" x14ac:dyDescent="0.25">
      <c r="A46" s="370"/>
      <c r="B46" s="5"/>
      <c r="C46" s="388"/>
      <c r="D46" s="372"/>
      <c r="E46" s="253"/>
      <c r="F46" s="373"/>
      <c r="G46" s="529"/>
      <c r="H46" s="375"/>
      <c r="I46" s="373"/>
      <c r="J46" s="376"/>
      <c r="K46" s="535"/>
      <c r="L46" s="157"/>
      <c r="M46" s="469"/>
      <c r="O46" s="381"/>
      <c r="P46" s="382"/>
      <c r="Q46" s="383"/>
    </row>
    <row r="47" spans="1:23" ht="14.25" thickTop="1" thickBot="1" x14ac:dyDescent="0.25">
      <c r="A47" s="387"/>
      <c r="B47" s="5"/>
      <c r="C47" s="388"/>
      <c r="D47" s="372"/>
      <c r="E47" s="253"/>
      <c r="F47" s="373"/>
      <c r="G47" s="529"/>
      <c r="H47" s="375"/>
      <c r="I47" s="373"/>
      <c r="J47" s="389" t="s">
        <v>30</v>
      </c>
      <c r="K47" s="532">
        <f>SUM(K39:K46)</f>
        <v>425900</v>
      </c>
      <c r="L47" s="391"/>
      <c r="M47" s="355"/>
      <c r="N47" s="393"/>
      <c r="O47" s="381"/>
      <c r="P47" s="411"/>
      <c r="Q47" s="383"/>
    </row>
    <row r="48" spans="1:23" ht="13.5" thickBot="1" x14ac:dyDescent="0.25">
      <c r="A48" s="353" t="s">
        <v>0</v>
      </c>
      <c r="B48" s="354" t="s">
        <v>1</v>
      </c>
      <c r="C48" s="939" t="s">
        <v>656</v>
      </c>
      <c r="D48" s="939"/>
      <c r="E48" s="939"/>
      <c r="F48" s="939"/>
      <c r="G48" s="939" t="s">
        <v>34</v>
      </c>
      <c r="H48" s="939"/>
      <c r="I48" s="939"/>
      <c r="J48" s="355"/>
      <c r="K48" s="523"/>
      <c r="L48" s="402"/>
      <c r="M48" s="408"/>
      <c r="N48" s="404"/>
      <c r="O48" s="381"/>
      <c r="P48" s="382"/>
      <c r="Q48" s="383"/>
    </row>
    <row r="49" spans="1:17" ht="13.5" thickBot="1" x14ac:dyDescent="0.25">
      <c r="A49" s="597" t="s">
        <v>195</v>
      </c>
      <c r="B49" s="598" t="s">
        <v>196</v>
      </c>
      <c r="C49" s="397" t="s">
        <v>19</v>
      </c>
      <c r="D49" s="397" t="s">
        <v>33</v>
      </c>
      <c r="E49" s="398" t="s">
        <v>35</v>
      </c>
      <c r="F49" s="399" t="s">
        <v>30</v>
      </c>
      <c r="G49" s="533" t="s">
        <v>14</v>
      </c>
      <c r="H49" s="398" t="s">
        <v>35</v>
      </c>
      <c r="I49" s="399" t="s">
        <v>30</v>
      </c>
      <c r="J49" s="364" t="s">
        <v>659</v>
      </c>
      <c r="K49" s="534" t="s">
        <v>38</v>
      </c>
      <c r="L49" s="378"/>
      <c r="M49" s="255"/>
      <c r="N49" s="380"/>
      <c r="O49" s="381"/>
      <c r="P49" s="382"/>
      <c r="Q49" s="383"/>
    </row>
    <row r="50" spans="1:17" x14ac:dyDescent="0.2">
      <c r="A50" s="370"/>
      <c r="B50" s="5" t="s">
        <v>1116</v>
      </c>
      <c r="C50" s="371">
        <v>59</v>
      </c>
      <c r="D50" s="372" t="s">
        <v>33</v>
      </c>
      <c r="E50" s="253">
        <f>M50</f>
        <v>0</v>
      </c>
      <c r="F50" s="373">
        <f>C50*E50</f>
        <v>0</v>
      </c>
      <c r="G50" s="529"/>
      <c r="H50" s="375">
        <v>0</v>
      </c>
      <c r="I50" s="373">
        <f>G50*H50</f>
        <v>0</v>
      </c>
      <c r="J50" s="376"/>
      <c r="K50" s="530">
        <f>F50+I50+J50</f>
        <v>0</v>
      </c>
      <c r="L50" s="378"/>
      <c r="M50" s="255"/>
      <c r="N50" s="380"/>
      <c r="O50" s="381"/>
      <c r="P50" s="382"/>
      <c r="Q50" s="383"/>
    </row>
    <row r="51" spans="1:17" x14ac:dyDescent="0.2">
      <c r="A51" s="370"/>
      <c r="B51" s="5"/>
      <c r="C51" s="371"/>
      <c r="D51" s="372" t="s">
        <v>21</v>
      </c>
      <c r="E51" s="253">
        <v>0</v>
      </c>
      <c r="F51" s="373">
        <f>C51*E51</f>
        <v>0</v>
      </c>
      <c r="G51" s="529"/>
      <c r="H51" s="375">
        <v>0</v>
      </c>
      <c r="I51" s="373">
        <f>G51*H51</f>
        <v>0</v>
      </c>
      <c r="J51" s="376"/>
      <c r="K51" s="530">
        <f>F51+I51+J51</f>
        <v>0</v>
      </c>
      <c r="L51" s="378"/>
      <c r="M51" s="255"/>
      <c r="N51" s="380"/>
      <c r="O51" s="381"/>
      <c r="P51" s="382"/>
      <c r="Q51" s="383"/>
    </row>
    <row r="52" spans="1:17" x14ac:dyDescent="0.2">
      <c r="A52" s="370"/>
      <c r="B52" s="5"/>
      <c r="C52" s="371"/>
      <c r="D52" s="372" t="s">
        <v>21</v>
      </c>
      <c r="E52" s="253">
        <v>0</v>
      </c>
      <c r="F52" s="373">
        <f>C52*E52</f>
        <v>0</v>
      </c>
      <c r="G52" s="529"/>
      <c r="H52" s="375">
        <v>0</v>
      </c>
      <c r="I52" s="373">
        <f>G52*H52</f>
        <v>0</v>
      </c>
      <c r="J52" s="376"/>
      <c r="K52" s="530">
        <f>F52+I52+J52</f>
        <v>0</v>
      </c>
      <c r="L52" s="378"/>
      <c r="M52" s="255"/>
      <c r="N52" s="380"/>
      <c r="O52" s="381"/>
      <c r="P52" s="382"/>
      <c r="Q52" s="383"/>
    </row>
    <row r="53" spans="1:17" x14ac:dyDescent="0.2">
      <c r="A53" s="387"/>
      <c r="B53" s="412"/>
      <c r="C53" s="388"/>
      <c r="D53" s="372"/>
      <c r="E53" s="253"/>
      <c r="F53" s="373"/>
      <c r="G53" s="529"/>
      <c r="H53" s="375"/>
      <c r="I53" s="373"/>
      <c r="J53" s="376"/>
      <c r="K53" s="535"/>
      <c r="L53" s="378"/>
      <c r="M53" s="255"/>
      <c r="N53" s="380"/>
      <c r="O53" s="381"/>
      <c r="P53" s="382"/>
      <c r="Q53" s="383"/>
    </row>
    <row r="54" spans="1:17" ht="13.5" thickBot="1" x14ac:dyDescent="0.25">
      <c r="A54" s="387"/>
      <c r="B54" s="412"/>
      <c r="C54" s="388"/>
      <c r="D54" s="372"/>
      <c r="E54" s="253"/>
      <c r="F54" s="373"/>
      <c r="G54" s="529"/>
      <c r="H54" s="375"/>
      <c r="I54" s="373"/>
      <c r="J54" s="376"/>
      <c r="K54" s="535"/>
      <c r="L54" s="378"/>
      <c r="M54" s="255"/>
      <c r="N54" s="380"/>
      <c r="O54" s="436"/>
      <c r="P54" s="437"/>
      <c r="Q54" s="383"/>
    </row>
    <row r="55" spans="1:17" ht="13.5" thickTop="1" x14ac:dyDescent="0.2">
      <c r="A55" s="387"/>
      <c r="B55" s="412"/>
      <c r="C55" s="388"/>
      <c r="D55" s="372"/>
      <c r="E55" s="253"/>
      <c r="F55" s="373"/>
      <c r="G55" s="529"/>
      <c r="H55" s="375"/>
      <c r="I55" s="373"/>
      <c r="J55" s="389" t="s">
        <v>30</v>
      </c>
      <c r="K55" s="532">
        <f>SUM(K50:K54)</f>
        <v>0</v>
      </c>
      <c r="L55" s="378"/>
      <c r="M55" s="255"/>
      <c r="N55" s="421"/>
      <c r="O55" s="436"/>
      <c r="P55" s="437"/>
      <c r="Q55" s="383"/>
    </row>
    <row r="56" spans="1:17" ht="13.5" thickBot="1" x14ac:dyDescent="0.25">
      <c r="A56" s="353" t="s">
        <v>0</v>
      </c>
      <c r="B56" s="354" t="s">
        <v>1</v>
      </c>
      <c r="C56" s="939" t="s">
        <v>656</v>
      </c>
      <c r="D56" s="939"/>
      <c r="E56" s="939"/>
      <c r="F56" s="939"/>
      <c r="G56" s="939" t="s">
        <v>34</v>
      </c>
      <c r="H56" s="939"/>
      <c r="I56" s="939"/>
      <c r="J56" s="355"/>
      <c r="K56" s="523"/>
      <c r="L56" s="391"/>
      <c r="M56" s="355"/>
      <c r="N56" s="438"/>
      <c r="O56" s="410"/>
      <c r="P56" s="411"/>
      <c r="Q56" s="383"/>
    </row>
    <row r="57" spans="1:17" ht="13.5" thickBot="1" x14ac:dyDescent="0.25">
      <c r="A57" s="597" t="s">
        <v>198</v>
      </c>
      <c r="B57" s="598" t="s">
        <v>197</v>
      </c>
      <c r="C57" s="397" t="s">
        <v>19</v>
      </c>
      <c r="D57" s="397" t="s">
        <v>33</v>
      </c>
      <c r="E57" s="398" t="s">
        <v>35</v>
      </c>
      <c r="F57" s="399" t="s">
        <v>30</v>
      </c>
      <c r="G57" s="533" t="s">
        <v>14</v>
      </c>
      <c r="H57" s="398" t="s">
        <v>35</v>
      </c>
      <c r="I57" s="399" t="s">
        <v>30</v>
      </c>
      <c r="J57" s="364" t="s">
        <v>659</v>
      </c>
      <c r="K57" s="534" t="s">
        <v>38</v>
      </c>
      <c r="L57" s="402"/>
      <c r="M57" s="408"/>
      <c r="N57" s="409"/>
      <c r="O57" s="381"/>
      <c r="P57" s="382"/>
      <c r="Q57" s="383"/>
    </row>
    <row r="58" spans="1:17" x14ac:dyDescent="0.2">
      <c r="A58" s="370"/>
      <c r="B58" s="5"/>
      <c r="C58" s="371"/>
      <c r="D58" s="372" t="s">
        <v>21</v>
      </c>
      <c r="E58" s="253">
        <v>0</v>
      </c>
      <c r="F58" s="373">
        <f>C58*E58</f>
        <v>0</v>
      </c>
      <c r="G58" s="529"/>
      <c r="H58" s="375">
        <v>0</v>
      </c>
      <c r="I58" s="373">
        <f>G58*H58</f>
        <v>0</v>
      </c>
      <c r="J58" s="376"/>
      <c r="K58" s="530">
        <f>F58+I58+J58</f>
        <v>0</v>
      </c>
      <c r="L58" s="378"/>
      <c r="M58" s="379"/>
      <c r="N58" s="380"/>
      <c r="O58" s="381"/>
      <c r="P58" s="382"/>
      <c r="Q58" s="383"/>
    </row>
    <row r="59" spans="1:17" x14ac:dyDescent="0.2">
      <c r="A59" s="370"/>
      <c r="B59" s="5"/>
      <c r="C59" s="371"/>
      <c r="D59" s="372" t="s">
        <v>21</v>
      </c>
      <c r="E59" s="253">
        <v>0</v>
      </c>
      <c r="F59" s="373">
        <f>C59*E59</f>
        <v>0</v>
      </c>
      <c r="G59" s="529"/>
      <c r="H59" s="375">
        <v>0</v>
      </c>
      <c r="I59" s="373">
        <f>G59*H59</f>
        <v>0</v>
      </c>
      <c r="J59" s="376"/>
      <c r="K59" s="530">
        <f>F59+I59+J59</f>
        <v>0</v>
      </c>
      <c r="L59" s="378"/>
      <c r="M59" s="379"/>
      <c r="N59" s="380"/>
      <c r="O59" s="381"/>
      <c r="P59" s="382"/>
      <c r="Q59" s="383"/>
    </row>
    <row r="60" spans="1:17" x14ac:dyDescent="0.2">
      <c r="A60" s="370"/>
      <c r="B60" s="5"/>
      <c r="C60" s="371"/>
      <c r="D60" s="372" t="s">
        <v>21</v>
      </c>
      <c r="E60" s="253">
        <v>0</v>
      </c>
      <c r="F60" s="373">
        <f>C60*E60</f>
        <v>0</v>
      </c>
      <c r="G60" s="529"/>
      <c r="H60" s="375">
        <v>0</v>
      </c>
      <c r="I60" s="373">
        <f>G60*H60</f>
        <v>0</v>
      </c>
      <c r="J60" s="376"/>
      <c r="K60" s="530">
        <f>F60+I60+J60</f>
        <v>0</v>
      </c>
      <c r="L60" s="378"/>
      <c r="M60" s="379"/>
      <c r="N60" s="380"/>
      <c r="O60" s="381"/>
      <c r="P60" s="382"/>
      <c r="Q60" s="383"/>
    </row>
    <row r="61" spans="1:17" x14ac:dyDescent="0.2">
      <c r="A61" s="370"/>
      <c r="B61" s="5"/>
      <c r="C61" s="371"/>
      <c r="D61" s="372" t="s">
        <v>21</v>
      </c>
      <c r="E61" s="253">
        <v>0</v>
      </c>
      <c r="F61" s="373">
        <f>C61*E61</f>
        <v>0</v>
      </c>
      <c r="G61" s="529"/>
      <c r="H61" s="375">
        <v>0</v>
      </c>
      <c r="I61" s="373">
        <f>G61*H61</f>
        <v>0</v>
      </c>
      <c r="J61" s="376"/>
      <c r="K61" s="530">
        <f>F61+I61+J61</f>
        <v>0</v>
      </c>
      <c r="L61" s="378"/>
      <c r="M61" s="379"/>
      <c r="N61" s="380"/>
      <c r="O61" s="381"/>
      <c r="P61" s="382"/>
      <c r="Q61" s="383"/>
    </row>
    <row r="62" spans="1:17" x14ac:dyDescent="0.2">
      <c r="A62" s="370"/>
      <c r="B62" s="5"/>
      <c r="C62" s="371"/>
      <c r="D62" s="372" t="s">
        <v>21</v>
      </c>
      <c r="E62" s="253">
        <v>0</v>
      </c>
      <c r="F62" s="373">
        <f>C62*E62</f>
        <v>0</v>
      </c>
      <c r="G62" s="529"/>
      <c r="H62" s="375">
        <v>0</v>
      </c>
      <c r="I62" s="373">
        <f>G62*H62</f>
        <v>0</v>
      </c>
      <c r="J62" s="376"/>
      <c r="K62" s="530">
        <f>F62+I62+J62</f>
        <v>0</v>
      </c>
      <c r="L62" s="378"/>
      <c r="M62" s="379"/>
      <c r="N62" s="380"/>
      <c r="O62" s="381"/>
      <c r="P62" s="382"/>
      <c r="Q62" s="383"/>
    </row>
    <row r="63" spans="1:17" ht="13.5" thickBot="1" x14ac:dyDescent="0.25">
      <c r="A63" s="387"/>
      <c r="B63" s="412"/>
      <c r="C63" s="388"/>
      <c r="D63" s="372"/>
      <c r="E63" s="253"/>
      <c r="F63" s="373"/>
      <c r="G63" s="529"/>
      <c r="H63" s="375"/>
      <c r="I63" s="373"/>
      <c r="J63" s="376"/>
      <c r="K63" s="535"/>
      <c r="L63" s="378"/>
      <c r="M63" s="379"/>
      <c r="N63" s="380"/>
      <c r="O63" s="381"/>
      <c r="P63" s="382"/>
      <c r="Q63" s="383"/>
    </row>
    <row r="64" spans="1:17" ht="13.5" thickTop="1" x14ac:dyDescent="0.2">
      <c r="A64" s="387"/>
      <c r="B64" s="412"/>
      <c r="C64" s="388"/>
      <c r="D64" s="372"/>
      <c r="E64" s="253"/>
      <c r="F64" s="373"/>
      <c r="G64" s="529"/>
      <c r="H64" s="375"/>
      <c r="I64" s="373"/>
      <c r="J64" s="389" t="s">
        <v>30</v>
      </c>
      <c r="K64" s="532">
        <f>SUM(K58:K63)</f>
        <v>0</v>
      </c>
      <c r="L64" s="378"/>
      <c r="M64" s="379"/>
      <c r="N64" s="380"/>
      <c r="O64" s="381"/>
      <c r="P64" s="382"/>
      <c r="Q64" s="383"/>
    </row>
    <row r="65" spans="1:22" ht="13.5" thickBot="1" x14ac:dyDescent="0.25">
      <c r="A65" s="353" t="s">
        <v>0</v>
      </c>
      <c r="B65" s="354" t="s">
        <v>1</v>
      </c>
      <c r="C65" s="939" t="s">
        <v>656</v>
      </c>
      <c r="D65" s="939"/>
      <c r="E65" s="939"/>
      <c r="F65" s="939"/>
      <c r="G65" s="939" t="s">
        <v>34</v>
      </c>
      <c r="H65" s="939"/>
      <c r="I65" s="939"/>
      <c r="J65" s="355"/>
      <c r="K65" s="523"/>
      <c r="L65" s="391"/>
      <c r="M65" s="392"/>
      <c r="N65" s="393"/>
      <c r="O65" s="381"/>
      <c r="P65" s="382"/>
      <c r="Q65" s="383"/>
    </row>
    <row r="66" spans="1:22" ht="13.5" thickBot="1" x14ac:dyDescent="0.25">
      <c r="A66" s="597" t="s">
        <v>199</v>
      </c>
      <c r="B66" s="598" t="s">
        <v>200</v>
      </c>
      <c r="C66" s="397" t="s">
        <v>19</v>
      </c>
      <c r="D66" s="397" t="s">
        <v>33</v>
      </c>
      <c r="E66" s="398" t="s">
        <v>35</v>
      </c>
      <c r="F66" s="399" t="s">
        <v>30</v>
      </c>
      <c r="G66" s="533" t="s">
        <v>14</v>
      </c>
      <c r="H66" s="398" t="s">
        <v>35</v>
      </c>
      <c r="I66" s="399" t="s">
        <v>30</v>
      </c>
      <c r="J66" s="364" t="s">
        <v>659</v>
      </c>
      <c r="K66" s="534" t="s">
        <v>38</v>
      </c>
      <c r="L66" s="402"/>
      <c r="M66" s="403"/>
      <c r="N66" s="404"/>
      <c r="O66" s="381"/>
      <c r="P66" s="382"/>
      <c r="Q66" s="383"/>
    </row>
    <row r="67" spans="1:22" x14ac:dyDescent="0.2">
      <c r="A67" s="370"/>
      <c r="B67" s="5"/>
      <c r="C67" s="371"/>
      <c r="D67" s="372" t="s">
        <v>21</v>
      </c>
      <c r="E67" s="253">
        <v>0</v>
      </c>
      <c r="F67" s="373">
        <f t="shared" ref="F67:F73" si="7">C67*E67</f>
        <v>0</v>
      </c>
      <c r="G67" s="529"/>
      <c r="H67" s="375">
        <v>0</v>
      </c>
      <c r="I67" s="373">
        <f t="shared" ref="I67:I73" si="8">G67*H67</f>
        <v>0</v>
      </c>
      <c r="J67" s="376"/>
      <c r="K67" s="530">
        <f t="shared" ref="K67:K73" si="9">F67+I67+J67</f>
        <v>0</v>
      </c>
      <c r="O67" s="381"/>
      <c r="P67" s="382"/>
      <c r="Q67" s="383"/>
    </row>
    <row r="68" spans="1:22" x14ac:dyDescent="0.2">
      <c r="A68" s="370"/>
      <c r="B68" s="5"/>
      <c r="C68" s="371"/>
      <c r="D68" s="372" t="s">
        <v>21</v>
      </c>
      <c r="E68" s="253">
        <v>0</v>
      </c>
      <c r="F68" s="373">
        <f t="shared" si="7"/>
        <v>0</v>
      </c>
      <c r="G68" s="529"/>
      <c r="H68" s="375">
        <v>0</v>
      </c>
      <c r="I68" s="373">
        <f t="shared" si="8"/>
        <v>0</v>
      </c>
      <c r="J68" s="376"/>
      <c r="K68" s="530">
        <f t="shared" si="9"/>
        <v>0</v>
      </c>
      <c r="L68" s="378"/>
      <c r="M68" s="379"/>
      <c r="N68" s="380"/>
      <c r="O68" s="381"/>
      <c r="P68" s="382"/>
      <c r="Q68" s="383"/>
    </row>
    <row r="69" spans="1:22" x14ac:dyDescent="0.2">
      <c r="A69" s="370"/>
      <c r="B69" s="5"/>
      <c r="C69" s="371"/>
      <c r="D69" s="372" t="s">
        <v>21</v>
      </c>
      <c r="E69" s="253">
        <v>0</v>
      </c>
      <c r="F69" s="373">
        <f t="shared" si="7"/>
        <v>0</v>
      </c>
      <c r="G69" s="529"/>
      <c r="H69" s="375">
        <v>0</v>
      </c>
      <c r="I69" s="373">
        <f t="shared" si="8"/>
        <v>0</v>
      </c>
      <c r="J69" s="376"/>
      <c r="K69" s="530">
        <f t="shared" si="9"/>
        <v>0</v>
      </c>
      <c r="L69" s="378"/>
      <c r="M69" s="379"/>
      <c r="N69" s="380"/>
      <c r="O69" s="381"/>
      <c r="P69" s="382"/>
      <c r="Q69" s="383"/>
    </row>
    <row r="70" spans="1:22" x14ac:dyDescent="0.2">
      <c r="A70" s="370"/>
      <c r="B70" s="5"/>
      <c r="C70" s="371"/>
      <c r="D70" s="372" t="s">
        <v>21</v>
      </c>
      <c r="E70" s="253">
        <v>0</v>
      </c>
      <c r="F70" s="373">
        <f t="shared" si="7"/>
        <v>0</v>
      </c>
      <c r="G70" s="529"/>
      <c r="H70" s="375">
        <v>0</v>
      </c>
      <c r="I70" s="373">
        <f t="shared" si="8"/>
        <v>0</v>
      </c>
      <c r="J70" s="376"/>
      <c r="K70" s="530">
        <f t="shared" si="9"/>
        <v>0</v>
      </c>
      <c r="L70" s="378"/>
      <c r="M70" s="379"/>
      <c r="N70" s="380"/>
      <c r="O70" s="381"/>
      <c r="P70" s="382"/>
      <c r="Q70" s="383"/>
    </row>
    <row r="71" spans="1:22" x14ac:dyDescent="0.2">
      <c r="A71" s="370"/>
      <c r="B71" s="5"/>
      <c r="C71" s="371"/>
      <c r="D71" s="372" t="s">
        <v>21</v>
      </c>
      <c r="E71" s="253">
        <v>0</v>
      </c>
      <c r="F71" s="373">
        <f t="shared" si="7"/>
        <v>0</v>
      </c>
      <c r="G71" s="529"/>
      <c r="H71" s="375">
        <v>0</v>
      </c>
      <c r="I71" s="373">
        <f t="shared" si="8"/>
        <v>0</v>
      </c>
      <c r="J71" s="376"/>
      <c r="K71" s="530">
        <f t="shared" si="9"/>
        <v>0</v>
      </c>
      <c r="L71" s="378"/>
      <c r="M71" s="379"/>
      <c r="N71" s="380"/>
      <c r="O71" s="381"/>
      <c r="P71" s="382"/>
      <c r="Q71" s="383"/>
    </row>
    <row r="72" spans="1:22" x14ac:dyDescent="0.2">
      <c r="A72" s="370"/>
      <c r="B72" s="5"/>
      <c r="C72" s="371"/>
      <c r="D72" s="372" t="s">
        <v>21</v>
      </c>
      <c r="E72" s="253">
        <v>0</v>
      </c>
      <c r="F72" s="373">
        <f t="shared" si="7"/>
        <v>0</v>
      </c>
      <c r="G72" s="529"/>
      <c r="H72" s="375">
        <v>0</v>
      </c>
      <c r="I72" s="373">
        <f t="shared" si="8"/>
        <v>0</v>
      </c>
      <c r="J72" s="376"/>
      <c r="K72" s="530">
        <f t="shared" si="9"/>
        <v>0</v>
      </c>
      <c r="L72" s="378"/>
      <c r="M72" s="379"/>
      <c r="N72" s="380"/>
      <c r="O72" s="381"/>
      <c r="P72" s="382"/>
      <c r="Q72" s="383"/>
    </row>
    <row r="73" spans="1:22" x14ac:dyDescent="0.2">
      <c r="A73" s="370"/>
      <c r="B73" s="5"/>
      <c r="C73" s="371"/>
      <c r="D73" s="372" t="s">
        <v>21</v>
      </c>
      <c r="E73" s="253">
        <v>0</v>
      </c>
      <c r="F73" s="373">
        <f t="shared" si="7"/>
        <v>0</v>
      </c>
      <c r="G73" s="529"/>
      <c r="H73" s="375">
        <v>0</v>
      </c>
      <c r="I73" s="373">
        <f t="shared" si="8"/>
        <v>0</v>
      </c>
      <c r="J73" s="376"/>
      <c r="K73" s="530">
        <f t="shared" si="9"/>
        <v>0</v>
      </c>
      <c r="L73" s="378"/>
      <c r="M73" s="379"/>
      <c r="N73" s="380"/>
      <c r="O73" s="381"/>
      <c r="P73" s="382"/>
      <c r="Q73" s="383"/>
    </row>
    <row r="74" spans="1:22" ht="13.5" thickBot="1" x14ac:dyDescent="0.25">
      <c r="A74" s="387"/>
      <c r="B74" s="5"/>
      <c r="C74" s="388"/>
      <c r="D74" s="372"/>
      <c r="E74" s="253"/>
      <c r="F74" s="373"/>
      <c r="G74" s="529"/>
      <c r="H74" s="375"/>
      <c r="I74" s="373"/>
      <c r="J74" s="376"/>
      <c r="K74" s="535"/>
      <c r="L74" s="378"/>
      <c r="M74" s="379"/>
      <c r="N74" s="380"/>
      <c r="O74" s="381"/>
      <c r="P74" s="382" t="s">
        <v>1263</v>
      </c>
      <c r="Q74" s="383" t="s">
        <v>1264</v>
      </c>
      <c r="R74" s="157" t="s">
        <v>1265</v>
      </c>
      <c r="S74" s="157" t="s">
        <v>1268</v>
      </c>
      <c r="T74" s="157" t="s">
        <v>1269</v>
      </c>
      <c r="U74" s="157" t="s">
        <v>1270</v>
      </c>
    </row>
    <row r="75" spans="1:22" ht="13.5" thickTop="1" x14ac:dyDescent="0.2">
      <c r="A75" s="387"/>
      <c r="B75" s="412"/>
      <c r="C75" s="388"/>
      <c r="D75" s="372"/>
      <c r="E75" s="253"/>
      <c r="F75" s="373"/>
      <c r="G75" s="529"/>
      <c r="H75" s="375"/>
      <c r="I75" s="373"/>
      <c r="J75" s="389" t="s">
        <v>30</v>
      </c>
      <c r="K75" s="532">
        <f>SUM(K67:K74)</f>
        <v>0</v>
      </c>
      <c r="O75" s="381" t="s">
        <v>1253</v>
      </c>
      <c r="P75" s="157">
        <v>244</v>
      </c>
      <c r="Q75" s="383">
        <v>1</v>
      </c>
      <c r="R75" s="157">
        <f>Q75*P75</f>
        <v>244</v>
      </c>
      <c r="S75" s="157">
        <f>20*5*2</f>
        <v>200</v>
      </c>
      <c r="T75" s="157">
        <f>S75*Q75</f>
        <v>200</v>
      </c>
      <c r="U75" s="157">
        <f>S75/40</f>
        <v>5</v>
      </c>
      <c r="V75" s="157">
        <f>U75*Q75</f>
        <v>5</v>
      </c>
    </row>
    <row r="76" spans="1:22" ht="13.5" thickBot="1" x14ac:dyDescent="0.25">
      <c r="A76" s="353" t="s">
        <v>0</v>
      </c>
      <c r="B76" s="354" t="s">
        <v>1</v>
      </c>
      <c r="C76" s="939" t="s">
        <v>656</v>
      </c>
      <c r="D76" s="939"/>
      <c r="E76" s="939"/>
      <c r="F76" s="939"/>
      <c r="G76" s="939" t="s">
        <v>34</v>
      </c>
      <c r="H76" s="939"/>
      <c r="I76" s="939"/>
      <c r="J76" s="355"/>
      <c r="K76" s="523"/>
      <c r="L76" s="391"/>
      <c r="M76" s="392"/>
      <c r="N76" s="393"/>
      <c r="O76" s="381" t="s">
        <v>1254</v>
      </c>
      <c r="P76" s="157">
        <v>238</v>
      </c>
      <c r="Q76" s="383">
        <v>7</v>
      </c>
      <c r="R76" s="157">
        <f t="shared" ref="R76:R84" si="10">Q76*P76</f>
        <v>1666</v>
      </c>
      <c r="S76" s="157">
        <f>6*20*2</f>
        <v>240</v>
      </c>
      <c r="T76" s="157">
        <f t="shared" ref="T76:T84" si="11">S76*Q76</f>
        <v>1680</v>
      </c>
      <c r="U76" s="157">
        <f t="shared" ref="U76:U84" si="12">S76/40</f>
        <v>6</v>
      </c>
      <c r="V76" s="157">
        <f t="shared" ref="V76:V84" si="13">U76*Q76</f>
        <v>42</v>
      </c>
    </row>
    <row r="77" spans="1:22" ht="13.5" thickBot="1" x14ac:dyDescent="0.25">
      <c r="A77" s="597" t="s">
        <v>201</v>
      </c>
      <c r="B77" s="598" t="s">
        <v>202</v>
      </c>
      <c r="C77" s="397" t="s">
        <v>19</v>
      </c>
      <c r="D77" s="397" t="s">
        <v>33</v>
      </c>
      <c r="E77" s="398" t="s">
        <v>35</v>
      </c>
      <c r="F77" s="399" t="s">
        <v>30</v>
      </c>
      <c r="G77" s="533" t="s">
        <v>14</v>
      </c>
      <c r="H77" s="398" t="s">
        <v>35</v>
      </c>
      <c r="I77" s="399" t="s">
        <v>30</v>
      </c>
      <c r="J77" s="364" t="s">
        <v>659</v>
      </c>
      <c r="K77" s="534" t="s">
        <v>38</v>
      </c>
      <c r="L77" s="402"/>
      <c r="M77" s="403"/>
      <c r="N77" s="404"/>
      <c r="O77" s="381" t="s">
        <v>1255</v>
      </c>
      <c r="P77" s="157">
        <v>231</v>
      </c>
      <c r="Q77" s="383">
        <v>3</v>
      </c>
      <c r="R77" s="157">
        <f t="shared" si="10"/>
        <v>693</v>
      </c>
      <c r="S77" s="157">
        <f>6*20*2</f>
        <v>240</v>
      </c>
      <c r="T77" s="157">
        <f t="shared" si="11"/>
        <v>720</v>
      </c>
      <c r="U77" s="157">
        <f t="shared" si="12"/>
        <v>6</v>
      </c>
      <c r="V77" s="157">
        <f t="shared" si="13"/>
        <v>18</v>
      </c>
    </row>
    <row r="78" spans="1:22" x14ac:dyDescent="0.2">
      <c r="A78" s="370"/>
      <c r="B78" s="5" t="s">
        <v>1267</v>
      </c>
      <c r="C78" s="371">
        <f>R86</f>
        <v>19179.599999999999</v>
      </c>
      <c r="D78" s="372" t="s">
        <v>1136</v>
      </c>
      <c r="E78" s="253">
        <v>1.25</v>
      </c>
      <c r="F78" s="373"/>
      <c r="G78" s="529"/>
      <c r="H78" s="375">
        <v>0</v>
      </c>
      <c r="I78" s="373">
        <f>G78*H78</f>
        <v>0</v>
      </c>
      <c r="J78" s="376">
        <f>M78</f>
        <v>68450</v>
      </c>
      <c r="K78" s="530">
        <f>F78+I78+J78</f>
        <v>68450</v>
      </c>
      <c r="L78" s="378" t="s">
        <v>1023</v>
      </c>
      <c r="M78" s="379">
        <v>68450</v>
      </c>
      <c r="N78" s="380"/>
      <c r="O78" s="381" t="s">
        <v>1256</v>
      </c>
      <c r="P78" s="157">
        <v>227</v>
      </c>
      <c r="Q78" s="383">
        <v>4</v>
      </c>
      <c r="R78" s="157">
        <f t="shared" si="10"/>
        <v>908</v>
      </c>
      <c r="S78" s="157">
        <f>7*20*2</f>
        <v>280</v>
      </c>
      <c r="T78" s="157">
        <f t="shared" si="11"/>
        <v>1120</v>
      </c>
      <c r="U78" s="157">
        <f t="shared" si="12"/>
        <v>7</v>
      </c>
      <c r="V78" s="157">
        <f t="shared" si="13"/>
        <v>28</v>
      </c>
    </row>
    <row r="79" spans="1:22" x14ac:dyDescent="0.2">
      <c r="A79" s="370"/>
      <c r="B79" s="5" t="s">
        <v>1268</v>
      </c>
      <c r="C79" s="371">
        <f>T86</f>
        <v>19448</v>
      </c>
      <c r="D79" s="372" t="s">
        <v>1136</v>
      </c>
      <c r="E79" s="253">
        <v>1.03</v>
      </c>
      <c r="F79" s="373"/>
      <c r="G79" s="529"/>
      <c r="H79" s="375">
        <v>0</v>
      </c>
      <c r="I79" s="373">
        <f>G79*H79</f>
        <v>0</v>
      </c>
      <c r="J79" s="376"/>
      <c r="K79" s="530">
        <f>F79+I79+J79</f>
        <v>0</v>
      </c>
      <c r="L79" s="378" t="s">
        <v>1024</v>
      </c>
      <c r="M79" s="379">
        <v>92424.960000000006</v>
      </c>
      <c r="N79" s="380"/>
      <c r="O79" s="381" t="s">
        <v>1257</v>
      </c>
      <c r="P79" s="157">
        <v>288</v>
      </c>
      <c r="Q79" s="383">
        <v>16</v>
      </c>
      <c r="R79" s="157">
        <f t="shared" si="10"/>
        <v>4608</v>
      </c>
      <c r="S79" s="157">
        <f>20*6*2</f>
        <v>240</v>
      </c>
      <c r="T79" s="157">
        <f t="shared" si="11"/>
        <v>3840</v>
      </c>
      <c r="U79" s="157">
        <f t="shared" si="12"/>
        <v>6</v>
      </c>
      <c r="V79" s="157">
        <f t="shared" si="13"/>
        <v>96</v>
      </c>
    </row>
    <row r="80" spans="1:22" x14ac:dyDescent="0.2">
      <c r="A80" s="370"/>
      <c r="B80" s="5" t="s">
        <v>1271</v>
      </c>
      <c r="C80" s="371">
        <f>V86</f>
        <v>442</v>
      </c>
      <c r="D80" s="372" t="s">
        <v>21</v>
      </c>
      <c r="E80" s="253">
        <v>225</v>
      </c>
      <c r="F80" s="373"/>
      <c r="G80" s="529"/>
      <c r="H80" s="375">
        <v>0</v>
      </c>
      <c r="I80" s="373">
        <f>G80*H80</f>
        <v>0</v>
      </c>
      <c r="J80" s="376"/>
      <c r="K80" s="530">
        <f>F80+I80+J80</f>
        <v>0</v>
      </c>
      <c r="L80" s="378"/>
      <c r="M80" s="379"/>
      <c r="N80" s="380"/>
      <c r="O80" s="381" t="s">
        <v>1258</v>
      </c>
      <c r="P80" s="157">
        <v>389</v>
      </c>
      <c r="Q80" s="383">
        <v>4</v>
      </c>
      <c r="R80" s="157">
        <f t="shared" si="10"/>
        <v>1556</v>
      </c>
      <c r="S80" s="157">
        <f>10*20*2</f>
        <v>400</v>
      </c>
      <c r="T80" s="157">
        <f t="shared" si="11"/>
        <v>1600</v>
      </c>
      <c r="U80" s="157">
        <f t="shared" si="12"/>
        <v>10</v>
      </c>
      <c r="V80" s="157">
        <f t="shared" si="13"/>
        <v>40</v>
      </c>
    </row>
    <row r="81" spans="1:22" x14ac:dyDescent="0.2">
      <c r="A81" s="370"/>
      <c r="B81" s="5"/>
      <c r="C81" s="371"/>
      <c r="D81" s="372" t="s">
        <v>21</v>
      </c>
      <c r="E81" s="253">
        <v>0</v>
      </c>
      <c r="F81" s="373">
        <f>C81*E81</f>
        <v>0</v>
      </c>
      <c r="G81" s="529"/>
      <c r="H81" s="375">
        <v>0</v>
      </c>
      <c r="I81" s="373">
        <f>G81*H81</f>
        <v>0</v>
      </c>
      <c r="J81" s="376"/>
      <c r="K81" s="530">
        <f>F81+I81+J81</f>
        <v>0</v>
      </c>
      <c r="L81" s="378"/>
      <c r="M81" s="379"/>
      <c r="N81" s="380"/>
      <c r="O81" s="381" t="s">
        <v>1259</v>
      </c>
      <c r="P81" s="157">
        <v>353</v>
      </c>
      <c r="Q81" s="383">
        <v>12</v>
      </c>
      <c r="R81" s="157">
        <f t="shared" si="10"/>
        <v>4236</v>
      </c>
      <c r="S81" s="157">
        <f>20*10*2</f>
        <v>400</v>
      </c>
      <c r="T81" s="157">
        <f t="shared" si="11"/>
        <v>4800</v>
      </c>
      <c r="U81" s="157">
        <f t="shared" si="12"/>
        <v>10</v>
      </c>
      <c r="V81" s="157">
        <f t="shared" si="13"/>
        <v>120</v>
      </c>
    </row>
    <row r="82" spans="1:22" x14ac:dyDescent="0.2">
      <c r="A82" s="370"/>
      <c r="B82" s="5"/>
      <c r="C82" s="371">
        <v>59</v>
      </c>
      <c r="D82" s="372" t="s">
        <v>33</v>
      </c>
      <c r="E82" s="253">
        <f>M82</f>
        <v>4192.4388888888889</v>
      </c>
      <c r="F82" s="373">
        <f>C82*E82</f>
        <v>247353.89444444445</v>
      </c>
      <c r="G82" s="529"/>
      <c r="H82" s="375">
        <v>0</v>
      </c>
      <c r="I82" s="373">
        <f>G82*H82</f>
        <v>0</v>
      </c>
      <c r="J82" s="376"/>
      <c r="K82" s="530">
        <f>F82+I82+J82</f>
        <v>247353.89444444445</v>
      </c>
      <c r="L82" s="159" t="s">
        <v>1026</v>
      </c>
      <c r="M82" s="276">
        <f>264123.65/63</f>
        <v>4192.4388888888889</v>
      </c>
      <c r="N82" s="157" t="s">
        <v>1027</v>
      </c>
      <c r="O82" s="381" t="s">
        <v>1260</v>
      </c>
      <c r="P82" s="157">
        <v>236</v>
      </c>
      <c r="Q82" s="383">
        <v>1</v>
      </c>
      <c r="R82" s="157">
        <f t="shared" si="10"/>
        <v>236</v>
      </c>
      <c r="S82" s="157">
        <f>6*20*2</f>
        <v>240</v>
      </c>
      <c r="T82" s="157">
        <f t="shared" si="11"/>
        <v>240</v>
      </c>
      <c r="U82" s="157">
        <f t="shared" si="12"/>
        <v>6</v>
      </c>
      <c r="V82" s="157">
        <f t="shared" si="13"/>
        <v>6</v>
      </c>
    </row>
    <row r="83" spans="1:22" ht="13.5" thickBot="1" x14ac:dyDescent="0.25">
      <c r="A83" s="387"/>
      <c r="B83" s="5"/>
      <c r="C83" s="388"/>
      <c r="D83" s="372"/>
      <c r="E83" s="253"/>
      <c r="F83" s="373"/>
      <c r="G83" s="529"/>
      <c r="H83" s="375"/>
      <c r="I83" s="373"/>
      <c r="J83" s="376"/>
      <c r="K83" s="535"/>
      <c r="O83" s="381" t="s">
        <v>1261</v>
      </c>
      <c r="P83" s="157">
        <v>343</v>
      </c>
      <c r="Q83" s="383">
        <v>7</v>
      </c>
      <c r="R83" s="157">
        <f t="shared" si="10"/>
        <v>2401</v>
      </c>
      <c r="S83" s="157">
        <f>9*20*2</f>
        <v>360</v>
      </c>
      <c r="T83" s="157">
        <f t="shared" si="11"/>
        <v>2520</v>
      </c>
      <c r="U83" s="157">
        <f t="shared" si="12"/>
        <v>9</v>
      </c>
      <c r="V83" s="157">
        <f t="shared" si="13"/>
        <v>63</v>
      </c>
    </row>
    <row r="84" spans="1:22" ht="13.5" thickTop="1" x14ac:dyDescent="0.2">
      <c r="A84" s="387"/>
      <c r="B84" s="412"/>
      <c r="C84" s="582"/>
      <c r="D84" s="372"/>
      <c r="E84" s="253"/>
      <c r="F84" s="373"/>
      <c r="G84" s="529"/>
      <c r="H84" s="375"/>
      <c r="I84" s="373"/>
      <c r="J84" s="389" t="s">
        <v>30</v>
      </c>
      <c r="K84" s="532">
        <f>SUM(K78:K83)</f>
        <v>315803.89444444445</v>
      </c>
      <c r="L84" s="378"/>
      <c r="M84" s="379"/>
      <c r="N84" s="380"/>
      <c r="O84" s="381" t="s">
        <v>1262</v>
      </c>
      <c r="P84" s="157">
        <v>222</v>
      </c>
      <c r="Q84" s="383">
        <v>4</v>
      </c>
      <c r="R84" s="157">
        <f t="shared" si="10"/>
        <v>888</v>
      </c>
      <c r="S84" s="157">
        <f>6*20*2</f>
        <v>240</v>
      </c>
      <c r="T84" s="157">
        <f t="shared" si="11"/>
        <v>960</v>
      </c>
      <c r="U84" s="157">
        <f t="shared" si="12"/>
        <v>6</v>
      </c>
      <c r="V84" s="157">
        <f t="shared" si="13"/>
        <v>24</v>
      </c>
    </row>
    <row r="85" spans="1:22" ht="13.5" thickBot="1" x14ac:dyDescent="0.25">
      <c r="A85" s="353" t="s">
        <v>0</v>
      </c>
      <c r="B85" s="354" t="s">
        <v>1</v>
      </c>
      <c r="C85" s="939" t="s">
        <v>656</v>
      </c>
      <c r="D85" s="939"/>
      <c r="E85" s="939"/>
      <c r="F85" s="939"/>
      <c r="G85" s="939" t="s">
        <v>34</v>
      </c>
      <c r="H85" s="939"/>
      <c r="I85" s="939"/>
      <c r="J85" s="355"/>
      <c r="K85" s="523"/>
      <c r="L85" s="391"/>
      <c r="M85" s="392"/>
      <c r="N85" s="393"/>
      <c r="O85" s="381"/>
      <c r="P85" s="382"/>
      <c r="Q85" s="383" t="s">
        <v>1266</v>
      </c>
      <c r="R85" s="157">
        <f>SUM(R75:R84)*0.1</f>
        <v>1743.6000000000001</v>
      </c>
      <c r="T85" s="157">
        <f>SUM(T75:T84)*0.1</f>
        <v>1768</v>
      </c>
    </row>
    <row r="86" spans="1:22" ht="13.5" thickBot="1" x14ac:dyDescent="0.25">
      <c r="A86" s="597" t="s">
        <v>204</v>
      </c>
      <c r="B86" s="598" t="s">
        <v>203</v>
      </c>
      <c r="C86" s="397" t="s">
        <v>19</v>
      </c>
      <c r="D86" s="397" t="s">
        <v>33</v>
      </c>
      <c r="E86" s="398" t="s">
        <v>35</v>
      </c>
      <c r="F86" s="399" t="s">
        <v>30</v>
      </c>
      <c r="G86" s="533" t="s">
        <v>14</v>
      </c>
      <c r="H86" s="398" t="s">
        <v>35</v>
      </c>
      <c r="I86" s="399" t="s">
        <v>30</v>
      </c>
      <c r="J86" s="364" t="s">
        <v>659</v>
      </c>
      <c r="K86" s="534" t="s">
        <v>38</v>
      </c>
      <c r="L86" s="402"/>
      <c r="M86" s="403"/>
      <c r="N86" s="404"/>
      <c r="O86" s="381"/>
      <c r="P86" s="382"/>
      <c r="Q86" s="383" t="s">
        <v>38</v>
      </c>
      <c r="R86" s="157">
        <f>SUM(R75:R85)</f>
        <v>19179.599999999999</v>
      </c>
      <c r="T86" s="157">
        <f>SUM(T75:T85)</f>
        <v>19448</v>
      </c>
      <c r="V86" s="157">
        <f>SUM(V75:V85)</f>
        <v>442</v>
      </c>
    </row>
    <row r="87" spans="1:22" x14ac:dyDescent="0.2">
      <c r="A87" s="370"/>
      <c r="B87" s="5"/>
      <c r="C87" s="371"/>
      <c r="D87" s="372" t="s">
        <v>21</v>
      </c>
      <c r="E87" s="253">
        <v>0</v>
      </c>
      <c r="F87" s="373">
        <f>C87*E87</f>
        <v>0</v>
      </c>
      <c r="G87" s="529"/>
      <c r="H87" s="375">
        <v>0</v>
      </c>
      <c r="I87" s="373">
        <f>G87*H87</f>
        <v>0</v>
      </c>
      <c r="J87" s="376"/>
      <c r="K87" s="530">
        <f>F87+I87+J87</f>
        <v>0</v>
      </c>
      <c r="L87" s="378"/>
      <c r="M87" s="379"/>
      <c r="N87" s="380"/>
      <c r="O87" s="381"/>
      <c r="P87" s="382"/>
      <c r="Q87" s="383"/>
    </row>
    <row r="88" spans="1:22" x14ac:dyDescent="0.2">
      <c r="A88" s="370"/>
      <c r="B88" s="5"/>
      <c r="C88" s="371"/>
      <c r="D88" s="372" t="s">
        <v>21</v>
      </c>
      <c r="E88" s="253">
        <v>0</v>
      </c>
      <c r="F88" s="373">
        <f>C88*E88</f>
        <v>0</v>
      </c>
      <c r="G88" s="529"/>
      <c r="H88" s="375">
        <v>0</v>
      </c>
      <c r="I88" s="373">
        <f>G88*H88</f>
        <v>0</v>
      </c>
      <c r="J88" s="376"/>
      <c r="K88" s="530">
        <f>F88+I88+J88</f>
        <v>0</v>
      </c>
      <c r="L88" s="378"/>
      <c r="M88" s="379"/>
      <c r="N88" s="380"/>
      <c r="O88" s="381"/>
      <c r="P88" s="382"/>
      <c r="Q88" s="383"/>
    </row>
    <row r="89" spans="1:22" x14ac:dyDescent="0.2">
      <c r="A89" s="370"/>
      <c r="B89" s="5"/>
      <c r="C89" s="371"/>
      <c r="D89" s="372" t="s">
        <v>21</v>
      </c>
      <c r="E89" s="253">
        <v>0</v>
      </c>
      <c r="F89" s="373">
        <f>C89*E89</f>
        <v>0</v>
      </c>
      <c r="G89" s="529"/>
      <c r="H89" s="375">
        <v>0</v>
      </c>
      <c r="I89" s="373">
        <f>G89*H89</f>
        <v>0</v>
      </c>
      <c r="J89" s="376"/>
      <c r="K89" s="530">
        <f>F89+I89+J89</f>
        <v>0</v>
      </c>
      <c r="L89" s="378"/>
      <c r="M89" s="379"/>
      <c r="N89" s="380"/>
      <c r="O89" s="381"/>
      <c r="P89" s="382"/>
      <c r="Q89" s="383"/>
    </row>
    <row r="90" spans="1:22" ht="13.5" thickBot="1" x14ac:dyDescent="0.25">
      <c r="A90" s="387"/>
      <c r="B90" s="5"/>
      <c r="C90" s="388"/>
      <c r="D90" s="372"/>
      <c r="E90" s="253"/>
      <c r="F90" s="373"/>
      <c r="G90" s="529"/>
      <c r="H90" s="375"/>
      <c r="I90" s="373"/>
      <c r="J90" s="376"/>
      <c r="K90" s="535"/>
      <c r="L90" s="378"/>
      <c r="M90" s="379"/>
      <c r="N90" s="380"/>
      <c r="O90" s="381"/>
      <c r="P90" s="382"/>
      <c r="Q90" s="383"/>
    </row>
    <row r="91" spans="1:22" ht="14.25" thickTop="1" thickBot="1" x14ac:dyDescent="0.25">
      <c r="A91" s="387"/>
      <c r="B91" s="157"/>
      <c r="C91" s="388"/>
      <c r="D91" s="372"/>
      <c r="E91" s="253"/>
      <c r="F91" s="373"/>
      <c r="G91" s="529"/>
      <c r="H91" s="375"/>
      <c r="I91" s="373"/>
      <c r="J91" s="389" t="s">
        <v>30</v>
      </c>
      <c r="K91" s="532">
        <f>SUM(K87:K90)</f>
        <v>0</v>
      </c>
      <c r="L91" s="583"/>
      <c r="M91" s="584"/>
      <c r="N91" s="585"/>
      <c r="O91" s="460"/>
      <c r="P91" s="461"/>
      <c r="Q91" s="462"/>
    </row>
    <row r="92" spans="1:22" ht="14.1" customHeight="1" thickTop="1" x14ac:dyDescent="0.2">
      <c r="A92" s="600"/>
      <c r="B92" s="601"/>
      <c r="C92" s="602"/>
      <c r="D92" s="602"/>
      <c r="E92" s="603"/>
      <c r="F92" s="1024" t="s">
        <v>658</v>
      </c>
      <c r="G92" s="1026" t="s">
        <v>684</v>
      </c>
      <c r="H92" s="603"/>
      <c r="I92" s="1028" t="s">
        <v>657</v>
      </c>
      <c r="J92" s="1030" t="s">
        <v>685</v>
      </c>
      <c r="K92" s="1032" t="s">
        <v>31</v>
      </c>
    </row>
    <row r="93" spans="1:22" x14ac:dyDescent="0.2">
      <c r="A93" s="604" t="s">
        <v>32</v>
      </c>
      <c r="B93" s="1034" t="s">
        <v>26</v>
      </c>
      <c r="C93" s="483"/>
      <c r="D93" s="605"/>
      <c r="E93" s="605"/>
      <c r="F93" s="1025"/>
      <c r="G93" s="1027"/>
      <c r="H93" s="606"/>
      <c r="I93" s="1029"/>
      <c r="J93" s="1031"/>
      <c r="K93" s="1033"/>
    </row>
    <row r="94" spans="1:22" x14ac:dyDescent="0.2">
      <c r="A94" s="827">
        <f>K94/E6</f>
        <v>39.255664630510495</v>
      </c>
      <c r="B94" s="1034"/>
      <c r="C94" s="605"/>
      <c r="D94" s="605"/>
      <c r="E94" s="605"/>
      <c r="F94" s="1020">
        <f>SUM(F87:F90,F78:F83,F67:F73,F58:F63,F50:F54,F39:F46,F21:F35,F11:F17)</f>
        <v>551103.89444444445</v>
      </c>
      <c r="G94" s="1035">
        <f>SUM(G87:G90,G78:G83,G67:G73,G58:G63,G50:G54,G39:G46,G21:G35,G11:G17)</f>
        <v>0</v>
      </c>
      <c r="H94" s="606"/>
      <c r="I94" s="1020">
        <f>SUM(I87:I90,I78:I83,I67:I73,I58:I63,I50:I54,I39:I46,I21:I35,I11:I17)</f>
        <v>0</v>
      </c>
      <c r="J94" s="1020">
        <f>SUM(J87:J90,J78:J83,J67:J73,J58:J63,J50:J54,J39:J46,J21:J35,J11:J17)</f>
        <v>2023753.66</v>
      </c>
      <c r="K94" s="1022">
        <f>SUM(K91,K84,K75,K64,K55,K47,K36,K19)</f>
        <v>2574857.5544444444</v>
      </c>
    </row>
    <row r="95" spans="1:22" ht="13.5" thickBot="1" x14ac:dyDescent="0.25">
      <c r="A95" s="604"/>
      <c r="B95" s="607"/>
      <c r="C95" s="608"/>
      <c r="D95" s="608"/>
      <c r="E95" s="608"/>
      <c r="F95" s="1021"/>
      <c r="G95" s="1036"/>
      <c r="H95" s="608"/>
      <c r="I95" s="1021"/>
      <c r="J95" s="1021"/>
      <c r="K95" s="1023"/>
    </row>
    <row r="96" spans="1:22" ht="13.5" thickBot="1" x14ac:dyDescent="0.25">
      <c r="A96" s="489"/>
      <c r="B96" s="490"/>
      <c r="C96" s="490"/>
      <c r="D96" s="490"/>
      <c r="E96" s="490"/>
      <c r="F96" s="490"/>
      <c r="G96" s="490"/>
      <c r="H96" s="490"/>
      <c r="I96" s="490"/>
      <c r="J96" s="490"/>
      <c r="K96" s="491"/>
    </row>
    <row r="97" spans="2:2" x14ac:dyDescent="0.2">
      <c r="B97" s="157"/>
    </row>
    <row r="98" spans="2:2" x14ac:dyDescent="0.2">
      <c r="B98" s="157"/>
    </row>
    <row r="99" spans="2:2" x14ac:dyDescent="0.2">
      <c r="B99" s="157"/>
    </row>
    <row r="100" spans="2:2" x14ac:dyDescent="0.2">
      <c r="B100" s="157"/>
    </row>
    <row r="101" spans="2:2" x14ac:dyDescent="0.2">
      <c r="B101" s="157"/>
    </row>
    <row r="102" spans="2:2" x14ac:dyDescent="0.2">
      <c r="B102" s="157"/>
    </row>
    <row r="103" spans="2:2" x14ac:dyDescent="0.2">
      <c r="B103" s="157"/>
    </row>
    <row r="104" spans="2:2" x14ac:dyDescent="0.2">
      <c r="B104" s="157"/>
    </row>
    <row r="105" spans="2:2" x14ac:dyDescent="0.2">
      <c r="B105" s="157"/>
    </row>
    <row r="106" spans="2:2" x14ac:dyDescent="0.2">
      <c r="B106" s="157"/>
    </row>
    <row r="107" spans="2:2" x14ac:dyDescent="0.2">
      <c r="B107" s="157"/>
    </row>
    <row r="108" spans="2:2" x14ac:dyDescent="0.2">
      <c r="B108" s="157"/>
    </row>
    <row r="109" spans="2:2" x14ac:dyDescent="0.2">
      <c r="B109" s="157"/>
    </row>
    <row r="110" spans="2:2" x14ac:dyDescent="0.2">
      <c r="B110" s="157"/>
    </row>
    <row r="111" spans="2:2" x14ac:dyDescent="0.2">
      <c r="B111" s="157"/>
    </row>
    <row r="112" spans="2:2" x14ac:dyDescent="0.2">
      <c r="B112" s="157"/>
    </row>
    <row r="113" spans="2:2" x14ac:dyDescent="0.2">
      <c r="B113" s="157"/>
    </row>
    <row r="114" spans="2:2" x14ac:dyDescent="0.2">
      <c r="B114" s="157"/>
    </row>
    <row r="115" spans="2:2" x14ac:dyDescent="0.2">
      <c r="B115" s="157"/>
    </row>
    <row r="116" spans="2:2" x14ac:dyDescent="0.2">
      <c r="B116" s="157"/>
    </row>
    <row r="117" spans="2:2" x14ac:dyDescent="0.2">
      <c r="B117" s="157"/>
    </row>
    <row r="118" spans="2:2" x14ac:dyDescent="0.2">
      <c r="B118" s="157"/>
    </row>
    <row r="119" spans="2:2" x14ac:dyDescent="0.2">
      <c r="B119" s="157"/>
    </row>
    <row r="120" spans="2:2" x14ac:dyDescent="0.2">
      <c r="B120" s="157"/>
    </row>
    <row r="121" spans="2:2" x14ac:dyDescent="0.2">
      <c r="B121" s="157"/>
    </row>
    <row r="122" spans="2:2" x14ac:dyDescent="0.2">
      <c r="B122" s="157"/>
    </row>
    <row r="123" spans="2:2" x14ac:dyDescent="0.2">
      <c r="B123" s="157"/>
    </row>
    <row r="124" spans="2:2" x14ac:dyDescent="0.2">
      <c r="B124" s="157"/>
    </row>
    <row r="125" spans="2:2" x14ac:dyDescent="0.2">
      <c r="B125" s="157"/>
    </row>
    <row r="126" spans="2:2" x14ac:dyDescent="0.2">
      <c r="B126" s="157"/>
    </row>
    <row r="127" spans="2:2" x14ac:dyDescent="0.2">
      <c r="B127" s="157"/>
    </row>
    <row r="128" spans="2:2" x14ac:dyDescent="0.2">
      <c r="B128" s="157"/>
    </row>
    <row r="129" spans="2:2" x14ac:dyDescent="0.2">
      <c r="B129" s="157"/>
    </row>
    <row r="130" spans="2:2" x14ac:dyDescent="0.2">
      <c r="B130" s="157"/>
    </row>
    <row r="131" spans="2:2" x14ac:dyDescent="0.2">
      <c r="B131" s="157"/>
    </row>
    <row r="132" spans="2:2" x14ac:dyDescent="0.2">
      <c r="B132" s="157"/>
    </row>
    <row r="133" spans="2:2" x14ac:dyDescent="0.2">
      <c r="B133" s="157"/>
    </row>
    <row r="134" spans="2:2" x14ac:dyDescent="0.2">
      <c r="B134" s="157"/>
    </row>
    <row r="135" spans="2:2" x14ac:dyDescent="0.2">
      <c r="B135" s="157"/>
    </row>
    <row r="136" spans="2:2" x14ac:dyDescent="0.2">
      <c r="B136" s="157"/>
    </row>
    <row r="137" spans="2:2" x14ac:dyDescent="0.2">
      <c r="B137" s="157"/>
    </row>
    <row r="138" spans="2:2" x14ac:dyDescent="0.2">
      <c r="B138" s="157"/>
    </row>
    <row r="139" spans="2:2" x14ac:dyDescent="0.2">
      <c r="B139" s="157"/>
    </row>
    <row r="140" spans="2:2" x14ac:dyDescent="0.2">
      <c r="B140" s="157"/>
    </row>
    <row r="141" spans="2:2" x14ac:dyDescent="0.2">
      <c r="B141" s="157"/>
    </row>
    <row r="142" spans="2:2" x14ac:dyDescent="0.2">
      <c r="B142" s="157"/>
    </row>
    <row r="143" spans="2:2" x14ac:dyDescent="0.2">
      <c r="B143" s="157"/>
    </row>
    <row r="144" spans="2:2" x14ac:dyDescent="0.2">
      <c r="B144" s="157"/>
    </row>
    <row r="145" spans="2:2" x14ac:dyDescent="0.2">
      <c r="B145" s="157"/>
    </row>
    <row r="146" spans="2:2" x14ac:dyDescent="0.2">
      <c r="B146" s="157"/>
    </row>
    <row r="147" spans="2:2" x14ac:dyDescent="0.2">
      <c r="B147" s="157"/>
    </row>
    <row r="148" spans="2:2" x14ac:dyDescent="0.2">
      <c r="B148" s="157"/>
    </row>
    <row r="149" spans="2:2" x14ac:dyDescent="0.2">
      <c r="B149" s="157"/>
    </row>
    <row r="150" spans="2:2" x14ac:dyDescent="0.2">
      <c r="B150" s="157"/>
    </row>
    <row r="151" spans="2:2" x14ac:dyDescent="0.2">
      <c r="B151" s="157"/>
    </row>
    <row r="152" spans="2:2" x14ac:dyDescent="0.2">
      <c r="B152" s="157"/>
    </row>
    <row r="153" spans="2:2" x14ac:dyDescent="0.2">
      <c r="B153" s="157"/>
    </row>
    <row r="154" spans="2:2" x14ac:dyDescent="0.2">
      <c r="B154" s="157"/>
    </row>
    <row r="155" spans="2:2" x14ac:dyDescent="0.2">
      <c r="B155" s="157"/>
    </row>
    <row r="156" spans="2:2" x14ac:dyDescent="0.2">
      <c r="B156" s="157"/>
    </row>
    <row r="157" spans="2:2" x14ac:dyDescent="0.2">
      <c r="B157" s="157"/>
    </row>
    <row r="158" spans="2:2" x14ac:dyDescent="0.2">
      <c r="B158" s="157"/>
    </row>
    <row r="159" spans="2:2" x14ac:dyDescent="0.2">
      <c r="B159" s="157"/>
    </row>
    <row r="160" spans="2:2" x14ac:dyDescent="0.2">
      <c r="B160" s="157"/>
    </row>
    <row r="161" spans="2:2" x14ac:dyDescent="0.2">
      <c r="B161" s="157"/>
    </row>
    <row r="162" spans="2:2" x14ac:dyDescent="0.2">
      <c r="B162" s="157"/>
    </row>
    <row r="163" spans="2:2" x14ac:dyDescent="0.2">
      <c r="B163" s="157"/>
    </row>
    <row r="164" spans="2:2" x14ac:dyDescent="0.2">
      <c r="B164" s="157"/>
    </row>
    <row r="165" spans="2:2" x14ac:dyDescent="0.2">
      <c r="B165" s="157"/>
    </row>
    <row r="166" spans="2:2" x14ac:dyDescent="0.2">
      <c r="B166" s="157"/>
    </row>
    <row r="167" spans="2:2" x14ac:dyDescent="0.2">
      <c r="B167" s="157"/>
    </row>
    <row r="168" spans="2:2" x14ac:dyDescent="0.2">
      <c r="B168" s="157"/>
    </row>
    <row r="169" spans="2:2" x14ac:dyDescent="0.2">
      <c r="B169" s="157"/>
    </row>
    <row r="170" spans="2:2" x14ac:dyDescent="0.2">
      <c r="B170" s="157"/>
    </row>
    <row r="171" spans="2:2" x14ac:dyDescent="0.2">
      <c r="B171" s="157"/>
    </row>
    <row r="172" spans="2:2" x14ac:dyDescent="0.2">
      <c r="B172" s="157"/>
    </row>
    <row r="173" spans="2:2" x14ac:dyDescent="0.2">
      <c r="B173" s="157"/>
    </row>
    <row r="174" spans="2:2" x14ac:dyDescent="0.2">
      <c r="B174" s="157"/>
    </row>
    <row r="175" spans="2:2" x14ac:dyDescent="0.2">
      <c r="B175" s="157"/>
    </row>
    <row r="176" spans="2:2" x14ac:dyDescent="0.2">
      <c r="B176" s="157"/>
    </row>
    <row r="177" spans="2:2" x14ac:dyDescent="0.2">
      <c r="B177" s="157"/>
    </row>
    <row r="178" spans="2:2" x14ac:dyDescent="0.2">
      <c r="B178" s="157"/>
    </row>
    <row r="179" spans="2:2" x14ac:dyDescent="0.2">
      <c r="B179" s="157"/>
    </row>
    <row r="180" spans="2:2" x14ac:dyDescent="0.2">
      <c r="B180" s="157"/>
    </row>
    <row r="181" spans="2:2" x14ac:dyDescent="0.2">
      <c r="B181" s="157"/>
    </row>
    <row r="182" spans="2:2" x14ac:dyDescent="0.2">
      <c r="B182" s="157"/>
    </row>
    <row r="183" spans="2:2" x14ac:dyDescent="0.2">
      <c r="B183" s="157"/>
    </row>
    <row r="184" spans="2:2" x14ac:dyDescent="0.2">
      <c r="B184" s="157"/>
    </row>
    <row r="185" spans="2:2" x14ac:dyDescent="0.2">
      <c r="B185" s="157"/>
    </row>
    <row r="186" spans="2:2" x14ac:dyDescent="0.2">
      <c r="B186" s="157"/>
    </row>
    <row r="187" spans="2:2" x14ac:dyDescent="0.2">
      <c r="B187" s="157"/>
    </row>
    <row r="188" spans="2:2" x14ac:dyDescent="0.2">
      <c r="B188" s="157"/>
    </row>
    <row r="189" spans="2:2" x14ac:dyDescent="0.2">
      <c r="B189" s="157"/>
    </row>
    <row r="190" spans="2:2" x14ac:dyDescent="0.2">
      <c r="B190" s="157"/>
    </row>
    <row r="191" spans="2:2" x14ac:dyDescent="0.2">
      <c r="B191" s="157"/>
    </row>
    <row r="192" spans="2:2" x14ac:dyDescent="0.2">
      <c r="B192" s="157"/>
    </row>
    <row r="193" spans="2:2" x14ac:dyDescent="0.2">
      <c r="B193" s="157"/>
    </row>
    <row r="194" spans="2:2" x14ac:dyDescent="0.2">
      <c r="B194" s="157"/>
    </row>
    <row r="195" spans="2:2" x14ac:dyDescent="0.2">
      <c r="B195" s="157"/>
    </row>
    <row r="196" spans="2:2" x14ac:dyDescent="0.2">
      <c r="B196" s="157"/>
    </row>
    <row r="197" spans="2:2" x14ac:dyDescent="0.2">
      <c r="B197" s="157"/>
    </row>
    <row r="198" spans="2:2" x14ac:dyDescent="0.2">
      <c r="B198" s="157"/>
    </row>
    <row r="199" spans="2:2" x14ac:dyDescent="0.2">
      <c r="B199" s="157"/>
    </row>
    <row r="200" spans="2:2" x14ac:dyDescent="0.2">
      <c r="B200" s="157"/>
    </row>
    <row r="201" spans="2:2" x14ac:dyDescent="0.2">
      <c r="B201" s="157"/>
    </row>
    <row r="202" spans="2:2" x14ac:dyDescent="0.2">
      <c r="B202" s="157"/>
    </row>
    <row r="203" spans="2:2" x14ac:dyDescent="0.2">
      <c r="B203" s="157"/>
    </row>
    <row r="204" spans="2:2" x14ac:dyDescent="0.2">
      <c r="B204" s="157"/>
    </row>
    <row r="205" spans="2:2" x14ac:dyDescent="0.2">
      <c r="B205" s="157"/>
    </row>
    <row r="206" spans="2:2" x14ac:dyDescent="0.2">
      <c r="B206" s="157"/>
    </row>
    <row r="207" spans="2:2" x14ac:dyDescent="0.2">
      <c r="B207" s="157"/>
    </row>
    <row r="208" spans="2:2" x14ac:dyDescent="0.2">
      <c r="B208" s="157"/>
    </row>
    <row r="209" spans="2:2" x14ac:dyDescent="0.2">
      <c r="B209" s="157"/>
    </row>
    <row r="210" spans="2:2" x14ac:dyDescent="0.2">
      <c r="B210" s="157"/>
    </row>
    <row r="211" spans="2:2" x14ac:dyDescent="0.2">
      <c r="B211" s="157"/>
    </row>
    <row r="212" spans="2:2" x14ac:dyDescent="0.2">
      <c r="B212" s="157"/>
    </row>
    <row r="213" spans="2:2" x14ac:dyDescent="0.2">
      <c r="B213" s="157"/>
    </row>
    <row r="214" spans="2:2" x14ac:dyDescent="0.2">
      <c r="B214" s="157"/>
    </row>
    <row r="215" spans="2:2" x14ac:dyDescent="0.2">
      <c r="B215" s="157"/>
    </row>
    <row r="216" spans="2:2" x14ac:dyDescent="0.2">
      <c r="B216" s="157"/>
    </row>
    <row r="217" spans="2:2" x14ac:dyDescent="0.2">
      <c r="B217" s="157"/>
    </row>
    <row r="218" spans="2:2" x14ac:dyDescent="0.2">
      <c r="B218" s="157"/>
    </row>
    <row r="219" spans="2:2" x14ac:dyDescent="0.2">
      <c r="B219" s="157"/>
    </row>
    <row r="220" spans="2:2" x14ac:dyDescent="0.2">
      <c r="B220" s="157"/>
    </row>
    <row r="221" spans="2:2" x14ac:dyDescent="0.2">
      <c r="B221" s="157"/>
    </row>
    <row r="222" spans="2:2" x14ac:dyDescent="0.2">
      <c r="B222" s="157"/>
    </row>
    <row r="223" spans="2:2" x14ac:dyDescent="0.2">
      <c r="B223" s="157"/>
    </row>
    <row r="224" spans="2:2" x14ac:dyDescent="0.2">
      <c r="B224" s="157"/>
    </row>
    <row r="225" spans="2:2" x14ac:dyDescent="0.2">
      <c r="B225" s="157"/>
    </row>
    <row r="226" spans="2:2" x14ac:dyDescent="0.2">
      <c r="B226" s="157"/>
    </row>
    <row r="227" spans="2:2" x14ac:dyDescent="0.2">
      <c r="B227" s="157"/>
    </row>
    <row r="228" spans="2:2" x14ac:dyDescent="0.2">
      <c r="B228" s="157"/>
    </row>
    <row r="229" spans="2:2" x14ac:dyDescent="0.2">
      <c r="B229" s="157"/>
    </row>
    <row r="230" spans="2:2" x14ac:dyDescent="0.2">
      <c r="B230" s="157"/>
    </row>
    <row r="231" spans="2:2" x14ac:dyDescent="0.2">
      <c r="B231" s="157"/>
    </row>
    <row r="232" spans="2:2" x14ac:dyDescent="0.2">
      <c r="B232" s="157"/>
    </row>
    <row r="233" spans="2:2" x14ac:dyDescent="0.2">
      <c r="B233" s="157"/>
    </row>
    <row r="234" spans="2:2" x14ac:dyDescent="0.2">
      <c r="B234" s="157"/>
    </row>
    <row r="235" spans="2:2" x14ac:dyDescent="0.2">
      <c r="B235" s="157"/>
    </row>
    <row r="236" spans="2:2" x14ac:dyDescent="0.2">
      <c r="B236" s="157"/>
    </row>
    <row r="237" spans="2:2" x14ac:dyDescent="0.2">
      <c r="B237" s="157"/>
    </row>
    <row r="238" spans="2:2" x14ac:dyDescent="0.2">
      <c r="B238" s="157"/>
    </row>
    <row r="239" spans="2:2" x14ac:dyDescent="0.2">
      <c r="B239" s="157"/>
    </row>
    <row r="240" spans="2:2" x14ac:dyDescent="0.2">
      <c r="B240" s="157"/>
    </row>
  </sheetData>
  <mergeCells count="50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37:F37"/>
    <mergeCell ref="G37:I37"/>
    <mergeCell ref="B93:B94"/>
    <mergeCell ref="F94:F95"/>
    <mergeCell ref="G94:G95"/>
    <mergeCell ref="I94:I95"/>
    <mergeCell ref="C65:F65"/>
    <mergeCell ref="G65:I65"/>
    <mergeCell ref="C76:F76"/>
    <mergeCell ref="G76:I76"/>
    <mergeCell ref="C48:F48"/>
    <mergeCell ref="G48:I48"/>
    <mergeCell ref="C56:F56"/>
    <mergeCell ref="C85:F85"/>
    <mergeCell ref="G85:I85"/>
    <mergeCell ref="G56:I56"/>
    <mergeCell ref="J94:J95"/>
    <mergeCell ref="K94:K95"/>
    <mergeCell ref="F92:F93"/>
    <mergeCell ref="G92:G93"/>
    <mergeCell ref="I92:I93"/>
    <mergeCell ref="J92:J93"/>
    <mergeCell ref="K92:K93"/>
    <mergeCell ref="Q9:Q10"/>
    <mergeCell ref="L9:L10"/>
    <mergeCell ref="M9:M10"/>
    <mergeCell ref="N9:N10"/>
    <mergeCell ref="O9:O10"/>
    <mergeCell ref="P9:P10"/>
  </mergeCells>
  <phoneticPr fontId="5" type="noConversion"/>
  <printOptions horizontalCentered="1"/>
  <pageMargins left="0.7" right="0.7" top="0.75" bottom="0.75" header="0.5" footer="0.5"/>
  <pageSetup scale="60" fitToHeight="2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pageSetUpPr fitToPage="1"/>
  </sheetPr>
  <dimension ref="A1:W95"/>
  <sheetViews>
    <sheetView topLeftCell="A33" zoomScale="90" zoomScaleNormal="75" zoomScaleSheetLayoutView="90" zoomScalePageLayoutView="75" workbookViewId="0">
      <selection activeCell="P76" sqref="P76"/>
    </sheetView>
  </sheetViews>
  <sheetFormatPr defaultColWidth="9.140625" defaultRowHeight="12.75" x14ac:dyDescent="0.2"/>
  <cols>
    <col min="1" max="1" width="12.85546875" style="157" bestFit="1" customWidth="1"/>
    <col min="2" max="2" width="46" style="157" customWidth="1"/>
    <col min="3" max="4" width="5" style="440" customWidth="1"/>
    <col min="5" max="5" width="11.42578125" style="157" bestFit="1" customWidth="1"/>
    <col min="6" max="6" width="13.7109375" style="157" bestFit="1" customWidth="1"/>
    <col min="7" max="7" width="8.5703125" style="157" bestFit="1" customWidth="1"/>
    <col min="8" max="8" width="10.85546875" style="157" bestFit="1" customWidth="1"/>
    <col min="9" max="9" width="14.42578125" style="157" bestFit="1" customWidth="1"/>
    <col min="10" max="10" width="16.140625" style="157" bestFit="1" customWidth="1"/>
    <col min="11" max="11" width="14.42578125" style="157" customWidth="1"/>
    <col min="12" max="12" width="17.85546875" style="159" bestFit="1" customWidth="1"/>
    <col min="13" max="13" width="14" style="314" bestFit="1" customWidth="1"/>
    <col min="14" max="14" width="24.85546875" style="157" bestFit="1" customWidth="1"/>
    <col min="15" max="15" width="22" style="302" bestFit="1" customWidth="1"/>
    <col min="16" max="16" width="22.140625" style="302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2"/>
      <c r="B1" s="323"/>
      <c r="C1" s="976">
        <f>'Estimate Summary'!C1:H1</f>
        <v>0</v>
      </c>
      <c r="D1" s="976"/>
      <c r="E1" s="976"/>
      <c r="F1" s="976"/>
      <c r="G1" s="976"/>
      <c r="H1" s="976"/>
      <c r="I1" s="976"/>
      <c r="J1" s="976"/>
      <c r="K1" s="977"/>
    </row>
    <row r="2" spans="1:17" ht="13.5" thickBot="1" x14ac:dyDescent="0.25">
      <c r="A2" s="324"/>
      <c r="B2" s="325"/>
      <c r="C2" s="514"/>
      <c r="D2" s="984"/>
      <c r="E2" s="984"/>
      <c r="F2" s="984"/>
      <c r="G2" s="514"/>
      <c r="H2" s="327"/>
      <c r="I2" s="609"/>
      <c r="J2" s="329"/>
      <c r="K2" s="330"/>
    </row>
    <row r="3" spans="1:17" ht="16.5" thickBot="1" x14ac:dyDescent="0.3">
      <c r="A3" s="973"/>
      <c r="B3" s="974"/>
      <c r="C3" s="514"/>
      <c r="D3" s="984"/>
      <c r="E3" s="984"/>
      <c r="F3" s="984"/>
      <c r="G3" s="515"/>
      <c r="H3" s="332"/>
      <c r="I3" s="333"/>
      <c r="J3" s="333"/>
      <c r="K3" s="334"/>
      <c r="L3" s="1002"/>
      <c r="M3" s="1003"/>
      <c r="N3" s="985"/>
      <c r="O3" s="985"/>
      <c r="P3" s="935"/>
    </row>
    <row r="4" spans="1:17" ht="18.75" thickBot="1" x14ac:dyDescent="0.3">
      <c r="A4" s="973"/>
      <c r="B4" s="974"/>
      <c r="C4" s="514"/>
      <c r="D4" s="984"/>
      <c r="E4" s="984"/>
      <c r="F4" s="984"/>
      <c r="G4" s="610"/>
      <c r="H4" s="610"/>
      <c r="I4" s="609"/>
      <c r="J4" s="329"/>
      <c r="K4" s="330"/>
      <c r="L4" s="1002"/>
      <c r="M4" s="1003"/>
      <c r="N4" s="985"/>
      <c r="O4" s="985"/>
      <c r="P4" s="935"/>
    </row>
    <row r="5" spans="1:17" ht="21" thickBot="1" x14ac:dyDescent="0.35">
      <c r="A5" s="611"/>
      <c r="B5" s="612"/>
      <c r="C5" s="516"/>
      <c r="D5" s="613"/>
      <c r="E5" s="341"/>
      <c r="F5" s="610"/>
      <c r="G5" s="1070" t="s">
        <v>660</v>
      </c>
      <c r="H5" s="1071"/>
      <c r="I5" s="1072"/>
      <c r="J5" s="981" t="s">
        <v>73</v>
      </c>
      <c r="K5" s="982"/>
      <c r="L5" s="1002"/>
      <c r="M5" s="1003"/>
      <c r="N5" s="985"/>
      <c r="O5" s="985"/>
      <c r="P5" s="935"/>
    </row>
    <row r="6" spans="1:17" ht="21" thickBot="1" x14ac:dyDescent="0.35">
      <c r="A6" s="611"/>
      <c r="B6" s="612"/>
      <c r="C6" s="517"/>
      <c r="D6" s="343" t="str">
        <f>'Estimate Summary'!C11</f>
        <v>Area:</v>
      </c>
      <c r="E6" s="344">
        <f>'Estimate Summary'!D11</f>
        <v>65592</v>
      </c>
      <c r="F6" s="238" t="str">
        <f>'Estimate Summary'!E11</f>
        <v>Sq. Ft.</v>
      </c>
      <c r="G6" s="1073"/>
      <c r="H6" s="1074"/>
      <c r="I6" s="1075"/>
      <c r="J6" s="345">
        <f>'1'!J6</f>
        <v>60</v>
      </c>
      <c r="K6" s="330" t="s">
        <v>74</v>
      </c>
      <c r="L6" s="1002"/>
      <c r="M6" s="1003"/>
      <c r="N6" s="985"/>
      <c r="O6" s="985"/>
      <c r="P6" s="935"/>
    </row>
    <row r="7" spans="1:17" x14ac:dyDescent="0.2">
      <c r="A7" s="978"/>
      <c r="B7" s="979"/>
      <c r="C7" s="979"/>
      <c r="D7" s="979"/>
      <c r="E7" s="979"/>
      <c r="F7" s="979"/>
      <c r="G7" s="979"/>
      <c r="H7" s="979"/>
      <c r="I7" s="979"/>
      <c r="J7" s="979"/>
      <c r="K7" s="980"/>
    </row>
    <row r="8" spans="1:17" ht="13.5" thickBot="1" x14ac:dyDescent="0.25">
      <c r="A8" s="346"/>
      <c r="B8" s="347"/>
      <c r="C8" s="972"/>
      <c r="D8" s="972"/>
      <c r="E8" s="972"/>
      <c r="F8" s="972"/>
      <c r="G8" s="971"/>
      <c r="H8" s="971"/>
      <c r="I8" s="971"/>
      <c r="J8" s="348"/>
      <c r="K8" s="349"/>
      <c r="L8" s="518"/>
      <c r="M8" s="519"/>
      <c r="N8" s="518"/>
      <c r="O8" s="520"/>
      <c r="P8" s="520"/>
    </row>
    <row r="9" spans="1:17" ht="14.25" thickTop="1" thickBot="1" x14ac:dyDescent="0.25">
      <c r="A9" s="614" t="s">
        <v>0</v>
      </c>
      <c r="B9" s="615" t="s">
        <v>1</v>
      </c>
      <c r="C9" s="939" t="s">
        <v>656</v>
      </c>
      <c r="D9" s="939"/>
      <c r="E9" s="939"/>
      <c r="F9" s="939"/>
      <c r="G9" s="939" t="s">
        <v>34</v>
      </c>
      <c r="H9" s="939"/>
      <c r="I9" s="939"/>
      <c r="J9" s="616"/>
      <c r="K9" s="523"/>
      <c r="L9" s="1046" t="s">
        <v>783</v>
      </c>
      <c r="M9" s="1048" t="s">
        <v>784</v>
      </c>
      <c r="N9" s="1050" t="s">
        <v>785</v>
      </c>
      <c r="O9" s="1052"/>
      <c r="P9" s="1054"/>
      <c r="Q9" s="1044"/>
    </row>
    <row r="10" spans="1:17" ht="16.5" thickBot="1" x14ac:dyDescent="0.3">
      <c r="A10" s="579" t="s">
        <v>206</v>
      </c>
      <c r="B10" s="580" t="s">
        <v>207</v>
      </c>
      <c r="C10" s="617" t="s">
        <v>19</v>
      </c>
      <c r="D10" s="617" t="s">
        <v>33</v>
      </c>
      <c r="E10" s="445" t="s">
        <v>35</v>
      </c>
      <c r="F10" s="618" t="s">
        <v>30</v>
      </c>
      <c r="G10" s="619" t="s">
        <v>14</v>
      </c>
      <c r="H10" s="445" t="s">
        <v>35</v>
      </c>
      <c r="I10" s="618" t="s">
        <v>30</v>
      </c>
      <c r="J10" s="620" t="s">
        <v>659</v>
      </c>
      <c r="K10" s="621" t="s">
        <v>38</v>
      </c>
      <c r="L10" s="1047"/>
      <c r="M10" s="1049"/>
      <c r="N10" s="1051"/>
      <c r="O10" s="1053"/>
      <c r="P10" s="1055"/>
      <c r="Q10" s="1045"/>
    </row>
    <row r="11" spans="1:17" x14ac:dyDescent="0.2">
      <c r="A11" s="256" t="s">
        <v>208</v>
      </c>
      <c r="B11" s="256" t="s">
        <v>211</v>
      </c>
      <c r="C11" s="568">
        <v>59</v>
      </c>
      <c r="D11" s="372" t="s">
        <v>33</v>
      </c>
      <c r="E11" s="253">
        <f>M15</f>
        <v>3880.4406779661017</v>
      </c>
      <c r="F11" s="373"/>
      <c r="G11" s="529"/>
      <c r="H11" s="375">
        <v>0</v>
      </c>
      <c r="I11" s="373">
        <f>G11*H11</f>
        <v>0</v>
      </c>
      <c r="J11" s="622">
        <f>M11</f>
        <v>237835</v>
      </c>
      <c r="K11" s="530">
        <f>F11+I11+J11</f>
        <v>237835</v>
      </c>
      <c r="L11" s="378" t="s">
        <v>1070</v>
      </c>
      <c r="M11" s="623">
        <v>237835</v>
      </c>
      <c r="N11" s="380" t="s">
        <v>1178</v>
      </c>
      <c r="O11" s="381"/>
      <c r="P11" s="382"/>
      <c r="Q11" s="383"/>
    </row>
    <row r="12" spans="1:17" x14ac:dyDescent="0.2">
      <c r="A12" s="256" t="s">
        <v>209</v>
      </c>
      <c r="B12" s="256" t="s">
        <v>212</v>
      </c>
      <c r="C12" s="371"/>
      <c r="D12" s="372" t="s">
        <v>21</v>
      </c>
      <c r="E12" s="253">
        <v>0</v>
      </c>
      <c r="F12" s="373">
        <f>C12*E12</f>
        <v>0</v>
      </c>
      <c r="G12" s="529"/>
      <c r="H12" s="375">
        <v>0</v>
      </c>
      <c r="I12" s="373">
        <f>G12*H12</f>
        <v>0</v>
      </c>
      <c r="J12" s="622"/>
      <c r="K12" s="530">
        <f>F12+I12+J12</f>
        <v>0</v>
      </c>
      <c r="L12" s="378" t="s">
        <v>1143</v>
      </c>
      <c r="M12" s="623">
        <v>193676</v>
      </c>
      <c r="N12" s="380" t="s">
        <v>1242</v>
      </c>
      <c r="O12" s="381"/>
      <c r="P12" s="382"/>
      <c r="Q12" s="383"/>
    </row>
    <row r="13" spans="1:17" x14ac:dyDescent="0.2">
      <c r="A13" s="256" t="s">
        <v>210</v>
      </c>
      <c r="B13" s="256" t="s">
        <v>213</v>
      </c>
      <c r="C13" s="371"/>
      <c r="D13" s="372" t="s">
        <v>21</v>
      </c>
      <c r="E13" s="253">
        <v>0</v>
      </c>
      <c r="F13" s="373">
        <f>C13*E13</f>
        <v>0</v>
      </c>
      <c r="G13" s="529"/>
      <c r="H13" s="375">
        <v>0</v>
      </c>
      <c r="I13" s="373">
        <f>G13*H13</f>
        <v>0</v>
      </c>
      <c r="J13" s="622"/>
      <c r="K13" s="530">
        <f>F13+I13+J13</f>
        <v>0</v>
      </c>
      <c r="L13" s="378" t="s">
        <v>1176</v>
      </c>
      <c r="M13" s="623">
        <f>191830+30179</f>
        <v>222009</v>
      </c>
      <c r="N13" s="380" t="s">
        <v>1177</v>
      </c>
      <c r="O13" s="381"/>
      <c r="P13" s="382"/>
      <c r="Q13" s="383"/>
    </row>
    <row r="14" spans="1:17" x14ac:dyDescent="0.2">
      <c r="A14" s="370"/>
      <c r="B14" s="5"/>
      <c r="C14" s="371"/>
      <c r="D14" s="372" t="s">
        <v>21</v>
      </c>
      <c r="E14" s="253">
        <v>0</v>
      </c>
      <c r="F14" s="373">
        <f>C14*E14</f>
        <v>0</v>
      </c>
      <c r="G14" s="529"/>
      <c r="H14" s="375">
        <v>0</v>
      </c>
      <c r="I14" s="373">
        <f>G14*H14</f>
        <v>0</v>
      </c>
      <c r="J14" s="622"/>
      <c r="K14" s="530">
        <f>F14+I14+J14</f>
        <v>0</v>
      </c>
      <c r="L14" s="378"/>
      <c r="M14" s="623"/>
      <c r="N14" s="380"/>
      <c r="O14" s="381"/>
      <c r="P14" s="382"/>
      <c r="Q14" s="383"/>
    </row>
    <row r="15" spans="1:17" ht="13.5" thickBot="1" x14ac:dyDescent="0.25">
      <c r="A15" s="387"/>
      <c r="B15" s="7"/>
      <c r="C15" s="388"/>
      <c r="D15" s="372"/>
      <c r="E15" s="253"/>
      <c r="F15" s="373"/>
      <c r="G15" s="529"/>
      <c r="H15" s="375"/>
      <c r="I15" s="373"/>
      <c r="J15" s="622"/>
      <c r="K15" s="530"/>
      <c r="L15" s="378" t="s">
        <v>1117</v>
      </c>
      <c r="M15" s="623">
        <f>228946/59</f>
        <v>3880.4406779661017</v>
      </c>
      <c r="N15" s="380"/>
      <c r="O15" s="381"/>
      <c r="P15" s="382"/>
      <c r="Q15" s="383"/>
    </row>
    <row r="16" spans="1:17" ht="13.5" thickTop="1" x14ac:dyDescent="0.2">
      <c r="A16" s="387"/>
      <c r="B16" s="7"/>
      <c r="C16" s="388"/>
      <c r="D16" s="372"/>
      <c r="E16" s="253"/>
      <c r="F16" s="373"/>
      <c r="G16" s="529"/>
      <c r="H16" s="375"/>
      <c r="I16" s="373"/>
      <c r="J16" s="389" t="s">
        <v>30</v>
      </c>
      <c r="K16" s="532">
        <f>SUM(K11:K15)</f>
        <v>237835</v>
      </c>
      <c r="L16" s="378"/>
      <c r="M16" s="623"/>
      <c r="N16" s="380"/>
      <c r="O16" s="381"/>
      <c r="P16" s="382"/>
      <c r="Q16" s="383"/>
    </row>
    <row r="17" spans="1:23" ht="13.5" thickBot="1" x14ac:dyDescent="0.25">
      <c r="A17" s="614" t="s">
        <v>0</v>
      </c>
      <c r="B17" s="615" t="s">
        <v>1</v>
      </c>
      <c r="C17" s="1056" t="s">
        <v>656</v>
      </c>
      <c r="D17" s="939"/>
      <c r="E17" s="939"/>
      <c r="F17" s="939"/>
      <c r="G17" s="939" t="s">
        <v>34</v>
      </c>
      <c r="H17" s="939"/>
      <c r="I17" s="939"/>
      <c r="J17" s="616"/>
      <c r="K17" s="523"/>
      <c r="L17" s="391"/>
      <c r="M17" s="624"/>
      <c r="N17" s="393"/>
      <c r="O17" s="381"/>
      <c r="P17" s="382"/>
      <c r="Q17" s="383"/>
    </row>
    <row r="18" spans="1:23" ht="16.5" thickBot="1" x14ac:dyDescent="0.3">
      <c r="A18" s="579" t="s">
        <v>214</v>
      </c>
      <c r="B18" s="580" t="s">
        <v>1130</v>
      </c>
      <c r="C18" s="625" t="s">
        <v>19</v>
      </c>
      <c r="D18" s="625" t="s">
        <v>33</v>
      </c>
      <c r="E18" s="626" t="s">
        <v>35</v>
      </c>
      <c r="F18" s="627" t="s">
        <v>30</v>
      </c>
      <c r="G18" s="628" t="s">
        <v>732</v>
      </c>
      <c r="H18" s="626" t="s">
        <v>35</v>
      </c>
      <c r="I18" s="627" t="s">
        <v>30</v>
      </c>
      <c r="J18" s="620" t="s">
        <v>659</v>
      </c>
      <c r="K18" s="629" t="s">
        <v>38</v>
      </c>
      <c r="L18" s="402"/>
      <c r="M18" s="630"/>
      <c r="N18" s="404"/>
      <c r="O18" s="381"/>
      <c r="P18" s="382"/>
      <c r="Q18" s="383"/>
    </row>
    <row r="19" spans="1:23" x14ac:dyDescent="0.2">
      <c r="A19" s="387"/>
      <c r="B19" s="7" t="s">
        <v>1131</v>
      </c>
      <c r="C19" s="371">
        <f>E6/4*3*1.2</f>
        <v>59032.799999999996</v>
      </c>
      <c r="D19" s="372" t="s">
        <v>732</v>
      </c>
      <c r="E19" s="253">
        <v>2.88</v>
      </c>
      <c r="F19" s="373">
        <f>C19*E19</f>
        <v>170014.46399999998</v>
      </c>
      <c r="G19" s="529">
        <f>C19</f>
        <v>59032.799999999996</v>
      </c>
      <c r="H19" s="375">
        <v>1.5</v>
      </c>
      <c r="I19" s="373">
        <f>G19*H19</f>
        <v>88549.2</v>
      </c>
      <c r="J19" s="622"/>
      <c r="K19" s="530">
        <f>F19+I19+J19</f>
        <v>258563.66399999999</v>
      </c>
      <c r="L19" s="157"/>
      <c r="M19" s="631"/>
      <c r="O19" s="381"/>
      <c r="P19" s="382"/>
      <c r="Q19" s="383"/>
    </row>
    <row r="20" spans="1:23" x14ac:dyDescent="0.2">
      <c r="A20" s="387"/>
      <c r="B20" s="7" t="s">
        <v>1132</v>
      </c>
      <c r="C20" s="371">
        <v>45</v>
      </c>
      <c r="D20" s="372" t="s">
        <v>33</v>
      </c>
      <c r="E20" s="253">
        <v>51.43</v>
      </c>
      <c r="F20" s="373">
        <f>C20*E20</f>
        <v>2314.35</v>
      </c>
      <c r="G20" s="529">
        <f>C20</f>
        <v>45</v>
      </c>
      <c r="H20" s="375">
        <f>60*4</f>
        <v>240</v>
      </c>
      <c r="I20" s="373">
        <f>G20*H20</f>
        <v>10800</v>
      </c>
      <c r="J20" s="622"/>
      <c r="K20" s="530">
        <f>F20+I20+J20</f>
        <v>13114.35</v>
      </c>
      <c r="L20" s="159" t="s">
        <v>1291</v>
      </c>
      <c r="O20" s="381"/>
      <c r="P20" s="382"/>
      <c r="Q20" s="383"/>
    </row>
    <row r="21" spans="1:23" ht="13.5" thickBot="1" x14ac:dyDescent="0.25">
      <c r="A21" s="387"/>
      <c r="B21" s="7"/>
      <c r="C21" s="439"/>
      <c r="D21" s="372" t="s">
        <v>21</v>
      </c>
      <c r="E21" s="253">
        <v>0</v>
      </c>
      <c r="F21" s="373">
        <f>C21*E21</f>
        <v>0</v>
      </c>
      <c r="G21" s="529"/>
      <c r="H21" s="375">
        <v>0</v>
      </c>
      <c r="I21" s="373">
        <f>G21*H21</f>
        <v>0</v>
      </c>
      <c r="J21" s="622"/>
      <c r="K21" s="530">
        <f>F21+I21+J21</f>
        <v>0</v>
      </c>
      <c r="L21" s="378"/>
      <c r="M21" s="623"/>
      <c r="N21" s="380"/>
      <c r="O21" s="381"/>
      <c r="P21" s="382"/>
      <c r="Q21" s="383"/>
    </row>
    <row r="22" spans="1:23" s="159" customFormat="1" ht="13.5" thickTop="1" x14ac:dyDescent="0.2">
      <c r="A22" s="387"/>
      <c r="B22" s="5"/>
      <c r="C22" s="388"/>
      <c r="D22" s="372"/>
      <c r="E22" s="253"/>
      <c r="F22" s="373"/>
      <c r="G22" s="529"/>
      <c r="H22" s="375"/>
      <c r="I22" s="373"/>
      <c r="J22" s="389" t="s">
        <v>30</v>
      </c>
      <c r="K22" s="532">
        <f>SUM(K19:K21)</f>
        <v>271678.01399999997</v>
      </c>
      <c r="L22" s="378"/>
      <c r="M22" s="623"/>
      <c r="N22" s="380"/>
      <c r="O22" s="381"/>
      <c r="P22" s="382"/>
      <c r="Q22" s="383"/>
      <c r="W22" s="157"/>
    </row>
    <row r="23" spans="1:23" s="159" customFormat="1" ht="13.5" thickBot="1" x14ac:dyDescent="0.25">
      <c r="A23" s="614" t="s">
        <v>0</v>
      </c>
      <c r="B23" s="615" t="s">
        <v>1</v>
      </c>
      <c r="C23" s="1056" t="s">
        <v>656</v>
      </c>
      <c r="D23" s="939"/>
      <c r="E23" s="939"/>
      <c r="F23" s="939"/>
      <c r="G23" s="939" t="s">
        <v>34</v>
      </c>
      <c r="H23" s="939"/>
      <c r="I23" s="939"/>
      <c r="J23" s="616"/>
      <c r="K23" s="523"/>
      <c r="L23" s="391"/>
      <c r="M23" s="624"/>
      <c r="N23" s="393"/>
      <c r="O23" s="381" t="s">
        <v>1044</v>
      </c>
      <c r="P23" s="382"/>
      <c r="Q23" s="383"/>
      <c r="W23" s="157"/>
    </row>
    <row r="24" spans="1:23" s="159" customFormat="1" ht="16.5" thickBot="1" x14ac:dyDescent="0.3">
      <c r="A24" s="579" t="s">
        <v>216</v>
      </c>
      <c r="B24" s="580" t="s">
        <v>217</v>
      </c>
      <c r="C24" s="625" t="s">
        <v>19</v>
      </c>
      <c r="D24" s="625" t="s">
        <v>33</v>
      </c>
      <c r="E24" s="626" t="s">
        <v>35</v>
      </c>
      <c r="F24" s="627" t="s">
        <v>30</v>
      </c>
      <c r="G24" s="628" t="s">
        <v>14</v>
      </c>
      <c r="H24" s="626" t="s">
        <v>35</v>
      </c>
      <c r="I24" s="627" t="s">
        <v>30</v>
      </c>
      <c r="J24" s="620" t="s">
        <v>659</v>
      </c>
      <c r="K24" s="629" t="s">
        <v>38</v>
      </c>
      <c r="L24" s="402"/>
      <c r="M24" s="632"/>
      <c r="N24" s="409"/>
      <c r="O24" s="381" t="s">
        <v>1045</v>
      </c>
      <c r="P24" s="382">
        <v>87550</v>
      </c>
      <c r="Q24" s="383"/>
      <c r="W24" s="157"/>
    </row>
    <row r="25" spans="1:23" s="159" customFormat="1" x14ac:dyDescent="0.2">
      <c r="A25" s="387"/>
      <c r="B25" s="7"/>
      <c r="C25" s="371">
        <f>E6/4</f>
        <v>16398</v>
      </c>
      <c r="D25" s="372" t="s">
        <v>732</v>
      </c>
      <c r="E25" s="253">
        <f>P27</f>
        <v>5.3030900204950342</v>
      </c>
      <c r="F25" s="373">
        <f>M25</f>
        <v>81750</v>
      </c>
      <c r="G25" s="529"/>
      <c r="H25" s="375">
        <v>0</v>
      </c>
      <c r="I25" s="373">
        <f>G25*H25</f>
        <v>0</v>
      </c>
      <c r="J25" s="622"/>
      <c r="K25" s="530">
        <f>F25+I25+J25</f>
        <v>81750</v>
      </c>
      <c r="L25" s="157" t="s">
        <v>1071</v>
      </c>
      <c r="M25" s="631">
        <v>81750</v>
      </c>
      <c r="N25" s="157"/>
      <c r="O25" s="381"/>
      <c r="P25" s="382"/>
      <c r="Q25" s="383"/>
      <c r="W25" s="157"/>
    </row>
    <row r="26" spans="1:23" s="159" customFormat="1" ht="13.5" thickBot="1" x14ac:dyDescent="0.25">
      <c r="A26" s="387"/>
      <c r="B26" s="7"/>
      <c r="C26" s="371"/>
      <c r="D26" s="372" t="s">
        <v>21</v>
      </c>
      <c r="E26" s="253">
        <v>0</v>
      </c>
      <c r="F26" s="373">
        <f>C26*E26</f>
        <v>0</v>
      </c>
      <c r="G26" s="529"/>
      <c r="H26" s="375">
        <v>0</v>
      </c>
      <c r="I26" s="373">
        <f>G26*H26</f>
        <v>0</v>
      </c>
      <c r="J26" s="622"/>
      <c r="K26" s="530">
        <f>F26+I26+J26</f>
        <v>0</v>
      </c>
      <c r="L26" s="157" t="s">
        <v>1072</v>
      </c>
      <c r="M26" s="631">
        <v>101990.13</v>
      </c>
      <c r="N26" s="157"/>
      <c r="O26" s="381"/>
      <c r="P26" s="382"/>
      <c r="Q26" s="383"/>
      <c r="W26" s="157"/>
    </row>
    <row r="27" spans="1:23" ht="13.5" thickTop="1" x14ac:dyDescent="0.2">
      <c r="A27" s="387"/>
      <c r="B27" s="412"/>
      <c r="C27" s="388"/>
      <c r="D27" s="372"/>
      <c r="E27" s="253"/>
      <c r="F27" s="373"/>
      <c r="G27" s="529"/>
      <c r="H27" s="375"/>
      <c r="I27" s="373"/>
      <c r="J27" s="389" t="s">
        <v>30</v>
      </c>
      <c r="K27" s="532">
        <f>SUM(K25:K26)</f>
        <v>81750</v>
      </c>
      <c r="L27" s="378" t="s">
        <v>1073</v>
      </c>
      <c r="M27" s="623">
        <v>102450</v>
      </c>
      <c r="N27" s="380"/>
      <c r="O27" s="381" t="s">
        <v>1118</v>
      </c>
      <c r="P27" s="382">
        <f>67275/12686</f>
        <v>5.3030900204950342</v>
      </c>
      <c r="Q27" s="383"/>
    </row>
    <row r="28" spans="1:23" ht="13.5" thickBot="1" x14ac:dyDescent="0.25">
      <c r="A28" s="614" t="s">
        <v>0</v>
      </c>
      <c r="B28" s="615" t="s">
        <v>1</v>
      </c>
      <c r="C28" s="1056" t="s">
        <v>656</v>
      </c>
      <c r="D28" s="939"/>
      <c r="E28" s="939"/>
      <c r="F28" s="939"/>
      <c r="G28" s="939" t="s">
        <v>34</v>
      </c>
      <c r="H28" s="939"/>
      <c r="I28" s="939"/>
      <c r="J28" s="616"/>
      <c r="K28" s="523"/>
      <c r="L28" s="391" t="s">
        <v>1126</v>
      </c>
      <c r="M28" s="624">
        <v>57500</v>
      </c>
      <c r="N28" s="393" t="s">
        <v>1127</v>
      </c>
      <c r="O28" s="381"/>
      <c r="P28" s="382"/>
      <c r="Q28" s="383"/>
    </row>
    <row r="29" spans="1:23" ht="16.5" thickBot="1" x14ac:dyDescent="0.3">
      <c r="A29" s="579" t="s">
        <v>218</v>
      </c>
      <c r="B29" s="580" t="s">
        <v>219</v>
      </c>
      <c r="C29" s="625" t="s">
        <v>19</v>
      </c>
      <c r="D29" s="625" t="s">
        <v>33</v>
      </c>
      <c r="E29" s="626" t="s">
        <v>35</v>
      </c>
      <c r="F29" s="627" t="s">
        <v>30</v>
      </c>
      <c r="G29" s="628" t="s">
        <v>14</v>
      </c>
      <c r="H29" s="626" t="s">
        <v>35</v>
      </c>
      <c r="I29" s="627" t="s">
        <v>30</v>
      </c>
      <c r="J29" s="620" t="s">
        <v>659</v>
      </c>
      <c r="K29" s="629" t="s">
        <v>38</v>
      </c>
      <c r="L29" s="402"/>
      <c r="M29" s="632"/>
      <c r="N29" s="409"/>
      <c r="O29" s="381"/>
      <c r="P29" s="382"/>
      <c r="Q29" s="383"/>
    </row>
    <row r="30" spans="1:23" x14ac:dyDescent="0.2">
      <c r="A30" s="387"/>
      <c r="B30" s="7"/>
      <c r="C30" s="371"/>
      <c r="D30" s="372" t="s">
        <v>21</v>
      </c>
      <c r="E30" s="253">
        <v>0</v>
      </c>
      <c r="F30" s="373">
        <f>C30*E30</f>
        <v>0</v>
      </c>
      <c r="G30" s="529"/>
      <c r="H30" s="375">
        <v>0</v>
      </c>
      <c r="I30" s="373">
        <f>G30*H30</f>
        <v>0</v>
      </c>
      <c r="J30" s="622"/>
      <c r="K30" s="530">
        <f>F30+I30+J30</f>
        <v>0</v>
      </c>
      <c r="L30" s="378"/>
      <c r="M30" s="623"/>
      <c r="N30" s="380"/>
      <c r="O30" s="381"/>
      <c r="P30" s="382"/>
      <c r="Q30" s="383"/>
    </row>
    <row r="31" spans="1:23" x14ac:dyDescent="0.2">
      <c r="A31" s="387"/>
      <c r="B31" s="7"/>
      <c r="C31" s="371"/>
      <c r="D31" s="372" t="s">
        <v>21</v>
      </c>
      <c r="E31" s="253">
        <v>0</v>
      </c>
      <c r="F31" s="373">
        <f>C31*E31</f>
        <v>0</v>
      </c>
      <c r="G31" s="529"/>
      <c r="H31" s="375">
        <v>0</v>
      </c>
      <c r="I31" s="373">
        <f>G31*H31</f>
        <v>0</v>
      </c>
      <c r="J31" s="622"/>
      <c r="K31" s="530">
        <f>F31+I31+J31</f>
        <v>0</v>
      </c>
      <c r="L31" s="378"/>
      <c r="M31" s="623"/>
      <c r="N31" s="380"/>
      <c r="O31" s="381"/>
      <c r="P31" s="382"/>
      <c r="Q31" s="383"/>
    </row>
    <row r="32" spans="1:23" ht="13.5" thickBot="1" x14ac:dyDescent="0.25">
      <c r="A32" s="387"/>
      <c r="B32" s="7"/>
      <c r="C32" s="371"/>
      <c r="D32" s="372" t="s">
        <v>21</v>
      </c>
      <c r="E32" s="253">
        <v>0</v>
      </c>
      <c r="F32" s="373">
        <f>C32*E32</f>
        <v>0</v>
      </c>
      <c r="G32" s="529"/>
      <c r="H32" s="375">
        <v>0</v>
      </c>
      <c r="I32" s="373">
        <f>G32*H32</f>
        <v>0</v>
      </c>
      <c r="J32" s="622"/>
      <c r="K32" s="530">
        <f>F32+I32+J32</f>
        <v>0</v>
      </c>
      <c r="L32" s="378"/>
      <c r="M32" s="623"/>
      <c r="N32" s="380"/>
      <c r="O32" s="381"/>
      <c r="P32" s="382"/>
      <c r="Q32" s="383"/>
    </row>
    <row r="33" spans="1:17" ht="13.5" thickTop="1" x14ac:dyDescent="0.2">
      <c r="A33" s="387"/>
      <c r="B33" s="412"/>
      <c r="C33" s="388"/>
      <c r="D33" s="372"/>
      <c r="E33" s="253"/>
      <c r="F33" s="373"/>
      <c r="G33" s="529"/>
      <c r="H33" s="375"/>
      <c r="I33" s="373"/>
      <c r="J33" s="389" t="s">
        <v>30</v>
      </c>
      <c r="K33" s="532">
        <f>SUM(K30:K32)</f>
        <v>0</v>
      </c>
      <c r="L33" s="378"/>
      <c r="M33" s="623"/>
      <c r="N33" s="380"/>
      <c r="O33" s="381"/>
      <c r="P33" s="382"/>
      <c r="Q33" s="383"/>
    </row>
    <row r="34" spans="1:17" ht="13.5" thickBot="1" x14ac:dyDescent="0.25">
      <c r="A34" s="614" t="s">
        <v>0</v>
      </c>
      <c r="B34" s="615" t="s">
        <v>1</v>
      </c>
      <c r="C34" s="1056" t="s">
        <v>656</v>
      </c>
      <c r="D34" s="939"/>
      <c r="E34" s="939"/>
      <c r="F34" s="939"/>
      <c r="G34" s="939" t="s">
        <v>34</v>
      </c>
      <c r="H34" s="939"/>
      <c r="I34" s="939"/>
      <c r="J34" s="616"/>
      <c r="K34" s="523"/>
      <c r="L34" s="391"/>
      <c r="M34" s="624"/>
      <c r="N34" s="393"/>
      <c r="O34" s="381"/>
      <c r="P34" s="382"/>
      <c r="Q34" s="383"/>
    </row>
    <row r="35" spans="1:17" ht="16.5" thickBot="1" x14ac:dyDescent="0.3">
      <c r="A35" s="579" t="s">
        <v>220</v>
      </c>
      <c r="B35" s="580" t="s">
        <v>58</v>
      </c>
      <c r="C35" s="625" t="s">
        <v>19</v>
      </c>
      <c r="D35" s="625" t="s">
        <v>33</v>
      </c>
      <c r="E35" s="626" t="s">
        <v>35</v>
      </c>
      <c r="F35" s="627" t="s">
        <v>30</v>
      </c>
      <c r="G35" s="628" t="s">
        <v>14</v>
      </c>
      <c r="H35" s="626" t="s">
        <v>35</v>
      </c>
      <c r="I35" s="627" t="s">
        <v>30</v>
      </c>
      <c r="J35" s="620" t="s">
        <v>659</v>
      </c>
      <c r="K35" s="629" t="s">
        <v>38</v>
      </c>
      <c r="L35" s="402" t="s">
        <v>1074</v>
      </c>
      <c r="M35" s="632"/>
      <c r="N35" s="409"/>
      <c r="O35" s="381"/>
      <c r="P35" s="382"/>
      <c r="Q35" s="383"/>
    </row>
    <row r="36" spans="1:17" x14ac:dyDescent="0.2">
      <c r="A36" s="387"/>
      <c r="B36" s="7" t="s">
        <v>1110</v>
      </c>
      <c r="C36" s="568">
        <f>20027+4282</f>
        <v>24309</v>
      </c>
      <c r="D36" s="372" t="s">
        <v>732</v>
      </c>
      <c r="E36" s="253">
        <v>12</v>
      </c>
      <c r="F36" s="373">
        <f>C36*E36</f>
        <v>291708</v>
      </c>
      <c r="G36" s="529"/>
      <c r="H36" s="375">
        <v>0</v>
      </c>
      <c r="I36" s="373">
        <f>G36*H36</f>
        <v>0</v>
      </c>
      <c r="J36" s="622"/>
      <c r="K36" s="530">
        <f>F36+I36+J36</f>
        <v>291708</v>
      </c>
      <c r="L36" s="159" t="s">
        <v>1075</v>
      </c>
      <c r="M36" s="876">
        <v>192414.29</v>
      </c>
      <c r="O36" s="381"/>
      <c r="P36" s="382"/>
      <c r="Q36" s="383"/>
    </row>
    <row r="37" spans="1:17" x14ac:dyDescent="0.2">
      <c r="A37" s="387"/>
      <c r="B37" s="7"/>
      <c r="C37" s="439"/>
      <c r="D37" s="372" t="s">
        <v>21</v>
      </c>
      <c r="E37" s="253">
        <v>0</v>
      </c>
      <c r="F37" s="373">
        <f>C37*E37</f>
        <v>0</v>
      </c>
      <c r="G37" s="529"/>
      <c r="H37" s="375">
        <v>0</v>
      </c>
      <c r="I37" s="373">
        <f>G37*H37</f>
        <v>0</v>
      </c>
      <c r="J37" s="622">
        <f>M37-55000</f>
        <v>270000</v>
      </c>
      <c r="K37" s="530">
        <f>F37+I37+J37</f>
        <v>270000</v>
      </c>
      <c r="L37" s="157" t="s">
        <v>1076</v>
      </c>
      <c r="M37" s="631">
        <v>325000</v>
      </c>
      <c r="N37" s="157" t="s">
        <v>1144</v>
      </c>
      <c r="O37" s="410"/>
      <c r="P37" s="411"/>
      <c r="Q37" s="383"/>
    </row>
    <row r="38" spans="1:17" ht="13.5" thickBot="1" x14ac:dyDescent="0.25">
      <c r="A38" s="387"/>
      <c r="B38" s="7"/>
      <c r="C38" s="371"/>
      <c r="D38" s="372" t="s">
        <v>21</v>
      </c>
      <c r="E38" s="253">
        <v>0</v>
      </c>
      <c r="F38" s="373">
        <f>C38*E38</f>
        <v>0</v>
      </c>
      <c r="G38" s="529"/>
      <c r="H38" s="375">
        <v>0</v>
      </c>
      <c r="I38" s="373">
        <f>G38*H38</f>
        <v>0</v>
      </c>
      <c r="J38" s="622"/>
      <c r="K38" s="530">
        <f>F38+I38+J38</f>
        <v>0</v>
      </c>
      <c r="L38" s="378" t="s">
        <v>1074</v>
      </c>
      <c r="M38" s="301">
        <v>715000</v>
      </c>
      <c r="N38" s="847">
        <f>M38/C36</f>
        <v>29.412974618454072</v>
      </c>
      <c r="O38" s="410" t="s">
        <v>1184</v>
      </c>
      <c r="P38" s="411"/>
      <c r="Q38" s="383"/>
    </row>
    <row r="39" spans="1:17" ht="13.5" thickTop="1" x14ac:dyDescent="0.2">
      <c r="A39" s="387"/>
      <c r="B39" s="412"/>
      <c r="C39" s="388"/>
      <c r="D39" s="372"/>
      <c r="E39" s="253"/>
      <c r="F39" s="373"/>
      <c r="G39" s="529"/>
      <c r="H39" s="375"/>
      <c r="I39" s="373"/>
      <c r="J39" s="389" t="s">
        <v>30</v>
      </c>
      <c r="K39" s="532">
        <f>SUM(K36:K38)</f>
        <v>561708</v>
      </c>
      <c r="L39" s="378" t="s">
        <v>1190</v>
      </c>
      <c r="M39" s="301" t="s">
        <v>1196</v>
      </c>
      <c r="N39" s="421" t="s">
        <v>1197</v>
      </c>
      <c r="O39" s="861">
        <f>C36*5.5</f>
        <v>133699.5</v>
      </c>
      <c r="P39" s="411"/>
      <c r="Q39" s="383"/>
    </row>
    <row r="40" spans="1:17" ht="13.5" thickBot="1" x14ac:dyDescent="0.25">
      <c r="A40" s="614" t="s">
        <v>0</v>
      </c>
      <c r="B40" s="615" t="s">
        <v>1</v>
      </c>
      <c r="C40" s="1056" t="s">
        <v>656</v>
      </c>
      <c r="D40" s="939"/>
      <c r="E40" s="939"/>
      <c r="F40" s="939"/>
      <c r="G40" s="939" t="s">
        <v>34</v>
      </c>
      <c r="H40" s="939"/>
      <c r="I40" s="939"/>
      <c r="J40" s="616"/>
      <c r="K40" s="523"/>
      <c r="L40" s="391"/>
      <c r="M40" s="624"/>
      <c r="N40" s="393"/>
      <c r="O40" s="410"/>
      <c r="P40" s="411"/>
      <c r="Q40" s="383"/>
    </row>
    <row r="41" spans="1:17" ht="16.5" thickBot="1" x14ac:dyDescent="0.3">
      <c r="A41" s="579" t="s">
        <v>221</v>
      </c>
      <c r="B41" s="580" t="s">
        <v>222</v>
      </c>
      <c r="C41" s="625" t="s">
        <v>19</v>
      </c>
      <c r="D41" s="625" t="s">
        <v>33</v>
      </c>
      <c r="E41" s="626" t="s">
        <v>35</v>
      </c>
      <c r="F41" s="627" t="s">
        <v>30</v>
      </c>
      <c r="G41" s="628" t="s">
        <v>14</v>
      </c>
      <c r="H41" s="626" t="s">
        <v>35</v>
      </c>
      <c r="I41" s="627" t="s">
        <v>30</v>
      </c>
      <c r="J41" s="620" t="s">
        <v>659</v>
      </c>
      <c r="K41" s="629" t="s">
        <v>38</v>
      </c>
      <c r="L41" s="402"/>
      <c r="M41" s="632"/>
      <c r="N41" s="409"/>
      <c r="O41" s="410"/>
      <c r="P41" s="411"/>
      <c r="Q41" s="383"/>
    </row>
    <row r="42" spans="1:17" x14ac:dyDescent="0.2">
      <c r="A42" s="387"/>
      <c r="B42" s="7"/>
      <c r="C42" s="371"/>
      <c r="D42" s="372" t="s">
        <v>21</v>
      </c>
      <c r="E42" s="253">
        <v>0</v>
      </c>
      <c r="F42" s="373">
        <f>C42*E42</f>
        <v>0</v>
      </c>
      <c r="G42" s="529"/>
      <c r="H42" s="375">
        <v>0</v>
      </c>
      <c r="I42" s="373">
        <f>G42*H42</f>
        <v>0</v>
      </c>
      <c r="J42" s="622"/>
      <c r="K42" s="530">
        <f>F42+I42+J42</f>
        <v>0</v>
      </c>
      <c r="L42" s="378"/>
      <c r="M42" s="301"/>
      <c r="N42" s="421"/>
      <c r="O42" s="410"/>
      <c r="P42" s="411"/>
      <c r="Q42" s="383"/>
    </row>
    <row r="43" spans="1:17" x14ac:dyDescent="0.2">
      <c r="A43" s="387"/>
      <c r="B43" s="7"/>
      <c r="C43" s="371"/>
      <c r="D43" s="372" t="s">
        <v>21</v>
      </c>
      <c r="E43" s="253">
        <v>0</v>
      </c>
      <c r="F43" s="373">
        <f>C43*E43</f>
        <v>0</v>
      </c>
      <c r="G43" s="529"/>
      <c r="H43" s="375">
        <v>0</v>
      </c>
      <c r="I43" s="373">
        <f>G43*H43</f>
        <v>0</v>
      </c>
      <c r="J43" s="622"/>
      <c r="K43" s="530">
        <f>F43+I43+J43</f>
        <v>0</v>
      </c>
      <c r="L43" s="378"/>
      <c r="M43" s="301"/>
      <c r="N43" s="380"/>
      <c r="O43" s="381"/>
      <c r="P43" s="382"/>
      <c r="Q43" s="383"/>
    </row>
    <row r="44" spans="1:17" ht="13.5" thickBot="1" x14ac:dyDescent="0.25">
      <c r="A44" s="387"/>
      <c r="B44" s="7"/>
      <c r="C44" s="371"/>
      <c r="D44" s="372" t="s">
        <v>21</v>
      </c>
      <c r="E44" s="253">
        <v>0</v>
      </c>
      <c r="F44" s="373">
        <f>C44*E44</f>
        <v>0</v>
      </c>
      <c r="G44" s="529"/>
      <c r="H44" s="375">
        <v>0</v>
      </c>
      <c r="I44" s="373">
        <f>G44*H44</f>
        <v>0</v>
      </c>
      <c r="J44" s="622"/>
      <c r="K44" s="530">
        <f>F44+I44+J44</f>
        <v>0</v>
      </c>
      <c r="L44" s="157"/>
      <c r="M44" s="631"/>
      <c r="O44" s="381"/>
      <c r="P44" s="382"/>
      <c r="Q44" s="383"/>
    </row>
    <row r="45" spans="1:17" ht="13.5" thickTop="1" x14ac:dyDescent="0.2">
      <c r="A45" s="387"/>
      <c r="B45" s="412"/>
      <c r="C45" s="388"/>
      <c r="D45" s="372"/>
      <c r="E45" s="253"/>
      <c r="F45" s="373"/>
      <c r="G45" s="529"/>
      <c r="H45" s="375"/>
      <c r="I45" s="373"/>
      <c r="J45" s="389" t="s">
        <v>30</v>
      </c>
      <c r="K45" s="532">
        <f>SUM(K42:K44)</f>
        <v>0</v>
      </c>
      <c r="O45" s="381"/>
      <c r="P45" s="411"/>
      <c r="Q45" s="383"/>
    </row>
    <row r="46" spans="1:17" ht="13.5" thickBot="1" x14ac:dyDescent="0.25">
      <c r="A46" s="614" t="s">
        <v>0</v>
      </c>
      <c r="B46" s="615" t="s">
        <v>1</v>
      </c>
      <c r="C46" s="1056" t="s">
        <v>656</v>
      </c>
      <c r="D46" s="939"/>
      <c r="E46" s="939"/>
      <c r="F46" s="939"/>
      <c r="G46" s="939" t="s">
        <v>34</v>
      </c>
      <c r="H46" s="939"/>
      <c r="I46" s="939"/>
      <c r="J46" s="616"/>
      <c r="K46" s="523"/>
      <c r="L46" s="391"/>
      <c r="M46" s="616"/>
      <c r="N46" s="393"/>
      <c r="O46" s="381"/>
      <c r="P46" s="382"/>
      <c r="Q46" s="383"/>
    </row>
    <row r="47" spans="1:17" ht="16.5" thickBot="1" x14ac:dyDescent="0.3">
      <c r="A47" s="579" t="s">
        <v>223</v>
      </c>
      <c r="B47" s="580" t="s">
        <v>224</v>
      </c>
      <c r="C47" s="625" t="s">
        <v>19</v>
      </c>
      <c r="D47" s="625" t="s">
        <v>33</v>
      </c>
      <c r="E47" s="626" t="s">
        <v>35</v>
      </c>
      <c r="F47" s="627" t="s">
        <v>30</v>
      </c>
      <c r="G47" s="628" t="s">
        <v>14</v>
      </c>
      <c r="H47" s="626" t="s">
        <v>35</v>
      </c>
      <c r="I47" s="627" t="s">
        <v>30</v>
      </c>
      <c r="J47" s="620" t="s">
        <v>659</v>
      </c>
      <c r="K47" s="629" t="s">
        <v>38</v>
      </c>
      <c r="L47" s="402"/>
      <c r="M47" s="632"/>
      <c r="N47" s="404"/>
      <c r="O47" s="381"/>
      <c r="P47" s="382"/>
      <c r="Q47" s="383"/>
    </row>
    <row r="48" spans="1:17" x14ac:dyDescent="0.2">
      <c r="A48" s="387"/>
      <c r="B48" s="7"/>
      <c r="C48" s="439"/>
      <c r="D48" s="372" t="s">
        <v>21</v>
      </c>
      <c r="E48" s="253">
        <v>0</v>
      </c>
      <c r="F48" s="373">
        <f>C48*E48</f>
        <v>0</v>
      </c>
      <c r="G48" s="529"/>
      <c r="H48" s="375">
        <v>0</v>
      </c>
      <c r="I48" s="373">
        <f>G48*H48</f>
        <v>0</v>
      </c>
      <c r="J48" s="622"/>
      <c r="K48" s="530">
        <f>F48+I48+J48</f>
        <v>0</v>
      </c>
      <c r="L48" s="378"/>
      <c r="M48" s="301"/>
      <c r="N48" s="380"/>
      <c r="O48" s="381"/>
      <c r="P48" s="382"/>
      <c r="Q48" s="383"/>
    </row>
    <row r="49" spans="1:17" ht="13.5" thickBot="1" x14ac:dyDescent="0.25">
      <c r="A49" s="387"/>
      <c r="B49" s="7"/>
      <c r="C49" s="371"/>
      <c r="D49" s="372" t="s">
        <v>21</v>
      </c>
      <c r="E49" s="253">
        <v>0</v>
      </c>
      <c r="F49" s="373">
        <f>C49*E49</f>
        <v>0</v>
      </c>
      <c r="G49" s="529"/>
      <c r="H49" s="375">
        <v>0</v>
      </c>
      <c r="I49" s="373">
        <f>G49*H49</f>
        <v>0</v>
      </c>
      <c r="J49" s="622"/>
      <c r="K49" s="530">
        <f>F49+I49+J49</f>
        <v>0</v>
      </c>
      <c r="L49" s="378"/>
      <c r="M49" s="301"/>
      <c r="N49" s="380"/>
      <c r="O49" s="381"/>
      <c r="P49" s="382"/>
      <c r="Q49" s="383"/>
    </row>
    <row r="50" spans="1:17" ht="13.5" thickTop="1" x14ac:dyDescent="0.2">
      <c r="A50" s="387"/>
      <c r="C50" s="388"/>
      <c r="D50" s="372"/>
      <c r="E50" s="253"/>
      <c r="F50" s="373"/>
      <c r="G50" s="529"/>
      <c r="H50" s="375"/>
      <c r="I50" s="373"/>
      <c r="J50" s="389" t="s">
        <v>30</v>
      </c>
      <c r="K50" s="532">
        <f>SUM(K48:K49)</f>
        <v>0</v>
      </c>
      <c r="L50" s="378"/>
      <c r="M50" s="301"/>
      <c r="N50" s="380"/>
      <c r="O50" s="381"/>
      <c r="P50" s="382"/>
      <c r="Q50" s="383"/>
    </row>
    <row r="51" spans="1:17" ht="13.5" thickBot="1" x14ac:dyDescent="0.25">
      <c r="A51" s="614" t="s">
        <v>0</v>
      </c>
      <c r="B51" s="615" t="s">
        <v>1</v>
      </c>
      <c r="C51" s="1056" t="s">
        <v>656</v>
      </c>
      <c r="D51" s="939"/>
      <c r="E51" s="939"/>
      <c r="F51" s="939"/>
      <c r="G51" s="939" t="s">
        <v>34</v>
      </c>
      <c r="H51" s="939"/>
      <c r="I51" s="939"/>
      <c r="J51" s="616"/>
      <c r="K51" s="523"/>
      <c r="L51" s="391"/>
      <c r="M51" s="616"/>
      <c r="N51" s="393"/>
      <c r="O51" s="381"/>
      <c r="P51" s="382"/>
      <c r="Q51" s="383"/>
    </row>
    <row r="52" spans="1:17" ht="16.5" thickBot="1" x14ac:dyDescent="0.3">
      <c r="A52" s="579" t="s">
        <v>225</v>
      </c>
      <c r="B52" s="580" t="s">
        <v>226</v>
      </c>
      <c r="C52" s="625" t="s">
        <v>19</v>
      </c>
      <c r="D52" s="625" t="s">
        <v>33</v>
      </c>
      <c r="E52" s="626" t="s">
        <v>35</v>
      </c>
      <c r="F52" s="627" t="s">
        <v>30</v>
      </c>
      <c r="G52" s="628" t="s">
        <v>14</v>
      </c>
      <c r="H52" s="626" t="s">
        <v>35</v>
      </c>
      <c r="I52" s="627" t="s">
        <v>30</v>
      </c>
      <c r="J52" s="620" t="s">
        <v>659</v>
      </c>
      <c r="K52" s="629" t="s">
        <v>38</v>
      </c>
      <c r="L52" s="402"/>
      <c r="M52" s="632"/>
      <c r="N52" s="404"/>
      <c r="O52" s="436"/>
      <c r="P52" s="437"/>
      <c r="Q52" s="383"/>
    </row>
    <row r="53" spans="1:17" x14ac:dyDescent="0.2">
      <c r="A53" s="387"/>
      <c r="B53" s="7"/>
      <c r="C53" s="371"/>
      <c r="D53" s="372" t="s">
        <v>21</v>
      </c>
      <c r="E53" s="253">
        <v>0</v>
      </c>
      <c r="F53" s="373">
        <f>C53*E53</f>
        <v>0</v>
      </c>
      <c r="G53" s="529"/>
      <c r="H53" s="375">
        <v>0</v>
      </c>
      <c r="I53" s="373">
        <f>G53*H53</f>
        <v>0</v>
      </c>
      <c r="J53" s="622"/>
      <c r="K53" s="530">
        <f>F53+I53+J53</f>
        <v>0</v>
      </c>
      <c r="L53" s="378"/>
      <c r="M53" s="301"/>
      <c r="N53" s="421"/>
      <c r="O53" s="436"/>
      <c r="P53" s="437"/>
      <c r="Q53" s="383"/>
    </row>
    <row r="54" spans="1:17" ht="13.5" thickBot="1" x14ac:dyDescent="0.25">
      <c r="A54" s="387"/>
      <c r="B54" s="7"/>
      <c r="C54" s="371"/>
      <c r="D54" s="372" t="s">
        <v>21</v>
      </c>
      <c r="E54" s="253">
        <v>0</v>
      </c>
      <c r="F54" s="373">
        <f>C54*E54</f>
        <v>0</v>
      </c>
      <c r="G54" s="529"/>
      <c r="H54" s="375">
        <v>0</v>
      </c>
      <c r="I54" s="373">
        <f>G54*H54</f>
        <v>0</v>
      </c>
      <c r="J54" s="622"/>
      <c r="K54" s="530">
        <f>F54+I54+J54</f>
        <v>0</v>
      </c>
      <c r="O54" s="410"/>
      <c r="P54" s="411"/>
      <c r="Q54" s="383"/>
    </row>
    <row r="55" spans="1:17" ht="13.5" thickTop="1" x14ac:dyDescent="0.2">
      <c r="A55" s="387"/>
      <c r="B55" s="412"/>
      <c r="C55" s="582"/>
      <c r="D55" s="372"/>
      <c r="E55" s="253"/>
      <c r="F55" s="373"/>
      <c r="G55" s="529"/>
      <c r="H55" s="375"/>
      <c r="I55" s="373"/>
      <c r="J55" s="389" t="s">
        <v>30</v>
      </c>
      <c r="K55" s="532">
        <f>SUM(K53:K54)</f>
        <v>0</v>
      </c>
      <c r="O55" s="381"/>
      <c r="P55" s="382"/>
      <c r="Q55" s="383"/>
    </row>
    <row r="56" spans="1:17" ht="13.5" thickBot="1" x14ac:dyDescent="0.25">
      <c r="A56" s="614" t="s">
        <v>0</v>
      </c>
      <c r="B56" s="615" t="s">
        <v>1</v>
      </c>
      <c r="C56" s="939" t="s">
        <v>656</v>
      </c>
      <c r="D56" s="939"/>
      <c r="E56" s="939"/>
      <c r="F56" s="939"/>
      <c r="G56" s="939" t="s">
        <v>34</v>
      </c>
      <c r="H56" s="939"/>
      <c r="I56" s="939"/>
      <c r="J56" s="616"/>
      <c r="K56" s="523"/>
      <c r="L56" s="391"/>
      <c r="M56" s="616"/>
      <c r="N56" s="438"/>
      <c r="O56" s="381"/>
      <c r="P56" s="382"/>
      <c r="Q56" s="383"/>
    </row>
    <row r="57" spans="1:17" ht="16.5" thickBot="1" x14ac:dyDescent="0.3">
      <c r="A57" s="579" t="s">
        <v>229</v>
      </c>
      <c r="B57" s="580" t="s">
        <v>227</v>
      </c>
      <c r="C57" s="625" t="s">
        <v>19</v>
      </c>
      <c r="D57" s="625" t="s">
        <v>33</v>
      </c>
      <c r="E57" s="626" t="s">
        <v>35</v>
      </c>
      <c r="F57" s="627" t="s">
        <v>30</v>
      </c>
      <c r="G57" s="628" t="s">
        <v>14</v>
      </c>
      <c r="H57" s="626" t="s">
        <v>35</v>
      </c>
      <c r="I57" s="627" t="s">
        <v>30</v>
      </c>
      <c r="J57" s="620" t="s">
        <v>659</v>
      </c>
      <c r="K57" s="629" t="s">
        <v>38</v>
      </c>
      <c r="L57" s="402"/>
      <c r="M57" s="632"/>
      <c r="N57" s="409"/>
      <c r="O57" s="381"/>
      <c r="P57" s="382"/>
      <c r="Q57" s="383"/>
    </row>
    <row r="58" spans="1:17" x14ac:dyDescent="0.2">
      <c r="A58" s="387"/>
      <c r="B58" s="7"/>
      <c r="C58" s="371"/>
      <c r="D58" s="372" t="s">
        <v>21</v>
      </c>
      <c r="E58" s="253">
        <v>0</v>
      </c>
      <c r="F58" s="373">
        <f>C58*E58</f>
        <v>0</v>
      </c>
      <c r="G58" s="529"/>
      <c r="H58" s="375">
        <v>0</v>
      </c>
      <c r="I58" s="373">
        <f>G58*H58</f>
        <v>0</v>
      </c>
      <c r="J58" s="622"/>
      <c r="K58" s="530">
        <f>F58+I58+J58</f>
        <v>0</v>
      </c>
      <c r="L58" s="378"/>
      <c r="M58" s="623"/>
      <c r="N58" s="380"/>
      <c r="O58" s="381"/>
      <c r="P58" s="382"/>
      <c r="Q58" s="383"/>
    </row>
    <row r="59" spans="1:17" ht="13.5" thickBot="1" x14ac:dyDescent="0.25">
      <c r="A59" s="387"/>
      <c r="B59" s="7"/>
      <c r="C59" s="371"/>
      <c r="D59" s="372" t="s">
        <v>21</v>
      </c>
      <c r="E59" s="253">
        <v>0</v>
      </c>
      <c r="F59" s="373">
        <f>C59*E59</f>
        <v>0</v>
      </c>
      <c r="G59" s="529"/>
      <c r="H59" s="375">
        <v>0</v>
      </c>
      <c r="I59" s="373">
        <f>G59*H59</f>
        <v>0</v>
      </c>
      <c r="J59" s="622"/>
      <c r="K59" s="530">
        <f>F59+I59+J59</f>
        <v>0</v>
      </c>
      <c r="L59" s="378"/>
      <c r="M59" s="623"/>
      <c r="N59" s="380"/>
      <c r="O59" s="381"/>
      <c r="P59" s="382"/>
      <c r="Q59" s="383"/>
    </row>
    <row r="60" spans="1:17" ht="14.25" thickTop="1" thickBot="1" x14ac:dyDescent="0.25">
      <c r="A60" s="470"/>
      <c r="B60" s="156"/>
      <c r="C60" s="471"/>
      <c r="D60" s="472"/>
      <c r="E60" s="633"/>
      <c r="F60" s="474"/>
      <c r="G60" s="634"/>
      <c r="H60" s="633"/>
      <c r="I60" s="474"/>
      <c r="J60" s="476" t="s">
        <v>30</v>
      </c>
      <c r="K60" s="635">
        <f>SUM(K58:K59)</f>
        <v>0</v>
      </c>
      <c r="L60" s="378"/>
      <c r="M60" s="623"/>
      <c r="N60" s="380"/>
      <c r="O60" s="381"/>
      <c r="P60" s="382"/>
      <c r="Q60" s="383"/>
    </row>
    <row r="61" spans="1:17" ht="13.5" thickBot="1" x14ac:dyDescent="0.25">
      <c r="A61" s="614" t="s">
        <v>0</v>
      </c>
      <c r="B61" s="615" t="s">
        <v>1</v>
      </c>
      <c r="C61" s="1056" t="s">
        <v>656</v>
      </c>
      <c r="D61" s="939"/>
      <c r="E61" s="939"/>
      <c r="F61" s="939"/>
      <c r="G61" s="939" t="s">
        <v>34</v>
      </c>
      <c r="H61" s="939"/>
      <c r="I61" s="939"/>
      <c r="J61" s="616"/>
      <c r="K61" s="523"/>
      <c r="L61" s="391"/>
      <c r="M61" s="624"/>
      <c r="N61" s="393"/>
      <c r="O61" s="381"/>
      <c r="P61" s="382"/>
      <c r="Q61" s="383"/>
    </row>
    <row r="62" spans="1:17" ht="16.5" thickBot="1" x14ac:dyDescent="0.3">
      <c r="A62" s="579" t="s">
        <v>230</v>
      </c>
      <c r="B62" s="580" t="s">
        <v>228</v>
      </c>
      <c r="C62" s="625" t="s">
        <v>19</v>
      </c>
      <c r="D62" s="625" t="s">
        <v>33</v>
      </c>
      <c r="E62" s="626" t="s">
        <v>35</v>
      </c>
      <c r="F62" s="627" t="s">
        <v>30</v>
      </c>
      <c r="G62" s="628" t="s">
        <v>14</v>
      </c>
      <c r="H62" s="626" t="s">
        <v>35</v>
      </c>
      <c r="I62" s="627" t="s">
        <v>30</v>
      </c>
      <c r="J62" s="620" t="s">
        <v>659</v>
      </c>
      <c r="K62" s="629" t="s">
        <v>38</v>
      </c>
      <c r="L62" s="402"/>
      <c r="M62" s="630"/>
      <c r="N62" s="404"/>
      <c r="O62" s="381"/>
      <c r="P62" s="382"/>
      <c r="Q62" s="383"/>
    </row>
    <row r="63" spans="1:17" x14ac:dyDescent="0.2">
      <c r="A63" s="387"/>
      <c r="B63" s="7"/>
      <c r="C63" s="371"/>
      <c r="D63" s="372" t="s">
        <v>21</v>
      </c>
      <c r="E63" s="253">
        <v>0</v>
      </c>
      <c r="F63" s="373">
        <f>C63*E63</f>
        <v>0</v>
      </c>
      <c r="G63" s="529"/>
      <c r="H63" s="375">
        <v>0</v>
      </c>
      <c r="I63" s="373">
        <f>G63*H63</f>
        <v>0</v>
      </c>
      <c r="J63" s="622"/>
      <c r="K63" s="530">
        <f>F63+I63+J63</f>
        <v>0</v>
      </c>
      <c r="O63" s="381"/>
      <c r="P63" s="382"/>
      <c r="Q63" s="383"/>
    </row>
    <row r="64" spans="1:17" x14ac:dyDescent="0.2">
      <c r="A64" s="387"/>
      <c r="B64" s="7"/>
      <c r="C64" s="439"/>
      <c r="D64" s="372" t="s">
        <v>21</v>
      </c>
      <c r="E64" s="253">
        <v>0</v>
      </c>
      <c r="F64" s="373">
        <f>C64*E64</f>
        <v>0</v>
      </c>
      <c r="G64" s="529"/>
      <c r="H64" s="375">
        <v>0</v>
      </c>
      <c r="I64" s="373">
        <f>G64*H64</f>
        <v>0</v>
      </c>
      <c r="J64" s="622"/>
      <c r="K64" s="530">
        <f>F64+I64+J64</f>
        <v>0</v>
      </c>
      <c r="O64" s="381"/>
      <c r="P64" s="382"/>
      <c r="Q64" s="383"/>
    </row>
    <row r="65" spans="1:17" ht="13.5" thickBot="1" x14ac:dyDescent="0.25">
      <c r="A65" s="387"/>
      <c r="B65" s="7"/>
      <c r="C65" s="439"/>
      <c r="D65" s="372" t="s">
        <v>21</v>
      </c>
      <c r="E65" s="253">
        <v>0</v>
      </c>
      <c r="F65" s="373">
        <f>C65*E65</f>
        <v>0</v>
      </c>
      <c r="G65" s="529"/>
      <c r="H65" s="375">
        <v>0</v>
      </c>
      <c r="I65" s="373">
        <f>G65*H65</f>
        <v>0</v>
      </c>
      <c r="J65" s="622"/>
      <c r="K65" s="530">
        <f>F65+I65+J65</f>
        <v>0</v>
      </c>
      <c r="O65" s="381"/>
      <c r="P65" s="382"/>
      <c r="Q65" s="383"/>
    </row>
    <row r="66" spans="1:17" ht="14.25" thickTop="1" thickBot="1" x14ac:dyDescent="0.25">
      <c r="A66" s="470"/>
      <c r="B66" s="156"/>
      <c r="C66" s="471"/>
      <c r="D66" s="472"/>
      <c r="E66" s="633"/>
      <c r="F66" s="474"/>
      <c r="G66" s="634"/>
      <c r="H66" s="633"/>
      <c r="I66" s="474"/>
      <c r="J66" s="476" t="s">
        <v>30</v>
      </c>
      <c r="K66" s="635">
        <f>SUM(K63:K65)</f>
        <v>0</v>
      </c>
      <c r="L66" s="378"/>
      <c r="M66" s="623"/>
      <c r="N66" s="380"/>
      <c r="O66" s="381"/>
      <c r="P66" s="382"/>
      <c r="Q66" s="383"/>
    </row>
    <row r="67" spans="1:17" ht="13.5" thickBot="1" x14ac:dyDescent="0.25">
      <c r="A67" s="614" t="s">
        <v>0</v>
      </c>
      <c r="B67" s="615" t="s">
        <v>1</v>
      </c>
      <c r="C67" s="1056" t="s">
        <v>656</v>
      </c>
      <c r="D67" s="939"/>
      <c r="E67" s="939"/>
      <c r="F67" s="939"/>
      <c r="G67" s="939" t="s">
        <v>34</v>
      </c>
      <c r="H67" s="939"/>
      <c r="I67" s="939"/>
      <c r="J67" s="616"/>
      <c r="K67" s="523"/>
      <c r="L67" s="391"/>
      <c r="M67" s="624"/>
      <c r="N67" s="393"/>
      <c r="O67" s="381"/>
      <c r="P67" s="382"/>
      <c r="Q67" s="383"/>
    </row>
    <row r="68" spans="1:17" ht="16.5" thickBot="1" x14ac:dyDescent="0.3">
      <c r="A68" s="579" t="s">
        <v>231</v>
      </c>
      <c r="B68" s="580" t="s">
        <v>232</v>
      </c>
      <c r="C68" s="625" t="s">
        <v>19</v>
      </c>
      <c r="D68" s="625" t="s">
        <v>33</v>
      </c>
      <c r="E68" s="626" t="s">
        <v>35</v>
      </c>
      <c r="F68" s="627" t="s">
        <v>30</v>
      </c>
      <c r="G68" s="628" t="s">
        <v>14</v>
      </c>
      <c r="H68" s="626" t="s">
        <v>35</v>
      </c>
      <c r="I68" s="627" t="s">
        <v>30</v>
      </c>
      <c r="J68" s="620" t="s">
        <v>659</v>
      </c>
      <c r="K68" s="629" t="s">
        <v>38</v>
      </c>
      <c r="L68" s="402"/>
      <c r="M68" s="630"/>
      <c r="N68" s="404"/>
      <c r="O68" s="381"/>
      <c r="P68" s="382"/>
      <c r="Q68" s="383"/>
    </row>
    <row r="69" spans="1:17" x14ac:dyDescent="0.2">
      <c r="A69" s="256" t="s">
        <v>233</v>
      </c>
      <c r="B69" s="256" t="s">
        <v>235</v>
      </c>
      <c r="C69" s="371"/>
      <c r="D69" s="372" t="s">
        <v>21</v>
      </c>
      <c r="E69" s="253">
        <v>0</v>
      </c>
      <c r="F69" s="373">
        <f>C69*E69</f>
        <v>0</v>
      </c>
      <c r="G69" s="529"/>
      <c r="H69" s="375">
        <v>0</v>
      </c>
      <c r="I69" s="373">
        <f>G69*H69</f>
        <v>0</v>
      </c>
      <c r="J69" s="622"/>
      <c r="K69" s="530">
        <f>F69+I69+J69</f>
        <v>0</v>
      </c>
      <c r="L69" s="378"/>
      <c r="M69" s="623"/>
      <c r="N69" s="380"/>
      <c r="O69" s="381"/>
      <c r="P69" s="382"/>
      <c r="Q69" s="383"/>
    </row>
    <row r="70" spans="1:17" x14ac:dyDescent="0.2">
      <c r="A70" s="256" t="s">
        <v>234</v>
      </c>
      <c r="B70" s="256" t="s">
        <v>236</v>
      </c>
      <c r="C70" s="371"/>
      <c r="D70" s="372" t="s">
        <v>21</v>
      </c>
      <c r="E70" s="253">
        <v>0</v>
      </c>
      <c r="F70" s="373">
        <f>C70*E70</f>
        <v>0</v>
      </c>
      <c r="G70" s="529"/>
      <c r="H70" s="375">
        <v>0</v>
      </c>
      <c r="I70" s="373">
        <f>G70*H70</f>
        <v>0</v>
      </c>
      <c r="J70" s="622"/>
      <c r="K70" s="530">
        <f>F70+I70+J70</f>
        <v>0</v>
      </c>
      <c r="L70" s="378"/>
      <c r="M70" s="623"/>
      <c r="N70" s="380"/>
      <c r="O70" s="381"/>
      <c r="P70" s="382"/>
      <c r="Q70" s="383"/>
    </row>
    <row r="71" spans="1:17" ht="13.5" thickBot="1" x14ac:dyDescent="0.25">
      <c r="A71" s="387"/>
      <c r="B71" s="7"/>
      <c r="C71" s="371"/>
      <c r="D71" s="372" t="s">
        <v>21</v>
      </c>
      <c r="E71" s="253">
        <v>0</v>
      </c>
      <c r="F71" s="373">
        <f>C71*E71</f>
        <v>0</v>
      </c>
      <c r="G71" s="529"/>
      <c r="H71" s="375">
        <v>0</v>
      </c>
      <c r="I71" s="373">
        <f>G71*H71</f>
        <v>0</v>
      </c>
      <c r="J71" s="622"/>
      <c r="K71" s="530">
        <f>F71+I71+J71</f>
        <v>0</v>
      </c>
      <c r="L71" s="378"/>
      <c r="M71" s="623"/>
      <c r="N71" s="380"/>
      <c r="O71" s="381"/>
      <c r="P71" s="382"/>
      <c r="Q71" s="383"/>
    </row>
    <row r="72" spans="1:17" ht="14.25" thickTop="1" thickBot="1" x14ac:dyDescent="0.25">
      <c r="A72" s="470"/>
      <c r="B72" s="156"/>
      <c r="C72" s="471"/>
      <c r="D72" s="472"/>
      <c r="E72" s="633"/>
      <c r="F72" s="474"/>
      <c r="G72" s="634"/>
      <c r="H72" s="633"/>
      <c r="I72" s="474"/>
      <c r="J72" s="476" t="s">
        <v>30</v>
      </c>
      <c r="K72" s="635">
        <f>SUM(K69:K71)</f>
        <v>0</v>
      </c>
      <c r="L72" s="378"/>
      <c r="M72" s="623"/>
      <c r="N72" s="380"/>
      <c r="O72" s="381"/>
      <c r="P72" s="382"/>
      <c r="Q72" s="383"/>
    </row>
    <row r="73" spans="1:17" ht="13.5" thickBot="1" x14ac:dyDescent="0.25">
      <c r="A73" s="614" t="s">
        <v>0</v>
      </c>
      <c r="B73" s="615" t="s">
        <v>1</v>
      </c>
      <c r="C73" s="1056" t="s">
        <v>656</v>
      </c>
      <c r="D73" s="939"/>
      <c r="E73" s="939"/>
      <c r="F73" s="939"/>
      <c r="G73" s="939" t="s">
        <v>34</v>
      </c>
      <c r="H73" s="939"/>
      <c r="I73" s="939"/>
      <c r="J73" s="616"/>
      <c r="K73" s="523"/>
      <c r="L73" s="391"/>
      <c r="M73" s="624"/>
      <c r="N73" s="393"/>
      <c r="O73" s="381"/>
      <c r="P73" s="382"/>
      <c r="Q73" s="383"/>
    </row>
    <row r="74" spans="1:17" ht="16.5" thickBot="1" x14ac:dyDescent="0.3">
      <c r="A74" s="579" t="s">
        <v>237</v>
      </c>
      <c r="B74" s="580" t="s">
        <v>238</v>
      </c>
      <c r="C74" s="625" t="s">
        <v>19</v>
      </c>
      <c r="D74" s="625" t="s">
        <v>33</v>
      </c>
      <c r="E74" s="626" t="s">
        <v>35</v>
      </c>
      <c r="F74" s="627" t="s">
        <v>30</v>
      </c>
      <c r="G74" s="628" t="s">
        <v>14</v>
      </c>
      <c r="H74" s="626" t="s">
        <v>35</v>
      </c>
      <c r="I74" s="627" t="s">
        <v>30</v>
      </c>
      <c r="J74" s="620" t="s">
        <v>659</v>
      </c>
      <c r="K74" s="629" t="s">
        <v>38</v>
      </c>
      <c r="L74" s="402" t="s">
        <v>1070</v>
      </c>
      <c r="M74" s="630">
        <v>26550</v>
      </c>
      <c r="N74" s="404"/>
      <c r="O74" s="381"/>
      <c r="P74" s="382"/>
      <c r="Q74" s="383"/>
    </row>
    <row r="75" spans="1:17" ht="15" x14ac:dyDescent="0.2">
      <c r="A75" s="636" t="s">
        <v>239</v>
      </c>
      <c r="B75" s="637" t="s">
        <v>240</v>
      </c>
      <c r="C75" s="434">
        <v>59</v>
      </c>
      <c r="D75" s="372" t="s">
        <v>33</v>
      </c>
      <c r="E75" s="253">
        <f>M77</f>
        <v>457.14285714285717</v>
      </c>
      <c r="F75" s="373"/>
      <c r="G75" s="529"/>
      <c r="H75" s="375">
        <v>0</v>
      </c>
      <c r="I75" s="373">
        <f>G75*H75</f>
        <v>0</v>
      </c>
      <c r="J75" s="622">
        <f>M74</f>
        <v>26550</v>
      </c>
      <c r="K75" s="530">
        <f>F75+I75+J75</f>
        <v>26550</v>
      </c>
      <c r="L75" s="159" t="s">
        <v>1077</v>
      </c>
      <c r="M75" s="314">
        <v>48376</v>
      </c>
      <c r="O75" s="381"/>
      <c r="P75" s="382" t="s">
        <v>754</v>
      </c>
      <c r="Q75" s="383"/>
    </row>
    <row r="76" spans="1:17" x14ac:dyDescent="0.2">
      <c r="A76" s="387"/>
      <c r="B76" s="7" t="s">
        <v>1119</v>
      </c>
      <c r="C76" s="439"/>
      <c r="D76" s="372" t="s">
        <v>21</v>
      </c>
      <c r="E76" s="253">
        <v>0</v>
      </c>
      <c r="F76" s="373">
        <f>C76*E76</f>
        <v>0</v>
      </c>
      <c r="G76" s="529"/>
      <c r="H76" s="375">
        <v>0</v>
      </c>
      <c r="I76" s="373">
        <f>G76*H76</f>
        <v>0</v>
      </c>
      <c r="J76" s="622"/>
      <c r="K76" s="530">
        <f>F76+I76+J76</f>
        <v>0</v>
      </c>
      <c r="L76" s="378" t="s">
        <v>1082</v>
      </c>
      <c r="M76" s="867">
        <v>21180</v>
      </c>
      <c r="N76" s="380"/>
      <c r="O76" s="381"/>
      <c r="P76" s="382"/>
      <c r="Q76" s="383"/>
    </row>
    <row r="77" spans="1:17" ht="13.5" thickBot="1" x14ac:dyDescent="0.25">
      <c r="A77" s="387"/>
      <c r="B77" s="7"/>
      <c r="C77" s="371"/>
      <c r="D77" s="372"/>
      <c r="E77" s="253"/>
      <c r="F77" s="373"/>
      <c r="G77" s="529"/>
      <c r="H77" s="375"/>
      <c r="I77" s="373"/>
      <c r="J77" s="622"/>
      <c r="K77" s="530"/>
      <c r="L77" s="378" t="s">
        <v>1025</v>
      </c>
      <c r="M77" s="623">
        <f>28800/63</f>
        <v>457.14285714285717</v>
      </c>
      <c r="N77" s="380"/>
      <c r="O77" s="381"/>
      <c r="P77" s="382"/>
      <c r="Q77" s="383"/>
    </row>
    <row r="78" spans="1:17" ht="14.25" thickTop="1" thickBot="1" x14ac:dyDescent="0.25">
      <c r="A78" s="470"/>
      <c r="B78" s="156"/>
      <c r="C78" s="471"/>
      <c r="D78" s="472"/>
      <c r="E78" s="633"/>
      <c r="F78" s="474"/>
      <c r="G78" s="634"/>
      <c r="H78" s="633"/>
      <c r="I78" s="474"/>
      <c r="J78" s="476" t="s">
        <v>30</v>
      </c>
      <c r="K78" s="635">
        <f>SUM(K75:K77)</f>
        <v>26550</v>
      </c>
      <c r="L78" s="378" t="s">
        <v>1117</v>
      </c>
      <c r="M78" s="623">
        <f>21180/59</f>
        <v>358.9830508474576</v>
      </c>
      <c r="N78" s="380"/>
      <c r="O78" s="381"/>
      <c r="P78" s="382"/>
      <c r="Q78" s="383"/>
    </row>
    <row r="79" spans="1:17" ht="13.5" thickBot="1" x14ac:dyDescent="0.25">
      <c r="A79" s="614" t="s">
        <v>0</v>
      </c>
      <c r="B79" s="615" t="s">
        <v>1</v>
      </c>
      <c r="C79" s="1056" t="s">
        <v>656</v>
      </c>
      <c r="D79" s="939"/>
      <c r="E79" s="939"/>
      <c r="F79" s="939"/>
      <c r="G79" s="939" t="s">
        <v>34</v>
      </c>
      <c r="H79" s="939"/>
      <c r="I79" s="939"/>
      <c r="J79" s="616"/>
      <c r="K79" s="523"/>
      <c r="L79" s="391"/>
      <c r="M79" s="624"/>
      <c r="N79" s="393"/>
      <c r="O79" s="381"/>
      <c r="P79" s="382"/>
      <c r="Q79" s="383"/>
    </row>
    <row r="80" spans="1:17" ht="16.5" thickBot="1" x14ac:dyDescent="0.3">
      <c r="A80" s="579" t="s">
        <v>241</v>
      </c>
      <c r="B80" s="580" t="s">
        <v>242</v>
      </c>
      <c r="C80" s="625" t="s">
        <v>19</v>
      </c>
      <c r="D80" s="625" t="s">
        <v>33</v>
      </c>
      <c r="E80" s="626" t="s">
        <v>35</v>
      </c>
      <c r="F80" s="627" t="s">
        <v>30</v>
      </c>
      <c r="G80" s="628" t="s">
        <v>14</v>
      </c>
      <c r="H80" s="626" t="s">
        <v>35</v>
      </c>
      <c r="I80" s="627" t="s">
        <v>30</v>
      </c>
      <c r="J80" s="620" t="s">
        <v>659</v>
      </c>
      <c r="K80" s="629" t="s">
        <v>38</v>
      </c>
      <c r="L80" s="402"/>
      <c r="M80" s="630"/>
      <c r="N80" s="404"/>
      <c r="O80" s="381"/>
      <c r="P80" s="382"/>
      <c r="Q80" s="383"/>
    </row>
    <row r="81" spans="1:17" x14ac:dyDescent="0.2">
      <c r="A81" s="387"/>
      <c r="B81" s="7"/>
      <c r="C81" s="371"/>
      <c r="D81" s="372" t="s">
        <v>21</v>
      </c>
      <c r="E81" s="253">
        <v>0</v>
      </c>
      <c r="F81" s="373">
        <f>C81*E81</f>
        <v>0</v>
      </c>
      <c r="G81" s="529"/>
      <c r="H81" s="375">
        <v>0</v>
      </c>
      <c r="I81" s="373">
        <f>G81*H81</f>
        <v>0</v>
      </c>
      <c r="J81" s="622"/>
      <c r="K81" s="530">
        <f>F81+I81+J81</f>
        <v>0</v>
      </c>
      <c r="O81" s="381"/>
      <c r="P81" s="382"/>
      <c r="Q81" s="383"/>
    </row>
    <row r="82" spans="1:17" x14ac:dyDescent="0.2">
      <c r="A82" s="387"/>
      <c r="B82" s="7"/>
      <c r="C82" s="371"/>
      <c r="D82" s="372" t="s">
        <v>21</v>
      </c>
      <c r="E82" s="253">
        <v>0</v>
      </c>
      <c r="F82" s="373">
        <f>C82*E82</f>
        <v>0</v>
      </c>
      <c r="G82" s="529"/>
      <c r="H82" s="375">
        <v>0</v>
      </c>
      <c r="I82" s="373">
        <f>G82*H82</f>
        <v>0</v>
      </c>
      <c r="J82" s="622"/>
      <c r="K82" s="530">
        <f>F82+I82+J82</f>
        <v>0</v>
      </c>
      <c r="L82" s="378"/>
      <c r="M82" s="623"/>
      <c r="N82" s="380"/>
      <c r="O82" s="381"/>
      <c r="P82" s="382"/>
      <c r="Q82" s="383"/>
    </row>
    <row r="83" spans="1:17" ht="13.5" thickBot="1" x14ac:dyDescent="0.25">
      <c r="A83" s="387"/>
      <c r="B83" s="7"/>
      <c r="C83" s="439"/>
      <c r="D83" s="372"/>
      <c r="E83" s="253"/>
      <c r="F83" s="373"/>
      <c r="G83" s="529"/>
      <c r="H83" s="375"/>
      <c r="I83" s="373"/>
      <c r="J83" s="622"/>
      <c r="K83" s="530"/>
      <c r="O83" s="381"/>
      <c r="P83" s="382"/>
      <c r="Q83" s="383"/>
    </row>
    <row r="84" spans="1:17" ht="14.25" thickTop="1" thickBot="1" x14ac:dyDescent="0.25">
      <c r="A84" s="470"/>
      <c r="B84" s="156"/>
      <c r="C84" s="471"/>
      <c r="D84" s="472"/>
      <c r="E84" s="633"/>
      <c r="F84" s="474"/>
      <c r="G84" s="634"/>
      <c r="H84" s="633"/>
      <c r="I84" s="474"/>
      <c r="J84" s="476" t="s">
        <v>30</v>
      </c>
      <c r="K84" s="635">
        <f>SUM(K81:K83)</f>
        <v>0</v>
      </c>
      <c r="O84" s="381"/>
      <c r="P84" s="382"/>
      <c r="Q84" s="383"/>
    </row>
    <row r="85" spans="1:17" ht="13.5" thickBot="1" x14ac:dyDescent="0.25">
      <c r="A85" s="614" t="s">
        <v>0</v>
      </c>
      <c r="B85" s="615" t="s">
        <v>1</v>
      </c>
      <c r="C85" s="939" t="s">
        <v>656</v>
      </c>
      <c r="D85" s="939"/>
      <c r="E85" s="939"/>
      <c r="F85" s="939"/>
      <c r="G85" s="939" t="s">
        <v>34</v>
      </c>
      <c r="H85" s="939"/>
      <c r="I85" s="939"/>
      <c r="J85" s="616"/>
      <c r="K85" s="523"/>
      <c r="L85" s="391"/>
      <c r="M85" s="624"/>
      <c r="N85" s="393"/>
      <c r="O85" s="381"/>
      <c r="P85" s="382"/>
      <c r="Q85" s="383"/>
    </row>
    <row r="86" spans="1:17" ht="16.5" thickBot="1" x14ac:dyDescent="0.3">
      <c r="A86" s="394"/>
      <c r="B86" s="395"/>
      <c r="C86" s="638" t="s">
        <v>19</v>
      </c>
      <c r="D86" s="625" t="s">
        <v>33</v>
      </c>
      <c r="E86" s="626" t="s">
        <v>35</v>
      </c>
      <c r="F86" s="627" t="s">
        <v>30</v>
      </c>
      <c r="G86" s="628" t="s">
        <v>14</v>
      </c>
      <c r="H86" s="626" t="s">
        <v>35</v>
      </c>
      <c r="I86" s="627" t="s">
        <v>30</v>
      </c>
      <c r="J86" s="620" t="s">
        <v>659</v>
      </c>
      <c r="K86" s="629" t="s">
        <v>38</v>
      </c>
      <c r="L86" s="402"/>
      <c r="M86" s="630"/>
      <c r="N86" s="404"/>
      <c r="O86" s="381"/>
      <c r="P86" s="382"/>
      <c r="Q86" s="383"/>
    </row>
    <row r="87" spans="1:17" x14ac:dyDescent="0.2">
      <c r="A87" s="639"/>
      <c r="B87" s="640"/>
      <c r="C87" s="371"/>
      <c r="D87" s="372" t="s">
        <v>21</v>
      </c>
      <c r="E87" s="253">
        <v>0</v>
      </c>
      <c r="F87" s="373">
        <f>C87*E87</f>
        <v>0</v>
      </c>
      <c r="G87" s="529"/>
      <c r="H87" s="375">
        <v>0</v>
      </c>
      <c r="I87" s="373">
        <f>G87*H87</f>
        <v>0</v>
      </c>
      <c r="J87" s="622"/>
      <c r="K87" s="530">
        <f>F87+I87+J87</f>
        <v>0</v>
      </c>
      <c r="L87" s="378"/>
      <c r="M87" s="623"/>
      <c r="N87" s="380"/>
      <c r="O87" s="381"/>
      <c r="P87" s="382"/>
      <c r="Q87" s="383"/>
    </row>
    <row r="88" spans="1:17" x14ac:dyDescent="0.2">
      <c r="A88" s="387"/>
      <c r="B88" s="7"/>
      <c r="C88" s="371"/>
      <c r="D88" s="372" t="s">
        <v>21</v>
      </c>
      <c r="E88" s="253">
        <v>0</v>
      </c>
      <c r="F88" s="373">
        <f>C88*E88</f>
        <v>0</v>
      </c>
      <c r="G88" s="529"/>
      <c r="H88" s="375">
        <v>0</v>
      </c>
      <c r="I88" s="373">
        <f>G88*H88</f>
        <v>0</v>
      </c>
      <c r="J88" s="622"/>
      <c r="K88" s="530">
        <f>F88+I88+J88</f>
        <v>0</v>
      </c>
      <c r="L88" s="378"/>
      <c r="M88" s="623"/>
      <c r="N88" s="380"/>
      <c r="O88" s="381"/>
      <c r="P88" s="382"/>
      <c r="Q88" s="383"/>
    </row>
    <row r="89" spans="1:17" ht="13.5" thickBot="1" x14ac:dyDescent="0.25">
      <c r="A89" s="387"/>
      <c r="B89" s="7"/>
      <c r="C89" s="371"/>
      <c r="D89" s="372"/>
      <c r="E89" s="253"/>
      <c r="F89" s="373"/>
      <c r="G89" s="529"/>
      <c r="H89" s="375"/>
      <c r="I89" s="373"/>
      <c r="J89" s="622"/>
      <c r="K89" s="530"/>
      <c r="L89" s="378"/>
      <c r="M89" s="623"/>
      <c r="N89" s="380"/>
      <c r="O89" s="381"/>
      <c r="P89" s="382"/>
      <c r="Q89" s="383"/>
    </row>
    <row r="90" spans="1:17" ht="14.25" thickTop="1" thickBot="1" x14ac:dyDescent="0.25">
      <c r="A90" s="470"/>
      <c r="B90" s="156"/>
      <c r="C90" s="471"/>
      <c r="D90" s="472"/>
      <c r="E90" s="633"/>
      <c r="F90" s="474"/>
      <c r="G90" s="634"/>
      <c r="H90" s="633"/>
      <c r="I90" s="474"/>
      <c r="J90" s="476" t="s">
        <v>30</v>
      </c>
      <c r="K90" s="635">
        <f>SUM(K87:K89)</f>
        <v>0</v>
      </c>
      <c r="L90" s="583"/>
      <c r="M90" s="641"/>
      <c r="N90" s="585"/>
      <c r="O90" s="460"/>
      <c r="P90" s="461"/>
      <c r="Q90" s="462"/>
    </row>
    <row r="91" spans="1:17" ht="14.1" customHeight="1" x14ac:dyDescent="0.25">
      <c r="A91" s="478"/>
      <c r="B91" s="479"/>
      <c r="C91" s="480"/>
      <c r="D91" s="480"/>
      <c r="E91" s="642"/>
      <c r="F91" s="1068" t="s">
        <v>658</v>
      </c>
      <c r="G91" s="992" t="s">
        <v>684</v>
      </c>
      <c r="H91" s="642"/>
      <c r="I91" s="1065" t="s">
        <v>657</v>
      </c>
      <c r="J91" s="958" t="s">
        <v>685</v>
      </c>
      <c r="K91" s="1057" t="s">
        <v>31</v>
      </c>
    </row>
    <row r="92" spans="1:17" ht="15" x14ac:dyDescent="0.25">
      <c r="A92" s="482" t="s">
        <v>32</v>
      </c>
      <c r="B92" s="1067" t="s">
        <v>27</v>
      </c>
      <c r="C92" s="483"/>
      <c r="D92" s="643"/>
      <c r="E92" s="643"/>
      <c r="F92" s="1069"/>
      <c r="G92" s="993"/>
      <c r="H92" s="644"/>
      <c r="I92" s="1066"/>
      <c r="J92" s="959"/>
      <c r="K92" s="1058"/>
    </row>
    <row r="93" spans="1:17" ht="15" x14ac:dyDescent="0.25">
      <c r="A93" s="828">
        <f>K94/E6</f>
        <v>0</v>
      </c>
      <c r="B93" s="1067"/>
      <c r="C93" s="643"/>
      <c r="D93" s="643"/>
      <c r="E93" s="643"/>
      <c r="F93" s="1059">
        <f>SUM(F87:F89,F81:F83,F75:F77,F69:F71,F63:F65,F58:F59,F53:F54,F48:F49,F42:F44,F36:F38,F30:F32,F25:F26,F19:F21,F11:F15)</f>
        <v>545786.8139999999</v>
      </c>
      <c r="G93" s="1061">
        <f>SUM(G87:G89,G81:G83,G75:G77,G69:G71,G63:G65,G58:G59,G53:G54,G48:G49,G42:G44,G36:G38,G30:G32,G25:G26,G19:G21,G11:G15)</f>
        <v>59077.799999999996</v>
      </c>
      <c r="H93" s="644"/>
      <c r="I93" s="1059">
        <f>SUM(I87:I89,I81:I83,I75:I77,I69:I71,I63:I65,I58:I59,I53:I54,I48:I49,I42:I44,I36:I38,I30:I32,I25:I26,I19:I21,I11:I15)</f>
        <v>99349.2</v>
      </c>
      <c r="J93" s="1059">
        <f>SUM(J87:J89,J81:J83,J75:J77,J69:J71,J63:J65,J58:J59,J53:J54,J48:J49,J42:J44,J36:J38,J30:J32,J25:J26,J19:J21,J11:J15)</f>
        <v>534385</v>
      </c>
      <c r="K93" s="1063">
        <f>K90+K84+K78+K72+K66+K60+K55+K50+K45+K39+K33+K27+K22+K16</f>
        <v>1179521.014</v>
      </c>
    </row>
    <row r="94" spans="1:17" ht="15" thickBot="1" x14ac:dyDescent="0.25">
      <c r="A94" s="482"/>
      <c r="B94" s="550"/>
      <c r="C94" s="488"/>
      <c r="D94" s="488"/>
      <c r="E94" s="488"/>
      <c r="F94" s="1060"/>
      <c r="G94" s="1062"/>
      <c r="H94" s="488"/>
      <c r="I94" s="1060"/>
      <c r="J94" s="1060"/>
      <c r="K94" s="1064"/>
    </row>
    <row r="95" spans="1:17" ht="13.5" thickBot="1" x14ac:dyDescent="0.25">
      <c r="A95" s="489"/>
      <c r="B95" s="490"/>
      <c r="C95" s="490"/>
      <c r="D95" s="490"/>
      <c r="E95" s="490"/>
      <c r="F95" s="490"/>
      <c r="G95" s="490"/>
      <c r="H95" s="490"/>
      <c r="I95" s="490"/>
      <c r="J95" s="490"/>
      <c r="K95" s="491"/>
    </row>
  </sheetData>
  <mergeCells count="64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17:F17"/>
    <mergeCell ref="G17:I17"/>
    <mergeCell ref="C23:F23"/>
    <mergeCell ref="G23:I23"/>
    <mergeCell ref="C28:F28"/>
    <mergeCell ref="G28:I28"/>
    <mergeCell ref="C34:F34"/>
    <mergeCell ref="G34:I34"/>
    <mergeCell ref="C40:F40"/>
    <mergeCell ref="G40:I40"/>
    <mergeCell ref="C46:F46"/>
    <mergeCell ref="G46:I46"/>
    <mergeCell ref="B92:B93"/>
    <mergeCell ref="C51:F51"/>
    <mergeCell ref="G51:I51"/>
    <mergeCell ref="C56:F56"/>
    <mergeCell ref="G56:I56"/>
    <mergeCell ref="C79:F79"/>
    <mergeCell ref="G79:I79"/>
    <mergeCell ref="C85:F85"/>
    <mergeCell ref="G85:I85"/>
    <mergeCell ref="F91:F92"/>
    <mergeCell ref="C61:F61"/>
    <mergeCell ref="G61:I61"/>
    <mergeCell ref="C67:F67"/>
    <mergeCell ref="G67:I67"/>
    <mergeCell ref="C73:F73"/>
    <mergeCell ref="G73:I73"/>
    <mergeCell ref="K91:K92"/>
    <mergeCell ref="F93:F94"/>
    <mergeCell ref="G93:G94"/>
    <mergeCell ref="I93:I94"/>
    <mergeCell ref="J93:J94"/>
    <mergeCell ref="K93:K94"/>
    <mergeCell ref="J91:J92"/>
    <mergeCell ref="G91:G92"/>
    <mergeCell ref="I91:I92"/>
    <mergeCell ref="Q9:Q10"/>
    <mergeCell ref="L9:L10"/>
    <mergeCell ref="M9:M10"/>
    <mergeCell ref="N9:N10"/>
    <mergeCell ref="O9:O10"/>
    <mergeCell ref="P9:P10"/>
  </mergeCells>
  <phoneticPr fontId="5" type="noConversion"/>
  <pageMargins left="0.7" right="0.7" top="0.75" bottom="0.75" header="0.5" footer="0.5"/>
  <pageSetup scale="59" fitToHeight="2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W110"/>
  <sheetViews>
    <sheetView zoomScale="90" zoomScaleNormal="75" zoomScaleSheetLayoutView="90" zoomScalePageLayoutView="75" workbookViewId="0">
      <selection activeCell="J65" sqref="J65"/>
    </sheetView>
  </sheetViews>
  <sheetFormatPr defaultColWidth="9.140625" defaultRowHeight="12.75" x14ac:dyDescent="0.2"/>
  <cols>
    <col min="1" max="1" width="12.85546875" style="157" bestFit="1" customWidth="1"/>
    <col min="2" max="2" width="46" style="157" customWidth="1"/>
    <col min="3" max="4" width="5" style="440" customWidth="1"/>
    <col min="5" max="5" width="11.42578125" style="157" bestFit="1" customWidth="1"/>
    <col min="6" max="6" width="13.7109375" style="157" bestFit="1" customWidth="1"/>
    <col min="7" max="7" width="8.5703125" style="157" bestFit="1" customWidth="1"/>
    <col min="8" max="8" width="10.85546875" style="157" bestFit="1" customWidth="1"/>
    <col min="9" max="9" width="14.42578125" style="157" bestFit="1" customWidth="1"/>
    <col min="10" max="10" width="16.140625" style="157" bestFit="1" customWidth="1"/>
    <col min="11" max="11" width="14.42578125" style="157" customWidth="1"/>
    <col min="12" max="12" width="17.85546875" style="159" bestFit="1" customWidth="1"/>
    <col min="13" max="13" width="14" style="314" bestFit="1" customWidth="1"/>
    <col min="14" max="14" width="24.85546875" style="157" bestFit="1" customWidth="1"/>
    <col min="15" max="15" width="22" style="302" bestFit="1" customWidth="1"/>
    <col min="16" max="16" width="22.140625" style="302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2"/>
      <c r="B1" s="323"/>
      <c r="C1" s="976">
        <f>'Estimate Summary'!C1:H1</f>
        <v>0</v>
      </c>
      <c r="D1" s="976"/>
      <c r="E1" s="976"/>
      <c r="F1" s="976"/>
      <c r="G1" s="976"/>
      <c r="H1" s="976"/>
      <c r="I1" s="976"/>
      <c r="J1" s="976"/>
      <c r="K1" s="977"/>
    </row>
    <row r="2" spans="1:17" ht="13.5" thickBot="1" x14ac:dyDescent="0.25">
      <c r="A2" s="324"/>
      <c r="B2" s="325"/>
      <c r="C2" s="514"/>
      <c r="D2" s="984"/>
      <c r="E2" s="984"/>
      <c r="F2" s="984"/>
      <c r="G2" s="514"/>
      <c r="H2" s="327"/>
      <c r="I2" s="609"/>
      <c r="J2" s="329"/>
      <c r="K2" s="330"/>
    </row>
    <row r="3" spans="1:17" ht="16.5" thickBot="1" x14ac:dyDescent="0.3">
      <c r="A3" s="973"/>
      <c r="B3" s="974"/>
      <c r="C3" s="514"/>
      <c r="D3" s="984"/>
      <c r="E3" s="984"/>
      <c r="F3" s="984"/>
      <c r="G3" s="515"/>
      <c r="H3" s="332"/>
      <c r="I3" s="333"/>
      <c r="J3" s="333"/>
      <c r="K3" s="334"/>
      <c r="L3" s="1002"/>
      <c r="M3" s="1003"/>
      <c r="N3" s="985"/>
      <c r="O3" s="985"/>
      <c r="P3" s="935"/>
    </row>
    <row r="4" spans="1:17" ht="18.75" thickBot="1" x14ac:dyDescent="0.3">
      <c r="A4" s="973"/>
      <c r="B4" s="974"/>
      <c r="C4" s="514"/>
      <c r="D4" s="984"/>
      <c r="E4" s="984"/>
      <c r="F4" s="984"/>
      <c r="G4" s="610"/>
      <c r="H4" s="610"/>
      <c r="I4" s="609"/>
      <c r="J4" s="329"/>
      <c r="K4" s="330"/>
      <c r="L4" s="1002"/>
      <c r="M4" s="1003"/>
      <c r="N4" s="985"/>
      <c r="O4" s="985"/>
      <c r="P4" s="935"/>
    </row>
    <row r="5" spans="1:17" ht="21" thickBot="1" x14ac:dyDescent="0.35">
      <c r="A5" s="611"/>
      <c r="B5" s="612"/>
      <c r="C5" s="516"/>
      <c r="D5" s="613"/>
      <c r="E5" s="341"/>
      <c r="F5" s="610"/>
      <c r="G5" s="1070" t="s">
        <v>244</v>
      </c>
      <c r="H5" s="1071"/>
      <c r="I5" s="1072"/>
      <c r="J5" s="981" t="s">
        <v>73</v>
      </c>
      <c r="K5" s="982"/>
      <c r="L5" s="1002"/>
      <c r="M5" s="1003"/>
      <c r="N5" s="985"/>
      <c r="O5" s="985"/>
      <c r="P5" s="935"/>
    </row>
    <row r="6" spans="1:17" ht="21" thickBot="1" x14ac:dyDescent="0.35">
      <c r="A6" s="611"/>
      <c r="B6" s="612"/>
      <c r="C6" s="517"/>
      <c r="D6" s="343" t="str">
        <f>'Estimate Summary'!C11</f>
        <v>Area:</v>
      </c>
      <c r="E6" s="344">
        <f>'Estimate Summary'!D11</f>
        <v>65592</v>
      </c>
      <c r="F6" s="238" t="str">
        <f>'Estimate Summary'!E11</f>
        <v>Sq. Ft.</v>
      </c>
      <c r="G6" s="1073"/>
      <c r="H6" s="1074"/>
      <c r="I6" s="1075"/>
      <c r="J6" s="345">
        <f>'1'!J6</f>
        <v>60</v>
      </c>
      <c r="K6" s="330" t="s">
        <v>74</v>
      </c>
      <c r="L6" s="1002"/>
      <c r="M6" s="1003"/>
      <c r="N6" s="985"/>
      <c r="O6" s="985"/>
      <c r="P6" s="935"/>
    </row>
    <row r="7" spans="1:17" x14ac:dyDescent="0.2">
      <c r="A7" s="978"/>
      <c r="B7" s="979"/>
      <c r="C7" s="979"/>
      <c r="D7" s="979"/>
      <c r="E7" s="979"/>
      <c r="F7" s="979"/>
      <c r="G7" s="979"/>
      <c r="H7" s="979"/>
      <c r="I7" s="979"/>
      <c r="J7" s="979"/>
      <c r="K7" s="980"/>
    </row>
    <row r="8" spans="1:17" x14ac:dyDescent="0.2">
      <c r="A8" s="346"/>
      <c r="B8" s="347"/>
      <c r="C8" s="972"/>
      <c r="D8" s="972"/>
      <c r="E8" s="972"/>
      <c r="F8" s="972"/>
      <c r="G8" s="971"/>
      <c r="H8" s="971"/>
      <c r="I8" s="971"/>
      <c r="J8" s="348"/>
      <c r="K8" s="349"/>
      <c r="L8" s="518"/>
      <c r="M8" s="519"/>
      <c r="N8" s="518"/>
      <c r="O8" s="520"/>
      <c r="P8" s="520"/>
    </row>
    <row r="9" spans="1:17" x14ac:dyDescent="0.2">
      <c r="A9" s="521"/>
      <c r="B9" s="203"/>
      <c r="C9" s="1076"/>
      <c r="D9" s="1076"/>
      <c r="E9" s="1077"/>
      <c r="F9" s="1077"/>
      <c r="G9" s="1078"/>
      <c r="H9" s="1077"/>
      <c r="I9" s="1077"/>
      <c r="J9" s="1077"/>
      <c r="K9" s="1079"/>
      <c r="L9" s="468"/>
      <c r="M9" s="648"/>
      <c r="N9" s="413"/>
      <c r="O9" s="414"/>
      <c r="P9" s="414"/>
    </row>
    <row r="10" spans="1:17" ht="13.5" thickBot="1" x14ac:dyDescent="0.25">
      <c r="A10" s="649"/>
      <c r="B10" s="650"/>
      <c r="C10" s="1076"/>
      <c r="D10" s="1076"/>
      <c r="E10" s="1077"/>
      <c r="F10" s="1077"/>
      <c r="G10" s="1078"/>
      <c r="H10" s="1077"/>
      <c r="I10" s="1077"/>
      <c r="J10" s="1077"/>
      <c r="K10" s="1079"/>
      <c r="L10" s="468"/>
      <c r="M10" s="648"/>
      <c r="N10" s="413"/>
      <c r="O10" s="414"/>
      <c r="P10" s="414"/>
    </row>
    <row r="11" spans="1:17" ht="14.25" thickTop="1" thickBot="1" x14ac:dyDescent="0.25">
      <c r="A11" s="614" t="s">
        <v>0</v>
      </c>
      <c r="B11" s="615" t="s">
        <v>1</v>
      </c>
      <c r="C11" s="939" t="s">
        <v>656</v>
      </c>
      <c r="D11" s="939"/>
      <c r="E11" s="939"/>
      <c r="F11" s="939"/>
      <c r="G11" s="939" t="s">
        <v>34</v>
      </c>
      <c r="H11" s="939"/>
      <c r="I11" s="939"/>
      <c r="J11" s="616"/>
      <c r="K11" s="523"/>
      <c r="L11" s="1046" t="s">
        <v>783</v>
      </c>
      <c r="M11" s="1048" t="s">
        <v>784</v>
      </c>
      <c r="N11" s="1050" t="s">
        <v>785</v>
      </c>
      <c r="O11" s="1052"/>
      <c r="P11" s="1054"/>
      <c r="Q11" s="1044"/>
    </row>
    <row r="12" spans="1:17" ht="16.5" thickBot="1" x14ac:dyDescent="0.3">
      <c r="A12" s="579" t="s">
        <v>245</v>
      </c>
      <c r="B12" s="580" t="s">
        <v>246</v>
      </c>
      <c r="C12" s="617" t="s">
        <v>19</v>
      </c>
      <c r="D12" s="617" t="s">
        <v>33</v>
      </c>
      <c r="E12" s="445" t="s">
        <v>35</v>
      </c>
      <c r="F12" s="618" t="s">
        <v>30</v>
      </c>
      <c r="G12" s="619" t="s">
        <v>14</v>
      </c>
      <c r="H12" s="445" t="s">
        <v>35</v>
      </c>
      <c r="I12" s="618" t="s">
        <v>30</v>
      </c>
      <c r="J12" s="620" t="s">
        <v>659</v>
      </c>
      <c r="K12" s="621" t="s">
        <v>38</v>
      </c>
      <c r="L12" s="1047"/>
      <c r="M12" s="1049"/>
      <c r="N12" s="1051"/>
      <c r="O12" s="1053"/>
      <c r="P12" s="1055"/>
      <c r="Q12" s="1045"/>
    </row>
    <row r="13" spans="1:17" x14ac:dyDescent="0.2">
      <c r="A13" s="157" t="s">
        <v>247</v>
      </c>
      <c r="B13" s="157" t="s">
        <v>248</v>
      </c>
      <c r="C13" s="371">
        <v>59</v>
      </c>
      <c r="D13" s="372" t="s">
        <v>33</v>
      </c>
      <c r="E13" s="253">
        <f>M17</f>
        <v>2040.8644067796611</v>
      </c>
      <c r="F13" s="373"/>
      <c r="G13" s="529"/>
      <c r="H13" s="375">
        <v>0</v>
      </c>
      <c r="I13" s="373">
        <f>G13*H13</f>
        <v>0</v>
      </c>
      <c r="J13" s="622">
        <f>M13</f>
        <v>89875</v>
      </c>
      <c r="K13" s="530">
        <f>F13+I13+J13</f>
        <v>89875</v>
      </c>
      <c r="L13" s="865" t="s">
        <v>1181</v>
      </c>
      <c r="M13" s="623">
        <f>88350+1525</f>
        <v>89875</v>
      </c>
      <c r="N13" s="380"/>
      <c r="O13" s="381"/>
      <c r="P13" s="382"/>
      <c r="Q13" s="383"/>
    </row>
    <row r="14" spans="1:17" x14ac:dyDescent="0.2">
      <c r="A14" s="157" t="s">
        <v>249</v>
      </c>
      <c r="B14" s="157" t="s">
        <v>46</v>
      </c>
      <c r="C14" s="371"/>
      <c r="D14" s="372" t="s">
        <v>21</v>
      </c>
      <c r="E14" s="253">
        <v>0</v>
      </c>
      <c r="F14" s="373">
        <f>C14*E14</f>
        <v>0</v>
      </c>
      <c r="G14" s="529"/>
      <c r="H14" s="375">
        <v>0</v>
      </c>
      <c r="I14" s="373">
        <f>G14*H14</f>
        <v>0</v>
      </c>
      <c r="J14" s="622"/>
      <c r="K14" s="530">
        <f>F14+I14+J14</f>
        <v>0</v>
      </c>
      <c r="L14" s="378"/>
      <c r="M14" s="623"/>
      <c r="N14" s="380"/>
      <c r="O14" s="381"/>
      <c r="P14" s="382"/>
      <c r="Q14" s="383"/>
    </row>
    <row r="15" spans="1:17" x14ac:dyDescent="0.2">
      <c r="A15" s="256"/>
      <c r="B15" s="256"/>
      <c r="C15" s="371"/>
      <c r="D15" s="372" t="s">
        <v>21</v>
      </c>
      <c r="E15" s="253">
        <v>0</v>
      </c>
      <c r="F15" s="373">
        <f>C15*E15</f>
        <v>0</v>
      </c>
      <c r="G15" s="529"/>
      <c r="H15" s="375">
        <v>0</v>
      </c>
      <c r="I15" s="373">
        <f>G15*H15</f>
        <v>0</v>
      </c>
      <c r="J15" s="622"/>
      <c r="K15" s="530">
        <f>F15+I15+J15</f>
        <v>0</v>
      </c>
      <c r="L15" s="378"/>
      <c r="M15" s="623"/>
      <c r="N15" s="380"/>
      <c r="O15" s="381"/>
      <c r="P15" s="382"/>
      <c r="Q15" s="383"/>
    </row>
    <row r="16" spans="1:17" x14ac:dyDescent="0.2">
      <c r="A16" s="370"/>
      <c r="B16" s="5"/>
      <c r="C16" s="371"/>
      <c r="D16" s="372" t="s">
        <v>21</v>
      </c>
      <c r="E16" s="253">
        <v>0</v>
      </c>
      <c r="F16" s="373">
        <f>C16*E16</f>
        <v>0</v>
      </c>
      <c r="G16" s="529"/>
      <c r="H16" s="375">
        <v>0</v>
      </c>
      <c r="I16" s="373">
        <f>G16*H16</f>
        <v>0</v>
      </c>
      <c r="J16" s="622"/>
      <c r="K16" s="530">
        <f>F16+I16+J16</f>
        <v>0</v>
      </c>
      <c r="L16" s="378"/>
      <c r="M16" s="623"/>
      <c r="N16" s="380"/>
      <c r="O16" s="381"/>
      <c r="P16" s="382"/>
      <c r="Q16" s="383"/>
    </row>
    <row r="17" spans="1:23" ht="13.5" thickBot="1" x14ac:dyDescent="0.25">
      <c r="A17" s="387"/>
      <c r="B17" s="7"/>
      <c r="C17" s="388"/>
      <c r="D17" s="372"/>
      <c r="E17" s="253"/>
      <c r="F17" s="373"/>
      <c r="G17" s="529"/>
      <c r="H17" s="375"/>
      <c r="I17" s="373"/>
      <c r="J17" s="622"/>
      <c r="K17" s="530"/>
      <c r="L17" s="378" t="s">
        <v>1115</v>
      </c>
      <c r="M17" s="623">
        <f>120411/59</f>
        <v>2040.8644067796611</v>
      </c>
      <c r="N17" s="380"/>
      <c r="O17" s="381"/>
      <c r="P17" s="382"/>
      <c r="Q17" s="383"/>
    </row>
    <row r="18" spans="1:23" ht="13.5" thickTop="1" x14ac:dyDescent="0.2">
      <c r="A18" s="387"/>
      <c r="B18" s="7"/>
      <c r="C18" s="388"/>
      <c r="D18" s="372"/>
      <c r="E18" s="253"/>
      <c r="F18" s="373"/>
      <c r="G18" s="529"/>
      <c r="H18" s="375"/>
      <c r="I18" s="373"/>
      <c r="J18" s="389" t="s">
        <v>30</v>
      </c>
      <c r="K18" s="532">
        <f>SUM(K13:K17)</f>
        <v>89875</v>
      </c>
      <c r="L18" s="378"/>
      <c r="M18" s="623"/>
      <c r="N18" s="380"/>
      <c r="O18" s="381"/>
      <c r="P18" s="382"/>
      <c r="Q18" s="383"/>
    </row>
    <row r="19" spans="1:23" ht="13.5" thickBot="1" x14ac:dyDescent="0.25">
      <c r="A19" s="614" t="s">
        <v>0</v>
      </c>
      <c r="B19" s="615" t="s">
        <v>1</v>
      </c>
      <c r="C19" s="939" t="s">
        <v>656</v>
      </c>
      <c r="D19" s="939"/>
      <c r="E19" s="939"/>
      <c r="F19" s="939"/>
      <c r="G19" s="939" t="s">
        <v>34</v>
      </c>
      <c r="H19" s="939"/>
      <c r="I19" s="939"/>
      <c r="J19" s="616"/>
      <c r="K19" s="523"/>
      <c r="L19" s="391"/>
      <c r="M19" s="624"/>
      <c r="N19" s="393"/>
      <c r="O19" s="381"/>
      <c r="P19" s="382"/>
      <c r="Q19" s="383"/>
    </row>
    <row r="20" spans="1:23" ht="16.5" thickBot="1" x14ac:dyDescent="0.3">
      <c r="A20" s="579" t="s">
        <v>250</v>
      </c>
      <c r="B20" s="580" t="s">
        <v>251</v>
      </c>
      <c r="C20" s="625" t="s">
        <v>19</v>
      </c>
      <c r="D20" s="625" t="s">
        <v>33</v>
      </c>
      <c r="E20" s="626" t="s">
        <v>35</v>
      </c>
      <c r="F20" s="627" t="s">
        <v>30</v>
      </c>
      <c r="G20" s="628" t="s">
        <v>14</v>
      </c>
      <c r="H20" s="626" t="s">
        <v>35</v>
      </c>
      <c r="I20" s="627" t="s">
        <v>30</v>
      </c>
      <c r="J20" s="620" t="s">
        <v>659</v>
      </c>
      <c r="K20" s="629" t="s">
        <v>38</v>
      </c>
      <c r="L20" s="402"/>
      <c r="M20" s="630"/>
      <c r="N20" s="404"/>
      <c r="O20" s="381"/>
      <c r="P20" s="382"/>
      <c r="Q20" s="383"/>
    </row>
    <row r="21" spans="1:23" x14ac:dyDescent="0.2">
      <c r="A21" s="387"/>
      <c r="B21" s="7"/>
      <c r="C21" s="371"/>
      <c r="D21" s="372" t="s">
        <v>21</v>
      </c>
      <c r="E21" s="253">
        <v>0</v>
      </c>
      <c r="F21" s="373">
        <f>C21*E21</f>
        <v>0</v>
      </c>
      <c r="G21" s="529"/>
      <c r="H21" s="375">
        <v>0</v>
      </c>
      <c r="I21" s="373">
        <f>G21*H21</f>
        <v>0</v>
      </c>
      <c r="J21" s="622"/>
      <c r="K21" s="530">
        <f>F21+I21+J21</f>
        <v>0</v>
      </c>
      <c r="L21" s="157"/>
      <c r="M21" s="631"/>
      <c r="O21" s="381"/>
      <c r="P21" s="382"/>
      <c r="Q21" s="383"/>
    </row>
    <row r="22" spans="1:23" x14ac:dyDescent="0.2">
      <c r="A22" s="387"/>
      <c r="B22" s="7"/>
      <c r="C22" s="371"/>
      <c r="D22" s="372" t="s">
        <v>21</v>
      </c>
      <c r="E22" s="253">
        <v>0</v>
      </c>
      <c r="F22" s="373">
        <f>C22*E22</f>
        <v>0</v>
      </c>
      <c r="G22" s="529"/>
      <c r="H22" s="375">
        <v>0</v>
      </c>
      <c r="I22" s="373">
        <f>G22*H22</f>
        <v>0</v>
      </c>
      <c r="J22" s="622"/>
      <c r="K22" s="530">
        <f>F22+I22+J22</f>
        <v>0</v>
      </c>
      <c r="O22" s="381"/>
      <c r="P22" s="382"/>
      <c r="Q22" s="383"/>
    </row>
    <row r="23" spans="1:23" ht="13.5" thickBot="1" x14ac:dyDescent="0.25">
      <c r="A23" s="387"/>
      <c r="B23" s="7"/>
      <c r="C23" s="371"/>
      <c r="D23" s="372" t="s">
        <v>21</v>
      </c>
      <c r="E23" s="253">
        <v>0</v>
      </c>
      <c r="F23" s="373">
        <f>C23*E23</f>
        <v>0</v>
      </c>
      <c r="G23" s="529"/>
      <c r="H23" s="375">
        <v>0</v>
      </c>
      <c r="I23" s="373">
        <f>G23*H23</f>
        <v>0</v>
      </c>
      <c r="J23" s="622"/>
      <c r="K23" s="530">
        <f>F23+I23+J23</f>
        <v>0</v>
      </c>
      <c r="L23" s="378"/>
      <c r="M23" s="623"/>
      <c r="N23" s="380"/>
      <c r="O23" s="381"/>
      <c r="P23" s="382"/>
      <c r="Q23" s="383"/>
    </row>
    <row r="24" spans="1:23" s="159" customFormat="1" ht="13.5" thickTop="1" x14ac:dyDescent="0.2">
      <c r="A24" s="387"/>
      <c r="B24" s="5"/>
      <c r="C24" s="388"/>
      <c r="D24" s="372"/>
      <c r="E24" s="253"/>
      <c r="F24" s="373"/>
      <c r="G24" s="529"/>
      <c r="H24" s="375"/>
      <c r="I24" s="373"/>
      <c r="J24" s="389" t="s">
        <v>30</v>
      </c>
      <c r="K24" s="532">
        <f>SUM(K21:K23)</f>
        <v>0</v>
      </c>
      <c r="L24" s="378"/>
      <c r="M24" s="623"/>
      <c r="N24" s="380"/>
      <c r="O24" s="381"/>
      <c r="P24" s="382"/>
      <c r="Q24" s="383"/>
      <c r="W24" s="157"/>
    </row>
    <row r="25" spans="1:23" s="159" customFormat="1" ht="13.5" thickBot="1" x14ac:dyDescent="0.25">
      <c r="A25" s="614" t="s">
        <v>0</v>
      </c>
      <c r="B25" s="615" t="s">
        <v>1</v>
      </c>
      <c r="C25" s="939" t="s">
        <v>656</v>
      </c>
      <c r="D25" s="939"/>
      <c r="E25" s="939"/>
      <c r="F25" s="939"/>
      <c r="G25" s="939" t="s">
        <v>34</v>
      </c>
      <c r="H25" s="939"/>
      <c r="I25" s="939"/>
      <c r="J25" s="616"/>
      <c r="K25" s="523"/>
      <c r="L25" s="391"/>
      <c r="M25" s="624"/>
      <c r="N25" s="393"/>
      <c r="O25" s="381"/>
      <c r="P25" s="382"/>
      <c r="Q25" s="383"/>
      <c r="W25" s="157"/>
    </row>
    <row r="26" spans="1:23" s="159" customFormat="1" ht="16.5" thickBot="1" x14ac:dyDescent="0.3">
      <c r="A26" s="579" t="s">
        <v>252</v>
      </c>
      <c r="B26" s="580" t="s">
        <v>253</v>
      </c>
      <c r="C26" s="625" t="s">
        <v>19</v>
      </c>
      <c r="D26" s="625" t="s">
        <v>33</v>
      </c>
      <c r="E26" s="626" t="s">
        <v>35</v>
      </c>
      <c r="F26" s="627" t="s">
        <v>30</v>
      </c>
      <c r="G26" s="628" t="s">
        <v>14</v>
      </c>
      <c r="H26" s="626" t="s">
        <v>35</v>
      </c>
      <c r="I26" s="627" t="s">
        <v>30</v>
      </c>
      <c r="J26" s="620" t="s">
        <v>659</v>
      </c>
      <c r="K26" s="629" t="s">
        <v>38</v>
      </c>
      <c r="L26" s="402"/>
      <c r="M26" s="632"/>
      <c r="N26" s="409"/>
      <c r="O26" s="381"/>
      <c r="P26" s="382"/>
      <c r="Q26" s="383"/>
      <c r="W26" s="157"/>
    </row>
    <row r="27" spans="1:23" s="159" customFormat="1" x14ac:dyDescent="0.2">
      <c r="A27" s="387"/>
      <c r="B27" s="7" t="s">
        <v>1123</v>
      </c>
      <c r="C27" s="371">
        <v>1</v>
      </c>
      <c r="D27" s="372" t="s">
        <v>21</v>
      </c>
      <c r="E27" s="253">
        <v>8000</v>
      </c>
      <c r="F27" s="373">
        <f>C27*E27</f>
        <v>8000</v>
      </c>
      <c r="G27" s="529"/>
      <c r="H27" s="375">
        <v>0</v>
      </c>
      <c r="I27" s="373">
        <f>G27*H27</f>
        <v>0</v>
      </c>
      <c r="J27" s="622"/>
      <c r="K27" s="530">
        <f>F27+I27+J27</f>
        <v>8000</v>
      </c>
      <c r="L27" s="157"/>
      <c r="M27" s="631"/>
      <c r="N27" s="157"/>
      <c r="O27" s="381"/>
      <c r="P27" s="382"/>
      <c r="Q27" s="383"/>
      <c r="W27" s="157"/>
    </row>
    <row r="28" spans="1:23" s="159" customFormat="1" ht="13.5" thickBot="1" x14ac:dyDescent="0.25">
      <c r="A28" s="387"/>
      <c r="B28" s="7"/>
      <c r="C28" s="371"/>
      <c r="D28" s="372" t="s">
        <v>21</v>
      </c>
      <c r="E28" s="253">
        <v>0</v>
      </c>
      <c r="F28" s="373">
        <f>C28*E28</f>
        <v>0</v>
      </c>
      <c r="G28" s="529"/>
      <c r="H28" s="375">
        <v>0</v>
      </c>
      <c r="I28" s="373">
        <f>G28*H28</f>
        <v>0</v>
      </c>
      <c r="J28" s="622"/>
      <c r="K28" s="530">
        <f>F28+I28+J28</f>
        <v>0</v>
      </c>
      <c r="L28" s="157"/>
      <c r="M28" s="631"/>
      <c r="N28" s="157"/>
      <c r="O28" s="381"/>
      <c r="P28" s="382"/>
      <c r="Q28" s="383"/>
      <c r="W28" s="157"/>
    </row>
    <row r="29" spans="1:23" ht="13.5" thickTop="1" x14ac:dyDescent="0.2">
      <c r="A29" s="387"/>
      <c r="B29" s="412"/>
      <c r="C29" s="388"/>
      <c r="D29" s="372"/>
      <c r="E29" s="253"/>
      <c r="F29" s="373"/>
      <c r="G29" s="529"/>
      <c r="H29" s="375"/>
      <c r="I29" s="373"/>
      <c r="J29" s="389" t="s">
        <v>30</v>
      </c>
      <c r="K29" s="532">
        <f>SUM(K27:K28)</f>
        <v>8000</v>
      </c>
      <c r="L29" s="378"/>
      <c r="M29" s="623"/>
      <c r="N29" s="380"/>
      <c r="O29" s="381"/>
      <c r="P29" s="382"/>
      <c r="Q29" s="383"/>
    </row>
    <row r="30" spans="1:23" ht="13.5" thickBot="1" x14ac:dyDescent="0.25">
      <c r="A30" s="614" t="s">
        <v>0</v>
      </c>
      <c r="B30" s="615" t="s">
        <v>1</v>
      </c>
      <c r="C30" s="939" t="s">
        <v>656</v>
      </c>
      <c r="D30" s="939"/>
      <c r="E30" s="939"/>
      <c r="F30" s="939"/>
      <c r="G30" s="939" t="s">
        <v>34</v>
      </c>
      <c r="H30" s="939"/>
      <c r="I30" s="939"/>
      <c r="J30" s="616"/>
      <c r="K30" s="523"/>
      <c r="L30" s="391"/>
      <c r="M30" s="624"/>
      <c r="N30" s="393"/>
      <c r="O30" s="381"/>
      <c r="P30" s="382"/>
      <c r="Q30" s="383"/>
    </row>
    <row r="31" spans="1:23" ht="16.5" thickBot="1" x14ac:dyDescent="0.3">
      <c r="A31" s="579" t="s">
        <v>254</v>
      </c>
      <c r="B31" s="580" t="s">
        <v>255</v>
      </c>
      <c r="C31" s="625" t="s">
        <v>19</v>
      </c>
      <c r="D31" s="625" t="s">
        <v>33</v>
      </c>
      <c r="E31" s="626" t="s">
        <v>35</v>
      </c>
      <c r="F31" s="627" t="s">
        <v>30</v>
      </c>
      <c r="G31" s="628" t="s">
        <v>14</v>
      </c>
      <c r="H31" s="626" t="s">
        <v>35</v>
      </c>
      <c r="I31" s="627" t="s">
        <v>30</v>
      </c>
      <c r="J31" s="620" t="s">
        <v>659</v>
      </c>
      <c r="K31" s="629" t="s">
        <v>38</v>
      </c>
      <c r="L31" s="402"/>
      <c r="M31" s="632"/>
      <c r="N31" s="409"/>
      <c r="O31" s="381"/>
      <c r="P31" s="382"/>
      <c r="Q31" s="383"/>
    </row>
    <row r="32" spans="1:23" x14ac:dyDescent="0.2">
      <c r="A32" s="387"/>
      <c r="B32" s="7"/>
      <c r="C32" s="371"/>
      <c r="D32" s="372" t="s">
        <v>21</v>
      </c>
      <c r="E32" s="253">
        <v>0</v>
      </c>
      <c r="F32" s="373">
        <f>C32*E32</f>
        <v>0</v>
      </c>
      <c r="G32" s="529"/>
      <c r="H32" s="375">
        <v>0</v>
      </c>
      <c r="I32" s="373">
        <f>G32*H32</f>
        <v>0</v>
      </c>
      <c r="J32" s="622"/>
      <c r="K32" s="530">
        <f>F32+I32+J32</f>
        <v>0</v>
      </c>
      <c r="L32" s="378"/>
      <c r="M32" s="623"/>
      <c r="N32" s="380"/>
      <c r="O32" s="381"/>
      <c r="P32" s="382"/>
      <c r="Q32" s="383"/>
    </row>
    <row r="33" spans="1:17" x14ac:dyDescent="0.2">
      <c r="A33" s="387"/>
      <c r="B33" s="7"/>
      <c r="C33" s="371"/>
      <c r="D33" s="372" t="s">
        <v>21</v>
      </c>
      <c r="E33" s="253">
        <v>0</v>
      </c>
      <c r="F33" s="373">
        <f>C33*E33</f>
        <v>0</v>
      </c>
      <c r="G33" s="529"/>
      <c r="H33" s="375">
        <v>0</v>
      </c>
      <c r="I33" s="373">
        <f>G33*H33</f>
        <v>0</v>
      </c>
      <c r="J33" s="622"/>
      <c r="K33" s="530">
        <f>F33+I33+J33</f>
        <v>0</v>
      </c>
      <c r="L33" s="378"/>
      <c r="M33" s="623"/>
      <c r="N33" s="380"/>
      <c r="O33" s="381"/>
      <c r="P33" s="382"/>
      <c r="Q33" s="383"/>
    </row>
    <row r="34" spans="1:17" ht="13.5" thickBot="1" x14ac:dyDescent="0.25">
      <c r="A34" s="387"/>
      <c r="B34" s="7"/>
      <c r="C34" s="371"/>
      <c r="D34" s="372" t="s">
        <v>21</v>
      </c>
      <c r="E34" s="253">
        <v>0</v>
      </c>
      <c r="F34" s="373">
        <f>C34*E34</f>
        <v>0</v>
      </c>
      <c r="G34" s="529"/>
      <c r="H34" s="375">
        <v>0</v>
      </c>
      <c r="I34" s="373">
        <f>G34*H34</f>
        <v>0</v>
      </c>
      <c r="J34" s="622"/>
      <c r="K34" s="530">
        <f>F34+I34+J34</f>
        <v>0</v>
      </c>
      <c r="L34" s="378"/>
      <c r="M34" s="623"/>
      <c r="N34" s="380"/>
      <c r="O34" s="381"/>
      <c r="P34" s="382"/>
      <c r="Q34" s="383"/>
    </row>
    <row r="35" spans="1:17" ht="13.5" thickTop="1" x14ac:dyDescent="0.2">
      <c r="A35" s="387"/>
      <c r="B35" s="412"/>
      <c r="C35" s="388"/>
      <c r="D35" s="372"/>
      <c r="E35" s="253"/>
      <c r="F35" s="373"/>
      <c r="G35" s="529"/>
      <c r="H35" s="375"/>
      <c r="I35" s="373"/>
      <c r="J35" s="389" t="s">
        <v>30</v>
      </c>
      <c r="K35" s="532">
        <f>SUM(K32:K34)</f>
        <v>0</v>
      </c>
      <c r="L35" s="378"/>
      <c r="M35" s="623"/>
      <c r="N35" s="380"/>
      <c r="O35" s="381"/>
      <c r="P35" s="382"/>
      <c r="Q35" s="383"/>
    </row>
    <row r="36" spans="1:17" ht="13.5" thickBot="1" x14ac:dyDescent="0.25">
      <c r="A36" s="614" t="s">
        <v>0</v>
      </c>
      <c r="B36" s="615" t="s">
        <v>1</v>
      </c>
      <c r="C36" s="939" t="s">
        <v>656</v>
      </c>
      <c r="D36" s="939"/>
      <c r="E36" s="939"/>
      <c r="F36" s="939"/>
      <c r="G36" s="939" t="s">
        <v>34</v>
      </c>
      <c r="H36" s="939"/>
      <c r="I36" s="939"/>
      <c r="J36" s="616"/>
      <c r="K36" s="523"/>
      <c r="L36" s="391"/>
      <c r="M36" s="624"/>
      <c r="N36" s="393"/>
      <c r="O36" s="381"/>
      <c r="P36" s="382"/>
      <c r="Q36" s="383"/>
    </row>
    <row r="37" spans="1:17" ht="16.5" thickBot="1" x14ac:dyDescent="0.3">
      <c r="A37" s="579" t="s">
        <v>256</v>
      </c>
      <c r="B37" s="580" t="s">
        <v>257</v>
      </c>
      <c r="C37" s="625" t="s">
        <v>19</v>
      </c>
      <c r="D37" s="625" t="s">
        <v>33</v>
      </c>
      <c r="E37" s="626" t="s">
        <v>35</v>
      </c>
      <c r="F37" s="627" t="s">
        <v>30</v>
      </c>
      <c r="G37" s="628" t="s">
        <v>14</v>
      </c>
      <c r="H37" s="626" t="s">
        <v>35</v>
      </c>
      <c r="I37" s="627" t="s">
        <v>30</v>
      </c>
      <c r="J37" s="620" t="s">
        <v>659</v>
      </c>
      <c r="K37" s="629" t="s">
        <v>38</v>
      </c>
      <c r="L37" s="402"/>
      <c r="M37" s="632"/>
      <c r="N37" s="409"/>
      <c r="O37" s="381"/>
      <c r="P37" s="382"/>
      <c r="Q37" s="383"/>
    </row>
    <row r="38" spans="1:17" x14ac:dyDescent="0.2">
      <c r="A38" s="387"/>
      <c r="B38" s="7"/>
      <c r="C38" s="371"/>
      <c r="D38" s="372" t="s">
        <v>21</v>
      </c>
      <c r="E38" s="253">
        <v>0</v>
      </c>
      <c r="F38" s="373">
        <f>C38*E38</f>
        <v>0</v>
      </c>
      <c r="G38" s="529"/>
      <c r="H38" s="375">
        <v>0</v>
      </c>
      <c r="I38" s="373">
        <f>G38*H38</f>
        <v>0</v>
      </c>
      <c r="J38" s="622">
        <f>M38</f>
        <v>10984.51</v>
      </c>
      <c r="K38" s="530">
        <f>F38+I38+J38</f>
        <v>10984.51</v>
      </c>
      <c r="L38" s="872" t="s">
        <v>1029</v>
      </c>
      <c r="M38" s="314">
        <v>10984.51</v>
      </c>
      <c r="O38" s="381"/>
      <c r="P38" s="382"/>
      <c r="Q38" s="383"/>
    </row>
    <row r="39" spans="1:17" x14ac:dyDescent="0.2">
      <c r="A39" s="387"/>
      <c r="B39" s="7"/>
      <c r="C39" s="371"/>
      <c r="D39" s="372" t="s">
        <v>21</v>
      </c>
      <c r="E39" s="253">
        <v>0</v>
      </c>
      <c r="F39" s="373">
        <f>C39*E39</f>
        <v>0</v>
      </c>
      <c r="G39" s="529"/>
      <c r="H39" s="375">
        <v>0</v>
      </c>
      <c r="I39" s="373">
        <f>G39*H39</f>
        <v>0</v>
      </c>
      <c r="J39" s="622"/>
      <c r="K39" s="530">
        <f>F39+I39+J39</f>
        <v>0</v>
      </c>
      <c r="L39" s="873" t="s">
        <v>1194</v>
      </c>
      <c r="M39" s="631">
        <v>7273</v>
      </c>
      <c r="O39" s="410"/>
      <c r="P39" s="411"/>
      <c r="Q39" s="383"/>
    </row>
    <row r="40" spans="1:17" ht="13.5" thickBot="1" x14ac:dyDescent="0.25">
      <c r="A40" s="387"/>
      <c r="B40" s="7"/>
      <c r="C40" s="371"/>
      <c r="D40" s="372" t="s">
        <v>21</v>
      </c>
      <c r="E40" s="253">
        <v>0</v>
      </c>
      <c r="F40" s="373">
        <f>C40*E40</f>
        <v>0</v>
      </c>
      <c r="G40" s="529"/>
      <c r="H40" s="375">
        <v>0</v>
      </c>
      <c r="I40" s="373">
        <f>G40*H40</f>
        <v>0</v>
      </c>
      <c r="J40" s="622"/>
      <c r="K40" s="530">
        <f>F40+I40+J40</f>
        <v>0</v>
      </c>
      <c r="L40" s="378"/>
      <c r="M40" s="301"/>
      <c r="N40" s="421"/>
      <c r="O40" s="410"/>
      <c r="P40" s="411"/>
      <c r="Q40" s="383"/>
    </row>
    <row r="41" spans="1:17" ht="13.5" thickTop="1" x14ac:dyDescent="0.2">
      <c r="A41" s="387"/>
      <c r="B41" s="412"/>
      <c r="C41" s="388"/>
      <c r="D41" s="372"/>
      <c r="E41" s="253"/>
      <c r="F41" s="373"/>
      <c r="G41" s="529"/>
      <c r="H41" s="375"/>
      <c r="I41" s="373"/>
      <c r="J41" s="389" t="s">
        <v>30</v>
      </c>
      <c r="K41" s="532">
        <f>SUM(K38:K40)</f>
        <v>10984.51</v>
      </c>
      <c r="L41" s="378"/>
      <c r="M41" s="301"/>
      <c r="N41" s="421"/>
      <c r="O41" s="410"/>
      <c r="P41" s="411"/>
      <c r="Q41" s="383"/>
    </row>
    <row r="42" spans="1:17" ht="13.5" thickBot="1" x14ac:dyDescent="0.25">
      <c r="A42" s="614" t="s">
        <v>0</v>
      </c>
      <c r="B42" s="615" t="s">
        <v>1</v>
      </c>
      <c r="C42" s="939" t="s">
        <v>656</v>
      </c>
      <c r="D42" s="939"/>
      <c r="E42" s="939"/>
      <c r="F42" s="939"/>
      <c r="G42" s="939" t="s">
        <v>34</v>
      </c>
      <c r="H42" s="939"/>
      <c r="I42" s="939"/>
      <c r="J42" s="616"/>
      <c r="K42" s="523"/>
      <c r="L42" s="391"/>
      <c r="M42" s="624"/>
      <c r="N42" s="393"/>
      <c r="O42" s="410"/>
      <c r="P42" s="411"/>
      <c r="Q42" s="383"/>
    </row>
    <row r="43" spans="1:17" ht="16.5" thickBot="1" x14ac:dyDescent="0.3">
      <c r="A43" s="579" t="s">
        <v>258</v>
      </c>
      <c r="B43" s="580" t="s">
        <v>259</v>
      </c>
      <c r="C43" s="625" t="s">
        <v>19</v>
      </c>
      <c r="D43" s="625" t="s">
        <v>33</v>
      </c>
      <c r="E43" s="626" t="s">
        <v>35</v>
      </c>
      <c r="F43" s="627" t="s">
        <v>30</v>
      </c>
      <c r="G43" s="628" t="s">
        <v>14</v>
      </c>
      <c r="H43" s="626" t="s">
        <v>35</v>
      </c>
      <c r="I43" s="627" t="s">
        <v>30</v>
      </c>
      <c r="J43" s="620" t="s">
        <v>659</v>
      </c>
      <c r="K43" s="629" t="s">
        <v>38</v>
      </c>
      <c r="L43" s="402"/>
      <c r="M43" s="632"/>
      <c r="N43" s="409"/>
      <c r="O43" s="410"/>
      <c r="P43" s="411"/>
      <c r="Q43" s="383"/>
    </row>
    <row r="44" spans="1:17" x14ac:dyDescent="0.2">
      <c r="A44" s="387"/>
      <c r="B44" s="7"/>
      <c r="C44" s="371"/>
      <c r="D44" s="372" t="s">
        <v>21</v>
      </c>
      <c r="E44" s="253">
        <v>0</v>
      </c>
      <c r="F44" s="373">
        <f>C44*E44</f>
        <v>0</v>
      </c>
      <c r="G44" s="529"/>
      <c r="H44" s="375">
        <v>0</v>
      </c>
      <c r="I44" s="373">
        <f>G44*H44</f>
        <v>0</v>
      </c>
      <c r="J44" s="622"/>
      <c r="K44" s="530">
        <f>F44+I44+J44</f>
        <v>0</v>
      </c>
      <c r="L44" s="378"/>
      <c r="M44" s="301"/>
      <c r="N44" s="421"/>
      <c r="O44" s="410"/>
      <c r="P44" s="411"/>
      <c r="Q44" s="383"/>
    </row>
    <row r="45" spans="1:17" x14ac:dyDescent="0.2">
      <c r="A45" s="387"/>
      <c r="B45" s="7"/>
      <c r="C45" s="371"/>
      <c r="D45" s="372" t="s">
        <v>21</v>
      </c>
      <c r="E45" s="253">
        <v>0</v>
      </c>
      <c r="F45" s="373">
        <f>C45*E45</f>
        <v>0</v>
      </c>
      <c r="G45" s="529"/>
      <c r="H45" s="375">
        <v>0</v>
      </c>
      <c r="I45" s="373">
        <f>G45*H45</f>
        <v>0</v>
      </c>
      <c r="J45" s="622"/>
      <c r="K45" s="530">
        <f>F45+I45+J45</f>
        <v>0</v>
      </c>
      <c r="L45" s="378"/>
      <c r="M45" s="301"/>
      <c r="N45" s="380"/>
      <c r="O45" s="381"/>
      <c r="P45" s="382"/>
      <c r="Q45" s="383"/>
    </row>
    <row r="46" spans="1:17" ht="13.5" thickBot="1" x14ac:dyDescent="0.25">
      <c r="A46" s="387"/>
      <c r="B46" s="7"/>
      <c r="C46" s="371"/>
      <c r="D46" s="372" t="s">
        <v>21</v>
      </c>
      <c r="E46" s="253">
        <v>0</v>
      </c>
      <c r="F46" s="373">
        <f>C46*E46</f>
        <v>0</v>
      </c>
      <c r="G46" s="529"/>
      <c r="H46" s="375">
        <v>0</v>
      </c>
      <c r="I46" s="373">
        <f>G46*H46</f>
        <v>0</v>
      </c>
      <c r="J46" s="622"/>
      <c r="K46" s="530">
        <f>F46+I46+J46</f>
        <v>0</v>
      </c>
      <c r="L46" s="157"/>
      <c r="M46" s="631"/>
      <c r="O46" s="381"/>
      <c r="P46" s="382"/>
      <c r="Q46" s="383"/>
    </row>
    <row r="47" spans="1:17" ht="13.5" thickTop="1" x14ac:dyDescent="0.2">
      <c r="A47" s="387"/>
      <c r="B47" s="412"/>
      <c r="C47" s="388"/>
      <c r="D47" s="372"/>
      <c r="E47" s="253"/>
      <c r="F47" s="373"/>
      <c r="G47" s="529"/>
      <c r="H47" s="375"/>
      <c r="I47" s="373"/>
      <c r="J47" s="389" t="s">
        <v>30</v>
      </c>
      <c r="K47" s="532">
        <f>SUM(K44:K46)</f>
        <v>0</v>
      </c>
      <c r="O47" s="381"/>
      <c r="P47" s="411"/>
      <c r="Q47" s="383"/>
    </row>
    <row r="48" spans="1:17" ht="13.5" thickBot="1" x14ac:dyDescent="0.25">
      <c r="A48" s="614" t="s">
        <v>0</v>
      </c>
      <c r="B48" s="615" t="s">
        <v>1</v>
      </c>
      <c r="C48" s="939" t="s">
        <v>656</v>
      </c>
      <c r="D48" s="939"/>
      <c r="E48" s="939"/>
      <c r="F48" s="939"/>
      <c r="G48" s="939" t="s">
        <v>34</v>
      </c>
      <c r="H48" s="939"/>
      <c r="I48" s="939"/>
      <c r="J48" s="616"/>
      <c r="K48" s="523"/>
      <c r="L48" s="391"/>
      <c r="M48" s="616"/>
      <c r="N48" s="393"/>
      <c r="O48" s="381"/>
      <c r="P48" s="382"/>
      <c r="Q48" s="383"/>
    </row>
    <row r="49" spans="1:21" ht="16.5" thickBot="1" x14ac:dyDescent="0.3">
      <c r="A49" s="579" t="s">
        <v>260</v>
      </c>
      <c r="B49" s="580" t="s">
        <v>60</v>
      </c>
      <c r="C49" s="625" t="s">
        <v>19</v>
      </c>
      <c r="D49" s="625" t="s">
        <v>33</v>
      </c>
      <c r="E49" s="626" t="s">
        <v>35</v>
      </c>
      <c r="F49" s="627" t="s">
        <v>30</v>
      </c>
      <c r="G49" s="628" t="s">
        <v>14</v>
      </c>
      <c r="H49" s="626" t="s">
        <v>35</v>
      </c>
      <c r="I49" s="627" t="s">
        <v>30</v>
      </c>
      <c r="J49" s="620" t="s">
        <v>659</v>
      </c>
      <c r="K49" s="629" t="s">
        <v>38</v>
      </c>
      <c r="L49" s="402"/>
      <c r="M49" s="632"/>
      <c r="N49" s="404"/>
      <c r="O49" s="381"/>
      <c r="P49" s="382"/>
      <c r="Q49" s="383"/>
    </row>
    <row r="50" spans="1:21" x14ac:dyDescent="0.2">
      <c r="A50" s="387"/>
      <c r="B50" s="7"/>
      <c r="C50" s="371"/>
      <c r="D50" s="372" t="s">
        <v>21</v>
      </c>
      <c r="E50" s="253">
        <v>0</v>
      </c>
      <c r="F50" s="373">
        <f>C50*E50</f>
        <v>0</v>
      </c>
      <c r="G50" s="529"/>
      <c r="H50" s="375">
        <v>0</v>
      </c>
      <c r="I50" s="373">
        <f>G50*H50</f>
        <v>0</v>
      </c>
      <c r="J50" s="622"/>
      <c r="K50" s="530">
        <f>F50+I50+J50</f>
        <v>0</v>
      </c>
      <c r="L50" s="378"/>
      <c r="M50" s="301"/>
      <c r="N50" s="380"/>
      <c r="O50" s="381"/>
      <c r="P50" s="382"/>
      <c r="Q50" s="383"/>
    </row>
    <row r="51" spans="1:21" ht="13.5" thickBot="1" x14ac:dyDescent="0.25">
      <c r="A51" s="387"/>
      <c r="B51" s="7"/>
      <c r="C51" s="371"/>
      <c r="D51" s="372" t="s">
        <v>21</v>
      </c>
      <c r="E51" s="253">
        <v>0</v>
      </c>
      <c r="F51" s="373">
        <f>C51*E51</f>
        <v>0</v>
      </c>
      <c r="G51" s="529"/>
      <c r="H51" s="375">
        <v>0</v>
      </c>
      <c r="I51" s="373">
        <f>G51*H51</f>
        <v>0</v>
      </c>
      <c r="J51" s="622"/>
      <c r="K51" s="530">
        <f>F51+I51+J51</f>
        <v>0</v>
      </c>
      <c r="L51" s="378"/>
      <c r="M51" s="301"/>
      <c r="N51" s="380"/>
      <c r="O51" s="381"/>
      <c r="P51" s="382"/>
      <c r="Q51" s="383"/>
    </row>
    <row r="52" spans="1:21" ht="13.5" thickTop="1" x14ac:dyDescent="0.2">
      <c r="A52" s="387"/>
      <c r="C52" s="388"/>
      <c r="D52" s="372"/>
      <c r="E52" s="253"/>
      <c r="F52" s="373"/>
      <c r="G52" s="529"/>
      <c r="H52" s="375"/>
      <c r="I52" s="373"/>
      <c r="J52" s="389" t="s">
        <v>30</v>
      </c>
      <c r="K52" s="532">
        <f>SUM(K50:K51)</f>
        <v>0</v>
      </c>
      <c r="L52" s="378"/>
      <c r="M52" s="301"/>
      <c r="N52" s="380"/>
      <c r="O52" s="381"/>
      <c r="P52" s="382"/>
      <c r="Q52" s="383"/>
    </row>
    <row r="53" spans="1:21" ht="13.5" thickBot="1" x14ac:dyDescent="0.25">
      <c r="A53" s="614" t="s">
        <v>0</v>
      </c>
      <c r="B53" s="615" t="s">
        <v>1</v>
      </c>
      <c r="C53" s="939" t="s">
        <v>656</v>
      </c>
      <c r="D53" s="939"/>
      <c r="E53" s="939"/>
      <c r="F53" s="939"/>
      <c r="G53" s="939" t="s">
        <v>34</v>
      </c>
      <c r="H53" s="939"/>
      <c r="I53" s="939"/>
      <c r="J53" s="616"/>
      <c r="K53" s="523"/>
      <c r="L53" s="391"/>
      <c r="M53" s="616"/>
      <c r="N53" s="393"/>
      <c r="O53" s="381"/>
      <c r="P53" s="382"/>
      <c r="Q53" s="383"/>
    </row>
    <row r="54" spans="1:21" ht="16.5" thickBot="1" x14ac:dyDescent="0.3">
      <c r="A54" s="579" t="s">
        <v>261</v>
      </c>
      <c r="B54" s="580" t="s">
        <v>47</v>
      </c>
      <c r="C54" s="625" t="s">
        <v>19</v>
      </c>
      <c r="D54" s="625" t="s">
        <v>33</v>
      </c>
      <c r="E54" s="626" t="s">
        <v>35</v>
      </c>
      <c r="F54" s="627" t="s">
        <v>30</v>
      </c>
      <c r="G54" s="628" t="s">
        <v>14</v>
      </c>
      <c r="H54" s="626" t="s">
        <v>35</v>
      </c>
      <c r="I54" s="627" t="s">
        <v>30</v>
      </c>
      <c r="J54" s="620" t="s">
        <v>659</v>
      </c>
      <c r="K54" s="629" t="s">
        <v>38</v>
      </c>
      <c r="L54" s="402"/>
      <c r="M54" s="632"/>
      <c r="N54" s="404"/>
      <c r="O54" s="436"/>
      <c r="P54" s="437"/>
      <c r="Q54" s="383"/>
    </row>
    <row r="55" spans="1:21" x14ac:dyDescent="0.2">
      <c r="A55" s="387"/>
      <c r="B55" s="7"/>
      <c r="C55" s="371">
        <v>1</v>
      </c>
      <c r="D55" s="372" t="s">
        <v>21</v>
      </c>
      <c r="E55" s="253">
        <v>35000</v>
      </c>
      <c r="F55" s="373"/>
      <c r="G55" s="529"/>
      <c r="H55" s="375">
        <v>0</v>
      </c>
      <c r="I55" s="373">
        <f>G55*H55</f>
        <v>0</v>
      </c>
      <c r="J55" s="622">
        <f>M55</f>
        <v>39425</v>
      </c>
      <c r="K55" s="530">
        <f>F55+I55+J55</f>
        <v>39425</v>
      </c>
      <c r="L55" s="865" t="s">
        <v>1081</v>
      </c>
      <c r="M55" s="301">
        <v>39425</v>
      </c>
      <c r="N55" s="421"/>
      <c r="O55" s="436"/>
      <c r="P55" s="437"/>
      <c r="Q55" s="383"/>
    </row>
    <row r="56" spans="1:21" ht="13.5" thickBot="1" x14ac:dyDescent="0.25">
      <c r="A56" s="387"/>
      <c r="B56" s="7"/>
      <c r="C56" s="371"/>
      <c r="D56" s="372" t="s">
        <v>21</v>
      </c>
      <c r="E56" s="253">
        <v>0</v>
      </c>
      <c r="F56" s="373">
        <f>C56*E56</f>
        <v>0</v>
      </c>
      <c r="G56" s="529"/>
      <c r="H56" s="375">
        <v>0</v>
      </c>
      <c r="I56" s="373">
        <f>G56*H56</f>
        <v>0</v>
      </c>
      <c r="J56" s="622"/>
      <c r="K56" s="530">
        <f>F56+I56+J56</f>
        <v>0</v>
      </c>
      <c r="L56" s="159" t="s">
        <v>1172</v>
      </c>
      <c r="M56" s="314">
        <v>50837</v>
      </c>
      <c r="O56" s="410"/>
      <c r="P56" s="411"/>
      <c r="Q56" s="383"/>
    </row>
    <row r="57" spans="1:21" ht="13.5" thickTop="1" x14ac:dyDescent="0.2">
      <c r="A57" s="387"/>
      <c r="B57" s="412"/>
      <c r="C57" s="388"/>
      <c r="D57" s="372"/>
      <c r="E57" s="253"/>
      <c r="F57" s="373"/>
      <c r="G57" s="529"/>
      <c r="H57" s="375"/>
      <c r="I57" s="373"/>
      <c r="J57" s="389" t="s">
        <v>30</v>
      </c>
      <c r="K57" s="532">
        <f>SUM(K55:K56)</f>
        <v>39425</v>
      </c>
      <c r="O57" s="381"/>
      <c r="P57" s="382"/>
      <c r="Q57" s="383"/>
    </row>
    <row r="58" spans="1:21" ht="13.5" thickBot="1" x14ac:dyDescent="0.25">
      <c r="A58" s="614" t="s">
        <v>0</v>
      </c>
      <c r="B58" s="615" t="s">
        <v>1</v>
      </c>
      <c r="C58" s="939" t="s">
        <v>656</v>
      </c>
      <c r="D58" s="939"/>
      <c r="E58" s="939"/>
      <c r="F58" s="939"/>
      <c r="G58" s="939" t="s">
        <v>34</v>
      </c>
      <c r="H58" s="939"/>
      <c r="I58" s="939"/>
      <c r="J58" s="616"/>
      <c r="K58" s="523"/>
      <c r="L58" s="391" t="s">
        <v>1180</v>
      </c>
      <c r="M58" s="616">
        <v>38300</v>
      </c>
      <c r="N58" s="438"/>
      <c r="O58" s="381"/>
      <c r="P58" s="382"/>
      <c r="Q58" s="383"/>
    </row>
    <row r="59" spans="1:21" ht="16.5" thickBot="1" x14ac:dyDescent="0.3">
      <c r="A59" s="579" t="s">
        <v>262</v>
      </c>
      <c r="B59" s="580" t="s">
        <v>263</v>
      </c>
      <c r="C59" s="625" t="s">
        <v>19</v>
      </c>
      <c r="D59" s="625" t="s">
        <v>33</v>
      </c>
      <c r="E59" s="626" t="s">
        <v>35</v>
      </c>
      <c r="F59" s="627" t="s">
        <v>30</v>
      </c>
      <c r="G59" s="628" t="s">
        <v>14</v>
      </c>
      <c r="H59" s="626" t="s">
        <v>35</v>
      </c>
      <c r="I59" s="627" t="s">
        <v>30</v>
      </c>
      <c r="J59" s="620" t="s">
        <v>659</v>
      </c>
      <c r="K59" s="629" t="s">
        <v>38</v>
      </c>
      <c r="L59" s="402"/>
      <c r="M59" s="632"/>
      <c r="N59" s="409"/>
      <c r="O59" s="381"/>
      <c r="P59" s="382"/>
      <c r="Q59" s="383"/>
    </row>
    <row r="60" spans="1:21" x14ac:dyDescent="0.2">
      <c r="A60" s="387"/>
      <c r="B60" s="7"/>
      <c r="C60" s="371"/>
      <c r="D60" s="372" t="s">
        <v>21</v>
      </c>
      <c r="E60" s="253">
        <v>0</v>
      </c>
      <c r="F60" s="373">
        <f>C60*E60</f>
        <v>0</v>
      </c>
      <c r="G60" s="529"/>
      <c r="H60" s="375">
        <v>0</v>
      </c>
      <c r="I60" s="373">
        <f>G60*H60</f>
        <v>0</v>
      </c>
      <c r="J60" s="622"/>
      <c r="K60" s="530">
        <f>F60+I60+J60</f>
        <v>0</v>
      </c>
      <c r="L60" s="378"/>
      <c r="M60" s="623"/>
      <c r="N60" s="380"/>
      <c r="O60" s="381"/>
      <c r="P60" s="382"/>
      <c r="Q60" s="383"/>
    </row>
    <row r="61" spans="1:21" ht="13.5" thickBot="1" x14ac:dyDescent="0.25">
      <c r="A61" s="387"/>
      <c r="B61" s="7"/>
      <c r="C61" s="371"/>
      <c r="D61" s="372" t="s">
        <v>21</v>
      </c>
      <c r="E61" s="253">
        <v>0</v>
      </c>
      <c r="F61" s="373">
        <f>C61*E61</f>
        <v>0</v>
      </c>
      <c r="G61" s="529"/>
      <c r="H61" s="375">
        <v>0</v>
      </c>
      <c r="I61" s="373">
        <f>G61*H61</f>
        <v>0</v>
      </c>
      <c r="J61" s="622"/>
      <c r="K61" s="530">
        <f>F61+I61+J61</f>
        <v>0</v>
      </c>
      <c r="L61" s="378"/>
      <c r="M61" s="623"/>
      <c r="N61" s="380"/>
      <c r="O61" s="381"/>
      <c r="P61" s="382"/>
      <c r="Q61" s="383"/>
    </row>
    <row r="62" spans="1:21" ht="14.25" thickTop="1" thickBot="1" x14ac:dyDescent="0.25">
      <c r="A62" s="470"/>
      <c r="B62" s="156"/>
      <c r="C62" s="471"/>
      <c r="D62" s="472"/>
      <c r="E62" s="633"/>
      <c r="F62" s="474"/>
      <c r="G62" s="634"/>
      <c r="H62" s="633"/>
      <c r="I62" s="474"/>
      <c r="J62" s="476" t="s">
        <v>30</v>
      </c>
      <c r="K62" s="635">
        <f>SUM(K60:K61)</f>
        <v>0</v>
      </c>
      <c r="L62" s="378"/>
      <c r="M62" s="623"/>
      <c r="N62" s="380"/>
      <c r="O62" s="381"/>
      <c r="P62" s="382"/>
      <c r="Q62" s="383"/>
    </row>
    <row r="63" spans="1:21" ht="13.5" thickBot="1" x14ac:dyDescent="0.25">
      <c r="A63" s="614" t="s">
        <v>0</v>
      </c>
      <c r="B63" s="615" t="s">
        <v>1</v>
      </c>
      <c r="C63" s="939" t="s">
        <v>656</v>
      </c>
      <c r="D63" s="939"/>
      <c r="E63" s="939"/>
      <c r="F63" s="939"/>
      <c r="G63" s="939" t="s">
        <v>34</v>
      </c>
      <c r="H63" s="939"/>
      <c r="I63" s="939"/>
      <c r="J63" s="616"/>
      <c r="K63" s="523"/>
      <c r="L63" s="391"/>
      <c r="M63" s="624" t="s">
        <v>1145</v>
      </c>
      <c r="N63" s="393" t="s">
        <v>1146</v>
      </c>
      <c r="O63" s="381"/>
      <c r="P63" s="382"/>
      <c r="Q63" s="383"/>
    </row>
    <row r="64" spans="1:21" ht="16.5" thickBot="1" x14ac:dyDescent="0.3">
      <c r="A64" s="579" t="s">
        <v>264</v>
      </c>
      <c r="B64" s="580" t="s">
        <v>95</v>
      </c>
      <c r="C64" s="625" t="s">
        <v>19</v>
      </c>
      <c r="D64" s="625" t="s">
        <v>33</v>
      </c>
      <c r="E64" s="626" t="s">
        <v>35</v>
      </c>
      <c r="F64" s="627" t="s">
        <v>30</v>
      </c>
      <c r="G64" s="628" t="s">
        <v>14</v>
      </c>
      <c r="H64" s="626" t="s">
        <v>35</v>
      </c>
      <c r="I64" s="627" t="s">
        <v>30</v>
      </c>
      <c r="J64" s="620" t="s">
        <v>659</v>
      </c>
      <c r="K64" s="629" t="s">
        <v>38</v>
      </c>
      <c r="L64" s="878" t="s">
        <v>1078</v>
      </c>
      <c r="M64" s="630">
        <v>127003.4</v>
      </c>
      <c r="N64" s="843">
        <v>126145.3</v>
      </c>
      <c r="O64" s="844" t="s">
        <v>1274</v>
      </c>
      <c r="P64" s="382"/>
      <c r="Q64" s="383"/>
      <c r="T64" s="157" t="s">
        <v>1213</v>
      </c>
      <c r="U64" s="157">
        <v>106</v>
      </c>
    </row>
    <row r="65" spans="1:21" ht="15" x14ac:dyDescent="0.2">
      <c r="A65" s="645" t="s">
        <v>269</v>
      </c>
      <c r="B65" s="637" t="s">
        <v>265</v>
      </c>
      <c r="C65" s="646"/>
      <c r="D65" s="372" t="s">
        <v>21</v>
      </c>
      <c r="E65" s="253">
        <v>0</v>
      </c>
      <c r="F65" s="373">
        <f>C65*E65</f>
        <v>0</v>
      </c>
      <c r="G65" s="529"/>
      <c r="H65" s="375">
        <v>0</v>
      </c>
      <c r="I65" s="373">
        <f>G65*H65</f>
        <v>0</v>
      </c>
      <c r="J65" s="622">
        <f>N64</f>
        <v>126145.3</v>
      </c>
      <c r="K65" s="530">
        <f>F65+I65+J65</f>
        <v>126145.3</v>
      </c>
      <c r="L65" s="875" t="s">
        <v>1079</v>
      </c>
      <c r="M65" s="869">
        <v>121656.5</v>
      </c>
      <c r="N65" s="870">
        <f>M65-(4*460)+(4*208)</f>
        <v>120648.5</v>
      </c>
      <c r="O65" s="844" t="s">
        <v>1210</v>
      </c>
      <c r="P65" s="382"/>
      <c r="Q65" s="383"/>
      <c r="T65" s="157" t="s">
        <v>1214</v>
      </c>
      <c r="U65" s="157">
        <v>16</v>
      </c>
    </row>
    <row r="66" spans="1:21" ht="15" x14ac:dyDescent="0.2">
      <c r="A66" s="528" t="s">
        <v>270</v>
      </c>
      <c r="B66" s="647" t="s">
        <v>61</v>
      </c>
      <c r="C66" s="646"/>
      <c r="D66" s="372" t="s">
        <v>21</v>
      </c>
      <c r="E66" s="253">
        <v>0</v>
      </c>
      <c r="F66" s="373">
        <f>C66*E66</f>
        <v>0</v>
      </c>
      <c r="G66" s="529"/>
      <c r="H66" s="375">
        <v>0</v>
      </c>
      <c r="I66" s="373">
        <f>G66*H66</f>
        <v>0</v>
      </c>
      <c r="J66" s="622"/>
      <c r="K66" s="530">
        <f>F66+I66+J66</f>
        <v>0</v>
      </c>
      <c r="L66" s="159" t="s">
        <v>1080</v>
      </c>
      <c r="M66" s="314">
        <v>155674.41</v>
      </c>
      <c r="N66" s="276">
        <v>133974.46</v>
      </c>
      <c r="O66" s="844" t="s">
        <v>1211</v>
      </c>
      <c r="P66" s="382"/>
      <c r="Q66" s="383"/>
      <c r="T66" s="157" t="s">
        <v>1215</v>
      </c>
      <c r="U66" s="157">
        <v>17</v>
      </c>
    </row>
    <row r="67" spans="1:21" ht="15" x14ac:dyDescent="0.2">
      <c r="A67" s="528" t="s">
        <v>271</v>
      </c>
      <c r="B67" s="647" t="s">
        <v>266</v>
      </c>
      <c r="C67" s="646">
        <v>59</v>
      </c>
      <c r="D67" s="372" t="s">
        <v>33</v>
      </c>
      <c r="E67" s="253">
        <f>M69</f>
        <v>5243.5793220338983</v>
      </c>
      <c r="F67" s="373"/>
      <c r="G67" s="529"/>
      <c r="H67" s="375">
        <v>0</v>
      </c>
      <c r="I67" s="373">
        <f>G67*H67</f>
        <v>0</v>
      </c>
      <c r="J67" s="622"/>
      <c r="K67" s="530">
        <f>F67+I67+J67</f>
        <v>0</v>
      </c>
      <c r="L67" s="159" t="s">
        <v>1209</v>
      </c>
      <c r="M67" s="314">
        <v>146347.04</v>
      </c>
      <c r="N67" s="836">
        <f>(561.12*4)+M67</f>
        <v>148591.52000000002</v>
      </c>
      <c r="O67" s="844" t="s">
        <v>1212</v>
      </c>
      <c r="P67" s="382"/>
      <c r="Q67" s="383"/>
      <c r="T67" s="157" t="s">
        <v>1216</v>
      </c>
      <c r="U67" s="157">
        <v>25</v>
      </c>
    </row>
    <row r="68" spans="1:21" ht="15.75" thickBot="1" x14ac:dyDescent="0.25">
      <c r="A68" s="528" t="s">
        <v>268</v>
      </c>
      <c r="B68" s="647" t="s">
        <v>267</v>
      </c>
      <c r="C68" s="646"/>
      <c r="D68" s="372" t="s">
        <v>21</v>
      </c>
      <c r="E68" s="253">
        <v>0</v>
      </c>
      <c r="F68" s="373">
        <f>C68*E68</f>
        <v>0</v>
      </c>
      <c r="G68" s="529"/>
      <c r="H68" s="375">
        <v>0</v>
      </c>
      <c r="I68" s="373">
        <f>G68*H68</f>
        <v>0</v>
      </c>
      <c r="J68" s="622"/>
      <c r="K68" s="530">
        <f>F68+I68+J68</f>
        <v>0</v>
      </c>
      <c r="L68" s="378"/>
      <c r="M68" s="623"/>
      <c r="N68" s="380"/>
      <c r="O68" s="381"/>
      <c r="P68" s="382"/>
      <c r="Q68" s="383"/>
      <c r="T68" s="157" t="s">
        <v>1217</v>
      </c>
      <c r="U68" s="157">
        <v>56</v>
      </c>
    </row>
    <row r="69" spans="1:21" ht="14.25" thickTop="1" thickBot="1" x14ac:dyDescent="0.25">
      <c r="A69" s="470"/>
      <c r="B69" s="156"/>
      <c r="C69" s="471"/>
      <c r="D69" s="472"/>
      <c r="E69" s="633"/>
      <c r="F69" s="474"/>
      <c r="G69" s="634"/>
      <c r="H69" s="633"/>
      <c r="I69" s="474"/>
      <c r="J69" s="476" t="s">
        <v>30</v>
      </c>
      <c r="K69" s="635">
        <f>SUM(K65:K68)</f>
        <v>126145.3</v>
      </c>
      <c r="L69" s="378" t="s">
        <v>1115</v>
      </c>
      <c r="M69" s="623">
        <f>309371.18/59</f>
        <v>5243.5793220338983</v>
      </c>
      <c r="N69" s="380"/>
      <c r="O69" s="381"/>
      <c r="P69" s="382"/>
      <c r="Q69" s="383"/>
      <c r="T69" s="157" t="s">
        <v>1218</v>
      </c>
      <c r="U69" s="157">
        <v>3</v>
      </c>
    </row>
    <row r="70" spans="1:21" ht="13.5" thickBot="1" x14ac:dyDescent="0.25">
      <c r="A70" s="614" t="s">
        <v>0</v>
      </c>
      <c r="B70" s="615" t="s">
        <v>1</v>
      </c>
      <c r="C70" s="939" t="s">
        <v>656</v>
      </c>
      <c r="D70" s="939"/>
      <c r="E70" s="939"/>
      <c r="F70" s="939"/>
      <c r="G70" s="939" t="s">
        <v>34</v>
      </c>
      <c r="H70" s="939"/>
      <c r="I70" s="939"/>
      <c r="J70" s="616"/>
      <c r="K70" s="523"/>
      <c r="L70" s="391"/>
      <c r="M70" s="624"/>
      <c r="N70" s="393"/>
      <c r="O70" s="381"/>
      <c r="P70" s="382"/>
      <c r="Q70" s="383"/>
    </row>
    <row r="71" spans="1:21" ht="16.5" thickBot="1" x14ac:dyDescent="0.3">
      <c r="A71" s="579" t="s">
        <v>272</v>
      </c>
      <c r="B71" s="580" t="s">
        <v>62</v>
      </c>
      <c r="C71" s="625" t="s">
        <v>19</v>
      </c>
      <c r="D71" s="625" t="s">
        <v>33</v>
      </c>
      <c r="E71" s="626" t="s">
        <v>35</v>
      </c>
      <c r="F71" s="627" t="s">
        <v>30</v>
      </c>
      <c r="G71" s="628" t="s">
        <v>14</v>
      </c>
      <c r="H71" s="626" t="s">
        <v>35</v>
      </c>
      <c r="I71" s="627" t="s">
        <v>30</v>
      </c>
      <c r="J71" s="620" t="s">
        <v>659</v>
      </c>
      <c r="K71" s="629" t="s">
        <v>38</v>
      </c>
      <c r="L71" s="402"/>
      <c r="M71" s="630"/>
      <c r="N71" s="404"/>
      <c r="O71" s="381"/>
      <c r="P71" s="382"/>
      <c r="Q71" s="383"/>
    </row>
    <row r="72" spans="1:21" x14ac:dyDescent="0.2">
      <c r="A72" s="387"/>
      <c r="B72" s="7"/>
      <c r="C72" s="371"/>
      <c r="D72" s="372" t="s">
        <v>21</v>
      </c>
      <c r="E72" s="253">
        <v>0</v>
      </c>
      <c r="F72" s="373">
        <f>C72*E72</f>
        <v>0</v>
      </c>
      <c r="G72" s="529"/>
      <c r="H72" s="375">
        <v>0</v>
      </c>
      <c r="I72" s="373">
        <f>G72*H72</f>
        <v>0</v>
      </c>
      <c r="J72" s="622"/>
      <c r="K72" s="530">
        <f>F72+I72+J72</f>
        <v>0</v>
      </c>
      <c r="L72" s="378"/>
      <c r="M72" s="623"/>
      <c r="N72" s="380"/>
      <c r="O72" s="381"/>
      <c r="P72" s="382"/>
      <c r="Q72" s="383"/>
    </row>
    <row r="73" spans="1:21" x14ac:dyDescent="0.2">
      <c r="A73" s="387"/>
      <c r="B73" s="7"/>
      <c r="C73" s="371"/>
      <c r="D73" s="372" t="s">
        <v>21</v>
      </c>
      <c r="E73" s="253">
        <v>0</v>
      </c>
      <c r="F73" s="373">
        <f>C73*E73</f>
        <v>0</v>
      </c>
      <c r="G73" s="529"/>
      <c r="H73" s="375">
        <v>0</v>
      </c>
      <c r="I73" s="373">
        <f>G73*H73</f>
        <v>0</v>
      </c>
      <c r="J73" s="622"/>
      <c r="K73" s="530">
        <f>F73+I73+J73</f>
        <v>0</v>
      </c>
      <c r="L73" s="378"/>
      <c r="M73" s="623"/>
      <c r="N73" s="380"/>
      <c r="O73" s="381"/>
      <c r="P73" s="382"/>
      <c r="Q73" s="383"/>
    </row>
    <row r="74" spans="1:21" ht="13.5" thickBot="1" x14ac:dyDescent="0.25">
      <c r="A74" s="387"/>
      <c r="B74" s="7"/>
      <c r="C74" s="371"/>
      <c r="D74" s="372"/>
      <c r="E74" s="253"/>
      <c r="F74" s="373"/>
      <c r="G74" s="529"/>
      <c r="H74" s="375"/>
      <c r="I74" s="373"/>
      <c r="J74" s="622"/>
      <c r="K74" s="530"/>
      <c r="L74" s="378"/>
      <c r="M74" s="623"/>
      <c r="N74" s="380"/>
      <c r="O74" s="381"/>
      <c r="P74" s="382"/>
      <c r="Q74" s="383"/>
    </row>
    <row r="75" spans="1:21" ht="14.25" thickTop="1" thickBot="1" x14ac:dyDescent="0.25">
      <c r="A75" s="470"/>
      <c r="B75" s="156"/>
      <c r="C75" s="471"/>
      <c r="D75" s="472"/>
      <c r="E75" s="633"/>
      <c r="F75" s="474"/>
      <c r="G75" s="634"/>
      <c r="H75" s="633"/>
      <c r="I75" s="474"/>
      <c r="J75" s="476" t="s">
        <v>30</v>
      </c>
      <c r="K75" s="635">
        <f>SUM(K72:K74)</f>
        <v>0</v>
      </c>
      <c r="L75" s="378"/>
      <c r="M75" s="623"/>
      <c r="N75" s="380"/>
      <c r="O75" s="381"/>
      <c r="P75" s="382"/>
      <c r="Q75" s="383"/>
    </row>
    <row r="76" spans="1:21" ht="13.5" thickBot="1" x14ac:dyDescent="0.25">
      <c r="A76" s="614" t="s">
        <v>0</v>
      </c>
      <c r="B76" s="615" t="s">
        <v>1</v>
      </c>
      <c r="C76" s="939" t="s">
        <v>656</v>
      </c>
      <c r="D76" s="939"/>
      <c r="E76" s="939"/>
      <c r="F76" s="939"/>
      <c r="G76" s="939" t="s">
        <v>34</v>
      </c>
      <c r="H76" s="939"/>
      <c r="I76" s="939"/>
      <c r="J76" s="616"/>
      <c r="K76" s="523"/>
      <c r="L76" s="391"/>
      <c r="M76" s="624"/>
      <c r="N76" s="393"/>
      <c r="O76" s="381"/>
      <c r="P76" s="382"/>
      <c r="Q76" s="383"/>
    </row>
    <row r="77" spans="1:21" ht="16.5" thickBot="1" x14ac:dyDescent="0.3">
      <c r="A77" s="579" t="s">
        <v>273</v>
      </c>
      <c r="B77" s="580" t="s">
        <v>274</v>
      </c>
      <c r="C77" s="625" t="s">
        <v>19</v>
      </c>
      <c r="D77" s="625" t="s">
        <v>33</v>
      </c>
      <c r="E77" s="626" t="s">
        <v>35</v>
      </c>
      <c r="F77" s="627" t="s">
        <v>30</v>
      </c>
      <c r="G77" s="628" t="s">
        <v>14</v>
      </c>
      <c r="H77" s="626" t="s">
        <v>35</v>
      </c>
      <c r="I77" s="627" t="s">
        <v>30</v>
      </c>
      <c r="J77" s="620" t="s">
        <v>659</v>
      </c>
      <c r="K77" s="629" t="s">
        <v>38</v>
      </c>
      <c r="L77" s="402" t="s">
        <v>1074</v>
      </c>
      <c r="M77" s="630"/>
      <c r="N77" s="404"/>
      <c r="O77" s="381"/>
      <c r="P77" s="382"/>
      <c r="Q77" s="383"/>
    </row>
    <row r="78" spans="1:21" x14ac:dyDescent="0.2">
      <c r="A78" s="387"/>
      <c r="B78" s="7"/>
      <c r="C78" s="371"/>
      <c r="D78" s="372" t="s">
        <v>21</v>
      </c>
      <c r="E78" s="253">
        <v>0</v>
      </c>
      <c r="F78" s="373">
        <f>C78*E78</f>
        <v>0</v>
      </c>
      <c r="G78" s="529"/>
      <c r="H78" s="375">
        <v>0</v>
      </c>
      <c r="I78" s="373">
        <f>G78*H78</f>
        <v>0</v>
      </c>
      <c r="J78" s="622"/>
      <c r="K78" s="530">
        <f>F78+I78+J78</f>
        <v>0</v>
      </c>
      <c r="L78" s="159" t="s">
        <v>1081</v>
      </c>
      <c r="O78" s="381"/>
      <c r="P78" s="382"/>
      <c r="Q78" s="383"/>
    </row>
    <row r="79" spans="1:21" x14ac:dyDescent="0.2">
      <c r="A79" s="387"/>
      <c r="B79" s="7"/>
      <c r="C79" s="371"/>
      <c r="D79" s="372" t="s">
        <v>21</v>
      </c>
      <c r="E79" s="253">
        <v>0</v>
      </c>
      <c r="F79" s="373">
        <f>C79*E79</f>
        <v>0</v>
      </c>
      <c r="G79" s="529"/>
      <c r="H79" s="375">
        <v>0</v>
      </c>
      <c r="I79" s="373">
        <f>G79*H79</f>
        <v>0</v>
      </c>
      <c r="J79" s="622"/>
      <c r="K79" s="530">
        <f>F79+I79+J79</f>
        <v>0</v>
      </c>
      <c r="L79" s="378"/>
      <c r="M79" s="623"/>
      <c r="N79" s="380"/>
      <c r="O79" s="381"/>
      <c r="P79" s="382"/>
      <c r="Q79" s="383"/>
    </row>
    <row r="80" spans="1:21" ht="13.5" thickBot="1" x14ac:dyDescent="0.25">
      <c r="A80" s="387"/>
      <c r="B80" s="7"/>
      <c r="C80" s="371"/>
      <c r="D80" s="372"/>
      <c r="E80" s="253"/>
      <c r="F80" s="373"/>
      <c r="G80" s="529"/>
      <c r="H80" s="375"/>
      <c r="I80" s="373"/>
      <c r="J80" s="622"/>
      <c r="K80" s="530"/>
      <c r="L80" s="378"/>
      <c r="M80" s="623"/>
      <c r="N80" s="380"/>
      <c r="O80" s="381"/>
      <c r="P80" s="382"/>
      <c r="Q80" s="383"/>
    </row>
    <row r="81" spans="1:17" ht="14.25" thickTop="1" thickBot="1" x14ac:dyDescent="0.25">
      <c r="A81" s="470"/>
      <c r="B81" s="156"/>
      <c r="C81" s="471"/>
      <c r="D81" s="472"/>
      <c r="E81" s="633"/>
      <c r="F81" s="474"/>
      <c r="G81" s="634"/>
      <c r="H81" s="633"/>
      <c r="I81" s="474"/>
      <c r="J81" s="476" t="s">
        <v>30</v>
      </c>
      <c r="K81" s="635">
        <f>SUM(K78:K80)</f>
        <v>0</v>
      </c>
      <c r="L81" s="378"/>
      <c r="M81" s="623"/>
      <c r="N81" s="380"/>
      <c r="O81" s="381"/>
      <c r="P81" s="382"/>
      <c r="Q81" s="383"/>
    </row>
    <row r="82" spans="1:17" ht="13.5" thickBot="1" x14ac:dyDescent="0.25">
      <c r="A82" s="614" t="s">
        <v>0</v>
      </c>
      <c r="B82" s="615" t="s">
        <v>1</v>
      </c>
      <c r="C82" s="939" t="s">
        <v>656</v>
      </c>
      <c r="D82" s="939"/>
      <c r="E82" s="939"/>
      <c r="F82" s="939"/>
      <c r="G82" s="939" t="s">
        <v>34</v>
      </c>
      <c r="H82" s="939"/>
      <c r="I82" s="939"/>
      <c r="J82" s="616"/>
      <c r="K82" s="523"/>
      <c r="L82" s="391"/>
      <c r="M82" s="624"/>
      <c r="N82" s="393"/>
      <c r="O82" s="381"/>
      <c r="P82" s="382"/>
      <c r="Q82" s="383"/>
    </row>
    <row r="83" spans="1:17" ht="16.5" thickBot="1" x14ac:dyDescent="0.3">
      <c r="A83" s="579" t="s">
        <v>275</v>
      </c>
      <c r="B83" s="580" t="s">
        <v>276</v>
      </c>
      <c r="C83" s="625" t="s">
        <v>19</v>
      </c>
      <c r="D83" s="625" t="s">
        <v>33</v>
      </c>
      <c r="E83" s="626" t="s">
        <v>35</v>
      </c>
      <c r="F83" s="627" t="s">
        <v>30</v>
      </c>
      <c r="G83" s="628" t="s">
        <v>14</v>
      </c>
      <c r="H83" s="626" t="s">
        <v>35</v>
      </c>
      <c r="I83" s="627" t="s">
        <v>30</v>
      </c>
      <c r="J83" s="620" t="s">
        <v>659</v>
      </c>
      <c r="K83" s="629" t="s">
        <v>38</v>
      </c>
      <c r="L83" s="402"/>
      <c r="M83" s="630"/>
      <c r="N83" s="404"/>
      <c r="O83" s="381"/>
      <c r="P83" s="382"/>
      <c r="Q83" s="383"/>
    </row>
    <row r="84" spans="1:17" x14ac:dyDescent="0.2">
      <c r="A84" s="387"/>
      <c r="B84" s="7"/>
      <c r="C84" s="371"/>
      <c r="D84" s="372" t="s">
        <v>21</v>
      </c>
      <c r="E84" s="253">
        <v>0</v>
      </c>
      <c r="F84" s="373">
        <f>C84*E84</f>
        <v>0</v>
      </c>
      <c r="G84" s="529"/>
      <c r="H84" s="375">
        <v>0</v>
      </c>
      <c r="I84" s="373">
        <f>G84*H84</f>
        <v>0</v>
      </c>
      <c r="J84" s="622"/>
      <c r="K84" s="530">
        <f>F84+I84+J84</f>
        <v>0</v>
      </c>
      <c r="O84" s="381"/>
      <c r="P84" s="382"/>
      <c r="Q84" s="383"/>
    </row>
    <row r="85" spans="1:17" x14ac:dyDescent="0.2">
      <c r="A85" s="387"/>
      <c r="B85" s="7"/>
      <c r="C85" s="371"/>
      <c r="D85" s="372" t="s">
        <v>21</v>
      </c>
      <c r="E85" s="253">
        <v>0</v>
      </c>
      <c r="F85" s="373">
        <f>C85*E85</f>
        <v>0</v>
      </c>
      <c r="G85" s="529"/>
      <c r="H85" s="375">
        <v>0</v>
      </c>
      <c r="I85" s="373">
        <f>G85*H85</f>
        <v>0</v>
      </c>
      <c r="J85" s="622"/>
      <c r="K85" s="530">
        <f>F85+I85+J85</f>
        <v>0</v>
      </c>
      <c r="L85" s="378"/>
      <c r="M85" s="623"/>
      <c r="N85" s="380"/>
      <c r="O85" s="381"/>
      <c r="P85" s="382"/>
      <c r="Q85" s="383"/>
    </row>
    <row r="86" spans="1:17" ht="13.5" thickBot="1" x14ac:dyDescent="0.25">
      <c r="A86" s="387"/>
      <c r="B86" s="7"/>
      <c r="C86" s="371"/>
      <c r="D86" s="372"/>
      <c r="E86" s="253"/>
      <c r="F86" s="373"/>
      <c r="G86" s="529"/>
      <c r="H86" s="375"/>
      <c r="I86" s="373"/>
      <c r="J86" s="622"/>
      <c r="K86" s="530"/>
      <c r="O86" s="381"/>
      <c r="P86" s="382"/>
      <c r="Q86" s="383"/>
    </row>
    <row r="87" spans="1:17" ht="14.25" thickTop="1" thickBot="1" x14ac:dyDescent="0.25">
      <c r="A87" s="470"/>
      <c r="B87" s="156"/>
      <c r="C87" s="471"/>
      <c r="D87" s="472"/>
      <c r="E87" s="633"/>
      <c r="F87" s="474"/>
      <c r="G87" s="634"/>
      <c r="H87" s="633"/>
      <c r="I87" s="474"/>
      <c r="J87" s="476" t="s">
        <v>30</v>
      </c>
      <c r="K87" s="635">
        <f>SUM(K84:K86)</f>
        <v>0</v>
      </c>
      <c r="O87" s="381"/>
      <c r="P87" s="382"/>
      <c r="Q87" s="383"/>
    </row>
    <row r="88" spans="1:17" ht="13.5" thickBot="1" x14ac:dyDescent="0.25">
      <c r="A88" s="614" t="s">
        <v>0</v>
      </c>
      <c r="B88" s="615" t="s">
        <v>1</v>
      </c>
      <c r="C88" s="939" t="s">
        <v>656</v>
      </c>
      <c r="D88" s="939"/>
      <c r="E88" s="939"/>
      <c r="F88" s="939"/>
      <c r="G88" s="939" t="s">
        <v>34</v>
      </c>
      <c r="H88" s="939"/>
      <c r="I88" s="939"/>
      <c r="J88" s="616"/>
      <c r="K88" s="523"/>
      <c r="L88" s="391"/>
      <c r="M88" s="624"/>
      <c r="N88" s="393"/>
      <c r="O88" s="381"/>
      <c r="P88" s="382"/>
      <c r="Q88" s="383"/>
    </row>
    <row r="89" spans="1:17" ht="16.5" thickBot="1" x14ac:dyDescent="0.3">
      <c r="A89" s="579" t="s">
        <v>277</v>
      </c>
      <c r="B89" s="580" t="s">
        <v>278</v>
      </c>
      <c r="C89" s="625" t="s">
        <v>19</v>
      </c>
      <c r="D89" s="625" t="s">
        <v>33</v>
      </c>
      <c r="E89" s="626" t="s">
        <v>35</v>
      </c>
      <c r="F89" s="627" t="s">
        <v>30</v>
      </c>
      <c r="G89" s="628" t="s">
        <v>14</v>
      </c>
      <c r="H89" s="626" t="s">
        <v>35</v>
      </c>
      <c r="I89" s="627" t="s">
        <v>30</v>
      </c>
      <c r="J89" s="620" t="s">
        <v>659</v>
      </c>
      <c r="K89" s="629" t="s">
        <v>38</v>
      </c>
      <c r="L89" s="402"/>
      <c r="M89" s="630"/>
      <c r="N89" s="404"/>
      <c r="O89" s="381"/>
      <c r="P89" s="382"/>
      <c r="Q89" s="383"/>
    </row>
    <row r="90" spans="1:17" x14ac:dyDescent="0.2">
      <c r="A90" s="387"/>
      <c r="B90" s="7"/>
      <c r="C90" s="371"/>
      <c r="D90" s="372" t="s">
        <v>21</v>
      </c>
      <c r="E90" s="253">
        <v>0</v>
      </c>
      <c r="F90" s="373">
        <f>C90*E90</f>
        <v>0</v>
      </c>
      <c r="G90" s="529"/>
      <c r="H90" s="375">
        <v>0</v>
      </c>
      <c r="I90" s="373">
        <f>G90*H90</f>
        <v>0</v>
      </c>
      <c r="J90" s="622"/>
      <c r="K90" s="530">
        <f>F90+I90+J90</f>
        <v>0</v>
      </c>
      <c r="O90" s="381"/>
      <c r="P90" s="382"/>
      <c r="Q90" s="383"/>
    </row>
    <row r="91" spans="1:17" x14ac:dyDescent="0.2">
      <c r="A91" s="387"/>
      <c r="B91" s="7"/>
      <c r="C91" s="371"/>
      <c r="D91" s="372" t="s">
        <v>21</v>
      </c>
      <c r="E91" s="253">
        <v>0</v>
      </c>
      <c r="F91" s="373">
        <f>C91*E91</f>
        <v>0</v>
      </c>
      <c r="G91" s="529"/>
      <c r="H91" s="375">
        <v>0</v>
      </c>
      <c r="I91" s="373">
        <f>G91*H91</f>
        <v>0</v>
      </c>
      <c r="J91" s="622"/>
      <c r="K91" s="530">
        <f>F91+I91+J91</f>
        <v>0</v>
      </c>
      <c r="L91" s="378"/>
      <c r="M91" s="623"/>
      <c r="N91" s="380"/>
      <c r="O91" s="381"/>
      <c r="P91" s="382"/>
      <c r="Q91" s="383"/>
    </row>
    <row r="92" spans="1:17" ht="13.5" thickBot="1" x14ac:dyDescent="0.25">
      <c r="A92" s="387"/>
      <c r="B92" s="7"/>
      <c r="C92" s="371"/>
      <c r="D92" s="372"/>
      <c r="E92" s="253"/>
      <c r="F92" s="373"/>
      <c r="G92" s="529"/>
      <c r="H92" s="375"/>
      <c r="I92" s="373"/>
      <c r="J92" s="622"/>
      <c r="K92" s="530"/>
      <c r="O92" s="381"/>
      <c r="P92" s="382"/>
      <c r="Q92" s="383"/>
    </row>
    <row r="93" spans="1:17" ht="14.25" thickTop="1" thickBot="1" x14ac:dyDescent="0.25">
      <c r="A93" s="470"/>
      <c r="B93" s="156"/>
      <c r="C93" s="471"/>
      <c r="D93" s="472"/>
      <c r="E93" s="633"/>
      <c r="F93" s="474"/>
      <c r="G93" s="634"/>
      <c r="H93" s="633"/>
      <c r="I93" s="474"/>
      <c r="J93" s="476" t="s">
        <v>30</v>
      </c>
      <c r="K93" s="635">
        <f>SUM(K90:K92)</f>
        <v>0</v>
      </c>
      <c r="O93" s="381"/>
      <c r="P93" s="382"/>
      <c r="Q93" s="383"/>
    </row>
    <row r="94" spans="1:17" ht="13.5" thickBot="1" x14ac:dyDescent="0.25">
      <c r="A94" s="614" t="s">
        <v>0</v>
      </c>
      <c r="B94" s="615" t="s">
        <v>1</v>
      </c>
      <c r="C94" s="939" t="s">
        <v>656</v>
      </c>
      <c r="D94" s="939"/>
      <c r="E94" s="939"/>
      <c r="F94" s="939"/>
      <c r="G94" s="939" t="s">
        <v>34</v>
      </c>
      <c r="H94" s="939"/>
      <c r="I94" s="939"/>
      <c r="J94" s="616"/>
      <c r="K94" s="523"/>
      <c r="L94" s="391"/>
      <c r="M94" s="624"/>
      <c r="N94" s="393"/>
      <c r="O94" s="381"/>
      <c r="P94" s="382"/>
      <c r="Q94" s="383"/>
    </row>
    <row r="95" spans="1:17" ht="16.5" thickBot="1" x14ac:dyDescent="0.3">
      <c r="A95" s="579" t="s">
        <v>279</v>
      </c>
      <c r="B95" s="580" t="s">
        <v>280</v>
      </c>
      <c r="C95" s="625" t="s">
        <v>19</v>
      </c>
      <c r="D95" s="625" t="s">
        <v>33</v>
      </c>
      <c r="E95" s="626" t="s">
        <v>35</v>
      </c>
      <c r="F95" s="627" t="s">
        <v>30</v>
      </c>
      <c r="G95" s="628" t="s">
        <v>14</v>
      </c>
      <c r="H95" s="626" t="s">
        <v>35</v>
      </c>
      <c r="I95" s="627" t="s">
        <v>30</v>
      </c>
      <c r="J95" s="620" t="s">
        <v>659</v>
      </c>
      <c r="K95" s="629" t="s">
        <v>38</v>
      </c>
      <c r="L95" s="402"/>
      <c r="M95" s="630"/>
      <c r="N95" s="404"/>
      <c r="O95" s="381"/>
      <c r="P95" s="382"/>
      <c r="Q95" s="383"/>
    </row>
    <row r="96" spans="1:17" x14ac:dyDescent="0.2">
      <c r="A96" s="387"/>
      <c r="B96" s="7"/>
      <c r="C96" s="371"/>
      <c r="D96" s="372" t="s">
        <v>21</v>
      </c>
      <c r="E96" s="253">
        <v>0</v>
      </c>
      <c r="F96" s="373">
        <f>C96*E96</f>
        <v>0</v>
      </c>
      <c r="G96" s="529"/>
      <c r="H96" s="375">
        <v>0</v>
      </c>
      <c r="I96" s="373">
        <f>G96*H96</f>
        <v>0</v>
      </c>
      <c r="J96" s="622"/>
      <c r="K96" s="530">
        <f>F96+I96+J96</f>
        <v>0</v>
      </c>
      <c r="O96" s="381"/>
      <c r="P96" s="382"/>
      <c r="Q96" s="383"/>
    </row>
    <row r="97" spans="1:17" x14ac:dyDescent="0.2">
      <c r="A97" s="387"/>
      <c r="B97" s="7"/>
      <c r="C97" s="371"/>
      <c r="D97" s="372" t="s">
        <v>21</v>
      </c>
      <c r="E97" s="253">
        <v>0</v>
      </c>
      <c r="F97" s="373">
        <f>C97*E97</f>
        <v>0</v>
      </c>
      <c r="G97" s="529"/>
      <c r="H97" s="375">
        <v>0</v>
      </c>
      <c r="I97" s="373">
        <f>G97*H97</f>
        <v>0</v>
      </c>
      <c r="J97" s="622"/>
      <c r="K97" s="530">
        <f>F97+I97+J97</f>
        <v>0</v>
      </c>
      <c r="L97" s="378"/>
      <c r="M97" s="623"/>
      <c r="N97" s="380"/>
      <c r="O97" s="381"/>
      <c r="P97" s="382"/>
      <c r="Q97" s="383"/>
    </row>
    <row r="98" spans="1:17" ht="13.5" thickBot="1" x14ac:dyDescent="0.25">
      <c r="A98" s="387"/>
      <c r="B98" s="7"/>
      <c r="C98" s="371"/>
      <c r="D98" s="372"/>
      <c r="E98" s="253"/>
      <c r="F98" s="373"/>
      <c r="G98" s="529"/>
      <c r="H98" s="375"/>
      <c r="I98" s="373"/>
      <c r="J98" s="622"/>
      <c r="K98" s="530"/>
      <c r="O98" s="381"/>
      <c r="P98" s="382"/>
      <c r="Q98" s="383"/>
    </row>
    <row r="99" spans="1:17" ht="14.25" thickTop="1" thickBot="1" x14ac:dyDescent="0.25">
      <c r="A99" s="470"/>
      <c r="B99" s="156"/>
      <c r="C99" s="471"/>
      <c r="D99" s="472"/>
      <c r="E99" s="633"/>
      <c r="F99" s="474"/>
      <c r="G99" s="634"/>
      <c r="H99" s="633"/>
      <c r="I99" s="474"/>
      <c r="J99" s="476" t="s">
        <v>30</v>
      </c>
      <c r="K99" s="635">
        <f>SUM(K96:K98)</f>
        <v>0</v>
      </c>
      <c r="O99" s="381"/>
      <c r="P99" s="382"/>
      <c r="Q99" s="383"/>
    </row>
    <row r="100" spans="1:17" ht="13.5" thickBot="1" x14ac:dyDescent="0.25">
      <c r="A100" s="614" t="s">
        <v>0</v>
      </c>
      <c r="B100" s="615" t="s">
        <v>1</v>
      </c>
      <c r="C100" s="939" t="s">
        <v>656</v>
      </c>
      <c r="D100" s="939"/>
      <c r="E100" s="939"/>
      <c r="F100" s="939"/>
      <c r="G100" s="939" t="s">
        <v>34</v>
      </c>
      <c r="H100" s="939"/>
      <c r="I100" s="939"/>
      <c r="J100" s="616"/>
      <c r="K100" s="523"/>
      <c r="L100" s="391"/>
      <c r="M100" s="624"/>
      <c r="N100" s="393"/>
      <c r="O100" s="381"/>
      <c r="P100" s="382"/>
      <c r="Q100" s="383"/>
    </row>
    <row r="101" spans="1:17" ht="16.5" thickBot="1" x14ac:dyDescent="0.3">
      <c r="A101" s="394"/>
      <c r="B101" s="395"/>
      <c r="C101" s="638" t="s">
        <v>19</v>
      </c>
      <c r="D101" s="625" t="s">
        <v>33</v>
      </c>
      <c r="E101" s="626" t="s">
        <v>35</v>
      </c>
      <c r="F101" s="627" t="s">
        <v>30</v>
      </c>
      <c r="G101" s="628" t="s">
        <v>14</v>
      </c>
      <c r="H101" s="626" t="s">
        <v>35</v>
      </c>
      <c r="I101" s="627" t="s">
        <v>30</v>
      </c>
      <c r="J101" s="620" t="s">
        <v>659</v>
      </c>
      <c r="K101" s="629" t="s">
        <v>38</v>
      </c>
      <c r="L101" s="402"/>
      <c r="M101" s="630"/>
      <c r="N101" s="404"/>
      <c r="O101" s="381"/>
      <c r="P101" s="382"/>
      <c r="Q101" s="383"/>
    </row>
    <row r="102" spans="1:17" x14ac:dyDescent="0.2">
      <c r="A102" s="639"/>
      <c r="B102" s="640"/>
      <c r="C102" s="371"/>
      <c r="D102" s="372" t="s">
        <v>21</v>
      </c>
      <c r="E102" s="253">
        <v>0</v>
      </c>
      <c r="F102" s="373">
        <f>C102*E102</f>
        <v>0</v>
      </c>
      <c r="G102" s="529"/>
      <c r="H102" s="375">
        <v>0</v>
      </c>
      <c r="I102" s="373">
        <f>G102*H102</f>
        <v>0</v>
      </c>
      <c r="J102" s="622"/>
      <c r="K102" s="530">
        <f>F102+I102+J102</f>
        <v>0</v>
      </c>
      <c r="L102" s="378"/>
      <c r="M102" s="623"/>
      <c r="N102" s="380"/>
      <c r="O102" s="381"/>
      <c r="P102" s="382"/>
      <c r="Q102" s="383"/>
    </row>
    <row r="103" spans="1:17" x14ac:dyDescent="0.2">
      <c r="A103" s="387"/>
      <c r="B103" s="7"/>
      <c r="C103" s="371"/>
      <c r="D103" s="372" t="s">
        <v>21</v>
      </c>
      <c r="E103" s="253">
        <v>0</v>
      </c>
      <c r="F103" s="373">
        <f>C103*E103</f>
        <v>0</v>
      </c>
      <c r="G103" s="529"/>
      <c r="H103" s="375">
        <v>0</v>
      </c>
      <c r="I103" s="373">
        <f>G103*H103</f>
        <v>0</v>
      </c>
      <c r="J103" s="622"/>
      <c r="K103" s="530">
        <f>F103+I103+J103</f>
        <v>0</v>
      </c>
      <c r="L103" s="378"/>
      <c r="M103" s="623"/>
      <c r="N103" s="380"/>
      <c r="O103" s="381"/>
      <c r="P103" s="382"/>
      <c r="Q103" s="383"/>
    </row>
    <row r="104" spans="1:17" ht="13.5" thickBot="1" x14ac:dyDescent="0.25">
      <c r="A104" s="387"/>
      <c r="B104" s="7"/>
      <c r="C104" s="371"/>
      <c r="D104" s="372"/>
      <c r="E104" s="253"/>
      <c r="F104" s="373"/>
      <c r="G104" s="529"/>
      <c r="H104" s="375"/>
      <c r="I104" s="373"/>
      <c r="J104" s="622"/>
      <c r="K104" s="530"/>
      <c r="L104" s="378"/>
      <c r="M104" s="623"/>
      <c r="N104" s="380"/>
      <c r="O104" s="381"/>
      <c r="P104" s="382"/>
      <c r="Q104" s="383"/>
    </row>
    <row r="105" spans="1:17" ht="14.25" thickTop="1" thickBot="1" x14ac:dyDescent="0.25">
      <c r="A105" s="470"/>
      <c r="B105" s="156"/>
      <c r="C105" s="471"/>
      <c r="D105" s="472"/>
      <c r="E105" s="633"/>
      <c r="F105" s="474"/>
      <c r="G105" s="634"/>
      <c r="H105" s="633"/>
      <c r="I105" s="474"/>
      <c r="J105" s="476" t="s">
        <v>30</v>
      </c>
      <c r="K105" s="635">
        <f>SUM(K102:K104)</f>
        <v>0</v>
      </c>
      <c r="L105" s="583"/>
      <c r="M105" s="641"/>
      <c r="N105" s="585"/>
      <c r="O105" s="460"/>
      <c r="P105" s="461"/>
      <c r="Q105" s="462"/>
    </row>
    <row r="106" spans="1:17" ht="14.1" customHeight="1" x14ac:dyDescent="0.25">
      <c r="A106" s="478"/>
      <c r="B106" s="479"/>
      <c r="C106" s="480"/>
      <c r="D106" s="480"/>
      <c r="E106" s="642"/>
      <c r="F106" s="1068" t="s">
        <v>658</v>
      </c>
      <c r="G106" s="992" t="s">
        <v>684</v>
      </c>
      <c r="H106" s="642"/>
      <c r="I106" s="1065" t="s">
        <v>657</v>
      </c>
      <c r="J106" s="958" t="s">
        <v>685</v>
      </c>
      <c r="K106" s="1057" t="s">
        <v>31</v>
      </c>
    </row>
    <row r="107" spans="1:17" ht="15" x14ac:dyDescent="0.25">
      <c r="A107" s="482" t="s">
        <v>32</v>
      </c>
      <c r="B107" s="1067" t="s">
        <v>28</v>
      </c>
      <c r="C107" s="483"/>
      <c r="D107" s="643"/>
      <c r="E107" s="643"/>
      <c r="F107" s="1069"/>
      <c r="G107" s="993"/>
      <c r="H107" s="644"/>
      <c r="I107" s="1066"/>
      <c r="J107" s="959"/>
      <c r="K107" s="1058"/>
    </row>
    <row r="108" spans="1:17" ht="15" x14ac:dyDescent="0.25">
      <c r="A108" s="828">
        <f>K109/E6</f>
        <v>0</v>
      </c>
      <c r="B108" s="1067"/>
      <c r="C108" s="643"/>
      <c r="D108" s="643"/>
      <c r="E108" s="643"/>
      <c r="F108" s="1059">
        <f>SUM(F102:F104,F96:F98,F90:F92,F84:F86,F78:F80,F72:F74,F65:F68,F60:F61,F55:F56,F50:F51,F44:F46,F38:F40,F32:F34,F27:F28,F21:F23,F13:F17)</f>
        <v>8000</v>
      </c>
      <c r="G108" s="1061">
        <f>SUM(G102:G104,G96:G98,G90:G92,G84:G86,G78:G80,G72:G74,G65:G68,G60:G61,G55:G56,G50:G51,G44:G46,G38:G40,G32:G34,G27:G28,G21:G23,G13:G17)</f>
        <v>0</v>
      </c>
      <c r="H108" s="644"/>
      <c r="I108" s="1059">
        <f>SUM(I102:I104,I96:I98,I90:I92,I84:I86,I78:I80,I72:I74,I65:I68,I60:I61,I55:I56,I50:I51,I44:I46,I38:I40,I32:I34,I27:I28,I21:I23,I13:I17)</f>
        <v>0</v>
      </c>
      <c r="J108" s="1059">
        <f>SUM(J102:J104,J96:J98,J90:J92,J84:J86,J78:J80,J72:J74,J65:J68,J60:J61,J55:J56,J50:J51,J44:J46,J38:J40,J32:J34,J27:J28,J21:J23,J13:J17)</f>
        <v>266429.81</v>
      </c>
      <c r="K108" s="1063">
        <f>SUM(K105,K99,K93,K87,K81,K75,K69,K18,K24,K29,K35,K41,K47,K52,K57,K62)</f>
        <v>274429.81</v>
      </c>
    </row>
    <row r="109" spans="1:17" ht="15" thickBot="1" x14ac:dyDescent="0.25">
      <c r="A109" s="482"/>
      <c r="B109" s="550"/>
      <c r="C109" s="488"/>
      <c r="D109" s="488"/>
      <c r="E109" s="488"/>
      <c r="F109" s="1060"/>
      <c r="G109" s="1062"/>
      <c r="H109" s="488"/>
      <c r="I109" s="1060"/>
      <c r="J109" s="1060"/>
      <c r="K109" s="1064"/>
    </row>
    <row r="110" spans="1:17" ht="13.5" thickBot="1" x14ac:dyDescent="0.25">
      <c r="A110" s="489"/>
      <c r="B110" s="490"/>
      <c r="C110" s="490"/>
      <c r="D110" s="490"/>
      <c r="E110" s="490"/>
      <c r="F110" s="490"/>
      <c r="G110" s="490"/>
      <c r="H110" s="490"/>
      <c r="I110" s="490"/>
      <c r="J110" s="490"/>
      <c r="K110" s="491"/>
    </row>
  </sheetData>
  <mergeCells count="77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C11:F11"/>
    <mergeCell ref="G11:I11"/>
    <mergeCell ref="C19:F19"/>
    <mergeCell ref="G19:I19"/>
    <mergeCell ref="C25:F25"/>
    <mergeCell ref="G25:I25"/>
    <mergeCell ref="C30:F30"/>
    <mergeCell ref="G30:I30"/>
    <mergeCell ref="C36:F36"/>
    <mergeCell ref="G36:I36"/>
    <mergeCell ref="C42:F42"/>
    <mergeCell ref="G42:I42"/>
    <mergeCell ref="C48:F48"/>
    <mergeCell ref="G48:I48"/>
    <mergeCell ref="C53:F53"/>
    <mergeCell ref="G53:I53"/>
    <mergeCell ref="B107:B108"/>
    <mergeCell ref="G100:I100"/>
    <mergeCell ref="F106:F107"/>
    <mergeCell ref="C58:F58"/>
    <mergeCell ref="G58:I58"/>
    <mergeCell ref="C63:F63"/>
    <mergeCell ref="G63:I63"/>
    <mergeCell ref="C94:F94"/>
    <mergeCell ref="G94:I94"/>
    <mergeCell ref="C100:F100"/>
    <mergeCell ref="F108:F109"/>
    <mergeCell ref="G108:G109"/>
    <mergeCell ref="C70:F70"/>
    <mergeCell ref="G70:I70"/>
    <mergeCell ref="C76:F76"/>
    <mergeCell ref="G76:I76"/>
    <mergeCell ref="C82:F82"/>
    <mergeCell ref="G82:I82"/>
    <mergeCell ref="I108:I109"/>
    <mergeCell ref="J108:J109"/>
    <mergeCell ref="K108:K109"/>
    <mergeCell ref="C88:F88"/>
    <mergeCell ref="G88:I88"/>
    <mergeCell ref="G106:G107"/>
    <mergeCell ref="I106:I107"/>
    <mergeCell ref="J106:J107"/>
    <mergeCell ref="K106:K107"/>
    <mergeCell ref="Q11:Q12"/>
    <mergeCell ref="L11:L12"/>
    <mergeCell ref="M11:M12"/>
    <mergeCell ref="N11:N12"/>
    <mergeCell ref="O11:O12"/>
    <mergeCell ref="P11:P12"/>
  </mergeCells>
  <pageMargins left="0.7" right="0.7" top="0.75" bottom="0.75" header="0.5" footer="0.5"/>
  <pageSetup scale="59" fitToHeight="2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>
    <pageSetUpPr fitToPage="1"/>
  </sheetPr>
  <dimension ref="A1:Q242"/>
  <sheetViews>
    <sheetView zoomScale="90" zoomScaleNormal="75" zoomScaleSheetLayoutView="90" zoomScalePageLayoutView="75" workbookViewId="0">
      <selection activeCell="J12" sqref="J12"/>
    </sheetView>
  </sheetViews>
  <sheetFormatPr defaultColWidth="9.140625" defaultRowHeight="12.75" x14ac:dyDescent="0.2"/>
  <cols>
    <col min="1" max="1" width="12.140625" style="157" bestFit="1" customWidth="1"/>
    <col min="2" max="2" width="45.42578125" style="157" customWidth="1"/>
    <col min="3" max="4" width="5" style="440" customWidth="1"/>
    <col min="5" max="5" width="11.42578125" style="157" bestFit="1" customWidth="1"/>
    <col min="6" max="6" width="14.85546875" style="157" bestFit="1" customWidth="1"/>
    <col min="7" max="7" width="7" style="157" bestFit="1" customWidth="1"/>
    <col min="8" max="8" width="10.85546875" style="157" bestFit="1" customWidth="1"/>
    <col min="9" max="9" width="14.42578125" style="157" bestFit="1" customWidth="1"/>
    <col min="10" max="10" width="16.140625" style="157" bestFit="1" customWidth="1"/>
    <col min="11" max="11" width="15.7109375" style="157" bestFit="1" customWidth="1"/>
    <col min="12" max="12" width="17.85546875" style="159" bestFit="1" customWidth="1"/>
    <col min="13" max="13" width="15" style="314" bestFit="1" customWidth="1"/>
    <col min="14" max="14" width="24.85546875" style="157" bestFit="1" customWidth="1"/>
    <col min="15" max="15" width="22" style="302" bestFit="1" customWidth="1"/>
    <col min="16" max="16" width="22.140625" style="302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2"/>
      <c r="B1" s="323"/>
      <c r="C1" s="976">
        <f>'Estimate Summary'!C1:H1</f>
        <v>0</v>
      </c>
      <c r="D1" s="976"/>
      <c r="E1" s="976"/>
      <c r="F1" s="976"/>
      <c r="G1" s="976"/>
      <c r="H1" s="976"/>
      <c r="I1" s="976"/>
      <c r="J1" s="976"/>
      <c r="K1" s="977"/>
    </row>
    <row r="2" spans="1:17" ht="13.5" thickBot="1" x14ac:dyDescent="0.25">
      <c r="A2" s="324"/>
      <c r="B2" s="325"/>
      <c r="C2" s="514"/>
      <c r="D2" s="984"/>
      <c r="E2" s="984"/>
      <c r="F2" s="984"/>
      <c r="G2" s="514"/>
      <c r="H2" s="327"/>
      <c r="I2" s="609"/>
      <c r="J2" s="329"/>
      <c r="K2" s="330"/>
    </row>
    <row r="3" spans="1:17" ht="16.5" thickBot="1" x14ac:dyDescent="0.3">
      <c r="A3" s="973"/>
      <c r="B3" s="974"/>
      <c r="C3" s="514"/>
      <c r="D3" s="984"/>
      <c r="E3" s="984"/>
      <c r="F3" s="984"/>
      <c r="G3" s="515"/>
      <c r="H3" s="332"/>
      <c r="I3" s="333"/>
      <c r="J3" s="333"/>
      <c r="K3" s="334"/>
      <c r="L3" s="1002"/>
      <c r="M3" s="1003"/>
      <c r="N3" s="985"/>
      <c r="O3" s="985"/>
      <c r="P3" s="935"/>
    </row>
    <row r="4" spans="1:17" ht="18.75" thickBot="1" x14ac:dyDescent="0.3">
      <c r="A4" s="973"/>
      <c r="B4" s="974"/>
      <c r="C4" s="514"/>
      <c r="D4" s="984"/>
      <c r="E4" s="984"/>
      <c r="F4" s="984"/>
      <c r="G4" s="610"/>
      <c r="H4" s="610"/>
      <c r="I4" s="609"/>
      <c r="J4" s="329"/>
      <c r="K4" s="330"/>
      <c r="L4" s="1002"/>
      <c r="M4" s="1003"/>
      <c r="N4" s="985"/>
      <c r="O4" s="985"/>
      <c r="P4" s="935"/>
    </row>
    <row r="5" spans="1:17" ht="21" thickBot="1" x14ac:dyDescent="0.35">
      <c r="A5" s="611"/>
      <c r="B5" s="612"/>
      <c r="C5" s="516"/>
      <c r="D5" s="613"/>
      <c r="E5" s="341"/>
      <c r="F5" s="610"/>
      <c r="G5" s="1081" t="s">
        <v>8</v>
      </c>
      <c r="H5" s="1081"/>
      <c r="I5" s="1081"/>
      <c r="J5" s="981" t="s">
        <v>73</v>
      </c>
      <c r="K5" s="982"/>
      <c r="L5" s="1002"/>
      <c r="M5" s="1003"/>
      <c r="N5" s="985"/>
      <c r="O5" s="985"/>
      <c r="P5" s="935"/>
    </row>
    <row r="6" spans="1:17" ht="21" thickBot="1" x14ac:dyDescent="0.35">
      <c r="A6" s="611"/>
      <c r="B6" s="612"/>
      <c r="C6" s="517"/>
      <c r="D6" s="343" t="str">
        <f>'Estimate Summary'!C11</f>
        <v>Area:</v>
      </c>
      <c r="E6" s="344">
        <f>'Estimate Summary'!D11</f>
        <v>65592</v>
      </c>
      <c r="F6" s="238" t="str">
        <f>'Estimate Summary'!E11</f>
        <v>Sq. Ft.</v>
      </c>
      <c r="G6" s="1081"/>
      <c r="H6" s="1081"/>
      <c r="I6" s="1081"/>
      <c r="J6" s="345">
        <f>'1'!J6</f>
        <v>60</v>
      </c>
      <c r="K6" s="330" t="s">
        <v>74</v>
      </c>
      <c r="L6" s="1002"/>
      <c r="M6" s="1003"/>
      <c r="N6" s="985"/>
      <c r="O6" s="985"/>
      <c r="P6" s="935"/>
    </row>
    <row r="7" spans="1:17" x14ac:dyDescent="0.2">
      <c r="A7" s="978"/>
      <c r="B7" s="979"/>
      <c r="C7" s="979"/>
      <c r="D7" s="979"/>
      <c r="E7" s="979"/>
      <c r="F7" s="979"/>
      <c r="G7" s="979"/>
      <c r="H7" s="979"/>
      <c r="I7" s="979"/>
      <c r="J7" s="979"/>
      <c r="K7" s="980"/>
    </row>
    <row r="8" spans="1:17" ht="13.5" thickBot="1" x14ac:dyDescent="0.25">
      <c r="A8" s="346"/>
      <c r="B8" s="347"/>
      <c r="C8" s="972"/>
      <c r="D8" s="972"/>
      <c r="E8" s="972"/>
      <c r="F8" s="972"/>
      <c r="G8" s="971"/>
      <c r="H8" s="971"/>
      <c r="I8" s="971"/>
      <c r="J8" s="348"/>
      <c r="K8" s="349"/>
      <c r="L8" s="518"/>
      <c r="M8" s="519"/>
      <c r="N8" s="518"/>
      <c r="O8" s="520"/>
      <c r="P8" s="520"/>
    </row>
    <row r="9" spans="1:17" ht="15" customHeight="1" thickTop="1" thickBot="1" x14ac:dyDescent="0.25">
      <c r="A9" s="614" t="s">
        <v>0</v>
      </c>
      <c r="B9" s="615" t="s">
        <v>1</v>
      </c>
      <c r="C9" s="939" t="s">
        <v>656</v>
      </c>
      <c r="D9" s="939"/>
      <c r="E9" s="939"/>
      <c r="F9" s="939"/>
      <c r="G9" s="939" t="s">
        <v>34</v>
      </c>
      <c r="H9" s="939"/>
      <c r="I9" s="939"/>
      <c r="J9" s="616"/>
      <c r="K9" s="523"/>
      <c r="L9" s="1046" t="s">
        <v>783</v>
      </c>
      <c r="M9" s="1048" t="s">
        <v>784</v>
      </c>
      <c r="N9" s="1050" t="s">
        <v>785</v>
      </c>
      <c r="O9" s="1052" t="s">
        <v>1041</v>
      </c>
      <c r="P9" s="1054"/>
      <c r="Q9" s="1044"/>
    </row>
    <row r="10" spans="1:17" ht="16.5" thickBot="1" x14ac:dyDescent="0.3">
      <c r="A10" s="579" t="s">
        <v>282</v>
      </c>
      <c r="B10" s="580" t="s">
        <v>283</v>
      </c>
      <c r="C10" s="617" t="s">
        <v>19</v>
      </c>
      <c r="D10" s="617" t="s">
        <v>33</v>
      </c>
      <c r="E10" s="445" t="s">
        <v>35</v>
      </c>
      <c r="F10" s="618" t="s">
        <v>30</v>
      </c>
      <c r="G10" s="619" t="s">
        <v>14</v>
      </c>
      <c r="H10" s="445" t="s">
        <v>35</v>
      </c>
      <c r="I10" s="618" t="s">
        <v>30</v>
      </c>
      <c r="J10" s="620" t="s">
        <v>659</v>
      </c>
      <c r="K10" s="621" t="s">
        <v>38</v>
      </c>
      <c r="L10" s="1047"/>
      <c r="M10" s="1049"/>
      <c r="N10" s="1051"/>
      <c r="O10" s="1053"/>
      <c r="P10" s="1055"/>
      <c r="Q10" s="1045"/>
    </row>
    <row r="11" spans="1:17" x14ac:dyDescent="0.2">
      <c r="A11" s="370"/>
      <c r="B11" s="5"/>
      <c r="C11" s="371"/>
      <c r="D11" s="372" t="s">
        <v>732</v>
      </c>
      <c r="E11" s="253">
        <v>0</v>
      </c>
      <c r="F11" s="373">
        <f t="shared" ref="F11:F16" si="0">C11*E11</f>
        <v>0</v>
      </c>
      <c r="G11" s="529"/>
      <c r="H11" s="375">
        <v>0</v>
      </c>
      <c r="I11" s="373">
        <f t="shared" ref="I11:I16" si="1">G11*H11</f>
        <v>0</v>
      </c>
      <c r="J11" s="622">
        <f>M13</f>
        <v>1139222</v>
      </c>
      <c r="K11" s="530">
        <f t="shared" ref="K11:K16" si="2">F11+I11+J11</f>
        <v>1139222</v>
      </c>
      <c r="L11" s="378" t="s">
        <v>1046</v>
      </c>
      <c r="M11" s="623">
        <v>1209800</v>
      </c>
      <c r="N11" s="380" t="s">
        <v>1273</v>
      </c>
      <c r="O11" s="381" t="s">
        <v>1046</v>
      </c>
      <c r="P11" s="382">
        <v>1298700</v>
      </c>
      <c r="Q11" s="383"/>
    </row>
    <row r="12" spans="1:17" x14ac:dyDescent="0.2">
      <c r="A12" s="370"/>
      <c r="B12" s="5"/>
      <c r="C12" s="371"/>
      <c r="D12" s="372" t="s">
        <v>732</v>
      </c>
      <c r="E12" s="253">
        <v>0</v>
      </c>
      <c r="F12" s="373">
        <f t="shared" si="0"/>
        <v>0</v>
      </c>
      <c r="G12" s="529"/>
      <c r="H12" s="375">
        <v>0</v>
      </c>
      <c r="I12" s="373">
        <f t="shared" si="1"/>
        <v>0</v>
      </c>
      <c r="J12" s="622"/>
      <c r="K12" s="530">
        <f t="shared" si="2"/>
        <v>0</v>
      </c>
      <c r="L12" s="378" t="s">
        <v>1082</v>
      </c>
      <c r="M12" s="867">
        <v>1138510</v>
      </c>
      <c r="N12" s="380" t="s">
        <v>1195</v>
      </c>
      <c r="O12" s="844" t="s">
        <v>1281</v>
      </c>
      <c r="P12" s="382"/>
      <c r="Q12" s="383"/>
    </row>
    <row r="13" spans="1:17" x14ac:dyDescent="0.2">
      <c r="A13" s="370"/>
      <c r="B13" s="5"/>
      <c r="C13" s="371"/>
      <c r="D13" s="372" t="s">
        <v>732</v>
      </c>
      <c r="E13" s="253">
        <v>0</v>
      </c>
      <c r="F13" s="373">
        <f t="shared" si="0"/>
        <v>0</v>
      </c>
      <c r="G13" s="529"/>
      <c r="H13" s="375">
        <v>0</v>
      </c>
      <c r="I13" s="373">
        <f t="shared" si="1"/>
        <v>0</v>
      </c>
      <c r="J13" s="622"/>
      <c r="K13" s="530">
        <f t="shared" si="2"/>
        <v>0</v>
      </c>
      <c r="L13" s="378" t="s">
        <v>1228</v>
      </c>
      <c r="M13" s="867">
        <v>1139222</v>
      </c>
      <c r="N13" s="380" t="s">
        <v>1272</v>
      </c>
      <c r="O13" s="381"/>
      <c r="P13" s="382"/>
      <c r="Q13" s="383"/>
    </row>
    <row r="14" spans="1:17" x14ac:dyDescent="0.2">
      <c r="A14" s="370"/>
      <c r="B14" s="5"/>
      <c r="C14" s="371"/>
      <c r="D14" s="372" t="s">
        <v>732</v>
      </c>
      <c r="E14" s="253">
        <v>0</v>
      </c>
      <c r="F14" s="373">
        <f t="shared" si="0"/>
        <v>0</v>
      </c>
      <c r="G14" s="529"/>
      <c r="H14" s="375">
        <v>0</v>
      </c>
      <c r="I14" s="373">
        <f t="shared" si="1"/>
        <v>0</v>
      </c>
      <c r="J14" s="622"/>
      <c r="K14" s="530">
        <f t="shared" si="2"/>
        <v>0</v>
      </c>
      <c r="L14" s="378"/>
      <c r="M14" s="623"/>
      <c r="N14" s="380"/>
      <c r="O14" s="381"/>
      <c r="P14" s="382"/>
      <c r="Q14" s="383"/>
    </row>
    <row r="15" spans="1:17" x14ac:dyDescent="0.2">
      <c r="A15" s="370"/>
      <c r="B15" s="6"/>
      <c r="C15" s="371"/>
      <c r="D15" s="372" t="s">
        <v>732</v>
      </c>
      <c r="E15" s="253">
        <v>0</v>
      </c>
      <c r="F15" s="373">
        <f t="shared" si="0"/>
        <v>0</v>
      </c>
      <c r="G15" s="529"/>
      <c r="H15" s="375">
        <v>0</v>
      </c>
      <c r="I15" s="373">
        <f t="shared" si="1"/>
        <v>0</v>
      </c>
      <c r="J15" s="622"/>
      <c r="K15" s="530">
        <f t="shared" si="2"/>
        <v>0</v>
      </c>
      <c r="L15" s="378"/>
      <c r="M15" s="623"/>
      <c r="N15" s="380"/>
      <c r="O15" s="381"/>
      <c r="P15" s="382"/>
      <c r="Q15" s="383"/>
    </row>
    <row r="16" spans="1:17" x14ac:dyDescent="0.2">
      <c r="A16" s="384"/>
      <c r="B16" s="5"/>
      <c r="C16" s="371"/>
      <c r="D16" s="372" t="s">
        <v>732</v>
      </c>
      <c r="E16" s="253">
        <v>0</v>
      </c>
      <c r="F16" s="373">
        <f t="shared" si="0"/>
        <v>0</v>
      </c>
      <c r="G16" s="529"/>
      <c r="H16" s="375">
        <v>0</v>
      </c>
      <c r="I16" s="373">
        <f t="shared" si="1"/>
        <v>0</v>
      </c>
      <c r="J16" s="622"/>
      <c r="K16" s="530">
        <f t="shared" si="2"/>
        <v>0</v>
      </c>
      <c r="L16" s="378"/>
      <c r="M16" s="623"/>
      <c r="N16" s="380"/>
      <c r="O16" s="381"/>
      <c r="P16" s="382"/>
      <c r="Q16" s="383"/>
    </row>
    <row r="17" spans="1:17" ht="13.5" thickBot="1" x14ac:dyDescent="0.25">
      <c r="A17" s="387"/>
      <c r="B17" s="7"/>
      <c r="C17" s="388"/>
      <c r="D17" s="372"/>
      <c r="E17" s="253"/>
      <c r="F17" s="373"/>
      <c r="G17" s="529"/>
      <c r="H17" s="375"/>
      <c r="I17" s="373"/>
      <c r="J17" s="622"/>
      <c r="K17" s="530"/>
      <c r="L17" s="378"/>
      <c r="M17" s="623"/>
      <c r="N17" s="380"/>
      <c r="O17" s="381"/>
      <c r="P17" s="382"/>
      <c r="Q17" s="383"/>
    </row>
    <row r="18" spans="1:17" ht="13.5" thickTop="1" x14ac:dyDescent="0.2">
      <c r="A18" s="387"/>
      <c r="B18" s="7"/>
      <c r="C18" s="388"/>
      <c r="D18" s="372"/>
      <c r="E18" s="253"/>
      <c r="F18" s="373"/>
      <c r="G18" s="529"/>
      <c r="H18" s="375"/>
      <c r="I18" s="373"/>
      <c r="J18" s="389" t="s">
        <v>30</v>
      </c>
      <c r="K18" s="532">
        <f>SUM(K11:K17)</f>
        <v>1139222</v>
      </c>
      <c r="L18" s="378"/>
      <c r="M18" s="623"/>
      <c r="N18" s="380"/>
      <c r="O18" s="381"/>
      <c r="P18" s="382"/>
      <c r="Q18" s="383"/>
    </row>
    <row r="19" spans="1:17" ht="13.5" thickBot="1" x14ac:dyDescent="0.25">
      <c r="A19" s="614" t="s">
        <v>0</v>
      </c>
      <c r="B19" s="615" t="s">
        <v>1</v>
      </c>
      <c r="C19" s="939" t="s">
        <v>656</v>
      </c>
      <c r="D19" s="939"/>
      <c r="E19" s="939"/>
      <c r="F19" s="939"/>
      <c r="G19" s="939" t="s">
        <v>34</v>
      </c>
      <c r="H19" s="939"/>
      <c r="I19" s="939"/>
      <c r="J19" s="616"/>
      <c r="K19" s="523"/>
      <c r="L19" s="391"/>
      <c r="M19" s="624"/>
      <c r="N19" s="393"/>
      <c r="O19" s="381"/>
      <c r="P19" s="382"/>
      <c r="Q19" s="383"/>
    </row>
    <row r="20" spans="1:17" ht="16.5" thickBot="1" x14ac:dyDescent="0.3">
      <c r="A20" s="579" t="s">
        <v>284</v>
      </c>
      <c r="B20" s="580" t="s">
        <v>285</v>
      </c>
      <c r="C20" s="625" t="s">
        <v>19</v>
      </c>
      <c r="D20" s="625" t="s">
        <v>33</v>
      </c>
      <c r="E20" s="626" t="s">
        <v>35</v>
      </c>
      <c r="F20" s="627" t="s">
        <v>30</v>
      </c>
      <c r="G20" s="628" t="s">
        <v>14</v>
      </c>
      <c r="H20" s="626" t="s">
        <v>35</v>
      </c>
      <c r="I20" s="627" t="s">
        <v>30</v>
      </c>
      <c r="J20" s="620" t="s">
        <v>659</v>
      </c>
      <c r="K20" s="629" t="s">
        <v>38</v>
      </c>
      <c r="L20" s="402"/>
      <c r="M20" s="630"/>
      <c r="N20" s="404"/>
      <c r="O20" s="381"/>
      <c r="P20" s="382"/>
      <c r="Q20" s="383"/>
    </row>
    <row r="21" spans="1:17" x14ac:dyDescent="0.2">
      <c r="A21" s="370"/>
      <c r="B21" s="5"/>
      <c r="C21" s="371"/>
      <c r="D21" s="372" t="s">
        <v>732</v>
      </c>
      <c r="E21" s="253">
        <v>0</v>
      </c>
      <c r="F21" s="373">
        <f>C21*E21</f>
        <v>0</v>
      </c>
      <c r="G21" s="529"/>
      <c r="H21" s="375">
        <v>0</v>
      </c>
      <c r="I21" s="373">
        <f>G21*H21</f>
        <v>0</v>
      </c>
      <c r="J21" s="622"/>
      <c r="K21" s="530">
        <f>F21+I21+J21</f>
        <v>0</v>
      </c>
      <c r="L21" s="378"/>
      <c r="M21" s="623"/>
      <c r="N21" s="380"/>
      <c r="O21" s="381"/>
      <c r="P21" s="382"/>
      <c r="Q21" s="383"/>
    </row>
    <row r="22" spans="1:17" x14ac:dyDescent="0.2">
      <c r="A22" s="370"/>
      <c r="B22" s="5"/>
      <c r="C22" s="371"/>
      <c r="D22" s="372" t="s">
        <v>732</v>
      </c>
      <c r="E22" s="253">
        <v>0</v>
      </c>
      <c r="F22" s="373">
        <f>C22*E22</f>
        <v>0</v>
      </c>
      <c r="G22" s="529"/>
      <c r="H22" s="375">
        <v>0</v>
      </c>
      <c r="I22" s="373">
        <f>G22*H22</f>
        <v>0</v>
      </c>
      <c r="J22" s="622"/>
      <c r="K22" s="530">
        <f>F22+I22+J22</f>
        <v>0</v>
      </c>
      <c r="L22" s="378"/>
      <c r="M22" s="623"/>
      <c r="N22" s="380"/>
      <c r="O22" s="381"/>
      <c r="P22" s="382"/>
      <c r="Q22" s="383"/>
    </row>
    <row r="23" spans="1:17" x14ac:dyDescent="0.2">
      <c r="A23" s="370"/>
      <c r="B23" s="5"/>
      <c r="C23" s="371"/>
      <c r="D23" s="372" t="s">
        <v>732</v>
      </c>
      <c r="E23" s="253">
        <v>0</v>
      </c>
      <c r="F23" s="373">
        <f>C23*E23</f>
        <v>0</v>
      </c>
      <c r="G23" s="529"/>
      <c r="H23" s="375">
        <v>0</v>
      </c>
      <c r="I23" s="373">
        <f>G23*H23</f>
        <v>0</v>
      </c>
      <c r="J23" s="622"/>
      <c r="K23" s="530">
        <f>F23+I23+J23</f>
        <v>0</v>
      </c>
      <c r="L23" s="378"/>
      <c r="M23" s="623"/>
      <c r="N23" s="380"/>
      <c r="O23" s="381"/>
      <c r="P23" s="382"/>
      <c r="Q23" s="383"/>
    </row>
    <row r="24" spans="1:17" x14ac:dyDescent="0.2">
      <c r="A24" s="370"/>
      <c r="B24" s="5"/>
      <c r="C24" s="371"/>
      <c r="D24" s="372" t="s">
        <v>732</v>
      </c>
      <c r="E24" s="253">
        <v>0</v>
      </c>
      <c r="F24" s="373">
        <f>C24*E24</f>
        <v>0</v>
      </c>
      <c r="G24" s="529"/>
      <c r="H24" s="375">
        <v>0</v>
      </c>
      <c r="I24" s="373">
        <f>G24*H24</f>
        <v>0</v>
      </c>
      <c r="J24" s="622"/>
      <c r="K24" s="530">
        <f>F24+I24+J24</f>
        <v>0</v>
      </c>
      <c r="L24" s="378"/>
      <c r="M24" s="623"/>
      <c r="N24" s="380"/>
      <c r="O24" s="381"/>
      <c r="P24" s="382"/>
      <c r="Q24" s="383"/>
    </row>
    <row r="25" spans="1:17" ht="13.5" thickBot="1" x14ac:dyDescent="0.25">
      <c r="A25" s="370"/>
      <c r="B25" s="5"/>
      <c r="C25" s="388"/>
      <c r="D25" s="372"/>
      <c r="E25" s="253"/>
      <c r="F25" s="373"/>
      <c r="G25" s="529"/>
      <c r="H25" s="375"/>
      <c r="I25" s="373"/>
      <c r="J25" s="622"/>
      <c r="K25" s="535"/>
      <c r="L25" s="157"/>
      <c r="M25" s="631"/>
      <c r="O25" s="381"/>
      <c r="P25" s="382"/>
      <c r="Q25" s="383"/>
    </row>
    <row r="26" spans="1:17" ht="13.5" thickTop="1" x14ac:dyDescent="0.2">
      <c r="A26" s="387"/>
      <c r="B26" s="5"/>
      <c r="C26" s="388"/>
      <c r="D26" s="372"/>
      <c r="E26" s="253"/>
      <c r="F26" s="373"/>
      <c r="G26" s="529"/>
      <c r="H26" s="375"/>
      <c r="I26" s="373"/>
      <c r="J26" s="389" t="s">
        <v>30</v>
      </c>
      <c r="K26" s="532">
        <f>SUM(K21:K25)</f>
        <v>0</v>
      </c>
      <c r="L26" s="157"/>
      <c r="M26" s="631"/>
      <c r="O26" s="381"/>
      <c r="P26" s="382"/>
      <c r="Q26" s="383"/>
    </row>
    <row r="27" spans="1:17" ht="13.5" thickBot="1" x14ac:dyDescent="0.25">
      <c r="A27" s="614" t="s">
        <v>0</v>
      </c>
      <c r="B27" s="615" t="s">
        <v>1</v>
      </c>
      <c r="C27" s="939" t="s">
        <v>656</v>
      </c>
      <c r="D27" s="939"/>
      <c r="E27" s="939"/>
      <c r="F27" s="939"/>
      <c r="G27" s="939" t="s">
        <v>34</v>
      </c>
      <c r="H27" s="939"/>
      <c r="I27" s="939"/>
      <c r="J27" s="616"/>
      <c r="K27" s="523"/>
      <c r="L27" s="391"/>
      <c r="M27" s="624"/>
      <c r="N27" s="393"/>
      <c r="O27" s="381"/>
      <c r="P27" s="382"/>
      <c r="Q27" s="383"/>
    </row>
    <row r="28" spans="1:17" ht="16.5" thickBot="1" x14ac:dyDescent="0.3">
      <c r="A28" s="579" t="s">
        <v>286</v>
      </c>
      <c r="B28" s="580" t="s">
        <v>287</v>
      </c>
      <c r="C28" s="625" t="s">
        <v>19</v>
      </c>
      <c r="D28" s="625" t="s">
        <v>33</v>
      </c>
      <c r="E28" s="626" t="s">
        <v>35</v>
      </c>
      <c r="F28" s="627" t="s">
        <v>30</v>
      </c>
      <c r="G28" s="628" t="s">
        <v>14</v>
      </c>
      <c r="H28" s="626" t="s">
        <v>35</v>
      </c>
      <c r="I28" s="627" t="s">
        <v>30</v>
      </c>
      <c r="J28" s="620" t="s">
        <v>659</v>
      </c>
      <c r="K28" s="629" t="s">
        <v>38</v>
      </c>
      <c r="L28" s="402"/>
      <c r="M28" s="630"/>
      <c r="N28" s="404"/>
      <c r="O28" s="381"/>
      <c r="P28" s="382"/>
      <c r="Q28" s="383"/>
    </row>
    <row r="29" spans="1:17" x14ac:dyDescent="0.2">
      <c r="A29" s="370"/>
      <c r="B29" s="5"/>
      <c r="C29" s="371"/>
      <c r="D29" s="372" t="s">
        <v>732</v>
      </c>
      <c r="E29" s="253">
        <v>0</v>
      </c>
      <c r="F29" s="373">
        <f>C29*E29</f>
        <v>0</v>
      </c>
      <c r="G29" s="529"/>
      <c r="H29" s="375">
        <v>0</v>
      </c>
      <c r="I29" s="373">
        <f>G29*H29</f>
        <v>0</v>
      </c>
      <c r="J29" s="622"/>
      <c r="K29" s="530">
        <f>F29+I29+J29</f>
        <v>0</v>
      </c>
      <c r="L29" s="378"/>
      <c r="M29" s="623"/>
      <c r="N29" s="380"/>
      <c r="O29" s="381"/>
      <c r="P29" s="382"/>
      <c r="Q29" s="383"/>
    </row>
    <row r="30" spans="1:17" x14ac:dyDescent="0.2">
      <c r="A30" s="370"/>
      <c r="B30" s="5"/>
      <c r="C30" s="371"/>
      <c r="D30" s="372" t="s">
        <v>732</v>
      </c>
      <c r="E30" s="253">
        <v>0</v>
      </c>
      <c r="F30" s="373">
        <f>C30*E30</f>
        <v>0</v>
      </c>
      <c r="G30" s="529"/>
      <c r="H30" s="375">
        <v>0</v>
      </c>
      <c r="I30" s="373">
        <f>G30*H30</f>
        <v>0</v>
      </c>
      <c r="J30" s="622"/>
      <c r="K30" s="530">
        <f>F30+I30+J30</f>
        <v>0</v>
      </c>
      <c r="L30" s="378"/>
      <c r="M30" s="623"/>
      <c r="N30" s="380"/>
      <c r="O30" s="381"/>
      <c r="P30" s="382"/>
      <c r="Q30" s="383"/>
    </row>
    <row r="31" spans="1:17" s="159" customFormat="1" ht="13.5" thickBot="1" x14ac:dyDescent="0.25">
      <c r="A31" s="387"/>
      <c r="B31" s="412"/>
      <c r="C31" s="388"/>
      <c r="D31" s="372"/>
      <c r="E31" s="253"/>
      <c r="F31" s="373"/>
      <c r="G31" s="529"/>
      <c r="H31" s="375"/>
      <c r="I31" s="373"/>
      <c r="J31" s="622"/>
      <c r="K31" s="535"/>
      <c r="L31" s="378"/>
      <c r="M31" s="623"/>
      <c r="N31" s="380"/>
      <c r="O31" s="381"/>
      <c r="P31" s="382"/>
      <c r="Q31" s="383"/>
    </row>
    <row r="32" spans="1:17" s="159" customFormat="1" ht="13.5" thickTop="1" x14ac:dyDescent="0.2">
      <c r="A32" s="387"/>
      <c r="B32" s="412"/>
      <c r="C32" s="388"/>
      <c r="D32" s="372"/>
      <c r="E32" s="253"/>
      <c r="F32" s="373"/>
      <c r="G32" s="529"/>
      <c r="H32" s="375"/>
      <c r="I32" s="373"/>
      <c r="J32" s="389" t="s">
        <v>30</v>
      </c>
      <c r="K32" s="532">
        <f>SUM(K29:K31)</f>
        <v>0</v>
      </c>
      <c r="L32" s="378"/>
      <c r="M32" s="623"/>
      <c r="N32" s="380"/>
      <c r="O32" s="381"/>
      <c r="P32" s="382"/>
      <c r="Q32" s="383"/>
    </row>
    <row r="33" spans="1:17" s="159" customFormat="1" ht="13.5" thickBot="1" x14ac:dyDescent="0.25">
      <c r="A33" s="614" t="s">
        <v>0</v>
      </c>
      <c r="B33" s="615" t="s">
        <v>1</v>
      </c>
      <c r="C33" s="939" t="s">
        <v>656</v>
      </c>
      <c r="D33" s="939"/>
      <c r="E33" s="939"/>
      <c r="F33" s="939"/>
      <c r="G33" s="939" t="s">
        <v>34</v>
      </c>
      <c r="H33" s="939"/>
      <c r="I33" s="939"/>
      <c r="J33" s="616"/>
      <c r="K33" s="523"/>
      <c r="L33" s="391"/>
      <c r="M33" s="624"/>
      <c r="N33" s="393"/>
      <c r="O33" s="381"/>
      <c r="P33" s="382"/>
      <c r="Q33" s="383"/>
    </row>
    <row r="34" spans="1:17" s="159" customFormat="1" ht="16.5" thickBot="1" x14ac:dyDescent="0.3">
      <c r="A34" s="579" t="s">
        <v>288</v>
      </c>
      <c r="B34" s="580" t="s">
        <v>80</v>
      </c>
      <c r="C34" s="625" t="s">
        <v>19</v>
      </c>
      <c r="D34" s="625" t="s">
        <v>33</v>
      </c>
      <c r="E34" s="626" t="s">
        <v>35</v>
      </c>
      <c r="F34" s="627" t="s">
        <v>30</v>
      </c>
      <c r="G34" s="628" t="s">
        <v>14</v>
      </c>
      <c r="H34" s="626" t="s">
        <v>35</v>
      </c>
      <c r="I34" s="627" t="s">
        <v>30</v>
      </c>
      <c r="J34" s="620" t="s">
        <v>659</v>
      </c>
      <c r="K34" s="629" t="s">
        <v>38</v>
      </c>
      <c r="L34" s="402"/>
      <c r="M34" s="632"/>
      <c r="N34" s="409"/>
      <c r="O34" s="381"/>
      <c r="P34" s="382"/>
      <c r="Q34" s="383"/>
    </row>
    <row r="35" spans="1:17" s="159" customFormat="1" ht="15" x14ac:dyDescent="0.2">
      <c r="A35" s="636" t="s">
        <v>289</v>
      </c>
      <c r="B35" s="637" t="s">
        <v>917</v>
      </c>
      <c r="C35" s="646">
        <v>17300</v>
      </c>
      <c r="D35" s="372" t="s">
        <v>732</v>
      </c>
      <c r="E35" s="253">
        <v>7</v>
      </c>
      <c r="F35" s="373">
        <f>C35*E35</f>
        <v>121100</v>
      </c>
      <c r="G35" s="529"/>
      <c r="H35" s="375">
        <v>0</v>
      </c>
      <c r="I35" s="373">
        <f>G35*H35</f>
        <v>0</v>
      </c>
      <c r="J35" s="622"/>
      <c r="K35" s="530">
        <f>F35+I35+J35</f>
        <v>121100</v>
      </c>
      <c r="L35" s="378" t="s">
        <v>1243</v>
      </c>
      <c r="M35" s="623" t="s">
        <v>1282</v>
      </c>
      <c r="N35" s="380"/>
      <c r="O35" s="381"/>
      <c r="P35" s="382"/>
      <c r="Q35" s="383"/>
    </row>
    <row r="36" spans="1:17" s="159" customFormat="1" x14ac:dyDescent="0.2">
      <c r="A36" s="206"/>
      <c r="B36" s="651"/>
      <c r="C36" s="646"/>
      <c r="D36" s="372" t="s">
        <v>732</v>
      </c>
      <c r="E36" s="253">
        <v>0</v>
      </c>
      <c r="F36" s="373">
        <f>C36*E36</f>
        <v>0</v>
      </c>
      <c r="G36" s="529"/>
      <c r="H36" s="375">
        <v>0</v>
      </c>
      <c r="I36" s="373">
        <f>G36*H36</f>
        <v>0</v>
      </c>
      <c r="J36" s="622"/>
      <c r="K36" s="530">
        <f>F36+I36+J36</f>
        <v>0</v>
      </c>
      <c r="M36" s="274"/>
      <c r="O36" s="381"/>
      <c r="P36" s="382"/>
      <c r="Q36" s="383"/>
    </row>
    <row r="37" spans="1:17" s="159" customFormat="1" ht="15" x14ac:dyDescent="0.2">
      <c r="A37" s="195" t="s">
        <v>290</v>
      </c>
      <c r="B37" s="647" t="s">
        <v>291</v>
      </c>
      <c r="C37" s="646"/>
      <c r="D37" s="372" t="s">
        <v>732</v>
      </c>
      <c r="E37" s="253">
        <v>0</v>
      </c>
      <c r="F37" s="373">
        <f>C37*E37</f>
        <v>0</v>
      </c>
      <c r="G37" s="529"/>
      <c r="H37" s="375">
        <v>0</v>
      </c>
      <c r="I37" s="373">
        <f>G37*H37</f>
        <v>0</v>
      </c>
      <c r="J37" s="622"/>
      <c r="K37" s="530">
        <f>F37+I37+J37</f>
        <v>0</v>
      </c>
      <c r="M37" s="274"/>
      <c r="O37" s="410"/>
      <c r="P37" s="411"/>
      <c r="Q37" s="383"/>
    </row>
    <row r="38" spans="1:17" s="159" customFormat="1" ht="15" x14ac:dyDescent="0.2">
      <c r="A38" s="195" t="s">
        <v>292</v>
      </c>
      <c r="B38" s="647" t="s">
        <v>64</v>
      </c>
      <c r="C38" s="646"/>
      <c r="D38" s="372" t="s">
        <v>732</v>
      </c>
      <c r="E38" s="253">
        <v>0</v>
      </c>
      <c r="F38" s="373">
        <f t="shared" ref="F38:F41" si="3">C38*E38</f>
        <v>0</v>
      </c>
      <c r="G38" s="529"/>
      <c r="H38" s="375">
        <v>0</v>
      </c>
      <c r="I38" s="373">
        <f t="shared" ref="I38:I41" si="4">G38*H38</f>
        <v>0</v>
      </c>
      <c r="J38" s="622"/>
      <c r="K38" s="530">
        <f t="shared" ref="K38:K41" si="5">F38+I38+J38</f>
        <v>0</v>
      </c>
      <c r="L38" s="378"/>
      <c r="M38" s="301"/>
      <c r="N38" s="421"/>
      <c r="O38" s="410"/>
      <c r="P38" s="411"/>
      <c r="Q38" s="383"/>
    </row>
    <row r="39" spans="1:17" s="159" customFormat="1" ht="15" x14ac:dyDescent="0.2">
      <c r="A39" s="195" t="s">
        <v>293</v>
      </c>
      <c r="B39" s="647" t="s">
        <v>918</v>
      </c>
      <c r="C39" s="646"/>
      <c r="D39" s="372" t="s">
        <v>732</v>
      </c>
      <c r="E39" s="253">
        <v>0</v>
      </c>
      <c r="F39" s="373">
        <f t="shared" si="3"/>
        <v>0</v>
      </c>
      <c r="G39" s="529"/>
      <c r="H39" s="375">
        <v>0</v>
      </c>
      <c r="I39" s="373">
        <f t="shared" si="4"/>
        <v>0</v>
      </c>
      <c r="J39" s="622"/>
      <c r="K39" s="530">
        <f t="shared" si="5"/>
        <v>0</v>
      </c>
      <c r="L39" s="868" t="s">
        <v>1083</v>
      </c>
      <c r="M39" s="623">
        <v>290000</v>
      </c>
      <c r="N39" s="380" t="s">
        <v>1290</v>
      </c>
      <c r="O39" s="410"/>
      <c r="P39" s="411"/>
      <c r="Q39" s="383"/>
    </row>
    <row r="40" spans="1:17" s="159" customFormat="1" ht="15" x14ac:dyDescent="0.2">
      <c r="A40" s="195" t="s">
        <v>294</v>
      </c>
      <c r="B40" s="647" t="s">
        <v>919</v>
      </c>
      <c r="C40" s="842">
        <f>E6</f>
        <v>65592</v>
      </c>
      <c r="D40" s="372" t="s">
        <v>732</v>
      </c>
      <c r="E40" s="253">
        <v>4.5</v>
      </c>
      <c r="F40" s="373"/>
      <c r="G40" s="529"/>
      <c r="H40" s="375">
        <v>0</v>
      </c>
      <c r="I40" s="373">
        <f t="shared" si="4"/>
        <v>0</v>
      </c>
      <c r="J40" s="622">
        <f>M39</f>
        <v>290000</v>
      </c>
      <c r="K40" s="530">
        <f t="shared" si="5"/>
        <v>290000</v>
      </c>
      <c r="L40" s="872" t="s">
        <v>1179</v>
      </c>
      <c r="M40" s="493">
        <v>305400</v>
      </c>
      <c r="N40" s="159" t="s">
        <v>1294</v>
      </c>
      <c r="O40" s="410"/>
      <c r="P40" s="411"/>
      <c r="Q40" s="383"/>
    </row>
    <row r="41" spans="1:17" s="159" customFormat="1" ht="15" x14ac:dyDescent="0.2">
      <c r="A41" s="195" t="s">
        <v>295</v>
      </c>
      <c r="B41" s="647" t="s">
        <v>920</v>
      </c>
      <c r="C41" s="646"/>
      <c r="D41" s="372" t="s">
        <v>732</v>
      </c>
      <c r="E41" s="253">
        <v>0</v>
      </c>
      <c r="F41" s="373">
        <f t="shared" si="3"/>
        <v>0</v>
      </c>
      <c r="G41" s="529"/>
      <c r="H41" s="375">
        <v>0</v>
      </c>
      <c r="I41" s="373">
        <f t="shared" si="4"/>
        <v>0</v>
      </c>
      <c r="J41" s="622"/>
      <c r="K41" s="530">
        <f t="shared" si="5"/>
        <v>0</v>
      </c>
      <c r="L41" s="159" t="s">
        <v>1220</v>
      </c>
      <c r="M41" s="274">
        <f>99821.75+94688.06+2129.9+5111.76+17921.94+21024</f>
        <v>240697.41</v>
      </c>
      <c r="N41" s="159" t="s">
        <v>1276</v>
      </c>
      <c r="O41" s="410"/>
      <c r="P41" s="411"/>
      <c r="Q41" s="383"/>
    </row>
    <row r="42" spans="1:17" s="159" customFormat="1" x14ac:dyDescent="0.2">
      <c r="A42" s="370"/>
      <c r="B42" s="5"/>
      <c r="C42" s="646"/>
      <c r="D42" s="372"/>
      <c r="E42" s="253"/>
      <c r="F42" s="373"/>
      <c r="G42" s="529"/>
      <c r="H42" s="375"/>
      <c r="I42" s="373"/>
      <c r="J42" s="622"/>
      <c r="K42" s="530"/>
      <c r="L42" s="378"/>
      <c r="M42" s="301"/>
      <c r="N42" s="421"/>
      <c r="O42" s="410"/>
      <c r="P42" s="411"/>
      <c r="Q42" s="383"/>
    </row>
    <row r="43" spans="1:17" s="159" customFormat="1" x14ac:dyDescent="0.2">
      <c r="A43" s="370"/>
      <c r="B43" s="5"/>
      <c r="C43" s="646"/>
      <c r="D43" s="372"/>
      <c r="E43" s="253"/>
      <c r="F43" s="373"/>
      <c r="G43" s="529"/>
      <c r="H43" s="375"/>
      <c r="I43" s="373"/>
      <c r="J43" s="622"/>
      <c r="K43" s="530"/>
      <c r="L43" s="378"/>
      <c r="M43" s="301" t="s">
        <v>1276</v>
      </c>
      <c r="N43" s="380"/>
      <c r="O43" s="381"/>
      <c r="P43" s="382"/>
      <c r="Q43" s="383"/>
    </row>
    <row r="44" spans="1:17" s="159" customFormat="1" x14ac:dyDescent="0.2">
      <c r="A44" s="370"/>
      <c r="B44" s="5"/>
      <c r="C44" s="646"/>
      <c r="D44" s="372"/>
      <c r="E44" s="253"/>
      <c r="F44" s="373"/>
      <c r="G44" s="529"/>
      <c r="H44" s="375"/>
      <c r="I44" s="373"/>
      <c r="J44" s="622"/>
      <c r="K44" s="530"/>
      <c r="M44" s="274"/>
      <c r="O44" s="381"/>
      <c r="P44" s="382"/>
      <c r="Q44" s="383"/>
    </row>
    <row r="45" spans="1:17" s="159" customFormat="1" x14ac:dyDescent="0.2">
      <c r="A45" s="370"/>
      <c r="B45" s="5"/>
      <c r="C45" s="646"/>
      <c r="D45" s="372"/>
      <c r="E45" s="253"/>
      <c r="F45" s="373"/>
      <c r="G45" s="529"/>
      <c r="H45" s="375"/>
      <c r="I45" s="373"/>
      <c r="J45" s="622"/>
      <c r="K45" s="530"/>
      <c r="M45" s="274"/>
      <c r="O45" s="381"/>
      <c r="P45" s="411"/>
      <c r="Q45" s="383"/>
    </row>
    <row r="46" spans="1:17" s="159" customFormat="1" ht="13.5" thickBot="1" x14ac:dyDescent="0.25">
      <c r="A46" s="387"/>
      <c r="B46" s="412"/>
      <c r="C46" s="388"/>
      <c r="D46" s="372"/>
      <c r="E46" s="253"/>
      <c r="F46" s="373"/>
      <c r="G46" s="529"/>
      <c r="H46" s="375"/>
      <c r="I46" s="373"/>
      <c r="J46" s="622"/>
      <c r="K46" s="535"/>
      <c r="L46" s="378"/>
      <c r="M46" s="301"/>
      <c r="N46" s="380"/>
      <c r="O46" s="381"/>
      <c r="P46" s="382"/>
      <c r="Q46" s="383"/>
    </row>
    <row r="47" spans="1:17" s="159" customFormat="1" ht="13.5" thickTop="1" x14ac:dyDescent="0.2">
      <c r="A47" s="387"/>
      <c r="B47" s="412"/>
      <c r="C47" s="388"/>
      <c r="D47" s="372"/>
      <c r="E47" s="253"/>
      <c r="F47" s="373"/>
      <c r="G47" s="529"/>
      <c r="H47" s="375"/>
      <c r="I47" s="373"/>
      <c r="J47" s="389" t="s">
        <v>30</v>
      </c>
      <c r="K47" s="532">
        <f>SUM(K35:K46)</f>
        <v>411100</v>
      </c>
      <c r="L47" s="378"/>
      <c r="M47" s="301"/>
      <c r="N47" s="380"/>
      <c r="O47" s="381"/>
      <c r="P47" s="382"/>
      <c r="Q47" s="383"/>
    </row>
    <row r="48" spans="1:17" s="159" customFormat="1" ht="13.5" thickBot="1" x14ac:dyDescent="0.25">
      <c r="A48" s="614" t="s">
        <v>0</v>
      </c>
      <c r="B48" s="615" t="s">
        <v>1</v>
      </c>
      <c r="C48" s="939" t="s">
        <v>656</v>
      </c>
      <c r="D48" s="939"/>
      <c r="E48" s="939"/>
      <c r="F48" s="939"/>
      <c r="G48" s="939" t="s">
        <v>34</v>
      </c>
      <c r="H48" s="939"/>
      <c r="I48" s="939"/>
      <c r="J48" s="616"/>
      <c r="K48" s="523"/>
      <c r="L48" s="391"/>
      <c r="M48" s="616"/>
      <c r="N48" s="393"/>
      <c r="O48" s="381"/>
      <c r="P48" s="382"/>
      <c r="Q48" s="383"/>
    </row>
    <row r="49" spans="1:17" s="159" customFormat="1" ht="16.5" thickBot="1" x14ac:dyDescent="0.3">
      <c r="A49" s="579" t="s">
        <v>296</v>
      </c>
      <c r="B49" s="580" t="s">
        <v>67</v>
      </c>
      <c r="C49" s="625" t="s">
        <v>19</v>
      </c>
      <c r="D49" s="625" t="s">
        <v>33</v>
      </c>
      <c r="E49" s="626" t="s">
        <v>35</v>
      </c>
      <c r="F49" s="627" t="s">
        <v>30</v>
      </c>
      <c r="G49" s="628" t="s">
        <v>14</v>
      </c>
      <c r="H49" s="626" t="s">
        <v>35</v>
      </c>
      <c r="I49" s="627" t="s">
        <v>30</v>
      </c>
      <c r="J49" s="620" t="s">
        <v>659</v>
      </c>
      <c r="K49" s="629" t="s">
        <v>38</v>
      </c>
      <c r="L49" s="402"/>
      <c r="M49" s="632"/>
      <c r="N49" s="404"/>
      <c r="O49" s="381"/>
      <c r="P49" s="382"/>
      <c r="Q49" s="383"/>
    </row>
    <row r="50" spans="1:17" s="159" customFormat="1" x14ac:dyDescent="0.2">
      <c r="A50" s="370"/>
      <c r="B50" s="5"/>
      <c r="C50" s="371"/>
      <c r="D50" s="372" t="s">
        <v>732</v>
      </c>
      <c r="E50" s="253">
        <v>0</v>
      </c>
      <c r="F50" s="373">
        <f>C50*E50</f>
        <v>0</v>
      </c>
      <c r="G50" s="529"/>
      <c r="H50" s="375">
        <v>0</v>
      </c>
      <c r="I50" s="373">
        <f>G50*H50</f>
        <v>0</v>
      </c>
      <c r="J50" s="622"/>
      <c r="K50" s="530">
        <f>F50+I50+J50</f>
        <v>0</v>
      </c>
      <c r="L50" s="378"/>
      <c r="M50" s="301"/>
      <c r="N50" s="380"/>
      <c r="O50" s="381"/>
      <c r="P50" s="382"/>
      <c r="Q50" s="383"/>
    </row>
    <row r="51" spans="1:17" s="159" customFormat="1" x14ac:dyDescent="0.2">
      <c r="A51" s="370"/>
      <c r="B51" s="5"/>
      <c r="C51" s="371"/>
      <c r="D51" s="372" t="s">
        <v>732</v>
      </c>
      <c r="E51" s="253">
        <v>0</v>
      </c>
      <c r="F51" s="373">
        <f>C51*E51</f>
        <v>0</v>
      </c>
      <c r="G51" s="529"/>
      <c r="H51" s="375">
        <v>0</v>
      </c>
      <c r="I51" s="373">
        <f>G51*H51</f>
        <v>0</v>
      </c>
      <c r="J51" s="622"/>
      <c r="K51" s="530">
        <f>F51+I51+J51</f>
        <v>0</v>
      </c>
      <c r="L51" s="378"/>
      <c r="M51" s="301"/>
      <c r="N51" s="380"/>
      <c r="O51" s="381"/>
      <c r="P51" s="382"/>
      <c r="Q51" s="383"/>
    </row>
    <row r="52" spans="1:17" s="159" customFormat="1" ht="13.5" thickBot="1" x14ac:dyDescent="0.25">
      <c r="A52" s="387"/>
      <c r="B52" s="412"/>
      <c r="C52" s="371"/>
      <c r="D52" s="372"/>
      <c r="E52" s="253"/>
      <c r="F52" s="373"/>
      <c r="G52" s="529"/>
      <c r="H52" s="375"/>
      <c r="I52" s="373"/>
      <c r="J52" s="622"/>
      <c r="K52" s="530"/>
      <c r="L52" s="378"/>
      <c r="M52" s="301"/>
      <c r="N52" s="421"/>
      <c r="O52" s="436"/>
      <c r="P52" s="437"/>
      <c r="Q52" s="383"/>
    </row>
    <row r="53" spans="1:17" s="159" customFormat="1" ht="14.25" thickTop="1" thickBot="1" x14ac:dyDescent="0.25">
      <c r="A53" s="470"/>
      <c r="B53" s="156"/>
      <c r="C53" s="471"/>
      <c r="D53" s="472"/>
      <c r="E53" s="633"/>
      <c r="F53" s="474"/>
      <c r="G53" s="634"/>
      <c r="H53" s="633"/>
      <c r="I53" s="474"/>
      <c r="J53" s="476" t="s">
        <v>30</v>
      </c>
      <c r="K53" s="635">
        <f>SUM(K50:K52)</f>
        <v>0</v>
      </c>
      <c r="M53" s="274"/>
      <c r="O53" s="436"/>
      <c r="P53" s="437"/>
      <c r="Q53" s="383"/>
    </row>
    <row r="54" spans="1:17" s="159" customFormat="1" ht="13.5" thickBot="1" x14ac:dyDescent="0.25">
      <c r="A54" s="614" t="s">
        <v>0</v>
      </c>
      <c r="B54" s="615" t="s">
        <v>1</v>
      </c>
      <c r="C54" s="939" t="s">
        <v>656</v>
      </c>
      <c r="D54" s="939"/>
      <c r="E54" s="939"/>
      <c r="F54" s="939"/>
      <c r="G54" s="939" t="s">
        <v>34</v>
      </c>
      <c r="H54" s="939"/>
      <c r="I54" s="939"/>
      <c r="J54" s="616"/>
      <c r="K54" s="523"/>
      <c r="L54" s="391"/>
      <c r="M54" s="616"/>
      <c r="N54" s="438"/>
      <c r="O54" s="410"/>
      <c r="P54" s="411"/>
      <c r="Q54" s="383"/>
    </row>
    <row r="55" spans="1:17" s="159" customFormat="1" ht="16.5" thickBot="1" x14ac:dyDescent="0.3">
      <c r="A55" s="579" t="s">
        <v>297</v>
      </c>
      <c r="B55" s="580" t="s">
        <v>81</v>
      </c>
      <c r="C55" s="625" t="s">
        <v>19</v>
      </c>
      <c r="D55" s="625" t="s">
        <v>33</v>
      </c>
      <c r="E55" s="626" t="s">
        <v>35</v>
      </c>
      <c r="F55" s="627" t="s">
        <v>30</v>
      </c>
      <c r="G55" s="628" t="s">
        <v>14</v>
      </c>
      <c r="H55" s="626" t="s">
        <v>35</v>
      </c>
      <c r="I55" s="627" t="s">
        <v>30</v>
      </c>
      <c r="J55" s="620" t="s">
        <v>659</v>
      </c>
      <c r="K55" s="629" t="s">
        <v>38</v>
      </c>
      <c r="L55" s="402"/>
      <c r="M55" s="632"/>
      <c r="N55" s="409"/>
      <c r="O55" s="381"/>
      <c r="P55" s="382"/>
      <c r="Q55" s="383"/>
    </row>
    <row r="56" spans="1:17" s="159" customFormat="1" x14ac:dyDescent="0.2">
      <c r="A56" s="158" t="s">
        <v>298</v>
      </c>
      <c r="B56" s="159" t="s">
        <v>65</v>
      </c>
      <c r="C56" s="371"/>
      <c r="D56" s="372" t="s">
        <v>732</v>
      </c>
      <c r="E56" s="253">
        <v>0</v>
      </c>
      <c r="F56" s="373">
        <f>C56*E56</f>
        <v>0</v>
      </c>
      <c r="G56" s="529"/>
      <c r="H56" s="375">
        <v>0</v>
      </c>
      <c r="I56" s="373">
        <f>G56*H56</f>
        <v>0</v>
      </c>
      <c r="J56" s="622"/>
      <c r="K56" s="530">
        <f>F56+I56+J56</f>
        <v>0</v>
      </c>
      <c r="L56" s="378" t="s">
        <v>1030</v>
      </c>
      <c r="M56" s="623">
        <v>200000</v>
      </c>
      <c r="N56" s="380"/>
      <c r="O56" s="381"/>
      <c r="P56" s="382"/>
      <c r="Q56" s="383"/>
    </row>
    <row r="57" spans="1:17" s="159" customFormat="1" x14ac:dyDescent="0.2">
      <c r="A57" s="158" t="s">
        <v>299</v>
      </c>
      <c r="B57" s="159" t="s">
        <v>66</v>
      </c>
      <c r="C57" s="371"/>
      <c r="D57" s="372" t="s">
        <v>732</v>
      </c>
      <c r="E57" s="253">
        <v>0</v>
      </c>
      <c r="F57" s="373">
        <f>C57*E57</f>
        <v>0</v>
      </c>
      <c r="G57" s="529"/>
      <c r="H57" s="375">
        <v>0</v>
      </c>
      <c r="I57" s="373">
        <f>G57*H57</f>
        <v>0</v>
      </c>
      <c r="J57" s="622">
        <f>M59</f>
        <v>197003</v>
      </c>
      <c r="K57" s="530">
        <f>F57+I57+J57</f>
        <v>197003</v>
      </c>
      <c r="L57" s="378" t="s">
        <v>1084</v>
      </c>
      <c r="M57" s="623">
        <v>331537</v>
      </c>
      <c r="N57" s="380"/>
      <c r="O57" s="381"/>
      <c r="P57" s="382"/>
      <c r="Q57" s="383"/>
    </row>
    <row r="58" spans="1:17" s="159" customFormat="1" ht="15" x14ac:dyDescent="0.2">
      <c r="A58" s="195"/>
      <c r="B58" s="647"/>
      <c r="C58" s="646"/>
      <c r="D58" s="372"/>
      <c r="E58" s="253"/>
      <c r="F58" s="373"/>
      <c r="G58" s="529"/>
      <c r="H58" s="375"/>
      <c r="I58" s="373"/>
      <c r="J58" s="622"/>
      <c r="K58" s="530"/>
      <c r="L58" s="868" t="s">
        <v>1085</v>
      </c>
      <c r="M58" s="623">
        <v>218205</v>
      </c>
      <c r="N58" s="380"/>
      <c r="O58" s="381"/>
      <c r="P58" s="382"/>
      <c r="Q58" s="383"/>
    </row>
    <row r="59" spans="1:17" s="159" customFormat="1" ht="15" x14ac:dyDescent="0.2">
      <c r="A59" s="195"/>
      <c r="B59" s="647"/>
      <c r="C59" s="646"/>
      <c r="D59" s="372"/>
      <c r="E59" s="253"/>
      <c r="F59" s="373"/>
      <c r="G59" s="529"/>
      <c r="H59" s="375"/>
      <c r="I59" s="373"/>
      <c r="J59" s="622"/>
      <c r="K59" s="530"/>
      <c r="L59" s="868" t="s">
        <v>1086</v>
      </c>
      <c r="M59" s="623">
        <v>197003</v>
      </c>
      <c r="N59" s="380"/>
      <c r="O59" s="381"/>
      <c r="P59" s="382"/>
      <c r="Q59" s="383"/>
    </row>
    <row r="60" spans="1:17" s="159" customFormat="1" ht="15" x14ac:dyDescent="0.2">
      <c r="A60" s="195"/>
      <c r="B60" s="647"/>
      <c r="C60" s="646"/>
      <c r="D60" s="372"/>
      <c r="E60" s="253"/>
      <c r="F60" s="373"/>
      <c r="G60" s="529"/>
      <c r="H60" s="375"/>
      <c r="I60" s="373"/>
      <c r="J60" s="622"/>
      <c r="K60" s="530"/>
      <c r="L60" s="378" t="s">
        <v>1087</v>
      </c>
      <c r="M60" s="623"/>
      <c r="N60" s="380"/>
      <c r="O60" s="381"/>
      <c r="P60" s="382"/>
      <c r="Q60" s="383"/>
    </row>
    <row r="61" spans="1:17" s="159" customFormat="1" ht="15.75" thickBot="1" x14ac:dyDescent="0.25">
      <c r="A61" s="195"/>
      <c r="B61" s="647"/>
      <c r="C61" s="646"/>
      <c r="D61" s="372"/>
      <c r="E61" s="253"/>
      <c r="F61" s="373"/>
      <c r="G61" s="529"/>
      <c r="H61" s="375"/>
      <c r="I61" s="373"/>
      <c r="J61" s="301"/>
      <c r="K61" s="535"/>
      <c r="L61" s="378"/>
      <c r="M61" s="623"/>
      <c r="N61" s="380"/>
      <c r="O61" s="381"/>
      <c r="P61" s="382"/>
      <c r="Q61" s="383"/>
    </row>
    <row r="62" spans="1:17" s="159" customFormat="1" ht="14.25" thickTop="1" thickBot="1" x14ac:dyDescent="0.25">
      <c r="A62" s="470"/>
      <c r="B62" s="156"/>
      <c r="C62" s="471"/>
      <c r="D62" s="472"/>
      <c r="E62" s="633"/>
      <c r="F62" s="474"/>
      <c r="G62" s="634"/>
      <c r="H62" s="633"/>
      <c r="I62" s="474"/>
      <c r="J62" s="476" t="s">
        <v>30</v>
      </c>
      <c r="K62" s="635">
        <f>SUM(K56:K61)</f>
        <v>197003</v>
      </c>
      <c r="L62" s="378"/>
      <c r="M62" s="623"/>
      <c r="N62" s="380"/>
      <c r="O62" s="381"/>
      <c r="P62" s="382"/>
      <c r="Q62" s="383"/>
    </row>
    <row r="63" spans="1:17" s="159" customFormat="1" ht="14.1" customHeight="1" thickTop="1" x14ac:dyDescent="0.25">
      <c r="A63" s="478"/>
      <c r="B63" s="479"/>
      <c r="C63" s="480"/>
      <c r="D63" s="480"/>
      <c r="E63" s="642"/>
      <c r="F63" s="1068" t="s">
        <v>658</v>
      </c>
      <c r="G63" s="992" t="s">
        <v>684</v>
      </c>
      <c r="H63" s="642"/>
      <c r="I63" s="1065" t="s">
        <v>657</v>
      </c>
      <c r="J63" s="958" t="s">
        <v>685</v>
      </c>
      <c r="K63" s="1057" t="s">
        <v>31</v>
      </c>
      <c r="L63" s="542"/>
      <c r="M63" s="652"/>
      <c r="N63" s="653"/>
      <c r="O63" s="654"/>
      <c r="P63" s="654"/>
      <c r="Q63" s="653"/>
    </row>
    <row r="64" spans="1:17" s="159" customFormat="1" ht="15" x14ac:dyDescent="0.25">
      <c r="A64" s="482" t="s">
        <v>32</v>
      </c>
      <c r="B64" s="1067" t="s">
        <v>29</v>
      </c>
      <c r="C64" s="483"/>
      <c r="D64" s="643"/>
      <c r="E64" s="643"/>
      <c r="F64" s="1069"/>
      <c r="G64" s="993"/>
      <c r="H64" s="644"/>
      <c r="I64" s="1066"/>
      <c r="J64" s="959"/>
      <c r="K64" s="1058"/>
      <c r="M64" s="274"/>
      <c r="O64" s="494"/>
      <c r="P64" s="494"/>
    </row>
    <row r="65" spans="1:16" s="159" customFormat="1" ht="15" x14ac:dyDescent="0.25">
      <c r="A65" s="830" t="e">
        <f>K66/'Estimate Summary'!E6</f>
        <v>#VALUE!</v>
      </c>
      <c r="B65" s="1067"/>
      <c r="C65" s="643"/>
      <c r="D65" s="643"/>
      <c r="E65" s="643"/>
      <c r="F65" s="1059">
        <f>SUM(F56:F61,F35:F46,F29:F31,F21:F25,F11:F17,F50:F52)</f>
        <v>121100</v>
      </c>
      <c r="G65" s="1080">
        <f>SUM(G56:G61,G35:G46,G29:G31,G21:G25,G11:G17)</f>
        <v>0</v>
      </c>
      <c r="H65" s="644"/>
      <c r="I65" s="1059">
        <f>SUM(I56:I61,I35:I46,I29:I31,I21:I25,I11:I17,I50:I52)</f>
        <v>0</v>
      </c>
      <c r="J65" s="1059">
        <f>SUM(J56:J61,J35:J46,J29:J31,J21:J25,J11:J17,J50:J52)</f>
        <v>1626225</v>
      </c>
      <c r="K65" s="1063">
        <f>K62+K53+K47+K32+K26+K18</f>
        <v>1747325</v>
      </c>
      <c r="M65" s="274"/>
      <c r="O65" s="494"/>
      <c r="P65" s="494"/>
    </row>
    <row r="66" spans="1:16" s="159" customFormat="1" ht="15" thickBot="1" x14ac:dyDescent="0.25">
      <c r="A66" s="482"/>
      <c r="B66" s="550"/>
      <c r="C66" s="488"/>
      <c r="D66" s="488"/>
      <c r="E66" s="488"/>
      <c r="F66" s="1060"/>
      <c r="G66" s="1062"/>
      <c r="H66" s="488"/>
      <c r="I66" s="1060"/>
      <c r="J66" s="1060"/>
      <c r="K66" s="1064"/>
      <c r="M66" s="274"/>
      <c r="O66" s="494"/>
      <c r="P66" s="494"/>
    </row>
    <row r="67" spans="1:16" s="159" customFormat="1" ht="13.5" thickBot="1" x14ac:dyDescent="0.25">
      <c r="A67" s="489"/>
      <c r="B67" s="490"/>
      <c r="C67" s="490"/>
      <c r="D67" s="490"/>
      <c r="E67" s="490"/>
      <c r="F67" s="490"/>
      <c r="G67" s="490"/>
      <c r="H67" s="490"/>
      <c r="I67" s="490"/>
      <c r="J67" s="490"/>
      <c r="K67" s="491"/>
      <c r="M67" s="274"/>
      <c r="O67" s="494"/>
      <c r="P67" s="494"/>
    </row>
    <row r="68" spans="1:16" s="159" customFormat="1" x14ac:dyDescent="0.2">
      <c r="C68" s="655"/>
      <c r="D68" s="655"/>
      <c r="M68" s="274"/>
      <c r="O68" s="494"/>
      <c r="P68" s="494"/>
    </row>
    <row r="69" spans="1:16" s="159" customFormat="1" x14ac:dyDescent="0.2">
      <c r="C69" s="655"/>
      <c r="D69" s="655"/>
      <c r="M69" s="274"/>
      <c r="O69" s="494"/>
      <c r="P69" s="494"/>
    </row>
    <row r="70" spans="1:16" s="159" customFormat="1" x14ac:dyDescent="0.2">
      <c r="C70" s="655"/>
      <c r="D70" s="655"/>
      <c r="M70" s="274"/>
      <c r="O70" s="494"/>
      <c r="P70" s="494"/>
    </row>
    <row r="71" spans="1:16" s="159" customFormat="1" x14ac:dyDescent="0.2">
      <c r="C71" s="655"/>
      <c r="D71" s="655"/>
      <c r="M71" s="274"/>
      <c r="O71" s="494"/>
      <c r="P71" s="494"/>
    </row>
    <row r="72" spans="1:16" s="159" customFormat="1" x14ac:dyDescent="0.2">
      <c r="C72" s="655"/>
      <c r="D72" s="655"/>
      <c r="M72" s="274"/>
      <c r="O72" s="494"/>
      <c r="P72" s="494"/>
    </row>
    <row r="73" spans="1:16" s="159" customFormat="1" x14ac:dyDescent="0.2">
      <c r="C73" s="655"/>
      <c r="D73" s="655"/>
      <c r="M73" s="274"/>
      <c r="O73" s="494"/>
      <c r="P73" s="494"/>
    </row>
    <row r="74" spans="1:16" s="159" customFormat="1" x14ac:dyDescent="0.2">
      <c r="C74" s="655"/>
      <c r="D74" s="655"/>
      <c r="M74" s="274"/>
      <c r="O74" s="494"/>
      <c r="P74" s="494"/>
    </row>
    <row r="75" spans="1:16" s="159" customFormat="1" x14ac:dyDescent="0.2">
      <c r="C75" s="655"/>
      <c r="D75" s="655"/>
      <c r="M75" s="274"/>
      <c r="O75" s="494"/>
      <c r="P75" s="494"/>
    </row>
    <row r="76" spans="1:16" s="159" customFormat="1" x14ac:dyDescent="0.2">
      <c r="C76" s="655"/>
      <c r="D76" s="655"/>
      <c r="M76" s="274"/>
      <c r="O76" s="494"/>
      <c r="P76" s="494"/>
    </row>
    <row r="77" spans="1:16" s="159" customFormat="1" x14ac:dyDescent="0.2">
      <c r="C77" s="655"/>
      <c r="D77" s="655"/>
      <c r="M77" s="274"/>
      <c r="O77" s="494"/>
      <c r="P77" s="494"/>
    </row>
    <row r="78" spans="1:16" s="159" customFormat="1" x14ac:dyDescent="0.2">
      <c r="C78" s="655"/>
      <c r="D78" s="655"/>
      <c r="M78" s="274"/>
      <c r="O78" s="494"/>
      <c r="P78" s="494"/>
    </row>
    <row r="79" spans="1:16" s="159" customFormat="1" x14ac:dyDescent="0.2">
      <c r="C79" s="655"/>
      <c r="D79" s="655"/>
      <c r="M79" s="274"/>
      <c r="O79" s="494"/>
      <c r="P79" s="494"/>
    </row>
    <row r="80" spans="1:16" s="159" customFormat="1" x14ac:dyDescent="0.2">
      <c r="C80" s="655"/>
      <c r="D80" s="655"/>
      <c r="M80" s="274"/>
      <c r="O80" s="494"/>
      <c r="P80" s="494"/>
    </row>
    <row r="81" spans="3:16" s="159" customFormat="1" x14ac:dyDescent="0.2">
      <c r="C81" s="655"/>
      <c r="D81" s="655"/>
      <c r="M81" s="274"/>
      <c r="O81" s="494"/>
      <c r="P81" s="494"/>
    </row>
    <row r="82" spans="3:16" s="159" customFormat="1" x14ac:dyDescent="0.2">
      <c r="C82" s="655"/>
      <c r="D82" s="655"/>
      <c r="M82" s="274"/>
      <c r="O82" s="494"/>
      <c r="P82" s="494"/>
    </row>
    <row r="83" spans="3:16" s="159" customFormat="1" x14ac:dyDescent="0.2">
      <c r="C83" s="655"/>
      <c r="D83" s="655"/>
      <c r="M83" s="274"/>
      <c r="O83" s="494"/>
      <c r="P83" s="494"/>
    </row>
    <row r="84" spans="3:16" s="159" customFormat="1" x14ac:dyDescent="0.2">
      <c r="C84" s="655"/>
      <c r="D84" s="655"/>
      <c r="M84" s="274"/>
      <c r="O84" s="494"/>
      <c r="P84" s="494"/>
    </row>
    <row r="85" spans="3:16" s="159" customFormat="1" x14ac:dyDescent="0.2">
      <c r="C85" s="655"/>
      <c r="D85" s="655"/>
      <c r="M85" s="274"/>
      <c r="O85" s="494"/>
      <c r="P85" s="494"/>
    </row>
    <row r="86" spans="3:16" s="159" customFormat="1" x14ac:dyDescent="0.2">
      <c r="C86" s="655"/>
      <c r="D86" s="655"/>
      <c r="M86" s="274"/>
      <c r="O86" s="494"/>
      <c r="P86" s="494"/>
    </row>
    <row r="87" spans="3:16" s="159" customFormat="1" x14ac:dyDescent="0.2">
      <c r="C87" s="655"/>
      <c r="D87" s="655"/>
      <c r="M87" s="274"/>
      <c r="O87" s="494"/>
      <c r="P87" s="494"/>
    </row>
    <row r="88" spans="3:16" s="159" customFormat="1" x14ac:dyDescent="0.2">
      <c r="C88" s="655"/>
      <c r="D88" s="655"/>
      <c r="M88" s="274"/>
      <c r="O88" s="494"/>
      <c r="P88" s="494"/>
    </row>
    <row r="89" spans="3:16" s="159" customFormat="1" x14ac:dyDescent="0.2">
      <c r="C89" s="655"/>
      <c r="D89" s="655"/>
      <c r="M89" s="274"/>
      <c r="O89" s="494"/>
      <c r="P89" s="494"/>
    </row>
    <row r="90" spans="3:16" s="159" customFormat="1" x14ac:dyDescent="0.2">
      <c r="C90" s="655"/>
      <c r="D90" s="655"/>
      <c r="M90" s="274"/>
      <c r="O90" s="494"/>
      <c r="P90" s="494"/>
    </row>
    <row r="91" spans="3:16" s="159" customFormat="1" x14ac:dyDescent="0.2">
      <c r="C91" s="655"/>
      <c r="D91" s="655"/>
      <c r="M91" s="274"/>
      <c r="O91" s="494"/>
      <c r="P91" s="494"/>
    </row>
    <row r="92" spans="3:16" s="159" customFormat="1" x14ac:dyDescent="0.2">
      <c r="C92" s="655"/>
      <c r="D92" s="655"/>
      <c r="M92" s="274"/>
      <c r="O92" s="494"/>
      <c r="P92" s="494"/>
    </row>
    <row r="93" spans="3:16" s="159" customFormat="1" x14ac:dyDescent="0.2">
      <c r="C93" s="655"/>
      <c r="D93" s="655"/>
      <c r="M93" s="274"/>
      <c r="O93" s="494"/>
      <c r="P93" s="494"/>
    </row>
    <row r="94" spans="3:16" s="159" customFormat="1" x14ac:dyDescent="0.2">
      <c r="C94" s="655"/>
      <c r="D94" s="655"/>
      <c r="M94" s="274"/>
      <c r="O94" s="494"/>
      <c r="P94" s="494"/>
    </row>
    <row r="95" spans="3:16" s="159" customFormat="1" x14ac:dyDescent="0.2">
      <c r="C95" s="655"/>
      <c r="D95" s="655"/>
      <c r="M95" s="274"/>
      <c r="O95" s="494"/>
      <c r="P95" s="494"/>
    </row>
    <row r="96" spans="3:16" s="159" customFormat="1" x14ac:dyDescent="0.2">
      <c r="C96" s="655"/>
      <c r="D96" s="655"/>
      <c r="M96" s="274"/>
      <c r="O96" s="494"/>
      <c r="P96" s="494"/>
    </row>
    <row r="97" spans="3:16" s="159" customFormat="1" x14ac:dyDescent="0.2">
      <c r="C97" s="655"/>
      <c r="D97" s="655"/>
      <c r="M97" s="274"/>
      <c r="O97" s="494"/>
      <c r="P97" s="494"/>
    </row>
    <row r="98" spans="3:16" s="159" customFormat="1" x14ac:dyDescent="0.2">
      <c r="C98" s="655"/>
      <c r="D98" s="655"/>
      <c r="M98" s="274"/>
      <c r="O98" s="494"/>
      <c r="P98" s="494"/>
    </row>
    <row r="99" spans="3:16" s="159" customFormat="1" x14ac:dyDescent="0.2">
      <c r="C99" s="655"/>
      <c r="D99" s="655"/>
      <c r="M99" s="274"/>
      <c r="O99" s="494"/>
      <c r="P99" s="494"/>
    </row>
    <row r="100" spans="3:16" s="159" customFormat="1" x14ac:dyDescent="0.2">
      <c r="C100" s="655"/>
      <c r="D100" s="655"/>
      <c r="M100" s="274"/>
      <c r="O100" s="494"/>
      <c r="P100" s="494"/>
    </row>
    <row r="101" spans="3:16" s="159" customFormat="1" x14ac:dyDescent="0.2">
      <c r="C101" s="655"/>
      <c r="D101" s="655"/>
      <c r="M101" s="274"/>
      <c r="O101" s="494"/>
      <c r="P101" s="494"/>
    </row>
    <row r="102" spans="3:16" s="159" customFormat="1" x14ac:dyDescent="0.2">
      <c r="C102" s="655"/>
      <c r="D102" s="655"/>
      <c r="M102" s="274"/>
      <c r="O102" s="494"/>
      <c r="P102" s="494"/>
    </row>
    <row r="103" spans="3:16" s="159" customFormat="1" x14ac:dyDescent="0.2">
      <c r="C103" s="655"/>
      <c r="D103" s="655"/>
      <c r="M103" s="274"/>
      <c r="O103" s="494"/>
      <c r="P103" s="494"/>
    </row>
    <row r="104" spans="3:16" s="159" customFormat="1" x14ac:dyDescent="0.2">
      <c r="C104" s="655"/>
      <c r="D104" s="655"/>
      <c r="M104" s="274"/>
      <c r="O104" s="494"/>
      <c r="P104" s="494"/>
    </row>
    <row r="105" spans="3:16" s="159" customFormat="1" x14ac:dyDescent="0.2">
      <c r="C105" s="655"/>
      <c r="D105" s="655"/>
      <c r="M105" s="274"/>
      <c r="O105" s="494"/>
      <c r="P105" s="494"/>
    </row>
    <row r="106" spans="3:16" s="159" customFormat="1" x14ac:dyDescent="0.2">
      <c r="C106" s="655"/>
      <c r="D106" s="655"/>
      <c r="M106" s="274"/>
      <c r="O106" s="494"/>
      <c r="P106" s="494"/>
    </row>
    <row r="107" spans="3:16" s="159" customFormat="1" x14ac:dyDescent="0.2">
      <c r="C107" s="655"/>
      <c r="D107" s="655"/>
      <c r="M107" s="274"/>
      <c r="O107" s="494"/>
      <c r="P107" s="494"/>
    </row>
    <row r="108" spans="3:16" s="159" customFormat="1" x14ac:dyDescent="0.2">
      <c r="C108" s="655"/>
      <c r="D108" s="655"/>
      <c r="M108" s="274"/>
      <c r="O108" s="494"/>
      <c r="P108" s="494"/>
    </row>
    <row r="109" spans="3:16" s="159" customFormat="1" x14ac:dyDescent="0.2">
      <c r="C109" s="655"/>
      <c r="D109" s="655"/>
      <c r="M109" s="274"/>
      <c r="O109" s="494"/>
      <c r="P109" s="494"/>
    </row>
    <row r="110" spans="3:16" s="159" customFormat="1" x14ac:dyDescent="0.2">
      <c r="C110" s="655"/>
      <c r="D110" s="655"/>
      <c r="M110" s="274"/>
      <c r="O110" s="494"/>
      <c r="P110" s="494"/>
    </row>
    <row r="111" spans="3:16" s="159" customFormat="1" x14ac:dyDescent="0.2">
      <c r="C111" s="655"/>
      <c r="D111" s="655"/>
      <c r="M111" s="274"/>
      <c r="O111" s="494"/>
      <c r="P111" s="494"/>
    </row>
    <row r="112" spans="3:16" s="159" customFormat="1" x14ac:dyDescent="0.2">
      <c r="C112" s="655"/>
      <c r="D112" s="655"/>
      <c r="M112" s="274"/>
      <c r="O112" s="494"/>
      <c r="P112" s="494"/>
    </row>
    <row r="113" spans="3:16" s="159" customFormat="1" x14ac:dyDescent="0.2">
      <c r="C113" s="655"/>
      <c r="D113" s="655"/>
      <c r="M113" s="274"/>
      <c r="O113" s="494"/>
      <c r="P113" s="494"/>
    </row>
    <row r="114" spans="3:16" s="159" customFormat="1" x14ac:dyDescent="0.2">
      <c r="C114" s="655"/>
      <c r="D114" s="655"/>
      <c r="M114" s="274"/>
      <c r="O114" s="494"/>
      <c r="P114" s="494"/>
    </row>
    <row r="115" spans="3:16" s="159" customFormat="1" x14ac:dyDescent="0.2">
      <c r="C115" s="655"/>
      <c r="D115" s="655"/>
      <c r="M115" s="274"/>
      <c r="O115" s="494"/>
      <c r="P115" s="494"/>
    </row>
    <row r="116" spans="3:16" s="159" customFormat="1" x14ac:dyDescent="0.2">
      <c r="C116" s="655"/>
      <c r="D116" s="655"/>
      <c r="M116" s="274"/>
      <c r="O116" s="494"/>
      <c r="P116" s="494"/>
    </row>
    <row r="117" spans="3:16" s="159" customFormat="1" x14ac:dyDescent="0.2">
      <c r="C117" s="655"/>
      <c r="D117" s="655"/>
      <c r="M117" s="274"/>
      <c r="O117" s="494"/>
      <c r="P117" s="494"/>
    </row>
    <row r="118" spans="3:16" s="159" customFormat="1" x14ac:dyDescent="0.2">
      <c r="C118" s="655"/>
      <c r="D118" s="655"/>
      <c r="M118" s="274"/>
      <c r="O118" s="494"/>
      <c r="P118" s="494"/>
    </row>
    <row r="119" spans="3:16" s="159" customFormat="1" x14ac:dyDescent="0.2">
      <c r="C119" s="655"/>
      <c r="D119" s="655"/>
      <c r="M119" s="274"/>
      <c r="O119" s="494"/>
      <c r="P119" s="494"/>
    </row>
    <row r="120" spans="3:16" s="159" customFormat="1" x14ac:dyDescent="0.2">
      <c r="C120" s="655"/>
      <c r="D120" s="655"/>
      <c r="M120" s="274"/>
      <c r="O120" s="494"/>
      <c r="P120" s="494"/>
    </row>
    <row r="121" spans="3:16" s="159" customFormat="1" x14ac:dyDescent="0.2">
      <c r="C121" s="655"/>
      <c r="D121" s="655"/>
      <c r="M121" s="274"/>
      <c r="O121" s="494"/>
      <c r="P121" s="494"/>
    </row>
    <row r="122" spans="3:16" s="159" customFormat="1" x14ac:dyDescent="0.2">
      <c r="C122" s="655"/>
      <c r="D122" s="655"/>
      <c r="M122" s="274"/>
      <c r="O122" s="494"/>
      <c r="P122" s="494"/>
    </row>
    <row r="123" spans="3:16" s="159" customFormat="1" x14ac:dyDescent="0.2">
      <c r="C123" s="655"/>
      <c r="D123" s="655"/>
      <c r="M123" s="274"/>
      <c r="O123" s="494"/>
      <c r="P123" s="494"/>
    </row>
    <row r="124" spans="3:16" s="159" customFormat="1" x14ac:dyDescent="0.2">
      <c r="C124" s="655"/>
      <c r="D124" s="655"/>
      <c r="M124" s="274"/>
      <c r="O124" s="494"/>
      <c r="P124" s="494"/>
    </row>
    <row r="125" spans="3:16" s="159" customFormat="1" x14ac:dyDescent="0.2">
      <c r="C125" s="655"/>
      <c r="D125" s="655"/>
      <c r="M125" s="274"/>
      <c r="O125" s="494"/>
      <c r="P125" s="494"/>
    </row>
    <row r="126" spans="3:16" s="159" customFormat="1" x14ac:dyDescent="0.2">
      <c r="C126" s="655"/>
      <c r="D126" s="655"/>
      <c r="M126" s="274"/>
      <c r="O126" s="494"/>
      <c r="P126" s="494"/>
    </row>
    <row r="127" spans="3:16" s="159" customFormat="1" x14ac:dyDescent="0.2">
      <c r="C127" s="655"/>
      <c r="D127" s="655"/>
      <c r="M127" s="274"/>
      <c r="O127" s="494"/>
      <c r="P127" s="494"/>
    </row>
    <row r="128" spans="3:16" s="159" customFormat="1" x14ac:dyDescent="0.2">
      <c r="C128" s="655"/>
      <c r="D128" s="655"/>
      <c r="M128" s="274"/>
      <c r="O128" s="494"/>
      <c r="P128" s="494"/>
    </row>
    <row r="129" spans="3:16" s="159" customFormat="1" x14ac:dyDescent="0.2">
      <c r="C129" s="655"/>
      <c r="D129" s="655"/>
      <c r="M129" s="274"/>
      <c r="O129" s="494"/>
      <c r="P129" s="494"/>
    </row>
    <row r="130" spans="3:16" s="159" customFormat="1" x14ac:dyDescent="0.2">
      <c r="C130" s="655"/>
      <c r="D130" s="655"/>
      <c r="M130" s="274"/>
      <c r="O130" s="494"/>
      <c r="P130" s="494"/>
    </row>
    <row r="131" spans="3:16" s="159" customFormat="1" x14ac:dyDescent="0.2">
      <c r="C131" s="655"/>
      <c r="D131" s="655"/>
      <c r="M131" s="274"/>
      <c r="O131" s="494"/>
      <c r="P131" s="494"/>
    </row>
    <row r="132" spans="3:16" s="159" customFormat="1" x14ac:dyDescent="0.2">
      <c r="C132" s="655"/>
      <c r="D132" s="655"/>
      <c r="M132" s="274"/>
      <c r="O132" s="494"/>
      <c r="P132" s="494"/>
    </row>
    <row r="133" spans="3:16" s="159" customFormat="1" x14ac:dyDescent="0.2">
      <c r="C133" s="655"/>
      <c r="D133" s="655"/>
      <c r="M133" s="274"/>
      <c r="O133" s="494"/>
      <c r="P133" s="494"/>
    </row>
    <row r="134" spans="3:16" s="159" customFormat="1" x14ac:dyDescent="0.2">
      <c r="C134" s="655"/>
      <c r="D134" s="655"/>
      <c r="M134" s="274"/>
      <c r="O134" s="494"/>
      <c r="P134" s="494"/>
    </row>
    <row r="135" spans="3:16" s="159" customFormat="1" x14ac:dyDescent="0.2">
      <c r="C135" s="655"/>
      <c r="D135" s="655"/>
      <c r="M135" s="274"/>
      <c r="O135" s="494"/>
      <c r="P135" s="494"/>
    </row>
    <row r="136" spans="3:16" s="159" customFormat="1" x14ac:dyDescent="0.2">
      <c r="C136" s="655"/>
      <c r="D136" s="655"/>
      <c r="M136" s="274"/>
      <c r="O136" s="494"/>
      <c r="P136" s="494"/>
    </row>
    <row r="137" spans="3:16" s="159" customFormat="1" x14ac:dyDescent="0.2">
      <c r="C137" s="655"/>
      <c r="D137" s="655"/>
      <c r="M137" s="274"/>
      <c r="O137" s="494"/>
      <c r="P137" s="494"/>
    </row>
    <row r="138" spans="3:16" s="159" customFormat="1" x14ac:dyDescent="0.2">
      <c r="C138" s="655"/>
      <c r="D138" s="655"/>
      <c r="M138" s="274"/>
      <c r="O138" s="494"/>
      <c r="P138" s="494"/>
    </row>
    <row r="139" spans="3:16" s="159" customFormat="1" x14ac:dyDescent="0.2">
      <c r="C139" s="655"/>
      <c r="D139" s="655"/>
      <c r="M139" s="274"/>
      <c r="O139" s="494"/>
      <c r="P139" s="494"/>
    </row>
    <row r="140" spans="3:16" s="159" customFormat="1" x14ac:dyDescent="0.2">
      <c r="C140" s="655"/>
      <c r="D140" s="655"/>
      <c r="M140" s="274"/>
      <c r="O140" s="494"/>
      <c r="P140" s="494"/>
    </row>
    <row r="141" spans="3:16" s="159" customFormat="1" x14ac:dyDescent="0.2">
      <c r="C141" s="655"/>
      <c r="D141" s="655"/>
      <c r="M141" s="274"/>
      <c r="O141" s="494"/>
      <c r="P141" s="494"/>
    </row>
    <row r="142" spans="3:16" s="159" customFormat="1" x14ac:dyDescent="0.2">
      <c r="C142" s="655"/>
      <c r="D142" s="655"/>
      <c r="M142" s="274"/>
      <c r="O142" s="494"/>
      <c r="P142" s="494"/>
    </row>
    <row r="143" spans="3:16" s="159" customFormat="1" x14ac:dyDescent="0.2">
      <c r="C143" s="655"/>
      <c r="D143" s="655"/>
      <c r="M143" s="274"/>
      <c r="O143" s="494"/>
      <c r="P143" s="494"/>
    </row>
    <row r="144" spans="3:16" s="159" customFormat="1" x14ac:dyDescent="0.2">
      <c r="C144" s="655"/>
      <c r="D144" s="655"/>
      <c r="M144" s="274"/>
      <c r="O144" s="494"/>
      <c r="P144" s="494"/>
    </row>
    <row r="145" spans="3:16" s="159" customFormat="1" x14ac:dyDescent="0.2">
      <c r="C145" s="655"/>
      <c r="D145" s="655"/>
      <c r="M145" s="274"/>
      <c r="O145" s="494"/>
      <c r="P145" s="494"/>
    </row>
    <row r="146" spans="3:16" s="159" customFormat="1" x14ac:dyDescent="0.2">
      <c r="C146" s="655"/>
      <c r="D146" s="655"/>
      <c r="M146" s="274"/>
      <c r="O146" s="494"/>
      <c r="P146" s="494"/>
    </row>
    <row r="147" spans="3:16" s="159" customFormat="1" x14ac:dyDescent="0.2">
      <c r="C147" s="655"/>
      <c r="D147" s="655"/>
      <c r="M147" s="274"/>
      <c r="O147" s="494"/>
      <c r="P147" s="494"/>
    </row>
    <row r="148" spans="3:16" s="159" customFormat="1" x14ac:dyDescent="0.2">
      <c r="C148" s="655"/>
      <c r="D148" s="655"/>
      <c r="M148" s="274"/>
      <c r="O148" s="494"/>
      <c r="P148" s="494"/>
    </row>
    <row r="149" spans="3:16" s="159" customFormat="1" x14ac:dyDescent="0.2">
      <c r="C149" s="655"/>
      <c r="D149" s="655"/>
      <c r="M149" s="274"/>
      <c r="O149" s="494"/>
      <c r="P149" s="494"/>
    </row>
    <row r="150" spans="3:16" s="159" customFormat="1" x14ac:dyDescent="0.2">
      <c r="C150" s="655"/>
      <c r="D150" s="655"/>
      <c r="M150" s="274"/>
      <c r="O150" s="494"/>
      <c r="P150" s="494"/>
    </row>
    <row r="151" spans="3:16" s="159" customFormat="1" x14ac:dyDescent="0.2">
      <c r="C151" s="655"/>
      <c r="D151" s="655"/>
      <c r="M151" s="274"/>
      <c r="O151" s="494"/>
      <c r="P151" s="494"/>
    </row>
    <row r="152" spans="3:16" s="159" customFormat="1" x14ac:dyDescent="0.2">
      <c r="C152" s="655"/>
      <c r="D152" s="655"/>
      <c r="M152" s="274"/>
      <c r="O152" s="494"/>
      <c r="P152" s="494"/>
    </row>
    <row r="153" spans="3:16" s="159" customFormat="1" x14ac:dyDescent="0.2">
      <c r="C153" s="655"/>
      <c r="D153" s="655"/>
      <c r="M153" s="274"/>
      <c r="O153" s="494"/>
      <c r="P153" s="494"/>
    </row>
    <row r="154" spans="3:16" s="159" customFormat="1" x14ac:dyDescent="0.2">
      <c r="C154" s="655"/>
      <c r="D154" s="655"/>
      <c r="M154" s="274"/>
      <c r="O154" s="494"/>
      <c r="P154" s="494"/>
    </row>
    <row r="155" spans="3:16" s="159" customFormat="1" x14ac:dyDescent="0.2">
      <c r="C155" s="655"/>
      <c r="D155" s="655"/>
      <c r="M155" s="274"/>
      <c r="O155" s="494"/>
      <c r="P155" s="494"/>
    </row>
    <row r="156" spans="3:16" s="159" customFormat="1" x14ac:dyDescent="0.2">
      <c r="C156" s="655"/>
      <c r="D156" s="655"/>
      <c r="M156" s="274"/>
      <c r="O156" s="494"/>
      <c r="P156" s="494"/>
    </row>
    <row r="157" spans="3:16" s="159" customFormat="1" x14ac:dyDescent="0.2">
      <c r="C157" s="655"/>
      <c r="D157" s="655"/>
      <c r="M157" s="274"/>
      <c r="O157" s="494"/>
      <c r="P157" s="494"/>
    </row>
    <row r="158" spans="3:16" s="159" customFormat="1" x14ac:dyDescent="0.2">
      <c r="C158" s="655"/>
      <c r="D158" s="655"/>
      <c r="M158" s="274"/>
      <c r="O158" s="494"/>
      <c r="P158" s="494"/>
    </row>
    <row r="159" spans="3:16" s="159" customFormat="1" x14ac:dyDescent="0.2">
      <c r="C159" s="655"/>
      <c r="D159" s="655"/>
      <c r="M159" s="274"/>
      <c r="O159" s="494"/>
      <c r="P159" s="494"/>
    </row>
    <row r="160" spans="3:16" s="159" customFormat="1" x14ac:dyDescent="0.2">
      <c r="C160" s="655"/>
      <c r="D160" s="655"/>
      <c r="M160" s="274"/>
      <c r="O160" s="494"/>
      <c r="P160" s="494"/>
    </row>
    <row r="161" spans="3:16" s="159" customFormat="1" x14ac:dyDescent="0.2">
      <c r="C161" s="655"/>
      <c r="D161" s="655"/>
      <c r="M161" s="274"/>
      <c r="O161" s="494"/>
      <c r="P161" s="494"/>
    </row>
    <row r="162" spans="3:16" s="159" customFormat="1" x14ac:dyDescent="0.2">
      <c r="C162" s="655"/>
      <c r="D162" s="655"/>
      <c r="M162" s="274"/>
      <c r="O162" s="494"/>
      <c r="P162" s="494"/>
    </row>
    <row r="163" spans="3:16" s="159" customFormat="1" x14ac:dyDescent="0.2">
      <c r="C163" s="655"/>
      <c r="D163" s="655"/>
      <c r="M163" s="274"/>
      <c r="O163" s="494"/>
      <c r="P163" s="494"/>
    </row>
    <row r="164" spans="3:16" s="159" customFormat="1" x14ac:dyDescent="0.2">
      <c r="C164" s="655"/>
      <c r="D164" s="655"/>
      <c r="M164" s="274"/>
      <c r="O164" s="494"/>
      <c r="P164" s="494"/>
    </row>
    <row r="165" spans="3:16" s="159" customFormat="1" x14ac:dyDescent="0.2">
      <c r="C165" s="655"/>
      <c r="D165" s="655"/>
      <c r="M165" s="274"/>
      <c r="O165" s="494"/>
      <c r="P165" s="494"/>
    </row>
    <row r="166" spans="3:16" s="159" customFormat="1" x14ac:dyDescent="0.2">
      <c r="C166" s="655"/>
      <c r="D166" s="655"/>
      <c r="M166" s="274"/>
      <c r="O166" s="494"/>
      <c r="P166" s="494"/>
    </row>
    <row r="167" spans="3:16" s="159" customFormat="1" x14ac:dyDescent="0.2">
      <c r="C167" s="655"/>
      <c r="D167" s="655"/>
      <c r="M167" s="274"/>
      <c r="O167" s="494"/>
      <c r="P167" s="494"/>
    </row>
    <row r="168" spans="3:16" s="159" customFormat="1" x14ac:dyDescent="0.2">
      <c r="C168" s="655"/>
      <c r="D168" s="655"/>
      <c r="M168" s="274"/>
      <c r="O168" s="494"/>
      <c r="P168" s="494"/>
    </row>
    <row r="169" spans="3:16" s="159" customFormat="1" x14ac:dyDescent="0.2">
      <c r="C169" s="655"/>
      <c r="D169" s="655"/>
      <c r="M169" s="274"/>
      <c r="O169" s="494"/>
      <c r="P169" s="494"/>
    </row>
    <row r="170" spans="3:16" s="159" customFormat="1" x14ac:dyDescent="0.2">
      <c r="C170" s="655"/>
      <c r="D170" s="655"/>
      <c r="M170" s="274"/>
      <c r="O170" s="494"/>
      <c r="P170" s="494"/>
    </row>
    <row r="171" spans="3:16" s="159" customFormat="1" x14ac:dyDescent="0.2">
      <c r="C171" s="655"/>
      <c r="D171" s="655"/>
      <c r="M171" s="274"/>
      <c r="O171" s="494"/>
      <c r="P171" s="494"/>
    </row>
    <row r="172" spans="3:16" s="159" customFormat="1" x14ac:dyDescent="0.2">
      <c r="C172" s="655"/>
      <c r="D172" s="655"/>
      <c r="M172" s="274"/>
      <c r="O172" s="494"/>
      <c r="P172" s="494"/>
    </row>
    <row r="173" spans="3:16" s="159" customFormat="1" x14ac:dyDescent="0.2">
      <c r="C173" s="655"/>
      <c r="D173" s="655"/>
      <c r="M173" s="274"/>
      <c r="O173" s="494"/>
      <c r="P173" s="494"/>
    </row>
    <row r="174" spans="3:16" s="159" customFormat="1" x14ac:dyDescent="0.2">
      <c r="C174" s="655"/>
      <c r="D174" s="655"/>
      <c r="M174" s="274"/>
      <c r="O174" s="494"/>
      <c r="P174" s="494"/>
    </row>
    <row r="175" spans="3:16" s="159" customFormat="1" x14ac:dyDescent="0.2">
      <c r="C175" s="655"/>
      <c r="D175" s="655"/>
      <c r="M175" s="274"/>
      <c r="O175" s="494"/>
      <c r="P175" s="494"/>
    </row>
    <row r="176" spans="3:16" s="159" customFormat="1" x14ac:dyDescent="0.2">
      <c r="C176" s="655"/>
      <c r="D176" s="655"/>
      <c r="M176" s="274"/>
      <c r="O176" s="494"/>
      <c r="P176" s="494"/>
    </row>
    <row r="177" spans="3:16" s="159" customFormat="1" x14ac:dyDescent="0.2">
      <c r="C177" s="655"/>
      <c r="D177" s="655"/>
      <c r="M177" s="274"/>
      <c r="O177" s="494"/>
      <c r="P177" s="494"/>
    </row>
    <row r="178" spans="3:16" s="159" customFormat="1" x14ac:dyDescent="0.2">
      <c r="C178" s="655"/>
      <c r="D178" s="655"/>
      <c r="M178" s="274"/>
      <c r="O178" s="494"/>
      <c r="P178" s="494"/>
    </row>
    <row r="179" spans="3:16" s="159" customFormat="1" x14ac:dyDescent="0.2">
      <c r="C179" s="655"/>
      <c r="D179" s="655"/>
      <c r="M179" s="274"/>
      <c r="O179" s="494"/>
      <c r="P179" s="494"/>
    </row>
    <row r="180" spans="3:16" s="159" customFormat="1" x14ac:dyDescent="0.2">
      <c r="C180" s="655"/>
      <c r="D180" s="655"/>
      <c r="M180" s="274"/>
      <c r="O180" s="494"/>
      <c r="P180" s="494"/>
    </row>
    <row r="181" spans="3:16" s="159" customFormat="1" x14ac:dyDescent="0.2">
      <c r="C181" s="655"/>
      <c r="D181" s="655"/>
      <c r="M181" s="274"/>
      <c r="O181" s="494"/>
      <c r="P181" s="494"/>
    </row>
    <row r="182" spans="3:16" s="159" customFormat="1" x14ac:dyDescent="0.2">
      <c r="C182" s="655"/>
      <c r="D182" s="655"/>
      <c r="M182" s="274"/>
      <c r="O182" s="494"/>
      <c r="P182" s="494"/>
    </row>
    <row r="183" spans="3:16" s="159" customFormat="1" x14ac:dyDescent="0.2">
      <c r="C183" s="655"/>
      <c r="D183" s="655"/>
      <c r="M183" s="274"/>
      <c r="O183" s="494"/>
      <c r="P183" s="494"/>
    </row>
    <row r="184" spans="3:16" s="159" customFormat="1" x14ac:dyDescent="0.2">
      <c r="C184" s="655"/>
      <c r="D184" s="655"/>
      <c r="M184" s="274"/>
      <c r="O184" s="494"/>
      <c r="P184" s="494"/>
    </row>
    <row r="185" spans="3:16" s="159" customFormat="1" x14ac:dyDescent="0.2">
      <c r="C185" s="655"/>
      <c r="D185" s="655"/>
      <c r="M185" s="274"/>
      <c r="O185" s="494"/>
      <c r="P185" s="494"/>
    </row>
    <row r="186" spans="3:16" s="159" customFormat="1" x14ac:dyDescent="0.2">
      <c r="C186" s="655"/>
      <c r="D186" s="655"/>
      <c r="M186" s="274"/>
      <c r="O186" s="494"/>
      <c r="P186" s="494"/>
    </row>
    <row r="187" spans="3:16" s="159" customFormat="1" x14ac:dyDescent="0.2">
      <c r="C187" s="655"/>
      <c r="D187" s="655"/>
      <c r="M187" s="274"/>
      <c r="O187" s="494"/>
      <c r="P187" s="494"/>
    </row>
    <row r="188" spans="3:16" s="159" customFormat="1" x14ac:dyDescent="0.2">
      <c r="C188" s="655"/>
      <c r="D188" s="655"/>
      <c r="M188" s="274"/>
      <c r="O188" s="494"/>
      <c r="P188" s="494"/>
    </row>
    <row r="189" spans="3:16" s="159" customFormat="1" x14ac:dyDescent="0.2">
      <c r="C189" s="655"/>
      <c r="D189" s="655"/>
      <c r="M189" s="274"/>
      <c r="O189" s="494"/>
      <c r="P189" s="494"/>
    </row>
    <row r="190" spans="3:16" s="159" customFormat="1" x14ac:dyDescent="0.2">
      <c r="C190" s="655"/>
      <c r="D190" s="655"/>
      <c r="M190" s="274"/>
      <c r="O190" s="494"/>
      <c r="P190" s="494"/>
    </row>
    <row r="191" spans="3:16" s="159" customFormat="1" x14ac:dyDescent="0.2">
      <c r="C191" s="655"/>
      <c r="D191" s="655"/>
      <c r="M191" s="274"/>
      <c r="O191" s="494"/>
      <c r="P191" s="494"/>
    </row>
    <row r="192" spans="3:16" s="159" customFormat="1" x14ac:dyDescent="0.2">
      <c r="C192" s="655"/>
      <c r="D192" s="655"/>
      <c r="M192" s="274"/>
      <c r="O192" s="494"/>
      <c r="P192" s="494"/>
    </row>
    <row r="193" spans="3:16" s="159" customFormat="1" x14ac:dyDescent="0.2">
      <c r="C193" s="655"/>
      <c r="D193" s="655"/>
      <c r="M193" s="274"/>
      <c r="O193" s="494"/>
      <c r="P193" s="494"/>
    </row>
    <row r="194" spans="3:16" s="159" customFormat="1" x14ac:dyDescent="0.2">
      <c r="C194" s="655"/>
      <c r="D194" s="655"/>
      <c r="M194" s="274"/>
      <c r="O194" s="494"/>
      <c r="P194" s="494"/>
    </row>
    <row r="195" spans="3:16" s="159" customFormat="1" x14ac:dyDescent="0.2">
      <c r="C195" s="655"/>
      <c r="D195" s="655"/>
      <c r="M195" s="274"/>
      <c r="O195" s="494"/>
      <c r="P195" s="494"/>
    </row>
    <row r="196" spans="3:16" s="159" customFormat="1" x14ac:dyDescent="0.2">
      <c r="C196" s="655"/>
      <c r="D196" s="655"/>
      <c r="M196" s="274"/>
      <c r="O196" s="494"/>
      <c r="P196" s="494"/>
    </row>
    <row r="197" spans="3:16" s="159" customFormat="1" x14ac:dyDescent="0.2">
      <c r="C197" s="655"/>
      <c r="D197" s="655"/>
      <c r="M197" s="274"/>
      <c r="O197" s="494"/>
      <c r="P197" s="494"/>
    </row>
    <row r="198" spans="3:16" s="159" customFormat="1" x14ac:dyDescent="0.2">
      <c r="C198" s="655"/>
      <c r="D198" s="655"/>
      <c r="M198" s="274"/>
      <c r="O198" s="494"/>
      <c r="P198" s="494"/>
    </row>
    <row r="199" spans="3:16" s="159" customFormat="1" x14ac:dyDescent="0.2">
      <c r="C199" s="655"/>
      <c r="D199" s="655"/>
      <c r="M199" s="274"/>
      <c r="O199" s="494"/>
      <c r="P199" s="494"/>
    </row>
    <row r="200" spans="3:16" s="159" customFormat="1" x14ac:dyDescent="0.2">
      <c r="C200" s="655"/>
      <c r="D200" s="655"/>
      <c r="M200" s="274"/>
      <c r="O200" s="494"/>
      <c r="P200" s="494"/>
    </row>
    <row r="201" spans="3:16" s="159" customFormat="1" x14ac:dyDescent="0.2">
      <c r="C201" s="655"/>
      <c r="D201" s="655"/>
      <c r="M201" s="274"/>
      <c r="O201" s="494"/>
      <c r="P201" s="494"/>
    </row>
    <row r="202" spans="3:16" s="159" customFormat="1" x14ac:dyDescent="0.2">
      <c r="C202" s="655"/>
      <c r="D202" s="655"/>
      <c r="M202" s="274"/>
      <c r="O202" s="494"/>
      <c r="P202" s="494"/>
    </row>
    <row r="203" spans="3:16" s="159" customFormat="1" x14ac:dyDescent="0.2">
      <c r="C203" s="655"/>
      <c r="D203" s="655"/>
      <c r="M203" s="274"/>
      <c r="O203" s="494"/>
      <c r="P203" s="494"/>
    </row>
    <row r="204" spans="3:16" s="159" customFormat="1" x14ac:dyDescent="0.2">
      <c r="C204" s="655"/>
      <c r="D204" s="655"/>
      <c r="M204" s="274"/>
      <c r="O204" s="494"/>
      <c r="P204" s="494"/>
    </row>
    <row r="205" spans="3:16" s="159" customFormat="1" x14ac:dyDescent="0.2">
      <c r="C205" s="655"/>
      <c r="D205" s="655"/>
      <c r="M205" s="274"/>
      <c r="O205" s="494"/>
      <c r="P205" s="494"/>
    </row>
    <row r="206" spans="3:16" s="159" customFormat="1" x14ac:dyDescent="0.2">
      <c r="C206" s="655"/>
      <c r="D206" s="655"/>
      <c r="M206" s="274"/>
      <c r="O206" s="494"/>
      <c r="P206" s="494"/>
    </row>
    <row r="207" spans="3:16" s="159" customFormat="1" x14ac:dyDescent="0.2">
      <c r="C207" s="655"/>
      <c r="D207" s="655"/>
      <c r="M207" s="274"/>
      <c r="O207" s="494"/>
      <c r="P207" s="494"/>
    </row>
    <row r="208" spans="3:16" s="159" customFormat="1" x14ac:dyDescent="0.2">
      <c r="C208" s="655"/>
      <c r="D208" s="655"/>
      <c r="M208" s="274"/>
      <c r="O208" s="494"/>
      <c r="P208" s="494"/>
    </row>
    <row r="209" spans="3:16" s="159" customFormat="1" x14ac:dyDescent="0.2">
      <c r="C209" s="655"/>
      <c r="D209" s="655"/>
      <c r="M209" s="274"/>
      <c r="O209" s="494"/>
      <c r="P209" s="494"/>
    </row>
    <row r="210" spans="3:16" s="159" customFormat="1" x14ac:dyDescent="0.2">
      <c r="C210" s="655"/>
      <c r="D210" s="655"/>
      <c r="M210" s="274"/>
      <c r="O210" s="494"/>
      <c r="P210" s="494"/>
    </row>
    <row r="211" spans="3:16" s="159" customFormat="1" x14ac:dyDescent="0.2">
      <c r="C211" s="655"/>
      <c r="D211" s="655"/>
      <c r="M211" s="274"/>
      <c r="O211" s="494"/>
      <c r="P211" s="494"/>
    </row>
    <row r="212" spans="3:16" s="159" customFormat="1" x14ac:dyDescent="0.2">
      <c r="C212" s="655"/>
      <c r="D212" s="655"/>
      <c r="M212" s="274"/>
      <c r="O212" s="494"/>
      <c r="P212" s="494"/>
    </row>
    <row r="213" spans="3:16" s="159" customFormat="1" x14ac:dyDescent="0.2">
      <c r="C213" s="655"/>
      <c r="D213" s="655"/>
      <c r="M213" s="274"/>
      <c r="O213" s="494"/>
      <c r="P213" s="494"/>
    </row>
    <row r="214" spans="3:16" s="159" customFormat="1" x14ac:dyDescent="0.2">
      <c r="C214" s="655"/>
      <c r="D214" s="655"/>
      <c r="M214" s="274"/>
      <c r="O214" s="494"/>
      <c r="P214" s="494"/>
    </row>
    <row r="215" spans="3:16" s="159" customFormat="1" x14ac:dyDescent="0.2">
      <c r="C215" s="655"/>
      <c r="D215" s="655"/>
      <c r="M215" s="274"/>
      <c r="O215" s="494"/>
      <c r="P215" s="494"/>
    </row>
    <row r="216" spans="3:16" s="159" customFormat="1" x14ac:dyDescent="0.2">
      <c r="C216" s="655"/>
      <c r="D216" s="655"/>
      <c r="M216" s="274"/>
      <c r="O216" s="494"/>
      <c r="P216" s="494"/>
    </row>
    <row r="217" spans="3:16" s="159" customFormat="1" x14ac:dyDescent="0.2">
      <c r="C217" s="655"/>
      <c r="D217" s="655"/>
      <c r="M217" s="274"/>
      <c r="O217" s="494"/>
      <c r="P217" s="494"/>
    </row>
    <row r="218" spans="3:16" s="159" customFormat="1" x14ac:dyDescent="0.2">
      <c r="C218" s="655"/>
      <c r="D218" s="655"/>
      <c r="M218" s="274"/>
      <c r="O218" s="494"/>
      <c r="P218" s="494"/>
    </row>
    <row r="219" spans="3:16" s="159" customFormat="1" x14ac:dyDescent="0.2">
      <c r="C219" s="655"/>
      <c r="D219" s="655"/>
      <c r="M219" s="274"/>
      <c r="O219" s="494"/>
      <c r="P219" s="494"/>
    </row>
    <row r="220" spans="3:16" s="159" customFormat="1" x14ac:dyDescent="0.2">
      <c r="C220" s="655"/>
      <c r="D220" s="655"/>
      <c r="M220" s="274"/>
      <c r="O220" s="494"/>
      <c r="P220" s="494"/>
    </row>
    <row r="221" spans="3:16" s="159" customFormat="1" x14ac:dyDescent="0.2">
      <c r="C221" s="655"/>
      <c r="D221" s="655"/>
      <c r="M221" s="274"/>
      <c r="O221" s="494"/>
      <c r="P221" s="494"/>
    </row>
    <row r="222" spans="3:16" s="159" customFormat="1" x14ac:dyDescent="0.2">
      <c r="C222" s="655"/>
      <c r="D222" s="655"/>
      <c r="M222" s="274"/>
      <c r="O222" s="494"/>
      <c r="P222" s="494"/>
    </row>
    <row r="223" spans="3:16" s="159" customFormat="1" x14ac:dyDescent="0.2">
      <c r="C223" s="655"/>
      <c r="D223" s="655"/>
      <c r="M223" s="274"/>
      <c r="O223" s="494"/>
      <c r="P223" s="494"/>
    </row>
    <row r="224" spans="3:16" s="159" customFormat="1" x14ac:dyDescent="0.2">
      <c r="C224" s="655"/>
      <c r="D224" s="655"/>
      <c r="M224" s="274"/>
      <c r="O224" s="494"/>
      <c r="P224" s="494"/>
    </row>
    <row r="225" spans="3:16" s="159" customFormat="1" x14ac:dyDescent="0.2">
      <c r="C225" s="655"/>
      <c r="D225" s="655"/>
      <c r="M225" s="274"/>
      <c r="O225" s="494"/>
      <c r="P225" s="494"/>
    </row>
    <row r="226" spans="3:16" s="159" customFormat="1" x14ac:dyDescent="0.2">
      <c r="C226" s="655"/>
      <c r="D226" s="655"/>
      <c r="M226" s="274"/>
      <c r="O226" s="494"/>
      <c r="P226" s="494"/>
    </row>
    <row r="227" spans="3:16" s="159" customFormat="1" x14ac:dyDescent="0.2">
      <c r="C227" s="655"/>
      <c r="D227" s="655"/>
      <c r="M227" s="274"/>
      <c r="O227" s="494"/>
      <c r="P227" s="494"/>
    </row>
    <row r="228" spans="3:16" s="159" customFormat="1" x14ac:dyDescent="0.2">
      <c r="C228" s="655"/>
      <c r="D228" s="655"/>
      <c r="M228" s="274"/>
      <c r="O228" s="494"/>
      <c r="P228" s="494"/>
    </row>
    <row r="229" spans="3:16" s="159" customFormat="1" x14ac:dyDescent="0.2">
      <c r="C229" s="655"/>
      <c r="D229" s="655"/>
      <c r="M229" s="274"/>
      <c r="O229" s="494"/>
      <c r="P229" s="494"/>
    </row>
    <row r="230" spans="3:16" s="159" customFormat="1" x14ac:dyDescent="0.2">
      <c r="C230" s="655"/>
      <c r="D230" s="655"/>
      <c r="M230" s="274"/>
      <c r="O230" s="494"/>
      <c r="P230" s="494"/>
    </row>
    <row r="231" spans="3:16" s="159" customFormat="1" x14ac:dyDescent="0.2">
      <c r="C231" s="655"/>
      <c r="D231" s="655"/>
      <c r="M231" s="274"/>
      <c r="O231" s="494"/>
      <c r="P231" s="494"/>
    </row>
    <row r="232" spans="3:16" s="159" customFormat="1" x14ac:dyDescent="0.2">
      <c r="C232" s="655"/>
      <c r="D232" s="655"/>
      <c r="M232" s="274"/>
      <c r="O232" s="494"/>
      <c r="P232" s="494"/>
    </row>
    <row r="233" spans="3:16" s="159" customFormat="1" x14ac:dyDescent="0.2">
      <c r="C233" s="655"/>
      <c r="D233" s="655"/>
      <c r="M233" s="274"/>
      <c r="O233" s="494"/>
      <c r="P233" s="494"/>
    </row>
    <row r="234" spans="3:16" s="159" customFormat="1" x14ac:dyDescent="0.2">
      <c r="C234" s="655"/>
      <c r="D234" s="655"/>
      <c r="M234" s="274"/>
      <c r="O234" s="494"/>
      <c r="P234" s="494"/>
    </row>
    <row r="235" spans="3:16" s="159" customFormat="1" x14ac:dyDescent="0.2">
      <c r="C235" s="655"/>
      <c r="D235" s="655"/>
      <c r="M235" s="274"/>
      <c r="O235" s="494"/>
      <c r="P235" s="494"/>
    </row>
    <row r="236" spans="3:16" s="159" customFormat="1" x14ac:dyDescent="0.2">
      <c r="C236" s="655"/>
      <c r="D236" s="655"/>
      <c r="M236" s="274"/>
      <c r="O236" s="494"/>
      <c r="P236" s="494"/>
    </row>
    <row r="237" spans="3:16" s="159" customFormat="1" x14ac:dyDescent="0.2">
      <c r="C237" s="655"/>
      <c r="D237" s="655"/>
      <c r="M237" s="274"/>
      <c r="O237" s="494"/>
      <c r="P237" s="494"/>
    </row>
    <row r="238" spans="3:16" s="159" customFormat="1" x14ac:dyDescent="0.2">
      <c r="C238" s="655"/>
      <c r="D238" s="655"/>
      <c r="M238" s="274"/>
      <c r="O238" s="494"/>
      <c r="P238" s="494"/>
    </row>
    <row r="239" spans="3:16" s="159" customFormat="1" x14ac:dyDescent="0.2">
      <c r="C239" s="655"/>
      <c r="D239" s="655"/>
      <c r="M239" s="274"/>
      <c r="O239" s="494"/>
      <c r="P239" s="494"/>
    </row>
    <row r="240" spans="3:16" s="159" customFormat="1" x14ac:dyDescent="0.2">
      <c r="C240" s="655"/>
      <c r="D240" s="655"/>
      <c r="M240" s="274"/>
      <c r="O240" s="494"/>
      <c r="P240" s="494"/>
    </row>
    <row r="241" spans="3:16" s="159" customFormat="1" x14ac:dyDescent="0.2">
      <c r="C241" s="655"/>
      <c r="D241" s="655"/>
      <c r="M241" s="274"/>
      <c r="O241" s="494"/>
      <c r="P241" s="494"/>
    </row>
    <row r="242" spans="3:16" s="159" customFormat="1" x14ac:dyDescent="0.2">
      <c r="C242" s="655"/>
      <c r="D242" s="655"/>
      <c r="M242" s="274"/>
      <c r="O242" s="494"/>
      <c r="P242" s="494"/>
    </row>
  </sheetData>
  <mergeCells count="48">
    <mergeCell ref="C1:K1"/>
    <mergeCell ref="D2:F2"/>
    <mergeCell ref="A3:B3"/>
    <mergeCell ref="D3:F3"/>
    <mergeCell ref="A4:B4"/>
    <mergeCell ref="D4:F4"/>
    <mergeCell ref="L3:M3"/>
    <mergeCell ref="N3:P3"/>
    <mergeCell ref="L4:M4"/>
    <mergeCell ref="N4:P4"/>
    <mergeCell ref="L5:M5"/>
    <mergeCell ref="N5:P5"/>
    <mergeCell ref="B64:B65"/>
    <mergeCell ref="G63:G64"/>
    <mergeCell ref="I63:I64"/>
    <mergeCell ref="L6:M6"/>
    <mergeCell ref="N6:P6"/>
    <mergeCell ref="G8:I8"/>
    <mergeCell ref="C8:F8"/>
    <mergeCell ref="G5:I6"/>
    <mergeCell ref="J5:K5"/>
    <mergeCell ref="A7:K7"/>
    <mergeCell ref="C48:F48"/>
    <mergeCell ref="G48:I48"/>
    <mergeCell ref="C54:F54"/>
    <mergeCell ref="G54:I54"/>
    <mergeCell ref="C9:F9"/>
    <mergeCell ref="G9:I9"/>
    <mergeCell ref="C19:F19"/>
    <mergeCell ref="G19:I19"/>
    <mergeCell ref="C27:F27"/>
    <mergeCell ref="G27:I27"/>
    <mergeCell ref="C33:F33"/>
    <mergeCell ref="G33:I33"/>
    <mergeCell ref="K63:K64"/>
    <mergeCell ref="F65:F66"/>
    <mergeCell ref="G65:G66"/>
    <mergeCell ref="I65:I66"/>
    <mergeCell ref="J65:J66"/>
    <mergeCell ref="K65:K66"/>
    <mergeCell ref="F63:F64"/>
    <mergeCell ref="J63:J64"/>
    <mergeCell ref="Q9:Q10"/>
    <mergeCell ref="L9:L10"/>
    <mergeCell ref="M9:M10"/>
    <mergeCell ref="N9:N10"/>
    <mergeCell ref="O9:O10"/>
    <mergeCell ref="P9:P10"/>
  </mergeCells>
  <phoneticPr fontId="5" type="noConversion"/>
  <printOptions horizontalCentered="1"/>
  <pageMargins left="0.7" right="0.7" top="0.75" bottom="0.75" header="0.5" footer="0.5"/>
  <pageSetup scale="60" fitToHeight="2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1">
    <pageSetUpPr fitToPage="1"/>
  </sheetPr>
  <dimension ref="A1:Q76"/>
  <sheetViews>
    <sheetView topLeftCell="A37" zoomScale="92" zoomScaleNormal="75" zoomScaleSheetLayoutView="90" zoomScalePageLayoutView="75" workbookViewId="0">
      <selection activeCell="M48" sqref="M48"/>
    </sheetView>
  </sheetViews>
  <sheetFormatPr defaultColWidth="9.140625" defaultRowHeight="12.75" x14ac:dyDescent="0.2"/>
  <cols>
    <col min="1" max="1" width="12.5703125" style="157" bestFit="1" customWidth="1"/>
    <col min="2" max="2" width="47" style="157" bestFit="1" customWidth="1"/>
    <col min="3" max="3" width="5" style="440" customWidth="1"/>
    <col min="4" max="4" width="5" style="659" customWidth="1"/>
    <col min="5" max="5" width="10.85546875" style="157" bestFit="1" customWidth="1"/>
    <col min="6" max="6" width="12.5703125" style="157" bestFit="1" customWidth="1"/>
    <col min="7" max="7" width="7" style="157" bestFit="1" customWidth="1"/>
    <col min="8" max="8" width="10.85546875" style="157" bestFit="1" customWidth="1"/>
    <col min="9" max="9" width="14.140625" style="157" bestFit="1" customWidth="1"/>
    <col min="10" max="10" width="16.140625" style="157" bestFit="1" customWidth="1"/>
    <col min="11" max="11" width="14.140625" style="157" bestFit="1" customWidth="1"/>
    <col min="12" max="12" width="17.85546875" style="159" bestFit="1" customWidth="1"/>
    <col min="13" max="13" width="14" style="314" bestFit="1" customWidth="1"/>
    <col min="14" max="14" width="24.85546875" style="157" bestFit="1" customWidth="1"/>
    <col min="15" max="15" width="21.85546875" style="302" bestFit="1" customWidth="1"/>
    <col min="16" max="16" width="22" style="302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2"/>
      <c r="B1" s="323"/>
      <c r="C1" s="976">
        <f>'Estimate Summary'!C1:H1</f>
        <v>0</v>
      </c>
      <c r="D1" s="976"/>
      <c r="E1" s="976"/>
      <c r="F1" s="976"/>
      <c r="G1" s="976"/>
      <c r="H1" s="976"/>
      <c r="I1" s="976"/>
      <c r="J1" s="976"/>
      <c r="K1" s="977"/>
    </row>
    <row r="2" spans="1:17" ht="13.5" thickBot="1" x14ac:dyDescent="0.25">
      <c r="A2" s="324"/>
      <c r="B2" s="325"/>
      <c r="C2" s="514"/>
      <c r="D2" s="984"/>
      <c r="E2" s="984"/>
      <c r="F2" s="984"/>
      <c r="G2" s="514"/>
      <c r="H2" s="327"/>
      <c r="I2" s="609"/>
      <c r="J2" s="329"/>
      <c r="K2" s="330"/>
    </row>
    <row r="3" spans="1:17" ht="16.5" thickBot="1" x14ac:dyDescent="0.3">
      <c r="A3" s="973"/>
      <c r="B3" s="974"/>
      <c r="C3" s="514"/>
      <c r="D3" s="984"/>
      <c r="E3" s="984"/>
      <c r="F3" s="984"/>
      <c r="G3" s="515"/>
      <c r="H3" s="332"/>
      <c r="I3" s="333"/>
      <c r="J3" s="333"/>
      <c r="K3" s="334"/>
      <c r="L3" s="1002"/>
      <c r="M3" s="1003"/>
      <c r="N3" s="985"/>
      <c r="O3" s="985"/>
      <c r="P3" s="935"/>
    </row>
    <row r="4" spans="1:17" ht="18.75" thickBot="1" x14ac:dyDescent="0.3">
      <c r="A4" s="973"/>
      <c r="B4" s="974"/>
      <c r="C4" s="514"/>
      <c r="D4" s="984"/>
      <c r="E4" s="984"/>
      <c r="F4" s="984"/>
      <c r="G4" s="610"/>
      <c r="H4" s="610"/>
      <c r="I4" s="609"/>
      <c r="J4" s="329"/>
      <c r="K4" s="330"/>
      <c r="L4" s="1002"/>
      <c r="M4" s="1003"/>
      <c r="N4" s="985"/>
      <c r="O4" s="985"/>
      <c r="P4" s="935"/>
    </row>
    <row r="5" spans="1:17" ht="21" thickBot="1" x14ac:dyDescent="0.35">
      <c r="A5" s="611"/>
      <c r="B5" s="612"/>
      <c r="C5" s="516"/>
      <c r="D5" s="613"/>
      <c r="E5" s="341"/>
      <c r="F5" s="610"/>
      <c r="G5" s="1081" t="s">
        <v>661</v>
      </c>
      <c r="H5" s="1081"/>
      <c r="I5" s="1081"/>
      <c r="J5" s="981" t="s">
        <v>73</v>
      </c>
      <c r="K5" s="982"/>
      <c r="L5" s="1002"/>
      <c r="M5" s="1003"/>
      <c r="N5" s="985"/>
      <c r="O5" s="985"/>
      <c r="P5" s="935"/>
    </row>
    <row r="6" spans="1:17" ht="21" thickBot="1" x14ac:dyDescent="0.35">
      <c r="A6" s="611"/>
      <c r="B6" s="612"/>
      <c r="C6" s="517"/>
      <c r="D6" s="343" t="str">
        <f>'Estimate Summary'!C11</f>
        <v>Area:</v>
      </c>
      <c r="E6" s="344">
        <f>'Estimate Summary'!D11</f>
        <v>65592</v>
      </c>
      <c r="F6" s="238" t="str">
        <f>'Estimate Summary'!E11</f>
        <v>Sq. Ft.</v>
      </c>
      <c r="G6" s="1081"/>
      <c r="H6" s="1081"/>
      <c r="I6" s="1081"/>
      <c r="J6" s="345">
        <f>'1'!J6</f>
        <v>60</v>
      </c>
      <c r="K6" s="330" t="s">
        <v>74</v>
      </c>
      <c r="L6" s="1002"/>
      <c r="M6" s="1003"/>
      <c r="N6" s="985"/>
      <c r="O6" s="985"/>
      <c r="P6" s="935"/>
    </row>
    <row r="7" spans="1:17" x14ac:dyDescent="0.2">
      <c r="A7" s="978"/>
      <c r="B7" s="979"/>
      <c r="C7" s="979"/>
      <c r="D7" s="979"/>
      <c r="E7" s="979"/>
      <c r="F7" s="979"/>
      <c r="G7" s="979"/>
      <c r="H7" s="979"/>
      <c r="I7" s="979"/>
      <c r="J7" s="979"/>
      <c r="K7" s="980"/>
    </row>
    <row r="8" spans="1:17" ht="13.5" thickBot="1" x14ac:dyDescent="0.25">
      <c r="A8" s="346"/>
      <c r="B8" s="347"/>
      <c r="C8" s="972"/>
      <c r="D8" s="972"/>
      <c r="E8" s="972"/>
      <c r="F8" s="972"/>
      <c r="G8" s="971"/>
      <c r="H8" s="971"/>
      <c r="I8" s="971"/>
      <c r="J8" s="348"/>
      <c r="K8" s="349"/>
      <c r="L8" s="518"/>
      <c r="M8" s="519"/>
      <c r="N8" s="518"/>
      <c r="O8" s="520"/>
      <c r="P8" s="520"/>
    </row>
    <row r="9" spans="1:17" ht="14.25" thickTop="1" thickBot="1" x14ac:dyDescent="0.25">
      <c r="A9" s="614" t="s">
        <v>0</v>
      </c>
      <c r="B9" s="615" t="s">
        <v>1</v>
      </c>
      <c r="C9" s="939" t="s">
        <v>656</v>
      </c>
      <c r="D9" s="939"/>
      <c r="E9" s="939"/>
      <c r="F9" s="939"/>
      <c r="G9" s="939" t="s">
        <v>34</v>
      </c>
      <c r="H9" s="939"/>
      <c r="I9" s="939"/>
      <c r="J9" s="616"/>
      <c r="K9" s="523"/>
      <c r="L9" s="1046" t="s">
        <v>783</v>
      </c>
      <c r="M9" s="1048" t="s">
        <v>784</v>
      </c>
      <c r="N9" s="1050" t="s">
        <v>785</v>
      </c>
      <c r="O9" s="1052"/>
      <c r="P9" s="1054"/>
      <c r="Q9" s="1044"/>
    </row>
    <row r="10" spans="1:17" ht="15.75" x14ac:dyDescent="0.25">
      <c r="A10" s="525" t="s">
        <v>301</v>
      </c>
      <c r="B10" s="525" t="s">
        <v>302</v>
      </c>
      <c r="C10" s="660" t="s">
        <v>19</v>
      </c>
      <c r="D10" s="617" t="s">
        <v>33</v>
      </c>
      <c r="E10" s="445" t="s">
        <v>35</v>
      </c>
      <c r="F10" s="618" t="s">
        <v>30</v>
      </c>
      <c r="G10" s="619" t="s">
        <v>14</v>
      </c>
      <c r="H10" s="445" t="s">
        <v>35</v>
      </c>
      <c r="I10" s="618" t="s">
        <v>30</v>
      </c>
      <c r="J10" s="620" t="s">
        <v>659</v>
      </c>
      <c r="K10" s="621" t="s">
        <v>38</v>
      </c>
      <c r="L10" s="1047"/>
      <c r="M10" s="1049"/>
      <c r="N10" s="1051"/>
      <c r="O10" s="1053"/>
      <c r="P10" s="1055"/>
      <c r="Q10" s="1045"/>
    </row>
    <row r="11" spans="1:17" x14ac:dyDescent="0.2">
      <c r="A11" s="370"/>
      <c r="B11" s="5"/>
      <c r="C11" s="371"/>
      <c r="D11" s="372" t="s">
        <v>21</v>
      </c>
      <c r="E11" s="253">
        <v>0</v>
      </c>
      <c r="F11" s="373">
        <f>C11*E11</f>
        <v>0</v>
      </c>
      <c r="G11" s="529"/>
      <c r="H11" s="375">
        <v>0</v>
      </c>
      <c r="I11" s="373">
        <f>G11*H11</f>
        <v>0</v>
      </c>
      <c r="J11" s="622"/>
      <c r="K11" s="530">
        <f>F11+I11+J11</f>
        <v>0</v>
      </c>
      <c r="L11" s="378"/>
      <c r="M11" s="623"/>
      <c r="N11" s="380"/>
      <c r="O11" s="381"/>
      <c r="P11" s="382"/>
      <c r="Q11" s="383"/>
    </row>
    <row r="12" spans="1:17" x14ac:dyDescent="0.2">
      <c r="A12" s="370"/>
      <c r="B12" s="5"/>
      <c r="C12" s="371"/>
      <c r="D12" s="372" t="s">
        <v>21</v>
      </c>
      <c r="E12" s="253">
        <v>0</v>
      </c>
      <c r="F12" s="373">
        <f>C12*E12</f>
        <v>0</v>
      </c>
      <c r="G12" s="529"/>
      <c r="H12" s="375">
        <v>0</v>
      </c>
      <c r="I12" s="373">
        <f>G12*H12</f>
        <v>0</v>
      </c>
      <c r="J12" s="622"/>
      <c r="K12" s="530">
        <f>F12+I12+J12</f>
        <v>0</v>
      </c>
      <c r="L12" s="378"/>
      <c r="M12" s="623"/>
      <c r="N12" s="380"/>
      <c r="O12" s="381"/>
      <c r="P12" s="382"/>
      <c r="Q12" s="383"/>
    </row>
    <row r="13" spans="1:17" x14ac:dyDescent="0.2">
      <c r="A13" s="370"/>
      <c r="B13" s="5"/>
      <c r="C13" s="371"/>
      <c r="D13" s="372" t="s">
        <v>21</v>
      </c>
      <c r="E13" s="253">
        <v>0</v>
      </c>
      <c r="F13" s="373">
        <f>C13*E13</f>
        <v>0</v>
      </c>
      <c r="G13" s="529"/>
      <c r="H13" s="375">
        <v>0</v>
      </c>
      <c r="I13" s="373">
        <f>G13*H13</f>
        <v>0</v>
      </c>
      <c r="J13" s="622"/>
      <c r="K13" s="530">
        <f>F13+I13+J13</f>
        <v>0</v>
      </c>
      <c r="L13" s="378"/>
      <c r="M13" s="623"/>
      <c r="N13" s="380"/>
      <c r="O13" s="381"/>
      <c r="P13" s="382"/>
      <c r="Q13" s="383"/>
    </row>
    <row r="14" spans="1:17" x14ac:dyDescent="0.2">
      <c r="A14" s="370"/>
      <c r="B14" s="5"/>
      <c r="C14" s="371"/>
      <c r="D14" s="372" t="s">
        <v>21</v>
      </c>
      <c r="E14" s="253">
        <v>0</v>
      </c>
      <c r="F14" s="373">
        <f>C14*E14</f>
        <v>0</v>
      </c>
      <c r="G14" s="529"/>
      <c r="H14" s="375">
        <v>0</v>
      </c>
      <c r="I14" s="373">
        <f>G14*H14</f>
        <v>0</v>
      </c>
      <c r="J14" s="622"/>
      <c r="K14" s="530">
        <f>F14+I14+J14</f>
        <v>0</v>
      </c>
      <c r="L14" s="378"/>
      <c r="M14" s="623"/>
      <c r="N14" s="380"/>
      <c r="O14" s="381"/>
      <c r="P14" s="382"/>
      <c r="Q14" s="383"/>
    </row>
    <row r="15" spans="1:17" x14ac:dyDescent="0.2">
      <c r="A15" s="370"/>
      <c r="B15" s="6"/>
      <c r="C15" s="371"/>
      <c r="D15" s="372" t="s">
        <v>21</v>
      </c>
      <c r="E15" s="253">
        <v>0</v>
      </c>
      <c r="F15" s="373">
        <f>C15*E15</f>
        <v>0</v>
      </c>
      <c r="G15" s="529"/>
      <c r="H15" s="375">
        <v>0</v>
      </c>
      <c r="I15" s="373">
        <f>G15*H15</f>
        <v>0</v>
      </c>
      <c r="J15" s="622"/>
      <c r="K15" s="530">
        <f>F15+I15+J15</f>
        <v>0</v>
      </c>
      <c r="L15" s="378"/>
      <c r="M15" s="623"/>
      <c r="N15" s="380"/>
      <c r="O15" s="381"/>
      <c r="P15" s="382"/>
      <c r="Q15" s="383"/>
    </row>
    <row r="16" spans="1:17" ht="13.5" thickBot="1" x14ac:dyDescent="0.25">
      <c r="A16" s="387"/>
      <c r="B16" s="7"/>
      <c r="C16" s="388"/>
      <c r="D16" s="372"/>
      <c r="E16" s="253"/>
      <c r="F16" s="373"/>
      <c r="G16" s="529"/>
      <c r="H16" s="375"/>
      <c r="I16" s="373"/>
      <c r="J16" s="622"/>
      <c r="K16" s="530"/>
      <c r="L16" s="378"/>
      <c r="M16" s="623"/>
      <c r="N16" s="380"/>
      <c r="O16" s="381"/>
      <c r="P16" s="382"/>
      <c r="Q16" s="383"/>
    </row>
    <row r="17" spans="1:17" ht="13.5" thickTop="1" x14ac:dyDescent="0.2">
      <c r="A17" s="387"/>
      <c r="B17" s="7"/>
      <c r="C17" s="388"/>
      <c r="D17" s="372"/>
      <c r="E17" s="253"/>
      <c r="F17" s="373"/>
      <c r="G17" s="529"/>
      <c r="H17" s="375"/>
      <c r="I17" s="373"/>
      <c r="J17" s="389" t="s">
        <v>30</v>
      </c>
      <c r="K17" s="532">
        <f>SUM(K11:K16)</f>
        <v>0</v>
      </c>
      <c r="L17" s="378"/>
      <c r="M17" s="623"/>
      <c r="N17" s="380"/>
      <c r="O17" s="381"/>
      <c r="P17" s="382"/>
      <c r="Q17" s="383"/>
    </row>
    <row r="18" spans="1:17" ht="13.5" thickBot="1" x14ac:dyDescent="0.25">
      <c r="A18" s="614" t="s">
        <v>0</v>
      </c>
      <c r="B18" s="615" t="s">
        <v>1</v>
      </c>
      <c r="C18" s="939" t="s">
        <v>656</v>
      </c>
      <c r="D18" s="939"/>
      <c r="E18" s="939"/>
      <c r="F18" s="939"/>
      <c r="G18" s="939" t="s">
        <v>34</v>
      </c>
      <c r="H18" s="939"/>
      <c r="I18" s="939"/>
      <c r="J18" s="616"/>
      <c r="K18" s="523"/>
      <c r="L18" s="391"/>
      <c r="M18" s="624"/>
      <c r="N18" s="393"/>
      <c r="O18" s="381"/>
      <c r="P18" s="382"/>
      <c r="Q18" s="383"/>
    </row>
    <row r="19" spans="1:17" ht="16.5" thickBot="1" x14ac:dyDescent="0.3">
      <c r="A19" s="525" t="s">
        <v>303</v>
      </c>
      <c r="B19" s="525" t="s">
        <v>304</v>
      </c>
      <c r="C19" s="638" t="s">
        <v>19</v>
      </c>
      <c r="D19" s="625" t="s">
        <v>33</v>
      </c>
      <c r="E19" s="626" t="s">
        <v>35</v>
      </c>
      <c r="F19" s="627" t="s">
        <v>30</v>
      </c>
      <c r="G19" s="628" t="s">
        <v>14</v>
      </c>
      <c r="H19" s="626" t="s">
        <v>35</v>
      </c>
      <c r="I19" s="627" t="s">
        <v>30</v>
      </c>
      <c r="J19" s="620" t="s">
        <v>659</v>
      </c>
      <c r="K19" s="629" t="s">
        <v>38</v>
      </c>
      <c r="L19" s="402"/>
      <c r="M19" s="630"/>
      <c r="N19" s="404"/>
      <c r="O19" s="381"/>
      <c r="P19" s="382"/>
      <c r="Q19" s="383"/>
    </row>
    <row r="20" spans="1:17" x14ac:dyDescent="0.2">
      <c r="A20" s="405"/>
      <c r="B20" s="406"/>
      <c r="C20" s="371"/>
      <c r="D20" s="372" t="s">
        <v>21</v>
      </c>
      <c r="E20" s="253">
        <v>0</v>
      </c>
      <c r="F20" s="373">
        <f>C20*E20</f>
        <v>0</v>
      </c>
      <c r="G20" s="529"/>
      <c r="H20" s="375">
        <v>0</v>
      </c>
      <c r="I20" s="373">
        <f>G20*H20</f>
        <v>0</v>
      </c>
      <c r="J20" s="622"/>
      <c r="K20" s="530">
        <f>F20+I20+J20</f>
        <v>0</v>
      </c>
      <c r="L20" s="378"/>
      <c r="M20" s="623"/>
      <c r="N20" s="380"/>
      <c r="O20" s="381"/>
      <c r="P20" s="382"/>
      <c r="Q20" s="383"/>
    </row>
    <row r="21" spans="1:17" x14ac:dyDescent="0.2">
      <c r="A21" s="370"/>
      <c r="B21" s="5" t="s">
        <v>1124</v>
      </c>
      <c r="C21" s="371">
        <v>1</v>
      </c>
      <c r="D21" s="372" t="s">
        <v>21</v>
      </c>
      <c r="E21" s="253">
        <v>5000</v>
      </c>
      <c r="F21" s="373"/>
      <c r="G21" s="529"/>
      <c r="H21" s="375">
        <v>0</v>
      </c>
      <c r="I21" s="373">
        <f>G21*H21</f>
        <v>0</v>
      </c>
      <c r="J21" s="622">
        <f>M21</f>
        <v>10950</v>
      </c>
      <c r="K21" s="530">
        <f>F21+I21+J21</f>
        <v>10950</v>
      </c>
      <c r="L21" s="378" t="s">
        <v>1173</v>
      </c>
      <c r="M21" s="623">
        <v>10950</v>
      </c>
      <c r="N21" s="380"/>
      <c r="O21" s="381"/>
      <c r="P21" s="382"/>
      <c r="Q21" s="383"/>
    </row>
    <row r="22" spans="1:17" x14ac:dyDescent="0.2">
      <c r="A22" s="370"/>
      <c r="B22" s="5"/>
      <c r="C22" s="371"/>
      <c r="D22" s="372" t="s">
        <v>21</v>
      </c>
      <c r="E22" s="253">
        <v>0</v>
      </c>
      <c r="F22" s="373">
        <f>C22*E22</f>
        <v>0</v>
      </c>
      <c r="G22" s="529"/>
      <c r="H22" s="375">
        <v>0</v>
      </c>
      <c r="I22" s="373">
        <f>G22*H22</f>
        <v>0</v>
      </c>
      <c r="J22" s="622"/>
      <c r="K22" s="530">
        <f>F22+I22+J22</f>
        <v>0</v>
      </c>
      <c r="L22" s="378"/>
      <c r="M22" s="623"/>
      <c r="N22" s="380"/>
      <c r="O22" s="381"/>
      <c r="P22" s="382"/>
      <c r="Q22" s="383"/>
    </row>
    <row r="23" spans="1:17" x14ac:dyDescent="0.2">
      <c r="A23" s="370"/>
      <c r="B23" s="5"/>
      <c r="C23" s="371"/>
      <c r="D23" s="372" t="s">
        <v>21</v>
      </c>
      <c r="E23" s="253">
        <v>0</v>
      </c>
      <c r="F23" s="373">
        <f>C23*E23</f>
        <v>0</v>
      </c>
      <c r="G23" s="529"/>
      <c r="H23" s="375">
        <v>0</v>
      </c>
      <c r="I23" s="373">
        <f>G23*H23</f>
        <v>0</v>
      </c>
      <c r="J23" s="622"/>
      <c r="K23" s="530">
        <f>F23+I23+J23</f>
        <v>0</v>
      </c>
      <c r="L23" s="378"/>
      <c r="M23" s="623"/>
      <c r="N23" s="380"/>
      <c r="O23" s="381"/>
      <c r="P23" s="382"/>
      <c r="Q23" s="383"/>
    </row>
    <row r="24" spans="1:17" ht="13.5" thickBot="1" x14ac:dyDescent="0.25">
      <c r="A24" s="370"/>
      <c r="B24" s="5"/>
      <c r="C24" s="388"/>
      <c r="D24" s="372"/>
      <c r="E24" s="253"/>
      <c r="F24" s="373"/>
      <c r="G24" s="529"/>
      <c r="H24" s="375"/>
      <c r="I24" s="373"/>
      <c r="J24" s="622"/>
      <c r="K24" s="535"/>
      <c r="L24" s="157"/>
      <c r="M24" s="631"/>
      <c r="O24" s="381"/>
      <c r="P24" s="382"/>
      <c r="Q24" s="383"/>
    </row>
    <row r="25" spans="1:17" ht="13.5" thickTop="1" x14ac:dyDescent="0.2">
      <c r="A25" s="387"/>
      <c r="B25" s="5"/>
      <c r="C25" s="388"/>
      <c r="D25" s="372"/>
      <c r="E25" s="253"/>
      <c r="F25" s="373"/>
      <c r="G25" s="529"/>
      <c r="H25" s="375"/>
      <c r="I25" s="373"/>
      <c r="J25" s="389" t="s">
        <v>30</v>
      </c>
      <c r="K25" s="532">
        <f>SUM(K20:K24)</f>
        <v>10950</v>
      </c>
      <c r="L25" s="157"/>
      <c r="M25" s="631"/>
      <c r="O25" s="381"/>
      <c r="P25" s="382"/>
      <c r="Q25" s="383"/>
    </row>
    <row r="26" spans="1:17" ht="13.5" thickBot="1" x14ac:dyDescent="0.25">
      <c r="A26" s="614" t="s">
        <v>0</v>
      </c>
      <c r="B26" s="615" t="s">
        <v>1</v>
      </c>
      <c r="C26" s="939" t="s">
        <v>656</v>
      </c>
      <c r="D26" s="939"/>
      <c r="E26" s="939"/>
      <c r="F26" s="939"/>
      <c r="G26" s="939" t="s">
        <v>34</v>
      </c>
      <c r="H26" s="939"/>
      <c r="I26" s="939"/>
      <c r="J26" s="616"/>
      <c r="K26" s="523"/>
      <c r="L26" s="391"/>
      <c r="M26" s="624"/>
      <c r="N26" s="393"/>
      <c r="O26" s="381"/>
      <c r="P26" s="382"/>
      <c r="Q26" s="383"/>
    </row>
    <row r="27" spans="1:17" ht="16.5" thickBot="1" x14ac:dyDescent="0.3">
      <c r="A27" s="525" t="s">
        <v>305</v>
      </c>
      <c r="B27" s="525" t="s">
        <v>306</v>
      </c>
      <c r="C27" s="638" t="s">
        <v>19</v>
      </c>
      <c r="D27" s="625" t="s">
        <v>33</v>
      </c>
      <c r="E27" s="626" t="s">
        <v>35</v>
      </c>
      <c r="F27" s="627" t="s">
        <v>30</v>
      </c>
      <c r="G27" s="628" t="s">
        <v>14</v>
      </c>
      <c r="H27" s="626" t="s">
        <v>35</v>
      </c>
      <c r="I27" s="627" t="s">
        <v>30</v>
      </c>
      <c r="J27" s="620" t="s">
        <v>659</v>
      </c>
      <c r="K27" s="629" t="s">
        <v>38</v>
      </c>
      <c r="L27" s="402"/>
      <c r="M27" s="630"/>
      <c r="N27" s="404"/>
      <c r="O27" s="381"/>
      <c r="P27" s="382"/>
      <c r="Q27" s="383"/>
    </row>
    <row r="28" spans="1:17" ht="15" x14ac:dyDescent="0.2">
      <c r="A28" s="656" t="s">
        <v>307</v>
      </c>
      <c r="B28" s="637" t="s">
        <v>677</v>
      </c>
      <c r="C28" s="371"/>
      <c r="D28" s="372" t="s">
        <v>21</v>
      </c>
      <c r="E28" s="253">
        <v>0</v>
      </c>
      <c r="F28" s="373">
        <f t="shared" ref="F28:F34" si="0">C28*E28</f>
        <v>0</v>
      </c>
      <c r="G28" s="529"/>
      <c r="H28" s="375">
        <v>0</v>
      </c>
      <c r="I28" s="373">
        <f t="shared" ref="I28:I34" si="1">G28*H28</f>
        <v>0</v>
      </c>
      <c r="J28" s="622"/>
      <c r="K28" s="530">
        <f t="shared" ref="K28:K34" si="2">F28+I28+J28</f>
        <v>0</v>
      </c>
      <c r="L28" s="159" t="s">
        <v>1089</v>
      </c>
      <c r="O28" s="381"/>
      <c r="P28" s="382"/>
      <c r="Q28" s="383"/>
    </row>
    <row r="29" spans="1:17" x14ac:dyDescent="0.2">
      <c r="A29" s="158" t="s">
        <v>308</v>
      </c>
      <c r="B29" s="651" t="s">
        <v>309</v>
      </c>
      <c r="C29" s="371"/>
      <c r="D29" s="372" t="s">
        <v>21</v>
      </c>
      <c r="E29" s="253">
        <v>0</v>
      </c>
      <c r="F29" s="373">
        <f t="shared" si="0"/>
        <v>0</v>
      </c>
      <c r="G29" s="529"/>
      <c r="H29" s="375">
        <v>0</v>
      </c>
      <c r="I29" s="373">
        <f t="shared" si="1"/>
        <v>0</v>
      </c>
      <c r="J29" s="622"/>
      <c r="K29" s="530">
        <f t="shared" si="2"/>
        <v>0</v>
      </c>
      <c r="L29" s="378"/>
      <c r="M29" s="623"/>
      <c r="N29" s="380"/>
      <c r="O29" s="381"/>
      <c r="P29" s="382"/>
      <c r="Q29" s="383"/>
    </row>
    <row r="30" spans="1:17" ht="15" x14ac:dyDescent="0.2">
      <c r="A30" s="196" t="s">
        <v>310</v>
      </c>
      <c r="B30" s="647" t="s">
        <v>311</v>
      </c>
      <c r="C30" s="371"/>
      <c r="D30" s="372" t="s">
        <v>21</v>
      </c>
      <c r="E30" s="253">
        <v>0</v>
      </c>
      <c r="F30" s="373">
        <f t="shared" si="0"/>
        <v>0</v>
      </c>
      <c r="G30" s="529"/>
      <c r="H30" s="375">
        <v>0</v>
      </c>
      <c r="I30" s="373">
        <f t="shared" si="1"/>
        <v>0</v>
      </c>
      <c r="J30" s="622"/>
      <c r="K30" s="530">
        <f t="shared" si="2"/>
        <v>0</v>
      </c>
      <c r="L30" s="378"/>
      <c r="M30" s="623"/>
      <c r="N30" s="380"/>
      <c r="O30" s="381"/>
      <c r="P30" s="382"/>
      <c r="Q30" s="383"/>
    </row>
    <row r="31" spans="1:17" x14ac:dyDescent="0.2">
      <c r="A31" s="158" t="s">
        <v>312</v>
      </c>
      <c r="B31" s="651" t="s">
        <v>313</v>
      </c>
      <c r="C31" s="371"/>
      <c r="D31" s="372" t="s">
        <v>21</v>
      </c>
      <c r="E31" s="253">
        <v>0</v>
      </c>
      <c r="F31" s="373">
        <f t="shared" si="0"/>
        <v>0</v>
      </c>
      <c r="G31" s="529"/>
      <c r="H31" s="375">
        <v>0</v>
      </c>
      <c r="I31" s="373">
        <f t="shared" si="1"/>
        <v>0</v>
      </c>
      <c r="J31" s="622"/>
      <c r="K31" s="530">
        <f t="shared" si="2"/>
        <v>0</v>
      </c>
      <c r="L31" s="378" t="s">
        <v>1221</v>
      </c>
      <c r="M31" s="623">
        <v>2296</v>
      </c>
      <c r="N31" s="380"/>
      <c r="O31" s="381"/>
      <c r="P31" s="382"/>
      <c r="Q31" s="383"/>
    </row>
    <row r="32" spans="1:17" x14ac:dyDescent="0.2">
      <c r="A32" s="158" t="s">
        <v>314</v>
      </c>
      <c r="B32" s="651" t="s">
        <v>1224</v>
      </c>
      <c r="C32" s="371"/>
      <c r="D32" s="372" t="s">
        <v>21</v>
      </c>
      <c r="E32" s="253">
        <v>0</v>
      </c>
      <c r="F32" s="373">
        <f t="shared" si="0"/>
        <v>0</v>
      </c>
      <c r="G32" s="529"/>
      <c r="H32" s="375">
        <v>0</v>
      </c>
      <c r="I32" s="373">
        <f t="shared" si="1"/>
        <v>0</v>
      </c>
      <c r="J32" s="622"/>
      <c r="K32" s="530">
        <f t="shared" si="2"/>
        <v>0</v>
      </c>
      <c r="L32" s="378" t="s">
        <v>1222</v>
      </c>
      <c r="M32" s="623">
        <v>3116</v>
      </c>
      <c r="N32" s="380"/>
      <c r="O32" s="381"/>
      <c r="P32" s="382"/>
      <c r="Q32" s="383"/>
    </row>
    <row r="33" spans="1:17" x14ac:dyDescent="0.2">
      <c r="A33" s="158" t="s">
        <v>316</v>
      </c>
      <c r="B33" s="651" t="s">
        <v>315</v>
      </c>
      <c r="C33" s="371">
        <v>59</v>
      </c>
      <c r="D33" s="372" t="s">
        <v>33</v>
      </c>
      <c r="E33" s="253">
        <v>203.21</v>
      </c>
      <c r="F33" s="373">
        <f t="shared" si="0"/>
        <v>11989.390000000001</v>
      </c>
      <c r="G33" s="529"/>
      <c r="H33" s="375">
        <v>60</v>
      </c>
      <c r="I33" s="373">
        <f t="shared" si="1"/>
        <v>0</v>
      </c>
      <c r="J33" s="622"/>
      <c r="K33" s="530">
        <f t="shared" si="2"/>
        <v>11989.390000000001</v>
      </c>
      <c r="L33" s="159" t="s">
        <v>1223</v>
      </c>
      <c r="M33" s="314">
        <v>5904</v>
      </c>
      <c r="O33" s="381"/>
      <c r="P33" s="382"/>
      <c r="Q33" s="383"/>
    </row>
    <row r="34" spans="1:17" ht="15" x14ac:dyDescent="0.2">
      <c r="A34" s="196" t="s">
        <v>317</v>
      </c>
      <c r="B34" s="647" t="s">
        <v>318</v>
      </c>
      <c r="C34" s="371"/>
      <c r="D34" s="372" t="s">
        <v>21</v>
      </c>
      <c r="E34" s="253">
        <v>0</v>
      </c>
      <c r="F34" s="373">
        <f t="shared" si="0"/>
        <v>0</v>
      </c>
      <c r="G34" s="529"/>
      <c r="H34" s="375">
        <v>0</v>
      </c>
      <c r="I34" s="373">
        <f t="shared" si="1"/>
        <v>0</v>
      </c>
      <c r="J34" s="622"/>
      <c r="K34" s="530">
        <f t="shared" si="2"/>
        <v>0</v>
      </c>
      <c r="O34" s="381"/>
      <c r="P34" s="382"/>
      <c r="Q34" s="383"/>
    </row>
    <row r="35" spans="1:17" x14ac:dyDescent="0.2">
      <c r="A35" s="370"/>
      <c r="B35" s="5"/>
      <c r="C35" s="371"/>
      <c r="D35" s="372"/>
      <c r="E35" s="253"/>
      <c r="F35" s="373"/>
      <c r="G35" s="529"/>
      <c r="H35" s="375"/>
      <c r="I35" s="373"/>
      <c r="J35" s="622"/>
      <c r="K35" s="535"/>
      <c r="L35" s="378"/>
      <c r="M35" s="623"/>
      <c r="N35" s="380"/>
      <c r="O35" s="381"/>
      <c r="P35" s="382"/>
      <c r="Q35" s="383"/>
    </row>
    <row r="36" spans="1:17" x14ac:dyDescent="0.2">
      <c r="A36" s="370"/>
      <c r="B36" s="5"/>
      <c r="C36" s="371"/>
      <c r="D36" s="372"/>
      <c r="E36" s="253"/>
      <c r="F36" s="373"/>
      <c r="G36" s="529"/>
      <c r="H36" s="375"/>
      <c r="I36" s="373"/>
      <c r="J36" s="622"/>
      <c r="K36" s="535"/>
      <c r="M36" s="274"/>
      <c r="N36" s="159"/>
      <c r="O36" s="381"/>
      <c r="P36" s="382"/>
      <c r="Q36" s="383"/>
    </row>
    <row r="37" spans="1:17" ht="13.5" thickBot="1" x14ac:dyDescent="0.25">
      <c r="A37" s="370"/>
      <c r="B37" s="5"/>
      <c r="C37" s="371"/>
      <c r="D37" s="372"/>
      <c r="E37" s="253"/>
      <c r="F37" s="373"/>
      <c r="G37" s="529"/>
      <c r="H37" s="375"/>
      <c r="I37" s="373"/>
      <c r="J37" s="622"/>
      <c r="K37" s="535"/>
      <c r="M37" s="274"/>
      <c r="N37" s="159"/>
      <c r="O37" s="410"/>
      <c r="P37" s="411"/>
      <c r="Q37" s="383"/>
    </row>
    <row r="38" spans="1:17" ht="13.5" thickTop="1" x14ac:dyDescent="0.2">
      <c r="A38" s="387"/>
      <c r="B38" s="412"/>
      <c r="C38" s="388"/>
      <c r="D38" s="372"/>
      <c r="E38" s="253"/>
      <c r="F38" s="373"/>
      <c r="G38" s="529"/>
      <c r="H38" s="375"/>
      <c r="I38" s="373"/>
      <c r="J38" s="389" t="s">
        <v>30</v>
      </c>
      <c r="K38" s="532">
        <f>SUM(K28:K37)</f>
        <v>11989.390000000001</v>
      </c>
      <c r="L38" s="378"/>
      <c r="M38" s="301"/>
      <c r="N38" s="421"/>
      <c r="O38" s="410"/>
      <c r="P38" s="411"/>
      <c r="Q38" s="383"/>
    </row>
    <row r="39" spans="1:17" ht="13.5" thickBot="1" x14ac:dyDescent="0.25">
      <c r="A39" s="614" t="s">
        <v>0</v>
      </c>
      <c r="B39" s="615" t="s">
        <v>1</v>
      </c>
      <c r="C39" s="939" t="s">
        <v>656</v>
      </c>
      <c r="D39" s="939"/>
      <c r="E39" s="939"/>
      <c r="F39" s="939"/>
      <c r="G39" s="939" t="s">
        <v>34</v>
      </c>
      <c r="H39" s="939"/>
      <c r="I39" s="939"/>
      <c r="J39" s="616"/>
      <c r="K39" s="523"/>
      <c r="L39" s="391"/>
      <c r="M39" s="624"/>
      <c r="N39" s="393"/>
      <c r="O39" s="410"/>
      <c r="P39" s="411"/>
      <c r="Q39" s="383"/>
    </row>
    <row r="40" spans="1:17" ht="15.75" x14ac:dyDescent="0.25">
      <c r="A40" s="525" t="s">
        <v>319</v>
      </c>
      <c r="B40" s="525" t="s">
        <v>320</v>
      </c>
      <c r="C40" s="638" t="s">
        <v>19</v>
      </c>
      <c r="D40" s="625" t="s">
        <v>33</v>
      </c>
      <c r="E40" s="626" t="s">
        <v>35</v>
      </c>
      <c r="F40" s="627" t="s">
        <v>30</v>
      </c>
      <c r="G40" s="628" t="s">
        <v>14</v>
      </c>
      <c r="H40" s="626" t="s">
        <v>35</v>
      </c>
      <c r="I40" s="627" t="s">
        <v>30</v>
      </c>
      <c r="J40" s="620" t="s">
        <v>659</v>
      </c>
      <c r="K40" s="629" t="s">
        <v>38</v>
      </c>
      <c r="L40" s="402"/>
      <c r="M40" s="630"/>
      <c r="N40" s="404"/>
      <c r="O40" s="410"/>
      <c r="P40" s="411"/>
      <c r="Q40" s="383"/>
    </row>
    <row r="41" spans="1:17" x14ac:dyDescent="0.2">
      <c r="A41" s="256" t="s">
        <v>321</v>
      </c>
      <c r="B41" s="256" t="s">
        <v>44</v>
      </c>
      <c r="C41" s="371"/>
      <c r="D41" s="372" t="s">
        <v>21</v>
      </c>
      <c r="E41" s="253">
        <v>0</v>
      </c>
      <c r="F41" s="373">
        <f>C41*E41</f>
        <v>0</v>
      </c>
      <c r="G41" s="529"/>
      <c r="H41" s="375">
        <v>0</v>
      </c>
      <c r="I41" s="373">
        <f>G41*H41</f>
        <v>0</v>
      </c>
      <c r="J41" s="622"/>
      <c r="K41" s="530">
        <f>F41+I41+J41</f>
        <v>0</v>
      </c>
      <c r="L41" s="378"/>
      <c r="M41" s="301"/>
      <c r="N41" s="421"/>
      <c r="O41" s="410"/>
      <c r="P41" s="411"/>
      <c r="Q41" s="383"/>
    </row>
    <row r="42" spans="1:17" x14ac:dyDescent="0.2">
      <c r="A42" s="370"/>
      <c r="B42" s="5"/>
      <c r="C42" s="371"/>
      <c r="D42" s="372" t="s">
        <v>21</v>
      </c>
      <c r="E42" s="253">
        <v>0</v>
      </c>
      <c r="F42" s="373">
        <f>C42*E42</f>
        <v>0</v>
      </c>
      <c r="G42" s="529"/>
      <c r="H42" s="375">
        <v>0</v>
      </c>
      <c r="I42" s="373">
        <f>G42*H42</f>
        <v>0</v>
      </c>
      <c r="J42" s="622"/>
      <c r="K42" s="530">
        <f>F42+I42+J42</f>
        <v>0</v>
      </c>
      <c r="L42" s="378"/>
      <c r="M42" s="301"/>
      <c r="N42" s="421"/>
      <c r="O42" s="410"/>
      <c r="P42" s="411"/>
      <c r="Q42" s="383"/>
    </row>
    <row r="43" spans="1:17" ht="13.5" thickBot="1" x14ac:dyDescent="0.25">
      <c r="A43" s="387"/>
      <c r="B43" s="5"/>
      <c r="C43" s="388"/>
      <c r="D43" s="372"/>
      <c r="E43" s="253"/>
      <c r="F43" s="373"/>
      <c r="G43" s="529"/>
      <c r="H43" s="375"/>
      <c r="I43" s="373"/>
      <c r="J43" s="622"/>
      <c r="K43" s="535"/>
      <c r="L43" s="378"/>
      <c r="M43" s="301"/>
      <c r="N43" s="380"/>
      <c r="O43" s="381"/>
      <c r="P43" s="382"/>
      <c r="Q43" s="383"/>
    </row>
    <row r="44" spans="1:17" ht="13.5" thickTop="1" x14ac:dyDescent="0.2">
      <c r="A44" s="387"/>
      <c r="C44" s="388"/>
      <c r="D44" s="372"/>
      <c r="E44" s="253"/>
      <c r="F44" s="373"/>
      <c r="G44" s="529"/>
      <c r="H44" s="375"/>
      <c r="I44" s="373"/>
      <c r="J44" s="389" t="s">
        <v>30</v>
      </c>
      <c r="K44" s="532">
        <f>SUM(K41:K43)</f>
        <v>0</v>
      </c>
      <c r="M44" s="274"/>
      <c r="N44" s="159"/>
      <c r="O44" s="381"/>
      <c r="P44" s="382"/>
      <c r="Q44" s="383"/>
    </row>
    <row r="45" spans="1:17" ht="13.5" thickBot="1" x14ac:dyDescent="0.25">
      <c r="A45" s="614" t="s">
        <v>0</v>
      </c>
      <c r="B45" s="615" t="s">
        <v>1</v>
      </c>
      <c r="C45" s="939" t="s">
        <v>656</v>
      </c>
      <c r="D45" s="939"/>
      <c r="E45" s="939"/>
      <c r="F45" s="939"/>
      <c r="G45" s="939" t="s">
        <v>34</v>
      </c>
      <c r="H45" s="939"/>
      <c r="I45" s="939"/>
      <c r="J45" s="616"/>
      <c r="K45" s="523"/>
      <c r="L45" s="391"/>
      <c r="M45" s="624"/>
      <c r="N45" s="393"/>
      <c r="O45" s="381"/>
      <c r="P45" s="411"/>
      <c r="Q45" s="383"/>
    </row>
    <row r="46" spans="1:17" ht="16.5" thickBot="1" x14ac:dyDescent="0.3">
      <c r="A46" s="525" t="s">
        <v>322</v>
      </c>
      <c r="B46" s="525" t="s">
        <v>68</v>
      </c>
      <c r="C46" s="638" t="s">
        <v>19</v>
      </c>
      <c r="D46" s="625" t="s">
        <v>33</v>
      </c>
      <c r="E46" s="626" t="s">
        <v>35</v>
      </c>
      <c r="F46" s="627" t="s">
        <v>30</v>
      </c>
      <c r="G46" s="628" t="s">
        <v>14</v>
      </c>
      <c r="H46" s="626" t="s">
        <v>35</v>
      </c>
      <c r="I46" s="627" t="s">
        <v>30</v>
      </c>
      <c r="J46" s="620" t="s">
        <v>659</v>
      </c>
      <c r="K46" s="629" t="s">
        <v>38</v>
      </c>
      <c r="L46" s="402"/>
      <c r="M46" s="632"/>
      <c r="N46" s="409"/>
      <c r="O46" s="381"/>
      <c r="P46" s="382"/>
      <c r="Q46" s="383"/>
    </row>
    <row r="47" spans="1:17" x14ac:dyDescent="0.2">
      <c r="A47" s="405"/>
      <c r="B47" s="406"/>
      <c r="C47" s="371"/>
      <c r="D47" s="372" t="s">
        <v>21</v>
      </c>
      <c r="E47" s="253">
        <v>0</v>
      </c>
      <c r="F47" s="373">
        <f>C47*E47</f>
        <v>0</v>
      </c>
      <c r="G47" s="529"/>
      <c r="H47" s="375">
        <v>0</v>
      </c>
      <c r="I47" s="373">
        <f>G47*H47</f>
        <v>0</v>
      </c>
      <c r="J47" s="622">
        <f>M48</f>
        <v>31062.37</v>
      </c>
      <c r="K47" s="530">
        <f>F47+I47+J47</f>
        <v>31062.37</v>
      </c>
      <c r="L47" s="378" t="s">
        <v>1103</v>
      </c>
      <c r="M47" s="301">
        <v>36900</v>
      </c>
      <c r="N47" s="380"/>
      <c r="O47" s="381"/>
      <c r="P47" s="382"/>
      <c r="Q47" s="383"/>
    </row>
    <row r="48" spans="1:17" x14ac:dyDescent="0.2">
      <c r="A48" s="370"/>
      <c r="B48" s="5"/>
      <c r="C48" s="371"/>
      <c r="D48" s="372" t="s">
        <v>21</v>
      </c>
      <c r="E48" s="253">
        <v>0</v>
      </c>
      <c r="F48" s="373">
        <f>C48*E48</f>
        <v>0</v>
      </c>
      <c r="G48" s="529"/>
      <c r="H48" s="375">
        <v>0</v>
      </c>
      <c r="I48" s="373">
        <f>G48*H48</f>
        <v>0</v>
      </c>
      <c r="J48" s="622"/>
      <c r="K48" s="530">
        <f>F48+I48+J48</f>
        <v>0</v>
      </c>
      <c r="L48" s="875" t="s">
        <v>1104</v>
      </c>
      <c r="M48" s="314">
        <v>31062.37</v>
      </c>
      <c r="O48" s="381"/>
      <c r="P48" s="382"/>
      <c r="Q48" s="383"/>
    </row>
    <row r="49" spans="1:17" x14ac:dyDescent="0.2">
      <c r="A49" s="370"/>
      <c r="B49" s="159"/>
      <c r="C49" s="371"/>
      <c r="D49" s="372" t="s">
        <v>21</v>
      </c>
      <c r="E49" s="253">
        <v>0</v>
      </c>
      <c r="F49" s="373">
        <f>C49*E49</f>
        <v>0</v>
      </c>
      <c r="G49" s="529"/>
      <c r="H49" s="375">
        <v>0</v>
      </c>
      <c r="I49" s="373">
        <f>G49*H49</f>
        <v>0</v>
      </c>
      <c r="J49" s="622"/>
      <c r="K49" s="530">
        <f>F49+I49+J49</f>
        <v>0</v>
      </c>
      <c r="L49" s="159" t="s">
        <v>1080</v>
      </c>
      <c r="M49" s="314">
        <v>57000</v>
      </c>
      <c r="O49" s="381"/>
      <c r="P49" s="382"/>
      <c r="Q49" s="383"/>
    </row>
    <row r="50" spans="1:17" ht="13.5" thickBot="1" x14ac:dyDescent="0.25">
      <c r="A50" s="387"/>
      <c r="B50" s="5"/>
      <c r="C50" s="388"/>
      <c r="D50" s="372"/>
      <c r="E50" s="253"/>
      <c r="F50" s="373"/>
      <c r="G50" s="529"/>
      <c r="H50" s="375"/>
      <c r="I50" s="373"/>
      <c r="J50" s="622"/>
      <c r="K50" s="535"/>
      <c r="L50" s="378" t="s">
        <v>1106</v>
      </c>
      <c r="M50" s="301">
        <v>52685</v>
      </c>
      <c r="N50" s="380"/>
      <c r="O50" s="381"/>
      <c r="P50" s="382"/>
      <c r="Q50" s="383"/>
    </row>
    <row r="51" spans="1:17" ht="13.5" thickTop="1" x14ac:dyDescent="0.2">
      <c r="A51" s="387"/>
      <c r="B51" s="412"/>
      <c r="C51" s="388"/>
      <c r="D51" s="372"/>
      <c r="E51" s="253"/>
      <c r="F51" s="373"/>
      <c r="G51" s="529"/>
      <c r="H51" s="375"/>
      <c r="I51" s="373"/>
      <c r="J51" s="389" t="s">
        <v>30</v>
      </c>
      <c r="K51" s="532">
        <f>SUM(K47:K50)</f>
        <v>31062.37</v>
      </c>
      <c r="L51" s="378"/>
      <c r="M51" s="301"/>
      <c r="N51" s="380"/>
      <c r="O51" s="381"/>
      <c r="P51" s="382"/>
      <c r="Q51" s="383"/>
    </row>
    <row r="52" spans="1:17" ht="13.5" thickBot="1" x14ac:dyDescent="0.25">
      <c r="A52" s="614" t="s">
        <v>0</v>
      </c>
      <c r="B52" s="615" t="s">
        <v>1</v>
      </c>
      <c r="C52" s="939" t="s">
        <v>656</v>
      </c>
      <c r="D52" s="939"/>
      <c r="E52" s="939"/>
      <c r="F52" s="939"/>
      <c r="G52" s="939" t="s">
        <v>34</v>
      </c>
      <c r="H52" s="939"/>
      <c r="I52" s="939"/>
      <c r="J52" s="616"/>
      <c r="K52" s="523"/>
      <c r="L52" s="391"/>
      <c r="M52" s="616"/>
      <c r="N52" s="393"/>
      <c r="O52" s="436"/>
      <c r="P52" s="437"/>
      <c r="Q52" s="383"/>
    </row>
    <row r="53" spans="1:17" ht="16.5" thickBot="1" x14ac:dyDescent="0.3">
      <c r="A53" s="525" t="s">
        <v>323</v>
      </c>
      <c r="B53" s="525" t="s">
        <v>324</v>
      </c>
      <c r="C53" s="638" t="s">
        <v>19</v>
      </c>
      <c r="D53" s="625" t="s">
        <v>33</v>
      </c>
      <c r="E53" s="626" t="s">
        <v>35</v>
      </c>
      <c r="F53" s="627" t="s">
        <v>30</v>
      </c>
      <c r="G53" s="628" t="s">
        <v>14</v>
      </c>
      <c r="H53" s="626" t="s">
        <v>35</v>
      </c>
      <c r="I53" s="627" t="s">
        <v>30</v>
      </c>
      <c r="J53" s="620" t="s">
        <v>659</v>
      </c>
      <c r="K53" s="629" t="s">
        <v>38</v>
      </c>
      <c r="L53" s="402"/>
      <c r="M53" s="632"/>
      <c r="N53" s="404"/>
      <c r="O53" s="436"/>
      <c r="P53" s="437"/>
      <c r="Q53" s="383"/>
    </row>
    <row r="54" spans="1:17" x14ac:dyDescent="0.2">
      <c r="A54" s="405"/>
      <c r="B54" s="406" t="s">
        <v>1090</v>
      </c>
      <c r="C54" s="371"/>
      <c r="D54" s="372" t="s">
        <v>21</v>
      </c>
      <c r="E54" s="253">
        <v>0</v>
      </c>
      <c r="F54" s="373">
        <f>C54*E54</f>
        <v>0</v>
      </c>
      <c r="G54" s="529"/>
      <c r="H54" s="375">
        <v>0</v>
      </c>
      <c r="I54" s="373">
        <f>G54*H54</f>
        <v>0</v>
      </c>
      <c r="J54" s="622">
        <f>M54</f>
        <v>32532</v>
      </c>
      <c r="K54" s="530">
        <f>F54+I54+J54</f>
        <v>32532</v>
      </c>
      <c r="L54" s="872" t="s">
        <v>1066</v>
      </c>
      <c r="M54" s="314">
        <v>32532</v>
      </c>
      <c r="O54" s="410"/>
      <c r="P54" s="411"/>
      <c r="Q54" s="383"/>
    </row>
    <row r="55" spans="1:17" x14ac:dyDescent="0.2">
      <c r="A55" s="370"/>
      <c r="B55" s="5"/>
      <c r="C55" s="371"/>
      <c r="D55" s="372" t="s">
        <v>21</v>
      </c>
      <c r="E55" s="253">
        <v>0</v>
      </c>
      <c r="F55" s="373">
        <f>C55*E55</f>
        <v>0</v>
      </c>
      <c r="G55" s="529"/>
      <c r="H55" s="375">
        <v>0</v>
      </c>
      <c r="I55" s="373">
        <f>G55*H55</f>
        <v>0</v>
      </c>
      <c r="J55" s="622"/>
      <c r="K55" s="530">
        <f>F55+I55+J55</f>
        <v>0</v>
      </c>
      <c r="O55" s="381"/>
      <c r="P55" s="382"/>
      <c r="Q55" s="383"/>
    </row>
    <row r="56" spans="1:17" ht="13.5" thickBot="1" x14ac:dyDescent="0.25">
      <c r="A56" s="387"/>
      <c r="B56" s="412"/>
      <c r="C56" s="371"/>
      <c r="D56" s="372"/>
      <c r="E56" s="253"/>
      <c r="F56" s="373"/>
      <c r="G56" s="529"/>
      <c r="H56" s="375"/>
      <c r="I56" s="373"/>
      <c r="J56" s="622"/>
      <c r="K56" s="530"/>
      <c r="L56" s="378"/>
      <c r="M56" s="623"/>
      <c r="N56" s="380"/>
      <c r="O56" s="381"/>
      <c r="P56" s="382"/>
      <c r="Q56" s="383"/>
    </row>
    <row r="57" spans="1:17" ht="14.25" thickTop="1" thickBot="1" x14ac:dyDescent="0.25">
      <c r="A57" s="470"/>
      <c r="B57" s="156"/>
      <c r="C57" s="471"/>
      <c r="D57" s="472"/>
      <c r="E57" s="633"/>
      <c r="F57" s="474"/>
      <c r="G57" s="634"/>
      <c r="H57" s="633"/>
      <c r="I57" s="474"/>
      <c r="J57" s="476" t="s">
        <v>30</v>
      </c>
      <c r="K57" s="635">
        <f>SUM(K54:K56)</f>
        <v>32532</v>
      </c>
      <c r="L57" s="378"/>
      <c r="M57" s="623"/>
      <c r="N57" s="380"/>
      <c r="O57" s="381"/>
      <c r="P57" s="382"/>
      <c r="Q57" s="383"/>
    </row>
    <row r="58" spans="1:17" ht="13.5" thickBot="1" x14ac:dyDescent="0.25">
      <c r="A58" s="614" t="s">
        <v>0</v>
      </c>
      <c r="B58" s="615" t="s">
        <v>1</v>
      </c>
      <c r="C58" s="939" t="s">
        <v>656</v>
      </c>
      <c r="D58" s="939"/>
      <c r="E58" s="939"/>
      <c r="F58" s="939"/>
      <c r="G58" s="939" t="s">
        <v>34</v>
      </c>
      <c r="H58" s="939"/>
      <c r="I58" s="939"/>
      <c r="J58" s="616"/>
      <c r="K58" s="523"/>
      <c r="L58" s="391"/>
      <c r="M58" s="616"/>
      <c r="N58" s="438"/>
      <c r="O58" s="381"/>
      <c r="P58" s="382"/>
      <c r="Q58" s="383"/>
    </row>
    <row r="59" spans="1:17" ht="15.75" x14ac:dyDescent="0.25">
      <c r="A59" s="525" t="s">
        <v>325</v>
      </c>
      <c r="B59" s="525" t="s">
        <v>326</v>
      </c>
      <c r="C59" s="638" t="s">
        <v>19</v>
      </c>
      <c r="D59" s="625" t="s">
        <v>33</v>
      </c>
      <c r="E59" s="626" t="s">
        <v>35</v>
      </c>
      <c r="F59" s="627" t="s">
        <v>30</v>
      </c>
      <c r="G59" s="628" t="s">
        <v>14</v>
      </c>
      <c r="H59" s="626" t="s">
        <v>35</v>
      </c>
      <c r="I59" s="627" t="s">
        <v>30</v>
      </c>
      <c r="J59" s="620" t="s">
        <v>659</v>
      </c>
      <c r="K59" s="629" t="s">
        <v>38</v>
      </c>
      <c r="L59" s="402"/>
      <c r="M59" s="632"/>
      <c r="N59" s="409"/>
      <c r="O59" s="381"/>
      <c r="P59" s="382"/>
      <c r="Q59" s="383"/>
    </row>
    <row r="60" spans="1:17" ht="15" x14ac:dyDescent="0.2">
      <c r="A60" s="196" t="s">
        <v>327</v>
      </c>
      <c r="B60" s="196" t="s">
        <v>1125</v>
      </c>
      <c r="C60" s="371">
        <v>1</v>
      </c>
      <c r="D60" s="372" t="s">
        <v>21</v>
      </c>
      <c r="E60" s="253">
        <v>2000</v>
      </c>
      <c r="F60" s="373">
        <f>M60</f>
        <v>1340</v>
      </c>
      <c r="G60" s="529">
        <v>5</v>
      </c>
      <c r="H60" s="375">
        <v>60</v>
      </c>
      <c r="I60" s="373">
        <f>G60*H60</f>
        <v>300</v>
      </c>
      <c r="J60" s="622"/>
      <c r="K60" s="530">
        <f>F60+I60+J60</f>
        <v>1640</v>
      </c>
      <c r="L60" s="378" t="s">
        <v>1103</v>
      </c>
      <c r="M60" s="623">
        <v>1340</v>
      </c>
      <c r="N60" s="380"/>
      <c r="O60" s="381"/>
      <c r="P60" s="382"/>
      <c r="Q60" s="383"/>
    </row>
    <row r="61" spans="1:17" x14ac:dyDescent="0.2">
      <c r="A61" s="158" t="s">
        <v>328</v>
      </c>
      <c r="B61" s="159" t="s">
        <v>329</v>
      </c>
      <c r="C61" s="371"/>
      <c r="D61" s="372" t="s">
        <v>21</v>
      </c>
      <c r="E61" s="253">
        <v>0</v>
      </c>
      <c r="F61" s="373">
        <f>C61*E61</f>
        <v>0</v>
      </c>
      <c r="G61" s="529"/>
      <c r="H61" s="375">
        <v>0</v>
      </c>
      <c r="I61" s="373">
        <f>G61*H61</f>
        <v>0</v>
      </c>
      <c r="J61" s="622"/>
      <c r="K61" s="530">
        <f>F61+I61+J61</f>
        <v>0</v>
      </c>
      <c r="L61" s="378"/>
      <c r="M61" s="623"/>
      <c r="N61" s="380"/>
      <c r="O61" s="381"/>
      <c r="P61" s="382"/>
      <c r="Q61" s="383"/>
    </row>
    <row r="62" spans="1:17" ht="15.75" thickBot="1" x14ac:dyDescent="0.25">
      <c r="A62" s="196" t="s">
        <v>330</v>
      </c>
      <c r="B62" s="196" t="s">
        <v>331</v>
      </c>
      <c r="C62" s="371"/>
      <c r="D62" s="372"/>
      <c r="E62" s="253"/>
      <c r="F62" s="373"/>
      <c r="G62" s="529"/>
      <c r="H62" s="375"/>
      <c r="I62" s="373"/>
      <c r="J62" s="622"/>
      <c r="K62" s="530"/>
      <c r="L62" s="378"/>
      <c r="M62" s="623"/>
      <c r="N62" s="380"/>
      <c r="O62" s="381"/>
      <c r="P62" s="382"/>
      <c r="Q62" s="383"/>
    </row>
    <row r="63" spans="1:17" ht="14.25" thickTop="1" thickBot="1" x14ac:dyDescent="0.25">
      <c r="A63" s="470"/>
      <c r="B63" s="156"/>
      <c r="C63" s="471"/>
      <c r="D63" s="472"/>
      <c r="E63" s="633"/>
      <c r="F63" s="474"/>
      <c r="G63" s="634"/>
      <c r="H63" s="633"/>
      <c r="I63" s="474"/>
      <c r="J63" s="476" t="s">
        <v>30</v>
      </c>
      <c r="K63" s="635">
        <f>SUM(K60:K62)</f>
        <v>1640</v>
      </c>
      <c r="O63" s="540"/>
      <c r="P63" s="541"/>
      <c r="Q63" s="383"/>
    </row>
    <row r="64" spans="1:17" ht="13.5" thickBot="1" x14ac:dyDescent="0.25">
      <c r="A64" s="614" t="s">
        <v>0</v>
      </c>
      <c r="B64" s="615" t="s">
        <v>1</v>
      </c>
      <c r="C64" s="939" t="s">
        <v>656</v>
      </c>
      <c r="D64" s="939"/>
      <c r="E64" s="939"/>
      <c r="F64" s="939"/>
      <c r="G64" s="939" t="s">
        <v>34</v>
      </c>
      <c r="H64" s="939"/>
      <c r="I64" s="939"/>
      <c r="J64" s="616"/>
      <c r="K64" s="523"/>
      <c r="L64" s="391"/>
      <c r="M64" s="616"/>
      <c r="N64" s="438"/>
      <c r="O64" s="381"/>
      <c r="P64" s="382"/>
      <c r="Q64" s="383"/>
    </row>
    <row r="65" spans="1:17" ht="13.5" thickBot="1" x14ac:dyDescent="0.25">
      <c r="A65" s="203"/>
      <c r="B65" s="203"/>
      <c r="C65" s="638" t="s">
        <v>19</v>
      </c>
      <c r="D65" s="625" t="s">
        <v>33</v>
      </c>
      <c r="E65" s="626" t="s">
        <v>35</v>
      </c>
      <c r="F65" s="627" t="s">
        <v>30</v>
      </c>
      <c r="G65" s="628" t="s">
        <v>14</v>
      </c>
      <c r="H65" s="626" t="s">
        <v>35</v>
      </c>
      <c r="I65" s="627" t="s">
        <v>30</v>
      </c>
      <c r="J65" s="620" t="s">
        <v>659</v>
      </c>
      <c r="K65" s="629" t="s">
        <v>38</v>
      </c>
      <c r="L65" s="402"/>
      <c r="M65" s="632"/>
      <c r="N65" s="409"/>
      <c r="O65" s="381"/>
      <c r="P65" s="382"/>
      <c r="Q65" s="383"/>
    </row>
    <row r="66" spans="1:17" x14ac:dyDescent="0.2">
      <c r="A66" s="405"/>
      <c r="B66" s="406"/>
      <c r="C66" s="371"/>
      <c r="D66" s="372" t="s">
        <v>21</v>
      </c>
      <c r="E66" s="253">
        <v>0</v>
      </c>
      <c r="F66" s="373">
        <f>C66*E66</f>
        <v>0</v>
      </c>
      <c r="G66" s="529"/>
      <c r="H66" s="375">
        <v>0</v>
      </c>
      <c r="I66" s="373">
        <f>G66*H66</f>
        <v>0</v>
      </c>
      <c r="J66" s="622"/>
      <c r="K66" s="530">
        <f>F66+I66+J66</f>
        <v>0</v>
      </c>
      <c r="M66" s="274"/>
      <c r="N66" s="159"/>
      <c r="O66" s="381"/>
      <c r="P66" s="382"/>
      <c r="Q66" s="383"/>
    </row>
    <row r="67" spans="1:17" x14ac:dyDescent="0.2">
      <c r="A67" s="370"/>
      <c r="B67" s="5"/>
      <c r="C67" s="371"/>
      <c r="D67" s="372" t="s">
        <v>21</v>
      </c>
      <c r="E67" s="253">
        <v>0</v>
      </c>
      <c r="F67" s="373">
        <f>C67*E67</f>
        <v>0</v>
      </c>
      <c r="G67" s="529"/>
      <c r="H67" s="375">
        <v>0</v>
      </c>
      <c r="I67" s="373">
        <f>G67*H67</f>
        <v>0</v>
      </c>
      <c r="J67" s="622"/>
      <c r="K67" s="530">
        <f>F67+I67+J67</f>
        <v>0</v>
      </c>
      <c r="M67" s="274"/>
      <c r="N67" s="159"/>
      <c r="O67" s="381"/>
      <c r="P67" s="382"/>
      <c r="Q67" s="383"/>
    </row>
    <row r="68" spans="1:17" x14ac:dyDescent="0.2">
      <c r="A68" s="370"/>
      <c r="B68" s="5"/>
      <c r="C68" s="371"/>
      <c r="D68" s="372" t="s">
        <v>21</v>
      </c>
      <c r="E68" s="253">
        <v>0</v>
      </c>
      <c r="F68" s="373">
        <f>C68*E68</f>
        <v>0</v>
      </c>
      <c r="G68" s="529"/>
      <c r="H68" s="375">
        <v>0</v>
      </c>
      <c r="I68" s="373">
        <f>G68*H68</f>
        <v>0</v>
      </c>
      <c r="J68" s="622"/>
      <c r="K68" s="530">
        <f>F68+I68+J68</f>
        <v>0</v>
      </c>
      <c r="M68" s="274"/>
      <c r="N68" s="159"/>
      <c r="O68" s="540"/>
      <c r="P68" s="541"/>
      <c r="Q68" s="383"/>
    </row>
    <row r="69" spans="1:17" x14ac:dyDescent="0.2">
      <c r="A69" s="370"/>
      <c r="B69" s="5"/>
      <c r="C69" s="371"/>
      <c r="D69" s="372" t="s">
        <v>21</v>
      </c>
      <c r="E69" s="253">
        <v>0</v>
      </c>
      <c r="F69" s="373">
        <f>C69*E69</f>
        <v>0</v>
      </c>
      <c r="G69" s="529"/>
      <c r="H69" s="375">
        <v>0</v>
      </c>
      <c r="I69" s="373">
        <f>G69*H69</f>
        <v>0</v>
      </c>
      <c r="J69" s="622"/>
      <c r="K69" s="530">
        <f>F69+I69+J69</f>
        <v>0</v>
      </c>
      <c r="M69" s="274"/>
      <c r="N69" s="159"/>
      <c r="O69" s="381"/>
      <c r="P69" s="382"/>
      <c r="Q69" s="383"/>
    </row>
    <row r="70" spans="1:17" ht="13.5" thickBot="1" x14ac:dyDescent="0.25">
      <c r="A70" s="387"/>
      <c r="B70" s="412"/>
      <c r="C70" s="371"/>
      <c r="D70" s="372"/>
      <c r="E70" s="253"/>
      <c r="F70" s="373"/>
      <c r="G70" s="529"/>
      <c r="H70" s="375"/>
      <c r="I70" s="373"/>
      <c r="J70" s="622"/>
      <c r="K70" s="530"/>
      <c r="L70" s="547"/>
      <c r="M70" s="261"/>
      <c r="N70" s="159"/>
      <c r="O70" s="381"/>
      <c r="P70" s="382"/>
      <c r="Q70" s="383"/>
    </row>
    <row r="71" spans="1:17" ht="14.25" thickTop="1" thickBot="1" x14ac:dyDescent="0.25">
      <c r="A71" s="470"/>
      <c r="B71" s="156"/>
      <c r="C71" s="471"/>
      <c r="D71" s="472"/>
      <c r="E71" s="633"/>
      <c r="F71" s="474"/>
      <c r="G71" s="634"/>
      <c r="H71" s="633"/>
      <c r="I71" s="474"/>
      <c r="J71" s="476" t="s">
        <v>30</v>
      </c>
      <c r="K71" s="635">
        <f>SUM(K66:K70)</f>
        <v>0</v>
      </c>
      <c r="L71" s="583"/>
      <c r="M71" s="657"/>
      <c r="N71" s="658"/>
      <c r="O71" s="460"/>
      <c r="P71" s="461"/>
      <c r="Q71" s="462"/>
    </row>
    <row r="72" spans="1:17" ht="14.1" customHeight="1" x14ac:dyDescent="0.25">
      <c r="A72" s="478"/>
      <c r="B72" s="479"/>
      <c r="C72" s="480"/>
      <c r="D72" s="480"/>
      <c r="E72" s="642"/>
      <c r="F72" s="1068" t="s">
        <v>658</v>
      </c>
      <c r="G72" s="992" t="s">
        <v>684</v>
      </c>
      <c r="H72" s="642"/>
      <c r="I72" s="1065" t="s">
        <v>657</v>
      </c>
      <c r="J72" s="958" t="s">
        <v>685</v>
      </c>
      <c r="K72" s="1057" t="s">
        <v>31</v>
      </c>
    </row>
    <row r="73" spans="1:17" ht="15" x14ac:dyDescent="0.25">
      <c r="A73" s="482" t="s">
        <v>32</v>
      </c>
      <c r="B73" s="1067" t="s">
        <v>45</v>
      </c>
      <c r="C73" s="483"/>
      <c r="D73" s="643"/>
      <c r="E73" s="643"/>
      <c r="F73" s="1069"/>
      <c r="G73" s="993"/>
      <c r="H73" s="644"/>
      <c r="I73" s="1066"/>
      <c r="J73" s="959"/>
      <c r="K73" s="1058"/>
    </row>
    <row r="74" spans="1:17" ht="15" x14ac:dyDescent="0.25">
      <c r="A74" s="828">
        <f>K75/E6</f>
        <v>0</v>
      </c>
      <c r="B74" s="1067"/>
      <c r="C74" s="643"/>
      <c r="D74" s="643"/>
      <c r="E74" s="643"/>
      <c r="F74" s="1059">
        <f>SUM(F66:F70,F60:F62,F54:F56,F47:F50,F41:F43,F28:F37,F20:F24,F11:F16)</f>
        <v>13329.390000000001</v>
      </c>
      <c r="G74" s="1061">
        <f>SUM(G66:G70,G60:G62,G54:G56,G47:G50,G41:G43,G28:G37,G20:G24,G11:G16)</f>
        <v>5</v>
      </c>
      <c r="H74" s="644"/>
      <c r="I74" s="1059">
        <f>SUM(I66:I70,I60:I62,I54:I56,I47:I50,I41:I43,I28:I37,I20:I24,I11:I16)</f>
        <v>300</v>
      </c>
      <c r="J74" s="1059">
        <f>SUM(J66:J70,J60:J62,J54:J56,J47:J50,J41:J43,J28:J37,J20:J24,J11:J16)</f>
        <v>74544.37</v>
      </c>
      <c r="K74" s="1063">
        <f>K71+K63+K57+K51+K44+K38+K25+K17</f>
        <v>88173.759999999995</v>
      </c>
    </row>
    <row r="75" spans="1:17" ht="15" thickBot="1" x14ac:dyDescent="0.25">
      <c r="A75" s="482"/>
      <c r="B75" s="550"/>
      <c r="C75" s="488"/>
      <c r="D75" s="488"/>
      <c r="E75" s="488"/>
      <c r="F75" s="1060"/>
      <c r="G75" s="1062"/>
      <c r="H75" s="488"/>
      <c r="I75" s="1060"/>
      <c r="J75" s="1060"/>
      <c r="K75" s="1064"/>
    </row>
    <row r="76" spans="1:17" ht="13.5" thickBot="1" x14ac:dyDescent="0.25">
      <c r="A76" s="489"/>
      <c r="B76" s="490"/>
      <c r="C76" s="490"/>
      <c r="D76" s="490"/>
      <c r="E76" s="490"/>
      <c r="F76" s="490"/>
      <c r="G76" s="490"/>
      <c r="H76" s="490"/>
      <c r="I76" s="490"/>
      <c r="J76" s="490"/>
      <c r="K76" s="491"/>
    </row>
  </sheetData>
  <mergeCells count="52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39:F39"/>
    <mergeCell ref="G39:I39"/>
    <mergeCell ref="C18:F18"/>
    <mergeCell ref="G18:I18"/>
    <mergeCell ref="C26:F26"/>
    <mergeCell ref="G26:I26"/>
    <mergeCell ref="C45:F45"/>
    <mergeCell ref="G45:I45"/>
    <mergeCell ref="C52:F52"/>
    <mergeCell ref="G52:I52"/>
    <mergeCell ref="F74:F75"/>
    <mergeCell ref="G74:G75"/>
    <mergeCell ref="C58:F58"/>
    <mergeCell ref="G58:I58"/>
    <mergeCell ref="C64:F64"/>
    <mergeCell ref="G64:I64"/>
    <mergeCell ref="F72:F73"/>
    <mergeCell ref="G72:G73"/>
    <mergeCell ref="I72:I73"/>
    <mergeCell ref="J72:J73"/>
    <mergeCell ref="K72:K73"/>
    <mergeCell ref="B73:B74"/>
    <mergeCell ref="I74:I75"/>
    <mergeCell ref="J74:J75"/>
    <mergeCell ref="K74:K75"/>
    <mergeCell ref="Q9:Q10"/>
    <mergeCell ref="L9:L10"/>
    <mergeCell ref="M9:M10"/>
    <mergeCell ref="N9:N10"/>
    <mergeCell ref="O9:O10"/>
    <mergeCell ref="P9:P10"/>
  </mergeCells>
  <phoneticPr fontId="5" type="noConversion"/>
  <printOptions horizontalCentered="1"/>
  <pageMargins left="0.7" right="0.7" top="0.75" bottom="0.75" header="0.5" footer="0.5"/>
  <pageSetup scale="60" fitToHeight="2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107"/>
  <sheetViews>
    <sheetView topLeftCell="A16" zoomScale="90" zoomScaleNormal="90" zoomScaleSheetLayoutView="90" zoomScalePageLayoutView="90" workbookViewId="0">
      <selection activeCell="E39" sqref="E39"/>
    </sheetView>
  </sheetViews>
  <sheetFormatPr defaultColWidth="9.140625" defaultRowHeight="12.75" x14ac:dyDescent="0.2"/>
  <cols>
    <col min="1" max="1" width="12.140625" style="157" bestFit="1" customWidth="1"/>
    <col min="2" max="2" width="43.42578125" style="157" customWidth="1"/>
    <col min="3" max="3" width="5" style="440" customWidth="1"/>
    <col min="4" max="4" width="5" style="659" customWidth="1"/>
    <col min="5" max="5" width="10.85546875" style="157" bestFit="1" customWidth="1"/>
    <col min="6" max="6" width="13.7109375" style="157" bestFit="1" customWidth="1"/>
    <col min="7" max="7" width="7" style="157" bestFit="1" customWidth="1"/>
    <col min="8" max="8" width="10.85546875" style="157" bestFit="1" customWidth="1"/>
    <col min="9" max="9" width="14.140625" style="157" bestFit="1" customWidth="1"/>
    <col min="10" max="10" width="16.140625" style="157" bestFit="1" customWidth="1"/>
    <col min="11" max="11" width="14.140625" style="157" bestFit="1" customWidth="1"/>
    <col min="12" max="12" width="17.85546875" style="159" bestFit="1" customWidth="1"/>
    <col min="13" max="13" width="14" style="276" bestFit="1" customWidth="1"/>
    <col min="14" max="14" width="24.85546875" style="157" bestFit="1" customWidth="1"/>
    <col min="15" max="15" width="22" style="302" bestFit="1" customWidth="1"/>
    <col min="16" max="16" width="22.140625" style="302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2"/>
      <c r="B1" s="323"/>
      <c r="C1" s="976">
        <f>'Estimate Summary'!C1:H1</f>
        <v>0</v>
      </c>
      <c r="D1" s="976"/>
      <c r="E1" s="976"/>
      <c r="F1" s="976"/>
      <c r="G1" s="976"/>
      <c r="H1" s="976"/>
      <c r="I1" s="976"/>
      <c r="J1" s="976"/>
      <c r="K1" s="977"/>
    </row>
    <row r="2" spans="1:17" ht="13.5" thickBot="1" x14ac:dyDescent="0.25">
      <c r="A2" s="324"/>
      <c r="B2" s="325"/>
      <c r="C2" s="514"/>
      <c r="D2" s="984"/>
      <c r="E2" s="984"/>
      <c r="F2" s="984"/>
      <c r="G2" s="514"/>
      <c r="H2" s="327"/>
      <c r="I2" s="328"/>
      <c r="J2" s="329"/>
      <c r="K2" s="330"/>
    </row>
    <row r="3" spans="1:17" ht="16.5" thickBot="1" x14ac:dyDescent="0.3">
      <c r="A3" s="973"/>
      <c r="B3" s="974"/>
      <c r="C3" s="514"/>
      <c r="D3" s="984"/>
      <c r="E3" s="984"/>
      <c r="F3" s="984"/>
      <c r="G3" s="515"/>
      <c r="H3" s="332"/>
      <c r="I3" s="333"/>
      <c r="J3" s="333"/>
      <c r="K3" s="334"/>
      <c r="L3" s="1002"/>
      <c r="M3" s="1003"/>
      <c r="N3" s="985"/>
      <c r="O3" s="985"/>
      <c r="P3" s="935"/>
    </row>
    <row r="4" spans="1:17" ht="18.75" thickBot="1" x14ac:dyDescent="0.25">
      <c r="A4" s="973"/>
      <c r="B4" s="974"/>
      <c r="C4" s="514"/>
      <c r="D4" s="984"/>
      <c r="E4" s="984"/>
      <c r="F4" s="984"/>
      <c r="G4" s="336"/>
      <c r="H4" s="336"/>
      <c r="I4" s="328"/>
      <c r="J4" s="329"/>
      <c r="K4" s="330"/>
      <c r="L4" s="1002"/>
      <c r="M4" s="1003"/>
      <c r="N4" s="985"/>
      <c r="O4" s="985"/>
      <c r="P4" s="935"/>
    </row>
    <row r="5" spans="1:17" ht="21" thickBot="1" x14ac:dyDescent="0.3">
      <c r="A5" s="337"/>
      <c r="B5" s="338"/>
      <c r="C5" s="516"/>
      <c r="D5" s="340"/>
      <c r="E5" s="341"/>
      <c r="F5" s="336"/>
      <c r="G5" s="983" t="s">
        <v>71</v>
      </c>
      <c r="H5" s="983"/>
      <c r="I5" s="983"/>
      <c r="J5" s="981" t="s">
        <v>73</v>
      </c>
      <c r="K5" s="982"/>
      <c r="L5" s="1002"/>
      <c r="M5" s="1003"/>
      <c r="N5" s="985"/>
      <c r="O5" s="985"/>
      <c r="P5" s="935"/>
    </row>
    <row r="6" spans="1:17" ht="21" thickBot="1" x14ac:dyDescent="0.25">
      <c r="A6" s="337"/>
      <c r="B6" s="338"/>
      <c r="C6" s="517"/>
      <c r="D6" s="343" t="str">
        <f>'Estimate Summary'!C11</f>
        <v>Area:</v>
      </c>
      <c r="E6" s="344">
        <f>'Estimate Summary'!D11</f>
        <v>65592</v>
      </c>
      <c r="F6" s="238" t="str">
        <f>'Estimate Summary'!E11</f>
        <v>Sq. Ft.</v>
      </c>
      <c r="G6" s="983"/>
      <c r="H6" s="983"/>
      <c r="I6" s="983"/>
      <c r="J6" s="345">
        <f>'1'!J6</f>
        <v>60</v>
      </c>
      <c r="K6" s="330" t="s">
        <v>74</v>
      </c>
      <c r="L6" s="1002"/>
      <c r="M6" s="1003"/>
      <c r="N6" s="985"/>
      <c r="O6" s="985"/>
      <c r="P6" s="935"/>
    </row>
    <row r="7" spans="1:17" x14ac:dyDescent="0.2">
      <c r="A7" s="978"/>
      <c r="B7" s="979"/>
      <c r="C7" s="979"/>
      <c r="D7" s="979"/>
      <c r="E7" s="979"/>
      <c r="F7" s="979"/>
      <c r="G7" s="979"/>
      <c r="H7" s="979"/>
      <c r="I7" s="979"/>
      <c r="J7" s="979"/>
      <c r="K7" s="980"/>
    </row>
    <row r="8" spans="1:17" ht="13.5" thickBot="1" x14ac:dyDescent="0.25">
      <c r="A8" s="346"/>
      <c r="B8" s="347"/>
      <c r="C8" s="972"/>
      <c r="D8" s="972"/>
      <c r="E8" s="972"/>
      <c r="F8" s="972"/>
      <c r="G8" s="971"/>
      <c r="H8" s="971"/>
      <c r="I8" s="971"/>
      <c r="J8" s="348"/>
      <c r="K8" s="349"/>
      <c r="L8" s="518"/>
      <c r="M8" s="519"/>
      <c r="N8" s="518"/>
      <c r="O8" s="520"/>
      <c r="P8" s="520"/>
    </row>
    <row r="9" spans="1:17" ht="15" customHeight="1" thickTop="1" thickBot="1" x14ac:dyDescent="0.25">
      <c r="A9" s="353" t="s">
        <v>0</v>
      </c>
      <c r="B9" s="354" t="s">
        <v>1</v>
      </c>
      <c r="C9" s="939" t="s">
        <v>656</v>
      </c>
      <c r="D9" s="939"/>
      <c r="E9" s="939"/>
      <c r="F9" s="939"/>
      <c r="G9" s="939" t="s">
        <v>34</v>
      </c>
      <c r="H9" s="939"/>
      <c r="I9" s="939"/>
      <c r="J9" s="355"/>
      <c r="K9" s="523"/>
      <c r="L9" s="942" t="s">
        <v>783</v>
      </c>
      <c r="M9" s="944" t="s">
        <v>784</v>
      </c>
      <c r="N9" s="946" t="s">
        <v>785</v>
      </c>
      <c r="O9" s="948"/>
      <c r="P9" s="950"/>
      <c r="Q9" s="940"/>
    </row>
    <row r="10" spans="1:17" ht="15.75" x14ac:dyDescent="0.25">
      <c r="A10" s="525" t="s">
        <v>333</v>
      </c>
      <c r="B10" s="525" t="s">
        <v>334</v>
      </c>
      <c r="C10" s="359" t="s">
        <v>19</v>
      </c>
      <c r="D10" s="360" t="s">
        <v>33</v>
      </c>
      <c r="E10" s="361" t="s">
        <v>35</v>
      </c>
      <c r="F10" s="362" t="s">
        <v>30</v>
      </c>
      <c r="G10" s="526" t="s">
        <v>14</v>
      </c>
      <c r="H10" s="361" t="s">
        <v>35</v>
      </c>
      <c r="I10" s="362" t="s">
        <v>30</v>
      </c>
      <c r="J10" s="364" t="s">
        <v>659</v>
      </c>
      <c r="K10" s="527" t="s">
        <v>38</v>
      </c>
      <c r="L10" s="943"/>
      <c r="M10" s="945"/>
      <c r="N10" s="947"/>
      <c r="O10" s="949"/>
      <c r="P10" s="951"/>
      <c r="Q10" s="941"/>
    </row>
    <row r="11" spans="1:17" x14ac:dyDescent="0.2">
      <c r="A11" s="370"/>
      <c r="B11" s="5"/>
      <c r="C11" s="371"/>
      <c r="D11" s="372" t="s">
        <v>21</v>
      </c>
      <c r="E11" s="253">
        <v>0</v>
      </c>
      <c r="F11" s="373">
        <f t="shared" ref="F11:F22" si="0">C11*E11</f>
        <v>0</v>
      </c>
      <c r="G11" s="529"/>
      <c r="H11" s="375">
        <v>0</v>
      </c>
      <c r="I11" s="373">
        <f t="shared" ref="I11:I22" si="1">G11*H11</f>
        <v>0</v>
      </c>
      <c r="J11" s="376"/>
      <c r="K11" s="530">
        <f t="shared" ref="K11:K22" si="2">F11+I11+J11</f>
        <v>0</v>
      </c>
      <c r="L11" s="378"/>
      <c r="M11" s="379"/>
      <c r="N11" s="380"/>
      <c r="O11" s="381"/>
      <c r="P11" s="382"/>
      <c r="Q11" s="383"/>
    </row>
    <row r="12" spans="1:17" x14ac:dyDescent="0.2">
      <c r="A12" s="370"/>
      <c r="B12" s="5"/>
      <c r="C12" s="371"/>
      <c r="D12" s="372" t="s">
        <v>21</v>
      </c>
      <c r="E12" s="253">
        <v>0</v>
      </c>
      <c r="F12" s="373">
        <f t="shared" si="0"/>
        <v>0</v>
      </c>
      <c r="G12" s="529"/>
      <c r="H12" s="375">
        <v>0</v>
      </c>
      <c r="I12" s="373">
        <f t="shared" si="1"/>
        <v>0</v>
      </c>
      <c r="J12" s="376"/>
      <c r="K12" s="530">
        <f t="shared" si="2"/>
        <v>0</v>
      </c>
      <c r="L12" s="378"/>
      <c r="M12" s="379"/>
      <c r="N12" s="380"/>
      <c r="O12" s="381"/>
      <c r="P12" s="382"/>
      <c r="Q12" s="383"/>
    </row>
    <row r="13" spans="1:17" x14ac:dyDescent="0.2">
      <c r="A13" s="370"/>
      <c r="B13" s="5"/>
      <c r="C13" s="371"/>
      <c r="D13" s="372" t="s">
        <v>21</v>
      </c>
      <c r="E13" s="253">
        <v>0</v>
      </c>
      <c r="F13" s="373">
        <f t="shared" si="0"/>
        <v>0</v>
      </c>
      <c r="G13" s="529"/>
      <c r="H13" s="375">
        <v>0</v>
      </c>
      <c r="I13" s="373">
        <f t="shared" si="1"/>
        <v>0</v>
      </c>
      <c r="J13" s="376"/>
      <c r="K13" s="530">
        <f t="shared" si="2"/>
        <v>0</v>
      </c>
      <c r="L13" s="378"/>
      <c r="M13" s="379"/>
      <c r="N13" s="380"/>
      <c r="O13" s="381"/>
      <c r="P13" s="382"/>
      <c r="Q13" s="383"/>
    </row>
    <row r="14" spans="1:17" x14ac:dyDescent="0.2">
      <c r="A14" s="370"/>
      <c r="B14" s="5"/>
      <c r="C14" s="371"/>
      <c r="D14" s="372" t="s">
        <v>21</v>
      </c>
      <c r="E14" s="253">
        <v>0</v>
      </c>
      <c r="F14" s="373">
        <f t="shared" si="0"/>
        <v>0</v>
      </c>
      <c r="G14" s="529"/>
      <c r="H14" s="375">
        <v>0</v>
      </c>
      <c r="I14" s="373">
        <f t="shared" si="1"/>
        <v>0</v>
      </c>
      <c r="J14" s="376"/>
      <c r="K14" s="530">
        <f t="shared" si="2"/>
        <v>0</v>
      </c>
      <c r="L14" s="378"/>
      <c r="M14" s="379"/>
      <c r="N14" s="380"/>
      <c r="O14" s="381"/>
      <c r="P14" s="382"/>
      <c r="Q14" s="383"/>
    </row>
    <row r="15" spans="1:17" x14ac:dyDescent="0.2">
      <c r="A15" s="370"/>
      <c r="B15" s="6"/>
      <c r="C15" s="371"/>
      <c r="D15" s="372" t="s">
        <v>21</v>
      </c>
      <c r="E15" s="253">
        <v>0</v>
      </c>
      <c r="F15" s="373">
        <f t="shared" si="0"/>
        <v>0</v>
      </c>
      <c r="G15" s="529"/>
      <c r="H15" s="375">
        <v>0</v>
      </c>
      <c r="I15" s="373">
        <f t="shared" si="1"/>
        <v>0</v>
      </c>
      <c r="J15" s="376"/>
      <c r="K15" s="530">
        <f t="shared" si="2"/>
        <v>0</v>
      </c>
      <c r="L15" s="378"/>
      <c r="M15" s="379"/>
      <c r="N15" s="380"/>
      <c r="O15" s="381"/>
      <c r="P15" s="382"/>
      <c r="Q15" s="383"/>
    </row>
    <row r="16" spans="1:17" x14ac:dyDescent="0.2">
      <c r="A16" s="384"/>
      <c r="B16" s="5"/>
      <c r="C16" s="371"/>
      <c r="D16" s="372" t="s">
        <v>21</v>
      </c>
      <c r="E16" s="253">
        <v>0</v>
      </c>
      <c r="F16" s="373">
        <f t="shared" si="0"/>
        <v>0</v>
      </c>
      <c r="G16" s="529"/>
      <c r="H16" s="375">
        <v>0</v>
      </c>
      <c r="I16" s="373">
        <f t="shared" si="1"/>
        <v>0</v>
      </c>
      <c r="J16" s="376"/>
      <c r="K16" s="530">
        <f t="shared" si="2"/>
        <v>0</v>
      </c>
      <c r="L16" s="378"/>
      <c r="M16" s="379"/>
      <c r="N16" s="380"/>
      <c r="O16" s="381"/>
      <c r="P16" s="382"/>
      <c r="Q16" s="383"/>
    </row>
    <row r="17" spans="1:17" x14ac:dyDescent="0.2">
      <c r="A17" s="384"/>
      <c r="B17" s="5"/>
      <c r="C17" s="371"/>
      <c r="D17" s="372" t="s">
        <v>21</v>
      </c>
      <c r="E17" s="253">
        <v>0</v>
      </c>
      <c r="F17" s="373">
        <f t="shared" si="0"/>
        <v>0</v>
      </c>
      <c r="G17" s="529"/>
      <c r="H17" s="375">
        <v>0</v>
      </c>
      <c r="I17" s="373">
        <f t="shared" si="1"/>
        <v>0</v>
      </c>
      <c r="J17" s="376"/>
      <c r="K17" s="530">
        <f t="shared" si="2"/>
        <v>0</v>
      </c>
      <c r="L17" s="157"/>
      <c r="M17" s="469"/>
      <c r="O17" s="381"/>
      <c r="P17" s="382"/>
      <c r="Q17" s="383"/>
    </row>
    <row r="18" spans="1:17" x14ac:dyDescent="0.2">
      <c r="A18" s="384"/>
      <c r="B18" s="5"/>
      <c r="C18" s="371"/>
      <c r="D18" s="372" t="s">
        <v>21</v>
      </c>
      <c r="E18" s="253">
        <v>0</v>
      </c>
      <c r="F18" s="373">
        <f t="shared" si="0"/>
        <v>0</v>
      </c>
      <c r="G18" s="529"/>
      <c r="H18" s="375">
        <v>0</v>
      </c>
      <c r="I18" s="373">
        <f t="shared" si="1"/>
        <v>0</v>
      </c>
      <c r="J18" s="376"/>
      <c r="K18" s="530">
        <f t="shared" si="2"/>
        <v>0</v>
      </c>
      <c r="L18" s="157"/>
      <c r="M18" s="469"/>
      <c r="O18" s="381"/>
      <c r="P18" s="382"/>
      <c r="Q18" s="383"/>
    </row>
    <row r="19" spans="1:17" x14ac:dyDescent="0.2">
      <c r="A19" s="384"/>
      <c r="B19" s="5"/>
      <c r="C19" s="371"/>
      <c r="D19" s="372" t="s">
        <v>21</v>
      </c>
      <c r="E19" s="253">
        <v>0</v>
      </c>
      <c r="F19" s="373">
        <f t="shared" si="0"/>
        <v>0</v>
      </c>
      <c r="G19" s="529"/>
      <c r="H19" s="375">
        <v>0</v>
      </c>
      <c r="I19" s="373">
        <f t="shared" si="1"/>
        <v>0</v>
      </c>
      <c r="J19" s="376"/>
      <c r="K19" s="530">
        <f t="shared" si="2"/>
        <v>0</v>
      </c>
      <c r="L19" s="157"/>
      <c r="M19" s="469"/>
      <c r="O19" s="381"/>
      <c r="P19" s="382"/>
      <c r="Q19" s="383"/>
    </row>
    <row r="20" spans="1:17" x14ac:dyDescent="0.2">
      <c r="A20" s="384"/>
      <c r="B20" s="5"/>
      <c r="C20" s="371"/>
      <c r="D20" s="372" t="s">
        <v>21</v>
      </c>
      <c r="E20" s="253">
        <v>0</v>
      </c>
      <c r="F20" s="373">
        <f t="shared" si="0"/>
        <v>0</v>
      </c>
      <c r="G20" s="529"/>
      <c r="H20" s="375">
        <v>0</v>
      </c>
      <c r="I20" s="373">
        <f t="shared" si="1"/>
        <v>0</v>
      </c>
      <c r="J20" s="376"/>
      <c r="K20" s="530">
        <f t="shared" si="2"/>
        <v>0</v>
      </c>
      <c r="L20" s="157"/>
      <c r="M20" s="469"/>
      <c r="O20" s="381"/>
      <c r="P20" s="382"/>
      <c r="Q20" s="383"/>
    </row>
    <row r="21" spans="1:17" x14ac:dyDescent="0.2">
      <c r="A21" s="384"/>
      <c r="B21" s="5"/>
      <c r="C21" s="371"/>
      <c r="D21" s="372" t="s">
        <v>21</v>
      </c>
      <c r="E21" s="253">
        <v>0</v>
      </c>
      <c r="F21" s="373">
        <f t="shared" si="0"/>
        <v>0</v>
      </c>
      <c r="G21" s="529"/>
      <c r="H21" s="375">
        <v>0</v>
      </c>
      <c r="I21" s="373">
        <f t="shared" si="1"/>
        <v>0</v>
      </c>
      <c r="J21" s="376"/>
      <c r="K21" s="530">
        <f t="shared" si="2"/>
        <v>0</v>
      </c>
      <c r="L21" s="157"/>
      <c r="M21" s="469"/>
      <c r="O21" s="381"/>
      <c r="P21" s="382"/>
      <c r="Q21" s="383"/>
    </row>
    <row r="22" spans="1:17" x14ac:dyDescent="0.2">
      <c r="A22" s="384"/>
      <c r="B22" s="5"/>
      <c r="C22" s="371"/>
      <c r="D22" s="372" t="s">
        <v>21</v>
      </c>
      <c r="E22" s="253">
        <v>0</v>
      </c>
      <c r="F22" s="373">
        <f t="shared" si="0"/>
        <v>0</v>
      </c>
      <c r="G22" s="529"/>
      <c r="H22" s="375">
        <v>0</v>
      </c>
      <c r="I22" s="373">
        <f t="shared" si="1"/>
        <v>0</v>
      </c>
      <c r="J22" s="376"/>
      <c r="K22" s="530">
        <f t="shared" si="2"/>
        <v>0</v>
      </c>
      <c r="L22" s="157"/>
      <c r="M22" s="469"/>
      <c r="O22" s="381"/>
      <c r="P22" s="382"/>
      <c r="Q22" s="383"/>
    </row>
    <row r="23" spans="1:17" ht="13.5" thickBot="1" x14ac:dyDescent="0.25">
      <c r="A23" s="387"/>
      <c r="B23" s="7"/>
      <c r="C23" s="388"/>
      <c r="D23" s="372"/>
      <c r="E23" s="253"/>
      <c r="F23" s="373"/>
      <c r="G23" s="529"/>
      <c r="H23" s="375"/>
      <c r="I23" s="373"/>
      <c r="J23" s="376"/>
      <c r="K23" s="530"/>
      <c r="L23" s="157"/>
      <c r="M23" s="469"/>
      <c r="O23" s="381"/>
      <c r="P23" s="382"/>
      <c r="Q23" s="383"/>
    </row>
    <row r="24" spans="1:17" ht="13.5" thickTop="1" x14ac:dyDescent="0.2">
      <c r="A24" s="387"/>
      <c r="B24" s="7"/>
      <c r="C24" s="388"/>
      <c r="D24" s="372"/>
      <c r="E24" s="253"/>
      <c r="F24" s="373"/>
      <c r="G24" s="529"/>
      <c r="H24" s="375"/>
      <c r="I24" s="373"/>
      <c r="J24" s="389" t="s">
        <v>30</v>
      </c>
      <c r="K24" s="532">
        <f>SUM(K11:K23)</f>
        <v>0</v>
      </c>
      <c r="L24" s="157"/>
      <c r="M24" s="469"/>
      <c r="O24" s="381"/>
      <c r="P24" s="382"/>
      <c r="Q24" s="383"/>
    </row>
    <row r="25" spans="1:17" ht="13.5" thickBot="1" x14ac:dyDescent="0.25">
      <c r="A25" s="353" t="s">
        <v>0</v>
      </c>
      <c r="B25" s="354" t="s">
        <v>1</v>
      </c>
      <c r="C25" s="939" t="s">
        <v>656</v>
      </c>
      <c r="D25" s="939"/>
      <c r="E25" s="939"/>
      <c r="F25" s="939"/>
      <c r="G25" s="939" t="s">
        <v>34</v>
      </c>
      <c r="H25" s="939"/>
      <c r="I25" s="939"/>
      <c r="J25" s="355"/>
      <c r="K25" s="523"/>
      <c r="L25" s="391"/>
      <c r="M25" s="392"/>
      <c r="N25" s="393"/>
      <c r="O25" s="381"/>
      <c r="P25" s="382"/>
      <c r="Q25" s="383"/>
    </row>
    <row r="26" spans="1:17" ht="16.5" thickBot="1" x14ac:dyDescent="0.3">
      <c r="A26" s="525" t="s">
        <v>335</v>
      </c>
      <c r="B26" s="525" t="s">
        <v>336</v>
      </c>
      <c r="C26" s="396" t="s">
        <v>19</v>
      </c>
      <c r="D26" s="397" t="s">
        <v>33</v>
      </c>
      <c r="E26" s="398" t="s">
        <v>35</v>
      </c>
      <c r="F26" s="399" t="s">
        <v>30</v>
      </c>
      <c r="G26" s="533" t="s">
        <v>14</v>
      </c>
      <c r="H26" s="398" t="s">
        <v>35</v>
      </c>
      <c r="I26" s="399" t="s">
        <v>30</v>
      </c>
      <c r="J26" s="364" t="s">
        <v>659</v>
      </c>
      <c r="K26" s="534" t="s">
        <v>38</v>
      </c>
      <c r="L26" s="402"/>
      <c r="M26" s="403"/>
      <c r="N26" s="404"/>
      <c r="O26" s="381"/>
      <c r="P26" s="382"/>
      <c r="Q26" s="383"/>
    </row>
    <row r="27" spans="1:17" x14ac:dyDescent="0.2">
      <c r="A27" s="405"/>
      <c r="B27" s="406"/>
      <c r="C27" s="371"/>
      <c r="D27" s="372" t="s">
        <v>21</v>
      </c>
      <c r="E27" s="253">
        <v>0</v>
      </c>
      <c r="F27" s="373">
        <f t="shared" ref="F27:F33" si="3">C27*E27</f>
        <v>0</v>
      </c>
      <c r="G27" s="529"/>
      <c r="H27" s="375">
        <v>0</v>
      </c>
      <c r="I27" s="373">
        <f t="shared" ref="I27:I33" si="4">G27*H27</f>
        <v>0</v>
      </c>
      <c r="J27" s="376"/>
      <c r="K27" s="530">
        <f t="shared" ref="K27:K33" si="5">F27+I27+J27</f>
        <v>0</v>
      </c>
      <c r="L27" s="157"/>
      <c r="M27" s="469"/>
      <c r="O27" s="381"/>
      <c r="P27" s="382"/>
      <c r="Q27" s="383"/>
    </row>
    <row r="28" spans="1:17" x14ac:dyDescent="0.2">
      <c r="A28" s="370"/>
      <c r="B28" s="5"/>
      <c r="C28" s="371"/>
      <c r="D28" s="372" t="s">
        <v>21</v>
      </c>
      <c r="E28" s="253">
        <v>0</v>
      </c>
      <c r="F28" s="373">
        <f t="shared" si="3"/>
        <v>0</v>
      </c>
      <c r="G28" s="529"/>
      <c r="H28" s="375">
        <v>0</v>
      </c>
      <c r="I28" s="373">
        <f t="shared" si="4"/>
        <v>0</v>
      </c>
      <c r="J28" s="376"/>
      <c r="K28" s="530">
        <f t="shared" si="5"/>
        <v>0</v>
      </c>
      <c r="O28" s="381"/>
      <c r="P28" s="382"/>
      <c r="Q28" s="383"/>
    </row>
    <row r="29" spans="1:17" x14ac:dyDescent="0.2">
      <c r="A29" s="370"/>
      <c r="B29" s="5"/>
      <c r="C29" s="371"/>
      <c r="D29" s="372" t="s">
        <v>21</v>
      </c>
      <c r="E29" s="253">
        <v>0</v>
      </c>
      <c r="F29" s="373">
        <f t="shared" si="3"/>
        <v>0</v>
      </c>
      <c r="G29" s="529"/>
      <c r="H29" s="375">
        <v>0</v>
      </c>
      <c r="I29" s="373">
        <f t="shared" si="4"/>
        <v>0</v>
      </c>
      <c r="J29" s="376"/>
      <c r="K29" s="530">
        <f t="shared" si="5"/>
        <v>0</v>
      </c>
      <c r="L29" s="378"/>
      <c r="M29" s="379"/>
      <c r="N29" s="380"/>
      <c r="O29" s="381"/>
      <c r="P29" s="382"/>
      <c r="Q29" s="383"/>
    </row>
    <row r="30" spans="1:17" x14ac:dyDescent="0.2">
      <c r="A30" s="370"/>
      <c r="B30" s="5"/>
      <c r="C30" s="371"/>
      <c r="D30" s="372" t="s">
        <v>21</v>
      </c>
      <c r="E30" s="253">
        <v>0</v>
      </c>
      <c r="F30" s="373">
        <f t="shared" si="3"/>
        <v>0</v>
      </c>
      <c r="G30" s="529"/>
      <c r="H30" s="375">
        <v>0</v>
      </c>
      <c r="I30" s="373">
        <f t="shared" si="4"/>
        <v>0</v>
      </c>
      <c r="J30" s="376"/>
      <c r="K30" s="530">
        <f t="shared" si="5"/>
        <v>0</v>
      </c>
      <c r="L30" s="378"/>
      <c r="M30" s="379"/>
      <c r="N30" s="380"/>
      <c r="O30" s="381"/>
      <c r="P30" s="382"/>
      <c r="Q30" s="383"/>
    </row>
    <row r="31" spans="1:17" x14ac:dyDescent="0.2">
      <c r="A31" s="370"/>
      <c r="B31" s="5"/>
      <c r="C31" s="371"/>
      <c r="D31" s="372" t="s">
        <v>21</v>
      </c>
      <c r="E31" s="253">
        <v>0</v>
      </c>
      <c r="F31" s="373">
        <f t="shared" si="3"/>
        <v>0</v>
      </c>
      <c r="G31" s="529"/>
      <c r="H31" s="375">
        <v>0</v>
      </c>
      <c r="I31" s="373">
        <f t="shared" si="4"/>
        <v>0</v>
      </c>
      <c r="J31" s="376"/>
      <c r="K31" s="530">
        <f t="shared" si="5"/>
        <v>0</v>
      </c>
      <c r="L31" s="536"/>
      <c r="M31" s="574"/>
      <c r="N31" s="537"/>
      <c r="O31" s="381"/>
      <c r="P31" s="382"/>
      <c r="Q31" s="383"/>
    </row>
    <row r="32" spans="1:17" x14ac:dyDescent="0.2">
      <c r="A32" s="370"/>
      <c r="B32" s="5"/>
      <c r="C32" s="371"/>
      <c r="D32" s="372" t="s">
        <v>21</v>
      </c>
      <c r="E32" s="253">
        <v>0</v>
      </c>
      <c r="F32" s="373">
        <f t="shared" si="3"/>
        <v>0</v>
      </c>
      <c r="G32" s="529"/>
      <c r="H32" s="375">
        <v>0</v>
      </c>
      <c r="I32" s="373">
        <f t="shared" si="4"/>
        <v>0</v>
      </c>
      <c r="J32" s="376"/>
      <c r="K32" s="530">
        <f t="shared" si="5"/>
        <v>0</v>
      </c>
      <c r="L32" s="538"/>
      <c r="M32" s="255"/>
      <c r="N32" s="421"/>
      <c r="O32" s="381"/>
      <c r="P32" s="382"/>
      <c r="Q32" s="383"/>
    </row>
    <row r="33" spans="1:17" x14ac:dyDescent="0.2">
      <c r="A33" s="370"/>
      <c r="B33" s="5"/>
      <c r="C33" s="371"/>
      <c r="D33" s="372" t="s">
        <v>21</v>
      </c>
      <c r="E33" s="253">
        <v>0</v>
      </c>
      <c r="F33" s="373">
        <f t="shared" si="3"/>
        <v>0</v>
      </c>
      <c r="G33" s="529"/>
      <c r="H33" s="375">
        <v>0</v>
      </c>
      <c r="I33" s="373">
        <f t="shared" si="4"/>
        <v>0</v>
      </c>
      <c r="J33" s="376"/>
      <c r="K33" s="530">
        <f t="shared" si="5"/>
        <v>0</v>
      </c>
      <c r="L33" s="157"/>
      <c r="M33" s="469"/>
      <c r="O33" s="381"/>
      <c r="P33" s="382"/>
      <c r="Q33" s="383"/>
    </row>
    <row r="34" spans="1:17" ht="13.5" thickBot="1" x14ac:dyDescent="0.25">
      <c r="A34" s="370"/>
      <c r="B34" s="5"/>
      <c r="C34" s="388"/>
      <c r="D34" s="372"/>
      <c r="E34" s="253"/>
      <c r="F34" s="373"/>
      <c r="G34" s="529"/>
      <c r="H34" s="375"/>
      <c r="I34" s="373"/>
      <c r="J34" s="376"/>
      <c r="K34" s="535"/>
      <c r="L34" s="157"/>
      <c r="M34" s="469"/>
      <c r="O34" s="381"/>
      <c r="P34" s="382"/>
      <c r="Q34" s="383"/>
    </row>
    <row r="35" spans="1:17" ht="13.5" thickTop="1" x14ac:dyDescent="0.2">
      <c r="A35" s="387"/>
      <c r="B35" s="5"/>
      <c r="C35" s="388"/>
      <c r="D35" s="372"/>
      <c r="E35" s="253"/>
      <c r="F35" s="373"/>
      <c r="G35" s="529"/>
      <c r="H35" s="375"/>
      <c r="I35" s="373"/>
      <c r="J35" s="389" t="s">
        <v>30</v>
      </c>
      <c r="K35" s="532">
        <f>SUM(K27:K34)</f>
        <v>0</v>
      </c>
      <c r="L35" s="378"/>
      <c r="M35" s="379"/>
      <c r="N35" s="380"/>
      <c r="O35" s="381"/>
      <c r="P35" s="382"/>
      <c r="Q35" s="383"/>
    </row>
    <row r="36" spans="1:17" ht="13.5" thickBot="1" x14ac:dyDescent="0.25">
      <c r="A36" s="353" t="s">
        <v>0</v>
      </c>
      <c r="B36" s="354" t="s">
        <v>1</v>
      </c>
      <c r="C36" s="939" t="s">
        <v>656</v>
      </c>
      <c r="D36" s="939"/>
      <c r="E36" s="939"/>
      <c r="F36" s="939"/>
      <c r="G36" s="939" t="s">
        <v>34</v>
      </c>
      <c r="H36" s="939"/>
      <c r="I36" s="939"/>
      <c r="J36" s="355"/>
      <c r="K36" s="523"/>
      <c r="L36" s="391"/>
      <c r="M36" s="392"/>
      <c r="N36" s="393"/>
      <c r="O36" s="381"/>
      <c r="P36" s="382"/>
      <c r="Q36" s="383"/>
    </row>
    <row r="37" spans="1:17" ht="15.75" x14ac:dyDescent="0.25">
      <c r="A37" s="525" t="s">
        <v>337</v>
      </c>
      <c r="B37" s="525" t="s">
        <v>338</v>
      </c>
      <c r="C37" s="396" t="s">
        <v>19</v>
      </c>
      <c r="D37" s="397" t="s">
        <v>33</v>
      </c>
      <c r="E37" s="398" t="s">
        <v>35</v>
      </c>
      <c r="F37" s="399" t="s">
        <v>30</v>
      </c>
      <c r="G37" s="533" t="s">
        <v>14</v>
      </c>
      <c r="H37" s="398" t="s">
        <v>35</v>
      </c>
      <c r="I37" s="399" t="s">
        <v>30</v>
      </c>
      <c r="J37" s="364" t="s">
        <v>659</v>
      </c>
      <c r="K37" s="534" t="s">
        <v>38</v>
      </c>
      <c r="L37" s="402"/>
      <c r="M37" s="408"/>
      <c r="N37" s="409"/>
      <c r="O37" s="410" t="s">
        <v>1044</v>
      </c>
      <c r="P37" s="411"/>
      <c r="Q37" s="383"/>
    </row>
    <row r="38" spans="1:17" x14ac:dyDescent="0.2">
      <c r="A38" s="256" t="s">
        <v>339</v>
      </c>
      <c r="B38" s="256" t="s">
        <v>340</v>
      </c>
      <c r="C38" s="371">
        <v>59</v>
      </c>
      <c r="D38" s="372" t="s">
        <v>33</v>
      </c>
      <c r="E38" s="253">
        <v>3400</v>
      </c>
      <c r="F38" s="373">
        <f>C38*E38</f>
        <v>200600</v>
      </c>
      <c r="G38" s="529"/>
      <c r="H38" s="375">
        <v>0</v>
      </c>
      <c r="I38" s="373">
        <f>G38*H38</f>
        <v>0</v>
      </c>
      <c r="J38" s="376"/>
      <c r="K38" s="530">
        <f>F38+I38+J38</f>
        <v>200600</v>
      </c>
      <c r="L38" s="378" t="s">
        <v>1108</v>
      </c>
      <c r="M38" s="379"/>
      <c r="N38" s="380"/>
      <c r="O38" s="410" t="s">
        <v>1047</v>
      </c>
      <c r="P38" s="839">
        <v>227543</v>
      </c>
      <c r="Q38" s="383"/>
    </row>
    <row r="39" spans="1:17" x14ac:dyDescent="0.2">
      <c r="A39" s="370"/>
      <c r="B39" s="5"/>
      <c r="C39" s="371"/>
      <c r="D39" s="372" t="s">
        <v>21</v>
      </c>
      <c r="E39" s="253">
        <v>0</v>
      </c>
      <c r="F39" s="373">
        <f>C39*E39</f>
        <v>0</v>
      </c>
      <c r="G39" s="529"/>
      <c r="H39" s="375">
        <v>0</v>
      </c>
      <c r="I39" s="373">
        <f>G39*H39</f>
        <v>0</v>
      </c>
      <c r="J39" s="376"/>
      <c r="K39" s="530">
        <f>F39+I39+J39</f>
        <v>0</v>
      </c>
      <c r="L39" s="378"/>
      <c r="M39" s="379"/>
      <c r="N39" s="380"/>
      <c r="O39" s="410"/>
      <c r="P39" s="411"/>
      <c r="Q39" s="383"/>
    </row>
    <row r="40" spans="1:17" x14ac:dyDescent="0.2">
      <c r="A40" s="370"/>
      <c r="B40" s="5"/>
      <c r="C40" s="371"/>
      <c r="D40" s="372" t="s">
        <v>21</v>
      </c>
      <c r="E40" s="253">
        <v>0</v>
      </c>
      <c r="F40" s="373">
        <f>C40*E40</f>
        <v>0</v>
      </c>
      <c r="G40" s="529"/>
      <c r="H40" s="375">
        <v>0</v>
      </c>
      <c r="I40" s="373">
        <f>G40*H40</f>
        <v>0</v>
      </c>
      <c r="J40" s="376"/>
      <c r="K40" s="530">
        <f>F40+I40+J40</f>
        <v>0</v>
      </c>
      <c r="L40" s="378"/>
      <c r="M40" s="379"/>
      <c r="N40" s="380"/>
      <c r="O40" s="410"/>
      <c r="P40" s="411"/>
      <c r="Q40" s="383"/>
    </row>
    <row r="41" spans="1:17" x14ac:dyDescent="0.2">
      <c r="A41" s="387"/>
      <c r="B41" s="412"/>
      <c r="C41" s="388"/>
      <c r="D41" s="372"/>
      <c r="E41" s="253"/>
      <c r="F41" s="373"/>
      <c r="G41" s="529"/>
      <c r="H41" s="375"/>
      <c r="I41" s="373"/>
      <c r="J41" s="376"/>
      <c r="K41" s="535"/>
      <c r="L41" s="378"/>
      <c r="M41" s="379"/>
      <c r="N41" s="380"/>
      <c r="O41" s="410"/>
      <c r="P41" s="411"/>
      <c r="Q41" s="383"/>
    </row>
    <row r="42" spans="1:17" ht="13.5" thickBot="1" x14ac:dyDescent="0.25">
      <c r="A42" s="387"/>
      <c r="B42" s="412"/>
      <c r="C42" s="388"/>
      <c r="D42" s="372"/>
      <c r="E42" s="253"/>
      <c r="F42" s="373"/>
      <c r="G42" s="529"/>
      <c r="H42" s="375"/>
      <c r="I42" s="373"/>
      <c r="J42" s="376"/>
      <c r="K42" s="535"/>
      <c r="O42" s="410"/>
      <c r="P42" s="411"/>
      <c r="Q42" s="383"/>
    </row>
    <row r="43" spans="1:17" ht="13.5" thickTop="1" x14ac:dyDescent="0.2">
      <c r="A43" s="387"/>
      <c r="B43" s="412"/>
      <c r="C43" s="388"/>
      <c r="D43" s="372"/>
      <c r="E43" s="253"/>
      <c r="F43" s="373"/>
      <c r="G43" s="529"/>
      <c r="H43" s="375"/>
      <c r="I43" s="373"/>
      <c r="J43" s="389" t="s">
        <v>30</v>
      </c>
      <c r="K43" s="532">
        <f>SUM(K38:K42)</f>
        <v>200600</v>
      </c>
      <c r="O43" s="381"/>
      <c r="P43" s="382"/>
      <c r="Q43" s="383"/>
    </row>
    <row r="44" spans="1:17" ht="13.5" thickBot="1" x14ac:dyDescent="0.25">
      <c r="A44" s="353" t="s">
        <v>0</v>
      </c>
      <c r="B44" s="354" t="s">
        <v>1</v>
      </c>
      <c r="C44" s="939" t="s">
        <v>656</v>
      </c>
      <c r="D44" s="939"/>
      <c r="E44" s="939"/>
      <c r="F44" s="939"/>
      <c r="G44" s="939" t="s">
        <v>34</v>
      </c>
      <c r="H44" s="939"/>
      <c r="I44" s="939"/>
      <c r="J44" s="355"/>
      <c r="K44" s="523"/>
      <c r="L44" s="391"/>
      <c r="M44" s="392"/>
      <c r="N44" s="393"/>
      <c r="O44" s="381"/>
      <c r="P44" s="382"/>
      <c r="Q44" s="383"/>
    </row>
    <row r="45" spans="1:17" ht="15.75" x14ac:dyDescent="0.25">
      <c r="A45" s="525" t="s">
        <v>341</v>
      </c>
      <c r="B45" s="525" t="s">
        <v>342</v>
      </c>
      <c r="C45" s="396" t="s">
        <v>19</v>
      </c>
      <c r="D45" s="397" t="s">
        <v>33</v>
      </c>
      <c r="E45" s="398" t="s">
        <v>35</v>
      </c>
      <c r="F45" s="399" t="s">
        <v>30</v>
      </c>
      <c r="G45" s="533" t="s">
        <v>14</v>
      </c>
      <c r="H45" s="398" t="s">
        <v>35</v>
      </c>
      <c r="I45" s="399" t="s">
        <v>30</v>
      </c>
      <c r="J45" s="364" t="s">
        <v>659</v>
      </c>
      <c r="K45" s="534" t="s">
        <v>38</v>
      </c>
      <c r="L45" s="402"/>
      <c r="M45" s="408"/>
      <c r="N45" s="409"/>
      <c r="O45" s="381"/>
      <c r="P45" s="411"/>
      <c r="Q45" s="383"/>
    </row>
    <row r="46" spans="1:17" x14ac:dyDescent="0.2">
      <c r="A46" s="256" t="s">
        <v>343</v>
      </c>
      <c r="B46" s="256" t="s">
        <v>344</v>
      </c>
      <c r="C46" s="371"/>
      <c r="D46" s="372" t="s">
        <v>21</v>
      </c>
      <c r="E46" s="253">
        <v>0</v>
      </c>
      <c r="F46" s="373">
        <f>C46*E46</f>
        <v>0</v>
      </c>
      <c r="G46" s="529"/>
      <c r="H46" s="375">
        <v>0</v>
      </c>
      <c r="I46" s="373">
        <f>G46*H46</f>
        <v>0</v>
      </c>
      <c r="J46" s="376"/>
      <c r="K46" s="530">
        <f>F46+I46+J46</f>
        <v>0</v>
      </c>
      <c r="L46" s="378"/>
      <c r="M46" s="255"/>
      <c r="N46" s="421"/>
      <c r="O46" s="381"/>
      <c r="P46" s="382"/>
      <c r="Q46" s="383"/>
    </row>
    <row r="47" spans="1:17" x14ac:dyDescent="0.2">
      <c r="A47" s="370"/>
      <c r="B47" s="5"/>
      <c r="C47" s="371"/>
      <c r="D47" s="372" t="s">
        <v>21</v>
      </c>
      <c r="E47" s="253">
        <v>0</v>
      </c>
      <c r="F47" s="373">
        <f>C47*E47</f>
        <v>0</v>
      </c>
      <c r="G47" s="529"/>
      <c r="H47" s="375">
        <v>0</v>
      </c>
      <c r="I47" s="373">
        <f>G47*H47</f>
        <v>0</v>
      </c>
      <c r="J47" s="376"/>
      <c r="K47" s="530">
        <f>F47+I47+J47</f>
        <v>0</v>
      </c>
      <c r="L47" s="378"/>
      <c r="M47" s="255"/>
      <c r="N47" s="421"/>
      <c r="O47" s="381"/>
      <c r="P47" s="382"/>
      <c r="Q47" s="383"/>
    </row>
    <row r="48" spans="1:17" x14ac:dyDescent="0.2">
      <c r="A48" s="370"/>
      <c r="B48" s="5"/>
      <c r="C48" s="371"/>
      <c r="D48" s="372" t="s">
        <v>21</v>
      </c>
      <c r="E48" s="253">
        <v>0</v>
      </c>
      <c r="F48" s="373">
        <f>C48*E48</f>
        <v>0</v>
      </c>
      <c r="G48" s="529"/>
      <c r="H48" s="375">
        <v>0</v>
      </c>
      <c r="I48" s="373">
        <f>G48*H48</f>
        <v>0</v>
      </c>
      <c r="J48" s="376"/>
      <c r="K48" s="530">
        <f>F48+I48+J48</f>
        <v>0</v>
      </c>
      <c r="L48" s="661"/>
      <c r="M48" s="662"/>
      <c r="N48" s="663"/>
      <c r="O48" s="381"/>
      <c r="P48" s="382"/>
      <c r="Q48" s="383"/>
    </row>
    <row r="49" spans="1:17" x14ac:dyDescent="0.2">
      <c r="A49" s="370"/>
      <c r="B49" s="5"/>
      <c r="C49" s="371"/>
      <c r="D49" s="372" t="s">
        <v>21</v>
      </c>
      <c r="E49" s="253">
        <v>0</v>
      </c>
      <c r="F49" s="373">
        <f>C49*E49</f>
        <v>0</v>
      </c>
      <c r="G49" s="529"/>
      <c r="H49" s="375">
        <v>0</v>
      </c>
      <c r="I49" s="373">
        <f>G49*H49</f>
        <v>0</v>
      </c>
      <c r="J49" s="376"/>
      <c r="K49" s="530">
        <f>F49+I49+J49</f>
        <v>0</v>
      </c>
      <c r="L49" s="664"/>
      <c r="M49" s="255"/>
      <c r="N49" s="421"/>
      <c r="O49" s="381"/>
      <c r="P49" s="382"/>
      <c r="Q49" s="383"/>
    </row>
    <row r="50" spans="1:17" x14ac:dyDescent="0.2">
      <c r="A50" s="370"/>
      <c r="B50" s="5"/>
      <c r="C50" s="371"/>
      <c r="D50" s="372" t="s">
        <v>21</v>
      </c>
      <c r="E50" s="253">
        <v>0</v>
      </c>
      <c r="F50" s="373">
        <f>C50*E50</f>
        <v>0</v>
      </c>
      <c r="G50" s="529"/>
      <c r="H50" s="375">
        <v>0</v>
      </c>
      <c r="I50" s="373">
        <f>G50*H50</f>
        <v>0</v>
      </c>
      <c r="J50" s="376"/>
      <c r="K50" s="530">
        <f>F50+I50+J50</f>
        <v>0</v>
      </c>
      <c r="L50" s="378"/>
      <c r="M50" s="255"/>
      <c r="N50" s="421"/>
      <c r="O50" s="381"/>
      <c r="P50" s="382"/>
      <c r="Q50" s="383"/>
    </row>
    <row r="51" spans="1:17" ht="13.5" thickBot="1" x14ac:dyDescent="0.25">
      <c r="A51" s="387"/>
      <c r="B51" s="412"/>
      <c r="C51" s="388"/>
      <c r="D51" s="372"/>
      <c r="E51" s="253"/>
      <c r="F51" s="373"/>
      <c r="G51" s="529"/>
      <c r="H51" s="375"/>
      <c r="I51" s="373"/>
      <c r="J51" s="376"/>
      <c r="K51" s="535"/>
      <c r="L51" s="378"/>
      <c r="M51" s="255"/>
      <c r="N51" s="380"/>
      <c r="O51" s="381"/>
      <c r="P51" s="382"/>
      <c r="Q51" s="383"/>
    </row>
    <row r="52" spans="1:17" ht="13.5" thickTop="1" x14ac:dyDescent="0.2">
      <c r="A52" s="387"/>
      <c r="B52" s="412"/>
      <c r="C52" s="388"/>
      <c r="D52" s="372"/>
      <c r="E52" s="253"/>
      <c r="F52" s="373"/>
      <c r="G52" s="529"/>
      <c r="H52" s="375"/>
      <c r="I52" s="373"/>
      <c r="J52" s="389" t="s">
        <v>30</v>
      </c>
      <c r="K52" s="532">
        <f>SUM(K46:K51)</f>
        <v>0</v>
      </c>
      <c r="L52" s="157"/>
      <c r="M52" s="469"/>
      <c r="O52" s="436"/>
      <c r="P52" s="437"/>
      <c r="Q52" s="383"/>
    </row>
    <row r="53" spans="1:17" ht="13.5" thickBot="1" x14ac:dyDescent="0.25">
      <c r="A53" s="353" t="s">
        <v>0</v>
      </c>
      <c r="B53" s="354" t="s">
        <v>1</v>
      </c>
      <c r="C53" s="939" t="s">
        <v>656</v>
      </c>
      <c r="D53" s="939"/>
      <c r="E53" s="939"/>
      <c r="F53" s="939"/>
      <c r="G53" s="939" t="s">
        <v>34</v>
      </c>
      <c r="H53" s="939"/>
      <c r="I53" s="939"/>
      <c r="J53" s="355"/>
      <c r="K53" s="523"/>
      <c r="L53" s="391"/>
      <c r="M53" s="355"/>
      <c r="N53" s="393"/>
      <c r="O53" s="436"/>
      <c r="P53" s="437"/>
      <c r="Q53" s="383"/>
    </row>
    <row r="54" spans="1:17" ht="15.75" x14ac:dyDescent="0.25">
      <c r="A54" s="525" t="s">
        <v>345</v>
      </c>
      <c r="B54" s="525" t="s">
        <v>346</v>
      </c>
      <c r="C54" s="396" t="s">
        <v>19</v>
      </c>
      <c r="D54" s="397" t="s">
        <v>33</v>
      </c>
      <c r="E54" s="398" t="s">
        <v>35</v>
      </c>
      <c r="F54" s="399" t="s">
        <v>30</v>
      </c>
      <c r="G54" s="533" t="s">
        <v>14</v>
      </c>
      <c r="H54" s="398" t="s">
        <v>35</v>
      </c>
      <c r="I54" s="399" t="s">
        <v>30</v>
      </c>
      <c r="J54" s="364" t="s">
        <v>659</v>
      </c>
      <c r="K54" s="534" t="s">
        <v>38</v>
      </c>
      <c r="L54" s="402"/>
      <c r="M54" s="408"/>
      <c r="N54" s="404"/>
      <c r="O54" s="410"/>
      <c r="P54" s="411"/>
      <c r="Q54" s="383"/>
    </row>
    <row r="55" spans="1:17" x14ac:dyDescent="0.2">
      <c r="A55" s="256" t="s">
        <v>347</v>
      </c>
      <c r="B55" s="256" t="s">
        <v>348</v>
      </c>
      <c r="C55" s="371"/>
      <c r="D55" s="372" t="s">
        <v>21</v>
      </c>
      <c r="E55" s="253">
        <v>0</v>
      </c>
      <c r="F55" s="373">
        <f t="shared" ref="F55:F61" si="6">C55*E55</f>
        <v>0</v>
      </c>
      <c r="G55" s="529"/>
      <c r="H55" s="375">
        <v>0</v>
      </c>
      <c r="I55" s="373">
        <f t="shared" ref="I55:I61" si="7">G55*H55</f>
        <v>0</v>
      </c>
      <c r="J55" s="376"/>
      <c r="K55" s="530">
        <f t="shared" ref="K55:K61" si="8">F55+I55+J55</f>
        <v>0</v>
      </c>
      <c r="O55" s="381"/>
      <c r="P55" s="382"/>
      <c r="Q55" s="383"/>
    </row>
    <row r="56" spans="1:17" x14ac:dyDescent="0.2">
      <c r="A56" s="370"/>
      <c r="B56" s="5"/>
      <c r="C56" s="371"/>
      <c r="D56" s="372" t="s">
        <v>21</v>
      </c>
      <c r="E56" s="253">
        <v>0</v>
      </c>
      <c r="F56" s="373">
        <f t="shared" si="6"/>
        <v>0</v>
      </c>
      <c r="G56" s="529"/>
      <c r="H56" s="375">
        <v>0</v>
      </c>
      <c r="I56" s="373">
        <f t="shared" si="7"/>
        <v>0</v>
      </c>
      <c r="J56" s="376"/>
      <c r="K56" s="530">
        <f t="shared" si="8"/>
        <v>0</v>
      </c>
      <c r="L56" s="378"/>
      <c r="M56" s="255"/>
      <c r="N56" s="380"/>
      <c r="O56" s="381"/>
      <c r="P56" s="382"/>
      <c r="Q56" s="383"/>
    </row>
    <row r="57" spans="1:17" x14ac:dyDescent="0.2">
      <c r="A57" s="370"/>
      <c r="B57" s="5"/>
      <c r="C57" s="371"/>
      <c r="D57" s="372" t="s">
        <v>21</v>
      </c>
      <c r="E57" s="253">
        <v>0</v>
      </c>
      <c r="F57" s="373">
        <f t="shared" si="6"/>
        <v>0</v>
      </c>
      <c r="G57" s="529"/>
      <c r="H57" s="375">
        <v>0</v>
      </c>
      <c r="I57" s="373">
        <f t="shared" si="7"/>
        <v>0</v>
      </c>
      <c r="J57" s="376"/>
      <c r="K57" s="530">
        <f t="shared" si="8"/>
        <v>0</v>
      </c>
      <c r="L57" s="378"/>
      <c r="M57" s="255"/>
      <c r="N57" s="380"/>
      <c r="O57" s="381"/>
      <c r="P57" s="382"/>
      <c r="Q57" s="383"/>
    </row>
    <row r="58" spans="1:17" x14ac:dyDescent="0.2">
      <c r="A58" s="370"/>
      <c r="B58" s="5"/>
      <c r="C58" s="371"/>
      <c r="D58" s="372" t="s">
        <v>21</v>
      </c>
      <c r="E58" s="253">
        <v>0</v>
      </c>
      <c r="F58" s="373">
        <f t="shared" si="6"/>
        <v>0</v>
      </c>
      <c r="G58" s="529"/>
      <c r="H58" s="375">
        <v>0</v>
      </c>
      <c r="I58" s="373">
        <f t="shared" si="7"/>
        <v>0</v>
      </c>
      <c r="J58" s="376"/>
      <c r="K58" s="530">
        <f t="shared" si="8"/>
        <v>0</v>
      </c>
      <c r="L58" s="378"/>
      <c r="M58" s="255"/>
      <c r="N58" s="380"/>
      <c r="O58" s="381"/>
      <c r="P58" s="382"/>
      <c r="Q58" s="383"/>
    </row>
    <row r="59" spans="1:17" x14ac:dyDescent="0.2">
      <c r="A59" s="370"/>
      <c r="B59" s="5"/>
      <c r="C59" s="371"/>
      <c r="D59" s="372" t="s">
        <v>21</v>
      </c>
      <c r="E59" s="253">
        <v>0</v>
      </c>
      <c r="F59" s="373">
        <f t="shared" si="6"/>
        <v>0</v>
      </c>
      <c r="G59" s="529"/>
      <c r="H59" s="375">
        <v>0</v>
      </c>
      <c r="I59" s="373">
        <f t="shared" si="7"/>
        <v>0</v>
      </c>
      <c r="J59" s="376"/>
      <c r="K59" s="530">
        <f t="shared" si="8"/>
        <v>0</v>
      </c>
      <c r="L59" s="661"/>
      <c r="M59" s="255"/>
      <c r="N59" s="663"/>
      <c r="O59" s="381"/>
      <c r="P59" s="382"/>
      <c r="Q59" s="383"/>
    </row>
    <row r="60" spans="1:17" x14ac:dyDescent="0.2">
      <c r="A60" s="370"/>
      <c r="B60" s="5"/>
      <c r="C60" s="371"/>
      <c r="D60" s="372" t="s">
        <v>21</v>
      </c>
      <c r="E60" s="253">
        <v>0</v>
      </c>
      <c r="F60" s="373">
        <f t="shared" si="6"/>
        <v>0</v>
      </c>
      <c r="G60" s="529"/>
      <c r="H60" s="375">
        <v>0</v>
      </c>
      <c r="I60" s="373">
        <f t="shared" si="7"/>
        <v>0</v>
      </c>
      <c r="J60" s="376"/>
      <c r="K60" s="530">
        <f t="shared" si="8"/>
        <v>0</v>
      </c>
      <c r="L60" s="664"/>
      <c r="M60" s="255"/>
      <c r="N60" s="665"/>
      <c r="O60" s="381"/>
      <c r="P60" s="382"/>
      <c r="Q60" s="383"/>
    </row>
    <row r="61" spans="1:17" x14ac:dyDescent="0.2">
      <c r="A61" s="370"/>
      <c r="B61" s="5"/>
      <c r="C61" s="371"/>
      <c r="D61" s="372" t="s">
        <v>21</v>
      </c>
      <c r="E61" s="253">
        <v>0</v>
      </c>
      <c r="F61" s="373">
        <f t="shared" si="6"/>
        <v>0</v>
      </c>
      <c r="G61" s="529"/>
      <c r="H61" s="375">
        <v>0</v>
      </c>
      <c r="I61" s="373">
        <f t="shared" si="7"/>
        <v>0</v>
      </c>
      <c r="J61" s="376"/>
      <c r="K61" s="530">
        <f t="shared" si="8"/>
        <v>0</v>
      </c>
      <c r="L61" s="378"/>
      <c r="M61" s="255"/>
      <c r="N61" s="421"/>
      <c r="O61" s="381"/>
      <c r="P61" s="382"/>
      <c r="Q61" s="383"/>
    </row>
    <row r="62" spans="1:17" ht="13.5" thickBot="1" x14ac:dyDescent="0.25">
      <c r="A62" s="387"/>
      <c r="B62" s="5"/>
      <c r="C62" s="388"/>
      <c r="D62" s="372"/>
      <c r="E62" s="253"/>
      <c r="F62" s="373"/>
      <c r="G62" s="529"/>
      <c r="H62" s="375"/>
      <c r="I62" s="373"/>
      <c r="J62" s="376"/>
      <c r="K62" s="535"/>
      <c r="O62" s="381"/>
      <c r="P62" s="382"/>
      <c r="Q62" s="383"/>
    </row>
    <row r="63" spans="1:17" ht="13.5" thickTop="1" x14ac:dyDescent="0.2">
      <c r="A63" s="387"/>
      <c r="B63" s="412"/>
      <c r="C63" s="388"/>
      <c r="D63" s="372"/>
      <c r="E63" s="253"/>
      <c r="F63" s="373"/>
      <c r="G63" s="529"/>
      <c r="H63" s="375"/>
      <c r="I63" s="373"/>
      <c r="J63" s="389" t="s">
        <v>30</v>
      </c>
      <c r="K63" s="532">
        <f>SUM(K55:K62)</f>
        <v>0</v>
      </c>
      <c r="O63" s="381"/>
      <c r="P63" s="382"/>
      <c r="Q63" s="383"/>
    </row>
    <row r="64" spans="1:17" ht="13.5" thickBot="1" x14ac:dyDescent="0.25">
      <c r="A64" s="353" t="s">
        <v>0</v>
      </c>
      <c r="B64" s="354" t="s">
        <v>1</v>
      </c>
      <c r="C64" s="939" t="s">
        <v>656</v>
      </c>
      <c r="D64" s="939"/>
      <c r="E64" s="939"/>
      <c r="F64" s="939"/>
      <c r="G64" s="939" t="s">
        <v>34</v>
      </c>
      <c r="H64" s="939"/>
      <c r="I64" s="939"/>
      <c r="J64" s="355"/>
      <c r="K64" s="523"/>
      <c r="L64" s="391"/>
      <c r="M64" s="355"/>
      <c r="N64" s="438"/>
      <c r="O64" s="381"/>
      <c r="P64" s="382"/>
      <c r="Q64" s="383"/>
    </row>
    <row r="65" spans="1:17" ht="16.5" thickBot="1" x14ac:dyDescent="0.3">
      <c r="A65" s="525" t="s">
        <v>349</v>
      </c>
      <c r="B65" s="525" t="s">
        <v>350</v>
      </c>
      <c r="C65" s="396" t="s">
        <v>19</v>
      </c>
      <c r="D65" s="397" t="s">
        <v>33</v>
      </c>
      <c r="E65" s="398" t="s">
        <v>35</v>
      </c>
      <c r="F65" s="399" t="s">
        <v>30</v>
      </c>
      <c r="G65" s="533" t="s">
        <v>14</v>
      </c>
      <c r="H65" s="398" t="s">
        <v>35</v>
      </c>
      <c r="I65" s="399" t="s">
        <v>30</v>
      </c>
      <c r="J65" s="364" t="s">
        <v>659</v>
      </c>
      <c r="K65" s="534" t="s">
        <v>38</v>
      </c>
      <c r="L65" s="402"/>
      <c r="M65" s="408"/>
      <c r="N65" s="409"/>
      <c r="O65" s="381"/>
      <c r="P65" s="382"/>
      <c r="Q65" s="383"/>
    </row>
    <row r="66" spans="1:17" x14ac:dyDescent="0.2">
      <c r="A66" s="405"/>
      <c r="B66" s="406"/>
      <c r="C66" s="371"/>
      <c r="D66" s="372" t="s">
        <v>21</v>
      </c>
      <c r="E66" s="253">
        <v>0</v>
      </c>
      <c r="F66" s="373">
        <f>C66*E66</f>
        <v>0</v>
      </c>
      <c r="G66" s="529"/>
      <c r="H66" s="375">
        <v>0</v>
      </c>
      <c r="I66" s="373">
        <f>G66*H66</f>
        <v>0</v>
      </c>
      <c r="J66" s="376"/>
      <c r="K66" s="530">
        <f>F66+I66+J66</f>
        <v>0</v>
      </c>
      <c r="L66" s="378"/>
      <c r="M66" s="379"/>
      <c r="N66" s="380"/>
      <c r="O66" s="381"/>
      <c r="P66" s="382"/>
      <c r="Q66" s="383"/>
    </row>
    <row r="67" spans="1:17" x14ac:dyDescent="0.2">
      <c r="A67" s="370"/>
      <c r="B67" s="5"/>
      <c r="C67" s="371"/>
      <c r="D67" s="372" t="s">
        <v>21</v>
      </c>
      <c r="E67" s="253">
        <v>0</v>
      </c>
      <c r="F67" s="373">
        <f>C67*E67</f>
        <v>0</v>
      </c>
      <c r="G67" s="529"/>
      <c r="H67" s="375">
        <v>0</v>
      </c>
      <c r="I67" s="373">
        <f>G67*H67</f>
        <v>0</v>
      </c>
      <c r="J67" s="376"/>
      <c r="K67" s="530">
        <f>F67+I67+J67</f>
        <v>0</v>
      </c>
      <c r="L67" s="378"/>
      <c r="M67" s="379"/>
      <c r="N67" s="380"/>
      <c r="O67" s="381"/>
      <c r="P67" s="382"/>
      <c r="Q67" s="383"/>
    </row>
    <row r="68" spans="1:17" x14ac:dyDescent="0.2">
      <c r="A68" s="370"/>
      <c r="B68" s="5"/>
      <c r="C68" s="371"/>
      <c r="D68" s="372" t="s">
        <v>21</v>
      </c>
      <c r="E68" s="253">
        <v>0</v>
      </c>
      <c r="F68" s="373">
        <f>C68*E68</f>
        <v>0</v>
      </c>
      <c r="G68" s="529"/>
      <c r="H68" s="375">
        <v>0</v>
      </c>
      <c r="I68" s="373">
        <f>G68*H68</f>
        <v>0</v>
      </c>
      <c r="J68" s="376"/>
      <c r="K68" s="530">
        <f>F68+I68+J68</f>
        <v>0</v>
      </c>
      <c r="L68" s="378"/>
      <c r="M68" s="379"/>
      <c r="N68" s="380"/>
      <c r="O68" s="381"/>
      <c r="P68" s="382"/>
      <c r="Q68" s="383"/>
    </row>
    <row r="69" spans="1:17" x14ac:dyDescent="0.2">
      <c r="A69" s="370"/>
      <c r="B69" s="5"/>
      <c r="C69" s="371"/>
      <c r="D69" s="372" t="s">
        <v>21</v>
      </c>
      <c r="E69" s="253">
        <v>0</v>
      </c>
      <c r="F69" s="373">
        <f>C69*E69</f>
        <v>0</v>
      </c>
      <c r="G69" s="529"/>
      <c r="H69" s="375">
        <v>0</v>
      </c>
      <c r="I69" s="373">
        <f>G69*H69</f>
        <v>0</v>
      </c>
      <c r="J69" s="376"/>
      <c r="K69" s="530">
        <f>F69+I69+J69</f>
        <v>0</v>
      </c>
      <c r="O69" s="381"/>
      <c r="P69" s="382"/>
      <c r="Q69" s="383"/>
    </row>
    <row r="70" spans="1:17" x14ac:dyDescent="0.2">
      <c r="A70" s="370"/>
      <c r="B70" s="5"/>
      <c r="C70" s="371"/>
      <c r="D70" s="372" t="s">
        <v>21</v>
      </c>
      <c r="E70" s="253">
        <v>0</v>
      </c>
      <c r="F70" s="373">
        <f>C70*E70</f>
        <v>0</v>
      </c>
      <c r="G70" s="529"/>
      <c r="H70" s="375">
        <v>0</v>
      </c>
      <c r="I70" s="373">
        <f>G70*H70</f>
        <v>0</v>
      </c>
      <c r="J70" s="376"/>
      <c r="K70" s="530">
        <f>F70+I70+J70</f>
        <v>0</v>
      </c>
      <c r="O70" s="381"/>
      <c r="P70" s="382"/>
      <c r="Q70" s="383"/>
    </row>
    <row r="71" spans="1:17" ht="13.5" thickBot="1" x14ac:dyDescent="0.25">
      <c r="A71" s="387"/>
      <c r="B71" s="5"/>
      <c r="C71" s="388"/>
      <c r="D71" s="372"/>
      <c r="E71" s="253"/>
      <c r="F71" s="373"/>
      <c r="G71" s="529"/>
      <c r="H71" s="375"/>
      <c r="I71" s="373"/>
      <c r="J71" s="376"/>
      <c r="K71" s="535"/>
      <c r="O71" s="381"/>
      <c r="P71" s="382"/>
      <c r="Q71" s="383"/>
    </row>
    <row r="72" spans="1:17" ht="13.5" thickTop="1" x14ac:dyDescent="0.2">
      <c r="A72" s="387"/>
      <c r="B72" s="412"/>
      <c r="C72" s="388"/>
      <c r="D72" s="372"/>
      <c r="E72" s="253"/>
      <c r="F72" s="373"/>
      <c r="G72" s="529"/>
      <c r="H72" s="375"/>
      <c r="I72" s="373"/>
      <c r="J72" s="389" t="s">
        <v>30</v>
      </c>
      <c r="K72" s="532">
        <f>SUM(K66:K71)</f>
        <v>0</v>
      </c>
      <c r="O72" s="381"/>
      <c r="P72" s="382"/>
      <c r="Q72" s="383"/>
    </row>
    <row r="73" spans="1:17" ht="13.5" thickBot="1" x14ac:dyDescent="0.25">
      <c r="A73" s="353" t="s">
        <v>0</v>
      </c>
      <c r="B73" s="354" t="s">
        <v>1</v>
      </c>
      <c r="C73" s="939" t="s">
        <v>656</v>
      </c>
      <c r="D73" s="939"/>
      <c r="E73" s="939"/>
      <c r="F73" s="939"/>
      <c r="G73" s="939" t="s">
        <v>34</v>
      </c>
      <c r="H73" s="939"/>
      <c r="I73" s="939"/>
      <c r="J73" s="355"/>
      <c r="K73" s="523"/>
      <c r="L73" s="391"/>
      <c r="M73" s="392"/>
      <c r="N73" s="393"/>
      <c r="O73" s="381"/>
      <c r="P73" s="382"/>
      <c r="Q73" s="383"/>
    </row>
    <row r="74" spans="1:17" ht="16.5" thickBot="1" x14ac:dyDescent="0.3">
      <c r="A74" s="525" t="s">
        <v>351</v>
      </c>
      <c r="B74" s="525" t="s">
        <v>352</v>
      </c>
      <c r="C74" s="396" t="s">
        <v>19</v>
      </c>
      <c r="D74" s="397" t="s">
        <v>33</v>
      </c>
      <c r="E74" s="398" t="s">
        <v>35</v>
      </c>
      <c r="F74" s="399" t="s">
        <v>30</v>
      </c>
      <c r="G74" s="533" t="s">
        <v>14</v>
      </c>
      <c r="H74" s="398" t="s">
        <v>35</v>
      </c>
      <c r="I74" s="399" t="s">
        <v>30</v>
      </c>
      <c r="J74" s="364" t="s">
        <v>659</v>
      </c>
      <c r="K74" s="534" t="s">
        <v>38</v>
      </c>
      <c r="L74" s="402"/>
      <c r="M74" s="403"/>
      <c r="N74" s="404"/>
      <c r="O74" s="381"/>
      <c r="P74" s="382"/>
      <c r="Q74" s="383"/>
    </row>
    <row r="75" spans="1:17" x14ac:dyDescent="0.2">
      <c r="A75" s="405"/>
      <c r="B75" s="406"/>
      <c r="C75" s="371"/>
      <c r="D75" s="372" t="s">
        <v>21</v>
      </c>
      <c r="E75" s="253">
        <v>0</v>
      </c>
      <c r="F75" s="373">
        <f>C75*E75</f>
        <v>0</v>
      </c>
      <c r="G75" s="529"/>
      <c r="H75" s="375">
        <v>0</v>
      </c>
      <c r="I75" s="373">
        <f>G75*H75</f>
        <v>0</v>
      </c>
      <c r="J75" s="376"/>
      <c r="K75" s="530">
        <f>F75+I75+J75</f>
        <v>0</v>
      </c>
      <c r="L75" s="378"/>
      <c r="M75" s="379"/>
      <c r="N75" s="380"/>
      <c r="O75" s="381"/>
      <c r="P75" s="382"/>
      <c r="Q75" s="383"/>
    </row>
    <row r="76" spans="1:17" x14ac:dyDescent="0.2">
      <c r="A76" s="370"/>
      <c r="B76" s="5"/>
      <c r="C76" s="371"/>
      <c r="D76" s="372" t="s">
        <v>21</v>
      </c>
      <c r="E76" s="253">
        <v>0</v>
      </c>
      <c r="F76" s="373">
        <f>C76*E76</f>
        <v>0</v>
      </c>
      <c r="G76" s="529"/>
      <c r="H76" s="375">
        <v>0</v>
      </c>
      <c r="I76" s="373">
        <f>G76*H76</f>
        <v>0</v>
      </c>
      <c r="J76" s="376"/>
      <c r="K76" s="530">
        <f>F76+I76+J76</f>
        <v>0</v>
      </c>
      <c r="L76" s="661"/>
      <c r="M76" s="662"/>
      <c r="N76" s="663"/>
      <c r="O76" s="381"/>
      <c r="P76" s="382"/>
      <c r="Q76" s="383"/>
    </row>
    <row r="77" spans="1:17" x14ac:dyDescent="0.2">
      <c r="A77" s="370"/>
      <c r="B77" s="5"/>
      <c r="C77" s="371"/>
      <c r="D77" s="372" t="s">
        <v>21</v>
      </c>
      <c r="E77" s="253">
        <v>0</v>
      </c>
      <c r="F77" s="373">
        <f>C77*E77</f>
        <v>0</v>
      </c>
      <c r="G77" s="529"/>
      <c r="H77" s="375">
        <v>0</v>
      </c>
      <c r="I77" s="373">
        <f>G77*H77</f>
        <v>0</v>
      </c>
      <c r="J77" s="376"/>
      <c r="K77" s="530">
        <f>F77+I77+J77</f>
        <v>0</v>
      </c>
      <c r="L77" s="664"/>
      <c r="M77" s="666"/>
      <c r="N77" s="665"/>
      <c r="O77" s="381"/>
      <c r="P77" s="382"/>
      <c r="Q77" s="383"/>
    </row>
    <row r="78" spans="1:17" ht="13.5" thickBot="1" x14ac:dyDescent="0.25">
      <c r="A78" s="387"/>
      <c r="B78" s="5"/>
      <c r="C78" s="388"/>
      <c r="D78" s="372"/>
      <c r="E78" s="253"/>
      <c r="F78" s="373"/>
      <c r="G78" s="529"/>
      <c r="H78" s="375"/>
      <c r="I78" s="373"/>
      <c r="J78" s="376"/>
      <c r="K78" s="535"/>
      <c r="L78" s="378"/>
      <c r="M78" s="379"/>
      <c r="N78" s="380"/>
      <c r="O78" s="381"/>
      <c r="P78" s="382"/>
      <c r="Q78" s="383"/>
    </row>
    <row r="79" spans="1:17" ht="13.5" thickTop="1" x14ac:dyDescent="0.2">
      <c r="A79" s="387"/>
      <c r="C79" s="388"/>
      <c r="D79" s="372"/>
      <c r="E79" s="253"/>
      <c r="F79" s="373"/>
      <c r="G79" s="529"/>
      <c r="H79" s="375"/>
      <c r="I79" s="373"/>
      <c r="J79" s="389" t="s">
        <v>30</v>
      </c>
      <c r="K79" s="532">
        <f>SUM(K75:K78)</f>
        <v>0</v>
      </c>
      <c r="L79" s="378"/>
      <c r="M79" s="379"/>
      <c r="N79" s="380"/>
      <c r="O79" s="381"/>
      <c r="P79" s="382"/>
      <c r="Q79" s="383"/>
    </row>
    <row r="80" spans="1:17" ht="13.5" thickBot="1" x14ac:dyDescent="0.25">
      <c r="A80" s="353" t="s">
        <v>0</v>
      </c>
      <c r="B80" s="354" t="s">
        <v>1</v>
      </c>
      <c r="C80" s="939" t="s">
        <v>656</v>
      </c>
      <c r="D80" s="939"/>
      <c r="E80" s="939"/>
      <c r="F80" s="939"/>
      <c r="G80" s="939" t="s">
        <v>34</v>
      </c>
      <c r="H80" s="939"/>
      <c r="I80" s="939"/>
      <c r="J80" s="355"/>
      <c r="K80" s="523"/>
      <c r="L80" s="391"/>
      <c r="M80" s="392"/>
      <c r="N80" s="393"/>
      <c r="O80" s="381"/>
      <c r="P80" s="382"/>
      <c r="Q80" s="383"/>
    </row>
    <row r="81" spans="1:17" ht="16.5" thickBot="1" x14ac:dyDescent="0.3">
      <c r="A81" s="394"/>
      <c r="B81" s="395"/>
      <c r="C81" s="396" t="s">
        <v>19</v>
      </c>
      <c r="D81" s="397" t="s">
        <v>33</v>
      </c>
      <c r="E81" s="398" t="s">
        <v>35</v>
      </c>
      <c r="F81" s="399" t="s">
        <v>30</v>
      </c>
      <c r="G81" s="533" t="s">
        <v>14</v>
      </c>
      <c r="H81" s="398" t="s">
        <v>35</v>
      </c>
      <c r="I81" s="399" t="s">
        <v>30</v>
      </c>
      <c r="J81" s="364" t="s">
        <v>659</v>
      </c>
      <c r="K81" s="534" t="s">
        <v>38</v>
      </c>
      <c r="L81" s="402"/>
      <c r="M81" s="403"/>
      <c r="N81" s="404"/>
      <c r="O81" s="381"/>
      <c r="P81" s="382"/>
      <c r="Q81" s="383"/>
    </row>
    <row r="82" spans="1:17" x14ac:dyDescent="0.2">
      <c r="A82" s="405"/>
      <c r="B82" s="406"/>
      <c r="C82" s="371"/>
      <c r="D82" s="372" t="s">
        <v>21</v>
      </c>
      <c r="E82" s="253">
        <v>0</v>
      </c>
      <c r="F82" s="373">
        <f>C82*E82</f>
        <v>0</v>
      </c>
      <c r="G82" s="529"/>
      <c r="H82" s="375">
        <v>0</v>
      </c>
      <c r="I82" s="373">
        <f>G82*H82</f>
        <v>0</v>
      </c>
      <c r="J82" s="376"/>
      <c r="K82" s="530">
        <f>F82+I82+J82</f>
        <v>0</v>
      </c>
      <c r="O82" s="381"/>
      <c r="P82" s="382"/>
      <c r="Q82" s="383"/>
    </row>
    <row r="83" spans="1:17" x14ac:dyDescent="0.2">
      <c r="A83" s="370"/>
      <c r="B83" s="5"/>
      <c r="C83" s="371"/>
      <c r="D83" s="372" t="s">
        <v>21</v>
      </c>
      <c r="E83" s="253">
        <v>0</v>
      </c>
      <c r="F83" s="373">
        <f>C83*E83</f>
        <v>0</v>
      </c>
      <c r="G83" s="529"/>
      <c r="H83" s="375">
        <v>0</v>
      </c>
      <c r="I83" s="373">
        <f>G83*H83</f>
        <v>0</v>
      </c>
      <c r="J83" s="376"/>
      <c r="K83" s="530">
        <f>F83+I83+J83</f>
        <v>0</v>
      </c>
      <c r="O83" s="381"/>
      <c r="P83" s="382"/>
      <c r="Q83" s="383"/>
    </row>
    <row r="84" spans="1:17" x14ac:dyDescent="0.2">
      <c r="A84" s="370"/>
      <c r="B84" s="159"/>
      <c r="C84" s="371"/>
      <c r="D84" s="372" t="s">
        <v>21</v>
      </c>
      <c r="E84" s="253">
        <v>0</v>
      </c>
      <c r="F84" s="373">
        <f>C84*E84</f>
        <v>0</v>
      </c>
      <c r="G84" s="529"/>
      <c r="H84" s="375">
        <v>0</v>
      </c>
      <c r="I84" s="373">
        <f>G84*H84</f>
        <v>0</v>
      </c>
      <c r="J84" s="376"/>
      <c r="K84" s="530">
        <f>F84+I84+J84</f>
        <v>0</v>
      </c>
      <c r="O84" s="381"/>
      <c r="P84" s="382"/>
      <c r="Q84" s="383"/>
    </row>
    <row r="85" spans="1:17" x14ac:dyDescent="0.2">
      <c r="A85" s="370"/>
      <c r="B85" s="5"/>
      <c r="C85" s="371"/>
      <c r="D85" s="372" t="s">
        <v>21</v>
      </c>
      <c r="E85" s="253">
        <v>0</v>
      </c>
      <c r="F85" s="373">
        <f>C85*E85</f>
        <v>0</v>
      </c>
      <c r="G85" s="529"/>
      <c r="H85" s="375">
        <v>0</v>
      </c>
      <c r="I85" s="373">
        <f>G85*H85</f>
        <v>0</v>
      </c>
      <c r="J85" s="376"/>
      <c r="K85" s="530">
        <f>F85+I85+J85</f>
        <v>0</v>
      </c>
      <c r="L85" s="378"/>
      <c r="M85" s="379"/>
      <c r="N85" s="380"/>
      <c r="O85" s="381"/>
      <c r="P85" s="382"/>
      <c r="Q85" s="383"/>
    </row>
    <row r="86" spans="1:17" x14ac:dyDescent="0.2">
      <c r="A86" s="370"/>
      <c r="B86" s="5"/>
      <c r="C86" s="371"/>
      <c r="D86" s="372" t="s">
        <v>21</v>
      </c>
      <c r="E86" s="253">
        <v>0</v>
      </c>
      <c r="F86" s="373">
        <f>C86*E86</f>
        <v>0</v>
      </c>
      <c r="G86" s="529"/>
      <c r="H86" s="375">
        <v>0</v>
      </c>
      <c r="I86" s="373">
        <f>G86*H86</f>
        <v>0</v>
      </c>
      <c r="J86" s="376"/>
      <c r="K86" s="530">
        <f>F86+I86+J86</f>
        <v>0</v>
      </c>
      <c r="L86" s="378"/>
      <c r="M86" s="379"/>
      <c r="N86" s="380"/>
      <c r="O86" s="381"/>
      <c r="P86" s="382"/>
      <c r="Q86" s="383"/>
    </row>
    <row r="87" spans="1:17" ht="13.5" thickBot="1" x14ac:dyDescent="0.25">
      <c r="A87" s="387"/>
      <c r="B87" s="5"/>
      <c r="C87" s="388"/>
      <c r="D87" s="372"/>
      <c r="E87" s="253"/>
      <c r="F87" s="373"/>
      <c r="G87" s="529"/>
      <c r="H87" s="375"/>
      <c r="I87" s="373"/>
      <c r="J87" s="376"/>
      <c r="K87" s="535"/>
      <c r="L87" s="378"/>
      <c r="M87" s="379"/>
      <c r="N87" s="380"/>
      <c r="O87" s="381"/>
      <c r="P87" s="382"/>
      <c r="Q87" s="383"/>
    </row>
    <row r="88" spans="1:17" ht="13.5" thickTop="1" x14ac:dyDescent="0.2">
      <c r="A88" s="387"/>
      <c r="B88" s="412"/>
      <c r="C88" s="388"/>
      <c r="D88" s="372"/>
      <c r="E88" s="253"/>
      <c r="F88" s="373"/>
      <c r="G88" s="529"/>
      <c r="H88" s="375"/>
      <c r="I88" s="373"/>
      <c r="J88" s="389" t="s">
        <v>30</v>
      </c>
      <c r="K88" s="532">
        <f>SUM(K82:K87)</f>
        <v>0</v>
      </c>
      <c r="O88" s="381"/>
      <c r="P88" s="382"/>
      <c r="Q88" s="383"/>
    </row>
    <row r="89" spans="1:17" ht="13.5" thickBot="1" x14ac:dyDescent="0.25">
      <c r="A89" s="353" t="s">
        <v>0</v>
      </c>
      <c r="B89" s="354" t="s">
        <v>1</v>
      </c>
      <c r="C89" s="939" t="s">
        <v>656</v>
      </c>
      <c r="D89" s="939"/>
      <c r="E89" s="939"/>
      <c r="F89" s="939"/>
      <c r="G89" s="939" t="s">
        <v>34</v>
      </c>
      <c r="H89" s="939"/>
      <c r="I89" s="939"/>
      <c r="J89" s="355"/>
      <c r="K89" s="523"/>
      <c r="L89" s="391"/>
      <c r="M89" s="392"/>
      <c r="N89" s="393"/>
      <c r="O89" s="381"/>
      <c r="P89" s="382"/>
      <c r="Q89" s="383"/>
    </row>
    <row r="90" spans="1:17" ht="16.5" thickBot="1" x14ac:dyDescent="0.3">
      <c r="A90" s="394"/>
      <c r="B90" s="395"/>
      <c r="C90" s="396" t="s">
        <v>19</v>
      </c>
      <c r="D90" s="397" t="s">
        <v>33</v>
      </c>
      <c r="E90" s="398" t="s">
        <v>35</v>
      </c>
      <c r="F90" s="399" t="s">
        <v>30</v>
      </c>
      <c r="G90" s="533" t="s">
        <v>14</v>
      </c>
      <c r="H90" s="398" t="s">
        <v>35</v>
      </c>
      <c r="I90" s="399" t="s">
        <v>30</v>
      </c>
      <c r="J90" s="364" t="s">
        <v>659</v>
      </c>
      <c r="K90" s="534" t="s">
        <v>38</v>
      </c>
      <c r="L90" s="402"/>
      <c r="M90" s="403"/>
      <c r="N90" s="404"/>
      <c r="O90" s="381"/>
      <c r="P90" s="382"/>
      <c r="Q90" s="383"/>
    </row>
    <row r="91" spans="1:17" x14ac:dyDescent="0.2">
      <c r="A91" s="405"/>
      <c r="B91" s="406"/>
      <c r="C91" s="371"/>
      <c r="D91" s="372" t="s">
        <v>21</v>
      </c>
      <c r="E91" s="253">
        <v>0</v>
      </c>
      <c r="F91" s="373">
        <f>C91*E91</f>
        <v>0</v>
      </c>
      <c r="G91" s="529"/>
      <c r="H91" s="375">
        <v>0</v>
      </c>
      <c r="I91" s="373">
        <f>G91*H91</f>
        <v>0</v>
      </c>
      <c r="J91" s="376"/>
      <c r="K91" s="530">
        <f>F91+I91+J91</f>
        <v>0</v>
      </c>
      <c r="L91" s="378"/>
      <c r="M91" s="379"/>
      <c r="N91" s="380"/>
      <c r="O91" s="381"/>
      <c r="P91" s="382"/>
      <c r="Q91" s="383"/>
    </row>
    <row r="92" spans="1:17" x14ac:dyDescent="0.2">
      <c r="A92" s="370"/>
      <c r="B92" s="5"/>
      <c r="C92" s="371"/>
      <c r="D92" s="372" t="s">
        <v>21</v>
      </c>
      <c r="E92" s="253">
        <v>0</v>
      </c>
      <c r="F92" s="373">
        <f>C92*E92</f>
        <v>0</v>
      </c>
      <c r="G92" s="529"/>
      <c r="H92" s="375">
        <v>0</v>
      </c>
      <c r="I92" s="373">
        <f>G92*H92</f>
        <v>0</v>
      </c>
      <c r="J92" s="376"/>
      <c r="K92" s="530">
        <f>F92+I92+J92</f>
        <v>0</v>
      </c>
      <c r="L92" s="667"/>
      <c r="M92" s="668"/>
      <c r="N92" s="669"/>
      <c r="O92" s="381"/>
      <c r="P92" s="382"/>
      <c r="Q92" s="383"/>
    </row>
    <row r="93" spans="1:17" x14ac:dyDescent="0.2">
      <c r="A93" s="370"/>
      <c r="B93" s="5"/>
      <c r="C93" s="371"/>
      <c r="D93" s="372" t="s">
        <v>21</v>
      </c>
      <c r="E93" s="253">
        <v>0</v>
      </c>
      <c r="F93" s="373">
        <f>C93*E93</f>
        <v>0</v>
      </c>
      <c r="G93" s="529"/>
      <c r="H93" s="375">
        <v>0</v>
      </c>
      <c r="I93" s="373">
        <f>G93*H93</f>
        <v>0</v>
      </c>
      <c r="J93" s="376"/>
      <c r="K93" s="530">
        <f>F93+I93+J93</f>
        <v>0</v>
      </c>
      <c r="L93" s="667"/>
      <c r="M93" s="668"/>
      <c r="N93" s="670"/>
      <c r="O93" s="381"/>
      <c r="P93" s="382"/>
      <c r="Q93" s="383"/>
    </row>
    <row r="94" spans="1:17" x14ac:dyDescent="0.2">
      <c r="A94" s="370"/>
      <c r="B94" s="5"/>
      <c r="C94" s="371"/>
      <c r="D94" s="372" t="s">
        <v>21</v>
      </c>
      <c r="E94" s="253">
        <v>0</v>
      </c>
      <c r="F94" s="373">
        <f>C94*E94</f>
        <v>0</v>
      </c>
      <c r="G94" s="529"/>
      <c r="H94" s="375">
        <v>0</v>
      </c>
      <c r="I94" s="373">
        <f>G94*H94</f>
        <v>0</v>
      </c>
      <c r="J94" s="376"/>
      <c r="K94" s="530">
        <f>F94+I94+J94</f>
        <v>0</v>
      </c>
      <c r="L94" s="667"/>
      <c r="M94" s="668"/>
      <c r="N94" s="670"/>
      <c r="O94" s="381"/>
      <c r="P94" s="382"/>
      <c r="Q94" s="383"/>
    </row>
    <row r="95" spans="1:17" ht="13.5" thickBot="1" x14ac:dyDescent="0.25">
      <c r="A95" s="387"/>
      <c r="B95" s="412"/>
      <c r="C95" s="371"/>
      <c r="D95" s="372"/>
      <c r="E95" s="253"/>
      <c r="F95" s="373"/>
      <c r="G95" s="529"/>
      <c r="H95" s="375"/>
      <c r="I95" s="373"/>
      <c r="J95" s="376"/>
      <c r="K95" s="530"/>
      <c r="L95" s="667"/>
      <c r="M95" s="668"/>
      <c r="N95" s="670"/>
      <c r="O95" s="381"/>
      <c r="P95" s="382"/>
      <c r="Q95" s="383"/>
    </row>
    <row r="96" spans="1:17" ht="14.25" thickTop="1" thickBot="1" x14ac:dyDescent="0.25">
      <c r="A96" s="470"/>
      <c r="B96" s="156"/>
      <c r="C96" s="471"/>
      <c r="D96" s="472"/>
      <c r="E96" s="473"/>
      <c r="F96" s="474"/>
      <c r="G96" s="634"/>
      <c r="H96" s="473"/>
      <c r="I96" s="474"/>
      <c r="J96" s="476" t="s">
        <v>30</v>
      </c>
      <c r="K96" s="635">
        <f>SUM(K91:K95)</f>
        <v>0</v>
      </c>
      <c r="L96" s="667"/>
      <c r="M96" s="668"/>
      <c r="N96" s="670"/>
      <c r="O96" s="381"/>
      <c r="P96" s="382"/>
      <c r="Q96" s="383"/>
    </row>
    <row r="97" spans="1:17" ht="14.1" customHeight="1" thickBot="1" x14ac:dyDescent="0.3">
      <c r="A97" s="478"/>
      <c r="B97" s="479"/>
      <c r="C97" s="480"/>
      <c r="D97" s="480"/>
      <c r="E97" s="481"/>
      <c r="F97" s="969" t="s">
        <v>658</v>
      </c>
      <c r="G97" s="992" t="s">
        <v>684</v>
      </c>
      <c r="H97" s="481"/>
      <c r="I97" s="962" t="s">
        <v>657</v>
      </c>
      <c r="J97" s="958" t="s">
        <v>685</v>
      </c>
      <c r="K97" s="956" t="s">
        <v>31</v>
      </c>
      <c r="L97" s="671"/>
      <c r="M97" s="672"/>
      <c r="N97" s="673"/>
      <c r="O97" s="460"/>
      <c r="P97" s="461"/>
      <c r="Q97" s="462"/>
    </row>
    <row r="98" spans="1:17" ht="15.75" thickTop="1" x14ac:dyDescent="0.2">
      <c r="A98" s="482" t="s">
        <v>32</v>
      </c>
      <c r="B98" s="964" t="s">
        <v>663</v>
      </c>
      <c r="C98" s="483"/>
      <c r="D98" s="484"/>
      <c r="E98" s="484"/>
      <c r="F98" s="970"/>
      <c r="G98" s="993"/>
      <c r="H98" s="485"/>
      <c r="I98" s="963"/>
      <c r="J98" s="959"/>
      <c r="K98" s="957"/>
      <c r="M98" s="255"/>
    </row>
    <row r="99" spans="1:17" ht="15" x14ac:dyDescent="0.25">
      <c r="A99" s="826">
        <f>K99/E6</f>
        <v>3.0582997926576412</v>
      </c>
      <c r="B99" s="964"/>
      <c r="C99" s="484"/>
      <c r="D99" s="484"/>
      <c r="E99" s="484"/>
      <c r="F99" s="952">
        <f>SUM(F91:F95,F82:F87,F75:F78,F66:F71,F55:F61,F46:F51,F38:F42,F27:F34,F11:F23)</f>
        <v>200600</v>
      </c>
      <c r="G99" s="997">
        <f>SUM(G91:G95,G82:G87,G75:G78,G66:G71,G55:G61,G46:G51,G38:G42,G27:G34,G11:G23)</f>
        <v>0</v>
      </c>
      <c r="H99" s="485"/>
      <c r="I99" s="952">
        <f>SUM(I91:I95,I82:I87,I75:I78,I66:I71,I55:I61,I46:I51,I38:I42,I27:I34,I11:I23)</f>
        <v>0</v>
      </c>
      <c r="J99" s="952">
        <f>SUM(J91:J95,J82:J87,J75:J78,J66:J71,J55:J61,J46:J51,J38:J42,J27:J34,J11:J23)</f>
        <v>0</v>
      </c>
      <c r="K99" s="954">
        <f>SUM(K96,K88,K79,K72,K63,K52,K43,K35,K24)</f>
        <v>200600</v>
      </c>
      <c r="M99" s="255"/>
    </row>
    <row r="100" spans="1:17" ht="15" thickBot="1" x14ac:dyDescent="0.25">
      <c r="A100" s="482"/>
      <c r="B100" s="550"/>
      <c r="C100" s="488"/>
      <c r="D100" s="488"/>
      <c r="E100" s="488"/>
      <c r="F100" s="953"/>
      <c r="G100" s="998"/>
      <c r="H100" s="488"/>
      <c r="I100" s="953"/>
      <c r="J100" s="953"/>
      <c r="K100" s="961"/>
      <c r="L100" s="547"/>
      <c r="M100" s="255"/>
    </row>
    <row r="101" spans="1:17" ht="13.5" thickBot="1" x14ac:dyDescent="0.25">
      <c r="A101" s="489"/>
      <c r="B101" s="490"/>
      <c r="C101" s="490"/>
      <c r="D101" s="490"/>
      <c r="E101" s="490"/>
      <c r="F101" s="490"/>
      <c r="G101" s="490"/>
      <c r="H101" s="490"/>
      <c r="I101" s="490"/>
      <c r="J101" s="490"/>
      <c r="K101" s="490"/>
      <c r="L101" s="547"/>
      <c r="M101" s="255"/>
    </row>
    <row r="102" spans="1:17" x14ac:dyDescent="0.2">
      <c r="M102" s="255"/>
    </row>
    <row r="103" spans="1:17" x14ac:dyDescent="0.2">
      <c r="M103" s="255"/>
    </row>
    <row r="104" spans="1:17" x14ac:dyDescent="0.2">
      <c r="M104" s="255"/>
    </row>
    <row r="105" spans="1:17" x14ac:dyDescent="0.2">
      <c r="M105" s="255"/>
    </row>
    <row r="106" spans="1:17" x14ac:dyDescent="0.2">
      <c r="M106" s="255"/>
    </row>
    <row r="107" spans="1:17" x14ac:dyDescent="0.2">
      <c r="M107" s="255"/>
    </row>
  </sheetData>
  <mergeCells count="54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89:F89"/>
    <mergeCell ref="G89:I89"/>
    <mergeCell ref="B98:B99"/>
    <mergeCell ref="C64:F64"/>
    <mergeCell ref="G64:I64"/>
    <mergeCell ref="C73:F73"/>
    <mergeCell ref="G73:I73"/>
    <mergeCell ref="C80:F80"/>
    <mergeCell ref="G80:I80"/>
    <mergeCell ref="K99:K100"/>
    <mergeCell ref="F97:F98"/>
    <mergeCell ref="G97:G98"/>
    <mergeCell ref="I97:I98"/>
    <mergeCell ref="J97:J98"/>
    <mergeCell ref="K97:K98"/>
    <mergeCell ref="F99:F100"/>
    <mergeCell ref="G99:G100"/>
    <mergeCell ref="I99:I100"/>
    <mergeCell ref="J99:J100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61" fitToHeight="2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42"/>
  <sheetViews>
    <sheetView topLeftCell="A7" zoomScale="90" zoomScaleSheetLayoutView="90" workbookViewId="0">
      <selection activeCell="E28" sqref="E28"/>
    </sheetView>
  </sheetViews>
  <sheetFormatPr defaultColWidth="9.140625" defaultRowHeight="12.75" x14ac:dyDescent="0.2"/>
  <cols>
    <col min="1" max="1" width="12.85546875" style="157" bestFit="1" customWidth="1"/>
    <col min="2" max="2" width="41.5703125" style="157" customWidth="1"/>
    <col min="3" max="3" width="5" style="440" customWidth="1"/>
    <col min="4" max="4" width="5" style="659" customWidth="1"/>
    <col min="5" max="5" width="11" style="157" customWidth="1"/>
    <col min="6" max="6" width="12.5703125" style="157" bestFit="1" customWidth="1"/>
    <col min="7" max="7" width="7.140625" style="157" customWidth="1"/>
    <col min="8" max="8" width="11" style="157" bestFit="1" customWidth="1"/>
    <col min="9" max="9" width="12.5703125" style="157" bestFit="1" customWidth="1"/>
    <col min="10" max="10" width="16.42578125" style="157" customWidth="1"/>
    <col min="11" max="11" width="13.140625" style="157" bestFit="1" customWidth="1"/>
    <col min="12" max="12" width="17.85546875" style="159" bestFit="1" customWidth="1"/>
    <col min="13" max="13" width="14" style="276" bestFit="1" customWidth="1"/>
    <col min="14" max="14" width="24.85546875" style="157" bestFit="1" customWidth="1"/>
    <col min="15" max="15" width="22" style="302" bestFit="1" customWidth="1"/>
    <col min="16" max="16" width="22.140625" style="302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2"/>
      <c r="B1" s="323"/>
      <c r="C1" s="976">
        <f>'Estimate Summary'!C1:H1</f>
        <v>0</v>
      </c>
      <c r="D1" s="976"/>
      <c r="E1" s="976"/>
      <c r="F1" s="976"/>
      <c r="G1" s="976"/>
      <c r="H1" s="976"/>
      <c r="I1" s="976"/>
      <c r="J1" s="976"/>
      <c r="K1" s="977"/>
    </row>
    <row r="2" spans="1:17" ht="13.5" thickBot="1" x14ac:dyDescent="0.25">
      <c r="A2" s="324"/>
      <c r="B2" s="325"/>
      <c r="C2" s="514"/>
      <c r="D2" s="984"/>
      <c r="E2" s="984"/>
      <c r="F2" s="984"/>
      <c r="G2" s="514"/>
      <c r="H2" s="327"/>
      <c r="I2" s="328"/>
      <c r="J2" s="329"/>
      <c r="K2" s="330"/>
    </row>
    <row r="3" spans="1:17" ht="16.5" thickBot="1" x14ac:dyDescent="0.3">
      <c r="A3" s="973"/>
      <c r="B3" s="974"/>
      <c r="C3" s="514"/>
      <c r="D3" s="984"/>
      <c r="E3" s="984"/>
      <c r="F3" s="984"/>
      <c r="G3" s="515"/>
      <c r="H3" s="332"/>
      <c r="I3" s="333"/>
      <c r="J3" s="333"/>
      <c r="K3" s="334"/>
      <c r="L3" s="1002"/>
      <c r="M3" s="1003"/>
      <c r="N3" s="985"/>
      <c r="O3" s="985"/>
      <c r="P3" s="935"/>
    </row>
    <row r="4" spans="1:17" ht="18.75" thickBot="1" x14ac:dyDescent="0.25">
      <c r="A4" s="973"/>
      <c r="B4" s="974"/>
      <c r="C4" s="514"/>
      <c r="D4" s="984"/>
      <c r="E4" s="984"/>
      <c r="F4" s="984"/>
      <c r="G4" s="336"/>
      <c r="H4" s="336"/>
      <c r="I4" s="328"/>
      <c r="J4" s="329"/>
      <c r="K4" s="330"/>
      <c r="L4" s="1002"/>
      <c r="M4" s="1003"/>
      <c r="N4" s="985"/>
      <c r="O4" s="985"/>
      <c r="P4" s="935"/>
    </row>
    <row r="5" spans="1:17" ht="21" thickBot="1" x14ac:dyDescent="0.3">
      <c r="A5" s="337"/>
      <c r="B5" s="338"/>
      <c r="C5" s="516"/>
      <c r="D5" s="340"/>
      <c r="E5" s="341"/>
      <c r="F5" s="336"/>
      <c r="G5" s="983" t="s">
        <v>662</v>
      </c>
      <c r="H5" s="983"/>
      <c r="I5" s="983"/>
      <c r="J5" s="981" t="s">
        <v>73</v>
      </c>
      <c r="K5" s="982"/>
      <c r="L5" s="1002"/>
      <c r="M5" s="1003"/>
      <c r="N5" s="985"/>
      <c r="O5" s="985"/>
      <c r="P5" s="935"/>
    </row>
    <row r="6" spans="1:17" ht="21" thickBot="1" x14ac:dyDescent="0.25">
      <c r="A6" s="337"/>
      <c r="B6" s="338"/>
      <c r="C6" s="517"/>
      <c r="D6" s="343" t="str">
        <f>'Estimate Summary'!C11</f>
        <v>Area:</v>
      </c>
      <c r="E6" s="344">
        <f>'Estimate Summary'!D11</f>
        <v>65592</v>
      </c>
      <c r="F6" s="238" t="str">
        <f>'Estimate Summary'!E11</f>
        <v>Sq. Ft.</v>
      </c>
      <c r="G6" s="983"/>
      <c r="H6" s="983"/>
      <c r="I6" s="983"/>
      <c r="J6" s="345">
        <f>'1'!J6</f>
        <v>60</v>
      </c>
      <c r="K6" s="330" t="s">
        <v>74</v>
      </c>
      <c r="L6" s="1002"/>
      <c r="M6" s="1003"/>
      <c r="N6" s="985"/>
      <c r="O6" s="985"/>
      <c r="P6" s="935"/>
    </row>
    <row r="7" spans="1:17" x14ac:dyDescent="0.2">
      <c r="A7" s="978"/>
      <c r="B7" s="979"/>
      <c r="C7" s="979"/>
      <c r="D7" s="979"/>
      <c r="E7" s="979"/>
      <c r="F7" s="979"/>
      <c r="G7" s="979"/>
      <c r="H7" s="979"/>
      <c r="I7" s="979"/>
      <c r="J7" s="979"/>
      <c r="K7" s="980"/>
    </row>
    <row r="8" spans="1:17" ht="13.5" thickBot="1" x14ac:dyDescent="0.25">
      <c r="A8" s="346"/>
      <c r="B8" s="347"/>
      <c r="C8" s="972"/>
      <c r="D8" s="972"/>
      <c r="E8" s="972"/>
      <c r="F8" s="972"/>
      <c r="G8" s="971"/>
      <c r="H8" s="971"/>
      <c r="I8" s="971"/>
      <c r="J8" s="348"/>
      <c r="K8" s="349"/>
      <c r="L8" s="518"/>
      <c r="M8" s="519"/>
      <c r="N8" s="518"/>
      <c r="O8" s="520"/>
      <c r="P8" s="520"/>
    </row>
    <row r="9" spans="1:17" ht="14.25" thickTop="1" thickBot="1" x14ac:dyDescent="0.25">
      <c r="A9" s="353" t="s">
        <v>0</v>
      </c>
      <c r="B9" s="354" t="s">
        <v>1</v>
      </c>
      <c r="C9" s="939" t="s">
        <v>656</v>
      </c>
      <c r="D9" s="939"/>
      <c r="E9" s="939"/>
      <c r="F9" s="939"/>
      <c r="G9" s="939" t="s">
        <v>34</v>
      </c>
      <c r="H9" s="939"/>
      <c r="I9" s="939"/>
      <c r="J9" s="355"/>
      <c r="K9" s="523"/>
      <c r="L9" s="942" t="s">
        <v>783</v>
      </c>
      <c r="M9" s="944" t="s">
        <v>784</v>
      </c>
      <c r="N9" s="946" t="s">
        <v>785</v>
      </c>
      <c r="O9" s="948"/>
      <c r="P9" s="950"/>
      <c r="Q9" s="940"/>
    </row>
    <row r="10" spans="1:17" ht="15.75" x14ac:dyDescent="0.25">
      <c r="A10" s="525" t="s">
        <v>354</v>
      </c>
      <c r="B10" s="525" t="s">
        <v>355</v>
      </c>
      <c r="C10" s="359" t="s">
        <v>19</v>
      </c>
      <c r="D10" s="360" t="s">
        <v>33</v>
      </c>
      <c r="E10" s="361" t="s">
        <v>35</v>
      </c>
      <c r="F10" s="362" t="s">
        <v>30</v>
      </c>
      <c r="G10" s="526" t="s">
        <v>14</v>
      </c>
      <c r="H10" s="361" t="s">
        <v>35</v>
      </c>
      <c r="I10" s="362" t="s">
        <v>30</v>
      </c>
      <c r="J10" s="364" t="s">
        <v>659</v>
      </c>
      <c r="K10" s="527" t="s">
        <v>38</v>
      </c>
      <c r="L10" s="943"/>
      <c r="M10" s="945"/>
      <c r="N10" s="947"/>
      <c r="O10" s="949"/>
      <c r="P10" s="951"/>
      <c r="Q10" s="941"/>
    </row>
    <row r="11" spans="1:17" x14ac:dyDescent="0.2">
      <c r="A11" s="370"/>
      <c r="B11" s="5"/>
      <c r="C11" s="371"/>
      <c r="D11" s="372" t="s">
        <v>21</v>
      </c>
      <c r="E11" s="253">
        <v>0</v>
      </c>
      <c r="F11" s="373">
        <f t="shared" ref="F11:F22" si="0">C11*E11</f>
        <v>0</v>
      </c>
      <c r="G11" s="529"/>
      <c r="H11" s="375">
        <v>0</v>
      </c>
      <c r="I11" s="373">
        <f t="shared" ref="I11:I22" si="1">G11*H11</f>
        <v>0</v>
      </c>
      <c r="J11" s="376"/>
      <c r="K11" s="530">
        <f t="shared" ref="K11:K22" si="2">F11+I11+J11</f>
        <v>0</v>
      </c>
      <c r="L11" s="378"/>
      <c r="M11" s="379"/>
      <c r="N11" s="380"/>
      <c r="O11" s="381"/>
      <c r="P11" s="382"/>
      <c r="Q11" s="383"/>
    </row>
    <row r="12" spans="1:17" x14ac:dyDescent="0.2">
      <c r="A12" s="370"/>
      <c r="B12" s="5"/>
      <c r="C12" s="371"/>
      <c r="D12" s="372" t="s">
        <v>21</v>
      </c>
      <c r="E12" s="253">
        <v>0</v>
      </c>
      <c r="F12" s="373">
        <f t="shared" si="0"/>
        <v>0</v>
      </c>
      <c r="G12" s="529"/>
      <c r="H12" s="375">
        <v>0</v>
      </c>
      <c r="I12" s="373">
        <f t="shared" si="1"/>
        <v>0</v>
      </c>
      <c r="J12" s="376"/>
      <c r="K12" s="530">
        <f t="shared" si="2"/>
        <v>0</v>
      </c>
      <c r="L12" s="378"/>
      <c r="M12" s="379"/>
      <c r="N12" s="380"/>
      <c r="O12" s="381"/>
      <c r="P12" s="382"/>
      <c r="Q12" s="383"/>
    </row>
    <row r="13" spans="1:17" x14ac:dyDescent="0.2">
      <c r="A13" s="370"/>
      <c r="B13" s="5"/>
      <c r="C13" s="371"/>
      <c r="D13" s="372" t="s">
        <v>21</v>
      </c>
      <c r="E13" s="253">
        <v>0</v>
      </c>
      <c r="F13" s="373">
        <f t="shared" si="0"/>
        <v>0</v>
      </c>
      <c r="G13" s="529"/>
      <c r="H13" s="375">
        <v>0</v>
      </c>
      <c r="I13" s="373">
        <f t="shared" si="1"/>
        <v>0</v>
      </c>
      <c r="J13" s="376"/>
      <c r="K13" s="530">
        <f t="shared" si="2"/>
        <v>0</v>
      </c>
      <c r="L13" s="378"/>
      <c r="M13" s="379"/>
      <c r="N13" s="380"/>
      <c r="O13" s="381"/>
      <c r="P13" s="382"/>
      <c r="Q13" s="383"/>
    </row>
    <row r="14" spans="1:17" x14ac:dyDescent="0.2">
      <c r="A14" s="370"/>
      <c r="B14" s="5"/>
      <c r="C14" s="371"/>
      <c r="D14" s="372" t="s">
        <v>21</v>
      </c>
      <c r="E14" s="253">
        <v>0</v>
      </c>
      <c r="F14" s="373">
        <f t="shared" si="0"/>
        <v>0</v>
      </c>
      <c r="G14" s="529"/>
      <c r="H14" s="375">
        <v>0</v>
      </c>
      <c r="I14" s="373">
        <f t="shared" si="1"/>
        <v>0</v>
      </c>
      <c r="J14" s="376"/>
      <c r="K14" s="530">
        <f t="shared" si="2"/>
        <v>0</v>
      </c>
      <c r="L14" s="378"/>
      <c r="M14" s="379"/>
      <c r="N14" s="380"/>
      <c r="O14" s="381"/>
      <c r="P14" s="382"/>
      <c r="Q14" s="383"/>
    </row>
    <row r="15" spans="1:17" x14ac:dyDescent="0.2">
      <c r="A15" s="370"/>
      <c r="B15" s="6"/>
      <c r="C15" s="371"/>
      <c r="D15" s="372" t="s">
        <v>21</v>
      </c>
      <c r="E15" s="253">
        <v>0</v>
      </c>
      <c r="F15" s="373">
        <f t="shared" si="0"/>
        <v>0</v>
      </c>
      <c r="G15" s="529"/>
      <c r="H15" s="375">
        <v>0</v>
      </c>
      <c r="I15" s="373">
        <f t="shared" si="1"/>
        <v>0</v>
      </c>
      <c r="J15" s="376"/>
      <c r="K15" s="530">
        <f t="shared" si="2"/>
        <v>0</v>
      </c>
      <c r="L15" s="378"/>
      <c r="M15" s="379"/>
      <c r="N15" s="380"/>
      <c r="O15" s="381"/>
      <c r="P15" s="382"/>
      <c r="Q15" s="383"/>
    </row>
    <row r="16" spans="1:17" x14ac:dyDescent="0.2">
      <c r="A16" s="384"/>
      <c r="B16" s="5"/>
      <c r="C16" s="371"/>
      <c r="D16" s="372" t="s">
        <v>21</v>
      </c>
      <c r="E16" s="253">
        <v>0</v>
      </c>
      <c r="F16" s="373">
        <f t="shared" si="0"/>
        <v>0</v>
      </c>
      <c r="G16" s="529"/>
      <c r="H16" s="375">
        <v>0</v>
      </c>
      <c r="I16" s="373">
        <f t="shared" si="1"/>
        <v>0</v>
      </c>
      <c r="J16" s="376"/>
      <c r="K16" s="530">
        <f t="shared" si="2"/>
        <v>0</v>
      </c>
      <c r="L16" s="378"/>
      <c r="M16" s="379"/>
      <c r="N16" s="380"/>
      <c r="O16" s="381"/>
      <c r="P16" s="382"/>
      <c r="Q16" s="383"/>
    </row>
    <row r="17" spans="1:17" x14ac:dyDescent="0.2">
      <c r="A17" s="384"/>
      <c r="B17" s="5"/>
      <c r="C17" s="371"/>
      <c r="D17" s="372" t="s">
        <v>21</v>
      </c>
      <c r="E17" s="253">
        <v>0</v>
      </c>
      <c r="F17" s="373">
        <f t="shared" si="0"/>
        <v>0</v>
      </c>
      <c r="G17" s="529"/>
      <c r="H17" s="375">
        <v>0</v>
      </c>
      <c r="I17" s="373">
        <f t="shared" si="1"/>
        <v>0</v>
      </c>
      <c r="J17" s="376"/>
      <c r="K17" s="530">
        <f t="shared" si="2"/>
        <v>0</v>
      </c>
      <c r="L17" s="157"/>
      <c r="M17" s="469"/>
      <c r="O17" s="381"/>
      <c r="P17" s="382"/>
      <c r="Q17" s="383"/>
    </row>
    <row r="18" spans="1:17" x14ac:dyDescent="0.2">
      <c r="A18" s="384"/>
      <c r="B18" s="5"/>
      <c r="C18" s="371"/>
      <c r="D18" s="372" t="s">
        <v>21</v>
      </c>
      <c r="E18" s="253">
        <v>0</v>
      </c>
      <c r="F18" s="373">
        <f t="shared" si="0"/>
        <v>0</v>
      </c>
      <c r="G18" s="529"/>
      <c r="H18" s="375">
        <v>0</v>
      </c>
      <c r="I18" s="373">
        <f t="shared" si="1"/>
        <v>0</v>
      </c>
      <c r="J18" s="376"/>
      <c r="K18" s="530">
        <f t="shared" si="2"/>
        <v>0</v>
      </c>
      <c r="L18" s="157"/>
      <c r="M18" s="469"/>
      <c r="O18" s="381"/>
      <c r="P18" s="382"/>
      <c r="Q18" s="383"/>
    </row>
    <row r="19" spans="1:17" x14ac:dyDescent="0.2">
      <c r="A19" s="384"/>
      <c r="B19" s="5"/>
      <c r="C19" s="371"/>
      <c r="D19" s="372" t="s">
        <v>21</v>
      </c>
      <c r="E19" s="253">
        <v>0</v>
      </c>
      <c r="F19" s="373">
        <f t="shared" si="0"/>
        <v>0</v>
      </c>
      <c r="G19" s="529"/>
      <c r="H19" s="375">
        <v>0</v>
      </c>
      <c r="I19" s="373">
        <f t="shared" si="1"/>
        <v>0</v>
      </c>
      <c r="J19" s="376"/>
      <c r="K19" s="530">
        <f t="shared" si="2"/>
        <v>0</v>
      </c>
      <c r="L19" s="157"/>
      <c r="M19" s="469"/>
      <c r="O19" s="381"/>
      <c r="P19" s="382"/>
      <c r="Q19" s="383"/>
    </row>
    <row r="20" spans="1:17" x14ac:dyDescent="0.2">
      <c r="A20" s="384"/>
      <c r="B20" s="5"/>
      <c r="C20" s="371"/>
      <c r="D20" s="372" t="s">
        <v>21</v>
      </c>
      <c r="E20" s="253">
        <v>0</v>
      </c>
      <c r="F20" s="373">
        <f t="shared" si="0"/>
        <v>0</v>
      </c>
      <c r="G20" s="529"/>
      <c r="H20" s="375">
        <v>0</v>
      </c>
      <c r="I20" s="373">
        <f t="shared" si="1"/>
        <v>0</v>
      </c>
      <c r="J20" s="376"/>
      <c r="K20" s="530">
        <f t="shared" si="2"/>
        <v>0</v>
      </c>
      <c r="L20" s="157"/>
      <c r="M20" s="469"/>
      <c r="O20" s="381"/>
      <c r="P20" s="382"/>
      <c r="Q20" s="383"/>
    </row>
    <row r="21" spans="1:17" x14ac:dyDescent="0.2">
      <c r="A21" s="384"/>
      <c r="B21" s="5"/>
      <c r="C21" s="371"/>
      <c r="D21" s="372" t="s">
        <v>21</v>
      </c>
      <c r="E21" s="253">
        <v>0</v>
      </c>
      <c r="F21" s="373">
        <f t="shared" si="0"/>
        <v>0</v>
      </c>
      <c r="G21" s="529"/>
      <c r="H21" s="375">
        <v>0</v>
      </c>
      <c r="I21" s="373">
        <f t="shared" si="1"/>
        <v>0</v>
      </c>
      <c r="J21" s="376"/>
      <c r="K21" s="530">
        <f t="shared" si="2"/>
        <v>0</v>
      </c>
      <c r="L21" s="157"/>
      <c r="M21" s="469"/>
      <c r="O21" s="381"/>
      <c r="P21" s="382"/>
      <c r="Q21" s="383"/>
    </row>
    <row r="22" spans="1:17" x14ac:dyDescent="0.2">
      <c r="A22" s="384"/>
      <c r="B22" s="5"/>
      <c r="C22" s="371"/>
      <c r="D22" s="372" t="s">
        <v>21</v>
      </c>
      <c r="E22" s="253">
        <v>0</v>
      </c>
      <c r="F22" s="373">
        <f t="shared" si="0"/>
        <v>0</v>
      </c>
      <c r="G22" s="529"/>
      <c r="H22" s="375">
        <v>0</v>
      </c>
      <c r="I22" s="373">
        <f t="shared" si="1"/>
        <v>0</v>
      </c>
      <c r="J22" s="376"/>
      <c r="K22" s="530">
        <f t="shared" si="2"/>
        <v>0</v>
      </c>
      <c r="L22" s="157"/>
      <c r="M22" s="469"/>
      <c r="O22" s="381"/>
      <c r="P22" s="382"/>
      <c r="Q22" s="383"/>
    </row>
    <row r="23" spans="1:17" s="674" customFormat="1" ht="13.5" thickBot="1" x14ac:dyDescent="0.25">
      <c r="A23" s="387"/>
      <c r="B23" s="7"/>
      <c r="C23" s="388"/>
      <c r="D23" s="372"/>
      <c r="E23" s="253"/>
      <c r="F23" s="373"/>
      <c r="G23" s="529"/>
      <c r="H23" s="375"/>
      <c r="I23" s="373"/>
      <c r="J23" s="376"/>
      <c r="K23" s="530"/>
      <c r="L23" s="157"/>
      <c r="M23" s="469"/>
      <c r="N23" s="157"/>
      <c r="O23" s="381"/>
      <c r="P23" s="382"/>
      <c r="Q23" s="383"/>
    </row>
    <row r="24" spans="1:17" s="674" customFormat="1" ht="13.5" thickTop="1" x14ac:dyDescent="0.2">
      <c r="A24" s="387"/>
      <c r="B24" s="7"/>
      <c r="C24" s="388"/>
      <c r="D24" s="372"/>
      <c r="E24" s="253"/>
      <c r="F24" s="373"/>
      <c r="G24" s="529"/>
      <c r="H24" s="375"/>
      <c r="I24" s="373"/>
      <c r="J24" s="389" t="s">
        <v>30</v>
      </c>
      <c r="K24" s="532">
        <f>SUM(K11:K23)</f>
        <v>0</v>
      </c>
      <c r="L24" s="157"/>
      <c r="M24" s="469"/>
      <c r="N24" s="157"/>
      <c r="O24" s="381"/>
      <c r="P24" s="382"/>
      <c r="Q24" s="383"/>
    </row>
    <row r="25" spans="1:17" s="674" customFormat="1" ht="13.5" thickBot="1" x14ac:dyDescent="0.25">
      <c r="A25" s="353" t="s">
        <v>0</v>
      </c>
      <c r="B25" s="354" t="s">
        <v>1</v>
      </c>
      <c r="C25" s="939" t="s">
        <v>656</v>
      </c>
      <c r="D25" s="939"/>
      <c r="E25" s="939"/>
      <c r="F25" s="939"/>
      <c r="G25" s="939" t="s">
        <v>34</v>
      </c>
      <c r="H25" s="939"/>
      <c r="I25" s="939"/>
      <c r="J25" s="355"/>
      <c r="K25" s="523"/>
      <c r="L25" s="391"/>
      <c r="M25" s="392"/>
      <c r="N25" s="393"/>
      <c r="O25" s="381"/>
      <c r="P25" s="382"/>
      <c r="Q25" s="383"/>
    </row>
    <row r="26" spans="1:17" s="674" customFormat="1" ht="16.5" thickBot="1" x14ac:dyDescent="0.3">
      <c r="A26" s="525" t="s">
        <v>356</v>
      </c>
      <c r="B26" s="525" t="s">
        <v>357</v>
      </c>
      <c r="C26" s="396" t="s">
        <v>19</v>
      </c>
      <c r="D26" s="397" t="s">
        <v>33</v>
      </c>
      <c r="E26" s="398" t="s">
        <v>35</v>
      </c>
      <c r="F26" s="399" t="s">
        <v>30</v>
      </c>
      <c r="G26" s="533" t="s">
        <v>14</v>
      </c>
      <c r="H26" s="398" t="s">
        <v>35</v>
      </c>
      <c r="I26" s="399" t="s">
        <v>30</v>
      </c>
      <c r="J26" s="364" t="s">
        <v>659</v>
      </c>
      <c r="K26" s="534" t="s">
        <v>38</v>
      </c>
      <c r="L26" s="402"/>
      <c r="M26" s="403"/>
      <c r="N26" s="404"/>
      <c r="O26" s="381"/>
      <c r="P26" s="382"/>
      <c r="Q26" s="383"/>
    </row>
    <row r="27" spans="1:17" s="674" customFormat="1" x14ac:dyDescent="0.2">
      <c r="A27" s="405"/>
      <c r="B27" s="406"/>
      <c r="C27" s="371">
        <v>59</v>
      </c>
      <c r="D27" s="372" t="s">
        <v>33</v>
      </c>
      <c r="E27" s="253">
        <v>700</v>
      </c>
      <c r="F27" s="373">
        <f t="shared" ref="F27:F33" si="3">C27*E27</f>
        <v>41300</v>
      </c>
      <c r="G27" s="529"/>
      <c r="H27" s="375">
        <v>0</v>
      </c>
      <c r="I27" s="373">
        <f t="shared" ref="I27:I33" si="4">G27*H27</f>
        <v>0</v>
      </c>
      <c r="J27" s="376"/>
      <c r="K27" s="530">
        <f t="shared" ref="K27:K33" si="5">F27+I27+J27</f>
        <v>41300</v>
      </c>
      <c r="L27" s="157" t="s">
        <v>1088</v>
      </c>
      <c r="M27" s="469"/>
      <c r="N27" s="157"/>
      <c r="O27" s="381"/>
      <c r="P27" s="382"/>
      <c r="Q27" s="383"/>
    </row>
    <row r="28" spans="1:17" s="674" customFormat="1" x14ac:dyDescent="0.2">
      <c r="A28" s="370"/>
      <c r="B28" s="5"/>
      <c r="C28" s="371"/>
      <c r="D28" s="372" t="s">
        <v>21</v>
      </c>
      <c r="E28" s="253">
        <v>0</v>
      </c>
      <c r="F28" s="373">
        <f t="shared" si="3"/>
        <v>0</v>
      </c>
      <c r="G28" s="529"/>
      <c r="H28" s="375">
        <v>0</v>
      </c>
      <c r="I28" s="373">
        <f t="shared" si="4"/>
        <v>0</v>
      </c>
      <c r="J28" s="376"/>
      <c r="K28" s="530">
        <f t="shared" si="5"/>
        <v>0</v>
      </c>
      <c r="L28" s="159"/>
      <c r="M28" s="276"/>
      <c r="N28" s="157"/>
      <c r="O28" s="381"/>
      <c r="P28" s="382"/>
      <c r="Q28" s="383"/>
    </row>
    <row r="29" spans="1:17" s="674" customFormat="1" x14ac:dyDescent="0.2">
      <c r="A29" s="370"/>
      <c r="B29" s="5"/>
      <c r="C29" s="371"/>
      <c r="D29" s="372" t="s">
        <v>21</v>
      </c>
      <c r="E29" s="253">
        <v>0</v>
      </c>
      <c r="F29" s="373">
        <f t="shared" si="3"/>
        <v>0</v>
      </c>
      <c r="G29" s="529"/>
      <c r="H29" s="375">
        <v>0</v>
      </c>
      <c r="I29" s="373">
        <f t="shared" si="4"/>
        <v>0</v>
      </c>
      <c r="J29" s="376"/>
      <c r="K29" s="530">
        <f t="shared" si="5"/>
        <v>0</v>
      </c>
      <c r="L29" s="378"/>
      <c r="M29" s="379"/>
      <c r="N29" s="380"/>
      <c r="O29" s="381"/>
      <c r="P29" s="382"/>
      <c r="Q29" s="383"/>
    </row>
    <row r="30" spans="1:17" s="674" customFormat="1" x14ac:dyDescent="0.2">
      <c r="A30" s="370"/>
      <c r="B30" s="5"/>
      <c r="C30" s="371"/>
      <c r="D30" s="372" t="s">
        <v>21</v>
      </c>
      <c r="E30" s="253">
        <v>0</v>
      </c>
      <c r="F30" s="373">
        <f t="shared" si="3"/>
        <v>0</v>
      </c>
      <c r="G30" s="529"/>
      <c r="H30" s="375">
        <v>0</v>
      </c>
      <c r="I30" s="373">
        <f t="shared" si="4"/>
        <v>0</v>
      </c>
      <c r="J30" s="376"/>
      <c r="K30" s="530">
        <f t="shared" si="5"/>
        <v>0</v>
      </c>
      <c r="L30" s="378"/>
      <c r="M30" s="379"/>
      <c r="N30" s="380"/>
      <c r="O30" s="381"/>
      <c r="P30" s="382"/>
      <c r="Q30" s="383"/>
    </row>
    <row r="31" spans="1:17" s="674" customFormat="1" x14ac:dyDescent="0.2">
      <c r="A31" s="370"/>
      <c r="B31" s="5"/>
      <c r="C31" s="371"/>
      <c r="D31" s="372" t="s">
        <v>21</v>
      </c>
      <c r="E31" s="253">
        <v>0</v>
      </c>
      <c r="F31" s="373">
        <f t="shared" si="3"/>
        <v>0</v>
      </c>
      <c r="G31" s="529"/>
      <c r="H31" s="375">
        <v>0</v>
      </c>
      <c r="I31" s="373">
        <f t="shared" si="4"/>
        <v>0</v>
      </c>
      <c r="J31" s="376"/>
      <c r="K31" s="530">
        <f t="shared" si="5"/>
        <v>0</v>
      </c>
      <c r="L31" s="536"/>
      <c r="M31" s="574"/>
      <c r="N31" s="537"/>
      <c r="O31" s="381"/>
      <c r="P31" s="382"/>
      <c r="Q31" s="383"/>
    </row>
    <row r="32" spans="1:17" s="674" customFormat="1" x14ac:dyDescent="0.2">
      <c r="A32" s="370"/>
      <c r="B32" s="5"/>
      <c r="C32" s="371"/>
      <c r="D32" s="372" t="s">
        <v>21</v>
      </c>
      <c r="E32" s="253">
        <v>0</v>
      </c>
      <c r="F32" s="373">
        <f t="shared" si="3"/>
        <v>0</v>
      </c>
      <c r="G32" s="529"/>
      <c r="H32" s="375">
        <v>0</v>
      </c>
      <c r="I32" s="373">
        <f t="shared" si="4"/>
        <v>0</v>
      </c>
      <c r="J32" s="376"/>
      <c r="K32" s="530">
        <f t="shared" si="5"/>
        <v>0</v>
      </c>
      <c r="L32" s="538"/>
      <c r="M32" s="255"/>
      <c r="N32" s="421"/>
      <c r="O32" s="381"/>
      <c r="P32" s="382"/>
      <c r="Q32" s="383"/>
    </row>
    <row r="33" spans="1:17" s="674" customFormat="1" x14ac:dyDescent="0.2">
      <c r="A33" s="370"/>
      <c r="B33" s="5"/>
      <c r="C33" s="371"/>
      <c r="D33" s="372" t="s">
        <v>21</v>
      </c>
      <c r="E33" s="253">
        <v>0</v>
      </c>
      <c r="F33" s="373">
        <f t="shared" si="3"/>
        <v>0</v>
      </c>
      <c r="G33" s="529"/>
      <c r="H33" s="375">
        <v>0</v>
      </c>
      <c r="I33" s="373">
        <f t="shared" si="4"/>
        <v>0</v>
      </c>
      <c r="J33" s="376"/>
      <c r="K33" s="530">
        <f t="shared" si="5"/>
        <v>0</v>
      </c>
      <c r="L33" s="157"/>
      <c r="M33" s="469"/>
      <c r="N33" s="157"/>
      <c r="O33" s="381"/>
      <c r="P33" s="382"/>
      <c r="Q33" s="383"/>
    </row>
    <row r="34" spans="1:17" s="674" customFormat="1" ht="13.5" thickBot="1" x14ac:dyDescent="0.25">
      <c r="A34" s="370"/>
      <c r="B34" s="5"/>
      <c r="C34" s="388"/>
      <c r="D34" s="372"/>
      <c r="E34" s="253"/>
      <c r="F34" s="373"/>
      <c r="G34" s="529"/>
      <c r="H34" s="375"/>
      <c r="I34" s="373"/>
      <c r="J34" s="376"/>
      <c r="K34" s="535"/>
      <c r="L34" s="157"/>
      <c r="M34" s="469"/>
      <c r="N34" s="157"/>
      <c r="O34" s="381"/>
      <c r="P34" s="382"/>
      <c r="Q34" s="383"/>
    </row>
    <row r="35" spans="1:17" s="674" customFormat="1" ht="13.5" thickTop="1" x14ac:dyDescent="0.2">
      <c r="A35" s="387"/>
      <c r="B35" s="5"/>
      <c r="C35" s="388"/>
      <c r="D35" s="372"/>
      <c r="E35" s="253"/>
      <c r="F35" s="373"/>
      <c r="G35" s="529"/>
      <c r="H35" s="375"/>
      <c r="I35" s="373"/>
      <c r="J35" s="389" t="s">
        <v>30</v>
      </c>
      <c r="K35" s="532">
        <f>SUM(K27:K34)</f>
        <v>41300</v>
      </c>
      <c r="L35" s="378"/>
      <c r="M35" s="379"/>
      <c r="N35" s="380"/>
      <c r="O35" s="381"/>
      <c r="P35" s="382"/>
      <c r="Q35" s="383"/>
    </row>
    <row r="36" spans="1:17" s="674" customFormat="1" ht="13.5" thickBot="1" x14ac:dyDescent="0.25">
      <c r="A36" s="353" t="s">
        <v>0</v>
      </c>
      <c r="B36" s="354" t="s">
        <v>1</v>
      </c>
      <c r="C36" s="939" t="s">
        <v>656</v>
      </c>
      <c r="D36" s="939"/>
      <c r="E36" s="939"/>
      <c r="F36" s="939"/>
      <c r="G36" s="939" t="s">
        <v>34</v>
      </c>
      <c r="H36" s="939"/>
      <c r="I36" s="939"/>
      <c r="J36" s="355"/>
      <c r="K36" s="523"/>
      <c r="L36" s="391"/>
      <c r="M36" s="392"/>
      <c r="N36" s="393"/>
      <c r="O36" s="381"/>
      <c r="P36" s="382"/>
      <c r="Q36" s="383"/>
    </row>
    <row r="37" spans="1:17" s="674" customFormat="1" ht="16.5" thickBot="1" x14ac:dyDescent="0.3">
      <c r="A37" s="525" t="s">
        <v>358</v>
      </c>
      <c r="B37" s="525" t="s">
        <v>359</v>
      </c>
      <c r="C37" s="396" t="s">
        <v>19</v>
      </c>
      <c r="D37" s="397" t="s">
        <v>33</v>
      </c>
      <c r="E37" s="398" t="s">
        <v>35</v>
      </c>
      <c r="F37" s="399" t="s">
        <v>30</v>
      </c>
      <c r="G37" s="533" t="s">
        <v>14</v>
      </c>
      <c r="H37" s="398" t="s">
        <v>35</v>
      </c>
      <c r="I37" s="399" t="s">
        <v>30</v>
      </c>
      <c r="J37" s="364" t="s">
        <v>659</v>
      </c>
      <c r="K37" s="534" t="s">
        <v>38</v>
      </c>
      <c r="L37" s="402"/>
      <c r="M37" s="408"/>
      <c r="N37" s="409"/>
      <c r="O37" s="410"/>
      <c r="P37" s="411"/>
      <c r="Q37" s="383"/>
    </row>
    <row r="38" spans="1:17" s="674" customFormat="1" x14ac:dyDescent="0.2">
      <c r="A38" s="405"/>
      <c r="B38" s="406"/>
      <c r="C38" s="371"/>
      <c r="D38" s="372" t="s">
        <v>21</v>
      </c>
      <c r="E38" s="253">
        <v>0</v>
      </c>
      <c r="F38" s="373">
        <f>C38*E38</f>
        <v>0</v>
      </c>
      <c r="G38" s="529"/>
      <c r="H38" s="375">
        <v>0</v>
      </c>
      <c r="I38" s="373">
        <f>G38*H38</f>
        <v>0</v>
      </c>
      <c r="J38" s="376"/>
      <c r="K38" s="530">
        <f>F38+I38+J38</f>
        <v>0</v>
      </c>
      <c r="L38" s="378"/>
      <c r="M38" s="379"/>
      <c r="N38" s="380"/>
      <c r="O38" s="410"/>
      <c r="P38" s="411"/>
      <c r="Q38" s="383"/>
    </row>
    <row r="39" spans="1:17" s="674" customFormat="1" x14ac:dyDescent="0.2">
      <c r="A39" s="370"/>
      <c r="B39" s="5"/>
      <c r="C39" s="371"/>
      <c r="D39" s="372" t="s">
        <v>21</v>
      </c>
      <c r="E39" s="253">
        <v>0</v>
      </c>
      <c r="F39" s="373">
        <f>C39*E39</f>
        <v>0</v>
      </c>
      <c r="G39" s="529"/>
      <c r="H39" s="375">
        <v>0</v>
      </c>
      <c r="I39" s="373">
        <f>G39*H39</f>
        <v>0</v>
      </c>
      <c r="J39" s="376"/>
      <c r="K39" s="530">
        <f>F39+I39+J39</f>
        <v>0</v>
      </c>
      <c r="L39" s="378"/>
      <c r="M39" s="379"/>
      <c r="N39" s="380"/>
      <c r="O39" s="410"/>
      <c r="P39" s="411"/>
      <c r="Q39" s="383"/>
    </row>
    <row r="40" spans="1:17" s="674" customFormat="1" x14ac:dyDescent="0.2">
      <c r="A40" s="370"/>
      <c r="B40" s="5"/>
      <c r="C40" s="371"/>
      <c r="D40" s="372" t="s">
        <v>21</v>
      </c>
      <c r="E40" s="253">
        <v>0</v>
      </c>
      <c r="F40" s="373">
        <f>C40*E40</f>
        <v>0</v>
      </c>
      <c r="G40" s="529"/>
      <c r="H40" s="375">
        <v>0</v>
      </c>
      <c r="I40" s="373">
        <f>G40*H40</f>
        <v>0</v>
      </c>
      <c r="J40" s="376"/>
      <c r="K40" s="530">
        <f>F40+I40+J40</f>
        <v>0</v>
      </c>
      <c r="L40" s="378"/>
      <c r="M40" s="379"/>
      <c r="N40" s="380"/>
      <c r="O40" s="410"/>
      <c r="P40" s="411"/>
      <c r="Q40" s="383"/>
    </row>
    <row r="41" spans="1:17" s="674" customFormat="1" x14ac:dyDescent="0.2">
      <c r="A41" s="387"/>
      <c r="B41" s="412"/>
      <c r="C41" s="388"/>
      <c r="D41" s="372"/>
      <c r="E41" s="253"/>
      <c r="F41" s="373"/>
      <c r="G41" s="529"/>
      <c r="H41" s="375"/>
      <c r="I41" s="373"/>
      <c r="J41" s="376"/>
      <c r="K41" s="535"/>
      <c r="L41" s="378"/>
      <c r="M41" s="379"/>
      <c r="N41" s="380"/>
      <c r="O41" s="410"/>
      <c r="P41" s="411"/>
      <c r="Q41" s="383"/>
    </row>
    <row r="42" spans="1:17" s="674" customFormat="1" ht="13.5" thickBot="1" x14ac:dyDescent="0.25">
      <c r="A42" s="387"/>
      <c r="B42" s="412"/>
      <c r="C42" s="388"/>
      <c r="D42" s="372"/>
      <c r="E42" s="253"/>
      <c r="F42" s="373"/>
      <c r="G42" s="529"/>
      <c r="H42" s="375"/>
      <c r="I42" s="373"/>
      <c r="J42" s="376"/>
      <c r="K42" s="535"/>
      <c r="L42" s="159"/>
      <c r="M42" s="276"/>
      <c r="N42" s="157"/>
      <c r="O42" s="410"/>
      <c r="P42" s="411"/>
      <c r="Q42" s="383"/>
    </row>
    <row r="43" spans="1:17" s="674" customFormat="1" ht="13.5" thickTop="1" x14ac:dyDescent="0.2">
      <c r="A43" s="387"/>
      <c r="B43" s="412"/>
      <c r="C43" s="388"/>
      <c r="D43" s="372"/>
      <c r="E43" s="253"/>
      <c r="F43" s="373"/>
      <c r="G43" s="529"/>
      <c r="H43" s="375"/>
      <c r="I43" s="373"/>
      <c r="J43" s="389" t="s">
        <v>30</v>
      </c>
      <c r="K43" s="532">
        <f>SUM(K38:K42)</f>
        <v>0</v>
      </c>
      <c r="L43" s="159"/>
      <c r="M43" s="276"/>
      <c r="N43" s="157"/>
      <c r="O43" s="381"/>
      <c r="P43" s="382"/>
      <c r="Q43" s="383"/>
    </row>
    <row r="44" spans="1:17" s="674" customFormat="1" ht="13.5" thickBot="1" x14ac:dyDescent="0.25">
      <c r="A44" s="353" t="s">
        <v>0</v>
      </c>
      <c r="B44" s="354" t="s">
        <v>1</v>
      </c>
      <c r="C44" s="939" t="s">
        <v>656</v>
      </c>
      <c r="D44" s="939"/>
      <c r="E44" s="939"/>
      <c r="F44" s="939"/>
      <c r="G44" s="939" t="s">
        <v>34</v>
      </c>
      <c r="H44" s="939"/>
      <c r="I44" s="939"/>
      <c r="J44" s="355"/>
      <c r="K44" s="523"/>
      <c r="L44" s="391"/>
      <c r="M44" s="392"/>
      <c r="N44" s="393"/>
      <c r="O44" s="381"/>
      <c r="P44" s="382"/>
      <c r="Q44" s="383"/>
    </row>
    <row r="45" spans="1:17" s="674" customFormat="1" ht="16.5" thickBot="1" x14ac:dyDescent="0.3">
      <c r="A45" s="525" t="s">
        <v>360</v>
      </c>
      <c r="B45" s="525" t="s">
        <v>362</v>
      </c>
      <c r="C45" s="396" t="s">
        <v>19</v>
      </c>
      <c r="D45" s="397" t="s">
        <v>33</v>
      </c>
      <c r="E45" s="398" t="s">
        <v>35</v>
      </c>
      <c r="F45" s="399" t="s">
        <v>30</v>
      </c>
      <c r="G45" s="533" t="s">
        <v>14</v>
      </c>
      <c r="H45" s="398" t="s">
        <v>35</v>
      </c>
      <c r="I45" s="399" t="s">
        <v>30</v>
      </c>
      <c r="J45" s="364" t="s">
        <v>659</v>
      </c>
      <c r="K45" s="534" t="s">
        <v>38</v>
      </c>
      <c r="L45" s="402"/>
      <c r="M45" s="408"/>
      <c r="N45" s="409"/>
      <c r="O45" s="381"/>
      <c r="P45" s="411"/>
      <c r="Q45" s="383"/>
    </row>
    <row r="46" spans="1:17" s="674" customFormat="1" x14ac:dyDescent="0.2">
      <c r="A46" s="405"/>
      <c r="B46" s="406"/>
      <c r="C46" s="371"/>
      <c r="D46" s="372" t="s">
        <v>21</v>
      </c>
      <c r="E46" s="253">
        <v>0</v>
      </c>
      <c r="F46" s="373">
        <f>C46*E46</f>
        <v>0</v>
      </c>
      <c r="G46" s="529"/>
      <c r="H46" s="375">
        <v>0</v>
      </c>
      <c r="I46" s="373">
        <f>G46*H46</f>
        <v>0</v>
      </c>
      <c r="J46" s="376"/>
      <c r="K46" s="530">
        <f>F46+I46+J46</f>
        <v>0</v>
      </c>
      <c r="L46" s="378"/>
      <c r="M46" s="255"/>
      <c r="N46" s="421"/>
      <c r="O46" s="381"/>
      <c r="P46" s="382"/>
      <c r="Q46" s="383"/>
    </row>
    <row r="47" spans="1:17" s="674" customFormat="1" x14ac:dyDescent="0.2">
      <c r="A47" s="370"/>
      <c r="B47" s="5"/>
      <c r="C47" s="371"/>
      <c r="D47" s="372" t="s">
        <v>21</v>
      </c>
      <c r="E47" s="253">
        <v>0</v>
      </c>
      <c r="F47" s="373">
        <f>C47*E47</f>
        <v>0</v>
      </c>
      <c r="G47" s="529"/>
      <c r="H47" s="375">
        <v>0</v>
      </c>
      <c r="I47" s="373">
        <f>G47*H47</f>
        <v>0</v>
      </c>
      <c r="J47" s="376"/>
      <c r="K47" s="530">
        <f>F47+I47+J47</f>
        <v>0</v>
      </c>
      <c r="L47" s="378"/>
      <c r="M47" s="255"/>
      <c r="N47" s="421"/>
      <c r="O47" s="381"/>
      <c r="P47" s="382"/>
      <c r="Q47" s="383"/>
    </row>
    <row r="48" spans="1:17" s="674" customFormat="1" x14ac:dyDescent="0.2">
      <c r="A48" s="370"/>
      <c r="B48" s="5"/>
      <c r="C48" s="371"/>
      <c r="D48" s="372" t="s">
        <v>21</v>
      </c>
      <c r="E48" s="253">
        <v>0</v>
      </c>
      <c r="F48" s="373">
        <f>C48*E48</f>
        <v>0</v>
      </c>
      <c r="G48" s="529"/>
      <c r="H48" s="375">
        <v>0</v>
      </c>
      <c r="I48" s="373">
        <f>G48*H48</f>
        <v>0</v>
      </c>
      <c r="J48" s="376"/>
      <c r="K48" s="530">
        <f>F48+I48+J48</f>
        <v>0</v>
      </c>
      <c r="L48" s="661"/>
      <c r="M48" s="662"/>
      <c r="N48" s="663"/>
      <c r="O48" s="381"/>
      <c r="P48" s="382"/>
      <c r="Q48" s="383"/>
    </row>
    <row r="49" spans="1:17" s="674" customFormat="1" x14ac:dyDescent="0.2">
      <c r="A49" s="370"/>
      <c r="B49" s="5"/>
      <c r="C49" s="371"/>
      <c r="D49" s="372" t="s">
        <v>21</v>
      </c>
      <c r="E49" s="253">
        <v>0</v>
      </c>
      <c r="F49" s="373">
        <f>C49*E49</f>
        <v>0</v>
      </c>
      <c r="G49" s="529"/>
      <c r="H49" s="375">
        <v>0</v>
      </c>
      <c r="I49" s="373">
        <f>G49*H49</f>
        <v>0</v>
      </c>
      <c r="J49" s="376"/>
      <c r="K49" s="530">
        <f>F49+I49+J49</f>
        <v>0</v>
      </c>
      <c r="L49" s="664"/>
      <c r="M49" s="255"/>
      <c r="N49" s="421"/>
      <c r="O49" s="381"/>
      <c r="P49" s="382"/>
      <c r="Q49" s="383"/>
    </row>
    <row r="50" spans="1:17" s="674" customFormat="1" x14ac:dyDescent="0.2">
      <c r="A50" s="370"/>
      <c r="B50" s="5"/>
      <c r="C50" s="371"/>
      <c r="D50" s="372" t="s">
        <v>21</v>
      </c>
      <c r="E50" s="253">
        <v>0</v>
      </c>
      <c r="F50" s="373">
        <f>C50*E50</f>
        <v>0</v>
      </c>
      <c r="G50" s="529"/>
      <c r="H50" s="375">
        <v>0</v>
      </c>
      <c r="I50" s="373">
        <f>G50*H50</f>
        <v>0</v>
      </c>
      <c r="J50" s="376"/>
      <c r="K50" s="530">
        <f>F50+I50+J50</f>
        <v>0</v>
      </c>
      <c r="L50" s="378"/>
      <c r="M50" s="255"/>
      <c r="N50" s="421"/>
      <c r="O50" s="381"/>
      <c r="P50" s="382"/>
      <c r="Q50" s="383"/>
    </row>
    <row r="51" spans="1:17" s="674" customFormat="1" ht="13.5" thickBot="1" x14ac:dyDescent="0.25">
      <c r="A51" s="387"/>
      <c r="B51" s="412"/>
      <c r="C51" s="388"/>
      <c r="D51" s="372"/>
      <c r="E51" s="253"/>
      <c r="F51" s="373"/>
      <c r="G51" s="529"/>
      <c r="H51" s="375"/>
      <c r="I51" s="373"/>
      <c r="J51" s="376"/>
      <c r="K51" s="535"/>
      <c r="L51" s="378"/>
      <c r="M51" s="255"/>
      <c r="N51" s="380"/>
      <c r="O51" s="381"/>
      <c r="P51" s="382"/>
      <c r="Q51" s="383"/>
    </row>
    <row r="52" spans="1:17" s="674" customFormat="1" ht="13.5" thickTop="1" x14ac:dyDescent="0.2">
      <c r="A52" s="387"/>
      <c r="B52" s="412"/>
      <c r="C52" s="388"/>
      <c r="D52" s="372"/>
      <c r="E52" s="253"/>
      <c r="F52" s="373"/>
      <c r="G52" s="529"/>
      <c r="H52" s="375"/>
      <c r="I52" s="373"/>
      <c r="J52" s="389" t="s">
        <v>30</v>
      </c>
      <c r="K52" s="532">
        <f>SUM(K46:K51)</f>
        <v>0</v>
      </c>
      <c r="L52" s="157"/>
      <c r="M52" s="469"/>
      <c r="N52" s="157"/>
      <c r="O52" s="436"/>
      <c r="P52" s="437"/>
      <c r="Q52" s="383"/>
    </row>
    <row r="53" spans="1:17" s="674" customFormat="1" ht="13.5" thickBot="1" x14ac:dyDescent="0.25">
      <c r="A53" s="353" t="s">
        <v>0</v>
      </c>
      <c r="B53" s="354" t="s">
        <v>1</v>
      </c>
      <c r="C53" s="939" t="s">
        <v>656</v>
      </c>
      <c r="D53" s="939"/>
      <c r="E53" s="939"/>
      <c r="F53" s="939"/>
      <c r="G53" s="939" t="s">
        <v>34</v>
      </c>
      <c r="H53" s="939"/>
      <c r="I53" s="939"/>
      <c r="J53" s="355"/>
      <c r="K53" s="523"/>
      <c r="L53" s="391"/>
      <c r="M53" s="355"/>
      <c r="N53" s="393"/>
      <c r="O53" s="436"/>
      <c r="P53" s="437"/>
      <c r="Q53" s="383"/>
    </row>
    <row r="54" spans="1:17" s="674" customFormat="1" ht="16.5" thickBot="1" x14ac:dyDescent="0.3">
      <c r="A54" s="525" t="s">
        <v>361</v>
      </c>
      <c r="B54" s="525" t="s">
        <v>363</v>
      </c>
      <c r="C54" s="396" t="s">
        <v>19</v>
      </c>
      <c r="D54" s="397" t="s">
        <v>33</v>
      </c>
      <c r="E54" s="398" t="s">
        <v>35</v>
      </c>
      <c r="F54" s="399" t="s">
        <v>30</v>
      </c>
      <c r="G54" s="533" t="s">
        <v>14</v>
      </c>
      <c r="H54" s="398" t="s">
        <v>35</v>
      </c>
      <c r="I54" s="399" t="s">
        <v>30</v>
      </c>
      <c r="J54" s="364" t="s">
        <v>659</v>
      </c>
      <c r="K54" s="534" t="s">
        <v>38</v>
      </c>
      <c r="L54" s="402"/>
      <c r="M54" s="408"/>
      <c r="N54" s="404"/>
      <c r="O54" s="410"/>
      <c r="P54" s="411"/>
      <c r="Q54" s="383"/>
    </row>
    <row r="55" spans="1:17" s="674" customFormat="1" x14ac:dyDescent="0.2">
      <c r="A55" s="405"/>
      <c r="B55" s="406"/>
      <c r="C55" s="371"/>
      <c r="D55" s="372" t="s">
        <v>21</v>
      </c>
      <c r="E55" s="253">
        <v>0</v>
      </c>
      <c r="F55" s="373">
        <f t="shared" ref="F55:F61" si="6">C55*E55</f>
        <v>0</v>
      </c>
      <c r="G55" s="529"/>
      <c r="H55" s="375">
        <v>0</v>
      </c>
      <c r="I55" s="373">
        <f t="shared" ref="I55:I61" si="7">G55*H55</f>
        <v>0</v>
      </c>
      <c r="J55" s="376"/>
      <c r="K55" s="530">
        <f t="shared" ref="K55:K61" si="8">F55+I55+J55</f>
        <v>0</v>
      </c>
      <c r="L55" s="159"/>
      <c r="M55" s="276"/>
      <c r="N55" s="157"/>
      <c r="O55" s="381"/>
      <c r="P55" s="382"/>
      <c r="Q55" s="383"/>
    </row>
    <row r="56" spans="1:17" s="674" customFormat="1" x14ac:dyDescent="0.2">
      <c r="A56" s="370"/>
      <c r="B56" s="5"/>
      <c r="C56" s="371"/>
      <c r="D56" s="372" t="s">
        <v>21</v>
      </c>
      <c r="E56" s="253">
        <v>0</v>
      </c>
      <c r="F56" s="373">
        <f t="shared" si="6"/>
        <v>0</v>
      </c>
      <c r="G56" s="529"/>
      <c r="H56" s="375">
        <v>0</v>
      </c>
      <c r="I56" s="373">
        <f t="shared" si="7"/>
        <v>0</v>
      </c>
      <c r="J56" s="376"/>
      <c r="K56" s="530">
        <f t="shared" si="8"/>
        <v>0</v>
      </c>
      <c r="L56" s="378"/>
      <c r="M56" s="255"/>
      <c r="N56" s="380"/>
      <c r="O56" s="381"/>
      <c r="P56" s="382"/>
      <c r="Q56" s="383"/>
    </row>
    <row r="57" spans="1:17" s="674" customFormat="1" x14ac:dyDescent="0.2">
      <c r="A57" s="370"/>
      <c r="B57" s="5"/>
      <c r="C57" s="371"/>
      <c r="D57" s="372" t="s">
        <v>21</v>
      </c>
      <c r="E57" s="253">
        <v>0</v>
      </c>
      <c r="F57" s="373">
        <f t="shared" si="6"/>
        <v>0</v>
      </c>
      <c r="G57" s="529"/>
      <c r="H57" s="375">
        <v>0</v>
      </c>
      <c r="I57" s="373">
        <f t="shared" si="7"/>
        <v>0</v>
      </c>
      <c r="J57" s="376"/>
      <c r="K57" s="530">
        <f t="shared" si="8"/>
        <v>0</v>
      </c>
      <c r="L57" s="378"/>
      <c r="M57" s="255"/>
      <c r="N57" s="380"/>
      <c r="O57" s="381"/>
      <c r="P57" s="382"/>
      <c r="Q57" s="383"/>
    </row>
    <row r="58" spans="1:17" s="674" customFormat="1" x14ac:dyDescent="0.2">
      <c r="A58" s="370"/>
      <c r="B58" s="5"/>
      <c r="C58" s="371"/>
      <c r="D58" s="372" t="s">
        <v>21</v>
      </c>
      <c r="E58" s="253">
        <v>0</v>
      </c>
      <c r="F58" s="373">
        <f t="shared" si="6"/>
        <v>0</v>
      </c>
      <c r="G58" s="529"/>
      <c r="H58" s="375">
        <v>0</v>
      </c>
      <c r="I58" s="373">
        <f t="shared" si="7"/>
        <v>0</v>
      </c>
      <c r="J58" s="376"/>
      <c r="K58" s="530">
        <f t="shared" si="8"/>
        <v>0</v>
      </c>
      <c r="L58" s="378"/>
      <c r="M58" s="255"/>
      <c r="N58" s="380"/>
      <c r="O58" s="381"/>
      <c r="P58" s="382"/>
      <c r="Q58" s="383"/>
    </row>
    <row r="59" spans="1:17" s="674" customFormat="1" x14ac:dyDescent="0.2">
      <c r="A59" s="370"/>
      <c r="B59" s="5"/>
      <c r="C59" s="371"/>
      <c r="D59" s="372" t="s">
        <v>21</v>
      </c>
      <c r="E59" s="253">
        <v>0</v>
      </c>
      <c r="F59" s="373">
        <f t="shared" si="6"/>
        <v>0</v>
      </c>
      <c r="G59" s="529"/>
      <c r="H59" s="375">
        <v>0</v>
      </c>
      <c r="I59" s="373">
        <f t="shared" si="7"/>
        <v>0</v>
      </c>
      <c r="J59" s="376"/>
      <c r="K59" s="530">
        <f t="shared" si="8"/>
        <v>0</v>
      </c>
      <c r="L59" s="661"/>
      <c r="M59" s="255"/>
      <c r="N59" s="663"/>
      <c r="O59" s="381"/>
      <c r="P59" s="382"/>
      <c r="Q59" s="383"/>
    </row>
    <row r="60" spans="1:17" s="674" customFormat="1" x14ac:dyDescent="0.2">
      <c r="A60" s="370"/>
      <c r="B60" s="5"/>
      <c r="C60" s="371"/>
      <c r="D60" s="372" t="s">
        <v>21</v>
      </c>
      <c r="E60" s="253">
        <v>0</v>
      </c>
      <c r="F60" s="373">
        <f t="shared" si="6"/>
        <v>0</v>
      </c>
      <c r="G60" s="529"/>
      <c r="H60" s="375">
        <v>0</v>
      </c>
      <c r="I60" s="373">
        <f t="shared" si="7"/>
        <v>0</v>
      </c>
      <c r="J60" s="376"/>
      <c r="K60" s="530">
        <f t="shared" si="8"/>
        <v>0</v>
      </c>
      <c r="L60" s="664"/>
      <c r="M60" s="255"/>
      <c r="N60" s="665"/>
      <c r="O60" s="381"/>
      <c r="P60" s="382"/>
      <c r="Q60" s="383"/>
    </row>
    <row r="61" spans="1:17" s="674" customFormat="1" x14ac:dyDescent="0.2">
      <c r="A61" s="370"/>
      <c r="B61" s="5"/>
      <c r="C61" s="371"/>
      <c r="D61" s="372" t="s">
        <v>21</v>
      </c>
      <c r="E61" s="253">
        <v>0</v>
      </c>
      <c r="F61" s="373">
        <f t="shared" si="6"/>
        <v>0</v>
      </c>
      <c r="G61" s="529"/>
      <c r="H61" s="375">
        <v>0</v>
      </c>
      <c r="I61" s="373">
        <f t="shared" si="7"/>
        <v>0</v>
      </c>
      <c r="J61" s="376"/>
      <c r="K61" s="530">
        <f t="shared" si="8"/>
        <v>0</v>
      </c>
      <c r="L61" s="378"/>
      <c r="M61" s="255"/>
      <c r="N61" s="421"/>
      <c r="O61" s="381"/>
      <c r="P61" s="382"/>
      <c r="Q61" s="383"/>
    </row>
    <row r="62" spans="1:17" s="674" customFormat="1" ht="13.5" thickBot="1" x14ac:dyDescent="0.25">
      <c r="A62" s="387"/>
      <c r="B62" s="5"/>
      <c r="C62" s="388"/>
      <c r="D62" s="372"/>
      <c r="E62" s="253"/>
      <c r="F62" s="373"/>
      <c r="G62" s="529"/>
      <c r="H62" s="375"/>
      <c r="I62" s="373"/>
      <c r="J62" s="376"/>
      <c r="K62" s="535"/>
      <c r="L62" s="159"/>
      <c r="M62" s="276"/>
      <c r="N62" s="157"/>
      <c r="O62" s="381"/>
      <c r="P62" s="382"/>
      <c r="Q62" s="383"/>
    </row>
    <row r="63" spans="1:17" s="674" customFormat="1" ht="13.5" thickTop="1" x14ac:dyDescent="0.2">
      <c r="A63" s="387"/>
      <c r="B63" s="412"/>
      <c r="C63" s="388"/>
      <c r="D63" s="372"/>
      <c r="E63" s="253"/>
      <c r="F63" s="373"/>
      <c r="G63" s="529"/>
      <c r="H63" s="375"/>
      <c r="I63" s="373"/>
      <c r="J63" s="389" t="s">
        <v>30</v>
      </c>
      <c r="K63" s="532">
        <f>SUM(K55:K62)</f>
        <v>0</v>
      </c>
      <c r="L63" s="159"/>
      <c r="M63" s="276"/>
      <c r="N63" s="157"/>
      <c r="O63" s="381"/>
      <c r="P63" s="382"/>
      <c r="Q63" s="383"/>
    </row>
    <row r="64" spans="1:17" s="674" customFormat="1" ht="13.5" thickBot="1" x14ac:dyDescent="0.25">
      <c r="A64" s="353" t="s">
        <v>0</v>
      </c>
      <c r="B64" s="354" t="s">
        <v>1</v>
      </c>
      <c r="C64" s="939" t="s">
        <v>656</v>
      </c>
      <c r="D64" s="939"/>
      <c r="E64" s="939"/>
      <c r="F64" s="939"/>
      <c r="G64" s="939" t="s">
        <v>34</v>
      </c>
      <c r="H64" s="939"/>
      <c r="I64" s="939"/>
      <c r="J64" s="355"/>
      <c r="K64" s="523"/>
      <c r="L64" s="391"/>
      <c r="M64" s="355"/>
      <c r="N64" s="438"/>
      <c r="O64" s="381"/>
      <c r="P64" s="382"/>
      <c r="Q64" s="383"/>
    </row>
    <row r="65" spans="1:17" s="674" customFormat="1" ht="16.5" thickBot="1" x14ac:dyDescent="0.3">
      <c r="A65" s="525" t="s">
        <v>365</v>
      </c>
      <c r="B65" s="525" t="s">
        <v>364</v>
      </c>
      <c r="C65" s="396" t="s">
        <v>19</v>
      </c>
      <c r="D65" s="397" t="s">
        <v>33</v>
      </c>
      <c r="E65" s="398" t="s">
        <v>35</v>
      </c>
      <c r="F65" s="399" t="s">
        <v>30</v>
      </c>
      <c r="G65" s="533" t="s">
        <v>14</v>
      </c>
      <c r="H65" s="398" t="s">
        <v>35</v>
      </c>
      <c r="I65" s="399" t="s">
        <v>30</v>
      </c>
      <c r="J65" s="364" t="s">
        <v>659</v>
      </c>
      <c r="K65" s="534" t="s">
        <v>38</v>
      </c>
      <c r="L65" s="402"/>
      <c r="M65" s="408"/>
      <c r="N65" s="409"/>
      <c r="O65" s="381"/>
      <c r="P65" s="382"/>
      <c r="Q65" s="383"/>
    </row>
    <row r="66" spans="1:17" s="674" customFormat="1" x14ac:dyDescent="0.2">
      <c r="A66" s="405"/>
      <c r="B66" s="406"/>
      <c r="C66" s="371"/>
      <c r="D66" s="372" t="s">
        <v>21</v>
      </c>
      <c r="E66" s="253">
        <v>0</v>
      </c>
      <c r="F66" s="373">
        <f>C66*E66</f>
        <v>0</v>
      </c>
      <c r="G66" s="529"/>
      <c r="H66" s="375">
        <v>0</v>
      </c>
      <c r="I66" s="373">
        <f>G66*H66</f>
        <v>0</v>
      </c>
      <c r="J66" s="376"/>
      <c r="K66" s="530">
        <f>F66+I66+J66</f>
        <v>0</v>
      </c>
      <c r="L66" s="378"/>
      <c r="M66" s="379"/>
      <c r="N66" s="380"/>
      <c r="O66" s="381"/>
      <c r="P66" s="382"/>
      <c r="Q66" s="383"/>
    </row>
    <row r="67" spans="1:17" s="674" customFormat="1" x14ac:dyDescent="0.2">
      <c r="A67" s="370"/>
      <c r="B67" s="5"/>
      <c r="C67" s="371"/>
      <c r="D67" s="372" t="s">
        <v>21</v>
      </c>
      <c r="E67" s="253">
        <v>0</v>
      </c>
      <c r="F67" s="373">
        <f>C67*E67</f>
        <v>0</v>
      </c>
      <c r="G67" s="529"/>
      <c r="H67" s="375">
        <v>0</v>
      </c>
      <c r="I67" s="373">
        <f>G67*H67</f>
        <v>0</v>
      </c>
      <c r="J67" s="376"/>
      <c r="K67" s="530">
        <f>F67+I67+J67</f>
        <v>0</v>
      </c>
      <c r="L67" s="378"/>
      <c r="M67" s="379"/>
      <c r="N67" s="380"/>
      <c r="O67" s="381"/>
      <c r="P67" s="382"/>
      <c r="Q67" s="383"/>
    </row>
    <row r="68" spans="1:17" s="674" customFormat="1" x14ac:dyDescent="0.2">
      <c r="A68" s="370"/>
      <c r="B68" s="5"/>
      <c r="C68" s="371"/>
      <c r="D68" s="372" t="s">
        <v>21</v>
      </c>
      <c r="E68" s="253">
        <v>0</v>
      </c>
      <c r="F68" s="373">
        <f>C68*E68</f>
        <v>0</v>
      </c>
      <c r="G68" s="529"/>
      <c r="H68" s="375">
        <v>0</v>
      </c>
      <c r="I68" s="373">
        <f>G68*H68</f>
        <v>0</v>
      </c>
      <c r="J68" s="376"/>
      <c r="K68" s="530">
        <f>F68+I68+J68</f>
        <v>0</v>
      </c>
      <c r="L68" s="378"/>
      <c r="M68" s="379"/>
      <c r="N68" s="380"/>
      <c r="O68" s="381"/>
      <c r="P68" s="382"/>
      <c r="Q68" s="383"/>
    </row>
    <row r="69" spans="1:17" s="674" customFormat="1" x14ac:dyDescent="0.2">
      <c r="A69" s="370"/>
      <c r="B69" s="5"/>
      <c r="C69" s="371"/>
      <c r="D69" s="372" t="s">
        <v>21</v>
      </c>
      <c r="E69" s="253">
        <v>0</v>
      </c>
      <c r="F69" s="373">
        <f>C69*E69</f>
        <v>0</v>
      </c>
      <c r="G69" s="529"/>
      <c r="H69" s="375">
        <v>0</v>
      </c>
      <c r="I69" s="373">
        <f>G69*H69</f>
        <v>0</v>
      </c>
      <c r="J69" s="376"/>
      <c r="K69" s="530">
        <f>F69+I69+J69</f>
        <v>0</v>
      </c>
      <c r="L69" s="159"/>
      <c r="M69" s="276"/>
      <c r="N69" s="157"/>
      <c r="O69" s="381"/>
      <c r="P69" s="382"/>
      <c r="Q69" s="383"/>
    </row>
    <row r="70" spans="1:17" s="674" customFormat="1" x14ac:dyDescent="0.2">
      <c r="A70" s="370"/>
      <c r="B70" s="5"/>
      <c r="C70" s="371"/>
      <c r="D70" s="372" t="s">
        <v>21</v>
      </c>
      <c r="E70" s="253">
        <v>0</v>
      </c>
      <c r="F70" s="373">
        <f>C70*E70</f>
        <v>0</v>
      </c>
      <c r="G70" s="529"/>
      <c r="H70" s="375">
        <v>0</v>
      </c>
      <c r="I70" s="373">
        <f>G70*H70</f>
        <v>0</v>
      </c>
      <c r="J70" s="376"/>
      <c r="K70" s="530">
        <f>F70+I70+J70</f>
        <v>0</v>
      </c>
      <c r="L70" s="159"/>
      <c r="M70" s="276"/>
      <c r="N70" s="157"/>
      <c r="O70" s="381"/>
      <c r="P70" s="382"/>
      <c r="Q70" s="383"/>
    </row>
    <row r="71" spans="1:17" s="674" customFormat="1" ht="13.5" thickBot="1" x14ac:dyDescent="0.25">
      <c r="A71" s="387"/>
      <c r="B71" s="5"/>
      <c r="C71" s="388"/>
      <c r="D71" s="372"/>
      <c r="E71" s="253"/>
      <c r="F71" s="373"/>
      <c r="G71" s="529"/>
      <c r="H71" s="375"/>
      <c r="I71" s="373"/>
      <c r="J71" s="376"/>
      <c r="K71" s="535"/>
      <c r="L71" s="159"/>
      <c r="M71" s="276"/>
      <c r="N71" s="157"/>
      <c r="O71" s="381"/>
      <c r="P71" s="382"/>
      <c r="Q71" s="383"/>
    </row>
    <row r="72" spans="1:17" s="674" customFormat="1" ht="13.5" thickTop="1" x14ac:dyDescent="0.2">
      <c r="A72" s="387"/>
      <c r="B72" s="412"/>
      <c r="C72" s="388"/>
      <c r="D72" s="372"/>
      <c r="E72" s="253"/>
      <c r="F72" s="373"/>
      <c r="G72" s="529"/>
      <c r="H72" s="375"/>
      <c r="I72" s="373"/>
      <c r="J72" s="389" t="s">
        <v>30</v>
      </c>
      <c r="K72" s="532">
        <f>SUM(K66:K71)</f>
        <v>0</v>
      </c>
      <c r="L72" s="159"/>
      <c r="M72" s="276"/>
      <c r="N72" s="157"/>
      <c r="O72" s="381"/>
      <c r="P72" s="382"/>
      <c r="Q72" s="383"/>
    </row>
    <row r="73" spans="1:17" s="674" customFormat="1" ht="13.5" thickBot="1" x14ac:dyDescent="0.25">
      <c r="A73" s="353" t="s">
        <v>0</v>
      </c>
      <c r="B73" s="354" t="s">
        <v>1</v>
      </c>
      <c r="C73" s="939" t="s">
        <v>656</v>
      </c>
      <c r="D73" s="939"/>
      <c r="E73" s="939"/>
      <c r="F73" s="939"/>
      <c r="G73" s="939" t="s">
        <v>34</v>
      </c>
      <c r="H73" s="939"/>
      <c r="I73" s="939"/>
      <c r="J73" s="355"/>
      <c r="K73" s="523"/>
      <c r="L73" s="391"/>
      <c r="M73" s="392"/>
      <c r="N73" s="393"/>
      <c r="O73" s="381"/>
      <c r="P73" s="382"/>
      <c r="Q73" s="383"/>
    </row>
    <row r="74" spans="1:17" s="674" customFormat="1" ht="16.5" thickBot="1" x14ac:dyDescent="0.3">
      <c r="A74" s="394"/>
      <c r="B74" s="395"/>
      <c r="C74" s="396" t="s">
        <v>19</v>
      </c>
      <c r="D74" s="397" t="s">
        <v>33</v>
      </c>
      <c r="E74" s="398" t="s">
        <v>35</v>
      </c>
      <c r="F74" s="399" t="s">
        <v>30</v>
      </c>
      <c r="G74" s="533" t="s">
        <v>14</v>
      </c>
      <c r="H74" s="398" t="s">
        <v>35</v>
      </c>
      <c r="I74" s="399" t="s">
        <v>30</v>
      </c>
      <c r="J74" s="364" t="s">
        <v>659</v>
      </c>
      <c r="K74" s="534" t="s">
        <v>38</v>
      </c>
      <c r="L74" s="402"/>
      <c r="M74" s="403"/>
      <c r="N74" s="404"/>
      <c r="O74" s="381"/>
      <c r="P74" s="382"/>
      <c r="Q74" s="383"/>
    </row>
    <row r="75" spans="1:17" s="674" customFormat="1" x14ac:dyDescent="0.2">
      <c r="A75" s="405"/>
      <c r="B75" s="406"/>
      <c r="C75" s="371"/>
      <c r="D75" s="372" t="s">
        <v>21</v>
      </c>
      <c r="E75" s="253">
        <v>0</v>
      </c>
      <c r="F75" s="373">
        <f>C75*E75</f>
        <v>0</v>
      </c>
      <c r="G75" s="529"/>
      <c r="H75" s="375">
        <v>0</v>
      </c>
      <c r="I75" s="373">
        <f>G75*H75</f>
        <v>0</v>
      </c>
      <c r="J75" s="376"/>
      <c r="K75" s="530">
        <f>F75+I75+J75</f>
        <v>0</v>
      </c>
      <c r="L75" s="378"/>
      <c r="M75" s="379"/>
      <c r="N75" s="380"/>
      <c r="O75" s="381"/>
      <c r="P75" s="382"/>
      <c r="Q75" s="383"/>
    </row>
    <row r="76" spans="1:17" s="674" customFormat="1" x14ac:dyDescent="0.2">
      <c r="A76" s="370"/>
      <c r="B76" s="5"/>
      <c r="C76" s="371"/>
      <c r="D76" s="372" t="s">
        <v>21</v>
      </c>
      <c r="E76" s="253">
        <v>0</v>
      </c>
      <c r="F76" s="373">
        <f>C76*E76</f>
        <v>0</v>
      </c>
      <c r="G76" s="529"/>
      <c r="H76" s="375">
        <v>0</v>
      </c>
      <c r="I76" s="373">
        <f>G76*H76</f>
        <v>0</v>
      </c>
      <c r="J76" s="376"/>
      <c r="K76" s="530">
        <f>F76+I76+J76</f>
        <v>0</v>
      </c>
      <c r="L76" s="661"/>
      <c r="M76" s="662"/>
      <c r="N76" s="663"/>
      <c r="O76" s="381"/>
      <c r="P76" s="382"/>
      <c r="Q76" s="383"/>
    </row>
    <row r="77" spans="1:17" s="674" customFormat="1" x14ac:dyDescent="0.2">
      <c r="A77" s="370"/>
      <c r="B77" s="5"/>
      <c r="C77" s="371"/>
      <c r="D77" s="372" t="s">
        <v>21</v>
      </c>
      <c r="E77" s="253">
        <v>0</v>
      </c>
      <c r="F77" s="373">
        <f>C77*E77</f>
        <v>0</v>
      </c>
      <c r="G77" s="529"/>
      <c r="H77" s="375">
        <v>0</v>
      </c>
      <c r="I77" s="373">
        <f>G77*H77</f>
        <v>0</v>
      </c>
      <c r="J77" s="376"/>
      <c r="K77" s="530">
        <f>F77+I77+J77</f>
        <v>0</v>
      </c>
      <c r="L77" s="664"/>
      <c r="M77" s="666"/>
      <c r="N77" s="665"/>
      <c r="O77" s="381"/>
      <c r="P77" s="382"/>
      <c r="Q77" s="383"/>
    </row>
    <row r="78" spans="1:17" s="159" customFormat="1" ht="13.5" thickBot="1" x14ac:dyDescent="0.25">
      <c r="A78" s="387"/>
      <c r="B78" s="5"/>
      <c r="C78" s="388"/>
      <c r="D78" s="372"/>
      <c r="E78" s="253"/>
      <c r="F78" s="373"/>
      <c r="G78" s="529"/>
      <c r="H78" s="375"/>
      <c r="I78" s="373"/>
      <c r="J78" s="376"/>
      <c r="K78" s="535"/>
      <c r="L78" s="378"/>
      <c r="M78" s="379"/>
      <c r="N78" s="380"/>
      <c r="O78" s="381"/>
      <c r="P78" s="382"/>
      <c r="Q78" s="383"/>
    </row>
    <row r="79" spans="1:17" s="159" customFormat="1" ht="13.5" thickTop="1" x14ac:dyDescent="0.2">
      <c r="A79" s="387"/>
      <c r="B79" s="157"/>
      <c r="C79" s="388"/>
      <c r="D79" s="372"/>
      <c r="E79" s="253"/>
      <c r="F79" s="373"/>
      <c r="G79" s="529"/>
      <c r="H79" s="375"/>
      <c r="I79" s="373"/>
      <c r="J79" s="389" t="s">
        <v>30</v>
      </c>
      <c r="K79" s="532">
        <f>SUM(K75:K78)</f>
        <v>0</v>
      </c>
      <c r="L79" s="378"/>
      <c r="M79" s="379"/>
      <c r="N79" s="380"/>
      <c r="O79" s="381"/>
      <c r="P79" s="382"/>
      <c r="Q79" s="383"/>
    </row>
    <row r="80" spans="1:17" s="159" customFormat="1" ht="13.5" thickBot="1" x14ac:dyDescent="0.25">
      <c r="A80" s="353" t="s">
        <v>0</v>
      </c>
      <c r="B80" s="354" t="s">
        <v>1</v>
      </c>
      <c r="C80" s="939" t="s">
        <v>656</v>
      </c>
      <c r="D80" s="939"/>
      <c r="E80" s="939"/>
      <c r="F80" s="939"/>
      <c r="G80" s="939" t="s">
        <v>34</v>
      </c>
      <c r="H80" s="939"/>
      <c r="I80" s="939"/>
      <c r="J80" s="355"/>
      <c r="K80" s="523"/>
      <c r="L80" s="391"/>
      <c r="M80" s="392"/>
      <c r="N80" s="393"/>
      <c r="O80" s="381"/>
      <c r="P80" s="382"/>
      <c r="Q80" s="383"/>
    </row>
    <row r="81" spans="1:17" s="159" customFormat="1" ht="16.5" thickBot="1" x14ac:dyDescent="0.3">
      <c r="A81" s="394"/>
      <c r="B81" s="395"/>
      <c r="C81" s="396" t="s">
        <v>19</v>
      </c>
      <c r="D81" s="397" t="s">
        <v>33</v>
      </c>
      <c r="E81" s="398" t="s">
        <v>35</v>
      </c>
      <c r="F81" s="399" t="s">
        <v>30</v>
      </c>
      <c r="G81" s="533" t="s">
        <v>14</v>
      </c>
      <c r="H81" s="398" t="s">
        <v>35</v>
      </c>
      <c r="I81" s="399" t="s">
        <v>30</v>
      </c>
      <c r="J81" s="364" t="s">
        <v>659</v>
      </c>
      <c r="K81" s="534" t="s">
        <v>38</v>
      </c>
      <c r="L81" s="402"/>
      <c r="M81" s="403"/>
      <c r="N81" s="404"/>
      <c r="O81" s="381"/>
      <c r="P81" s="382"/>
      <c r="Q81" s="383"/>
    </row>
    <row r="82" spans="1:17" s="159" customFormat="1" x14ac:dyDescent="0.2">
      <c r="A82" s="405"/>
      <c r="B82" s="406"/>
      <c r="C82" s="371"/>
      <c r="D82" s="372" t="s">
        <v>21</v>
      </c>
      <c r="E82" s="253">
        <v>0</v>
      </c>
      <c r="F82" s="373">
        <f>C82*E82</f>
        <v>0</v>
      </c>
      <c r="G82" s="529"/>
      <c r="H82" s="375">
        <v>0</v>
      </c>
      <c r="I82" s="373">
        <f>G82*H82</f>
        <v>0</v>
      </c>
      <c r="J82" s="376"/>
      <c r="K82" s="530">
        <f>F82+I82+J82</f>
        <v>0</v>
      </c>
      <c r="M82" s="276"/>
      <c r="N82" s="157"/>
      <c r="O82" s="381"/>
      <c r="P82" s="382"/>
      <c r="Q82" s="383"/>
    </row>
    <row r="83" spans="1:17" s="159" customFormat="1" x14ac:dyDescent="0.2">
      <c r="A83" s="370"/>
      <c r="B83" s="5"/>
      <c r="C83" s="371"/>
      <c r="D83" s="372" t="s">
        <v>21</v>
      </c>
      <c r="E83" s="253">
        <v>0</v>
      </c>
      <c r="F83" s="373">
        <f>C83*E83</f>
        <v>0</v>
      </c>
      <c r="G83" s="529"/>
      <c r="H83" s="375">
        <v>0</v>
      </c>
      <c r="I83" s="373">
        <f>G83*H83</f>
        <v>0</v>
      </c>
      <c r="J83" s="376"/>
      <c r="K83" s="530">
        <f>F83+I83+J83</f>
        <v>0</v>
      </c>
      <c r="M83" s="276"/>
      <c r="N83" s="157"/>
      <c r="O83" s="381"/>
      <c r="P83" s="382"/>
      <c r="Q83" s="383"/>
    </row>
    <row r="84" spans="1:17" s="159" customFormat="1" x14ac:dyDescent="0.2">
      <c r="A84" s="370"/>
      <c r="C84" s="371"/>
      <c r="D84" s="372" t="s">
        <v>21</v>
      </c>
      <c r="E84" s="253">
        <v>0</v>
      </c>
      <c r="F84" s="373">
        <f>C84*E84</f>
        <v>0</v>
      </c>
      <c r="G84" s="529"/>
      <c r="H84" s="375">
        <v>0</v>
      </c>
      <c r="I84" s="373">
        <f>G84*H84</f>
        <v>0</v>
      </c>
      <c r="J84" s="376"/>
      <c r="K84" s="530">
        <f>F84+I84+J84</f>
        <v>0</v>
      </c>
      <c r="M84" s="276"/>
      <c r="N84" s="157"/>
      <c r="O84" s="381"/>
      <c r="P84" s="382"/>
      <c r="Q84" s="383"/>
    </row>
    <row r="85" spans="1:17" s="159" customFormat="1" x14ac:dyDescent="0.2">
      <c r="A85" s="370"/>
      <c r="B85" s="5"/>
      <c r="C85" s="371"/>
      <c r="D85" s="372" t="s">
        <v>21</v>
      </c>
      <c r="E85" s="253">
        <v>0</v>
      </c>
      <c r="F85" s="373">
        <f>C85*E85</f>
        <v>0</v>
      </c>
      <c r="G85" s="529"/>
      <c r="H85" s="375">
        <v>0</v>
      </c>
      <c r="I85" s="373">
        <f>G85*H85</f>
        <v>0</v>
      </c>
      <c r="J85" s="376"/>
      <c r="K85" s="530">
        <f>F85+I85+J85</f>
        <v>0</v>
      </c>
      <c r="L85" s="378"/>
      <c r="M85" s="379"/>
      <c r="N85" s="380"/>
      <c r="O85" s="381"/>
      <c r="P85" s="382"/>
      <c r="Q85" s="383"/>
    </row>
    <row r="86" spans="1:17" s="159" customFormat="1" x14ac:dyDescent="0.2">
      <c r="A86" s="370"/>
      <c r="B86" s="5"/>
      <c r="C86" s="371"/>
      <c r="D86" s="372" t="s">
        <v>21</v>
      </c>
      <c r="E86" s="253">
        <v>0</v>
      </c>
      <c r="F86" s="373">
        <f>C86*E86</f>
        <v>0</v>
      </c>
      <c r="G86" s="529"/>
      <c r="H86" s="375">
        <v>0</v>
      </c>
      <c r="I86" s="373">
        <f>G86*H86</f>
        <v>0</v>
      </c>
      <c r="J86" s="376"/>
      <c r="K86" s="530">
        <f>F86+I86+J86</f>
        <v>0</v>
      </c>
      <c r="L86" s="378"/>
      <c r="M86" s="379"/>
      <c r="N86" s="380"/>
      <c r="O86" s="381"/>
      <c r="P86" s="382"/>
      <c r="Q86" s="383"/>
    </row>
    <row r="87" spans="1:17" s="159" customFormat="1" ht="13.5" thickBot="1" x14ac:dyDescent="0.25">
      <c r="A87" s="387"/>
      <c r="B87" s="5"/>
      <c r="C87" s="388"/>
      <c r="D87" s="372"/>
      <c r="E87" s="253"/>
      <c r="F87" s="373"/>
      <c r="G87" s="529"/>
      <c r="H87" s="375"/>
      <c r="I87" s="373"/>
      <c r="J87" s="376"/>
      <c r="K87" s="535"/>
      <c r="L87" s="378"/>
      <c r="M87" s="379"/>
      <c r="N87" s="380"/>
      <c r="O87" s="381"/>
      <c r="P87" s="382"/>
      <c r="Q87" s="383"/>
    </row>
    <row r="88" spans="1:17" s="159" customFormat="1" ht="13.5" thickTop="1" x14ac:dyDescent="0.2">
      <c r="A88" s="387"/>
      <c r="B88" s="412"/>
      <c r="C88" s="388"/>
      <c r="D88" s="372"/>
      <c r="E88" s="253"/>
      <c r="F88" s="373"/>
      <c r="G88" s="529"/>
      <c r="H88" s="375"/>
      <c r="I88" s="373"/>
      <c r="J88" s="389" t="s">
        <v>30</v>
      </c>
      <c r="K88" s="532">
        <f>SUM(K82:K87)</f>
        <v>0</v>
      </c>
      <c r="M88" s="276"/>
      <c r="N88" s="157"/>
      <c r="O88" s="381"/>
      <c r="P88" s="382"/>
      <c r="Q88" s="383"/>
    </row>
    <row r="89" spans="1:17" s="159" customFormat="1" ht="13.5" thickBot="1" x14ac:dyDescent="0.25">
      <c r="A89" s="353" t="s">
        <v>0</v>
      </c>
      <c r="B89" s="354" t="s">
        <v>1</v>
      </c>
      <c r="C89" s="939" t="s">
        <v>656</v>
      </c>
      <c r="D89" s="939"/>
      <c r="E89" s="939"/>
      <c r="F89" s="939"/>
      <c r="G89" s="939" t="s">
        <v>34</v>
      </c>
      <c r="H89" s="939"/>
      <c r="I89" s="939"/>
      <c r="J89" s="355"/>
      <c r="K89" s="523"/>
      <c r="L89" s="391"/>
      <c r="M89" s="392"/>
      <c r="N89" s="393"/>
      <c r="O89" s="381"/>
      <c r="P89" s="382"/>
      <c r="Q89" s="383"/>
    </row>
    <row r="90" spans="1:17" s="159" customFormat="1" ht="16.5" thickBot="1" x14ac:dyDescent="0.3">
      <c r="A90" s="394"/>
      <c r="B90" s="395"/>
      <c r="C90" s="396" t="s">
        <v>19</v>
      </c>
      <c r="D90" s="397" t="s">
        <v>33</v>
      </c>
      <c r="E90" s="398" t="s">
        <v>35</v>
      </c>
      <c r="F90" s="399" t="s">
        <v>30</v>
      </c>
      <c r="G90" s="533" t="s">
        <v>14</v>
      </c>
      <c r="H90" s="398" t="s">
        <v>35</v>
      </c>
      <c r="I90" s="399" t="s">
        <v>30</v>
      </c>
      <c r="J90" s="364" t="s">
        <v>659</v>
      </c>
      <c r="K90" s="534" t="s">
        <v>38</v>
      </c>
      <c r="L90" s="402"/>
      <c r="M90" s="403"/>
      <c r="N90" s="404"/>
      <c r="O90" s="381"/>
      <c r="P90" s="382"/>
      <c r="Q90" s="383"/>
    </row>
    <row r="91" spans="1:17" s="159" customFormat="1" x14ac:dyDescent="0.2">
      <c r="A91" s="405"/>
      <c r="B91" s="406"/>
      <c r="C91" s="371"/>
      <c r="D91" s="372" t="s">
        <v>21</v>
      </c>
      <c r="E91" s="253">
        <v>0</v>
      </c>
      <c r="F91" s="373">
        <f>C91*E91</f>
        <v>0</v>
      </c>
      <c r="G91" s="529"/>
      <c r="H91" s="375">
        <v>0</v>
      </c>
      <c r="I91" s="373">
        <f>G91*H91</f>
        <v>0</v>
      </c>
      <c r="J91" s="376"/>
      <c r="K91" s="530">
        <f>F91+I91+J91</f>
        <v>0</v>
      </c>
      <c r="L91" s="378"/>
      <c r="M91" s="379"/>
      <c r="N91" s="380"/>
      <c r="O91" s="381"/>
      <c r="P91" s="382"/>
      <c r="Q91" s="383"/>
    </row>
    <row r="92" spans="1:17" s="159" customFormat="1" x14ac:dyDescent="0.2">
      <c r="A92" s="370"/>
      <c r="B92" s="5"/>
      <c r="C92" s="371"/>
      <c r="D92" s="372" t="s">
        <v>21</v>
      </c>
      <c r="E92" s="253">
        <v>0</v>
      </c>
      <c r="F92" s="373">
        <f>C92*E92</f>
        <v>0</v>
      </c>
      <c r="G92" s="529"/>
      <c r="H92" s="375">
        <v>0</v>
      </c>
      <c r="I92" s="373">
        <f>G92*H92</f>
        <v>0</v>
      </c>
      <c r="J92" s="376"/>
      <c r="K92" s="530">
        <f>F92+I92+J92</f>
        <v>0</v>
      </c>
      <c r="L92" s="667"/>
      <c r="M92" s="668"/>
      <c r="N92" s="669"/>
      <c r="O92" s="381"/>
      <c r="P92" s="382"/>
      <c r="Q92" s="383"/>
    </row>
    <row r="93" spans="1:17" s="159" customFormat="1" x14ac:dyDescent="0.2">
      <c r="A93" s="370"/>
      <c r="B93" s="5"/>
      <c r="C93" s="371"/>
      <c r="D93" s="372" t="s">
        <v>21</v>
      </c>
      <c r="E93" s="253">
        <v>0</v>
      </c>
      <c r="F93" s="373">
        <f>C93*E93</f>
        <v>0</v>
      </c>
      <c r="G93" s="529"/>
      <c r="H93" s="375">
        <v>0</v>
      </c>
      <c r="I93" s="373">
        <f>G93*H93</f>
        <v>0</v>
      </c>
      <c r="J93" s="376"/>
      <c r="K93" s="530">
        <f>F93+I93+J93</f>
        <v>0</v>
      </c>
      <c r="L93" s="667"/>
      <c r="M93" s="668"/>
      <c r="N93" s="670"/>
      <c r="O93" s="381"/>
      <c r="P93" s="382"/>
      <c r="Q93" s="383"/>
    </row>
    <row r="94" spans="1:17" s="159" customFormat="1" x14ac:dyDescent="0.2">
      <c r="A94" s="370"/>
      <c r="B94" s="5"/>
      <c r="C94" s="371"/>
      <c r="D94" s="372" t="s">
        <v>21</v>
      </c>
      <c r="E94" s="253">
        <v>0</v>
      </c>
      <c r="F94" s="373">
        <f>C94*E94</f>
        <v>0</v>
      </c>
      <c r="G94" s="529"/>
      <c r="H94" s="375">
        <v>0</v>
      </c>
      <c r="I94" s="373">
        <f>G94*H94</f>
        <v>0</v>
      </c>
      <c r="J94" s="376"/>
      <c r="K94" s="530">
        <f>F94+I94+J94</f>
        <v>0</v>
      </c>
      <c r="L94" s="667"/>
      <c r="M94" s="668"/>
      <c r="N94" s="670"/>
      <c r="O94" s="381"/>
      <c r="P94" s="382"/>
      <c r="Q94" s="383"/>
    </row>
    <row r="95" spans="1:17" s="159" customFormat="1" ht="13.5" thickBot="1" x14ac:dyDescent="0.25">
      <c r="A95" s="387"/>
      <c r="B95" s="412"/>
      <c r="C95" s="371"/>
      <c r="D95" s="372"/>
      <c r="E95" s="253"/>
      <c r="F95" s="373"/>
      <c r="G95" s="529"/>
      <c r="H95" s="375"/>
      <c r="I95" s="373"/>
      <c r="J95" s="376"/>
      <c r="K95" s="530"/>
      <c r="L95" s="667"/>
      <c r="M95" s="668"/>
      <c r="N95" s="670"/>
      <c r="O95" s="381"/>
      <c r="P95" s="382"/>
      <c r="Q95" s="383"/>
    </row>
    <row r="96" spans="1:17" s="159" customFormat="1" ht="14.25" thickTop="1" thickBot="1" x14ac:dyDescent="0.25">
      <c r="A96" s="470"/>
      <c r="B96" s="156"/>
      <c r="C96" s="471"/>
      <c r="D96" s="472"/>
      <c r="E96" s="473"/>
      <c r="F96" s="474"/>
      <c r="G96" s="634"/>
      <c r="H96" s="473"/>
      <c r="I96" s="474"/>
      <c r="J96" s="476" t="s">
        <v>30</v>
      </c>
      <c r="K96" s="635">
        <f>SUM(K91:K95)</f>
        <v>0</v>
      </c>
      <c r="L96" s="667"/>
      <c r="M96" s="668"/>
      <c r="N96" s="670"/>
      <c r="O96" s="381"/>
      <c r="P96" s="382"/>
      <c r="Q96" s="383"/>
    </row>
    <row r="97" spans="1:17" s="159" customFormat="1" ht="14.1" customHeight="1" thickBot="1" x14ac:dyDescent="0.3">
      <c r="A97" s="478"/>
      <c r="B97" s="479"/>
      <c r="C97" s="480"/>
      <c r="D97" s="480"/>
      <c r="E97" s="481"/>
      <c r="F97" s="969" t="s">
        <v>658</v>
      </c>
      <c r="G97" s="992" t="s">
        <v>684</v>
      </c>
      <c r="H97" s="481"/>
      <c r="I97" s="962" t="s">
        <v>657</v>
      </c>
      <c r="J97" s="958" t="s">
        <v>685</v>
      </c>
      <c r="K97" s="956" t="s">
        <v>31</v>
      </c>
      <c r="L97" s="671"/>
      <c r="M97" s="672"/>
      <c r="N97" s="673"/>
      <c r="O97" s="460"/>
      <c r="P97" s="461"/>
      <c r="Q97" s="462"/>
    </row>
    <row r="98" spans="1:17" s="159" customFormat="1" ht="15.75" thickTop="1" x14ac:dyDescent="0.2">
      <c r="A98" s="482" t="s">
        <v>32</v>
      </c>
      <c r="B98" s="964" t="s">
        <v>664</v>
      </c>
      <c r="C98" s="483"/>
      <c r="D98" s="484"/>
      <c r="E98" s="484"/>
      <c r="F98" s="970"/>
      <c r="G98" s="993"/>
      <c r="H98" s="485"/>
      <c r="I98" s="963"/>
      <c r="J98" s="959"/>
      <c r="K98" s="957"/>
      <c r="M98" s="276"/>
      <c r="N98" s="157"/>
      <c r="O98" s="302"/>
      <c r="P98" s="302"/>
    </row>
    <row r="99" spans="1:17" s="159" customFormat="1" ht="15" x14ac:dyDescent="0.25">
      <c r="A99" s="826">
        <f>K99/E6</f>
        <v>0.62964995731186735</v>
      </c>
      <c r="B99" s="964"/>
      <c r="C99" s="484"/>
      <c r="D99" s="484"/>
      <c r="E99" s="484"/>
      <c r="F99" s="952">
        <f>SUM(F91:F95,F82:F87,F75:F78,F66:F71,F55:F61,F46:F51,F38:F42,F27:F34,F11:F23)</f>
        <v>41300</v>
      </c>
      <c r="G99" s="997">
        <f>SUM(G91:G95,G82:G87,G75:G78,G66:G71,G55:G61,G46:G51,G38:G42,G27:G34,G11:G23)</f>
        <v>0</v>
      </c>
      <c r="H99" s="485"/>
      <c r="I99" s="952">
        <f>SUM(I91:I95,I82:I87,I75:I78,I66:I71,I55:I61,I46:I51,I38:I42,I27:I34,I11:I23)</f>
        <v>0</v>
      </c>
      <c r="J99" s="952">
        <f>SUM(J91:J95,J82:J87,J75:J78,J66:J71,J55:J61,J46:J51,J38:J42,J27:J34,J11:J23)</f>
        <v>0</v>
      </c>
      <c r="K99" s="954">
        <f>SUM(K96,K88,K79,K72,K63,K52,K43,K35,K24)</f>
        <v>41300</v>
      </c>
      <c r="M99" s="276"/>
      <c r="N99" s="157"/>
      <c r="O99" s="302"/>
      <c r="P99" s="302"/>
    </row>
    <row r="100" spans="1:17" s="159" customFormat="1" ht="15" thickBot="1" x14ac:dyDescent="0.25">
      <c r="A100" s="482"/>
      <c r="B100" s="550"/>
      <c r="C100" s="488"/>
      <c r="D100" s="488"/>
      <c r="E100" s="488"/>
      <c r="F100" s="953"/>
      <c r="G100" s="998"/>
      <c r="H100" s="488"/>
      <c r="I100" s="953"/>
      <c r="J100" s="953"/>
      <c r="K100" s="955"/>
      <c r="M100" s="276"/>
      <c r="N100" s="157"/>
      <c r="O100" s="302"/>
      <c r="P100" s="302"/>
    </row>
    <row r="101" spans="1:17" s="159" customFormat="1" ht="13.5" thickBot="1" x14ac:dyDescent="0.25">
      <c r="A101" s="489"/>
      <c r="B101" s="490"/>
      <c r="C101" s="490"/>
      <c r="D101" s="490"/>
      <c r="E101" s="490"/>
      <c r="F101" s="490"/>
      <c r="G101" s="490"/>
      <c r="H101" s="490"/>
      <c r="I101" s="490"/>
      <c r="J101" s="490"/>
      <c r="K101" s="491"/>
      <c r="M101" s="276"/>
      <c r="N101" s="157"/>
      <c r="O101" s="302"/>
      <c r="P101" s="302"/>
    </row>
    <row r="102" spans="1:17" s="159" customFormat="1" x14ac:dyDescent="0.2">
      <c r="C102" s="655"/>
      <c r="D102" s="655"/>
      <c r="M102" s="276"/>
      <c r="N102" s="157"/>
      <c r="O102" s="302"/>
      <c r="P102" s="302"/>
    </row>
    <row r="103" spans="1:17" s="159" customFormat="1" x14ac:dyDescent="0.2">
      <c r="C103" s="655"/>
      <c r="D103" s="655"/>
      <c r="M103" s="276"/>
      <c r="N103" s="157"/>
      <c r="O103" s="302"/>
      <c r="P103" s="302"/>
    </row>
    <row r="104" spans="1:17" s="159" customFormat="1" x14ac:dyDescent="0.2">
      <c r="C104" s="655"/>
      <c r="D104" s="655"/>
      <c r="M104" s="276"/>
      <c r="N104" s="157"/>
      <c r="O104" s="302"/>
      <c r="P104" s="302"/>
    </row>
    <row r="105" spans="1:17" s="159" customFormat="1" x14ac:dyDescent="0.2">
      <c r="C105" s="655"/>
      <c r="D105" s="655"/>
      <c r="M105" s="276"/>
      <c r="N105" s="157"/>
      <c r="O105" s="302"/>
      <c r="P105" s="302"/>
    </row>
    <row r="106" spans="1:17" s="159" customFormat="1" x14ac:dyDescent="0.2">
      <c r="C106" s="655"/>
      <c r="D106" s="655"/>
      <c r="M106" s="276"/>
      <c r="N106" s="157"/>
      <c r="O106" s="302"/>
      <c r="P106" s="302"/>
    </row>
    <row r="107" spans="1:17" s="159" customFormat="1" x14ac:dyDescent="0.2">
      <c r="C107" s="655"/>
      <c r="D107" s="655"/>
      <c r="M107" s="276"/>
      <c r="N107" s="157"/>
      <c r="O107" s="302"/>
      <c r="P107" s="302"/>
    </row>
    <row r="108" spans="1:17" s="159" customFormat="1" x14ac:dyDescent="0.2">
      <c r="C108" s="655"/>
      <c r="D108" s="655"/>
      <c r="M108" s="276"/>
      <c r="N108" s="157"/>
      <c r="O108" s="302"/>
      <c r="P108" s="302"/>
    </row>
    <row r="109" spans="1:17" s="159" customFormat="1" x14ac:dyDescent="0.2">
      <c r="C109" s="655"/>
      <c r="D109" s="655"/>
      <c r="M109" s="276"/>
      <c r="N109" s="157"/>
      <c r="O109" s="302"/>
      <c r="P109" s="302"/>
    </row>
    <row r="110" spans="1:17" s="159" customFormat="1" x14ac:dyDescent="0.2">
      <c r="C110" s="655"/>
      <c r="D110" s="655"/>
      <c r="M110" s="276"/>
      <c r="N110" s="157"/>
      <c r="O110" s="302"/>
      <c r="P110" s="302"/>
    </row>
    <row r="111" spans="1:17" s="159" customFormat="1" x14ac:dyDescent="0.2">
      <c r="C111" s="655"/>
      <c r="D111" s="655"/>
      <c r="M111" s="276"/>
      <c r="N111" s="157"/>
      <c r="O111" s="302"/>
      <c r="P111" s="302"/>
    </row>
    <row r="112" spans="1:17" s="159" customFormat="1" x14ac:dyDescent="0.2">
      <c r="C112" s="655"/>
      <c r="D112" s="655"/>
      <c r="M112" s="276"/>
      <c r="N112" s="157"/>
      <c r="O112" s="302"/>
      <c r="P112" s="302"/>
    </row>
    <row r="113" spans="3:16" s="159" customFormat="1" x14ac:dyDescent="0.2">
      <c r="C113" s="655"/>
      <c r="D113" s="655"/>
      <c r="M113" s="276"/>
      <c r="N113" s="157"/>
      <c r="O113" s="302"/>
      <c r="P113" s="302"/>
    </row>
    <row r="114" spans="3:16" s="159" customFormat="1" x14ac:dyDescent="0.2">
      <c r="C114" s="655"/>
      <c r="D114" s="655"/>
      <c r="M114" s="276"/>
      <c r="N114" s="157"/>
      <c r="O114" s="302"/>
      <c r="P114" s="302"/>
    </row>
    <row r="115" spans="3:16" s="159" customFormat="1" x14ac:dyDescent="0.2">
      <c r="C115" s="655"/>
      <c r="D115" s="655"/>
      <c r="M115" s="276"/>
      <c r="N115" s="157"/>
      <c r="O115" s="302"/>
      <c r="P115" s="302"/>
    </row>
    <row r="116" spans="3:16" s="159" customFormat="1" x14ac:dyDescent="0.2">
      <c r="C116" s="655"/>
      <c r="D116" s="655"/>
      <c r="M116" s="276"/>
      <c r="N116" s="157"/>
      <c r="O116" s="302"/>
      <c r="P116" s="302"/>
    </row>
    <row r="117" spans="3:16" s="159" customFormat="1" x14ac:dyDescent="0.2">
      <c r="C117" s="655"/>
      <c r="D117" s="655"/>
      <c r="M117" s="276"/>
      <c r="N117" s="157"/>
      <c r="O117" s="302"/>
      <c r="P117" s="302"/>
    </row>
    <row r="118" spans="3:16" s="159" customFormat="1" x14ac:dyDescent="0.2">
      <c r="C118" s="655"/>
      <c r="D118" s="655"/>
      <c r="M118" s="276"/>
      <c r="N118" s="157"/>
      <c r="O118" s="302"/>
      <c r="P118" s="302"/>
    </row>
    <row r="119" spans="3:16" s="159" customFormat="1" x14ac:dyDescent="0.2">
      <c r="C119" s="655"/>
      <c r="D119" s="655"/>
      <c r="M119" s="276"/>
      <c r="N119" s="157"/>
      <c r="O119" s="302"/>
      <c r="P119" s="302"/>
    </row>
    <row r="120" spans="3:16" s="159" customFormat="1" x14ac:dyDescent="0.2">
      <c r="C120" s="655"/>
      <c r="D120" s="655"/>
      <c r="M120" s="276"/>
      <c r="N120" s="157"/>
      <c r="O120" s="302"/>
      <c r="P120" s="302"/>
    </row>
    <row r="121" spans="3:16" s="159" customFormat="1" x14ac:dyDescent="0.2">
      <c r="C121" s="655"/>
      <c r="D121" s="655"/>
      <c r="M121" s="276"/>
      <c r="N121" s="157"/>
      <c r="O121" s="302"/>
      <c r="P121" s="302"/>
    </row>
    <row r="122" spans="3:16" s="159" customFormat="1" x14ac:dyDescent="0.2">
      <c r="C122" s="655"/>
      <c r="D122" s="655"/>
      <c r="M122" s="276"/>
      <c r="N122" s="157"/>
      <c r="O122" s="302"/>
      <c r="P122" s="302"/>
    </row>
    <row r="123" spans="3:16" s="159" customFormat="1" x14ac:dyDescent="0.2">
      <c r="C123" s="655"/>
      <c r="D123" s="655"/>
      <c r="M123" s="276"/>
      <c r="N123" s="157"/>
      <c r="O123" s="302"/>
      <c r="P123" s="302"/>
    </row>
    <row r="124" spans="3:16" s="159" customFormat="1" x14ac:dyDescent="0.2">
      <c r="C124" s="655"/>
      <c r="D124" s="655"/>
      <c r="M124" s="276"/>
      <c r="N124" s="157"/>
      <c r="O124" s="302"/>
      <c r="P124" s="302"/>
    </row>
    <row r="125" spans="3:16" s="159" customFormat="1" x14ac:dyDescent="0.2">
      <c r="C125" s="655"/>
      <c r="D125" s="655"/>
      <c r="M125" s="276"/>
      <c r="N125" s="157"/>
      <c r="O125" s="302"/>
      <c r="P125" s="302"/>
    </row>
    <row r="126" spans="3:16" s="159" customFormat="1" x14ac:dyDescent="0.2">
      <c r="C126" s="655"/>
      <c r="D126" s="655"/>
      <c r="M126" s="276"/>
      <c r="N126" s="157"/>
      <c r="O126" s="302"/>
      <c r="P126" s="302"/>
    </row>
    <row r="127" spans="3:16" s="159" customFormat="1" x14ac:dyDescent="0.2">
      <c r="C127" s="655"/>
      <c r="D127" s="655"/>
      <c r="M127" s="276"/>
      <c r="N127" s="157"/>
      <c r="O127" s="302"/>
      <c r="P127" s="302"/>
    </row>
    <row r="128" spans="3:16" s="159" customFormat="1" x14ac:dyDescent="0.2">
      <c r="C128" s="655"/>
      <c r="D128" s="655"/>
      <c r="M128" s="276"/>
      <c r="N128" s="157"/>
      <c r="O128" s="302"/>
      <c r="P128" s="302"/>
    </row>
    <row r="129" spans="3:16" s="159" customFormat="1" x14ac:dyDescent="0.2">
      <c r="C129" s="655"/>
      <c r="D129" s="655"/>
      <c r="M129" s="276"/>
      <c r="N129" s="157"/>
      <c r="O129" s="302"/>
      <c r="P129" s="302"/>
    </row>
    <row r="130" spans="3:16" s="159" customFormat="1" x14ac:dyDescent="0.2">
      <c r="C130" s="655"/>
      <c r="D130" s="655"/>
      <c r="M130" s="276"/>
      <c r="N130" s="157"/>
      <c r="O130" s="302"/>
      <c r="P130" s="302"/>
    </row>
    <row r="131" spans="3:16" s="159" customFormat="1" x14ac:dyDescent="0.2">
      <c r="C131" s="655"/>
      <c r="D131" s="655"/>
      <c r="M131" s="276"/>
      <c r="N131" s="157"/>
      <c r="O131" s="302"/>
      <c r="P131" s="302"/>
    </row>
    <row r="132" spans="3:16" s="159" customFormat="1" x14ac:dyDescent="0.2">
      <c r="C132" s="655"/>
      <c r="D132" s="655"/>
      <c r="M132" s="276"/>
      <c r="N132" s="157"/>
      <c r="O132" s="302"/>
      <c r="P132" s="302"/>
    </row>
    <row r="133" spans="3:16" s="159" customFormat="1" x14ac:dyDescent="0.2">
      <c r="C133" s="655"/>
      <c r="D133" s="655"/>
      <c r="M133" s="276"/>
      <c r="N133" s="157"/>
      <c r="O133" s="302"/>
      <c r="P133" s="302"/>
    </row>
    <row r="134" spans="3:16" s="159" customFormat="1" x14ac:dyDescent="0.2">
      <c r="C134" s="655"/>
      <c r="D134" s="655"/>
      <c r="M134" s="276"/>
      <c r="N134" s="157"/>
      <c r="O134" s="302"/>
      <c r="P134" s="302"/>
    </row>
    <row r="135" spans="3:16" s="159" customFormat="1" x14ac:dyDescent="0.2">
      <c r="C135" s="655"/>
      <c r="D135" s="655"/>
      <c r="M135" s="276"/>
      <c r="N135" s="157"/>
      <c r="O135" s="302"/>
      <c r="P135" s="302"/>
    </row>
    <row r="136" spans="3:16" s="159" customFormat="1" x14ac:dyDescent="0.2">
      <c r="C136" s="655"/>
      <c r="D136" s="655"/>
      <c r="M136" s="276"/>
      <c r="N136" s="157"/>
      <c r="O136" s="302"/>
      <c r="P136" s="302"/>
    </row>
    <row r="137" spans="3:16" s="159" customFormat="1" x14ac:dyDescent="0.2">
      <c r="C137" s="655"/>
      <c r="D137" s="655"/>
      <c r="M137" s="276"/>
      <c r="N137" s="157"/>
      <c r="O137" s="302"/>
      <c r="P137" s="302"/>
    </row>
    <row r="138" spans="3:16" s="159" customFormat="1" x14ac:dyDescent="0.2">
      <c r="C138" s="655"/>
      <c r="D138" s="655"/>
      <c r="M138" s="276"/>
      <c r="N138" s="157"/>
      <c r="O138" s="302"/>
      <c r="P138" s="302"/>
    </row>
    <row r="139" spans="3:16" s="159" customFormat="1" x14ac:dyDescent="0.2">
      <c r="C139" s="655"/>
      <c r="D139" s="655"/>
      <c r="M139" s="276"/>
      <c r="N139" s="157"/>
      <c r="O139" s="302"/>
      <c r="P139" s="302"/>
    </row>
    <row r="140" spans="3:16" s="159" customFormat="1" x14ac:dyDescent="0.2">
      <c r="C140" s="655"/>
      <c r="D140" s="655"/>
      <c r="M140" s="276"/>
      <c r="N140" s="157"/>
      <c r="O140" s="302"/>
      <c r="P140" s="302"/>
    </row>
    <row r="141" spans="3:16" s="159" customFormat="1" x14ac:dyDescent="0.2">
      <c r="C141" s="655"/>
      <c r="D141" s="655"/>
      <c r="M141" s="276"/>
      <c r="N141" s="157"/>
      <c r="O141" s="302"/>
      <c r="P141" s="302"/>
    </row>
    <row r="142" spans="3:16" s="159" customFormat="1" x14ac:dyDescent="0.2">
      <c r="C142" s="655"/>
      <c r="D142" s="655"/>
      <c r="M142" s="276"/>
      <c r="N142" s="157"/>
      <c r="O142" s="302"/>
      <c r="P142" s="302"/>
    </row>
    <row r="143" spans="3:16" s="159" customFormat="1" x14ac:dyDescent="0.2">
      <c r="C143" s="655"/>
      <c r="D143" s="655"/>
      <c r="M143" s="276"/>
      <c r="N143" s="157"/>
      <c r="O143" s="302"/>
      <c r="P143" s="302"/>
    </row>
    <row r="144" spans="3:16" s="159" customFormat="1" x14ac:dyDescent="0.2">
      <c r="C144" s="655"/>
      <c r="D144" s="655"/>
      <c r="M144" s="276"/>
      <c r="N144" s="157"/>
      <c r="O144" s="302"/>
      <c r="P144" s="302"/>
    </row>
    <row r="145" spans="3:16" s="159" customFormat="1" x14ac:dyDescent="0.2">
      <c r="C145" s="655"/>
      <c r="D145" s="655"/>
      <c r="M145" s="276"/>
      <c r="N145" s="157"/>
      <c r="O145" s="302"/>
      <c r="P145" s="302"/>
    </row>
    <row r="146" spans="3:16" s="159" customFormat="1" x14ac:dyDescent="0.2">
      <c r="C146" s="655"/>
      <c r="D146" s="655"/>
      <c r="M146" s="276"/>
      <c r="N146" s="157"/>
      <c r="O146" s="302"/>
      <c r="P146" s="302"/>
    </row>
    <row r="147" spans="3:16" s="159" customFormat="1" x14ac:dyDescent="0.2">
      <c r="C147" s="655"/>
      <c r="D147" s="655"/>
      <c r="M147" s="276"/>
      <c r="N147" s="157"/>
      <c r="O147" s="302"/>
      <c r="P147" s="302"/>
    </row>
    <row r="148" spans="3:16" s="159" customFormat="1" x14ac:dyDescent="0.2">
      <c r="C148" s="655"/>
      <c r="D148" s="655"/>
      <c r="M148" s="276"/>
      <c r="N148" s="157"/>
      <c r="O148" s="302"/>
      <c r="P148" s="302"/>
    </row>
    <row r="149" spans="3:16" s="159" customFormat="1" x14ac:dyDescent="0.2">
      <c r="C149" s="655"/>
      <c r="D149" s="655"/>
      <c r="M149" s="276"/>
      <c r="N149" s="157"/>
      <c r="O149" s="302"/>
      <c r="P149" s="302"/>
    </row>
    <row r="150" spans="3:16" s="159" customFormat="1" x14ac:dyDescent="0.2">
      <c r="C150" s="655"/>
      <c r="D150" s="655"/>
      <c r="M150" s="276"/>
      <c r="N150" s="157"/>
      <c r="O150" s="302"/>
      <c r="P150" s="302"/>
    </row>
    <row r="151" spans="3:16" s="159" customFormat="1" x14ac:dyDescent="0.2">
      <c r="C151" s="655"/>
      <c r="D151" s="655"/>
      <c r="M151" s="276"/>
      <c r="N151" s="157"/>
      <c r="O151" s="302"/>
      <c r="P151" s="302"/>
    </row>
    <row r="152" spans="3:16" s="159" customFormat="1" x14ac:dyDescent="0.2">
      <c r="C152" s="655"/>
      <c r="D152" s="655"/>
      <c r="M152" s="276"/>
      <c r="N152" s="157"/>
      <c r="O152" s="302"/>
      <c r="P152" s="302"/>
    </row>
    <row r="153" spans="3:16" s="159" customFormat="1" x14ac:dyDescent="0.2">
      <c r="C153" s="655"/>
      <c r="D153" s="655"/>
      <c r="M153" s="276"/>
      <c r="N153" s="157"/>
      <c r="O153" s="302"/>
      <c r="P153" s="302"/>
    </row>
    <row r="154" spans="3:16" s="159" customFormat="1" x14ac:dyDescent="0.2">
      <c r="C154" s="655"/>
      <c r="D154" s="655"/>
      <c r="M154" s="276"/>
      <c r="N154" s="157"/>
      <c r="O154" s="302"/>
      <c r="P154" s="302"/>
    </row>
    <row r="155" spans="3:16" s="159" customFormat="1" x14ac:dyDescent="0.2">
      <c r="C155" s="655"/>
      <c r="D155" s="655"/>
      <c r="M155" s="276"/>
      <c r="N155" s="157"/>
      <c r="O155" s="302"/>
      <c r="P155" s="302"/>
    </row>
    <row r="156" spans="3:16" s="159" customFormat="1" x14ac:dyDescent="0.2">
      <c r="C156" s="655"/>
      <c r="D156" s="655"/>
      <c r="M156" s="276"/>
      <c r="N156" s="157"/>
      <c r="O156" s="302"/>
      <c r="P156" s="302"/>
    </row>
    <row r="157" spans="3:16" s="159" customFormat="1" x14ac:dyDescent="0.2">
      <c r="C157" s="655"/>
      <c r="D157" s="655"/>
      <c r="M157" s="276"/>
      <c r="N157" s="157"/>
      <c r="O157" s="302"/>
      <c r="P157" s="302"/>
    </row>
    <row r="158" spans="3:16" s="159" customFormat="1" x14ac:dyDescent="0.2">
      <c r="C158" s="655"/>
      <c r="D158" s="655"/>
      <c r="M158" s="276"/>
      <c r="N158" s="157"/>
      <c r="O158" s="302"/>
      <c r="P158" s="302"/>
    </row>
    <row r="159" spans="3:16" s="159" customFormat="1" x14ac:dyDescent="0.2">
      <c r="C159" s="655"/>
      <c r="D159" s="655"/>
      <c r="M159" s="276"/>
      <c r="N159" s="157"/>
      <c r="O159" s="302"/>
      <c r="P159" s="302"/>
    </row>
    <row r="160" spans="3:16" s="159" customFormat="1" x14ac:dyDescent="0.2">
      <c r="C160" s="655"/>
      <c r="D160" s="655"/>
      <c r="M160" s="276"/>
      <c r="N160" s="157"/>
      <c r="O160" s="302"/>
      <c r="P160" s="302"/>
    </row>
    <row r="161" spans="3:16" s="159" customFormat="1" x14ac:dyDescent="0.2">
      <c r="C161" s="655"/>
      <c r="D161" s="655"/>
      <c r="M161" s="276"/>
      <c r="N161" s="157"/>
      <c r="O161" s="302"/>
      <c r="P161" s="302"/>
    </row>
    <row r="162" spans="3:16" s="159" customFormat="1" x14ac:dyDescent="0.2">
      <c r="C162" s="655"/>
      <c r="D162" s="655"/>
      <c r="M162" s="276"/>
      <c r="N162" s="157"/>
      <c r="O162" s="302"/>
      <c r="P162" s="302"/>
    </row>
    <row r="163" spans="3:16" s="159" customFormat="1" x14ac:dyDescent="0.2">
      <c r="C163" s="655"/>
      <c r="D163" s="655"/>
      <c r="M163" s="276"/>
      <c r="N163" s="157"/>
      <c r="O163" s="302"/>
      <c r="P163" s="302"/>
    </row>
    <row r="164" spans="3:16" s="159" customFormat="1" x14ac:dyDescent="0.2">
      <c r="C164" s="655"/>
      <c r="D164" s="655"/>
      <c r="M164" s="276"/>
      <c r="N164" s="157"/>
      <c r="O164" s="302"/>
      <c r="P164" s="302"/>
    </row>
    <row r="165" spans="3:16" s="159" customFormat="1" x14ac:dyDescent="0.2">
      <c r="C165" s="655"/>
      <c r="D165" s="655"/>
      <c r="M165" s="276"/>
      <c r="N165" s="157"/>
      <c r="O165" s="302"/>
      <c r="P165" s="302"/>
    </row>
    <row r="166" spans="3:16" s="159" customFormat="1" x14ac:dyDescent="0.2">
      <c r="C166" s="655"/>
      <c r="D166" s="655"/>
      <c r="M166" s="276"/>
      <c r="N166" s="157"/>
      <c r="O166" s="302"/>
      <c r="P166" s="302"/>
    </row>
    <row r="167" spans="3:16" s="159" customFormat="1" x14ac:dyDescent="0.2">
      <c r="C167" s="655"/>
      <c r="D167" s="655"/>
      <c r="M167" s="276"/>
      <c r="N167" s="157"/>
      <c r="O167" s="302"/>
      <c r="P167" s="302"/>
    </row>
    <row r="168" spans="3:16" s="159" customFormat="1" x14ac:dyDescent="0.2">
      <c r="C168" s="655"/>
      <c r="D168" s="655"/>
      <c r="M168" s="276"/>
      <c r="N168" s="157"/>
      <c r="O168" s="302"/>
      <c r="P168" s="302"/>
    </row>
    <row r="169" spans="3:16" s="159" customFormat="1" x14ac:dyDescent="0.2">
      <c r="C169" s="655"/>
      <c r="D169" s="655"/>
      <c r="M169" s="276"/>
      <c r="N169" s="157"/>
      <c r="O169" s="302"/>
      <c r="P169" s="302"/>
    </row>
    <row r="170" spans="3:16" s="159" customFormat="1" x14ac:dyDescent="0.2">
      <c r="C170" s="655"/>
      <c r="D170" s="655"/>
      <c r="M170" s="276"/>
      <c r="N170" s="157"/>
      <c r="O170" s="302"/>
      <c r="P170" s="302"/>
    </row>
    <row r="171" spans="3:16" s="159" customFormat="1" x14ac:dyDescent="0.2">
      <c r="C171" s="655"/>
      <c r="D171" s="655"/>
      <c r="M171" s="276"/>
      <c r="N171" s="157"/>
      <c r="O171" s="302"/>
      <c r="P171" s="302"/>
    </row>
    <row r="172" spans="3:16" s="159" customFormat="1" x14ac:dyDescent="0.2">
      <c r="C172" s="655"/>
      <c r="D172" s="655"/>
      <c r="M172" s="276"/>
      <c r="N172" s="157"/>
      <c r="O172" s="302"/>
      <c r="P172" s="302"/>
    </row>
    <row r="173" spans="3:16" s="159" customFormat="1" x14ac:dyDescent="0.2">
      <c r="C173" s="655"/>
      <c r="D173" s="655"/>
      <c r="M173" s="276"/>
      <c r="N173" s="157"/>
      <c r="O173" s="302"/>
      <c r="P173" s="302"/>
    </row>
    <row r="174" spans="3:16" s="159" customFormat="1" x14ac:dyDescent="0.2">
      <c r="C174" s="655"/>
      <c r="D174" s="655"/>
      <c r="M174" s="276"/>
      <c r="N174" s="157"/>
      <c r="O174" s="302"/>
      <c r="P174" s="302"/>
    </row>
    <row r="175" spans="3:16" s="159" customFormat="1" x14ac:dyDescent="0.2">
      <c r="C175" s="655"/>
      <c r="D175" s="655"/>
      <c r="M175" s="276"/>
      <c r="N175" s="157"/>
      <c r="O175" s="302"/>
      <c r="P175" s="302"/>
    </row>
    <row r="176" spans="3:16" s="159" customFormat="1" x14ac:dyDescent="0.2">
      <c r="C176" s="655"/>
      <c r="D176" s="655"/>
      <c r="M176" s="276"/>
      <c r="N176" s="157"/>
      <c r="O176" s="302"/>
      <c r="P176" s="302"/>
    </row>
    <row r="177" spans="3:16" s="159" customFormat="1" x14ac:dyDescent="0.2">
      <c r="C177" s="655"/>
      <c r="D177" s="655"/>
      <c r="M177" s="276"/>
      <c r="N177" s="157"/>
      <c r="O177" s="302"/>
      <c r="P177" s="302"/>
    </row>
    <row r="178" spans="3:16" s="159" customFormat="1" x14ac:dyDescent="0.2">
      <c r="C178" s="655"/>
      <c r="D178" s="655"/>
      <c r="M178" s="276"/>
      <c r="N178" s="157"/>
      <c r="O178" s="302"/>
      <c r="P178" s="302"/>
    </row>
    <row r="179" spans="3:16" s="159" customFormat="1" x14ac:dyDescent="0.2">
      <c r="C179" s="655"/>
      <c r="D179" s="655"/>
      <c r="M179" s="276"/>
      <c r="N179" s="157"/>
      <c r="O179" s="302"/>
      <c r="P179" s="302"/>
    </row>
    <row r="180" spans="3:16" s="159" customFormat="1" x14ac:dyDescent="0.2">
      <c r="C180" s="655"/>
      <c r="D180" s="655"/>
      <c r="M180" s="276"/>
      <c r="N180" s="157"/>
      <c r="O180" s="302"/>
      <c r="P180" s="302"/>
    </row>
    <row r="181" spans="3:16" s="159" customFormat="1" x14ac:dyDescent="0.2">
      <c r="C181" s="655"/>
      <c r="D181" s="655"/>
      <c r="M181" s="276"/>
      <c r="N181" s="157"/>
      <c r="O181" s="302"/>
      <c r="P181" s="302"/>
    </row>
    <row r="182" spans="3:16" s="159" customFormat="1" x14ac:dyDescent="0.2">
      <c r="C182" s="655"/>
      <c r="D182" s="655"/>
      <c r="M182" s="276"/>
      <c r="N182" s="157"/>
      <c r="O182" s="302"/>
      <c r="P182" s="302"/>
    </row>
    <row r="183" spans="3:16" s="159" customFormat="1" x14ac:dyDescent="0.2">
      <c r="C183" s="655"/>
      <c r="D183" s="655"/>
      <c r="M183" s="276"/>
      <c r="N183" s="157"/>
      <c r="O183" s="302"/>
      <c r="P183" s="302"/>
    </row>
    <row r="184" spans="3:16" s="159" customFormat="1" x14ac:dyDescent="0.2">
      <c r="C184" s="655"/>
      <c r="D184" s="655"/>
      <c r="M184" s="276"/>
      <c r="N184" s="157"/>
      <c r="O184" s="302"/>
      <c r="P184" s="302"/>
    </row>
    <row r="185" spans="3:16" s="159" customFormat="1" x14ac:dyDescent="0.2">
      <c r="C185" s="655"/>
      <c r="D185" s="655"/>
      <c r="M185" s="276"/>
      <c r="N185" s="157"/>
      <c r="O185" s="302"/>
      <c r="P185" s="302"/>
    </row>
    <row r="186" spans="3:16" s="159" customFormat="1" x14ac:dyDescent="0.2">
      <c r="C186" s="655"/>
      <c r="D186" s="655"/>
      <c r="M186" s="276"/>
      <c r="N186" s="157"/>
      <c r="O186" s="302"/>
      <c r="P186" s="302"/>
    </row>
    <row r="187" spans="3:16" s="159" customFormat="1" x14ac:dyDescent="0.2">
      <c r="C187" s="655"/>
      <c r="D187" s="655"/>
      <c r="M187" s="276"/>
      <c r="N187" s="157"/>
      <c r="O187" s="302"/>
      <c r="P187" s="302"/>
    </row>
    <row r="188" spans="3:16" s="159" customFormat="1" x14ac:dyDescent="0.2">
      <c r="C188" s="655"/>
      <c r="D188" s="655"/>
      <c r="M188" s="276"/>
      <c r="N188" s="157"/>
      <c r="O188" s="302"/>
      <c r="P188" s="302"/>
    </row>
    <row r="189" spans="3:16" s="159" customFormat="1" x14ac:dyDescent="0.2">
      <c r="C189" s="655"/>
      <c r="D189" s="655"/>
      <c r="M189" s="276"/>
      <c r="N189" s="157"/>
      <c r="O189" s="302"/>
      <c r="P189" s="302"/>
    </row>
    <row r="190" spans="3:16" s="159" customFormat="1" x14ac:dyDescent="0.2">
      <c r="C190" s="655"/>
      <c r="D190" s="655"/>
      <c r="M190" s="276"/>
      <c r="N190" s="157"/>
      <c r="O190" s="302"/>
      <c r="P190" s="302"/>
    </row>
    <row r="191" spans="3:16" s="159" customFormat="1" x14ac:dyDescent="0.2">
      <c r="C191" s="655"/>
      <c r="D191" s="655"/>
      <c r="M191" s="276"/>
      <c r="N191" s="157"/>
      <c r="O191" s="302"/>
      <c r="P191" s="302"/>
    </row>
    <row r="192" spans="3:16" s="159" customFormat="1" x14ac:dyDescent="0.2">
      <c r="C192" s="655"/>
      <c r="D192" s="655"/>
      <c r="M192" s="276"/>
      <c r="N192" s="157"/>
      <c r="O192" s="302"/>
      <c r="P192" s="302"/>
    </row>
    <row r="193" spans="3:16" s="159" customFormat="1" x14ac:dyDescent="0.2">
      <c r="C193" s="655"/>
      <c r="D193" s="655"/>
      <c r="M193" s="276"/>
      <c r="N193" s="157"/>
      <c r="O193" s="302"/>
      <c r="P193" s="302"/>
    </row>
    <row r="194" spans="3:16" s="159" customFormat="1" x14ac:dyDescent="0.2">
      <c r="C194" s="655"/>
      <c r="D194" s="655"/>
      <c r="M194" s="276"/>
      <c r="N194" s="157"/>
      <c r="O194" s="302"/>
      <c r="P194" s="302"/>
    </row>
    <row r="195" spans="3:16" s="159" customFormat="1" x14ac:dyDescent="0.2">
      <c r="C195" s="655"/>
      <c r="D195" s="655"/>
      <c r="M195" s="276"/>
      <c r="N195" s="157"/>
      <c r="O195" s="302"/>
      <c r="P195" s="302"/>
    </row>
    <row r="196" spans="3:16" s="159" customFormat="1" x14ac:dyDescent="0.2">
      <c r="C196" s="655"/>
      <c r="D196" s="655"/>
      <c r="M196" s="276"/>
      <c r="N196" s="157"/>
      <c r="O196" s="302"/>
      <c r="P196" s="302"/>
    </row>
    <row r="197" spans="3:16" s="159" customFormat="1" x14ac:dyDescent="0.2">
      <c r="C197" s="655"/>
      <c r="D197" s="655"/>
      <c r="M197" s="276"/>
      <c r="N197" s="157"/>
      <c r="O197" s="302"/>
      <c r="P197" s="302"/>
    </row>
    <row r="198" spans="3:16" s="159" customFormat="1" x14ac:dyDescent="0.2">
      <c r="C198" s="655"/>
      <c r="D198" s="655"/>
      <c r="M198" s="276"/>
      <c r="N198" s="157"/>
      <c r="O198" s="302"/>
      <c r="P198" s="302"/>
    </row>
    <row r="199" spans="3:16" s="159" customFormat="1" x14ac:dyDescent="0.2">
      <c r="C199" s="655"/>
      <c r="D199" s="655"/>
      <c r="M199" s="276"/>
      <c r="N199" s="157"/>
      <c r="O199" s="302"/>
      <c r="P199" s="302"/>
    </row>
    <row r="200" spans="3:16" s="159" customFormat="1" x14ac:dyDescent="0.2">
      <c r="C200" s="655"/>
      <c r="D200" s="655"/>
      <c r="M200" s="276"/>
      <c r="N200" s="157"/>
      <c r="O200" s="302"/>
      <c r="P200" s="302"/>
    </row>
    <row r="201" spans="3:16" s="159" customFormat="1" x14ac:dyDescent="0.2">
      <c r="C201" s="655"/>
      <c r="D201" s="655"/>
      <c r="M201" s="276"/>
      <c r="N201" s="157"/>
      <c r="O201" s="302"/>
      <c r="P201" s="302"/>
    </row>
    <row r="202" spans="3:16" s="159" customFormat="1" x14ac:dyDescent="0.2">
      <c r="C202" s="655"/>
      <c r="D202" s="655"/>
      <c r="M202" s="276"/>
      <c r="N202" s="157"/>
      <c r="O202" s="302"/>
      <c r="P202" s="302"/>
    </row>
    <row r="203" spans="3:16" s="159" customFormat="1" x14ac:dyDescent="0.2">
      <c r="C203" s="655"/>
      <c r="D203" s="655"/>
      <c r="M203" s="276"/>
      <c r="N203" s="157"/>
      <c r="O203" s="302"/>
      <c r="P203" s="302"/>
    </row>
    <row r="204" spans="3:16" s="159" customFormat="1" x14ac:dyDescent="0.2">
      <c r="C204" s="655"/>
      <c r="D204" s="655"/>
      <c r="M204" s="276"/>
      <c r="N204" s="157"/>
      <c r="O204" s="302"/>
      <c r="P204" s="302"/>
    </row>
    <row r="205" spans="3:16" s="159" customFormat="1" x14ac:dyDescent="0.2">
      <c r="C205" s="655"/>
      <c r="D205" s="655"/>
      <c r="M205" s="276"/>
      <c r="N205" s="157"/>
      <c r="O205" s="302"/>
      <c r="P205" s="302"/>
    </row>
    <row r="206" spans="3:16" s="159" customFormat="1" x14ac:dyDescent="0.2">
      <c r="C206" s="655"/>
      <c r="D206" s="655"/>
      <c r="M206" s="276"/>
      <c r="N206" s="157"/>
      <c r="O206" s="302"/>
      <c r="P206" s="302"/>
    </row>
    <row r="207" spans="3:16" s="159" customFormat="1" x14ac:dyDescent="0.2">
      <c r="C207" s="655"/>
      <c r="D207" s="655"/>
      <c r="M207" s="276"/>
      <c r="N207" s="157"/>
      <c r="O207" s="302"/>
      <c r="P207" s="302"/>
    </row>
    <row r="208" spans="3:16" s="159" customFormat="1" x14ac:dyDescent="0.2">
      <c r="C208" s="655"/>
      <c r="D208" s="655"/>
      <c r="M208" s="276"/>
      <c r="N208" s="157"/>
      <c r="O208" s="302"/>
      <c r="P208" s="302"/>
    </row>
    <row r="209" spans="3:16" s="159" customFormat="1" x14ac:dyDescent="0.2">
      <c r="C209" s="655"/>
      <c r="D209" s="655"/>
      <c r="M209" s="276"/>
      <c r="N209" s="157"/>
      <c r="O209" s="302"/>
      <c r="P209" s="302"/>
    </row>
    <row r="210" spans="3:16" s="159" customFormat="1" x14ac:dyDescent="0.2">
      <c r="C210" s="655"/>
      <c r="D210" s="655"/>
      <c r="M210" s="276"/>
      <c r="N210" s="157"/>
      <c r="O210" s="302"/>
      <c r="P210" s="302"/>
    </row>
    <row r="211" spans="3:16" s="159" customFormat="1" x14ac:dyDescent="0.2">
      <c r="C211" s="655"/>
      <c r="D211" s="655"/>
      <c r="M211" s="276"/>
      <c r="N211" s="157"/>
      <c r="O211" s="302"/>
      <c r="P211" s="302"/>
    </row>
    <row r="212" spans="3:16" s="159" customFormat="1" x14ac:dyDescent="0.2">
      <c r="C212" s="655"/>
      <c r="D212" s="655"/>
      <c r="M212" s="276"/>
      <c r="N212" s="157"/>
      <c r="O212" s="302"/>
      <c r="P212" s="302"/>
    </row>
    <row r="213" spans="3:16" s="159" customFormat="1" x14ac:dyDescent="0.2">
      <c r="C213" s="655"/>
      <c r="D213" s="655"/>
      <c r="M213" s="276"/>
      <c r="N213" s="157"/>
      <c r="O213" s="302"/>
      <c r="P213" s="302"/>
    </row>
    <row r="214" spans="3:16" s="159" customFormat="1" x14ac:dyDescent="0.2">
      <c r="C214" s="655"/>
      <c r="D214" s="655"/>
      <c r="M214" s="276"/>
      <c r="N214" s="157"/>
      <c r="O214" s="302"/>
      <c r="P214" s="302"/>
    </row>
    <row r="215" spans="3:16" s="159" customFormat="1" x14ac:dyDescent="0.2">
      <c r="C215" s="655"/>
      <c r="D215" s="655"/>
      <c r="M215" s="276"/>
      <c r="N215" s="157"/>
      <c r="O215" s="302"/>
      <c r="P215" s="302"/>
    </row>
    <row r="216" spans="3:16" s="159" customFormat="1" x14ac:dyDescent="0.2">
      <c r="C216" s="655"/>
      <c r="D216" s="655"/>
      <c r="M216" s="276"/>
      <c r="N216" s="157"/>
      <c r="O216" s="302"/>
      <c r="P216" s="302"/>
    </row>
    <row r="217" spans="3:16" s="159" customFormat="1" x14ac:dyDescent="0.2">
      <c r="C217" s="655"/>
      <c r="D217" s="655"/>
      <c r="M217" s="276"/>
      <c r="N217" s="157"/>
      <c r="O217" s="302"/>
      <c r="P217" s="302"/>
    </row>
    <row r="218" spans="3:16" s="159" customFormat="1" x14ac:dyDescent="0.2">
      <c r="C218" s="655"/>
      <c r="D218" s="655"/>
      <c r="M218" s="276"/>
      <c r="N218" s="157"/>
      <c r="O218" s="302"/>
      <c r="P218" s="302"/>
    </row>
    <row r="219" spans="3:16" s="159" customFormat="1" x14ac:dyDescent="0.2">
      <c r="C219" s="655"/>
      <c r="D219" s="655"/>
      <c r="M219" s="276"/>
      <c r="N219" s="157"/>
      <c r="O219" s="302"/>
      <c r="P219" s="302"/>
    </row>
    <row r="220" spans="3:16" s="159" customFormat="1" x14ac:dyDescent="0.2">
      <c r="C220" s="655"/>
      <c r="D220" s="655"/>
      <c r="M220" s="276"/>
      <c r="N220" s="157"/>
      <c r="O220" s="302"/>
      <c r="P220" s="302"/>
    </row>
    <row r="221" spans="3:16" s="159" customFormat="1" x14ac:dyDescent="0.2">
      <c r="C221" s="655"/>
      <c r="D221" s="655"/>
      <c r="M221" s="276"/>
      <c r="N221" s="157"/>
      <c r="O221" s="302"/>
      <c r="P221" s="302"/>
    </row>
    <row r="222" spans="3:16" s="159" customFormat="1" x14ac:dyDescent="0.2">
      <c r="C222" s="655"/>
      <c r="D222" s="655"/>
      <c r="M222" s="276"/>
      <c r="N222" s="157"/>
      <c r="O222" s="302"/>
      <c r="P222" s="302"/>
    </row>
    <row r="223" spans="3:16" s="159" customFormat="1" x14ac:dyDescent="0.2">
      <c r="C223" s="655"/>
      <c r="D223" s="655"/>
      <c r="M223" s="276"/>
      <c r="N223" s="157"/>
      <c r="O223" s="302"/>
      <c r="P223" s="302"/>
    </row>
    <row r="224" spans="3:16" s="159" customFormat="1" x14ac:dyDescent="0.2">
      <c r="C224" s="655"/>
      <c r="D224" s="655"/>
      <c r="M224" s="276"/>
      <c r="N224" s="157"/>
      <c r="O224" s="302"/>
      <c r="P224" s="302"/>
    </row>
    <row r="225" spans="3:16" s="159" customFormat="1" x14ac:dyDescent="0.2">
      <c r="C225" s="655"/>
      <c r="D225" s="655"/>
      <c r="M225" s="276"/>
      <c r="N225" s="157"/>
      <c r="O225" s="302"/>
      <c r="P225" s="302"/>
    </row>
    <row r="226" spans="3:16" s="159" customFormat="1" x14ac:dyDescent="0.2">
      <c r="C226" s="655"/>
      <c r="D226" s="655"/>
      <c r="M226" s="276"/>
      <c r="N226" s="157"/>
      <c r="O226" s="302"/>
      <c r="P226" s="302"/>
    </row>
    <row r="227" spans="3:16" s="159" customFormat="1" x14ac:dyDescent="0.2">
      <c r="C227" s="655"/>
      <c r="D227" s="655"/>
      <c r="M227" s="276"/>
      <c r="N227" s="157"/>
      <c r="O227" s="302"/>
      <c r="P227" s="302"/>
    </row>
    <row r="228" spans="3:16" s="159" customFormat="1" x14ac:dyDescent="0.2">
      <c r="C228" s="655"/>
      <c r="D228" s="655"/>
      <c r="M228" s="276"/>
      <c r="N228" s="157"/>
      <c r="O228" s="302"/>
      <c r="P228" s="302"/>
    </row>
    <row r="229" spans="3:16" s="159" customFormat="1" x14ac:dyDescent="0.2">
      <c r="C229" s="655"/>
      <c r="D229" s="655"/>
      <c r="M229" s="276"/>
      <c r="N229" s="157"/>
      <c r="O229" s="302"/>
      <c r="P229" s="302"/>
    </row>
    <row r="230" spans="3:16" s="159" customFormat="1" x14ac:dyDescent="0.2">
      <c r="C230" s="655"/>
      <c r="D230" s="655"/>
      <c r="M230" s="276"/>
      <c r="N230" s="157"/>
      <c r="O230" s="302"/>
      <c r="P230" s="302"/>
    </row>
    <row r="231" spans="3:16" s="159" customFormat="1" x14ac:dyDescent="0.2">
      <c r="C231" s="655"/>
      <c r="D231" s="655"/>
      <c r="M231" s="276"/>
      <c r="N231" s="157"/>
      <c r="O231" s="302"/>
      <c r="P231" s="302"/>
    </row>
    <row r="232" spans="3:16" s="159" customFormat="1" x14ac:dyDescent="0.2">
      <c r="C232" s="655"/>
      <c r="D232" s="655"/>
      <c r="M232" s="276"/>
      <c r="N232" s="157"/>
      <c r="O232" s="302"/>
      <c r="P232" s="302"/>
    </row>
    <row r="233" spans="3:16" s="159" customFormat="1" x14ac:dyDescent="0.2">
      <c r="C233" s="655"/>
      <c r="D233" s="655"/>
      <c r="M233" s="276"/>
      <c r="N233" s="157"/>
      <c r="O233" s="302"/>
      <c r="P233" s="302"/>
    </row>
    <row r="234" spans="3:16" s="159" customFormat="1" x14ac:dyDescent="0.2">
      <c r="C234" s="655"/>
      <c r="D234" s="655"/>
      <c r="M234" s="276"/>
      <c r="N234" s="157"/>
      <c r="O234" s="302"/>
      <c r="P234" s="302"/>
    </row>
    <row r="235" spans="3:16" s="159" customFormat="1" x14ac:dyDescent="0.2">
      <c r="C235" s="655"/>
      <c r="D235" s="655"/>
      <c r="M235" s="276"/>
      <c r="N235" s="157"/>
      <c r="O235" s="302"/>
      <c r="P235" s="302"/>
    </row>
    <row r="236" spans="3:16" s="159" customFormat="1" x14ac:dyDescent="0.2">
      <c r="C236" s="655"/>
      <c r="D236" s="655"/>
      <c r="M236" s="276"/>
      <c r="N236" s="157"/>
      <c r="O236" s="302"/>
      <c r="P236" s="302"/>
    </row>
    <row r="237" spans="3:16" s="159" customFormat="1" x14ac:dyDescent="0.2">
      <c r="C237" s="655"/>
      <c r="D237" s="655"/>
      <c r="M237" s="276"/>
      <c r="N237" s="157"/>
      <c r="O237" s="302"/>
      <c r="P237" s="302"/>
    </row>
    <row r="238" spans="3:16" s="159" customFormat="1" x14ac:dyDescent="0.2">
      <c r="C238" s="655"/>
      <c r="D238" s="655"/>
      <c r="M238" s="276"/>
      <c r="N238" s="157"/>
      <c r="O238" s="302"/>
      <c r="P238" s="302"/>
    </row>
    <row r="239" spans="3:16" s="159" customFormat="1" x14ac:dyDescent="0.2">
      <c r="C239" s="655"/>
      <c r="D239" s="655"/>
      <c r="M239" s="276"/>
      <c r="N239" s="157"/>
      <c r="O239" s="302"/>
      <c r="P239" s="302"/>
    </row>
    <row r="240" spans="3:16" s="159" customFormat="1" x14ac:dyDescent="0.2">
      <c r="C240" s="655"/>
      <c r="D240" s="655"/>
      <c r="M240" s="276"/>
      <c r="N240" s="157"/>
      <c r="O240" s="302"/>
      <c r="P240" s="302"/>
    </row>
    <row r="241" spans="3:16" s="159" customFormat="1" x14ac:dyDescent="0.2">
      <c r="C241" s="655"/>
      <c r="D241" s="655"/>
      <c r="M241" s="276"/>
      <c r="N241" s="157"/>
      <c r="O241" s="302"/>
      <c r="P241" s="302"/>
    </row>
    <row r="242" spans="3:16" s="159" customFormat="1" x14ac:dyDescent="0.2">
      <c r="C242" s="655"/>
      <c r="D242" s="655"/>
      <c r="M242" s="276"/>
      <c r="N242" s="157"/>
      <c r="O242" s="302"/>
      <c r="P242" s="302"/>
    </row>
  </sheetData>
  <mergeCells count="54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64:F64"/>
    <mergeCell ref="G64:I64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J99:J100"/>
    <mergeCell ref="K99:K100"/>
    <mergeCell ref="F97:F98"/>
    <mergeCell ref="G97:G98"/>
    <mergeCell ref="I97:I98"/>
    <mergeCell ref="J97:J98"/>
    <mergeCell ref="K97:K98"/>
    <mergeCell ref="Q9:Q10"/>
    <mergeCell ref="L9:L10"/>
    <mergeCell ref="M9:M10"/>
    <mergeCell ref="N9:N10"/>
    <mergeCell ref="O9:O10"/>
    <mergeCell ref="P9:P10"/>
  </mergeCells>
  <phoneticPr fontId="5" type="noConversion"/>
  <pageMargins left="0.38" right="0.7" top="0.75" bottom="0.75" header="0.5" footer="0.5"/>
  <pageSetup scale="73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152"/>
  <sheetViews>
    <sheetView zoomScale="90" zoomScaleSheetLayoutView="90" workbookViewId="0">
      <selection activeCell="J12" sqref="J12"/>
    </sheetView>
  </sheetViews>
  <sheetFormatPr defaultColWidth="9.140625" defaultRowHeight="12.75" x14ac:dyDescent="0.2"/>
  <cols>
    <col min="1" max="1" width="10.42578125" style="157" customWidth="1"/>
    <col min="2" max="2" width="41.5703125" style="157" customWidth="1"/>
    <col min="3" max="3" width="5" style="440" customWidth="1"/>
    <col min="4" max="4" width="5" style="659" customWidth="1"/>
    <col min="5" max="5" width="11.7109375" style="157" bestFit="1" customWidth="1"/>
    <col min="6" max="6" width="12.5703125" style="157" bestFit="1" customWidth="1"/>
    <col min="7" max="7" width="7.140625" style="157" bestFit="1" customWidth="1"/>
    <col min="8" max="8" width="11" style="157" bestFit="1" customWidth="1"/>
    <col min="9" max="9" width="12.5703125" style="157" bestFit="1" customWidth="1"/>
    <col min="10" max="10" width="16.42578125" style="157" bestFit="1" customWidth="1"/>
    <col min="11" max="11" width="13.140625" style="157" bestFit="1" customWidth="1"/>
    <col min="12" max="12" width="17.85546875" style="159" bestFit="1" customWidth="1"/>
    <col min="13" max="13" width="14" style="276" bestFit="1" customWidth="1"/>
    <col min="14" max="14" width="24.85546875" style="157" bestFit="1" customWidth="1"/>
    <col min="15" max="15" width="22" style="302" bestFit="1" customWidth="1"/>
    <col min="16" max="16" width="22.140625" style="302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2"/>
      <c r="B1" s="323"/>
      <c r="C1" s="976">
        <f>'Estimate Summary'!C1:H1</f>
        <v>0</v>
      </c>
      <c r="D1" s="976"/>
      <c r="E1" s="976"/>
      <c r="F1" s="976"/>
      <c r="G1" s="976"/>
      <c r="H1" s="976"/>
      <c r="I1" s="976"/>
      <c r="J1" s="976"/>
      <c r="K1" s="977"/>
    </row>
    <row r="2" spans="1:17" ht="13.5" thickBot="1" x14ac:dyDescent="0.25">
      <c r="A2" s="324"/>
      <c r="B2" s="325"/>
      <c r="C2" s="514"/>
      <c r="D2" s="984"/>
      <c r="E2" s="984"/>
      <c r="F2" s="984"/>
      <c r="G2" s="514"/>
      <c r="H2" s="327"/>
      <c r="I2" s="328"/>
      <c r="J2" s="329"/>
      <c r="K2" s="330"/>
    </row>
    <row r="3" spans="1:17" ht="16.5" thickBot="1" x14ac:dyDescent="0.3">
      <c r="A3" s="973"/>
      <c r="B3" s="974"/>
      <c r="C3" s="514"/>
      <c r="D3" s="984"/>
      <c r="E3" s="984"/>
      <c r="F3" s="984"/>
      <c r="G3" s="515"/>
      <c r="H3" s="332"/>
      <c r="I3" s="333"/>
      <c r="J3" s="333"/>
      <c r="K3" s="334"/>
      <c r="L3" s="1002"/>
      <c r="M3" s="1003"/>
      <c r="N3" s="985"/>
      <c r="O3" s="985"/>
      <c r="P3" s="935"/>
    </row>
    <row r="4" spans="1:17" ht="18.75" thickBot="1" x14ac:dyDescent="0.25">
      <c r="A4" s="973"/>
      <c r="B4" s="974"/>
      <c r="C4" s="514"/>
      <c r="D4" s="984"/>
      <c r="E4" s="984"/>
      <c r="F4" s="984"/>
      <c r="G4" s="336"/>
      <c r="H4" s="336"/>
      <c r="I4" s="328"/>
      <c r="J4" s="329"/>
      <c r="K4" s="330"/>
      <c r="L4" s="1002"/>
      <c r="M4" s="1003"/>
      <c r="N4" s="985"/>
      <c r="O4" s="985"/>
      <c r="P4" s="935"/>
    </row>
    <row r="5" spans="1:17" ht="21" thickBot="1" x14ac:dyDescent="0.3">
      <c r="A5" s="337"/>
      <c r="B5" s="338"/>
      <c r="C5" s="516"/>
      <c r="D5" s="340"/>
      <c r="E5" s="341"/>
      <c r="F5" s="336"/>
      <c r="G5" s="983" t="s">
        <v>77</v>
      </c>
      <c r="H5" s="983"/>
      <c r="I5" s="983"/>
      <c r="J5" s="981" t="s">
        <v>73</v>
      </c>
      <c r="K5" s="982"/>
      <c r="L5" s="1002"/>
      <c r="M5" s="1003"/>
      <c r="N5" s="985"/>
      <c r="O5" s="985"/>
      <c r="P5" s="935"/>
    </row>
    <row r="6" spans="1:17" ht="21" thickBot="1" x14ac:dyDescent="0.25">
      <c r="A6" s="337"/>
      <c r="B6" s="338"/>
      <c r="C6" s="517"/>
      <c r="D6" s="343" t="str">
        <f>'Estimate Summary'!C11</f>
        <v>Area:</v>
      </c>
      <c r="E6" s="344">
        <f>'Estimate Summary'!D11</f>
        <v>65592</v>
      </c>
      <c r="F6" s="238" t="str">
        <f>'Estimate Summary'!E11</f>
        <v>Sq. Ft.</v>
      </c>
      <c r="G6" s="983"/>
      <c r="H6" s="983"/>
      <c r="I6" s="983"/>
      <c r="J6" s="345">
        <f>'1'!J6</f>
        <v>60</v>
      </c>
      <c r="K6" s="330" t="s">
        <v>74</v>
      </c>
      <c r="L6" s="1002"/>
      <c r="M6" s="1003"/>
      <c r="N6" s="985"/>
      <c r="O6" s="985"/>
      <c r="P6" s="935"/>
    </row>
    <row r="7" spans="1:17" x14ac:dyDescent="0.2">
      <c r="A7" s="978"/>
      <c r="B7" s="979"/>
      <c r="C7" s="979"/>
      <c r="D7" s="979"/>
      <c r="E7" s="979"/>
      <c r="F7" s="979"/>
      <c r="G7" s="979"/>
      <c r="H7" s="979"/>
      <c r="I7" s="979"/>
      <c r="J7" s="979"/>
      <c r="K7" s="980"/>
    </row>
    <row r="8" spans="1:17" ht="13.5" thickBot="1" x14ac:dyDescent="0.25">
      <c r="A8" s="346"/>
      <c r="B8" s="347"/>
      <c r="C8" s="972"/>
      <c r="D8" s="972"/>
      <c r="E8" s="972"/>
      <c r="F8" s="972"/>
      <c r="G8" s="971"/>
      <c r="H8" s="971"/>
      <c r="I8" s="971"/>
      <c r="J8" s="348"/>
      <c r="K8" s="349"/>
      <c r="L8" s="518"/>
      <c r="M8" s="519"/>
      <c r="N8" s="518"/>
      <c r="O8" s="520"/>
      <c r="P8" s="520"/>
    </row>
    <row r="9" spans="1:17" ht="14.25" thickTop="1" thickBot="1" x14ac:dyDescent="0.25">
      <c r="A9" s="353" t="s">
        <v>0</v>
      </c>
      <c r="B9" s="354" t="s">
        <v>1</v>
      </c>
      <c r="C9" s="939" t="s">
        <v>656</v>
      </c>
      <c r="D9" s="939"/>
      <c r="E9" s="939"/>
      <c r="F9" s="939"/>
      <c r="G9" s="939" t="s">
        <v>34</v>
      </c>
      <c r="H9" s="939"/>
      <c r="I9" s="939"/>
      <c r="J9" s="355"/>
      <c r="K9" s="523"/>
      <c r="L9" s="942" t="s">
        <v>783</v>
      </c>
      <c r="M9" s="944" t="s">
        <v>784</v>
      </c>
      <c r="N9" s="946" t="s">
        <v>785</v>
      </c>
      <c r="O9" s="948"/>
      <c r="P9" s="950"/>
      <c r="Q9" s="940"/>
    </row>
    <row r="10" spans="1:17" ht="15.75" x14ac:dyDescent="0.25">
      <c r="A10" s="357"/>
      <c r="B10" s="358"/>
      <c r="C10" s="359" t="s">
        <v>19</v>
      </c>
      <c r="D10" s="360" t="s">
        <v>33</v>
      </c>
      <c r="E10" s="361" t="s">
        <v>35</v>
      </c>
      <c r="F10" s="362" t="s">
        <v>30</v>
      </c>
      <c r="G10" s="526" t="s">
        <v>14</v>
      </c>
      <c r="H10" s="361" t="s">
        <v>35</v>
      </c>
      <c r="I10" s="362" t="s">
        <v>30</v>
      </c>
      <c r="J10" s="364" t="s">
        <v>659</v>
      </c>
      <c r="K10" s="527" t="s">
        <v>38</v>
      </c>
      <c r="L10" s="943"/>
      <c r="M10" s="945"/>
      <c r="N10" s="947"/>
      <c r="O10" s="949"/>
      <c r="P10" s="951"/>
      <c r="Q10" s="941"/>
    </row>
    <row r="11" spans="1:17" x14ac:dyDescent="0.2">
      <c r="A11" s="370"/>
      <c r="B11" s="5" t="s">
        <v>1238</v>
      </c>
      <c r="C11" s="371"/>
      <c r="D11" s="372" t="s">
        <v>21</v>
      </c>
      <c r="E11" s="253">
        <v>0</v>
      </c>
      <c r="F11" s="373">
        <f t="shared" ref="F11:F22" si="0">C11*E11</f>
        <v>0</v>
      </c>
      <c r="G11" s="529"/>
      <c r="H11" s="375">
        <v>0</v>
      </c>
      <c r="I11" s="373">
        <f t="shared" ref="I11:I22" si="1">G11*H11</f>
        <v>0</v>
      </c>
      <c r="J11" s="376">
        <f>M15</f>
        <v>86400</v>
      </c>
      <c r="K11" s="530">
        <f t="shared" ref="K11:K22" si="2">F11+I11+J11</f>
        <v>86400</v>
      </c>
      <c r="L11" s="865" t="s">
        <v>1230</v>
      </c>
      <c r="M11" s="379"/>
      <c r="N11" s="379" t="s">
        <v>1252</v>
      </c>
      <c r="O11" s="381"/>
      <c r="P11" s="382"/>
      <c r="Q11" s="383"/>
    </row>
    <row r="12" spans="1:17" x14ac:dyDescent="0.2">
      <c r="A12" s="370"/>
      <c r="B12" s="5" t="s">
        <v>726</v>
      </c>
      <c r="C12" s="371"/>
      <c r="D12" s="372" t="s">
        <v>21</v>
      </c>
      <c r="E12" s="253">
        <v>0</v>
      </c>
      <c r="F12" s="373">
        <f t="shared" si="0"/>
        <v>0</v>
      </c>
      <c r="G12" s="529"/>
      <c r="H12" s="375">
        <v>0</v>
      </c>
      <c r="I12" s="373">
        <f t="shared" si="1"/>
        <v>0</v>
      </c>
      <c r="J12" s="376">
        <f>4500+1000+19500</f>
        <v>25000</v>
      </c>
      <c r="K12" s="530">
        <f t="shared" si="2"/>
        <v>25000</v>
      </c>
      <c r="L12" s="378" t="s">
        <v>1239</v>
      </c>
      <c r="M12" s="379"/>
      <c r="N12" s="380"/>
      <c r="O12" s="381"/>
      <c r="P12" s="382"/>
      <c r="Q12" s="383"/>
    </row>
    <row r="13" spans="1:17" x14ac:dyDescent="0.2">
      <c r="A13" s="370"/>
      <c r="B13" s="5" t="s">
        <v>10</v>
      </c>
      <c r="C13" s="371"/>
      <c r="D13" s="372" t="s">
        <v>21</v>
      </c>
      <c r="E13" s="253">
        <v>0</v>
      </c>
      <c r="F13" s="373">
        <f t="shared" si="0"/>
        <v>0</v>
      </c>
      <c r="G13" s="529"/>
      <c r="H13" s="375">
        <v>0</v>
      </c>
      <c r="I13" s="373">
        <f t="shared" si="1"/>
        <v>0</v>
      </c>
      <c r="J13" s="376"/>
      <c r="K13" s="530">
        <f t="shared" si="2"/>
        <v>0</v>
      </c>
      <c r="L13" s="378" t="s">
        <v>38</v>
      </c>
      <c r="M13" s="379"/>
      <c r="N13" s="380"/>
      <c r="O13" s="381"/>
      <c r="P13" s="382"/>
      <c r="Q13" s="383"/>
    </row>
    <row r="14" spans="1:17" x14ac:dyDescent="0.2">
      <c r="A14" s="370"/>
      <c r="B14" s="5"/>
      <c r="C14" s="371"/>
      <c r="D14" s="372" t="s">
        <v>21</v>
      </c>
      <c r="E14" s="253">
        <v>0</v>
      </c>
      <c r="F14" s="373">
        <f t="shared" si="0"/>
        <v>0</v>
      </c>
      <c r="G14" s="529"/>
      <c r="H14" s="375">
        <v>0</v>
      </c>
      <c r="I14" s="373">
        <f t="shared" si="1"/>
        <v>0</v>
      </c>
      <c r="J14" s="376"/>
      <c r="K14" s="530">
        <f t="shared" si="2"/>
        <v>0</v>
      </c>
      <c r="L14" s="378"/>
      <c r="M14" s="379"/>
      <c r="N14" s="380"/>
      <c r="O14" s="381"/>
      <c r="P14" s="382"/>
      <c r="Q14" s="383"/>
    </row>
    <row r="15" spans="1:17" x14ac:dyDescent="0.2">
      <c r="A15" s="370"/>
      <c r="B15" s="6"/>
      <c r="C15" s="371"/>
      <c r="D15" s="372" t="s">
        <v>21</v>
      </c>
      <c r="E15" s="253">
        <v>0</v>
      </c>
      <c r="F15" s="373">
        <f t="shared" si="0"/>
        <v>0</v>
      </c>
      <c r="G15" s="529"/>
      <c r="H15" s="375">
        <v>0</v>
      </c>
      <c r="I15" s="373">
        <f t="shared" si="1"/>
        <v>0</v>
      </c>
      <c r="J15" s="376"/>
      <c r="K15" s="530">
        <f t="shared" si="2"/>
        <v>0</v>
      </c>
      <c r="L15" s="865" t="s">
        <v>1047</v>
      </c>
      <c r="M15" s="379">
        <v>86400</v>
      </c>
      <c r="N15" s="380" t="s">
        <v>1285</v>
      </c>
      <c r="O15" s="381"/>
      <c r="P15" s="382"/>
      <c r="Q15" s="383"/>
    </row>
    <row r="16" spans="1:17" x14ac:dyDescent="0.2">
      <c r="A16" s="384"/>
      <c r="B16" s="5" t="s">
        <v>1284</v>
      </c>
      <c r="C16" s="371">
        <v>1</v>
      </c>
      <c r="D16" s="372" t="s">
        <v>21</v>
      </c>
      <c r="E16" s="253">
        <v>10000</v>
      </c>
      <c r="F16" s="373">
        <f t="shared" si="0"/>
        <v>10000</v>
      </c>
      <c r="G16" s="529"/>
      <c r="H16" s="375">
        <v>0</v>
      </c>
      <c r="I16" s="373">
        <f t="shared" si="1"/>
        <v>0</v>
      </c>
      <c r="J16" s="376"/>
      <c r="K16" s="530">
        <f t="shared" si="2"/>
        <v>10000</v>
      </c>
      <c r="L16" s="378"/>
      <c r="M16" s="379"/>
      <c r="N16" s="380"/>
      <c r="O16" s="381"/>
      <c r="P16" s="382"/>
      <c r="Q16" s="383"/>
    </row>
    <row r="17" spans="1:17" x14ac:dyDescent="0.2">
      <c r="A17" s="384"/>
      <c r="B17" s="5"/>
      <c r="C17" s="371"/>
      <c r="D17" s="372" t="s">
        <v>21</v>
      </c>
      <c r="E17" s="253">
        <v>0</v>
      </c>
      <c r="F17" s="373">
        <f t="shared" si="0"/>
        <v>0</v>
      </c>
      <c r="G17" s="529"/>
      <c r="H17" s="375">
        <v>0</v>
      </c>
      <c r="I17" s="373">
        <f t="shared" si="1"/>
        <v>0</v>
      </c>
      <c r="J17" s="376"/>
      <c r="K17" s="530">
        <f t="shared" si="2"/>
        <v>0</v>
      </c>
      <c r="L17" s="157"/>
      <c r="M17" s="469"/>
      <c r="O17" s="381"/>
      <c r="P17" s="382"/>
      <c r="Q17" s="383"/>
    </row>
    <row r="18" spans="1:17" x14ac:dyDescent="0.2">
      <c r="A18" s="384"/>
      <c r="B18" s="5"/>
      <c r="C18" s="371"/>
      <c r="D18" s="372" t="s">
        <v>21</v>
      </c>
      <c r="E18" s="253">
        <v>0</v>
      </c>
      <c r="F18" s="373">
        <f t="shared" si="0"/>
        <v>0</v>
      </c>
      <c r="G18" s="529"/>
      <c r="H18" s="375">
        <v>0</v>
      </c>
      <c r="I18" s="373">
        <f t="shared" si="1"/>
        <v>0</v>
      </c>
      <c r="J18" s="376"/>
      <c r="K18" s="530">
        <f t="shared" si="2"/>
        <v>0</v>
      </c>
      <c r="L18" s="157"/>
      <c r="M18" s="469"/>
      <c r="O18" s="381"/>
      <c r="P18" s="382"/>
      <c r="Q18" s="383"/>
    </row>
    <row r="19" spans="1:17" x14ac:dyDescent="0.2">
      <c r="A19" s="384"/>
      <c r="B19" s="5"/>
      <c r="C19" s="371"/>
      <c r="D19" s="372" t="s">
        <v>21</v>
      </c>
      <c r="E19" s="253">
        <v>0</v>
      </c>
      <c r="F19" s="373">
        <f t="shared" si="0"/>
        <v>0</v>
      </c>
      <c r="G19" s="529"/>
      <c r="H19" s="375">
        <v>0</v>
      </c>
      <c r="I19" s="373">
        <f t="shared" si="1"/>
        <v>0</v>
      </c>
      <c r="J19" s="376"/>
      <c r="K19" s="530">
        <f t="shared" si="2"/>
        <v>0</v>
      </c>
      <c r="L19" s="157"/>
      <c r="M19" s="469"/>
      <c r="O19" s="381"/>
      <c r="P19" s="382"/>
      <c r="Q19" s="383"/>
    </row>
    <row r="20" spans="1:17" x14ac:dyDescent="0.2">
      <c r="A20" s="384"/>
      <c r="B20" s="5"/>
      <c r="C20" s="371"/>
      <c r="D20" s="372" t="s">
        <v>21</v>
      </c>
      <c r="E20" s="253">
        <v>0</v>
      </c>
      <c r="F20" s="373">
        <f t="shared" si="0"/>
        <v>0</v>
      </c>
      <c r="G20" s="529"/>
      <c r="H20" s="375">
        <v>0</v>
      </c>
      <c r="I20" s="373">
        <f t="shared" si="1"/>
        <v>0</v>
      </c>
      <c r="J20" s="376"/>
      <c r="K20" s="530">
        <f t="shared" si="2"/>
        <v>0</v>
      </c>
      <c r="L20" s="157"/>
      <c r="M20" s="469"/>
      <c r="O20" s="381"/>
      <c r="P20" s="382"/>
      <c r="Q20" s="383"/>
    </row>
    <row r="21" spans="1:17" x14ac:dyDescent="0.2">
      <c r="A21" s="384"/>
      <c r="B21" s="5"/>
      <c r="C21" s="371"/>
      <c r="D21" s="372" t="s">
        <v>21</v>
      </c>
      <c r="E21" s="253">
        <v>0</v>
      </c>
      <c r="F21" s="373">
        <f t="shared" si="0"/>
        <v>0</v>
      </c>
      <c r="G21" s="529"/>
      <c r="H21" s="375">
        <v>0</v>
      </c>
      <c r="I21" s="373">
        <f t="shared" si="1"/>
        <v>0</v>
      </c>
      <c r="J21" s="376"/>
      <c r="K21" s="530">
        <f t="shared" si="2"/>
        <v>0</v>
      </c>
      <c r="L21" s="157"/>
      <c r="M21" s="469"/>
      <c r="O21" s="381"/>
      <c r="P21" s="382"/>
      <c r="Q21" s="383"/>
    </row>
    <row r="22" spans="1:17" x14ac:dyDescent="0.2">
      <c r="A22" s="384"/>
      <c r="B22" s="5"/>
      <c r="C22" s="371"/>
      <c r="D22" s="372" t="s">
        <v>21</v>
      </c>
      <c r="E22" s="253">
        <v>0</v>
      </c>
      <c r="F22" s="373">
        <f t="shared" si="0"/>
        <v>0</v>
      </c>
      <c r="G22" s="529"/>
      <c r="H22" s="375">
        <v>0</v>
      </c>
      <c r="I22" s="373">
        <f t="shared" si="1"/>
        <v>0</v>
      </c>
      <c r="J22" s="376"/>
      <c r="K22" s="530">
        <f t="shared" si="2"/>
        <v>0</v>
      </c>
      <c r="L22" s="157"/>
      <c r="M22" s="469"/>
      <c r="O22" s="381"/>
      <c r="P22" s="382"/>
      <c r="Q22" s="383"/>
    </row>
    <row r="23" spans="1:17" s="159" customFormat="1" ht="13.5" thickBot="1" x14ac:dyDescent="0.25">
      <c r="A23" s="387"/>
      <c r="B23" s="7"/>
      <c r="C23" s="388"/>
      <c r="D23" s="372"/>
      <c r="E23" s="253"/>
      <c r="F23" s="373"/>
      <c r="G23" s="529"/>
      <c r="H23" s="375"/>
      <c r="I23" s="373"/>
      <c r="J23" s="376"/>
      <c r="K23" s="530"/>
      <c r="L23" s="157"/>
      <c r="M23" s="469"/>
      <c r="N23" s="157"/>
      <c r="O23" s="381"/>
      <c r="P23" s="382"/>
      <c r="Q23" s="383"/>
    </row>
    <row r="24" spans="1:17" s="159" customFormat="1" ht="13.5" thickTop="1" x14ac:dyDescent="0.2">
      <c r="A24" s="387"/>
      <c r="B24" s="7"/>
      <c r="C24" s="388"/>
      <c r="D24" s="372"/>
      <c r="E24" s="253"/>
      <c r="F24" s="373"/>
      <c r="G24" s="529"/>
      <c r="H24" s="375"/>
      <c r="I24" s="373"/>
      <c r="J24" s="389" t="s">
        <v>30</v>
      </c>
      <c r="K24" s="532">
        <f>SUM(K11:K23)</f>
        <v>121400</v>
      </c>
      <c r="L24" s="157"/>
      <c r="M24" s="469"/>
      <c r="N24" s="157"/>
      <c r="O24" s="381"/>
      <c r="P24" s="382"/>
      <c r="Q24" s="383"/>
    </row>
    <row r="25" spans="1:17" s="159" customFormat="1" ht="13.5" thickBot="1" x14ac:dyDescent="0.25">
      <c r="A25" s="353" t="s">
        <v>0</v>
      </c>
      <c r="B25" s="354" t="s">
        <v>1</v>
      </c>
      <c r="C25" s="939" t="s">
        <v>656</v>
      </c>
      <c r="D25" s="939"/>
      <c r="E25" s="939"/>
      <c r="F25" s="939"/>
      <c r="G25" s="939" t="s">
        <v>34</v>
      </c>
      <c r="H25" s="939"/>
      <c r="I25" s="939"/>
      <c r="J25" s="355"/>
      <c r="K25" s="523"/>
      <c r="L25" s="391"/>
      <c r="M25" s="392"/>
      <c r="N25" s="393"/>
      <c r="O25" s="381"/>
      <c r="P25" s="382"/>
      <c r="Q25" s="383"/>
    </row>
    <row r="26" spans="1:17" s="159" customFormat="1" ht="16.5" thickBot="1" x14ac:dyDescent="0.3">
      <c r="A26" s="394"/>
      <c r="B26" s="395"/>
      <c r="C26" s="396" t="s">
        <v>19</v>
      </c>
      <c r="D26" s="397" t="s">
        <v>33</v>
      </c>
      <c r="E26" s="398" t="s">
        <v>35</v>
      </c>
      <c r="F26" s="399" t="s">
        <v>30</v>
      </c>
      <c r="G26" s="533" t="s">
        <v>14</v>
      </c>
      <c r="H26" s="398" t="s">
        <v>35</v>
      </c>
      <c r="I26" s="399" t="s">
        <v>30</v>
      </c>
      <c r="J26" s="364" t="s">
        <v>659</v>
      </c>
      <c r="K26" s="534" t="s">
        <v>38</v>
      </c>
      <c r="L26" s="402"/>
      <c r="M26" s="403"/>
      <c r="N26" s="404"/>
      <c r="O26" s="381"/>
      <c r="P26" s="382"/>
      <c r="Q26" s="383"/>
    </row>
    <row r="27" spans="1:17" s="159" customFormat="1" x14ac:dyDescent="0.2">
      <c r="A27" s="405"/>
      <c r="B27" s="406"/>
      <c r="C27" s="371"/>
      <c r="D27" s="372" t="s">
        <v>21</v>
      </c>
      <c r="E27" s="253">
        <v>0</v>
      </c>
      <c r="F27" s="373">
        <f t="shared" ref="F27:F33" si="3">C27*E27</f>
        <v>0</v>
      </c>
      <c r="G27" s="529"/>
      <c r="H27" s="375">
        <v>0</v>
      </c>
      <c r="I27" s="373">
        <f t="shared" ref="I27:I33" si="4">G27*H27</f>
        <v>0</v>
      </c>
      <c r="J27" s="376"/>
      <c r="K27" s="530">
        <f t="shared" ref="K27:K33" si="5">F27+I27+J27</f>
        <v>0</v>
      </c>
      <c r="L27" s="157"/>
      <c r="M27" s="469"/>
      <c r="N27" s="157"/>
      <c r="O27" s="381"/>
      <c r="P27" s="382"/>
      <c r="Q27" s="383"/>
    </row>
    <row r="28" spans="1:17" s="159" customFormat="1" x14ac:dyDescent="0.2">
      <c r="A28" s="370"/>
      <c r="B28" s="5"/>
      <c r="C28" s="371"/>
      <c r="D28" s="372" t="s">
        <v>21</v>
      </c>
      <c r="E28" s="253">
        <v>0</v>
      </c>
      <c r="F28" s="373">
        <f t="shared" si="3"/>
        <v>0</v>
      </c>
      <c r="G28" s="529"/>
      <c r="H28" s="375">
        <v>0</v>
      </c>
      <c r="I28" s="373">
        <f t="shared" si="4"/>
        <v>0</v>
      </c>
      <c r="J28" s="376"/>
      <c r="K28" s="530">
        <f t="shared" si="5"/>
        <v>0</v>
      </c>
      <c r="M28" s="276"/>
      <c r="N28" s="157"/>
      <c r="O28" s="381"/>
      <c r="P28" s="382"/>
      <c r="Q28" s="383"/>
    </row>
    <row r="29" spans="1:17" s="159" customFormat="1" x14ac:dyDescent="0.2">
      <c r="A29" s="370"/>
      <c r="B29" s="5"/>
      <c r="C29" s="371"/>
      <c r="D29" s="372" t="s">
        <v>21</v>
      </c>
      <c r="E29" s="253">
        <v>0</v>
      </c>
      <c r="F29" s="373">
        <f t="shared" si="3"/>
        <v>0</v>
      </c>
      <c r="G29" s="529"/>
      <c r="H29" s="375">
        <v>0</v>
      </c>
      <c r="I29" s="373">
        <f t="shared" si="4"/>
        <v>0</v>
      </c>
      <c r="J29" s="376"/>
      <c r="K29" s="530">
        <f t="shared" si="5"/>
        <v>0</v>
      </c>
      <c r="L29" s="378"/>
      <c r="M29" s="379"/>
      <c r="N29" s="380"/>
      <c r="O29" s="381"/>
      <c r="P29" s="382"/>
      <c r="Q29" s="383"/>
    </row>
    <row r="30" spans="1:17" s="159" customFormat="1" x14ac:dyDescent="0.2">
      <c r="A30" s="370"/>
      <c r="B30" s="5"/>
      <c r="C30" s="371"/>
      <c r="D30" s="372" t="s">
        <v>21</v>
      </c>
      <c r="E30" s="253">
        <v>0</v>
      </c>
      <c r="F30" s="373">
        <f t="shared" si="3"/>
        <v>0</v>
      </c>
      <c r="G30" s="529"/>
      <c r="H30" s="375">
        <v>0</v>
      </c>
      <c r="I30" s="373">
        <f t="shared" si="4"/>
        <v>0</v>
      </c>
      <c r="J30" s="376"/>
      <c r="K30" s="530">
        <f t="shared" si="5"/>
        <v>0</v>
      </c>
      <c r="L30" s="378"/>
      <c r="M30" s="379"/>
      <c r="N30" s="380"/>
      <c r="O30" s="381"/>
      <c r="P30" s="382"/>
      <c r="Q30" s="383"/>
    </row>
    <row r="31" spans="1:17" s="159" customFormat="1" x14ac:dyDescent="0.2">
      <c r="A31" s="370"/>
      <c r="B31" s="5"/>
      <c r="C31" s="371"/>
      <c r="D31" s="372" t="s">
        <v>21</v>
      </c>
      <c r="E31" s="253">
        <v>0</v>
      </c>
      <c r="F31" s="373">
        <f t="shared" si="3"/>
        <v>0</v>
      </c>
      <c r="G31" s="529"/>
      <c r="H31" s="375">
        <v>0</v>
      </c>
      <c r="I31" s="373">
        <f t="shared" si="4"/>
        <v>0</v>
      </c>
      <c r="J31" s="376"/>
      <c r="K31" s="530">
        <f t="shared" si="5"/>
        <v>0</v>
      </c>
      <c r="L31" s="536"/>
      <c r="M31" s="574"/>
      <c r="N31" s="537"/>
      <c r="O31" s="381"/>
      <c r="P31" s="382"/>
      <c r="Q31" s="383"/>
    </row>
    <row r="32" spans="1:17" s="159" customFormat="1" x14ac:dyDescent="0.2">
      <c r="A32" s="370"/>
      <c r="B32" s="5"/>
      <c r="C32" s="371"/>
      <c r="D32" s="372" t="s">
        <v>21</v>
      </c>
      <c r="E32" s="253">
        <v>0</v>
      </c>
      <c r="F32" s="373">
        <f t="shared" si="3"/>
        <v>0</v>
      </c>
      <c r="G32" s="529"/>
      <c r="H32" s="375">
        <v>0</v>
      </c>
      <c r="I32" s="373">
        <f t="shared" si="4"/>
        <v>0</v>
      </c>
      <c r="J32" s="376"/>
      <c r="K32" s="530">
        <f t="shared" si="5"/>
        <v>0</v>
      </c>
      <c r="L32" s="538"/>
      <c r="M32" s="255"/>
      <c r="N32" s="421"/>
      <c r="O32" s="381"/>
      <c r="P32" s="382"/>
      <c r="Q32" s="383"/>
    </row>
    <row r="33" spans="1:17" s="159" customFormat="1" x14ac:dyDescent="0.2">
      <c r="A33" s="370"/>
      <c r="B33" s="5"/>
      <c r="C33" s="371"/>
      <c r="D33" s="372" t="s">
        <v>21</v>
      </c>
      <c r="E33" s="253">
        <v>0</v>
      </c>
      <c r="F33" s="373">
        <f t="shared" si="3"/>
        <v>0</v>
      </c>
      <c r="G33" s="529"/>
      <c r="H33" s="375">
        <v>0</v>
      </c>
      <c r="I33" s="373">
        <f t="shared" si="4"/>
        <v>0</v>
      </c>
      <c r="J33" s="376"/>
      <c r="K33" s="530">
        <f t="shared" si="5"/>
        <v>0</v>
      </c>
      <c r="L33" s="157"/>
      <c r="M33" s="469"/>
      <c r="N33" s="157"/>
      <c r="O33" s="381"/>
      <c r="P33" s="382"/>
      <c r="Q33" s="383"/>
    </row>
    <row r="34" spans="1:17" s="159" customFormat="1" ht="13.5" thickBot="1" x14ac:dyDescent="0.25">
      <c r="A34" s="370"/>
      <c r="B34" s="5"/>
      <c r="C34" s="388"/>
      <c r="D34" s="372"/>
      <c r="E34" s="253"/>
      <c r="F34" s="373"/>
      <c r="G34" s="529"/>
      <c r="H34" s="375"/>
      <c r="I34" s="373"/>
      <c r="J34" s="376"/>
      <c r="K34" s="535"/>
      <c r="L34" s="157"/>
      <c r="M34" s="469"/>
      <c r="N34" s="157"/>
      <c r="O34" s="381"/>
      <c r="P34" s="382"/>
      <c r="Q34" s="383"/>
    </row>
    <row r="35" spans="1:17" s="159" customFormat="1" ht="13.5" thickTop="1" x14ac:dyDescent="0.2">
      <c r="A35" s="387"/>
      <c r="B35" s="5"/>
      <c r="C35" s="388"/>
      <c r="D35" s="372"/>
      <c r="E35" s="253"/>
      <c r="F35" s="373"/>
      <c r="G35" s="529"/>
      <c r="H35" s="375"/>
      <c r="I35" s="373"/>
      <c r="J35" s="389" t="s">
        <v>30</v>
      </c>
      <c r="K35" s="532">
        <f>SUM(K27:K34)</f>
        <v>0</v>
      </c>
      <c r="L35" s="378"/>
      <c r="M35" s="379"/>
      <c r="N35" s="380"/>
      <c r="O35" s="381"/>
      <c r="P35" s="382"/>
      <c r="Q35" s="383"/>
    </row>
    <row r="36" spans="1:17" s="159" customFormat="1" ht="13.5" thickBot="1" x14ac:dyDescent="0.25">
      <c r="A36" s="353" t="s">
        <v>0</v>
      </c>
      <c r="B36" s="354" t="s">
        <v>1</v>
      </c>
      <c r="C36" s="939" t="s">
        <v>656</v>
      </c>
      <c r="D36" s="939"/>
      <c r="E36" s="939"/>
      <c r="F36" s="939"/>
      <c r="G36" s="939" t="s">
        <v>34</v>
      </c>
      <c r="H36" s="939"/>
      <c r="I36" s="939"/>
      <c r="J36" s="355"/>
      <c r="K36" s="523"/>
      <c r="L36" s="391"/>
      <c r="M36" s="392"/>
      <c r="N36" s="393"/>
      <c r="O36" s="381"/>
      <c r="P36" s="382"/>
      <c r="Q36" s="383"/>
    </row>
    <row r="37" spans="1:17" s="159" customFormat="1" ht="16.5" thickBot="1" x14ac:dyDescent="0.3">
      <c r="A37" s="394"/>
      <c r="B37" s="395"/>
      <c r="C37" s="396" t="s">
        <v>19</v>
      </c>
      <c r="D37" s="397" t="s">
        <v>33</v>
      </c>
      <c r="E37" s="398" t="s">
        <v>35</v>
      </c>
      <c r="F37" s="399" t="s">
        <v>30</v>
      </c>
      <c r="G37" s="533" t="s">
        <v>14</v>
      </c>
      <c r="H37" s="398" t="s">
        <v>35</v>
      </c>
      <c r="I37" s="399" t="s">
        <v>30</v>
      </c>
      <c r="J37" s="364" t="s">
        <v>659</v>
      </c>
      <c r="K37" s="534" t="s">
        <v>38</v>
      </c>
      <c r="L37" s="402"/>
      <c r="M37" s="408"/>
      <c r="N37" s="409"/>
      <c r="O37" s="410"/>
      <c r="P37" s="411"/>
      <c r="Q37" s="383"/>
    </row>
    <row r="38" spans="1:17" s="159" customFormat="1" x14ac:dyDescent="0.2">
      <c r="A38" s="405"/>
      <c r="B38" s="406"/>
      <c r="C38" s="371"/>
      <c r="D38" s="372" t="s">
        <v>21</v>
      </c>
      <c r="E38" s="253">
        <v>0</v>
      </c>
      <c r="F38" s="373">
        <f>C38*E38</f>
        <v>0</v>
      </c>
      <c r="G38" s="529"/>
      <c r="H38" s="375">
        <v>0</v>
      </c>
      <c r="I38" s="373">
        <f>G38*H38</f>
        <v>0</v>
      </c>
      <c r="J38" s="376"/>
      <c r="K38" s="530">
        <f>F38+I38+J38</f>
        <v>0</v>
      </c>
      <c r="L38" s="378"/>
      <c r="M38" s="379"/>
      <c r="N38" s="380"/>
      <c r="O38" s="410"/>
      <c r="P38" s="411"/>
      <c r="Q38" s="383"/>
    </row>
    <row r="39" spans="1:17" s="159" customFormat="1" x14ac:dyDescent="0.2">
      <c r="A39" s="370"/>
      <c r="B39" s="5"/>
      <c r="C39" s="371"/>
      <c r="D39" s="372" t="s">
        <v>21</v>
      </c>
      <c r="E39" s="253">
        <v>0</v>
      </c>
      <c r="F39" s="373">
        <f>C39*E39</f>
        <v>0</v>
      </c>
      <c r="G39" s="529"/>
      <c r="H39" s="375">
        <v>0</v>
      </c>
      <c r="I39" s="373">
        <f>G39*H39</f>
        <v>0</v>
      </c>
      <c r="J39" s="376"/>
      <c r="K39" s="530">
        <f>F39+I39+J39</f>
        <v>0</v>
      </c>
      <c r="L39" s="378"/>
      <c r="M39" s="379"/>
      <c r="N39" s="380"/>
      <c r="O39" s="410"/>
      <c r="P39" s="411"/>
      <c r="Q39" s="383"/>
    </row>
    <row r="40" spans="1:17" s="159" customFormat="1" x14ac:dyDescent="0.2">
      <c r="A40" s="370"/>
      <c r="B40" s="5"/>
      <c r="C40" s="371"/>
      <c r="D40" s="372" t="s">
        <v>21</v>
      </c>
      <c r="E40" s="253">
        <v>0</v>
      </c>
      <c r="F40" s="373">
        <f>C40*E40</f>
        <v>0</v>
      </c>
      <c r="G40" s="529"/>
      <c r="H40" s="375">
        <v>0</v>
      </c>
      <c r="I40" s="373">
        <f>G40*H40</f>
        <v>0</v>
      </c>
      <c r="J40" s="376"/>
      <c r="K40" s="530">
        <f>F40+I40+J40</f>
        <v>0</v>
      </c>
      <c r="L40" s="378"/>
      <c r="M40" s="379"/>
      <c r="N40" s="380"/>
      <c r="O40" s="410"/>
      <c r="P40" s="411"/>
      <c r="Q40" s="383"/>
    </row>
    <row r="41" spans="1:17" s="159" customFormat="1" x14ac:dyDescent="0.2">
      <c r="A41" s="387"/>
      <c r="B41" s="412"/>
      <c r="C41" s="388"/>
      <c r="D41" s="372"/>
      <c r="E41" s="253"/>
      <c r="F41" s="373"/>
      <c r="G41" s="529"/>
      <c r="H41" s="375"/>
      <c r="I41" s="373"/>
      <c r="J41" s="376"/>
      <c r="K41" s="535"/>
      <c r="L41" s="378"/>
      <c r="M41" s="379"/>
      <c r="N41" s="380"/>
      <c r="O41" s="410"/>
      <c r="P41" s="411"/>
      <c r="Q41" s="383"/>
    </row>
    <row r="42" spans="1:17" s="159" customFormat="1" ht="13.5" thickBot="1" x14ac:dyDescent="0.25">
      <c r="A42" s="387"/>
      <c r="B42" s="412"/>
      <c r="C42" s="388"/>
      <c r="D42" s="372"/>
      <c r="E42" s="253"/>
      <c r="F42" s="373"/>
      <c r="G42" s="529"/>
      <c r="H42" s="375"/>
      <c r="I42" s="373"/>
      <c r="J42" s="376"/>
      <c r="K42" s="535"/>
      <c r="M42" s="276"/>
      <c r="N42" s="157"/>
      <c r="O42" s="410"/>
      <c r="P42" s="411"/>
      <c r="Q42" s="383"/>
    </row>
    <row r="43" spans="1:17" s="159" customFormat="1" ht="13.5" thickTop="1" x14ac:dyDescent="0.2">
      <c r="A43" s="387"/>
      <c r="B43" s="412"/>
      <c r="C43" s="388"/>
      <c r="D43" s="372"/>
      <c r="E43" s="253"/>
      <c r="F43" s="373"/>
      <c r="G43" s="529"/>
      <c r="H43" s="375"/>
      <c r="I43" s="373"/>
      <c r="J43" s="389" t="s">
        <v>30</v>
      </c>
      <c r="K43" s="532">
        <f>SUM(K38:K42)</f>
        <v>0</v>
      </c>
      <c r="M43" s="276"/>
      <c r="N43" s="157"/>
      <c r="O43" s="381"/>
      <c r="P43" s="382"/>
      <c r="Q43" s="383"/>
    </row>
    <row r="44" spans="1:17" s="159" customFormat="1" ht="13.5" thickBot="1" x14ac:dyDescent="0.25">
      <c r="A44" s="353" t="s">
        <v>0</v>
      </c>
      <c r="B44" s="354" t="s">
        <v>1</v>
      </c>
      <c r="C44" s="939" t="s">
        <v>656</v>
      </c>
      <c r="D44" s="939"/>
      <c r="E44" s="939"/>
      <c r="F44" s="939"/>
      <c r="G44" s="939" t="s">
        <v>34</v>
      </c>
      <c r="H44" s="939"/>
      <c r="I44" s="939"/>
      <c r="J44" s="355"/>
      <c r="K44" s="523"/>
      <c r="L44" s="391"/>
      <c r="M44" s="392"/>
      <c r="N44" s="393"/>
      <c r="O44" s="381"/>
      <c r="P44" s="382"/>
      <c r="Q44" s="383"/>
    </row>
    <row r="45" spans="1:17" s="159" customFormat="1" ht="16.5" thickBot="1" x14ac:dyDescent="0.3">
      <c r="A45" s="394"/>
      <c r="B45" s="395"/>
      <c r="C45" s="396" t="s">
        <v>19</v>
      </c>
      <c r="D45" s="397" t="s">
        <v>33</v>
      </c>
      <c r="E45" s="398" t="s">
        <v>35</v>
      </c>
      <c r="F45" s="399" t="s">
        <v>30</v>
      </c>
      <c r="G45" s="533" t="s">
        <v>14</v>
      </c>
      <c r="H45" s="398" t="s">
        <v>35</v>
      </c>
      <c r="I45" s="399" t="s">
        <v>30</v>
      </c>
      <c r="J45" s="364" t="s">
        <v>659</v>
      </c>
      <c r="K45" s="534" t="s">
        <v>38</v>
      </c>
      <c r="L45" s="402"/>
      <c r="M45" s="408"/>
      <c r="N45" s="409"/>
      <c r="O45" s="381"/>
      <c r="P45" s="411"/>
      <c r="Q45" s="383"/>
    </row>
    <row r="46" spans="1:17" s="159" customFormat="1" x14ac:dyDescent="0.2">
      <c r="A46" s="405"/>
      <c r="B46" s="406"/>
      <c r="C46" s="371"/>
      <c r="D46" s="372" t="s">
        <v>21</v>
      </c>
      <c r="E46" s="253">
        <v>0</v>
      </c>
      <c r="F46" s="373">
        <f>C46*E46</f>
        <v>0</v>
      </c>
      <c r="G46" s="529"/>
      <c r="H46" s="375">
        <v>0</v>
      </c>
      <c r="I46" s="373">
        <f>G46*H46</f>
        <v>0</v>
      </c>
      <c r="J46" s="376"/>
      <c r="K46" s="530">
        <f>F46+I46+J46</f>
        <v>0</v>
      </c>
      <c r="L46" s="378"/>
      <c r="M46" s="255"/>
      <c r="N46" s="421"/>
      <c r="O46" s="381"/>
      <c r="P46" s="382"/>
      <c r="Q46" s="383"/>
    </row>
    <row r="47" spans="1:17" s="159" customFormat="1" x14ac:dyDescent="0.2">
      <c r="A47" s="370"/>
      <c r="B47" s="5"/>
      <c r="C47" s="371"/>
      <c r="D47" s="372" t="s">
        <v>21</v>
      </c>
      <c r="E47" s="253">
        <v>0</v>
      </c>
      <c r="F47" s="373">
        <f>C47*E47</f>
        <v>0</v>
      </c>
      <c r="G47" s="529"/>
      <c r="H47" s="375">
        <v>0</v>
      </c>
      <c r="I47" s="373">
        <f>G47*H47</f>
        <v>0</v>
      </c>
      <c r="J47" s="376"/>
      <c r="K47" s="530">
        <f>F47+I47+J47</f>
        <v>0</v>
      </c>
      <c r="L47" s="378"/>
      <c r="M47" s="255"/>
      <c r="N47" s="421"/>
      <c r="O47" s="381"/>
      <c r="P47" s="382"/>
      <c r="Q47" s="383"/>
    </row>
    <row r="48" spans="1:17" s="159" customFormat="1" x14ac:dyDescent="0.2">
      <c r="A48" s="370"/>
      <c r="B48" s="5"/>
      <c r="C48" s="371"/>
      <c r="D48" s="372" t="s">
        <v>21</v>
      </c>
      <c r="E48" s="253">
        <v>0</v>
      </c>
      <c r="F48" s="373">
        <f>C48*E48</f>
        <v>0</v>
      </c>
      <c r="G48" s="529"/>
      <c r="H48" s="375">
        <v>0</v>
      </c>
      <c r="I48" s="373">
        <f>G48*H48</f>
        <v>0</v>
      </c>
      <c r="J48" s="376"/>
      <c r="K48" s="530">
        <f>F48+I48+J48</f>
        <v>0</v>
      </c>
      <c r="L48" s="661"/>
      <c r="M48" s="662"/>
      <c r="N48" s="663"/>
      <c r="O48" s="381"/>
      <c r="P48" s="382"/>
      <c r="Q48" s="383"/>
    </row>
    <row r="49" spans="1:17" s="159" customFormat="1" x14ac:dyDescent="0.2">
      <c r="A49" s="370"/>
      <c r="B49" s="5"/>
      <c r="C49" s="371"/>
      <c r="D49" s="372" t="s">
        <v>21</v>
      </c>
      <c r="E49" s="253">
        <v>0</v>
      </c>
      <c r="F49" s="373">
        <f>C49*E49</f>
        <v>0</v>
      </c>
      <c r="G49" s="529"/>
      <c r="H49" s="375">
        <v>0</v>
      </c>
      <c r="I49" s="373">
        <f>G49*H49</f>
        <v>0</v>
      </c>
      <c r="J49" s="376"/>
      <c r="K49" s="530">
        <f>F49+I49+J49</f>
        <v>0</v>
      </c>
      <c r="L49" s="664"/>
      <c r="M49" s="255"/>
      <c r="N49" s="421"/>
      <c r="O49" s="381"/>
      <c r="P49" s="382"/>
      <c r="Q49" s="383"/>
    </row>
    <row r="50" spans="1:17" s="159" customFormat="1" x14ac:dyDescent="0.2">
      <c r="A50" s="370"/>
      <c r="B50" s="5"/>
      <c r="C50" s="371"/>
      <c r="D50" s="372" t="s">
        <v>21</v>
      </c>
      <c r="E50" s="253">
        <v>0</v>
      </c>
      <c r="F50" s="373">
        <f>C50*E50</f>
        <v>0</v>
      </c>
      <c r="G50" s="529"/>
      <c r="H50" s="375">
        <v>0</v>
      </c>
      <c r="I50" s="373">
        <f>G50*H50</f>
        <v>0</v>
      </c>
      <c r="J50" s="376"/>
      <c r="K50" s="530">
        <f>F50+I50+J50</f>
        <v>0</v>
      </c>
      <c r="L50" s="378"/>
      <c r="M50" s="255"/>
      <c r="N50" s="421"/>
      <c r="O50" s="381"/>
      <c r="P50" s="382"/>
      <c r="Q50" s="383"/>
    </row>
    <row r="51" spans="1:17" s="159" customFormat="1" ht="13.5" thickBot="1" x14ac:dyDescent="0.25">
      <c r="A51" s="387"/>
      <c r="B51" s="412"/>
      <c r="C51" s="388"/>
      <c r="D51" s="372"/>
      <c r="E51" s="253"/>
      <c r="F51" s="373"/>
      <c r="G51" s="529"/>
      <c r="H51" s="375"/>
      <c r="I51" s="373"/>
      <c r="J51" s="376"/>
      <c r="K51" s="535"/>
      <c r="L51" s="378"/>
      <c r="M51" s="255"/>
      <c r="N51" s="380"/>
      <c r="O51" s="381"/>
      <c r="P51" s="382"/>
      <c r="Q51" s="383"/>
    </row>
    <row r="52" spans="1:17" s="159" customFormat="1" ht="13.5" thickTop="1" x14ac:dyDescent="0.2">
      <c r="A52" s="387"/>
      <c r="B52" s="412"/>
      <c r="C52" s="388"/>
      <c r="D52" s="372"/>
      <c r="E52" s="253"/>
      <c r="F52" s="373"/>
      <c r="G52" s="529"/>
      <c r="H52" s="375"/>
      <c r="I52" s="373"/>
      <c r="J52" s="389" t="s">
        <v>30</v>
      </c>
      <c r="K52" s="532">
        <f>SUM(K46:K51)</f>
        <v>0</v>
      </c>
      <c r="L52" s="157"/>
      <c r="M52" s="469"/>
      <c r="N52" s="157"/>
      <c r="O52" s="436"/>
      <c r="P52" s="437"/>
      <c r="Q52" s="383"/>
    </row>
    <row r="53" spans="1:17" s="159" customFormat="1" ht="13.5" thickBot="1" x14ac:dyDescent="0.25">
      <c r="A53" s="353" t="s">
        <v>0</v>
      </c>
      <c r="B53" s="354" t="s">
        <v>1</v>
      </c>
      <c r="C53" s="939" t="s">
        <v>656</v>
      </c>
      <c r="D53" s="939"/>
      <c r="E53" s="939"/>
      <c r="F53" s="939"/>
      <c r="G53" s="939" t="s">
        <v>34</v>
      </c>
      <c r="H53" s="939"/>
      <c r="I53" s="939"/>
      <c r="J53" s="355"/>
      <c r="K53" s="523"/>
      <c r="L53" s="391"/>
      <c r="M53" s="355"/>
      <c r="N53" s="393"/>
      <c r="O53" s="436"/>
      <c r="P53" s="437"/>
      <c r="Q53" s="383"/>
    </row>
    <row r="54" spans="1:17" s="159" customFormat="1" ht="16.5" thickBot="1" x14ac:dyDescent="0.3">
      <c r="A54" s="394"/>
      <c r="B54" s="395"/>
      <c r="C54" s="396" t="s">
        <v>19</v>
      </c>
      <c r="D54" s="397" t="s">
        <v>33</v>
      </c>
      <c r="E54" s="398" t="s">
        <v>35</v>
      </c>
      <c r="F54" s="399" t="s">
        <v>30</v>
      </c>
      <c r="G54" s="533" t="s">
        <v>14</v>
      </c>
      <c r="H54" s="398" t="s">
        <v>35</v>
      </c>
      <c r="I54" s="399" t="s">
        <v>30</v>
      </c>
      <c r="J54" s="364" t="s">
        <v>659</v>
      </c>
      <c r="K54" s="534" t="s">
        <v>38</v>
      </c>
      <c r="L54" s="402"/>
      <c r="M54" s="408"/>
      <c r="N54" s="404"/>
      <c r="O54" s="410"/>
      <c r="P54" s="411"/>
      <c r="Q54" s="383"/>
    </row>
    <row r="55" spans="1:17" s="159" customFormat="1" x14ac:dyDescent="0.2">
      <c r="A55" s="405"/>
      <c r="B55" s="406"/>
      <c r="C55" s="371"/>
      <c r="D55" s="372" t="s">
        <v>21</v>
      </c>
      <c r="E55" s="253">
        <v>0</v>
      </c>
      <c r="F55" s="373">
        <f t="shared" ref="F55:F61" si="6">C55*E55</f>
        <v>0</v>
      </c>
      <c r="G55" s="529"/>
      <c r="H55" s="375">
        <v>0</v>
      </c>
      <c r="I55" s="373">
        <f t="shared" ref="I55:I61" si="7">G55*H55</f>
        <v>0</v>
      </c>
      <c r="J55" s="376"/>
      <c r="K55" s="530">
        <f t="shared" ref="K55:K61" si="8">F55+I55+J55</f>
        <v>0</v>
      </c>
      <c r="M55" s="276"/>
      <c r="N55" s="157"/>
      <c r="O55" s="381"/>
      <c r="P55" s="382"/>
      <c r="Q55" s="383"/>
    </row>
    <row r="56" spans="1:17" s="159" customFormat="1" x14ac:dyDescent="0.2">
      <c r="A56" s="370"/>
      <c r="B56" s="5"/>
      <c r="C56" s="371"/>
      <c r="D56" s="372" t="s">
        <v>21</v>
      </c>
      <c r="E56" s="253">
        <v>0</v>
      </c>
      <c r="F56" s="373">
        <f t="shared" si="6"/>
        <v>0</v>
      </c>
      <c r="G56" s="529"/>
      <c r="H56" s="375">
        <v>0</v>
      </c>
      <c r="I56" s="373">
        <f t="shared" si="7"/>
        <v>0</v>
      </c>
      <c r="J56" s="376"/>
      <c r="K56" s="530">
        <f t="shared" si="8"/>
        <v>0</v>
      </c>
      <c r="L56" s="378"/>
      <c r="M56" s="255"/>
      <c r="N56" s="380"/>
      <c r="O56" s="381"/>
      <c r="P56" s="382"/>
      <c r="Q56" s="383"/>
    </row>
    <row r="57" spans="1:17" s="159" customFormat="1" x14ac:dyDescent="0.2">
      <c r="A57" s="370"/>
      <c r="B57" s="5"/>
      <c r="C57" s="371"/>
      <c r="D57" s="372" t="s">
        <v>21</v>
      </c>
      <c r="E57" s="253">
        <v>0</v>
      </c>
      <c r="F57" s="373">
        <f t="shared" si="6"/>
        <v>0</v>
      </c>
      <c r="G57" s="529"/>
      <c r="H57" s="375">
        <v>0</v>
      </c>
      <c r="I57" s="373">
        <f t="shared" si="7"/>
        <v>0</v>
      </c>
      <c r="J57" s="376"/>
      <c r="K57" s="530">
        <f t="shared" si="8"/>
        <v>0</v>
      </c>
      <c r="L57" s="378"/>
      <c r="M57" s="255"/>
      <c r="N57" s="380"/>
      <c r="O57" s="381"/>
      <c r="P57" s="382"/>
      <c r="Q57" s="383"/>
    </row>
    <row r="58" spans="1:17" s="159" customFormat="1" x14ac:dyDescent="0.2">
      <c r="A58" s="370"/>
      <c r="B58" s="5"/>
      <c r="C58" s="371"/>
      <c r="D58" s="372" t="s">
        <v>21</v>
      </c>
      <c r="E58" s="253">
        <v>0</v>
      </c>
      <c r="F58" s="373">
        <f t="shared" si="6"/>
        <v>0</v>
      </c>
      <c r="G58" s="529"/>
      <c r="H58" s="375">
        <v>0</v>
      </c>
      <c r="I58" s="373">
        <f t="shared" si="7"/>
        <v>0</v>
      </c>
      <c r="J58" s="376"/>
      <c r="K58" s="530">
        <f t="shared" si="8"/>
        <v>0</v>
      </c>
      <c r="L58" s="378"/>
      <c r="M58" s="255"/>
      <c r="N58" s="380"/>
      <c r="O58" s="381"/>
      <c r="P58" s="382"/>
      <c r="Q58" s="383"/>
    </row>
    <row r="59" spans="1:17" s="159" customFormat="1" x14ac:dyDescent="0.2">
      <c r="A59" s="370"/>
      <c r="B59" s="5"/>
      <c r="C59" s="371"/>
      <c r="D59" s="372" t="s">
        <v>21</v>
      </c>
      <c r="E59" s="253">
        <v>0</v>
      </c>
      <c r="F59" s="373">
        <f t="shared" si="6"/>
        <v>0</v>
      </c>
      <c r="G59" s="529"/>
      <c r="H59" s="375">
        <v>0</v>
      </c>
      <c r="I59" s="373">
        <f t="shared" si="7"/>
        <v>0</v>
      </c>
      <c r="J59" s="376"/>
      <c r="K59" s="530">
        <f t="shared" si="8"/>
        <v>0</v>
      </c>
      <c r="L59" s="661"/>
      <c r="M59" s="255"/>
      <c r="N59" s="663"/>
      <c r="O59" s="381"/>
      <c r="P59" s="382"/>
      <c r="Q59" s="383"/>
    </row>
    <row r="60" spans="1:17" s="159" customFormat="1" x14ac:dyDescent="0.2">
      <c r="A60" s="370"/>
      <c r="B60" s="5"/>
      <c r="C60" s="371"/>
      <c r="D60" s="372" t="s">
        <v>21</v>
      </c>
      <c r="E60" s="253">
        <v>0</v>
      </c>
      <c r="F60" s="373">
        <f t="shared" si="6"/>
        <v>0</v>
      </c>
      <c r="G60" s="529"/>
      <c r="H60" s="375">
        <v>0</v>
      </c>
      <c r="I60" s="373">
        <f t="shared" si="7"/>
        <v>0</v>
      </c>
      <c r="J60" s="376"/>
      <c r="K60" s="530">
        <f t="shared" si="8"/>
        <v>0</v>
      </c>
      <c r="L60" s="664"/>
      <c r="M60" s="255"/>
      <c r="N60" s="665"/>
      <c r="O60" s="381"/>
      <c r="P60" s="382"/>
      <c r="Q60" s="383"/>
    </row>
    <row r="61" spans="1:17" s="159" customFormat="1" x14ac:dyDescent="0.2">
      <c r="A61" s="370"/>
      <c r="B61" s="5"/>
      <c r="C61" s="371"/>
      <c r="D61" s="372" t="s">
        <v>21</v>
      </c>
      <c r="E61" s="253">
        <v>0</v>
      </c>
      <c r="F61" s="373">
        <f t="shared" si="6"/>
        <v>0</v>
      </c>
      <c r="G61" s="529"/>
      <c r="H61" s="375">
        <v>0</v>
      </c>
      <c r="I61" s="373">
        <f t="shared" si="7"/>
        <v>0</v>
      </c>
      <c r="J61" s="376"/>
      <c r="K61" s="530">
        <f t="shared" si="8"/>
        <v>0</v>
      </c>
      <c r="L61" s="378"/>
      <c r="M61" s="255"/>
      <c r="N61" s="421"/>
      <c r="O61" s="381"/>
      <c r="P61" s="382"/>
      <c r="Q61" s="383"/>
    </row>
    <row r="62" spans="1:17" s="159" customFormat="1" ht="13.5" thickBot="1" x14ac:dyDescent="0.25">
      <c r="A62" s="387"/>
      <c r="B62" s="5"/>
      <c r="C62" s="388"/>
      <c r="D62" s="372"/>
      <c r="E62" s="253"/>
      <c r="F62" s="373"/>
      <c r="G62" s="529"/>
      <c r="H62" s="375"/>
      <c r="I62" s="373"/>
      <c r="J62" s="376"/>
      <c r="K62" s="535"/>
      <c r="M62" s="276"/>
      <c r="N62" s="157"/>
      <c r="O62" s="381"/>
      <c r="P62" s="382"/>
      <c r="Q62" s="383"/>
    </row>
    <row r="63" spans="1:17" s="159" customFormat="1" ht="13.5" thickTop="1" x14ac:dyDescent="0.2">
      <c r="A63" s="387"/>
      <c r="B63" s="412"/>
      <c r="C63" s="388"/>
      <c r="D63" s="372"/>
      <c r="E63" s="253"/>
      <c r="F63" s="373"/>
      <c r="G63" s="529"/>
      <c r="H63" s="375"/>
      <c r="I63" s="373"/>
      <c r="J63" s="389" t="s">
        <v>30</v>
      </c>
      <c r="K63" s="532">
        <f>SUM(K55:K62)</f>
        <v>0</v>
      </c>
      <c r="M63" s="276"/>
      <c r="N63" s="157"/>
      <c r="O63" s="381"/>
      <c r="P63" s="382"/>
      <c r="Q63" s="383"/>
    </row>
    <row r="64" spans="1:17" s="159" customFormat="1" ht="13.5" thickBot="1" x14ac:dyDescent="0.25">
      <c r="A64" s="353" t="s">
        <v>0</v>
      </c>
      <c r="B64" s="354" t="s">
        <v>1</v>
      </c>
      <c r="C64" s="939" t="s">
        <v>656</v>
      </c>
      <c r="D64" s="939"/>
      <c r="E64" s="939"/>
      <c r="F64" s="939"/>
      <c r="G64" s="939" t="s">
        <v>34</v>
      </c>
      <c r="H64" s="939"/>
      <c r="I64" s="939"/>
      <c r="J64" s="355"/>
      <c r="K64" s="523"/>
      <c r="L64" s="391"/>
      <c r="M64" s="355"/>
      <c r="N64" s="438"/>
      <c r="O64" s="381"/>
      <c r="P64" s="382"/>
      <c r="Q64" s="383"/>
    </row>
    <row r="65" spans="1:17" s="159" customFormat="1" ht="16.5" thickBot="1" x14ac:dyDescent="0.3">
      <c r="A65" s="394"/>
      <c r="B65" s="395"/>
      <c r="C65" s="396" t="s">
        <v>19</v>
      </c>
      <c r="D65" s="397" t="s">
        <v>33</v>
      </c>
      <c r="E65" s="398" t="s">
        <v>35</v>
      </c>
      <c r="F65" s="399" t="s">
        <v>30</v>
      </c>
      <c r="G65" s="533" t="s">
        <v>14</v>
      </c>
      <c r="H65" s="398" t="s">
        <v>35</v>
      </c>
      <c r="I65" s="399" t="s">
        <v>30</v>
      </c>
      <c r="J65" s="364" t="s">
        <v>659</v>
      </c>
      <c r="K65" s="534" t="s">
        <v>38</v>
      </c>
      <c r="L65" s="402"/>
      <c r="M65" s="408"/>
      <c r="N65" s="409"/>
      <c r="O65" s="381"/>
      <c r="P65" s="382"/>
      <c r="Q65" s="383"/>
    </row>
    <row r="66" spans="1:17" s="159" customFormat="1" x14ac:dyDescent="0.2">
      <c r="A66" s="405"/>
      <c r="B66" s="406"/>
      <c r="C66" s="371"/>
      <c r="D66" s="372" t="s">
        <v>21</v>
      </c>
      <c r="E66" s="253">
        <v>0</v>
      </c>
      <c r="F66" s="373">
        <f>C66*E66</f>
        <v>0</v>
      </c>
      <c r="G66" s="529"/>
      <c r="H66" s="375">
        <v>0</v>
      </c>
      <c r="I66" s="373">
        <f>G66*H66</f>
        <v>0</v>
      </c>
      <c r="J66" s="376"/>
      <c r="K66" s="530">
        <f>F66+I66+J66</f>
        <v>0</v>
      </c>
      <c r="L66" s="378"/>
      <c r="M66" s="379"/>
      <c r="N66" s="380"/>
      <c r="O66" s="381"/>
      <c r="P66" s="382"/>
      <c r="Q66" s="383"/>
    </row>
    <row r="67" spans="1:17" s="159" customFormat="1" x14ac:dyDescent="0.2">
      <c r="A67" s="370"/>
      <c r="B67" s="5"/>
      <c r="C67" s="371"/>
      <c r="D67" s="372" t="s">
        <v>21</v>
      </c>
      <c r="E67" s="253">
        <v>0</v>
      </c>
      <c r="F67" s="373">
        <f>C67*E67</f>
        <v>0</v>
      </c>
      <c r="G67" s="529"/>
      <c r="H67" s="375">
        <v>0</v>
      </c>
      <c r="I67" s="373">
        <f>G67*H67</f>
        <v>0</v>
      </c>
      <c r="J67" s="376"/>
      <c r="K67" s="530">
        <f>F67+I67+J67</f>
        <v>0</v>
      </c>
      <c r="L67" s="378"/>
      <c r="M67" s="379"/>
      <c r="N67" s="380"/>
      <c r="O67" s="381"/>
      <c r="P67" s="382"/>
      <c r="Q67" s="383"/>
    </row>
    <row r="68" spans="1:17" s="159" customFormat="1" x14ac:dyDescent="0.2">
      <c r="A68" s="370"/>
      <c r="B68" s="5"/>
      <c r="C68" s="371"/>
      <c r="D68" s="372" t="s">
        <v>21</v>
      </c>
      <c r="E68" s="253">
        <v>0</v>
      </c>
      <c r="F68" s="373">
        <f>C68*E68</f>
        <v>0</v>
      </c>
      <c r="G68" s="529"/>
      <c r="H68" s="375">
        <v>0</v>
      </c>
      <c r="I68" s="373">
        <f>G68*H68</f>
        <v>0</v>
      </c>
      <c r="J68" s="376"/>
      <c r="K68" s="530">
        <f>F68+I68+J68</f>
        <v>0</v>
      </c>
      <c r="L68" s="378"/>
      <c r="M68" s="379"/>
      <c r="N68" s="380"/>
      <c r="O68" s="381"/>
      <c r="P68" s="382"/>
      <c r="Q68" s="383"/>
    </row>
    <row r="69" spans="1:17" s="159" customFormat="1" x14ac:dyDescent="0.2">
      <c r="A69" s="370"/>
      <c r="B69" s="5"/>
      <c r="C69" s="371"/>
      <c r="D69" s="372" t="s">
        <v>21</v>
      </c>
      <c r="E69" s="253">
        <v>0</v>
      </c>
      <c r="F69" s="373">
        <f>C69*E69</f>
        <v>0</v>
      </c>
      <c r="G69" s="529"/>
      <c r="H69" s="375">
        <v>0</v>
      </c>
      <c r="I69" s="373">
        <f>G69*H69</f>
        <v>0</v>
      </c>
      <c r="J69" s="376"/>
      <c r="K69" s="530">
        <f>F69+I69+J69</f>
        <v>0</v>
      </c>
      <c r="M69" s="276"/>
      <c r="N69" s="157"/>
      <c r="O69" s="381"/>
      <c r="P69" s="382"/>
      <c r="Q69" s="383"/>
    </row>
    <row r="70" spans="1:17" s="159" customFormat="1" x14ac:dyDescent="0.2">
      <c r="A70" s="370"/>
      <c r="B70" s="5"/>
      <c r="C70" s="371"/>
      <c r="D70" s="372" t="s">
        <v>21</v>
      </c>
      <c r="E70" s="253">
        <v>0</v>
      </c>
      <c r="F70" s="373">
        <f>C70*E70</f>
        <v>0</v>
      </c>
      <c r="G70" s="529"/>
      <c r="H70" s="375">
        <v>0</v>
      </c>
      <c r="I70" s="373">
        <f>G70*H70</f>
        <v>0</v>
      </c>
      <c r="J70" s="376"/>
      <c r="K70" s="530">
        <f>F70+I70+J70</f>
        <v>0</v>
      </c>
      <c r="M70" s="276"/>
      <c r="N70" s="157"/>
      <c r="O70" s="381"/>
      <c r="P70" s="382"/>
      <c r="Q70" s="383"/>
    </row>
    <row r="71" spans="1:17" s="159" customFormat="1" ht="13.5" thickBot="1" x14ac:dyDescent="0.25">
      <c r="A71" s="387"/>
      <c r="B71" s="5"/>
      <c r="C71" s="388"/>
      <c r="D71" s="372"/>
      <c r="E71" s="253"/>
      <c r="F71" s="373"/>
      <c r="G71" s="529"/>
      <c r="H71" s="375"/>
      <c r="I71" s="373"/>
      <c r="J71" s="376"/>
      <c r="K71" s="535"/>
      <c r="M71" s="276"/>
      <c r="N71" s="157"/>
      <c r="O71" s="381"/>
      <c r="P71" s="382"/>
      <c r="Q71" s="383"/>
    </row>
    <row r="72" spans="1:17" s="159" customFormat="1" ht="13.5" thickTop="1" x14ac:dyDescent="0.2">
      <c r="A72" s="387"/>
      <c r="B72" s="412"/>
      <c r="C72" s="388"/>
      <c r="D72" s="372"/>
      <c r="E72" s="253"/>
      <c r="F72" s="373"/>
      <c r="G72" s="529"/>
      <c r="H72" s="375"/>
      <c r="I72" s="373"/>
      <c r="J72" s="389" t="s">
        <v>30</v>
      </c>
      <c r="K72" s="532">
        <f>SUM(K66:K71)</f>
        <v>0</v>
      </c>
      <c r="M72" s="276"/>
      <c r="N72" s="157"/>
      <c r="O72" s="381"/>
      <c r="P72" s="382"/>
      <c r="Q72" s="383"/>
    </row>
    <row r="73" spans="1:17" s="159" customFormat="1" ht="13.5" thickBot="1" x14ac:dyDescent="0.25">
      <c r="A73" s="353" t="s">
        <v>0</v>
      </c>
      <c r="B73" s="354" t="s">
        <v>1</v>
      </c>
      <c r="C73" s="939" t="s">
        <v>656</v>
      </c>
      <c r="D73" s="939"/>
      <c r="E73" s="939"/>
      <c r="F73" s="939"/>
      <c r="G73" s="939" t="s">
        <v>34</v>
      </c>
      <c r="H73" s="939"/>
      <c r="I73" s="939"/>
      <c r="J73" s="355"/>
      <c r="K73" s="523"/>
      <c r="L73" s="391"/>
      <c r="M73" s="392"/>
      <c r="N73" s="393"/>
      <c r="O73" s="381"/>
      <c r="P73" s="382"/>
      <c r="Q73" s="383"/>
    </row>
    <row r="74" spans="1:17" s="159" customFormat="1" ht="16.5" thickBot="1" x14ac:dyDescent="0.3">
      <c r="A74" s="394"/>
      <c r="B74" s="395"/>
      <c r="C74" s="396" t="s">
        <v>19</v>
      </c>
      <c r="D74" s="397" t="s">
        <v>33</v>
      </c>
      <c r="E74" s="398" t="s">
        <v>35</v>
      </c>
      <c r="F74" s="399" t="s">
        <v>30</v>
      </c>
      <c r="G74" s="533" t="s">
        <v>14</v>
      </c>
      <c r="H74" s="398" t="s">
        <v>35</v>
      </c>
      <c r="I74" s="399" t="s">
        <v>30</v>
      </c>
      <c r="J74" s="364" t="s">
        <v>659</v>
      </c>
      <c r="K74" s="534" t="s">
        <v>38</v>
      </c>
      <c r="L74" s="402"/>
      <c r="M74" s="403"/>
      <c r="N74" s="404"/>
      <c r="O74" s="381"/>
      <c r="P74" s="382"/>
      <c r="Q74" s="383"/>
    </row>
    <row r="75" spans="1:17" s="159" customFormat="1" x14ac:dyDescent="0.2">
      <c r="A75" s="405"/>
      <c r="B75" s="406"/>
      <c r="C75" s="371"/>
      <c r="D75" s="372" t="s">
        <v>21</v>
      </c>
      <c r="E75" s="253">
        <v>0</v>
      </c>
      <c r="F75" s="373">
        <f>C75*E75</f>
        <v>0</v>
      </c>
      <c r="G75" s="529"/>
      <c r="H75" s="375">
        <v>0</v>
      </c>
      <c r="I75" s="373">
        <f>G75*H75</f>
        <v>0</v>
      </c>
      <c r="J75" s="376"/>
      <c r="K75" s="530">
        <f>F75+I75+J75</f>
        <v>0</v>
      </c>
      <c r="L75" s="378"/>
      <c r="M75" s="379"/>
      <c r="N75" s="380"/>
      <c r="O75" s="381"/>
      <c r="P75" s="382"/>
      <c r="Q75" s="383"/>
    </row>
    <row r="76" spans="1:17" s="159" customFormat="1" x14ac:dyDescent="0.2">
      <c r="A76" s="370"/>
      <c r="B76" s="5"/>
      <c r="C76" s="371"/>
      <c r="D76" s="372" t="s">
        <v>21</v>
      </c>
      <c r="E76" s="253">
        <v>0</v>
      </c>
      <c r="F76" s="373">
        <f>C76*E76</f>
        <v>0</v>
      </c>
      <c r="G76" s="529"/>
      <c r="H76" s="375">
        <v>0</v>
      </c>
      <c r="I76" s="373">
        <f>G76*H76</f>
        <v>0</v>
      </c>
      <c r="J76" s="376"/>
      <c r="K76" s="530">
        <f>F76+I76+J76</f>
        <v>0</v>
      </c>
      <c r="L76" s="661"/>
      <c r="M76" s="662"/>
      <c r="N76" s="663"/>
      <c r="O76" s="381"/>
      <c r="P76" s="382"/>
      <c r="Q76" s="383"/>
    </row>
    <row r="77" spans="1:17" s="159" customFormat="1" x14ac:dyDescent="0.2">
      <c r="A77" s="370"/>
      <c r="B77" s="5"/>
      <c r="C77" s="371"/>
      <c r="D77" s="372" t="s">
        <v>21</v>
      </c>
      <c r="E77" s="253">
        <v>0</v>
      </c>
      <c r="F77" s="373">
        <f>C77*E77</f>
        <v>0</v>
      </c>
      <c r="G77" s="529"/>
      <c r="H77" s="375">
        <v>0</v>
      </c>
      <c r="I77" s="373">
        <f>G77*H77</f>
        <v>0</v>
      </c>
      <c r="J77" s="376"/>
      <c r="K77" s="530">
        <f>F77+I77+J77</f>
        <v>0</v>
      </c>
      <c r="L77" s="664"/>
      <c r="M77" s="666"/>
      <c r="N77" s="665"/>
      <c r="O77" s="381"/>
      <c r="P77" s="382"/>
      <c r="Q77" s="383"/>
    </row>
    <row r="78" spans="1:17" s="159" customFormat="1" ht="13.5" thickBot="1" x14ac:dyDescent="0.25">
      <c r="A78" s="387"/>
      <c r="B78" s="5"/>
      <c r="C78" s="388"/>
      <c r="D78" s="372"/>
      <c r="E78" s="253"/>
      <c r="F78" s="373"/>
      <c r="G78" s="529"/>
      <c r="H78" s="375"/>
      <c r="I78" s="373"/>
      <c r="J78" s="376"/>
      <c r="K78" s="535"/>
      <c r="L78" s="378"/>
      <c r="M78" s="379"/>
      <c r="N78" s="380"/>
      <c r="O78" s="381"/>
      <c r="P78" s="382"/>
      <c r="Q78" s="383"/>
    </row>
    <row r="79" spans="1:17" s="159" customFormat="1" ht="13.5" thickTop="1" x14ac:dyDescent="0.2">
      <c r="A79" s="387"/>
      <c r="B79" s="157"/>
      <c r="C79" s="388"/>
      <c r="D79" s="372"/>
      <c r="E79" s="253"/>
      <c r="F79" s="373"/>
      <c r="G79" s="529"/>
      <c r="H79" s="375"/>
      <c r="I79" s="373"/>
      <c r="J79" s="389" t="s">
        <v>30</v>
      </c>
      <c r="K79" s="532">
        <f>SUM(K75:K78)</f>
        <v>0</v>
      </c>
      <c r="L79" s="378"/>
      <c r="M79" s="379"/>
      <c r="N79" s="380"/>
      <c r="O79" s="381"/>
      <c r="P79" s="382"/>
      <c r="Q79" s="383"/>
    </row>
    <row r="80" spans="1:17" s="159" customFormat="1" ht="13.5" thickBot="1" x14ac:dyDescent="0.25">
      <c r="A80" s="353" t="s">
        <v>0</v>
      </c>
      <c r="B80" s="354" t="s">
        <v>1</v>
      </c>
      <c r="C80" s="939" t="s">
        <v>656</v>
      </c>
      <c r="D80" s="939"/>
      <c r="E80" s="939"/>
      <c r="F80" s="939"/>
      <c r="G80" s="939" t="s">
        <v>34</v>
      </c>
      <c r="H80" s="939"/>
      <c r="I80" s="939"/>
      <c r="J80" s="355"/>
      <c r="K80" s="523"/>
      <c r="L80" s="391"/>
      <c r="M80" s="392"/>
      <c r="N80" s="393"/>
      <c r="O80" s="381"/>
      <c r="P80" s="382"/>
      <c r="Q80" s="383"/>
    </row>
    <row r="81" spans="1:17" s="159" customFormat="1" ht="16.5" thickBot="1" x14ac:dyDescent="0.3">
      <c r="A81" s="394"/>
      <c r="B81" s="395"/>
      <c r="C81" s="396" t="s">
        <v>19</v>
      </c>
      <c r="D81" s="397" t="s">
        <v>33</v>
      </c>
      <c r="E81" s="398" t="s">
        <v>35</v>
      </c>
      <c r="F81" s="399" t="s">
        <v>30</v>
      </c>
      <c r="G81" s="533" t="s">
        <v>14</v>
      </c>
      <c r="H81" s="398" t="s">
        <v>35</v>
      </c>
      <c r="I81" s="399" t="s">
        <v>30</v>
      </c>
      <c r="J81" s="364" t="s">
        <v>659</v>
      </c>
      <c r="K81" s="534" t="s">
        <v>38</v>
      </c>
      <c r="L81" s="402"/>
      <c r="M81" s="403"/>
      <c r="N81" s="404"/>
      <c r="O81" s="381"/>
      <c r="P81" s="382"/>
      <c r="Q81" s="383"/>
    </row>
    <row r="82" spans="1:17" s="159" customFormat="1" x14ac:dyDescent="0.2">
      <c r="A82" s="405"/>
      <c r="B82" s="406"/>
      <c r="C82" s="371"/>
      <c r="D82" s="372" t="s">
        <v>21</v>
      </c>
      <c r="E82" s="253">
        <v>0</v>
      </c>
      <c r="F82" s="373">
        <f>C82*E82</f>
        <v>0</v>
      </c>
      <c r="G82" s="529"/>
      <c r="H82" s="375">
        <v>0</v>
      </c>
      <c r="I82" s="373">
        <f>G82*H82</f>
        <v>0</v>
      </c>
      <c r="J82" s="376"/>
      <c r="K82" s="530">
        <f>F82+I82+J82</f>
        <v>0</v>
      </c>
      <c r="M82" s="276"/>
      <c r="N82" s="157"/>
      <c r="O82" s="381"/>
      <c r="P82" s="382"/>
      <c r="Q82" s="383"/>
    </row>
    <row r="83" spans="1:17" s="159" customFormat="1" x14ac:dyDescent="0.2">
      <c r="A83" s="370"/>
      <c r="B83" s="5"/>
      <c r="C83" s="371"/>
      <c r="D83" s="372" t="s">
        <v>21</v>
      </c>
      <c r="E83" s="253">
        <v>0</v>
      </c>
      <c r="F83" s="373">
        <f>C83*E83</f>
        <v>0</v>
      </c>
      <c r="G83" s="529"/>
      <c r="H83" s="375">
        <v>0</v>
      </c>
      <c r="I83" s="373">
        <f>G83*H83</f>
        <v>0</v>
      </c>
      <c r="J83" s="376"/>
      <c r="K83" s="530">
        <f>F83+I83+J83</f>
        <v>0</v>
      </c>
      <c r="M83" s="276"/>
      <c r="N83" s="157"/>
      <c r="O83" s="381"/>
      <c r="P83" s="382"/>
      <c r="Q83" s="383"/>
    </row>
    <row r="84" spans="1:17" s="159" customFormat="1" x14ac:dyDescent="0.2">
      <c r="A84" s="370"/>
      <c r="C84" s="371"/>
      <c r="D84" s="372" t="s">
        <v>21</v>
      </c>
      <c r="E84" s="253">
        <v>0</v>
      </c>
      <c r="F84" s="373">
        <f>C84*E84</f>
        <v>0</v>
      </c>
      <c r="G84" s="529"/>
      <c r="H84" s="375">
        <v>0</v>
      </c>
      <c r="I84" s="373">
        <f>G84*H84</f>
        <v>0</v>
      </c>
      <c r="J84" s="376"/>
      <c r="K84" s="530">
        <f>F84+I84+J84</f>
        <v>0</v>
      </c>
      <c r="M84" s="276"/>
      <c r="N84" s="157"/>
      <c r="O84" s="381"/>
      <c r="P84" s="382"/>
      <c r="Q84" s="383"/>
    </row>
    <row r="85" spans="1:17" s="159" customFormat="1" x14ac:dyDescent="0.2">
      <c r="A85" s="370"/>
      <c r="B85" s="5"/>
      <c r="C85" s="371"/>
      <c r="D85" s="372" t="s">
        <v>21</v>
      </c>
      <c r="E85" s="253">
        <v>0</v>
      </c>
      <c r="F85" s="373">
        <f>C85*E85</f>
        <v>0</v>
      </c>
      <c r="G85" s="529"/>
      <c r="H85" s="375">
        <v>0</v>
      </c>
      <c r="I85" s="373">
        <f>G85*H85</f>
        <v>0</v>
      </c>
      <c r="J85" s="376"/>
      <c r="K85" s="530">
        <f>F85+I85+J85</f>
        <v>0</v>
      </c>
      <c r="L85" s="378"/>
      <c r="M85" s="379"/>
      <c r="N85" s="380"/>
      <c r="O85" s="381"/>
      <c r="P85" s="382"/>
      <c r="Q85" s="383"/>
    </row>
    <row r="86" spans="1:17" s="159" customFormat="1" x14ac:dyDescent="0.2">
      <c r="A86" s="370"/>
      <c r="B86" s="5"/>
      <c r="C86" s="371"/>
      <c r="D86" s="372" t="s">
        <v>21</v>
      </c>
      <c r="E86" s="253">
        <v>0</v>
      </c>
      <c r="F86" s="373">
        <f>C86*E86</f>
        <v>0</v>
      </c>
      <c r="G86" s="529"/>
      <c r="H86" s="375">
        <v>0</v>
      </c>
      <c r="I86" s="373">
        <f>G86*H86</f>
        <v>0</v>
      </c>
      <c r="J86" s="376"/>
      <c r="K86" s="530">
        <f>F86+I86+J86</f>
        <v>0</v>
      </c>
      <c r="L86" s="378"/>
      <c r="M86" s="379"/>
      <c r="N86" s="380"/>
      <c r="O86" s="381"/>
      <c r="P86" s="382"/>
      <c r="Q86" s="383"/>
    </row>
    <row r="87" spans="1:17" s="159" customFormat="1" ht="13.5" thickBot="1" x14ac:dyDescent="0.25">
      <c r="A87" s="387"/>
      <c r="B87" s="5"/>
      <c r="C87" s="388"/>
      <c r="D87" s="372"/>
      <c r="E87" s="253"/>
      <c r="F87" s="373"/>
      <c r="G87" s="529"/>
      <c r="H87" s="375"/>
      <c r="I87" s="373"/>
      <c r="J87" s="376"/>
      <c r="K87" s="535"/>
      <c r="L87" s="378"/>
      <c r="M87" s="379"/>
      <c r="N87" s="380"/>
      <c r="O87" s="381"/>
      <c r="P87" s="382"/>
      <c r="Q87" s="383"/>
    </row>
    <row r="88" spans="1:17" s="159" customFormat="1" ht="13.5" thickTop="1" x14ac:dyDescent="0.2">
      <c r="A88" s="387"/>
      <c r="B88" s="412"/>
      <c r="C88" s="388"/>
      <c r="D88" s="372"/>
      <c r="E88" s="253"/>
      <c r="F88" s="373"/>
      <c r="G88" s="529"/>
      <c r="H88" s="375"/>
      <c r="I88" s="373"/>
      <c r="J88" s="389" t="s">
        <v>30</v>
      </c>
      <c r="K88" s="532">
        <f>SUM(K82:K87)</f>
        <v>0</v>
      </c>
      <c r="M88" s="276"/>
      <c r="N88" s="157"/>
      <c r="O88" s="381"/>
      <c r="P88" s="382"/>
      <c r="Q88" s="383"/>
    </row>
    <row r="89" spans="1:17" s="159" customFormat="1" ht="13.5" thickBot="1" x14ac:dyDescent="0.25">
      <c r="A89" s="353" t="s">
        <v>0</v>
      </c>
      <c r="B89" s="354" t="s">
        <v>1</v>
      </c>
      <c r="C89" s="939" t="s">
        <v>656</v>
      </c>
      <c r="D89" s="939"/>
      <c r="E89" s="939"/>
      <c r="F89" s="939"/>
      <c r="G89" s="939" t="s">
        <v>34</v>
      </c>
      <c r="H89" s="939"/>
      <c r="I89" s="939"/>
      <c r="J89" s="355"/>
      <c r="K89" s="523"/>
      <c r="L89" s="391"/>
      <c r="M89" s="392"/>
      <c r="N89" s="393"/>
      <c r="O89" s="381"/>
      <c r="P89" s="382"/>
      <c r="Q89" s="383"/>
    </row>
    <row r="90" spans="1:17" s="159" customFormat="1" ht="16.5" thickBot="1" x14ac:dyDescent="0.3">
      <c r="A90" s="394"/>
      <c r="B90" s="395"/>
      <c r="C90" s="396" t="s">
        <v>19</v>
      </c>
      <c r="D90" s="397" t="s">
        <v>33</v>
      </c>
      <c r="E90" s="398" t="s">
        <v>35</v>
      </c>
      <c r="F90" s="399" t="s">
        <v>30</v>
      </c>
      <c r="G90" s="533" t="s">
        <v>14</v>
      </c>
      <c r="H90" s="398" t="s">
        <v>35</v>
      </c>
      <c r="I90" s="399" t="s">
        <v>30</v>
      </c>
      <c r="J90" s="364" t="s">
        <v>659</v>
      </c>
      <c r="K90" s="534" t="s">
        <v>38</v>
      </c>
      <c r="L90" s="402"/>
      <c r="M90" s="403"/>
      <c r="N90" s="404"/>
      <c r="O90" s="381"/>
      <c r="P90" s="382"/>
      <c r="Q90" s="383"/>
    </row>
    <row r="91" spans="1:17" s="159" customFormat="1" x14ac:dyDescent="0.2">
      <c r="A91" s="405"/>
      <c r="B91" s="406"/>
      <c r="C91" s="371"/>
      <c r="D91" s="372" t="s">
        <v>21</v>
      </c>
      <c r="E91" s="253">
        <v>0</v>
      </c>
      <c r="F91" s="373">
        <f>C91*E91</f>
        <v>0</v>
      </c>
      <c r="G91" s="529"/>
      <c r="H91" s="375">
        <v>0</v>
      </c>
      <c r="I91" s="373">
        <f>G91*H91</f>
        <v>0</v>
      </c>
      <c r="J91" s="376"/>
      <c r="K91" s="530">
        <f>F91+I91+J91</f>
        <v>0</v>
      </c>
      <c r="L91" s="378"/>
      <c r="M91" s="379"/>
      <c r="N91" s="380"/>
      <c r="O91" s="381"/>
      <c r="P91" s="382"/>
      <c r="Q91" s="383"/>
    </row>
    <row r="92" spans="1:17" s="159" customFormat="1" x14ac:dyDescent="0.2">
      <c r="A92" s="370"/>
      <c r="B92" s="5"/>
      <c r="C92" s="371"/>
      <c r="D92" s="372" t="s">
        <v>21</v>
      </c>
      <c r="E92" s="253">
        <v>0</v>
      </c>
      <c r="F92" s="373">
        <f>C92*E92</f>
        <v>0</v>
      </c>
      <c r="G92" s="529"/>
      <c r="H92" s="375">
        <v>0</v>
      </c>
      <c r="I92" s="373">
        <f>G92*H92</f>
        <v>0</v>
      </c>
      <c r="J92" s="376"/>
      <c r="K92" s="530">
        <f>F92+I92+J92</f>
        <v>0</v>
      </c>
      <c r="L92" s="667"/>
      <c r="M92" s="668"/>
      <c r="N92" s="669"/>
      <c r="O92" s="381"/>
      <c r="P92" s="382"/>
      <c r="Q92" s="383"/>
    </row>
    <row r="93" spans="1:17" s="159" customFormat="1" x14ac:dyDescent="0.2">
      <c r="A93" s="370"/>
      <c r="B93" s="5"/>
      <c r="C93" s="371"/>
      <c r="D93" s="372" t="s">
        <v>21</v>
      </c>
      <c r="E93" s="253">
        <v>0</v>
      </c>
      <c r="F93" s="373">
        <f>C93*E93</f>
        <v>0</v>
      </c>
      <c r="G93" s="529"/>
      <c r="H93" s="375">
        <v>0</v>
      </c>
      <c r="I93" s="373">
        <f>G93*H93</f>
        <v>0</v>
      </c>
      <c r="J93" s="376"/>
      <c r="K93" s="530">
        <f>F93+I93+J93</f>
        <v>0</v>
      </c>
      <c r="L93" s="667"/>
      <c r="M93" s="668"/>
      <c r="N93" s="670"/>
      <c r="O93" s="381"/>
      <c r="P93" s="382"/>
      <c r="Q93" s="383"/>
    </row>
    <row r="94" spans="1:17" s="159" customFormat="1" x14ac:dyDescent="0.2">
      <c r="A94" s="370"/>
      <c r="B94" s="5"/>
      <c r="C94" s="371"/>
      <c r="D94" s="372" t="s">
        <v>21</v>
      </c>
      <c r="E94" s="253">
        <v>0</v>
      </c>
      <c r="F94" s="373">
        <f>C94*E94</f>
        <v>0</v>
      </c>
      <c r="G94" s="529"/>
      <c r="H94" s="375">
        <v>0</v>
      </c>
      <c r="I94" s="373">
        <f>G94*H94</f>
        <v>0</v>
      </c>
      <c r="J94" s="376"/>
      <c r="K94" s="530">
        <f>F94+I94+J94</f>
        <v>0</v>
      </c>
      <c r="L94" s="667"/>
      <c r="M94" s="668"/>
      <c r="N94" s="670"/>
      <c r="O94" s="381"/>
      <c r="P94" s="382"/>
      <c r="Q94" s="383"/>
    </row>
    <row r="95" spans="1:17" s="159" customFormat="1" ht="13.5" thickBot="1" x14ac:dyDescent="0.25">
      <c r="A95" s="387"/>
      <c r="B95" s="412"/>
      <c r="C95" s="371"/>
      <c r="D95" s="372"/>
      <c r="E95" s="253"/>
      <c r="F95" s="373"/>
      <c r="G95" s="529"/>
      <c r="H95" s="375"/>
      <c r="I95" s="373"/>
      <c r="J95" s="376"/>
      <c r="K95" s="530"/>
      <c r="L95" s="667"/>
      <c r="M95" s="668"/>
      <c r="N95" s="670"/>
      <c r="O95" s="381"/>
      <c r="P95" s="382"/>
      <c r="Q95" s="383"/>
    </row>
    <row r="96" spans="1:17" s="159" customFormat="1" ht="14.25" thickTop="1" thickBot="1" x14ac:dyDescent="0.25">
      <c r="A96" s="470"/>
      <c r="B96" s="156"/>
      <c r="C96" s="471"/>
      <c r="D96" s="472"/>
      <c r="E96" s="473"/>
      <c r="F96" s="474"/>
      <c r="G96" s="634"/>
      <c r="H96" s="473"/>
      <c r="I96" s="474"/>
      <c r="J96" s="476" t="s">
        <v>30</v>
      </c>
      <c r="K96" s="635">
        <f>SUM(K91:K95)</f>
        <v>0</v>
      </c>
      <c r="L96" s="667"/>
      <c r="M96" s="668"/>
      <c r="N96" s="670"/>
      <c r="O96" s="381"/>
      <c r="P96" s="382"/>
      <c r="Q96" s="383"/>
    </row>
    <row r="97" spans="1:17" s="159" customFormat="1" ht="14.1" customHeight="1" thickBot="1" x14ac:dyDescent="0.3">
      <c r="A97" s="478"/>
      <c r="B97" s="479"/>
      <c r="C97" s="480"/>
      <c r="D97" s="480"/>
      <c r="E97" s="481"/>
      <c r="F97" s="969" t="s">
        <v>658</v>
      </c>
      <c r="G97" s="992" t="s">
        <v>684</v>
      </c>
      <c r="H97" s="481"/>
      <c r="I97" s="962" t="s">
        <v>657</v>
      </c>
      <c r="J97" s="958" t="s">
        <v>685</v>
      </c>
      <c r="K97" s="956" t="s">
        <v>31</v>
      </c>
      <c r="L97" s="671"/>
      <c r="M97" s="672"/>
      <c r="N97" s="673"/>
      <c r="O97" s="460"/>
      <c r="P97" s="461"/>
      <c r="Q97" s="462"/>
    </row>
    <row r="98" spans="1:17" s="159" customFormat="1" ht="15.75" thickTop="1" x14ac:dyDescent="0.2">
      <c r="A98" s="482" t="s">
        <v>32</v>
      </c>
      <c r="B98" s="964" t="s">
        <v>666</v>
      </c>
      <c r="C98" s="483"/>
      <c r="D98" s="484"/>
      <c r="E98" s="484"/>
      <c r="F98" s="970"/>
      <c r="G98" s="993"/>
      <c r="H98" s="485"/>
      <c r="I98" s="963"/>
      <c r="J98" s="959"/>
      <c r="K98" s="957"/>
      <c r="M98" s="276"/>
      <c r="N98" s="157"/>
      <c r="O98" s="302"/>
      <c r="P98" s="302"/>
    </row>
    <row r="99" spans="1:17" s="159" customFormat="1" ht="15" x14ac:dyDescent="0.25">
      <c r="A99" s="826">
        <f>K99/E6</f>
        <v>1.8508354677399683</v>
      </c>
      <c r="B99" s="964"/>
      <c r="C99" s="484"/>
      <c r="D99" s="484"/>
      <c r="E99" s="484"/>
      <c r="F99" s="952">
        <f>SUM(F91:F95,F82:F87,F75:F78,F66:F71,F55:F61,F46:F51,F38:F42,F27:F34,F11:F23)</f>
        <v>10000</v>
      </c>
      <c r="G99" s="997">
        <f>SUM(G91:G95,G82:G87,G75:G78,G66:G71,G55:G61,G46:G51,G38:G42,G27:G34,G11:G23)</f>
        <v>0</v>
      </c>
      <c r="H99" s="485"/>
      <c r="I99" s="952">
        <f>SUM(I91:I95,I82:I87,I75:I78,I66:I71,I55:I61,I46:I51,I38:I42,I27:I34,I11:I23)</f>
        <v>0</v>
      </c>
      <c r="J99" s="952">
        <f>SUM(J91:J95,J82:J87,J75:J78,J66:J71,J55:J61,J46:J51,J38:J42,J27:J34,J11:J23)</f>
        <v>111400</v>
      </c>
      <c r="K99" s="954">
        <f>SUM(K96,K88,K79,K72,K63,K52,K43,K35,K24)</f>
        <v>121400</v>
      </c>
      <c r="M99" s="276"/>
      <c r="N99" s="157"/>
      <c r="O99" s="302"/>
      <c r="P99" s="302"/>
    </row>
    <row r="100" spans="1:17" s="159" customFormat="1" ht="15" thickBot="1" x14ac:dyDescent="0.25">
      <c r="A100" s="482"/>
      <c r="B100" s="550"/>
      <c r="C100" s="488"/>
      <c r="D100" s="488"/>
      <c r="E100" s="488"/>
      <c r="F100" s="953"/>
      <c r="G100" s="998"/>
      <c r="H100" s="488"/>
      <c r="I100" s="953"/>
      <c r="J100" s="953"/>
      <c r="K100" s="955"/>
      <c r="M100" s="276"/>
      <c r="N100" s="157"/>
      <c r="O100" s="302"/>
      <c r="P100" s="302"/>
    </row>
    <row r="101" spans="1:17" s="159" customFormat="1" ht="13.5" thickBot="1" x14ac:dyDescent="0.25">
      <c r="A101" s="489"/>
      <c r="B101" s="490"/>
      <c r="C101" s="490"/>
      <c r="D101" s="490"/>
      <c r="E101" s="490"/>
      <c r="F101" s="490"/>
      <c r="G101" s="490"/>
      <c r="H101" s="490"/>
      <c r="I101" s="490"/>
      <c r="J101" s="490"/>
      <c r="K101" s="491"/>
      <c r="M101" s="276"/>
      <c r="N101" s="157"/>
      <c r="O101" s="302"/>
      <c r="P101" s="302"/>
    </row>
    <row r="102" spans="1:17" s="159" customFormat="1" x14ac:dyDescent="0.2">
      <c r="C102" s="655"/>
      <c r="D102" s="655"/>
      <c r="M102" s="276"/>
      <c r="N102" s="157"/>
      <c r="O102" s="302"/>
      <c r="P102" s="302"/>
    </row>
    <row r="103" spans="1:17" s="159" customFormat="1" x14ac:dyDescent="0.2">
      <c r="C103" s="655"/>
      <c r="D103" s="655"/>
      <c r="M103" s="276"/>
      <c r="N103" s="157"/>
      <c r="O103" s="302"/>
      <c r="P103" s="302"/>
    </row>
    <row r="104" spans="1:17" s="159" customFormat="1" x14ac:dyDescent="0.2">
      <c r="C104" s="655"/>
      <c r="D104" s="655"/>
      <c r="M104" s="276"/>
      <c r="N104" s="157"/>
      <c r="O104" s="302"/>
      <c r="P104" s="302"/>
    </row>
    <row r="105" spans="1:17" s="159" customFormat="1" x14ac:dyDescent="0.2">
      <c r="C105" s="655"/>
      <c r="D105" s="655"/>
      <c r="M105" s="276"/>
      <c r="N105" s="157"/>
      <c r="O105" s="302"/>
      <c r="P105" s="302"/>
    </row>
    <row r="106" spans="1:17" s="159" customFormat="1" x14ac:dyDescent="0.2">
      <c r="C106" s="655"/>
      <c r="D106" s="655"/>
      <c r="M106" s="276"/>
      <c r="N106" s="157"/>
      <c r="O106" s="302"/>
      <c r="P106" s="302"/>
    </row>
    <row r="107" spans="1:17" s="159" customFormat="1" x14ac:dyDescent="0.2">
      <c r="C107" s="655"/>
      <c r="D107" s="655"/>
      <c r="M107" s="276"/>
      <c r="N107" s="157"/>
      <c r="O107" s="302"/>
      <c r="P107" s="302"/>
    </row>
    <row r="108" spans="1:17" s="159" customFormat="1" x14ac:dyDescent="0.2">
      <c r="C108" s="655"/>
      <c r="D108" s="655"/>
      <c r="M108" s="276"/>
      <c r="N108" s="157"/>
      <c r="O108" s="302"/>
      <c r="P108" s="302"/>
    </row>
    <row r="109" spans="1:17" s="159" customFormat="1" x14ac:dyDescent="0.2">
      <c r="C109" s="655"/>
      <c r="D109" s="655"/>
      <c r="M109" s="276"/>
      <c r="N109" s="157"/>
      <c r="O109" s="302"/>
      <c r="P109" s="302"/>
    </row>
    <row r="110" spans="1:17" s="159" customFormat="1" x14ac:dyDescent="0.2">
      <c r="C110" s="655"/>
      <c r="D110" s="655"/>
      <c r="M110" s="276"/>
      <c r="N110" s="157"/>
      <c r="O110" s="302"/>
      <c r="P110" s="302"/>
    </row>
    <row r="111" spans="1:17" s="159" customFormat="1" x14ac:dyDescent="0.2">
      <c r="C111" s="655"/>
      <c r="D111" s="655"/>
      <c r="M111" s="276"/>
      <c r="N111" s="157"/>
      <c r="O111" s="302"/>
      <c r="P111" s="302"/>
    </row>
    <row r="112" spans="1:17" s="159" customFormat="1" x14ac:dyDescent="0.2">
      <c r="C112" s="655"/>
      <c r="D112" s="655"/>
      <c r="M112" s="276"/>
      <c r="N112" s="157"/>
      <c r="O112" s="302"/>
      <c r="P112" s="302"/>
    </row>
    <row r="113" spans="3:16" s="159" customFormat="1" x14ac:dyDescent="0.2">
      <c r="C113" s="655"/>
      <c r="D113" s="655"/>
      <c r="M113" s="276"/>
      <c r="N113" s="157"/>
      <c r="O113" s="302"/>
      <c r="P113" s="302"/>
    </row>
    <row r="114" spans="3:16" s="159" customFormat="1" x14ac:dyDescent="0.2">
      <c r="C114" s="655"/>
      <c r="D114" s="655"/>
      <c r="M114" s="276"/>
      <c r="N114" s="157"/>
      <c r="O114" s="302"/>
      <c r="P114" s="302"/>
    </row>
    <row r="115" spans="3:16" s="159" customFormat="1" x14ac:dyDescent="0.2">
      <c r="C115" s="655"/>
      <c r="D115" s="655"/>
      <c r="M115" s="276"/>
      <c r="N115" s="157"/>
      <c r="O115" s="302"/>
      <c r="P115" s="302"/>
    </row>
    <row r="116" spans="3:16" s="159" customFormat="1" x14ac:dyDescent="0.2">
      <c r="C116" s="655"/>
      <c r="D116" s="655"/>
      <c r="M116" s="276"/>
      <c r="N116" s="157"/>
      <c r="O116" s="302"/>
      <c r="P116" s="302"/>
    </row>
    <row r="117" spans="3:16" s="159" customFormat="1" x14ac:dyDescent="0.2">
      <c r="C117" s="655"/>
      <c r="D117" s="655"/>
      <c r="M117" s="276"/>
      <c r="N117" s="157"/>
      <c r="O117" s="302"/>
      <c r="P117" s="302"/>
    </row>
    <row r="118" spans="3:16" s="159" customFormat="1" x14ac:dyDescent="0.2">
      <c r="C118" s="655"/>
      <c r="D118" s="655"/>
      <c r="M118" s="276"/>
      <c r="N118" s="157"/>
      <c r="O118" s="302"/>
      <c r="P118" s="302"/>
    </row>
    <row r="119" spans="3:16" s="159" customFormat="1" x14ac:dyDescent="0.2">
      <c r="C119" s="655"/>
      <c r="D119" s="655"/>
      <c r="M119" s="276"/>
      <c r="N119" s="157"/>
      <c r="O119" s="302"/>
      <c r="P119" s="302"/>
    </row>
    <row r="120" spans="3:16" s="159" customFormat="1" x14ac:dyDescent="0.2">
      <c r="C120" s="655"/>
      <c r="D120" s="655"/>
      <c r="M120" s="276"/>
      <c r="N120" s="157"/>
      <c r="O120" s="302"/>
      <c r="P120" s="302"/>
    </row>
    <row r="121" spans="3:16" s="159" customFormat="1" x14ac:dyDescent="0.2">
      <c r="C121" s="655"/>
      <c r="D121" s="655"/>
      <c r="M121" s="276"/>
      <c r="N121" s="157"/>
      <c r="O121" s="302"/>
      <c r="P121" s="302"/>
    </row>
    <row r="122" spans="3:16" s="159" customFormat="1" x14ac:dyDescent="0.2">
      <c r="C122" s="655"/>
      <c r="D122" s="655"/>
      <c r="M122" s="276"/>
      <c r="N122" s="157"/>
      <c r="O122" s="302"/>
      <c r="P122" s="302"/>
    </row>
    <row r="123" spans="3:16" s="159" customFormat="1" x14ac:dyDescent="0.2">
      <c r="C123" s="655"/>
      <c r="D123" s="655"/>
      <c r="M123" s="276"/>
      <c r="N123" s="157"/>
      <c r="O123" s="302"/>
      <c r="P123" s="302"/>
    </row>
    <row r="124" spans="3:16" s="159" customFormat="1" x14ac:dyDescent="0.2">
      <c r="C124" s="655"/>
      <c r="D124" s="655"/>
      <c r="M124" s="276"/>
      <c r="N124" s="157"/>
      <c r="O124" s="302"/>
      <c r="P124" s="302"/>
    </row>
    <row r="125" spans="3:16" s="159" customFormat="1" x14ac:dyDescent="0.2">
      <c r="C125" s="655"/>
      <c r="D125" s="655"/>
      <c r="M125" s="276"/>
      <c r="N125" s="157"/>
      <c r="O125" s="302"/>
      <c r="P125" s="302"/>
    </row>
    <row r="126" spans="3:16" s="159" customFormat="1" x14ac:dyDescent="0.2">
      <c r="C126" s="655"/>
      <c r="D126" s="655"/>
      <c r="M126" s="276"/>
      <c r="N126" s="157"/>
      <c r="O126" s="302"/>
      <c r="P126" s="302"/>
    </row>
    <row r="127" spans="3:16" s="159" customFormat="1" x14ac:dyDescent="0.2">
      <c r="C127" s="655"/>
      <c r="D127" s="655"/>
      <c r="M127" s="276"/>
      <c r="N127" s="157"/>
      <c r="O127" s="302"/>
      <c r="P127" s="302"/>
    </row>
    <row r="128" spans="3:16" s="159" customFormat="1" x14ac:dyDescent="0.2">
      <c r="C128" s="655"/>
      <c r="D128" s="655"/>
      <c r="M128" s="276"/>
      <c r="N128" s="157"/>
      <c r="O128" s="302"/>
      <c r="P128" s="302"/>
    </row>
    <row r="129" spans="3:16" s="159" customFormat="1" x14ac:dyDescent="0.2">
      <c r="C129" s="655"/>
      <c r="D129" s="655"/>
      <c r="M129" s="276"/>
      <c r="N129" s="157"/>
      <c r="O129" s="302"/>
      <c r="P129" s="302"/>
    </row>
    <row r="130" spans="3:16" s="159" customFormat="1" x14ac:dyDescent="0.2">
      <c r="C130" s="655"/>
      <c r="D130" s="655"/>
      <c r="M130" s="276"/>
      <c r="N130" s="157"/>
      <c r="O130" s="302"/>
      <c r="P130" s="302"/>
    </row>
    <row r="131" spans="3:16" s="159" customFormat="1" x14ac:dyDescent="0.2">
      <c r="C131" s="655"/>
      <c r="D131" s="655"/>
      <c r="M131" s="276"/>
      <c r="N131" s="157"/>
      <c r="O131" s="302"/>
      <c r="P131" s="302"/>
    </row>
    <row r="132" spans="3:16" s="159" customFormat="1" x14ac:dyDescent="0.2">
      <c r="C132" s="655"/>
      <c r="D132" s="655"/>
      <c r="M132" s="276"/>
      <c r="N132" s="157"/>
      <c r="O132" s="302"/>
      <c r="P132" s="302"/>
    </row>
    <row r="133" spans="3:16" s="159" customFormat="1" x14ac:dyDescent="0.2">
      <c r="C133" s="655"/>
      <c r="D133" s="655"/>
      <c r="M133" s="276"/>
      <c r="N133" s="157"/>
      <c r="O133" s="302"/>
      <c r="P133" s="302"/>
    </row>
    <row r="134" spans="3:16" s="159" customFormat="1" x14ac:dyDescent="0.2">
      <c r="C134" s="655"/>
      <c r="D134" s="655"/>
      <c r="M134" s="276"/>
      <c r="N134" s="157"/>
      <c r="O134" s="302"/>
      <c r="P134" s="302"/>
    </row>
    <row r="135" spans="3:16" s="159" customFormat="1" x14ac:dyDescent="0.2">
      <c r="C135" s="655"/>
      <c r="D135" s="655"/>
      <c r="M135" s="276"/>
      <c r="N135" s="157"/>
      <c r="O135" s="302"/>
      <c r="P135" s="302"/>
    </row>
    <row r="136" spans="3:16" s="159" customFormat="1" x14ac:dyDescent="0.2">
      <c r="C136" s="655"/>
      <c r="D136" s="655"/>
      <c r="M136" s="276"/>
      <c r="N136" s="157"/>
      <c r="O136" s="302"/>
      <c r="P136" s="302"/>
    </row>
    <row r="137" spans="3:16" s="159" customFormat="1" x14ac:dyDescent="0.2">
      <c r="C137" s="655"/>
      <c r="D137" s="655"/>
      <c r="M137" s="276"/>
      <c r="N137" s="157"/>
      <c r="O137" s="302"/>
      <c r="P137" s="302"/>
    </row>
    <row r="138" spans="3:16" s="159" customFormat="1" x14ac:dyDescent="0.2">
      <c r="C138" s="655"/>
      <c r="D138" s="655"/>
      <c r="M138" s="276"/>
      <c r="N138" s="157"/>
      <c r="O138" s="302"/>
      <c r="P138" s="302"/>
    </row>
    <row r="139" spans="3:16" s="159" customFormat="1" x14ac:dyDescent="0.2">
      <c r="C139" s="655"/>
      <c r="D139" s="655"/>
      <c r="M139" s="276"/>
      <c r="N139" s="157"/>
      <c r="O139" s="302"/>
      <c r="P139" s="302"/>
    </row>
    <row r="140" spans="3:16" s="159" customFormat="1" x14ac:dyDescent="0.2">
      <c r="C140" s="655"/>
      <c r="D140" s="655"/>
      <c r="M140" s="276"/>
      <c r="N140" s="157"/>
      <c r="O140" s="302"/>
      <c r="P140" s="302"/>
    </row>
    <row r="141" spans="3:16" s="159" customFormat="1" x14ac:dyDescent="0.2">
      <c r="C141" s="655"/>
      <c r="D141" s="655"/>
      <c r="M141" s="276"/>
      <c r="N141" s="157"/>
      <c r="O141" s="302"/>
      <c r="P141" s="302"/>
    </row>
    <row r="142" spans="3:16" s="159" customFormat="1" x14ac:dyDescent="0.2">
      <c r="C142" s="655"/>
      <c r="D142" s="655"/>
      <c r="M142" s="276"/>
      <c r="N142" s="157"/>
      <c r="O142" s="302"/>
      <c r="P142" s="302"/>
    </row>
    <row r="143" spans="3:16" s="159" customFormat="1" x14ac:dyDescent="0.2">
      <c r="C143" s="655"/>
      <c r="D143" s="655"/>
      <c r="M143" s="276"/>
      <c r="N143" s="157"/>
      <c r="O143" s="302"/>
      <c r="P143" s="302"/>
    </row>
    <row r="144" spans="3:16" s="159" customFormat="1" x14ac:dyDescent="0.2">
      <c r="C144" s="655"/>
      <c r="D144" s="655"/>
      <c r="M144" s="276"/>
      <c r="N144" s="157"/>
      <c r="O144" s="302"/>
      <c r="P144" s="302"/>
    </row>
    <row r="145" spans="3:16" s="159" customFormat="1" x14ac:dyDescent="0.2">
      <c r="C145" s="655"/>
      <c r="D145" s="655"/>
      <c r="M145" s="276"/>
      <c r="N145" s="157"/>
      <c r="O145" s="302"/>
      <c r="P145" s="302"/>
    </row>
    <row r="146" spans="3:16" s="159" customFormat="1" x14ac:dyDescent="0.2">
      <c r="C146" s="655"/>
      <c r="D146" s="655"/>
      <c r="M146" s="276"/>
      <c r="N146" s="157"/>
      <c r="O146" s="302"/>
      <c r="P146" s="302"/>
    </row>
    <row r="147" spans="3:16" s="159" customFormat="1" x14ac:dyDescent="0.2">
      <c r="C147" s="655"/>
      <c r="D147" s="655"/>
      <c r="M147" s="276"/>
      <c r="N147" s="157"/>
      <c r="O147" s="302"/>
      <c r="P147" s="302"/>
    </row>
    <row r="148" spans="3:16" s="159" customFormat="1" x14ac:dyDescent="0.2">
      <c r="C148" s="655"/>
      <c r="D148" s="655"/>
      <c r="M148" s="276"/>
      <c r="N148" s="157"/>
      <c r="O148" s="302"/>
      <c r="P148" s="302"/>
    </row>
    <row r="149" spans="3:16" s="159" customFormat="1" x14ac:dyDescent="0.2">
      <c r="C149" s="655"/>
      <c r="D149" s="655"/>
      <c r="M149" s="276"/>
      <c r="N149" s="157"/>
      <c r="O149" s="302"/>
      <c r="P149" s="302"/>
    </row>
    <row r="150" spans="3:16" s="159" customFormat="1" x14ac:dyDescent="0.2">
      <c r="C150" s="655"/>
      <c r="D150" s="655"/>
      <c r="M150" s="276"/>
      <c r="N150" s="157"/>
      <c r="O150" s="302"/>
      <c r="P150" s="302"/>
    </row>
    <row r="151" spans="3:16" s="159" customFormat="1" x14ac:dyDescent="0.2">
      <c r="C151" s="655"/>
      <c r="D151" s="655"/>
      <c r="M151" s="276"/>
      <c r="N151" s="157"/>
      <c r="O151" s="302"/>
      <c r="P151" s="302"/>
    </row>
    <row r="152" spans="3:16" s="159" customFormat="1" x14ac:dyDescent="0.2">
      <c r="C152" s="655"/>
      <c r="D152" s="655"/>
      <c r="M152" s="276"/>
      <c r="N152" s="157"/>
      <c r="O152" s="302"/>
      <c r="P152" s="302"/>
    </row>
  </sheetData>
  <mergeCells count="54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64:F64"/>
    <mergeCell ref="G64:I64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J99:J100"/>
    <mergeCell ref="K99:K100"/>
    <mergeCell ref="F97:F98"/>
    <mergeCell ref="G97:G98"/>
    <mergeCell ref="I97:I98"/>
    <mergeCell ref="J97:J98"/>
    <mergeCell ref="K97:K98"/>
    <mergeCell ref="Q9:Q10"/>
    <mergeCell ref="L9:L10"/>
    <mergeCell ref="M9:M10"/>
    <mergeCell ref="N9:N10"/>
    <mergeCell ref="O9:O10"/>
    <mergeCell ref="P9:P10"/>
  </mergeCells>
  <phoneticPr fontId="5" type="noConversion"/>
  <pageMargins left="0.7" right="0.35" top="0.75" bottom="0.75" header="0.5" footer="0.5"/>
  <pageSetup scale="73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42"/>
  <sheetViews>
    <sheetView zoomScale="90" zoomScaleSheetLayoutView="90" workbookViewId="0">
      <selection activeCell="M14" sqref="M14"/>
    </sheetView>
  </sheetViews>
  <sheetFormatPr defaultColWidth="9.140625" defaultRowHeight="12.75" x14ac:dyDescent="0.2"/>
  <cols>
    <col min="1" max="1" width="12.140625" style="157" bestFit="1" customWidth="1"/>
    <col min="2" max="2" width="42.140625" style="157" customWidth="1"/>
    <col min="3" max="3" width="5" style="440" customWidth="1"/>
    <col min="4" max="4" width="5" style="659" customWidth="1"/>
    <col min="5" max="5" width="10.85546875" style="157" bestFit="1" customWidth="1"/>
    <col min="6" max="6" width="12.5703125" style="157" bestFit="1" customWidth="1"/>
    <col min="7" max="7" width="7" style="157" bestFit="1" customWidth="1"/>
    <col min="8" max="8" width="10.85546875" style="157" bestFit="1" customWidth="1"/>
    <col min="9" max="9" width="13.140625" style="157" bestFit="1" customWidth="1"/>
    <col min="10" max="10" width="16.140625" style="157" bestFit="1" customWidth="1"/>
    <col min="11" max="11" width="13.140625" style="157" bestFit="1" customWidth="1"/>
    <col min="12" max="12" width="17.85546875" style="159" bestFit="1" customWidth="1"/>
    <col min="13" max="13" width="14" style="276" bestFit="1" customWidth="1"/>
    <col min="14" max="14" width="24.85546875" style="157" bestFit="1" customWidth="1"/>
    <col min="15" max="15" width="22" style="302" bestFit="1" customWidth="1"/>
    <col min="16" max="16" width="22.140625" style="302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2"/>
      <c r="B1" s="323"/>
      <c r="C1" s="976">
        <f>'Estimate Summary'!C1:H1</f>
        <v>0</v>
      </c>
      <c r="D1" s="976"/>
      <c r="E1" s="976"/>
      <c r="F1" s="976"/>
      <c r="G1" s="976"/>
      <c r="H1" s="976"/>
      <c r="I1" s="976"/>
      <c r="J1" s="976"/>
      <c r="K1" s="977"/>
    </row>
    <row r="2" spans="1:17" ht="13.5" thickBot="1" x14ac:dyDescent="0.25">
      <c r="A2" s="324"/>
      <c r="B2" s="325"/>
      <c r="C2" s="514"/>
      <c r="D2" s="984"/>
      <c r="E2" s="984"/>
      <c r="F2" s="984"/>
      <c r="G2" s="514"/>
      <c r="H2" s="327"/>
      <c r="I2" s="328"/>
      <c r="J2" s="329"/>
      <c r="K2" s="330"/>
    </row>
    <row r="3" spans="1:17" ht="16.5" thickBot="1" x14ac:dyDescent="0.3">
      <c r="A3" s="973"/>
      <c r="B3" s="974"/>
      <c r="C3" s="514"/>
      <c r="D3" s="984"/>
      <c r="E3" s="984"/>
      <c r="F3" s="984"/>
      <c r="G3" s="515"/>
      <c r="H3" s="332"/>
      <c r="I3" s="333"/>
      <c r="J3" s="333"/>
      <c r="K3" s="334"/>
      <c r="L3" s="1002"/>
      <c r="M3" s="1003"/>
      <c r="N3" s="985"/>
      <c r="O3" s="985"/>
      <c r="P3" s="935"/>
    </row>
    <row r="4" spans="1:17" ht="18.75" thickBot="1" x14ac:dyDescent="0.25">
      <c r="A4" s="973"/>
      <c r="B4" s="974"/>
      <c r="C4" s="514"/>
      <c r="D4" s="984"/>
      <c r="E4" s="984"/>
      <c r="F4" s="984"/>
      <c r="G4" s="336"/>
      <c r="H4" s="336"/>
      <c r="I4" s="328"/>
      <c r="J4" s="329"/>
      <c r="K4" s="330"/>
      <c r="L4" s="1002"/>
      <c r="M4" s="1003"/>
      <c r="N4" s="985"/>
      <c r="O4" s="985"/>
      <c r="P4" s="935"/>
    </row>
    <row r="5" spans="1:17" ht="21" thickBot="1" x14ac:dyDescent="0.3">
      <c r="A5" s="337"/>
      <c r="B5" s="338"/>
      <c r="C5" s="516"/>
      <c r="D5" s="340"/>
      <c r="E5" s="341"/>
      <c r="F5" s="336"/>
      <c r="G5" s="983" t="s">
        <v>368</v>
      </c>
      <c r="H5" s="983"/>
      <c r="I5" s="983"/>
      <c r="J5" s="981" t="s">
        <v>73</v>
      </c>
      <c r="K5" s="982"/>
      <c r="L5" s="1002"/>
      <c r="M5" s="1003"/>
      <c r="N5" s="985"/>
      <c r="O5" s="985"/>
      <c r="P5" s="935"/>
    </row>
    <row r="6" spans="1:17" ht="21" thickBot="1" x14ac:dyDescent="0.25">
      <c r="A6" s="337"/>
      <c r="B6" s="338"/>
      <c r="C6" s="517"/>
      <c r="D6" s="343" t="str">
        <f>'Estimate Summary'!C11</f>
        <v>Area:</v>
      </c>
      <c r="E6" s="344">
        <f>'Estimate Summary'!D11</f>
        <v>65592</v>
      </c>
      <c r="F6" s="238" t="str">
        <f>'Estimate Summary'!E11</f>
        <v>Sq. Ft.</v>
      </c>
      <c r="G6" s="983"/>
      <c r="H6" s="983"/>
      <c r="I6" s="983"/>
      <c r="J6" s="345">
        <f>'1'!J6</f>
        <v>60</v>
      </c>
      <c r="K6" s="330" t="s">
        <v>74</v>
      </c>
      <c r="L6" s="1002"/>
      <c r="M6" s="1003"/>
      <c r="N6" s="985"/>
      <c r="O6" s="985"/>
      <c r="P6" s="935"/>
    </row>
    <row r="7" spans="1:17" x14ac:dyDescent="0.2">
      <c r="A7" s="978"/>
      <c r="B7" s="979"/>
      <c r="C7" s="979"/>
      <c r="D7" s="979"/>
      <c r="E7" s="979"/>
      <c r="F7" s="979"/>
      <c r="G7" s="979"/>
      <c r="H7" s="979"/>
      <c r="I7" s="979"/>
      <c r="J7" s="979"/>
      <c r="K7" s="980"/>
    </row>
    <row r="8" spans="1:17" ht="13.5" thickBot="1" x14ac:dyDescent="0.25">
      <c r="A8" s="346"/>
      <c r="B8" s="347"/>
      <c r="C8" s="972"/>
      <c r="D8" s="972"/>
      <c r="E8" s="972"/>
      <c r="F8" s="972"/>
      <c r="G8" s="971"/>
      <c r="H8" s="971"/>
      <c r="I8" s="971"/>
      <c r="J8" s="348"/>
      <c r="K8" s="349"/>
      <c r="L8" s="518"/>
      <c r="M8" s="519"/>
      <c r="N8" s="518"/>
      <c r="O8" s="520"/>
      <c r="P8" s="520"/>
    </row>
    <row r="9" spans="1:17" ht="14.25" thickTop="1" thickBot="1" x14ac:dyDescent="0.25">
      <c r="A9" s="353" t="s">
        <v>0</v>
      </c>
      <c r="B9" s="354" t="s">
        <v>1</v>
      </c>
      <c r="C9" s="939" t="s">
        <v>656</v>
      </c>
      <c r="D9" s="939"/>
      <c r="E9" s="939"/>
      <c r="F9" s="939"/>
      <c r="G9" s="939" t="s">
        <v>34</v>
      </c>
      <c r="H9" s="939"/>
      <c r="I9" s="939"/>
      <c r="J9" s="355"/>
      <c r="K9" s="523"/>
      <c r="L9" s="942" t="s">
        <v>783</v>
      </c>
      <c r="M9" s="944" t="s">
        <v>784</v>
      </c>
      <c r="N9" s="946" t="s">
        <v>785</v>
      </c>
      <c r="O9" s="948" t="s">
        <v>1041</v>
      </c>
      <c r="P9" s="950"/>
      <c r="Q9" s="940"/>
    </row>
    <row r="10" spans="1:17" ht="15.75" x14ac:dyDescent="0.25">
      <c r="A10" s="525" t="s">
        <v>369</v>
      </c>
      <c r="B10" s="525" t="s">
        <v>69</v>
      </c>
      <c r="C10" s="359" t="s">
        <v>19</v>
      </c>
      <c r="D10" s="360" t="s">
        <v>33</v>
      </c>
      <c r="E10" s="361" t="s">
        <v>35</v>
      </c>
      <c r="F10" s="362" t="s">
        <v>30</v>
      </c>
      <c r="G10" s="526" t="s">
        <v>14</v>
      </c>
      <c r="H10" s="361" t="s">
        <v>35</v>
      </c>
      <c r="I10" s="362" t="s">
        <v>30</v>
      </c>
      <c r="J10" s="364" t="s">
        <v>659</v>
      </c>
      <c r="K10" s="527" t="s">
        <v>38</v>
      </c>
      <c r="L10" s="943"/>
      <c r="M10" s="945"/>
      <c r="N10" s="947"/>
      <c r="O10" s="949"/>
      <c r="P10" s="951"/>
      <c r="Q10" s="941"/>
    </row>
    <row r="11" spans="1:17" x14ac:dyDescent="0.2">
      <c r="A11" s="370"/>
      <c r="B11" s="5"/>
      <c r="C11" s="371"/>
      <c r="D11" s="372" t="s">
        <v>21</v>
      </c>
      <c r="E11" s="253">
        <v>0</v>
      </c>
      <c r="F11" s="373">
        <f t="shared" ref="F11:F22" si="0">C11*E11</f>
        <v>0</v>
      </c>
      <c r="G11" s="529"/>
      <c r="H11" s="375">
        <v>0</v>
      </c>
      <c r="I11" s="373">
        <f t="shared" ref="I11:I22" si="1">G11*H11</f>
        <v>0</v>
      </c>
      <c r="J11" s="376"/>
      <c r="K11" s="530">
        <f t="shared" ref="K11:K22" si="2">F11+I11+J11</f>
        <v>0</v>
      </c>
      <c r="L11" s="378"/>
      <c r="M11" s="379"/>
      <c r="N11" s="380"/>
      <c r="O11" s="381" t="s">
        <v>1031</v>
      </c>
      <c r="P11" s="382">
        <v>189000</v>
      </c>
      <c r="Q11" s="383"/>
    </row>
    <row r="12" spans="1:17" x14ac:dyDescent="0.2">
      <c r="A12" s="370"/>
      <c r="B12" s="5"/>
      <c r="C12" s="371"/>
      <c r="D12" s="372" t="s">
        <v>21</v>
      </c>
      <c r="E12" s="253">
        <v>0</v>
      </c>
      <c r="F12" s="373">
        <f t="shared" si="0"/>
        <v>0</v>
      </c>
      <c r="G12" s="529"/>
      <c r="H12" s="375">
        <v>0</v>
      </c>
      <c r="I12" s="373">
        <f t="shared" si="1"/>
        <v>0</v>
      </c>
      <c r="J12" s="376">
        <f>M14</f>
        <v>155285</v>
      </c>
      <c r="K12" s="530">
        <f t="shared" si="2"/>
        <v>155285</v>
      </c>
      <c r="L12" s="378" t="s">
        <v>1031</v>
      </c>
      <c r="M12" s="866">
        <v>192000</v>
      </c>
      <c r="N12" s="380"/>
      <c r="O12" s="381"/>
      <c r="P12" s="382"/>
      <c r="Q12" s="383"/>
    </row>
    <row r="13" spans="1:17" x14ac:dyDescent="0.2">
      <c r="A13" s="370"/>
      <c r="B13" s="5"/>
      <c r="C13" s="371"/>
      <c r="D13" s="372" t="s">
        <v>21</v>
      </c>
      <c r="E13" s="253">
        <v>0</v>
      </c>
      <c r="F13" s="373">
        <f t="shared" si="0"/>
        <v>0</v>
      </c>
      <c r="G13" s="529"/>
      <c r="H13" s="375">
        <v>0</v>
      </c>
      <c r="I13" s="373">
        <f t="shared" si="1"/>
        <v>0</v>
      </c>
      <c r="J13" s="376"/>
      <c r="K13" s="530">
        <f t="shared" si="2"/>
        <v>0</v>
      </c>
      <c r="L13" s="378" t="s">
        <v>1032</v>
      </c>
      <c r="M13" s="866">
        <v>193980</v>
      </c>
      <c r="N13" s="380"/>
      <c r="O13" s="381"/>
      <c r="P13" s="382"/>
      <c r="Q13" s="383"/>
    </row>
    <row r="14" spans="1:17" x14ac:dyDescent="0.2">
      <c r="A14" s="370"/>
      <c r="B14" s="5"/>
      <c r="C14" s="371"/>
      <c r="D14" s="372" t="s">
        <v>21</v>
      </c>
      <c r="E14" s="253">
        <v>0</v>
      </c>
      <c r="F14" s="373">
        <f t="shared" si="0"/>
        <v>0</v>
      </c>
      <c r="G14" s="529"/>
      <c r="H14" s="375">
        <v>0</v>
      </c>
      <c r="I14" s="373">
        <f t="shared" si="1"/>
        <v>0</v>
      </c>
      <c r="J14" s="376"/>
      <c r="K14" s="530">
        <f t="shared" si="2"/>
        <v>0</v>
      </c>
      <c r="L14" s="378" t="s">
        <v>1033</v>
      </c>
      <c r="M14" s="866">
        <v>155285</v>
      </c>
      <c r="N14" s="380" t="s">
        <v>1286</v>
      </c>
      <c r="O14" s="381"/>
      <c r="P14" s="382"/>
      <c r="Q14" s="383"/>
    </row>
    <row r="15" spans="1:17" x14ac:dyDescent="0.2">
      <c r="A15" s="370"/>
      <c r="B15" s="6"/>
      <c r="C15" s="371"/>
      <c r="D15" s="372" t="s">
        <v>21</v>
      </c>
      <c r="E15" s="253">
        <v>0</v>
      </c>
      <c r="F15" s="373">
        <f t="shared" si="0"/>
        <v>0</v>
      </c>
      <c r="G15" s="529"/>
      <c r="H15" s="375">
        <v>0</v>
      </c>
      <c r="I15" s="373">
        <f t="shared" si="1"/>
        <v>0</v>
      </c>
      <c r="J15" s="376"/>
      <c r="K15" s="530">
        <f t="shared" si="2"/>
        <v>0</v>
      </c>
      <c r="L15" s="378"/>
      <c r="M15" s="379"/>
      <c r="N15" s="380"/>
      <c r="O15" s="381"/>
      <c r="P15" s="382"/>
      <c r="Q15" s="383"/>
    </row>
    <row r="16" spans="1:17" x14ac:dyDescent="0.2">
      <c r="A16" s="384"/>
      <c r="B16" s="5"/>
      <c r="C16" s="371"/>
      <c r="D16" s="372" t="s">
        <v>21</v>
      </c>
      <c r="E16" s="253">
        <v>0</v>
      </c>
      <c r="F16" s="373">
        <f t="shared" si="0"/>
        <v>0</v>
      </c>
      <c r="G16" s="529"/>
      <c r="H16" s="375">
        <v>0</v>
      </c>
      <c r="I16" s="373">
        <f t="shared" si="1"/>
        <v>0</v>
      </c>
      <c r="J16" s="376"/>
      <c r="K16" s="530">
        <f t="shared" si="2"/>
        <v>0</v>
      </c>
      <c r="L16" s="378"/>
      <c r="M16" s="379"/>
      <c r="N16" s="380"/>
      <c r="O16" s="381"/>
      <c r="P16" s="382"/>
      <c r="Q16" s="383"/>
    </row>
    <row r="17" spans="1:17" x14ac:dyDescent="0.2">
      <c r="A17" s="384"/>
      <c r="B17" s="5"/>
      <c r="C17" s="371"/>
      <c r="D17" s="372" t="s">
        <v>21</v>
      </c>
      <c r="E17" s="253">
        <v>0</v>
      </c>
      <c r="F17" s="373">
        <f t="shared" si="0"/>
        <v>0</v>
      </c>
      <c r="G17" s="529"/>
      <c r="H17" s="375">
        <v>0</v>
      </c>
      <c r="I17" s="373">
        <f t="shared" si="1"/>
        <v>0</v>
      </c>
      <c r="J17" s="376"/>
      <c r="K17" s="530">
        <f t="shared" si="2"/>
        <v>0</v>
      </c>
      <c r="L17" s="157"/>
      <c r="M17" s="469"/>
      <c r="O17" s="381"/>
      <c r="P17" s="382"/>
      <c r="Q17" s="383"/>
    </row>
    <row r="18" spans="1:17" x14ac:dyDescent="0.2">
      <c r="A18" s="384"/>
      <c r="B18" s="5"/>
      <c r="C18" s="371"/>
      <c r="D18" s="372" t="s">
        <v>21</v>
      </c>
      <c r="E18" s="253">
        <v>0</v>
      </c>
      <c r="F18" s="373">
        <f t="shared" si="0"/>
        <v>0</v>
      </c>
      <c r="G18" s="529"/>
      <c r="H18" s="375">
        <v>0</v>
      </c>
      <c r="I18" s="373">
        <f t="shared" si="1"/>
        <v>0</v>
      </c>
      <c r="J18" s="376"/>
      <c r="K18" s="530">
        <f t="shared" si="2"/>
        <v>0</v>
      </c>
      <c r="L18" s="157"/>
      <c r="M18" s="469"/>
      <c r="O18" s="381"/>
      <c r="P18" s="382"/>
      <c r="Q18" s="383"/>
    </row>
    <row r="19" spans="1:17" x14ac:dyDescent="0.2">
      <c r="A19" s="384"/>
      <c r="B19" s="5"/>
      <c r="C19" s="371"/>
      <c r="D19" s="372" t="s">
        <v>21</v>
      </c>
      <c r="E19" s="253">
        <v>0</v>
      </c>
      <c r="F19" s="373">
        <f t="shared" si="0"/>
        <v>0</v>
      </c>
      <c r="G19" s="529"/>
      <c r="H19" s="375">
        <v>0</v>
      </c>
      <c r="I19" s="373">
        <f t="shared" si="1"/>
        <v>0</v>
      </c>
      <c r="J19" s="376"/>
      <c r="K19" s="530">
        <f t="shared" si="2"/>
        <v>0</v>
      </c>
      <c r="L19" s="157"/>
      <c r="M19" s="469"/>
      <c r="O19" s="381"/>
      <c r="P19" s="382"/>
      <c r="Q19" s="383"/>
    </row>
    <row r="20" spans="1:17" x14ac:dyDescent="0.2">
      <c r="A20" s="384"/>
      <c r="B20" s="5"/>
      <c r="C20" s="371"/>
      <c r="D20" s="372" t="s">
        <v>21</v>
      </c>
      <c r="E20" s="253">
        <v>0</v>
      </c>
      <c r="F20" s="373">
        <f t="shared" si="0"/>
        <v>0</v>
      </c>
      <c r="G20" s="529"/>
      <c r="H20" s="375">
        <v>0</v>
      </c>
      <c r="I20" s="373">
        <f t="shared" si="1"/>
        <v>0</v>
      </c>
      <c r="J20" s="376"/>
      <c r="K20" s="530">
        <f t="shared" si="2"/>
        <v>0</v>
      </c>
      <c r="L20" s="157"/>
      <c r="M20" s="469"/>
      <c r="O20" s="381"/>
      <c r="P20" s="382"/>
      <c r="Q20" s="383"/>
    </row>
    <row r="21" spans="1:17" x14ac:dyDescent="0.2">
      <c r="A21" s="384"/>
      <c r="B21" s="5"/>
      <c r="C21" s="371"/>
      <c r="D21" s="372" t="s">
        <v>21</v>
      </c>
      <c r="E21" s="253">
        <v>0</v>
      </c>
      <c r="F21" s="373">
        <f t="shared" si="0"/>
        <v>0</v>
      </c>
      <c r="G21" s="529"/>
      <c r="H21" s="375">
        <v>0</v>
      </c>
      <c r="I21" s="373">
        <f t="shared" si="1"/>
        <v>0</v>
      </c>
      <c r="J21" s="376"/>
      <c r="K21" s="530">
        <f t="shared" si="2"/>
        <v>0</v>
      </c>
      <c r="L21" s="157"/>
      <c r="M21" s="469"/>
      <c r="O21" s="381"/>
      <c r="P21" s="382"/>
      <c r="Q21" s="383"/>
    </row>
    <row r="22" spans="1:17" x14ac:dyDescent="0.2">
      <c r="A22" s="384"/>
      <c r="B22" s="5"/>
      <c r="C22" s="371"/>
      <c r="D22" s="372" t="s">
        <v>21</v>
      </c>
      <c r="E22" s="253">
        <v>0</v>
      </c>
      <c r="F22" s="373">
        <f t="shared" si="0"/>
        <v>0</v>
      </c>
      <c r="G22" s="529"/>
      <c r="H22" s="375">
        <v>0</v>
      </c>
      <c r="I22" s="373">
        <f t="shared" si="1"/>
        <v>0</v>
      </c>
      <c r="J22" s="376"/>
      <c r="K22" s="530">
        <f t="shared" si="2"/>
        <v>0</v>
      </c>
      <c r="L22" s="157"/>
      <c r="M22" s="469"/>
      <c r="O22" s="381"/>
      <c r="P22" s="382"/>
      <c r="Q22" s="383"/>
    </row>
    <row r="23" spans="1:17" s="159" customFormat="1" ht="13.5" thickBot="1" x14ac:dyDescent="0.25">
      <c r="A23" s="387"/>
      <c r="B23" s="7"/>
      <c r="C23" s="388"/>
      <c r="D23" s="372"/>
      <c r="E23" s="253"/>
      <c r="F23" s="373"/>
      <c r="G23" s="529"/>
      <c r="H23" s="375"/>
      <c r="I23" s="373"/>
      <c r="J23" s="376"/>
      <c r="K23" s="530"/>
      <c r="L23" s="157"/>
      <c r="M23" s="469"/>
      <c r="N23" s="157"/>
      <c r="O23" s="381"/>
      <c r="P23" s="382"/>
      <c r="Q23" s="383"/>
    </row>
    <row r="24" spans="1:17" s="159" customFormat="1" ht="13.5" thickTop="1" x14ac:dyDescent="0.2">
      <c r="A24" s="387"/>
      <c r="B24" s="7"/>
      <c r="C24" s="388"/>
      <c r="D24" s="372"/>
      <c r="E24" s="253"/>
      <c r="F24" s="373"/>
      <c r="G24" s="529"/>
      <c r="H24" s="375"/>
      <c r="I24" s="373"/>
      <c r="J24" s="389" t="s">
        <v>30</v>
      </c>
      <c r="K24" s="532">
        <f>SUM(K15:K23)</f>
        <v>0</v>
      </c>
      <c r="L24" s="157"/>
      <c r="M24" s="469"/>
      <c r="N24" s="157"/>
      <c r="O24" s="381"/>
      <c r="P24" s="382"/>
      <c r="Q24" s="383"/>
    </row>
    <row r="25" spans="1:17" s="159" customFormat="1" ht="13.5" thickBot="1" x14ac:dyDescent="0.25">
      <c r="A25" s="353" t="s">
        <v>0</v>
      </c>
      <c r="B25" s="354" t="s">
        <v>1</v>
      </c>
      <c r="C25" s="939" t="s">
        <v>656</v>
      </c>
      <c r="D25" s="939"/>
      <c r="E25" s="939"/>
      <c r="F25" s="939"/>
      <c r="G25" s="939" t="s">
        <v>34</v>
      </c>
      <c r="H25" s="939"/>
      <c r="I25" s="939"/>
      <c r="J25" s="355"/>
      <c r="K25" s="523"/>
      <c r="L25" s="391"/>
      <c r="M25" s="392"/>
      <c r="N25" s="393"/>
      <c r="O25" s="381"/>
      <c r="P25" s="382"/>
      <c r="Q25" s="383"/>
    </row>
    <row r="26" spans="1:17" s="159" customFormat="1" ht="16.5" thickBot="1" x14ac:dyDescent="0.3">
      <c r="A26" s="525" t="s">
        <v>370</v>
      </c>
      <c r="B26" s="525" t="s">
        <v>70</v>
      </c>
      <c r="C26" s="396" t="s">
        <v>19</v>
      </c>
      <c r="D26" s="397" t="s">
        <v>33</v>
      </c>
      <c r="E26" s="398" t="s">
        <v>35</v>
      </c>
      <c r="F26" s="399" t="s">
        <v>30</v>
      </c>
      <c r="G26" s="533" t="s">
        <v>14</v>
      </c>
      <c r="H26" s="398" t="s">
        <v>35</v>
      </c>
      <c r="I26" s="399" t="s">
        <v>30</v>
      </c>
      <c r="J26" s="364" t="s">
        <v>659</v>
      </c>
      <c r="K26" s="534" t="s">
        <v>38</v>
      </c>
      <c r="L26" s="402"/>
      <c r="M26" s="403"/>
      <c r="N26" s="404"/>
      <c r="O26" s="381"/>
      <c r="P26" s="382"/>
      <c r="Q26" s="383"/>
    </row>
    <row r="27" spans="1:17" s="159" customFormat="1" x14ac:dyDescent="0.2">
      <c r="A27" s="405"/>
      <c r="B27" s="406"/>
      <c r="C27" s="371"/>
      <c r="D27" s="372" t="s">
        <v>21</v>
      </c>
      <c r="E27" s="253">
        <v>0</v>
      </c>
      <c r="F27" s="373">
        <f t="shared" ref="F27:F33" si="3">C27*E27</f>
        <v>0</v>
      </c>
      <c r="G27" s="529"/>
      <c r="H27" s="375">
        <v>0</v>
      </c>
      <c r="I27" s="373">
        <f t="shared" ref="I27:I33" si="4">G27*H27</f>
        <v>0</v>
      </c>
      <c r="J27" s="376"/>
      <c r="K27" s="530">
        <f t="shared" ref="K27:K33" si="5">F27+I27+J27</f>
        <v>0</v>
      </c>
      <c r="L27" s="157"/>
      <c r="M27" s="469"/>
      <c r="N27" s="157"/>
      <c r="O27" s="381"/>
      <c r="P27" s="382"/>
      <c r="Q27" s="383"/>
    </row>
    <row r="28" spans="1:17" s="159" customFormat="1" x14ac:dyDescent="0.2">
      <c r="A28" s="370"/>
      <c r="B28" s="5"/>
      <c r="C28" s="371"/>
      <c r="D28" s="372" t="s">
        <v>21</v>
      </c>
      <c r="E28" s="253">
        <v>0</v>
      </c>
      <c r="F28" s="373">
        <f t="shared" si="3"/>
        <v>0</v>
      </c>
      <c r="G28" s="529"/>
      <c r="H28" s="375">
        <v>0</v>
      </c>
      <c r="I28" s="373">
        <f t="shared" si="4"/>
        <v>0</v>
      </c>
      <c r="J28" s="376"/>
      <c r="K28" s="530">
        <f t="shared" si="5"/>
        <v>0</v>
      </c>
      <c r="M28" s="276"/>
      <c r="N28" s="157"/>
      <c r="O28" s="381"/>
      <c r="P28" s="382"/>
      <c r="Q28" s="383"/>
    </row>
    <row r="29" spans="1:17" s="159" customFormat="1" x14ac:dyDescent="0.2">
      <c r="A29" s="370"/>
      <c r="B29" s="5"/>
      <c r="C29" s="371"/>
      <c r="D29" s="372" t="s">
        <v>21</v>
      </c>
      <c r="E29" s="253">
        <v>0</v>
      </c>
      <c r="F29" s="373">
        <f t="shared" si="3"/>
        <v>0</v>
      </c>
      <c r="G29" s="529"/>
      <c r="H29" s="375">
        <v>0</v>
      </c>
      <c r="I29" s="373">
        <f t="shared" si="4"/>
        <v>0</v>
      </c>
      <c r="J29" s="376"/>
      <c r="K29" s="530">
        <f t="shared" si="5"/>
        <v>0</v>
      </c>
      <c r="L29" s="378"/>
      <c r="M29" s="379"/>
      <c r="N29" s="380"/>
      <c r="O29" s="381"/>
      <c r="P29" s="382"/>
      <c r="Q29" s="383"/>
    </row>
    <row r="30" spans="1:17" s="159" customFormat="1" x14ac:dyDescent="0.2">
      <c r="A30" s="370"/>
      <c r="B30" s="5"/>
      <c r="C30" s="371"/>
      <c r="D30" s="372" t="s">
        <v>21</v>
      </c>
      <c r="E30" s="253">
        <v>0</v>
      </c>
      <c r="F30" s="373">
        <f t="shared" si="3"/>
        <v>0</v>
      </c>
      <c r="G30" s="529"/>
      <c r="H30" s="375">
        <v>0</v>
      </c>
      <c r="I30" s="373">
        <f t="shared" si="4"/>
        <v>0</v>
      </c>
      <c r="J30" s="376"/>
      <c r="K30" s="530">
        <f t="shared" si="5"/>
        <v>0</v>
      </c>
      <c r="L30" s="378"/>
      <c r="M30" s="379"/>
      <c r="N30" s="380"/>
      <c r="O30" s="381"/>
      <c r="P30" s="382"/>
      <c r="Q30" s="383"/>
    </row>
    <row r="31" spans="1:17" s="159" customFormat="1" x14ac:dyDescent="0.2">
      <c r="A31" s="370"/>
      <c r="B31" s="5"/>
      <c r="C31" s="371"/>
      <c r="D31" s="372" t="s">
        <v>21</v>
      </c>
      <c r="E31" s="253">
        <v>0</v>
      </c>
      <c r="F31" s="373">
        <f t="shared" si="3"/>
        <v>0</v>
      </c>
      <c r="G31" s="529"/>
      <c r="H31" s="375">
        <v>0</v>
      </c>
      <c r="I31" s="373">
        <f t="shared" si="4"/>
        <v>0</v>
      </c>
      <c r="J31" s="376"/>
      <c r="K31" s="530">
        <f t="shared" si="5"/>
        <v>0</v>
      </c>
      <c r="L31" s="536"/>
      <c r="M31" s="574"/>
      <c r="N31" s="537"/>
      <c r="O31" s="381"/>
      <c r="P31" s="382"/>
      <c r="Q31" s="383"/>
    </row>
    <row r="32" spans="1:17" s="159" customFormat="1" x14ac:dyDescent="0.2">
      <c r="A32" s="370"/>
      <c r="B32" s="5"/>
      <c r="C32" s="371"/>
      <c r="D32" s="372" t="s">
        <v>21</v>
      </c>
      <c r="E32" s="253">
        <v>0</v>
      </c>
      <c r="F32" s="373">
        <f t="shared" si="3"/>
        <v>0</v>
      </c>
      <c r="G32" s="529"/>
      <c r="H32" s="375">
        <v>0</v>
      </c>
      <c r="I32" s="373">
        <f t="shared" si="4"/>
        <v>0</v>
      </c>
      <c r="J32" s="376"/>
      <c r="K32" s="530">
        <f t="shared" si="5"/>
        <v>0</v>
      </c>
      <c r="L32" s="538"/>
      <c r="M32" s="255"/>
      <c r="N32" s="421"/>
      <c r="O32" s="381"/>
      <c r="P32" s="382"/>
      <c r="Q32" s="383"/>
    </row>
    <row r="33" spans="1:17" s="159" customFormat="1" x14ac:dyDescent="0.2">
      <c r="A33" s="370"/>
      <c r="B33" s="5"/>
      <c r="C33" s="371"/>
      <c r="D33" s="372" t="s">
        <v>21</v>
      </c>
      <c r="E33" s="253">
        <v>0</v>
      </c>
      <c r="F33" s="373">
        <f t="shared" si="3"/>
        <v>0</v>
      </c>
      <c r="G33" s="529"/>
      <c r="H33" s="375">
        <v>0</v>
      </c>
      <c r="I33" s="373">
        <f t="shared" si="4"/>
        <v>0</v>
      </c>
      <c r="J33" s="376"/>
      <c r="K33" s="530">
        <f t="shared" si="5"/>
        <v>0</v>
      </c>
      <c r="L33" s="157"/>
      <c r="M33" s="469"/>
      <c r="N33" s="157"/>
      <c r="O33" s="381"/>
      <c r="P33" s="382"/>
      <c r="Q33" s="383"/>
    </row>
    <row r="34" spans="1:17" s="159" customFormat="1" ht="13.5" thickBot="1" x14ac:dyDescent="0.25">
      <c r="A34" s="370"/>
      <c r="B34" s="5"/>
      <c r="C34" s="388"/>
      <c r="D34" s="372"/>
      <c r="E34" s="253"/>
      <c r="F34" s="373"/>
      <c r="G34" s="529"/>
      <c r="H34" s="375"/>
      <c r="I34" s="373"/>
      <c r="J34" s="376"/>
      <c r="K34" s="535"/>
      <c r="L34" s="157"/>
      <c r="M34" s="469"/>
      <c r="N34" s="157"/>
      <c r="O34" s="381"/>
      <c r="P34" s="382"/>
      <c r="Q34" s="383"/>
    </row>
    <row r="35" spans="1:17" s="159" customFormat="1" ht="13.5" thickTop="1" x14ac:dyDescent="0.2">
      <c r="A35" s="387"/>
      <c r="B35" s="5"/>
      <c r="C35" s="388"/>
      <c r="D35" s="372"/>
      <c r="E35" s="253"/>
      <c r="F35" s="373"/>
      <c r="G35" s="529"/>
      <c r="H35" s="375"/>
      <c r="I35" s="373"/>
      <c r="J35" s="389" t="s">
        <v>30</v>
      </c>
      <c r="K35" s="532">
        <f>SUM(K27:K34)</f>
        <v>0</v>
      </c>
      <c r="L35" s="378"/>
      <c r="M35" s="379"/>
      <c r="N35" s="380"/>
      <c r="O35" s="381"/>
      <c r="P35" s="382"/>
      <c r="Q35" s="383"/>
    </row>
    <row r="36" spans="1:17" s="159" customFormat="1" ht="13.5" thickBot="1" x14ac:dyDescent="0.25">
      <c r="A36" s="353" t="s">
        <v>0</v>
      </c>
      <c r="B36" s="354" t="s">
        <v>1</v>
      </c>
      <c r="C36" s="939" t="s">
        <v>656</v>
      </c>
      <c r="D36" s="939"/>
      <c r="E36" s="939"/>
      <c r="F36" s="939"/>
      <c r="G36" s="939" t="s">
        <v>34</v>
      </c>
      <c r="H36" s="939"/>
      <c r="I36" s="939"/>
      <c r="J36" s="355"/>
      <c r="K36" s="523"/>
      <c r="L36" s="391"/>
      <c r="M36" s="392"/>
      <c r="N36" s="393"/>
      <c r="O36" s="381"/>
      <c r="P36" s="382"/>
      <c r="Q36" s="383"/>
    </row>
    <row r="37" spans="1:17" s="159" customFormat="1" ht="16.5" thickBot="1" x14ac:dyDescent="0.3">
      <c r="A37" s="525" t="s">
        <v>372</v>
      </c>
      <c r="B37" s="525" t="s">
        <v>371</v>
      </c>
      <c r="C37" s="396" t="s">
        <v>19</v>
      </c>
      <c r="D37" s="397" t="s">
        <v>33</v>
      </c>
      <c r="E37" s="398" t="s">
        <v>35</v>
      </c>
      <c r="F37" s="399" t="s">
        <v>30</v>
      </c>
      <c r="G37" s="533" t="s">
        <v>14</v>
      </c>
      <c r="H37" s="398" t="s">
        <v>35</v>
      </c>
      <c r="I37" s="399" t="s">
        <v>30</v>
      </c>
      <c r="J37" s="364" t="s">
        <v>659</v>
      </c>
      <c r="K37" s="534" t="s">
        <v>38</v>
      </c>
      <c r="L37" s="402"/>
      <c r="M37" s="408"/>
      <c r="N37" s="409"/>
      <c r="O37" s="410"/>
      <c r="P37" s="411"/>
      <c r="Q37" s="383"/>
    </row>
    <row r="38" spans="1:17" s="159" customFormat="1" x14ac:dyDescent="0.2">
      <c r="A38" s="405"/>
      <c r="B38" s="406"/>
      <c r="C38" s="371"/>
      <c r="D38" s="372" t="s">
        <v>21</v>
      </c>
      <c r="E38" s="253">
        <v>0</v>
      </c>
      <c r="F38" s="373">
        <f>C38*E38</f>
        <v>0</v>
      </c>
      <c r="G38" s="529"/>
      <c r="H38" s="375">
        <v>0</v>
      </c>
      <c r="I38" s="373">
        <f>G38*H38</f>
        <v>0</v>
      </c>
      <c r="J38" s="376"/>
      <c r="K38" s="530">
        <f>F38+I38+J38</f>
        <v>0</v>
      </c>
      <c r="L38" s="378"/>
      <c r="M38" s="379"/>
      <c r="N38" s="380"/>
      <c r="O38" s="410"/>
      <c r="P38" s="411"/>
      <c r="Q38" s="383"/>
    </row>
    <row r="39" spans="1:17" s="159" customFormat="1" x14ac:dyDescent="0.2">
      <c r="A39" s="370"/>
      <c r="B39" s="5"/>
      <c r="C39" s="371"/>
      <c r="D39" s="372" t="s">
        <v>21</v>
      </c>
      <c r="E39" s="253">
        <v>0</v>
      </c>
      <c r="F39" s="373">
        <f>C39*E39</f>
        <v>0</v>
      </c>
      <c r="G39" s="529"/>
      <c r="H39" s="375">
        <v>0</v>
      </c>
      <c r="I39" s="373">
        <f>G39*H39</f>
        <v>0</v>
      </c>
      <c r="J39" s="376"/>
      <c r="K39" s="530">
        <f>F39+I39+J39</f>
        <v>0</v>
      </c>
      <c r="L39" s="378"/>
      <c r="M39" s="379"/>
      <c r="N39" s="380"/>
      <c r="O39" s="410"/>
      <c r="P39" s="411"/>
      <c r="Q39" s="383"/>
    </row>
    <row r="40" spans="1:17" s="159" customFormat="1" x14ac:dyDescent="0.2">
      <c r="A40" s="370"/>
      <c r="B40" s="5"/>
      <c r="C40" s="371"/>
      <c r="D40" s="372" t="s">
        <v>21</v>
      </c>
      <c r="E40" s="253">
        <v>0</v>
      </c>
      <c r="F40" s="373">
        <f>C40*E40</f>
        <v>0</v>
      </c>
      <c r="G40" s="529"/>
      <c r="H40" s="375">
        <v>0</v>
      </c>
      <c r="I40" s="373">
        <f>G40*H40</f>
        <v>0</v>
      </c>
      <c r="J40" s="376"/>
      <c r="K40" s="530">
        <f>F40+I40+J40</f>
        <v>0</v>
      </c>
      <c r="L40" s="378"/>
      <c r="M40" s="379"/>
      <c r="N40" s="380"/>
      <c r="O40" s="410"/>
      <c r="P40" s="411"/>
      <c r="Q40" s="383"/>
    </row>
    <row r="41" spans="1:17" s="159" customFormat="1" x14ac:dyDescent="0.2">
      <c r="A41" s="387"/>
      <c r="B41" s="412"/>
      <c r="C41" s="388"/>
      <c r="D41" s="372"/>
      <c r="E41" s="253"/>
      <c r="F41" s="373"/>
      <c r="G41" s="529"/>
      <c r="H41" s="375"/>
      <c r="I41" s="373"/>
      <c r="J41" s="376"/>
      <c r="K41" s="535"/>
      <c r="L41" s="378"/>
      <c r="M41" s="379"/>
      <c r="N41" s="380"/>
      <c r="O41" s="410"/>
      <c r="P41" s="411"/>
      <c r="Q41" s="383"/>
    </row>
    <row r="42" spans="1:17" s="159" customFormat="1" ht="13.5" thickBot="1" x14ac:dyDescent="0.25">
      <c r="A42" s="387"/>
      <c r="B42" s="412"/>
      <c r="C42" s="388"/>
      <c r="D42" s="372"/>
      <c r="E42" s="253"/>
      <c r="F42" s="373"/>
      <c r="G42" s="529"/>
      <c r="H42" s="375"/>
      <c r="I42" s="373"/>
      <c r="J42" s="376"/>
      <c r="K42" s="535"/>
      <c r="M42" s="276"/>
      <c r="N42" s="157"/>
      <c r="O42" s="410"/>
      <c r="P42" s="411"/>
      <c r="Q42" s="383"/>
    </row>
    <row r="43" spans="1:17" s="159" customFormat="1" ht="13.5" thickTop="1" x14ac:dyDescent="0.2">
      <c r="A43" s="387"/>
      <c r="B43" s="412"/>
      <c r="C43" s="388"/>
      <c r="D43" s="372"/>
      <c r="E43" s="253"/>
      <c r="F43" s="373"/>
      <c r="G43" s="529"/>
      <c r="H43" s="375"/>
      <c r="I43" s="373"/>
      <c r="J43" s="389" t="s">
        <v>30</v>
      </c>
      <c r="K43" s="532">
        <f>SUM(K38:K42)</f>
        <v>0</v>
      </c>
      <c r="M43" s="276"/>
      <c r="N43" s="157"/>
      <c r="O43" s="381"/>
      <c r="P43" s="382"/>
      <c r="Q43" s="383"/>
    </row>
    <row r="44" spans="1:17" s="159" customFormat="1" ht="13.5" thickBot="1" x14ac:dyDescent="0.25">
      <c r="A44" s="353" t="s">
        <v>0</v>
      </c>
      <c r="B44" s="354" t="s">
        <v>1</v>
      </c>
      <c r="C44" s="939" t="s">
        <v>656</v>
      </c>
      <c r="D44" s="939"/>
      <c r="E44" s="939"/>
      <c r="F44" s="939"/>
      <c r="G44" s="939" t="s">
        <v>34</v>
      </c>
      <c r="H44" s="939"/>
      <c r="I44" s="939"/>
      <c r="J44" s="355"/>
      <c r="K44" s="523"/>
      <c r="L44" s="391"/>
      <c r="M44" s="392"/>
      <c r="N44" s="393"/>
      <c r="O44" s="381"/>
      <c r="P44" s="382"/>
      <c r="Q44" s="383"/>
    </row>
    <row r="45" spans="1:17" s="159" customFormat="1" ht="16.5" thickBot="1" x14ac:dyDescent="0.3">
      <c r="A45" s="394"/>
      <c r="B45" s="395"/>
      <c r="C45" s="396" t="s">
        <v>19</v>
      </c>
      <c r="D45" s="397" t="s">
        <v>33</v>
      </c>
      <c r="E45" s="398" t="s">
        <v>35</v>
      </c>
      <c r="F45" s="399" t="s">
        <v>30</v>
      </c>
      <c r="G45" s="533" t="s">
        <v>14</v>
      </c>
      <c r="H45" s="398" t="s">
        <v>35</v>
      </c>
      <c r="I45" s="399" t="s">
        <v>30</v>
      </c>
      <c r="J45" s="364" t="s">
        <v>659</v>
      </c>
      <c r="K45" s="534" t="s">
        <v>38</v>
      </c>
      <c r="L45" s="402"/>
      <c r="M45" s="408"/>
      <c r="N45" s="409"/>
      <c r="O45" s="381"/>
      <c r="P45" s="411"/>
      <c r="Q45" s="383"/>
    </row>
    <row r="46" spans="1:17" s="159" customFormat="1" x14ac:dyDescent="0.2">
      <c r="A46" s="405"/>
      <c r="B46" s="406"/>
      <c r="C46" s="371"/>
      <c r="D46" s="372" t="s">
        <v>21</v>
      </c>
      <c r="E46" s="253">
        <v>0</v>
      </c>
      <c r="F46" s="373">
        <f>C46*E46</f>
        <v>0</v>
      </c>
      <c r="G46" s="529"/>
      <c r="H46" s="375">
        <v>0</v>
      </c>
      <c r="I46" s="373">
        <f>G46*H46</f>
        <v>0</v>
      </c>
      <c r="J46" s="376"/>
      <c r="K46" s="530">
        <f>F46+I46+J46</f>
        <v>0</v>
      </c>
      <c r="L46" s="378"/>
      <c r="M46" s="255"/>
      <c r="N46" s="421"/>
      <c r="O46" s="381"/>
      <c r="P46" s="382"/>
      <c r="Q46" s="383"/>
    </row>
    <row r="47" spans="1:17" s="159" customFormat="1" x14ac:dyDescent="0.2">
      <c r="A47" s="370"/>
      <c r="B47" s="5"/>
      <c r="C47" s="371"/>
      <c r="D47" s="372" t="s">
        <v>21</v>
      </c>
      <c r="E47" s="253">
        <v>0</v>
      </c>
      <c r="F47" s="373">
        <f>C47*E47</f>
        <v>0</v>
      </c>
      <c r="G47" s="529"/>
      <c r="H47" s="375">
        <v>0</v>
      </c>
      <c r="I47" s="373">
        <f>G47*H47</f>
        <v>0</v>
      </c>
      <c r="J47" s="376"/>
      <c r="K47" s="530">
        <f>F47+I47+J47</f>
        <v>0</v>
      </c>
      <c r="L47" s="378"/>
      <c r="M47" s="255"/>
      <c r="N47" s="421"/>
      <c r="O47" s="381"/>
      <c r="P47" s="382"/>
      <c r="Q47" s="383"/>
    </row>
    <row r="48" spans="1:17" s="159" customFormat="1" x14ac:dyDescent="0.2">
      <c r="A48" s="370"/>
      <c r="B48" s="5"/>
      <c r="C48" s="371"/>
      <c r="D48" s="372" t="s">
        <v>21</v>
      </c>
      <c r="E48" s="253">
        <v>0</v>
      </c>
      <c r="F48" s="373">
        <f>C48*E48</f>
        <v>0</v>
      </c>
      <c r="G48" s="529"/>
      <c r="H48" s="375">
        <v>0</v>
      </c>
      <c r="I48" s="373">
        <f>G48*H48</f>
        <v>0</v>
      </c>
      <c r="J48" s="376"/>
      <c r="K48" s="530">
        <f>F48+I48+J48</f>
        <v>0</v>
      </c>
      <c r="L48" s="661"/>
      <c r="M48" s="662"/>
      <c r="N48" s="663"/>
      <c r="O48" s="381"/>
      <c r="P48" s="382"/>
      <c r="Q48" s="383"/>
    </row>
    <row r="49" spans="1:17" s="159" customFormat="1" x14ac:dyDescent="0.2">
      <c r="A49" s="370"/>
      <c r="B49" s="5"/>
      <c r="C49" s="371"/>
      <c r="D49" s="372" t="s">
        <v>21</v>
      </c>
      <c r="E49" s="253">
        <v>0</v>
      </c>
      <c r="F49" s="373">
        <f>C49*E49</f>
        <v>0</v>
      </c>
      <c r="G49" s="529"/>
      <c r="H49" s="375">
        <v>0</v>
      </c>
      <c r="I49" s="373">
        <f>G49*H49</f>
        <v>0</v>
      </c>
      <c r="J49" s="376"/>
      <c r="K49" s="530">
        <f>F49+I49+J49</f>
        <v>0</v>
      </c>
      <c r="L49" s="664"/>
      <c r="M49" s="255"/>
      <c r="N49" s="421"/>
      <c r="O49" s="381"/>
      <c r="P49" s="382"/>
      <c r="Q49" s="383"/>
    </row>
    <row r="50" spans="1:17" s="159" customFormat="1" x14ac:dyDescent="0.2">
      <c r="A50" s="370"/>
      <c r="B50" s="5"/>
      <c r="C50" s="371"/>
      <c r="D50" s="372" t="s">
        <v>21</v>
      </c>
      <c r="E50" s="253">
        <v>0</v>
      </c>
      <c r="F50" s="373">
        <f>C50*E50</f>
        <v>0</v>
      </c>
      <c r="G50" s="529"/>
      <c r="H50" s="375">
        <v>0</v>
      </c>
      <c r="I50" s="373">
        <f>G50*H50</f>
        <v>0</v>
      </c>
      <c r="J50" s="376"/>
      <c r="K50" s="530">
        <f>F50+I50+J50</f>
        <v>0</v>
      </c>
      <c r="L50" s="378"/>
      <c r="M50" s="255"/>
      <c r="N50" s="421"/>
      <c r="O50" s="381"/>
      <c r="P50" s="382"/>
      <c r="Q50" s="383"/>
    </row>
    <row r="51" spans="1:17" s="159" customFormat="1" ht="13.5" thickBot="1" x14ac:dyDescent="0.25">
      <c r="A51" s="387"/>
      <c r="B51" s="412"/>
      <c r="C51" s="388"/>
      <c r="D51" s="372"/>
      <c r="E51" s="253"/>
      <c r="F51" s="373"/>
      <c r="G51" s="529"/>
      <c r="H51" s="375"/>
      <c r="I51" s="373"/>
      <c r="J51" s="376"/>
      <c r="K51" s="535"/>
      <c r="L51" s="378"/>
      <c r="M51" s="255"/>
      <c r="N51" s="380"/>
      <c r="O51" s="381"/>
      <c r="P51" s="382"/>
      <c r="Q51" s="383"/>
    </row>
    <row r="52" spans="1:17" s="159" customFormat="1" ht="13.5" thickTop="1" x14ac:dyDescent="0.2">
      <c r="A52" s="387"/>
      <c r="B52" s="412"/>
      <c r="C52" s="388"/>
      <c r="D52" s="372"/>
      <c r="E52" s="253"/>
      <c r="F52" s="373"/>
      <c r="G52" s="529"/>
      <c r="H52" s="375"/>
      <c r="I52" s="373"/>
      <c r="J52" s="389" t="s">
        <v>30</v>
      </c>
      <c r="K52" s="532">
        <f>SUM(K46:K51)</f>
        <v>0</v>
      </c>
      <c r="L52" s="157"/>
      <c r="M52" s="469"/>
      <c r="N52" s="157"/>
      <c r="O52" s="436"/>
      <c r="P52" s="437"/>
      <c r="Q52" s="383"/>
    </row>
    <row r="53" spans="1:17" s="159" customFormat="1" ht="13.5" thickBot="1" x14ac:dyDescent="0.25">
      <c r="A53" s="353" t="s">
        <v>0</v>
      </c>
      <c r="B53" s="354" t="s">
        <v>1</v>
      </c>
      <c r="C53" s="939" t="s">
        <v>656</v>
      </c>
      <c r="D53" s="939"/>
      <c r="E53" s="939"/>
      <c r="F53" s="939"/>
      <c r="G53" s="939" t="s">
        <v>34</v>
      </c>
      <c r="H53" s="939"/>
      <c r="I53" s="939"/>
      <c r="J53" s="355"/>
      <c r="K53" s="523"/>
      <c r="L53" s="391"/>
      <c r="M53" s="355"/>
      <c r="N53" s="393"/>
      <c r="O53" s="436"/>
      <c r="P53" s="437"/>
      <c r="Q53" s="383"/>
    </row>
    <row r="54" spans="1:17" s="159" customFormat="1" ht="16.5" thickBot="1" x14ac:dyDescent="0.3">
      <c r="A54" s="394"/>
      <c r="B54" s="395"/>
      <c r="C54" s="396" t="s">
        <v>19</v>
      </c>
      <c r="D54" s="397" t="s">
        <v>33</v>
      </c>
      <c r="E54" s="398" t="s">
        <v>35</v>
      </c>
      <c r="F54" s="399" t="s">
        <v>30</v>
      </c>
      <c r="G54" s="533" t="s">
        <v>14</v>
      </c>
      <c r="H54" s="398" t="s">
        <v>35</v>
      </c>
      <c r="I54" s="399" t="s">
        <v>30</v>
      </c>
      <c r="J54" s="364" t="s">
        <v>659</v>
      </c>
      <c r="K54" s="534" t="s">
        <v>38</v>
      </c>
      <c r="L54" s="402"/>
      <c r="M54" s="408"/>
      <c r="N54" s="404"/>
      <c r="O54" s="410"/>
      <c r="P54" s="411"/>
      <c r="Q54" s="383"/>
    </row>
    <row r="55" spans="1:17" s="159" customFormat="1" x14ac:dyDescent="0.2">
      <c r="A55" s="405"/>
      <c r="B55" s="406"/>
      <c r="C55" s="371"/>
      <c r="D55" s="372" t="s">
        <v>21</v>
      </c>
      <c r="E55" s="253">
        <v>0</v>
      </c>
      <c r="F55" s="373">
        <f t="shared" ref="F55:F61" si="6">C55*E55</f>
        <v>0</v>
      </c>
      <c r="G55" s="529"/>
      <c r="H55" s="375">
        <v>0</v>
      </c>
      <c r="I55" s="373">
        <f t="shared" ref="I55:I61" si="7">G55*H55</f>
        <v>0</v>
      </c>
      <c r="J55" s="376"/>
      <c r="K55" s="530">
        <f t="shared" ref="K55:K61" si="8">F55+I55+J55</f>
        <v>0</v>
      </c>
      <c r="M55" s="276"/>
      <c r="N55" s="157"/>
      <c r="O55" s="381"/>
      <c r="P55" s="382"/>
      <c r="Q55" s="383"/>
    </row>
    <row r="56" spans="1:17" s="159" customFormat="1" x14ac:dyDescent="0.2">
      <c r="A56" s="370"/>
      <c r="B56" s="5"/>
      <c r="C56" s="371"/>
      <c r="D56" s="372" t="s">
        <v>21</v>
      </c>
      <c r="E56" s="253">
        <v>0</v>
      </c>
      <c r="F56" s="373">
        <f t="shared" si="6"/>
        <v>0</v>
      </c>
      <c r="G56" s="529"/>
      <c r="H56" s="375">
        <v>0</v>
      </c>
      <c r="I56" s="373">
        <f t="shared" si="7"/>
        <v>0</v>
      </c>
      <c r="J56" s="376"/>
      <c r="K56" s="530">
        <f t="shared" si="8"/>
        <v>0</v>
      </c>
      <c r="L56" s="378"/>
      <c r="M56" s="255"/>
      <c r="N56" s="380"/>
      <c r="O56" s="381"/>
      <c r="P56" s="382"/>
      <c r="Q56" s="383"/>
    </row>
    <row r="57" spans="1:17" s="159" customFormat="1" x14ac:dyDescent="0.2">
      <c r="A57" s="370"/>
      <c r="B57" s="5"/>
      <c r="C57" s="371"/>
      <c r="D57" s="372" t="s">
        <v>21</v>
      </c>
      <c r="E57" s="253">
        <v>0</v>
      </c>
      <c r="F57" s="373">
        <f t="shared" si="6"/>
        <v>0</v>
      </c>
      <c r="G57" s="529"/>
      <c r="H57" s="375">
        <v>0</v>
      </c>
      <c r="I57" s="373">
        <f t="shared" si="7"/>
        <v>0</v>
      </c>
      <c r="J57" s="376"/>
      <c r="K57" s="530">
        <f t="shared" si="8"/>
        <v>0</v>
      </c>
      <c r="L57" s="378"/>
      <c r="M57" s="255"/>
      <c r="N57" s="380"/>
      <c r="O57" s="381"/>
      <c r="P57" s="382"/>
      <c r="Q57" s="383"/>
    </row>
    <row r="58" spans="1:17" s="159" customFormat="1" x14ac:dyDescent="0.2">
      <c r="A58" s="370"/>
      <c r="B58" s="5"/>
      <c r="C58" s="371"/>
      <c r="D58" s="372" t="s">
        <v>21</v>
      </c>
      <c r="E58" s="253">
        <v>0</v>
      </c>
      <c r="F58" s="373">
        <f t="shared" si="6"/>
        <v>0</v>
      </c>
      <c r="G58" s="529"/>
      <c r="H58" s="375">
        <v>0</v>
      </c>
      <c r="I58" s="373">
        <f t="shared" si="7"/>
        <v>0</v>
      </c>
      <c r="J58" s="376"/>
      <c r="K58" s="530">
        <f t="shared" si="8"/>
        <v>0</v>
      </c>
      <c r="L58" s="378"/>
      <c r="M58" s="255"/>
      <c r="N58" s="380"/>
      <c r="O58" s="381"/>
      <c r="P58" s="382"/>
      <c r="Q58" s="383"/>
    </row>
    <row r="59" spans="1:17" s="159" customFormat="1" x14ac:dyDescent="0.2">
      <c r="A59" s="370"/>
      <c r="B59" s="5"/>
      <c r="C59" s="371"/>
      <c r="D59" s="372" t="s">
        <v>21</v>
      </c>
      <c r="E59" s="253">
        <v>0</v>
      </c>
      <c r="F59" s="373">
        <f t="shared" si="6"/>
        <v>0</v>
      </c>
      <c r="G59" s="529"/>
      <c r="H59" s="375">
        <v>0</v>
      </c>
      <c r="I59" s="373">
        <f t="shared" si="7"/>
        <v>0</v>
      </c>
      <c r="J59" s="376"/>
      <c r="K59" s="530">
        <f t="shared" si="8"/>
        <v>0</v>
      </c>
      <c r="L59" s="661"/>
      <c r="M59" s="255"/>
      <c r="N59" s="663"/>
      <c r="O59" s="381"/>
      <c r="P59" s="382"/>
      <c r="Q59" s="383"/>
    </row>
    <row r="60" spans="1:17" s="159" customFormat="1" x14ac:dyDescent="0.2">
      <c r="A60" s="370"/>
      <c r="B60" s="5"/>
      <c r="C60" s="371"/>
      <c r="D60" s="372" t="s">
        <v>21</v>
      </c>
      <c r="E60" s="253">
        <v>0</v>
      </c>
      <c r="F60" s="373">
        <f t="shared" si="6"/>
        <v>0</v>
      </c>
      <c r="G60" s="529"/>
      <c r="H60" s="375">
        <v>0</v>
      </c>
      <c r="I60" s="373">
        <f t="shared" si="7"/>
        <v>0</v>
      </c>
      <c r="J60" s="376"/>
      <c r="K60" s="530">
        <f t="shared" si="8"/>
        <v>0</v>
      </c>
      <c r="L60" s="664"/>
      <c r="M60" s="255"/>
      <c r="N60" s="665"/>
      <c r="O60" s="381"/>
      <c r="P60" s="382"/>
      <c r="Q60" s="383"/>
    </row>
    <row r="61" spans="1:17" s="159" customFormat="1" x14ac:dyDescent="0.2">
      <c r="A61" s="370"/>
      <c r="B61" s="5"/>
      <c r="C61" s="371"/>
      <c r="D61" s="372" t="s">
        <v>21</v>
      </c>
      <c r="E61" s="253">
        <v>0</v>
      </c>
      <c r="F61" s="373">
        <f t="shared" si="6"/>
        <v>0</v>
      </c>
      <c r="G61" s="529"/>
      <c r="H61" s="375">
        <v>0</v>
      </c>
      <c r="I61" s="373">
        <f t="shared" si="7"/>
        <v>0</v>
      </c>
      <c r="J61" s="376"/>
      <c r="K61" s="530">
        <f t="shared" si="8"/>
        <v>0</v>
      </c>
      <c r="L61" s="378"/>
      <c r="M61" s="255"/>
      <c r="N61" s="421"/>
      <c r="O61" s="381"/>
      <c r="P61" s="382"/>
      <c r="Q61" s="383"/>
    </row>
    <row r="62" spans="1:17" s="159" customFormat="1" ht="13.5" thickBot="1" x14ac:dyDescent="0.25">
      <c r="A62" s="387"/>
      <c r="B62" s="5"/>
      <c r="C62" s="388"/>
      <c r="D62" s="372"/>
      <c r="E62" s="253"/>
      <c r="F62" s="373"/>
      <c r="G62" s="529"/>
      <c r="H62" s="375"/>
      <c r="I62" s="373"/>
      <c r="J62" s="376"/>
      <c r="K62" s="535"/>
      <c r="M62" s="276"/>
      <c r="N62" s="157"/>
      <c r="O62" s="381"/>
      <c r="P62" s="382"/>
      <c r="Q62" s="383"/>
    </row>
    <row r="63" spans="1:17" s="159" customFormat="1" ht="13.5" thickTop="1" x14ac:dyDescent="0.2">
      <c r="A63" s="387"/>
      <c r="B63" s="412"/>
      <c r="C63" s="388"/>
      <c r="D63" s="372"/>
      <c r="E63" s="253"/>
      <c r="F63" s="373"/>
      <c r="G63" s="529"/>
      <c r="H63" s="375"/>
      <c r="I63" s="373"/>
      <c r="J63" s="389" t="s">
        <v>30</v>
      </c>
      <c r="K63" s="532">
        <f>SUM(K55:K62)</f>
        <v>0</v>
      </c>
      <c r="M63" s="276"/>
      <c r="N63" s="157"/>
      <c r="O63" s="381"/>
      <c r="P63" s="382"/>
      <c r="Q63" s="383"/>
    </row>
    <row r="64" spans="1:17" s="159" customFormat="1" ht="13.5" thickBot="1" x14ac:dyDescent="0.25">
      <c r="A64" s="353" t="s">
        <v>0</v>
      </c>
      <c r="B64" s="354" t="s">
        <v>1</v>
      </c>
      <c r="C64" s="939" t="s">
        <v>656</v>
      </c>
      <c r="D64" s="939"/>
      <c r="E64" s="939"/>
      <c r="F64" s="939"/>
      <c r="G64" s="939" t="s">
        <v>34</v>
      </c>
      <c r="H64" s="939"/>
      <c r="I64" s="939"/>
      <c r="J64" s="355"/>
      <c r="K64" s="523"/>
      <c r="L64" s="391"/>
      <c r="M64" s="355"/>
      <c r="N64" s="438"/>
      <c r="O64" s="381"/>
      <c r="P64" s="382"/>
      <c r="Q64" s="383"/>
    </row>
    <row r="65" spans="1:17" s="159" customFormat="1" ht="16.5" thickBot="1" x14ac:dyDescent="0.3">
      <c r="A65" s="394"/>
      <c r="B65" s="395"/>
      <c r="C65" s="396" t="s">
        <v>19</v>
      </c>
      <c r="D65" s="397" t="s">
        <v>33</v>
      </c>
      <c r="E65" s="398" t="s">
        <v>35</v>
      </c>
      <c r="F65" s="399" t="s">
        <v>30</v>
      </c>
      <c r="G65" s="533" t="s">
        <v>14</v>
      </c>
      <c r="H65" s="398" t="s">
        <v>35</v>
      </c>
      <c r="I65" s="399" t="s">
        <v>30</v>
      </c>
      <c r="J65" s="364" t="s">
        <v>659</v>
      </c>
      <c r="K65" s="534" t="s">
        <v>38</v>
      </c>
      <c r="L65" s="402"/>
      <c r="M65" s="408"/>
      <c r="N65" s="409"/>
      <c r="O65" s="381"/>
      <c r="P65" s="382"/>
      <c r="Q65" s="383"/>
    </row>
    <row r="66" spans="1:17" s="159" customFormat="1" x14ac:dyDescent="0.2">
      <c r="A66" s="405"/>
      <c r="B66" s="406"/>
      <c r="C66" s="371"/>
      <c r="D66" s="372" t="s">
        <v>21</v>
      </c>
      <c r="E66" s="253">
        <v>0</v>
      </c>
      <c r="F66" s="373">
        <f>C66*E66</f>
        <v>0</v>
      </c>
      <c r="G66" s="529"/>
      <c r="H66" s="375">
        <v>0</v>
      </c>
      <c r="I66" s="373">
        <f>G66*H66</f>
        <v>0</v>
      </c>
      <c r="J66" s="376"/>
      <c r="K66" s="530">
        <f>F66+I66+J66</f>
        <v>0</v>
      </c>
      <c r="L66" s="378"/>
      <c r="M66" s="379"/>
      <c r="N66" s="380"/>
      <c r="O66" s="381"/>
      <c r="P66" s="382"/>
      <c r="Q66" s="383"/>
    </row>
    <row r="67" spans="1:17" s="159" customFormat="1" x14ac:dyDescent="0.2">
      <c r="A67" s="370"/>
      <c r="B67" s="5"/>
      <c r="C67" s="371"/>
      <c r="D67" s="372" t="s">
        <v>21</v>
      </c>
      <c r="E67" s="253">
        <v>0</v>
      </c>
      <c r="F67" s="373">
        <f>C67*E67</f>
        <v>0</v>
      </c>
      <c r="G67" s="529"/>
      <c r="H67" s="375">
        <v>0</v>
      </c>
      <c r="I67" s="373">
        <f>G67*H67</f>
        <v>0</v>
      </c>
      <c r="J67" s="376"/>
      <c r="K67" s="530">
        <f>F67+I67+J67</f>
        <v>0</v>
      </c>
      <c r="L67" s="378"/>
      <c r="M67" s="379"/>
      <c r="N67" s="380"/>
      <c r="O67" s="381"/>
      <c r="P67" s="382"/>
      <c r="Q67" s="383"/>
    </row>
    <row r="68" spans="1:17" s="159" customFormat="1" x14ac:dyDescent="0.2">
      <c r="A68" s="370"/>
      <c r="B68" s="5"/>
      <c r="C68" s="371"/>
      <c r="D68" s="372" t="s">
        <v>21</v>
      </c>
      <c r="E68" s="253">
        <v>0</v>
      </c>
      <c r="F68" s="373">
        <f>C68*E68</f>
        <v>0</v>
      </c>
      <c r="G68" s="529"/>
      <c r="H68" s="375">
        <v>0</v>
      </c>
      <c r="I68" s="373">
        <f>G68*H68</f>
        <v>0</v>
      </c>
      <c r="J68" s="376"/>
      <c r="K68" s="530">
        <f>F68+I68+J68</f>
        <v>0</v>
      </c>
      <c r="L68" s="378"/>
      <c r="M68" s="379"/>
      <c r="N68" s="380"/>
      <c r="O68" s="381"/>
      <c r="P68" s="382"/>
      <c r="Q68" s="383"/>
    </row>
    <row r="69" spans="1:17" s="159" customFormat="1" x14ac:dyDescent="0.2">
      <c r="A69" s="370"/>
      <c r="B69" s="5"/>
      <c r="C69" s="371"/>
      <c r="D69" s="372" t="s">
        <v>21</v>
      </c>
      <c r="E69" s="253">
        <v>0</v>
      </c>
      <c r="F69" s="373">
        <f>C69*E69</f>
        <v>0</v>
      </c>
      <c r="G69" s="529"/>
      <c r="H69" s="375">
        <v>0</v>
      </c>
      <c r="I69" s="373">
        <f>G69*H69</f>
        <v>0</v>
      </c>
      <c r="J69" s="376"/>
      <c r="K69" s="530">
        <f>F69+I69+J69</f>
        <v>0</v>
      </c>
      <c r="M69" s="276"/>
      <c r="N69" s="157"/>
      <c r="O69" s="381"/>
      <c r="P69" s="382"/>
      <c r="Q69" s="383"/>
    </row>
    <row r="70" spans="1:17" s="159" customFormat="1" x14ac:dyDescent="0.2">
      <c r="A70" s="370"/>
      <c r="B70" s="5"/>
      <c r="C70" s="371"/>
      <c r="D70" s="372" t="s">
        <v>21</v>
      </c>
      <c r="E70" s="253">
        <v>0</v>
      </c>
      <c r="F70" s="373">
        <f>C70*E70</f>
        <v>0</v>
      </c>
      <c r="G70" s="529"/>
      <c r="H70" s="375">
        <v>0</v>
      </c>
      <c r="I70" s="373">
        <f>G70*H70</f>
        <v>0</v>
      </c>
      <c r="J70" s="376"/>
      <c r="K70" s="530">
        <f>F70+I70+J70</f>
        <v>0</v>
      </c>
      <c r="M70" s="276"/>
      <c r="N70" s="157"/>
      <c r="O70" s="381"/>
      <c r="P70" s="382"/>
      <c r="Q70" s="383"/>
    </row>
    <row r="71" spans="1:17" s="159" customFormat="1" ht="13.5" thickBot="1" x14ac:dyDescent="0.25">
      <c r="A71" s="387"/>
      <c r="B71" s="5"/>
      <c r="C71" s="388"/>
      <c r="D71" s="372"/>
      <c r="E71" s="253"/>
      <c r="F71" s="373"/>
      <c r="G71" s="529"/>
      <c r="H71" s="375"/>
      <c r="I71" s="373"/>
      <c r="J71" s="376"/>
      <c r="K71" s="535"/>
      <c r="M71" s="276"/>
      <c r="N71" s="157"/>
      <c r="O71" s="381"/>
      <c r="P71" s="382"/>
      <c r="Q71" s="383"/>
    </row>
    <row r="72" spans="1:17" s="159" customFormat="1" ht="13.5" thickTop="1" x14ac:dyDescent="0.2">
      <c r="A72" s="387"/>
      <c r="B72" s="412"/>
      <c r="C72" s="388"/>
      <c r="D72" s="372"/>
      <c r="E72" s="253"/>
      <c r="F72" s="373"/>
      <c r="G72" s="529"/>
      <c r="H72" s="375"/>
      <c r="I72" s="373"/>
      <c r="J72" s="389" t="s">
        <v>30</v>
      </c>
      <c r="K72" s="532">
        <f>SUM(K66:K71)</f>
        <v>0</v>
      </c>
      <c r="M72" s="276"/>
      <c r="N72" s="157"/>
      <c r="O72" s="381"/>
      <c r="P72" s="382"/>
      <c r="Q72" s="383"/>
    </row>
    <row r="73" spans="1:17" s="159" customFormat="1" ht="13.5" thickBot="1" x14ac:dyDescent="0.25">
      <c r="A73" s="353" t="s">
        <v>0</v>
      </c>
      <c r="B73" s="354" t="s">
        <v>1</v>
      </c>
      <c r="C73" s="939" t="s">
        <v>656</v>
      </c>
      <c r="D73" s="939"/>
      <c r="E73" s="939"/>
      <c r="F73" s="939"/>
      <c r="G73" s="939" t="s">
        <v>34</v>
      </c>
      <c r="H73" s="939"/>
      <c r="I73" s="939"/>
      <c r="J73" s="355"/>
      <c r="K73" s="523"/>
      <c r="L73" s="391"/>
      <c r="M73" s="392"/>
      <c r="N73" s="393"/>
      <c r="O73" s="381"/>
      <c r="P73" s="382"/>
      <c r="Q73" s="383"/>
    </row>
    <row r="74" spans="1:17" s="159" customFormat="1" ht="16.5" thickBot="1" x14ac:dyDescent="0.3">
      <c r="A74" s="394"/>
      <c r="B74" s="395"/>
      <c r="C74" s="396" t="s">
        <v>19</v>
      </c>
      <c r="D74" s="397" t="s">
        <v>33</v>
      </c>
      <c r="E74" s="398" t="s">
        <v>35</v>
      </c>
      <c r="F74" s="399" t="s">
        <v>30</v>
      </c>
      <c r="G74" s="533" t="s">
        <v>14</v>
      </c>
      <c r="H74" s="398" t="s">
        <v>35</v>
      </c>
      <c r="I74" s="399" t="s">
        <v>30</v>
      </c>
      <c r="J74" s="364" t="s">
        <v>659</v>
      </c>
      <c r="K74" s="534" t="s">
        <v>38</v>
      </c>
      <c r="L74" s="402"/>
      <c r="M74" s="403"/>
      <c r="N74" s="404"/>
      <c r="O74" s="381"/>
      <c r="P74" s="382"/>
      <c r="Q74" s="383"/>
    </row>
    <row r="75" spans="1:17" s="159" customFormat="1" x14ac:dyDescent="0.2">
      <c r="A75" s="405"/>
      <c r="B75" s="406"/>
      <c r="C75" s="371"/>
      <c r="D75" s="372" t="s">
        <v>21</v>
      </c>
      <c r="E75" s="253">
        <v>0</v>
      </c>
      <c r="F75" s="373">
        <f>C75*E75</f>
        <v>0</v>
      </c>
      <c r="G75" s="529"/>
      <c r="H75" s="375">
        <v>0</v>
      </c>
      <c r="I75" s="373">
        <f>G75*H75</f>
        <v>0</v>
      </c>
      <c r="J75" s="376"/>
      <c r="K75" s="530">
        <f>F75+I75+J75</f>
        <v>0</v>
      </c>
      <c r="L75" s="378"/>
      <c r="M75" s="379"/>
      <c r="N75" s="380"/>
      <c r="O75" s="381"/>
      <c r="P75" s="382"/>
      <c r="Q75" s="383"/>
    </row>
    <row r="76" spans="1:17" s="159" customFormat="1" x14ac:dyDescent="0.2">
      <c r="A76" s="370"/>
      <c r="B76" s="5"/>
      <c r="C76" s="371"/>
      <c r="D76" s="372" t="s">
        <v>21</v>
      </c>
      <c r="E76" s="253">
        <v>0</v>
      </c>
      <c r="F76" s="373">
        <f>C76*E76</f>
        <v>0</v>
      </c>
      <c r="G76" s="529"/>
      <c r="H76" s="375">
        <v>0</v>
      </c>
      <c r="I76" s="373">
        <f>G76*H76</f>
        <v>0</v>
      </c>
      <c r="J76" s="376"/>
      <c r="K76" s="530">
        <f>F76+I76+J76</f>
        <v>0</v>
      </c>
      <c r="L76" s="661"/>
      <c r="M76" s="662"/>
      <c r="N76" s="663"/>
      <c r="O76" s="381"/>
      <c r="P76" s="382"/>
      <c r="Q76" s="383"/>
    </row>
    <row r="77" spans="1:17" s="159" customFormat="1" x14ac:dyDescent="0.2">
      <c r="A77" s="370"/>
      <c r="B77" s="5"/>
      <c r="C77" s="371"/>
      <c r="D77" s="372" t="s">
        <v>21</v>
      </c>
      <c r="E77" s="253">
        <v>0</v>
      </c>
      <c r="F77" s="373">
        <f>C77*E77</f>
        <v>0</v>
      </c>
      <c r="G77" s="529"/>
      <c r="H77" s="375">
        <v>0</v>
      </c>
      <c r="I77" s="373">
        <f>G77*H77</f>
        <v>0</v>
      </c>
      <c r="J77" s="376"/>
      <c r="K77" s="530">
        <f>F77+I77+J77</f>
        <v>0</v>
      </c>
      <c r="L77" s="664"/>
      <c r="M77" s="666"/>
      <c r="N77" s="665"/>
      <c r="O77" s="381"/>
      <c r="P77" s="382"/>
      <c r="Q77" s="383"/>
    </row>
    <row r="78" spans="1:17" s="159" customFormat="1" ht="13.5" thickBot="1" x14ac:dyDescent="0.25">
      <c r="A78" s="387"/>
      <c r="B78" s="5"/>
      <c r="C78" s="388"/>
      <c r="D78" s="372"/>
      <c r="E78" s="253"/>
      <c r="F78" s="373"/>
      <c r="G78" s="529"/>
      <c r="H78" s="375"/>
      <c r="I78" s="373"/>
      <c r="J78" s="376"/>
      <c r="K78" s="535"/>
      <c r="L78" s="378"/>
      <c r="M78" s="379"/>
      <c r="N78" s="380"/>
      <c r="O78" s="381"/>
      <c r="P78" s="382"/>
      <c r="Q78" s="383"/>
    </row>
    <row r="79" spans="1:17" s="159" customFormat="1" ht="13.5" thickTop="1" x14ac:dyDescent="0.2">
      <c r="A79" s="387"/>
      <c r="B79" s="157"/>
      <c r="C79" s="388"/>
      <c r="D79" s="372"/>
      <c r="E79" s="253"/>
      <c r="F79" s="373"/>
      <c r="G79" s="529"/>
      <c r="H79" s="375"/>
      <c r="I79" s="373"/>
      <c r="J79" s="389" t="s">
        <v>30</v>
      </c>
      <c r="K79" s="532">
        <f>SUM(K75:K78)</f>
        <v>0</v>
      </c>
      <c r="L79" s="378"/>
      <c r="M79" s="379"/>
      <c r="N79" s="380"/>
      <c r="O79" s="381"/>
      <c r="P79" s="382"/>
      <c r="Q79" s="383"/>
    </row>
    <row r="80" spans="1:17" s="159" customFormat="1" ht="13.5" thickBot="1" x14ac:dyDescent="0.25">
      <c r="A80" s="353" t="s">
        <v>0</v>
      </c>
      <c r="B80" s="354" t="s">
        <v>1</v>
      </c>
      <c r="C80" s="939" t="s">
        <v>656</v>
      </c>
      <c r="D80" s="939"/>
      <c r="E80" s="939"/>
      <c r="F80" s="939"/>
      <c r="G80" s="939" t="s">
        <v>34</v>
      </c>
      <c r="H80" s="939"/>
      <c r="I80" s="939"/>
      <c r="J80" s="355"/>
      <c r="K80" s="523"/>
      <c r="L80" s="391"/>
      <c r="M80" s="392"/>
      <c r="N80" s="393"/>
      <c r="O80" s="381"/>
      <c r="P80" s="382"/>
      <c r="Q80" s="383"/>
    </row>
    <row r="81" spans="1:17" s="159" customFormat="1" ht="16.5" thickBot="1" x14ac:dyDescent="0.3">
      <c r="A81" s="394"/>
      <c r="B81" s="395"/>
      <c r="C81" s="396" t="s">
        <v>19</v>
      </c>
      <c r="D81" s="397" t="s">
        <v>33</v>
      </c>
      <c r="E81" s="398" t="s">
        <v>35</v>
      </c>
      <c r="F81" s="399" t="s">
        <v>30</v>
      </c>
      <c r="G81" s="533" t="s">
        <v>14</v>
      </c>
      <c r="H81" s="398" t="s">
        <v>35</v>
      </c>
      <c r="I81" s="399" t="s">
        <v>30</v>
      </c>
      <c r="J81" s="364" t="s">
        <v>659</v>
      </c>
      <c r="K81" s="534" t="s">
        <v>38</v>
      </c>
      <c r="L81" s="402"/>
      <c r="M81" s="403"/>
      <c r="N81" s="404"/>
      <c r="O81" s="381"/>
      <c r="P81" s="382"/>
      <c r="Q81" s="383"/>
    </row>
    <row r="82" spans="1:17" s="159" customFormat="1" x14ac:dyDescent="0.2">
      <c r="A82" s="405"/>
      <c r="B82" s="406"/>
      <c r="C82" s="371"/>
      <c r="D82" s="372" t="s">
        <v>21</v>
      </c>
      <c r="E82" s="253">
        <v>0</v>
      </c>
      <c r="F82" s="373">
        <f>C82*E82</f>
        <v>0</v>
      </c>
      <c r="G82" s="529"/>
      <c r="H82" s="375">
        <v>0</v>
      </c>
      <c r="I82" s="373">
        <f>G82*H82</f>
        <v>0</v>
      </c>
      <c r="J82" s="376"/>
      <c r="K82" s="530">
        <f>F82+I82+J82</f>
        <v>0</v>
      </c>
      <c r="M82" s="276"/>
      <c r="N82" s="157"/>
      <c r="O82" s="381"/>
      <c r="P82" s="382"/>
      <c r="Q82" s="383"/>
    </row>
    <row r="83" spans="1:17" s="159" customFormat="1" x14ac:dyDescent="0.2">
      <c r="A83" s="370"/>
      <c r="B83" s="5"/>
      <c r="C83" s="371"/>
      <c r="D83" s="372" t="s">
        <v>21</v>
      </c>
      <c r="E83" s="253">
        <v>0</v>
      </c>
      <c r="F83" s="373">
        <f>C83*E83</f>
        <v>0</v>
      </c>
      <c r="G83" s="529"/>
      <c r="H83" s="375">
        <v>0</v>
      </c>
      <c r="I83" s="373">
        <f>G83*H83</f>
        <v>0</v>
      </c>
      <c r="J83" s="376"/>
      <c r="K83" s="530">
        <f>F83+I83+J83</f>
        <v>0</v>
      </c>
      <c r="M83" s="276"/>
      <c r="N83" s="157"/>
      <c r="O83" s="381"/>
      <c r="P83" s="382"/>
      <c r="Q83" s="383"/>
    </row>
    <row r="84" spans="1:17" s="159" customFormat="1" x14ac:dyDescent="0.2">
      <c r="A84" s="370"/>
      <c r="C84" s="371"/>
      <c r="D84" s="372" t="s">
        <v>21</v>
      </c>
      <c r="E84" s="253">
        <v>0</v>
      </c>
      <c r="F84" s="373">
        <f>C84*E84</f>
        <v>0</v>
      </c>
      <c r="G84" s="529"/>
      <c r="H84" s="375">
        <v>0</v>
      </c>
      <c r="I84" s="373">
        <f>G84*H84</f>
        <v>0</v>
      </c>
      <c r="J84" s="376"/>
      <c r="K84" s="530">
        <f>F84+I84+J84</f>
        <v>0</v>
      </c>
      <c r="M84" s="276"/>
      <c r="N84" s="157"/>
      <c r="O84" s="381"/>
      <c r="P84" s="382"/>
      <c r="Q84" s="383"/>
    </row>
    <row r="85" spans="1:17" s="159" customFormat="1" x14ac:dyDescent="0.2">
      <c r="A85" s="370"/>
      <c r="B85" s="5"/>
      <c r="C85" s="371"/>
      <c r="D85" s="372" t="s">
        <v>21</v>
      </c>
      <c r="E85" s="253">
        <v>0</v>
      </c>
      <c r="F85" s="373">
        <f>C85*E85</f>
        <v>0</v>
      </c>
      <c r="G85" s="529"/>
      <c r="H85" s="375">
        <v>0</v>
      </c>
      <c r="I85" s="373">
        <f>G85*H85</f>
        <v>0</v>
      </c>
      <c r="J85" s="376"/>
      <c r="K85" s="530">
        <f>F85+I85+J85</f>
        <v>0</v>
      </c>
      <c r="L85" s="378"/>
      <c r="M85" s="379"/>
      <c r="N85" s="380"/>
      <c r="O85" s="381"/>
      <c r="P85" s="382"/>
      <c r="Q85" s="383"/>
    </row>
    <row r="86" spans="1:17" s="159" customFormat="1" x14ac:dyDescent="0.2">
      <c r="A86" s="370"/>
      <c r="B86" s="5"/>
      <c r="C86" s="371"/>
      <c r="D86" s="372" t="s">
        <v>21</v>
      </c>
      <c r="E86" s="253">
        <v>0</v>
      </c>
      <c r="F86" s="373">
        <f>C86*E86</f>
        <v>0</v>
      </c>
      <c r="G86" s="529"/>
      <c r="H86" s="375">
        <v>0</v>
      </c>
      <c r="I86" s="373">
        <f>G86*H86</f>
        <v>0</v>
      </c>
      <c r="J86" s="376"/>
      <c r="K86" s="530">
        <f>F86+I86+J86</f>
        <v>0</v>
      </c>
      <c r="L86" s="378"/>
      <c r="M86" s="379"/>
      <c r="N86" s="380"/>
      <c r="O86" s="381"/>
      <c r="P86" s="382"/>
      <c r="Q86" s="383"/>
    </row>
    <row r="87" spans="1:17" s="159" customFormat="1" ht="13.5" thickBot="1" x14ac:dyDescent="0.25">
      <c r="A87" s="387"/>
      <c r="B87" s="5"/>
      <c r="C87" s="388"/>
      <c r="D87" s="372"/>
      <c r="E87" s="253"/>
      <c r="F87" s="373"/>
      <c r="G87" s="529"/>
      <c r="H87" s="375"/>
      <c r="I87" s="373"/>
      <c r="J87" s="376"/>
      <c r="K87" s="535"/>
      <c r="L87" s="378"/>
      <c r="M87" s="379"/>
      <c r="N87" s="380"/>
      <c r="O87" s="381"/>
      <c r="P87" s="382"/>
      <c r="Q87" s="383"/>
    </row>
    <row r="88" spans="1:17" s="159" customFormat="1" ht="13.5" thickTop="1" x14ac:dyDescent="0.2">
      <c r="A88" s="387"/>
      <c r="B88" s="412"/>
      <c r="C88" s="388"/>
      <c r="D88" s="372"/>
      <c r="E88" s="253"/>
      <c r="F88" s="373"/>
      <c r="G88" s="529"/>
      <c r="H88" s="375"/>
      <c r="I88" s="373"/>
      <c r="J88" s="389" t="s">
        <v>30</v>
      </c>
      <c r="K88" s="532">
        <f>SUM(K82:K87)</f>
        <v>0</v>
      </c>
      <c r="M88" s="276"/>
      <c r="N88" s="157"/>
      <c r="O88" s="381"/>
      <c r="P88" s="382"/>
      <c r="Q88" s="383"/>
    </row>
    <row r="89" spans="1:17" s="159" customFormat="1" ht="13.5" thickBot="1" x14ac:dyDescent="0.25">
      <c r="A89" s="353" t="s">
        <v>0</v>
      </c>
      <c r="B89" s="354" t="s">
        <v>1</v>
      </c>
      <c r="C89" s="939" t="s">
        <v>656</v>
      </c>
      <c r="D89" s="939"/>
      <c r="E89" s="939"/>
      <c r="F89" s="939"/>
      <c r="G89" s="939" t="s">
        <v>34</v>
      </c>
      <c r="H89" s="939"/>
      <c r="I89" s="939"/>
      <c r="J89" s="355"/>
      <c r="K89" s="523"/>
      <c r="L89" s="391"/>
      <c r="M89" s="392"/>
      <c r="N89" s="393"/>
      <c r="O89" s="381"/>
      <c r="P89" s="382"/>
      <c r="Q89" s="383"/>
    </row>
    <row r="90" spans="1:17" s="159" customFormat="1" ht="16.5" thickBot="1" x14ac:dyDescent="0.3">
      <c r="A90" s="394"/>
      <c r="B90" s="395"/>
      <c r="C90" s="396" t="s">
        <v>19</v>
      </c>
      <c r="D90" s="397" t="s">
        <v>33</v>
      </c>
      <c r="E90" s="398" t="s">
        <v>35</v>
      </c>
      <c r="F90" s="399" t="s">
        <v>30</v>
      </c>
      <c r="G90" s="533" t="s">
        <v>14</v>
      </c>
      <c r="H90" s="398" t="s">
        <v>35</v>
      </c>
      <c r="I90" s="399" t="s">
        <v>30</v>
      </c>
      <c r="J90" s="364" t="s">
        <v>659</v>
      </c>
      <c r="K90" s="534" t="s">
        <v>38</v>
      </c>
      <c r="L90" s="402"/>
      <c r="M90" s="403"/>
      <c r="N90" s="404"/>
      <c r="O90" s="381"/>
      <c r="P90" s="382"/>
      <c r="Q90" s="383"/>
    </row>
    <row r="91" spans="1:17" s="159" customFormat="1" x14ac:dyDescent="0.2">
      <c r="A91" s="405"/>
      <c r="B91" s="406"/>
      <c r="C91" s="371"/>
      <c r="D91" s="372" t="s">
        <v>21</v>
      </c>
      <c r="E91" s="253">
        <v>0</v>
      </c>
      <c r="F91" s="373">
        <f>C91*E91</f>
        <v>0</v>
      </c>
      <c r="G91" s="529"/>
      <c r="H91" s="375">
        <v>0</v>
      </c>
      <c r="I91" s="373">
        <f>G91*H91</f>
        <v>0</v>
      </c>
      <c r="J91" s="376"/>
      <c r="K91" s="530">
        <f>F91+I91+J91</f>
        <v>0</v>
      </c>
      <c r="L91" s="378"/>
      <c r="M91" s="379"/>
      <c r="N91" s="380"/>
      <c r="O91" s="381"/>
      <c r="P91" s="382"/>
      <c r="Q91" s="383"/>
    </row>
    <row r="92" spans="1:17" s="159" customFormat="1" x14ac:dyDescent="0.2">
      <c r="A92" s="370"/>
      <c r="B92" s="5"/>
      <c r="C92" s="371"/>
      <c r="D92" s="372" t="s">
        <v>21</v>
      </c>
      <c r="E92" s="253">
        <v>0</v>
      </c>
      <c r="F92" s="373">
        <f>C92*E92</f>
        <v>0</v>
      </c>
      <c r="G92" s="529"/>
      <c r="H92" s="375">
        <v>0</v>
      </c>
      <c r="I92" s="373">
        <f>G92*H92</f>
        <v>0</v>
      </c>
      <c r="J92" s="376"/>
      <c r="K92" s="530">
        <f>F92+I92+J92</f>
        <v>0</v>
      </c>
      <c r="L92" s="667"/>
      <c r="M92" s="668"/>
      <c r="N92" s="669"/>
      <c r="O92" s="381"/>
      <c r="P92" s="382"/>
      <c r="Q92" s="383"/>
    </row>
    <row r="93" spans="1:17" s="159" customFormat="1" x14ac:dyDescent="0.2">
      <c r="A93" s="370"/>
      <c r="B93" s="5"/>
      <c r="C93" s="371"/>
      <c r="D93" s="372" t="s">
        <v>21</v>
      </c>
      <c r="E93" s="253">
        <v>0</v>
      </c>
      <c r="F93" s="373">
        <f>C93*E93</f>
        <v>0</v>
      </c>
      <c r="G93" s="529"/>
      <c r="H93" s="375">
        <v>0</v>
      </c>
      <c r="I93" s="373">
        <f>G93*H93</f>
        <v>0</v>
      </c>
      <c r="J93" s="376"/>
      <c r="K93" s="530">
        <f>F93+I93+J93</f>
        <v>0</v>
      </c>
      <c r="L93" s="667"/>
      <c r="M93" s="668"/>
      <c r="N93" s="670"/>
      <c r="O93" s="381"/>
      <c r="P93" s="382"/>
      <c r="Q93" s="383"/>
    </row>
    <row r="94" spans="1:17" s="159" customFormat="1" x14ac:dyDescent="0.2">
      <c r="A94" s="370"/>
      <c r="B94" s="5"/>
      <c r="C94" s="371"/>
      <c r="D94" s="372" t="s">
        <v>21</v>
      </c>
      <c r="E94" s="253">
        <v>0</v>
      </c>
      <c r="F94" s="373">
        <f>C94*E94</f>
        <v>0</v>
      </c>
      <c r="G94" s="529"/>
      <c r="H94" s="375">
        <v>0</v>
      </c>
      <c r="I94" s="373">
        <f>G94*H94</f>
        <v>0</v>
      </c>
      <c r="J94" s="376"/>
      <c r="K94" s="530">
        <f>F94+I94+J94</f>
        <v>0</v>
      </c>
      <c r="L94" s="667"/>
      <c r="M94" s="668"/>
      <c r="N94" s="670"/>
      <c r="O94" s="381"/>
      <c r="P94" s="382"/>
      <c r="Q94" s="383"/>
    </row>
    <row r="95" spans="1:17" s="159" customFormat="1" ht="13.5" thickBot="1" x14ac:dyDescent="0.25">
      <c r="A95" s="387"/>
      <c r="B95" s="412"/>
      <c r="C95" s="371"/>
      <c r="D95" s="372"/>
      <c r="E95" s="253"/>
      <c r="F95" s="373"/>
      <c r="G95" s="529"/>
      <c r="H95" s="375"/>
      <c r="I95" s="373"/>
      <c r="J95" s="376"/>
      <c r="K95" s="530"/>
      <c r="L95" s="667"/>
      <c r="M95" s="668"/>
      <c r="N95" s="670"/>
      <c r="O95" s="381"/>
      <c r="P95" s="382"/>
      <c r="Q95" s="383"/>
    </row>
    <row r="96" spans="1:17" s="159" customFormat="1" ht="14.25" thickTop="1" thickBot="1" x14ac:dyDescent="0.25">
      <c r="A96" s="470"/>
      <c r="B96" s="156"/>
      <c r="C96" s="471"/>
      <c r="D96" s="472"/>
      <c r="E96" s="473"/>
      <c r="F96" s="474"/>
      <c r="G96" s="634"/>
      <c r="H96" s="473"/>
      <c r="I96" s="474"/>
      <c r="J96" s="476" t="s">
        <v>30</v>
      </c>
      <c r="K96" s="635">
        <f>SUM(K91:K95)</f>
        <v>0</v>
      </c>
      <c r="L96" s="667"/>
      <c r="M96" s="668"/>
      <c r="N96" s="670"/>
      <c r="O96" s="381"/>
      <c r="P96" s="382"/>
      <c r="Q96" s="383"/>
    </row>
    <row r="97" spans="1:17" s="159" customFormat="1" ht="14.1" customHeight="1" thickBot="1" x14ac:dyDescent="0.3">
      <c r="A97" s="478"/>
      <c r="B97" s="479"/>
      <c r="C97" s="480"/>
      <c r="D97" s="480"/>
      <c r="E97" s="481"/>
      <c r="F97" s="969" t="s">
        <v>658</v>
      </c>
      <c r="G97" s="992" t="s">
        <v>684</v>
      </c>
      <c r="H97" s="481"/>
      <c r="I97" s="962" t="s">
        <v>657</v>
      </c>
      <c r="J97" s="958" t="s">
        <v>685</v>
      </c>
      <c r="K97" s="956" t="s">
        <v>31</v>
      </c>
      <c r="L97" s="671"/>
      <c r="M97" s="672"/>
      <c r="N97" s="673"/>
      <c r="O97" s="460"/>
      <c r="P97" s="461"/>
      <c r="Q97" s="462"/>
    </row>
    <row r="98" spans="1:17" s="159" customFormat="1" ht="15.75" thickTop="1" x14ac:dyDescent="0.2">
      <c r="A98" s="482" t="s">
        <v>32</v>
      </c>
      <c r="B98" s="964" t="s">
        <v>665</v>
      </c>
      <c r="C98" s="483"/>
      <c r="D98" s="484"/>
      <c r="E98" s="484"/>
      <c r="F98" s="970"/>
      <c r="G98" s="993"/>
      <c r="H98" s="485"/>
      <c r="I98" s="963"/>
      <c r="J98" s="959"/>
      <c r="K98" s="957"/>
      <c r="M98" s="276"/>
      <c r="N98" s="157"/>
      <c r="O98" s="302"/>
      <c r="P98" s="302"/>
    </row>
    <row r="99" spans="1:17" s="159" customFormat="1" ht="15" x14ac:dyDescent="0.25">
      <c r="A99" s="826">
        <f>K99/E6</f>
        <v>0</v>
      </c>
      <c r="B99" s="964"/>
      <c r="C99" s="484"/>
      <c r="D99" s="484"/>
      <c r="E99" s="484"/>
      <c r="F99" s="952">
        <f>SUM(F91:F95,F82:F87,F75:F78,F66:F71,F55:F61,F46:F51,F38:F42,F27:F34,F11:F23)</f>
        <v>0</v>
      </c>
      <c r="G99" s="997">
        <f>SUM(G91:G95,G82:G87,G75:G78,G66:G71,G55:G61,G46:G51,G38:G42,G27:G34,G11:G23)</f>
        <v>0</v>
      </c>
      <c r="H99" s="485"/>
      <c r="I99" s="952">
        <f>SUM(I91:I95,I82:I87,I75:I78,I66:I71,I55:I61,I46:I51,I38:I42,I27:I34,I11:I23)</f>
        <v>0</v>
      </c>
      <c r="J99" s="952">
        <f>SUM(J91:J95,J82:J87,J75:J78,J66:J71,J55:J61,J46:J51,J38:J42,J27:J34,J11:J23)</f>
        <v>155285</v>
      </c>
      <c r="K99" s="954">
        <f>SUM(K96,K88,K79,K72,K63,K52,K43,K35,K24)</f>
        <v>0</v>
      </c>
      <c r="M99" s="276"/>
      <c r="N99" s="157"/>
      <c r="O99" s="302"/>
      <c r="P99" s="302"/>
    </row>
    <row r="100" spans="1:17" s="159" customFormat="1" ht="15" thickBot="1" x14ac:dyDescent="0.25">
      <c r="A100" s="482"/>
      <c r="B100" s="550"/>
      <c r="C100" s="488"/>
      <c r="D100" s="488"/>
      <c r="E100" s="488"/>
      <c r="F100" s="953"/>
      <c r="G100" s="998"/>
      <c r="H100" s="488"/>
      <c r="I100" s="953"/>
      <c r="J100" s="953"/>
      <c r="K100" s="955"/>
      <c r="M100" s="276"/>
      <c r="N100" s="157"/>
      <c r="O100" s="302"/>
      <c r="P100" s="302"/>
    </row>
    <row r="101" spans="1:17" s="159" customFormat="1" ht="13.5" thickBot="1" x14ac:dyDescent="0.25">
      <c r="A101" s="489"/>
      <c r="B101" s="490"/>
      <c r="C101" s="490"/>
      <c r="D101" s="490"/>
      <c r="E101" s="490"/>
      <c r="F101" s="490"/>
      <c r="G101" s="490"/>
      <c r="H101" s="490"/>
      <c r="I101" s="490"/>
      <c r="J101" s="490"/>
      <c r="K101" s="491"/>
      <c r="M101" s="276"/>
      <c r="N101" s="157"/>
      <c r="O101" s="302"/>
      <c r="P101" s="302"/>
    </row>
    <row r="102" spans="1:17" s="159" customFormat="1" x14ac:dyDescent="0.2">
      <c r="C102" s="655"/>
      <c r="D102" s="655"/>
      <c r="M102" s="276"/>
      <c r="N102" s="157"/>
      <c r="O102" s="302"/>
      <c r="P102" s="302"/>
    </row>
    <row r="103" spans="1:17" s="159" customFormat="1" x14ac:dyDescent="0.2">
      <c r="C103" s="655"/>
      <c r="D103" s="655"/>
      <c r="M103" s="276"/>
      <c r="N103" s="157"/>
      <c r="O103" s="302"/>
      <c r="P103" s="302"/>
    </row>
    <row r="104" spans="1:17" s="159" customFormat="1" x14ac:dyDescent="0.2">
      <c r="C104" s="655"/>
      <c r="D104" s="655"/>
      <c r="M104" s="276"/>
      <c r="N104" s="157"/>
      <c r="O104" s="302"/>
      <c r="P104" s="302"/>
    </row>
    <row r="105" spans="1:17" s="159" customFormat="1" x14ac:dyDescent="0.2">
      <c r="C105" s="655"/>
      <c r="D105" s="655"/>
      <c r="M105" s="276"/>
      <c r="N105" s="157"/>
      <c r="O105" s="302"/>
      <c r="P105" s="302"/>
    </row>
    <row r="106" spans="1:17" s="159" customFormat="1" x14ac:dyDescent="0.2">
      <c r="C106" s="655"/>
      <c r="D106" s="655"/>
      <c r="M106" s="276"/>
      <c r="N106" s="157"/>
      <c r="O106" s="302"/>
      <c r="P106" s="302"/>
    </row>
    <row r="107" spans="1:17" s="159" customFormat="1" x14ac:dyDescent="0.2">
      <c r="C107" s="655"/>
      <c r="D107" s="655"/>
      <c r="M107" s="276"/>
      <c r="N107" s="157"/>
      <c r="O107" s="302"/>
      <c r="P107" s="302"/>
    </row>
    <row r="108" spans="1:17" s="159" customFormat="1" x14ac:dyDescent="0.2">
      <c r="C108" s="655"/>
      <c r="D108" s="655"/>
      <c r="M108" s="276"/>
      <c r="N108" s="157"/>
      <c r="O108" s="302"/>
      <c r="P108" s="302"/>
    </row>
    <row r="109" spans="1:17" s="159" customFormat="1" x14ac:dyDescent="0.2">
      <c r="C109" s="655"/>
      <c r="D109" s="655"/>
      <c r="M109" s="276"/>
      <c r="N109" s="157"/>
      <c r="O109" s="302"/>
      <c r="P109" s="302"/>
    </row>
    <row r="110" spans="1:17" s="159" customFormat="1" x14ac:dyDescent="0.2">
      <c r="C110" s="655"/>
      <c r="D110" s="655"/>
      <c r="M110" s="276"/>
      <c r="N110" s="157"/>
      <c r="O110" s="302"/>
      <c r="P110" s="302"/>
    </row>
    <row r="111" spans="1:17" s="159" customFormat="1" x14ac:dyDescent="0.2">
      <c r="C111" s="655"/>
      <c r="D111" s="655"/>
      <c r="M111" s="276"/>
      <c r="N111" s="157"/>
      <c r="O111" s="302"/>
      <c r="P111" s="302"/>
    </row>
    <row r="112" spans="1:17" s="159" customFormat="1" x14ac:dyDescent="0.2">
      <c r="C112" s="655"/>
      <c r="D112" s="655"/>
      <c r="M112" s="276"/>
      <c r="N112" s="157"/>
      <c r="O112" s="302"/>
      <c r="P112" s="302"/>
    </row>
    <row r="113" spans="3:16" s="159" customFormat="1" x14ac:dyDescent="0.2">
      <c r="C113" s="655"/>
      <c r="D113" s="655"/>
      <c r="M113" s="276"/>
      <c r="N113" s="157"/>
      <c r="O113" s="302"/>
      <c r="P113" s="302"/>
    </row>
    <row r="114" spans="3:16" s="159" customFormat="1" x14ac:dyDescent="0.2">
      <c r="C114" s="655"/>
      <c r="D114" s="655"/>
      <c r="M114" s="276"/>
      <c r="N114" s="157"/>
      <c r="O114" s="302"/>
      <c r="P114" s="302"/>
    </row>
    <row r="115" spans="3:16" s="159" customFormat="1" x14ac:dyDescent="0.2">
      <c r="C115" s="655"/>
      <c r="D115" s="655"/>
      <c r="M115" s="276"/>
      <c r="N115" s="157"/>
      <c r="O115" s="302"/>
      <c r="P115" s="302"/>
    </row>
    <row r="116" spans="3:16" s="159" customFormat="1" x14ac:dyDescent="0.2">
      <c r="C116" s="655"/>
      <c r="D116" s="655"/>
      <c r="M116" s="276"/>
      <c r="N116" s="157"/>
      <c r="O116" s="302"/>
      <c r="P116" s="302"/>
    </row>
    <row r="117" spans="3:16" s="159" customFormat="1" x14ac:dyDescent="0.2">
      <c r="C117" s="655"/>
      <c r="D117" s="655"/>
      <c r="M117" s="276"/>
      <c r="N117" s="157"/>
      <c r="O117" s="302"/>
      <c r="P117" s="302"/>
    </row>
    <row r="118" spans="3:16" s="159" customFormat="1" x14ac:dyDescent="0.2">
      <c r="C118" s="655"/>
      <c r="D118" s="655"/>
      <c r="M118" s="276"/>
      <c r="N118" s="157"/>
      <c r="O118" s="302"/>
      <c r="P118" s="302"/>
    </row>
    <row r="119" spans="3:16" s="159" customFormat="1" x14ac:dyDescent="0.2">
      <c r="C119" s="655"/>
      <c r="D119" s="655"/>
      <c r="M119" s="276"/>
      <c r="N119" s="157"/>
      <c r="O119" s="302"/>
      <c r="P119" s="302"/>
    </row>
    <row r="120" spans="3:16" s="159" customFormat="1" x14ac:dyDescent="0.2">
      <c r="C120" s="655"/>
      <c r="D120" s="655"/>
      <c r="M120" s="276"/>
      <c r="N120" s="157"/>
      <c r="O120" s="302"/>
      <c r="P120" s="302"/>
    </row>
    <row r="121" spans="3:16" s="159" customFormat="1" x14ac:dyDescent="0.2">
      <c r="C121" s="655"/>
      <c r="D121" s="655"/>
      <c r="M121" s="276"/>
      <c r="N121" s="157"/>
      <c r="O121" s="302"/>
      <c r="P121" s="302"/>
    </row>
    <row r="122" spans="3:16" s="159" customFormat="1" x14ac:dyDescent="0.2">
      <c r="C122" s="655"/>
      <c r="D122" s="655"/>
      <c r="M122" s="276"/>
      <c r="N122" s="157"/>
      <c r="O122" s="302"/>
      <c r="P122" s="302"/>
    </row>
    <row r="123" spans="3:16" s="159" customFormat="1" x14ac:dyDescent="0.2">
      <c r="C123" s="655"/>
      <c r="D123" s="655"/>
      <c r="M123" s="276"/>
      <c r="N123" s="157"/>
      <c r="O123" s="302"/>
      <c r="P123" s="302"/>
    </row>
    <row r="124" spans="3:16" s="159" customFormat="1" x14ac:dyDescent="0.2">
      <c r="C124" s="655"/>
      <c r="D124" s="655"/>
      <c r="M124" s="276"/>
      <c r="N124" s="157"/>
      <c r="O124" s="302"/>
      <c r="P124" s="302"/>
    </row>
    <row r="125" spans="3:16" s="159" customFormat="1" x14ac:dyDescent="0.2">
      <c r="C125" s="655"/>
      <c r="D125" s="655"/>
      <c r="M125" s="276"/>
      <c r="N125" s="157"/>
      <c r="O125" s="302"/>
      <c r="P125" s="302"/>
    </row>
    <row r="126" spans="3:16" s="159" customFormat="1" x14ac:dyDescent="0.2">
      <c r="C126" s="655"/>
      <c r="D126" s="655"/>
      <c r="M126" s="276"/>
      <c r="N126" s="157"/>
      <c r="O126" s="302"/>
      <c r="P126" s="302"/>
    </row>
    <row r="127" spans="3:16" s="159" customFormat="1" x14ac:dyDescent="0.2">
      <c r="C127" s="655"/>
      <c r="D127" s="655"/>
      <c r="M127" s="276"/>
      <c r="N127" s="157"/>
      <c r="O127" s="302"/>
      <c r="P127" s="302"/>
    </row>
    <row r="128" spans="3:16" s="159" customFormat="1" x14ac:dyDescent="0.2">
      <c r="C128" s="655"/>
      <c r="D128" s="655"/>
      <c r="M128" s="276"/>
      <c r="N128" s="157"/>
      <c r="O128" s="302"/>
      <c r="P128" s="302"/>
    </row>
    <row r="129" spans="3:16" s="159" customFormat="1" x14ac:dyDescent="0.2">
      <c r="C129" s="655"/>
      <c r="D129" s="655"/>
      <c r="M129" s="276"/>
      <c r="N129" s="157"/>
      <c r="O129" s="302"/>
      <c r="P129" s="302"/>
    </row>
    <row r="130" spans="3:16" s="159" customFormat="1" x14ac:dyDescent="0.2">
      <c r="C130" s="655"/>
      <c r="D130" s="655"/>
      <c r="M130" s="276"/>
      <c r="N130" s="157"/>
      <c r="O130" s="302"/>
      <c r="P130" s="302"/>
    </row>
    <row r="131" spans="3:16" s="159" customFormat="1" x14ac:dyDescent="0.2">
      <c r="C131" s="655"/>
      <c r="D131" s="655"/>
      <c r="M131" s="276"/>
      <c r="N131" s="157"/>
      <c r="O131" s="302"/>
      <c r="P131" s="302"/>
    </row>
    <row r="132" spans="3:16" s="159" customFormat="1" x14ac:dyDescent="0.2">
      <c r="C132" s="655"/>
      <c r="D132" s="655"/>
      <c r="M132" s="276"/>
      <c r="N132" s="157"/>
      <c r="O132" s="302"/>
      <c r="P132" s="302"/>
    </row>
    <row r="133" spans="3:16" s="159" customFormat="1" x14ac:dyDescent="0.2">
      <c r="C133" s="655"/>
      <c r="D133" s="655"/>
      <c r="M133" s="276"/>
      <c r="N133" s="157"/>
      <c r="O133" s="302"/>
      <c r="P133" s="302"/>
    </row>
    <row r="134" spans="3:16" s="159" customFormat="1" x14ac:dyDescent="0.2">
      <c r="C134" s="655"/>
      <c r="D134" s="655"/>
      <c r="M134" s="276"/>
      <c r="N134" s="157"/>
      <c r="O134" s="302"/>
      <c r="P134" s="302"/>
    </row>
    <row r="135" spans="3:16" s="159" customFormat="1" x14ac:dyDescent="0.2">
      <c r="C135" s="655"/>
      <c r="D135" s="655"/>
      <c r="M135" s="276"/>
      <c r="N135" s="157"/>
      <c r="O135" s="302"/>
      <c r="P135" s="302"/>
    </row>
    <row r="136" spans="3:16" s="159" customFormat="1" x14ac:dyDescent="0.2">
      <c r="C136" s="655"/>
      <c r="D136" s="655"/>
      <c r="M136" s="276"/>
      <c r="N136" s="157"/>
      <c r="O136" s="302"/>
      <c r="P136" s="302"/>
    </row>
    <row r="137" spans="3:16" s="159" customFormat="1" x14ac:dyDescent="0.2">
      <c r="C137" s="655"/>
      <c r="D137" s="655"/>
      <c r="M137" s="276"/>
      <c r="N137" s="157"/>
      <c r="O137" s="302"/>
      <c r="P137" s="302"/>
    </row>
    <row r="138" spans="3:16" s="159" customFormat="1" x14ac:dyDescent="0.2">
      <c r="C138" s="655"/>
      <c r="D138" s="655"/>
      <c r="M138" s="276"/>
      <c r="N138" s="157"/>
      <c r="O138" s="302"/>
      <c r="P138" s="302"/>
    </row>
    <row r="139" spans="3:16" s="159" customFormat="1" x14ac:dyDescent="0.2">
      <c r="C139" s="655"/>
      <c r="D139" s="655"/>
      <c r="M139" s="276"/>
      <c r="N139" s="157"/>
      <c r="O139" s="302"/>
      <c r="P139" s="302"/>
    </row>
    <row r="140" spans="3:16" s="159" customFormat="1" x14ac:dyDescent="0.2">
      <c r="C140" s="655"/>
      <c r="D140" s="655"/>
      <c r="M140" s="276"/>
      <c r="N140" s="157"/>
      <c r="O140" s="302"/>
      <c r="P140" s="302"/>
    </row>
    <row r="141" spans="3:16" s="159" customFormat="1" x14ac:dyDescent="0.2">
      <c r="C141" s="655"/>
      <c r="D141" s="655"/>
      <c r="M141" s="276"/>
      <c r="N141" s="157"/>
      <c r="O141" s="302"/>
      <c r="P141" s="302"/>
    </row>
    <row r="142" spans="3:16" s="159" customFormat="1" x14ac:dyDescent="0.2">
      <c r="C142" s="655"/>
      <c r="D142" s="655"/>
      <c r="M142" s="276"/>
      <c r="N142" s="157"/>
      <c r="O142" s="302"/>
      <c r="P142" s="302"/>
    </row>
  </sheetData>
  <mergeCells count="54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64:F64"/>
    <mergeCell ref="G64:I64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J99:J100"/>
    <mergeCell ref="K99:K100"/>
    <mergeCell ref="F97:F98"/>
    <mergeCell ref="G97:G98"/>
    <mergeCell ref="I97:I98"/>
    <mergeCell ref="J97:J98"/>
    <mergeCell ref="K97:K98"/>
    <mergeCell ref="Q9:Q10"/>
    <mergeCell ref="L9:L10"/>
    <mergeCell ref="M9:M10"/>
    <mergeCell ref="N9:N10"/>
    <mergeCell ref="O9:O10"/>
    <mergeCell ref="P9:P10"/>
  </mergeCells>
  <phoneticPr fontId="5" type="noConversion"/>
  <pageMargins left="0.7" right="0.37" top="0.75" bottom="0.75" header="0.5" footer="0.5"/>
  <pageSetup scale="72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6">
    <pageSetUpPr fitToPage="1"/>
  </sheetPr>
  <dimension ref="A1:Q273"/>
  <sheetViews>
    <sheetView zoomScale="90" zoomScaleNormal="75" zoomScaleSheetLayoutView="90" zoomScalePageLayoutView="75" workbookViewId="0">
      <selection activeCell="M14" sqref="M14"/>
    </sheetView>
  </sheetViews>
  <sheetFormatPr defaultColWidth="9.140625" defaultRowHeight="12.75" x14ac:dyDescent="0.2"/>
  <cols>
    <col min="1" max="1" width="12.140625" style="157" bestFit="1" customWidth="1"/>
    <col min="2" max="2" width="48.5703125" style="157" bestFit="1" customWidth="1"/>
    <col min="3" max="4" width="5" style="440" customWidth="1"/>
    <col min="5" max="5" width="10.85546875" style="157" bestFit="1" customWidth="1"/>
    <col min="6" max="6" width="12.5703125" style="157" bestFit="1" customWidth="1"/>
    <col min="7" max="7" width="7" style="157" bestFit="1" customWidth="1"/>
    <col min="8" max="8" width="10.85546875" style="157" bestFit="1" customWidth="1"/>
    <col min="9" max="9" width="14.42578125" style="157" bestFit="1" customWidth="1"/>
    <col min="10" max="10" width="16.140625" style="157" bestFit="1" customWidth="1"/>
    <col min="11" max="11" width="14.42578125" style="157" bestFit="1" customWidth="1"/>
    <col min="12" max="12" width="17.85546875" style="159" bestFit="1" customWidth="1"/>
    <col min="13" max="13" width="14" style="276" bestFit="1" customWidth="1"/>
    <col min="14" max="14" width="24.85546875" style="157" bestFit="1" customWidth="1"/>
    <col min="15" max="15" width="22" style="302" bestFit="1" customWidth="1"/>
    <col min="16" max="16" width="22.140625" style="302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2"/>
      <c r="B1" s="323"/>
      <c r="C1" s="976">
        <f>'Estimate Summary'!C1:H1</f>
        <v>0</v>
      </c>
      <c r="D1" s="976"/>
      <c r="E1" s="976"/>
      <c r="F1" s="976"/>
      <c r="G1" s="976"/>
      <c r="H1" s="976"/>
      <c r="I1" s="976"/>
      <c r="J1" s="976"/>
      <c r="K1" s="977"/>
    </row>
    <row r="2" spans="1:17" ht="13.5" thickBot="1" x14ac:dyDescent="0.25">
      <c r="A2" s="324"/>
      <c r="B2" s="325"/>
      <c r="C2" s="514"/>
      <c r="D2" s="984"/>
      <c r="E2" s="984"/>
      <c r="F2" s="984"/>
      <c r="G2" s="514"/>
      <c r="H2" s="327"/>
      <c r="I2" s="328"/>
      <c r="J2" s="329"/>
      <c r="K2" s="330"/>
    </row>
    <row r="3" spans="1:17" ht="16.5" thickBot="1" x14ac:dyDescent="0.3">
      <c r="A3" s="973"/>
      <c r="B3" s="974"/>
      <c r="C3" s="514"/>
      <c r="D3" s="984"/>
      <c r="E3" s="984"/>
      <c r="F3" s="984"/>
      <c r="G3" s="515"/>
      <c r="H3" s="332"/>
      <c r="I3" s="333"/>
      <c r="J3" s="333"/>
      <c r="K3" s="334"/>
      <c r="L3" s="1002"/>
      <c r="M3" s="1003"/>
      <c r="N3" s="985"/>
      <c r="O3" s="985"/>
      <c r="P3" s="935"/>
    </row>
    <row r="4" spans="1:17" ht="18.75" thickBot="1" x14ac:dyDescent="0.25">
      <c r="A4" s="973"/>
      <c r="B4" s="974"/>
      <c r="C4" s="514"/>
      <c r="D4" s="984"/>
      <c r="E4" s="984"/>
      <c r="F4" s="984"/>
      <c r="G4" s="336"/>
      <c r="H4" s="336"/>
      <c r="I4" s="328"/>
      <c r="J4" s="329"/>
      <c r="K4" s="330"/>
      <c r="L4" s="1002"/>
      <c r="M4" s="1003"/>
      <c r="N4" s="985"/>
      <c r="O4" s="985"/>
      <c r="P4" s="935"/>
    </row>
    <row r="5" spans="1:17" ht="21" thickBot="1" x14ac:dyDescent="0.3">
      <c r="A5" s="337"/>
      <c r="B5" s="338"/>
      <c r="C5" s="516"/>
      <c r="D5" s="340"/>
      <c r="E5" s="341"/>
      <c r="F5" s="336"/>
      <c r="G5" s="983" t="s">
        <v>151</v>
      </c>
      <c r="H5" s="983"/>
      <c r="I5" s="983"/>
      <c r="J5" s="981" t="s">
        <v>73</v>
      </c>
      <c r="K5" s="982"/>
      <c r="L5" s="1002"/>
      <c r="M5" s="1003"/>
      <c r="N5" s="985"/>
      <c r="O5" s="985"/>
      <c r="P5" s="935"/>
    </row>
    <row r="6" spans="1:17" ht="21" thickBot="1" x14ac:dyDescent="0.25">
      <c r="A6" s="337"/>
      <c r="B6" s="338"/>
      <c r="C6" s="517"/>
      <c r="D6" s="343" t="str">
        <f>'Estimate Summary'!C11</f>
        <v>Area:</v>
      </c>
      <c r="E6" s="344">
        <f>'Estimate Summary'!D11</f>
        <v>65592</v>
      </c>
      <c r="F6" s="238" t="str">
        <f>'Estimate Summary'!E11</f>
        <v>Sq. Ft.</v>
      </c>
      <c r="G6" s="983"/>
      <c r="H6" s="983"/>
      <c r="I6" s="983"/>
      <c r="J6" s="345">
        <f>'1'!J6</f>
        <v>60</v>
      </c>
      <c r="K6" s="330" t="s">
        <v>74</v>
      </c>
      <c r="L6" s="1002"/>
      <c r="M6" s="1003"/>
      <c r="N6" s="985"/>
      <c r="O6" s="985"/>
      <c r="P6" s="935"/>
    </row>
    <row r="7" spans="1:17" x14ac:dyDescent="0.2">
      <c r="A7" s="978"/>
      <c r="B7" s="979"/>
      <c r="C7" s="979"/>
      <c r="D7" s="979"/>
      <c r="E7" s="979"/>
      <c r="F7" s="979"/>
      <c r="G7" s="979"/>
      <c r="H7" s="979"/>
      <c r="I7" s="979"/>
      <c r="J7" s="979"/>
      <c r="K7" s="980"/>
    </row>
    <row r="8" spans="1:17" ht="13.5" thickBot="1" x14ac:dyDescent="0.25">
      <c r="A8" s="346"/>
      <c r="B8" s="347"/>
      <c r="C8" s="972"/>
      <c r="D8" s="972"/>
      <c r="E8" s="972"/>
      <c r="F8" s="972"/>
      <c r="G8" s="971"/>
      <c r="H8" s="971"/>
      <c r="I8" s="971"/>
      <c r="J8" s="348"/>
      <c r="K8" s="349"/>
      <c r="L8" s="518"/>
      <c r="M8" s="519"/>
      <c r="N8" s="518"/>
      <c r="O8" s="520"/>
      <c r="P8" s="520"/>
    </row>
    <row r="9" spans="1:17" ht="14.25" thickTop="1" thickBot="1" x14ac:dyDescent="0.25">
      <c r="A9" s="353" t="s">
        <v>0</v>
      </c>
      <c r="B9" s="354" t="s">
        <v>1</v>
      </c>
      <c r="C9" s="939" t="s">
        <v>656</v>
      </c>
      <c r="D9" s="939"/>
      <c r="E9" s="939"/>
      <c r="F9" s="939"/>
      <c r="G9" s="939" t="s">
        <v>34</v>
      </c>
      <c r="H9" s="939"/>
      <c r="I9" s="939"/>
      <c r="J9" s="355"/>
      <c r="K9" s="523"/>
      <c r="L9" s="942" t="s">
        <v>783</v>
      </c>
      <c r="M9" s="944" t="s">
        <v>784</v>
      </c>
      <c r="N9" s="946" t="s">
        <v>785</v>
      </c>
      <c r="O9" s="948" t="s">
        <v>1041</v>
      </c>
      <c r="P9" s="950"/>
      <c r="Q9" s="940"/>
    </row>
    <row r="10" spans="1:17" ht="15.75" x14ac:dyDescent="0.25">
      <c r="A10" s="525" t="s">
        <v>374</v>
      </c>
      <c r="B10" s="525" t="s">
        <v>375</v>
      </c>
      <c r="C10" s="359" t="s">
        <v>19</v>
      </c>
      <c r="D10" s="360" t="s">
        <v>33</v>
      </c>
      <c r="E10" s="361" t="s">
        <v>35</v>
      </c>
      <c r="F10" s="362" t="s">
        <v>30</v>
      </c>
      <c r="G10" s="526" t="s">
        <v>14</v>
      </c>
      <c r="H10" s="361" t="s">
        <v>35</v>
      </c>
      <c r="I10" s="362" t="s">
        <v>30</v>
      </c>
      <c r="J10" s="364" t="s">
        <v>659</v>
      </c>
      <c r="K10" s="527" t="s">
        <v>38</v>
      </c>
      <c r="L10" s="943"/>
      <c r="M10" s="945"/>
      <c r="N10" s="947"/>
      <c r="O10" s="949"/>
      <c r="P10" s="951"/>
      <c r="Q10" s="941"/>
    </row>
    <row r="11" spans="1:17" x14ac:dyDescent="0.2">
      <c r="A11" s="370"/>
      <c r="B11" s="5"/>
      <c r="C11" s="371"/>
      <c r="D11" s="372" t="s">
        <v>21</v>
      </c>
      <c r="E11" s="253">
        <v>0</v>
      </c>
      <c r="F11" s="373">
        <f t="shared" ref="F11:F22" si="0">C11*E11</f>
        <v>0</v>
      </c>
      <c r="G11" s="529"/>
      <c r="H11" s="375">
        <v>0</v>
      </c>
      <c r="I11" s="373">
        <f t="shared" ref="I11:I22" si="1">G11*H11</f>
        <v>0</v>
      </c>
      <c r="J11" s="376"/>
      <c r="K11" s="530">
        <f t="shared" ref="K11:K22" si="2">F11+I11+J11</f>
        <v>0</v>
      </c>
      <c r="L11" s="378" t="s">
        <v>1034</v>
      </c>
      <c r="M11" s="379">
        <v>248500</v>
      </c>
      <c r="N11" s="380" t="s">
        <v>1137</v>
      </c>
      <c r="O11" s="381" t="s">
        <v>1034</v>
      </c>
      <c r="P11" s="382">
        <v>340700</v>
      </c>
      <c r="Q11" s="383"/>
    </row>
    <row r="12" spans="1:17" x14ac:dyDescent="0.2">
      <c r="A12" s="370"/>
      <c r="B12" s="5"/>
      <c r="C12" s="371"/>
      <c r="D12" s="372" t="s">
        <v>21</v>
      </c>
      <c r="E12" s="253">
        <v>0</v>
      </c>
      <c r="F12" s="373">
        <f t="shared" si="0"/>
        <v>0</v>
      </c>
      <c r="G12" s="529"/>
      <c r="H12" s="375">
        <v>0</v>
      </c>
      <c r="I12" s="373">
        <f t="shared" si="1"/>
        <v>0</v>
      </c>
      <c r="J12" s="376">
        <f>M16</f>
        <v>212000</v>
      </c>
      <c r="K12" s="530">
        <f t="shared" si="2"/>
        <v>212000</v>
      </c>
      <c r="L12" s="378" t="s">
        <v>1035</v>
      </c>
      <c r="M12" s="379">
        <v>252546.1</v>
      </c>
      <c r="N12" s="380"/>
      <c r="O12" s="381" t="s">
        <v>1038</v>
      </c>
      <c r="P12" s="382">
        <f>229800+6900</f>
        <v>236700</v>
      </c>
      <c r="Q12" s="383"/>
    </row>
    <row r="13" spans="1:17" x14ac:dyDescent="0.2">
      <c r="A13" s="370"/>
      <c r="B13" s="5"/>
      <c r="C13" s="371"/>
      <c r="D13" s="372" t="s">
        <v>21</v>
      </c>
      <c r="E13" s="253">
        <v>0</v>
      </c>
      <c r="F13" s="373">
        <f t="shared" si="0"/>
        <v>0</v>
      </c>
      <c r="G13" s="529"/>
      <c r="H13" s="375">
        <v>0</v>
      </c>
      <c r="I13" s="373">
        <f t="shared" si="1"/>
        <v>0</v>
      </c>
      <c r="J13" s="376"/>
      <c r="K13" s="530">
        <f t="shared" si="2"/>
        <v>0</v>
      </c>
      <c r="L13" s="378" t="s">
        <v>1036</v>
      </c>
      <c r="M13" s="379">
        <v>279000</v>
      </c>
      <c r="N13" s="380"/>
      <c r="O13" s="381"/>
      <c r="P13" s="382"/>
      <c r="Q13" s="383"/>
    </row>
    <row r="14" spans="1:17" x14ac:dyDescent="0.2">
      <c r="A14" s="370"/>
      <c r="B14" s="5"/>
      <c r="C14" s="371"/>
      <c r="D14" s="372" t="s">
        <v>21</v>
      </c>
      <c r="E14" s="253">
        <v>0</v>
      </c>
      <c r="F14" s="373">
        <f t="shared" si="0"/>
        <v>0</v>
      </c>
      <c r="G14" s="529"/>
      <c r="H14" s="375">
        <v>0</v>
      </c>
      <c r="I14" s="373">
        <f t="shared" si="1"/>
        <v>0</v>
      </c>
      <c r="J14" s="376"/>
      <c r="K14" s="530">
        <f t="shared" si="2"/>
        <v>0</v>
      </c>
      <c r="L14" s="868" t="s">
        <v>1037</v>
      </c>
      <c r="M14" s="379">
        <v>209800</v>
      </c>
      <c r="N14" s="380" t="s">
        <v>1250</v>
      </c>
      <c r="O14" s="381"/>
      <c r="P14" s="382"/>
      <c r="Q14" s="383"/>
    </row>
    <row r="15" spans="1:17" x14ac:dyDescent="0.2">
      <c r="A15" s="370"/>
      <c r="B15" s="6"/>
      <c r="C15" s="371"/>
      <c r="D15" s="372" t="s">
        <v>21</v>
      </c>
      <c r="E15" s="253">
        <v>0</v>
      </c>
      <c r="F15" s="373">
        <f t="shared" si="0"/>
        <v>0</v>
      </c>
      <c r="G15" s="529"/>
      <c r="H15" s="375">
        <v>0</v>
      </c>
      <c r="I15" s="373">
        <f t="shared" si="1"/>
        <v>0</v>
      </c>
      <c r="J15" s="376"/>
      <c r="K15" s="530">
        <f t="shared" si="2"/>
        <v>0</v>
      </c>
      <c r="L15" s="868" t="s">
        <v>1038</v>
      </c>
      <c r="M15" s="379">
        <v>221900</v>
      </c>
      <c r="N15" s="380" t="s">
        <v>1251</v>
      </c>
      <c r="O15" s="381"/>
      <c r="P15" s="382"/>
      <c r="Q15" s="383"/>
    </row>
    <row r="16" spans="1:17" x14ac:dyDescent="0.2">
      <c r="A16" s="384"/>
      <c r="B16" s="5"/>
      <c r="C16" s="371"/>
      <c r="D16" s="372" t="s">
        <v>21</v>
      </c>
      <c r="E16" s="253">
        <v>0</v>
      </c>
      <c r="F16" s="373">
        <f t="shared" si="0"/>
        <v>0</v>
      </c>
      <c r="G16" s="529"/>
      <c r="H16" s="375">
        <v>0</v>
      </c>
      <c r="I16" s="373">
        <f t="shared" si="1"/>
        <v>0</v>
      </c>
      <c r="J16" s="376"/>
      <c r="K16" s="530">
        <f t="shared" si="2"/>
        <v>0</v>
      </c>
      <c r="L16" s="868" t="s">
        <v>1182</v>
      </c>
      <c r="M16" s="379">
        <v>212000</v>
      </c>
      <c r="N16" s="380" t="s">
        <v>1251</v>
      </c>
      <c r="O16" s="381"/>
      <c r="P16" s="382"/>
      <c r="Q16" s="383"/>
    </row>
    <row r="17" spans="1:17" x14ac:dyDescent="0.2">
      <c r="A17" s="384"/>
      <c r="B17" s="5"/>
      <c r="C17" s="371"/>
      <c r="D17" s="372" t="s">
        <v>21</v>
      </c>
      <c r="E17" s="253">
        <v>0</v>
      </c>
      <c r="F17" s="373">
        <f t="shared" si="0"/>
        <v>0</v>
      </c>
      <c r="G17" s="529"/>
      <c r="H17" s="375">
        <v>0</v>
      </c>
      <c r="I17" s="373">
        <f t="shared" si="1"/>
        <v>0</v>
      </c>
      <c r="J17" s="376"/>
      <c r="K17" s="530">
        <f t="shared" si="2"/>
        <v>0</v>
      </c>
      <c r="L17" s="157"/>
      <c r="M17" s="469"/>
      <c r="O17" s="381"/>
      <c r="P17" s="382"/>
      <c r="Q17" s="383"/>
    </row>
    <row r="18" spans="1:17" x14ac:dyDescent="0.2">
      <c r="A18" s="384"/>
      <c r="B18" s="5"/>
      <c r="C18" s="371"/>
      <c r="D18" s="372" t="s">
        <v>21</v>
      </c>
      <c r="E18" s="253">
        <v>0</v>
      </c>
      <c r="F18" s="373">
        <f t="shared" si="0"/>
        <v>0</v>
      </c>
      <c r="G18" s="529"/>
      <c r="H18" s="375">
        <v>0</v>
      </c>
      <c r="I18" s="373">
        <f t="shared" si="1"/>
        <v>0</v>
      </c>
      <c r="J18" s="376"/>
      <c r="K18" s="530">
        <f t="shared" si="2"/>
        <v>0</v>
      </c>
      <c r="L18" s="157"/>
      <c r="M18" s="469"/>
      <c r="O18" s="381"/>
      <c r="P18" s="382"/>
      <c r="Q18" s="383"/>
    </row>
    <row r="19" spans="1:17" x14ac:dyDescent="0.2">
      <c r="A19" s="384"/>
      <c r="B19" s="5"/>
      <c r="C19" s="371"/>
      <c r="D19" s="372" t="s">
        <v>21</v>
      </c>
      <c r="E19" s="253">
        <v>0</v>
      </c>
      <c r="F19" s="373">
        <f t="shared" si="0"/>
        <v>0</v>
      </c>
      <c r="G19" s="529"/>
      <c r="H19" s="375">
        <v>0</v>
      </c>
      <c r="I19" s="373">
        <f t="shared" si="1"/>
        <v>0</v>
      </c>
      <c r="J19" s="376"/>
      <c r="K19" s="530">
        <f t="shared" si="2"/>
        <v>0</v>
      </c>
      <c r="L19" s="157"/>
      <c r="M19" s="469"/>
      <c r="O19" s="381"/>
      <c r="P19" s="382"/>
      <c r="Q19" s="383"/>
    </row>
    <row r="20" spans="1:17" x14ac:dyDescent="0.2">
      <c r="A20" s="384"/>
      <c r="B20" s="5"/>
      <c r="C20" s="371"/>
      <c r="D20" s="372" t="s">
        <v>21</v>
      </c>
      <c r="E20" s="253">
        <v>0</v>
      </c>
      <c r="F20" s="373">
        <f t="shared" si="0"/>
        <v>0</v>
      </c>
      <c r="G20" s="529"/>
      <c r="H20" s="375">
        <v>0</v>
      </c>
      <c r="I20" s="373">
        <f t="shared" si="1"/>
        <v>0</v>
      </c>
      <c r="J20" s="376"/>
      <c r="K20" s="530">
        <f t="shared" si="2"/>
        <v>0</v>
      </c>
      <c r="L20" s="157"/>
      <c r="M20" s="469"/>
      <c r="O20" s="381"/>
      <c r="P20" s="382"/>
      <c r="Q20" s="383"/>
    </row>
    <row r="21" spans="1:17" x14ac:dyDescent="0.2">
      <c r="A21" s="384"/>
      <c r="B21" s="5"/>
      <c r="C21" s="371"/>
      <c r="D21" s="372" t="s">
        <v>21</v>
      </c>
      <c r="E21" s="253">
        <v>0</v>
      </c>
      <c r="F21" s="373">
        <f t="shared" si="0"/>
        <v>0</v>
      </c>
      <c r="G21" s="529"/>
      <c r="H21" s="375">
        <v>0</v>
      </c>
      <c r="I21" s="373">
        <f t="shared" si="1"/>
        <v>0</v>
      </c>
      <c r="J21" s="376"/>
      <c r="K21" s="530">
        <f t="shared" si="2"/>
        <v>0</v>
      </c>
      <c r="L21" s="157"/>
      <c r="M21" s="469"/>
      <c r="O21" s="381"/>
      <c r="P21" s="382"/>
      <c r="Q21" s="383"/>
    </row>
    <row r="22" spans="1:17" x14ac:dyDescent="0.2">
      <c r="A22" s="384"/>
      <c r="B22" s="5"/>
      <c r="C22" s="371"/>
      <c r="D22" s="372" t="s">
        <v>21</v>
      </c>
      <c r="E22" s="253">
        <v>0</v>
      </c>
      <c r="F22" s="373">
        <f t="shared" si="0"/>
        <v>0</v>
      </c>
      <c r="G22" s="529"/>
      <c r="H22" s="375">
        <v>0</v>
      </c>
      <c r="I22" s="373">
        <f t="shared" si="1"/>
        <v>0</v>
      </c>
      <c r="J22" s="376"/>
      <c r="K22" s="530">
        <f t="shared" si="2"/>
        <v>0</v>
      </c>
      <c r="L22" s="157"/>
      <c r="M22" s="469"/>
      <c r="O22" s="381"/>
      <c r="P22" s="382"/>
      <c r="Q22" s="383"/>
    </row>
    <row r="23" spans="1:17" ht="13.5" thickBot="1" x14ac:dyDescent="0.25">
      <c r="A23" s="387"/>
      <c r="B23" s="7"/>
      <c r="C23" s="388"/>
      <c r="D23" s="372"/>
      <c r="E23" s="253"/>
      <c r="F23" s="373"/>
      <c r="G23" s="529"/>
      <c r="H23" s="375"/>
      <c r="I23" s="373"/>
      <c r="J23" s="376"/>
      <c r="K23" s="530"/>
      <c r="L23" s="157"/>
      <c r="M23" s="469"/>
      <c r="O23" s="381"/>
      <c r="P23" s="382"/>
      <c r="Q23" s="383"/>
    </row>
    <row r="24" spans="1:17" ht="13.5" thickTop="1" x14ac:dyDescent="0.2">
      <c r="A24" s="387"/>
      <c r="B24" s="7"/>
      <c r="C24" s="388"/>
      <c r="D24" s="372"/>
      <c r="E24" s="253"/>
      <c r="F24" s="373"/>
      <c r="G24" s="529"/>
      <c r="H24" s="375"/>
      <c r="I24" s="373"/>
      <c r="J24" s="389" t="s">
        <v>30</v>
      </c>
      <c r="K24" s="532">
        <f>SUM(K11:K23)</f>
        <v>212000</v>
      </c>
      <c r="L24" s="157"/>
      <c r="M24" s="469"/>
      <c r="O24" s="381"/>
      <c r="P24" s="382"/>
      <c r="Q24" s="383"/>
    </row>
    <row r="25" spans="1:17" ht="13.5" thickBot="1" x14ac:dyDescent="0.25">
      <c r="A25" s="353" t="s">
        <v>0</v>
      </c>
      <c r="B25" s="354" t="s">
        <v>1</v>
      </c>
      <c r="C25" s="939" t="s">
        <v>656</v>
      </c>
      <c r="D25" s="939"/>
      <c r="E25" s="939"/>
      <c r="F25" s="939"/>
      <c r="G25" s="939" t="s">
        <v>34</v>
      </c>
      <c r="H25" s="939"/>
      <c r="I25" s="939"/>
      <c r="J25" s="355"/>
      <c r="K25" s="523"/>
      <c r="L25" s="391"/>
      <c r="M25" s="392"/>
      <c r="N25" s="393"/>
      <c r="O25" s="381"/>
      <c r="P25" s="382"/>
      <c r="Q25" s="383"/>
    </row>
    <row r="26" spans="1:17" s="159" customFormat="1" ht="16.5" thickBot="1" x14ac:dyDescent="0.3">
      <c r="A26" s="394"/>
      <c r="B26" s="395"/>
      <c r="C26" s="396" t="s">
        <v>19</v>
      </c>
      <c r="D26" s="397" t="s">
        <v>33</v>
      </c>
      <c r="E26" s="398" t="s">
        <v>35</v>
      </c>
      <c r="F26" s="399" t="s">
        <v>30</v>
      </c>
      <c r="G26" s="533" t="s">
        <v>14</v>
      </c>
      <c r="H26" s="398" t="s">
        <v>35</v>
      </c>
      <c r="I26" s="399" t="s">
        <v>30</v>
      </c>
      <c r="J26" s="364" t="s">
        <v>659</v>
      </c>
      <c r="K26" s="534" t="s">
        <v>38</v>
      </c>
      <c r="L26" s="402"/>
      <c r="M26" s="403"/>
      <c r="N26" s="404"/>
      <c r="O26" s="381"/>
      <c r="P26" s="382"/>
      <c r="Q26" s="383"/>
    </row>
    <row r="27" spans="1:17" s="159" customFormat="1" x14ac:dyDescent="0.2">
      <c r="A27" s="405"/>
      <c r="B27" s="406"/>
      <c r="C27" s="371"/>
      <c r="D27" s="372" t="s">
        <v>21</v>
      </c>
      <c r="E27" s="253">
        <v>0</v>
      </c>
      <c r="F27" s="373">
        <f t="shared" ref="F27:F33" si="3">C27*E27</f>
        <v>0</v>
      </c>
      <c r="G27" s="529"/>
      <c r="H27" s="375">
        <v>0</v>
      </c>
      <c r="I27" s="373">
        <f t="shared" ref="I27:I33" si="4">G27*H27</f>
        <v>0</v>
      </c>
      <c r="J27" s="376"/>
      <c r="K27" s="530">
        <f t="shared" ref="K27:K33" si="5">F27+I27+J27</f>
        <v>0</v>
      </c>
      <c r="L27" s="157"/>
      <c r="M27" s="469"/>
      <c r="N27" s="157"/>
      <c r="O27" s="381"/>
      <c r="P27" s="382"/>
      <c r="Q27" s="383"/>
    </row>
    <row r="28" spans="1:17" s="159" customFormat="1" x14ac:dyDescent="0.2">
      <c r="A28" s="370"/>
      <c r="B28" s="5"/>
      <c r="C28" s="371"/>
      <c r="D28" s="372" t="s">
        <v>21</v>
      </c>
      <c r="E28" s="253">
        <v>0</v>
      </c>
      <c r="F28" s="373">
        <f t="shared" si="3"/>
        <v>0</v>
      </c>
      <c r="G28" s="529"/>
      <c r="H28" s="375">
        <v>0</v>
      </c>
      <c r="I28" s="373">
        <f t="shared" si="4"/>
        <v>0</v>
      </c>
      <c r="J28" s="376"/>
      <c r="K28" s="530">
        <f t="shared" si="5"/>
        <v>0</v>
      </c>
      <c r="M28" s="276"/>
      <c r="N28" s="157"/>
      <c r="O28" s="381"/>
      <c r="P28" s="382"/>
      <c r="Q28" s="383"/>
    </row>
    <row r="29" spans="1:17" s="159" customFormat="1" x14ac:dyDescent="0.2">
      <c r="A29" s="370"/>
      <c r="B29" s="5"/>
      <c r="C29" s="371"/>
      <c r="D29" s="372" t="s">
        <v>21</v>
      </c>
      <c r="E29" s="253">
        <v>0</v>
      </c>
      <c r="F29" s="373">
        <f t="shared" si="3"/>
        <v>0</v>
      </c>
      <c r="G29" s="529"/>
      <c r="H29" s="375">
        <v>0</v>
      </c>
      <c r="I29" s="373">
        <f t="shared" si="4"/>
        <v>0</v>
      </c>
      <c r="J29" s="376"/>
      <c r="K29" s="530">
        <f t="shared" si="5"/>
        <v>0</v>
      </c>
      <c r="L29" s="378"/>
      <c r="M29" s="379"/>
      <c r="N29" s="380"/>
      <c r="O29" s="381"/>
      <c r="P29" s="382"/>
      <c r="Q29" s="383"/>
    </row>
    <row r="30" spans="1:17" s="159" customFormat="1" x14ac:dyDescent="0.2">
      <c r="A30" s="370"/>
      <c r="B30" s="5"/>
      <c r="C30" s="371"/>
      <c r="D30" s="372" t="s">
        <v>21</v>
      </c>
      <c r="E30" s="253">
        <v>0</v>
      </c>
      <c r="F30" s="373">
        <f t="shared" si="3"/>
        <v>0</v>
      </c>
      <c r="G30" s="529"/>
      <c r="H30" s="375">
        <v>0</v>
      </c>
      <c r="I30" s="373">
        <f t="shared" si="4"/>
        <v>0</v>
      </c>
      <c r="J30" s="376"/>
      <c r="K30" s="530">
        <f t="shared" si="5"/>
        <v>0</v>
      </c>
      <c r="L30" s="378"/>
      <c r="M30" s="379"/>
      <c r="N30" s="380"/>
      <c r="O30" s="381"/>
      <c r="P30" s="382"/>
      <c r="Q30" s="383"/>
    </row>
    <row r="31" spans="1:17" s="159" customFormat="1" x14ac:dyDescent="0.2">
      <c r="A31" s="370"/>
      <c r="B31" s="5"/>
      <c r="C31" s="371"/>
      <c r="D31" s="372" t="s">
        <v>21</v>
      </c>
      <c r="E31" s="253">
        <v>0</v>
      </c>
      <c r="F31" s="373">
        <f t="shared" si="3"/>
        <v>0</v>
      </c>
      <c r="G31" s="529"/>
      <c r="H31" s="375">
        <v>0</v>
      </c>
      <c r="I31" s="373">
        <f t="shared" si="4"/>
        <v>0</v>
      </c>
      <c r="J31" s="376"/>
      <c r="K31" s="530">
        <f t="shared" si="5"/>
        <v>0</v>
      </c>
      <c r="L31" s="536"/>
      <c r="M31" s="574"/>
      <c r="N31" s="537"/>
      <c r="O31" s="381"/>
      <c r="P31" s="382"/>
      <c r="Q31" s="383"/>
    </row>
    <row r="32" spans="1:17" s="159" customFormat="1" x14ac:dyDescent="0.2">
      <c r="A32" s="370"/>
      <c r="B32" s="5"/>
      <c r="C32" s="371"/>
      <c r="D32" s="372" t="s">
        <v>21</v>
      </c>
      <c r="E32" s="253">
        <v>0</v>
      </c>
      <c r="F32" s="373">
        <f t="shared" si="3"/>
        <v>0</v>
      </c>
      <c r="G32" s="529"/>
      <c r="H32" s="375">
        <v>0</v>
      </c>
      <c r="I32" s="373">
        <f t="shared" si="4"/>
        <v>0</v>
      </c>
      <c r="J32" s="376"/>
      <c r="K32" s="530">
        <f t="shared" si="5"/>
        <v>0</v>
      </c>
      <c r="L32" s="538"/>
      <c r="M32" s="255"/>
      <c r="N32" s="421"/>
      <c r="O32" s="381"/>
      <c r="P32" s="382"/>
      <c r="Q32" s="383"/>
    </row>
    <row r="33" spans="1:17" s="159" customFormat="1" x14ac:dyDescent="0.2">
      <c r="A33" s="370"/>
      <c r="B33" s="5"/>
      <c r="C33" s="371"/>
      <c r="D33" s="372" t="s">
        <v>21</v>
      </c>
      <c r="E33" s="253">
        <v>0</v>
      </c>
      <c r="F33" s="373">
        <f t="shared" si="3"/>
        <v>0</v>
      </c>
      <c r="G33" s="529"/>
      <c r="H33" s="375">
        <v>0</v>
      </c>
      <c r="I33" s="373">
        <f t="shared" si="4"/>
        <v>0</v>
      </c>
      <c r="J33" s="376"/>
      <c r="K33" s="530">
        <f t="shared" si="5"/>
        <v>0</v>
      </c>
      <c r="L33" s="157"/>
      <c r="M33" s="469"/>
      <c r="N33" s="157"/>
      <c r="O33" s="381"/>
      <c r="P33" s="382"/>
      <c r="Q33" s="383"/>
    </row>
    <row r="34" spans="1:17" s="159" customFormat="1" ht="13.5" thickBot="1" x14ac:dyDescent="0.25">
      <c r="A34" s="370"/>
      <c r="B34" s="5"/>
      <c r="C34" s="388"/>
      <c r="D34" s="372"/>
      <c r="E34" s="253"/>
      <c r="F34" s="373"/>
      <c r="G34" s="529"/>
      <c r="H34" s="375"/>
      <c r="I34" s="373"/>
      <c r="J34" s="376"/>
      <c r="K34" s="535"/>
      <c r="L34" s="157"/>
      <c r="M34" s="469"/>
      <c r="N34" s="157"/>
      <c r="O34" s="381"/>
      <c r="P34" s="382"/>
      <c r="Q34" s="383"/>
    </row>
    <row r="35" spans="1:17" s="159" customFormat="1" ht="13.5" thickTop="1" x14ac:dyDescent="0.2">
      <c r="A35" s="387"/>
      <c r="B35" s="5"/>
      <c r="C35" s="388"/>
      <c r="D35" s="372"/>
      <c r="E35" s="253"/>
      <c r="F35" s="373"/>
      <c r="G35" s="529"/>
      <c r="H35" s="375"/>
      <c r="I35" s="373"/>
      <c r="J35" s="389" t="s">
        <v>30</v>
      </c>
      <c r="K35" s="532">
        <f>SUM(K27:K34)</f>
        <v>0</v>
      </c>
      <c r="L35" s="378"/>
      <c r="M35" s="379"/>
      <c r="N35" s="380"/>
      <c r="O35" s="381"/>
      <c r="P35" s="382"/>
      <c r="Q35" s="383"/>
    </row>
    <row r="36" spans="1:17" s="159" customFormat="1" ht="13.5" thickBot="1" x14ac:dyDescent="0.25">
      <c r="A36" s="353" t="s">
        <v>0</v>
      </c>
      <c r="B36" s="354" t="s">
        <v>1</v>
      </c>
      <c r="C36" s="939" t="s">
        <v>656</v>
      </c>
      <c r="D36" s="939"/>
      <c r="E36" s="939"/>
      <c r="F36" s="939"/>
      <c r="G36" s="939" t="s">
        <v>34</v>
      </c>
      <c r="H36" s="939"/>
      <c r="I36" s="939"/>
      <c r="J36" s="355"/>
      <c r="K36" s="523"/>
      <c r="L36" s="391"/>
      <c r="M36" s="392"/>
      <c r="N36" s="393"/>
      <c r="O36" s="381"/>
      <c r="P36" s="382"/>
      <c r="Q36" s="383"/>
    </row>
    <row r="37" spans="1:17" s="159" customFormat="1" ht="16.5" thickBot="1" x14ac:dyDescent="0.3">
      <c r="A37" s="394"/>
      <c r="B37" s="395"/>
      <c r="C37" s="396" t="s">
        <v>19</v>
      </c>
      <c r="D37" s="397" t="s">
        <v>33</v>
      </c>
      <c r="E37" s="398" t="s">
        <v>35</v>
      </c>
      <c r="F37" s="399" t="s">
        <v>30</v>
      </c>
      <c r="G37" s="533" t="s">
        <v>14</v>
      </c>
      <c r="H37" s="398" t="s">
        <v>35</v>
      </c>
      <c r="I37" s="399" t="s">
        <v>30</v>
      </c>
      <c r="J37" s="364" t="s">
        <v>659</v>
      </c>
      <c r="K37" s="534" t="s">
        <v>38</v>
      </c>
      <c r="L37" s="402"/>
      <c r="M37" s="408"/>
      <c r="N37" s="409"/>
      <c r="O37" s="410"/>
      <c r="P37" s="411"/>
      <c r="Q37" s="383"/>
    </row>
    <row r="38" spans="1:17" s="159" customFormat="1" x14ac:dyDescent="0.2">
      <c r="A38" s="405"/>
      <c r="B38" s="406"/>
      <c r="C38" s="371"/>
      <c r="D38" s="372" t="s">
        <v>21</v>
      </c>
      <c r="E38" s="253">
        <v>0</v>
      </c>
      <c r="F38" s="373">
        <f>C38*E38</f>
        <v>0</v>
      </c>
      <c r="G38" s="529"/>
      <c r="H38" s="375">
        <v>0</v>
      </c>
      <c r="I38" s="373">
        <f>G38*H38</f>
        <v>0</v>
      </c>
      <c r="J38" s="376"/>
      <c r="K38" s="530">
        <f>F38+I38+J38</f>
        <v>0</v>
      </c>
      <c r="L38" s="378"/>
      <c r="M38" s="379"/>
      <c r="N38" s="380"/>
      <c r="O38" s="410"/>
      <c r="P38" s="411"/>
      <c r="Q38" s="383"/>
    </row>
    <row r="39" spans="1:17" s="159" customFormat="1" x14ac:dyDescent="0.2">
      <c r="A39" s="370"/>
      <c r="B39" s="5"/>
      <c r="C39" s="371"/>
      <c r="D39" s="372" t="s">
        <v>21</v>
      </c>
      <c r="E39" s="253">
        <v>0</v>
      </c>
      <c r="F39" s="373">
        <f>C39*E39</f>
        <v>0</v>
      </c>
      <c r="G39" s="529"/>
      <c r="H39" s="375">
        <v>0</v>
      </c>
      <c r="I39" s="373">
        <f>G39*H39</f>
        <v>0</v>
      </c>
      <c r="J39" s="376"/>
      <c r="K39" s="530">
        <f>F39+I39+J39</f>
        <v>0</v>
      </c>
      <c r="L39" s="378"/>
      <c r="M39" s="379"/>
      <c r="N39" s="380"/>
      <c r="O39" s="410"/>
      <c r="P39" s="411"/>
      <c r="Q39" s="383"/>
    </row>
    <row r="40" spans="1:17" s="159" customFormat="1" x14ac:dyDescent="0.2">
      <c r="A40" s="370"/>
      <c r="B40" s="5"/>
      <c r="C40" s="371"/>
      <c r="D40" s="372" t="s">
        <v>21</v>
      </c>
      <c r="E40" s="253">
        <v>0</v>
      </c>
      <c r="F40" s="373">
        <f>C40*E40</f>
        <v>0</v>
      </c>
      <c r="G40" s="529"/>
      <c r="H40" s="375">
        <v>0</v>
      </c>
      <c r="I40" s="373">
        <f>G40*H40</f>
        <v>0</v>
      </c>
      <c r="J40" s="376"/>
      <c r="K40" s="530">
        <f>F40+I40+J40</f>
        <v>0</v>
      </c>
      <c r="L40" s="378"/>
      <c r="M40" s="379"/>
      <c r="N40" s="380"/>
      <c r="O40" s="410"/>
      <c r="P40" s="411"/>
      <c r="Q40" s="383"/>
    </row>
    <row r="41" spans="1:17" s="159" customFormat="1" x14ac:dyDescent="0.2">
      <c r="A41" s="387"/>
      <c r="B41" s="412"/>
      <c r="C41" s="388"/>
      <c r="D41" s="372"/>
      <c r="E41" s="253"/>
      <c r="F41" s="373"/>
      <c r="G41" s="529"/>
      <c r="H41" s="375"/>
      <c r="I41" s="373"/>
      <c r="J41" s="376"/>
      <c r="K41" s="535"/>
      <c r="L41" s="378"/>
      <c r="M41" s="379"/>
      <c r="N41" s="380"/>
      <c r="O41" s="410"/>
      <c r="P41" s="411"/>
      <c r="Q41" s="383"/>
    </row>
    <row r="42" spans="1:17" s="159" customFormat="1" ht="13.5" thickBot="1" x14ac:dyDescent="0.25">
      <c r="A42" s="387"/>
      <c r="B42" s="412"/>
      <c r="C42" s="388"/>
      <c r="D42" s="372"/>
      <c r="E42" s="253"/>
      <c r="F42" s="373"/>
      <c r="G42" s="529"/>
      <c r="H42" s="375"/>
      <c r="I42" s="373"/>
      <c r="J42" s="376"/>
      <c r="K42" s="535"/>
      <c r="M42" s="276"/>
      <c r="N42" s="157"/>
      <c r="O42" s="410"/>
      <c r="P42" s="411"/>
      <c r="Q42" s="383"/>
    </row>
    <row r="43" spans="1:17" s="159" customFormat="1" ht="13.5" thickTop="1" x14ac:dyDescent="0.2">
      <c r="A43" s="387"/>
      <c r="B43" s="412"/>
      <c r="C43" s="388"/>
      <c r="D43" s="372"/>
      <c r="E43" s="253"/>
      <c r="F43" s="373"/>
      <c r="G43" s="529"/>
      <c r="H43" s="375"/>
      <c r="I43" s="373"/>
      <c r="J43" s="389" t="s">
        <v>30</v>
      </c>
      <c r="K43" s="532">
        <f>SUM(K38:K42)</f>
        <v>0</v>
      </c>
      <c r="M43" s="276"/>
      <c r="N43" s="157"/>
      <c r="O43" s="381"/>
      <c r="P43" s="382"/>
      <c r="Q43" s="383"/>
    </row>
    <row r="44" spans="1:17" s="159" customFormat="1" ht="13.5" thickBot="1" x14ac:dyDescent="0.25">
      <c r="A44" s="353" t="s">
        <v>0</v>
      </c>
      <c r="B44" s="354" t="s">
        <v>1</v>
      </c>
      <c r="C44" s="939" t="s">
        <v>656</v>
      </c>
      <c r="D44" s="939"/>
      <c r="E44" s="939"/>
      <c r="F44" s="939"/>
      <c r="G44" s="939" t="s">
        <v>34</v>
      </c>
      <c r="H44" s="939"/>
      <c r="I44" s="939"/>
      <c r="J44" s="355"/>
      <c r="K44" s="523"/>
      <c r="L44" s="391"/>
      <c r="M44" s="392"/>
      <c r="N44" s="393"/>
      <c r="O44" s="381"/>
      <c r="P44" s="382"/>
      <c r="Q44" s="383"/>
    </row>
    <row r="45" spans="1:17" s="159" customFormat="1" ht="16.5" thickBot="1" x14ac:dyDescent="0.3">
      <c r="A45" s="394"/>
      <c r="B45" s="395"/>
      <c r="C45" s="396" t="s">
        <v>19</v>
      </c>
      <c r="D45" s="397" t="s">
        <v>33</v>
      </c>
      <c r="E45" s="398" t="s">
        <v>35</v>
      </c>
      <c r="F45" s="399" t="s">
        <v>30</v>
      </c>
      <c r="G45" s="533" t="s">
        <v>14</v>
      </c>
      <c r="H45" s="398" t="s">
        <v>35</v>
      </c>
      <c r="I45" s="399" t="s">
        <v>30</v>
      </c>
      <c r="J45" s="364" t="s">
        <v>659</v>
      </c>
      <c r="K45" s="534" t="s">
        <v>38</v>
      </c>
      <c r="L45" s="402"/>
      <c r="M45" s="408"/>
      <c r="N45" s="409"/>
      <c r="O45" s="381"/>
      <c r="P45" s="411"/>
      <c r="Q45" s="383"/>
    </row>
    <row r="46" spans="1:17" s="159" customFormat="1" x14ac:dyDescent="0.2">
      <c r="A46" s="405"/>
      <c r="B46" s="406"/>
      <c r="C46" s="371"/>
      <c r="D46" s="372" t="s">
        <v>21</v>
      </c>
      <c r="E46" s="253">
        <v>0</v>
      </c>
      <c r="F46" s="373">
        <f>C46*E46</f>
        <v>0</v>
      </c>
      <c r="G46" s="529"/>
      <c r="H46" s="375">
        <v>0</v>
      </c>
      <c r="I46" s="373">
        <f>G46*H46</f>
        <v>0</v>
      </c>
      <c r="J46" s="376"/>
      <c r="K46" s="530">
        <f>F46+I46+J46</f>
        <v>0</v>
      </c>
      <c r="L46" s="378"/>
      <c r="M46" s="255"/>
      <c r="N46" s="421"/>
      <c r="O46" s="381"/>
      <c r="P46" s="382"/>
      <c r="Q46" s="383"/>
    </row>
    <row r="47" spans="1:17" s="159" customFormat="1" x14ac:dyDescent="0.2">
      <c r="A47" s="370"/>
      <c r="B47" s="5"/>
      <c r="C47" s="371"/>
      <c r="D47" s="372" t="s">
        <v>21</v>
      </c>
      <c r="E47" s="253">
        <v>0</v>
      </c>
      <c r="F47" s="373">
        <f>C47*E47</f>
        <v>0</v>
      </c>
      <c r="G47" s="529"/>
      <c r="H47" s="375">
        <v>0</v>
      </c>
      <c r="I47" s="373">
        <f>G47*H47</f>
        <v>0</v>
      </c>
      <c r="J47" s="376"/>
      <c r="K47" s="530">
        <f>F47+I47+J47</f>
        <v>0</v>
      </c>
      <c r="L47" s="378"/>
      <c r="M47" s="255"/>
      <c r="N47" s="421"/>
      <c r="O47" s="381"/>
      <c r="P47" s="382"/>
      <c r="Q47" s="383"/>
    </row>
    <row r="48" spans="1:17" s="159" customFormat="1" x14ac:dyDescent="0.2">
      <c r="A48" s="370"/>
      <c r="B48" s="5"/>
      <c r="C48" s="371"/>
      <c r="D48" s="372" t="s">
        <v>21</v>
      </c>
      <c r="E48" s="253">
        <v>0</v>
      </c>
      <c r="F48" s="373">
        <f>C48*E48</f>
        <v>0</v>
      </c>
      <c r="G48" s="529"/>
      <c r="H48" s="375">
        <v>0</v>
      </c>
      <c r="I48" s="373">
        <f>G48*H48</f>
        <v>0</v>
      </c>
      <c r="J48" s="376"/>
      <c r="K48" s="530">
        <f>F48+I48+J48</f>
        <v>0</v>
      </c>
      <c r="L48" s="661"/>
      <c r="M48" s="662"/>
      <c r="N48" s="663"/>
      <c r="O48" s="381"/>
      <c r="P48" s="382"/>
      <c r="Q48" s="383"/>
    </row>
    <row r="49" spans="1:17" s="159" customFormat="1" x14ac:dyDescent="0.2">
      <c r="A49" s="370"/>
      <c r="B49" s="5"/>
      <c r="C49" s="371"/>
      <c r="D49" s="372" t="s">
        <v>21</v>
      </c>
      <c r="E49" s="253">
        <v>0</v>
      </c>
      <c r="F49" s="373">
        <f>C49*E49</f>
        <v>0</v>
      </c>
      <c r="G49" s="529"/>
      <c r="H49" s="375">
        <v>0</v>
      </c>
      <c r="I49" s="373">
        <f>G49*H49</f>
        <v>0</v>
      </c>
      <c r="J49" s="376"/>
      <c r="K49" s="530">
        <f>F49+I49+J49</f>
        <v>0</v>
      </c>
      <c r="L49" s="664"/>
      <c r="M49" s="255"/>
      <c r="N49" s="421"/>
      <c r="O49" s="381"/>
      <c r="P49" s="382"/>
      <c r="Q49" s="383"/>
    </row>
    <row r="50" spans="1:17" s="159" customFormat="1" x14ac:dyDescent="0.2">
      <c r="A50" s="370"/>
      <c r="B50" s="5"/>
      <c r="C50" s="371"/>
      <c r="D50" s="372" t="s">
        <v>21</v>
      </c>
      <c r="E50" s="253">
        <v>0</v>
      </c>
      <c r="F50" s="373">
        <f>C50*E50</f>
        <v>0</v>
      </c>
      <c r="G50" s="529"/>
      <c r="H50" s="375">
        <v>0</v>
      </c>
      <c r="I50" s="373">
        <f>G50*H50</f>
        <v>0</v>
      </c>
      <c r="J50" s="376"/>
      <c r="K50" s="530">
        <f>F50+I50+J50</f>
        <v>0</v>
      </c>
      <c r="L50" s="378"/>
      <c r="M50" s="255"/>
      <c r="N50" s="421"/>
      <c r="O50" s="381"/>
      <c r="P50" s="382"/>
      <c r="Q50" s="383"/>
    </row>
    <row r="51" spans="1:17" s="159" customFormat="1" ht="13.5" thickBot="1" x14ac:dyDescent="0.25">
      <c r="A51" s="387"/>
      <c r="B51" s="412"/>
      <c r="C51" s="388"/>
      <c r="D51" s="372"/>
      <c r="E51" s="253"/>
      <c r="F51" s="373"/>
      <c r="G51" s="529"/>
      <c r="H51" s="375"/>
      <c r="I51" s="373"/>
      <c r="J51" s="376"/>
      <c r="K51" s="535"/>
      <c r="L51" s="378"/>
      <c r="M51" s="255"/>
      <c r="N51" s="380"/>
      <c r="O51" s="381"/>
      <c r="P51" s="382"/>
      <c r="Q51" s="383"/>
    </row>
    <row r="52" spans="1:17" s="159" customFormat="1" ht="13.5" thickTop="1" x14ac:dyDescent="0.2">
      <c r="A52" s="387"/>
      <c r="B52" s="412"/>
      <c r="C52" s="388"/>
      <c r="D52" s="372"/>
      <c r="E52" s="253"/>
      <c r="F52" s="373"/>
      <c r="G52" s="529"/>
      <c r="H52" s="375"/>
      <c r="I52" s="373"/>
      <c r="J52" s="389" t="s">
        <v>30</v>
      </c>
      <c r="K52" s="532">
        <f>SUM(K46:K51)</f>
        <v>0</v>
      </c>
      <c r="L52" s="157"/>
      <c r="M52" s="469"/>
      <c r="N52" s="157"/>
      <c r="O52" s="436"/>
      <c r="P52" s="437"/>
      <c r="Q52" s="383"/>
    </row>
    <row r="53" spans="1:17" s="159" customFormat="1" ht="13.5" thickBot="1" x14ac:dyDescent="0.25">
      <c r="A53" s="353" t="s">
        <v>0</v>
      </c>
      <c r="B53" s="354" t="s">
        <v>1</v>
      </c>
      <c r="C53" s="939" t="s">
        <v>656</v>
      </c>
      <c r="D53" s="939"/>
      <c r="E53" s="939"/>
      <c r="F53" s="939"/>
      <c r="G53" s="939" t="s">
        <v>34</v>
      </c>
      <c r="H53" s="939"/>
      <c r="I53" s="939"/>
      <c r="J53" s="355"/>
      <c r="K53" s="523"/>
      <c r="L53" s="391"/>
      <c r="M53" s="355"/>
      <c r="N53" s="393"/>
      <c r="O53" s="436"/>
      <c r="P53" s="437"/>
      <c r="Q53" s="383"/>
    </row>
    <row r="54" spans="1:17" s="159" customFormat="1" ht="16.5" thickBot="1" x14ac:dyDescent="0.3">
      <c r="A54" s="394"/>
      <c r="B54" s="395"/>
      <c r="C54" s="396" t="s">
        <v>19</v>
      </c>
      <c r="D54" s="397" t="s">
        <v>33</v>
      </c>
      <c r="E54" s="398" t="s">
        <v>35</v>
      </c>
      <c r="F54" s="399" t="s">
        <v>30</v>
      </c>
      <c r="G54" s="533" t="s">
        <v>14</v>
      </c>
      <c r="H54" s="398" t="s">
        <v>35</v>
      </c>
      <c r="I54" s="399" t="s">
        <v>30</v>
      </c>
      <c r="J54" s="364" t="s">
        <v>659</v>
      </c>
      <c r="K54" s="534" t="s">
        <v>38</v>
      </c>
      <c r="L54" s="402"/>
      <c r="M54" s="408"/>
      <c r="N54" s="404"/>
      <c r="O54" s="410"/>
      <c r="P54" s="411"/>
      <c r="Q54" s="383"/>
    </row>
    <row r="55" spans="1:17" s="159" customFormat="1" x14ac:dyDescent="0.2">
      <c r="A55" s="405"/>
      <c r="B55" s="406"/>
      <c r="C55" s="371"/>
      <c r="D55" s="372" t="s">
        <v>21</v>
      </c>
      <c r="E55" s="253">
        <v>0</v>
      </c>
      <c r="F55" s="373">
        <f t="shared" ref="F55:F61" si="6">C55*E55</f>
        <v>0</v>
      </c>
      <c r="G55" s="529"/>
      <c r="H55" s="375">
        <v>0</v>
      </c>
      <c r="I55" s="373">
        <f t="shared" ref="I55:I61" si="7">G55*H55</f>
        <v>0</v>
      </c>
      <c r="J55" s="376"/>
      <c r="K55" s="530">
        <f t="shared" ref="K55:K61" si="8">F55+I55+J55</f>
        <v>0</v>
      </c>
      <c r="M55" s="276"/>
      <c r="N55" s="157"/>
      <c r="O55" s="381"/>
      <c r="P55" s="382"/>
      <c r="Q55" s="383"/>
    </row>
    <row r="56" spans="1:17" s="159" customFormat="1" x14ac:dyDescent="0.2">
      <c r="A56" s="370"/>
      <c r="B56" s="5"/>
      <c r="C56" s="371"/>
      <c r="D56" s="372" t="s">
        <v>21</v>
      </c>
      <c r="E56" s="253">
        <v>0</v>
      </c>
      <c r="F56" s="373">
        <f t="shared" si="6"/>
        <v>0</v>
      </c>
      <c r="G56" s="529"/>
      <c r="H56" s="375">
        <v>0</v>
      </c>
      <c r="I56" s="373">
        <f t="shared" si="7"/>
        <v>0</v>
      </c>
      <c r="J56" s="376"/>
      <c r="K56" s="530">
        <f t="shared" si="8"/>
        <v>0</v>
      </c>
      <c r="L56" s="378"/>
      <c r="M56" s="255"/>
      <c r="N56" s="380"/>
      <c r="O56" s="381"/>
      <c r="P56" s="382"/>
      <c r="Q56" s="383"/>
    </row>
    <row r="57" spans="1:17" s="159" customFormat="1" x14ac:dyDescent="0.2">
      <c r="A57" s="370"/>
      <c r="B57" s="5"/>
      <c r="C57" s="371"/>
      <c r="D57" s="372" t="s">
        <v>21</v>
      </c>
      <c r="E57" s="253">
        <v>0</v>
      </c>
      <c r="F57" s="373">
        <f t="shared" si="6"/>
        <v>0</v>
      </c>
      <c r="G57" s="529"/>
      <c r="H57" s="375">
        <v>0</v>
      </c>
      <c r="I57" s="373">
        <f t="shared" si="7"/>
        <v>0</v>
      </c>
      <c r="J57" s="376"/>
      <c r="K57" s="530">
        <f t="shared" si="8"/>
        <v>0</v>
      </c>
      <c r="L57" s="378"/>
      <c r="M57" s="255"/>
      <c r="N57" s="380"/>
      <c r="O57" s="381"/>
      <c r="P57" s="382"/>
      <c r="Q57" s="383"/>
    </row>
    <row r="58" spans="1:17" s="159" customFormat="1" x14ac:dyDescent="0.2">
      <c r="A58" s="370"/>
      <c r="B58" s="5"/>
      <c r="C58" s="371"/>
      <c r="D58" s="372" t="s">
        <v>21</v>
      </c>
      <c r="E58" s="253">
        <v>0</v>
      </c>
      <c r="F58" s="373">
        <f t="shared" si="6"/>
        <v>0</v>
      </c>
      <c r="G58" s="529"/>
      <c r="H58" s="375">
        <v>0</v>
      </c>
      <c r="I58" s="373">
        <f t="shared" si="7"/>
        <v>0</v>
      </c>
      <c r="J58" s="376"/>
      <c r="K58" s="530">
        <f t="shared" si="8"/>
        <v>0</v>
      </c>
      <c r="L58" s="378"/>
      <c r="M58" s="255"/>
      <c r="N58" s="380"/>
      <c r="O58" s="381"/>
      <c r="P58" s="382"/>
      <c r="Q58" s="383"/>
    </row>
    <row r="59" spans="1:17" s="159" customFormat="1" x14ac:dyDescent="0.2">
      <c r="A59" s="370"/>
      <c r="B59" s="5"/>
      <c r="C59" s="371"/>
      <c r="D59" s="372" t="s">
        <v>21</v>
      </c>
      <c r="E59" s="253">
        <v>0</v>
      </c>
      <c r="F59" s="373">
        <f t="shared" si="6"/>
        <v>0</v>
      </c>
      <c r="G59" s="529"/>
      <c r="H59" s="375">
        <v>0</v>
      </c>
      <c r="I59" s="373">
        <f t="shared" si="7"/>
        <v>0</v>
      </c>
      <c r="J59" s="376"/>
      <c r="K59" s="530">
        <f t="shared" si="8"/>
        <v>0</v>
      </c>
      <c r="L59" s="661"/>
      <c r="M59" s="255"/>
      <c r="N59" s="663"/>
      <c r="O59" s="381"/>
      <c r="P59" s="382"/>
      <c r="Q59" s="383"/>
    </row>
    <row r="60" spans="1:17" s="159" customFormat="1" x14ac:dyDescent="0.2">
      <c r="A60" s="370"/>
      <c r="B60" s="5"/>
      <c r="C60" s="371"/>
      <c r="D60" s="372" t="s">
        <v>21</v>
      </c>
      <c r="E60" s="253">
        <v>0</v>
      </c>
      <c r="F60" s="373">
        <f t="shared" si="6"/>
        <v>0</v>
      </c>
      <c r="G60" s="529"/>
      <c r="H60" s="375">
        <v>0</v>
      </c>
      <c r="I60" s="373">
        <f t="shared" si="7"/>
        <v>0</v>
      </c>
      <c r="J60" s="376"/>
      <c r="K60" s="530">
        <f t="shared" si="8"/>
        <v>0</v>
      </c>
      <c r="L60" s="664"/>
      <c r="M60" s="255"/>
      <c r="N60" s="665"/>
      <c r="O60" s="381"/>
      <c r="P60" s="382"/>
      <c r="Q60" s="383"/>
    </row>
    <row r="61" spans="1:17" s="159" customFormat="1" x14ac:dyDescent="0.2">
      <c r="A61" s="370"/>
      <c r="B61" s="5"/>
      <c r="C61" s="371"/>
      <c r="D61" s="372" t="s">
        <v>21</v>
      </c>
      <c r="E61" s="253">
        <v>0</v>
      </c>
      <c r="F61" s="373">
        <f t="shared" si="6"/>
        <v>0</v>
      </c>
      <c r="G61" s="529"/>
      <c r="H61" s="375">
        <v>0</v>
      </c>
      <c r="I61" s="373">
        <f t="shared" si="7"/>
        <v>0</v>
      </c>
      <c r="J61" s="376"/>
      <c r="K61" s="530">
        <f t="shared" si="8"/>
        <v>0</v>
      </c>
      <c r="L61" s="378"/>
      <c r="M61" s="255"/>
      <c r="N61" s="421"/>
      <c r="O61" s="381"/>
      <c r="P61" s="382"/>
      <c r="Q61" s="383"/>
    </row>
    <row r="62" spans="1:17" s="159" customFormat="1" ht="13.5" thickBot="1" x14ac:dyDescent="0.25">
      <c r="A62" s="387"/>
      <c r="B62" s="5"/>
      <c r="C62" s="388"/>
      <c r="D62" s="372"/>
      <c r="E62" s="253"/>
      <c r="F62" s="373"/>
      <c r="G62" s="529"/>
      <c r="H62" s="375"/>
      <c r="I62" s="373"/>
      <c r="J62" s="376"/>
      <c r="K62" s="535"/>
      <c r="M62" s="276"/>
      <c r="N62" s="157"/>
      <c r="O62" s="381"/>
      <c r="P62" s="382"/>
      <c r="Q62" s="383"/>
    </row>
    <row r="63" spans="1:17" s="159" customFormat="1" ht="13.5" thickTop="1" x14ac:dyDescent="0.2">
      <c r="A63" s="387"/>
      <c r="B63" s="412"/>
      <c r="C63" s="388"/>
      <c r="D63" s="372"/>
      <c r="E63" s="253"/>
      <c r="F63" s="373"/>
      <c r="G63" s="529"/>
      <c r="H63" s="375"/>
      <c r="I63" s="373"/>
      <c r="J63" s="389" t="s">
        <v>30</v>
      </c>
      <c r="K63" s="532">
        <f>SUM(K55:K62)</f>
        <v>0</v>
      </c>
      <c r="M63" s="276"/>
      <c r="N63" s="157"/>
      <c r="O63" s="381"/>
      <c r="P63" s="382"/>
      <c r="Q63" s="383"/>
    </row>
    <row r="64" spans="1:17" s="159" customFormat="1" ht="13.5" thickBot="1" x14ac:dyDescent="0.25">
      <c r="A64" s="353" t="s">
        <v>0</v>
      </c>
      <c r="B64" s="354" t="s">
        <v>1</v>
      </c>
      <c r="C64" s="939" t="s">
        <v>656</v>
      </c>
      <c r="D64" s="939"/>
      <c r="E64" s="939"/>
      <c r="F64" s="939"/>
      <c r="G64" s="939" t="s">
        <v>34</v>
      </c>
      <c r="H64" s="939"/>
      <c r="I64" s="939"/>
      <c r="J64" s="355"/>
      <c r="K64" s="523"/>
      <c r="L64" s="391"/>
      <c r="M64" s="355"/>
      <c r="N64" s="438"/>
      <c r="O64" s="381"/>
      <c r="P64" s="382"/>
      <c r="Q64" s="383"/>
    </row>
    <row r="65" spans="1:17" s="159" customFormat="1" ht="16.5" thickBot="1" x14ac:dyDescent="0.3">
      <c r="A65" s="394"/>
      <c r="B65" s="395"/>
      <c r="C65" s="396" t="s">
        <v>19</v>
      </c>
      <c r="D65" s="397" t="s">
        <v>33</v>
      </c>
      <c r="E65" s="398" t="s">
        <v>35</v>
      </c>
      <c r="F65" s="399" t="s">
        <v>30</v>
      </c>
      <c r="G65" s="533" t="s">
        <v>14</v>
      </c>
      <c r="H65" s="398" t="s">
        <v>35</v>
      </c>
      <c r="I65" s="399" t="s">
        <v>30</v>
      </c>
      <c r="J65" s="364" t="s">
        <v>659</v>
      </c>
      <c r="K65" s="534" t="s">
        <v>38</v>
      </c>
      <c r="L65" s="402"/>
      <c r="M65" s="408"/>
      <c r="N65" s="409"/>
      <c r="O65" s="381"/>
      <c r="P65" s="382"/>
      <c r="Q65" s="383"/>
    </row>
    <row r="66" spans="1:17" s="159" customFormat="1" x14ac:dyDescent="0.2">
      <c r="A66" s="405"/>
      <c r="B66" s="406"/>
      <c r="C66" s="371"/>
      <c r="D66" s="372" t="s">
        <v>21</v>
      </c>
      <c r="E66" s="253">
        <v>0</v>
      </c>
      <c r="F66" s="373">
        <f>C66*E66</f>
        <v>0</v>
      </c>
      <c r="G66" s="529"/>
      <c r="H66" s="375">
        <v>0</v>
      </c>
      <c r="I66" s="373">
        <f>G66*H66</f>
        <v>0</v>
      </c>
      <c r="J66" s="376"/>
      <c r="K66" s="530">
        <f>F66+I66+J66</f>
        <v>0</v>
      </c>
      <c r="L66" s="378"/>
      <c r="M66" s="379"/>
      <c r="N66" s="380"/>
      <c r="O66" s="381"/>
      <c r="P66" s="382"/>
      <c r="Q66" s="383"/>
    </row>
    <row r="67" spans="1:17" s="159" customFormat="1" x14ac:dyDescent="0.2">
      <c r="A67" s="370"/>
      <c r="B67" s="5"/>
      <c r="C67" s="371"/>
      <c r="D67" s="372" t="s">
        <v>21</v>
      </c>
      <c r="E67" s="253">
        <v>0</v>
      </c>
      <c r="F67" s="373">
        <f>C67*E67</f>
        <v>0</v>
      </c>
      <c r="G67" s="529"/>
      <c r="H67" s="375">
        <v>0</v>
      </c>
      <c r="I67" s="373">
        <f>G67*H67</f>
        <v>0</v>
      </c>
      <c r="J67" s="376"/>
      <c r="K67" s="530">
        <f>F67+I67+J67</f>
        <v>0</v>
      </c>
      <c r="L67" s="378"/>
      <c r="M67" s="379"/>
      <c r="N67" s="380"/>
      <c r="O67" s="381"/>
      <c r="P67" s="382"/>
      <c r="Q67" s="383"/>
    </row>
    <row r="68" spans="1:17" s="159" customFormat="1" x14ac:dyDescent="0.2">
      <c r="A68" s="370"/>
      <c r="B68" s="5"/>
      <c r="C68" s="371"/>
      <c r="D68" s="372" t="s">
        <v>21</v>
      </c>
      <c r="E68" s="253">
        <v>0</v>
      </c>
      <c r="F68" s="373">
        <f>C68*E68</f>
        <v>0</v>
      </c>
      <c r="G68" s="529"/>
      <c r="H68" s="375">
        <v>0</v>
      </c>
      <c r="I68" s="373">
        <f>G68*H68</f>
        <v>0</v>
      </c>
      <c r="J68" s="376"/>
      <c r="K68" s="530">
        <f>F68+I68+J68</f>
        <v>0</v>
      </c>
      <c r="L68" s="378"/>
      <c r="M68" s="379"/>
      <c r="N68" s="380"/>
      <c r="O68" s="381"/>
      <c r="P68" s="382"/>
      <c r="Q68" s="383"/>
    </row>
    <row r="69" spans="1:17" s="159" customFormat="1" x14ac:dyDescent="0.2">
      <c r="A69" s="370"/>
      <c r="B69" s="5"/>
      <c r="C69" s="371"/>
      <c r="D69" s="372" t="s">
        <v>21</v>
      </c>
      <c r="E69" s="253">
        <v>0</v>
      </c>
      <c r="F69" s="373">
        <f>C69*E69</f>
        <v>0</v>
      </c>
      <c r="G69" s="529"/>
      <c r="H69" s="375">
        <v>0</v>
      </c>
      <c r="I69" s="373">
        <f>G69*H69</f>
        <v>0</v>
      </c>
      <c r="J69" s="376"/>
      <c r="K69" s="530">
        <f>F69+I69+J69</f>
        <v>0</v>
      </c>
      <c r="M69" s="276"/>
      <c r="N69" s="157"/>
      <c r="O69" s="381"/>
      <c r="P69" s="382"/>
      <c r="Q69" s="383"/>
    </row>
    <row r="70" spans="1:17" s="159" customFormat="1" x14ac:dyDescent="0.2">
      <c r="A70" s="370"/>
      <c r="B70" s="5"/>
      <c r="C70" s="371"/>
      <c r="D70" s="372" t="s">
        <v>21</v>
      </c>
      <c r="E70" s="253">
        <v>0</v>
      </c>
      <c r="F70" s="373">
        <f>C70*E70</f>
        <v>0</v>
      </c>
      <c r="G70" s="529"/>
      <c r="H70" s="375">
        <v>0</v>
      </c>
      <c r="I70" s="373">
        <f>G70*H70</f>
        <v>0</v>
      </c>
      <c r="J70" s="376"/>
      <c r="K70" s="530">
        <f>F70+I70+J70</f>
        <v>0</v>
      </c>
      <c r="M70" s="276"/>
      <c r="N70" s="157"/>
      <c r="O70" s="381"/>
      <c r="P70" s="382"/>
      <c r="Q70" s="383"/>
    </row>
    <row r="71" spans="1:17" s="159" customFormat="1" ht="13.5" thickBot="1" x14ac:dyDescent="0.25">
      <c r="A71" s="387"/>
      <c r="B71" s="5"/>
      <c r="C71" s="388"/>
      <c r="D71" s="372"/>
      <c r="E71" s="253"/>
      <c r="F71" s="373"/>
      <c r="G71" s="529"/>
      <c r="H71" s="375"/>
      <c r="I71" s="373"/>
      <c r="J71" s="376"/>
      <c r="K71" s="535"/>
      <c r="M71" s="276"/>
      <c r="N71" s="157"/>
      <c r="O71" s="381"/>
      <c r="P71" s="382"/>
      <c r="Q71" s="383"/>
    </row>
    <row r="72" spans="1:17" s="159" customFormat="1" ht="13.5" thickTop="1" x14ac:dyDescent="0.2">
      <c r="A72" s="387"/>
      <c r="B72" s="412"/>
      <c r="C72" s="388"/>
      <c r="D72" s="372"/>
      <c r="E72" s="253"/>
      <c r="F72" s="373"/>
      <c r="G72" s="529"/>
      <c r="H72" s="375"/>
      <c r="I72" s="373"/>
      <c r="J72" s="389" t="s">
        <v>30</v>
      </c>
      <c r="K72" s="532">
        <f>SUM(K66:K71)</f>
        <v>0</v>
      </c>
      <c r="M72" s="276"/>
      <c r="N72" s="157"/>
      <c r="O72" s="381"/>
      <c r="P72" s="382"/>
      <c r="Q72" s="383"/>
    </row>
    <row r="73" spans="1:17" s="159" customFormat="1" ht="13.5" thickBot="1" x14ac:dyDescent="0.25">
      <c r="A73" s="353" t="s">
        <v>0</v>
      </c>
      <c r="B73" s="354" t="s">
        <v>1</v>
      </c>
      <c r="C73" s="939" t="s">
        <v>656</v>
      </c>
      <c r="D73" s="939"/>
      <c r="E73" s="939"/>
      <c r="F73" s="939"/>
      <c r="G73" s="939" t="s">
        <v>34</v>
      </c>
      <c r="H73" s="939"/>
      <c r="I73" s="939"/>
      <c r="J73" s="355"/>
      <c r="K73" s="523"/>
      <c r="L73" s="391"/>
      <c r="M73" s="392"/>
      <c r="N73" s="393"/>
      <c r="O73" s="381"/>
      <c r="P73" s="382"/>
      <c r="Q73" s="383"/>
    </row>
    <row r="74" spans="1:17" s="159" customFormat="1" ht="16.5" thickBot="1" x14ac:dyDescent="0.3">
      <c r="A74" s="394"/>
      <c r="B74" s="395"/>
      <c r="C74" s="396" t="s">
        <v>19</v>
      </c>
      <c r="D74" s="397" t="s">
        <v>33</v>
      </c>
      <c r="E74" s="398" t="s">
        <v>35</v>
      </c>
      <c r="F74" s="399" t="s">
        <v>30</v>
      </c>
      <c r="G74" s="533" t="s">
        <v>14</v>
      </c>
      <c r="H74" s="398" t="s">
        <v>35</v>
      </c>
      <c r="I74" s="399" t="s">
        <v>30</v>
      </c>
      <c r="J74" s="364" t="s">
        <v>659</v>
      </c>
      <c r="K74" s="534" t="s">
        <v>38</v>
      </c>
      <c r="L74" s="402"/>
      <c r="M74" s="403"/>
      <c r="N74" s="404"/>
      <c r="O74" s="381"/>
      <c r="P74" s="382"/>
      <c r="Q74" s="383"/>
    </row>
    <row r="75" spans="1:17" s="159" customFormat="1" x14ac:dyDescent="0.2">
      <c r="A75" s="405"/>
      <c r="B75" s="406"/>
      <c r="C75" s="371"/>
      <c r="D75" s="372" t="s">
        <v>21</v>
      </c>
      <c r="E75" s="253">
        <v>0</v>
      </c>
      <c r="F75" s="373">
        <f>C75*E75</f>
        <v>0</v>
      </c>
      <c r="G75" s="529"/>
      <c r="H75" s="375">
        <v>0</v>
      </c>
      <c r="I75" s="373">
        <f>G75*H75</f>
        <v>0</v>
      </c>
      <c r="J75" s="376"/>
      <c r="K75" s="530">
        <f>F75+I75+J75</f>
        <v>0</v>
      </c>
      <c r="L75" s="378"/>
      <c r="M75" s="379"/>
      <c r="N75" s="380"/>
      <c r="O75" s="381"/>
      <c r="P75" s="382"/>
      <c r="Q75" s="383"/>
    </row>
    <row r="76" spans="1:17" s="159" customFormat="1" x14ac:dyDescent="0.2">
      <c r="A76" s="370"/>
      <c r="B76" s="5"/>
      <c r="C76" s="371"/>
      <c r="D76" s="372" t="s">
        <v>21</v>
      </c>
      <c r="E76" s="253">
        <v>0</v>
      </c>
      <c r="F76" s="373">
        <f>C76*E76</f>
        <v>0</v>
      </c>
      <c r="G76" s="529"/>
      <c r="H76" s="375">
        <v>0</v>
      </c>
      <c r="I76" s="373">
        <f>G76*H76</f>
        <v>0</v>
      </c>
      <c r="J76" s="376"/>
      <c r="K76" s="530">
        <f>F76+I76+J76</f>
        <v>0</v>
      </c>
      <c r="L76" s="661"/>
      <c r="M76" s="662"/>
      <c r="N76" s="663"/>
      <c r="O76" s="381"/>
      <c r="P76" s="382"/>
      <c r="Q76" s="383"/>
    </row>
    <row r="77" spans="1:17" s="159" customFormat="1" x14ac:dyDescent="0.2">
      <c r="A77" s="370"/>
      <c r="B77" s="5"/>
      <c r="C77" s="371"/>
      <c r="D77" s="372" t="s">
        <v>21</v>
      </c>
      <c r="E77" s="253">
        <v>0</v>
      </c>
      <c r="F77" s="373">
        <f>C77*E77</f>
        <v>0</v>
      </c>
      <c r="G77" s="529"/>
      <c r="H77" s="375">
        <v>0</v>
      </c>
      <c r="I77" s="373">
        <f>G77*H77</f>
        <v>0</v>
      </c>
      <c r="J77" s="376"/>
      <c r="K77" s="530">
        <f>F77+I77+J77</f>
        <v>0</v>
      </c>
      <c r="L77" s="664"/>
      <c r="M77" s="666"/>
      <c r="N77" s="665"/>
      <c r="O77" s="381"/>
      <c r="P77" s="382"/>
      <c r="Q77" s="383"/>
    </row>
    <row r="78" spans="1:17" s="159" customFormat="1" ht="13.5" thickBot="1" x14ac:dyDescent="0.25">
      <c r="A78" s="387"/>
      <c r="B78" s="5"/>
      <c r="C78" s="388"/>
      <c r="D78" s="372"/>
      <c r="E78" s="253"/>
      <c r="F78" s="373"/>
      <c r="G78" s="529"/>
      <c r="H78" s="375"/>
      <c r="I78" s="373"/>
      <c r="J78" s="376"/>
      <c r="K78" s="535"/>
      <c r="L78" s="378"/>
      <c r="M78" s="379"/>
      <c r="N78" s="380"/>
      <c r="O78" s="381"/>
      <c r="P78" s="382"/>
      <c r="Q78" s="383"/>
    </row>
    <row r="79" spans="1:17" s="159" customFormat="1" ht="13.5" thickTop="1" x14ac:dyDescent="0.2">
      <c r="A79" s="387"/>
      <c r="B79" s="157"/>
      <c r="C79" s="388"/>
      <c r="D79" s="372"/>
      <c r="E79" s="253"/>
      <c r="F79" s="373"/>
      <c r="G79" s="529"/>
      <c r="H79" s="375"/>
      <c r="I79" s="373"/>
      <c r="J79" s="389" t="s">
        <v>30</v>
      </c>
      <c r="K79" s="532">
        <f>SUM(K75:K78)</f>
        <v>0</v>
      </c>
      <c r="L79" s="378"/>
      <c r="M79" s="379"/>
      <c r="N79" s="380"/>
      <c r="O79" s="381"/>
      <c r="P79" s="382"/>
      <c r="Q79" s="383"/>
    </row>
    <row r="80" spans="1:17" s="159" customFormat="1" ht="13.5" thickBot="1" x14ac:dyDescent="0.25">
      <c r="A80" s="353" t="s">
        <v>0</v>
      </c>
      <c r="B80" s="354" t="s">
        <v>1</v>
      </c>
      <c r="C80" s="939" t="s">
        <v>656</v>
      </c>
      <c r="D80" s="939"/>
      <c r="E80" s="939"/>
      <c r="F80" s="939"/>
      <c r="G80" s="939" t="s">
        <v>34</v>
      </c>
      <c r="H80" s="939"/>
      <c r="I80" s="939"/>
      <c r="J80" s="355"/>
      <c r="K80" s="523"/>
      <c r="L80" s="391"/>
      <c r="M80" s="392"/>
      <c r="N80" s="393"/>
      <c r="O80" s="381"/>
      <c r="P80" s="382"/>
      <c r="Q80" s="383"/>
    </row>
    <row r="81" spans="1:17" s="159" customFormat="1" ht="16.5" thickBot="1" x14ac:dyDescent="0.3">
      <c r="A81" s="394"/>
      <c r="B81" s="395"/>
      <c r="C81" s="396" t="s">
        <v>19</v>
      </c>
      <c r="D81" s="397" t="s">
        <v>33</v>
      </c>
      <c r="E81" s="398" t="s">
        <v>35</v>
      </c>
      <c r="F81" s="399" t="s">
        <v>30</v>
      </c>
      <c r="G81" s="533" t="s">
        <v>14</v>
      </c>
      <c r="H81" s="398" t="s">
        <v>35</v>
      </c>
      <c r="I81" s="399" t="s">
        <v>30</v>
      </c>
      <c r="J81" s="364" t="s">
        <v>659</v>
      </c>
      <c r="K81" s="534" t="s">
        <v>38</v>
      </c>
      <c r="L81" s="402"/>
      <c r="M81" s="403"/>
      <c r="N81" s="404"/>
      <c r="O81" s="381"/>
      <c r="P81" s="382"/>
      <c r="Q81" s="383"/>
    </row>
    <row r="82" spans="1:17" s="159" customFormat="1" x14ac:dyDescent="0.2">
      <c r="A82" s="405"/>
      <c r="B82" s="406"/>
      <c r="C82" s="371"/>
      <c r="D82" s="372" t="s">
        <v>21</v>
      </c>
      <c r="E82" s="253">
        <v>0</v>
      </c>
      <c r="F82" s="373">
        <f>C82*E82</f>
        <v>0</v>
      </c>
      <c r="G82" s="529"/>
      <c r="H82" s="375">
        <v>0</v>
      </c>
      <c r="I82" s="373">
        <f>G82*H82</f>
        <v>0</v>
      </c>
      <c r="J82" s="376"/>
      <c r="K82" s="530">
        <f>F82+I82+J82</f>
        <v>0</v>
      </c>
      <c r="M82" s="276"/>
      <c r="N82" s="157"/>
      <c r="O82" s="381"/>
      <c r="P82" s="382"/>
      <c r="Q82" s="383"/>
    </row>
    <row r="83" spans="1:17" s="159" customFormat="1" x14ac:dyDescent="0.2">
      <c r="A83" s="370"/>
      <c r="B83" s="5"/>
      <c r="C83" s="371"/>
      <c r="D83" s="372" t="s">
        <v>21</v>
      </c>
      <c r="E83" s="253">
        <v>0</v>
      </c>
      <c r="F83" s="373">
        <f>C83*E83</f>
        <v>0</v>
      </c>
      <c r="G83" s="529"/>
      <c r="H83" s="375">
        <v>0</v>
      </c>
      <c r="I83" s="373">
        <f>G83*H83</f>
        <v>0</v>
      </c>
      <c r="J83" s="376"/>
      <c r="K83" s="530">
        <f>F83+I83+J83</f>
        <v>0</v>
      </c>
      <c r="M83" s="276"/>
      <c r="N83" s="157"/>
      <c r="O83" s="381"/>
      <c r="P83" s="382"/>
      <c r="Q83" s="383"/>
    </row>
    <row r="84" spans="1:17" s="159" customFormat="1" x14ac:dyDescent="0.2">
      <c r="A84" s="370"/>
      <c r="C84" s="371"/>
      <c r="D84" s="372" t="s">
        <v>21</v>
      </c>
      <c r="E84" s="253">
        <v>0</v>
      </c>
      <c r="F84" s="373">
        <f>C84*E84</f>
        <v>0</v>
      </c>
      <c r="G84" s="529"/>
      <c r="H84" s="375">
        <v>0</v>
      </c>
      <c r="I84" s="373">
        <f>G84*H84</f>
        <v>0</v>
      </c>
      <c r="J84" s="376"/>
      <c r="K84" s="530">
        <f>F84+I84+J84</f>
        <v>0</v>
      </c>
      <c r="M84" s="276"/>
      <c r="N84" s="157"/>
      <c r="O84" s="381"/>
      <c r="P84" s="382"/>
      <c r="Q84" s="383"/>
    </row>
    <row r="85" spans="1:17" s="159" customFormat="1" x14ac:dyDescent="0.2">
      <c r="A85" s="370"/>
      <c r="B85" s="5"/>
      <c r="C85" s="371"/>
      <c r="D85" s="372" t="s">
        <v>21</v>
      </c>
      <c r="E85" s="253">
        <v>0</v>
      </c>
      <c r="F85" s="373">
        <f>C85*E85</f>
        <v>0</v>
      </c>
      <c r="G85" s="529"/>
      <c r="H85" s="375">
        <v>0</v>
      </c>
      <c r="I85" s="373">
        <f>G85*H85</f>
        <v>0</v>
      </c>
      <c r="J85" s="376"/>
      <c r="K85" s="530">
        <f>F85+I85+J85</f>
        <v>0</v>
      </c>
      <c r="L85" s="378"/>
      <c r="M85" s="379"/>
      <c r="N85" s="380"/>
      <c r="O85" s="381"/>
      <c r="P85" s="382"/>
      <c r="Q85" s="383"/>
    </row>
    <row r="86" spans="1:17" s="159" customFormat="1" x14ac:dyDescent="0.2">
      <c r="A86" s="370"/>
      <c r="B86" s="5"/>
      <c r="C86" s="371"/>
      <c r="D86" s="372" t="s">
        <v>21</v>
      </c>
      <c r="E86" s="253">
        <v>0</v>
      </c>
      <c r="F86" s="373">
        <f>C86*E86</f>
        <v>0</v>
      </c>
      <c r="G86" s="529"/>
      <c r="H86" s="375">
        <v>0</v>
      </c>
      <c r="I86" s="373">
        <f>G86*H86</f>
        <v>0</v>
      </c>
      <c r="J86" s="376"/>
      <c r="K86" s="530">
        <f>F86+I86+J86</f>
        <v>0</v>
      </c>
      <c r="L86" s="378"/>
      <c r="M86" s="379"/>
      <c r="N86" s="380"/>
      <c r="O86" s="381"/>
      <c r="P86" s="382"/>
      <c r="Q86" s="383"/>
    </row>
    <row r="87" spans="1:17" s="159" customFormat="1" ht="13.5" thickBot="1" x14ac:dyDescent="0.25">
      <c r="A87" s="387"/>
      <c r="B87" s="5"/>
      <c r="C87" s="388"/>
      <c r="D87" s="372"/>
      <c r="E87" s="253"/>
      <c r="F87" s="373"/>
      <c r="G87" s="529"/>
      <c r="H87" s="375"/>
      <c r="I87" s="373"/>
      <c r="J87" s="376"/>
      <c r="K87" s="535"/>
      <c r="L87" s="378"/>
      <c r="M87" s="379"/>
      <c r="N87" s="380"/>
      <c r="O87" s="381"/>
      <c r="P87" s="382"/>
      <c r="Q87" s="383"/>
    </row>
    <row r="88" spans="1:17" s="159" customFormat="1" ht="13.5" thickTop="1" x14ac:dyDescent="0.2">
      <c r="A88" s="387"/>
      <c r="B88" s="412"/>
      <c r="C88" s="388"/>
      <c r="D88" s="372"/>
      <c r="E88" s="253"/>
      <c r="F88" s="373"/>
      <c r="G88" s="529"/>
      <c r="H88" s="375"/>
      <c r="I88" s="373"/>
      <c r="J88" s="389" t="s">
        <v>30</v>
      </c>
      <c r="K88" s="532">
        <f>SUM(K82:K87)</f>
        <v>0</v>
      </c>
      <c r="M88" s="276"/>
      <c r="N88" s="157"/>
      <c r="O88" s="381"/>
      <c r="P88" s="382"/>
      <c r="Q88" s="383"/>
    </row>
    <row r="89" spans="1:17" s="159" customFormat="1" ht="13.5" thickBot="1" x14ac:dyDescent="0.25">
      <c r="A89" s="353" t="s">
        <v>0</v>
      </c>
      <c r="B89" s="354" t="s">
        <v>1</v>
      </c>
      <c r="C89" s="939" t="s">
        <v>656</v>
      </c>
      <c r="D89" s="939"/>
      <c r="E89" s="939"/>
      <c r="F89" s="939"/>
      <c r="G89" s="939" t="s">
        <v>34</v>
      </c>
      <c r="H89" s="939"/>
      <c r="I89" s="939"/>
      <c r="J89" s="355"/>
      <c r="K89" s="523"/>
      <c r="L89" s="391"/>
      <c r="M89" s="392"/>
      <c r="N89" s="393"/>
      <c r="O89" s="381"/>
      <c r="P89" s="382"/>
      <c r="Q89" s="383"/>
    </row>
    <row r="90" spans="1:17" s="159" customFormat="1" ht="16.5" thickBot="1" x14ac:dyDescent="0.3">
      <c r="A90" s="394"/>
      <c r="B90" s="395"/>
      <c r="C90" s="396" t="s">
        <v>19</v>
      </c>
      <c r="D90" s="397" t="s">
        <v>33</v>
      </c>
      <c r="E90" s="398" t="s">
        <v>35</v>
      </c>
      <c r="F90" s="399" t="s">
        <v>30</v>
      </c>
      <c r="G90" s="533" t="s">
        <v>14</v>
      </c>
      <c r="H90" s="398" t="s">
        <v>35</v>
      </c>
      <c r="I90" s="399" t="s">
        <v>30</v>
      </c>
      <c r="J90" s="364" t="s">
        <v>659</v>
      </c>
      <c r="K90" s="534" t="s">
        <v>38</v>
      </c>
      <c r="L90" s="402"/>
      <c r="M90" s="403"/>
      <c r="N90" s="404"/>
      <c r="O90" s="381"/>
      <c r="P90" s="382"/>
      <c r="Q90" s="383"/>
    </row>
    <row r="91" spans="1:17" s="159" customFormat="1" x14ac:dyDescent="0.2">
      <c r="A91" s="405"/>
      <c r="B91" s="406"/>
      <c r="C91" s="371"/>
      <c r="D91" s="372" t="s">
        <v>21</v>
      </c>
      <c r="E91" s="253">
        <v>0</v>
      </c>
      <c r="F91" s="373">
        <f>C91*E91</f>
        <v>0</v>
      </c>
      <c r="G91" s="529"/>
      <c r="H91" s="375">
        <v>0</v>
      </c>
      <c r="I91" s="373">
        <f>G91*H91</f>
        <v>0</v>
      </c>
      <c r="J91" s="376"/>
      <c r="K91" s="530">
        <f>F91+I91+J91</f>
        <v>0</v>
      </c>
      <c r="L91" s="378"/>
      <c r="M91" s="379"/>
      <c r="N91" s="380"/>
      <c r="O91" s="381"/>
      <c r="P91" s="382"/>
      <c r="Q91" s="383"/>
    </row>
    <row r="92" spans="1:17" s="159" customFormat="1" x14ac:dyDescent="0.2">
      <c r="A92" s="370"/>
      <c r="B92" s="5"/>
      <c r="C92" s="371"/>
      <c r="D92" s="372" t="s">
        <v>21</v>
      </c>
      <c r="E92" s="253">
        <v>0</v>
      </c>
      <c r="F92" s="373">
        <f>C92*E92</f>
        <v>0</v>
      </c>
      <c r="G92" s="529"/>
      <c r="H92" s="375">
        <v>0</v>
      </c>
      <c r="I92" s="373">
        <f>G92*H92</f>
        <v>0</v>
      </c>
      <c r="J92" s="376"/>
      <c r="K92" s="530">
        <f>F92+I92+J92</f>
        <v>0</v>
      </c>
      <c r="L92" s="667"/>
      <c r="M92" s="668"/>
      <c r="N92" s="669"/>
      <c r="O92" s="381"/>
      <c r="P92" s="382"/>
      <c r="Q92" s="383"/>
    </row>
    <row r="93" spans="1:17" s="159" customFormat="1" x14ac:dyDescent="0.2">
      <c r="A93" s="370"/>
      <c r="B93" s="5"/>
      <c r="C93" s="371"/>
      <c r="D93" s="372" t="s">
        <v>21</v>
      </c>
      <c r="E93" s="253">
        <v>0</v>
      </c>
      <c r="F93" s="373">
        <f>C93*E93</f>
        <v>0</v>
      </c>
      <c r="G93" s="529"/>
      <c r="H93" s="375">
        <v>0</v>
      </c>
      <c r="I93" s="373">
        <f>G93*H93</f>
        <v>0</v>
      </c>
      <c r="J93" s="376"/>
      <c r="K93" s="530">
        <f>F93+I93+J93</f>
        <v>0</v>
      </c>
      <c r="L93" s="667"/>
      <c r="M93" s="668"/>
      <c r="N93" s="670"/>
      <c r="O93" s="381"/>
      <c r="P93" s="382"/>
      <c r="Q93" s="383"/>
    </row>
    <row r="94" spans="1:17" s="159" customFormat="1" x14ac:dyDescent="0.2">
      <c r="A94" s="370"/>
      <c r="B94" s="5"/>
      <c r="C94" s="371"/>
      <c r="D94" s="372" t="s">
        <v>21</v>
      </c>
      <c r="E94" s="253">
        <v>0</v>
      </c>
      <c r="F94" s="373">
        <f>C94*E94</f>
        <v>0</v>
      </c>
      <c r="G94" s="529"/>
      <c r="H94" s="375">
        <v>0</v>
      </c>
      <c r="I94" s="373">
        <f>G94*H94</f>
        <v>0</v>
      </c>
      <c r="J94" s="376"/>
      <c r="K94" s="530">
        <f>F94+I94+J94</f>
        <v>0</v>
      </c>
      <c r="L94" s="667"/>
      <c r="M94" s="668"/>
      <c r="N94" s="670"/>
      <c r="O94" s="381"/>
      <c r="P94" s="382"/>
      <c r="Q94" s="383"/>
    </row>
    <row r="95" spans="1:17" s="159" customFormat="1" ht="13.5" thickBot="1" x14ac:dyDescent="0.25">
      <c r="A95" s="387"/>
      <c r="B95" s="412"/>
      <c r="C95" s="371"/>
      <c r="D95" s="372"/>
      <c r="E95" s="253"/>
      <c r="F95" s="373"/>
      <c r="G95" s="529"/>
      <c r="H95" s="375"/>
      <c r="I95" s="373"/>
      <c r="J95" s="376"/>
      <c r="K95" s="530"/>
      <c r="L95" s="667"/>
      <c r="M95" s="668"/>
      <c r="N95" s="670"/>
      <c r="O95" s="381"/>
      <c r="P95" s="382"/>
      <c r="Q95" s="383"/>
    </row>
    <row r="96" spans="1:17" s="159" customFormat="1" ht="14.25" thickTop="1" thickBot="1" x14ac:dyDescent="0.25">
      <c r="A96" s="470"/>
      <c r="B96" s="156"/>
      <c r="C96" s="471"/>
      <c r="D96" s="472"/>
      <c r="E96" s="473"/>
      <c r="F96" s="474"/>
      <c r="G96" s="634"/>
      <c r="H96" s="473"/>
      <c r="I96" s="474"/>
      <c r="J96" s="476" t="s">
        <v>30</v>
      </c>
      <c r="K96" s="635">
        <f>SUM(K91:K95)</f>
        <v>0</v>
      </c>
      <c r="L96" s="667"/>
      <c r="M96" s="668"/>
      <c r="N96" s="670"/>
      <c r="O96" s="381"/>
      <c r="P96" s="382"/>
      <c r="Q96" s="383"/>
    </row>
    <row r="97" spans="1:17" s="159" customFormat="1" ht="14.1" customHeight="1" thickBot="1" x14ac:dyDescent="0.3">
      <c r="A97" s="478"/>
      <c r="B97" s="479"/>
      <c r="C97" s="480"/>
      <c r="D97" s="480"/>
      <c r="E97" s="481"/>
      <c r="F97" s="969" t="s">
        <v>658</v>
      </c>
      <c r="G97" s="992" t="s">
        <v>684</v>
      </c>
      <c r="H97" s="481"/>
      <c r="I97" s="962" t="s">
        <v>657</v>
      </c>
      <c r="J97" s="958" t="s">
        <v>685</v>
      </c>
      <c r="K97" s="956" t="s">
        <v>31</v>
      </c>
      <c r="L97" s="671"/>
      <c r="M97" s="672"/>
      <c r="N97" s="673"/>
      <c r="O97" s="460"/>
      <c r="P97" s="461"/>
      <c r="Q97" s="462"/>
    </row>
    <row r="98" spans="1:17" s="159" customFormat="1" ht="15.75" thickTop="1" x14ac:dyDescent="0.2">
      <c r="A98" s="482" t="s">
        <v>32</v>
      </c>
      <c r="B98" s="964" t="s">
        <v>668</v>
      </c>
      <c r="C98" s="483"/>
      <c r="D98" s="484"/>
      <c r="E98" s="484"/>
      <c r="F98" s="970"/>
      <c r="G98" s="993"/>
      <c r="H98" s="485"/>
      <c r="I98" s="963"/>
      <c r="J98" s="959"/>
      <c r="K98" s="957"/>
      <c r="M98" s="276"/>
      <c r="N98" s="157"/>
      <c r="O98" s="302"/>
      <c r="P98" s="302"/>
    </row>
    <row r="99" spans="1:17" s="159" customFormat="1" ht="15" x14ac:dyDescent="0.25">
      <c r="A99" s="826">
        <f>K99/E6</f>
        <v>3.2321014757897304</v>
      </c>
      <c r="B99" s="964"/>
      <c r="C99" s="484"/>
      <c r="D99" s="484"/>
      <c r="E99" s="484"/>
      <c r="F99" s="952">
        <f>SUM(F91:F95,F82:F87,F75:F78,F66:F71,F55:F61,F46:F51,F38:F42,F27:F34,F11:F23)</f>
        <v>0</v>
      </c>
      <c r="G99" s="997">
        <f>SUM(G91:G95,G82:G87,G75:G78,G66:G71,G55:G61,G46:G51,G38:G42,G27:G34,G11:G23)</f>
        <v>0</v>
      </c>
      <c r="H99" s="485"/>
      <c r="I99" s="952">
        <f>SUM(I91:I95,I82:I87,I75:I78,I66:I71,I55:I61,I46:I51,I38:I42,I27:I34,I11:I23)</f>
        <v>0</v>
      </c>
      <c r="J99" s="952">
        <f>SUM(J91:J95,J82:J87,J75:J78,J66:J71,J55:J61,J46:J51,J38:J42,J27:J34,J11:J23)</f>
        <v>212000</v>
      </c>
      <c r="K99" s="954">
        <f>SUM(K96,K88,K79,K72,K63,K52,K43,K35,K24)</f>
        <v>212000</v>
      </c>
      <c r="M99" s="276"/>
      <c r="N99" s="157"/>
      <c r="O99" s="302"/>
      <c r="P99" s="302"/>
    </row>
    <row r="100" spans="1:17" s="159" customFormat="1" ht="15" thickBot="1" x14ac:dyDescent="0.25">
      <c r="A100" s="482"/>
      <c r="B100" s="550"/>
      <c r="C100" s="488"/>
      <c r="D100" s="488"/>
      <c r="E100" s="488"/>
      <c r="F100" s="953"/>
      <c r="G100" s="998"/>
      <c r="H100" s="488"/>
      <c r="I100" s="953"/>
      <c r="J100" s="953"/>
      <c r="K100" s="955"/>
      <c r="M100" s="276"/>
      <c r="N100" s="157"/>
      <c r="O100" s="302"/>
      <c r="P100" s="302"/>
    </row>
    <row r="101" spans="1:17" s="159" customFormat="1" ht="13.5" thickBot="1" x14ac:dyDescent="0.25">
      <c r="A101" s="489"/>
      <c r="B101" s="490"/>
      <c r="C101" s="490"/>
      <c r="D101" s="490"/>
      <c r="E101" s="490"/>
      <c r="F101" s="490"/>
      <c r="G101" s="490"/>
      <c r="H101" s="490"/>
      <c r="I101" s="490"/>
      <c r="J101" s="490"/>
      <c r="K101" s="491"/>
      <c r="M101" s="276"/>
      <c r="N101" s="157"/>
      <c r="O101" s="302"/>
      <c r="P101" s="302"/>
    </row>
    <row r="102" spans="1:17" s="159" customFormat="1" x14ac:dyDescent="0.2">
      <c r="C102" s="655"/>
      <c r="D102" s="655"/>
      <c r="M102" s="276"/>
      <c r="N102" s="157"/>
      <c r="O102" s="302"/>
      <c r="P102" s="302"/>
    </row>
    <row r="103" spans="1:17" s="159" customFormat="1" x14ac:dyDescent="0.2">
      <c r="C103" s="655"/>
      <c r="D103" s="655"/>
      <c r="M103" s="276"/>
      <c r="N103" s="157"/>
      <c r="O103" s="302"/>
      <c r="P103" s="302"/>
    </row>
    <row r="104" spans="1:17" s="159" customFormat="1" x14ac:dyDescent="0.2">
      <c r="C104" s="655"/>
      <c r="D104" s="655"/>
      <c r="M104" s="276"/>
      <c r="N104" s="157"/>
      <c r="O104" s="302"/>
      <c r="P104" s="302"/>
    </row>
    <row r="105" spans="1:17" s="159" customFormat="1" x14ac:dyDescent="0.2">
      <c r="C105" s="655"/>
      <c r="D105" s="655"/>
      <c r="M105" s="276"/>
      <c r="N105" s="157"/>
      <c r="O105" s="302"/>
      <c r="P105" s="302"/>
    </row>
    <row r="106" spans="1:17" s="159" customFormat="1" x14ac:dyDescent="0.2">
      <c r="C106" s="655"/>
      <c r="D106" s="655"/>
      <c r="M106" s="276"/>
      <c r="N106" s="157"/>
      <c r="O106" s="302"/>
      <c r="P106" s="302"/>
    </row>
    <row r="107" spans="1:17" s="159" customFormat="1" x14ac:dyDescent="0.2">
      <c r="C107" s="655"/>
      <c r="D107" s="655"/>
      <c r="M107" s="276"/>
      <c r="N107" s="157"/>
      <c r="O107" s="302"/>
      <c r="P107" s="302"/>
    </row>
    <row r="108" spans="1:17" s="159" customFormat="1" x14ac:dyDescent="0.2">
      <c r="C108" s="655"/>
      <c r="D108" s="655"/>
      <c r="M108" s="276"/>
      <c r="N108" s="157"/>
      <c r="O108" s="302"/>
      <c r="P108" s="302"/>
    </row>
    <row r="109" spans="1:17" s="159" customFormat="1" x14ac:dyDescent="0.2">
      <c r="C109" s="655"/>
      <c r="D109" s="655"/>
      <c r="M109" s="276"/>
      <c r="N109" s="157"/>
      <c r="O109" s="302"/>
      <c r="P109" s="302"/>
    </row>
    <row r="110" spans="1:17" s="159" customFormat="1" x14ac:dyDescent="0.2">
      <c r="C110" s="655"/>
      <c r="D110" s="655"/>
      <c r="M110" s="276"/>
      <c r="N110" s="157"/>
      <c r="O110" s="302"/>
      <c r="P110" s="302"/>
    </row>
    <row r="111" spans="1:17" s="159" customFormat="1" x14ac:dyDescent="0.2">
      <c r="C111" s="655"/>
      <c r="D111" s="655"/>
      <c r="M111" s="276"/>
      <c r="N111" s="157"/>
      <c r="O111" s="302"/>
      <c r="P111" s="302"/>
    </row>
    <row r="112" spans="1:17" s="159" customFormat="1" x14ac:dyDescent="0.2">
      <c r="C112" s="655"/>
      <c r="D112" s="655"/>
      <c r="M112" s="276"/>
      <c r="N112" s="157"/>
      <c r="O112" s="302"/>
      <c r="P112" s="302"/>
    </row>
    <row r="113" spans="3:16" s="159" customFormat="1" x14ac:dyDescent="0.2">
      <c r="C113" s="655"/>
      <c r="D113" s="655"/>
      <c r="M113" s="276"/>
      <c r="N113" s="157"/>
      <c r="O113" s="302"/>
      <c r="P113" s="302"/>
    </row>
    <row r="114" spans="3:16" s="159" customFormat="1" x14ac:dyDescent="0.2">
      <c r="C114" s="655"/>
      <c r="D114" s="655"/>
      <c r="M114" s="276"/>
      <c r="N114" s="157"/>
      <c r="O114" s="302"/>
      <c r="P114" s="302"/>
    </row>
    <row r="115" spans="3:16" s="159" customFormat="1" x14ac:dyDescent="0.2">
      <c r="C115" s="655"/>
      <c r="D115" s="655"/>
      <c r="M115" s="276"/>
      <c r="N115" s="157"/>
      <c r="O115" s="302"/>
      <c r="P115" s="302"/>
    </row>
    <row r="116" spans="3:16" s="159" customFormat="1" x14ac:dyDescent="0.2">
      <c r="C116" s="655"/>
      <c r="D116" s="655"/>
      <c r="M116" s="276"/>
      <c r="N116" s="157"/>
      <c r="O116" s="302"/>
      <c r="P116" s="302"/>
    </row>
    <row r="117" spans="3:16" s="159" customFormat="1" x14ac:dyDescent="0.2">
      <c r="C117" s="655"/>
      <c r="D117" s="655"/>
      <c r="M117" s="276"/>
      <c r="N117" s="157"/>
      <c r="O117" s="302"/>
      <c r="P117" s="302"/>
    </row>
    <row r="118" spans="3:16" s="159" customFormat="1" x14ac:dyDescent="0.2">
      <c r="C118" s="655"/>
      <c r="D118" s="655"/>
      <c r="M118" s="276"/>
      <c r="N118" s="157"/>
      <c r="O118" s="302"/>
      <c r="P118" s="302"/>
    </row>
    <row r="119" spans="3:16" s="159" customFormat="1" x14ac:dyDescent="0.2">
      <c r="C119" s="655"/>
      <c r="D119" s="655"/>
      <c r="M119" s="276"/>
      <c r="N119" s="157"/>
      <c r="O119" s="302"/>
      <c r="P119" s="302"/>
    </row>
    <row r="120" spans="3:16" s="159" customFormat="1" x14ac:dyDescent="0.2">
      <c r="C120" s="655"/>
      <c r="D120" s="655"/>
      <c r="M120" s="276"/>
      <c r="N120" s="157"/>
      <c r="O120" s="302"/>
      <c r="P120" s="302"/>
    </row>
    <row r="121" spans="3:16" s="159" customFormat="1" x14ac:dyDescent="0.2">
      <c r="C121" s="655"/>
      <c r="D121" s="655"/>
      <c r="M121" s="276"/>
      <c r="N121" s="157"/>
      <c r="O121" s="302"/>
      <c r="P121" s="302"/>
    </row>
    <row r="122" spans="3:16" s="159" customFormat="1" x14ac:dyDescent="0.2">
      <c r="C122" s="655"/>
      <c r="D122" s="655"/>
      <c r="M122" s="276"/>
      <c r="N122" s="157"/>
      <c r="O122" s="302"/>
      <c r="P122" s="302"/>
    </row>
    <row r="123" spans="3:16" s="159" customFormat="1" x14ac:dyDescent="0.2">
      <c r="C123" s="655"/>
      <c r="D123" s="655"/>
      <c r="M123" s="276"/>
      <c r="N123" s="157"/>
      <c r="O123" s="302"/>
      <c r="P123" s="302"/>
    </row>
    <row r="124" spans="3:16" s="159" customFormat="1" x14ac:dyDescent="0.2">
      <c r="C124" s="655"/>
      <c r="D124" s="655"/>
      <c r="M124" s="276"/>
      <c r="N124" s="157"/>
      <c r="O124" s="302"/>
      <c r="P124" s="302"/>
    </row>
    <row r="125" spans="3:16" s="159" customFormat="1" x14ac:dyDescent="0.2">
      <c r="C125" s="655"/>
      <c r="D125" s="655"/>
      <c r="M125" s="276"/>
      <c r="N125" s="157"/>
      <c r="O125" s="302"/>
      <c r="P125" s="302"/>
    </row>
    <row r="126" spans="3:16" s="159" customFormat="1" x14ac:dyDescent="0.2">
      <c r="C126" s="655"/>
      <c r="D126" s="655"/>
      <c r="M126" s="276"/>
      <c r="N126" s="157"/>
      <c r="O126" s="302"/>
      <c r="P126" s="302"/>
    </row>
    <row r="127" spans="3:16" s="159" customFormat="1" x14ac:dyDescent="0.2">
      <c r="C127" s="655"/>
      <c r="D127" s="655"/>
      <c r="M127" s="276"/>
      <c r="N127" s="157"/>
      <c r="O127" s="302"/>
      <c r="P127" s="302"/>
    </row>
    <row r="128" spans="3:16" s="159" customFormat="1" x14ac:dyDescent="0.2">
      <c r="C128" s="655"/>
      <c r="D128" s="655"/>
      <c r="M128" s="276"/>
      <c r="N128" s="157"/>
      <c r="O128" s="302"/>
      <c r="P128" s="302"/>
    </row>
    <row r="129" spans="3:16" s="159" customFormat="1" x14ac:dyDescent="0.2">
      <c r="C129" s="655"/>
      <c r="D129" s="655"/>
      <c r="M129" s="276"/>
      <c r="N129" s="157"/>
      <c r="O129" s="302"/>
      <c r="P129" s="302"/>
    </row>
    <row r="130" spans="3:16" s="159" customFormat="1" x14ac:dyDescent="0.2">
      <c r="C130" s="655"/>
      <c r="D130" s="655"/>
      <c r="M130" s="276"/>
      <c r="N130" s="157"/>
      <c r="O130" s="302"/>
      <c r="P130" s="302"/>
    </row>
    <row r="131" spans="3:16" s="159" customFormat="1" x14ac:dyDescent="0.2">
      <c r="C131" s="655"/>
      <c r="D131" s="655"/>
      <c r="M131" s="276"/>
      <c r="N131" s="157"/>
      <c r="O131" s="302"/>
      <c r="P131" s="302"/>
    </row>
    <row r="132" spans="3:16" s="159" customFormat="1" x14ac:dyDescent="0.2">
      <c r="C132" s="655"/>
      <c r="D132" s="655"/>
      <c r="M132" s="276"/>
      <c r="N132" s="157"/>
      <c r="O132" s="302"/>
      <c r="P132" s="302"/>
    </row>
    <row r="133" spans="3:16" s="159" customFormat="1" x14ac:dyDescent="0.2">
      <c r="C133" s="655"/>
      <c r="D133" s="655"/>
      <c r="M133" s="276"/>
      <c r="N133" s="157"/>
      <c r="O133" s="302"/>
      <c r="P133" s="302"/>
    </row>
    <row r="134" spans="3:16" s="159" customFormat="1" x14ac:dyDescent="0.2">
      <c r="C134" s="655"/>
      <c r="D134" s="655"/>
      <c r="M134" s="276"/>
      <c r="N134" s="157"/>
      <c r="O134" s="302"/>
      <c r="P134" s="302"/>
    </row>
    <row r="135" spans="3:16" s="159" customFormat="1" x14ac:dyDescent="0.2">
      <c r="C135" s="655"/>
      <c r="D135" s="655"/>
      <c r="M135" s="276"/>
      <c r="N135" s="157"/>
      <c r="O135" s="302"/>
      <c r="P135" s="302"/>
    </row>
    <row r="136" spans="3:16" s="159" customFormat="1" x14ac:dyDescent="0.2">
      <c r="C136" s="655"/>
      <c r="D136" s="655"/>
      <c r="M136" s="276"/>
      <c r="N136" s="157"/>
      <c r="O136" s="302"/>
      <c r="P136" s="302"/>
    </row>
    <row r="137" spans="3:16" s="159" customFormat="1" x14ac:dyDescent="0.2">
      <c r="C137" s="655"/>
      <c r="D137" s="655"/>
      <c r="M137" s="276"/>
      <c r="N137" s="157"/>
      <c r="O137" s="302"/>
      <c r="P137" s="302"/>
    </row>
    <row r="138" spans="3:16" s="159" customFormat="1" x14ac:dyDescent="0.2">
      <c r="C138" s="655"/>
      <c r="D138" s="655"/>
      <c r="M138" s="276"/>
      <c r="N138" s="157"/>
      <c r="O138" s="302"/>
      <c r="P138" s="302"/>
    </row>
    <row r="139" spans="3:16" s="159" customFormat="1" x14ac:dyDescent="0.2">
      <c r="C139" s="655"/>
      <c r="D139" s="655"/>
      <c r="M139" s="276"/>
      <c r="N139" s="157"/>
      <c r="O139" s="302"/>
      <c r="P139" s="302"/>
    </row>
    <row r="140" spans="3:16" s="159" customFormat="1" x14ac:dyDescent="0.2">
      <c r="C140" s="655"/>
      <c r="D140" s="655"/>
      <c r="M140" s="276"/>
      <c r="N140" s="157"/>
      <c r="O140" s="302"/>
      <c r="P140" s="302"/>
    </row>
    <row r="141" spans="3:16" s="159" customFormat="1" x14ac:dyDescent="0.2">
      <c r="C141" s="655"/>
      <c r="D141" s="655"/>
      <c r="M141" s="276"/>
      <c r="N141" s="157"/>
      <c r="O141" s="302"/>
      <c r="P141" s="302"/>
    </row>
    <row r="142" spans="3:16" s="159" customFormat="1" x14ac:dyDescent="0.2">
      <c r="C142" s="655"/>
      <c r="D142" s="655"/>
      <c r="M142" s="276"/>
      <c r="N142" s="157"/>
      <c r="O142" s="302"/>
      <c r="P142" s="302"/>
    </row>
    <row r="143" spans="3:16" s="159" customFormat="1" x14ac:dyDescent="0.2">
      <c r="C143" s="655"/>
      <c r="D143" s="655"/>
      <c r="M143" s="276"/>
      <c r="N143" s="157"/>
      <c r="O143" s="302"/>
      <c r="P143" s="302"/>
    </row>
    <row r="144" spans="3:16" s="159" customFormat="1" x14ac:dyDescent="0.2">
      <c r="C144" s="655"/>
      <c r="D144" s="655"/>
      <c r="M144" s="276"/>
      <c r="N144" s="157"/>
      <c r="O144" s="302"/>
      <c r="P144" s="302"/>
    </row>
    <row r="145" spans="3:16" s="159" customFormat="1" x14ac:dyDescent="0.2">
      <c r="C145" s="655"/>
      <c r="D145" s="655"/>
      <c r="M145" s="276"/>
      <c r="N145" s="157"/>
      <c r="O145" s="302"/>
      <c r="P145" s="302"/>
    </row>
    <row r="146" spans="3:16" s="159" customFormat="1" x14ac:dyDescent="0.2">
      <c r="C146" s="655"/>
      <c r="D146" s="655"/>
      <c r="M146" s="276"/>
      <c r="N146" s="157"/>
      <c r="O146" s="302"/>
      <c r="P146" s="302"/>
    </row>
    <row r="147" spans="3:16" s="159" customFormat="1" x14ac:dyDescent="0.2">
      <c r="C147" s="655"/>
      <c r="D147" s="655"/>
      <c r="M147" s="276"/>
      <c r="N147" s="157"/>
      <c r="O147" s="302"/>
      <c r="P147" s="302"/>
    </row>
    <row r="148" spans="3:16" s="159" customFormat="1" x14ac:dyDescent="0.2">
      <c r="C148" s="655"/>
      <c r="D148" s="655"/>
      <c r="M148" s="276"/>
      <c r="N148" s="157"/>
      <c r="O148" s="302"/>
      <c r="P148" s="302"/>
    </row>
    <row r="149" spans="3:16" s="159" customFormat="1" x14ac:dyDescent="0.2">
      <c r="C149" s="655"/>
      <c r="D149" s="655"/>
      <c r="M149" s="276"/>
      <c r="N149" s="157"/>
      <c r="O149" s="302"/>
      <c r="P149" s="302"/>
    </row>
    <row r="150" spans="3:16" s="159" customFormat="1" x14ac:dyDescent="0.2">
      <c r="C150" s="655"/>
      <c r="D150" s="655"/>
      <c r="M150" s="276"/>
      <c r="N150" s="157"/>
      <c r="O150" s="302"/>
      <c r="P150" s="302"/>
    </row>
    <row r="151" spans="3:16" s="159" customFormat="1" x14ac:dyDescent="0.2">
      <c r="C151" s="655"/>
      <c r="D151" s="655"/>
      <c r="M151" s="276"/>
      <c r="N151" s="157"/>
      <c r="O151" s="302"/>
      <c r="P151" s="302"/>
    </row>
    <row r="152" spans="3:16" s="159" customFormat="1" x14ac:dyDescent="0.2">
      <c r="C152" s="655"/>
      <c r="D152" s="655"/>
      <c r="M152" s="276"/>
      <c r="N152" s="157"/>
      <c r="O152" s="302"/>
      <c r="P152" s="302"/>
    </row>
    <row r="153" spans="3:16" s="159" customFormat="1" x14ac:dyDescent="0.2">
      <c r="C153" s="655"/>
      <c r="D153" s="655"/>
      <c r="M153" s="276"/>
      <c r="N153" s="157"/>
      <c r="O153" s="302"/>
      <c r="P153" s="302"/>
    </row>
    <row r="154" spans="3:16" s="159" customFormat="1" x14ac:dyDescent="0.2">
      <c r="C154" s="655"/>
      <c r="D154" s="655"/>
      <c r="M154" s="276"/>
      <c r="N154" s="157"/>
      <c r="O154" s="302"/>
      <c r="P154" s="302"/>
    </row>
    <row r="155" spans="3:16" s="159" customFormat="1" x14ac:dyDescent="0.2">
      <c r="C155" s="655"/>
      <c r="D155" s="655"/>
      <c r="M155" s="276"/>
      <c r="N155" s="157"/>
      <c r="O155" s="302"/>
      <c r="P155" s="302"/>
    </row>
    <row r="156" spans="3:16" s="159" customFormat="1" x14ac:dyDescent="0.2">
      <c r="C156" s="655"/>
      <c r="D156" s="655"/>
      <c r="M156" s="276"/>
      <c r="N156" s="157"/>
      <c r="O156" s="302"/>
      <c r="P156" s="302"/>
    </row>
    <row r="157" spans="3:16" s="159" customFormat="1" x14ac:dyDescent="0.2">
      <c r="C157" s="655"/>
      <c r="D157" s="655"/>
      <c r="M157" s="276"/>
      <c r="N157" s="157"/>
      <c r="O157" s="302"/>
      <c r="P157" s="302"/>
    </row>
    <row r="158" spans="3:16" s="159" customFormat="1" x14ac:dyDescent="0.2">
      <c r="C158" s="655"/>
      <c r="D158" s="655"/>
      <c r="M158" s="276"/>
      <c r="N158" s="157"/>
      <c r="O158" s="302"/>
      <c r="P158" s="302"/>
    </row>
    <row r="159" spans="3:16" s="159" customFormat="1" x14ac:dyDescent="0.2">
      <c r="C159" s="655"/>
      <c r="D159" s="655"/>
      <c r="M159" s="276"/>
      <c r="N159" s="157"/>
      <c r="O159" s="302"/>
      <c r="P159" s="302"/>
    </row>
    <row r="160" spans="3:16" s="159" customFormat="1" x14ac:dyDescent="0.2">
      <c r="C160" s="655"/>
      <c r="D160" s="655"/>
      <c r="M160" s="276"/>
      <c r="N160" s="157"/>
      <c r="O160" s="302"/>
      <c r="P160" s="302"/>
    </row>
    <row r="161" spans="3:16" s="159" customFormat="1" x14ac:dyDescent="0.2">
      <c r="C161" s="655"/>
      <c r="D161" s="655"/>
      <c r="M161" s="276"/>
      <c r="N161" s="157"/>
      <c r="O161" s="302"/>
      <c r="P161" s="302"/>
    </row>
    <row r="162" spans="3:16" s="159" customFormat="1" x14ac:dyDescent="0.2">
      <c r="C162" s="655"/>
      <c r="D162" s="655"/>
      <c r="M162" s="276"/>
      <c r="N162" s="157"/>
      <c r="O162" s="302"/>
      <c r="P162" s="302"/>
    </row>
    <row r="163" spans="3:16" s="159" customFormat="1" x14ac:dyDescent="0.2">
      <c r="C163" s="655"/>
      <c r="D163" s="655"/>
      <c r="M163" s="276"/>
      <c r="N163" s="157"/>
      <c r="O163" s="302"/>
      <c r="P163" s="302"/>
    </row>
    <row r="164" spans="3:16" s="159" customFormat="1" x14ac:dyDescent="0.2">
      <c r="C164" s="655"/>
      <c r="D164" s="655"/>
      <c r="M164" s="276"/>
      <c r="N164" s="157"/>
      <c r="O164" s="302"/>
      <c r="P164" s="302"/>
    </row>
    <row r="165" spans="3:16" s="159" customFormat="1" x14ac:dyDescent="0.2">
      <c r="C165" s="655"/>
      <c r="D165" s="655"/>
      <c r="M165" s="276"/>
      <c r="N165" s="157"/>
      <c r="O165" s="302"/>
      <c r="P165" s="302"/>
    </row>
    <row r="166" spans="3:16" s="159" customFormat="1" x14ac:dyDescent="0.2">
      <c r="C166" s="655"/>
      <c r="D166" s="655"/>
      <c r="M166" s="276"/>
      <c r="N166" s="157"/>
      <c r="O166" s="302"/>
      <c r="P166" s="302"/>
    </row>
    <row r="167" spans="3:16" s="159" customFormat="1" x14ac:dyDescent="0.2">
      <c r="C167" s="655"/>
      <c r="D167" s="655"/>
      <c r="M167" s="276"/>
      <c r="N167" s="157"/>
      <c r="O167" s="302"/>
      <c r="P167" s="302"/>
    </row>
    <row r="168" spans="3:16" s="159" customFormat="1" x14ac:dyDescent="0.2">
      <c r="C168" s="655"/>
      <c r="D168" s="655"/>
      <c r="M168" s="276"/>
      <c r="N168" s="157"/>
      <c r="O168" s="302"/>
      <c r="P168" s="302"/>
    </row>
    <row r="169" spans="3:16" s="159" customFormat="1" x14ac:dyDescent="0.2">
      <c r="C169" s="655"/>
      <c r="D169" s="655"/>
      <c r="M169" s="276"/>
      <c r="N169" s="157"/>
      <c r="O169" s="302"/>
      <c r="P169" s="302"/>
    </row>
    <row r="170" spans="3:16" s="159" customFormat="1" x14ac:dyDescent="0.2">
      <c r="C170" s="655"/>
      <c r="D170" s="655"/>
      <c r="M170" s="276"/>
      <c r="N170" s="157"/>
      <c r="O170" s="302"/>
      <c r="P170" s="302"/>
    </row>
    <row r="171" spans="3:16" s="159" customFormat="1" x14ac:dyDescent="0.2">
      <c r="C171" s="655"/>
      <c r="D171" s="655"/>
      <c r="M171" s="276"/>
      <c r="N171" s="157"/>
      <c r="O171" s="302"/>
      <c r="P171" s="302"/>
    </row>
    <row r="172" spans="3:16" s="159" customFormat="1" x14ac:dyDescent="0.2">
      <c r="C172" s="655"/>
      <c r="D172" s="655"/>
      <c r="M172" s="276"/>
      <c r="N172" s="157"/>
      <c r="O172" s="302"/>
      <c r="P172" s="302"/>
    </row>
    <row r="173" spans="3:16" s="159" customFormat="1" x14ac:dyDescent="0.2">
      <c r="C173" s="655"/>
      <c r="D173" s="655"/>
      <c r="M173" s="276"/>
      <c r="N173" s="157"/>
      <c r="O173" s="302"/>
      <c r="P173" s="302"/>
    </row>
    <row r="174" spans="3:16" s="159" customFormat="1" x14ac:dyDescent="0.2">
      <c r="C174" s="655"/>
      <c r="D174" s="655"/>
      <c r="M174" s="276"/>
      <c r="N174" s="157"/>
      <c r="O174" s="302"/>
      <c r="P174" s="302"/>
    </row>
    <row r="175" spans="3:16" s="159" customFormat="1" x14ac:dyDescent="0.2">
      <c r="C175" s="655"/>
      <c r="D175" s="655"/>
      <c r="M175" s="276"/>
      <c r="N175" s="157"/>
      <c r="O175" s="302"/>
      <c r="P175" s="302"/>
    </row>
    <row r="176" spans="3:16" s="159" customFormat="1" x14ac:dyDescent="0.2">
      <c r="C176" s="655"/>
      <c r="D176" s="655"/>
      <c r="M176" s="276"/>
      <c r="N176" s="157"/>
      <c r="O176" s="302"/>
      <c r="P176" s="302"/>
    </row>
    <row r="177" spans="3:16" s="159" customFormat="1" x14ac:dyDescent="0.2">
      <c r="C177" s="655"/>
      <c r="D177" s="655"/>
      <c r="M177" s="276"/>
      <c r="N177" s="157"/>
      <c r="O177" s="302"/>
      <c r="P177" s="302"/>
    </row>
    <row r="178" spans="3:16" s="159" customFormat="1" x14ac:dyDescent="0.2">
      <c r="C178" s="655"/>
      <c r="D178" s="655"/>
      <c r="M178" s="276"/>
      <c r="N178" s="157"/>
      <c r="O178" s="302"/>
      <c r="P178" s="302"/>
    </row>
    <row r="179" spans="3:16" s="159" customFormat="1" x14ac:dyDescent="0.2">
      <c r="C179" s="655"/>
      <c r="D179" s="655"/>
      <c r="M179" s="276"/>
      <c r="N179" s="157"/>
      <c r="O179" s="302"/>
      <c r="P179" s="302"/>
    </row>
    <row r="180" spans="3:16" s="159" customFormat="1" x14ac:dyDescent="0.2">
      <c r="C180" s="655"/>
      <c r="D180" s="655"/>
      <c r="M180" s="276"/>
      <c r="N180" s="157"/>
      <c r="O180" s="302"/>
      <c r="P180" s="302"/>
    </row>
    <row r="181" spans="3:16" s="159" customFormat="1" x14ac:dyDescent="0.2">
      <c r="C181" s="655"/>
      <c r="D181" s="655"/>
      <c r="M181" s="276"/>
      <c r="N181" s="157"/>
      <c r="O181" s="302"/>
      <c r="P181" s="302"/>
    </row>
    <row r="182" spans="3:16" s="159" customFormat="1" x14ac:dyDescent="0.2">
      <c r="C182" s="655"/>
      <c r="D182" s="655"/>
      <c r="M182" s="276"/>
      <c r="N182" s="157"/>
      <c r="O182" s="302"/>
      <c r="P182" s="302"/>
    </row>
    <row r="183" spans="3:16" s="159" customFormat="1" x14ac:dyDescent="0.2">
      <c r="C183" s="655"/>
      <c r="D183" s="655"/>
      <c r="M183" s="276"/>
      <c r="N183" s="157"/>
      <c r="O183" s="302"/>
      <c r="P183" s="302"/>
    </row>
    <row r="184" spans="3:16" s="159" customFormat="1" x14ac:dyDescent="0.2">
      <c r="C184" s="655"/>
      <c r="D184" s="655"/>
      <c r="M184" s="276"/>
      <c r="N184" s="157"/>
      <c r="O184" s="302"/>
      <c r="P184" s="302"/>
    </row>
    <row r="185" spans="3:16" s="159" customFormat="1" x14ac:dyDescent="0.2">
      <c r="C185" s="655"/>
      <c r="D185" s="655"/>
      <c r="M185" s="276"/>
      <c r="N185" s="157"/>
      <c r="O185" s="302"/>
      <c r="P185" s="302"/>
    </row>
    <row r="186" spans="3:16" s="159" customFormat="1" x14ac:dyDescent="0.2">
      <c r="C186" s="655"/>
      <c r="D186" s="655"/>
      <c r="M186" s="276"/>
      <c r="N186" s="157"/>
      <c r="O186" s="302"/>
      <c r="P186" s="302"/>
    </row>
    <row r="187" spans="3:16" s="159" customFormat="1" x14ac:dyDescent="0.2">
      <c r="C187" s="655"/>
      <c r="D187" s="655"/>
      <c r="M187" s="276"/>
      <c r="N187" s="157"/>
      <c r="O187" s="302"/>
      <c r="P187" s="302"/>
    </row>
    <row r="188" spans="3:16" s="159" customFormat="1" x14ac:dyDescent="0.2">
      <c r="C188" s="655"/>
      <c r="D188" s="655"/>
      <c r="M188" s="276"/>
      <c r="N188" s="157"/>
      <c r="O188" s="302"/>
      <c r="P188" s="302"/>
    </row>
    <row r="189" spans="3:16" s="159" customFormat="1" x14ac:dyDescent="0.2">
      <c r="C189" s="655"/>
      <c r="D189" s="655"/>
      <c r="M189" s="276"/>
      <c r="N189" s="157"/>
      <c r="O189" s="302"/>
      <c r="P189" s="302"/>
    </row>
    <row r="190" spans="3:16" s="159" customFormat="1" x14ac:dyDescent="0.2">
      <c r="C190" s="655"/>
      <c r="D190" s="655"/>
      <c r="M190" s="276"/>
      <c r="N190" s="157"/>
      <c r="O190" s="302"/>
      <c r="P190" s="302"/>
    </row>
    <row r="191" spans="3:16" s="159" customFormat="1" x14ac:dyDescent="0.2">
      <c r="C191" s="655"/>
      <c r="D191" s="655"/>
      <c r="M191" s="276"/>
      <c r="N191" s="157"/>
      <c r="O191" s="302"/>
      <c r="P191" s="302"/>
    </row>
    <row r="192" spans="3:16" s="159" customFormat="1" x14ac:dyDescent="0.2">
      <c r="C192" s="655"/>
      <c r="D192" s="655"/>
      <c r="M192" s="276"/>
      <c r="N192" s="157"/>
      <c r="O192" s="302"/>
      <c r="P192" s="302"/>
    </row>
    <row r="193" spans="3:16" s="159" customFormat="1" x14ac:dyDescent="0.2">
      <c r="C193" s="655"/>
      <c r="D193" s="655"/>
      <c r="M193" s="276"/>
      <c r="N193" s="157"/>
      <c r="O193" s="302"/>
      <c r="P193" s="302"/>
    </row>
    <row r="194" spans="3:16" s="159" customFormat="1" x14ac:dyDescent="0.2">
      <c r="C194" s="655"/>
      <c r="D194" s="655"/>
      <c r="M194" s="276"/>
      <c r="N194" s="157"/>
      <c r="O194" s="302"/>
      <c r="P194" s="302"/>
    </row>
    <row r="195" spans="3:16" s="159" customFormat="1" x14ac:dyDescent="0.2">
      <c r="C195" s="655"/>
      <c r="D195" s="655"/>
      <c r="M195" s="276"/>
      <c r="N195" s="157"/>
      <c r="O195" s="302"/>
      <c r="P195" s="302"/>
    </row>
    <row r="196" spans="3:16" s="159" customFormat="1" x14ac:dyDescent="0.2">
      <c r="C196" s="655"/>
      <c r="D196" s="655"/>
      <c r="M196" s="276"/>
      <c r="N196" s="157"/>
      <c r="O196" s="302"/>
      <c r="P196" s="302"/>
    </row>
    <row r="197" spans="3:16" s="159" customFormat="1" x14ac:dyDescent="0.2">
      <c r="C197" s="655"/>
      <c r="D197" s="655"/>
      <c r="M197" s="276"/>
      <c r="N197" s="157"/>
      <c r="O197" s="302"/>
      <c r="P197" s="302"/>
    </row>
    <row r="198" spans="3:16" s="159" customFormat="1" x14ac:dyDescent="0.2">
      <c r="C198" s="655"/>
      <c r="D198" s="655"/>
      <c r="M198" s="276"/>
      <c r="N198" s="157"/>
      <c r="O198" s="302"/>
      <c r="P198" s="302"/>
    </row>
    <row r="199" spans="3:16" s="159" customFormat="1" x14ac:dyDescent="0.2">
      <c r="C199" s="655"/>
      <c r="D199" s="655"/>
      <c r="M199" s="276"/>
      <c r="N199" s="157"/>
      <c r="O199" s="302"/>
      <c r="P199" s="302"/>
    </row>
    <row r="200" spans="3:16" s="159" customFormat="1" x14ac:dyDescent="0.2">
      <c r="C200" s="655"/>
      <c r="D200" s="655"/>
      <c r="M200" s="276"/>
      <c r="N200" s="157"/>
      <c r="O200" s="302"/>
      <c r="P200" s="302"/>
    </row>
    <row r="201" spans="3:16" s="159" customFormat="1" x14ac:dyDescent="0.2">
      <c r="C201" s="655"/>
      <c r="D201" s="655"/>
      <c r="M201" s="276"/>
      <c r="N201" s="157"/>
      <c r="O201" s="302"/>
      <c r="P201" s="302"/>
    </row>
    <row r="202" spans="3:16" s="159" customFormat="1" x14ac:dyDescent="0.2">
      <c r="C202" s="655"/>
      <c r="D202" s="655"/>
      <c r="M202" s="276"/>
      <c r="N202" s="157"/>
      <c r="O202" s="302"/>
      <c r="P202" s="302"/>
    </row>
    <row r="203" spans="3:16" s="159" customFormat="1" x14ac:dyDescent="0.2">
      <c r="C203" s="655"/>
      <c r="D203" s="655"/>
      <c r="M203" s="276"/>
      <c r="N203" s="157"/>
      <c r="O203" s="302"/>
      <c r="P203" s="302"/>
    </row>
    <row r="204" spans="3:16" s="159" customFormat="1" x14ac:dyDescent="0.2">
      <c r="C204" s="655"/>
      <c r="D204" s="655"/>
      <c r="M204" s="276"/>
      <c r="N204" s="157"/>
      <c r="O204" s="302"/>
      <c r="P204" s="302"/>
    </row>
    <row r="205" spans="3:16" s="159" customFormat="1" x14ac:dyDescent="0.2">
      <c r="C205" s="655"/>
      <c r="D205" s="655"/>
      <c r="M205" s="276"/>
      <c r="N205" s="157"/>
      <c r="O205" s="302"/>
      <c r="P205" s="302"/>
    </row>
    <row r="206" spans="3:16" s="159" customFormat="1" x14ac:dyDescent="0.2">
      <c r="C206" s="655"/>
      <c r="D206" s="655"/>
      <c r="M206" s="276"/>
      <c r="N206" s="157"/>
      <c r="O206" s="302"/>
      <c r="P206" s="302"/>
    </row>
    <row r="207" spans="3:16" s="159" customFormat="1" x14ac:dyDescent="0.2">
      <c r="C207" s="655"/>
      <c r="D207" s="655"/>
      <c r="M207" s="276"/>
      <c r="N207" s="157"/>
      <c r="O207" s="302"/>
      <c r="P207" s="302"/>
    </row>
    <row r="208" spans="3:16" s="159" customFormat="1" x14ac:dyDescent="0.2">
      <c r="C208" s="655"/>
      <c r="D208" s="655"/>
      <c r="M208" s="276"/>
      <c r="N208" s="157"/>
      <c r="O208" s="302"/>
      <c r="P208" s="302"/>
    </row>
    <row r="209" spans="3:16" s="159" customFormat="1" x14ac:dyDescent="0.2">
      <c r="C209" s="655"/>
      <c r="D209" s="655"/>
      <c r="M209" s="276"/>
      <c r="N209" s="157"/>
      <c r="O209" s="302"/>
      <c r="P209" s="302"/>
    </row>
    <row r="210" spans="3:16" s="159" customFormat="1" x14ac:dyDescent="0.2">
      <c r="C210" s="655"/>
      <c r="D210" s="655"/>
      <c r="M210" s="276"/>
      <c r="N210" s="157"/>
      <c r="O210" s="302"/>
      <c r="P210" s="302"/>
    </row>
    <row r="211" spans="3:16" s="159" customFormat="1" x14ac:dyDescent="0.2">
      <c r="C211" s="655"/>
      <c r="D211" s="655"/>
      <c r="M211" s="276"/>
      <c r="N211" s="157"/>
      <c r="O211" s="302"/>
      <c r="P211" s="302"/>
    </row>
    <row r="212" spans="3:16" s="159" customFormat="1" x14ac:dyDescent="0.2">
      <c r="C212" s="655"/>
      <c r="D212" s="655"/>
      <c r="M212" s="276"/>
      <c r="N212" s="157"/>
      <c r="O212" s="302"/>
      <c r="P212" s="302"/>
    </row>
    <row r="213" spans="3:16" s="159" customFormat="1" x14ac:dyDescent="0.2">
      <c r="C213" s="655"/>
      <c r="D213" s="655"/>
      <c r="M213" s="276"/>
      <c r="N213" s="157"/>
      <c r="O213" s="302"/>
      <c r="P213" s="302"/>
    </row>
    <row r="214" spans="3:16" s="159" customFormat="1" x14ac:dyDescent="0.2">
      <c r="C214" s="655"/>
      <c r="D214" s="655"/>
      <c r="M214" s="276"/>
      <c r="N214" s="157"/>
      <c r="O214" s="302"/>
      <c r="P214" s="302"/>
    </row>
    <row r="215" spans="3:16" s="159" customFormat="1" x14ac:dyDescent="0.2">
      <c r="C215" s="655"/>
      <c r="D215" s="655"/>
      <c r="M215" s="276"/>
      <c r="N215" s="157"/>
      <c r="O215" s="302"/>
      <c r="P215" s="302"/>
    </row>
    <row r="216" spans="3:16" s="159" customFormat="1" x14ac:dyDescent="0.2">
      <c r="C216" s="655"/>
      <c r="D216" s="655"/>
      <c r="M216" s="276"/>
      <c r="N216" s="157"/>
      <c r="O216" s="302"/>
      <c r="P216" s="302"/>
    </row>
    <row r="217" spans="3:16" s="159" customFormat="1" x14ac:dyDescent="0.2">
      <c r="C217" s="655"/>
      <c r="D217" s="655"/>
      <c r="M217" s="276"/>
      <c r="N217" s="157"/>
      <c r="O217" s="302"/>
      <c r="P217" s="302"/>
    </row>
    <row r="218" spans="3:16" s="159" customFormat="1" x14ac:dyDescent="0.2">
      <c r="C218" s="655"/>
      <c r="D218" s="655"/>
      <c r="M218" s="276"/>
      <c r="N218" s="157"/>
      <c r="O218" s="302"/>
      <c r="P218" s="302"/>
    </row>
    <row r="219" spans="3:16" s="159" customFormat="1" x14ac:dyDescent="0.2">
      <c r="C219" s="655"/>
      <c r="D219" s="655"/>
      <c r="M219" s="276"/>
      <c r="N219" s="157"/>
      <c r="O219" s="302"/>
      <c r="P219" s="302"/>
    </row>
    <row r="220" spans="3:16" s="159" customFormat="1" x14ac:dyDescent="0.2">
      <c r="C220" s="655"/>
      <c r="D220" s="655"/>
      <c r="M220" s="276"/>
      <c r="N220" s="157"/>
      <c r="O220" s="302"/>
      <c r="P220" s="302"/>
    </row>
    <row r="221" spans="3:16" s="159" customFormat="1" x14ac:dyDescent="0.2">
      <c r="C221" s="655"/>
      <c r="D221" s="655"/>
      <c r="M221" s="276"/>
      <c r="N221" s="157"/>
      <c r="O221" s="302"/>
      <c r="P221" s="302"/>
    </row>
    <row r="222" spans="3:16" s="159" customFormat="1" x14ac:dyDescent="0.2">
      <c r="C222" s="655"/>
      <c r="D222" s="655"/>
      <c r="M222" s="276"/>
      <c r="N222" s="157"/>
      <c r="O222" s="302"/>
      <c r="P222" s="302"/>
    </row>
    <row r="223" spans="3:16" s="159" customFormat="1" x14ac:dyDescent="0.2">
      <c r="C223" s="655"/>
      <c r="D223" s="655"/>
      <c r="M223" s="276"/>
      <c r="N223" s="157"/>
      <c r="O223" s="302"/>
      <c r="P223" s="302"/>
    </row>
    <row r="224" spans="3:16" s="159" customFormat="1" x14ac:dyDescent="0.2">
      <c r="C224" s="655"/>
      <c r="D224" s="655"/>
      <c r="M224" s="276"/>
      <c r="N224" s="157"/>
      <c r="O224" s="302"/>
      <c r="P224" s="302"/>
    </row>
    <row r="225" spans="3:16" s="159" customFormat="1" x14ac:dyDescent="0.2">
      <c r="C225" s="655"/>
      <c r="D225" s="655"/>
      <c r="M225" s="276"/>
      <c r="N225" s="157"/>
      <c r="O225" s="302"/>
      <c r="P225" s="302"/>
    </row>
    <row r="226" spans="3:16" s="159" customFormat="1" x14ac:dyDescent="0.2">
      <c r="C226" s="655"/>
      <c r="D226" s="655"/>
      <c r="M226" s="276"/>
      <c r="N226" s="157"/>
      <c r="O226" s="302"/>
      <c r="P226" s="302"/>
    </row>
    <row r="227" spans="3:16" s="159" customFormat="1" x14ac:dyDescent="0.2">
      <c r="C227" s="655"/>
      <c r="D227" s="655"/>
      <c r="M227" s="276"/>
      <c r="N227" s="157"/>
      <c r="O227" s="302"/>
      <c r="P227" s="302"/>
    </row>
    <row r="228" spans="3:16" s="159" customFormat="1" x14ac:dyDescent="0.2">
      <c r="C228" s="655"/>
      <c r="D228" s="655"/>
      <c r="M228" s="276"/>
      <c r="N228" s="157"/>
      <c r="O228" s="302"/>
      <c r="P228" s="302"/>
    </row>
    <row r="229" spans="3:16" s="159" customFormat="1" x14ac:dyDescent="0.2">
      <c r="C229" s="655"/>
      <c r="D229" s="655"/>
      <c r="M229" s="276"/>
      <c r="N229" s="157"/>
      <c r="O229" s="302"/>
      <c r="P229" s="302"/>
    </row>
    <row r="230" spans="3:16" s="159" customFormat="1" x14ac:dyDescent="0.2">
      <c r="C230" s="655"/>
      <c r="D230" s="655"/>
      <c r="M230" s="276"/>
      <c r="N230" s="157"/>
      <c r="O230" s="302"/>
      <c r="P230" s="302"/>
    </row>
    <row r="231" spans="3:16" s="159" customFormat="1" x14ac:dyDescent="0.2">
      <c r="C231" s="655"/>
      <c r="D231" s="655"/>
      <c r="M231" s="276"/>
      <c r="N231" s="157"/>
      <c r="O231" s="302"/>
      <c r="P231" s="302"/>
    </row>
    <row r="232" spans="3:16" s="159" customFormat="1" x14ac:dyDescent="0.2">
      <c r="C232" s="655"/>
      <c r="D232" s="655"/>
      <c r="M232" s="276"/>
      <c r="N232" s="157"/>
      <c r="O232" s="302"/>
      <c r="P232" s="302"/>
    </row>
    <row r="233" spans="3:16" s="159" customFormat="1" x14ac:dyDescent="0.2">
      <c r="C233" s="655"/>
      <c r="D233" s="655"/>
      <c r="M233" s="276"/>
      <c r="N233" s="157"/>
      <c r="O233" s="302"/>
      <c r="P233" s="302"/>
    </row>
    <row r="234" spans="3:16" s="159" customFormat="1" x14ac:dyDescent="0.2">
      <c r="C234" s="655"/>
      <c r="D234" s="655"/>
      <c r="M234" s="276"/>
      <c r="N234" s="157"/>
      <c r="O234" s="302"/>
      <c r="P234" s="302"/>
    </row>
    <row r="235" spans="3:16" s="159" customFormat="1" x14ac:dyDescent="0.2">
      <c r="C235" s="655"/>
      <c r="D235" s="655"/>
      <c r="M235" s="276"/>
      <c r="N235" s="157"/>
      <c r="O235" s="302"/>
      <c r="P235" s="302"/>
    </row>
    <row r="236" spans="3:16" s="159" customFormat="1" x14ac:dyDescent="0.2">
      <c r="C236" s="655"/>
      <c r="D236" s="655"/>
      <c r="M236" s="276"/>
      <c r="N236" s="157"/>
      <c r="O236" s="302"/>
      <c r="P236" s="302"/>
    </row>
    <row r="237" spans="3:16" s="159" customFormat="1" x14ac:dyDescent="0.2">
      <c r="C237" s="655"/>
      <c r="D237" s="655"/>
      <c r="M237" s="276"/>
      <c r="N237" s="157"/>
      <c r="O237" s="302"/>
      <c r="P237" s="302"/>
    </row>
    <row r="238" spans="3:16" s="159" customFormat="1" x14ac:dyDescent="0.2">
      <c r="C238" s="655"/>
      <c r="D238" s="655"/>
      <c r="M238" s="276"/>
      <c r="N238" s="157"/>
      <c r="O238" s="302"/>
      <c r="P238" s="302"/>
    </row>
    <row r="239" spans="3:16" s="159" customFormat="1" x14ac:dyDescent="0.2">
      <c r="C239" s="655"/>
      <c r="D239" s="655"/>
      <c r="M239" s="276"/>
      <c r="N239" s="157"/>
      <c r="O239" s="302"/>
      <c r="P239" s="302"/>
    </row>
    <row r="240" spans="3:16" s="159" customFormat="1" x14ac:dyDescent="0.2">
      <c r="C240" s="655"/>
      <c r="D240" s="655"/>
      <c r="M240" s="276"/>
      <c r="N240" s="157"/>
      <c r="O240" s="302"/>
      <c r="P240" s="302"/>
    </row>
    <row r="241" spans="3:16" s="159" customFormat="1" x14ac:dyDescent="0.2">
      <c r="C241" s="655"/>
      <c r="D241" s="655"/>
      <c r="M241" s="276"/>
      <c r="N241" s="157"/>
      <c r="O241" s="302"/>
      <c r="P241" s="302"/>
    </row>
    <row r="242" spans="3:16" s="159" customFormat="1" x14ac:dyDescent="0.2">
      <c r="C242" s="655"/>
      <c r="D242" s="655"/>
      <c r="M242" s="276"/>
      <c r="N242" s="157"/>
      <c r="O242" s="302"/>
      <c r="P242" s="302"/>
    </row>
    <row r="243" spans="3:16" s="159" customFormat="1" x14ac:dyDescent="0.2">
      <c r="C243" s="655"/>
      <c r="D243" s="655"/>
      <c r="M243" s="276"/>
      <c r="N243" s="157"/>
      <c r="O243" s="302"/>
      <c r="P243" s="302"/>
    </row>
    <row r="244" spans="3:16" s="159" customFormat="1" x14ac:dyDescent="0.2">
      <c r="C244" s="655"/>
      <c r="D244" s="655"/>
      <c r="M244" s="276"/>
      <c r="N244" s="157"/>
      <c r="O244" s="302"/>
      <c r="P244" s="302"/>
    </row>
    <row r="245" spans="3:16" s="159" customFormat="1" x14ac:dyDescent="0.2">
      <c r="C245" s="655"/>
      <c r="D245" s="655"/>
      <c r="M245" s="276"/>
      <c r="N245" s="157"/>
      <c r="O245" s="302"/>
      <c r="P245" s="302"/>
    </row>
    <row r="246" spans="3:16" s="159" customFormat="1" x14ac:dyDescent="0.2">
      <c r="C246" s="655"/>
      <c r="D246" s="655"/>
      <c r="M246" s="276"/>
      <c r="N246" s="157"/>
      <c r="O246" s="302"/>
      <c r="P246" s="302"/>
    </row>
    <row r="247" spans="3:16" s="159" customFormat="1" x14ac:dyDescent="0.2">
      <c r="C247" s="655"/>
      <c r="D247" s="655"/>
      <c r="M247" s="276"/>
      <c r="N247" s="157"/>
      <c r="O247" s="302"/>
      <c r="P247" s="302"/>
    </row>
    <row r="248" spans="3:16" s="159" customFormat="1" x14ac:dyDescent="0.2">
      <c r="C248" s="655"/>
      <c r="D248" s="655"/>
      <c r="M248" s="276"/>
      <c r="N248" s="157"/>
      <c r="O248" s="302"/>
      <c r="P248" s="302"/>
    </row>
    <row r="249" spans="3:16" s="159" customFormat="1" x14ac:dyDescent="0.2">
      <c r="C249" s="655"/>
      <c r="D249" s="655"/>
      <c r="M249" s="276"/>
      <c r="N249" s="157"/>
      <c r="O249" s="302"/>
      <c r="P249" s="302"/>
    </row>
    <row r="250" spans="3:16" s="159" customFormat="1" x14ac:dyDescent="0.2">
      <c r="C250" s="655"/>
      <c r="D250" s="655"/>
      <c r="M250" s="276"/>
      <c r="N250" s="157"/>
      <c r="O250" s="302"/>
      <c r="P250" s="302"/>
    </row>
    <row r="251" spans="3:16" s="159" customFormat="1" x14ac:dyDescent="0.2">
      <c r="C251" s="655"/>
      <c r="D251" s="655"/>
      <c r="M251" s="276"/>
      <c r="N251" s="157"/>
      <c r="O251" s="302"/>
      <c r="P251" s="302"/>
    </row>
    <row r="252" spans="3:16" s="159" customFormat="1" x14ac:dyDescent="0.2">
      <c r="C252" s="655"/>
      <c r="D252" s="655"/>
      <c r="M252" s="276"/>
      <c r="N252" s="157"/>
      <c r="O252" s="302"/>
      <c r="P252" s="302"/>
    </row>
    <row r="253" spans="3:16" s="159" customFormat="1" x14ac:dyDescent="0.2">
      <c r="C253" s="655"/>
      <c r="D253" s="655"/>
      <c r="M253" s="276"/>
      <c r="N253" s="157"/>
      <c r="O253" s="302"/>
      <c r="P253" s="302"/>
    </row>
    <row r="254" spans="3:16" s="159" customFormat="1" x14ac:dyDescent="0.2">
      <c r="C254" s="655"/>
      <c r="D254" s="655"/>
      <c r="M254" s="276"/>
      <c r="N254" s="157"/>
      <c r="O254" s="302"/>
      <c r="P254" s="302"/>
    </row>
    <row r="255" spans="3:16" s="159" customFormat="1" x14ac:dyDescent="0.2">
      <c r="C255" s="655"/>
      <c r="D255" s="655"/>
      <c r="M255" s="276"/>
      <c r="N255" s="157"/>
      <c r="O255" s="302"/>
      <c r="P255" s="302"/>
    </row>
    <row r="256" spans="3:16" s="159" customFormat="1" x14ac:dyDescent="0.2">
      <c r="C256" s="655"/>
      <c r="D256" s="655"/>
      <c r="M256" s="276"/>
      <c r="N256" s="157"/>
      <c r="O256" s="302"/>
      <c r="P256" s="302"/>
    </row>
    <row r="257" spans="3:16" s="159" customFormat="1" x14ac:dyDescent="0.2">
      <c r="C257" s="655"/>
      <c r="D257" s="655"/>
      <c r="M257" s="276"/>
      <c r="N257" s="157"/>
      <c r="O257" s="302"/>
      <c r="P257" s="302"/>
    </row>
    <row r="258" spans="3:16" s="159" customFormat="1" x14ac:dyDescent="0.2">
      <c r="C258" s="655"/>
      <c r="D258" s="655"/>
      <c r="M258" s="276"/>
      <c r="N258" s="157"/>
      <c r="O258" s="302"/>
      <c r="P258" s="302"/>
    </row>
    <row r="259" spans="3:16" s="159" customFormat="1" x14ac:dyDescent="0.2">
      <c r="C259" s="655"/>
      <c r="D259" s="655"/>
      <c r="M259" s="276"/>
      <c r="N259" s="157"/>
      <c r="O259" s="302"/>
      <c r="P259" s="302"/>
    </row>
    <row r="260" spans="3:16" s="159" customFormat="1" x14ac:dyDescent="0.2">
      <c r="C260" s="655"/>
      <c r="D260" s="655"/>
      <c r="M260" s="276"/>
      <c r="N260" s="157"/>
      <c r="O260" s="302"/>
      <c r="P260" s="302"/>
    </row>
    <row r="261" spans="3:16" s="159" customFormat="1" x14ac:dyDescent="0.2">
      <c r="C261" s="655"/>
      <c r="D261" s="655"/>
      <c r="M261" s="276"/>
      <c r="N261" s="157"/>
      <c r="O261" s="302"/>
      <c r="P261" s="302"/>
    </row>
    <row r="262" spans="3:16" s="159" customFormat="1" x14ac:dyDescent="0.2">
      <c r="C262" s="655"/>
      <c r="D262" s="655"/>
      <c r="M262" s="276"/>
      <c r="N262" s="157"/>
      <c r="O262" s="302"/>
      <c r="P262" s="302"/>
    </row>
    <row r="263" spans="3:16" s="159" customFormat="1" x14ac:dyDescent="0.2">
      <c r="C263" s="655"/>
      <c r="D263" s="655"/>
      <c r="M263" s="276"/>
      <c r="N263" s="157"/>
      <c r="O263" s="302"/>
      <c r="P263" s="302"/>
    </row>
    <row r="264" spans="3:16" s="159" customFormat="1" x14ac:dyDescent="0.2">
      <c r="C264" s="655"/>
      <c r="D264" s="655"/>
      <c r="M264" s="276"/>
      <c r="N264" s="157"/>
      <c r="O264" s="302"/>
      <c r="P264" s="302"/>
    </row>
    <row r="265" spans="3:16" s="159" customFormat="1" x14ac:dyDescent="0.2">
      <c r="C265" s="655"/>
      <c r="D265" s="655"/>
      <c r="M265" s="276"/>
      <c r="N265" s="157"/>
      <c r="O265" s="302"/>
      <c r="P265" s="302"/>
    </row>
    <row r="266" spans="3:16" s="159" customFormat="1" x14ac:dyDescent="0.2">
      <c r="C266" s="655"/>
      <c r="D266" s="655"/>
      <c r="M266" s="276"/>
      <c r="N266" s="157"/>
      <c r="O266" s="302"/>
      <c r="P266" s="302"/>
    </row>
    <row r="267" spans="3:16" s="159" customFormat="1" x14ac:dyDescent="0.2">
      <c r="C267" s="655"/>
      <c r="D267" s="655"/>
      <c r="M267" s="276"/>
      <c r="N267" s="157"/>
      <c r="O267" s="302"/>
      <c r="P267" s="302"/>
    </row>
    <row r="268" spans="3:16" s="159" customFormat="1" x14ac:dyDescent="0.2">
      <c r="C268" s="655"/>
      <c r="D268" s="655"/>
      <c r="M268" s="276"/>
      <c r="N268" s="157"/>
      <c r="O268" s="302"/>
      <c r="P268" s="302"/>
    </row>
    <row r="269" spans="3:16" s="159" customFormat="1" x14ac:dyDescent="0.2">
      <c r="C269" s="655"/>
      <c r="D269" s="655"/>
      <c r="M269" s="276"/>
      <c r="N269" s="157"/>
      <c r="O269" s="302"/>
      <c r="P269" s="302"/>
    </row>
    <row r="270" spans="3:16" s="159" customFormat="1" x14ac:dyDescent="0.2">
      <c r="C270" s="655"/>
      <c r="D270" s="655"/>
      <c r="M270" s="276"/>
      <c r="N270" s="157"/>
      <c r="O270" s="302"/>
      <c r="P270" s="302"/>
    </row>
    <row r="271" spans="3:16" s="159" customFormat="1" x14ac:dyDescent="0.2">
      <c r="C271" s="655"/>
      <c r="D271" s="655"/>
      <c r="M271" s="276"/>
      <c r="N271" s="157"/>
      <c r="O271" s="302"/>
      <c r="P271" s="302"/>
    </row>
    <row r="272" spans="3:16" s="159" customFormat="1" x14ac:dyDescent="0.2">
      <c r="C272" s="655"/>
      <c r="D272" s="655"/>
      <c r="M272" s="276"/>
      <c r="N272" s="157"/>
      <c r="O272" s="302"/>
      <c r="P272" s="302"/>
    </row>
    <row r="273" spans="3:16" s="159" customFormat="1" x14ac:dyDescent="0.2">
      <c r="C273" s="655"/>
      <c r="D273" s="655"/>
      <c r="M273" s="276"/>
      <c r="N273" s="157"/>
      <c r="O273" s="302"/>
      <c r="P273" s="302"/>
    </row>
  </sheetData>
  <mergeCells count="54">
    <mergeCell ref="G8:I8"/>
    <mergeCell ref="C8:F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64:F64"/>
    <mergeCell ref="G64:I64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J99:J100"/>
    <mergeCell ref="K99:K100"/>
    <mergeCell ref="F97:F98"/>
    <mergeCell ref="G97:G98"/>
    <mergeCell ref="I97:I98"/>
    <mergeCell ref="J97:J98"/>
    <mergeCell ref="K97:K98"/>
    <mergeCell ref="Q9:Q10"/>
    <mergeCell ref="L9:L10"/>
    <mergeCell ref="M9:M10"/>
    <mergeCell ref="N9:N10"/>
    <mergeCell ref="O9:O10"/>
    <mergeCell ref="P9:P10"/>
  </mergeCells>
  <phoneticPr fontId="5" type="noConversion"/>
  <printOptions horizontalCentered="1"/>
  <pageMargins left="0.7" right="0.7" top="0.75" bottom="0.75" header="0.5" footer="0.5"/>
  <pageSetup scale="60" fitToHeight="2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7">
    <pageSetUpPr fitToPage="1"/>
  </sheetPr>
  <dimension ref="A1:Q274"/>
  <sheetViews>
    <sheetView zoomScale="90" zoomScaleNormal="75" zoomScaleSheetLayoutView="90" zoomScalePageLayoutView="75" workbookViewId="0">
      <selection activeCell="M15" sqref="M15"/>
    </sheetView>
  </sheetViews>
  <sheetFormatPr defaultColWidth="9.140625" defaultRowHeight="12.75" x14ac:dyDescent="0.2"/>
  <cols>
    <col min="1" max="1" width="12.140625" style="157" bestFit="1" customWidth="1"/>
    <col min="2" max="2" width="50" style="157" customWidth="1"/>
    <col min="3" max="4" width="5" style="440" customWidth="1"/>
    <col min="5" max="5" width="12.140625" style="157" bestFit="1" customWidth="1"/>
    <col min="6" max="6" width="18" style="157" customWidth="1"/>
    <col min="7" max="7" width="7" style="157" bestFit="1" customWidth="1"/>
    <col min="8" max="8" width="10.85546875" style="157" bestFit="1" customWidth="1"/>
    <col min="9" max="9" width="14.42578125" style="157" bestFit="1" customWidth="1"/>
    <col min="10" max="10" width="16.140625" style="276" bestFit="1" customWidth="1"/>
    <col min="11" max="11" width="14.42578125" style="157" bestFit="1" customWidth="1"/>
    <col min="12" max="12" width="22.42578125" style="159" customWidth="1"/>
    <col min="13" max="13" width="14" style="276" bestFit="1" customWidth="1"/>
    <col min="14" max="14" width="24.85546875" style="157" bestFit="1" customWidth="1"/>
    <col min="15" max="15" width="22" style="302" bestFit="1" customWidth="1"/>
    <col min="16" max="16" width="22.140625" style="302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2"/>
      <c r="B1" s="323"/>
      <c r="C1" s="976">
        <f>'Estimate Summary'!C1:H1</f>
        <v>0</v>
      </c>
      <c r="D1" s="976"/>
      <c r="E1" s="976"/>
      <c r="F1" s="976"/>
      <c r="G1" s="976"/>
      <c r="H1" s="976"/>
      <c r="I1" s="976"/>
      <c r="J1" s="976"/>
      <c r="K1" s="977"/>
    </row>
    <row r="2" spans="1:17" ht="13.5" thickBot="1" x14ac:dyDescent="0.25">
      <c r="A2" s="324"/>
      <c r="B2" s="325"/>
      <c r="C2" s="514"/>
      <c r="D2" s="984"/>
      <c r="E2" s="984"/>
      <c r="F2" s="984"/>
      <c r="G2" s="514"/>
      <c r="H2" s="327"/>
      <c r="I2" s="328"/>
      <c r="J2" s="329"/>
      <c r="K2" s="330"/>
    </row>
    <row r="3" spans="1:17" ht="16.5" thickBot="1" x14ac:dyDescent="0.3">
      <c r="A3" s="973"/>
      <c r="B3" s="974"/>
      <c r="C3" s="514"/>
      <c r="D3" s="984"/>
      <c r="E3" s="984"/>
      <c r="F3" s="984"/>
      <c r="G3" s="515"/>
      <c r="H3" s="332"/>
      <c r="I3" s="333"/>
      <c r="J3" s="333"/>
      <c r="K3" s="334"/>
      <c r="L3" s="1002"/>
      <c r="M3" s="1003"/>
      <c r="N3" s="985"/>
      <c r="O3" s="985"/>
      <c r="P3" s="935"/>
    </row>
    <row r="4" spans="1:17" ht="18.75" thickBot="1" x14ac:dyDescent="0.25">
      <c r="A4" s="973"/>
      <c r="B4" s="974"/>
      <c r="C4" s="514"/>
      <c r="D4" s="984"/>
      <c r="E4" s="984"/>
      <c r="F4" s="984"/>
      <c r="G4" s="336"/>
      <c r="H4" s="336"/>
      <c r="I4" s="328"/>
      <c r="J4" s="329"/>
      <c r="K4" s="330"/>
      <c r="L4" s="1002"/>
      <c r="M4" s="1003"/>
      <c r="N4" s="985"/>
      <c r="O4" s="985"/>
      <c r="P4" s="935"/>
    </row>
    <row r="5" spans="1:17" ht="21" thickBot="1" x14ac:dyDescent="0.3">
      <c r="A5" s="337"/>
      <c r="B5" s="338"/>
      <c r="C5" s="516"/>
      <c r="D5" s="340"/>
      <c r="E5" s="341"/>
      <c r="F5" s="336"/>
      <c r="G5" s="983" t="s">
        <v>41</v>
      </c>
      <c r="H5" s="983"/>
      <c r="I5" s="983"/>
      <c r="J5" s="981" t="s">
        <v>73</v>
      </c>
      <c r="K5" s="982"/>
      <c r="L5" s="1002"/>
      <c r="M5" s="1003"/>
      <c r="N5" s="985"/>
      <c r="O5" s="985"/>
      <c r="P5" s="935"/>
    </row>
    <row r="6" spans="1:17" ht="21" thickBot="1" x14ac:dyDescent="0.25">
      <c r="A6" s="337"/>
      <c r="B6" s="338"/>
      <c r="C6" s="517"/>
      <c r="D6" s="343" t="str">
        <f>'Estimate Summary'!C11</f>
        <v>Area:</v>
      </c>
      <c r="E6" s="344">
        <f>'Estimate Summary'!D11</f>
        <v>65592</v>
      </c>
      <c r="F6" s="238" t="str">
        <f>'Estimate Summary'!E11</f>
        <v>Sq. Ft.</v>
      </c>
      <c r="G6" s="983"/>
      <c r="H6" s="983"/>
      <c r="I6" s="983"/>
      <c r="J6" s="345">
        <f>'1'!J6</f>
        <v>60</v>
      </c>
      <c r="K6" s="330" t="s">
        <v>74</v>
      </c>
      <c r="L6" s="1002"/>
      <c r="M6" s="1003"/>
      <c r="N6" s="985"/>
      <c r="O6" s="985"/>
      <c r="P6" s="935"/>
    </row>
    <row r="7" spans="1:17" x14ac:dyDescent="0.2">
      <c r="A7" s="978"/>
      <c r="B7" s="979"/>
      <c r="C7" s="979"/>
      <c r="D7" s="979"/>
      <c r="E7" s="979"/>
      <c r="F7" s="979"/>
      <c r="G7" s="979"/>
      <c r="H7" s="979"/>
      <c r="I7" s="979"/>
      <c r="J7" s="979"/>
      <c r="K7" s="980"/>
    </row>
    <row r="8" spans="1:17" ht="13.5" thickBot="1" x14ac:dyDescent="0.25">
      <c r="A8" s="346"/>
      <c r="B8" s="347"/>
      <c r="C8" s="972"/>
      <c r="D8" s="972"/>
      <c r="E8" s="972"/>
      <c r="F8" s="972"/>
      <c r="G8" s="971"/>
      <c r="H8" s="971"/>
      <c r="I8" s="971"/>
      <c r="J8" s="348"/>
      <c r="K8" s="349"/>
      <c r="L8" s="518"/>
      <c r="M8" s="519"/>
      <c r="N8" s="518"/>
      <c r="O8" s="520"/>
      <c r="P8" s="520"/>
    </row>
    <row r="9" spans="1:17" ht="14.25" thickTop="1" thickBot="1" x14ac:dyDescent="0.25">
      <c r="A9" s="353" t="s">
        <v>0</v>
      </c>
      <c r="B9" s="354" t="s">
        <v>1</v>
      </c>
      <c r="C9" s="939" t="s">
        <v>656</v>
      </c>
      <c r="D9" s="939"/>
      <c r="E9" s="939"/>
      <c r="F9" s="939"/>
      <c r="G9" s="939" t="s">
        <v>34</v>
      </c>
      <c r="H9" s="939"/>
      <c r="I9" s="939"/>
      <c r="J9" s="355"/>
      <c r="K9" s="523"/>
      <c r="L9" s="942" t="s">
        <v>783</v>
      </c>
      <c r="M9" s="944" t="s">
        <v>784</v>
      </c>
      <c r="N9" s="946" t="s">
        <v>785</v>
      </c>
      <c r="O9" s="948"/>
      <c r="P9" s="950"/>
      <c r="Q9" s="940"/>
    </row>
    <row r="10" spans="1:17" ht="15.75" x14ac:dyDescent="0.25">
      <c r="A10" s="525" t="s">
        <v>377</v>
      </c>
      <c r="B10" s="525" t="s">
        <v>378</v>
      </c>
      <c r="C10" s="359" t="s">
        <v>19</v>
      </c>
      <c r="D10" s="360" t="s">
        <v>33</v>
      </c>
      <c r="E10" s="361" t="s">
        <v>35</v>
      </c>
      <c r="F10" s="362" t="s">
        <v>30</v>
      </c>
      <c r="G10" s="526" t="s">
        <v>14</v>
      </c>
      <c r="H10" s="361" t="s">
        <v>35</v>
      </c>
      <c r="I10" s="362" t="s">
        <v>30</v>
      </c>
      <c r="J10" s="364" t="s">
        <v>659</v>
      </c>
      <c r="K10" s="527" t="s">
        <v>38</v>
      </c>
      <c r="L10" s="943"/>
      <c r="M10" s="945"/>
      <c r="N10" s="947"/>
      <c r="O10" s="949"/>
      <c r="P10" s="951"/>
      <c r="Q10" s="941"/>
    </row>
    <row r="11" spans="1:17" x14ac:dyDescent="0.2">
      <c r="A11" s="370"/>
      <c r="B11" s="5"/>
      <c r="C11" s="371"/>
      <c r="D11" s="372" t="s">
        <v>21</v>
      </c>
      <c r="E11" s="253">
        <v>0</v>
      </c>
      <c r="F11" s="373">
        <f t="shared" ref="F11:F22" si="0">C11*E11</f>
        <v>0</v>
      </c>
      <c r="G11" s="529"/>
      <c r="H11" s="375">
        <v>0</v>
      </c>
      <c r="I11" s="373">
        <f t="shared" ref="I11:I22" si="1">G11*H11</f>
        <v>0</v>
      </c>
      <c r="J11" s="376"/>
      <c r="K11" s="530">
        <f t="shared" ref="K11:K22" si="2">F11+I11+J11</f>
        <v>0</v>
      </c>
      <c r="L11" s="378"/>
      <c r="M11" s="379"/>
      <c r="N11" s="380"/>
      <c r="O11" s="381"/>
      <c r="P11" s="382"/>
      <c r="Q11" s="383"/>
    </row>
    <row r="12" spans="1:17" x14ac:dyDescent="0.2">
      <c r="A12" s="370"/>
      <c r="B12" s="5"/>
      <c r="C12" s="371">
        <v>59</v>
      </c>
      <c r="D12" s="372" t="s">
        <v>33</v>
      </c>
      <c r="E12" s="253">
        <f>M20</f>
        <v>10779.661016949152</v>
      </c>
      <c r="F12" s="373"/>
      <c r="G12" s="529"/>
      <c r="H12" s="375">
        <v>0</v>
      </c>
      <c r="I12" s="373">
        <f t="shared" si="1"/>
        <v>0</v>
      </c>
      <c r="J12" s="376"/>
      <c r="K12" s="530">
        <f t="shared" si="2"/>
        <v>0</v>
      </c>
      <c r="L12" s="378" t="s">
        <v>990</v>
      </c>
      <c r="M12" s="379">
        <v>17707</v>
      </c>
      <c r="N12" s="380"/>
      <c r="O12" s="381"/>
      <c r="P12" s="382"/>
      <c r="Q12" s="383"/>
    </row>
    <row r="13" spans="1:17" x14ac:dyDescent="0.2">
      <c r="A13" s="370"/>
      <c r="B13" s="5"/>
      <c r="C13" s="371"/>
      <c r="D13" s="372" t="s">
        <v>21</v>
      </c>
      <c r="E13" s="253">
        <v>0</v>
      </c>
      <c r="F13" s="373">
        <f t="shared" si="0"/>
        <v>0</v>
      </c>
      <c r="G13" s="529"/>
      <c r="H13" s="375">
        <v>0</v>
      </c>
      <c r="I13" s="373">
        <f t="shared" si="1"/>
        <v>0</v>
      </c>
      <c r="J13" s="376"/>
      <c r="K13" s="530">
        <f t="shared" si="2"/>
        <v>0</v>
      </c>
      <c r="L13" s="378"/>
      <c r="M13" s="379"/>
      <c r="N13" s="380" t="s">
        <v>1148</v>
      </c>
      <c r="O13" s="381"/>
      <c r="P13" s="382"/>
      <c r="Q13" s="383"/>
    </row>
    <row r="14" spans="1:17" x14ac:dyDescent="0.2">
      <c r="A14" s="370"/>
      <c r="B14" s="5"/>
      <c r="C14" s="371"/>
      <c r="D14" s="372" t="s">
        <v>21</v>
      </c>
      <c r="E14" s="253">
        <v>0</v>
      </c>
      <c r="F14" s="373">
        <f t="shared" si="0"/>
        <v>0</v>
      </c>
      <c r="G14" s="529"/>
      <c r="H14" s="375">
        <v>0</v>
      </c>
      <c r="I14" s="373">
        <f t="shared" si="1"/>
        <v>0</v>
      </c>
      <c r="J14" s="376">
        <f>M15</f>
        <v>674850</v>
      </c>
      <c r="K14" s="530">
        <f t="shared" si="2"/>
        <v>674850</v>
      </c>
      <c r="L14" s="378" t="s">
        <v>1091</v>
      </c>
      <c r="M14" s="379">
        <v>632530.34</v>
      </c>
      <c r="N14" s="380">
        <v>195093.54</v>
      </c>
      <c r="O14" s="381"/>
      <c r="P14" s="382"/>
      <c r="Q14" s="383"/>
    </row>
    <row r="15" spans="1:17" x14ac:dyDescent="0.2">
      <c r="A15" s="370"/>
      <c r="B15" s="6"/>
      <c r="C15" s="371"/>
      <c r="D15" s="372" t="s">
        <v>21</v>
      </c>
      <c r="E15" s="253">
        <v>0</v>
      </c>
      <c r="F15" s="373">
        <f t="shared" si="0"/>
        <v>0</v>
      </c>
      <c r="G15" s="529"/>
      <c r="H15" s="375">
        <v>0</v>
      </c>
      <c r="I15" s="373">
        <f t="shared" si="1"/>
        <v>0</v>
      </c>
      <c r="J15" s="376"/>
      <c r="K15" s="530">
        <f t="shared" si="2"/>
        <v>0</v>
      </c>
      <c r="L15" s="865" t="s">
        <v>1092</v>
      </c>
      <c r="M15" s="379">
        <v>674850</v>
      </c>
      <c r="N15" s="380" t="s">
        <v>1275</v>
      </c>
      <c r="O15" s="381"/>
      <c r="P15" s="382"/>
      <c r="Q15" s="383"/>
    </row>
    <row r="16" spans="1:17" x14ac:dyDescent="0.2">
      <c r="A16" s="384"/>
      <c r="B16" s="5"/>
      <c r="C16" s="371"/>
      <c r="D16" s="372" t="s">
        <v>21</v>
      </c>
      <c r="E16" s="253">
        <v>0</v>
      </c>
      <c r="F16" s="373">
        <f t="shared" si="0"/>
        <v>0</v>
      </c>
      <c r="G16" s="529"/>
      <c r="H16" s="375">
        <v>0</v>
      </c>
      <c r="I16" s="373">
        <f t="shared" si="1"/>
        <v>0</v>
      </c>
      <c r="J16" s="376"/>
      <c r="K16" s="530">
        <f t="shared" si="2"/>
        <v>0</v>
      </c>
      <c r="L16" s="378"/>
      <c r="M16" s="379"/>
      <c r="N16" s="380"/>
      <c r="O16" s="381" t="s">
        <v>1227</v>
      </c>
      <c r="P16" s="382"/>
      <c r="Q16" s="383"/>
    </row>
    <row r="17" spans="1:17" x14ac:dyDescent="0.2">
      <c r="A17" s="384"/>
      <c r="B17" s="5"/>
      <c r="C17" s="371"/>
      <c r="D17" s="372" t="s">
        <v>21</v>
      </c>
      <c r="E17" s="253">
        <v>0</v>
      </c>
      <c r="F17" s="373">
        <f t="shared" si="0"/>
        <v>0</v>
      </c>
      <c r="G17" s="529"/>
      <c r="H17" s="375">
        <v>0</v>
      </c>
      <c r="I17" s="373">
        <f t="shared" si="1"/>
        <v>0</v>
      </c>
      <c r="J17" s="376"/>
      <c r="K17" s="530">
        <f t="shared" si="2"/>
        <v>0</v>
      </c>
      <c r="L17" s="157" t="s">
        <v>1225</v>
      </c>
      <c r="M17" s="469">
        <f>10502+4779+5904+10981+138+2952</f>
        <v>35256</v>
      </c>
      <c r="O17" s="381">
        <f>17023+10056.48+2865.9+11166.34+7632.24</f>
        <v>48743.96</v>
      </c>
      <c r="P17" s="382"/>
      <c r="Q17" s="383"/>
    </row>
    <row r="18" spans="1:17" x14ac:dyDescent="0.2">
      <c r="A18" s="384"/>
      <c r="B18" s="5"/>
      <c r="C18" s="371"/>
      <c r="D18" s="372" t="s">
        <v>21</v>
      </c>
      <c r="E18" s="253">
        <v>0</v>
      </c>
      <c r="F18" s="373">
        <f t="shared" si="0"/>
        <v>0</v>
      </c>
      <c r="G18" s="529"/>
      <c r="H18" s="375">
        <v>0</v>
      </c>
      <c r="I18" s="373">
        <f t="shared" si="1"/>
        <v>0</v>
      </c>
      <c r="J18" s="376"/>
      <c r="K18" s="530">
        <f t="shared" si="2"/>
        <v>0</v>
      </c>
      <c r="L18" s="157" t="s">
        <v>1226</v>
      </c>
      <c r="M18" s="469">
        <f>10502+2952+3599+4264+10981+138</f>
        <v>32436</v>
      </c>
      <c r="O18" s="381"/>
      <c r="P18" s="382"/>
      <c r="Q18" s="383"/>
    </row>
    <row r="19" spans="1:17" x14ac:dyDescent="0.2">
      <c r="A19" s="384"/>
      <c r="B19" s="5"/>
      <c r="C19" s="371"/>
      <c r="D19" s="372" t="s">
        <v>21</v>
      </c>
      <c r="E19" s="253">
        <v>0</v>
      </c>
      <c r="F19" s="373">
        <f t="shared" si="0"/>
        <v>0</v>
      </c>
      <c r="G19" s="529"/>
      <c r="H19" s="375">
        <v>0</v>
      </c>
      <c r="I19" s="373">
        <f t="shared" si="1"/>
        <v>0</v>
      </c>
      <c r="J19" s="376"/>
      <c r="K19" s="530">
        <f t="shared" si="2"/>
        <v>0</v>
      </c>
      <c r="L19" s="157"/>
      <c r="M19" s="469"/>
      <c r="O19" s="381"/>
      <c r="P19" s="382"/>
      <c r="Q19" s="383"/>
    </row>
    <row r="20" spans="1:17" x14ac:dyDescent="0.2">
      <c r="A20" s="384"/>
      <c r="B20" s="5"/>
      <c r="C20" s="371"/>
      <c r="D20" s="372" t="s">
        <v>21</v>
      </c>
      <c r="E20" s="253">
        <v>0</v>
      </c>
      <c r="F20" s="373">
        <f t="shared" si="0"/>
        <v>0</v>
      </c>
      <c r="G20" s="529"/>
      <c r="H20" s="375">
        <v>0</v>
      </c>
      <c r="I20" s="373">
        <f t="shared" si="1"/>
        <v>0</v>
      </c>
      <c r="J20" s="376"/>
      <c r="K20" s="530">
        <f t="shared" si="2"/>
        <v>0</v>
      </c>
      <c r="L20" s="157" t="s">
        <v>1115</v>
      </c>
      <c r="M20" s="469">
        <f>636000/59</f>
        <v>10779.661016949152</v>
      </c>
      <c r="O20" s="381"/>
      <c r="P20" s="382"/>
      <c r="Q20" s="383"/>
    </row>
    <row r="21" spans="1:17" x14ac:dyDescent="0.2">
      <c r="A21" s="384"/>
      <c r="B21" s="5"/>
      <c r="C21" s="371"/>
      <c r="D21" s="372" t="s">
        <v>21</v>
      </c>
      <c r="E21" s="253">
        <v>0</v>
      </c>
      <c r="F21" s="373">
        <f t="shared" si="0"/>
        <v>0</v>
      </c>
      <c r="G21" s="529"/>
      <c r="H21" s="375">
        <v>0</v>
      </c>
      <c r="I21" s="373">
        <f t="shared" si="1"/>
        <v>0</v>
      </c>
      <c r="J21" s="376"/>
      <c r="K21" s="530">
        <f t="shared" si="2"/>
        <v>0</v>
      </c>
      <c r="L21" s="157"/>
      <c r="M21" s="469"/>
      <c r="O21" s="381"/>
      <c r="P21" s="382"/>
      <c r="Q21" s="383"/>
    </row>
    <row r="22" spans="1:17" x14ac:dyDescent="0.2">
      <c r="A22" s="384"/>
      <c r="B22" s="5"/>
      <c r="C22" s="371"/>
      <c r="D22" s="372" t="s">
        <v>21</v>
      </c>
      <c r="E22" s="253">
        <v>0</v>
      </c>
      <c r="F22" s="373">
        <f t="shared" si="0"/>
        <v>0</v>
      </c>
      <c r="G22" s="529"/>
      <c r="H22" s="375">
        <v>0</v>
      </c>
      <c r="I22" s="373">
        <f t="shared" si="1"/>
        <v>0</v>
      </c>
      <c r="J22" s="376"/>
      <c r="K22" s="530">
        <f t="shared" si="2"/>
        <v>0</v>
      </c>
      <c r="L22" s="157"/>
      <c r="M22" s="469"/>
      <c r="O22" s="381"/>
      <c r="P22" s="382"/>
      <c r="Q22" s="383"/>
    </row>
    <row r="23" spans="1:17" ht="13.5" thickBot="1" x14ac:dyDescent="0.25">
      <c r="A23" s="387"/>
      <c r="B23" s="7"/>
      <c r="C23" s="388"/>
      <c r="D23" s="372"/>
      <c r="E23" s="253"/>
      <c r="F23" s="373"/>
      <c r="G23" s="529"/>
      <c r="H23" s="375"/>
      <c r="I23" s="373"/>
      <c r="J23" s="376"/>
      <c r="K23" s="530"/>
      <c r="L23" s="157"/>
      <c r="M23" s="469"/>
      <c r="O23" s="381"/>
      <c r="P23" s="382"/>
      <c r="Q23" s="383"/>
    </row>
    <row r="24" spans="1:17" ht="13.5" thickTop="1" x14ac:dyDescent="0.2">
      <c r="A24" s="387"/>
      <c r="B24" s="7"/>
      <c r="C24" s="388"/>
      <c r="D24" s="372"/>
      <c r="E24" s="253"/>
      <c r="F24" s="373"/>
      <c r="G24" s="529"/>
      <c r="H24" s="375"/>
      <c r="I24" s="373"/>
      <c r="J24" s="389" t="s">
        <v>30</v>
      </c>
      <c r="K24" s="532">
        <f>SUM(K11:K23)</f>
        <v>674850</v>
      </c>
      <c r="L24" s="157"/>
      <c r="M24" s="469"/>
      <c r="O24" s="381"/>
      <c r="P24" s="382"/>
      <c r="Q24" s="383"/>
    </row>
    <row r="25" spans="1:17" ht="13.5" thickBot="1" x14ac:dyDescent="0.25">
      <c r="A25" s="353" t="s">
        <v>0</v>
      </c>
      <c r="B25" s="354" t="s">
        <v>1</v>
      </c>
      <c r="C25" s="939" t="s">
        <v>656</v>
      </c>
      <c r="D25" s="939"/>
      <c r="E25" s="939"/>
      <c r="F25" s="939"/>
      <c r="G25" s="939" t="s">
        <v>34</v>
      </c>
      <c r="H25" s="939"/>
      <c r="I25" s="939"/>
      <c r="J25" s="355"/>
      <c r="K25" s="523"/>
      <c r="L25" s="391"/>
      <c r="M25" s="392"/>
      <c r="N25" s="393"/>
      <c r="O25" s="381"/>
      <c r="P25" s="382"/>
      <c r="Q25" s="383"/>
    </row>
    <row r="26" spans="1:17" ht="15.75" x14ac:dyDescent="0.25">
      <c r="A26" s="525" t="s">
        <v>379</v>
      </c>
      <c r="B26" s="525" t="s">
        <v>380</v>
      </c>
      <c r="C26" s="396" t="s">
        <v>19</v>
      </c>
      <c r="D26" s="397" t="s">
        <v>33</v>
      </c>
      <c r="E26" s="398" t="s">
        <v>35</v>
      </c>
      <c r="F26" s="399" t="s">
        <v>30</v>
      </c>
      <c r="G26" s="533" t="s">
        <v>14</v>
      </c>
      <c r="H26" s="398" t="s">
        <v>35</v>
      </c>
      <c r="I26" s="399" t="s">
        <v>30</v>
      </c>
      <c r="J26" s="364" t="s">
        <v>659</v>
      </c>
      <c r="K26" s="534" t="s">
        <v>38</v>
      </c>
      <c r="L26" s="402"/>
      <c r="M26" s="403"/>
      <c r="N26" s="404"/>
      <c r="O26" s="381"/>
      <c r="P26" s="382"/>
      <c r="Q26" s="383"/>
    </row>
    <row r="27" spans="1:17" s="159" customFormat="1" ht="15" x14ac:dyDescent="0.2">
      <c r="A27" s="196" t="s">
        <v>381</v>
      </c>
      <c r="B27" s="196" t="s">
        <v>382</v>
      </c>
      <c r="C27" s="371"/>
      <c r="D27" s="372" t="s">
        <v>21</v>
      </c>
      <c r="E27" s="253">
        <v>0</v>
      </c>
      <c r="F27" s="373">
        <f t="shared" ref="F27:F33" si="3">C27*E27</f>
        <v>0</v>
      </c>
      <c r="G27" s="529"/>
      <c r="H27" s="375">
        <v>0</v>
      </c>
      <c r="I27" s="373">
        <f t="shared" ref="I27:I33" si="4">G27*H27</f>
        <v>0</v>
      </c>
      <c r="J27" s="376"/>
      <c r="K27" s="530">
        <f t="shared" ref="K27:K33" si="5">F27+I27+J27</f>
        <v>0</v>
      </c>
      <c r="L27" s="157"/>
      <c r="M27" s="469"/>
      <c r="N27" s="157"/>
      <c r="O27" s="381"/>
      <c r="P27" s="382"/>
      <c r="Q27" s="383"/>
    </row>
    <row r="28" spans="1:17" s="159" customFormat="1" ht="15" x14ac:dyDescent="0.2">
      <c r="A28" s="196" t="s">
        <v>383</v>
      </c>
      <c r="B28" s="196" t="s">
        <v>384</v>
      </c>
      <c r="C28" s="371"/>
      <c r="D28" s="372" t="s">
        <v>21</v>
      </c>
      <c r="E28" s="253">
        <v>0</v>
      </c>
      <c r="F28" s="373">
        <f t="shared" si="3"/>
        <v>0</v>
      </c>
      <c r="G28" s="529"/>
      <c r="H28" s="375">
        <v>0</v>
      </c>
      <c r="I28" s="373">
        <f t="shared" si="4"/>
        <v>0</v>
      </c>
      <c r="J28" s="376"/>
      <c r="K28" s="530">
        <f t="shared" si="5"/>
        <v>0</v>
      </c>
      <c r="M28" s="276"/>
      <c r="N28" s="157"/>
      <c r="O28" s="381"/>
      <c r="P28" s="382"/>
      <c r="Q28" s="383"/>
    </row>
    <row r="29" spans="1:17" s="159" customFormat="1" x14ac:dyDescent="0.2">
      <c r="A29" s="370"/>
      <c r="B29" s="5"/>
      <c r="C29" s="371"/>
      <c r="D29" s="372" t="s">
        <v>21</v>
      </c>
      <c r="E29" s="253">
        <v>0</v>
      </c>
      <c r="F29" s="373">
        <f t="shared" si="3"/>
        <v>0</v>
      </c>
      <c r="G29" s="529"/>
      <c r="H29" s="375">
        <v>0</v>
      </c>
      <c r="I29" s="373">
        <f t="shared" si="4"/>
        <v>0</v>
      </c>
      <c r="J29" s="376"/>
      <c r="K29" s="530">
        <f t="shared" si="5"/>
        <v>0</v>
      </c>
      <c r="L29" s="378"/>
      <c r="M29" s="379"/>
      <c r="N29" s="380"/>
      <c r="O29" s="381"/>
      <c r="P29" s="382"/>
      <c r="Q29" s="383"/>
    </row>
    <row r="30" spans="1:17" s="159" customFormat="1" x14ac:dyDescent="0.2">
      <c r="A30" s="370"/>
      <c r="B30" s="5"/>
      <c r="C30" s="371"/>
      <c r="D30" s="372" t="s">
        <v>21</v>
      </c>
      <c r="E30" s="253">
        <v>0</v>
      </c>
      <c r="F30" s="373">
        <f t="shared" si="3"/>
        <v>0</v>
      </c>
      <c r="G30" s="529"/>
      <c r="H30" s="375">
        <v>0</v>
      </c>
      <c r="I30" s="373">
        <f t="shared" si="4"/>
        <v>0</v>
      </c>
      <c r="J30" s="376"/>
      <c r="K30" s="530">
        <f t="shared" si="5"/>
        <v>0</v>
      </c>
      <c r="L30" s="378"/>
      <c r="M30" s="379"/>
      <c r="N30" s="380"/>
      <c r="O30" s="381"/>
      <c r="P30" s="382"/>
      <c r="Q30" s="383"/>
    </row>
    <row r="31" spans="1:17" s="159" customFormat="1" x14ac:dyDescent="0.2">
      <c r="A31" s="370"/>
      <c r="B31" s="5"/>
      <c r="C31" s="371"/>
      <c r="D31" s="372" t="s">
        <v>21</v>
      </c>
      <c r="E31" s="253">
        <v>0</v>
      </c>
      <c r="F31" s="373">
        <f t="shared" si="3"/>
        <v>0</v>
      </c>
      <c r="G31" s="529"/>
      <c r="H31" s="375">
        <v>0</v>
      </c>
      <c r="I31" s="373">
        <f t="shared" si="4"/>
        <v>0</v>
      </c>
      <c r="J31" s="376"/>
      <c r="K31" s="530">
        <f t="shared" si="5"/>
        <v>0</v>
      </c>
      <c r="L31" s="536"/>
      <c r="M31" s="574"/>
      <c r="N31" s="537"/>
      <c r="O31" s="381"/>
      <c r="P31" s="382"/>
      <c r="Q31" s="383"/>
    </row>
    <row r="32" spans="1:17" s="159" customFormat="1" x14ac:dyDescent="0.2">
      <c r="A32" s="370"/>
      <c r="B32" s="5"/>
      <c r="C32" s="371"/>
      <c r="D32" s="372" t="s">
        <v>21</v>
      </c>
      <c r="E32" s="253">
        <v>0</v>
      </c>
      <c r="F32" s="373">
        <f t="shared" si="3"/>
        <v>0</v>
      </c>
      <c r="G32" s="529"/>
      <c r="H32" s="375">
        <v>0</v>
      </c>
      <c r="I32" s="373">
        <f t="shared" si="4"/>
        <v>0</v>
      </c>
      <c r="J32" s="376"/>
      <c r="K32" s="530">
        <f t="shared" si="5"/>
        <v>0</v>
      </c>
      <c r="L32" s="538"/>
      <c r="M32" s="255"/>
      <c r="N32" s="421"/>
      <c r="O32" s="381"/>
      <c r="P32" s="382"/>
      <c r="Q32" s="383"/>
    </row>
    <row r="33" spans="1:17" s="159" customFormat="1" x14ac:dyDescent="0.2">
      <c r="A33" s="370"/>
      <c r="B33" s="5"/>
      <c r="C33" s="371"/>
      <c r="D33" s="372" t="s">
        <v>21</v>
      </c>
      <c r="E33" s="253">
        <v>0</v>
      </c>
      <c r="F33" s="373">
        <f t="shared" si="3"/>
        <v>0</v>
      </c>
      <c r="G33" s="529"/>
      <c r="H33" s="375">
        <v>0</v>
      </c>
      <c r="I33" s="373">
        <f t="shared" si="4"/>
        <v>0</v>
      </c>
      <c r="J33" s="376"/>
      <c r="K33" s="530">
        <f t="shared" si="5"/>
        <v>0</v>
      </c>
      <c r="L33" s="157"/>
      <c r="M33" s="469"/>
      <c r="N33" s="157"/>
      <c r="O33" s="381"/>
      <c r="P33" s="382"/>
      <c r="Q33" s="383"/>
    </row>
    <row r="34" spans="1:17" s="159" customFormat="1" ht="13.5" thickBot="1" x14ac:dyDescent="0.25">
      <c r="A34" s="370"/>
      <c r="B34" s="5"/>
      <c r="C34" s="388"/>
      <c r="D34" s="372"/>
      <c r="E34" s="253"/>
      <c r="F34" s="373"/>
      <c r="G34" s="529"/>
      <c r="H34" s="375"/>
      <c r="I34" s="373"/>
      <c r="J34" s="376"/>
      <c r="K34" s="535"/>
      <c r="L34" s="157"/>
      <c r="M34" s="469"/>
      <c r="N34" s="157"/>
      <c r="O34" s="381"/>
      <c r="P34" s="382"/>
      <c r="Q34" s="383"/>
    </row>
    <row r="35" spans="1:17" s="159" customFormat="1" ht="13.5" thickTop="1" x14ac:dyDescent="0.2">
      <c r="A35" s="387"/>
      <c r="B35" s="5"/>
      <c r="C35" s="388"/>
      <c r="D35" s="372"/>
      <c r="E35" s="253"/>
      <c r="F35" s="373"/>
      <c r="G35" s="529"/>
      <c r="H35" s="375"/>
      <c r="I35" s="373"/>
      <c r="J35" s="389" t="s">
        <v>30</v>
      </c>
      <c r="K35" s="532">
        <f>SUM(K27:K34)</f>
        <v>0</v>
      </c>
      <c r="L35" s="378"/>
      <c r="M35" s="379"/>
      <c r="N35" s="380"/>
      <c r="O35" s="381"/>
      <c r="P35" s="382"/>
      <c r="Q35" s="383"/>
    </row>
    <row r="36" spans="1:17" s="159" customFormat="1" ht="13.5" thickBot="1" x14ac:dyDescent="0.25">
      <c r="A36" s="353" t="s">
        <v>0</v>
      </c>
      <c r="B36" s="354" t="s">
        <v>1</v>
      </c>
      <c r="C36" s="939" t="s">
        <v>656</v>
      </c>
      <c r="D36" s="939"/>
      <c r="E36" s="939"/>
      <c r="F36" s="939"/>
      <c r="G36" s="939" t="s">
        <v>34</v>
      </c>
      <c r="H36" s="939"/>
      <c r="I36" s="939"/>
      <c r="J36" s="355"/>
      <c r="K36" s="523"/>
      <c r="L36" s="391"/>
      <c r="M36" s="392"/>
      <c r="N36" s="393"/>
      <c r="O36" s="381"/>
      <c r="P36" s="382"/>
      <c r="Q36" s="383"/>
    </row>
    <row r="37" spans="1:17" s="159" customFormat="1" ht="16.5" thickBot="1" x14ac:dyDescent="0.3">
      <c r="A37" s="525" t="s">
        <v>385</v>
      </c>
      <c r="B37" s="525" t="s">
        <v>386</v>
      </c>
      <c r="C37" s="396" t="s">
        <v>19</v>
      </c>
      <c r="D37" s="397" t="s">
        <v>33</v>
      </c>
      <c r="E37" s="398" t="s">
        <v>35</v>
      </c>
      <c r="F37" s="399" t="s">
        <v>30</v>
      </c>
      <c r="G37" s="533" t="s">
        <v>14</v>
      </c>
      <c r="H37" s="398" t="s">
        <v>35</v>
      </c>
      <c r="I37" s="399" t="s">
        <v>30</v>
      </c>
      <c r="J37" s="364" t="s">
        <v>659</v>
      </c>
      <c r="K37" s="534" t="s">
        <v>38</v>
      </c>
      <c r="L37" s="402"/>
      <c r="M37" s="408"/>
      <c r="N37" s="409"/>
      <c r="O37" s="410"/>
      <c r="P37" s="411"/>
      <c r="Q37" s="383"/>
    </row>
    <row r="38" spans="1:17" s="159" customFormat="1" x14ac:dyDescent="0.2">
      <c r="A38" s="405"/>
      <c r="B38" s="406"/>
      <c r="C38" s="371"/>
      <c r="D38" s="372" t="s">
        <v>21</v>
      </c>
      <c r="E38" s="253">
        <v>0</v>
      </c>
      <c r="F38" s="373">
        <f t="shared" ref="F38:F44" si="6">C38*E38</f>
        <v>0</v>
      </c>
      <c r="G38" s="529"/>
      <c r="H38" s="375">
        <v>0</v>
      </c>
      <c r="I38" s="373">
        <f t="shared" ref="I38:I44" si="7">G38*H38</f>
        <v>0</v>
      </c>
      <c r="J38" s="376"/>
      <c r="K38" s="530">
        <f t="shared" ref="K38:K44" si="8">F38+I38+J38</f>
        <v>0</v>
      </c>
      <c r="L38" s="378"/>
      <c r="M38" s="379"/>
      <c r="N38" s="380"/>
      <c r="O38" s="410"/>
      <c r="P38" s="411"/>
      <c r="Q38" s="383"/>
    </row>
    <row r="39" spans="1:17" s="159" customFormat="1" x14ac:dyDescent="0.2">
      <c r="A39" s="370"/>
      <c r="B39" s="5"/>
      <c r="C39" s="371"/>
      <c r="D39" s="372" t="s">
        <v>21</v>
      </c>
      <c r="E39" s="253">
        <v>0</v>
      </c>
      <c r="F39" s="373">
        <f t="shared" si="6"/>
        <v>0</v>
      </c>
      <c r="G39" s="529"/>
      <c r="H39" s="375">
        <v>0</v>
      </c>
      <c r="I39" s="373">
        <f t="shared" si="7"/>
        <v>0</v>
      </c>
      <c r="J39" s="376"/>
      <c r="K39" s="530">
        <f t="shared" si="8"/>
        <v>0</v>
      </c>
      <c r="L39" s="378"/>
      <c r="M39" s="379"/>
      <c r="N39" s="380"/>
      <c r="O39" s="410"/>
      <c r="P39" s="411"/>
      <c r="Q39" s="383"/>
    </row>
    <row r="40" spans="1:17" s="159" customFormat="1" x14ac:dyDescent="0.2">
      <c r="A40" s="370"/>
      <c r="B40" s="5"/>
      <c r="C40" s="371"/>
      <c r="D40" s="372" t="s">
        <v>21</v>
      </c>
      <c r="E40" s="253">
        <v>0</v>
      </c>
      <c r="F40" s="373">
        <f t="shared" si="6"/>
        <v>0</v>
      </c>
      <c r="G40" s="529"/>
      <c r="H40" s="375">
        <v>0</v>
      </c>
      <c r="I40" s="373">
        <f t="shared" si="7"/>
        <v>0</v>
      </c>
      <c r="J40" s="376"/>
      <c r="K40" s="530">
        <f t="shared" si="8"/>
        <v>0</v>
      </c>
      <c r="L40" s="378"/>
      <c r="M40" s="379"/>
      <c r="N40" s="380"/>
      <c r="O40" s="410"/>
      <c r="P40" s="411"/>
      <c r="Q40" s="383"/>
    </row>
    <row r="41" spans="1:17" s="159" customFormat="1" x14ac:dyDescent="0.2">
      <c r="A41" s="370"/>
      <c r="B41" s="5"/>
      <c r="C41" s="371"/>
      <c r="D41" s="372" t="s">
        <v>21</v>
      </c>
      <c r="E41" s="253">
        <v>0</v>
      </c>
      <c r="F41" s="373">
        <f t="shared" si="6"/>
        <v>0</v>
      </c>
      <c r="G41" s="529"/>
      <c r="H41" s="375">
        <v>0</v>
      </c>
      <c r="I41" s="373">
        <f t="shared" si="7"/>
        <v>0</v>
      </c>
      <c r="J41" s="376"/>
      <c r="K41" s="530">
        <f t="shared" si="8"/>
        <v>0</v>
      </c>
      <c r="L41" s="378"/>
      <c r="M41" s="379"/>
      <c r="N41" s="380"/>
      <c r="O41" s="410"/>
      <c r="P41" s="411"/>
      <c r="Q41" s="383"/>
    </row>
    <row r="42" spans="1:17" s="159" customFormat="1" x14ac:dyDescent="0.2">
      <c r="A42" s="370"/>
      <c r="B42" s="5"/>
      <c r="C42" s="371"/>
      <c r="D42" s="372" t="s">
        <v>21</v>
      </c>
      <c r="E42" s="253">
        <v>0</v>
      </c>
      <c r="F42" s="373">
        <f t="shared" si="6"/>
        <v>0</v>
      </c>
      <c r="G42" s="529"/>
      <c r="H42" s="375">
        <v>0</v>
      </c>
      <c r="I42" s="373">
        <f t="shared" si="7"/>
        <v>0</v>
      </c>
      <c r="J42" s="376"/>
      <c r="K42" s="530">
        <f t="shared" si="8"/>
        <v>0</v>
      </c>
      <c r="M42" s="276"/>
      <c r="N42" s="157"/>
      <c r="O42" s="410"/>
      <c r="P42" s="411"/>
      <c r="Q42" s="383"/>
    </row>
    <row r="43" spans="1:17" s="159" customFormat="1" x14ac:dyDescent="0.2">
      <c r="A43" s="370"/>
      <c r="B43" s="5"/>
      <c r="C43" s="371"/>
      <c r="D43" s="372" t="s">
        <v>21</v>
      </c>
      <c r="E43" s="253">
        <v>0</v>
      </c>
      <c r="F43" s="373">
        <f t="shared" si="6"/>
        <v>0</v>
      </c>
      <c r="G43" s="529"/>
      <c r="H43" s="375">
        <v>0</v>
      </c>
      <c r="I43" s="373">
        <f t="shared" si="7"/>
        <v>0</v>
      </c>
      <c r="J43" s="376"/>
      <c r="K43" s="530">
        <f t="shared" si="8"/>
        <v>0</v>
      </c>
      <c r="M43" s="276"/>
      <c r="N43" s="157"/>
      <c r="O43" s="381"/>
      <c r="P43" s="382"/>
      <c r="Q43" s="383"/>
    </row>
    <row r="44" spans="1:17" s="159" customFormat="1" x14ac:dyDescent="0.2">
      <c r="A44" s="370"/>
      <c r="B44" s="5"/>
      <c r="C44" s="371"/>
      <c r="D44" s="372" t="s">
        <v>21</v>
      </c>
      <c r="E44" s="253">
        <v>0</v>
      </c>
      <c r="F44" s="373">
        <f t="shared" si="6"/>
        <v>0</v>
      </c>
      <c r="G44" s="529"/>
      <c r="H44" s="375">
        <v>0</v>
      </c>
      <c r="I44" s="373">
        <f t="shared" si="7"/>
        <v>0</v>
      </c>
      <c r="J44" s="376"/>
      <c r="K44" s="530">
        <f t="shared" si="8"/>
        <v>0</v>
      </c>
      <c r="M44" s="274"/>
      <c r="O44" s="381"/>
      <c r="P44" s="382"/>
      <c r="Q44" s="383"/>
    </row>
    <row r="45" spans="1:17" s="159" customFormat="1" ht="13.5" thickBot="1" x14ac:dyDescent="0.25">
      <c r="A45" s="387"/>
      <c r="B45" s="5"/>
      <c r="C45" s="388"/>
      <c r="D45" s="372"/>
      <c r="E45" s="253"/>
      <c r="F45" s="373"/>
      <c r="G45" s="529"/>
      <c r="H45" s="375"/>
      <c r="I45" s="373"/>
      <c r="J45" s="376"/>
      <c r="K45" s="535"/>
      <c r="M45" s="274"/>
      <c r="O45" s="381"/>
      <c r="P45" s="411"/>
      <c r="Q45" s="383"/>
    </row>
    <row r="46" spans="1:17" s="159" customFormat="1" ht="13.5" thickTop="1" x14ac:dyDescent="0.2">
      <c r="A46" s="387"/>
      <c r="B46" s="412"/>
      <c r="C46" s="388"/>
      <c r="D46" s="372"/>
      <c r="E46" s="253"/>
      <c r="F46" s="373"/>
      <c r="G46" s="529"/>
      <c r="H46" s="375"/>
      <c r="I46" s="373"/>
      <c r="J46" s="389" t="s">
        <v>30</v>
      </c>
      <c r="K46" s="532">
        <f>SUM(K38:K45)</f>
        <v>0</v>
      </c>
      <c r="L46" s="378"/>
      <c r="M46" s="255"/>
      <c r="N46" s="421"/>
      <c r="O46" s="381"/>
      <c r="P46" s="382"/>
      <c r="Q46" s="383"/>
    </row>
    <row r="47" spans="1:17" s="159" customFormat="1" ht="13.5" thickBot="1" x14ac:dyDescent="0.25">
      <c r="A47" s="353" t="s">
        <v>0</v>
      </c>
      <c r="B47" s="354" t="s">
        <v>1</v>
      </c>
      <c r="C47" s="939" t="s">
        <v>656</v>
      </c>
      <c r="D47" s="939"/>
      <c r="E47" s="939"/>
      <c r="F47" s="939"/>
      <c r="G47" s="939" t="s">
        <v>34</v>
      </c>
      <c r="H47" s="939"/>
      <c r="I47" s="939"/>
      <c r="J47" s="355"/>
      <c r="K47" s="523"/>
      <c r="L47" s="391"/>
      <c r="M47" s="392"/>
      <c r="N47" s="393"/>
      <c r="O47" s="381"/>
      <c r="P47" s="382"/>
      <c r="Q47" s="383"/>
    </row>
    <row r="48" spans="1:17" s="159" customFormat="1" ht="15.75" x14ac:dyDescent="0.25">
      <c r="A48" s="525" t="s">
        <v>387</v>
      </c>
      <c r="B48" s="525" t="s">
        <v>388</v>
      </c>
      <c r="C48" s="396" t="s">
        <v>19</v>
      </c>
      <c r="D48" s="397" t="s">
        <v>33</v>
      </c>
      <c r="E48" s="398" t="s">
        <v>35</v>
      </c>
      <c r="F48" s="399" t="s">
        <v>30</v>
      </c>
      <c r="G48" s="533" t="s">
        <v>14</v>
      </c>
      <c r="H48" s="398" t="s">
        <v>35</v>
      </c>
      <c r="I48" s="399" t="s">
        <v>30</v>
      </c>
      <c r="J48" s="364" t="s">
        <v>659</v>
      </c>
      <c r="K48" s="534" t="s">
        <v>38</v>
      </c>
      <c r="L48" s="402"/>
      <c r="M48" s="408"/>
      <c r="N48" s="409"/>
      <c r="O48" s="381"/>
      <c r="P48" s="382"/>
      <c r="Q48" s="383"/>
    </row>
    <row r="49" spans="1:17" s="159" customFormat="1" x14ac:dyDescent="0.2">
      <c r="A49" s="158" t="s">
        <v>402</v>
      </c>
      <c r="B49" s="159" t="s">
        <v>678</v>
      </c>
      <c r="C49" s="371"/>
      <c r="D49" s="372" t="s">
        <v>21</v>
      </c>
      <c r="E49" s="253">
        <v>0</v>
      </c>
      <c r="F49" s="373">
        <f>C49*E49</f>
        <v>0</v>
      </c>
      <c r="G49" s="529"/>
      <c r="H49" s="375">
        <v>0</v>
      </c>
      <c r="I49" s="373">
        <f>G49*H49</f>
        <v>0</v>
      </c>
      <c r="J49" s="376"/>
      <c r="K49" s="530">
        <f>F49+I49+J49</f>
        <v>0</v>
      </c>
      <c r="L49" s="664"/>
      <c r="M49" s="255"/>
      <c r="N49" s="421"/>
      <c r="O49" s="381"/>
      <c r="P49" s="382"/>
      <c r="Q49" s="383"/>
    </row>
    <row r="50" spans="1:17" s="159" customFormat="1" x14ac:dyDescent="0.2">
      <c r="A50" s="675" t="s">
        <v>403</v>
      </c>
      <c r="B50" s="675" t="s">
        <v>400</v>
      </c>
      <c r="C50" s="371"/>
      <c r="D50" s="372" t="s">
        <v>21</v>
      </c>
      <c r="E50" s="253">
        <v>0</v>
      </c>
      <c r="F50" s="373">
        <f>C50*E50</f>
        <v>0</v>
      </c>
      <c r="G50" s="529"/>
      <c r="H50" s="375">
        <v>0</v>
      </c>
      <c r="I50" s="373">
        <f>G50*H50</f>
        <v>0</v>
      </c>
      <c r="J50" s="376"/>
      <c r="K50" s="530">
        <f>F50+I50+J50</f>
        <v>0</v>
      </c>
      <c r="L50" s="378"/>
      <c r="M50" s="255"/>
      <c r="N50" s="421"/>
      <c r="O50" s="381"/>
      <c r="P50" s="382"/>
      <c r="Q50" s="383"/>
    </row>
    <row r="51" spans="1:17" s="159" customFormat="1" x14ac:dyDescent="0.2">
      <c r="A51" s="675" t="s">
        <v>404</v>
      </c>
      <c r="B51" s="675" t="s">
        <v>389</v>
      </c>
      <c r="C51" s="371"/>
      <c r="D51" s="372" t="s">
        <v>21</v>
      </c>
      <c r="E51" s="253">
        <v>0</v>
      </c>
      <c r="F51" s="373">
        <f t="shared" ref="F51:F62" si="9">C51*E51</f>
        <v>0</v>
      </c>
      <c r="G51" s="529"/>
      <c r="H51" s="375">
        <v>0</v>
      </c>
      <c r="I51" s="373">
        <f t="shared" ref="I51:I62" si="10">G51*H51</f>
        <v>0</v>
      </c>
      <c r="J51" s="376"/>
      <c r="K51" s="530">
        <f t="shared" ref="K51:K62" si="11">F51+I51+J51</f>
        <v>0</v>
      </c>
      <c r="L51" s="378"/>
      <c r="M51" s="255"/>
      <c r="N51" s="380"/>
      <c r="O51" s="381"/>
      <c r="P51" s="382"/>
      <c r="Q51" s="383"/>
    </row>
    <row r="52" spans="1:17" s="159" customFormat="1" x14ac:dyDescent="0.2">
      <c r="A52" s="158" t="s">
        <v>405</v>
      </c>
      <c r="B52" s="159" t="s">
        <v>390</v>
      </c>
      <c r="C52" s="371"/>
      <c r="D52" s="372" t="s">
        <v>21</v>
      </c>
      <c r="E52" s="253">
        <v>0</v>
      </c>
      <c r="F52" s="373">
        <f t="shared" si="9"/>
        <v>0</v>
      </c>
      <c r="G52" s="529"/>
      <c r="H52" s="375">
        <v>0</v>
      </c>
      <c r="I52" s="373">
        <f t="shared" si="10"/>
        <v>0</v>
      </c>
      <c r="J52" s="376"/>
      <c r="K52" s="530">
        <f t="shared" si="11"/>
        <v>0</v>
      </c>
      <c r="L52" s="157"/>
      <c r="M52" s="469"/>
      <c r="N52" s="157"/>
      <c r="O52" s="436"/>
      <c r="P52" s="437"/>
      <c r="Q52" s="383"/>
    </row>
    <row r="53" spans="1:17" s="159" customFormat="1" x14ac:dyDescent="0.2">
      <c r="A53" s="675" t="s">
        <v>406</v>
      </c>
      <c r="B53" s="675" t="s">
        <v>391</v>
      </c>
      <c r="C53" s="371"/>
      <c r="D53" s="372" t="s">
        <v>21</v>
      </c>
      <c r="E53" s="253">
        <v>0</v>
      </c>
      <c r="F53" s="373">
        <f t="shared" si="9"/>
        <v>0</v>
      </c>
      <c r="G53" s="529"/>
      <c r="H53" s="375">
        <v>0</v>
      </c>
      <c r="I53" s="373">
        <f t="shared" si="10"/>
        <v>0</v>
      </c>
      <c r="J53" s="376"/>
      <c r="K53" s="530">
        <f t="shared" si="11"/>
        <v>0</v>
      </c>
      <c r="L53" s="661"/>
      <c r="M53" s="255"/>
      <c r="N53" s="663"/>
      <c r="O53" s="436"/>
      <c r="P53" s="437"/>
      <c r="Q53" s="383"/>
    </row>
    <row r="54" spans="1:17" s="159" customFormat="1" x14ac:dyDescent="0.2">
      <c r="A54" s="675" t="s">
        <v>407</v>
      </c>
      <c r="B54" s="675" t="s">
        <v>392</v>
      </c>
      <c r="C54" s="371"/>
      <c r="D54" s="372" t="s">
        <v>21</v>
      </c>
      <c r="E54" s="253">
        <v>0</v>
      </c>
      <c r="F54" s="373">
        <f t="shared" si="9"/>
        <v>0</v>
      </c>
      <c r="G54" s="529"/>
      <c r="H54" s="375">
        <v>0</v>
      </c>
      <c r="I54" s="373">
        <f t="shared" si="10"/>
        <v>0</v>
      </c>
      <c r="J54" s="376"/>
      <c r="K54" s="530">
        <f t="shared" si="11"/>
        <v>0</v>
      </c>
      <c r="L54" s="664"/>
      <c r="M54" s="255"/>
      <c r="N54" s="665"/>
      <c r="O54" s="410"/>
      <c r="P54" s="411"/>
      <c r="Q54" s="383"/>
    </row>
    <row r="55" spans="1:17" s="159" customFormat="1" x14ac:dyDescent="0.2">
      <c r="A55" s="158" t="s">
        <v>408</v>
      </c>
      <c r="B55" s="159" t="s">
        <v>393</v>
      </c>
      <c r="C55" s="371"/>
      <c r="D55" s="372" t="s">
        <v>21</v>
      </c>
      <c r="E55" s="253">
        <v>0</v>
      </c>
      <c r="F55" s="373">
        <f t="shared" si="9"/>
        <v>0</v>
      </c>
      <c r="G55" s="529"/>
      <c r="H55" s="375">
        <v>0</v>
      </c>
      <c r="I55" s="373">
        <f t="shared" si="10"/>
        <v>0</v>
      </c>
      <c r="J55" s="376"/>
      <c r="K55" s="530">
        <f t="shared" si="11"/>
        <v>0</v>
      </c>
      <c r="M55" s="276"/>
      <c r="N55" s="157"/>
      <c r="O55" s="381"/>
      <c r="P55" s="382"/>
      <c r="Q55" s="383"/>
    </row>
    <row r="56" spans="1:17" s="159" customFormat="1" x14ac:dyDescent="0.2">
      <c r="A56" s="158" t="s">
        <v>409</v>
      </c>
      <c r="B56" s="159" t="s">
        <v>394</v>
      </c>
      <c r="C56" s="371"/>
      <c r="D56" s="372" t="s">
        <v>21</v>
      </c>
      <c r="E56" s="253">
        <v>0</v>
      </c>
      <c r="F56" s="373">
        <f t="shared" si="9"/>
        <v>0</v>
      </c>
      <c r="G56" s="529"/>
      <c r="H56" s="375">
        <v>0</v>
      </c>
      <c r="I56" s="373">
        <f t="shared" si="10"/>
        <v>0</v>
      </c>
      <c r="J56" s="376"/>
      <c r="K56" s="530">
        <f t="shared" si="11"/>
        <v>0</v>
      </c>
      <c r="L56" s="378"/>
      <c r="M56" s="255"/>
      <c r="N56" s="380"/>
      <c r="O56" s="381"/>
      <c r="P56" s="382"/>
      <c r="Q56" s="383"/>
    </row>
    <row r="57" spans="1:17" s="159" customFormat="1" x14ac:dyDescent="0.2">
      <c r="A57" s="158" t="s">
        <v>410</v>
      </c>
      <c r="B57" s="159" t="s">
        <v>395</v>
      </c>
      <c r="C57" s="371"/>
      <c r="D57" s="372" t="s">
        <v>21</v>
      </c>
      <c r="E57" s="253">
        <v>0</v>
      </c>
      <c r="F57" s="373">
        <f t="shared" si="9"/>
        <v>0</v>
      </c>
      <c r="G57" s="529"/>
      <c r="H57" s="375">
        <v>0</v>
      </c>
      <c r="I57" s="373">
        <f t="shared" si="10"/>
        <v>0</v>
      </c>
      <c r="J57" s="376"/>
      <c r="K57" s="530">
        <f t="shared" si="11"/>
        <v>0</v>
      </c>
      <c r="L57" s="378"/>
      <c r="M57" s="255"/>
      <c r="N57" s="380"/>
      <c r="O57" s="381"/>
      <c r="P57" s="382"/>
      <c r="Q57" s="383"/>
    </row>
    <row r="58" spans="1:17" s="159" customFormat="1" x14ac:dyDescent="0.2">
      <c r="A58" s="158" t="s">
        <v>411</v>
      </c>
      <c r="B58" s="159" t="s">
        <v>396</v>
      </c>
      <c r="C58" s="371"/>
      <c r="D58" s="372" t="s">
        <v>21</v>
      </c>
      <c r="E58" s="253">
        <v>0</v>
      </c>
      <c r="F58" s="373">
        <f t="shared" si="9"/>
        <v>0</v>
      </c>
      <c r="G58" s="529"/>
      <c r="H58" s="375">
        <v>0</v>
      </c>
      <c r="I58" s="373">
        <f t="shared" si="10"/>
        <v>0</v>
      </c>
      <c r="J58" s="376"/>
      <c r="K58" s="530">
        <f t="shared" si="11"/>
        <v>0</v>
      </c>
      <c r="L58" s="378"/>
      <c r="M58" s="255"/>
      <c r="N58" s="380"/>
      <c r="O58" s="381"/>
      <c r="P58" s="382"/>
      <c r="Q58" s="383"/>
    </row>
    <row r="59" spans="1:17" s="159" customFormat="1" x14ac:dyDescent="0.2">
      <c r="A59" s="158" t="s">
        <v>412</v>
      </c>
      <c r="B59" s="159" t="s">
        <v>397</v>
      </c>
      <c r="C59" s="371"/>
      <c r="D59" s="372" t="s">
        <v>21</v>
      </c>
      <c r="E59" s="253">
        <v>0</v>
      </c>
      <c r="F59" s="373">
        <f t="shared" si="9"/>
        <v>0</v>
      </c>
      <c r="G59" s="529"/>
      <c r="H59" s="375">
        <v>0</v>
      </c>
      <c r="I59" s="373">
        <f t="shared" si="10"/>
        <v>0</v>
      </c>
      <c r="J59" s="376"/>
      <c r="K59" s="530">
        <f t="shared" si="11"/>
        <v>0</v>
      </c>
      <c r="L59" s="661"/>
      <c r="M59" s="255"/>
      <c r="N59" s="663"/>
      <c r="O59" s="381"/>
      <c r="P59" s="382"/>
      <c r="Q59" s="383"/>
    </row>
    <row r="60" spans="1:17" s="159" customFormat="1" x14ac:dyDescent="0.2">
      <c r="A60" s="158" t="s">
        <v>413</v>
      </c>
      <c r="B60" s="159" t="s">
        <v>398</v>
      </c>
      <c r="C60" s="371"/>
      <c r="D60" s="372" t="s">
        <v>21</v>
      </c>
      <c r="E60" s="253">
        <v>0</v>
      </c>
      <c r="F60" s="373">
        <f t="shared" si="9"/>
        <v>0</v>
      </c>
      <c r="G60" s="529"/>
      <c r="H60" s="375">
        <v>0</v>
      </c>
      <c r="I60" s="373">
        <f t="shared" si="10"/>
        <v>0</v>
      </c>
      <c r="J60" s="376"/>
      <c r="K60" s="530">
        <f t="shared" si="11"/>
        <v>0</v>
      </c>
      <c r="L60" s="664"/>
      <c r="M60" s="255"/>
      <c r="N60" s="665"/>
      <c r="O60" s="381"/>
      <c r="P60" s="382"/>
      <c r="Q60" s="383"/>
    </row>
    <row r="61" spans="1:17" s="159" customFormat="1" x14ac:dyDescent="0.2">
      <c r="A61" s="158" t="s">
        <v>414</v>
      </c>
      <c r="B61" s="159" t="s">
        <v>399</v>
      </c>
      <c r="C61" s="371"/>
      <c r="D61" s="372" t="s">
        <v>21</v>
      </c>
      <c r="E61" s="253">
        <v>0</v>
      </c>
      <c r="F61" s="373">
        <f t="shared" si="9"/>
        <v>0</v>
      </c>
      <c r="G61" s="529"/>
      <c r="H61" s="375">
        <v>0</v>
      </c>
      <c r="I61" s="373">
        <f t="shared" si="10"/>
        <v>0</v>
      </c>
      <c r="J61" s="376"/>
      <c r="K61" s="530">
        <f t="shared" si="11"/>
        <v>0</v>
      </c>
      <c r="L61" s="378"/>
      <c r="M61" s="255"/>
      <c r="N61" s="421"/>
      <c r="O61" s="381"/>
      <c r="P61" s="382"/>
      <c r="Q61" s="383"/>
    </row>
    <row r="62" spans="1:17" s="159" customFormat="1" x14ac:dyDescent="0.2">
      <c r="A62" s="158" t="s">
        <v>415</v>
      </c>
      <c r="B62" s="159" t="s">
        <v>401</v>
      </c>
      <c r="C62" s="371"/>
      <c r="D62" s="372" t="s">
        <v>21</v>
      </c>
      <c r="E62" s="253">
        <v>0</v>
      </c>
      <c r="F62" s="373">
        <f t="shared" si="9"/>
        <v>0</v>
      </c>
      <c r="G62" s="529"/>
      <c r="H62" s="375">
        <v>0</v>
      </c>
      <c r="I62" s="373">
        <f t="shared" si="10"/>
        <v>0</v>
      </c>
      <c r="J62" s="376"/>
      <c r="K62" s="530">
        <f t="shared" si="11"/>
        <v>0</v>
      </c>
      <c r="M62" s="276"/>
      <c r="N62" s="157"/>
      <c r="O62" s="381"/>
      <c r="P62" s="382"/>
      <c r="Q62" s="383"/>
    </row>
    <row r="63" spans="1:17" s="159" customFormat="1" x14ac:dyDescent="0.2">
      <c r="C63" s="371"/>
      <c r="D63" s="372" t="s">
        <v>21</v>
      </c>
      <c r="E63" s="253">
        <v>0</v>
      </c>
      <c r="F63" s="373">
        <f>C63*E63</f>
        <v>0</v>
      </c>
      <c r="G63" s="529"/>
      <c r="H63" s="375">
        <v>0</v>
      </c>
      <c r="I63" s="373">
        <f>G63*H63</f>
        <v>0</v>
      </c>
      <c r="J63" s="376"/>
      <c r="K63" s="530">
        <f>F63+I63+J63</f>
        <v>0</v>
      </c>
      <c r="M63" s="276"/>
      <c r="N63" s="157"/>
      <c r="O63" s="381"/>
      <c r="P63" s="382"/>
      <c r="Q63" s="383"/>
    </row>
    <row r="64" spans="1:17" s="159" customFormat="1" x14ac:dyDescent="0.2">
      <c r="C64" s="371"/>
      <c r="D64" s="372" t="s">
        <v>21</v>
      </c>
      <c r="E64" s="253">
        <v>0</v>
      </c>
      <c r="F64" s="373">
        <f>C64*E64</f>
        <v>0</v>
      </c>
      <c r="G64" s="529"/>
      <c r="H64" s="375">
        <v>0</v>
      </c>
      <c r="I64" s="373">
        <f>G64*H64</f>
        <v>0</v>
      </c>
      <c r="J64" s="376"/>
      <c r="K64" s="530">
        <f>F64+I64+J64</f>
        <v>0</v>
      </c>
      <c r="M64" s="274"/>
      <c r="O64" s="381"/>
      <c r="P64" s="382"/>
      <c r="Q64" s="383"/>
    </row>
    <row r="65" spans="1:17" s="159" customFormat="1" x14ac:dyDescent="0.2">
      <c r="A65" s="370"/>
      <c r="B65" s="5"/>
      <c r="C65" s="371"/>
      <c r="D65" s="372" t="s">
        <v>21</v>
      </c>
      <c r="E65" s="253">
        <v>0</v>
      </c>
      <c r="F65" s="373">
        <f>C65*E65</f>
        <v>0</v>
      </c>
      <c r="G65" s="529"/>
      <c r="H65" s="375">
        <v>0</v>
      </c>
      <c r="I65" s="373">
        <f>G65*H65</f>
        <v>0</v>
      </c>
      <c r="J65" s="376"/>
      <c r="K65" s="530">
        <f>F65+I65+J65</f>
        <v>0</v>
      </c>
      <c r="M65" s="274"/>
      <c r="O65" s="381"/>
      <c r="P65" s="382"/>
      <c r="Q65" s="383"/>
    </row>
    <row r="66" spans="1:17" s="159" customFormat="1" ht="13.5" thickBot="1" x14ac:dyDescent="0.25">
      <c r="A66" s="387"/>
      <c r="B66" s="5"/>
      <c r="C66" s="388"/>
      <c r="D66" s="372"/>
      <c r="E66" s="253"/>
      <c r="F66" s="373"/>
      <c r="G66" s="529"/>
      <c r="H66" s="375"/>
      <c r="I66" s="373"/>
      <c r="J66" s="376"/>
      <c r="K66" s="535"/>
      <c r="L66" s="378"/>
      <c r="M66" s="379"/>
      <c r="N66" s="380"/>
      <c r="O66" s="381"/>
      <c r="P66" s="382"/>
      <c r="Q66" s="383"/>
    </row>
    <row r="67" spans="1:17" s="159" customFormat="1" ht="13.5" thickTop="1" x14ac:dyDescent="0.2">
      <c r="A67" s="387"/>
      <c r="B67" s="412"/>
      <c r="C67" s="388"/>
      <c r="D67" s="372"/>
      <c r="E67" s="253"/>
      <c r="F67" s="373"/>
      <c r="G67" s="529"/>
      <c r="H67" s="375"/>
      <c r="I67" s="373"/>
      <c r="J67" s="389" t="s">
        <v>30</v>
      </c>
      <c r="K67" s="532">
        <f>SUM(K49:K66)</f>
        <v>0</v>
      </c>
      <c r="L67" s="378"/>
      <c r="M67" s="379"/>
      <c r="N67" s="380"/>
      <c r="O67" s="381"/>
      <c r="P67" s="382"/>
      <c r="Q67" s="383"/>
    </row>
    <row r="68" spans="1:17" s="159" customFormat="1" ht="13.5" thickBot="1" x14ac:dyDescent="0.25">
      <c r="A68" s="353" t="s">
        <v>0</v>
      </c>
      <c r="B68" s="354" t="s">
        <v>1</v>
      </c>
      <c r="C68" s="939" t="s">
        <v>656</v>
      </c>
      <c r="D68" s="939"/>
      <c r="E68" s="939"/>
      <c r="F68" s="939"/>
      <c r="G68" s="939" t="s">
        <v>34</v>
      </c>
      <c r="H68" s="939"/>
      <c r="I68" s="939"/>
      <c r="J68" s="355"/>
      <c r="K68" s="523"/>
      <c r="L68" s="391"/>
      <c r="M68" s="355"/>
      <c r="N68" s="438"/>
      <c r="O68" s="381"/>
      <c r="P68" s="382"/>
      <c r="Q68" s="383"/>
    </row>
    <row r="69" spans="1:17" s="159" customFormat="1" ht="15.75" x14ac:dyDescent="0.25">
      <c r="A69" s="525" t="s">
        <v>416</v>
      </c>
      <c r="B69" s="525" t="s">
        <v>417</v>
      </c>
      <c r="C69" s="396" t="s">
        <v>19</v>
      </c>
      <c r="D69" s="397" t="s">
        <v>33</v>
      </c>
      <c r="E69" s="398" t="s">
        <v>35</v>
      </c>
      <c r="F69" s="399" t="s">
        <v>30</v>
      </c>
      <c r="G69" s="533" t="s">
        <v>14</v>
      </c>
      <c r="H69" s="398" t="s">
        <v>35</v>
      </c>
      <c r="I69" s="399" t="s">
        <v>30</v>
      </c>
      <c r="J69" s="364" t="s">
        <v>659</v>
      </c>
      <c r="K69" s="534" t="s">
        <v>38</v>
      </c>
      <c r="L69" s="402"/>
      <c r="M69" s="408"/>
      <c r="N69" s="409"/>
      <c r="O69" s="381"/>
      <c r="P69" s="382"/>
      <c r="Q69" s="383"/>
    </row>
    <row r="70" spans="1:17" s="159" customFormat="1" x14ac:dyDescent="0.2">
      <c r="A70" s="158" t="s">
        <v>418</v>
      </c>
      <c r="B70" s="159" t="s">
        <v>420</v>
      </c>
      <c r="C70" s="371"/>
      <c r="D70" s="372" t="s">
        <v>21</v>
      </c>
      <c r="E70" s="253">
        <v>0</v>
      </c>
      <c r="F70" s="373">
        <f>C70*E70</f>
        <v>0</v>
      </c>
      <c r="G70" s="529"/>
      <c r="H70" s="375">
        <v>0</v>
      </c>
      <c r="I70" s="373">
        <f>G70*H70</f>
        <v>0</v>
      </c>
      <c r="J70" s="376"/>
      <c r="K70" s="530">
        <f>F70+I70+J70</f>
        <v>0</v>
      </c>
      <c r="M70" s="276"/>
      <c r="N70" s="157"/>
      <c r="O70" s="381"/>
      <c r="P70" s="382"/>
      <c r="Q70" s="383"/>
    </row>
    <row r="71" spans="1:17" s="159" customFormat="1" x14ac:dyDescent="0.2">
      <c r="A71" s="158" t="s">
        <v>419</v>
      </c>
      <c r="B71" s="159" t="s">
        <v>421</v>
      </c>
      <c r="C71" s="371"/>
      <c r="D71" s="372" t="s">
        <v>21</v>
      </c>
      <c r="E71" s="253">
        <v>0</v>
      </c>
      <c r="F71" s="373">
        <f>C71*E71</f>
        <v>0</v>
      </c>
      <c r="G71" s="529"/>
      <c r="H71" s="375">
        <v>0</v>
      </c>
      <c r="I71" s="373">
        <f>G71*H71</f>
        <v>0</v>
      </c>
      <c r="J71" s="376"/>
      <c r="K71" s="530">
        <f>F71+I71+J71</f>
        <v>0</v>
      </c>
      <c r="M71" s="276"/>
      <c r="N71" s="157"/>
      <c r="O71" s="381"/>
      <c r="P71" s="382"/>
      <c r="Q71" s="383"/>
    </row>
    <row r="72" spans="1:17" s="159" customFormat="1" x14ac:dyDescent="0.2">
      <c r="A72" s="370"/>
      <c r="B72" s="5"/>
      <c r="C72" s="371"/>
      <c r="D72" s="372" t="s">
        <v>21</v>
      </c>
      <c r="E72" s="253">
        <v>0</v>
      </c>
      <c r="F72" s="373">
        <f>C72*E72</f>
        <v>0</v>
      </c>
      <c r="G72" s="529"/>
      <c r="H72" s="375">
        <v>0</v>
      </c>
      <c r="I72" s="373">
        <f>G72*H72</f>
        <v>0</v>
      </c>
      <c r="J72" s="376"/>
      <c r="K72" s="530">
        <f>F72+I72+J72</f>
        <v>0</v>
      </c>
      <c r="M72" s="276"/>
      <c r="N72" s="157"/>
      <c r="O72" s="381"/>
      <c r="P72" s="382"/>
      <c r="Q72" s="383"/>
    </row>
    <row r="73" spans="1:17" s="159" customFormat="1" ht="13.5" thickBot="1" x14ac:dyDescent="0.25">
      <c r="A73" s="387"/>
      <c r="B73" s="5"/>
      <c r="C73" s="388"/>
      <c r="D73" s="372"/>
      <c r="E73" s="253"/>
      <c r="F73" s="373"/>
      <c r="G73" s="529"/>
      <c r="H73" s="375"/>
      <c r="I73" s="373"/>
      <c r="J73" s="376"/>
      <c r="K73" s="535"/>
      <c r="M73" s="274"/>
      <c r="O73" s="381"/>
      <c r="P73" s="382"/>
      <c r="Q73" s="383"/>
    </row>
    <row r="74" spans="1:17" s="159" customFormat="1" ht="13.5" thickTop="1" x14ac:dyDescent="0.2">
      <c r="A74" s="387"/>
      <c r="B74" s="157"/>
      <c r="C74" s="388"/>
      <c r="D74" s="372"/>
      <c r="E74" s="253"/>
      <c r="F74" s="373"/>
      <c r="G74" s="529"/>
      <c r="H74" s="375"/>
      <c r="I74" s="373"/>
      <c r="J74" s="389" t="s">
        <v>30</v>
      </c>
      <c r="K74" s="532">
        <f>SUM(K70:K73)</f>
        <v>0</v>
      </c>
      <c r="M74" s="274"/>
      <c r="O74" s="381"/>
      <c r="P74" s="382"/>
      <c r="Q74" s="383"/>
    </row>
    <row r="75" spans="1:17" s="159" customFormat="1" ht="13.5" thickBot="1" x14ac:dyDescent="0.25">
      <c r="A75" s="353" t="s">
        <v>0</v>
      </c>
      <c r="B75" s="354" t="s">
        <v>1</v>
      </c>
      <c r="C75" s="939" t="s">
        <v>656</v>
      </c>
      <c r="D75" s="939"/>
      <c r="E75" s="939"/>
      <c r="F75" s="939"/>
      <c r="G75" s="939" t="s">
        <v>34</v>
      </c>
      <c r="H75" s="939"/>
      <c r="I75" s="939"/>
      <c r="J75" s="355"/>
      <c r="K75" s="523"/>
      <c r="L75" s="391"/>
      <c r="M75" s="392"/>
      <c r="N75" s="393"/>
      <c r="O75" s="381"/>
      <c r="P75" s="382"/>
      <c r="Q75" s="383"/>
    </row>
    <row r="76" spans="1:17" s="159" customFormat="1" ht="16.5" thickBot="1" x14ac:dyDescent="0.3">
      <c r="A76" s="525" t="s">
        <v>422</v>
      </c>
      <c r="B76" s="525" t="s">
        <v>423</v>
      </c>
      <c r="C76" s="396" t="s">
        <v>19</v>
      </c>
      <c r="D76" s="397" t="s">
        <v>33</v>
      </c>
      <c r="E76" s="398" t="s">
        <v>35</v>
      </c>
      <c r="F76" s="399" t="s">
        <v>30</v>
      </c>
      <c r="G76" s="533" t="s">
        <v>14</v>
      </c>
      <c r="H76" s="398" t="s">
        <v>35</v>
      </c>
      <c r="I76" s="399" t="s">
        <v>30</v>
      </c>
      <c r="J76" s="364" t="s">
        <v>659</v>
      </c>
      <c r="K76" s="534" t="s">
        <v>38</v>
      </c>
      <c r="L76" s="402"/>
      <c r="M76" s="403"/>
      <c r="N76" s="404"/>
      <c r="O76" s="381"/>
      <c r="P76" s="382"/>
      <c r="Q76" s="383"/>
    </row>
    <row r="77" spans="1:17" s="159" customFormat="1" x14ac:dyDescent="0.2">
      <c r="A77" s="405"/>
      <c r="B77" s="406"/>
      <c r="C77" s="371"/>
      <c r="D77" s="372" t="s">
        <v>21</v>
      </c>
      <c r="E77" s="253">
        <v>0</v>
      </c>
      <c r="F77" s="373">
        <f>C77*E77</f>
        <v>0</v>
      </c>
      <c r="G77" s="529"/>
      <c r="H77" s="375">
        <v>0</v>
      </c>
      <c r="I77" s="373">
        <f>G77*H77</f>
        <v>0</v>
      </c>
      <c r="J77" s="376"/>
      <c r="K77" s="530">
        <f>F77+I77+J77</f>
        <v>0</v>
      </c>
      <c r="L77" s="664"/>
      <c r="M77" s="666"/>
      <c r="N77" s="665"/>
      <c r="O77" s="381"/>
      <c r="P77" s="382"/>
      <c r="Q77" s="383"/>
    </row>
    <row r="78" spans="1:17" s="159" customFormat="1" x14ac:dyDescent="0.2">
      <c r="A78" s="370"/>
      <c r="B78" s="5"/>
      <c r="C78" s="371"/>
      <c r="D78" s="372" t="s">
        <v>21</v>
      </c>
      <c r="E78" s="253">
        <v>0</v>
      </c>
      <c r="F78" s="373">
        <f>C78*E78</f>
        <v>0</v>
      </c>
      <c r="G78" s="529"/>
      <c r="H78" s="375">
        <v>0</v>
      </c>
      <c r="I78" s="373">
        <f>G78*H78</f>
        <v>0</v>
      </c>
      <c r="J78" s="376"/>
      <c r="K78" s="530">
        <f>F78+I78+J78</f>
        <v>0</v>
      </c>
      <c r="L78" s="378"/>
      <c r="M78" s="379"/>
      <c r="N78" s="380"/>
      <c r="O78" s="381"/>
      <c r="P78" s="382"/>
      <c r="Q78" s="383"/>
    </row>
    <row r="79" spans="1:17" s="159" customFormat="1" x14ac:dyDescent="0.2">
      <c r="A79" s="370"/>
      <c r="C79" s="371"/>
      <c r="D79" s="372" t="s">
        <v>21</v>
      </c>
      <c r="E79" s="253">
        <v>0</v>
      </c>
      <c r="F79" s="373">
        <f>C79*E79</f>
        <v>0</v>
      </c>
      <c r="G79" s="529"/>
      <c r="H79" s="375">
        <v>0</v>
      </c>
      <c r="I79" s="373">
        <f>G79*H79</f>
        <v>0</v>
      </c>
      <c r="J79" s="376"/>
      <c r="K79" s="530">
        <f>F79+I79+J79</f>
        <v>0</v>
      </c>
      <c r="L79" s="378"/>
      <c r="M79" s="379"/>
      <c r="N79" s="380"/>
      <c r="O79" s="381"/>
      <c r="P79" s="382"/>
      <c r="Q79" s="383"/>
    </row>
    <row r="80" spans="1:17" s="159" customFormat="1" x14ac:dyDescent="0.2">
      <c r="A80" s="370"/>
      <c r="B80" s="5"/>
      <c r="C80" s="371"/>
      <c r="D80" s="372" t="s">
        <v>21</v>
      </c>
      <c r="E80" s="253">
        <v>0</v>
      </c>
      <c r="F80" s="373">
        <f>C80*E80</f>
        <v>0</v>
      </c>
      <c r="G80" s="529"/>
      <c r="H80" s="375">
        <v>0</v>
      </c>
      <c r="I80" s="373">
        <f>G80*H80</f>
        <v>0</v>
      </c>
      <c r="J80" s="376"/>
      <c r="K80" s="530">
        <f>F80+I80+J80</f>
        <v>0</v>
      </c>
      <c r="M80" s="274"/>
      <c r="O80" s="381"/>
      <c r="P80" s="382"/>
      <c r="Q80" s="383"/>
    </row>
    <row r="81" spans="1:17" s="159" customFormat="1" x14ac:dyDescent="0.2">
      <c r="A81" s="370"/>
      <c r="B81" s="5"/>
      <c r="C81" s="371"/>
      <c r="D81" s="372" t="s">
        <v>21</v>
      </c>
      <c r="E81" s="253">
        <v>0</v>
      </c>
      <c r="F81" s="373">
        <f>C81*E81</f>
        <v>0</v>
      </c>
      <c r="G81" s="529"/>
      <c r="H81" s="375">
        <v>0</v>
      </c>
      <c r="I81" s="373">
        <f>G81*H81</f>
        <v>0</v>
      </c>
      <c r="J81" s="376"/>
      <c r="K81" s="530">
        <f>F81+I81+J81</f>
        <v>0</v>
      </c>
      <c r="M81" s="274"/>
      <c r="O81" s="381"/>
      <c r="P81" s="382"/>
      <c r="Q81" s="383"/>
    </row>
    <row r="82" spans="1:17" s="159" customFormat="1" ht="13.5" thickBot="1" x14ac:dyDescent="0.25">
      <c r="A82" s="387"/>
      <c r="B82" s="5"/>
      <c r="C82" s="388"/>
      <c r="D82" s="372"/>
      <c r="E82" s="253"/>
      <c r="F82" s="373"/>
      <c r="G82" s="529"/>
      <c r="H82" s="375"/>
      <c r="I82" s="373"/>
      <c r="J82" s="376"/>
      <c r="K82" s="535"/>
      <c r="M82" s="276"/>
      <c r="N82" s="157"/>
      <c r="O82" s="381"/>
      <c r="P82" s="382"/>
      <c r="Q82" s="383"/>
    </row>
    <row r="83" spans="1:17" s="159" customFormat="1" ht="13.5" thickTop="1" x14ac:dyDescent="0.2">
      <c r="A83" s="387"/>
      <c r="B83" s="412"/>
      <c r="C83" s="388"/>
      <c r="D83" s="372"/>
      <c r="E83" s="253"/>
      <c r="F83" s="373"/>
      <c r="G83" s="529"/>
      <c r="H83" s="375"/>
      <c r="I83" s="373"/>
      <c r="J83" s="389" t="s">
        <v>30</v>
      </c>
      <c r="K83" s="532">
        <f>SUM(K77:K82)</f>
        <v>0</v>
      </c>
      <c r="M83" s="276"/>
      <c r="N83" s="157"/>
      <c r="O83" s="381"/>
      <c r="P83" s="382"/>
      <c r="Q83" s="383"/>
    </row>
    <row r="84" spans="1:17" s="159" customFormat="1" ht="13.5" thickBot="1" x14ac:dyDescent="0.25">
      <c r="A84" s="353" t="s">
        <v>0</v>
      </c>
      <c r="B84" s="354" t="s">
        <v>1</v>
      </c>
      <c r="C84" s="939" t="s">
        <v>656</v>
      </c>
      <c r="D84" s="939"/>
      <c r="E84" s="939"/>
      <c r="F84" s="939"/>
      <c r="G84" s="939" t="s">
        <v>34</v>
      </c>
      <c r="H84" s="939"/>
      <c r="I84" s="939"/>
      <c r="J84" s="355"/>
      <c r="K84" s="523"/>
      <c r="L84" s="391"/>
      <c r="M84" s="392"/>
      <c r="N84" s="393"/>
      <c r="O84" s="381"/>
      <c r="P84" s="382"/>
      <c r="Q84" s="383"/>
    </row>
    <row r="85" spans="1:17" s="159" customFormat="1" ht="16.5" thickBot="1" x14ac:dyDescent="0.3">
      <c r="A85" s="394"/>
      <c r="B85" s="395"/>
      <c r="C85" s="396" t="s">
        <v>19</v>
      </c>
      <c r="D85" s="397" t="s">
        <v>33</v>
      </c>
      <c r="E85" s="398" t="s">
        <v>35</v>
      </c>
      <c r="F85" s="399" t="s">
        <v>30</v>
      </c>
      <c r="G85" s="533" t="s">
        <v>14</v>
      </c>
      <c r="H85" s="398" t="s">
        <v>35</v>
      </c>
      <c r="I85" s="399" t="s">
        <v>30</v>
      </c>
      <c r="J85" s="364" t="s">
        <v>659</v>
      </c>
      <c r="K85" s="534" t="s">
        <v>38</v>
      </c>
      <c r="L85" s="402"/>
      <c r="M85" s="403"/>
      <c r="N85" s="404"/>
      <c r="O85" s="381"/>
      <c r="P85" s="382"/>
      <c r="Q85" s="383"/>
    </row>
    <row r="86" spans="1:17" s="159" customFormat="1" x14ac:dyDescent="0.2">
      <c r="A86" s="405"/>
      <c r="B86" s="406"/>
      <c r="C86" s="371"/>
      <c r="D86" s="372" t="s">
        <v>21</v>
      </c>
      <c r="E86" s="253">
        <v>0</v>
      </c>
      <c r="F86" s="373">
        <f>C86*E86</f>
        <v>0</v>
      </c>
      <c r="G86" s="529"/>
      <c r="H86" s="375">
        <v>0</v>
      </c>
      <c r="I86" s="373">
        <f>G86*H86</f>
        <v>0</v>
      </c>
      <c r="J86" s="376"/>
      <c r="K86" s="530">
        <f>F86+I86+J86</f>
        <v>0</v>
      </c>
      <c r="L86" s="378"/>
      <c r="M86" s="379"/>
      <c r="N86" s="380"/>
      <c r="O86" s="381"/>
      <c r="P86" s="382"/>
      <c r="Q86" s="383"/>
    </row>
    <row r="87" spans="1:17" s="159" customFormat="1" x14ac:dyDescent="0.2">
      <c r="A87" s="370"/>
      <c r="B87" s="5"/>
      <c r="C87" s="371"/>
      <c r="D87" s="372" t="s">
        <v>21</v>
      </c>
      <c r="E87" s="253">
        <v>0</v>
      </c>
      <c r="F87" s="373">
        <f>C87*E87</f>
        <v>0</v>
      </c>
      <c r="G87" s="529"/>
      <c r="H87" s="375">
        <v>0</v>
      </c>
      <c r="I87" s="373">
        <f>G87*H87</f>
        <v>0</v>
      </c>
      <c r="J87" s="376"/>
      <c r="K87" s="530">
        <f>F87+I87+J87</f>
        <v>0</v>
      </c>
      <c r="L87" s="667"/>
      <c r="M87" s="668"/>
      <c r="N87" s="670"/>
      <c r="O87" s="381"/>
      <c r="P87" s="382"/>
      <c r="Q87" s="383"/>
    </row>
    <row r="88" spans="1:17" s="159" customFormat="1" x14ac:dyDescent="0.2">
      <c r="A88" s="370"/>
      <c r="B88" s="5"/>
      <c r="C88" s="371"/>
      <c r="D88" s="372" t="s">
        <v>21</v>
      </c>
      <c r="E88" s="253">
        <v>0</v>
      </c>
      <c r="F88" s="373">
        <f>C88*E88</f>
        <v>0</v>
      </c>
      <c r="G88" s="529"/>
      <c r="H88" s="375">
        <v>0</v>
      </c>
      <c r="I88" s="373">
        <f>G88*H88</f>
        <v>0</v>
      </c>
      <c r="J88" s="376"/>
      <c r="K88" s="530">
        <f>F88+I88+J88</f>
        <v>0</v>
      </c>
      <c r="L88" s="667"/>
      <c r="M88" s="668"/>
      <c r="N88" s="670"/>
      <c r="O88" s="381"/>
      <c r="P88" s="382"/>
      <c r="Q88" s="383"/>
    </row>
    <row r="89" spans="1:17" s="159" customFormat="1" x14ac:dyDescent="0.2">
      <c r="A89" s="370"/>
      <c r="B89" s="5"/>
      <c r="C89" s="371"/>
      <c r="D89" s="372" t="s">
        <v>21</v>
      </c>
      <c r="E89" s="253">
        <v>0</v>
      </c>
      <c r="F89" s="373">
        <f>C89*E89</f>
        <v>0</v>
      </c>
      <c r="G89" s="529"/>
      <c r="H89" s="375">
        <v>0</v>
      </c>
      <c r="I89" s="373">
        <f>G89*H89</f>
        <v>0</v>
      </c>
      <c r="J89" s="376"/>
      <c r="K89" s="530">
        <f>F89+I89+J89</f>
        <v>0</v>
      </c>
      <c r="L89" s="667"/>
      <c r="M89" s="668"/>
      <c r="N89" s="670"/>
      <c r="O89" s="381"/>
      <c r="P89" s="382"/>
      <c r="Q89" s="383"/>
    </row>
    <row r="90" spans="1:17" s="159" customFormat="1" ht="13.5" thickBot="1" x14ac:dyDescent="0.25">
      <c r="A90" s="387"/>
      <c r="B90" s="412"/>
      <c r="C90" s="371"/>
      <c r="D90" s="372"/>
      <c r="E90" s="253"/>
      <c r="F90" s="373"/>
      <c r="G90" s="529"/>
      <c r="H90" s="375"/>
      <c r="I90" s="373"/>
      <c r="J90" s="376"/>
      <c r="K90" s="530"/>
      <c r="L90" s="667"/>
      <c r="M90" s="668"/>
      <c r="N90" s="670"/>
      <c r="O90" s="381"/>
      <c r="P90" s="382"/>
      <c r="Q90" s="383"/>
    </row>
    <row r="91" spans="1:17" s="159" customFormat="1" ht="14.25" thickTop="1" thickBot="1" x14ac:dyDescent="0.25">
      <c r="A91" s="470"/>
      <c r="B91" s="156"/>
      <c r="C91" s="471"/>
      <c r="D91" s="472"/>
      <c r="E91" s="473"/>
      <c r="F91" s="474"/>
      <c r="G91" s="634"/>
      <c r="H91" s="473"/>
      <c r="I91" s="474"/>
      <c r="J91" s="476" t="s">
        <v>30</v>
      </c>
      <c r="K91" s="635">
        <f>SUM(K86:K90)</f>
        <v>0</v>
      </c>
      <c r="M91" s="274"/>
    </row>
    <row r="92" spans="1:17" s="159" customFormat="1" ht="14.1" customHeight="1" thickBot="1" x14ac:dyDescent="0.3">
      <c r="A92" s="478"/>
      <c r="B92" s="479"/>
      <c r="C92" s="480"/>
      <c r="D92" s="480"/>
      <c r="E92" s="481"/>
      <c r="F92" s="969" t="s">
        <v>658</v>
      </c>
      <c r="G92" s="992" t="s">
        <v>684</v>
      </c>
      <c r="H92" s="481"/>
      <c r="I92" s="962" t="s">
        <v>657</v>
      </c>
      <c r="J92" s="958" t="s">
        <v>685</v>
      </c>
      <c r="K92" s="956" t="s">
        <v>31</v>
      </c>
      <c r="L92" s="671"/>
      <c r="M92" s="672"/>
      <c r="N92" s="673"/>
      <c r="O92" s="460"/>
      <c r="P92" s="461"/>
      <c r="Q92" s="462"/>
    </row>
    <row r="93" spans="1:17" s="159" customFormat="1" ht="15.75" thickTop="1" x14ac:dyDescent="0.2">
      <c r="A93" s="482" t="s">
        <v>32</v>
      </c>
      <c r="B93" s="964" t="s">
        <v>667</v>
      </c>
      <c r="C93" s="483"/>
      <c r="D93" s="484"/>
      <c r="E93" s="484"/>
      <c r="F93" s="970"/>
      <c r="G93" s="993"/>
      <c r="H93" s="485"/>
      <c r="I93" s="963"/>
      <c r="J93" s="959"/>
      <c r="K93" s="957"/>
      <c r="M93" s="274"/>
    </row>
    <row r="94" spans="1:17" s="159" customFormat="1" ht="15" x14ac:dyDescent="0.25">
      <c r="A94" s="826">
        <f>K94/E6</f>
        <v>10.288602268569338</v>
      </c>
      <c r="B94" s="964"/>
      <c r="C94" s="484"/>
      <c r="D94" s="484"/>
      <c r="E94" s="484"/>
      <c r="F94" s="952">
        <f>SUM(F77:F82,F70:F73,F49:F66,F38:F45,F27:F34,F11:F23)</f>
        <v>0</v>
      </c>
      <c r="G94" s="997">
        <f>SUM(G77:G82,G70:G73,G49:G66,G38:G45,G27:G34,G11:G23)</f>
        <v>0</v>
      </c>
      <c r="H94" s="485"/>
      <c r="I94" s="952">
        <f>SUM(I77:I82,I70:I73,I49:I66,I38:I45,I27:I34,I11:I23)</f>
        <v>0</v>
      </c>
      <c r="J94" s="952">
        <f>SUM(J77:J82,J70:J73,J49:J66,J38:J45,J27:J34,J11:J23)</f>
        <v>674850</v>
      </c>
      <c r="K94" s="954">
        <f>K91+K83+K74+K67+K46+K35+K24</f>
        <v>674850</v>
      </c>
      <c r="M94" s="274"/>
    </row>
    <row r="95" spans="1:17" s="159" customFormat="1" ht="15" thickBot="1" x14ac:dyDescent="0.25">
      <c r="A95" s="482"/>
      <c r="B95" s="550"/>
      <c r="C95" s="488"/>
      <c r="D95" s="488"/>
      <c r="E95" s="488"/>
      <c r="F95" s="953"/>
      <c r="G95" s="998"/>
      <c r="H95" s="488"/>
      <c r="I95" s="953"/>
      <c r="J95" s="953"/>
      <c r="K95" s="955"/>
      <c r="M95" s="274"/>
    </row>
    <row r="96" spans="1:17" s="159" customFormat="1" ht="13.5" thickBot="1" x14ac:dyDescent="0.25">
      <c r="A96" s="489"/>
      <c r="B96" s="490"/>
      <c r="C96" s="490"/>
      <c r="D96" s="490"/>
      <c r="E96" s="490"/>
      <c r="F96" s="490"/>
      <c r="G96" s="490"/>
      <c r="H96" s="490"/>
      <c r="I96" s="490"/>
      <c r="J96" s="490"/>
      <c r="K96" s="491"/>
      <c r="M96" s="274"/>
    </row>
    <row r="97" spans="3:16" s="159" customFormat="1" x14ac:dyDescent="0.2">
      <c r="C97" s="655"/>
      <c r="D97" s="655"/>
      <c r="J97" s="274"/>
      <c r="M97" s="274"/>
    </row>
    <row r="98" spans="3:16" s="159" customFormat="1" x14ac:dyDescent="0.2">
      <c r="C98" s="655"/>
      <c r="D98" s="655"/>
      <c r="J98" s="274"/>
      <c r="M98" s="276"/>
      <c r="N98" s="157"/>
      <c r="O98" s="302"/>
      <c r="P98" s="302"/>
    </row>
    <row r="99" spans="3:16" s="159" customFormat="1" x14ac:dyDescent="0.2">
      <c r="C99" s="655"/>
      <c r="D99" s="655"/>
      <c r="J99" s="274"/>
      <c r="M99" s="276"/>
      <c r="N99" s="157"/>
      <c r="O99" s="302"/>
      <c r="P99" s="302"/>
    </row>
    <row r="100" spans="3:16" s="159" customFormat="1" x14ac:dyDescent="0.2">
      <c r="C100" s="655"/>
      <c r="D100" s="655"/>
      <c r="J100" s="274"/>
      <c r="M100" s="276"/>
      <c r="N100" s="157"/>
      <c r="O100" s="302"/>
      <c r="P100" s="302"/>
    </row>
    <row r="101" spans="3:16" s="159" customFormat="1" x14ac:dyDescent="0.2">
      <c r="C101" s="655"/>
      <c r="D101" s="655"/>
      <c r="J101" s="274"/>
      <c r="M101" s="276"/>
      <c r="N101" s="157"/>
      <c r="O101" s="302"/>
      <c r="P101" s="302"/>
    </row>
    <row r="102" spans="3:16" s="159" customFormat="1" x14ac:dyDescent="0.2">
      <c r="C102" s="655"/>
      <c r="D102" s="655"/>
      <c r="J102" s="274"/>
      <c r="M102" s="276"/>
      <c r="N102" s="157"/>
      <c r="O102" s="302"/>
      <c r="P102" s="302"/>
    </row>
    <row r="103" spans="3:16" s="159" customFormat="1" x14ac:dyDescent="0.2">
      <c r="C103" s="655"/>
      <c r="D103" s="655"/>
      <c r="J103" s="274"/>
      <c r="M103" s="276"/>
      <c r="N103" s="157"/>
      <c r="O103" s="302"/>
      <c r="P103" s="302"/>
    </row>
    <row r="104" spans="3:16" s="159" customFormat="1" x14ac:dyDescent="0.2">
      <c r="C104" s="655"/>
      <c r="D104" s="655"/>
      <c r="J104" s="274"/>
      <c r="M104" s="276"/>
      <c r="N104" s="157"/>
      <c r="O104" s="302"/>
      <c r="P104" s="302"/>
    </row>
    <row r="105" spans="3:16" s="159" customFormat="1" x14ac:dyDescent="0.2">
      <c r="C105" s="655"/>
      <c r="D105" s="655"/>
      <c r="J105" s="274"/>
      <c r="M105" s="276"/>
      <c r="N105" s="157"/>
      <c r="O105" s="302"/>
      <c r="P105" s="302"/>
    </row>
    <row r="106" spans="3:16" s="159" customFormat="1" x14ac:dyDescent="0.2">
      <c r="C106" s="655"/>
      <c r="D106" s="655"/>
      <c r="J106" s="274"/>
      <c r="M106" s="276"/>
      <c r="N106" s="157"/>
      <c r="O106" s="302"/>
      <c r="P106" s="302"/>
    </row>
    <row r="107" spans="3:16" s="159" customFormat="1" x14ac:dyDescent="0.2">
      <c r="C107" s="655"/>
      <c r="D107" s="655"/>
      <c r="J107" s="274"/>
      <c r="M107" s="276"/>
      <c r="N107" s="157"/>
      <c r="O107" s="302"/>
      <c r="P107" s="302"/>
    </row>
    <row r="108" spans="3:16" s="159" customFormat="1" x14ac:dyDescent="0.2">
      <c r="C108" s="655"/>
      <c r="D108" s="655"/>
      <c r="J108" s="274"/>
      <c r="M108" s="276"/>
      <c r="N108" s="157"/>
      <c r="O108" s="302"/>
      <c r="P108" s="302"/>
    </row>
    <row r="109" spans="3:16" s="159" customFormat="1" x14ac:dyDescent="0.2">
      <c r="C109" s="655"/>
      <c r="D109" s="655"/>
      <c r="J109" s="274"/>
      <c r="M109" s="276"/>
      <c r="N109" s="157"/>
      <c r="O109" s="302"/>
      <c r="P109" s="302"/>
    </row>
    <row r="110" spans="3:16" s="159" customFormat="1" x14ac:dyDescent="0.2">
      <c r="C110" s="655"/>
      <c r="D110" s="655"/>
      <c r="J110" s="274"/>
      <c r="M110" s="276"/>
      <c r="N110" s="157"/>
      <c r="O110" s="302"/>
      <c r="P110" s="302"/>
    </row>
    <row r="111" spans="3:16" s="159" customFormat="1" x14ac:dyDescent="0.2">
      <c r="C111" s="655"/>
      <c r="D111" s="655"/>
      <c r="J111" s="274"/>
      <c r="M111" s="276"/>
      <c r="N111" s="157"/>
      <c r="O111" s="302"/>
      <c r="P111" s="302"/>
    </row>
    <row r="112" spans="3:16" s="159" customFormat="1" x14ac:dyDescent="0.2">
      <c r="C112" s="655"/>
      <c r="D112" s="655"/>
      <c r="J112" s="274"/>
      <c r="M112" s="276"/>
      <c r="N112" s="157"/>
      <c r="O112" s="302"/>
      <c r="P112" s="302"/>
    </row>
    <row r="113" spans="3:16" s="159" customFormat="1" x14ac:dyDescent="0.2">
      <c r="C113" s="655"/>
      <c r="D113" s="655"/>
      <c r="J113" s="274"/>
      <c r="M113" s="276"/>
      <c r="N113" s="157"/>
      <c r="O113" s="302"/>
      <c r="P113" s="302"/>
    </row>
    <row r="114" spans="3:16" s="159" customFormat="1" x14ac:dyDescent="0.2">
      <c r="C114" s="655"/>
      <c r="D114" s="655"/>
      <c r="J114" s="274"/>
      <c r="M114" s="276"/>
      <c r="N114" s="157"/>
      <c r="O114" s="302"/>
      <c r="P114" s="302"/>
    </row>
    <row r="115" spans="3:16" s="159" customFormat="1" x14ac:dyDescent="0.2">
      <c r="C115" s="655"/>
      <c r="D115" s="655"/>
      <c r="J115" s="274"/>
      <c r="M115" s="276"/>
      <c r="N115" s="157"/>
      <c r="O115" s="302"/>
      <c r="P115" s="302"/>
    </row>
    <row r="116" spans="3:16" s="159" customFormat="1" x14ac:dyDescent="0.2">
      <c r="C116" s="655"/>
      <c r="D116" s="655"/>
      <c r="J116" s="274"/>
      <c r="M116" s="276"/>
      <c r="N116" s="157"/>
      <c r="O116" s="302"/>
      <c r="P116" s="302"/>
    </row>
    <row r="117" spans="3:16" s="159" customFormat="1" x14ac:dyDescent="0.2">
      <c r="C117" s="655"/>
      <c r="D117" s="655"/>
      <c r="J117" s="274"/>
      <c r="M117" s="276"/>
      <c r="N117" s="157"/>
      <c r="O117" s="302"/>
      <c r="P117" s="302"/>
    </row>
    <row r="118" spans="3:16" s="159" customFormat="1" x14ac:dyDescent="0.2">
      <c r="C118" s="655"/>
      <c r="D118" s="655"/>
      <c r="J118" s="274"/>
      <c r="M118" s="276"/>
      <c r="N118" s="157"/>
      <c r="O118" s="302"/>
      <c r="P118" s="302"/>
    </row>
    <row r="119" spans="3:16" s="159" customFormat="1" x14ac:dyDescent="0.2">
      <c r="C119" s="655"/>
      <c r="D119" s="655"/>
      <c r="J119" s="274"/>
      <c r="M119" s="276"/>
      <c r="N119" s="157"/>
      <c r="O119" s="302"/>
      <c r="P119" s="302"/>
    </row>
    <row r="120" spans="3:16" s="159" customFormat="1" x14ac:dyDescent="0.2">
      <c r="C120" s="655"/>
      <c r="D120" s="655"/>
      <c r="J120" s="274"/>
      <c r="M120" s="276"/>
      <c r="N120" s="157"/>
      <c r="O120" s="302"/>
      <c r="P120" s="302"/>
    </row>
    <row r="121" spans="3:16" s="159" customFormat="1" x14ac:dyDescent="0.2">
      <c r="C121" s="655"/>
      <c r="D121" s="655"/>
      <c r="J121" s="274"/>
      <c r="M121" s="276"/>
      <c r="N121" s="157"/>
      <c r="O121" s="302"/>
      <c r="P121" s="302"/>
    </row>
    <row r="122" spans="3:16" s="159" customFormat="1" x14ac:dyDescent="0.2">
      <c r="C122" s="655"/>
      <c r="D122" s="655"/>
      <c r="J122" s="274"/>
      <c r="M122" s="276"/>
      <c r="N122" s="157"/>
      <c r="O122" s="302"/>
      <c r="P122" s="302"/>
    </row>
    <row r="123" spans="3:16" s="159" customFormat="1" x14ac:dyDescent="0.2">
      <c r="C123" s="655"/>
      <c r="D123" s="655"/>
      <c r="J123" s="274"/>
      <c r="M123" s="276"/>
      <c r="N123" s="157"/>
      <c r="O123" s="302"/>
      <c r="P123" s="302"/>
    </row>
    <row r="124" spans="3:16" s="159" customFormat="1" x14ac:dyDescent="0.2">
      <c r="C124" s="655"/>
      <c r="D124" s="655"/>
      <c r="J124" s="274"/>
      <c r="M124" s="276"/>
      <c r="N124" s="157"/>
      <c r="O124" s="302"/>
      <c r="P124" s="302"/>
    </row>
    <row r="125" spans="3:16" s="159" customFormat="1" x14ac:dyDescent="0.2">
      <c r="C125" s="655"/>
      <c r="D125" s="655"/>
      <c r="J125" s="274"/>
      <c r="M125" s="276"/>
      <c r="N125" s="157"/>
      <c r="O125" s="302"/>
      <c r="P125" s="302"/>
    </row>
    <row r="126" spans="3:16" s="159" customFormat="1" x14ac:dyDescent="0.2">
      <c r="C126" s="655"/>
      <c r="D126" s="655"/>
      <c r="J126" s="274"/>
      <c r="M126" s="276"/>
      <c r="N126" s="157"/>
      <c r="O126" s="302"/>
      <c r="P126" s="302"/>
    </row>
    <row r="127" spans="3:16" s="159" customFormat="1" x14ac:dyDescent="0.2">
      <c r="C127" s="655"/>
      <c r="D127" s="655"/>
      <c r="J127" s="274"/>
      <c r="M127" s="276"/>
      <c r="N127" s="157"/>
      <c r="O127" s="302"/>
      <c r="P127" s="302"/>
    </row>
    <row r="128" spans="3:16" s="159" customFormat="1" x14ac:dyDescent="0.2">
      <c r="C128" s="655"/>
      <c r="D128" s="655"/>
      <c r="J128" s="274"/>
      <c r="M128" s="276"/>
      <c r="N128" s="157"/>
      <c r="O128" s="302"/>
      <c r="P128" s="302"/>
    </row>
    <row r="129" spans="3:16" s="159" customFormat="1" x14ac:dyDescent="0.2">
      <c r="C129" s="655"/>
      <c r="D129" s="655"/>
      <c r="J129" s="274"/>
      <c r="M129" s="276"/>
      <c r="N129" s="157"/>
      <c r="O129" s="302"/>
      <c r="P129" s="302"/>
    </row>
    <row r="130" spans="3:16" s="159" customFormat="1" x14ac:dyDescent="0.2">
      <c r="C130" s="655"/>
      <c r="D130" s="655"/>
      <c r="J130" s="274"/>
      <c r="M130" s="276"/>
      <c r="N130" s="157"/>
      <c r="O130" s="302"/>
      <c r="P130" s="302"/>
    </row>
    <row r="131" spans="3:16" s="159" customFormat="1" x14ac:dyDescent="0.2">
      <c r="C131" s="655"/>
      <c r="D131" s="655"/>
      <c r="J131" s="274"/>
      <c r="M131" s="276"/>
      <c r="N131" s="157"/>
      <c r="O131" s="302"/>
      <c r="P131" s="302"/>
    </row>
    <row r="132" spans="3:16" s="159" customFormat="1" x14ac:dyDescent="0.2">
      <c r="C132" s="655"/>
      <c r="D132" s="655"/>
      <c r="J132" s="274"/>
      <c r="M132" s="276"/>
      <c r="N132" s="157"/>
      <c r="O132" s="302"/>
      <c r="P132" s="302"/>
    </row>
    <row r="133" spans="3:16" s="159" customFormat="1" x14ac:dyDescent="0.2">
      <c r="C133" s="655"/>
      <c r="D133" s="655"/>
      <c r="J133" s="274"/>
      <c r="M133" s="276"/>
      <c r="N133" s="157"/>
      <c r="O133" s="302"/>
      <c r="P133" s="302"/>
    </row>
    <row r="134" spans="3:16" s="159" customFormat="1" x14ac:dyDescent="0.2">
      <c r="C134" s="655"/>
      <c r="D134" s="655"/>
      <c r="J134" s="274"/>
      <c r="M134" s="276"/>
      <c r="N134" s="157"/>
      <c r="O134" s="302"/>
      <c r="P134" s="302"/>
    </row>
    <row r="135" spans="3:16" s="159" customFormat="1" x14ac:dyDescent="0.2">
      <c r="C135" s="655"/>
      <c r="D135" s="655"/>
      <c r="J135" s="274"/>
      <c r="M135" s="276"/>
      <c r="N135" s="157"/>
      <c r="O135" s="302"/>
      <c r="P135" s="302"/>
    </row>
    <row r="136" spans="3:16" s="159" customFormat="1" x14ac:dyDescent="0.2">
      <c r="C136" s="655"/>
      <c r="D136" s="655"/>
      <c r="J136" s="274"/>
      <c r="M136" s="276"/>
      <c r="N136" s="157"/>
      <c r="O136" s="302"/>
      <c r="P136" s="302"/>
    </row>
    <row r="137" spans="3:16" s="159" customFormat="1" x14ac:dyDescent="0.2">
      <c r="C137" s="655"/>
      <c r="D137" s="655"/>
      <c r="J137" s="274"/>
      <c r="M137" s="276"/>
      <c r="N137" s="157"/>
      <c r="O137" s="302"/>
      <c r="P137" s="302"/>
    </row>
    <row r="138" spans="3:16" s="159" customFormat="1" x14ac:dyDescent="0.2">
      <c r="C138" s="655"/>
      <c r="D138" s="655"/>
      <c r="J138" s="274"/>
      <c r="M138" s="276"/>
      <c r="N138" s="157"/>
      <c r="O138" s="302"/>
      <c r="P138" s="302"/>
    </row>
    <row r="139" spans="3:16" s="159" customFormat="1" x14ac:dyDescent="0.2">
      <c r="C139" s="655"/>
      <c r="D139" s="655"/>
      <c r="J139" s="274"/>
      <c r="M139" s="276"/>
      <c r="N139" s="157"/>
      <c r="O139" s="302"/>
      <c r="P139" s="302"/>
    </row>
    <row r="140" spans="3:16" s="159" customFormat="1" x14ac:dyDescent="0.2">
      <c r="C140" s="655"/>
      <c r="D140" s="655"/>
      <c r="J140" s="274"/>
      <c r="M140" s="276"/>
      <c r="N140" s="157"/>
      <c r="O140" s="302"/>
      <c r="P140" s="302"/>
    </row>
    <row r="141" spans="3:16" s="159" customFormat="1" x14ac:dyDescent="0.2">
      <c r="C141" s="655"/>
      <c r="D141" s="655"/>
      <c r="J141" s="274"/>
      <c r="M141" s="276"/>
      <c r="N141" s="157"/>
      <c r="O141" s="302"/>
      <c r="P141" s="302"/>
    </row>
    <row r="142" spans="3:16" s="159" customFormat="1" x14ac:dyDescent="0.2">
      <c r="C142" s="655"/>
      <c r="D142" s="655"/>
      <c r="J142" s="274"/>
      <c r="M142" s="276"/>
      <c r="N142" s="157"/>
      <c r="O142" s="302"/>
      <c r="P142" s="302"/>
    </row>
    <row r="143" spans="3:16" s="159" customFormat="1" x14ac:dyDescent="0.2">
      <c r="C143" s="655"/>
      <c r="D143" s="655"/>
      <c r="J143" s="274"/>
      <c r="M143" s="276"/>
      <c r="N143" s="157"/>
      <c r="O143" s="302"/>
      <c r="P143" s="302"/>
    </row>
    <row r="144" spans="3:16" s="159" customFormat="1" x14ac:dyDescent="0.2">
      <c r="C144" s="655"/>
      <c r="D144" s="655"/>
      <c r="J144" s="274"/>
      <c r="M144" s="276"/>
      <c r="N144" s="157"/>
      <c r="O144" s="302"/>
      <c r="P144" s="302"/>
    </row>
    <row r="145" spans="3:16" s="159" customFormat="1" x14ac:dyDescent="0.2">
      <c r="C145" s="655"/>
      <c r="D145" s="655"/>
      <c r="J145" s="274"/>
      <c r="M145" s="276"/>
      <c r="N145" s="157"/>
      <c r="O145" s="302"/>
      <c r="P145" s="302"/>
    </row>
    <row r="146" spans="3:16" s="159" customFormat="1" x14ac:dyDescent="0.2">
      <c r="C146" s="655"/>
      <c r="D146" s="655"/>
      <c r="J146" s="274"/>
      <c r="M146" s="276"/>
      <c r="N146" s="157"/>
      <c r="O146" s="302"/>
      <c r="P146" s="302"/>
    </row>
    <row r="147" spans="3:16" s="159" customFormat="1" x14ac:dyDescent="0.2">
      <c r="C147" s="655"/>
      <c r="D147" s="655"/>
      <c r="J147" s="274"/>
      <c r="M147" s="276"/>
      <c r="N147" s="157"/>
      <c r="O147" s="302"/>
      <c r="P147" s="302"/>
    </row>
    <row r="148" spans="3:16" s="159" customFormat="1" x14ac:dyDescent="0.2">
      <c r="C148" s="655"/>
      <c r="D148" s="655"/>
      <c r="J148" s="274"/>
      <c r="M148" s="276"/>
      <c r="N148" s="157"/>
      <c r="O148" s="302"/>
      <c r="P148" s="302"/>
    </row>
    <row r="149" spans="3:16" s="159" customFormat="1" x14ac:dyDescent="0.2">
      <c r="C149" s="655"/>
      <c r="D149" s="655"/>
      <c r="J149" s="274"/>
      <c r="M149" s="276"/>
      <c r="N149" s="157"/>
      <c r="O149" s="302"/>
      <c r="P149" s="302"/>
    </row>
    <row r="150" spans="3:16" s="159" customFormat="1" x14ac:dyDescent="0.2">
      <c r="C150" s="655"/>
      <c r="D150" s="655"/>
      <c r="J150" s="274"/>
      <c r="M150" s="276"/>
      <c r="N150" s="157"/>
      <c r="O150" s="302"/>
      <c r="P150" s="302"/>
    </row>
    <row r="151" spans="3:16" s="159" customFormat="1" x14ac:dyDescent="0.2">
      <c r="C151" s="655"/>
      <c r="D151" s="655"/>
      <c r="J151" s="274"/>
      <c r="M151" s="276"/>
      <c r="N151" s="157"/>
      <c r="O151" s="302"/>
      <c r="P151" s="302"/>
    </row>
    <row r="152" spans="3:16" s="159" customFormat="1" x14ac:dyDescent="0.2">
      <c r="C152" s="655"/>
      <c r="D152" s="655"/>
      <c r="J152" s="274"/>
      <c r="M152" s="276"/>
      <c r="N152" s="157"/>
      <c r="O152" s="302"/>
      <c r="P152" s="302"/>
    </row>
    <row r="153" spans="3:16" s="159" customFormat="1" x14ac:dyDescent="0.2">
      <c r="C153" s="655"/>
      <c r="D153" s="655"/>
      <c r="J153" s="274"/>
      <c r="M153" s="276"/>
      <c r="N153" s="157"/>
      <c r="O153" s="302"/>
      <c r="P153" s="302"/>
    </row>
    <row r="154" spans="3:16" s="159" customFormat="1" x14ac:dyDescent="0.2">
      <c r="C154" s="655"/>
      <c r="D154" s="655"/>
      <c r="J154" s="274"/>
      <c r="M154" s="276"/>
      <c r="N154" s="157"/>
      <c r="O154" s="302"/>
      <c r="P154" s="302"/>
    </row>
    <row r="155" spans="3:16" s="159" customFormat="1" x14ac:dyDescent="0.2">
      <c r="C155" s="655"/>
      <c r="D155" s="655"/>
      <c r="J155" s="274"/>
      <c r="M155" s="276"/>
      <c r="N155" s="157"/>
      <c r="O155" s="302"/>
      <c r="P155" s="302"/>
    </row>
    <row r="156" spans="3:16" s="159" customFormat="1" x14ac:dyDescent="0.2">
      <c r="C156" s="655"/>
      <c r="D156" s="655"/>
      <c r="J156" s="274"/>
      <c r="M156" s="276"/>
      <c r="N156" s="157"/>
      <c r="O156" s="302"/>
      <c r="P156" s="302"/>
    </row>
    <row r="157" spans="3:16" s="159" customFormat="1" x14ac:dyDescent="0.2">
      <c r="C157" s="655"/>
      <c r="D157" s="655"/>
      <c r="J157" s="274"/>
      <c r="M157" s="276"/>
      <c r="N157" s="157"/>
      <c r="O157" s="302"/>
      <c r="P157" s="302"/>
    </row>
    <row r="158" spans="3:16" s="159" customFormat="1" x14ac:dyDescent="0.2">
      <c r="C158" s="655"/>
      <c r="D158" s="655"/>
      <c r="J158" s="274"/>
      <c r="M158" s="276"/>
      <c r="N158" s="157"/>
      <c r="O158" s="302"/>
      <c r="P158" s="302"/>
    </row>
    <row r="159" spans="3:16" s="159" customFormat="1" x14ac:dyDescent="0.2">
      <c r="C159" s="655"/>
      <c r="D159" s="655"/>
      <c r="J159" s="274"/>
      <c r="M159" s="276"/>
      <c r="N159" s="157"/>
      <c r="O159" s="302"/>
      <c r="P159" s="302"/>
    </row>
    <row r="160" spans="3:16" s="159" customFormat="1" x14ac:dyDescent="0.2">
      <c r="C160" s="655"/>
      <c r="D160" s="655"/>
      <c r="J160" s="274"/>
      <c r="M160" s="276"/>
      <c r="N160" s="157"/>
      <c r="O160" s="302"/>
      <c r="P160" s="302"/>
    </row>
    <row r="161" spans="3:16" s="159" customFormat="1" x14ac:dyDescent="0.2">
      <c r="C161" s="655"/>
      <c r="D161" s="655"/>
      <c r="J161" s="274"/>
      <c r="M161" s="276"/>
      <c r="N161" s="157"/>
      <c r="O161" s="302"/>
      <c r="P161" s="302"/>
    </row>
    <row r="162" spans="3:16" s="159" customFormat="1" x14ac:dyDescent="0.2">
      <c r="C162" s="655"/>
      <c r="D162" s="655"/>
      <c r="J162" s="274"/>
      <c r="M162" s="276"/>
      <c r="N162" s="157"/>
      <c r="O162" s="302"/>
      <c r="P162" s="302"/>
    </row>
    <row r="163" spans="3:16" s="159" customFormat="1" x14ac:dyDescent="0.2">
      <c r="C163" s="655"/>
      <c r="D163" s="655"/>
      <c r="J163" s="274"/>
      <c r="M163" s="276"/>
      <c r="N163" s="157"/>
      <c r="O163" s="302"/>
      <c r="P163" s="302"/>
    </row>
    <row r="164" spans="3:16" s="159" customFormat="1" x14ac:dyDescent="0.2">
      <c r="C164" s="655"/>
      <c r="D164" s="655"/>
      <c r="J164" s="274"/>
      <c r="M164" s="276"/>
      <c r="N164" s="157"/>
      <c r="O164" s="302"/>
      <c r="P164" s="302"/>
    </row>
    <row r="165" spans="3:16" s="159" customFormat="1" x14ac:dyDescent="0.2">
      <c r="C165" s="655"/>
      <c r="D165" s="655"/>
      <c r="J165" s="274"/>
      <c r="M165" s="276"/>
      <c r="N165" s="157"/>
      <c r="O165" s="302"/>
      <c r="P165" s="302"/>
    </row>
    <row r="166" spans="3:16" s="159" customFormat="1" x14ac:dyDescent="0.2">
      <c r="C166" s="655"/>
      <c r="D166" s="655"/>
      <c r="J166" s="274"/>
      <c r="M166" s="276"/>
      <c r="N166" s="157"/>
      <c r="O166" s="302"/>
      <c r="P166" s="302"/>
    </row>
    <row r="167" spans="3:16" s="159" customFormat="1" x14ac:dyDescent="0.2">
      <c r="C167" s="655"/>
      <c r="D167" s="655"/>
      <c r="J167" s="274"/>
      <c r="M167" s="276"/>
      <c r="N167" s="157"/>
      <c r="O167" s="302"/>
      <c r="P167" s="302"/>
    </row>
    <row r="168" spans="3:16" s="159" customFormat="1" x14ac:dyDescent="0.2">
      <c r="C168" s="655"/>
      <c r="D168" s="655"/>
      <c r="J168" s="274"/>
      <c r="M168" s="276"/>
      <c r="N168" s="157"/>
      <c r="O168" s="302"/>
      <c r="P168" s="302"/>
    </row>
    <row r="169" spans="3:16" s="159" customFormat="1" x14ac:dyDescent="0.2">
      <c r="C169" s="655"/>
      <c r="D169" s="655"/>
      <c r="J169" s="274"/>
      <c r="M169" s="276"/>
      <c r="N169" s="157"/>
      <c r="O169" s="302"/>
      <c r="P169" s="302"/>
    </row>
    <row r="170" spans="3:16" s="159" customFormat="1" x14ac:dyDescent="0.2">
      <c r="C170" s="655"/>
      <c r="D170" s="655"/>
      <c r="J170" s="274"/>
      <c r="M170" s="276"/>
      <c r="N170" s="157"/>
      <c r="O170" s="302"/>
      <c r="P170" s="302"/>
    </row>
    <row r="171" spans="3:16" s="159" customFormat="1" x14ac:dyDescent="0.2">
      <c r="C171" s="655"/>
      <c r="D171" s="655"/>
      <c r="J171" s="274"/>
      <c r="M171" s="276"/>
      <c r="N171" s="157"/>
      <c r="O171" s="302"/>
      <c r="P171" s="302"/>
    </row>
    <row r="172" spans="3:16" s="159" customFormat="1" x14ac:dyDescent="0.2">
      <c r="C172" s="655"/>
      <c r="D172" s="655"/>
      <c r="J172" s="274"/>
      <c r="M172" s="276"/>
      <c r="N172" s="157"/>
      <c r="O172" s="302"/>
      <c r="P172" s="302"/>
    </row>
    <row r="173" spans="3:16" s="159" customFormat="1" x14ac:dyDescent="0.2">
      <c r="C173" s="655"/>
      <c r="D173" s="655"/>
      <c r="J173" s="274"/>
      <c r="M173" s="276"/>
      <c r="N173" s="157"/>
      <c r="O173" s="302"/>
      <c r="P173" s="302"/>
    </row>
    <row r="174" spans="3:16" s="159" customFormat="1" x14ac:dyDescent="0.2">
      <c r="C174" s="655"/>
      <c r="D174" s="655"/>
      <c r="J174" s="274"/>
      <c r="M174" s="276"/>
      <c r="N174" s="157"/>
      <c r="O174" s="302"/>
      <c r="P174" s="302"/>
    </row>
    <row r="175" spans="3:16" s="159" customFormat="1" x14ac:dyDescent="0.2">
      <c r="C175" s="655"/>
      <c r="D175" s="655"/>
      <c r="J175" s="274"/>
      <c r="M175" s="276"/>
      <c r="N175" s="157"/>
      <c r="O175" s="302"/>
      <c r="P175" s="302"/>
    </row>
    <row r="176" spans="3:16" s="159" customFormat="1" x14ac:dyDescent="0.2">
      <c r="C176" s="655"/>
      <c r="D176" s="655"/>
      <c r="J176" s="274"/>
      <c r="M176" s="276"/>
      <c r="N176" s="157"/>
      <c r="O176" s="302"/>
      <c r="P176" s="302"/>
    </row>
    <row r="177" spans="3:16" s="159" customFormat="1" x14ac:dyDescent="0.2">
      <c r="C177" s="655"/>
      <c r="D177" s="655"/>
      <c r="J177" s="274"/>
      <c r="M177" s="276"/>
      <c r="N177" s="157"/>
      <c r="O177" s="302"/>
      <c r="P177" s="302"/>
    </row>
    <row r="178" spans="3:16" s="159" customFormat="1" x14ac:dyDescent="0.2">
      <c r="C178" s="655"/>
      <c r="D178" s="655"/>
      <c r="J178" s="274"/>
      <c r="M178" s="276"/>
      <c r="N178" s="157"/>
      <c r="O178" s="302"/>
      <c r="P178" s="302"/>
    </row>
    <row r="179" spans="3:16" s="159" customFormat="1" x14ac:dyDescent="0.2">
      <c r="C179" s="655"/>
      <c r="D179" s="655"/>
      <c r="J179" s="274"/>
      <c r="M179" s="276"/>
      <c r="N179" s="157"/>
      <c r="O179" s="302"/>
      <c r="P179" s="302"/>
    </row>
    <row r="180" spans="3:16" s="159" customFormat="1" x14ac:dyDescent="0.2">
      <c r="C180" s="655"/>
      <c r="D180" s="655"/>
      <c r="J180" s="274"/>
      <c r="M180" s="276"/>
      <c r="N180" s="157"/>
      <c r="O180" s="302"/>
      <c r="P180" s="302"/>
    </row>
    <row r="181" spans="3:16" s="159" customFormat="1" x14ac:dyDescent="0.2">
      <c r="C181" s="655"/>
      <c r="D181" s="655"/>
      <c r="J181" s="274"/>
      <c r="M181" s="276"/>
      <c r="N181" s="157"/>
      <c r="O181" s="302"/>
      <c r="P181" s="302"/>
    </row>
    <row r="182" spans="3:16" s="159" customFormat="1" x14ac:dyDescent="0.2">
      <c r="C182" s="655"/>
      <c r="D182" s="655"/>
      <c r="J182" s="274"/>
      <c r="M182" s="276"/>
      <c r="N182" s="157"/>
      <c r="O182" s="302"/>
      <c r="P182" s="302"/>
    </row>
    <row r="183" spans="3:16" s="159" customFormat="1" x14ac:dyDescent="0.2">
      <c r="C183" s="655"/>
      <c r="D183" s="655"/>
      <c r="J183" s="274"/>
      <c r="M183" s="276"/>
      <c r="N183" s="157"/>
      <c r="O183" s="302"/>
      <c r="P183" s="302"/>
    </row>
    <row r="184" spans="3:16" s="159" customFormat="1" x14ac:dyDescent="0.2">
      <c r="C184" s="655"/>
      <c r="D184" s="655"/>
      <c r="J184" s="274"/>
      <c r="M184" s="276"/>
      <c r="N184" s="157"/>
      <c r="O184" s="302"/>
      <c r="P184" s="302"/>
    </row>
    <row r="185" spans="3:16" s="159" customFormat="1" x14ac:dyDescent="0.2">
      <c r="C185" s="655"/>
      <c r="D185" s="655"/>
      <c r="J185" s="274"/>
      <c r="M185" s="276"/>
      <c r="N185" s="157"/>
      <c r="O185" s="302"/>
      <c r="P185" s="302"/>
    </row>
    <row r="186" spans="3:16" s="159" customFormat="1" x14ac:dyDescent="0.2">
      <c r="C186" s="655"/>
      <c r="D186" s="655"/>
      <c r="J186" s="274"/>
      <c r="M186" s="276"/>
      <c r="N186" s="157"/>
      <c r="O186" s="302"/>
      <c r="P186" s="302"/>
    </row>
    <row r="187" spans="3:16" s="159" customFormat="1" x14ac:dyDescent="0.2">
      <c r="C187" s="655"/>
      <c r="D187" s="655"/>
      <c r="J187" s="274"/>
      <c r="M187" s="276"/>
      <c r="N187" s="157"/>
      <c r="O187" s="302"/>
      <c r="P187" s="302"/>
    </row>
    <row r="188" spans="3:16" s="159" customFormat="1" x14ac:dyDescent="0.2">
      <c r="C188" s="655"/>
      <c r="D188" s="655"/>
      <c r="J188" s="274"/>
      <c r="M188" s="276"/>
      <c r="N188" s="157"/>
      <c r="O188" s="302"/>
      <c r="P188" s="302"/>
    </row>
    <row r="189" spans="3:16" s="159" customFormat="1" x14ac:dyDescent="0.2">
      <c r="C189" s="655"/>
      <c r="D189" s="655"/>
      <c r="J189" s="274"/>
      <c r="M189" s="276"/>
      <c r="N189" s="157"/>
      <c r="O189" s="302"/>
      <c r="P189" s="302"/>
    </row>
    <row r="190" spans="3:16" s="159" customFormat="1" x14ac:dyDescent="0.2">
      <c r="C190" s="655"/>
      <c r="D190" s="655"/>
      <c r="J190" s="274"/>
      <c r="M190" s="276"/>
      <c r="N190" s="157"/>
      <c r="O190" s="302"/>
      <c r="P190" s="302"/>
    </row>
    <row r="191" spans="3:16" s="159" customFormat="1" x14ac:dyDescent="0.2">
      <c r="C191" s="655"/>
      <c r="D191" s="655"/>
      <c r="J191" s="274"/>
      <c r="M191" s="276"/>
      <c r="N191" s="157"/>
      <c r="O191" s="302"/>
      <c r="P191" s="302"/>
    </row>
    <row r="192" spans="3:16" s="159" customFormat="1" x14ac:dyDescent="0.2">
      <c r="C192" s="655"/>
      <c r="D192" s="655"/>
      <c r="J192" s="274"/>
      <c r="M192" s="276"/>
      <c r="N192" s="157"/>
      <c r="O192" s="302"/>
      <c r="P192" s="302"/>
    </row>
    <row r="193" spans="3:16" s="159" customFormat="1" x14ac:dyDescent="0.2">
      <c r="C193" s="655"/>
      <c r="D193" s="655"/>
      <c r="J193" s="274"/>
      <c r="M193" s="276"/>
      <c r="N193" s="157"/>
      <c r="O193" s="302"/>
      <c r="P193" s="302"/>
    </row>
    <row r="194" spans="3:16" s="159" customFormat="1" x14ac:dyDescent="0.2">
      <c r="C194" s="655"/>
      <c r="D194" s="655"/>
      <c r="J194" s="274"/>
      <c r="M194" s="276"/>
      <c r="N194" s="157"/>
      <c r="O194" s="302"/>
      <c r="P194" s="302"/>
    </row>
    <row r="195" spans="3:16" s="159" customFormat="1" x14ac:dyDescent="0.2">
      <c r="C195" s="655"/>
      <c r="D195" s="655"/>
      <c r="J195" s="274"/>
      <c r="M195" s="276"/>
      <c r="N195" s="157"/>
      <c r="O195" s="302"/>
      <c r="P195" s="302"/>
    </row>
    <row r="196" spans="3:16" s="159" customFormat="1" x14ac:dyDescent="0.2">
      <c r="C196" s="655"/>
      <c r="D196" s="655"/>
      <c r="J196" s="274"/>
      <c r="M196" s="276"/>
      <c r="N196" s="157"/>
      <c r="O196" s="302"/>
      <c r="P196" s="302"/>
    </row>
    <row r="197" spans="3:16" s="159" customFormat="1" x14ac:dyDescent="0.2">
      <c r="C197" s="655"/>
      <c r="D197" s="655"/>
      <c r="J197" s="274"/>
      <c r="M197" s="276"/>
      <c r="N197" s="157"/>
      <c r="O197" s="302"/>
      <c r="P197" s="302"/>
    </row>
    <row r="198" spans="3:16" s="159" customFormat="1" x14ac:dyDescent="0.2">
      <c r="C198" s="655"/>
      <c r="D198" s="655"/>
      <c r="J198" s="274"/>
      <c r="M198" s="276"/>
      <c r="N198" s="157"/>
      <c r="O198" s="302"/>
      <c r="P198" s="302"/>
    </row>
    <row r="199" spans="3:16" s="159" customFormat="1" x14ac:dyDescent="0.2">
      <c r="C199" s="655"/>
      <c r="D199" s="655"/>
      <c r="J199" s="274"/>
      <c r="M199" s="276"/>
      <c r="N199" s="157"/>
      <c r="O199" s="302"/>
      <c r="P199" s="302"/>
    </row>
    <row r="200" spans="3:16" s="159" customFormat="1" x14ac:dyDescent="0.2">
      <c r="C200" s="655"/>
      <c r="D200" s="655"/>
      <c r="J200" s="274"/>
      <c r="M200" s="276"/>
      <c r="N200" s="157"/>
      <c r="O200" s="302"/>
      <c r="P200" s="302"/>
    </row>
    <row r="201" spans="3:16" s="159" customFormat="1" x14ac:dyDescent="0.2">
      <c r="C201" s="655"/>
      <c r="D201" s="655"/>
      <c r="J201" s="274"/>
      <c r="M201" s="276"/>
      <c r="N201" s="157"/>
      <c r="O201" s="302"/>
      <c r="P201" s="302"/>
    </row>
    <row r="202" spans="3:16" s="159" customFormat="1" x14ac:dyDescent="0.2">
      <c r="C202" s="655"/>
      <c r="D202" s="655"/>
      <c r="J202" s="274"/>
      <c r="M202" s="276"/>
      <c r="N202" s="157"/>
      <c r="O202" s="302"/>
      <c r="P202" s="302"/>
    </row>
    <row r="203" spans="3:16" s="159" customFormat="1" x14ac:dyDescent="0.2">
      <c r="C203" s="655"/>
      <c r="D203" s="655"/>
      <c r="J203" s="274"/>
      <c r="M203" s="276"/>
      <c r="N203" s="157"/>
      <c r="O203" s="302"/>
      <c r="P203" s="302"/>
    </row>
    <row r="204" spans="3:16" s="159" customFormat="1" x14ac:dyDescent="0.2">
      <c r="C204" s="655"/>
      <c r="D204" s="655"/>
      <c r="J204" s="274"/>
      <c r="M204" s="276"/>
      <c r="N204" s="157"/>
      <c r="O204" s="302"/>
      <c r="P204" s="302"/>
    </row>
    <row r="205" spans="3:16" s="159" customFormat="1" x14ac:dyDescent="0.2">
      <c r="C205" s="655"/>
      <c r="D205" s="655"/>
      <c r="J205" s="274"/>
      <c r="M205" s="276"/>
      <c r="N205" s="157"/>
      <c r="O205" s="302"/>
      <c r="P205" s="302"/>
    </row>
    <row r="206" spans="3:16" s="159" customFormat="1" x14ac:dyDescent="0.2">
      <c r="C206" s="655"/>
      <c r="D206" s="655"/>
      <c r="J206" s="274"/>
      <c r="M206" s="276"/>
      <c r="N206" s="157"/>
      <c r="O206" s="302"/>
      <c r="P206" s="302"/>
    </row>
    <row r="207" spans="3:16" s="159" customFormat="1" x14ac:dyDescent="0.2">
      <c r="C207" s="655"/>
      <c r="D207" s="655"/>
      <c r="J207" s="274"/>
      <c r="M207" s="276"/>
      <c r="N207" s="157"/>
      <c r="O207" s="302"/>
      <c r="P207" s="302"/>
    </row>
    <row r="208" spans="3:16" s="159" customFormat="1" x14ac:dyDescent="0.2">
      <c r="C208" s="655"/>
      <c r="D208" s="655"/>
      <c r="J208" s="274"/>
      <c r="M208" s="276"/>
      <c r="N208" s="157"/>
      <c r="O208" s="302"/>
      <c r="P208" s="302"/>
    </row>
    <row r="209" spans="3:16" s="159" customFormat="1" x14ac:dyDescent="0.2">
      <c r="C209" s="655"/>
      <c r="D209" s="655"/>
      <c r="J209" s="274"/>
      <c r="M209" s="276"/>
      <c r="N209" s="157"/>
      <c r="O209" s="302"/>
      <c r="P209" s="302"/>
    </row>
    <row r="210" spans="3:16" s="159" customFormat="1" x14ac:dyDescent="0.2">
      <c r="C210" s="655"/>
      <c r="D210" s="655"/>
      <c r="J210" s="274"/>
      <c r="M210" s="276"/>
      <c r="N210" s="157"/>
      <c r="O210" s="302"/>
      <c r="P210" s="302"/>
    </row>
    <row r="211" spans="3:16" s="159" customFormat="1" x14ac:dyDescent="0.2">
      <c r="C211" s="655"/>
      <c r="D211" s="655"/>
      <c r="J211" s="274"/>
      <c r="M211" s="276"/>
      <c r="N211" s="157"/>
      <c r="O211" s="302"/>
      <c r="P211" s="302"/>
    </row>
    <row r="212" spans="3:16" s="159" customFormat="1" x14ac:dyDescent="0.2">
      <c r="C212" s="655"/>
      <c r="D212" s="655"/>
      <c r="J212" s="274"/>
      <c r="M212" s="276"/>
      <c r="N212" s="157"/>
      <c r="O212" s="302"/>
      <c r="P212" s="302"/>
    </row>
    <row r="213" spans="3:16" s="159" customFormat="1" x14ac:dyDescent="0.2">
      <c r="C213" s="655"/>
      <c r="D213" s="655"/>
      <c r="J213" s="274"/>
      <c r="M213" s="276"/>
      <c r="N213" s="157"/>
      <c r="O213" s="302"/>
      <c r="P213" s="302"/>
    </row>
    <row r="214" spans="3:16" s="159" customFormat="1" x14ac:dyDescent="0.2">
      <c r="C214" s="655"/>
      <c r="D214" s="655"/>
      <c r="J214" s="274"/>
      <c r="M214" s="276"/>
      <c r="N214" s="157"/>
      <c r="O214" s="302"/>
      <c r="P214" s="302"/>
    </row>
    <row r="215" spans="3:16" s="159" customFormat="1" x14ac:dyDescent="0.2">
      <c r="C215" s="655"/>
      <c r="D215" s="655"/>
      <c r="J215" s="274"/>
      <c r="M215" s="276"/>
      <c r="N215" s="157"/>
      <c r="O215" s="302"/>
      <c r="P215" s="302"/>
    </row>
    <row r="216" spans="3:16" s="159" customFormat="1" x14ac:dyDescent="0.2">
      <c r="C216" s="655"/>
      <c r="D216" s="655"/>
      <c r="J216" s="274"/>
      <c r="M216" s="276"/>
      <c r="N216" s="157"/>
      <c r="O216" s="302"/>
      <c r="P216" s="302"/>
    </row>
    <row r="217" spans="3:16" s="159" customFormat="1" x14ac:dyDescent="0.2">
      <c r="C217" s="655"/>
      <c r="D217" s="655"/>
      <c r="J217" s="274"/>
      <c r="M217" s="276"/>
      <c r="N217" s="157"/>
      <c r="O217" s="302"/>
      <c r="P217" s="302"/>
    </row>
    <row r="218" spans="3:16" s="159" customFormat="1" x14ac:dyDescent="0.2">
      <c r="C218" s="655"/>
      <c r="D218" s="655"/>
      <c r="J218" s="274"/>
      <c r="M218" s="276"/>
      <c r="N218" s="157"/>
      <c r="O218" s="302"/>
      <c r="P218" s="302"/>
    </row>
    <row r="219" spans="3:16" s="159" customFormat="1" x14ac:dyDescent="0.2">
      <c r="C219" s="655"/>
      <c r="D219" s="655"/>
      <c r="J219" s="274"/>
      <c r="M219" s="276"/>
      <c r="N219" s="157"/>
      <c r="O219" s="302"/>
      <c r="P219" s="302"/>
    </row>
    <row r="220" spans="3:16" s="159" customFormat="1" x14ac:dyDescent="0.2">
      <c r="C220" s="655"/>
      <c r="D220" s="655"/>
      <c r="J220" s="274"/>
      <c r="M220" s="276"/>
      <c r="N220" s="157"/>
      <c r="O220" s="302"/>
      <c r="P220" s="302"/>
    </row>
    <row r="221" spans="3:16" s="159" customFormat="1" x14ac:dyDescent="0.2">
      <c r="C221" s="655"/>
      <c r="D221" s="655"/>
      <c r="J221" s="274"/>
      <c r="M221" s="276"/>
      <c r="N221" s="157"/>
      <c r="O221" s="302"/>
      <c r="P221" s="302"/>
    </row>
    <row r="222" spans="3:16" s="159" customFormat="1" x14ac:dyDescent="0.2">
      <c r="C222" s="655"/>
      <c r="D222" s="655"/>
      <c r="J222" s="274"/>
      <c r="M222" s="276"/>
      <c r="N222" s="157"/>
      <c r="O222" s="302"/>
      <c r="P222" s="302"/>
    </row>
    <row r="223" spans="3:16" s="159" customFormat="1" x14ac:dyDescent="0.2">
      <c r="C223" s="655"/>
      <c r="D223" s="655"/>
      <c r="J223" s="274"/>
      <c r="M223" s="276"/>
      <c r="N223" s="157"/>
      <c r="O223" s="302"/>
      <c r="P223" s="302"/>
    </row>
    <row r="224" spans="3:16" s="159" customFormat="1" x14ac:dyDescent="0.2">
      <c r="C224" s="655"/>
      <c r="D224" s="655"/>
      <c r="J224" s="274"/>
      <c r="M224" s="276"/>
      <c r="N224" s="157"/>
      <c r="O224" s="302"/>
      <c r="P224" s="302"/>
    </row>
    <row r="225" spans="1:16" s="159" customFormat="1" x14ac:dyDescent="0.2">
      <c r="C225" s="655"/>
      <c r="D225" s="655"/>
      <c r="J225" s="274"/>
      <c r="M225" s="276"/>
      <c r="N225" s="157"/>
      <c r="O225" s="302"/>
      <c r="P225" s="302"/>
    </row>
    <row r="226" spans="1:16" s="159" customFormat="1" x14ac:dyDescent="0.2">
      <c r="C226" s="655"/>
      <c r="D226" s="655"/>
      <c r="J226" s="274"/>
      <c r="M226" s="276"/>
      <c r="N226" s="157"/>
      <c r="O226" s="302"/>
      <c r="P226" s="302"/>
    </row>
    <row r="227" spans="1:16" x14ac:dyDescent="0.2">
      <c r="A227" s="159"/>
      <c r="B227" s="159"/>
      <c r="C227" s="655"/>
      <c r="D227" s="655"/>
      <c r="E227" s="159"/>
      <c r="F227" s="159"/>
      <c r="G227" s="159"/>
      <c r="H227" s="159"/>
      <c r="I227" s="159"/>
      <c r="J227" s="274"/>
      <c r="K227" s="159"/>
    </row>
    <row r="228" spans="1:16" x14ac:dyDescent="0.2">
      <c r="A228" s="159"/>
      <c r="B228" s="159"/>
      <c r="C228" s="655"/>
      <c r="D228" s="655"/>
      <c r="E228" s="159"/>
      <c r="F228" s="159"/>
      <c r="G228" s="159"/>
      <c r="H228" s="159"/>
      <c r="I228" s="159"/>
      <c r="J228" s="274"/>
      <c r="K228" s="159"/>
    </row>
    <row r="229" spans="1:16" x14ac:dyDescent="0.2">
      <c r="A229" s="159"/>
      <c r="B229" s="159"/>
      <c r="C229" s="655"/>
      <c r="D229" s="655"/>
      <c r="E229" s="159"/>
      <c r="F229" s="159"/>
      <c r="G229" s="159"/>
      <c r="H229" s="159"/>
      <c r="I229" s="159"/>
      <c r="J229" s="274"/>
      <c r="K229" s="159"/>
    </row>
    <row r="230" spans="1:16" x14ac:dyDescent="0.2">
      <c r="A230" s="159"/>
      <c r="B230" s="159"/>
      <c r="C230" s="655"/>
      <c r="D230" s="655"/>
      <c r="E230" s="159"/>
      <c r="F230" s="159"/>
      <c r="G230" s="159"/>
      <c r="H230" s="159"/>
      <c r="I230" s="159"/>
      <c r="J230" s="274"/>
      <c r="K230" s="159"/>
    </row>
    <row r="231" spans="1:16" x14ac:dyDescent="0.2">
      <c r="A231" s="159"/>
      <c r="B231" s="159"/>
      <c r="C231" s="655"/>
      <c r="D231" s="655"/>
      <c r="E231" s="159"/>
      <c r="F231" s="159"/>
      <c r="G231" s="159"/>
      <c r="H231" s="159"/>
      <c r="I231" s="159"/>
      <c r="J231" s="274"/>
      <c r="K231" s="159"/>
    </row>
    <row r="232" spans="1:16" x14ac:dyDescent="0.2">
      <c r="A232" s="159"/>
      <c r="B232" s="159"/>
      <c r="C232" s="655"/>
      <c r="D232" s="655"/>
      <c r="E232" s="159"/>
      <c r="F232" s="159"/>
      <c r="G232" s="159"/>
      <c r="H232" s="159"/>
      <c r="I232" s="159"/>
      <c r="J232" s="274"/>
      <c r="K232" s="159"/>
    </row>
    <row r="233" spans="1:16" x14ac:dyDescent="0.2">
      <c r="A233" s="159"/>
      <c r="B233" s="159"/>
      <c r="C233" s="655"/>
      <c r="D233" s="655"/>
      <c r="E233" s="159"/>
      <c r="F233" s="159"/>
      <c r="G233" s="159"/>
      <c r="H233" s="159"/>
      <c r="I233" s="159"/>
      <c r="J233" s="274"/>
      <c r="K233" s="159"/>
    </row>
    <row r="234" spans="1:16" x14ac:dyDescent="0.2">
      <c r="A234" s="159"/>
      <c r="B234" s="159"/>
      <c r="C234" s="655"/>
      <c r="D234" s="655"/>
      <c r="E234" s="159"/>
      <c r="F234" s="159"/>
      <c r="G234" s="159"/>
      <c r="H234" s="159"/>
      <c r="I234" s="159"/>
      <c r="J234" s="274"/>
      <c r="K234" s="159"/>
    </row>
    <row r="235" spans="1:16" x14ac:dyDescent="0.2">
      <c r="A235" s="159"/>
      <c r="B235" s="159"/>
      <c r="C235" s="655"/>
      <c r="D235" s="655"/>
      <c r="E235" s="159"/>
      <c r="F235" s="159"/>
      <c r="G235" s="159"/>
      <c r="H235" s="159"/>
      <c r="I235" s="159"/>
      <c r="J235" s="274"/>
      <c r="K235" s="159"/>
    </row>
    <row r="236" spans="1:16" x14ac:dyDescent="0.2">
      <c r="A236" s="159"/>
      <c r="B236" s="159"/>
      <c r="C236" s="655"/>
      <c r="D236" s="655"/>
      <c r="E236" s="159"/>
      <c r="F236" s="159"/>
      <c r="G236" s="159"/>
      <c r="H236" s="159"/>
      <c r="I236" s="159"/>
      <c r="J236" s="274"/>
      <c r="K236" s="159"/>
    </row>
    <row r="237" spans="1:16" x14ac:dyDescent="0.2">
      <c r="A237" s="159"/>
      <c r="B237" s="159"/>
      <c r="C237" s="655"/>
      <c r="D237" s="655"/>
      <c r="E237" s="159"/>
      <c r="F237" s="159"/>
      <c r="G237" s="159"/>
      <c r="H237" s="159"/>
      <c r="I237" s="159"/>
      <c r="J237" s="274"/>
      <c r="K237" s="159"/>
    </row>
    <row r="238" spans="1:16" x14ac:dyDescent="0.2">
      <c r="A238" s="159"/>
      <c r="B238" s="159"/>
      <c r="C238" s="655"/>
      <c r="D238" s="655"/>
      <c r="E238" s="159"/>
      <c r="F238" s="159"/>
      <c r="G238" s="159"/>
      <c r="H238" s="159"/>
      <c r="I238" s="159"/>
      <c r="J238" s="274"/>
      <c r="K238" s="159"/>
    </row>
    <row r="239" spans="1:16" x14ac:dyDescent="0.2">
      <c r="A239" s="159"/>
      <c r="B239" s="159"/>
      <c r="C239" s="655"/>
      <c r="D239" s="655"/>
      <c r="E239" s="159"/>
      <c r="F239" s="159"/>
      <c r="G239" s="159"/>
      <c r="H239" s="159"/>
      <c r="I239" s="159"/>
      <c r="J239" s="274"/>
      <c r="K239" s="159"/>
    </row>
    <row r="240" spans="1:16" x14ac:dyDescent="0.2">
      <c r="A240" s="159"/>
      <c r="B240" s="159"/>
      <c r="C240" s="655"/>
      <c r="D240" s="655"/>
      <c r="E240" s="159"/>
      <c r="F240" s="159"/>
      <c r="G240" s="159"/>
      <c r="H240" s="159"/>
      <c r="I240" s="159"/>
      <c r="J240" s="274"/>
      <c r="K240" s="159"/>
    </row>
    <row r="241" spans="1:11" x14ac:dyDescent="0.2">
      <c r="A241" s="159"/>
      <c r="B241" s="159"/>
      <c r="C241" s="655"/>
      <c r="D241" s="655"/>
      <c r="E241" s="159"/>
      <c r="F241" s="159"/>
      <c r="G241" s="159"/>
      <c r="H241" s="159"/>
      <c r="I241" s="159"/>
      <c r="J241" s="274"/>
      <c r="K241" s="159"/>
    </row>
    <row r="242" spans="1:11" x14ac:dyDescent="0.2">
      <c r="A242" s="159"/>
      <c r="B242" s="159"/>
      <c r="C242" s="655"/>
      <c r="D242" s="655"/>
      <c r="E242" s="159"/>
      <c r="F242" s="159"/>
      <c r="G242" s="159"/>
      <c r="H242" s="159"/>
      <c r="I242" s="159"/>
      <c r="J242" s="274"/>
      <c r="K242" s="159"/>
    </row>
    <row r="243" spans="1:11" x14ac:dyDescent="0.2">
      <c r="A243" s="159"/>
      <c r="B243" s="159"/>
      <c r="C243" s="655"/>
      <c r="D243" s="655"/>
      <c r="E243" s="159"/>
      <c r="F243" s="159"/>
      <c r="G243" s="159"/>
      <c r="H243" s="159"/>
      <c r="I243" s="159"/>
      <c r="J243" s="274"/>
      <c r="K243" s="159"/>
    </row>
    <row r="244" spans="1:11" x14ac:dyDescent="0.2">
      <c r="A244" s="159"/>
      <c r="B244" s="159"/>
      <c r="C244" s="655"/>
      <c r="D244" s="655"/>
      <c r="E244" s="159"/>
      <c r="F244" s="159"/>
      <c r="G244" s="159"/>
      <c r="H244" s="159"/>
      <c r="I244" s="159"/>
      <c r="J244" s="274"/>
      <c r="K244" s="159"/>
    </row>
    <row r="245" spans="1:11" x14ac:dyDescent="0.2">
      <c r="A245" s="159"/>
      <c r="B245" s="159"/>
      <c r="C245" s="655"/>
      <c r="D245" s="655"/>
      <c r="E245" s="159"/>
      <c r="F245" s="159"/>
      <c r="G245" s="159"/>
      <c r="H245" s="159"/>
      <c r="I245" s="159"/>
      <c r="J245" s="274"/>
      <c r="K245" s="159"/>
    </row>
    <row r="246" spans="1:11" x14ac:dyDescent="0.2">
      <c r="A246" s="159"/>
      <c r="B246" s="159"/>
      <c r="C246" s="655"/>
      <c r="D246" s="655"/>
      <c r="E246" s="159"/>
      <c r="F246" s="159"/>
      <c r="G246" s="159"/>
      <c r="H246" s="159"/>
      <c r="I246" s="159"/>
      <c r="J246" s="274"/>
      <c r="K246" s="159"/>
    </row>
    <row r="247" spans="1:11" x14ac:dyDescent="0.2">
      <c r="A247" s="159"/>
      <c r="B247" s="159"/>
      <c r="C247" s="655"/>
      <c r="D247" s="655"/>
      <c r="E247" s="159"/>
      <c r="F247" s="159"/>
      <c r="G247" s="159"/>
      <c r="H247" s="159"/>
      <c r="I247" s="159"/>
      <c r="J247" s="274"/>
      <c r="K247" s="159"/>
    </row>
    <row r="248" spans="1:11" x14ac:dyDescent="0.2">
      <c r="A248" s="159"/>
      <c r="B248" s="159"/>
      <c r="C248" s="655"/>
      <c r="D248" s="655"/>
      <c r="E248" s="159"/>
      <c r="F248" s="159"/>
      <c r="G248" s="159"/>
      <c r="H248" s="159"/>
      <c r="I248" s="159"/>
      <c r="J248" s="274"/>
      <c r="K248" s="159"/>
    </row>
    <row r="249" spans="1:11" x14ac:dyDescent="0.2">
      <c r="A249" s="159"/>
      <c r="B249" s="159"/>
      <c r="C249" s="655"/>
      <c r="D249" s="655"/>
      <c r="E249" s="159"/>
      <c r="F249" s="159"/>
      <c r="G249" s="159"/>
      <c r="H249" s="159"/>
      <c r="I249" s="159"/>
      <c r="J249" s="274"/>
      <c r="K249" s="159"/>
    </row>
    <row r="250" spans="1:11" x14ac:dyDescent="0.2">
      <c r="A250" s="159"/>
      <c r="B250" s="159"/>
      <c r="C250" s="655"/>
      <c r="D250" s="655"/>
      <c r="E250" s="159"/>
      <c r="F250" s="159"/>
      <c r="G250" s="159"/>
      <c r="H250" s="159"/>
      <c r="I250" s="159"/>
      <c r="J250" s="274"/>
      <c r="K250" s="159"/>
    </row>
    <row r="251" spans="1:11" x14ac:dyDescent="0.2">
      <c r="A251" s="159"/>
      <c r="B251" s="159"/>
      <c r="C251" s="655"/>
      <c r="D251" s="655"/>
      <c r="E251" s="159"/>
      <c r="F251" s="159"/>
      <c r="G251" s="159"/>
      <c r="H251" s="159"/>
      <c r="I251" s="159"/>
      <c r="J251" s="274"/>
      <c r="K251" s="159"/>
    </row>
    <row r="252" spans="1:11" x14ac:dyDescent="0.2">
      <c r="A252" s="159"/>
      <c r="B252" s="159"/>
      <c r="C252" s="655"/>
      <c r="D252" s="655"/>
      <c r="E252" s="159"/>
      <c r="F252" s="159"/>
      <c r="G252" s="159"/>
      <c r="H252" s="159"/>
      <c r="I252" s="159"/>
      <c r="J252" s="274"/>
      <c r="K252" s="159"/>
    </row>
    <row r="253" spans="1:11" x14ac:dyDescent="0.2">
      <c r="A253" s="159"/>
      <c r="B253" s="159"/>
      <c r="C253" s="655"/>
      <c r="D253" s="655"/>
      <c r="E253" s="159"/>
      <c r="F253" s="159"/>
      <c r="G253" s="159"/>
      <c r="H253" s="159"/>
      <c r="I253" s="159"/>
      <c r="J253" s="274"/>
      <c r="K253" s="159"/>
    </row>
    <row r="254" spans="1:11" x14ac:dyDescent="0.2">
      <c r="A254" s="159"/>
      <c r="B254" s="159"/>
      <c r="C254" s="655"/>
      <c r="D254" s="655"/>
      <c r="E254" s="159"/>
      <c r="F254" s="159"/>
      <c r="G254" s="159"/>
      <c r="H254" s="159"/>
      <c r="I254" s="159"/>
      <c r="J254" s="274"/>
      <c r="K254" s="159"/>
    </row>
    <row r="255" spans="1:11" x14ac:dyDescent="0.2">
      <c r="A255" s="159"/>
      <c r="B255" s="159"/>
      <c r="C255" s="655"/>
      <c r="D255" s="655"/>
      <c r="E255" s="159"/>
      <c r="F255" s="159"/>
      <c r="G255" s="159"/>
      <c r="H255" s="159"/>
      <c r="I255" s="159"/>
      <c r="J255" s="274"/>
      <c r="K255" s="159"/>
    </row>
    <row r="256" spans="1:11" x14ac:dyDescent="0.2">
      <c r="A256" s="159"/>
      <c r="B256" s="159"/>
      <c r="C256" s="655"/>
      <c r="D256" s="655"/>
      <c r="E256" s="159"/>
      <c r="F256" s="159"/>
      <c r="G256" s="159"/>
      <c r="H256" s="159"/>
      <c r="I256" s="159"/>
      <c r="J256" s="274"/>
      <c r="K256" s="159"/>
    </row>
    <row r="257" spans="1:11" x14ac:dyDescent="0.2">
      <c r="A257" s="159"/>
      <c r="B257" s="159"/>
      <c r="C257" s="655"/>
      <c r="D257" s="655"/>
      <c r="E257" s="159"/>
      <c r="F257" s="159"/>
      <c r="G257" s="159"/>
      <c r="H257" s="159"/>
      <c r="I257" s="159"/>
      <c r="J257" s="274"/>
      <c r="K257" s="159"/>
    </row>
    <row r="258" spans="1:11" x14ac:dyDescent="0.2">
      <c r="A258" s="159"/>
      <c r="B258" s="159"/>
      <c r="C258" s="655"/>
      <c r="D258" s="655"/>
      <c r="E258" s="159"/>
      <c r="F258" s="159"/>
      <c r="G258" s="159"/>
      <c r="H258" s="159"/>
      <c r="I258" s="159"/>
      <c r="J258" s="274"/>
      <c r="K258" s="159"/>
    </row>
    <row r="259" spans="1:11" x14ac:dyDescent="0.2">
      <c r="A259" s="159"/>
      <c r="B259" s="159"/>
      <c r="C259" s="655"/>
      <c r="D259" s="655"/>
      <c r="E259" s="159"/>
      <c r="F259" s="159"/>
      <c r="G259" s="159"/>
      <c r="H259" s="159"/>
      <c r="I259" s="159"/>
      <c r="J259" s="274"/>
      <c r="K259" s="159"/>
    </row>
    <row r="260" spans="1:11" x14ac:dyDescent="0.2">
      <c r="A260" s="159"/>
      <c r="B260" s="159"/>
      <c r="C260" s="655"/>
      <c r="D260" s="655"/>
      <c r="E260" s="159"/>
      <c r="F260" s="159"/>
      <c r="G260" s="159"/>
      <c r="H260" s="159"/>
      <c r="I260" s="159"/>
      <c r="J260" s="274"/>
      <c r="K260" s="159"/>
    </row>
    <row r="261" spans="1:11" x14ac:dyDescent="0.2">
      <c r="A261" s="159"/>
      <c r="B261" s="159"/>
      <c r="C261" s="655"/>
      <c r="D261" s="655"/>
      <c r="E261" s="159"/>
      <c r="F261" s="159"/>
      <c r="G261" s="159"/>
      <c r="H261" s="159"/>
      <c r="I261" s="159"/>
      <c r="J261" s="274"/>
      <c r="K261" s="159"/>
    </row>
    <row r="262" spans="1:11" x14ac:dyDescent="0.2">
      <c r="A262" s="159"/>
      <c r="B262" s="159"/>
      <c r="C262" s="655"/>
      <c r="D262" s="655"/>
      <c r="E262" s="159"/>
      <c r="F262" s="159"/>
      <c r="G262" s="159"/>
      <c r="H262" s="159"/>
      <c r="I262" s="159"/>
      <c r="J262" s="274"/>
      <c r="K262" s="159"/>
    </row>
    <row r="263" spans="1:11" x14ac:dyDescent="0.2">
      <c r="A263" s="159"/>
      <c r="B263" s="159"/>
      <c r="C263" s="655"/>
      <c r="D263" s="655"/>
      <c r="E263" s="159"/>
      <c r="F263" s="159"/>
      <c r="G263" s="159"/>
      <c r="H263" s="159"/>
      <c r="I263" s="159"/>
      <c r="J263" s="274"/>
      <c r="K263" s="159"/>
    </row>
    <row r="264" spans="1:11" x14ac:dyDescent="0.2">
      <c r="A264" s="159"/>
      <c r="B264" s="159"/>
      <c r="C264" s="655"/>
      <c r="D264" s="655"/>
      <c r="E264" s="159"/>
      <c r="F264" s="159"/>
      <c r="G264" s="159"/>
      <c r="H264" s="159"/>
      <c r="I264" s="159"/>
      <c r="J264" s="274"/>
      <c r="K264" s="159"/>
    </row>
    <row r="265" spans="1:11" x14ac:dyDescent="0.2">
      <c r="A265" s="159"/>
      <c r="B265" s="159"/>
      <c r="C265" s="655"/>
      <c r="D265" s="655"/>
      <c r="E265" s="159"/>
      <c r="F265" s="159"/>
      <c r="G265" s="159"/>
      <c r="H265" s="159"/>
      <c r="I265" s="159"/>
      <c r="J265" s="274"/>
      <c r="K265" s="159"/>
    </row>
    <row r="266" spans="1:11" x14ac:dyDescent="0.2">
      <c r="A266" s="159"/>
      <c r="B266" s="159"/>
      <c r="C266" s="655"/>
      <c r="D266" s="655"/>
      <c r="E266" s="159"/>
      <c r="F266" s="159"/>
      <c r="G266" s="159"/>
      <c r="H266" s="159"/>
      <c r="I266" s="159"/>
      <c r="J266" s="274"/>
      <c r="K266" s="159"/>
    </row>
    <row r="267" spans="1:11" x14ac:dyDescent="0.2">
      <c r="A267" s="159"/>
      <c r="B267" s="159"/>
      <c r="C267" s="655"/>
      <c r="D267" s="655"/>
      <c r="E267" s="159"/>
      <c r="F267" s="159"/>
      <c r="G267" s="159"/>
      <c r="H267" s="159"/>
      <c r="I267" s="159"/>
      <c r="J267" s="274"/>
      <c r="K267" s="159"/>
    </row>
    <row r="268" spans="1:11" x14ac:dyDescent="0.2">
      <c r="A268" s="159"/>
      <c r="B268" s="159"/>
      <c r="C268" s="655"/>
      <c r="D268" s="655"/>
      <c r="E268" s="159"/>
      <c r="F268" s="159"/>
      <c r="G268" s="159"/>
      <c r="H268" s="159"/>
      <c r="I268" s="159"/>
      <c r="J268" s="274"/>
      <c r="K268" s="159"/>
    </row>
    <row r="269" spans="1:11" x14ac:dyDescent="0.2">
      <c r="A269" s="159"/>
      <c r="B269" s="159"/>
      <c r="C269" s="655"/>
      <c r="D269" s="655"/>
      <c r="E269" s="159"/>
      <c r="F269" s="159"/>
      <c r="G269" s="159"/>
      <c r="H269" s="159"/>
      <c r="I269" s="159"/>
      <c r="J269" s="274"/>
      <c r="K269" s="159"/>
    </row>
    <row r="270" spans="1:11" x14ac:dyDescent="0.2">
      <c r="A270" s="159"/>
      <c r="B270" s="159"/>
      <c r="C270" s="655"/>
      <c r="D270" s="655"/>
      <c r="E270" s="159"/>
      <c r="F270" s="159"/>
      <c r="G270" s="159"/>
      <c r="H270" s="159"/>
      <c r="I270" s="159"/>
      <c r="J270" s="274"/>
      <c r="K270" s="159"/>
    </row>
    <row r="271" spans="1:11" x14ac:dyDescent="0.2">
      <c r="A271" s="159"/>
      <c r="B271" s="159"/>
      <c r="C271" s="655"/>
      <c r="D271" s="655"/>
      <c r="E271" s="159"/>
      <c r="F271" s="159"/>
      <c r="G271" s="159"/>
      <c r="H271" s="159"/>
      <c r="I271" s="159"/>
      <c r="J271" s="274"/>
      <c r="K271" s="159"/>
    </row>
    <row r="272" spans="1:11" x14ac:dyDescent="0.2">
      <c r="A272" s="159"/>
      <c r="B272" s="159"/>
      <c r="C272" s="655"/>
      <c r="D272" s="655"/>
      <c r="E272" s="159"/>
      <c r="F272" s="159"/>
      <c r="G272" s="159"/>
      <c r="H272" s="159"/>
      <c r="I272" s="159"/>
      <c r="J272" s="274"/>
      <c r="K272" s="159"/>
    </row>
    <row r="273" spans="1:11" x14ac:dyDescent="0.2">
      <c r="A273" s="159"/>
      <c r="B273" s="159"/>
      <c r="C273" s="655"/>
      <c r="D273" s="655"/>
      <c r="E273" s="159"/>
      <c r="F273" s="159"/>
      <c r="G273" s="159"/>
      <c r="H273" s="159"/>
      <c r="I273" s="159"/>
      <c r="J273" s="274"/>
      <c r="K273" s="159"/>
    </row>
    <row r="274" spans="1:11" x14ac:dyDescent="0.2">
      <c r="A274" s="159"/>
      <c r="B274" s="159"/>
      <c r="C274" s="655"/>
      <c r="D274" s="655"/>
      <c r="E274" s="159"/>
      <c r="F274" s="159"/>
      <c r="G274" s="159"/>
      <c r="H274" s="159"/>
      <c r="I274" s="159"/>
      <c r="J274" s="274"/>
      <c r="K274" s="159"/>
    </row>
  </sheetData>
  <mergeCells count="50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25:F25"/>
    <mergeCell ref="G25:I25"/>
    <mergeCell ref="B93:B94"/>
    <mergeCell ref="C75:F75"/>
    <mergeCell ref="G75:I75"/>
    <mergeCell ref="C84:F84"/>
    <mergeCell ref="G84:I84"/>
    <mergeCell ref="F92:F93"/>
    <mergeCell ref="G92:G93"/>
    <mergeCell ref="I92:I93"/>
    <mergeCell ref="C36:F36"/>
    <mergeCell ref="G36:I36"/>
    <mergeCell ref="C47:F47"/>
    <mergeCell ref="G47:I47"/>
    <mergeCell ref="C68:F68"/>
    <mergeCell ref="G68:I68"/>
    <mergeCell ref="K92:K93"/>
    <mergeCell ref="F94:F95"/>
    <mergeCell ref="G94:G95"/>
    <mergeCell ref="I94:I95"/>
    <mergeCell ref="J94:J95"/>
    <mergeCell ref="K94:K95"/>
    <mergeCell ref="J92:J93"/>
    <mergeCell ref="Q9:Q10"/>
    <mergeCell ref="L9:L10"/>
    <mergeCell ref="M9:M10"/>
    <mergeCell ref="N9:N10"/>
    <mergeCell ref="O9:O10"/>
    <mergeCell ref="P9:P10"/>
  </mergeCells>
  <phoneticPr fontId="5" type="noConversion"/>
  <printOptions horizontalCentered="1"/>
  <pageMargins left="0.7" right="0.7" top="0.75" bottom="0.75" header="0.5" footer="0.5"/>
  <pageSetup scale="59" fitToHeight="2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Q282"/>
  <sheetViews>
    <sheetView zoomScale="75" zoomScaleNormal="90" zoomScaleSheetLayoutView="90" zoomScalePageLayoutView="90" workbookViewId="0">
      <selection activeCell="M11" sqref="M11"/>
    </sheetView>
  </sheetViews>
  <sheetFormatPr defaultColWidth="9.140625" defaultRowHeight="12.75" x14ac:dyDescent="0.2"/>
  <cols>
    <col min="1" max="1" width="12.85546875" style="157" bestFit="1" customWidth="1"/>
    <col min="2" max="2" width="48.42578125" style="157" bestFit="1" customWidth="1"/>
    <col min="3" max="4" width="5" style="440" customWidth="1"/>
    <col min="5" max="5" width="10.85546875" style="157" bestFit="1" customWidth="1"/>
    <col min="6" max="6" width="12.5703125" style="157" customWidth="1"/>
    <col min="7" max="7" width="7" style="157" bestFit="1" customWidth="1"/>
    <col min="8" max="8" width="10.85546875" style="157" bestFit="1" customWidth="1"/>
    <col min="9" max="9" width="14.42578125" style="157" bestFit="1" customWidth="1"/>
    <col min="10" max="10" width="16.140625" style="276" bestFit="1" customWidth="1"/>
    <col min="11" max="11" width="14.42578125" style="157" bestFit="1" customWidth="1"/>
    <col min="12" max="12" width="18" style="159" bestFit="1" customWidth="1"/>
    <col min="13" max="13" width="14" style="276" bestFit="1" customWidth="1"/>
    <col min="14" max="14" width="70.28515625" style="157" bestFit="1" customWidth="1"/>
    <col min="15" max="15" width="21.85546875" style="302" bestFit="1" customWidth="1"/>
    <col min="16" max="16" width="22.140625" style="302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2"/>
      <c r="B1" s="323"/>
      <c r="C1" s="976">
        <f>'Estimate Summary'!C1:H1</f>
        <v>0</v>
      </c>
      <c r="D1" s="976"/>
      <c r="E1" s="976"/>
      <c r="F1" s="976"/>
      <c r="G1" s="976"/>
      <c r="H1" s="976"/>
      <c r="I1" s="976"/>
      <c r="J1" s="976"/>
      <c r="K1" s="977"/>
    </row>
    <row r="2" spans="1:17" ht="13.5" thickBot="1" x14ac:dyDescent="0.25">
      <c r="A2" s="324"/>
      <c r="B2" s="325"/>
      <c r="C2" s="514"/>
      <c r="D2" s="984"/>
      <c r="E2" s="984"/>
      <c r="F2" s="984"/>
      <c r="G2" s="514"/>
      <c r="H2" s="327"/>
      <c r="I2" s="328"/>
      <c r="J2" s="329"/>
      <c r="K2" s="330"/>
    </row>
    <row r="3" spans="1:17" ht="16.5" thickBot="1" x14ac:dyDescent="0.3">
      <c r="A3" s="973"/>
      <c r="B3" s="974"/>
      <c r="C3" s="514"/>
      <c r="D3" s="984"/>
      <c r="E3" s="984"/>
      <c r="F3" s="984"/>
      <c r="G3" s="515"/>
      <c r="H3" s="332"/>
      <c r="I3" s="333"/>
      <c r="J3" s="333"/>
      <c r="K3" s="334"/>
      <c r="L3" s="1002"/>
      <c r="M3" s="1003"/>
      <c r="N3" s="985"/>
      <c r="O3" s="985"/>
      <c r="P3" s="935"/>
    </row>
    <row r="4" spans="1:17" ht="18.75" thickBot="1" x14ac:dyDescent="0.25">
      <c r="A4" s="973"/>
      <c r="B4" s="974"/>
      <c r="C4" s="514"/>
      <c r="D4" s="984"/>
      <c r="E4" s="984"/>
      <c r="F4" s="984"/>
      <c r="G4" s="336"/>
      <c r="H4" s="336"/>
      <c r="I4" s="328"/>
      <c r="J4" s="329"/>
      <c r="K4" s="330"/>
      <c r="L4" s="1002"/>
      <c r="M4" s="1003"/>
      <c r="N4" s="985"/>
      <c r="O4" s="985"/>
      <c r="P4" s="935"/>
    </row>
    <row r="5" spans="1:17" ht="21" thickBot="1" x14ac:dyDescent="0.3">
      <c r="A5" s="337"/>
      <c r="B5" s="338"/>
      <c r="C5" s="516"/>
      <c r="D5" s="340"/>
      <c r="E5" s="341"/>
      <c r="F5" s="336"/>
      <c r="G5" s="983" t="s">
        <v>42</v>
      </c>
      <c r="H5" s="983"/>
      <c r="I5" s="983"/>
      <c r="J5" s="981" t="s">
        <v>73</v>
      </c>
      <c r="K5" s="982"/>
      <c r="L5" s="1002"/>
      <c r="M5" s="1003"/>
      <c r="N5" s="985"/>
      <c r="O5" s="985"/>
      <c r="P5" s="935"/>
    </row>
    <row r="6" spans="1:17" ht="21" thickBot="1" x14ac:dyDescent="0.25">
      <c r="A6" s="337"/>
      <c r="B6" s="338"/>
      <c r="C6" s="517"/>
      <c r="D6" s="343" t="str">
        <f>'Estimate Summary'!C11</f>
        <v>Area:</v>
      </c>
      <c r="E6" s="344">
        <f>'Estimate Summary'!D11</f>
        <v>65592</v>
      </c>
      <c r="F6" s="238" t="str">
        <f>'Estimate Summary'!E11</f>
        <v>Sq. Ft.</v>
      </c>
      <c r="G6" s="983"/>
      <c r="H6" s="983"/>
      <c r="I6" s="983"/>
      <c r="J6" s="345">
        <f>'1'!J6</f>
        <v>60</v>
      </c>
      <c r="K6" s="330" t="s">
        <v>74</v>
      </c>
      <c r="L6" s="1002"/>
      <c r="M6" s="1003"/>
      <c r="N6" s="985"/>
      <c r="O6" s="985"/>
      <c r="P6" s="935"/>
    </row>
    <row r="7" spans="1:17" x14ac:dyDescent="0.2">
      <c r="A7" s="978"/>
      <c r="B7" s="979"/>
      <c r="C7" s="979"/>
      <c r="D7" s="979"/>
      <c r="E7" s="979"/>
      <c r="F7" s="979"/>
      <c r="G7" s="979"/>
      <c r="H7" s="979"/>
      <c r="I7" s="979"/>
      <c r="J7" s="979"/>
      <c r="K7" s="980"/>
    </row>
    <row r="8" spans="1:17" ht="13.5" thickBot="1" x14ac:dyDescent="0.25">
      <c r="A8" s="346"/>
      <c r="B8" s="347"/>
      <c r="C8" s="972"/>
      <c r="D8" s="972"/>
      <c r="E8" s="972"/>
      <c r="F8" s="972"/>
      <c r="G8" s="971"/>
      <c r="H8" s="971"/>
      <c r="I8" s="971"/>
      <c r="J8" s="348"/>
      <c r="K8" s="349"/>
      <c r="L8" s="518"/>
      <c r="M8" s="519"/>
      <c r="N8" s="518"/>
      <c r="O8" s="520"/>
      <c r="P8" s="520"/>
    </row>
    <row r="9" spans="1:17" ht="14.25" thickTop="1" thickBot="1" x14ac:dyDescent="0.25">
      <c r="A9" s="353" t="s">
        <v>0</v>
      </c>
      <c r="B9" s="354" t="s">
        <v>1</v>
      </c>
      <c r="C9" s="939" t="s">
        <v>656</v>
      </c>
      <c r="D9" s="939"/>
      <c r="E9" s="939"/>
      <c r="F9" s="939"/>
      <c r="G9" s="939" t="s">
        <v>34</v>
      </c>
      <c r="H9" s="939"/>
      <c r="I9" s="939"/>
      <c r="J9" s="355"/>
      <c r="K9" s="523"/>
      <c r="L9" s="942" t="s">
        <v>783</v>
      </c>
      <c r="M9" s="944" t="s">
        <v>784</v>
      </c>
      <c r="N9" s="946" t="s">
        <v>785</v>
      </c>
      <c r="O9" s="948" t="s">
        <v>1041</v>
      </c>
      <c r="P9" s="950"/>
      <c r="Q9" s="940"/>
    </row>
    <row r="10" spans="1:17" ht="15.75" x14ac:dyDescent="0.25">
      <c r="A10" s="525" t="s">
        <v>426</v>
      </c>
      <c r="B10" s="525" t="s">
        <v>427</v>
      </c>
      <c r="C10" s="359" t="s">
        <v>19</v>
      </c>
      <c r="D10" s="360" t="s">
        <v>33</v>
      </c>
      <c r="E10" s="361" t="s">
        <v>35</v>
      </c>
      <c r="F10" s="362" t="s">
        <v>30</v>
      </c>
      <c r="G10" s="526" t="s">
        <v>14</v>
      </c>
      <c r="H10" s="361" t="s">
        <v>35</v>
      </c>
      <c r="I10" s="362" t="s">
        <v>30</v>
      </c>
      <c r="J10" s="364" t="s">
        <v>659</v>
      </c>
      <c r="K10" s="527" t="s">
        <v>38</v>
      </c>
      <c r="L10" s="943"/>
      <c r="M10" s="945"/>
      <c r="N10" s="947"/>
      <c r="O10" s="949"/>
      <c r="P10" s="951"/>
      <c r="Q10" s="941"/>
    </row>
    <row r="11" spans="1:17" x14ac:dyDescent="0.2">
      <c r="A11" s="370"/>
      <c r="B11" s="5"/>
      <c r="C11" s="371"/>
      <c r="D11" s="372" t="s">
        <v>21</v>
      </c>
      <c r="E11" s="253">
        <v>0</v>
      </c>
      <c r="F11" s="373">
        <f t="shared" ref="F11:F16" si="0">C11*E11</f>
        <v>0</v>
      </c>
      <c r="G11" s="529"/>
      <c r="H11" s="375">
        <v>0</v>
      </c>
      <c r="I11" s="373">
        <f t="shared" ref="I11:I16" si="1">G11*H11</f>
        <v>0</v>
      </c>
      <c r="J11" s="376"/>
      <c r="K11" s="530">
        <f t="shared" ref="K11:K16" si="2">F11+I11+J11</f>
        <v>0</v>
      </c>
      <c r="L11" s="378" t="s">
        <v>1093</v>
      </c>
      <c r="M11" s="866">
        <v>509800</v>
      </c>
      <c r="N11" s="380" t="s">
        <v>1198</v>
      </c>
      <c r="O11" s="381" t="s">
        <v>1048</v>
      </c>
      <c r="P11" s="382">
        <v>471000</v>
      </c>
      <c r="Q11" s="383"/>
    </row>
    <row r="12" spans="1:17" x14ac:dyDescent="0.2">
      <c r="A12" s="370"/>
      <c r="B12" s="5"/>
      <c r="C12" s="371">
        <v>59</v>
      </c>
      <c r="D12" s="372" t="s">
        <v>33</v>
      </c>
      <c r="E12" s="253">
        <f>M17</f>
        <v>7580.5084745762715</v>
      </c>
      <c r="F12" s="373"/>
      <c r="G12" s="529"/>
      <c r="H12" s="375">
        <v>0</v>
      </c>
      <c r="I12" s="373">
        <f t="shared" si="1"/>
        <v>0</v>
      </c>
      <c r="J12" s="376">
        <f>M12</f>
        <v>467650</v>
      </c>
      <c r="K12" s="530">
        <f t="shared" si="2"/>
        <v>467650</v>
      </c>
      <c r="L12" s="378" t="s">
        <v>1047</v>
      </c>
      <c r="M12" s="874">
        <f>472650-5000</f>
        <v>467650</v>
      </c>
      <c r="N12" s="380" t="s">
        <v>1283</v>
      </c>
      <c r="O12" s="381" t="s">
        <v>1049</v>
      </c>
      <c r="P12" s="382">
        <v>337362</v>
      </c>
      <c r="Q12" s="838" t="s">
        <v>1050</v>
      </c>
    </row>
    <row r="13" spans="1:17" x14ac:dyDescent="0.2">
      <c r="A13" s="370"/>
      <c r="B13" s="5"/>
      <c r="C13" s="371"/>
      <c r="D13" s="372" t="s">
        <v>21</v>
      </c>
      <c r="E13" s="253">
        <v>0</v>
      </c>
      <c r="F13" s="373">
        <f t="shared" si="0"/>
        <v>0</v>
      </c>
      <c r="G13" s="529"/>
      <c r="H13" s="375">
        <v>0</v>
      </c>
      <c r="I13" s="373">
        <f t="shared" si="1"/>
        <v>0</v>
      </c>
      <c r="J13" s="376"/>
      <c r="K13" s="530">
        <f t="shared" si="2"/>
        <v>0</v>
      </c>
      <c r="L13" s="378" t="s">
        <v>1094</v>
      </c>
      <c r="M13" s="379">
        <v>539275</v>
      </c>
      <c r="N13" s="380"/>
      <c r="O13" s="381"/>
      <c r="P13" s="382"/>
      <c r="Q13" s="383"/>
    </row>
    <row r="14" spans="1:17" x14ac:dyDescent="0.2">
      <c r="A14" s="370"/>
      <c r="B14" s="5"/>
      <c r="C14" s="371"/>
      <c r="D14" s="372" t="s">
        <v>21</v>
      </c>
      <c r="E14" s="253">
        <v>0</v>
      </c>
      <c r="F14" s="373">
        <f t="shared" si="0"/>
        <v>0</v>
      </c>
      <c r="G14" s="529"/>
      <c r="H14" s="375">
        <v>0</v>
      </c>
      <c r="I14" s="373">
        <f t="shared" si="1"/>
        <v>0</v>
      </c>
      <c r="J14" s="376"/>
      <c r="K14" s="530">
        <f t="shared" si="2"/>
        <v>0</v>
      </c>
      <c r="L14" s="378" t="s">
        <v>1185</v>
      </c>
      <c r="M14" s="379">
        <v>686000</v>
      </c>
      <c r="N14" s="380"/>
      <c r="O14" s="381"/>
      <c r="P14" s="382"/>
      <c r="Q14" s="383"/>
    </row>
    <row r="15" spans="1:17" x14ac:dyDescent="0.2">
      <c r="A15" s="384"/>
      <c r="B15" s="5"/>
      <c r="C15" s="371"/>
      <c r="D15" s="372" t="s">
        <v>21</v>
      </c>
      <c r="E15" s="253">
        <v>0</v>
      </c>
      <c r="F15" s="373">
        <f t="shared" si="0"/>
        <v>0</v>
      </c>
      <c r="G15" s="529"/>
      <c r="H15" s="375">
        <v>0</v>
      </c>
      <c r="I15" s="373">
        <f t="shared" si="1"/>
        <v>0</v>
      </c>
      <c r="J15" s="376"/>
      <c r="K15" s="530">
        <f t="shared" si="2"/>
        <v>0</v>
      </c>
      <c r="L15" s="378" t="s">
        <v>1292</v>
      </c>
      <c r="M15" s="379">
        <v>545250</v>
      </c>
      <c r="N15" s="380"/>
      <c r="O15" s="381"/>
      <c r="P15" s="382"/>
      <c r="Q15" s="383"/>
    </row>
    <row r="16" spans="1:17" x14ac:dyDescent="0.2">
      <c r="A16" s="384"/>
      <c r="B16" s="5"/>
      <c r="C16" s="371"/>
      <c r="D16" s="372" t="s">
        <v>21</v>
      </c>
      <c r="E16" s="253">
        <v>0</v>
      </c>
      <c r="F16" s="373">
        <f t="shared" si="0"/>
        <v>0</v>
      </c>
      <c r="G16" s="529"/>
      <c r="H16" s="375">
        <v>0</v>
      </c>
      <c r="I16" s="373">
        <f t="shared" si="1"/>
        <v>0</v>
      </c>
      <c r="J16" s="376"/>
      <c r="K16" s="530">
        <f t="shared" si="2"/>
        <v>0</v>
      </c>
      <c r="L16" s="378"/>
      <c r="M16" s="379"/>
      <c r="N16" s="380"/>
      <c r="O16" s="381"/>
      <c r="P16" s="382"/>
      <c r="Q16" s="383"/>
    </row>
    <row r="17" spans="1:17" ht="13.5" thickBot="1" x14ac:dyDescent="0.25">
      <c r="A17" s="387"/>
      <c r="B17" s="7"/>
      <c r="C17" s="388"/>
      <c r="D17" s="372"/>
      <c r="E17" s="253"/>
      <c r="F17" s="373"/>
      <c r="G17" s="529"/>
      <c r="H17" s="375"/>
      <c r="I17" s="373"/>
      <c r="J17" s="376"/>
      <c r="K17" s="530"/>
      <c r="L17" s="157" t="s">
        <v>1115</v>
      </c>
      <c r="M17" s="469">
        <f>447250/59</f>
        <v>7580.5084745762715</v>
      </c>
      <c r="O17" s="381"/>
      <c r="P17" s="382"/>
      <c r="Q17" s="383"/>
    </row>
    <row r="18" spans="1:17" ht="13.5" thickTop="1" x14ac:dyDescent="0.2">
      <c r="A18" s="387"/>
      <c r="B18" s="7"/>
      <c r="C18" s="388"/>
      <c r="D18" s="372"/>
      <c r="E18" s="253"/>
      <c r="F18" s="373"/>
      <c r="G18" s="529"/>
      <c r="H18" s="375"/>
      <c r="I18" s="373"/>
      <c r="J18" s="389" t="s">
        <v>30</v>
      </c>
      <c r="K18" s="532">
        <f>SUM(K11:K17)</f>
        <v>467650</v>
      </c>
      <c r="L18" s="157"/>
      <c r="M18" s="469"/>
      <c r="O18" s="381"/>
      <c r="P18" s="382"/>
      <c r="Q18" s="383"/>
    </row>
    <row r="19" spans="1:17" ht="13.5" thickBot="1" x14ac:dyDescent="0.25">
      <c r="A19" s="353" t="s">
        <v>0</v>
      </c>
      <c r="B19" s="354" t="s">
        <v>1</v>
      </c>
      <c r="C19" s="939" t="s">
        <v>656</v>
      </c>
      <c r="D19" s="939"/>
      <c r="E19" s="939"/>
      <c r="F19" s="939"/>
      <c r="G19" s="939" t="s">
        <v>34</v>
      </c>
      <c r="H19" s="939"/>
      <c r="I19" s="939"/>
      <c r="J19" s="355"/>
      <c r="K19" s="523"/>
      <c r="L19" s="391"/>
      <c r="M19" s="392"/>
      <c r="N19" s="393"/>
      <c r="O19" s="381"/>
      <c r="P19" s="382"/>
      <c r="Q19" s="383"/>
    </row>
    <row r="20" spans="1:17" ht="16.5" thickBot="1" x14ac:dyDescent="0.3">
      <c r="A20" s="525" t="s">
        <v>428</v>
      </c>
      <c r="B20" s="525" t="s">
        <v>429</v>
      </c>
      <c r="C20" s="396" t="s">
        <v>19</v>
      </c>
      <c r="D20" s="397" t="s">
        <v>33</v>
      </c>
      <c r="E20" s="398" t="s">
        <v>35</v>
      </c>
      <c r="F20" s="399" t="s">
        <v>30</v>
      </c>
      <c r="G20" s="533" t="s">
        <v>14</v>
      </c>
      <c r="H20" s="398" t="s">
        <v>35</v>
      </c>
      <c r="I20" s="399" t="s">
        <v>30</v>
      </c>
      <c r="J20" s="364" t="s">
        <v>659</v>
      </c>
      <c r="K20" s="534" t="s">
        <v>38</v>
      </c>
      <c r="L20" s="402"/>
      <c r="M20" s="403"/>
      <c r="N20" s="404"/>
      <c r="O20" s="381"/>
      <c r="P20" s="382"/>
      <c r="Q20" s="383"/>
    </row>
    <row r="21" spans="1:17" s="159" customFormat="1" x14ac:dyDescent="0.2">
      <c r="A21" s="405"/>
      <c r="B21" s="406"/>
      <c r="C21" s="371"/>
      <c r="D21" s="372" t="s">
        <v>21</v>
      </c>
      <c r="E21" s="253">
        <v>0</v>
      </c>
      <c r="F21" s="373">
        <f>C21*E21</f>
        <v>0</v>
      </c>
      <c r="G21" s="529"/>
      <c r="H21" s="375">
        <v>0</v>
      </c>
      <c r="I21" s="373">
        <f>G21*H21</f>
        <v>0</v>
      </c>
      <c r="J21" s="376"/>
      <c r="K21" s="530">
        <f>F21+I21+J21</f>
        <v>0</v>
      </c>
      <c r="L21" s="157"/>
      <c r="M21" s="469"/>
      <c r="N21" s="157"/>
      <c r="O21" s="381"/>
      <c r="P21" s="382"/>
      <c r="Q21" s="383"/>
    </row>
    <row r="22" spans="1:17" s="159" customFormat="1" x14ac:dyDescent="0.2">
      <c r="A22" s="370"/>
      <c r="B22" s="5"/>
      <c r="C22" s="371"/>
      <c r="D22" s="372" t="s">
        <v>21</v>
      </c>
      <c r="E22" s="253">
        <v>0</v>
      </c>
      <c r="F22" s="373">
        <f>C22*E22</f>
        <v>0</v>
      </c>
      <c r="G22" s="529"/>
      <c r="H22" s="375">
        <v>0</v>
      </c>
      <c r="I22" s="373">
        <f>G22*H22</f>
        <v>0</v>
      </c>
      <c r="J22" s="376"/>
      <c r="K22" s="530">
        <f>F22+I22+J22</f>
        <v>0</v>
      </c>
      <c r="L22" s="157"/>
      <c r="M22" s="469"/>
      <c r="N22" s="157"/>
      <c r="O22" s="381"/>
      <c r="P22" s="382"/>
      <c r="Q22" s="383"/>
    </row>
    <row r="23" spans="1:17" s="159" customFormat="1" x14ac:dyDescent="0.2">
      <c r="A23" s="370"/>
      <c r="B23" s="5"/>
      <c r="C23" s="371"/>
      <c r="D23" s="372" t="s">
        <v>21</v>
      </c>
      <c r="E23" s="253">
        <v>0</v>
      </c>
      <c r="F23" s="373">
        <f>C23*E23</f>
        <v>0</v>
      </c>
      <c r="G23" s="529"/>
      <c r="H23" s="375">
        <v>0</v>
      </c>
      <c r="I23" s="373">
        <f>G23*H23</f>
        <v>0</v>
      </c>
      <c r="J23" s="376"/>
      <c r="K23" s="530">
        <f>F23+I23+J23</f>
        <v>0</v>
      </c>
      <c r="L23" s="157"/>
      <c r="M23" s="469"/>
      <c r="N23" s="157"/>
      <c r="O23" s="381"/>
      <c r="P23" s="382"/>
      <c r="Q23" s="383"/>
    </row>
    <row r="24" spans="1:17" s="159" customFormat="1" ht="13.5" thickBot="1" x14ac:dyDescent="0.25">
      <c r="A24" s="370"/>
      <c r="B24" s="5"/>
      <c r="C24" s="388"/>
      <c r="D24" s="372"/>
      <c r="E24" s="253"/>
      <c r="F24" s="373"/>
      <c r="G24" s="529"/>
      <c r="H24" s="375"/>
      <c r="I24" s="373"/>
      <c r="J24" s="376"/>
      <c r="K24" s="535"/>
      <c r="L24" s="157"/>
      <c r="M24" s="469"/>
      <c r="N24" s="157"/>
      <c r="O24" s="381"/>
      <c r="P24" s="382"/>
      <c r="Q24" s="383"/>
    </row>
    <row r="25" spans="1:17" s="159" customFormat="1" ht="13.5" thickTop="1" x14ac:dyDescent="0.2">
      <c r="A25" s="387"/>
      <c r="B25" s="5"/>
      <c r="C25" s="388"/>
      <c r="D25" s="372"/>
      <c r="E25" s="253"/>
      <c r="F25" s="373"/>
      <c r="G25" s="529"/>
      <c r="H25" s="375"/>
      <c r="I25" s="373"/>
      <c r="J25" s="389" t="s">
        <v>30</v>
      </c>
      <c r="K25" s="532">
        <f>SUM(K21:K24)</f>
        <v>0</v>
      </c>
      <c r="M25" s="274"/>
      <c r="O25" s="381"/>
      <c r="P25" s="382"/>
      <c r="Q25" s="383"/>
    </row>
    <row r="26" spans="1:17" s="159" customFormat="1" ht="13.5" thickBot="1" x14ac:dyDescent="0.25">
      <c r="A26" s="353" t="s">
        <v>0</v>
      </c>
      <c r="B26" s="354" t="s">
        <v>1</v>
      </c>
      <c r="C26" s="939" t="s">
        <v>656</v>
      </c>
      <c r="D26" s="939"/>
      <c r="E26" s="939"/>
      <c r="F26" s="939"/>
      <c r="G26" s="939" t="s">
        <v>34</v>
      </c>
      <c r="H26" s="939"/>
      <c r="I26" s="939"/>
      <c r="J26" s="355"/>
      <c r="K26" s="523"/>
      <c r="L26" s="391"/>
      <c r="M26" s="392"/>
      <c r="N26" s="393"/>
      <c r="O26" s="381"/>
      <c r="P26" s="382"/>
      <c r="Q26" s="383"/>
    </row>
    <row r="27" spans="1:17" s="159" customFormat="1" ht="16.5" thickBot="1" x14ac:dyDescent="0.3">
      <c r="A27" s="525" t="s">
        <v>430</v>
      </c>
      <c r="B27" s="525" t="s">
        <v>431</v>
      </c>
      <c r="C27" s="396" t="s">
        <v>19</v>
      </c>
      <c r="D27" s="397" t="s">
        <v>33</v>
      </c>
      <c r="E27" s="398" t="s">
        <v>35</v>
      </c>
      <c r="F27" s="399" t="s">
        <v>30</v>
      </c>
      <c r="G27" s="533" t="s">
        <v>14</v>
      </c>
      <c r="H27" s="398" t="s">
        <v>35</v>
      </c>
      <c r="I27" s="399" t="s">
        <v>30</v>
      </c>
      <c r="J27" s="364" t="s">
        <v>659</v>
      </c>
      <c r="K27" s="534" t="s">
        <v>38</v>
      </c>
      <c r="L27" s="402"/>
      <c r="M27" s="403"/>
      <c r="N27" s="404"/>
      <c r="O27" s="381"/>
      <c r="P27" s="382"/>
      <c r="Q27" s="383"/>
    </row>
    <row r="28" spans="1:17" s="159" customFormat="1" x14ac:dyDescent="0.2">
      <c r="A28" s="405"/>
      <c r="B28" s="406"/>
      <c r="C28" s="371"/>
      <c r="D28" s="372" t="s">
        <v>21</v>
      </c>
      <c r="E28" s="253">
        <v>0</v>
      </c>
      <c r="F28" s="373">
        <f>C28*E28</f>
        <v>0</v>
      </c>
      <c r="G28" s="529"/>
      <c r="H28" s="375">
        <v>0</v>
      </c>
      <c r="I28" s="373">
        <f>G28*H28</f>
        <v>0</v>
      </c>
      <c r="J28" s="376"/>
      <c r="K28" s="530">
        <f>F28+I28+J28</f>
        <v>0</v>
      </c>
      <c r="M28" s="276"/>
      <c r="N28" s="157"/>
      <c r="O28" s="381"/>
      <c r="P28" s="382"/>
      <c r="Q28" s="383"/>
    </row>
    <row r="29" spans="1:17" s="159" customFormat="1" x14ac:dyDescent="0.2">
      <c r="A29" s="370"/>
      <c r="B29" s="5"/>
      <c r="C29" s="371"/>
      <c r="D29" s="372" t="s">
        <v>21</v>
      </c>
      <c r="E29" s="253">
        <v>0</v>
      </c>
      <c r="F29" s="373">
        <f>C29*E29</f>
        <v>0</v>
      </c>
      <c r="G29" s="529"/>
      <c r="H29" s="375">
        <v>0</v>
      </c>
      <c r="I29" s="373">
        <f>G29*H29</f>
        <v>0</v>
      </c>
      <c r="J29" s="376"/>
      <c r="K29" s="530">
        <f>F29+I29+J29</f>
        <v>0</v>
      </c>
      <c r="L29" s="378"/>
      <c r="M29" s="379"/>
      <c r="N29" s="380"/>
      <c r="O29" s="381"/>
      <c r="P29" s="382"/>
      <c r="Q29" s="383"/>
    </row>
    <row r="30" spans="1:17" s="159" customFormat="1" ht="13.5" thickBot="1" x14ac:dyDescent="0.25">
      <c r="A30" s="387"/>
      <c r="B30" s="412"/>
      <c r="C30" s="388"/>
      <c r="D30" s="372"/>
      <c r="E30" s="253"/>
      <c r="F30" s="373"/>
      <c r="G30" s="529"/>
      <c r="H30" s="375"/>
      <c r="I30" s="373"/>
      <c r="J30" s="376"/>
      <c r="K30" s="535"/>
      <c r="L30" s="378"/>
      <c r="M30" s="379"/>
      <c r="N30" s="380"/>
      <c r="O30" s="381"/>
      <c r="P30" s="382"/>
      <c r="Q30" s="383"/>
    </row>
    <row r="31" spans="1:17" s="159" customFormat="1" ht="13.5" thickTop="1" x14ac:dyDescent="0.2">
      <c r="A31" s="387"/>
      <c r="B31" s="412"/>
      <c r="C31" s="388"/>
      <c r="D31" s="372"/>
      <c r="E31" s="253"/>
      <c r="F31" s="373"/>
      <c r="G31" s="529"/>
      <c r="H31" s="375"/>
      <c r="I31" s="373"/>
      <c r="J31" s="389" t="s">
        <v>30</v>
      </c>
      <c r="K31" s="532">
        <f>SUM(K28:K30)</f>
        <v>0</v>
      </c>
      <c r="L31" s="536"/>
      <c r="M31" s="574"/>
      <c r="N31" s="537"/>
      <c r="O31" s="381"/>
      <c r="P31" s="382"/>
      <c r="Q31" s="383"/>
    </row>
    <row r="32" spans="1:17" s="159" customFormat="1" ht="13.5" thickBot="1" x14ac:dyDescent="0.25">
      <c r="A32" s="353" t="s">
        <v>0</v>
      </c>
      <c r="B32" s="354" t="s">
        <v>1</v>
      </c>
      <c r="C32" s="939" t="s">
        <v>656</v>
      </c>
      <c r="D32" s="939"/>
      <c r="E32" s="939"/>
      <c r="F32" s="939"/>
      <c r="G32" s="939" t="s">
        <v>34</v>
      </c>
      <c r="H32" s="939"/>
      <c r="I32" s="939"/>
      <c r="J32" s="355"/>
      <c r="K32" s="523"/>
      <c r="L32" s="391"/>
      <c r="M32" s="392"/>
      <c r="N32" s="393"/>
      <c r="O32" s="381"/>
      <c r="P32" s="382"/>
      <c r="Q32" s="383"/>
    </row>
    <row r="33" spans="1:17" s="159" customFormat="1" ht="15.75" x14ac:dyDescent="0.25">
      <c r="A33" s="525" t="s">
        <v>680</v>
      </c>
      <c r="B33" s="525" t="s">
        <v>679</v>
      </c>
      <c r="C33" s="396" t="s">
        <v>19</v>
      </c>
      <c r="D33" s="397" t="s">
        <v>33</v>
      </c>
      <c r="E33" s="398" t="s">
        <v>35</v>
      </c>
      <c r="F33" s="399" t="s">
        <v>30</v>
      </c>
      <c r="G33" s="533" t="s">
        <v>14</v>
      </c>
      <c r="H33" s="398" t="s">
        <v>35</v>
      </c>
      <c r="I33" s="399" t="s">
        <v>30</v>
      </c>
      <c r="J33" s="364" t="s">
        <v>659</v>
      </c>
      <c r="K33" s="534" t="s">
        <v>38</v>
      </c>
      <c r="L33" s="402"/>
      <c r="M33" s="408"/>
      <c r="N33" s="409"/>
      <c r="O33" s="381"/>
      <c r="P33" s="382"/>
      <c r="Q33" s="383"/>
    </row>
    <row r="34" spans="1:17" s="159" customFormat="1" x14ac:dyDescent="0.2">
      <c r="A34" s="158" t="s">
        <v>434</v>
      </c>
      <c r="B34" s="157" t="s">
        <v>435</v>
      </c>
      <c r="C34" s="371"/>
      <c r="D34" s="372" t="s">
        <v>21</v>
      </c>
      <c r="E34" s="253">
        <v>0</v>
      </c>
      <c r="F34" s="373">
        <f>C34*E34</f>
        <v>0</v>
      </c>
      <c r="G34" s="529"/>
      <c r="H34" s="375">
        <v>0</v>
      </c>
      <c r="I34" s="373">
        <f>G34*H34</f>
        <v>0</v>
      </c>
      <c r="J34" s="376"/>
      <c r="K34" s="530">
        <f>F34+I34+J34</f>
        <v>0</v>
      </c>
      <c r="L34" s="157"/>
      <c r="M34" s="469"/>
      <c r="N34" s="157"/>
      <c r="O34" s="381"/>
      <c r="P34" s="382"/>
      <c r="Q34" s="383"/>
    </row>
    <row r="35" spans="1:17" s="159" customFormat="1" x14ac:dyDescent="0.2">
      <c r="A35" s="370"/>
      <c r="B35" s="5"/>
      <c r="C35" s="371"/>
      <c r="D35" s="372" t="s">
        <v>21</v>
      </c>
      <c r="E35" s="253">
        <v>0</v>
      </c>
      <c r="F35" s="373">
        <f>C35*E35</f>
        <v>0</v>
      </c>
      <c r="G35" s="529"/>
      <c r="H35" s="375">
        <v>0</v>
      </c>
      <c r="I35" s="373">
        <f>G35*H35</f>
        <v>0</v>
      </c>
      <c r="J35" s="376"/>
      <c r="K35" s="530">
        <f>F35+I35+J35</f>
        <v>0</v>
      </c>
      <c r="L35" s="378"/>
      <c r="M35" s="379"/>
      <c r="N35" s="380"/>
      <c r="O35" s="381"/>
      <c r="P35" s="382"/>
      <c r="Q35" s="383"/>
    </row>
    <row r="36" spans="1:17" s="159" customFormat="1" x14ac:dyDescent="0.2">
      <c r="A36" s="370"/>
      <c r="B36" s="5"/>
      <c r="C36" s="371"/>
      <c r="D36" s="372" t="s">
        <v>21</v>
      </c>
      <c r="E36" s="253">
        <v>0</v>
      </c>
      <c r="F36" s="373">
        <f>C36*E36</f>
        <v>0</v>
      </c>
      <c r="G36" s="529"/>
      <c r="H36" s="375">
        <v>0</v>
      </c>
      <c r="I36" s="373">
        <f>G36*H36</f>
        <v>0</v>
      </c>
      <c r="J36" s="376"/>
      <c r="K36" s="530">
        <f>F36+I36+J36</f>
        <v>0</v>
      </c>
      <c r="M36" s="274"/>
      <c r="O36" s="381"/>
      <c r="P36" s="382"/>
      <c r="Q36" s="383"/>
    </row>
    <row r="37" spans="1:17" s="159" customFormat="1" ht="13.5" thickBot="1" x14ac:dyDescent="0.25">
      <c r="A37" s="387"/>
      <c r="B37" s="412"/>
      <c r="C37" s="388"/>
      <c r="D37" s="372"/>
      <c r="E37" s="253"/>
      <c r="F37" s="373"/>
      <c r="G37" s="529"/>
      <c r="H37" s="375"/>
      <c r="I37" s="373"/>
      <c r="J37" s="376"/>
      <c r="K37" s="535"/>
      <c r="M37" s="274"/>
      <c r="O37" s="410"/>
      <c r="P37" s="411"/>
      <c r="Q37" s="383"/>
    </row>
    <row r="38" spans="1:17" s="159" customFormat="1" ht="13.5" thickTop="1" x14ac:dyDescent="0.2">
      <c r="A38" s="387"/>
      <c r="B38" s="412"/>
      <c r="C38" s="388"/>
      <c r="D38" s="372"/>
      <c r="E38" s="253"/>
      <c r="F38" s="373"/>
      <c r="G38" s="529"/>
      <c r="H38" s="375"/>
      <c r="I38" s="373"/>
      <c r="J38" s="389" t="s">
        <v>30</v>
      </c>
      <c r="K38" s="532">
        <f>SUM(K34:K37)</f>
        <v>0</v>
      </c>
      <c r="L38" s="378"/>
      <c r="M38" s="379"/>
      <c r="N38" s="380"/>
      <c r="O38" s="410"/>
      <c r="P38" s="411"/>
      <c r="Q38" s="383"/>
    </row>
    <row r="39" spans="1:17" s="159" customFormat="1" ht="13.5" thickBot="1" x14ac:dyDescent="0.25">
      <c r="A39" s="353" t="s">
        <v>0</v>
      </c>
      <c r="B39" s="354" t="s">
        <v>1</v>
      </c>
      <c r="C39" s="939" t="s">
        <v>656</v>
      </c>
      <c r="D39" s="939"/>
      <c r="E39" s="939"/>
      <c r="F39" s="939"/>
      <c r="G39" s="939" t="s">
        <v>34</v>
      </c>
      <c r="H39" s="939"/>
      <c r="I39" s="939"/>
      <c r="J39" s="355"/>
      <c r="K39" s="523"/>
      <c r="L39" s="391"/>
      <c r="M39" s="392"/>
      <c r="N39" s="393"/>
      <c r="O39" s="410"/>
      <c r="P39" s="411"/>
      <c r="Q39" s="383"/>
    </row>
    <row r="40" spans="1:17" s="159" customFormat="1" ht="16.5" thickBot="1" x14ac:dyDescent="0.3">
      <c r="A40" s="525" t="s">
        <v>436</v>
      </c>
      <c r="B40" s="525" t="s">
        <v>437</v>
      </c>
      <c r="C40" s="396" t="s">
        <v>19</v>
      </c>
      <c r="D40" s="397" t="s">
        <v>33</v>
      </c>
      <c r="E40" s="398" t="s">
        <v>35</v>
      </c>
      <c r="F40" s="399" t="s">
        <v>30</v>
      </c>
      <c r="G40" s="533" t="s">
        <v>14</v>
      </c>
      <c r="H40" s="398" t="s">
        <v>35</v>
      </c>
      <c r="I40" s="399" t="s">
        <v>30</v>
      </c>
      <c r="J40" s="364" t="s">
        <v>659</v>
      </c>
      <c r="K40" s="534" t="s">
        <v>38</v>
      </c>
      <c r="L40" s="402"/>
      <c r="M40" s="408"/>
      <c r="N40" s="409"/>
      <c r="O40" s="410"/>
      <c r="P40" s="411"/>
      <c r="Q40" s="383"/>
    </row>
    <row r="41" spans="1:17" s="159" customFormat="1" x14ac:dyDescent="0.2">
      <c r="A41" s="405"/>
      <c r="B41" s="406"/>
      <c r="C41" s="371"/>
      <c r="D41" s="372" t="s">
        <v>21</v>
      </c>
      <c r="E41" s="253">
        <v>0</v>
      </c>
      <c r="F41" s="373">
        <f>C41*E41</f>
        <v>0</v>
      </c>
      <c r="G41" s="529"/>
      <c r="H41" s="375">
        <v>0</v>
      </c>
      <c r="I41" s="373">
        <f>G41*H41</f>
        <v>0</v>
      </c>
      <c r="J41" s="376"/>
      <c r="K41" s="530">
        <f>F41+I41+J41</f>
        <v>0</v>
      </c>
      <c r="L41" s="378"/>
      <c r="M41" s="379"/>
      <c r="N41" s="380"/>
      <c r="O41" s="410"/>
      <c r="P41" s="411"/>
      <c r="Q41" s="383"/>
    </row>
    <row r="42" spans="1:17" s="159" customFormat="1" x14ac:dyDescent="0.2">
      <c r="A42" s="370"/>
      <c r="B42" s="5"/>
      <c r="C42" s="371"/>
      <c r="D42" s="372" t="s">
        <v>21</v>
      </c>
      <c r="E42" s="253">
        <v>0</v>
      </c>
      <c r="F42" s="373">
        <f>C42*E42</f>
        <v>0</v>
      </c>
      <c r="G42" s="529"/>
      <c r="H42" s="375">
        <v>0</v>
      </c>
      <c r="I42" s="373">
        <f>G42*H42</f>
        <v>0</v>
      </c>
      <c r="J42" s="376"/>
      <c r="K42" s="530">
        <f>F42+I42+J42</f>
        <v>0</v>
      </c>
      <c r="M42" s="276"/>
      <c r="N42" s="157"/>
      <c r="O42" s="410"/>
      <c r="P42" s="411"/>
      <c r="Q42" s="383"/>
    </row>
    <row r="43" spans="1:17" s="159" customFormat="1" x14ac:dyDescent="0.2">
      <c r="A43" s="370"/>
      <c r="B43" s="5"/>
      <c r="C43" s="371"/>
      <c r="D43" s="372" t="s">
        <v>21</v>
      </c>
      <c r="E43" s="253">
        <v>0</v>
      </c>
      <c r="F43" s="373">
        <f>C43*E43</f>
        <v>0</v>
      </c>
      <c r="G43" s="529"/>
      <c r="H43" s="375">
        <v>0</v>
      </c>
      <c r="I43" s="373">
        <f>G43*H43</f>
        <v>0</v>
      </c>
      <c r="J43" s="376"/>
      <c r="K43" s="530">
        <f>F43+I43+J43</f>
        <v>0</v>
      </c>
      <c r="M43" s="276"/>
      <c r="N43" s="157"/>
      <c r="O43" s="381"/>
      <c r="P43" s="382"/>
      <c r="Q43" s="383"/>
    </row>
    <row r="44" spans="1:17" s="159" customFormat="1" x14ac:dyDescent="0.2">
      <c r="A44" s="370"/>
      <c r="B44" s="5"/>
      <c r="C44" s="371"/>
      <c r="D44" s="372" t="s">
        <v>21</v>
      </c>
      <c r="E44" s="253">
        <v>0</v>
      </c>
      <c r="F44" s="373">
        <f>C44*E44</f>
        <v>0</v>
      </c>
      <c r="G44" s="529"/>
      <c r="H44" s="375">
        <v>0</v>
      </c>
      <c r="I44" s="373">
        <f>G44*H44</f>
        <v>0</v>
      </c>
      <c r="J44" s="376"/>
      <c r="K44" s="530">
        <f>F44+I44+J44</f>
        <v>0</v>
      </c>
      <c r="M44" s="274"/>
      <c r="O44" s="381"/>
      <c r="P44" s="382"/>
      <c r="Q44" s="383"/>
    </row>
    <row r="45" spans="1:17" s="159" customFormat="1" ht="13.5" thickBot="1" x14ac:dyDescent="0.25">
      <c r="A45" s="387"/>
      <c r="B45" s="5"/>
      <c r="C45" s="388"/>
      <c r="D45" s="372"/>
      <c r="E45" s="253"/>
      <c r="F45" s="373"/>
      <c r="G45" s="529"/>
      <c r="H45" s="375"/>
      <c r="I45" s="373"/>
      <c r="J45" s="376"/>
      <c r="K45" s="535"/>
      <c r="M45" s="274"/>
      <c r="O45" s="381"/>
      <c r="P45" s="411"/>
      <c r="Q45" s="383"/>
    </row>
    <row r="46" spans="1:17" s="159" customFormat="1" ht="13.5" thickTop="1" x14ac:dyDescent="0.2">
      <c r="A46" s="387"/>
      <c r="B46" s="412"/>
      <c r="C46" s="388"/>
      <c r="D46" s="372"/>
      <c r="E46" s="253"/>
      <c r="F46" s="373"/>
      <c r="G46" s="529"/>
      <c r="H46" s="375"/>
      <c r="I46" s="373"/>
      <c r="J46" s="389" t="s">
        <v>30</v>
      </c>
      <c r="K46" s="532">
        <f>SUM(K41:K45)</f>
        <v>0</v>
      </c>
      <c r="L46" s="378"/>
      <c r="M46" s="255"/>
      <c r="N46" s="421"/>
      <c r="O46" s="381"/>
      <c r="P46" s="382"/>
      <c r="Q46" s="383"/>
    </row>
    <row r="47" spans="1:17" s="159" customFormat="1" ht="13.5" thickBot="1" x14ac:dyDescent="0.25">
      <c r="A47" s="353" t="s">
        <v>0</v>
      </c>
      <c r="B47" s="354" t="s">
        <v>1</v>
      </c>
      <c r="C47" s="939" t="s">
        <v>656</v>
      </c>
      <c r="D47" s="939"/>
      <c r="E47" s="939"/>
      <c r="F47" s="939"/>
      <c r="G47" s="939" t="s">
        <v>34</v>
      </c>
      <c r="H47" s="939"/>
      <c r="I47" s="939"/>
      <c r="J47" s="355"/>
      <c r="K47" s="523"/>
      <c r="L47" s="391"/>
      <c r="M47" s="392"/>
      <c r="N47" s="393"/>
      <c r="O47" s="381"/>
      <c r="P47" s="382"/>
      <c r="Q47" s="383"/>
    </row>
    <row r="48" spans="1:17" s="159" customFormat="1" ht="16.5" thickBot="1" x14ac:dyDescent="0.3">
      <c r="A48" s="525" t="s">
        <v>438</v>
      </c>
      <c r="B48" s="525" t="s">
        <v>439</v>
      </c>
      <c r="C48" s="396" t="s">
        <v>19</v>
      </c>
      <c r="D48" s="397" t="s">
        <v>33</v>
      </c>
      <c r="E48" s="398" t="s">
        <v>35</v>
      </c>
      <c r="F48" s="399" t="s">
        <v>30</v>
      </c>
      <c r="G48" s="533" t="s">
        <v>14</v>
      </c>
      <c r="H48" s="398" t="s">
        <v>35</v>
      </c>
      <c r="I48" s="399" t="s">
        <v>30</v>
      </c>
      <c r="J48" s="364" t="s">
        <v>659</v>
      </c>
      <c r="K48" s="534" t="s">
        <v>38</v>
      </c>
      <c r="L48" s="402"/>
      <c r="M48" s="408"/>
      <c r="N48" s="409"/>
      <c r="O48" s="381"/>
      <c r="P48" s="382"/>
      <c r="Q48" s="383"/>
    </row>
    <row r="49" spans="1:17" s="159" customFormat="1" x14ac:dyDescent="0.2">
      <c r="A49" s="405"/>
      <c r="B49" s="406"/>
      <c r="C49" s="371"/>
      <c r="D49" s="372" t="s">
        <v>21</v>
      </c>
      <c r="E49" s="253">
        <v>0</v>
      </c>
      <c r="F49" s="373">
        <f>C49*E49</f>
        <v>0</v>
      </c>
      <c r="G49" s="529"/>
      <c r="H49" s="375">
        <v>0</v>
      </c>
      <c r="I49" s="373">
        <f>G49*H49</f>
        <v>0</v>
      </c>
      <c r="J49" s="376"/>
      <c r="K49" s="530">
        <f>F49+I49+J49</f>
        <v>0</v>
      </c>
      <c r="L49" s="664"/>
      <c r="M49" s="255"/>
      <c r="N49" s="421"/>
      <c r="O49" s="381"/>
      <c r="P49" s="382"/>
      <c r="Q49" s="383"/>
    </row>
    <row r="50" spans="1:17" s="159" customFormat="1" x14ac:dyDescent="0.2">
      <c r="A50" s="370"/>
      <c r="B50" s="5"/>
      <c r="C50" s="371"/>
      <c r="D50" s="372" t="s">
        <v>21</v>
      </c>
      <c r="E50" s="253">
        <v>0</v>
      </c>
      <c r="F50" s="373">
        <f>C50*E50</f>
        <v>0</v>
      </c>
      <c r="G50" s="529"/>
      <c r="H50" s="375">
        <v>0</v>
      </c>
      <c r="I50" s="373">
        <f>G50*H50</f>
        <v>0</v>
      </c>
      <c r="J50" s="376"/>
      <c r="K50" s="530">
        <f>F50+I50+J50</f>
        <v>0</v>
      </c>
      <c r="L50" s="378"/>
      <c r="M50" s="255"/>
      <c r="N50" s="421"/>
      <c r="O50" s="381"/>
      <c r="P50" s="382"/>
      <c r="Q50" s="383"/>
    </row>
    <row r="51" spans="1:17" s="159" customFormat="1" x14ac:dyDescent="0.2">
      <c r="A51" s="370"/>
      <c r="B51" s="5"/>
      <c r="C51" s="371"/>
      <c r="D51" s="372" t="s">
        <v>21</v>
      </c>
      <c r="E51" s="253">
        <v>0</v>
      </c>
      <c r="F51" s="373">
        <f>C51*E51</f>
        <v>0</v>
      </c>
      <c r="G51" s="529"/>
      <c r="H51" s="375">
        <v>0</v>
      </c>
      <c r="I51" s="373">
        <f>G51*H51</f>
        <v>0</v>
      </c>
      <c r="J51" s="376"/>
      <c r="K51" s="530">
        <f>F51+I51+J51</f>
        <v>0</v>
      </c>
      <c r="L51" s="378"/>
      <c r="M51" s="255"/>
      <c r="N51" s="380"/>
      <c r="O51" s="381"/>
      <c r="P51" s="382"/>
      <c r="Q51" s="383"/>
    </row>
    <row r="52" spans="1:17" s="159" customFormat="1" ht="13.5" thickBot="1" x14ac:dyDescent="0.25">
      <c r="A52" s="387"/>
      <c r="B52" s="5"/>
      <c r="C52" s="388"/>
      <c r="D52" s="372"/>
      <c r="E52" s="253"/>
      <c r="F52" s="373"/>
      <c r="G52" s="529"/>
      <c r="H52" s="375"/>
      <c r="I52" s="373"/>
      <c r="J52" s="376"/>
      <c r="K52" s="535"/>
      <c r="L52" s="157"/>
      <c r="M52" s="469"/>
      <c r="N52" s="157"/>
      <c r="O52" s="436"/>
      <c r="P52" s="437"/>
      <c r="Q52" s="383"/>
    </row>
    <row r="53" spans="1:17" s="159" customFormat="1" ht="13.5" thickTop="1" x14ac:dyDescent="0.2">
      <c r="A53" s="387"/>
      <c r="B53" s="412"/>
      <c r="C53" s="388"/>
      <c r="D53" s="372"/>
      <c r="E53" s="253"/>
      <c r="F53" s="373"/>
      <c r="G53" s="529"/>
      <c r="H53" s="375"/>
      <c r="I53" s="373"/>
      <c r="J53" s="389" t="s">
        <v>30</v>
      </c>
      <c r="K53" s="532">
        <f>SUM(K49:K52)</f>
        <v>0</v>
      </c>
      <c r="L53" s="661"/>
      <c r="M53" s="255"/>
      <c r="N53" s="663"/>
      <c r="O53" s="436"/>
      <c r="P53" s="437"/>
      <c r="Q53" s="383"/>
    </row>
    <row r="54" spans="1:17" s="159" customFormat="1" ht="13.5" thickBot="1" x14ac:dyDescent="0.25">
      <c r="A54" s="353" t="s">
        <v>0</v>
      </c>
      <c r="B54" s="354" t="s">
        <v>1</v>
      </c>
      <c r="C54" s="939" t="s">
        <v>656</v>
      </c>
      <c r="D54" s="939"/>
      <c r="E54" s="939"/>
      <c r="F54" s="939"/>
      <c r="G54" s="939" t="s">
        <v>34</v>
      </c>
      <c r="H54" s="939"/>
      <c r="I54" s="939"/>
      <c r="J54" s="355"/>
      <c r="K54" s="523"/>
      <c r="L54" s="391"/>
      <c r="M54" s="392"/>
      <c r="N54" s="393"/>
      <c r="O54" s="410"/>
      <c r="P54" s="411"/>
      <c r="Q54" s="383"/>
    </row>
    <row r="55" spans="1:17" s="159" customFormat="1" ht="16.5" thickBot="1" x14ac:dyDescent="0.3">
      <c r="A55" s="525" t="s">
        <v>440</v>
      </c>
      <c r="B55" s="525" t="s">
        <v>441</v>
      </c>
      <c r="C55" s="396" t="s">
        <v>19</v>
      </c>
      <c r="D55" s="397" t="s">
        <v>33</v>
      </c>
      <c r="E55" s="398" t="s">
        <v>35</v>
      </c>
      <c r="F55" s="399" t="s">
        <v>30</v>
      </c>
      <c r="G55" s="533" t="s">
        <v>14</v>
      </c>
      <c r="H55" s="398" t="s">
        <v>35</v>
      </c>
      <c r="I55" s="399" t="s">
        <v>30</v>
      </c>
      <c r="J55" s="364" t="s">
        <v>659</v>
      </c>
      <c r="K55" s="534" t="s">
        <v>38</v>
      </c>
      <c r="L55" s="402"/>
      <c r="M55" s="408"/>
      <c r="N55" s="409"/>
      <c r="O55" s="381"/>
      <c r="P55" s="382"/>
      <c r="Q55" s="383"/>
    </row>
    <row r="56" spans="1:17" s="159" customFormat="1" x14ac:dyDescent="0.2">
      <c r="A56" s="405"/>
      <c r="B56" s="406"/>
      <c r="C56" s="371"/>
      <c r="D56" s="372" t="s">
        <v>21</v>
      </c>
      <c r="E56" s="253">
        <v>0</v>
      </c>
      <c r="F56" s="373">
        <f>C56*E56</f>
        <v>0</v>
      </c>
      <c r="G56" s="529"/>
      <c r="H56" s="375">
        <v>0</v>
      </c>
      <c r="I56" s="373">
        <f>G56*H56</f>
        <v>0</v>
      </c>
      <c r="J56" s="376"/>
      <c r="K56" s="530">
        <f>F56+I56+J56</f>
        <v>0</v>
      </c>
      <c r="L56" s="378"/>
      <c r="M56" s="255"/>
      <c r="N56" s="380"/>
      <c r="O56" s="381"/>
      <c r="P56" s="382"/>
      <c r="Q56" s="383"/>
    </row>
    <row r="57" spans="1:17" s="159" customFormat="1" ht="13.5" thickBot="1" x14ac:dyDescent="0.25">
      <c r="A57" s="387"/>
      <c r="B57" s="5"/>
      <c r="C57" s="388"/>
      <c r="D57" s="372"/>
      <c r="E57" s="253"/>
      <c r="F57" s="373"/>
      <c r="G57" s="529"/>
      <c r="H57" s="375"/>
      <c r="I57" s="373"/>
      <c r="J57" s="376"/>
      <c r="K57" s="535"/>
      <c r="L57" s="378"/>
      <c r="M57" s="255"/>
      <c r="N57" s="380"/>
      <c r="O57" s="381"/>
      <c r="P57" s="382"/>
      <c r="Q57" s="383"/>
    </row>
    <row r="58" spans="1:17" s="159" customFormat="1" ht="13.5" thickTop="1" x14ac:dyDescent="0.2">
      <c r="A58" s="387"/>
      <c r="B58" s="157"/>
      <c r="C58" s="388"/>
      <c r="D58" s="372"/>
      <c r="E58" s="253"/>
      <c r="F58" s="373"/>
      <c r="G58" s="529"/>
      <c r="H58" s="375"/>
      <c r="I58" s="373"/>
      <c r="J58" s="389" t="s">
        <v>30</v>
      </c>
      <c r="K58" s="532">
        <f>SUM(K56:K57)</f>
        <v>0</v>
      </c>
      <c r="L58" s="378"/>
      <c r="M58" s="255"/>
      <c r="N58" s="380"/>
      <c r="O58" s="381"/>
      <c r="P58" s="382"/>
      <c r="Q58" s="383"/>
    </row>
    <row r="59" spans="1:17" s="159" customFormat="1" ht="13.5" thickBot="1" x14ac:dyDescent="0.25">
      <c r="A59" s="353" t="s">
        <v>0</v>
      </c>
      <c r="B59" s="354" t="s">
        <v>1</v>
      </c>
      <c r="C59" s="939" t="s">
        <v>656</v>
      </c>
      <c r="D59" s="939"/>
      <c r="E59" s="939"/>
      <c r="F59" s="939"/>
      <c r="G59" s="939" t="s">
        <v>34</v>
      </c>
      <c r="H59" s="939"/>
      <c r="I59" s="939"/>
      <c r="J59" s="355"/>
      <c r="K59" s="523"/>
      <c r="L59" s="391"/>
      <c r="M59" s="392"/>
      <c r="N59" s="393"/>
      <c r="O59" s="381"/>
      <c r="P59" s="382"/>
      <c r="Q59" s="383"/>
    </row>
    <row r="60" spans="1:17" s="159" customFormat="1" ht="16.5" thickBot="1" x14ac:dyDescent="0.3">
      <c r="A60" s="525" t="s">
        <v>442</v>
      </c>
      <c r="B60" s="525" t="s">
        <v>443</v>
      </c>
      <c r="C60" s="396" t="s">
        <v>19</v>
      </c>
      <c r="D60" s="397" t="s">
        <v>33</v>
      </c>
      <c r="E60" s="398" t="s">
        <v>35</v>
      </c>
      <c r="F60" s="399" t="s">
        <v>30</v>
      </c>
      <c r="G60" s="533" t="s">
        <v>14</v>
      </c>
      <c r="H60" s="398" t="s">
        <v>35</v>
      </c>
      <c r="I60" s="399" t="s">
        <v>30</v>
      </c>
      <c r="J60" s="364" t="s">
        <v>659</v>
      </c>
      <c r="K60" s="534" t="s">
        <v>38</v>
      </c>
      <c r="L60" s="402"/>
      <c r="M60" s="408"/>
      <c r="N60" s="409"/>
      <c r="O60" s="381"/>
      <c r="P60" s="382"/>
      <c r="Q60" s="383"/>
    </row>
    <row r="61" spans="1:17" s="159" customFormat="1" ht="15" x14ac:dyDescent="0.2">
      <c r="A61" s="636" t="s">
        <v>445</v>
      </c>
      <c r="B61" s="637" t="s">
        <v>444</v>
      </c>
      <c r="C61" s="371"/>
      <c r="D61" s="372" t="s">
        <v>21</v>
      </c>
      <c r="E61" s="253">
        <v>0</v>
      </c>
      <c r="F61" s="373">
        <f>C61*E61</f>
        <v>0</v>
      </c>
      <c r="G61" s="529"/>
      <c r="H61" s="375">
        <v>0</v>
      </c>
      <c r="I61" s="373">
        <f>G61*H61</f>
        <v>0</v>
      </c>
      <c r="J61" s="376"/>
      <c r="K61" s="530">
        <f>F61+I61+J61</f>
        <v>0</v>
      </c>
      <c r="L61" s="378"/>
      <c r="M61" s="255"/>
      <c r="N61" s="421"/>
      <c r="O61" s="381"/>
      <c r="P61" s="382"/>
      <c r="Q61" s="383"/>
    </row>
    <row r="62" spans="1:17" s="159" customFormat="1" x14ac:dyDescent="0.2">
      <c r="A62" s="206" t="s">
        <v>446</v>
      </c>
      <c r="B62" s="676" t="s">
        <v>447</v>
      </c>
      <c r="C62" s="371"/>
      <c r="D62" s="372" t="s">
        <v>21</v>
      </c>
      <c r="E62" s="253">
        <v>0</v>
      </c>
      <c r="F62" s="373">
        <f>C62*E62</f>
        <v>0</v>
      </c>
      <c r="G62" s="529"/>
      <c r="H62" s="375">
        <v>0</v>
      </c>
      <c r="I62" s="373">
        <f>G62*H62</f>
        <v>0</v>
      </c>
      <c r="J62" s="376"/>
      <c r="K62" s="530">
        <f>F62+I62+J62</f>
        <v>0</v>
      </c>
      <c r="M62" s="276"/>
      <c r="N62" s="157"/>
      <c r="O62" s="381"/>
      <c r="P62" s="382"/>
      <c r="Q62" s="383"/>
    </row>
    <row r="63" spans="1:17" s="159" customFormat="1" x14ac:dyDescent="0.2">
      <c r="A63" s="677" t="s">
        <v>448</v>
      </c>
      <c r="B63" s="678" t="s">
        <v>449</v>
      </c>
      <c r="C63" s="371"/>
      <c r="D63" s="372" t="s">
        <v>21</v>
      </c>
      <c r="E63" s="253">
        <v>0</v>
      </c>
      <c r="F63" s="373">
        <f t="shared" ref="F63:F71" si="3">C63*E63</f>
        <v>0</v>
      </c>
      <c r="G63" s="529"/>
      <c r="H63" s="375">
        <v>0</v>
      </c>
      <c r="I63" s="373">
        <f t="shared" ref="I63:I71" si="4">G63*H63</f>
        <v>0</v>
      </c>
      <c r="J63" s="376"/>
      <c r="K63" s="530">
        <f t="shared" ref="K63:K71" si="5">F63+I63+J63</f>
        <v>0</v>
      </c>
      <c r="M63" s="276"/>
      <c r="N63" s="157"/>
      <c r="O63" s="381"/>
      <c r="P63" s="382"/>
      <c r="Q63" s="383"/>
    </row>
    <row r="64" spans="1:17" s="159" customFormat="1" x14ac:dyDescent="0.2">
      <c r="A64" s="677" t="s">
        <v>450</v>
      </c>
      <c r="B64" s="678" t="s">
        <v>451</v>
      </c>
      <c r="C64" s="371"/>
      <c r="D64" s="372" t="s">
        <v>21</v>
      </c>
      <c r="E64" s="253">
        <v>0</v>
      </c>
      <c r="F64" s="373">
        <f t="shared" si="3"/>
        <v>0</v>
      </c>
      <c r="G64" s="529"/>
      <c r="H64" s="375">
        <v>0</v>
      </c>
      <c r="I64" s="373">
        <f t="shared" si="4"/>
        <v>0</v>
      </c>
      <c r="J64" s="376"/>
      <c r="K64" s="530">
        <f t="shared" si="5"/>
        <v>0</v>
      </c>
      <c r="M64" s="274"/>
      <c r="O64" s="381"/>
      <c r="P64" s="382"/>
      <c r="Q64" s="383"/>
    </row>
    <row r="65" spans="1:17" s="159" customFormat="1" ht="15" x14ac:dyDescent="0.2">
      <c r="A65" s="195" t="s">
        <v>452</v>
      </c>
      <c r="B65" s="647" t="s">
        <v>453</v>
      </c>
      <c r="C65" s="371"/>
      <c r="D65" s="372" t="s">
        <v>21</v>
      </c>
      <c r="E65" s="253">
        <v>0</v>
      </c>
      <c r="F65" s="373">
        <f t="shared" si="3"/>
        <v>0</v>
      </c>
      <c r="G65" s="529"/>
      <c r="H65" s="375">
        <v>0</v>
      </c>
      <c r="I65" s="373">
        <f t="shared" si="4"/>
        <v>0</v>
      </c>
      <c r="J65" s="376"/>
      <c r="K65" s="530">
        <f t="shared" si="5"/>
        <v>0</v>
      </c>
      <c r="M65" s="274"/>
      <c r="O65" s="381"/>
      <c r="P65" s="382"/>
      <c r="Q65" s="383"/>
    </row>
    <row r="66" spans="1:17" s="159" customFormat="1" x14ac:dyDescent="0.2">
      <c r="A66" s="206" t="s">
        <v>454</v>
      </c>
      <c r="B66" s="676" t="s">
        <v>455</v>
      </c>
      <c r="C66" s="371"/>
      <c r="D66" s="372" t="s">
        <v>21</v>
      </c>
      <c r="E66" s="253">
        <v>0</v>
      </c>
      <c r="F66" s="373">
        <f t="shared" si="3"/>
        <v>0</v>
      </c>
      <c r="G66" s="529"/>
      <c r="H66" s="375">
        <v>0</v>
      </c>
      <c r="I66" s="373">
        <f t="shared" si="4"/>
        <v>0</v>
      </c>
      <c r="J66" s="376"/>
      <c r="K66" s="530">
        <f t="shared" si="5"/>
        <v>0</v>
      </c>
      <c r="L66" s="378"/>
      <c r="M66" s="379"/>
      <c r="N66" s="380"/>
      <c r="O66" s="381"/>
      <c r="P66" s="382"/>
      <c r="Q66" s="383"/>
    </row>
    <row r="67" spans="1:17" s="159" customFormat="1" ht="15" x14ac:dyDescent="0.2">
      <c r="A67" s="195" t="s">
        <v>456</v>
      </c>
      <c r="B67" s="647" t="s">
        <v>457</v>
      </c>
      <c r="C67" s="371"/>
      <c r="D67" s="372" t="s">
        <v>21</v>
      </c>
      <c r="E67" s="253">
        <v>0</v>
      </c>
      <c r="F67" s="373">
        <f t="shared" si="3"/>
        <v>0</v>
      </c>
      <c r="G67" s="529"/>
      <c r="H67" s="375">
        <v>0</v>
      </c>
      <c r="I67" s="373">
        <f t="shared" si="4"/>
        <v>0</v>
      </c>
      <c r="J67" s="376"/>
      <c r="K67" s="530">
        <f t="shared" si="5"/>
        <v>0</v>
      </c>
      <c r="L67" s="378"/>
      <c r="M67" s="379"/>
      <c r="N67" s="380"/>
      <c r="O67" s="381"/>
      <c r="P67" s="382"/>
      <c r="Q67" s="383"/>
    </row>
    <row r="68" spans="1:17" s="159" customFormat="1" ht="15" x14ac:dyDescent="0.2">
      <c r="A68" s="195" t="s">
        <v>458</v>
      </c>
      <c r="B68" s="647" t="s">
        <v>459</v>
      </c>
      <c r="C68" s="371"/>
      <c r="D68" s="372" t="s">
        <v>21</v>
      </c>
      <c r="E68" s="253">
        <v>0</v>
      </c>
      <c r="F68" s="373">
        <f t="shared" si="3"/>
        <v>0</v>
      </c>
      <c r="G68" s="529"/>
      <c r="H68" s="375">
        <v>0</v>
      </c>
      <c r="I68" s="373">
        <f t="shared" si="4"/>
        <v>0</v>
      </c>
      <c r="J68" s="376"/>
      <c r="K68" s="530">
        <f t="shared" si="5"/>
        <v>0</v>
      </c>
      <c r="M68" s="274"/>
      <c r="O68" s="381"/>
      <c r="P68" s="382"/>
      <c r="Q68" s="383"/>
    </row>
    <row r="69" spans="1:17" s="159" customFormat="1" x14ac:dyDescent="0.2">
      <c r="A69" s="370"/>
      <c r="B69" s="5"/>
      <c r="C69" s="371"/>
      <c r="D69" s="372" t="s">
        <v>21</v>
      </c>
      <c r="E69" s="253">
        <v>0</v>
      </c>
      <c r="F69" s="373">
        <f t="shared" si="3"/>
        <v>0</v>
      </c>
      <c r="G69" s="529"/>
      <c r="H69" s="375">
        <v>0</v>
      </c>
      <c r="I69" s="373">
        <f t="shared" si="4"/>
        <v>0</v>
      </c>
      <c r="J69" s="376"/>
      <c r="K69" s="530">
        <f t="shared" si="5"/>
        <v>0</v>
      </c>
      <c r="M69" s="274"/>
      <c r="O69" s="381"/>
      <c r="P69" s="382"/>
      <c r="Q69" s="383"/>
    </row>
    <row r="70" spans="1:17" s="159" customFormat="1" x14ac:dyDescent="0.2">
      <c r="A70" s="370"/>
      <c r="B70" s="5"/>
      <c r="C70" s="371"/>
      <c r="D70" s="372" t="s">
        <v>21</v>
      </c>
      <c r="E70" s="253">
        <v>0</v>
      </c>
      <c r="F70" s="373">
        <f t="shared" si="3"/>
        <v>0</v>
      </c>
      <c r="G70" s="529"/>
      <c r="H70" s="375">
        <v>0</v>
      </c>
      <c r="I70" s="373">
        <f t="shared" si="4"/>
        <v>0</v>
      </c>
      <c r="J70" s="376"/>
      <c r="K70" s="530">
        <f t="shared" si="5"/>
        <v>0</v>
      </c>
      <c r="M70" s="276"/>
      <c r="N70" s="157"/>
      <c r="O70" s="381"/>
      <c r="P70" s="382"/>
      <c r="Q70" s="383"/>
    </row>
    <row r="71" spans="1:17" s="159" customFormat="1" x14ac:dyDescent="0.2">
      <c r="A71" s="370"/>
      <c r="B71" s="5"/>
      <c r="C71" s="371"/>
      <c r="D71" s="372" t="s">
        <v>21</v>
      </c>
      <c r="E71" s="253">
        <v>0</v>
      </c>
      <c r="F71" s="373">
        <f t="shared" si="3"/>
        <v>0</v>
      </c>
      <c r="G71" s="529"/>
      <c r="H71" s="375">
        <v>0</v>
      </c>
      <c r="I71" s="373">
        <f t="shared" si="4"/>
        <v>0</v>
      </c>
      <c r="J71" s="376"/>
      <c r="K71" s="530">
        <f t="shared" si="5"/>
        <v>0</v>
      </c>
      <c r="M71" s="276"/>
      <c r="N71" s="157"/>
      <c r="O71" s="381"/>
      <c r="P71" s="382"/>
      <c r="Q71" s="383"/>
    </row>
    <row r="72" spans="1:17" s="159" customFormat="1" ht="13.5" thickBot="1" x14ac:dyDescent="0.25">
      <c r="A72" s="387"/>
      <c r="B72" s="5"/>
      <c r="C72" s="388"/>
      <c r="D72" s="372"/>
      <c r="E72" s="253"/>
      <c r="F72" s="373"/>
      <c r="G72" s="529"/>
      <c r="H72" s="375"/>
      <c r="I72" s="373"/>
      <c r="J72" s="376"/>
      <c r="K72" s="535"/>
      <c r="M72" s="276"/>
      <c r="N72" s="157"/>
      <c r="O72" s="381"/>
      <c r="P72" s="382"/>
      <c r="Q72" s="383"/>
    </row>
    <row r="73" spans="1:17" s="159" customFormat="1" ht="13.5" thickTop="1" x14ac:dyDescent="0.2">
      <c r="A73" s="387"/>
      <c r="B73" s="412"/>
      <c r="C73" s="388"/>
      <c r="D73" s="372"/>
      <c r="E73" s="253"/>
      <c r="F73" s="373"/>
      <c r="G73" s="529"/>
      <c r="H73" s="375"/>
      <c r="I73" s="373"/>
      <c r="J73" s="389" t="s">
        <v>30</v>
      </c>
      <c r="K73" s="532">
        <f>SUM(K61:K72)</f>
        <v>0</v>
      </c>
      <c r="M73" s="274"/>
      <c r="O73" s="381"/>
      <c r="P73" s="382"/>
      <c r="Q73" s="383"/>
    </row>
    <row r="74" spans="1:17" s="159" customFormat="1" ht="13.5" thickBot="1" x14ac:dyDescent="0.25">
      <c r="A74" s="353" t="s">
        <v>0</v>
      </c>
      <c r="B74" s="354" t="s">
        <v>1</v>
      </c>
      <c r="C74" s="939" t="s">
        <v>656</v>
      </c>
      <c r="D74" s="939"/>
      <c r="E74" s="939"/>
      <c r="F74" s="939"/>
      <c r="G74" s="939" t="s">
        <v>34</v>
      </c>
      <c r="H74" s="939"/>
      <c r="I74" s="939"/>
      <c r="J74" s="355"/>
      <c r="K74" s="523"/>
      <c r="L74" s="391"/>
      <c r="M74" s="355"/>
      <c r="N74" s="438"/>
      <c r="O74" s="381"/>
      <c r="P74" s="382"/>
      <c r="Q74" s="383"/>
    </row>
    <row r="75" spans="1:17" s="159" customFormat="1" ht="16.5" thickBot="1" x14ac:dyDescent="0.3">
      <c r="A75" s="525" t="s">
        <v>460</v>
      </c>
      <c r="B75" s="525" t="s">
        <v>461</v>
      </c>
      <c r="C75" s="396" t="s">
        <v>19</v>
      </c>
      <c r="D75" s="397" t="s">
        <v>33</v>
      </c>
      <c r="E75" s="398" t="s">
        <v>35</v>
      </c>
      <c r="F75" s="399" t="s">
        <v>30</v>
      </c>
      <c r="G75" s="533" t="s">
        <v>14</v>
      </c>
      <c r="H75" s="398" t="s">
        <v>35</v>
      </c>
      <c r="I75" s="399" t="s">
        <v>30</v>
      </c>
      <c r="J75" s="364" t="s">
        <v>659</v>
      </c>
      <c r="K75" s="534" t="s">
        <v>38</v>
      </c>
      <c r="L75" s="402"/>
      <c r="M75" s="408"/>
      <c r="N75" s="409"/>
      <c r="O75" s="381"/>
      <c r="P75" s="382"/>
      <c r="Q75" s="383"/>
    </row>
    <row r="76" spans="1:17" s="159" customFormat="1" ht="15" x14ac:dyDescent="0.2">
      <c r="A76" s="656" t="s">
        <v>462</v>
      </c>
      <c r="B76" s="637" t="s">
        <v>463</v>
      </c>
      <c r="C76" s="371"/>
      <c r="D76" s="372" t="s">
        <v>21</v>
      </c>
      <c r="E76" s="253">
        <v>0</v>
      </c>
      <c r="F76" s="373">
        <f>C76*E76</f>
        <v>0</v>
      </c>
      <c r="G76" s="529"/>
      <c r="H76" s="375">
        <v>0</v>
      </c>
      <c r="I76" s="373">
        <f>G76*H76</f>
        <v>0</v>
      </c>
      <c r="J76" s="376"/>
      <c r="K76" s="530">
        <f>F76+I76+J76</f>
        <v>0</v>
      </c>
      <c r="M76" s="274"/>
      <c r="O76" s="381"/>
      <c r="P76" s="382"/>
      <c r="Q76" s="383"/>
    </row>
    <row r="77" spans="1:17" s="159" customFormat="1" x14ac:dyDescent="0.2">
      <c r="A77" s="370"/>
      <c r="B77" s="5"/>
      <c r="C77" s="371"/>
      <c r="D77" s="372" t="s">
        <v>21</v>
      </c>
      <c r="E77" s="253">
        <v>0</v>
      </c>
      <c r="F77" s="373">
        <f>C77*E77</f>
        <v>0</v>
      </c>
      <c r="G77" s="529"/>
      <c r="H77" s="375">
        <v>0</v>
      </c>
      <c r="I77" s="373">
        <f>G77*H77</f>
        <v>0</v>
      </c>
      <c r="J77" s="376"/>
      <c r="K77" s="530">
        <f>F77+I77+J77</f>
        <v>0</v>
      </c>
      <c r="L77" s="664"/>
      <c r="M77" s="666"/>
      <c r="N77" s="665"/>
      <c r="O77" s="381"/>
      <c r="P77" s="382"/>
      <c r="Q77" s="383"/>
    </row>
    <row r="78" spans="1:17" s="159" customFormat="1" ht="13.5" thickBot="1" x14ac:dyDescent="0.25">
      <c r="A78" s="387"/>
      <c r="B78" s="412"/>
      <c r="C78" s="371"/>
      <c r="D78" s="372"/>
      <c r="E78" s="253"/>
      <c r="F78" s="373"/>
      <c r="G78" s="529"/>
      <c r="H78" s="375"/>
      <c r="I78" s="373"/>
      <c r="J78" s="376"/>
      <c r="K78" s="530"/>
      <c r="L78" s="378"/>
      <c r="M78" s="379"/>
      <c r="N78" s="380"/>
      <c r="O78" s="381"/>
      <c r="P78" s="382"/>
      <c r="Q78" s="383"/>
    </row>
    <row r="79" spans="1:17" s="159" customFormat="1" ht="14.25" thickTop="1" thickBot="1" x14ac:dyDescent="0.25">
      <c r="A79" s="470"/>
      <c r="B79" s="156"/>
      <c r="C79" s="471"/>
      <c r="D79" s="472"/>
      <c r="E79" s="473"/>
      <c r="F79" s="474"/>
      <c r="G79" s="634"/>
      <c r="H79" s="473"/>
      <c r="I79" s="474"/>
      <c r="J79" s="476" t="s">
        <v>30</v>
      </c>
      <c r="K79" s="635">
        <f>SUM(K76:K78)</f>
        <v>0</v>
      </c>
      <c r="L79" s="378"/>
      <c r="M79" s="379"/>
      <c r="N79" s="380"/>
      <c r="O79" s="381"/>
      <c r="P79" s="382"/>
      <c r="Q79" s="383"/>
    </row>
    <row r="80" spans="1:17" s="159" customFormat="1" ht="13.5" thickBot="1" x14ac:dyDescent="0.25">
      <c r="A80" s="353" t="s">
        <v>0</v>
      </c>
      <c r="B80" s="354" t="s">
        <v>1</v>
      </c>
      <c r="C80" s="939" t="s">
        <v>656</v>
      </c>
      <c r="D80" s="939"/>
      <c r="E80" s="939"/>
      <c r="F80" s="939"/>
      <c r="G80" s="939" t="s">
        <v>34</v>
      </c>
      <c r="H80" s="939"/>
      <c r="I80" s="939"/>
      <c r="J80" s="355"/>
      <c r="K80" s="523"/>
      <c r="L80" s="391"/>
      <c r="M80" s="392"/>
      <c r="N80" s="393"/>
      <c r="O80" s="381"/>
      <c r="P80" s="382"/>
      <c r="Q80" s="383"/>
    </row>
    <row r="81" spans="1:17" s="159" customFormat="1" ht="16.5" thickBot="1" x14ac:dyDescent="0.3">
      <c r="A81" s="525" t="s">
        <v>464</v>
      </c>
      <c r="B81" s="525" t="s">
        <v>465</v>
      </c>
      <c r="C81" s="396" t="s">
        <v>19</v>
      </c>
      <c r="D81" s="397" t="s">
        <v>33</v>
      </c>
      <c r="E81" s="398" t="s">
        <v>35</v>
      </c>
      <c r="F81" s="399" t="s">
        <v>30</v>
      </c>
      <c r="G81" s="533" t="s">
        <v>14</v>
      </c>
      <c r="H81" s="398" t="s">
        <v>35</v>
      </c>
      <c r="I81" s="399" t="s">
        <v>30</v>
      </c>
      <c r="J81" s="364" t="s">
        <v>659</v>
      </c>
      <c r="K81" s="534" t="s">
        <v>38</v>
      </c>
      <c r="L81" s="402"/>
      <c r="M81" s="403"/>
      <c r="N81" s="404"/>
      <c r="O81" s="381"/>
      <c r="P81" s="382"/>
      <c r="Q81" s="383"/>
    </row>
    <row r="82" spans="1:17" s="159" customFormat="1" x14ac:dyDescent="0.2">
      <c r="A82" s="405"/>
      <c r="B82" s="406"/>
      <c r="C82" s="371"/>
      <c r="D82" s="372" t="s">
        <v>21</v>
      </c>
      <c r="E82" s="253">
        <v>0</v>
      </c>
      <c r="F82" s="373">
        <f>C82*E82</f>
        <v>0</v>
      </c>
      <c r="G82" s="529"/>
      <c r="H82" s="375">
        <v>0</v>
      </c>
      <c r="I82" s="373">
        <f>G82*H82</f>
        <v>0</v>
      </c>
      <c r="J82" s="376"/>
      <c r="K82" s="530">
        <f>F82+I82+J82</f>
        <v>0</v>
      </c>
      <c r="M82" s="276"/>
      <c r="N82" s="157"/>
      <c r="O82" s="381"/>
      <c r="P82" s="382"/>
      <c r="Q82" s="383"/>
    </row>
    <row r="83" spans="1:17" s="159" customFormat="1" x14ac:dyDescent="0.2">
      <c r="A83" s="370"/>
      <c r="B83" s="5"/>
      <c r="C83" s="371"/>
      <c r="D83" s="372" t="s">
        <v>21</v>
      </c>
      <c r="E83" s="253">
        <v>0</v>
      </c>
      <c r="F83" s="373">
        <f>C83*E83</f>
        <v>0</v>
      </c>
      <c r="G83" s="529"/>
      <c r="H83" s="375">
        <v>0</v>
      </c>
      <c r="I83" s="373">
        <f>G83*H83</f>
        <v>0</v>
      </c>
      <c r="J83" s="376"/>
      <c r="K83" s="530">
        <f>F83+I83+J83</f>
        <v>0</v>
      </c>
      <c r="M83" s="276"/>
      <c r="N83" s="157"/>
      <c r="O83" s="381"/>
      <c r="P83" s="382"/>
      <c r="Q83" s="383"/>
    </row>
    <row r="84" spans="1:17" s="159" customFormat="1" ht="13.5" thickBot="1" x14ac:dyDescent="0.25">
      <c r="A84" s="387"/>
      <c r="B84" s="412"/>
      <c r="C84" s="371"/>
      <c r="D84" s="372"/>
      <c r="E84" s="253"/>
      <c r="F84" s="373"/>
      <c r="G84" s="529"/>
      <c r="H84" s="375"/>
      <c r="I84" s="373"/>
      <c r="J84" s="376"/>
      <c r="K84" s="530"/>
      <c r="M84" s="274"/>
      <c r="O84" s="381"/>
      <c r="P84" s="382"/>
      <c r="Q84" s="383"/>
    </row>
    <row r="85" spans="1:17" s="159" customFormat="1" ht="14.25" thickTop="1" thickBot="1" x14ac:dyDescent="0.25">
      <c r="A85" s="470"/>
      <c r="B85" s="156"/>
      <c r="C85" s="471"/>
      <c r="D85" s="472"/>
      <c r="E85" s="473"/>
      <c r="F85" s="474"/>
      <c r="G85" s="634"/>
      <c r="H85" s="473"/>
      <c r="I85" s="474"/>
      <c r="J85" s="476" t="s">
        <v>30</v>
      </c>
      <c r="K85" s="635">
        <f>SUM(K82:K84)</f>
        <v>0</v>
      </c>
      <c r="M85" s="274"/>
      <c r="O85" s="381"/>
      <c r="P85" s="382"/>
      <c r="Q85" s="383"/>
    </row>
    <row r="86" spans="1:17" s="159" customFormat="1" ht="13.5" thickBot="1" x14ac:dyDescent="0.25">
      <c r="A86" s="353" t="s">
        <v>0</v>
      </c>
      <c r="B86" s="354" t="s">
        <v>1</v>
      </c>
      <c r="C86" s="939" t="s">
        <v>656</v>
      </c>
      <c r="D86" s="939"/>
      <c r="E86" s="939"/>
      <c r="F86" s="939"/>
      <c r="G86" s="939" t="s">
        <v>34</v>
      </c>
      <c r="H86" s="939"/>
      <c r="I86" s="939"/>
      <c r="J86" s="355"/>
      <c r="K86" s="523"/>
      <c r="L86" s="391"/>
      <c r="M86" s="392"/>
      <c r="N86" s="393"/>
      <c r="O86" s="381"/>
      <c r="P86" s="382"/>
      <c r="Q86" s="383"/>
    </row>
    <row r="87" spans="1:17" s="159" customFormat="1" ht="16.5" thickBot="1" x14ac:dyDescent="0.3">
      <c r="A87" s="525" t="s">
        <v>466</v>
      </c>
      <c r="B87" s="525" t="s">
        <v>467</v>
      </c>
      <c r="C87" s="396" t="s">
        <v>19</v>
      </c>
      <c r="D87" s="397" t="s">
        <v>33</v>
      </c>
      <c r="E87" s="398" t="s">
        <v>35</v>
      </c>
      <c r="F87" s="399" t="s">
        <v>30</v>
      </c>
      <c r="G87" s="533" t="s">
        <v>14</v>
      </c>
      <c r="H87" s="398" t="s">
        <v>35</v>
      </c>
      <c r="I87" s="399" t="s">
        <v>30</v>
      </c>
      <c r="J87" s="364" t="s">
        <v>659</v>
      </c>
      <c r="K87" s="534" t="s">
        <v>38</v>
      </c>
      <c r="L87" s="402"/>
      <c r="M87" s="403"/>
      <c r="N87" s="404"/>
      <c r="O87" s="381"/>
      <c r="P87" s="382"/>
      <c r="Q87" s="383"/>
    </row>
    <row r="88" spans="1:17" s="159" customFormat="1" x14ac:dyDescent="0.2">
      <c r="A88" s="405"/>
      <c r="B88" s="406"/>
      <c r="C88" s="371"/>
      <c r="D88" s="372" t="s">
        <v>21</v>
      </c>
      <c r="E88" s="253">
        <v>0</v>
      </c>
      <c r="F88" s="373">
        <f>C88*E88</f>
        <v>0</v>
      </c>
      <c r="G88" s="529"/>
      <c r="H88" s="375">
        <v>0</v>
      </c>
      <c r="I88" s="373">
        <f>G88*H88</f>
        <v>0</v>
      </c>
      <c r="J88" s="376"/>
      <c r="K88" s="530">
        <f>F88+I88+J88</f>
        <v>0</v>
      </c>
      <c r="M88" s="276"/>
      <c r="N88" s="157"/>
      <c r="O88" s="381"/>
      <c r="P88" s="382"/>
      <c r="Q88" s="383"/>
    </row>
    <row r="89" spans="1:17" s="159" customFormat="1" x14ac:dyDescent="0.2">
      <c r="A89" s="370"/>
      <c r="B89" s="5"/>
      <c r="C89" s="371"/>
      <c r="D89" s="372" t="s">
        <v>21</v>
      </c>
      <c r="E89" s="253">
        <v>0</v>
      </c>
      <c r="F89" s="373">
        <f>C89*E89</f>
        <v>0</v>
      </c>
      <c r="G89" s="529"/>
      <c r="H89" s="375">
        <v>0</v>
      </c>
      <c r="I89" s="373">
        <f>G89*H89</f>
        <v>0</v>
      </c>
      <c r="J89" s="376"/>
      <c r="K89" s="530">
        <f>F89+I89+J89</f>
        <v>0</v>
      </c>
      <c r="M89" s="276"/>
      <c r="N89" s="157"/>
      <c r="O89" s="381"/>
      <c r="P89" s="382"/>
      <c r="Q89" s="383"/>
    </row>
    <row r="90" spans="1:17" s="159" customFormat="1" ht="13.5" thickBot="1" x14ac:dyDescent="0.25">
      <c r="A90" s="387"/>
      <c r="B90" s="412"/>
      <c r="C90" s="371"/>
      <c r="D90" s="372"/>
      <c r="E90" s="253"/>
      <c r="F90" s="373"/>
      <c r="G90" s="529"/>
      <c r="H90" s="375"/>
      <c r="I90" s="373"/>
      <c r="J90" s="376"/>
      <c r="K90" s="530"/>
      <c r="M90" s="274"/>
      <c r="O90" s="381"/>
      <c r="P90" s="382"/>
      <c r="Q90" s="383"/>
    </row>
    <row r="91" spans="1:17" s="159" customFormat="1" ht="14.25" thickTop="1" thickBot="1" x14ac:dyDescent="0.25">
      <c r="A91" s="470"/>
      <c r="B91" s="156"/>
      <c r="C91" s="471"/>
      <c r="D91" s="472"/>
      <c r="E91" s="473"/>
      <c r="F91" s="474"/>
      <c r="G91" s="634"/>
      <c r="H91" s="473"/>
      <c r="I91" s="474"/>
      <c r="J91" s="476" t="s">
        <v>30</v>
      </c>
      <c r="K91" s="635">
        <f>SUM(K88:K90)</f>
        <v>0</v>
      </c>
      <c r="M91" s="274"/>
      <c r="O91" s="381"/>
      <c r="P91" s="382"/>
      <c r="Q91" s="383"/>
    </row>
    <row r="92" spans="1:17" s="159" customFormat="1" ht="13.5" thickBot="1" x14ac:dyDescent="0.25">
      <c r="A92" s="353" t="s">
        <v>0</v>
      </c>
      <c r="B92" s="354" t="s">
        <v>1</v>
      </c>
      <c r="C92" s="939" t="s">
        <v>656</v>
      </c>
      <c r="D92" s="939"/>
      <c r="E92" s="939"/>
      <c r="F92" s="939"/>
      <c r="G92" s="939" t="s">
        <v>34</v>
      </c>
      <c r="H92" s="939"/>
      <c r="I92" s="939"/>
      <c r="J92" s="355"/>
      <c r="K92" s="523"/>
      <c r="L92" s="391"/>
      <c r="M92" s="392"/>
      <c r="N92" s="393"/>
      <c r="O92" s="381"/>
      <c r="P92" s="382"/>
      <c r="Q92" s="383"/>
    </row>
    <row r="93" spans="1:17" s="159" customFormat="1" ht="16.5" thickBot="1" x14ac:dyDescent="0.3">
      <c r="A93" s="394"/>
      <c r="B93" s="395"/>
      <c r="C93" s="396" t="s">
        <v>19</v>
      </c>
      <c r="D93" s="397" t="s">
        <v>33</v>
      </c>
      <c r="E93" s="398" t="s">
        <v>35</v>
      </c>
      <c r="F93" s="399" t="s">
        <v>30</v>
      </c>
      <c r="G93" s="533" t="s">
        <v>14</v>
      </c>
      <c r="H93" s="398" t="s">
        <v>35</v>
      </c>
      <c r="I93" s="399" t="s">
        <v>30</v>
      </c>
      <c r="J93" s="364" t="s">
        <v>659</v>
      </c>
      <c r="K93" s="534" t="s">
        <v>38</v>
      </c>
      <c r="L93" s="402"/>
      <c r="M93" s="403"/>
      <c r="N93" s="404"/>
      <c r="O93" s="381"/>
      <c r="P93" s="382"/>
      <c r="Q93" s="383"/>
    </row>
    <row r="94" spans="1:17" s="159" customFormat="1" x14ac:dyDescent="0.2">
      <c r="A94" s="405"/>
      <c r="B94" s="406"/>
      <c r="C94" s="371"/>
      <c r="D94" s="372" t="s">
        <v>21</v>
      </c>
      <c r="E94" s="253">
        <v>0</v>
      </c>
      <c r="F94" s="373">
        <f>C94*E94</f>
        <v>0</v>
      </c>
      <c r="G94" s="529"/>
      <c r="H94" s="375">
        <v>0</v>
      </c>
      <c r="I94" s="373">
        <f>G94*H94</f>
        <v>0</v>
      </c>
      <c r="J94" s="376"/>
      <c r="K94" s="530">
        <f>F94+I94+J94</f>
        <v>0</v>
      </c>
      <c r="L94" s="667"/>
      <c r="M94" s="668"/>
      <c r="N94" s="670"/>
      <c r="O94" s="381"/>
      <c r="P94" s="382"/>
      <c r="Q94" s="383"/>
    </row>
    <row r="95" spans="1:17" s="159" customFormat="1" x14ac:dyDescent="0.2">
      <c r="A95" s="370"/>
      <c r="B95" s="5"/>
      <c r="C95" s="371"/>
      <c r="D95" s="372" t="s">
        <v>21</v>
      </c>
      <c r="E95" s="253">
        <v>0</v>
      </c>
      <c r="F95" s="373">
        <f>C95*E95</f>
        <v>0</v>
      </c>
      <c r="G95" s="529"/>
      <c r="H95" s="375">
        <v>0</v>
      </c>
      <c r="I95" s="373">
        <f>G95*H95</f>
        <v>0</v>
      </c>
      <c r="J95" s="376"/>
      <c r="K95" s="530">
        <f>F95+I95+J95</f>
        <v>0</v>
      </c>
      <c r="L95" s="667"/>
      <c r="M95" s="668"/>
      <c r="N95" s="670"/>
      <c r="O95" s="381"/>
      <c r="P95" s="382"/>
      <c r="Q95" s="383"/>
    </row>
    <row r="96" spans="1:17" s="159" customFormat="1" x14ac:dyDescent="0.2">
      <c r="A96" s="370"/>
      <c r="B96" s="5"/>
      <c r="C96" s="371"/>
      <c r="D96" s="372" t="s">
        <v>21</v>
      </c>
      <c r="E96" s="253">
        <v>0</v>
      </c>
      <c r="F96" s="373">
        <f>C96*E96</f>
        <v>0</v>
      </c>
      <c r="G96" s="529"/>
      <c r="H96" s="375">
        <v>0</v>
      </c>
      <c r="I96" s="373">
        <f>G96*H96</f>
        <v>0</v>
      </c>
      <c r="J96" s="376"/>
      <c r="K96" s="530">
        <f>F96+I96+J96</f>
        <v>0</v>
      </c>
      <c r="L96" s="667"/>
      <c r="M96" s="668"/>
      <c r="N96" s="670"/>
      <c r="O96" s="381"/>
      <c r="P96" s="382"/>
      <c r="Q96" s="383"/>
    </row>
    <row r="97" spans="1:17" s="159" customFormat="1" x14ac:dyDescent="0.2">
      <c r="A97" s="370"/>
      <c r="B97" s="5"/>
      <c r="C97" s="371"/>
      <c r="D97" s="372" t="s">
        <v>21</v>
      </c>
      <c r="E97" s="253">
        <v>0</v>
      </c>
      <c r="F97" s="373">
        <f>C97*E97</f>
        <v>0</v>
      </c>
      <c r="G97" s="529"/>
      <c r="H97" s="375">
        <v>0</v>
      </c>
      <c r="I97" s="373">
        <f>G97*H97</f>
        <v>0</v>
      </c>
      <c r="J97" s="376"/>
      <c r="K97" s="530">
        <f>F97+I97+J97</f>
        <v>0</v>
      </c>
      <c r="L97" s="667"/>
      <c r="M97" s="668"/>
      <c r="N97" s="670"/>
      <c r="O97" s="381"/>
      <c r="P97" s="382"/>
      <c r="Q97" s="383"/>
    </row>
    <row r="98" spans="1:17" s="159" customFormat="1" ht="13.5" thickBot="1" x14ac:dyDescent="0.25">
      <c r="A98" s="387"/>
      <c r="B98" s="412"/>
      <c r="C98" s="371"/>
      <c r="D98" s="372"/>
      <c r="E98" s="253"/>
      <c r="F98" s="373"/>
      <c r="G98" s="529"/>
      <c r="H98" s="375"/>
      <c r="I98" s="373"/>
      <c r="J98" s="376"/>
      <c r="K98" s="530"/>
      <c r="L98" s="667"/>
      <c r="M98" s="668"/>
      <c r="N98" s="670"/>
      <c r="O98" s="381"/>
      <c r="P98" s="382"/>
      <c r="Q98" s="383"/>
    </row>
    <row r="99" spans="1:17" s="159" customFormat="1" ht="14.25" thickTop="1" thickBot="1" x14ac:dyDescent="0.25">
      <c r="A99" s="470"/>
      <c r="B99" s="156"/>
      <c r="C99" s="471"/>
      <c r="D99" s="472"/>
      <c r="E99" s="473"/>
      <c r="F99" s="474"/>
      <c r="G99" s="634"/>
      <c r="H99" s="473"/>
      <c r="I99" s="474"/>
      <c r="J99" s="476" t="s">
        <v>30</v>
      </c>
      <c r="K99" s="635">
        <f>SUM(K94:K98)</f>
        <v>0</v>
      </c>
      <c r="L99" s="671"/>
      <c r="M99" s="672"/>
      <c r="N99" s="673"/>
      <c r="O99" s="460"/>
      <c r="P99" s="461"/>
      <c r="Q99" s="462"/>
    </row>
    <row r="100" spans="1:17" s="159" customFormat="1" ht="14.1" customHeight="1" x14ac:dyDescent="0.25">
      <c r="A100" s="478"/>
      <c r="B100" s="479"/>
      <c r="C100" s="480"/>
      <c r="D100" s="480"/>
      <c r="E100" s="481"/>
      <c r="F100" s="969" t="s">
        <v>658</v>
      </c>
      <c r="G100" s="992" t="s">
        <v>684</v>
      </c>
      <c r="H100" s="481"/>
      <c r="I100" s="962" t="s">
        <v>657</v>
      </c>
      <c r="J100" s="958" t="s">
        <v>685</v>
      </c>
      <c r="K100" s="956" t="s">
        <v>31</v>
      </c>
      <c r="M100" s="276"/>
      <c r="N100" s="157"/>
      <c r="O100" s="302"/>
      <c r="P100" s="302"/>
    </row>
    <row r="101" spans="1:17" s="159" customFormat="1" ht="15" x14ac:dyDescent="0.2">
      <c r="A101" s="482" t="s">
        <v>32</v>
      </c>
      <c r="B101" s="964" t="s">
        <v>676</v>
      </c>
      <c r="C101" s="483"/>
      <c r="D101" s="484"/>
      <c r="E101" s="484"/>
      <c r="F101" s="970"/>
      <c r="G101" s="993"/>
      <c r="H101" s="485"/>
      <c r="I101" s="963"/>
      <c r="J101" s="959"/>
      <c r="K101" s="957"/>
      <c r="M101" s="276"/>
      <c r="N101" s="157"/>
      <c r="O101" s="302"/>
      <c r="P101" s="302"/>
    </row>
    <row r="102" spans="1:17" s="159" customFormat="1" ht="15" x14ac:dyDescent="0.25">
      <c r="A102" s="826">
        <f>K102/E6</f>
        <v>7.1296804488352237</v>
      </c>
      <c r="B102" s="964"/>
      <c r="C102" s="484"/>
      <c r="D102" s="484"/>
      <c r="E102" s="484"/>
      <c r="F102" s="952">
        <f>SUM(F94:F98,F88:F90,F82:F84,F76:F78,F61:F72,F56:F57,F49:F52,F41:F45,F34:F37,F28:F30,F21:F24,F11:F17)</f>
        <v>0</v>
      </c>
      <c r="G102" s="997">
        <f>SUM(G94:G98,G88:G90,G82:G84,G76:G78,G61:G72,G56:G57,G49:G52,G41:G45,G34:G37,G28:G30,G21:G24,G11:G17)</f>
        <v>0</v>
      </c>
      <c r="H102" s="485"/>
      <c r="I102" s="952">
        <f>SUM(I94:I98,I88:I90,I82:I84,I76:I78,I61:I72,I56:I57,I49:I52,I41:I45,I34:I37,I28:I30,I21:I24,I11:I17)</f>
        <v>0</v>
      </c>
      <c r="J102" s="952">
        <f>SUM(J94:J98,J88:J90,J82:J84,J76:J78,J61:J72,J56:J57,J49:J52,J41:J45,J34:J37,J28:J30,J21:J24,J11:J17)</f>
        <v>467650</v>
      </c>
      <c r="K102" s="954">
        <f>K99+K91+K85+K79+K73+K58+K53+K46+K38+K31+K25+K18</f>
        <v>467650</v>
      </c>
      <c r="M102" s="276"/>
      <c r="N102" s="157"/>
      <c r="O102" s="302"/>
      <c r="P102" s="302"/>
    </row>
    <row r="103" spans="1:17" s="159" customFormat="1" ht="15" thickBot="1" x14ac:dyDescent="0.25">
      <c r="A103" s="482"/>
      <c r="B103" s="550"/>
      <c r="C103" s="488"/>
      <c r="D103" s="488"/>
      <c r="E103" s="488"/>
      <c r="F103" s="953"/>
      <c r="G103" s="998"/>
      <c r="H103" s="488"/>
      <c r="I103" s="953"/>
      <c r="J103" s="953"/>
      <c r="K103" s="955"/>
      <c r="M103" s="276"/>
      <c r="N103" s="157"/>
      <c r="O103" s="302"/>
      <c r="P103" s="302"/>
    </row>
    <row r="104" spans="1:17" s="159" customFormat="1" ht="13.5" thickBot="1" x14ac:dyDescent="0.25">
      <c r="A104" s="489"/>
      <c r="B104" s="490"/>
      <c r="C104" s="490"/>
      <c r="D104" s="490"/>
      <c r="E104" s="490"/>
      <c r="F104" s="490"/>
      <c r="G104" s="490"/>
      <c r="H104" s="490"/>
      <c r="I104" s="490"/>
      <c r="J104" s="490"/>
      <c r="K104" s="491"/>
      <c r="M104" s="276"/>
      <c r="N104" s="157"/>
      <c r="O104" s="302"/>
      <c r="P104" s="302"/>
    </row>
    <row r="105" spans="1:17" s="159" customFormat="1" x14ac:dyDescent="0.2">
      <c r="C105" s="655"/>
      <c r="D105" s="655"/>
      <c r="J105" s="274"/>
      <c r="M105" s="276"/>
      <c r="N105" s="157"/>
      <c r="O105" s="302"/>
      <c r="P105" s="302"/>
    </row>
    <row r="106" spans="1:17" s="159" customFormat="1" x14ac:dyDescent="0.2">
      <c r="C106" s="655"/>
      <c r="D106" s="655"/>
      <c r="J106" s="274"/>
      <c r="M106" s="276"/>
      <c r="N106" s="157"/>
      <c r="O106" s="302"/>
      <c r="P106" s="302"/>
    </row>
    <row r="107" spans="1:17" s="159" customFormat="1" x14ac:dyDescent="0.2">
      <c r="C107" s="655"/>
      <c r="D107" s="655"/>
      <c r="J107" s="274"/>
      <c r="M107" s="276"/>
      <c r="N107" s="157"/>
      <c r="O107" s="302"/>
      <c r="P107" s="302"/>
    </row>
    <row r="108" spans="1:17" s="159" customFormat="1" x14ac:dyDescent="0.2">
      <c r="C108" s="655"/>
      <c r="D108" s="655"/>
      <c r="J108" s="274"/>
      <c r="M108" s="276"/>
      <c r="N108" s="157"/>
      <c r="O108" s="302"/>
      <c r="P108" s="302"/>
    </row>
    <row r="109" spans="1:17" s="159" customFormat="1" x14ac:dyDescent="0.2">
      <c r="C109" s="655"/>
      <c r="D109" s="655"/>
      <c r="J109" s="274"/>
      <c r="M109" s="276"/>
      <c r="N109" s="157"/>
      <c r="O109" s="302"/>
      <c r="P109" s="302"/>
    </row>
    <row r="110" spans="1:17" s="159" customFormat="1" x14ac:dyDescent="0.2">
      <c r="C110" s="655"/>
      <c r="D110" s="655"/>
      <c r="J110" s="274"/>
      <c r="M110" s="276"/>
      <c r="N110" s="157"/>
      <c r="O110" s="302"/>
      <c r="P110" s="302"/>
    </row>
    <row r="111" spans="1:17" s="159" customFormat="1" x14ac:dyDescent="0.2">
      <c r="C111" s="655"/>
      <c r="D111" s="655"/>
      <c r="J111" s="274"/>
      <c r="M111" s="276"/>
      <c r="N111" s="157"/>
      <c r="O111" s="302"/>
      <c r="P111" s="302"/>
    </row>
    <row r="112" spans="1:17" s="159" customFormat="1" x14ac:dyDescent="0.2">
      <c r="C112" s="655"/>
      <c r="D112" s="655"/>
      <c r="J112" s="274"/>
      <c r="M112" s="276"/>
      <c r="N112" s="157"/>
      <c r="O112" s="302"/>
      <c r="P112" s="302"/>
    </row>
    <row r="113" spans="3:16" s="159" customFormat="1" x14ac:dyDescent="0.2">
      <c r="C113" s="655"/>
      <c r="D113" s="655"/>
      <c r="J113" s="274"/>
      <c r="M113" s="276"/>
      <c r="N113" s="157"/>
      <c r="O113" s="302"/>
      <c r="P113" s="302"/>
    </row>
    <row r="114" spans="3:16" s="159" customFormat="1" x14ac:dyDescent="0.2">
      <c r="C114" s="655"/>
      <c r="D114" s="655"/>
      <c r="J114" s="274"/>
      <c r="M114" s="276"/>
      <c r="N114" s="157"/>
      <c r="O114" s="302"/>
      <c r="P114" s="302"/>
    </row>
    <row r="115" spans="3:16" s="159" customFormat="1" x14ac:dyDescent="0.2">
      <c r="C115" s="655"/>
      <c r="D115" s="655"/>
      <c r="J115" s="274"/>
      <c r="M115" s="276"/>
      <c r="N115" s="157"/>
      <c r="O115" s="302"/>
      <c r="P115" s="302"/>
    </row>
    <row r="116" spans="3:16" s="159" customFormat="1" x14ac:dyDescent="0.2">
      <c r="C116" s="655"/>
      <c r="D116" s="655"/>
      <c r="J116" s="274"/>
      <c r="M116" s="276"/>
      <c r="N116" s="157"/>
      <c r="O116" s="302"/>
      <c r="P116" s="302"/>
    </row>
    <row r="117" spans="3:16" s="159" customFormat="1" x14ac:dyDescent="0.2">
      <c r="C117" s="655"/>
      <c r="D117" s="655"/>
      <c r="J117" s="274"/>
      <c r="M117" s="276"/>
      <c r="N117" s="157"/>
      <c r="O117" s="302"/>
      <c r="P117" s="302"/>
    </row>
    <row r="118" spans="3:16" s="159" customFormat="1" x14ac:dyDescent="0.2">
      <c r="C118" s="655"/>
      <c r="D118" s="655"/>
      <c r="J118" s="274"/>
      <c r="M118" s="276"/>
      <c r="N118" s="157"/>
      <c r="O118" s="302"/>
      <c r="P118" s="302"/>
    </row>
    <row r="119" spans="3:16" s="159" customFormat="1" x14ac:dyDescent="0.2">
      <c r="C119" s="655"/>
      <c r="D119" s="655"/>
      <c r="J119" s="274"/>
      <c r="M119" s="276"/>
      <c r="N119" s="157"/>
      <c r="O119" s="302"/>
      <c r="P119" s="302"/>
    </row>
    <row r="120" spans="3:16" s="159" customFormat="1" x14ac:dyDescent="0.2">
      <c r="C120" s="655"/>
      <c r="D120" s="655"/>
      <c r="J120" s="274"/>
      <c r="M120" s="276"/>
      <c r="N120" s="157"/>
      <c r="O120" s="302"/>
      <c r="P120" s="302"/>
    </row>
    <row r="121" spans="3:16" s="159" customFormat="1" x14ac:dyDescent="0.2">
      <c r="C121" s="655"/>
      <c r="D121" s="655"/>
      <c r="J121" s="274"/>
      <c r="M121" s="276"/>
      <c r="N121" s="157"/>
      <c r="O121" s="302"/>
      <c r="P121" s="302"/>
    </row>
    <row r="122" spans="3:16" s="159" customFormat="1" x14ac:dyDescent="0.2">
      <c r="C122" s="655"/>
      <c r="D122" s="655"/>
      <c r="J122" s="274"/>
      <c r="M122" s="276"/>
      <c r="N122" s="157"/>
      <c r="O122" s="302"/>
      <c r="P122" s="302"/>
    </row>
    <row r="123" spans="3:16" s="159" customFormat="1" x14ac:dyDescent="0.2">
      <c r="C123" s="655"/>
      <c r="D123" s="655"/>
      <c r="J123" s="274"/>
      <c r="M123" s="276"/>
      <c r="N123" s="157"/>
      <c r="O123" s="302"/>
      <c r="P123" s="302"/>
    </row>
    <row r="124" spans="3:16" s="159" customFormat="1" x14ac:dyDescent="0.2">
      <c r="C124" s="655"/>
      <c r="D124" s="655"/>
      <c r="J124" s="274"/>
      <c r="M124" s="276"/>
      <c r="N124" s="157"/>
      <c r="O124" s="302"/>
      <c r="P124" s="302"/>
    </row>
    <row r="125" spans="3:16" s="159" customFormat="1" x14ac:dyDescent="0.2">
      <c r="C125" s="655"/>
      <c r="D125" s="655"/>
      <c r="J125" s="274"/>
      <c r="M125" s="276"/>
      <c r="N125" s="157"/>
      <c r="O125" s="302"/>
      <c r="P125" s="302"/>
    </row>
    <row r="126" spans="3:16" s="159" customFormat="1" x14ac:dyDescent="0.2">
      <c r="C126" s="655"/>
      <c r="D126" s="655"/>
      <c r="J126" s="274"/>
      <c r="M126" s="276"/>
      <c r="N126" s="157"/>
      <c r="O126" s="302"/>
      <c r="P126" s="302"/>
    </row>
    <row r="127" spans="3:16" s="159" customFormat="1" x14ac:dyDescent="0.2">
      <c r="C127" s="655"/>
      <c r="D127" s="655"/>
      <c r="J127" s="274"/>
      <c r="M127" s="276"/>
      <c r="N127" s="157"/>
      <c r="O127" s="302"/>
      <c r="P127" s="302"/>
    </row>
    <row r="128" spans="3:16" s="159" customFormat="1" x14ac:dyDescent="0.2">
      <c r="C128" s="655"/>
      <c r="D128" s="655"/>
      <c r="J128" s="274"/>
      <c r="M128" s="276"/>
      <c r="N128" s="157"/>
      <c r="O128" s="302"/>
      <c r="P128" s="302"/>
    </row>
    <row r="129" spans="3:16" s="159" customFormat="1" x14ac:dyDescent="0.2">
      <c r="C129" s="655"/>
      <c r="D129" s="655"/>
      <c r="J129" s="274"/>
      <c r="M129" s="276"/>
      <c r="N129" s="157"/>
      <c r="O129" s="302"/>
      <c r="P129" s="302"/>
    </row>
    <row r="130" spans="3:16" s="159" customFormat="1" x14ac:dyDescent="0.2">
      <c r="C130" s="655"/>
      <c r="D130" s="655"/>
      <c r="J130" s="274"/>
      <c r="M130" s="276"/>
      <c r="N130" s="157"/>
      <c r="O130" s="302"/>
      <c r="P130" s="302"/>
    </row>
    <row r="131" spans="3:16" s="159" customFormat="1" x14ac:dyDescent="0.2">
      <c r="C131" s="655"/>
      <c r="D131" s="655"/>
      <c r="J131" s="274"/>
      <c r="M131" s="276"/>
      <c r="N131" s="157"/>
      <c r="O131" s="302"/>
      <c r="P131" s="302"/>
    </row>
    <row r="132" spans="3:16" s="159" customFormat="1" x14ac:dyDescent="0.2">
      <c r="C132" s="655"/>
      <c r="D132" s="655"/>
      <c r="J132" s="274"/>
      <c r="M132" s="276"/>
      <c r="N132" s="157"/>
      <c r="O132" s="302"/>
      <c r="P132" s="302"/>
    </row>
    <row r="133" spans="3:16" s="159" customFormat="1" x14ac:dyDescent="0.2">
      <c r="C133" s="655"/>
      <c r="D133" s="655"/>
      <c r="J133" s="274"/>
      <c r="M133" s="276"/>
      <c r="N133" s="157"/>
      <c r="O133" s="302"/>
      <c r="P133" s="302"/>
    </row>
    <row r="134" spans="3:16" s="159" customFormat="1" x14ac:dyDescent="0.2">
      <c r="C134" s="655"/>
      <c r="D134" s="655"/>
      <c r="J134" s="274"/>
      <c r="M134" s="276"/>
      <c r="N134" s="157"/>
      <c r="O134" s="302"/>
      <c r="P134" s="302"/>
    </row>
    <row r="135" spans="3:16" s="159" customFormat="1" x14ac:dyDescent="0.2">
      <c r="C135" s="655"/>
      <c r="D135" s="655"/>
      <c r="J135" s="274"/>
      <c r="M135" s="276"/>
      <c r="N135" s="157"/>
      <c r="O135" s="302"/>
      <c r="P135" s="302"/>
    </row>
    <row r="136" spans="3:16" s="159" customFormat="1" x14ac:dyDescent="0.2">
      <c r="C136" s="655"/>
      <c r="D136" s="655"/>
      <c r="J136" s="274"/>
      <c r="M136" s="276"/>
      <c r="N136" s="157"/>
      <c r="O136" s="302"/>
      <c r="P136" s="302"/>
    </row>
    <row r="137" spans="3:16" s="159" customFormat="1" x14ac:dyDescent="0.2">
      <c r="C137" s="655"/>
      <c r="D137" s="655"/>
      <c r="J137" s="274"/>
      <c r="M137" s="276"/>
      <c r="N137" s="157"/>
      <c r="O137" s="302"/>
      <c r="P137" s="302"/>
    </row>
    <row r="138" spans="3:16" s="159" customFormat="1" x14ac:dyDescent="0.2">
      <c r="C138" s="655"/>
      <c r="D138" s="655"/>
      <c r="J138" s="274"/>
      <c r="M138" s="276"/>
      <c r="N138" s="157"/>
      <c r="O138" s="302"/>
      <c r="P138" s="302"/>
    </row>
    <row r="139" spans="3:16" s="159" customFormat="1" x14ac:dyDescent="0.2">
      <c r="C139" s="655"/>
      <c r="D139" s="655"/>
      <c r="J139" s="274"/>
      <c r="M139" s="276"/>
      <c r="N139" s="157"/>
      <c r="O139" s="302"/>
      <c r="P139" s="302"/>
    </row>
    <row r="140" spans="3:16" s="159" customFormat="1" x14ac:dyDescent="0.2">
      <c r="C140" s="655"/>
      <c r="D140" s="655"/>
      <c r="J140" s="274"/>
      <c r="M140" s="276"/>
      <c r="N140" s="157"/>
      <c r="O140" s="302"/>
      <c r="P140" s="302"/>
    </row>
    <row r="141" spans="3:16" s="159" customFormat="1" x14ac:dyDescent="0.2">
      <c r="C141" s="655"/>
      <c r="D141" s="655"/>
      <c r="J141" s="274"/>
      <c r="M141" s="276"/>
      <c r="N141" s="157"/>
      <c r="O141" s="302"/>
      <c r="P141" s="302"/>
    </row>
    <row r="142" spans="3:16" s="159" customFormat="1" x14ac:dyDescent="0.2">
      <c r="C142" s="655"/>
      <c r="D142" s="655"/>
      <c r="J142" s="274"/>
      <c r="M142" s="276"/>
      <c r="N142" s="157"/>
      <c r="O142" s="302"/>
      <c r="P142" s="302"/>
    </row>
    <row r="143" spans="3:16" s="159" customFormat="1" x14ac:dyDescent="0.2">
      <c r="C143" s="655"/>
      <c r="D143" s="655"/>
      <c r="J143" s="274"/>
      <c r="M143" s="276"/>
      <c r="N143" s="157"/>
      <c r="O143" s="302"/>
      <c r="P143" s="302"/>
    </row>
    <row r="144" spans="3:16" s="159" customFormat="1" x14ac:dyDescent="0.2">
      <c r="C144" s="655"/>
      <c r="D144" s="655"/>
      <c r="J144" s="274"/>
      <c r="M144" s="276"/>
      <c r="N144" s="157"/>
      <c r="O144" s="302"/>
      <c r="P144" s="302"/>
    </row>
    <row r="145" spans="3:16" s="159" customFormat="1" x14ac:dyDescent="0.2">
      <c r="C145" s="655"/>
      <c r="D145" s="655"/>
      <c r="J145" s="274"/>
      <c r="M145" s="276"/>
      <c r="N145" s="157"/>
      <c r="O145" s="302"/>
      <c r="P145" s="302"/>
    </row>
    <row r="146" spans="3:16" s="159" customFormat="1" x14ac:dyDescent="0.2">
      <c r="C146" s="655"/>
      <c r="D146" s="655"/>
      <c r="J146" s="274"/>
      <c r="M146" s="276"/>
      <c r="N146" s="157"/>
      <c r="O146" s="302"/>
      <c r="P146" s="302"/>
    </row>
    <row r="147" spans="3:16" s="159" customFormat="1" x14ac:dyDescent="0.2">
      <c r="C147" s="655"/>
      <c r="D147" s="655"/>
      <c r="J147" s="274"/>
      <c r="M147" s="276"/>
      <c r="N147" s="157"/>
      <c r="O147" s="302"/>
      <c r="P147" s="302"/>
    </row>
    <row r="148" spans="3:16" s="159" customFormat="1" x14ac:dyDescent="0.2">
      <c r="C148" s="655"/>
      <c r="D148" s="655"/>
      <c r="J148" s="274"/>
      <c r="M148" s="276"/>
      <c r="N148" s="157"/>
      <c r="O148" s="302"/>
      <c r="P148" s="302"/>
    </row>
    <row r="149" spans="3:16" s="159" customFormat="1" x14ac:dyDescent="0.2">
      <c r="C149" s="655"/>
      <c r="D149" s="655"/>
      <c r="J149" s="274"/>
      <c r="M149" s="276"/>
      <c r="N149" s="157"/>
      <c r="O149" s="302"/>
      <c r="P149" s="302"/>
    </row>
    <row r="150" spans="3:16" s="159" customFormat="1" x14ac:dyDescent="0.2">
      <c r="C150" s="655"/>
      <c r="D150" s="655"/>
      <c r="J150" s="274"/>
      <c r="M150" s="276"/>
      <c r="N150" s="157"/>
      <c r="O150" s="302"/>
      <c r="P150" s="302"/>
    </row>
    <row r="151" spans="3:16" s="159" customFormat="1" x14ac:dyDescent="0.2">
      <c r="C151" s="655"/>
      <c r="D151" s="655"/>
      <c r="J151" s="274"/>
      <c r="M151" s="276"/>
      <c r="N151" s="157"/>
      <c r="O151" s="302"/>
      <c r="P151" s="302"/>
    </row>
    <row r="152" spans="3:16" s="159" customFormat="1" x14ac:dyDescent="0.2">
      <c r="C152" s="655"/>
      <c r="D152" s="655"/>
      <c r="J152" s="274"/>
      <c r="M152" s="276"/>
      <c r="N152" s="157"/>
      <c r="O152" s="302"/>
      <c r="P152" s="302"/>
    </row>
    <row r="153" spans="3:16" s="159" customFormat="1" x14ac:dyDescent="0.2">
      <c r="C153" s="655"/>
      <c r="D153" s="655"/>
      <c r="J153" s="274"/>
      <c r="M153" s="276"/>
      <c r="N153" s="157"/>
      <c r="O153" s="302"/>
      <c r="P153" s="302"/>
    </row>
    <row r="154" spans="3:16" s="159" customFormat="1" x14ac:dyDescent="0.2">
      <c r="C154" s="655"/>
      <c r="D154" s="655"/>
      <c r="J154" s="274"/>
      <c r="M154" s="276"/>
      <c r="N154" s="157"/>
      <c r="O154" s="302"/>
      <c r="P154" s="302"/>
    </row>
    <row r="155" spans="3:16" s="159" customFormat="1" x14ac:dyDescent="0.2">
      <c r="C155" s="655"/>
      <c r="D155" s="655"/>
      <c r="J155" s="274"/>
      <c r="M155" s="276"/>
      <c r="N155" s="157"/>
      <c r="O155" s="302"/>
      <c r="P155" s="302"/>
    </row>
    <row r="156" spans="3:16" s="159" customFormat="1" x14ac:dyDescent="0.2">
      <c r="C156" s="655"/>
      <c r="D156" s="655"/>
      <c r="J156" s="274"/>
      <c r="M156" s="276"/>
      <c r="N156" s="157"/>
      <c r="O156" s="302"/>
      <c r="P156" s="302"/>
    </row>
    <row r="157" spans="3:16" s="159" customFormat="1" x14ac:dyDescent="0.2">
      <c r="C157" s="655"/>
      <c r="D157" s="655"/>
      <c r="J157" s="274"/>
      <c r="M157" s="276"/>
      <c r="N157" s="157"/>
      <c r="O157" s="302"/>
      <c r="P157" s="302"/>
    </row>
    <row r="158" spans="3:16" s="159" customFormat="1" x14ac:dyDescent="0.2">
      <c r="C158" s="655"/>
      <c r="D158" s="655"/>
      <c r="J158" s="274"/>
      <c r="M158" s="276"/>
      <c r="N158" s="157"/>
      <c r="O158" s="302"/>
      <c r="P158" s="302"/>
    </row>
    <row r="159" spans="3:16" s="159" customFormat="1" x14ac:dyDescent="0.2">
      <c r="C159" s="655"/>
      <c r="D159" s="655"/>
      <c r="J159" s="274"/>
      <c r="M159" s="276"/>
      <c r="N159" s="157"/>
      <c r="O159" s="302"/>
      <c r="P159" s="302"/>
    </row>
    <row r="160" spans="3:16" s="159" customFormat="1" x14ac:dyDescent="0.2">
      <c r="C160" s="655"/>
      <c r="D160" s="655"/>
      <c r="J160" s="274"/>
      <c r="M160" s="276"/>
      <c r="N160" s="157"/>
      <c r="O160" s="302"/>
      <c r="P160" s="302"/>
    </row>
    <row r="161" spans="3:16" s="159" customFormat="1" x14ac:dyDescent="0.2">
      <c r="C161" s="655"/>
      <c r="D161" s="655"/>
      <c r="J161" s="274"/>
      <c r="M161" s="276"/>
      <c r="N161" s="157"/>
      <c r="O161" s="302"/>
      <c r="P161" s="302"/>
    </row>
    <row r="162" spans="3:16" s="159" customFormat="1" x14ac:dyDescent="0.2">
      <c r="C162" s="655"/>
      <c r="D162" s="655"/>
      <c r="J162" s="274"/>
      <c r="M162" s="276"/>
      <c r="N162" s="157"/>
      <c r="O162" s="302"/>
      <c r="P162" s="302"/>
    </row>
    <row r="163" spans="3:16" s="159" customFormat="1" x14ac:dyDescent="0.2">
      <c r="C163" s="655"/>
      <c r="D163" s="655"/>
      <c r="J163" s="274"/>
      <c r="M163" s="276"/>
      <c r="N163" s="157"/>
      <c r="O163" s="302"/>
      <c r="P163" s="302"/>
    </row>
    <row r="164" spans="3:16" s="159" customFormat="1" x14ac:dyDescent="0.2">
      <c r="C164" s="655"/>
      <c r="D164" s="655"/>
      <c r="J164" s="274"/>
      <c r="M164" s="276"/>
      <c r="N164" s="157"/>
      <c r="O164" s="302"/>
      <c r="P164" s="302"/>
    </row>
    <row r="165" spans="3:16" s="159" customFormat="1" x14ac:dyDescent="0.2">
      <c r="C165" s="655"/>
      <c r="D165" s="655"/>
      <c r="J165" s="274"/>
      <c r="M165" s="276"/>
      <c r="N165" s="157"/>
      <c r="O165" s="302"/>
      <c r="P165" s="302"/>
    </row>
    <row r="166" spans="3:16" s="159" customFormat="1" x14ac:dyDescent="0.2">
      <c r="C166" s="655"/>
      <c r="D166" s="655"/>
      <c r="J166" s="274"/>
      <c r="M166" s="276"/>
      <c r="N166" s="157"/>
      <c r="O166" s="302"/>
      <c r="P166" s="302"/>
    </row>
    <row r="167" spans="3:16" s="159" customFormat="1" x14ac:dyDescent="0.2">
      <c r="C167" s="655"/>
      <c r="D167" s="655"/>
      <c r="J167" s="274"/>
      <c r="M167" s="276"/>
      <c r="N167" s="157"/>
      <c r="O167" s="302"/>
      <c r="P167" s="302"/>
    </row>
    <row r="168" spans="3:16" s="159" customFormat="1" x14ac:dyDescent="0.2">
      <c r="C168" s="655"/>
      <c r="D168" s="655"/>
      <c r="J168" s="274"/>
      <c r="M168" s="276"/>
      <c r="N168" s="157"/>
      <c r="O168" s="302"/>
      <c r="P168" s="302"/>
    </row>
    <row r="169" spans="3:16" s="159" customFormat="1" x14ac:dyDescent="0.2">
      <c r="C169" s="655"/>
      <c r="D169" s="655"/>
      <c r="J169" s="274"/>
      <c r="M169" s="276"/>
      <c r="N169" s="157"/>
      <c r="O169" s="302"/>
      <c r="P169" s="302"/>
    </row>
    <row r="170" spans="3:16" s="159" customFormat="1" x14ac:dyDescent="0.2">
      <c r="C170" s="655"/>
      <c r="D170" s="655"/>
      <c r="J170" s="274"/>
      <c r="M170" s="276"/>
      <c r="N170" s="157"/>
      <c r="O170" s="302"/>
      <c r="P170" s="302"/>
    </row>
    <row r="171" spans="3:16" s="159" customFormat="1" x14ac:dyDescent="0.2">
      <c r="C171" s="655"/>
      <c r="D171" s="655"/>
      <c r="J171" s="274"/>
      <c r="M171" s="276"/>
      <c r="N171" s="157"/>
      <c r="O171" s="302"/>
      <c r="P171" s="302"/>
    </row>
    <row r="172" spans="3:16" s="159" customFormat="1" x14ac:dyDescent="0.2">
      <c r="C172" s="655"/>
      <c r="D172" s="655"/>
      <c r="J172" s="274"/>
      <c r="M172" s="276"/>
      <c r="N172" s="157"/>
      <c r="O172" s="302"/>
      <c r="P172" s="302"/>
    </row>
    <row r="173" spans="3:16" s="159" customFormat="1" x14ac:dyDescent="0.2">
      <c r="C173" s="655"/>
      <c r="D173" s="655"/>
      <c r="J173" s="274"/>
      <c r="M173" s="276"/>
      <c r="N173" s="157"/>
      <c r="O173" s="302"/>
      <c r="P173" s="302"/>
    </row>
    <row r="174" spans="3:16" s="159" customFormat="1" x14ac:dyDescent="0.2">
      <c r="C174" s="655"/>
      <c r="D174" s="655"/>
      <c r="J174" s="274"/>
      <c r="M174" s="276"/>
      <c r="N174" s="157"/>
      <c r="O174" s="302"/>
      <c r="P174" s="302"/>
    </row>
    <row r="175" spans="3:16" s="159" customFormat="1" x14ac:dyDescent="0.2">
      <c r="C175" s="655"/>
      <c r="D175" s="655"/>
      <c r="J175" s="274"/>
      <c r="M175" s="276"/>
      <c r="N175" s="157"/>
      <c r="O175" s="302"/>
      <c r="P175" s="302"/>
    </row>
    <row r="176" spans="3:16" s="159" customFormat="1" x14ac:dyDescent="0.2">
      <c r="C176" s="655"/>
      <c r="D176" s="655"/>
      <c r="J176" s="274"/>
      <c r="M176" s="276"/>
      <c r="N176" s="157"/>
      <c r="O176" s="302"/>
      <c r="P176" s="302"/>
    </row>
    <row r="177" spans="3:16" s="159" customFormat="1" x14ac:dyDescent="0.2">
      <c r="C177" s="655"/>
      <c r="D177" s="655"/>
      <c r="J177" s="274"/>
      <c r="M177" s="276"/>
      <c r="N177" s="157"/>
      <c r="O177" s="302"/>
      <c r="P177" s="302"/>
    </row>
    <row r="178" spans="3:16" s="159" customFormat="1" x14ac:dyDescent="0.2">
      <c r="C178" s="655"/>
      <c r="D178" s="655"/>
      <c r="J178" s="274"/>
      <c r="M178" s="276"/>
      <c r="N178" s="157"/>
      <c r="O178" s="302"/>
      <c r="P178" s="302"/>
    </row>
    <row r="179" spans="3:16" s="159" customFormat="1" x14ac:dyDescent="0.2">
      <c r="C179" s="655"/>
      <c r="D179" s="655"/>
      <c r="J179" s="274"/>
      <c r="M179" s="276"/>
      <c r="N179" s="157"/>
      <c r="O179" s="302"/>
      <c r="P179" s="302"/>
    </row>
    <row r="180" spans="3:16" s="159" customFormat="1" x14ac:dyDescent="0.2">
      <c r="C180" s="655"/>
      <c r="D180" s="655"/>
      <c r="J180" s="274"/>
      <c r="M180" s="276"/>
      <c r="N180" s="157"/>
      <c r="O180" s="302"/>
      <c r="P180" s="302"/>
    </row>
    <row r="181" spans="3:16" s="159" customFormat="1" x14ac:dyDescent="0.2">
      <c r="C181" s="655"/>
      <c r="D181" s="655"/>
      <c r="J181" s="274"/>
      <c r="M181" s="276"/>
      <c r="N181" s="157"/>
      <c r="O181" s="302"/>
      <c r="P181" s="302"/>
    </row>
    <row r="182" spans="3:16" s="159" customFormat="1" x14ac:dyDescent="0.2">
      <c r="C182" s="655"/>
      <c r="D182" s="655"/>
      <c r="J182" s="274"/>
      <c r="M182" s="276"/>
      <c r="N182" s="157"/>
      <c r="O182" s="302"/>
      <c r="P182" s="302"/>
    </row>
    <row r="183" spans="3:16" s="159" customFormat="1" x14ac:dyDescent="0.2">
      <c r="C183" s="655"/>
      <c r="D183" s="655"/>
      <c r="J183" s="274"/>
      <c r="M183" s="276"/>
      <c r="N183" s="157"/>
      <c r="O183" s="302"/>
      <c r="P183" s="302"/>
    </row>
    <row r="184" spans="3:16" s="159" customFormat="1" x14ac:dyDescent="0.2">
      <c r="C184" s="655"/>
      <c r="D184" s="655"/>
      <c r="J184" s="274"/>
      <c r="M184" s="276"/>
      <c r="N184" s="157"/>
      <c r="O184" s="302"/>
      <c r="P184" s="302"/>
    </row>
    <row r="185" spans="3:16" s="159" customFormat="1" x14ac:dyDescent="0.2">
      <c r="C185" s="655"/>
      <c r="D185" s="655"/>
      <c r="J185" s="274"/>
      <c r="M185" s="276"/>
      <c r="N185" s="157"/>
      <c r="O185" s="302"/>
      <c r="P185" s="302"/>
    </row>
    <row r="186" spans="3:16" s="159" customFormat="1" x14ac:dyDescent="0.2">
      <c r="C186" s="655"/>
      <c r="D186" s="655"/>
      <c r="J186" s="274"/>
      <c r="M186" s="276"/>
      <c r="N186" s="157"/>
      <c r="O186" s="302"/>
      <c r="P186" s="302"/>
    </row>
    <row r="187" spans="3:16" s="159" customFormat="1" x14ac:dyDescent="0.2">
      <c r="C187" s="655"/>
      <c r="D187" s="655"/>
      <c r="J187" s="274"/>
      <c r="M187" s="276"/>
      <c r="N187" s="157"/>
      <c r="O187" s="302"/>
      <c r="P187" s="302"/>
    </row>
    <row r="188" spans="3:16" s="159" customFormat="1" x14ac:dyDescent="0.2">
      <c r="C188" s="655"/>
      <c r="D188" s="655"/>
      <c r="J188" s="274"/>
      <c r="M188" s="276"/>
      <c r="N188" s="157"/>
      <c r="O188" s="302"/>
      <c r="P188" s="302"/>
    </row>
    <row r="189" spans="3:16" s="159" customFormat="1" x14ac:dyDescent="0.2">
      <c r="C189" s="655"/>
      <c r="D189" s="655"/>
      <c r="J189" s="274"/>
      <c r="M189" s="276"/>
      <c r="N189" s="157"/>
      <c r="O189" s="302"/>
      <c r="P189" s="302"/>
    </row>
    <row r="190" spans="3:16" s="159" customFormat="1" x14ac:dyDescent="0.2">
      <c r="C190" s="655"/>
      <c r="D190" s="655"/>
      <c r="J190" s="274"/>
      <c r="M190" s="276"/>
      <c r="N190" s="157"/>
      <c r="O190" s="302"/>
      <c r="P190" s="302"/>
    </row>
    <row r="191" spans="3:16" s="159" customFormat="1" x14ac:dyDescent="0.2">
      <c r="C191" s="655"/>
      <c r="D191" s="655"/>
      <c r="J191" s="274"/>
      <c r="M191" s="276"/>
      <c r="N191" s="157"/>
      <c r="O191" s="302"/>
      <c r="P191" s="302"/>
    </row>
    <row r="192" spans="3:16" s="159" customFormat="1" x14ac:dyDescent="0.2">
      <c r="C192" s="655"/>
      <c r="D192" s="655"/>
      <c r="J192" s="274"/>
      <c r="M192" s="276"/>
      <c r="N192" s="157"/>
      <c r="O192" s="302"/>
      <c r="P192" s="302"/>
    </row>
    <row r="193" spans="3:16" s="159" customFormat="1" x14ac:dyDescent="0.2">
      <c r="C193" s="655"/>
      <c r="D193" s="655"/>
      <c r="J193" s="274"/>
      <c r="M193" s="276"/>
      <c r="N193" s="157"/>
      <c r="O193" s="302"/>
      <c r="P193" s="302"/>
    </row>
    <row r="194" spans="3:16" s="159" customFormat="1" x14ac:dyDescent="0.2">
      <c r="C194" s="655"/>
      <c r="D194" s="655"/>
      <c r="J194" s="274"/>
      <c r="M194" s="276"/>
      <c r="N194" s="157"/>
      <c r="O194" s="302"/>
      <c r="P194" s="302"/>
    </row>
    <row r="195" spans="3:16" s="159" customFormat="1" x14ac:dyDescent="0.2">
      <c r="C195" s="655"/>
      <c r="D195" s="655"/>
      <c r="J195" s="274"/>
      <c r="M195" s="276"/>
      <c r="N195" s="157"/>
      <c r="O195" s="302"/>
      <c r="P195" s="302"/>
    </row>
    <row r="196" spans="3:16" s="159" customFormat="1" x14ac:dyDescent="0.2">
      <c r="C196" s="655"/>
      <c r="D196" s="655"/>
      <c r="J196" s="274"/>
      <c r="M196" s="276"/>
      <c r="N196" s="157"/>
      <c r="O196" s="302"/>
      <c r="P196" s="302"/>
    </row>
    <row r="197" spans="3:16" s="159" customFormat="1" x14ac:dyDescent="0.2">
      <c r="C197" s="655"/>
      <c r="D197" s="655"/>
      <c r="J197" s="274"/>
      <c r="M197" s="276"/>
      <c r="N197" s="157"/>
      <c r="O197" s="302"/>
      <c r="P197" s="302"/>
    </row>
    <row r="198" spans="3:16" s="159" customFormat="1" x14ac:dyDescent="0.2">
      <c r="C198" s="655"/>
      <c r="D198" s="655"/>
      <c r="J198" s="274"/>
      <c r="M198" s="276"/>
      <c r="N198" s="157"/>
      <c r="O198" s="302"/>
      <c r="P198" s="302"/>
    </row>
    <row r="199" spans="3:16" s="159" customFormat="1" x14ac:dyDescent="0.2">
      <c r="C199" s="655"/>
      <c r="D199" s="655"/>
      <c r="J199" s="274"/>
      <c r="M199" s="276"/>
      <c r="N199" s="157"/>
      <c r="O199" s="302"/>
      <c r="P199" s="302"/>
    </row>
    <row r="200" spans="3:16" s="159" customFormat="1" x14ac:dyDescent="0.2">
      <c r="C200" s="655"/>
      <c r="D200" s="655"/>
      <c r="J200" s="274"/>
      <c r="M200" s="276"/>
      <c r="N200" s="157"/>
      <c r="O200" s="302"/>
      <c r="P200" s="302"/>
    </row>
    <row r="201" spans="3:16" s="159" customFormat="1" x14ac:dyDescent="0.2">
      <c r="C201" s="655"/>
      <c r="D201" s="655"/>
      <c r="J201" s="274"/>
      <c r="M201" s="276"/>
      <c r="N201" s="157"/>
      <c r="O201" s="302"/>
      <c r="P201" s="302"/>
    </row>
    <row r="202" spans="3:16" s="159" customFormat="1" x14ac:dyDescent="0.2">
      <c r="C202" s="655"/>
      <c r="D202" s="655"/>
      <c r="J202" s="274"/>
      <c r="M202" s="276"/>
      <c r="N202" s="157"/>
      <c r="O202" s="302"/>
      <c r="P202" s="302"/>
    </row>
    <row r="203" spans="3:16" s="159" customFormat="1" x14ac:dyDescent="0.2">
      <c r="C203" s="655"/>
      <c r="D203" s="655"/>
      <c r="J203" s="274"/>
      <c r="M203" s="276"/>
      <c r="N203" s="157"/>
      <c r="O203" s="302"/>
      <c r="P203" s="302"/>
    </row>
    <row r="204" spans="3:16" s="159" customFormat="1" x14ac:dyDescent="0.2">
      <c r="C204" s="655"/>
      <c r="D204" s="655"/>
      <c r="J204" s="274"/>
      <c r="M204" s="276"/>
      <c r="N204" s="157"/>
      <c r="O204" s="302"/>
      <c r="P204" s="302"/>
    </row>
    <row r="205" spans="3:16" s="159" customFormat="1" x14ac:dyDescent="0.2">
      <c r="C205" s="655"/>
      <c r="D205" s="655"/>
      <c r="J205" s="274"/>
      <c r="M205" s="276"/>
      <c r="N205" s="157"/>
      <c r="O205" s="302"/>
      <c r="P205" s="302"/>
    </row>
    <row r="206" spans="3:16" s="159" customFormat="1" x14ac:dyDescent="0.2">
      <c r="C206" s="655"/>
      <c r="D206" s="655"/>
      <c r="J206" s="274"/>
      <c r="M206" s="276"/>
      <c r="N206" s="157"/>
      <c r="O206" s="302"/>
      <c r="P206" s="302"/>
    </row>
    <row r="207" spans="3:16" s="159" customFormat="1" x14ac:dyDescent="0.2">
      <c r="C207" s="655"/>
      <c r="D207" s="655"/>
      <c r="J207" s="274"/>
      <c r="M207" s="276"/>
      <c r="N207" s="157"/>
      <c r="O207" s="302"/>
      <c r="P207" s="302"/>
    </row>
    <row r="208" spans="3:16" s="159" customFormat="1" x14ac:dyDescent="0.2">
      <c r="C208" s="655"/>
      <c r="D208" s="655"/>
      <c r="J208" s="274"/>
      <c r="M208" s="276"/>
      <c r="N208" s="157"/>
      <c r="O208" s="302"/>
      <c r="P208" s="302"/>
    </row>
    <row r="209" spans="3:16" s="159" customFormat="1" x14ac:dyDescent="0.2">
      <c r="C209" s="655"/>
      <c r="D209" s="655"/>
      <c r="J209" s="274"/>
      <c r="M209" s="276"/>
      <c r="N209" s="157"/>
      <c r="O209" s="302"/>
      <c r="P209" s="302"/>
    </row>
    <row r="210" spans="3:16" s="159" customFormat="1" x14ac:dyDescent="0.2">
      <c r="C210" s="655"/>
      <c r="D210" s="655"/>
      <c r="J210" s="274"/>
      <c r="M210" s="276"/>
      <c r="N210" s="157"/>
      <c r="O210" s="302"/>
      <c r="P210" s="302"/>
    </row>
    <row r="211" spans="3:16" s="159" customFormat="1" x14ac:dyDescent="0.2">
      <c r="C211" s="655"/>
      <c r="D211" s="655"/>
      <c r="J211" s="274"/>
      <c r="M211" s="276"/>
      <c r="N211" s="157"/>
      <c r="O211" s="302"/>
      <c r="P211" s="302"/>
    </row>
    <row r="212" spans="3:16" s="159" customFormat="1" x14ac:dyDescent="0.2">
      <c r="C212" s="655"/>
      <c r="D212" s="655"/>
      <c r="J212" s="274"/>
      <c r="M212" s="276"/>
      <c r="N212" s="157"/>
      <c r="O212" s="302"/>
      <c r="P212" s="302"/>
    </row>
    <row r="213" spans="3:16" s="159" customFormat="1" x14ac:dyDescent="0.2">
      <c r="C213" s="655"/>
      <c r="D213" s="655"/>
      <c r="J213" s="274"/>
      <c r="M213" s="276"/>
      <c r="N213" s="157"/>
      <c r="O213" s="302"/>
      <c r="P213" s="302"/>
    </row>
    <row r="214" spans="3:16" s="159" customFormat="1" x14ac:dyDescent="0.2">
      <c r="C214" s="655"/>
      <c r="D214" s="655"/>
      <c r="J214" s="274"/>
      <c r="M214" s="276"/>
      <c r="N214" s="157"/>
      <c r="O214" s="302"/>
      <c r="P214" s="302"/>
    </row>
    <row r="215" spans="3:16" s="159" customFormat="1" x14ac:dyDescent="0.2">
      <c r="C215" s="655"/>
      <c r="D215" s="655"/>
      <c r="J215" s="274"/>
      <c r="M215" s="276"/>
      <c r="N215" s="157"/>
      <c r="O215" s="302"/>
      <c r="P215" s="302"/>
    </row>
    <row r="216" spans="3:16" s="159" customFormat="1" x14ac:dyDescent="0.2">
      <c r="C216" s="655"/>
      <c r="D216" s="655"/>
      <c r="J216" s="274"/>
      <c r="M216" s="276"/>
      <c r="N216" s="157"/>
      <c r="O216" s="302"/>
      <c r="P216" s="302"/>
    </row>
    <row r="217" spans="3:16" s="159" customFormat="1" x14ac:dyDescent="0.2">
      <c r="C217" s="655"/>
      <c r="D217" s="655"/>
      <c r="J217" s="274"/>
      <c r="M217" s="276"/>
      <c r="N217" s="157"/>
      <c r="O217" s="302"/>
      <c r="P217" s="302"/>
    </row>
    <row r="218" spans="3:16" s="159" customFormat="1" x14ac:dyDescent="0.2">
      <c r="C218" s="655"/>
      <c r="D218" s="655"/>
      <c r="J218" s="274"/>
      <c r="M218" s="276"/>
      <c r="N218" s="157"/>
      <c r="O218" s="302"/>
      <c r="P218" s="302"/>
    </row>
    <row r="219" spans="3:16" s="159" customFormat="1" x14ac:dyDescent="0.2">
      <c r="C219" s="655"/>
      <c r="D219" s="655"/>
      <c r="J219" s="274"/>
      <c r="M219" s="276"/>
      <c r="N219" s="157"/>
      <c r="O219" s="302"/>
      <c r="P219" s="302"/>
    </row>
    <row r="220" spans="3:16" s="159" customFormat="1" x14ac:dyDescent="0.2">
      <c r="C220" s="655"/>
      <c r="D220" s="655"/>
      <c r="J220" s="274"/>
      <c r="M220" s="276"/>
      <c r="N220" s="157"/>
      <c r="O220" s="302"/>
      <c r="P220" s="302"/>
    </row>
    <row r="221" spans="3:16" s="159" customFormat="1" x14ac:dyDescent="0.2">
      <c r="C221" s="655"/>
      <c r="D221" s="655"/>
      <c r="J221" s="274"/>
      <c r="M221" s="276"/>
      <c r="N221" s="157"/>
      <c r="O221" s="302"/>
      <c r="P221" s="302"/>
    </row>
    <row r="222" spans="3:16" s="159" customFormat="1" x14ac:dyDescent="0.2">
      <c r="C222" s="655"/>
      <c r="D222" s="655"/>
      <c r="J222" s="274"/>
      <c r="M222" s="276"/>
      <c r="N222" s="157"/>
      <c r="O222" s="302"/>
      <c r="P222" s="302"/>
    </row>
    <row r="223" spans="3:16" s="159" customFormat="1" x14ac:dyDescent="0.2">
      <c r="C223" s="655"/>
      <c r="D223" s="655"/>
      <c r="J223" s="274"/>
      <c r="M223" s="276"/>
      <c r="N223" s="157"/>
      <c r="O223" s="302"/>
      <c r="P223" s="302"/>
    </row>
    <row r="224" spans="3:16" s="159" customFormat="1" x14ac:dyDescent="0.2">
      <c r="C224" s="655"/>
      <c r="D224" s="655"/>
      <c r="J224" s="274"/>
      <c r="M224" s="276"/>
      <c r="N224" s="157"/>
      <c r="O224" s="302"/>
      <c r="P224" s="302"/>
    </row>
    <row r="225" spans="3:16" s="159" customFormat="1" x14ac:dyDescent="0.2">
      <c r="C225" s="655"/>
      <c r="D225" s="655"/>
      <c r="J225" s="274"/>
      <c r="M225" s="276"/>
      <c r="N225" s="157"/>
      <c r="O225" s="302"/>
      <c r="P225" s="302"/>
    </row>
    <row r="226" spans="3:16" s="159" customFormat="1" x14ac:dyDescent="0.2">
      <c r="C226" s="655"/>
      <c r="D226" s="655"/>
      <c r="J226" s="274"/>
      <c r="M226" s="276"/>
      <c r="N226" s="157"/>
      <c r="O226" s="302"/>
      <c r="P226" s="302"/>
    </row>
    <row r="227" spans="3:16" s="159" customFormat="1" x14ac:dyDescent="0.2">
      <c r="C227" s="655"/>
      <c r="D227" s="655"/>
      <c r="J227" s="274"/>
      <c r="M227" s="276"/>
      <c r="N227" s="157"/>
      <c r="O227" s="302"/>
      <c r="P227" s="302"/>
    </row>
    <row r="228" spans="3:16" s="159" customFormat="1" x14ac:dyDescent="0.2">
      <c r="C228" s="655"/>
      <c r="D228" s="655"/>
      <c r="J228" s="274"/>
      <c r="M228" s="276"/>
      <c r="N228" s="157"/>
      <c r="O228" s="302"/>
      <c r="P228" s="302"/>
    </row>
    <row r="229" spans="3:16" s="159" customFormat="1" x14ac:dyDescent="0.2">
      <c r="C229" s="655"/>
      <c r="D229" s="655"/>
      <c r="J229" s="274"/>
      <c r="M229" s="276"/>
      <c r="N229" s="157"/>
      <c r="O229" s="302"/>
      <c r="P229" s="302"/>
    </row>
    <row r="230" spans="3:16" s="159" customFormat="1" x14ac:dyDescent="0.2">
      <c r="C230" s="655"/>
      <c r="D230" s="655"/>
      <c r="J230" s="274"/>
      <c r="M230" s="276"/>
      <c r="N230" s="157"/>
      <c r="O230" s="302"/>
      <c r="P230" s="302"/>
    </row>
    <row r="231" spans="3:16" s="159" customFormat="1" x14ac:dyDescent="0.2">
      <c r="C231" s="655"/>
      <c r="D231" s="655"/>
      <c r="J231" s="274"/>
      <c r="M231" s="276"/>
      <c r="N231" s="157"/>
      <c r="O231" s="302"/>
      <c r="P231" s="302"/>
    </row>
    <row r="232" spans="3:16" s="159" customFormat="1" x14ac:dyDescent="0.2">
      <c r="C232" s="655"/>
      <c r="D232" s="655"/>
      <c r="J232" s="274"/>
      <c r="M232" s="276"/>
      <c r="N232" s="157"/>
      <c r="O232" s="302"/>
      <c r="P232" s="302"/>
    </row>
    <row r="233" spans="3:16" s="159" customFormat="1" x14ac:dyDescent="0.2">
      <c r="C233" s="655"/>
      <c r="D233" s="655"/>
      <c r="J233" s="274"/>
      <c r="M233" s="276"/>
      <c r="N233" s="157"/>
      <c r="O233" s="302"/>
      <c r="P233" s="302"/>
    </row>
    <row r="234" spans="3:16" s="159" customFormat="1" x14ac:dyDescent="0.2">
      <c r="C234" s="655"/>
      <c r="D234" s="655"/>
      <c r="J234" s="274"/>
      <c r="M234" s="276"/>
      <c r="N234" s="157"/>
      <c r="O234" s="302"/>
      <c r="P234" s="302"/>
    </row>
    <row r="235" spans="3:16" s="159" customFormat="1" x14ac:dyDescent="0.2">
      <c r="C235" s="655"/>
      <c r="D235" s="655"/>
      <c r="J235" s="274"/>
      <c r="M235" s="276"/>
      <c r="N235" s="157"/>
      <c r="O235" s="302"/>
      <c r="P235" s="302"/>
    </row>
    <row r="236" spans="3:16" s="159" customFormat="1" x14ac:dyDescent="0.2">
      <c r="C236" s="655"/>
      <c r="D236" s="655"/>
      <c r="J236" s="274"/>
      <c r="M236" s="276"/>
      <c r="N236" s="157"/>
      <c r="O236" s="302"/>
      <c r="P236" s="302"/>
    </row>
    <row r="237" spans="3:16" s="159" customFormat="1" x14ac:dyDescent="0.2">
      <c r="C237" s="655"/>
      <c r="D237" s="655"/>
      <c r="J237" s="274"/>
      <c r="M237" s="276"/>
      <c r="N237" s="157"/>
      <c r="O237" s="302"/>
      <c r="P237" s="302"/>
    </row>
    <row r="238" spans="3:16" s="159" customFormat="1" x14ac:dyDescent="0.2">
      <c r="C238" s="655"/>
      <c r="D238" s="655"/>
      <c r="J238" s="274"/>
      <c r="M238" s="276"/>
      <c r="N238" s="157"/>
      <c r="O238" s="302"/>
      <c r="P238" s="302"/>
    </row>
    <row r="239" spans="3:16" s="159" customFormat="1" x14ac:dyDescent="0.2">
      <c r="C239" s="655"/>
      <c r="D239" s="655"/>
      <c r="J239" s="274"/>
      <c r="M239" s="276"/>
      <c r="N239" s="157"/>
      <c r="O239" s="302"/>
      <c r="P239" s="302"/>
    </row>
    <row r="240" spans="3:16" s="159" customFormat="1" x14ac:dyDescent="0.2">
      <c r="C240" s="655"/>
      <c r="D240" s="655"/>
      <c r="J240" s="274"/>
      <c r="M240" s="276"/>
      <c r="N240" s="157"/>
      <c r="O240" s="302"/>
      <c r="P240" s="302"/>
    </row>
    <row r="241" spans="3:16" s="159" customFormat="1" x14ac:dyDescent="0.2">
      <c r="C241" s="655"/>
      <c r="D241" s="655"/>
      <c r="J241" s="274"/>
      <c r="M241" s="276"/>
      <c r="N241" s="157"/>
      <c r="O241" s="302"/>
      <c r="P241" s="302"/>
    </row>
    <row r="242" spans="3:16" s="159" customFormat="1" x14ac:dyDescent="0.2">
      <c r="C242" s="655"/>
      <c r="D242" s="655"/>
      <c r="J242" s="274"/>
      <c r="M242" s="276"/>
      <c r="N242" s="157"/>
      <c r="O242" s="302"/>
      <c r="P242" s="302"/>
    </row>
    <row r="243" spans="3:16" s="159" customFormat="1" x14ac:dyDescent="0.2">
      <c r="C243" s="655"/>
      <c r="D243" s="655"/>
      <c r="J243" s="274"/>
      <c r="M243" s="276"/>
      <c r="N243" s="157"/>
      <c r="O243" s="302"/>
      <c r="P243" s="302"/>
    </row>
    <row r="244" spans="3:16" s="159" customFormat="1" x14ac:dyDescent="0.2">
      <c r="C244" s="655"/>
      <c r="D244" s="655"/>
      <c r="J244" s="274"/>
      <c r="M244" s="276"/>
      <c r="N244" s="157"/>
      <c r="O244" s="302"/>
      <c r="P244" s="302"/>
    </row>
    <row r="245" spans="3:16" s="159" customFormat="1" x14ac:dyDescent="0.2">
      <c r="C245" s="655"/>
      <c r="D245" s="655"/>
      <c r="J245" s="274"/>
      <c r="M245" s="276"/>
      <c r="N245" s="157"/>
      <c r="O245" s="302"/>
      <c r="P245" s="302"/>
    </row>
    <row r="246" spans="3:16" s="159" customFormat="1" x14ac:dyDescent="0.2">
      <c r="C246" s="655"/>
      <c r="D246" s="655"/>
      <c r="J246" s="274"/>
      <c r="M246" s="276"/>
      <c r="N246" s="157"/>
      <c r="O246" s="302"/>
      <c r="P246" s="302"/>
    </row>
    <row r="247" spans="3:16" s="159" customFormat="1" x14ac:dyDescent="0.2">
      <c r="C247" s="655"/>
      <c r="D247" s="655"/>
      <c r="J247" s="274"/>
      <c r="M247" s="276"/>
      <c r="N247" s="157"/>
      <c r="O247" s="302"/>
      <c r="P247" s="302"/>
    </row>
    <row r="248" spans="3:16" s="159" customFormat="1" x14ac:dyDescent="0.2">
      <c r="C248" s="655"/>
      <c r="D248" s="655"/>
      <c r="J248" s="274"/>
      <c r="M248" s="276"/>
      <c r="N248" s="157"/>
      <c r="O248" s="302"/>
      <c r="P248" s="302"/>
    </row>
    <row r="249" spans="3:16" s="159" customFormat="1" x14ac:dyDescent="0.2">
      <c r="C249" s="655"/>
      <c r="D249" s="655"/>
      <c r="J249" s="274"/>
      <c r="M249" s="276"/>
      <c r="N249" s="157"/>
      <c r="O249" s="302"/>
      <c r="P249" s="302"/>
    </row>
    <row r="250" spans="3:16" s="159" customFormat="1" x14ac:dyDescent="0.2">
      <c r="C250" s="655"/>
      <c r="D250" s="655"/>
      <c r="J250" s="274"/>
      <c r="M250" s="276"/>
      <c r="N250" s="157"/>
      <c r="O250" s="302"/>
      <c r="P250" s="302"/>
    </row>
    <row r="251" spans="3:16" s="159" customFormat="1" x14ac:dyDescent="0.2">
      <c r="C251" s="655"/>
      <c r="D251" s="655"/>
      <c r="J251" s="274"/>
      <c r="M251" s="276"/>
      <c r="N251" s="157"/>
      <c r="O251" s="302"/>
      <c r="P251" s="302"/>
    </row>
    <row r="252" spans="3:16" s="159" customFormat="1" x14ac:dyDescent="0.2">
      <c r="C252" s="655"/>
      <c r="D252" s="655"/>
      <c r="J252" s="274"/>
      <c r="M252" s="276"/>
      <c r="N252" s="157"/>
      <c r="O252" s="302"/>
      <c r="P252" s="302"/>
    </row>
    <row r="253" spans="3:16" s="159" customFormat="1" x14ac:dyDescent="0.2">
      <c r="C253" s="655"/>
      <c r="D253" s="655"/>
      <c r="J253" s="274"/>
      <c r="M253" s="276"/>
      <c r="N253" s="157"/>
      <c r="O253" s="302"/>
      <c r="P253" s="302"/>
    </row>
    <row r="254" spans="3:16" s="159" customFormat="1" x14ac:dyDescent="0.2">
      <c r="C254" s="655"/>
      <c r="D254" s="655"/>
      <c r="J254" s="274"/>
      <c r="M254" s="276"/>
      <c r="N254" s="157"/>
      <c r="O254" s="302"/>
      <c r="P254" s="302"/>
    </row>
    <row r="255" spans="3:16" s="159" customFormat="1" x14ac:dyDescent="0.2">
      <c r="C255" s="655"/>
      <c r="D255" s="655"/>
      <c r="J255" s="274"/>
      <c r="M255" s="276"/>
      <c r="N255" s="157"/>
      <c r="O255" s="302"/>
      <c r="P255" s="302"/>
    </row>
    <row r="256" spans="3:16" s="159" customFormat="1" x14ac:dyDescent="0.2">
      <c r="C256" s="655"/>
      <c r="D256" s="655"/>
      <c r="J256" s="274"/>
      <c r="M256" s="276"/>
      <c r="N256" s="157"/>
      <c r="O256" s="302"/>
      <c r="P256" s="302"/>
    </row>
    <row r="257" spans="3:16" s="159" customFormat="1" x14ac:dyDescent="0.2">
      <c r="C257" s="655"/>
      <c r="D257" s="655"/>
      <c r="J257" s="274"/>
      <c r="M257" s="276"/>
      <c r="N257" s="157"/>
      <c r="O257" s="302"/>
      <c r="P257" s="302"/>
    </row>
    <row r="258" spans="3:16" s="159" customFormat="1" x14ac:dyDescent="0.2">
      <c r="C258" s="655"/>
      <c r="D258" s="655"/>
      <c r="J258" s="274"/>
      <c r="M258" s="276"/>
      <c r="N258" s="157"/>
      <c r="O258" s="302"/>
      <c r="P258" s="302"/>
    </row>
    <row r="259" spans="3:16" s="159" customFormat="1" x14ac:dyDescent="0.2">
      <c r="C259" s="655"/>
      <c r="D259" s="655"/>
      <c r="J259" s="274"/>
      <c r="M259" s="276"/>
      <c r="N259" s="157"/>
      <c r="O259" s="302"/>
      <c r="P259" s="302"/>
    </row>
    <row r="260" spans="3:16" s="159" customFormat="1" x14ac:dyDescent="0.2">
      <c r="C260" s="655"/>
      <c r="D260" s="655"/>
      <c r="J260" s="274"/>
      <c r="M260" s="276"/>
      <c r="N260" s="157"/>
      <c r="O260" s="302"/>
      <c r="P260" s="302"/>
    </row>
    <row r="261" spans="3:16" s="159" customFormat="1" x14ac:dyDescent="0.2">
      <c r="C261" s="655"/>
      <c r="D261" s="655"/>
      <c r="J261" s="274"/>
      <c r="M261" s="276"/>
      <c r="N261" s="157"/>
      <c r="O261" s="302"/>
      <c r="P261" s="302"/>
    </row>
    <row r="262" spans="3:16" s="159" customFormat="1" x14ac:dyDescent="0.2">
      <c r="C262" s="655"/>
      <c r="D262" s="655"/>
      <c r="J262" s="274"/>
      <c r="M262" s="276"/>
      <c r="N262" s="157"/>
      <c r="O262" s="302"/>
      <c r="P262" s="302"/>
    </row>
    <row r="263" spans="3:16" s="159" customFormat="1" x14ac:dyDescent="0.2">
      <c r="C263" s="655"/>
      <c r="D263" s="655"/>
      <c r="J263" s="274"/>
      <c r="M263" s="276"/>
      <c r="N263" s="157"/>
      <c r="O263" s="302"/>
      <c r="P263" s="302"/>
    </row>
    <row r="264" spans="3:16" s="159" customFormat="1" x14ac:dyDescent="0.2">
      <c r="C264" s="655"/>
      <c r="D264" s="655"/>
      <c r="J264" s="274"/>
      <c r="M264" s="276"/>
      <c r="N264" s="157"/>
      <c r="O264" s="302"/>
      <c r="P264" s="302"/>
    </row>
    <row r="265" spans="3:16" s="159" customFormat="1" x14ac:dyDescent="0.2">
      <c r="C265" s="655"/>
      <c r="D265" s="655"/>
      <c r="J265" s="274"/>
      <c r="M265" s="276"/>
      <c r="N265" s="157"/>
      <c r="O265" s="302"/>
      <c r="P265" s="302"/>
    </row>
    <row r="266" spans="3:16" s="159" customFormat="1" x14ac:dyDescent="0.2">
      <c r="C266" s="655"/>
      <c r="D266" s="655"/>
      <c r="J266" s="274"/>
      <c r="M266" s="276"/>
      <c r="N266" s="157"/>
      <c r="O266" s="302"/>
      <c r="P266" s="302"/>
    </row>
    <row r="267" spans="3:16" s="159" customFormat="1" x14ac:dyDescent="0.2">
      <c r="C267" s="655"/>
      <c r="D267" s="655"/>
      <c r="J267" s="274"/>
      <c r="M267" s="276"/>
      <c r="N267" s="157"/>
      <c r="O267" s="302"/>
      <c r="P267" s="302"/>
    </row>
    <row r="268" spans="3:16" s="159" customFormat="1" x14ac:dyDescent="0.2">
      <c r="C268" s="655"/>
      <c r="D268" s="655"/>
      <c r="J268" s="274"/>
      <c r="M268" s="276"/>
      <c r="N268" s="157"/>
      <c r="O268" s="302"/>
      <c r="P268" s="302"/>
    </row>
    <row r="269" spans="3:16" s="159" customFormat="1" x14ac:dyDescent="0.2">
      <c r="C269" s="655"/>
      <c r="D269" s="655"/>
      <c r="J269" s="274"/>
      <c r="M269" s="276"/>
      <c r="N269" s="157"/>
      <c r="O269" s="302"/>
      <c r="P269" s="302"/>
    </row>
    <row r="270" spans="3:16" s="159" customFormat="1" x14ac:dyDescent="0.2">
      <c r="C270" s="655"/>
      <c r="D270" s="655"/>
      <c r="J270" s="274"/>
      <c r="M270" s="276"/>
      <c r="N270" s="157"/>
      <c r="O270" s="302"/>
      <c r="P270" s="302"/>
    </row>
    <row r="271" spans="3:16" s="159" customFormat="1" x14ac:dyDescent="0.2">
      <c r="C271" s="655"/>
      <c r="D271" s="655"/>
      <c r="J271" s="274"/>
      <c r="M271" s="276"/>
      <c r="N271" s="157"/>
      <c r="O271" s="302"/>
      <c r="P271" s="302"/>
    </row>
    <row r="272" spans="3:16" s="159" customFormat="1" x14ac:dyDescent="0.2">
      <c r="C272" s="655"/>
      <c r="D272" s="655"/>
      <c r="J272" s="274"/>
      <c r="M272" s="276"/>
      <c r="N272" s="157"/>
      <c r="O272" s="302"/>
      <c r="P272" s="302"/>
    </row>
    <row r="273" spans="3:16" s="159" customFormat="1" x14ac:dyDescent="0.2">
      <c r="C273" s="655"/>
      <c r="D273" s="655"/>
      <c r="J273" s="274"/>
      <c r="M273" s="276"/>
      <c r="N273" s="157"/>
      <c r="O273" s="302"/>
      <c r="P273" s="302"/>
    </row>
    <row r="274" spans="3:16" s="159" customFormat="1" x14ac:dyDescent="0.2">
      <c r="C274" s="655"/>
      <c r="D274" s="655"/>
      <c r="J274" s="274"/>
      <c r="M274" s="276"/>
      <c r="N274" s="157"/>
      <c r="O274" s="302"/>
      <c r="P274" s="302"/>
    </row>
    <row r="275" spans="3:16" s="159" customFormat="1" x14ac:dyDescent="0.2">
      <c r="C275" s="655"/>
      <c r="D275" s="655"/>
      <c r="J275" s="274"/>
      <c r="M275" s="276"/>
      <c r="N275" s="157"/>
      <c r="O275" s="302"/>
      <c r="P275" s="302"/>
    </row>
    <row r="276" spans="3:16" s="159" customFormat="1" x14ac:dyDescent="0.2">
      <c r="C276" s="655"/>
      <c r="D276" s="655"/>
      <c r="J276" s="274"/>
      <c r="M276" s="276"/>
      <c r="N276" s="157"/>
      <c r="O276" s="302"/>
      <c r="P276" s="302"/>
    </row>
    <row r="277" spans="3:16" s="159" customFormat="1" x14ac:dyDescent="0.2">
      <c r="C277" s="655"/>
      <c r="D277" s="655"/>
      <c r="J277" s="274"/>
      <c r="M277" s="276"/>
      <c r="N277" s="157"/>
      <c r="O277" s="302"/>
      <c r="P277" s="302"/>
    </row>
    <row r="278" spans="3:16" s="159" customFormat="1" x14ac:dyDescent="0.2">
      <c r="C278" s="655"/>
      <c r="D278" s="655"/>
      <c r="J278" s="274"/>
      <c r="M278" s="276"/>
      <c r="N278" s="157"/>
      <c r="O278" s="302"/>
      <c r="P278" s="302"/>
    </row>
    <row r="279" spans="3:16" s="159" customFormat="1" x14ac:dyDescent="0.2">
      <c r="C279" s="655"/>
      <c r="D279" s="655"/>
      <c r="J279" s="274"/>
      <c r="M279" s="276"/>
      <c r="N279" s="157"/>
      <c r="O279" s="302"/>
      <c r="P279" s="302"/>
    </row>
    <row r="280" spans="3:16" s="159" customFormat="1" x14ac:dyDescent="0.2">
      <c r="C280" s="655"/>
      <c r="D280" s="655"/>
      <c r="J280" s="274"/>
      <c r="M280" s="276"/>
      <c r="N280" s="157"/>
      <c r="O280" s="302"/>
      <c r="P280" s="302"/>
    </row>
    <row r="281" spans="3:16" s="159" customFormat="1" x14ac:dyDescent="0.2">
      <c r="C281" s="655"/>
      <c r="D281" s="655"/>
      <c r="J281" s="274"/>
      <c r="M281" s="276"/>
      <c r="N281" s="157"/>
      <c r="O281" s="302"/>
      <c r="P281" s="302"/>
    </row>
    <row r="282" spans="3:16" s="159" customFormat="1" x14ac:dyDescent="0.2">
      <c r="C282" s="655"/>
      <c r="D282" s="655"/>
      <c r="J282" s="274"/>
      <c r="M282" s="276"/>
      <c r="N282" s="157"/>
      <c r="O282" s="302"/>
      <c r="P282" s="302"/>
    </row>
  </sheetData>
  <mergeCells count="60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F9"/>
    <mergeCell ref="G9:I9"/>
    <mergeCell ref="C19:F19"/>
    <mergeCell ref="G19:I19"/>
    <mergeCell ref="C26:F26"/>
    <mergeCell ref="G26:I26"/>
    <mergeCell ref="C32:F32"/>
    <mergeCell ref="G32:I32"/>
    <mergeCell ref="C39:F39"/>
    <mergeCell ref="G39:I39"/>
    <mergeCell ref="C74:F74"/>
    <mergeCell ref="G74:I74"/>
    <mergeCell ref="B101:B102"/>
    <mergeCell ref="C80:F80"/>
    <mergeCell ref="C47:F47"/>
    <mergeCell ref="G47:I47"/>
    <mergeCell ref="C54:F54"/>
    <mergeCell ref="G54:I54"/>
    <mergeCell ref="C59:F59"/>
    <mergeCell ref="G59:I59"/>
    <mergeCell ref="G80:I80"/>
    <mergeCell ref="C86:F86"/>
    <mergeCell ref="G86:I86"/>
    <mergeCell ref="C92:F92"/>
    <mergeCell ref="G92:I92"/>
    <mergeCell ref="J100:J101"/>
    <mergeCell ref="K100:K101"/>
    <mergeCell ref="F102:F103"/>
    <mergeCell ref="G102:G103"/>
    <mergeCell ref="I102:I103"/>
    <mergeCell ref="J102:J103"/>
    <mergeCell ref="K102:K103"/>
    <mergeCell ref="F100:F101"/>
    <mergeCell ref="G100:G101"/>
    <mergeCell ref="I100:I101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59" fitToHeight="2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Q234"/>
  <sheetViews>
    <sheetView zoomScale="90" zoomScaleNormal="75" zoomScaleSheetLayoutView="90" zoomScalePageLayoutView="75" workbookViewId="0">
      <selection activeCell="A55" sqref="A55"/>
    </sheetView>
  </sheetViews>
  <sheetFormatPr defaultColWidth="9.140625" defaultRowHeight="12.75" x14ac:dyDescent="0.2"/>
  <cols>
    <col min="1" max="1" width="10.85546875" style="157" bestFit="1" customWidth="1"/>
    <col min="2" max="2" width="42.85546875" style="157" customWidth="1"/>
    <col min="3" max="4" width="5" style="440" customWidth="1"/>
    <col min="5" max="5" width="10.85546875" style="157" bestFit="1" customWidth="1"/>
    <col min="6" max="6" width="12.5703125" style="157" bestFit="1" customWidth="1"/>
    <col min="7" max="7" width="7" style="157" bestFit="1" customWidth="1"/>
    <col min="8" max="8" width="10.85546875" style="157" bestFit="1" customWidth="1"/>
    <col min="9" max="9" width="14.42578125" style="157" bestFit="1" customWidth="1"/>
    <col min="10" max="10" width="16.140625" style="276" bestFit="1" customWidth="1"/>
    <col min="11" max="11" width="14.42578125" style="157" bestFit="1" customWidth="1"/>
    <col min="12" max="12" width="17.85546875" style="159" bestFit="1" customWidth="1"/>
    <col min="13" max="13" width="14" style="276" bestFit="1" customWidth="1"/>
    <col min="14" max="14" width="24.85546875" style="157" bestFit="1" customWidth="1"/>
    <col min="15" max="15" width="22" style="302" bestFit="1" customWidth="1"/>
    <col min="16" max="16" width="22.140625" style="302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2"/>
      <c r="B1" s="323"/>
      <c r="C1" s="976">
        <f>'Estimate Summary'!C1:H1</f>
        <v>0</v>
      </c>
      <c r="D1" s="976"/>
      <c r="E1" s="976"/>
      <c r="F1" s="976"/>
      <c r="G1" s="976"/>
      <c r="H1" s="976"/>
      <c r="I1" s="976"/>
      <c r="J1" s="976"/>
      <c r="K1" s="977"/>
    </row>
    <row r="2" spans="1:17" ht="13.5" thickBot="1" x14ac:dyDescent="0.25">
      <c r="A2" s="324"/>
      <c r="B2" s="325"/>
      <c r="C2" s="514"/>
      <c r="D2" s="984"/>
      <c r="E2" s="984"/>
      <c r="F2" s="984"/>
      <c r="G2" s="514"/>
      <c r="H2" s="327"/>
      <c r="I2" s="328"/>
      <c r="J2" s="329"/>
      <c r="K2" s="330"/>
    </row>
    <row r="3" spans="1:17" ht="16.5" thickBot="1" x14ac:dyDescent="0.3">
      <c r="A3" s="973"/>
      <c r="B3" s="974"/>
      <c r="C3" s="514"/>
      <c r="D3" s="984"/>
      <c r="E3" s="984"/>
      <c r="F3" s="984"/>
      <c r="G3" s="515"/>
      <c r="H3" s="332"/>
      <c r="I3" s="333"/>
      <c r="J3" s="333"/>
      <c r="K3" s="334"/>
      <c r="L3" s="1002"/>
      <c r="M3" s="1003"/>
      <c r="N3" s="985"/>
      <c r="O3" s="985"/>
      <c r="P3" s="935"/>
    </row>
    <row r="4" spans="1:17" ht="18.75" thickBot="1" x14ac:dyDescent="0.25">
      <c r="A4" s="973"/>
      <c r="B4" s="974"/>
      <c r="C4" s="514"/>
      <c r="D4" s="984"/>
      <c r="E4" s="984"/>
      <c r="F4" s="984"/>
      <c r="G4" s="336"/>
      <c r="H4" s="336"/>
      <c r="I4" s="328"/>
      <c r="J4" s="329"/>
      <c r="K4" s="330"/>
      <c r="L4" s="1002"/>
      <c r="M4" s="1003"/>
      <c r="N4" s="985"/>
      <c r="O4" s="985"/>
      <c r="P4" s="935"/>
    </row>
    <row r="5" spans="1:17" ht="21" thickBot="1" x14ac:dyDescent="0.3">
      <c r="A5" s="337"/>
      <c r="B5" s="338"/>
      <c r="C5" s="516"/>
      <c r="D5" s="340"/>
      <c r="E5" s="341"/>
      <c r="F5" s="336"/>
      <c r="G5" s="983" t="s">
        <v>40</v>
      </c>
      <c r="H5" s="983"/>
      <c r="I5" s="983"/>
      <c r="J5" s="981" t="s">
        <v>73</v>
      </c>
      <c r="K5" s="982"/>
      <c r="L5" s="1002"/>
      <c r="M5" s="1003"/>
      <c r="N5" s="985"/>
      <c r="O5" s="985"/>
      <c r="P5" s="935"/>
    </row>
    <row r="6" spans="1:17" ht="21" thickBot="1" x14ac:dyDescent="0.25">
      <c r="A6" s="337"/>
      <c r="B6" s="338"/>
      <c r="C6" s="517"/>
      <c r="D6" s="343" t="str">
        <f>'Estimate Summary'!C11</f>
        <v>Area:</v>
      </c>
      <c r="E6" s="344">
        <f>'Estimate Summary'!D11</f>
        <v>65592</v>
      </c>
      <c r="F6" s="238" t="str">
        <f>'Estimate Summary'!E11</f>
        <v>Sq. Ft.</v>
      </c>
      <c r="G6" s="983"/>
      <c r="H6" s="983"/>
      <c r="I6" s="983"/>
      <c r="J6" s="345">
        <f>'1'!J6</f>
        <v>60</v>
      </c>
      <c r="K6" s="330" t="s">
        <v>74</v>
      </c>
      <c r="L6" s="1002"/>
      <c r="M6" s="1003"/>
      <c r="N6" s="985"/>
      <c r="O6" s="985"/>
      <c r="P6" s="935"/>
    </row>
    <row r="7" spans="1:17" x14ac:dyDescent="0.2">
      <c r="A7" s="978"/>
      <c r="B7" s="979"/>
      <c r="C7" s="979"/>
      <c r="D7" s="979"/>
      <c r="E7" s="979"/>
      <c r="F7" s="979"/>
      <c r="G7" s="979"/>
      <c r="H7" s="979"/>
      <c r="I7" s="979"/>
      <c r="J7" s="979"/>
      <c r="K7" s="980"/>
    </row>
    <row r="8" spans="1:17" ht="13.5" thickBot="1" x14ac:dyDescent="0.25">
      <c r="A8" s="346"/>
      <c r="B8" s="347"/>
      <c r="C8" s="972"/>
      <c r="D8" s="972"/>
      <c r="E8" s="972"/>
      <c r="F8" s="972"/>
      <c r="G8" s="971"/>
      <c r="H8" s="971"/>
      <c r="I8" s="971"/>
      <c r="J8" s="348"/>
      <c r="K8" s="349"/>
      <c r="L8" s="518"/>
      <c r="M8" s="519"/>
      <c r="N8" s="518"/>
      <c r="O8" s="520"/>
      <c r="P8" s="520"/>
    </row>
    <row r="9" spans="1:17" ht="14.25" thickTop="1" thickBot="1" x14ac:dyDescent="0.25">
      <c r="A9" s="353" t="s">
        <v>0</v>
      </c>
      <c r="B9" s="354" t="s">
        <v>1</v>
      </c>
      <c r="C9" s="939" t="s">
        <v>656</v>
      </c>
      <c r="D9" s="939"/>
      <c r="E9" s="939"/>
      <c r="F9" s="939"/>
      <c r="G9" s="939" t="s">
        <v>34</v>
      </c>
      <c r="H9" s="939"/>
      <c r="I9" s="939"/>
      <c r="J9" s="355"/>
      <c r="K9" s="523"/>
      <c r="L9" s="942" t="s">
        <v>783</v>
      </c>
      <c r="M9" s="944" t="s">
        <v>784</v>
      </c>
      <c r="N9" s="946" t="s">
        <v>785</v>
      </c>
      <c r="O9" s="948"/>
      <c r="P9" s="950"/>
      <c r="Q9" s="940"/>
    </row>
    <row r="10" spans="1:17" ht="15.75" x14ac:dyDescent="0.25">
      <c r="A10" s="525" t="s">
        <v>468</v>
      </c>
      <c r="B10" s="525" t="s">
        <v>469</v>
      </c>
      <c r="C10" s="359" t="s">
        <v>19</v>
      </c>
      <c r="D10" s="360" t="s">
        <v>33</v>
      </c>
      <c r="E10" s="361" t="s">
        <v>35</v>
      </c>
      <c r="F10" s="362" t="s">
        <v>30</v>
      </c>
      <c r="G10" s="526" t="s">
        <v>14</v>
      </c>
      <c r="H10" s="361" t="s">
        <v>35</v>
      </c>
      <c r="I10" s="362" t="s">
        <v>30</v>
      </c>
      <c r="J10" s="364" t="s">
        <v>659</v>
      </c>
      <c r="K10" s="527" t="s">
        <v>38</v>
      </c>
      <c r="L10" s="943"/>
      <c r="M10" s="945"/>
      <c r="N10" s="947"/>
      <c r="O10" s="949"/>
      <c r="P10" s="951"/>
      <c r="Q10" s="941"/>
    </row>
    <row r="11" spans="1:17" x14ac:dyDescent="0.2">
      <c r="A11" s="370"/>
      <c r="B11" s="5"/>
      <c r="C11" s="371"/>
      <c r="D11" s="372" t="s">
        <v>21</v>
      </c>
      <c r="E11" s="253">
        <v>0</v>
      </c>
      <c r="F11" s="373">
        <f t="shared" ref="F11:F22" si="0">C11*E11</f>
        <v>0</v>
      </c>
      <c r="G11" s="529"/>
      <c r="H11" s="375">
        <v>0</v>
      </c>
      <c r="I11" s="373">
        <f t="shared" ref="I11:I22" si="1">G11*H11</f>
        <v>0</v>
      </c>
      <c r="J11" s="376"/>
      <c r="K11" s="530">
        <f t="shared" ref="K11:K22" si="2">F11+I11+J11</f>
        <v>0</v>
      </c>
      <c r="L11" s="378"/>
      <c r="M11" s="379"/>
      <c r="N11" s="380"/>
      <c r="O11" s="381"/>
      <c r="P11" s="382"/>
      <c r="Q11" s="383"/>
    </row>
    <row r="12" spans="1:17" x14ac:dyDescent="0.2">
      <c r="A12" s="370"/>
      <c r="B12" s="5"/>
      <c r="C12" s="371"/>
      <c r="D12" s="372" t="s">
        <v>21</v>
      </c>
      <c r="E12" s="253">
        <v>0</v>
      </c>
      <c r="F12" s="373">
        <f t="shared" si="0"/>
        <v>0</v>
      </c>
      <c r="G12" s="529"/>
      <c r="H12" s="375">
        <v>0</v>
      </c>
      <c r="I12" s="373">
        <f t="shared" si="1"/>
        <v>0</v>
      </c>
      <c r="J12" s="376"/>
      <c r="K12" s="530">
        <f t="shared" si="2"/>
        <v>0</v>
      </c>
      <c r="L12" s="378"/>
      <c r="M12" s="379"/>
      <c r="N12" s="380"/>
      <c r="O12" s="381"/>
      <c r="P12" s="382"/>
      <c r="Q12" s="383"/>
    </row>
    <row r="13" spans="1:17" x14ac:dyDescent="0.2">
      <c r="A13" s="370"/>
      <c r="B13" s="5"/>
      <c r="C13" s="371"/>
      <c r="D13" s="372" t="s">
        <v>21</v>
      </c>
      <c r="E13" s="253">
        <v>0</v>
      </c>
      <c r="F13" s="373">
        <f t="shared" si="0"/>
        <v>0</v>
      </c>
      <c r="G13" s="529"/>
      <c r="H13" s="375">
        <v>0</v>
      </c>
      <c r="I13" s="373">
        <f t="shared" si="1"/>
        <v>0</v>
      </c>
      <c r="J13" s="376"/>
      <c r="K13" s="530">
        <f t="shared" si="2"/>
        <v>0</v>
      </c>
      <c r="L13" s="378"/>
      <c r="M13" s="379"/>
      <c r="N13" s="380"/>
      <c r="O13" s="381"/>
      <c r="P13" s="382"/>
      <c r="Q13" s="383"/>
    </row>
    <row r="14" spans="1:17" x14ac:dyDescent="0.2">
      <c r="A14" s="370"/>
      <c r="B14" s="5"/>
      <c r="C14" s="371"/>
      <c r="D14" s="372" t="s">
        <v>21</v>
      </c>
      <c r="E14" s="253">
        <v>0</v>
      </c>
      <c r="F14" s="373">
        <f t="shared" si="0"/>
        <v>0</v>
      </c>
      <c r="G14" s="529"/>
      <c r="H14" s="375">
        <v>0</v>
      </c>
      <c r="I14" s="373">
        <f t="shared" si="1"/>
        <v>0</v>
      </c>
      <c r="J14" s="376"/>
      <c r="K14" s="530">
        <f t="shared" si="2"/>
        <v>0</v>
      </c>
      <c r="L14" s="378"/>
      <c r="M14" s="379"/>
      <c r="N14" s="380"/>
      <c r="O14" s="381"/>
      <c r="P14" s="382"/>
      <c r="Q14" s="383"/>
    </row>
    <row r="15" spans="1:17" x14ac:dyDescent="0.2">
      <c r="A15" s="370"/>
      <c r="B15" s="6"/>
      <c r="C15" s="371"/>
      <c r="D15" s="372" t="s">
        <v>21</v>
      </c>
      <c r="E15" s="253">
        <v>0</v>
      </c>
      <c r="F15" s="373">
        <f t="shared" si="0"/>
        <v>0</v>
      </c>
      <c r="G15" s="529"/>
      <c r="H15" s="375">
        <v>0</v>
      </c>
      <c r="I15" s="373">
        <f t="shared" si="1"/>
        <v>0</v>
      </c>
      <c r="J15" s="376"/>
      <c r="K15" s="530">
        <f t="shared" si="2"/>
        <v>0</v>
      </c>
      <c r="L15" s="378"/>
      <c r="M15" s="379"/>
      <c r="N15" s="380"/>
      <c r="O15" s="381"/>
      <c r="P15" s="382"/>
      <c r="Q15" s="383"/>
    </row>
    <row r="16" spans="1:17" x14ac:dyDescent="0.2">
      <c r="A16" s="384"/>
      <c r="B16" s="5"/>
      <c r="C16" s="371"/>
      <c r="D16" s="372" t="s">
        <v>21</v>
      </c>
      <c r="E16" s="253">
        <v>0</v>
      </c>
      <c r="F16" s="373">
        <f t="shared" si="0"/>
        <v>0</v>
      </c>
      <c r="G16" s="529"/>
      <c r="H16" s="375">
        <v>0</v>
      </c>
      <c r="I16" s="373">
        <f t="shared" si="1"/>
        <v>0</v>
      </c>
      <c r="J16" s="376"/>
      <c r="K16" s="530">
        <f t="shared" si="2"/>
        <v>0</v>
      </c>
      <c r="L16" s="378"/>
      <c r="M16" s="379"/>
      <c r="N16" s="380"/>
      <c r="O16" s="381"/>
      <c r="P16" s="382"/>
      <c r="Q16" s="383"/>
    </row>
    <row r="17" spans="1:17" x14ac:dyDescent="0.2">
      <c r="A17" s="384"/>
      <c r="B17" s="5"/>
      <c r="C17" s="371"/>
      <c r="D17" s="372" t="s">
        <v>21</v>
      </c>
      <c r="E17" s="253">
        <v>0</v>
      </c>
      <c r="F17" s="373">
        <f t="shared" si="0"/>
        <v>0</v>
      </c>
      <c r="G17" s="529"/>
      <c r="H17" s="375">
        <v>0</v>
      </c>
      <c r="I17" s="373">
        <f t="shared" si="1"/>
        <v>0</v>
      </c>
      <c r="J17" s="376"/>
      <c r="K17" s="530">
        <f t="shared" si="2"/>
        <v>0</v>
      </c>
      <c r="L17" s="378"/>
      <c r="M17" s="379"/>
      <c r="N17" s="380"/>
      <c r="O17" s="381"/>
      <c r="P17" s="382"/>
      <c r="Q17" s="383"/>
    </row>
    <row r="18" spans="1:17" x14ac:dyDescent="0.2">
      <c r="A18" s="384"/>
      <c r="B18" s="5"/>
      <c r="C18" s="371"/>
      <c r="D18" s="372" t="s">
        <v>21</v>
      </c>
      <c r="E18" s="253">
        <v>0</v>
      </c>
      <c r="F18" s="373">
        <f t="shared" si="0"/>
        <v>0</v>
      </c>
      <c r="G18" s="529"/>
      <c r="H18" s="375">
        <v>0</v>
      </c>
      <c r="I18" s="373">
        <f t="shared" si="1"/>
        <v>0</v>
      </c>
      <c r="J18" s="376"/>
      <c r="K18" s="530">
        <f t="shared" si="2"/>
        <v>0</v>
      </c>
      <c r="L18" s="378"/>
      <c r="M18" s="379"/>
      <c r="N18" s="380"/>
      <c r="O18" s="381"/>
      <c r="P18" s="382"/>
      <c r="Q18" s="383"/>
    </row>
    <row r="19" spans="1:17" x14ac:dyDescent="0.2">
      <c r="A19" s="384"/>
      <c r="B19" s="5"/>
      <c r="C19" s="371"/>
      <c r="D19" s="372" t="s">
        <v>21</v>
      </c>
      <c r="E19" s="253">
        <v>0</v>
      </c>
      <c r="F19" s="373">
        <f t="shared" si="0"/>
        <v>0</v>
      </c>
      <c r="G19" s="529"/>
      <c r="H19" s="375">
        <v>0</v>
      </c>
      <c r="I19" s="373">
        <f t="shared" si="1"/>
        <v>0</v>
      </c>
      <c r="J19" s="376"/>
      <c r="K19" s="530">
        <f t="shared" si="2"/>
        <v>0</v>
      </c>
      <c r="L19" s="378"/>
      <c r="M19" s="379"/>
      <c r="N19" s="380"/>
      <c r="O19" s="381"/>
      <c r="P19" s="382"/>
      <c r="Q19" s="383"/>
    </row>
    <row r="20" spans="1:17" x14ac:dyDescent="0.2">
      <c r="A20" s="384"/>
      <c r="B20" s="5"/>
      <c r="C20" s="371"/>
      <c r="D20" s="372" t="s">
        <v>21</v>
      </c>
      <c r="E20" s="253">
        <v>0</v>
      </c>
      <c r="F20" s="373">
        <f t="shared" si="0"/>
        <v>0</v>
      </c>
      <c r="G20" s="529"/>
      <c r="H20" s="375">
        <v>0</v>
      </c>
      <c r="I20" s="373">
        <f t="shared" si="1"/>
        <v>0</v>
      </c>
      <c r="J20" s="376"/>
      <c r="K20" s="530">
        <f t="shared" si="2"/>
        <v>0</v>
      </c>
      <c r="L20" s="378"/>
      <c r="M20" s="379"/>
      <c r="N20" s="380"/>
      <c r="O20" s="381"/>
      <c r="P20" s="382"/>
      <c r="Q20" s="383"/>
    </row>
    <row r="21" spans="1:17" x14ac:dyDescent="0.2">
      <c r="A21" s="384"/>
      <c r="B21" s="5"/>
      <c r="C21" s="371"/>
      <c r="D21" s="372" t="s">
        <v>21</v>
      </c>
      <c r="E21" s="253">
        <v>0</v>
      </c>
      <c r="F21" s="373">
        <f t="shared" si="0"/>
        <v>0</v>
      </c>
      <c r="G21" s="529"/>
      <c r="H21" s="375">
        <v>0</v>
      </c>
      <c r="I21" s="373">
        <f t="shared" si="1"/>
        <v>0</v>
      </c>
      <c r="J21" s="376"/>
      <c r="K21" s="530">
        <f t="shared" si="2"/>
        <v>0</v>
      </c>
      <c r="L21" s="378"/>
      <c r="M21" s="379"/>
      <c r="N21" s="380"/>
      <c r="O21" s="381"/>
      <c r="P21" s="382"/>
      <c r="Q21" s="383"/>
    </row>
    <row r="22" spans="1:17" x14ac:dyDescent="0.2">
      <c r="A22" s="384"/>
      <c r="B22" s="5"/>
      <c r="C22" s="371"/>
      <c r="D22" s="372" t="s">
        <v>21</v>
      </c>
      <c r="E22" s="253">
        <v>0</v>
      </c>
      <c r="F22" s="373">
        <f t="shared" si="0"/>
        <v>0</v>
      </c>
      <c r="G22" s="529"/>
      <c r="H22" s="375">
        <v>0</v>
      </c>
      <c r="I22" s="373">
        <f t="shared" si="1"/>
        <v>0</v>
      </c>
      <c r="J22" s="376"/>
      <c r="K22" s="530">
        <f t="shared" si="2"/>
        <v>0</v>
      </c>
      <c r="L22" s="378"/>
      <c r="M22" s="379"/>
      <c r="N22" s="380"/>
      <c r="O22" s="381"/>
      <c r="P22" s="382"/>
      <c r="Q22" s="383"/>
    </row>
    <row r="23" spans="1:17" ht="13.5" thickBot="1" x14ac:dyDescent="0.25">
      <c r="A23" s="387"/>
      <c r="B23" s="7"/>
      <c r="C23" s="388"/>
      <c r="D23" s="372"/>
      <c r="E23" s="253"/>
      <c r="F23" s="373"/>
      <c r="G23" s="529"/>
      <c r="H23" s="375"/>
      <c r="I23" s="373"/>
      <c r="J23" s="376"/>
      <c r="K23" s="530"/>
      <c r="L23" s="378"/>
      <c r="M23" s="379"/>
      <c r="N23" s="380"/>
      <c r="O23" s="381"/>
      <c r="P23" s="382"/>
      <c r="Q23" s="383"/>
    </row>
    <row r="24" spans="1:17" ht="13.5" thickTop="1" x14ac:dyDescent="0.2">
      <c r="A24" s="387"/>
      <c r="B24" s="7"/>
      <c r="C24" s="388"/>
      <c r="D24" s="372"/>
      <c r="E24" s="253"/>
      <c r="F24" s="373"/>
      <c r="G24" s="529"/>
      <c r="H24" s="375"/>
      <c r="I24" s="373"/>
      <c r="J24" s="389" t="s">
        <v>30</v>
      </c>
      <c r="K24" s="532">
        <f>SUM(K11:K23)</f>
        <v>0</v>
      </c>
      <c r="L24" s="378"/>
      <c r="M24" s="379"/>
      <c r="N24" s="380"/>
      <c r="O24" s="381"/>
      <c r="P24" s="382"/>
      <c r="Q24" s="383"/>
    </row>
    <row r="25" spans="1:17" ht="13.5" thickBot="1" x14ac:dyDescent="0.25">
      <c r="A25" s="353" t="s">
        <v>0</v>
      </c>
      <c r="B25" s="354" t="s">
        <v>1</v>
      </c>
      <c r="C25" s="939" t="s">
        <v>656</v>
      </c>
      <c r="D25" s="939"/>
      <c r="E25" s="939"/>
      <c r="F25" s="939"/>
      <c r="G25" s="939" t="s">
        <v>34</v>
      </c>
      <c r="H25" s="939"/>
      <c r="I25" s="939"/>
      <c r="J25" s="355"/>
      <c r="K25" s="523"/>
      <c r="L25" s="391"/>
      <c r="M25" s="392"/>
      <c r="N25" s="393"/>
      <c r="O25" s="381"/>
      <c r="P25" s="382"/>
      <c r="Q25" s="383"/>
    </row>
    <row r="26" spans="1:17" ht="16.5" thickBot="1" x14ac:dyDescent="0.3">
      <c r="A26" s="394"/>
      <c r="B26" s="395"/>
      <c r="C26" s="396" t="s">
        <v>19</v>
      </c>
      <c r="D26" s="397" t="s">
        <v>33</v>
      </c>
      <c r="E26" s="398" t="s">
        <v>35</v>
      </c>
      <c r="F26" s="399" t="s">
        <v>30</v>
      </c>
      <c r="G26" s="533" t="s">
        <v>14</v>
      </c>
      <c r="H26" s="398" t="s">
        <v>35</v>
      </c>
      <c r="I26" s="399" t="s">
        <v>30</v>
      </c>
      <c r="J26" s="364" t="s">
        <v>659</v>
      </c>
      <c r="K26" s="534" t="s">
        <v>38</v>
      </c>
      <c r="L26" s="402"/>
      <c r="M26" s="403"/>
      <c r="N26" s="404"/>
      <c r="O26" s="381"/>
      <c r="P26" s="382"/>
      <c r="Q26" s="383"/>
    </row>
    <row r="27" spans="1:17" s="159" customFormat="1" x14ac:dyDescent="0.2">
      <c r="A27" s="405"/>
      <c r="B27" s="406"/>
      <c r="C27" s="371"/>
      <c r="D27" s="372" t="s">
        <v>21</v>
      </c>
      <c r="E27" s="253">
        <v>0</v>
      </c>
      <c r="F27" s="373">
        <f t="shared" ref="F27:F33" si="3">C27*E27</f>
        <v>0</v>
      </c>
      <c r="G27" s="529"/>
      <c r="H27" s="375">
        <v>0</v>
      </c>
      <c r="I27" s="373">
        <f t="shared" ref="I27:I33" si="4">G27*H27</f>
        <v>0</v>
      </c>
      <c r="J27" s="376"/>
      <c r="K27" s="530">
        <f t="shared" ref="K27:K33" si="5">F27+I27+J27</f>
        <v>0</v>
      </c>
      <c r="L27" s="378"/>
      <c r="M27" s="379"/>
      <c r="N27" s="380"/>
      <c r="O27" s="381"/>
      <c r="P27" s="382"/>
      <c r="Q27" s="383"/>
    </row>
    <row r="28" spans="1:17" s="159" customFormat="1" x14ac:dyDescent="0.2">
      <c r="A28" s="370"/>
      <c r="B28" s="5"/>
      <c r="C28" s="371"/>
      <c r="D28" s="372" t="s">
        <v>21</v>
      </c>
      <c r="E28" s="253">
        <v>0</v>
      </c>
      <c r="F28" s="373">
        <f t="shared" si="3"/>
        <v>0</v>
      </c>
      <c r="G28" s="529"/>
      <c r="H28" s="375">
        <v>0</v>
      </c>
      <c r="I28" s="373">
        <f t="shared" si="4"/>
        <v>0</v>
      </c>
      <c r="J28" s="376"/>
      <c r="K28" s="530">
        <f t="shared" si="5"/>
        <v>0</v>
      </c>
      <c r="L28" s="378"/>
      <c r="M28" s="379"/>
      <c r="N28" s="380"/>
      <c r="O28" s="381"/>
      <c r="P28" s="382"/>
      <c r="Q28" s="383"/>
    </row>
    <row r="29" spans="1:17" s="159" customFormat="1" x14ac:dyDescent="0.2">
      <c r="A29" s="370"/>
      <c r="B29" s="5"/>
      <c r="C29" s="371"/>
      <c r="D29" s="372" t="s">
        <v>21</v>
      </c>
      <c r="E29" s="253">
        <v>0</v>
      </c>
      <c r="F29" s="373">
        <f t="shared" si="3"/>
        <v>0</v>
      </c>
      <c r="G29" s="529"/>
      <c r="H29" s="375">
        <v>0</v>
      </c>
      <c r="I29" s="373">
        <f t="shared" si="4"/>
        <v>0</v>
      </c>
      <c r="J29" s="376"/>
      <c r="K29" s="530">
        <f t="shared" si="5"/>
        <v>0</v>
      </c>
      <c r="L29" s="378"/>
      <c r="M29" s="379"/>
      <c r="N29" s="380"/>
      <c r="O29" s="381"/>
      <c r="P29" s="382"/>
      <c r="Q29" s="383"/>
    </row>
    <row r="30" spans="1:17" s="159" customFormat="1" x14ac:dyDescent="0.2">
      <c r="A30" s="370"/>
      <c r="B30" s="5"/>
      <c r="C30" s="371"/>
      <c r="D30" s="372" t="s">
        <v>21</v>
      </c>
      <c r="E30" s="253">
        <v>0</v>
      </c>
      <c r="F30" s="373">
        <f t="shared" si="3"/>
        <v>0</v>
      </c>
      <c r="G30" s="529"/>
      <c r="H30" s="375">
        <v>0</v>
      </c>
      <c r="I30" s="373">
        <f t="shared" si="4"/>
        <v>0</v>
      </c>
      <c r="J30" s="376"/>
      <c r="K30" s="530">
        <f t="shared" si="5"/>
        <v>0</v>
      </c>
      <c r="L30" s="378"/>
      <c r="M30" s="379"/>
      <c r="N30" s="380"/>
      <c r="O30" s="381"/>
      <c r="P30" s="382"/>
      <c r="Q30" s="383"/>
    </row>
    <row r="31" spans="1:17" s="159" customFormat="1" x14ac:dyDescent="0.2">
      <c r="A31" s="370"/>
      <c r="B31" s="5"/>
      <c r="C31" s="371"/>
      <c r="D31" s="372" t="s">
        <v>21</v>
      </c>
      <c r="E31" s="253">
        <v>0</v>
      </c>
      <c r="F31" s="373">
        <f t="shared" si="3"/>
        <v>0</v>
      </c>
      <c r="G31" s="529"/>
      <c r="H31" s="375">
        <v>0</v>
      </c>
      <c r="I31" s="373">
        <f t="shared" si="4"/>
        <v>0</v>
      </c>
      <c r="J31" s="376"/>
      <c r="K31" s="530">
        <f t="shared" si="5"/>
        <v>0</v>
      </c>
      <c r="L31" s="378"/>
      <c r="M31" s="379"/>
      <c r="N31" s="380"/>
      <c r="O31" s="381"/>
      <c r="P31" s="382"/>
      <c r="Q31" s="383"/>
    </row>
    <row r="32" spans="1:17" s="159" customFormat="1" x14ac:dyDescent="0.2">
      <c r="A32" s="370"/>
      <c r="B32" s="5"/>
      <c r="C32" s="371"/>
      <c r="D32" s="372" t="s">
        <v>21</v>
      </c>
      <c r="E32" s="253">
        <v>0</v>
      </c>
      <c r="F32" s="373">
        <f t="shared" si="3"/>
        <v>0</v>
      </c>
      <c r="G32" s="529"/>
      <c r="H32" s="375">
        <v>0</v>
      </c>
      <c r="I32" s="373">
        <f t="shared" si="4"/>
        <v>0</v>
      </c>
      <c r="J32" s="376"/>
      <c r="K32" s="530">
        <f t="shared" si="5"/>
        <v>0</v>
      </c>
      <c r="L32" s="378"/>
      <c r="M32" s="379"/>
      <c r="N32" s="380"/>
      <c r="O32" s="381"/>
      <c r="P32" s="382"/>
      <c r="Q32" s="383"/>
    </row>
    <row r="33" spans="1:17" s="159" customFormat="1" x14ac:dyDescent="0.2">
      <c r="A33" s="370"/>
      <c r="B33" s="5"/>
      <c r="C33" s="371"/>
      <c r="D33" s="372" t="s">
        <v>21</v>
      </c>
      <c r="E33" s="253">
        <v>0</v>
      </c>
      <c r="F33" s="373">
        <f t="shared" si="3"/>
        <v>0</v>
      </c>
      <c r="G33" s="529"/>
      <c r="H33" s="375">
        <v>0</v>
      </c>
      <c r="I33" s="373">
        <f t="shared" si="4"/>
        <v>0</v>
      </c>
      <c r="J33" s="376"/>
      <c r="K33" s="530">
        <f t="shared" si="5"/>
        <v>0</v>
      </c>
      <c r="L33" s="378"/>
      <c r="M33" s="379"/>
      <c r="N33" s="380"/>
      <c r="O33" s="381"/>
      <c r="P33" s="382"/>
      <c r="Q33" s="383"/>
    </row>
    <row r="34" spans="1:17" s="159" customFormat="1" ht="13.5" thickBot="1" x14ac:dyDescent="0.25">
      <c r="A34" s="370"/>
      <c r="B34" s="5"/>
      <c r="C34" s="388"/>
      <c r="D34" s="372"/>
      <c r="E34" s="253"/>
      <c r="F34" s="373"/>
      <c r="G34" s="529"/>
      <c r="H34" s="375"/>
      <c r="I34" s="373"/>
      <c r="J34" s="376"/>
      <c r="K34" s="535"/>
      <c r="L34" s="378"/>
      <c r="M34" s="379"/>
      <c r="N34" s="380"/>
      <c r="O34" s="381"/>
      <c r="P34" s="382"/>
      <c r="Q34" s="383"/>
    </row>
    <row r="35" spans="1:17" s="159" customFormat="1" ht="13.5" thickTop="1" x14ac:dyDescent="0.2">
      <c r="A35" s="387"/>
      <c r="B35" s="5"/>
      <c r="C35" s="388"/>
      <c r="D35" s="372"/>
      <c r="E35" s="253"/>
      <c r="F35" s="373"/>
      <c r="G35" s="529"/>
      <c r="H35" s="375"/>
      <c r="I35" s="373"/>
      <c r="J35" s="389" t="s">
        <v>30</v>
      </c>
      <c r="K35" s="532">
        <f>SUM(K27:K34)</f>
        <v>0</v>
      </c>
      <c r="L35" s="378"/>
      <c r="M35" s="379"/>
      <c r="N35" s="380"/>
      <c r="O35" s="381"/>
      <c r="P35" s="382"/>
      <c r="Q35" s="383"/>
    </row>
    <row r="36" spans="1:17" s="159" customFormat="1" ht="13.5" thickBot="1" x14ac:dyDescent="0.25">
      <c r="A36" s="353" t="s">
        <v>0</v>
      </c>
      <c r="B36" s="354" t="s">
        <v>1</v>
      </c>
      <c r="C36" s="939" t="s">
        <v>656</v>
      </c>
      <c r="D36" s="939"/>
      <c r="E36" s="939"/>
      <c r="F36" s="939"/>
      <c r="G36" s="939" t="s">
        <v>34</v>
      </c>
      <c r="H36" s="939"/>
      <c r="I36" s="939"/>
      <c r="J36" s="355"/>
      <c r="K36" s="523"/>
      <c r="L36" s="391"/>
      <c r="M36" s="392"/>
      <c r="N36" s="393"/>
      <c r="O36" s="381"/>
      <c r="P36" s="382"/>
      <c r="Q36" s="383"/>
    </row>
    <row r="37" spans="1:17" s="159" customFormat="1" ht="16.5" thickBot="1" x14ac:dyDescent="0.3">
      <c r="A37" s="394"/>
      <c r="B37" s="395"/>
      <c r="C37" s="396" t="s">
        <v>19</v>
      </c>
      <c r="D37" s="397" t="s">
        <v>33</v>
      </c>
      <c r="E37" s="398" t="s">
        <v>35</v>
      </c>
      <c r="F37" s="399" t="s">
        <v>30</v>
      </c>
      <c r="G37" s="533" t="s">
        <v>14</v>
      </c>
      <c r="H37" s="398" t="s">
        <v>35</v>
      </c>
      <c r="I37" s="399" t="s">
        <v>30</v>
      </c>
      <c r="J37" s="364" t="s">
        <v>659</v>
      </c>
      <c r="K37" s="534" t="s">
        <v>38</v>
      </c>
      <c r="L37" s="402"/>
      <c r="M37" s="408"/>
      <c r="N37" s="409"/>
      <c r="O37" s="410"/>
      <c r="P37" s="411"/>
      <c r="Q37" s="383"/>
    </row>
    <row r="38" spans="1:17" s="159" customFormat="1" x14ac:dyDescent="0.2">
      <c r="A38" s="405"/>
      <c r="B38" s="406"/>
      <c r="C38" s="371"/>
      <c r="D38" s="372" t="s">
        <v>21</v>
      </c>
      <c r="E38" s="253">
        <v>0</v>
      </c>
      <c r="F38" s="373">
        <f>C38*E38</f>
        <v>0</v>
      </c>
      <c r="G38" s="529"/>
      <c r="H38" s="375">
        <v>0</v>
      </c>
      <c r="I38" s="373">
        <f>G38*H38</f>
        <v>0</v>
      </c>
      <c r="J38" s="376"/>
      <c r="K38" s="530">
        <f>F38+I38+J38</f>
        <v>0</v>
      </c>
      <c r="L38" s="378"/>
      <c r="M38" s="255"/>
      <c r="N38" s="421"/>
      <c r="O38" s="410"/>
      <c r="P38" s="411"/>
      <c r="Q38" s="383"/>
    </row>
    <row r="39" spans="1:17" s="159" customFormat="1" x14ac:dyDescent="0.2">
      <c r="A39" s="370"/>
      <c r="B39" s="5"/>
      <c r="C39" s="371"/>
      <c r="D39" s="372" t="s">
        <v>21</v>
      </c>
      <c r="E39" s="253">
        <v>0</v>
      </c>
      <c r="F39" s="373">
        <f>C39*E39</f>
        <v>0</v>
      </c>
      <c r="G39" s="529"/>
      <c r="H39" s="375">
        <v>0</v>
      </c>
      <c r="I39" s="373">
        <f>G39*H39</f>
        <v>0</v>
      </c>
      <c r="J39" s="376"/>
      <c r="K39" s="530">
        <f>F39+I39+J39</f>
        <v>0</v>
      </c>
      <c r="L39" s="378"/>
      <c r="M39" s="255"/>
      <c r="N39" s="421"/>
      <c r="O39" s="410"/>
      <c r="P39" s="411"/>
      <c r="Q39" s="383"/>
    </row>
    <row r="40" spans="1:17" s="159" customFormat="1" x14ac:dyDescent="0.2">
      <c r="A40" s="370"/>
      <c r="B40" s="5"/>
      <c r="C40" s="371"/>
      <c r="D40" s="372" t="s">
        <v>21</v>
      </c>
      <c r="E40" s="253">
        <v>0</v>
      </c>
      <c r="F40" s="373">
        <f>C40*E40</f>
        <v>0</v>
      </c>
      <c r="G40" s="529"/>
      <c r="H40" s="375">
        <v>0</v>
      </c>
      <c r="I40" s="373">
        <f>G40*H40</f>
        <v>0</v>
      </c>
      <c r="J40" s="376"/>
      <c r="K40" s="530">
        <f>F40+I40+J40</f>
        <v>0</v>
      </c>
      <c r="L40" s="378"/>
      <c r="M40" s="255"/>
      <c r="N40" s="421"/>
      <c r="O40" s="410"/>
      <c r="P40" s="411"/>
      <c r="Q40" s="383"/>
    </row>
    <row r="41" spans="1:17" s="159" customFormat="1" x14ac:dyDescent="0.2">
      <c r="A41" s="387"/>
      <c r="B41" s="412"/>
      <c r="C41" s="388"/>
      <c r="D41" s="372"/>
      <c r="E41" s="253"/>
      <c r="F41" s="373"/>
      <c r="G41" s="529"/>
      <c r="H41" s="375"/>
      <c r="I41" s="373"/>
      <c r="J41" s="376"/>
      <c r="K41" s="535"/>
      <c r="L41" s="378"/>
      <c r="M41" s="255"/>
      <c r="N41" s="421"/>
      <c r="O41" s="410"/>
      <c r="P41" s="411"/>
      <c r="Q41" s="383"/>
    </row>
    <row r="42" spans="1:17" s="159" customFormat="1" ht="13.5" thickBot="1" x14ac:dyDescent="0.25">
      <c r="A42" s="387"/>
      <c r="B42" s="412"/>
      <c r="C42" s="388"/>
      <c r="D42" s="372"/>
      <c r="E42" s="253"/>
      <c r="F42" s="373"/>
      <c r="G42" s="529"/>
      <c r="H42" s="375"/>
      <c r="I42" s="373"/>
      <c r="J42" s="376"/>
      <c r="K42" s="535"/>
      <c r="L42" s="378"/>
      <c r="M42" s="255"/>
      <c r="N42" s="421"/>
      <c r="O42" s="410"/>
      <c r="P42" s="411"/>
      <c r="Q42" s="383"/>
    </row>
    <row r="43" spans="1:17" s="159" customFormat="1" ht="13.5" thickTop="1" x14ac:dyDescent="0.2">
      <c r="A43" s="387"/>
      <c r="B43" s="412"/>
      <c r="C43" s="388"/>
      <c r="D43" s="372"/>
      <c r="E43" s="253"/>
      <c r="F43" s="373"/>
      <c r="G43" s="529"/>
      <c r="H43" s="375"/>
      <c r="I43" s="373"/>
      <c r="J43" s="389" t="s">
        <v>30</v>
      </c>
      <c r="K43" s="532">
        <f>SUM(K38:K42)</f>
        <v>0</v>
      </c>
      <c r="L43" s="378"/>
      <c r="M43" s="255"/>
      <c r="N43" s="380"/>
      <c r="O43" s="381"/>
      <c r="P43" s="382"/>
      <c r="Q43" s="383"/>
    </row>
    <row r="44" spans="1:17" s="159" customFormat="1" ht="13.5" thickBot="1" x14ac:dyDescent="0.25">
      <c r="A44" s="353" t="s">
        <v>0</v>
      </c>
      <c r="B44" s="354" t="s">
        <v>1</v>
      </c>
      <c r="C44" s="939" t="s">
        <v>656</v>
      </c>
      <c r="D44" s="939"/>
      <c r="E44" s="939"/>
      <c r="F44" s="939"/>
      <c r="G44" s="939" t="s">
        <v>34</v>
      </c>
      <c r="H44" s="939"/>
      <c r="I44" s="939"/>
      <c r="J44" s="355"/>
      <c r="K44" s="523"/>
      <c r="L44" s="391"/>
      <c r="M44" s="355"/>
      <c r="N44" s="393"/>
      <c r="O44" s="381"/>
      <c r="P44" s="382"/>
      <c r="Q44" s="383"/>
    </row>
    <row r="45" spans="1:17" s="159" customFormat="1" ht="16.5" thickBot="1" x14ac:dyDescent="0.3">
      <c r="A45" s="394"/>
      <c r="B45" s="395"/>
      <c r="C45" s="396" t="s">
        <v>19</v>
      </c>
      <c r="D45" s="397" t="s">
        <v>33</v>
      </c>
      <c r="E45" s="398" t="s">
        <v>35</v>
      </c>
      <c r="F45" s="399" t="s">
        <v>30</v>
      </c>
      <c r="G45" s="533" t="s">
        <v>14</v>
      </c>
      <c r="H45" s="398" t="s">
        <v>35</v>
      </c>
      <c r="I45" s="399" t="s">
        <v>30</v>
      </c>
      <c r="J45" s="364" t="s">
        <v>659</v>
      </c>
      <c r="K45" s="534" t="s">
        <v>38</v>
      </c>
      <c r="L45" s="402"/>
      <c r="M45" s="408"/>
      <c r="N45" s="404"/>
      <c r="O45" s="381"/>
      <c r="P45" s="411"/>
      <c r="Q45" s="383"/>
    </row>
    <row r="46" spans="1:17" s="159" customFormat="1" x14ac:dyDescent="0.2">
      <c r="A46" s="405"/>
      <c r="B46" s="406"/>
      <c r="C46" s="371"/>
      <c r="D46" s="372" t="s">
        <v>21</v>
      </c>
      <c r="E46" s="253">
        <v>0</v>
      </c>
      <c r="F46" s="373">
        <f>C46*E46</f>
        <v>0</v>
      </c>
      <c r="G46" s="529"/>
      <c r="H46" s="375">
        <v>0</v>
      </c>
      <c r="I46" s="373">
        <f>G46*H46</f>
        <v>0</v>
      </c>
      <c r="J46" s="376"/>
      <c r="K46" s="530">
        <f>F46+I46+J46</f>
        <v>0</v>
      </c>
      <c r="L46" s="378"/>
      <c r="M46" s="255"/>
      <c r="N46" s="380"/>
      <c r="O46" s="381"/>
      <c r="P46" s="382"/>
      <c r="Q46" s="383"/>
    </row>
    <row r="47" spans="1:17" s="159" customFormat="1" x14ac:dyDescent="0.2">
      <c r="A47" s="370"/>
      <c r="B47" s="5"/>
      <c r="C47" s="371"/>
      <c r="D47" s="372" t="s">
        <v>21</v>
      </c>
      <c r="E47" s="253">
        <v>0</v>
      </c>
      <c r="F47" s="373">
        <f>C47*E47</f>
        <v>0</v>
      </c>
      <c r="G47" s="529"/>
      <c r="H47" s="375">
        <v>0</v>
      </c>
      <c r="I47" s="373">
        <f>G47*H47</f>
        <v>0</v>
      </c>
      <c r="J47" s="376"/>
      <c r="K47" s="530">
        <f>F47+I47+J47</f>
        <v>0</v>
      </c>
      <c r="L47" s="378"/>
      <c r="M47" s="255"/>
      <c r="N47" s="380"/>
      <c r="O47" s="381"/>
      <c r="P47" s="382"/>
      <c r="Q47" s="383"/>
    </row>
    <row r="48" spans="1:17" s="159" customFormat="1" x14ac:dyDescent="0.2">
      <c r="A48" s="370"/>
      <c r="B48" s="5"/>
      <c r="C48" s="371"/>
      <c r="D48" s="372" t="s">
        <v>21</v>
      </c>
      <c r="E48" s="253">
        <v>0</v>
      </c>
      <c r="F48" s="373">
        <f>C48*E48</f>
        <v>0</v>
      </c>
      <c r="G48" s="529"/>
      <c r="H48" s="375">
        <v>0</v>
      </c>
      <c r="I48" s="373">
        <f>G48*H48</f>
        <v>0</v>
      </c>
      <c r="J48" s="376"/>
      <c r="K48" s="530">
        <f>F48+I48+J48</f>
        <v>0</v>
      </c>
      <c r="L48" s="378"/>
      <c r="M48" s="255"/>
      <c r="N48" s="380"/>
      <c r="O48" s="381"/>
      <c r="P48" s="382"/>
      <c r="Q48" s="383"/>
    </row>
    <row r="49" spans="1:17" s="159" customFormat="1" x14ac:dyDescent="0.2">
      <c r="A49" s="370"/>
      <c r="B49" s="5"/>
      <c r="C49" s="371"/>
      <c r="D49" s="372" t="s">
        <v>21</v>
      </c>
      <c r="E49" s="253">
        <v>0</v>
      </c>
      <c r="F49" s="373">
        <f>C49*E49</f>
        <v>0</v>
      </c>
      <c r="G49" s="529"/>
      <c r="H49" s="375">
        <v>0</v>
      </c>
      <c r="I49" s="373">
        <f>G49*H49</f>
        <v>0</v>
      </c>
      <c r="J49" s="376"/>
      <c r="K49" s="530">
        <f>F49+I49+J49</f>
        <v>0</v>
      </c>
      <c r="L49" s="378"/>
      <c r="M49" s="255"/>
      <c r="N49" s="380"/>
      <c r="O49" s="381"/>
      <c r="P49" s="382"/>
      <c r="Q49" s="383"/>
    </row>
    <row r="50" spans="1:17" s="159" customFormat="1" ht="13.5" thickBot="1" x14ac:dyDescent="0.25">
      <c r="A50" s="387"/>
      <c r="B50" s="412"/>
      <c r="C50" s="371"/>
      <c r="D50" s="372"/>
      <c r="E50" s="253"/>
      <c r="F50" s="373"/>
      <c r="G50" s="529"/>
      <c r="H50" s="375"/>
      <c r="I50" s="373"/>
      <c r="J50" s="376"/>
      <c r="K50" s="530"/>
      <c r="L50" s="378"/>
      <c r="M50" s="255"/>
      <c r="N50" s="380"/>
      <c r="O50" s="381"/>
      <c r="P50" s="382"/>
      <c r="Q50" s="383"/>
    </row>
    <row r="51" spans="1:17" s="159" customFormat="1" ht="14.25" thickTop="1" thickBot="1" x14ac:dyDescent="0.25">
      <c r="A51" s="470"/>
      <c r="B51" s="156"/>
      <c r="C51" s="471"/>
      <c r="D51" s="472"/>
      <c r="E51" s="473"/>
      <c r="F51" s="474"/>
      <c r="G51" s="634"/>
      <c r="H51" s="473"/>
      <c r="I51" s="474"/>
      <c r="J51" s="476" t="s">
        <v>30</v>
      </c>
      <c r="K51" s="635">
        <f>SUM(K46:K50)</f>
        <v>0</v>
      </c>
      <c r="L51" s="536"/>
      <c r="M51" s="255"/>
      <c r="N51" s="537"/>
      <c r="O51" s="540"/>
      <c r="P51" s="541"/>
      <c r="Q51" s="383"/>
    </row>
    <row r="52" spans="1:17" s="159" customFormat="1" ht="14.1" customHeight="1" thickTop="1" x14ac:dyDescent="0.25">
      <c r="A52" s="478"/>
      <c r="B52" s="479"/>
      <c r="C52" s="480"/>
      <c r="D52" s="480"/>
      <c r="E52" s="481"/>
      <c r="F52" s="969" t="s">
        <v>658</v>
      </c>
      <c r="G52" s="992" t="s">
        <v>684</v>
      </c>
      <c r="H52" s="481"/>
      <c r="I52" s="962" t="s">
        <v>657</v>
      </c>
      <c r="J52" s="958" t="s">
        <v>685</v>
      </c>
      <c r="K52" s="994" t="s">
        <v>31</v>
      </c>
      <c r="L52" s="653"/>
      <c r="M52" s="543"/>
      <c r="N52" s="544"/>
      <c r="O52" s="545"/>
      <c r="P52" s="545"/>
      <c r="Q52" s="546"/>
    </row>
    <row r="53" spans="1:17" s="159" customFormat="1" ht="15" x14ac:dyDescent="0.2">
      <c r="A53" s="482" t="s">
        <v>32</v>
      </c>
      <c r="B53" s="964" t="s">
        <v>675</v>
      </c>
      <c r="C53" s="483"/>
      <c r="D53" s="484"/>
      <c r="E53" s="484"/>
      <c r="F53" s="970"/>
      <c r="G53" s="993"/>
      <c r="H53" s="485"/>
      <c r="I53" s="963"/>
      <c r="J53" s="959"/>
      <c r="K53" s="995"/>
      <c r="M53" s="255"/>
      <c r="N53" s="157"/>
      <c r="O53" s="548"/>
      <c r="P53" s="548"/>
      <c r="Q53" s="549"/>
    </row>
    <row r="54" spans="1:17" s="159" customFormat="1" ht="15" x14ac:dyDescent="0.25">
      <c r="A54" s="826">
        <f>K54/E6</f>
        <v>0</v>
      </c>
      <c r="B54" s="964"/>
      <c r="C54" s="484"/>
      <c r="D54" s="484"/>
      <c r="E54" s="484"/>
      <c r="F54" s="952">
        <f>SUM(F46:F50,F38:F42,F27:F34,F11:F23)</f>
        <v>0</v>
      </c>
      <c r="G54" s="997">
        <f>SUM(G46:G50,G38:G42,G27:G34,G11:G23)</f>
        <v>0</v>
      </c>
      <c r="H54" s="485"/>
      <c r="I54" s="952">
        <f>SUM(I46:I50,I38:I42,I27:I34,I11:I23)</f>
        <v>0</v>
      </c>
      <c r="J54" s="952">
        <f>SUM(J46:J50,J38:J42,J27:J34,J11:J23)</f>
        <v>0</v>
      </c>
      <c r="K54" s="960">
        <f>K51+K43+K35+K24</f>
        <v>0</v>
      </c>
      <c r="M54" s="255"/>
      <c r="N54" s="157"/>
      <c r="O54" s="549"/>
      <c r="P54" s="549"/>
      <c r="Q54" s="549"/>
    </row>
    <row r="55" spans="1:17" s="159" customFormat="1" ht="15" thickBot="1" x14ac:dyDescent="0.25">
      <c r="A55" s="482"/>
      <c r="B55" s="550"/>
      <c r="C55" s="488"/>
      <c r="D55" s="488"/>
      <c r="E55" s="488"/>
      <c r="F55" s="953"/>
      <c r="G55" s="998"/>
      <c r="H55" s="488"/>
      <c r="I55" s="953"/>
      <c r="J55" s="953"/>
      <c r="K55" s="961"/>
      <c r="M55" s="255"/>
      <c r="N55" s="157"/>
      <c r="O55" s="548"/>
      <c r="P55" s="548"/>
      <c r="Q55" s="549"/>
    </row>
    <row r="56" spans="1:17" s="159" customFormat="1" ht="13.5" thickBot="1" x14ac:dyDescent="0.25">
      <c r="A56" s="489"/>
      <c r="B56" s="490"/>
      <c r="C56" s="490"/>
      <c r="D56" s="490"/>
      <c r="E56" s="490"/>
      <c r="F56" s="490"/>
      <c r="G56" s="490"/>
      <c r="H56" s="490"/>
      <c r="I56" s="490"/>
      <c r="J56" s="490"/>
      <c r="K56" s="490"/>
      <c r="M56" s="255"/>
      <c r="N56" s="157"/>
      <c r="O56" s="548"/>
      <c r="P56" s="548"/>
      <c r="Q56" s="549"/>
    </row>
    <row r="57" spans="1:17" s="159" customFormat="1" x14ac:dyDescent="0.2">
      <c r="C57" s="655"/>
      <c r="D57" s="655"/>
      <c r="J57" s="274"/>
      <c r="M57" s="255"/>
      <c r="N57" s="157"/>
      <c r="O57" s="548"/>
      <c r="P57" s="548"/>
      <c r="Q57" s="549"/>
    </row>
    <row r="58" spans="1:17" s="159" customFormat="1" x14ac:dyDescent="0.2">
      <c r="C58" s="655"/>
      <c r="D58" s="655"/>
      <c r="J58" s="274"/>
      <c r="M58" s="255"/>
      <c r="N58" s="157"/>
      <c r="O58" s="548"/>
      <c r="P58" s="548"/>
      <c r="Q58" s="549"/>
    </row>
    <row r="59" spans="1:17" s="159" customFormat="1" x14ac:dyDescent="0.2">
      <c r="C59" s="655"/>
      <c r="D59" s="655"/>
      <c r="J59" s="274"/>
      <c r="M59" s="255"/>
      <c r="N59" s="157"/>
      <c r="O59" s="548"/>
      <c r="P59" s="548"/>
      <c r="Q59" s="549"/>
    </row>
    <row r="60" spans="1:17" s="159" customFormat="1" x14ac:dyDescent="0.2">
      <c r="C60" s="655"/>
      <c r="D60" s="655"/>
      <c r="J60" s="274"/>
      <c r="M60" s="255"/>
      <c r="N60" s="157"/>
      <c r="O60" s="548"/>
      <c r="P60" s="548"/>
      <c r="Q60" s="549"/>
    </row>
    <row r="61" spans="1:17" s="159" customFormat="1" x14ac:dyDescent="0.2">
      <c r="C61" s="655"/>
      <c r="D61" s="655"/>
      <c r="J61" s="274"/>
      <c r="M61" s="255"/>
      <c r="N61" s="157"/>
      <c r="O61" s="548"/>
      <c r="P61" s="548"/>
      <c r="Q61" s="549"/>
    </row>
    <row r="62" spans="1:17" s="159" customFormat="1" x14ac:dyDescent="0.2">
      <c r="C62" s="655"/>
      <c r="D62" s="655"/>
      <c r="J62" s="274"/>
      <c r="M62" s="255"/>
      <c r="N62" s="157"/>
      <c r="O62" s="548"/>
      <c r="P62" s="548"/>
      <c r="Q62" s="549"/>
    </row>
    <row r="63" spans="1:17" s="159" customFormat="1" x14ac:dyDescent="0.2">
      <c r="C63" s="655"/>
      <c r="D63" s="655"/>
      <c r="J63" s="274"/>
      <c r="M63" s="255"/>
      <c r="N63" s="157"/>
      <c r="O63" s="548"/>
      <c r="P63" s="548"/>
      <c r="Q63" s="549"/>
    </row>
    <row r="64" spans="1:17" s="159" customFormat="1" x14ac:dyDescent="0.2">
      <c r="C64" s="655"/>
      <c r="D64" s="655"/>
      <c r="J64" s="274"/>
      <c r="M64" s="276"/>
      <c r="N64" s="157"/>
      <c r="O64" s="302"/>
      <c r="P64" s="302"/>
    </row>
    <row r="65" spans="3:16" s="159" customFormat="1" x14ac:dyDescent="0.2">
      <c r="C65" s="655"/>
      <c r="D65" s="655"/>
      <c r="J65" s="274"/>
      <c r="M65" s="276"/>
      <c r="N65" s="157"/>
      <c r="O65" s="302"/>
      <c r="P65" s="302"/>
    </row>
    <row r="66" spans="3:16" s="159" customFormat="1" x14ac:dyDescent="0.2">
      <c r="C66" s="655"/>
      <c r="D66" s="655"/>
      <c r="J66" s="274"/>
      <c r="M66" s="276"/>
      <c r="N66" s="157"/>
      <c r="O66" s="302"/>
      <c r="P66" s="302"/>
    </row>
    <row r="67" spans="3:16" s="159" customFormat="1" x14ac:dyDescent="0.2">
      <c r="C67" s="655"/>
      <c r="D67" s="655"/>
      <c r="J67" s="274"/>
      <c r="M67" s="276"/>
      <c r="N67" s="157"/>
      <c r="O67" s="302"/>
      <c r="P67" s="302"/>
    </row>
    <row r="68" spans="3:16" s="159" customFormat="1" x14ac:dyDescent="0.2">
      <c r="C68" s="655"/>
      <c r="D68" s="655"/>
      <c r="J68" s="274"/>
      <c r="M68" s="276"/>
      <c r="N68" s="157"/>
      <c r="O68" s="302"/>
      <c r="P68" s="302"/>
    </row>
    <row r="69" spans="3:16" s="159" customFormat="1" x14ac:dyDescent="0.2">
      <c r="C69" s="655"/>
      <c r="D69" s="655"/>
      <c r="J69" s="274"/>
      <c r="M69" s="276"/>
      <c r="N69" s="157"/>
      <c r="O69" s="302"/>
      <c r="P69" s="302"/>
    </row>
    <row r="70" spans="3:16" s="159" customFormat="1" x14ac:dyDescent="0.2">
      <c r="C70" s="655"/>
      <c r="D70" s="655"/>
      <c r="J70" s="274"/>
      <c r="M70" s="276"/>
      <c r="N70" s="157"/>
      <c r="O70" s="302"/>
      <c r="P70" s="302"/>
    </row>
    <row r="71" spans="3:16" s="159" customFormat="1" x14ac:dyDescent="0.2">
      <c r="C71" s="655"/>
      <c r="D71" s="655"/>
      <c r="J71" s="274"/>
      <c r="M71" s="276"/>
      <c r="N71" s="157"/>
      <c r="O71" s="302"/>
      <c r="P71" s="302"/>
    </row>
    <row r="72" spans="3:16" s="159" customFormat="1" x14ac:dyDescent="0.2">
      <c r="C72" s="655"/>
      <c r="D72" s="655"/>
      <c r="J72" s="274"/>
      <c r="M72" s="276"/>
      <c r="N72" s="157"/>
      <c r="O72" s="302"/>
      <c r="P72" s="302"/>
    </row>
    <row r="73" spans="3:16" s="159" customFormat="1" x14ac:dyDescent="0.2">
      <c r="C73" s="655"/>
      <c r="D73" s="655"/>
      <c r="J73" s="274"/>
      <c r="M73" s="276"/>
      <c r="N73" s="157"/>
      <c r="O73" s="302"/>
      <c r="P73" s="302"/>
    </row>
    <row r="74" spans="3:16" s="159" customFormat="1" x14ac:dyDescent="0.2">
      <c r="C74" s="655"/>
      <c r="D74" s="655"/>
      <c r="J74" s="274"/>
      <c r="M74" s="276"/>
      <c r="N74" s="157"/>
      <c r="O74" s="302"/>
      <c r="P74" s="302"/>
    </row>
    <row r="75" spans="3:16" s="159" customFormat="1" x14ac:dyDescent="0.2">
      <c r="C75" s="655"/>
      <c r="D75" s="655"/>
      <c r="J75" s="274"/>
      <c r="M75" s="276"/>
      <c r="N75" s="157"/>
      <c r="O75" s="302"/>
      <c r="P75" s="302"/>
    </row>
    <row r="76" spans="3:16" s="159" customFormat="1" x14ac:dyDescent="0.2">
      <c r="C76" s="655"/>
      <c r="D76" s="655"/>
      <c r="J76" s="274"/>
      <c r="M76" s="276"/>
      <c r="N76" s="157"/>
      <c r="O76" s="302"/>
      <c r="P76" s="302"/>
    </row>
    <row r="77" spans="3:16" s="159" customFormat="1" x14ac:dyDescent="0.2">
      <c r="C77" s="655"/>
      <c r="D77" s="655"/>
      <c r="J77" s="274"/>
      <c r="M77" s="276"/>
      <c r="N77" s="157"/>
      <c r="O77" s="302"/>
      <c r="P77" s="302"/>
    </row>
    <row r="78" spans="3:16" s="159" customFormat="1" x14ac:dyDescent="0.2">
      <c r="C78" s="655"/>
      <c r="D78" s="655"/>
      <c r="J78" s="274"/>
      <c r="M78" s="276"/>
      <c r="N78" s="157"/>
      <c r="O78" s="302"/>
      <c r="P78" s="302"/>
    </row>
    <row r="79" spans="3:16" s="159" customFormat="1" x14ac:dyDescent="0.2">
      <c r="C79" s="655"/>
      <c r="D79" s="655"/>
      <c r="J79" s="274"/>
      <c r="M79" s="276"/>
      <c r="N79" s="157"/>
      <c r="O79" s="302"/>
      <c r="P79" s="302"/>
    </row>
    <row r="80" spans="3:16" s="159" customFormat="1" x14ac:dyDescent="0.2">
      <c r="C80" s="655"/>
      <c r="D80" s="655"/>
      <c r="J80" s="274"/>
      <c r="M80" s="276"/>
      <c r="N80" s="157"/>
      <c r="O80" s="302"/>
      <c r="P80" s="302"/>
    </row>
    <row r="81" spans="3:16" s="159" customFormat="1" x14ac:dyDescent="0.2">
      <c r="C81" s="655"/>
      <c r="D81" s="655"/>
      <c r="J81" s="274"/>
      <c r="M81" s="276"/>
      <c r="N81" s="157"/>
      <c r="O81" s="302"/>
      <c r="P81" s="302"/>
    </row>
    <row r="82" spans="3:16" s="159" customFormat="1" x14ac:dyDescent="0.2">
      <c r="C82" s="655"/>
      <c r="D82" s="655"/>
      <c r="J82" s="274"/>
      <c r="M82" s="276"/>
      <c r="N82" s="157"/>
      <c r="O82" s="302"/>
      <c r="P82" s="302"/>
    </row>
    <row r="83" spans="3:16" s="159" customFormat="1" x14ac:dyDescent="0.2">
      <c r="C83" s="655"/>
      <c r="D83" s="655"/>
      <c r="J83" s="274"/>
      <c r="M83" s="276"/>
      <c r="N83" s="157"/>
      <c r="O83" s="302"/>
      <c r="P83" s="302"/>
    </row>
    <row r="84" spans="3:16" s="159" customFormat="1" x14ac:dyDescent="0.2">
      <c r="C84" s="655"/>
      <c r="D84" s="655"/>
      <c r="J84" s="274"/>
      <c r="M84" s="276"/>
      <c r="N84" s="157"/>
      <c r="O84" s="302"/>
      <c r="P84" s="302"/>
    </row>
    <row r="85" spans="3:16" s="159" customFormat="1" x14ac:dyDescent="0.2">
      <c r="C85" s="655"/>
      <c r="D85" s="655"/>
      <c r="J85" s="274"/>
      <c r="M85" s="276"/>
      <c r="N85" s="157"/>
      <c r="O85" s="302"/>
      <c r="P85" s="302"/>
    </row>
    <row r="86" spans="3:16" s="159" customFormat="1" x14ac:dyDescent="0.2">
      <c r="C86" s="655"/>
      <c r="D86" s="655"/>
      <c r="J86" s="274"/>
      <c r="M86" s="276"/>
      <c r="N86" s="157"/>
      <c r="O86" s="302"/>
      <c r="P86" s="302"/>
    </row>
    <row r="87" spans="3:16" s="159" customFormat="1" x14ac:dyDescent="0.2">
      <c r="C87" s="655"/>
      <c r="D87" s="655"/>
      <c r="J87" s="274"/>
      <c r="M87" s="276"/>
      <c r="N87" s="157"/>
      <c r="O87" s="302"/>
      <c r="P87" s="302"/>
    </row>
    <row r="88" spans="3:16" s="159" customFormat="1" x14ac:dyDescent="0.2">
      <c r="C88" s="655"/>
      <c r="D88" s="655"/>
      <c r="J88" s="274"/>
      <c r="M88" s="276"/>
      <c r="N88" s="157"/>
      <c r="O88" s="302"/>
      <c r="P88" s="302"/>
    </row>
    <row r="89" spans="3:16" s="159" customFormat="1" x14ac:dyDescent="0.2">
      <c r="C89" s="655"/>
      <c r="D89" s="655"/>
      <c r="J89" s="274"/>
      <c r="M89" s="276"/>
      <c r="N89" s="157"/>
      <c r="O89" s="302"/>
      <c r="P89" s="302"/>
    </row>
    <row r="90" spans="3:16" s="159" customFormat="1" x14ac:dyDescent="0.2">
      <c r="C90" s="655"/>
      <c r="D90" s="655"/>
      <c r="J90" s="274"/>
      <c r="M90" s="276"/>
      <c r="N90" s="157"/>
      <c r="O90" s="302"/>
      <c r="P90" s="302"/>
    </row>
    <row r="91" spans="3:16" s="159" customFormat="1" x14ac:dyDescent="0.2">
      <c r="C91" s="655"/>
      <c r="D91" s="655"/>
      <c r="J91" s="274"/>
      <c r="M91" s="276"/>
      <c r="N91" s="157"/>
      <c r="O91" s="302"/>
      <c r="P91" s="302"/>
    </row>
    <row r="92" spans="3:16" s="159" customFormat="1" x14ac:dyDescent="0.2">
      <c r="C92" s="655"/>
      <c r="D92" s="655"/>
      <c r="J92" s="274"/>
      <c r="M92" s="276"/>
      <c r="N92" s="157"/>
      <c r="O92" s="302"/>
      <c r="P92" s="302"/>
    </row>
    <row r="93" spans="3:16" s="159" customFormat="1" x14ac:dyDescent="0.2">
      <c r="C93" s="655"/>
      <c r="D93" s="655"/>
      <c r="J93" s="274"/>
      <c r="M93" s="276"/>
      <c r="N93" s="157"/>
      <c r="O93" s="302"/>
      <c r="P93" s="302"/>
    </row>
    <row r="94" spans="3:16" s="159" customFormat="1" x14ac:dyDescent="0.2">
      <c r="C94" s="655"/>
      <c r="D94" s="655"/>
      <c r="J94" s="274"/>
      <c r="M94" s="276"/>
      <c r="N94" s="157"/>
      <c r="O94" s="302"/>
      <c r="P94" s="302"/>
    </row>
    <row r="95" spans="3:16" s="159" customFormat="1" x14ac:dyDescent="0.2">
      <c r="C95" s="655"/>
      <c r="D95" s="655"/>
      <c r="J95" s="274"/>
      <c r="M95" s="276"/>
      <c r="N95" s="157"/>
      <c r="O95" s="302"/>
      <c r="P95" s="302"/>
    </row>
    <row r="96" spans="3:16" s="159" customFormat="1" x14ac:dyDescent="0.2">
      <c r="C96" s="655"/>
      <c r="D96" s="655"/>
      <c r="J96" s="274"/>
      <c r="M96" s="276"/>
      <c r="N96" s="157"/>
      <c r="O96" s="302"/>
      <c r="P96" s="302"/>
    </row>
    <row r="97" spans="3:16" s="159" customFormat="1" x14ac:dyDescent="0.2">
      <c r="C97" s="655"/>
      <c r="D97" s="655"/>
      <c r="J97" s="274"/>
      <c r="M97" s="276"/>
      <c r="N97" s="157"/>
      <c r="O97" s="302"/>
      <c r="P97" s="302"/>
    </row>
    <row r="98" spans="3:16" s="159" customFormat="1" x14ac:dyDescent="0.2">
      <c r="C98" s="655"/>
      <c r="D98" s="655"/>
      <c r="J98" s="274"/>
      <c r="M98" s="276"/>
      <c r="N98" s="157"/>
      <c r="O98" s="302"/>
      <c r="P98" s="302"/>
    </row>
    <row r="99" spans="3:16" s="159" customFormat="1" x14ac:dyDescent="0.2">
      <c r="C99" s="655"/>
      <c r="D99" s="655"/>
      <c r="J99" s="274"/>
      <c r="M99" s="276"/>
      <c r="N99" s="157"/>
      <c r="O99" s="302"/>
      <c r="P99" s="302"/>
    </row>
    <row r="100" spans="3:16" s="159" customFormat="1" x14ac:dyDescent="0.2">
      <c r="C100" s="655"/>
      <c r="D100" s="655"/>
      <c r="J100" s="274"/>
      <c r="M100" s="276"/>
      <c r="N100" s="157"/>
      <c r="O100" s="302"/>
      <c r="P100" s="302"/>
    </row>
    <row r="101" spans="3:16" s="159" customFormat="1" x14ac:dyDescent="0.2">
      <c r="C101" s="655"/>
      <c r="D101" s="655"/>
      <c r="J101" s="274"/>
      <c r="M101" s="276"/>
      <c r="N101" s="157"/>
      <c r="O101" s="302"/>
      <c r="P101" s="302"/>
    </row>
    <row r="102" spans="3:16" s="159" customFormat="1" x14ac:dyDescent="0.2">
      <c r="C102" s="655"/>
      <c r="D102" s="655"/>
      <c r="J102" s="274"/>
      <c r="M102" s="276"/>
      <c r="N102" s="157"/>
      <c r="O102" s="302"/>
      <c r="P102" s="302"/>
    </row>
    <row r="103" spans="3:16" s="159" customFormat="1" x14ac:dyDescent="0.2">
      <c r="C103" s="655"/>
      <c r="D103" s="655"/>
      <c r="J103" s="274"/>
      <c r="M103" s="276"/>
      <c r="N103" s="157"/>
      <c r="O103" s="302"/>
      <c r="P103" s="302"/>
    </row>
    <row r="104" spans="3:16" s="159" customFormat="1" x14ac:dyDescent="0.2">
      <c r="C104" s="655"/>
      <c r="D104" s="655"/>
      <c r="J104" s="274"/>
      <c r="M104" s="276"/>
      <c r="N104" s="157"/>
      <c r="O104" s="302"/>
      <c r="P104" s="302"/>
    </row>
    <row r="105" spans="3:16" s="159" customFormat="1" x14ac:dyDescent="0.2">
      <c r="C105" s="655"/>
      <c r="D105" s="655"/>
      <c r="J105" s="274"/>
      <c r="M105" s="276"/>
      <c r="N105" s="157"/>
      <c r="O105" s="302"/>
      <c r="P105" s="302"/>
    </row>
    <row r="106" spans="3:16" s="159" customFormat="1" x14ac:dyDescent="0.2">
      <c r="C106" s="655"/>
      <c r="D106" s="655"/>
      <c r="J106" s="274"/>
      <c r="M106" s="276"/>
      <c r="N106" s="157"/>
      <c r="O106" s="302"/>
      <c r="P106" s="302"/>
    </row>
    <row r="107" spans="3:16" s="159" customFormat="1" x14ac:dyDescent="0.2">
      <c r="C107" s="655"/>
      <c r="D107" s="655"/>
      <c r="J107" s="274"/>
      <c r="M107" s="276"/>
      <c r="N107" s="157"/>
      <c r="O107" s="302"/>
      <c r="P107" s="302"/>
    </row>
    <row r="108" spans="3:16" s="159" customFormat="1" x14ac:dyDescent="0.2">
      <c r="C108" s="655"/>
      <c r="D108" s="655"/>
      <c r="J108" s="274"/>
      <c r="M108" s="276"/>
      <c r="N108" s="157"/>
      <c r="O108" s="302"/>
      <c r="P108" s="302"/>
    </row>
    <row r="109" spans="3:16" s="159" customFormat="1" x14ac:dyDescent="0.2">
      <c r="C109" s="655"/>
      <c r="D109" s="655"/>
      <c r="J109" s="274"/>
      <c r="M109" s="276"/>
      <c r="N109" s="157"/>
      <c r="O109" s="302"/>
      <c r="P109" s="302"/>
    </row>
    <row r="110" spans="3:16" s="159" customFormat="1" x14ac:dyDescent="0.2">
      <c r="C110" s="655"/>
      <c r="D110" s="655"/>
      <c r="J110" s="274"/>
      <c r="M110" s="276"/>
      <c r="N110" s="157"/>
      <c r="O110" s="302"/>
      <c r="P110" s="302"/>
    </row>
    <row r="111" spans="3:16" s="159" customFormat="1" x14ac:dyDescent="0.2">
      <c r="C111" s="655"/>
      <c r="D111" s="655"/>
      <c r="J111" s="274"/>
      <c r="M111" s="276"/>
      <c r="N111" s="157"/>
      <c r="O111" s="302"/>
      <c r="P111" s="302"/>
    </row>
    <row r="112" spans="3:16" s="159" customFormat="1" x14ac:dyDescent="0.2">
      <c r="C112" s="655"/>
      <c r="D112" s="655"/>
      <c r="J112" s="274"/>
      <c r="M112" s="276"/>
      <c r="N112" s="157"/>
      <c r="O112" s="302"/>
      <c r="P112" s="302"/>
    </row>
    <row r="113" spans="3:16" s="159" customFormat="1" x14ac:dyDescent="0.2">
      <c r="C113" s="655"/>
      <c r="D113" s="655"/>
      <c r="J113" s="274"/>
      <c r="M113" s="276"/>
      <c r="N113" s="157"/>
      <c r="O113" s="302"/>
      <c r="P113" s="302"/>
    </row>
    <row r="114" spans="3:16" s="159" customFormat="1" x14ac:dyDescent="0.2">
      <c r="C114" s="655"/>
      <c r="D114" s="655"/>
      <c r="J114" s="274"/>
      <c r="M114" s="276"/>
      <c r="N114" s="157"/>
      <c r="O114" s="302"/>
      <c r="P114" s="302"/>
    </row>
    <row r="115" spans="3:16" s="159" customFormat="1" x14ac:dyDescent="0.2">
      <c r="C115" s="655"/>
      <c r="D115" s="655"/>
      <c r="J115" s="274"/>
      <c r="M115" s="276"/>
      <c r="N115" s="157"/>
      <c r="O115" s="302"/>
      <c r="P115" s="302"/>
    </row>
    <row r="116" spans="3:16" s="159" customFormat="1" x14ac:dyDescent="0.2">
      <c r="C116" s="655"/>
      <c r="D116" s="655"/>
      <c r="J116" s="274"/>
      <c r="M116" s="276"/>
      <c r="N116" s="157"/>
      <c r="O116" s="302"/>
      <c r="P116" s="302"/>
    </row>
    <row r="117" spans="3:16" s="159" customFormat="1" x14ac:dyDescent="0.2">
      <c r="C117" s="655"/>
      <c r="D117" s="655"/>
      <c r="J117" s="274"/>
      <c r="M117" s="276"/>
      <c r="N117" s="157"/>
      <c r="O117" s="302"/>
      <c r="P117" s="302"/>
    </row>
    <row r="118" spans="3:16" s="159" customFormat="1" x14ac:dyDescent="0.2">
      <c r="C118" s="655"/>
      <c r="D118" s="655"/>
      <c r="J118" s="274"/>
      <c r="M118" s="276"/>
      <c r="N118" s="157"/>
      <c r="O118" s="302"/>
      <c r="P118" s="302"/>
    </row>
    <row r="119" spans="3:16" s="159" customFormat="1" x14ac:dyDescent="0.2">
      <c r="C119" s="655"/>
      <c r="D119" s="655"/>
      <c r="J119" s="274"/>
      <c r="M119" s="276"/>
      <c r="N119" s="157"/>
      <c r="O119" s="302"/>
      <c r="P119" s="302"/>
    </row>
    <row r="120" spans="3:16" s="159" customFormat="1" x14ac:dyDescent="0.2">
      <c r="C120" s="655"/>
      <c r="D120" s="655"/>
      <c r="J120" s="274"/>
      <c r="M120" s="276"/>
      <c r="N120" s="157"/>
      <c r="O120" s="302"/>
      <c r="P120" s="302"/>
    </row>
    <row r="121" spans="3:16" s="159" customFormat="1" x14ac:dyDescent="0.2">
      <c r="C121" s="655"/>
      <c r="D121" s="655"/>
      <c r="J121" s="274"/>
      <c r="M121" s="276"/>
      <c r="N121" s="157"/>
      <c r="O121" s="302"/>
      <c r="P121" s="302"/>
    </row>
    <row r="122" spans="3:16" s="159" customFormat="1" x14ac:dyDescent="0.2">
      <c r="C122" s="655"/>
      <c r="D122" s="655"/>
      <c r="J122" s="274"/>
      <c r="M122" s="276"/>
      <c r="N122" s="157"/>
      <c r="O122" s="302"/>
      <c r="P122" s="302"/>
    </row>
    <row r="123" spans="3:16" s="159" customFormat="1" x14ac:dyDescent="0.2">
      <c r="C123" s="655"/>
      <c r="D123" s="655"/>
      <c r="J123" s="274"/>
      <c r="M123" s="276"/>
      <c r="N123" s="157"/>
      <c r="O123" s="302"/>
      <c r="P123" s="302"/>
    </row>
    <row r="124" spans="3:16" s="159" customFormat="1" x14ac:dyDescent="0.2">
      <c r="C124" s="655"/>
      <c r="D124" s="655"/>
      <c r="J124" s="274"/>
      <c r="M124" s="276"/>
      <c r="N124" s="157"/>
      <c r="O124" s="302"/>
      <c r="P124" s="302"/>
    </row>
    <row r="125" spans="3:16" s="159" customFormat="1" x14ac:dyDescent="0.2">
      <c r="C125" s="655"/>
      <c r="D125" s="655"/>
      <c r="J125" s="274"/>
      <c r="M125" s="276"/>
      <c r="N125" s="157"/>
      <c r="O125" s="302"/>
      <c r="P125" s="302"/>
    </row>
    <row r="126" spans="3:16" s="159" customFormat="1" x14ac:dyDescent="0.2">
      <c r="C126" s="655"/>
      <c r="D126" s="655"/>
      <c r="J126" s="274"/>
      <c r="M126" s="276"/>
      <c r="N126" s="157"/>
      <c r="O126" s="302"/>
      <c r="P126" s="302"/>
    </row>
    <row r="127" spans="3:16" s="159" customFormat="1" x14ac:dyDescent="0.2">
      <c r="C127" s="655"/>
      <c r="D127" s="655"/>
      <c r="J127" s="274"/>
      <c r="M127" s="276"/>
      <c r="N127" s="157"/>
      <c r="O127" s="302"/>
      <c r="P127" s="302"/>
    </row>
    <row r="128" spans="3:16" s="159" customFormat="1" x14ac:dyDescent="0.2">
      <c r="C128" s="655"/>
      <c r="D128" s="655"/>
      <c r="J128" s="274"/>
      <c r="M128" s="276"/>
      <c r="N128" s="157"/>
      <c r="O128" s="302"/>
      <c r="P128" s="302"/>
    </row>
    <row r="129" spans="3:16" s="159" customFormat="1" x14ac:dyDescent="0.2">
      <c r="C129" s="655"/>
      <c r="D129" s="655"/>
      <c r="J129" s="274"/>
      <c r="M129" s="276"/>
      <c r="N129" s="157"/>
      <c r="O129" s="302"/>
      <c r="P129" s="302"/>
    </row>
    <row r="130" spans="3:16" s="159" customFormat="1" x14ac:dyDescent="0.2">
      <c r="C130" s="655"/>
      <c r="D130" s="655"/>
      <c r="J130" s="274"/>
      <c r="M130" s="276"/>
      <c r="N130" s="157"/>
      <c r="O130" s="302"/>
      <c r="P130" s="302"/>
    </row>
    <row r="131" spans="3:16" s="159" customFormat="1" x14ac:dyDescent="0.2">
      <c r="C131" s="655"/>
      <c r="D131" s="655"/>
      <c r="J131" s="274"/>
      <c r="M131" s="276"/>
      <c r="N131" s="157"/>
      <c r="O131" s="302"/>
      <c r="P131" s="302"/>
    </row>
    <row r="132" spans="3:16" s="159" customFormat="1" x14ac:dyDescent="0.2">
      <c r="C132" s="655"/>
      <c r="D132" s="655"/>
      <c r="J132" s="274"/>
      <c r="M132" s="276"/>
      <c r="N132" s="157"/>
      <c r="O132" s="302"/>
      <c r="P132" s="302"/>
    </row>
    <row r="133" spans="3:16" s="159" customFormat="1" x14ac:dyDescent="0.2">
      <c r="C133" s="655"/>
      <c r="D133" s="655"/>
      <c r="J133" s="274"/>
      <c r="M133" s="276"/>
      <c r="N133" s="157"/>
      <c r="O133" s="302"/>
      <c r="P133" s="302"/>
    </row>
    <row r="134" spans="3:16" s="159" customFormat="1" x14ac:dyDescent="0.2">
      <c r="C134" s="655"/>
      <c r="D134" s="655"/>
      <c r="J134" s="274"/>
      <c r="M134" s="276"/>
      <c r="N134" s="157"/>
      <c r="O134" s="302"/>
      <c r="P134" s="302"/>
    </row>
    <row r="135" spans="3:16" s="159" customFormat="1" x14ac:dyDescent="0.2">
      <c r="C135" s="655"/>
      <c r="D135" s="655"/>
      <c r="J135" s="274"/>
      <c r="M135" s="276"/>
      <c r="N135" s="157"/>
      <c r="O135" s="302"/>
      <c r="P135" s="302"/>
    </row>
    <row r="136" spans="3:16" s="159" customFormat="1" x14ac:dyDescent="0.2">
      <c r="C136" s="655"/>
      <c r="D136" s="655"/>
      <c r="J136" s="274"/>
      <c r="M136" s="276"/>
      <c r="N136" s="157"/>
      <c r="O136" s="302"/>
      <c r="P136" s="302"/>
    </row>
    <row r="137" spans="3:16" s="159" customFormat="1" x14ac:dyDescent="0.2">
      <c r="C137" s="655"/>
      <c r="D137" s="655"/>
      <c r="J137" s="274"/>
      <c r="M137" s="276"/>
      <c r="N137" s="157"/>
      <c r="O137" s="302"/>
      <c r="P137" s="302"/>
    </row>
    <row r="138" spans="3:16" s="159" customFormat="1" x14ac:dyDescent="0.2">
      <c r="C138" s="655"/>
      <c r="D138" s="655"/>
      <c r="J138" s="274"/>
      <c r="M138" s="276"/>
      <c r="N138" s="157"/>
      <c r="O138" s="302"/>
      <c r="P138" s="302"/>
    </row>
    <row r="139" spans="3:16" s="159" customFormat="1" x14ac:dyDescent="0.2">
      <c r="C139" s="655"/>
      <c r="D139" s="655"/>
      <c r="J139" s="274"/>
      <c r="M139" s="276"/>
      <c r="N139" s="157"/>
      <c r="O139" s="302"/>
      <c r="P139" s="302"/>
    </row>
    <row r="140" spans="3:16" s="159" customFormat="1" x14ac:dyDescent="0.2">
      <c r="C140" s="655"/>
      <c r="D140" s="655"/>
      <c r="J140" s="274"/>
      <c r="M140" s="276"/>
      <c r="N140" s="157"/>
      <c r="O140" s="302"/>
      <c r="P140" s="302"/>
    </row>
    <row r="141" spans="3:16" s="159" customFormat="1" x14ac:dyDescent="0.2">
      <c r="C141" s="655"/>
      <c r="D141" s="655"/>
      <c r="J141" s="274"/>
      <c r="M141" s="276"/>
      <c r="N141" s="157"/>
      <c r="O141" s="302"/>
      <c r="P141" s="302"/>
    </row>
    <row r="142" spans="3:16" s="159" customFormat="1" x14ac:dyDescent="0.2">
      <c r="C142" s="655"/>
      <c r="D142" s="655"/>
      <c r="J142" s="274"/>
      <c r="M142" s="276"/>
      <c r="N142" s="157"/>
      <c r="O142" s="302"/>
      <c r="P142" s="302"/>
    </row>
    <row r="143" spans="3:16" s="159" customFormat="1" x14ac:dyDescent="0.2">
      <c r="C143" s="655"/>
      <c r="D143" s="655"/>
      <c r="J143" s="274"/>
      <c r="M143" s="276"/>
      <c r="N143" s="157"/>
      <c r="O143" s="302"/>
      <c r="P143" s="302"/>
    </row>
    <row r="144" spans="3:16" s="159" customFormat="1" x14ac:dyDescent="0.2">
      <c r="C144" s="655"/>
      <c r="D144" s="655"/>
      <c r="J144" s="274"/>
      <c r="M144" s="276"/>
      <c r="N144" s="157"/>
      <c r="O144" s="302"/>
      <c r="P144" s="302"/>
    </row>
    <row r="145" spans="3:16" s="159" customFormat="1" x14ac:dyDescent="0.2">
      <c r="C145" s="655"/>
      <c r="D145" s="655"/>
      <c r="J145" s="274"/>
      <c r="M145" s="276"/>
      <c r="N145" s="157"/>
      <c r="O145" s="302"/>
      <c r="P145" s="302"/>
    </row>
    <row r="146" spans="3:16" s="159" customFormat="1" x14ac:dyDescent="0.2">
      <c r="C146" s="655"/>
      <c r="D146" s="655"/>
      <c r="J146" s="274"/>
      <c r="M146" s="276"/>
      <c r="N146" s="157"/>
      <c r="O146" s="302"/>
      <c r="P146" s="302"/>
    </row>
    <row r="147" spans="3:16" s="159" customFormat="1" x14ac:dyDescent="0.2">
      <c r="C147" s="655"/>
      <c r="D147" s="655"/>
      <c r="J147" s="274"/>
      <c r="M147" s="276"/>
      <c r="N147" s="157"/>
      <c r="O147" s="302"/>
      <c r="P147" s="302"/>
    </row>
    <row r="148" spans="3:16" s="159" customFormat="1" x14ac:dyDescent="0.2">
      <c r="C148" s="655"/>
      <c r="D148" s="655"/>
      <c r="J148" s="274"/>
      <c r="M148" s="276"/>
      <c r="N148" s="157"/>
      <c r="O148" s="302"/>
      <c r="P148" s="302"/>
    </row>
    <row r="149" spans="3:16" s="159" customFormat="1" x14ac:dyDescent="0.2">
      <c r="C149" s="655"/>
      <c r="D149" s="655"/>
      <c r="J149" s="274"/>
      <c r="M149" s="276"/>
      <c r="N149" s="157"/>
      <c r="O149" s="302"/>
      <c r="P149" s="302"/>
    </row>
    <row r="150" spans="3:16" s="159" customFormat="1" x14ac:dyDescent="0.2">
      <c r="C150" s="655"/>
      <c r="D150" s="655"/>
      <c r="J150" s="274"/>
      <c r="M150" s="276"/>
      <c r="N150" s="157"/>
      <c r="O150" s="302"/>
      <c r="P150" s="302"/>
    </row>
    <row r="151" spans="3:16" s="159" customFormat="1" x14ac:dyDescent="0.2">
      <c r="C151" s="655"/>
      <c r="D151" s="655"/>
      <c r="J151" s="274"/>
      <c r="M151" s="276"/>
      <c r="N151" s="157"/>
      <c r="O151" s="302"/>
      <c r="P151" s="302"/>
    </row>
    <row r="152" spans="3:16" s="159" customFormat="1" x14ac:dyDescent="0.2">
      <c r="C152" s="655"/>
      <c r="D152" s="655"/>
      <c r="J152" s="274"/>
      <c r="M152" s="276"/>
      <c r="N152" s="157"/>
      <c r="O152" s="302"/>
      <c r="P152" s="302"/>
    </row>
    <row r="153" spans="3:16" s="159" customFormat="1" x14ac:dyDescent="0.2">
      <c r="C153" s="655"/>
      <c r="D153" s="655"/>
      <c r="J153" s="274"/>
      <c r="M153" s="276"/>
      <c r="N153" s="157"/>
      <c r="O153" s="302"/>
      <c r="P153" s="302"/>
    </row>
    <row r="154" spans="3:16" s="159" customFormat="1" x14ac:dyDescent="0.2">
      <c r="C154" s="655"/>
      <c r="D154" s="655"/>
      <c r="J154" s="274"/>
      <c r="M154" s="276"/>
      <c r="N154" s="157"/>
      <c r="O154" s="302"/>
      <c r="P154" s="302"/>
    </row>
    <row r="155" spans="3:16" s="159" customFormat="1" x14ac:dyDescent="0.2">
      <c r="C155" s="655"/>
      <c r="D155" s="655"/>
      <c r="J155" s="274"/>
      <c r="M155" s="276"/>
      <c r="N155" s="157"/>
      <c r="O155" s="302"/>
      <c r="P155" s="302"/>
    </row>
    <row r="156" spans="3:16" s="159" customFormat="1" x14ac:dyDescent="0.2">
      <c r="C156" s="655"/>
      <c r="D156" s="655"/>
      <c r="J156" s="274"/>
      <c r="M156" s="276"/>
      <c r="N156" s="157"/>
      <c r="O156" s="302"/>
      <c r="P156" s="302"/>
    </row>
    <row r="157" spans="3:16" s="159" customFormat="1" x14ac:dyDescent="0.2">
      <c r="C157" s="655"/>
      <c r="D157" s="655"/>
      <c r="J157" s="274"/>
      <c r="M157" s="276"/>
      <c r="N157" s="157"/>
      <c r="O157" s="302"/>
      <c r="P157" s="302"/>
    </row>
    <row r="158" spans="3:16" s="159" customFormat="1" x14ac:dyDescent="0.2">
      <c r="C158" s="655"/>
      <c r="D158" s="655"/>
      <c r="J158" s="274"/>
      <c r="M158" s="276"/>
      <c r="N158" s="157"/>
      <c r="O158" s="302"/>
      <c r="P158" s="302"/>
    </row>
    <row r="159" spans="3:16" s="159" customFormat="1" x14ac:dyDescent="0.2">
      <c r="C159" s="655"/>
      <c r="D159" s="655"/>
      <c r="J159" s="274"/>
      <c r="M159" s="276"/>
      <c r="N159" s="157"/>
      <c r="O159" s="302"/>
      <c r="P159" s="302"/>
    </row>
    <row r="160" spans="3:16" s="159" customFormat="1" x14ac:dyDescent="0.2">
      <c r="C160" s="655"/>
      <c r="D160" s="655"/>
      <c r="J160" s="274"/>
      <c r="M160" s="276"/>
      <c r="N160" s="157"/>
      <c r="O160" s="302"/>
      <c r="P160" s="302"/>
    </row>
    <row r="161" spans="3:16" s="159" customFormat="1" x14ac:dyDescent="0.2">
      <c r="C161" s="655"/>
      <c r="D161" s="655"/>
      <c r="J161" s="274"/>
      <c r="M161" s="276"/>
      <c r="N161" s="157"/>
      <c r="O161" s="302"/>
      <c r="P161" s="302"/>
    </row>
    <row r="162" spans="3:16" s="159" customFormat="1" x14ac:dyDescent="0.2">
      <c r="C162" s="655"/>
      <c r="D162" s="655"/>
      <c r="J162" s="274"/>
      <c r="M162" s="276"/>
      <c r="N162" s="157"/>
      <c r="O162" s="302"/>
      <c r="P162" s="302"/>
    </row>
    <row r="163" spans="3:16" s="159" customFormat="1" x14ac:dyDescent="0.2">
      <c r="C163" s="655"/>
      <c r="D163" s="655"/>
      <c r="J163" s="274"/>
      <c r="M163" s="276"/>
      <c r="N163" s="157"/>
      <c r="O163" s="302"/>
      <c r="P163" s="302"/>
    </row>
    <row r="164" spans="3:16" s="159" customFormat="1" x14ac:dyDescent="0.2">
      <c r="C164" s="655"/>
      <c r="D164" s="655"/>
      <c r="J164" s="274"/>
      <c r="M164" s="276"/>
      <c r="N164" s="157"/>
      <c r="O164" s="302"/>
      <c r="P164" s="302"/>
    </row>
    <row r="165" spans="3:16" s="159" customFormat="1" x14ac:dyDescent="0.2">
      <c r="C165" s="655"/>
      <c r="D165" s="655"/>
      <c r="J165" s="274"/>
      <c r="M165" s="276"/>
      <c r="N165" s="157"/>
      <c r="O165" s="302"/>
      <c r="P165" s="302"/>
    </row>
    <row r="166" spans="3:16" s="159" customFormat="1" x14ac:dyDescent="0.2">
      <c r="C166" s="655"/>
      <c r="D166" s="655"/>
      <c r="J166" s="274"/>
      <c r="M166" s="276"/>
      <c r="N166" s="157"/>
      <c r="O166" s="302"/>
      <c r="P166" s="302"/>
    </row>
    <row r="167" spans="3:16" s="159" customFormat="1" x14ac:dyDescent="0.2">
      <c r="C167" s="655"/>
      <c r="D167" s="655"/>
      <c r="J167" s="274"/>
      <c r="M167" s="276"/>
      <c r="N167" s="157"/>
      <c r="O167" s="302"/>
      <c r="P167" s="302"/>
    </row>
    <row r="168" spans="3:16" s="159" customFormat="1" x14ac:dyDescent="0.2">
      <c r="C168" s="655"/>
      <c r="D168" s="655"/>
      <c r="J168" s="274"/>
      <c r="M168" s="276"/>
      <c r="N168" s="157"/>
      <c r="O168" s="302"/>
      <c r="P168" s="302"/>
    </row>
    <row r="169" spans="3:16" s="159" customFormat="1" x14ac:dyDescent="0.2">
      <c r="C169" s="655"/>
      <c r="D169" s="655"/>
      <c r="J169" s="274"/>
      <c r="M169" s="276"/>
      <c r="N169" s="157"/>
      <c r="O169" s="302"/>
      <c r="P169" s="302"/>
    </row>
    <row r="170" spans="3:16" s="159" customFormat="1" x14ac:dyDescent="0.2">
      <c r="C170" s="655"/>
      <c r="D170" s="655"/>
      <c r="J170" s="274"/>
      <c r="M170" s="276"/>
      <c r="N170" s="157"/>
      <c r="O170" s="302"/>
      <c r="P170" s="302"/>
    </row>
    <row r="171" spans="3:16" s="159" customFormat="1" x14ac:dyDescent="0.2">
      <c r="C171" s="655"/>
      <c r="D171" s="655"/>
      <c r="J171" s="274"/>
      <c r="M171" s="276"/>
      <c r="N171" s="157"/>
      <c r="O171" s="302"/>
      <c r="P171" s="302"/>
    </row>
    <row r="172" spans="3:16" s="159" customFormat="1" x14ac:dyDescent="0.2">
      <c r="C172" s="655"/>
      <c r="D172" s="655"/>
      <c r="J172" s="274"/>
      <c r="M172" s="276"/>
      <c r="N172" s="157"/>
      <c r="O172" s="302"/>
      <c r="P172" s="302"/>
    </row>
    <row r="173" spans="3:16" s="159" customFormat="1" x14ac:dyDescent="0.2">
      <c r="C173" s="655"/>
      <c r="D173" s="655"/>
      <c r="J173" s="274"/>
      <c r="M173" s="276"/>
      <c r="N173" s="157"/>
      <c r="O173" s="302"/>
      <c r="P173" s="302"/>
    </row>
    <row r="174" spans="3:16" s="159" customFormat="1" x14ac:dyDescent="0.2">
      <c r="C174" s="655"/>
      <c r="D174" s="655"/>
      <c r="J174" s="274"/>
      <c r="M174" s="276"/>
      <c r="N174" s="157"/>
      <c r="O174" s="302"/>
      <c r="P174" s="302"/>
    </row>
    <row r="175" spans="3:16" s="159" customFormat="1" x14ac:dyDescent="0.2">
      <c r="C175" s="655"/>
      <c r="D175" s="655"/>
      <c r="J175" s="274"/>
      <c r="M175" s="276"/>
      <c r="N175" s="157"/>
      <c r="O175" s="302"/>
      <c r="P175" s="302"/>
    </row>
    <row r="176" spans="3:16" s="159" customFormat="1" x14ac:dyDescent="0.2">
      <c r="C176" s="655"/>
      <c r="D176" s="655"/>
      <c r="J176" s="274"/>
      <c r="M176" s="276"/>
      <c r="N176" s="157"/>
      <c r="O176" s="302"/>
      <c r="P176" s="302"/>
    </row>
    <row r="177" spans="3:16" s="159" customFormat="1" x14ac:dyDescent="0.2">
      <c r="C177" s="655"/>
      <c r="D177" s="655"/>
      <c r="J177" s="274"/>
      <c r="M177" s="276"/>
      <c r="N177" s="157"/>
      <c r="O177" s="302"/>
      <c r="P177" s="302"/>
    </row>
    <row r="178" spans="3:16" s="159" customFormat="1" x14ac:dyDescent="0.2">
      <c r="C178" s="655"/>
      <c r="D178" s="655"/>
      <c r="J178" s="274"/>
      <c r="M178" s="276"/>
      <c r="N178" s="157"/>
      <c r="O178" s="302"/>
      <c r="P178" s="302"/>
    </row>
    <row r="179" spans="3:16" s="159" customFormat="1" x14ac:dyDescent="0.2">
      <c r="C179" s="655"/>
      <c r="D179" s="655"/>
      <c r="J179" s="274"/>
      <c r="M179" s="276"/>
      <c r="N179" s="157"/>
      <c r="O179" s="302"/>
      <c r="P179" s="302"/>
    </row>
    <row r="180" spans="3:16" s="159" customFormat="1" x14ac:dyDescent="0.2">
      <c r="C180" s="655"/>
      <c r="D180" s="655"/>
      <c r="J180" s="274"/>
      <c r="M180" s="276"/>
      <c r="N180" s="157"/>
      <c r="O180" s="302"/>
      <c r="P180" s="302"/>
    </row>
    <row r="181" spans="3:16" s="159" customFormat="1" x14ac:dyDescent="0.2">
      <c r="C181" s="655"/>
      <c r="D181" s="655"/>
      <c r="J181" s="274"/>
      <c r="M181" s="276"/>
      <c r="N181" s="157"/>
      <c r="O181" s="302"/>
      <c r="P181" s="302"/>
    </row>
    <row r="182" spans="3:16" s="159" customFormat="1" x14ac:dyDescent="0.2">
      <c r="C182" s="655"/>
      <c r="D182" s="655"/>
      <c r="J182" s="274"/>
      <c r="M182" s="276"/>
      <c r="N182" s="157"/>
      <c r="O182" s="302"/>
      <c r="P182" s="302"/>
    </row>
    <row r="183" spans="3:16" s="159" customFormat="1" x14ac:dyDescent="0.2">
      <c r="C183" s="655"/>
      <c r="D183" s="655"/>
      <c r="J183" s="274"/>
      <c r="M183" s="276"/>
      <c r="N183" s="157"/>
      <c r="O183" s="302"/>
      <c r="P183" s="302"/>
    </row>
    <row r="184" spans="3:16" s="159" customFormat="1" x14ac:dyDescent="0.2">
      <c r="C184" s="655"/>
      <c r="D184" s="655"/>
      <c r="J184" s="274"/>
      <c r="M184" s="276"/>
      <c r="N184" s="157"/>
      <c r="O184" s="302"/>
      <c r="P184" s="302"/>
    </row>
    <row r="185" spans="3:16" s="159" customFormat="1" x14ac:dyDescent="0.2">
      <c r="C185" s="655"/>
      <c r="D185" s="655"/>
      <c r="J185" s="274"/>
      <c r="M185" s="276"/>
      <c r="N185" s="157"/>
      <c r="O185" s="302"/>
      <c r="P185" s="302"/>
    </row>
    <row r="186" spans="3:16" s="159" customFormat="1" x14ac:dyDescent="0.2">
      <c r="C186" s="655"/>
      <c r="D186" s="655"/>
      <c r="J186" s="274"/>
      <c r="M186" s="276"/>
      <c r="N186" s="157"/>
      <c r="O186" s="302"/>
      <c r="P186" s="302"/>
    </row>
    <row r="187" spans="3:16" s="159" customFormat="1" x14ac:dyDescent="0.2">
      <c r="C187" s="655"/>
      <c r="D187" s="655"/>
      <c r="J187" s="274"/>
      <c r="M187" s="276"/>
      <c r="N187" s="157"/>
      <c r="O187" s="302"/>
      <c r="P187" s="302"/>
    </row>
    <row r="188" spans="3:16" s="159" customFormat="1" x14ac:dyDescent="0.2">
      <c r="C188" s="655"/>
      <c r="D188" s="655"/>
      <c r="J188" s="274"/>
      <c r="M188" s="276"/>
      <c r="N188" s="157"/>
      <c r="O188" s="302"/>
      <c r="P188" s="302"/>
    </row>
    <row r="189" spans="3:16" s="159" customFormat="1" x14ac:dyDescent="0.2">
      <c r="C189" s="655"/>
      <c r="D189" s="655"/>
      <c r="J189" s="274"/>
      <c r="M189" s="276"/>
      <c r="N189" s="157"/>
      <c r="O189" s="302"/>
      <c r="P189" s="302"/>
    </row>
    <row r="190" spans="3:16" s="159" customFormat="1" x14ac:dyDescent="0.2">
      <c r="C190" s="655"/>
      <c r="D190" s="655"/>
      <c r="J190" s="274"/>
      <c r="M190" s="276"/>
      <c r="N190" s="157"/>
      <c r="O190" s="302"/>
      <c r="P190" s="302"/>
    </row>
    <row r="191" spans="3:16" s="159" customFormat="1" x14ac:dyDescent="0.2">
      <c r="C191" s="655"/>
      <c r="D191" s="655"/>
      <c r="J191" s="274"/>
      <c r="M191" s="276"/>
      <c r="N191" s="157"/>
      <c r="O191" s="302"/>
      <c r="P191" s="302"/>
    </row>
    <row r="192" spans="3:16" s="159" customFormat="1" x14ac:dyDescent="0.2">
      <c r="C192" s="655"/>
      <c r="D192" s="655"/>
      <c r="J192" s="274"/>
      <c r="M192" s="276"/>
      <c r="N192" s="157"/>
      <c r="O192" s="302"/>
      <c r="P192" s="302"/>
    </row>
    <row r="193" spans="3:16" s="159" customFormat="1" x14ac:dyDescent="0.2">
      <c r="C193" s="655"/>
      <c r="D193" s="655"/>
      <c r="J193" s="274"/>
      <c r="M193" s="276"/>
      <c r="N193" s="157"/>
      <c r="O193" s="302"/>
      <c r="P193" s="302"/>
    </row>
    <row r="194" spans="3:16" s="159" customFormat="1" x14ac:dyDescent="0.2">
      <c r="C194" s="655"/>
      <c r="D194" s="655"/>
      <c r="J194" s="274"/>
      <c r="M194" s="276"/>
      <c r="N194" s="157"/>
      <c r="O194" s="302"/>
      <c r="P194" s="302"/>
    </row>
    <row r="195" spans="3:16" s="159" customFormat="1" x14ac:dyDescent="0.2">
      <c r="C195" s="655"/>
      <c r="D195" s="655"/>
      <c r="J195" s="274"/>
      <c r="M195" s="276"/>
      <c r="N195" s="157"/>
      <c r="O195" s="302"/>
      <c r="P195" s="302"/>
    </row>
    <row r="196" spans="3:16" s="159" customFormat="1" x14ac:dyDescent="0.2">
      <c r="C196" s="655"/>
      <c r="D196" s="655"/>
      <c r="J196" s="274"/>
      <c r="M196" s="276"/>
      <c r="N196" s="157"/>
      <c r="O196" s="302"/>
      <c r="P196" s="302"/>
    </row>
    <row r="197" spans="3:16" s="159" customFormat="1" x14ac:dyDescent="0.2">
      <c r="C197" s="655"/>
      <c r="D197" s="655"/>
      <c r="J197" s="274"/>
      <c r="M197" s="276"/>
      <c r="N197" s="157"/>
      <c r="O197" s="302"/>
      <c r="P197" s="302"/>
    </row>
    <row r="198" spans="3:16" s="159" customFormat="1" x14ac:dyDescent="0.2">
      <c r="C198" s="655"/>
      <c r="D198" s="655"/>
      <c r="J198" s="274"/>
      <c r="M198" s="276"/>
      <c r="N198" s="157"/>
      <c r="O198" s="302"/>
      <c r="P198" s="302"/>
    </row>
    <row r="199" spans="3:16" s="159" customFormat="1" x14ac:dyDescent="0.2">
      <c r="C199" s="655"/>
      <c r="D199" s="655"/>
      <c r="J199" s="274"/>
      <c r="M199" s="276"/>
      <c r="N199" s="157"/>
      <c r="O199" s="302"/>
      <c r="P199" s="302"/>
    </row>
    <row r="200" spans="3:16" s="159" customFormat="1" x14ac:dyDescent="0.2">
      <c r="C200" s="655"/>
      <c r="D200" s="655"/>
      <c r="J200" s="274"/>
      <c r="M200" s="276"/>
      <c r="N200" s="157"/>
      <c r="O200" s="302"/>
      <c r="P200" s="302"/>
    </row>
    <row r="201" spans="3:16" s="159" customFormat="1" x14ac:dyDescent="0.2">
      <c r="C201" s="655"/>
      <c r="D201" s="655"/>
      <c r="J201" s="274"/>
      <c r="M201" s="276"/>
      <c r="N201" s="157"/>
      <c r="O201" s="302"/>
      <c r="P201" s="302"/>
    </row>
    <row r="202" spans="3:16" s="159" customFormat="1" x14ac:dyDescent="0.2">
      <c r="C202" s="655"/>
      <c r="D202" s="655"/>
      <c r="J202" s="274"/>
      <c r="M202" s="276"/>
      <c r="N202" s="157"/>
      <c r="O202" s="302"/>
      <c r="P202" s="302"/>
    </row>
    <row r="203" spans="3:16" s="159" customFormat="1" x14ac:dyDescent="0.2">
      <c r="C203" s="655"/>
      <c r="D203" s="655"/>
      <c r="J203" s="274"/>
      <c r="M203" s="276"/>
      <c r="N203" s="157"/>
      <c r="O203" s="302"/>
      <c r="P203" s="302"/>
    </row>
    <row r="204" spans="3:16" s="159" customFormat="1" x14ac:dyDescent="0.2">
      <c r="C204" s="655"/>
      <c r="D204" s="655"/>
      <c r="J204" s="274"/>
      <c r="M204" s="276"/>
      <c r="N204" s="157"/>
      <c r="O204" s="302"/>
      <c r="P204" s="302"/>
    </row>
    <row r="205" spans="3:16" s="159" customFormat="1" x14ac:dyDescent="0.2">
      <c r="C205" s="655"/>
      <c r="D205" s="655"/>
      <c r="J205" s="274"/>
      <c r="M205" s="276"/>
      <c r="N205" s="157"/>
      <c r="O205" s="302"/>
      <c r="P205" s="302"/>
    </row>
    <row r="206" spans="3:16" s="159" customFormat="1" x14ac:dyDescent="0.2">
      <c r="C206" s="655"/>
      <c r="D206" s="655"/>
      <c r="J206" s="274"/>
      <c r="M206" s="276"/>
      <c r="N206" s="157"/>
      <c r="O206" s="302"/>
      <c r="P206" s="302"/>
    </row>
    <row r="207" spans="3:16" s="159" customFormat="1" x14ac:dyDescent="0.2">
      <c r="C207" s="655"/>
      <c r="D207" s="655"/>
      <c r="J207" s="274"/>
      <c r="M207" s="276"/>
      <c r="N207" s="157"/>
      <c r="O207" s="302"/>
      <c r="P207" s="302"/>
    </row>
    <row r="208" spans="3:16" s="159" customFormat="1" x14ac:dyDescent="0.2">
      <c r="C208" s="655"/>
      <c r="D208" s="655"/>
      <c r="J208" s="274"/>
      <c r="M208" s="276"/>
      <c r="N208" s="157"/>
      <c r="O208" s="302"/>
      <c r="P208" s="302"/>
    </row>
    <row r="209" spans="3:16" s="159" customFormat="1" x14ac:dyDescent="0.2">
      <c r="C209" s="655"/>
      <c r="D209" s="655"/>
      <c r="J209" s="274"/>
      <c r="M209" s="276"/>
      <c r="N209" s="157"/>
      <c r="O209" s="302"/>
      <c r="P209" s="302"/>
    </row>
    <row r="210" spans="3:16" s="159" customFormat="1" x14ac:dyDescent="0.2">
      <c r="C210" s="655"/>
      <c r="D210" s="655"/>
      <c r="J210" s="274"/>
      <c r="M210" s="276"/>
      <c r="N210" s="157"/>
      <c r="O210" s="302"/>
      <c r="P210" s="302"/>
    </row>
    <row r="211" spans="3:16" s="159" customFormat="1" x14ac:dyDescent="0.2">
      <c r="C211" s="655"/>
      <c r="D211" s="655"/>
      <c r="J211" s="274"/>
      <c r="M211" s="276"/>
      <c r="N211" s="157"/>
      <c r="O211" s="302"/>
      <c r="P211" s="302"/>
    </row>
    <row r="212" spans="3:16" s="159" customFormat="1" x14ac:dyDescent="0.2">
      <c r="C212" s="655"/>
      <c r="D212" s="655"/>
      <c r="J212" s="274"/>
      <c r="M212" s="276"/>
      <c r="N212" s="157"/>
      <c r="O212" s="302"/>
      <c r="P212" s="302"/>
    </row>
    <row r="213" spans="3:16" s="159" customFormat="1" x14ac:dyDescent="0.2">
      <c r="C213" s="655"/>
      <c r="D213" s="655"/>
      <c r="J213" s="274"/>
      <c r="M213" s="276"/>
      <c r="N213" s="157"/>
      <c r="O213" s="302"/>
      <c r="P213" s="302"/>
    </row>
    <row r="214" spans="3:16" s="159" customFormat="1" x14ac:dyDescent="0.2">
      <c r="C214" s="655"/>
      <c r="D214" s="655"/>
      <c r="J214" s="274"/>
      <c r="M214" s="276"/>
      <c r="N214" s="157"/>
      <c r="O214" s="302"/>
      <c r="P214" s="302"/>
    </row>
    <row r="215" spans="3:16" s="159" customFormat="1" x14ac:dyDescent="0.2">
      <c r="C215" s="655"/>
      <c r="D215" s="655"/>
      <c r="J215" s="274"/>
      <c r="M215" s="276"/>
      <c r="N215" s="157"/>
      <c r="O215" s="302"/>
      <c r="P215" s="302"/>
    </row>
    <row r="216" spans="3:16" s="159" customFormat="1" x14ac:dyDescent="0.2">
      <c r="C216" s="655"/>
      <c r="D216" s="655"/>
      <c r="J216" s="274"/>
      <c r="M216" s="276"/>
      <c r="N216" s="157"/>
      <c r="O216" s="302"/>
      <c r="P216" s="302"/>
    </row>
    <row r="217" spans="3:16" s="159" customFormat="1" x14ac:dyDescent="0.2">
      <c r="C217" s="655"/>
      <c r="D217" s="655"/>
      <c r="J217" s="274"/>
      <c r="M217" s="276"/>
      <c r="N217" s="157"/>
      <c r="O217" s="302"/>
      <c r="P217" s="302"/>
    </row>
    <row r="218" spans="3:16" s="159" customFormat="1" x14ac:dyDescent="0.2">
      <c r="C218" s="655"/>
      <c r="D218" s="655"/>
      <c r="J218" s="274"/>
      <c r="M218" s="276"/>
      <c r="N218" s="157"/>
      <c r="O218" s="302"/>
      <c r="P218" s="302"/>
    </row>
    <row r="219" spans="3:16" s="159" customFormat="1" x14ac:dyDescent="0.2">
      <c r="C219" s="655"/>
      <c r="D219" s="655"/>
      <c r="J219" s="274"/>
      <c r="M219" s="276"/>
      <c r="N219" s="157"/>
      <c r="O219" s="302"/>
      <c r="P219" s="302"/>
    </row>
    <row r="220" spans="3:16" s="159" customFormat="1" x14ac:dyDescent="0.2">
      <c r="C220" s="655"/>
      <c r="D220" s="655"/>
      <c r="J220" s="274"/>
      <c r="M220" s="276"/>
      <c r="N220" s="157"/>
      <c r="O220" s="302"/>
      <c r="P220" s="302"/>
    </row>
    <row r="221" spans="3:16" s="159" customFormat="1" x14ac:dyDescent="0.2">
      <c r="C221" s="655"/>
      <c r="D221" s="655"/>
      <c r="J221" s="274"/>
      <c r="M221" s="276"/>
      <c r="N221" s="157"/>
      <c r="O221" s="302"/>
      <c r="P221" s="302"/>
    </row>
    <row r="222" spans="3:16" s="159" customFormat="1" x14ac:dyDescent="0.2">
      <c r="C222" s="655"/>
      <c r="D222" s="655"/>
      <c r="J222" s="274"/>
      <c r="M222" s="276"/>
      <c r="N222" s="157"/>
      <c r="O222" s="302"/>
      <c r="P222" s="302"/>
    </row>
    <row r="223" spans="3:16" s="159" customFormat="1" x14ac:dyDescent="0.2">
      <c r="C223" s="655"/>
      <c r="D223" s="655"/>
      <c r="J223" s="274"/>
      <c r="M223" s="276"/>
      <c r="N223" s="157"/>
      <c r="O223" s="302"/>
      <c r="P223" s="302"/>
    </row>
    <row r="224" spans="3:16" s="159" customFormat="1" x14ac:dyDescent="0.2">
      <c r="C224" s="655"/>
      <c r="D224" s="655"/>
      <c r="J224" s="274"/>
      <c r="M224" s="276"/>
      <c r="N224" s="157"/>
      <c r="O224" s="302"/>
      <c r="P224" s="302"/>
    </row>
    <row r="225" spans="3:16" s="159" customFormat="1" x14ac:dyDescent="0.2">
      <c r="C225" s="655"/>
      <c r="D225" s="655"/>
      <c r="J225" s="274"/>
      <c r="M225" s="276"/>
      <c r="N225" s="157"/>
      <c r="O225" s="302"/>
      <c r="P225" s="302"/>
    </row>
    <row r="226" spans="3:16" s="159" customFormat="1" x14ac:dyDescent="0.2">
      <c r="C226" s="655"/>
      <c r="D226" s="655"/>
      <c r="J226" s="274"/>
      <c r="M226" s="276"/>
      <c r="N226" s="157"/>
      <c r="O226" s="302"/>
      <c r="P226" s="302"/>
    </row>
    <row r="227" spans="3:16" s="159" customFormat="1" x14ac:dyDescent="0.2">
      <c r="C227" s="655"/>
      <c r="D227" s="655"/>
      <c r="J227" s="274"/>
      <c r="M227" s="276"/>
      <c r="N227" s="157"/>
      <c r="O227" s="302"/>
      <c r="P227" s="302"/>
    </row>
    <row r="228" spans="3:16" s="159" customFormat="1" x14ac:dyDescent="0.2">
      <c r="C228" s="655"/>
      <c r="D228" s="655"/>
      <c r="J228" s="274"/>
      <c r="M228" s="276"/>
      <c r="N228" s="157"/>
      <c r="O228" s="302"/>
      <c r="P228" s="302"/>
    </row>
    <row r="229" spans="3:16" s="159" customFormat="1" x14ac:dyDescent="0.2">
      <c r="C229" s="655"/>
      <c r="D229" s="655"/>
      <c r="J229" s="274"/>
      <c r="M229" s="276"/>
      <c r="N229" s="157"/>
      <c r="O229" s="302"/>
      <c r="P229" s="302"/>
    </row>
    <row r="230" spans="3:16" s="159" customFormat="1" x14ac:dyDescent="0.2">
      <c r="C230" s="655"/>
      <c r="D230" s="655"/>
      <c r="J230" s="274"/>
      <c r="M230" s="276"/>
      <c r="N230" s="157"/>
      <c r="O230" s="302"/>
      <c r="P230" s="302"/>
    </row>
    <row r="231" spans="3:16" s="159" customFormat="1" x14ac:dyDescent="0.2">
      <c r="C231" s="655"/>
      <c r="D231" s="655"/>
      <c r="J231" s="274"/>
      <c r="M231" s="276"/>
      <c r="N231" s="157"/>
      <c r="O231" s="302"/>
      <c r="P231" s="302"/>
    </row>
    <row r="232" spans="3:16" s="159" customFormat="1" x14ac:dyDescent="0.2">
      <c r="C232" s="655"/>
      <c r="D232" s="655"/>
      <c r="J232" s="274"/>
      <c r="M232" s="276"/>
      <c r="N232" s="157"/>
      <c r="O232" s="302"/>
      <c r="P232" s="302"/>
    </row>
    <row r="233" spans="3:16" s="159" customFormat="1" x14ac:dyDescent="0.2">
      <c r="C233" s="655"/>
      <c r="D233" s="655"/>
      <c r="J233" s="274"/>
      <c r="M233" s="276"/>
      <c r="N233" s="157"/>
      <c r="O233" s="302"/>
      <c r="P233" s="302"/>
    </row>
    <row r="234" spans="3:16" s="159" customFormat="1" x14ac:dyDescent="0.2">
      <c r="C234" s="655"/>
      <c r="D234" s="655"/>
      <c r="J234" s="274"/>
      <c r="M234" s="276"/>
      <c r="N234" s="157"/>
      <c r="O234" s="302"/>
      <c r="P234" s="302"/>
    </row>
  </sheetData>
  <mergeCells count="44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F9"/>
    <mergeCell ref="G9:I9"/>
    <mergeCell ref="C25:F25"/>
    <mergeCell ref="G25:I25"/>
    <mergeCell ref="B53:B54"/>
    <mergeCell ref="C36:F36"/>
    <mergeCell ref="G36:I36"/>
    <mergeCell ref="C44:F44"/>
    <mergeCell ref="G44:I44"/>
    <mergeCell ref="K54:K55"/>
    <mergeCell ref="F52:F53"/>
    <mergeCell ref="G52:G53"/>
    <mergeCell ref="I52:I53"/>
    <mergeCell ref="J52:J53"/>
    <mergeCell ref="K52:K53"/>
    <mergeCell ref="F54:F55"/>
    <mergeCell ref="G54:G55"/>
    <mergeCell ref="I54:I55"/>
    <mergeCell ref="J54:J55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68" fitToHeight="2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AD238"/>
  <sheetViews>
    <sheetView zoomScale="75" zoomScaleNormal="75" zoomScaleSheetLayoutView="90" zoomScalePageLayoutView="75" workbookViewId="0">
      <selection activeCell="M17" sqref="M17"/>
    </sheetView>
  </sheetViews>
  <sheetFormatPr defaultColWidth="9.140625" defaultRowHeight="15" x14ac:dyDescent="0.2"/>
  <cols>
    <col min="1" max="1" width="12.140625" style="196" bestFit="1" customWidth="1"/>
    <col min="2" max="2" width="65.42578125" style="196" bestFit="1" customWidth="1"/>
    <col min="3" max="4" width="5" style="803" customWidth="1"/>
    <col min="5" max="5" width="14.5703125" style="196" bestFit="1" customWidth="1"/>
    <col min="6" max="6" width="16.140625" style="196" bestFit="1" customWidth="1"/>
    <col min="7" max="7" width="7" style="196" bestFit="1" customWidth="1"/>
    <col min="8" max="8" width="10.85546875" style="196" bestFit="1" customWidth="1"/>
    <col min="9" max="9" width="14.42578125" style="196" bestFit="1" customWidth="1"/>
    <col min="10" max="10" width="16.140625" style="684" bestFit="1" customWidth="1"/>
    <col min="11" max="11" width="16.140625" style="196" bestFit="1" customWidth="1"/>
    <col min="12" max="12" width="17.85546875" style="194" bestFit="1" customWidth="1"/>
    <col min="13" max="13" width="18" style="684" bestFit="1" customWidth="1"/>
    <col min="14" max="14" width="24.85546875" style="196" bestFit="1" customWidth="1"/>
    <col min="15" max="15" width="21.85546875" style="685" bestFit="1" customWidth="1"/>
    <col min="16" max="16" width="22" style="685" bestFit="1" customWidth="1"/>
    <col min="17" max="17" width="18.140625" style="196" bestFit="1" customWidth="1"/>
    <col min="18" max="22" width="9.140625" style="196"/>
    <col min="23" max="23" width="7.42578125" style="196" bestFit="1" customWidth="1"/>
    <col min="24" max="24" width="7.42578125" style="196" customWidth="1"/>
    <col min="25" max="25" width="10" style="196" bestFit="1" customWidth="1"/>
    <col min="26" max="26" width="10" style="196" customWidth="1"/>
    <col min="27" max="27" width="7.42578125" style="196" bestFit="1" customWidth="1"/>
    <col min="28" max="28" width="7.42578125" style="196" customWidth="1"/>
    <col min="29" max="16384" width="9.140625" style="196"/>
  </cols>
  <sheetData>
    <row r="1" spans="1:17" ht="16.5" thickBot="1" x14ac:dyDescent="0.3">
      <c r="A1" s="322"/>
      <c r="B1" s="683"/>
      <c r="C1" s="1132">
        <f>'Estimate Summary'!C1:H1</f>
        <v>0</v>
      </c>
      <c r="D1" s="1132"/>
      <c r="E1" s="1132"/>
      <c r="F1" s="1132"/>
      <c r="G1" s="1132"/>
      <c r="H1" s="1132"/>
      <c r="I1" s="1132"/>
      <c r="J1" s="1132"/>
      <c r="K1" s="1133"/>
    </row>
    <row r="2" spans="1:17" ht="16.5" thickBot="1" x14ac:dyDescent="0.3">
      <c r="A2" s="686"/>
      <c r="B2" s="687"/>
      <c r="C2" s="516"/>
      <c r="D2" s="1124"/>
      <c r="E2" s="1124"/>
      <c r="F2" s="1124"/>
      <c r="G2" s="516"/>
      <c r="H2" s="688"/>
      <c r="I2" s="689"/>
      <c r="J2" s="690"/>
      <c r="K2" s="691"/>
    </row>
    <row r="3" spans="1:17" ht="16.5" thickBot="1" x14ac:dyDescent="0.3">
      <c r="A3" s="1122"/>
      <c r="B3" s="1123"/>
      <c r="C3" s="516"/>
      <c r="D3" s="1124"/>
      <c r="E3" s="1124"/>
      <c r="F3" s="1124"/>
      <c r="G3" s="515"/>
      <c r="H3" s="692"/>
      <c r="I3" s="333"/>
      <c r="J3" s="333"/>
      <c r="K3" s="334"/>
      <c r="L3" s="1125"/>
      <c r="M3" s="1126"/>
      <c r="N3" s="1127"/>
      <c r="O3" s="1127"/>
      <c r="P3" s="1128"/>
    </row>
    <row r="4" spans="1:17" ht="16.5" thickBot="1" x14ac:dyDescent="0.3">
      <c r="A4" s="1122"/>
      <c r="B4" s="1123"/>
      <c r="C4" s="516"/>
      <c r="D4" s="1124"/>
      <c r="E4" s="1124"/>
      <c r="F4" s="1124"/>
      <c r="G4" s="693"/>
      <c r="H4" s="693"/>
      <c r="I4" s="689"/>
      <c r="J4" s="690"/>
      <c r="K4" s="691"/>
      <c r="L4" s="1125"/>
      <c r="M4" s="1126"/>
      <c r="N4" s="1127"/>
      <c r="O4" s="1127"/>
      <c r="P4" s="1128"/>
    </row>
    <row r="5" spans="1:17" ht="16.5" thickBot="1" x14ac:dyDescent="0.3">
      <c r="A5" s="694"/>
      <c r="B5" s="695"/>
      <c r="C5" s="516"/>
      <c r="D5" s="696"/>
      <c r="E5" s="697"/>
      <c r="F5" s="693"/>
      <c r="G5" s="1129" t="s">
        <v>10</v>
      </c>
      <c r="H5" s="1129"/>
      <c r="I5" s="1129"/>
      <c r="J5" s="1130" t="s">
        <v>73</v>
      </c>
      <c r="K5" s="1131"/>
      <c r="L5" s="1125"/>
      <c r="M5" s="1126"/>
      <c r="N5" s="1127"/>
      <c r="O5" s="1127"/>
      <c r="P5" s="1128"/>
    </row>
    <row r="6" spans="1:17" ht="16.5" thickBot="1" x14ac:dyDescent="0.3">
      <c r="A6" s="694"/>
      <c r="B6" s="695"/>
      <c r="C6" s="698"/>
      <c r="D6" s="699" t="str">
        <f>'Estimate Summary'!C11</f>
        <v>Area:</v>
      </c>
      <c r="E6" s="700">
        <f>'Estimate Summary'!D11</f>
        <v>65592</v>
      </c>
      <c r="F6" s="701" t="str">
        <f>'Estimate Summary'!E11</f>
        <v>Sq. Ft.</v>
      </c>
      <c r="G6" s="1129"/>
      <c r="H6" s="1129"/>
      <c r="I6" s="1129"/>
      <c r="J6" s="702">
        <f>'1'!J6</f>
        <v>60</v>
      </c>
      <c r="K6" s="691" t="s">
        <v>74</v>
      </c>
      <c r="L6" s="1125"/>
      <c r="M6" s="1126"/>
      <c r="N6" s="1127"/>
      <c r="O6" s="1127"/>
      <c r="P6" s="1128"/>
    </row>
    <row r="7" spans="1:17" ht="15.75" x14ac:dyDescent="0.25">
      <c r="A7" s="1113"/>
      <c r="B7" s="1114"/>
      <c r="C7" s="1114"/>
      <c r="D7" s="1114"/>
      <c r="E7" s="1114"/>
      <c r="F7" s="1114"/>
      <c r="G7" s="1114"/>
      <c r="H7" s="1114"/>
      <c r="I7" s="1114"/>
      <c r="J7" s="1114"/>
      <c r="K7" s="1115"/>
    </row>
    <row r="8" spans="1:17" ht="15.75" x14ac:dyDescent="0.25">
      <c r="A8" s="703"/>
      <c r="B8" s="704"/>
      <c r="C8" s="1116"/>
      <c r="D8" s="1116"/>
      <c r="E8" s="1116"/>
      <c r="F8" s="1116"/>
      <c r="G8" s="1117"/>
      <c r="H8" s="1117"/>
      <c r="I8" s="1117"/>
      <c r="J8" s="705"/>
      <c r="K8" s="706"/>
      <c r="L8" s="707" t="s">
        <v>96</v>
      </c>
      <c r="M8" s="708" t="s">
        <v>97</v>
      </c>
      <c r="N8" s="707" t="s">
        <v>100</v>
      </c>
      <c r="O8" s="709" t="s">
        <v>98</v>
      </c>
      <c r="P8" s="709" t="s">
        <v>99</v>
      </c>
    </row>
    <row r="9" spans="1:17" x14ac:dyDescent="0.2">
      <c r="A9" s="710"/>
      <c r="B9" s="711"/>
      <c r="C9" s="1118"/>
      <c r="D9" s="1118"/>
      <c r="E9" s="1119"/>
      <c r="F9" s="1119"/>
      <c r="G9" s="1120"/>
      <c r="H9" s="1119"/>
      <c r="I9" s="1119"/>
      <c r="J9" s="1119"/>
      <c r="K9" s="1121"/>
      <c r="L9" s="712"/>
      <c r="M9" s="713"/>
      <c r="N9" s="714"/>
      <c r="O9" s="715"/>
      <c r="P9" s="715"/>
    </row>
    <row r="10" spans="1:17" ht="16.5" thickBot="1" x14ac:dyDescent="0.25">
      <c r="A10" s="716"/>
      <c r="B10" s="717"/>
      <c r="C10" s="1118"/>
      <c r="D10" s="1118"/>
      <c r="E10" s="1119"/>
      <c r="F10" s="1119"/>
      <c r="G10" s="1120"/>
      <c r="H10" s="1119"/>
      <c r="I10" s="1119"/>
      <c r="J10" s="1119"/>
      <c r="K10" s="1121"/>
      <c r="L10" s="712"/>
      <c r="M10" s="713"/>
      <c r="N10" s="714"/>
      <c r="O10" s="715"/>
      <c r="P10" s="715"/>
    </row>
    <row r="11" spans="1:17" ht="17.25" thickTop="1" thickBot="1" x14ac:dyDescent="0.25">
      <c r="A11" s="718" t="s">
        <v>0</v>
      </c>
      <c r="B11" s="719" t="s">
        <v>1</v>
      </c>
      <c r="C11" s="1095" t="s">
        <v>656</v>
      </c>
      <c r="D11" s="1095"/>
      <c r="E11" s="1095"/>
      <c r="F11" s="1095"/>
      <c r="G11" s="1095" t="s">
        <v>34</v>
      </c>
      <c r="H11" s="1095"/>
      <c r="I11" s="1095"/>
      <c r="J11" s="720"/>
      <c r="K11" s="721"/>
      <c r="L11" s="1085" t="s">
        <v>783</v>
      </c>
      <c r="M11" s="1087" t="s">
        <v>784</v>
      </c>
      <c r="N11" s="1089" t="s">
        <v>785</v>
      </c>
      <c r="O11" s="1091"/>
      <c r="P11" s="1093"/>
      <c r="Q11" s="1083"/>
    </row>
    <row r="12" spans="1:17" ht="15.75" x14ac:dyDescent="0.25">
      <c r="A12" s="525" t="s">
        <v>471</v>
      </c>
      <c r="B12" s="525" t="s">
        <v>472</v>
      </c>
      <c r="C12" s="722" t="s">
        <v>19</v>
      </c>
      <c r="D12" s="723" t="s">
        <v>33</v>
      </c>
      <c r="E12" s="724" t="s">
        <v>35</v>
      </c>
      <c r="F12" s="725" t="s">
        <v>30</v>
      </c>
      <c r="G12" s="726" t="s">
        <v>14</v>
      </c>
      <c r="H12" s="724" t="s">
        <v>35</v>
      </c>
      <c r="I12" s="725" t="s">
        <v>30</v>
      </c>
      <c r="J12" s="727" t="s">
        <v>659</v>
      </c>
      <c r="K12" s="728" t="s">
        <v>38</v>
      </c>
      <c r="L12" s="1086"/>
      <c r="M12" s="1088"/>
      <c r="N12" s="1090"/>
      <c r="O12" s="1092"/>
      <c r="P12" s="1094"/>
      <c r="Q12" s="1084"/>
    </row>
    <row r="13" spans="1:17" ht="15.75" x14ac:dyDescent="0.25">
      <c r="A13" s="729" t="s">
        <v>681</v>
      </c>
      <c r="B13" s="730" t="s">
        <v>682</v>
      </c>
      <c r="C13" s="731"/>
      <c r="D13" s="732" t="s">
        <v>21</v>
      </c>
      <c r="E13" s="733">
        <v>0</v>
      </c>
      <c r="F13" s="734">
        <f t="shared" ref="F13:F24" si="0">C13*E13</f>
        <v>0</v>
      </c>
      <c r="G13" s="735"/>
      <c r="H13" s="736">
        <v>0</v>
      </c>
      <c r="I13" s="734">
        <f t="shared" ref="I13:I24" si="1">G13*H13</f>
        <v>0</v>
      </c>
      <c r="J13" s="737"/>
      <c r="K13" s="738">
        <f t="shared" ref="K13:K24" si="2">F13+I13+J13</f>
        <v>0</v>
      </c>
      <c r="L13" s="739" t="s">
        <v>1095</v>
      </c>
      <c r="M13" s="740">
        <v>889500</v>
      </c>
      <c r="N13" s="741" t="s">
        <v>1233</v>
      </c>
      <c r="O13" s="742"/>
      <c r="P13" s="743"/>
      <c r="Q13" s="744"/>
    </row>
    <row r="14" spans="1:17" ht="15.75" x14ac:dyDescent="0.25">
      <c r="A14" s="729"/>
      <c r="B14" s="15"/>
      <c r="C14" s="731"/>
      <c r="D14" s="732" t="s">
        <v>21</v>
      </c>
      <c r="E14" s="733">
        <v>0</v>
      </c>
      <c r="F14" s="734">
        <f t="shared" si="0"/>
        <v>0</v>
      </c>
      <c r="G14" s="735"/>
      <c r="H14" s="736">
        <v>0</v>
      </c>
      <c r="I14" s="734">
        <f t="shared" si="1"/>
        <v>0</v>
      </c>
      <c r="J14" s="737"/>
      <c r="K14" s="738">
        <f t="shared" si="2"/>
        <v>0</v>
      </c>
      <c r="L14" s="739" t="s">
        <v>1096</v>
      </c>
      <c r="M14" s="740">
        <v>1091500</v>
      </c>
      <c r="N14" s="741"/>
      <c r="O14" s="742"/>
      <c r="P14" s="743"/>
      <c r="Q14" s="744"/>
    </row>
    <row r="15" spans="1:17" ht="15.75" x14ac:dyDescent="0.25">
      <c r="A15" s="729"/>
      <c r="B15" s="15"/>
      <c r="C15" s="731"/>
      <c r="D15" s="732" t="s">
        <v>21</v>
      </c>
      <c r="E15" s="733">
        <v>0</v>
      </c>
      <c r="F15" s="734">
        <f t="shared" si="0"/>
        <v>0</v>
      </c>
      <c r="G15" s="735"/>
      <c r="H15" s="736">
        <v>0</v>
      </c>
      <c r="I15" s="734">
        <f t="shared" si="1"/>
        <v>0</v>
      </c>
      <c r="J15" s="737"/>
      <c r="K15" s="738">
        <f t="shared" si="2"/>
        <v>0</v>
      </c>
      <c r="L15" s="739" t="s">
        <v>1097</v>
      </c>
      <c r="M15" s="859">
        <v>886000</v>
      </c>
      <c r="N15" s="741" t="s">
        <v>1233</v>
      </c>
      <c r="O15" s="742"/>
      <c r="P15" s="743"/>
      <c r="Q15" s="744"/>
    </row>
    <row r="16" spans="1:17" ht="15.75" x14ac:dyDescent="0.25">
      <c r="A16" s="729"/>
      <c r="B16" s="15"/>
      <c r="C16" s="731">
        <v>59</v>
      </c>
      <c r="D16" s="732" t="s">
        <v>33</v>
      </c>
      <c r="E16" s="733">
        <f>M25</f>
        <v>13289.406779661016</v>
      </c>
      <c r="F16" s="734"/>
      <c r="G16" s="735"/>
      <c r="H16" s="736">
        <v>0</v>
      </c>
      <c r="I16" s="734">
        <f t="shared" si="1"/>
        <v>0</v>
      </c>
      <c r="J16" s="737">
        <f>M16</f>
        <v>770000</v>
      </c>
      <c r="K16" s="738">
        <f t="shared" si="2"/>
        <v>770000</v>
      </c>
      <c r="L16" s="739" t="s">
        <v>1098</v>
      </c>
      <c r="M16" s="859">
        <v>770000</v>
      </c>
      <c r="N16" s="741" t="s">
        <v>1236</v>
      </c>
      <c r="O16" s="742"/>
      <c r="P16" s="743"/>
      <c r="Q16" s="744"/>
    </row>
    <row r="17" spans="1:30" ht="15.75" x14ac:dyDescent="0.25">
      <c r="A17" s="729"/>
      <c r="B17" s="385"/>
      <c r="C17" s="731"/>
      <c r="D17" s="732" t="s">
        <v>21</v>
      </c>
      <c r="E17" s="733">
        <v>0</v>
      </c>
      <c r="F17" s="734">
        <f t="shared" si="0"/>
        <v>0</v>
      </c>
      <c r="G17" s="735"/>
      <c r="H17" s="736">
        <v>0</v>
      </c>
      <c r="I17" s="734">
        <f t="shared" si="1"/>
        <v>0</v>
      </c>
      <c r="J17" s="737"/>
      <c r="K17" s="738">
        <f t="shared" si="2"/>
        <v>0</v>
      </c>
      <c r="L17" s="739" t="s">
        <v>38</v>
      </c>
      <c r="M17" s="863">
        <v>733500</v>
      </c>
      <c r="N17" s="741"/>
      <c r="O17" s="742"/>
      <c r="P17" s="743"/>
      <c r="Q17" s="744"/>
    </row>
    <row r="18" spans="1:30" ht="15.75" x14ac:dyDescent="0.25">
      <c r="A18" s="745"/>
      <c r="B18" s="15"/>
      <c r="C18" s="731"/>
      <c r="D18" s="732" t="s">
        <v>21</v>
      </c>
      <c r="E18" s="733">
        <v>0</v>
      </c>
      <c r="F18" s="734">
        <f t="shared" si="0"/>
        <v>0</v>
      </c>
      <c r="G18" s="735"/>
      <c r="H18" s="736">
        <v>0</v>
      </c>
      <c r="I18" s="734">
        <f t="shared" si="1"/>
        <v>0</v>
      </c>
      <c r="J18" s="737"/>
      <c r="K18" s="738">
        <f t="shared" si="2"/>
        <v>0</v>
      </c>
      <c r="L18" s="739"/>
      <c r="M18" s="740"/>
      <c r="N18" s="741"/>
      <c r="O18" s="742"/>
      <c r="P18" s="743"/>
      <c r="Q18" s="744"/>
    </row>
    <row r="19" spans="1:30" ht="15.75" x14ac:dyDescent="0.25">
      <c r="A19" s="745"/>
      <c r="B19" s="15"/>
      <c r="C19" s="731"/>
      <c r="D19" s="732" t="s">
        <v>21</v>
      </c>
      <c r="E19" s="733">
        <v>0</v>
      </c>
      <c r="F19" s="734">
        <f t="shared" si="0"/>
        <v>0</v>
      </c>
      <c r="G19" s="735"/>
      <c r="H19" s="736">
        <v>0</v>
      </c>
      <c r="I19" s="734">
        <f t="shared" si="1"/>
        <v>0</v>
      </c>
      <c r="J19" s="737"/>
      <c r="K19" s="738">
        <f t="shared" si="2"/>
        <v>0</v>
      </c>
      <c r="L19" s="196"/>
      <c r="M19" s="746"/>
      <c r="O19" s="742"/>
      <c r="P19" s="743"/>
      <c r="Q19" s="744"/>
    </row>
    <row r="20" spans="1:30" ht="15.75" x14ac:dyDescent="0.25">
      <c r="A20" s="745"/>
      <c r="B20" s="15"/>
      <c r="C20" s="731"/>
      <c r="D20" s="732" t="s">
        <v>21</v>
      </c>
      <c r="E20" s="733">
        <v>0</v>
      </c>
      <c r="F20" s="734">
        <f t="shared" si="0"/>
        <v>0</v>
      </c>
      <c r="G20" s="735"/>
      <c r="H20" s="736">
        <v>0</v>
      </c>
      <c r="I20" s="734">
        <f t="shared" si="1"/>
        <v>0</v>
      </c>
      <c r="J20" s="737"/>
      <c r="K20" s="738">
        <f t="shared" si="2"/>
        <v>0</v>
      </c>
      <c r="L20" s="196"/>
      <c r="M20" s="746"/>
      <c r="O20" s="742"/>
      <c r="P20" s="743"/>
      <c r="Q20" s="744"/>
    </row>
    <row r="21" spans="1:30" ht="15.75" x14ac:dyDescent="0.25">
      <c r="A21" s="745"/>
      <c r="B21" s="15"/>
      <c r="C21" s="731"/>
      <c r="D21" s="732" t="s">
        <v>21</v>
      </c>
      <c r="E21" s="733">
        <v>0</v>
      </c>
      <c r="F21" s="734">
        <f t="shared" si="0"/>
        <v>0</v>
      </c>
      <c r="G21" s="735"/>
      <c r="H21" s="736">
        <v>0</v>
      </c>
      <c r="I21" s="734">
        <f t="shared" si="1"/>
        <v>0</v>
      </c>
      <c r="J21" s="737"/>
      <c r="K21" s="738">
        <f t="shared" si="2"/>
        <v>0</v>
      </c>
      <c r="L21" s="747"/>
      <c r="M21" s="748"/>
      <c r="N21" s="749"/>
      <c r="O21" s="742"/>
      <c r="P21" s="743"/>
      <c r="Q21" s="744"/>
    </row>
    <row r="22" spans="1:30" ht="15.75" x14ac:dyDescent="0.25">
      <c r="A22" s="745"/>
      <c r="B22" s="15"/>
      <c r="C22" s="731"/>
      <c r="D22" s="732" t="s">
        <v>21</v>
      </c>
      <c r="E22" s="733">
        <v>0</v>
      </c>
      <c r="F22" s="734">
        <f t="shared" si="0"/>
        <v>0</v>
      </c>
      <c r="G22" s="735"/>
      <c r="H22" s="736">
        <v>0</v>
      </c>
      <c r="I22" s="734">
        <f t="shared" si="1"/>
        <v>0</v>
      </c>
      <c r="J22" s="737"/>
      <c r="K22" s="738">
        <f t="shared" si="2"/>
        <v>0</v>
      </c>
      <c r="L22" s="750"/>
      <c r="M22" s="751"/>
      <c r="N22" s="752"/>
      <c r="O22" s="742"/>
      <c r="P22" s="743"/>
      <c r="Q22" s="744"/>
    </row>
    <row r="23" spans="1:30" ht="15.75" x14ac:dyDescent="0.25">
      <c r="A23" s="745"/>
      <c r="B23" s="15"/>
      <c r="C23" s="731"/>
      <c r="D23" s="732" t="s">
        <v>21</v>
      </c>
      <c r="E23" s="733">
        <v>0</v>
      </c>
      <c r="F23" s="734">
        <f t="shared" si="0"/>
        <v>0</v>
      </c>
      <c r="G23" s="735"/>
      <c r="H23" s="736">
        <v>0</v>
      </c>
      <c r="I23" s="734">
        <f t="shared" si="1"/>
        <v>0</v>
      </c>
      <c r="J23" s="737"/>
      <c r="K23" s="738">
        <f t="shared" si="2"/>
        <v>0</v>
      </c>
      <c r="L23" s="196"/>
      <c r="M23" s="746"/>
      <c r="O23" s="742"/>
      <c r="P23" s="743"/>
      <c r="Q23" s="744"/>
      <c r="T23" s="528"/>
      <c r="U23" s="1082" t="s">
        <v>1161</v>
      </c>
      <c r="V23" s="1082"/>
      <c r="W23" s="1082" t="s">
        <v>1162</v>
      </c>
      <c r="X23" s="1082"/>
      <c r="Y23" s="1082" t="s">
        <v>1164</v>
      </c>
      <c r="Z23" s="1082"/>
      <c r="AA23" s="1082" t="s">
        <v>1163</v>
      </c>
      <c r="AB23" s="1082"/>
      <c r="AC23" s="1082" t="s">
        <v>1165</v>
      </c>
      <c r="AD23" s="1082"/>
    </row>
    <row r="24" spans="1:30" ht="15.75" x14ac:dyDescent="0.25">
      <c r="A24" s="745"/>
      <c r="B24" s="15"/>
      <c r="C24" s="731"/>
      <c r="D24" s="732" t="s">
        <v>21</v>
      </c>
      <c r="E24" s="733">
        <v>0</v>
      </c>
      <c r="F24" s="734">
        <f t="shared" si="0"/>
        <v>0</v>
      </c>
      <c r="G24" s="735"/>
      <c r="H24" s="736">
        <v>0</v>
      </c>
      <c r="I24" s="734">
        <f t="shared" si="1"/>
        <v>0</v>
      </c>
      <c r="J24" s="737"/>
      <c r="K24" s="738">
        <f t="shared" si="2"/>
        <v>0</v>
      </c>
      <c r="L24" s="196"/>
      <c r="M24" s="746"/>
      <c r="O24" s="742"/>
      <c r="P24" s="743"/>
      <c r="Q24" s="744"/>
      <c r="S24" s="196" t="s">
        <v>790</v>
      </c>
      <c r="T24" s="528">
        <v>1</v>
      </c>
      <c r="U24" s="528">
        <v>1</v>
      </c>
      <c r="V24" s="845">
        <f>$T24*U24</f>
        <v>1</v>
      </c>
      <c r="W24" s="528">
        <v>1</v>
      </c>
      <c r="X24" s="845">
        <f>$T24*W24</f>
        <v>1</v>
      </c>
      <c r="Y24" s="528">
        <v>3</v>
      </c>
      <c r="Z24" s="845">
        <f>$T24*Y24</f>
        <v>3</v>
      </c>
      <c r="AA24" s="528">
        <v>17</v>
      </c>
      <c r="AB24" s="845">
        <f>$T24*AA24</f>
        <v>17</v>
      </c>
      <c r="AC24" s="528">
        <v>1</v>
      </c>
      <c r="AD24" s="845">
        <f>$T24*AC24</f>
        <v>1</v>
      </c>
    </row>
    <row r="25" spans="1:30" ht="16.5" thickBot="1" x14ac:dyDescent="0.3">
      <c r="A25" s="753"/>
      <c r="B25" s="730"/>
      <c r="C25" s="754"/>
      <c r="D25" s="732"/>
      <c r="E25" s="733"/>
      <c r="F25" s="734"/>
      <c r="G25" s="735"/>
      <c r="H25" s="736"/>
      <c r="I25" s="734"/>
      <c r="J25" s="737"/>
      <c r="K25" s="738"/>
      <c r="L25" s="196" t="s">
        <v>1115</v>
      </c>
      <c r="M25" s="746">
        <f>784075/59</f>
        <v>13289.406779661016</v>
      </c>
      <c r="O25" s="742"/>
      <c r="P25" s="743"/>
      <c r="Q25" s="744"/>
      <c r="S25" s="196" t="s">
        <v>791</v>
      </c>
      <c r="T25" s="528">
        <v>7</v>
      </c>
      <c r="U25" s="528">
        <v>1</v>
      </c>
      <c r="V25" s="845">
        <f t="shared" ref="V25:V33" si="3">$T25*U25</f>
        <v>7</v>
      </c>
      <c r="W25" s="528">
        <v>1</v>
      </c>
      <c r="X25" s="845">
        <f t="shared" ref="X25:X33" si="4">$T25*W25</f>
        <v>7</v>
      </c>
      <c r="Y25" s="528">
        <v>3</v>
      </c>
      <c r="Z25" s="845">
        <f t="shared" ref="Z25:Z33" si="5">$T25*Y25</f>
        <v>21</v>
      </c>
      <c r="AA25" s="528">
        <v>13</v>
      </c>
      <c r="AB25" s="845">
        <f t="shared" ref="AB25:AB33" si="6">$T25*AA25</f>
        <v>91</v>
      </c>
      <c r="AC25" s="528">
        <v>1</v>
      </c>
      <c r="AD25" s="845">
        <f t="shared" ref="AD25:AD33" si="7">$T25*AC25</f>
        <v>7</v>
      </c>
    </row>
    <row r="26" spans="1:30" ht="16.5" thickTop="1" x14ac:dyDescent="0.25">
      <c r="A26" s="753"/>
      <c r="B26" s="730"/>
      <c r="C26" s="754"/>
      <c r="D26" s="732"/>
      <c r="E26" s="733"/>
      <c r="F26" s="734"/>
      <c r="G26" s="735"/>
      <c r="H26" s="736"/>
      <c r="I26" s="734"/>
      <c r="J26" s="755" t="s">
        <v>30</v>
      </c>
      <c r="K26" s="756">
        <f>SUM(K13:K25)</f>
        <v>770000</v>
      </c>
      <c r="L26" s="196"/>
      <c r="M26" s="746"/>
      <c r="O26" s="742"/>
      <c r="P26" s="743"/>
      <c r="Q26" s="744"/>
      <c r="S26" s="196" t="s">
        <v>972</v>
      </c>
      <c r="T26" s="528">
        <v>4</v>
      </c>
      <c r="U26" s="528">
        <v>1</v>
      </c>
      <c r="V26" s="845">
        <f t="shared" si="3"/>
        <v>4</v>
      </c>
      <c r="W26" s="528">
        <v>1</v>
      </c>
      <c r="X26" s="845">
        <f t="shared" si="4"/>
        <v>4</v>
      </c>
      <c r="Y26" s="528">
        <v>3</v>
      </c>
      <c r="Z26" s="845">
        <f t="shared" si="5"/>
        <v>12</v>
      </c>
      <c r="AA26" s="528">
        <v>14</v>
      </c>
      <c r="AB26" s="845">
        <f t="shared" si="6"/>
        <v>56</v>
      </c>
      <c r="AC26" s="528">
        <v>1</v>
      </c>
      <c r="AD26" s="845">
        <f t="shared" si="7"/>
        <v>4</v>
      </c>
    </row>
    <row r="27" spans="1:30" ht="16.5" thickBot="1" x14ac:dyDescent="0.3">
      <c r="A27" s="718" t="s">
        <v>0</v>
      </c>
      <c r="B27" s="719" t="s">
        <v>1</v>
      </c>
      <c r="C27" s="1095" t="s">
        <v>656</v>
      </c>
      <c r="D27" s="1095"/>
      <c r="E27" s="1095"/>
      <c r="F27" s="1095"/>
      <c r="G27" s="1095" t="s">
        <v>34</v>
      </c>
      <c r="H27" s="1095"/>
      <c r="I27" s="1095"/>
      <c r="J27" s="720"/>
      <c r="K27" s="721"/>
      <c r="L27" s="757"/>
      <c r="M27" s="758"/>
      <c r="N27" s="759"/>
      <c r="O27" s="742"/>
      <c r="P27" s="743"/>
      <c r="Q27" s="744"/>
      <c r="S27" s="196" t="s">
        <v>828</v>
      </c>
      <c r="T27" s="528">
        <v>16</v>
      </c>
      <c r="U27" s="528">
        <v>1</v>
      </c>
      <c r="V27" s="845">
        <f t="shared" si="3"/>
        <v>16</v>
      </c>
      <c r="W27" s="528">
        <v>2</v>
      </c>
      <c r="X27" s="845">
        <f t="shared" si="4"/>
        <v>32</v>
      </c>
      <c r="Y27" s="528">
        <v>3</v>
      </c>
      <c r="Z27" s="845">
        <f t="shared" si="5"/>
        <v>48</v>
      </c>
      <c r="AA27" s="528">
        <v>14</v>
      </c>
      <c r="AB27" s="845">
        <f t="shared" si="6"/>
        <v>224</v>
      </c>
      <c r="AC27" s="528">
        <v>1</v>
      </c>
      <c r="AD27" s="845">
        <f t="shared" si="7"/>
        <v>16</v>
      </c>
    </row>
    <row r="28" spans="1:30" ht="15.75" x14ac:dyDescent="0.25">
      <c r="A28" s="525" t="s">
        <v>473</v>
      </c>
      <c r="B28" s="525" t="s">
        <v>474</v>
      </c>
      <c r="C28" s="760" t="s">
        <v>19</v>
      </c>
      <c r="D28" s="761" t="s">
        <v>33</v>
      </c>
      <c r="E28" s="762" t="s">
        <v>35</v>
      </c>
      <c r="F28" s="763" t="s">
        <v>30</v>
      </c>
      <c r="G28" s="764" t="s">
        <v>14</v>
      </c>
      <c r="H28" s="762" t="s">
        <v>35</v>
      </c>
      <c r="I28" s="763" t="s">
        <v>30</v>
      </c>
      <c r="J28" s="727" t="s">
        <v>659</v>
      </c>
      <c r="K28" s="765" t="s">
        <v>38</v>
      </c>
      <c r="L28" s="766"/>
      <c r="M28" s="767"/>
      <c r="N28" s="768"/>
      <c r="O28" s="742"/>
      <c r="P28" s="743"/>
      <c r="Q28" s="744"/>
      <c r="S28" s="196" t="s">
        <v>975</v>
      </c>
      <c r="T28" s="528">
        <v>4</v>
      </c>
      <c r="U28" s="528">
        <v>1</v>
      </c>
      <c r="V28" s="845">
        <f t="shared" si="3"/>
        <v>4</v>
      </c>
      <c r="W28" s="528">
        <v>3</v>
      </c>
      <c r="X28" s="845">
        <f t="shared" si="4"/>
        <v>12</v>
      </c>
      <c r="Y28" s="528">
        <v>3</v>
      </c>
      <c r="Z28" s="845">
        <f t="shared" si="5"/>
        <v>12</v>
      </c>
      <c r="AA28" s="528">
        <v>20</v>
      </c>
      <c r="AB28" s="845">
        <f t="shared" si="6"/>
        <v>80</v>
      </c>
      <c r="AC28" s="528">
        <v>2</v>
      </c>
      <c r="AD28" s="845">
        <f t="shared" si="7"/>
        <v>8</v>
      </c>
    </row>
    <row r="29" spans="1:30" s="194" customFormat="1" ht="15.75" x14ac:dyDescent="0.25">
      <c r="A29" s="196" t="s">
        <v>475</v>
      </c>
      <c r="B29" s="196" t="s">
        <v>1229</v>
      </c>
      <c r="C29" s="731"/>
      <c r="D29" s="732" t="s">
        <v>21</v>
      </c>
      <c r="E29" s="733">
        <v>0</v>
      </c>
      <c r="F29" s="734">
        <f t="shared" ref="F29:F35" si="8">C29*E29</f>
        <v>0</v>
      </c>
      <c r="G29" s="735"/>
      <c r="H29" s="736">
        <v>0</v>
      </c>
      <c r="I29" s="734">
        <f t="shared" ref="I29:I35" si="9">G29*H29</f>
        <v>0</v>
      </c>
      <c r="J29" s="737"/>
      <c r="K29" s="738">
        <f t="shared" ref="K29:K35" si="10">F29+I29+J29</f>
        <v>0</v>
      </c>
      <c r="L29" s="194" t="s">
        <v>1230</v>
      </c>
      <c r="M29" s="769">
        <v>124241</v>
      </c>
      <c r="N29" s="194" t="s">
        <v>1241</v>
      </c>
      <c r="O29" s="742"/>
      <c r="P29" s="743"/>
      <c r="Q29" s="744"/>
      <c r="S29" s="194" t="s">
        <v>1156</v>
      </c>
      <c r="T29" s="528">
        <v>12</v>
      </c>
      <c r="U29" s="528">
        <v>1</v>
      </c>
      <c r="V29" s="845">
        <f t="shared" si="3"/>
        <v>12</v>
      </c>
      <c r="W29" s="528">
        <v>2</v>
      </c>
      <c r="X29" s="845">
        <f t="shared" si="4"/>
        <v>24</v>
      </c>
      <c r="Y29" s="528">
        <v>3</v>
      </c>
      <c r="Z29" s="845">
        <f t="shared" si="5"/>
        <v>36</v>
      </c>
      <c r="AA29" s="528">
        <v>20</v>
      </c>
      <c r="AB29" s="845">
        <f t="shared" si="6"/>
        <v>240</v>
      </c>
      <c r="AC29" s="528">
        <v>2</v>
      </c>
      <c r="AD29" s="845">
        <f t="shared" si="7"/>
        <v>24</v>
      </c>
    </row>
    <row r="30" spans="1:30" s="194" customFormat="1" ht="15.75" x14ac:dyDescent="0.25">
      <c r="A30" s="196" t="s">
        <v>476</v>
      </c>
      <c r="B30" s="196" t="s">
        <v>1231</v>
      </c>
      <c r="C30" s="731"/>
      <c r="D30" s="732" t="s">
        <v>21</v>
      </c>
      <c r="E30" s="733">
        <v>0</v>
      </c>
      <c r="F30" s="734">
        <f t="shared" si="8"/>
        <v>0</v>
      </c>
      <c r="G30" s="735"/>
      <c r="H30" s="736">
        <v>0</v>
      </c>
      <c r="I30" s="734">
        <f t="shared" si="9"/>
        <v>0</v>
      </c>
      <c r="J30" s="737"/>
      <c r="K30" s="738">
        <f t="shared" si="10"/>
        <v>0</v>
      </c>
      <c r="M30" s="684"/>
      <c r="N30" s="196"/>
      <c r="O30" s="742"/>
      <c r="P30" s="743"/>
      <c r="Q30" s="744"/>
      <c r="S30" s="194" t="s">
        <v>1157</v>
      </c>
      <c r="T30" s="528">
        <v>1</v>
      </c>
      <c r="U30" s="528">
        <v>1</v>
      </c>
      <c r="V30" s="845">
        <f t="shared" si="3"/>
        <v>1</v>
      </c>
      <c r="W30" s="528">
        <v>1</v>
      </c>
      <c r="X30" s="845">
        <f t="shared" si="4"/>
        <v>1</v>
      </c>
      <c r="Y30" s="528">
        <v>3</v>
      </c>
      <c r="Z30" s="845">
        <f t="shared" si="5"/>
        <v>3</v>
      </c>
      <c r="AA30" s="528">
        <v>13</v>
      </c>
      <c r="AB30" s="845">
        <f t="shared" si="6"/>
        <v>13</v>
      </c>
      <c r="AC30" s="528">
        <v>1</v>
      </c>
      <c r="AD30" s="845">
        <f t="shared" si="7"/>
        <v>1</v>
      </c>
    </row>
    <row r="31" spans="1:30" s="194" customFormat="1" ht="15.75" x14ac:dyDescent="0.25">
      <c r="A31" s="196" t="s">
        <v>477</v>
      </c>
      <c r="B31" s="196" t="s">
        <v>1232</v>
      </c>
      <c r="C31" s="731"/>
      <c r="D31" s="732" t="s">
        <v>21</v>
      </c>
      <c r="E31" s="733">
        <v>0</v>
      </c>
      <c r="F31" s="734">
        <f t="shared" si="8"/>
        <v>0</v>
      </c>
      <c r="G31" s="735"/>
      <c r="H31" s="736">
        <v>0</v>
      </c>
      <c r="I31" s="734">
        <f t="shared" si="9"/>
        <v>0</v>
      </c>
      <c r="J31" s="737"/>
      <c r="K31" s="738">
        <f t="shared" si="10"/>
        <v>0</v>
      </c>
      <c r="L31" s="739"/>
      <c r="M31" s="740"/>
      <c r="N31" s="741"/>
      <c r="O31" s="742"/>
      <c r="P31" s="743"/>
      <c r="Q31" s="744"/>
      <c r="S31" s="194" t="s">
        <v>1158</v>
      </c>
      <c r="T31" s="528">
        <v>7</v>
      </c>
      <c r="U31" s="528">
        <v>1</v>
      </c>
      <c r="V31" s="845">
        <f t="shared" si="3"/>
        <v>7</v>
      </c>
      <c r="W31" s="528">
        <v>2</v>
      </c>
      <c r="X31" s="845">
        <f t="shared" si="4"/>
        <v>14</v>
      </c>
      <c r="Y31" s="528">
        <v>3</v>
      </c>
      <c r="Z31" s="845">
        <f t="shared" si="5"/>
        <v>21</v>
      </c>
      <c r="AA31" s="528">
        <v>19</v>
      </c>
      <c r="AB31" s="845">
        <f t="shared" si="6"/>
        <v>133</v>
      </c>
      <c r="AC31" s="528">
        <v>2</v>
      </c>
      <c r="AD31" s="845">
        <f t="shared" si="7"/>
        <v>14</v>
      </c>
    </row>
    <row r="32" spans="1:30" s="194" customFormat="1" ht="15.75" x14ac:dyDescent="0.25">
      <c r="A32" s="196" t="s">
        <v>478</v>
      </c>
      <c r="B32" s="196" t="s">
        <v>479</v>
      </c>
      <c r="C32" s="731"/>
      <c r="D32" s="732" t="s">
        <v>21</v>
      </c>
      <c r="E32" s="733">
        <v>0</v>
      </c>
      <c r="F32" s="734">
        <f t="shared" si="8"/>
        <v>0</v>
      </c>
      <c r="G32" s="735"/>
      <c r="H32" s="736">
        <v>0</v>
      </c>
      <c r="I32" s="734">
        <f t="shared" si="9"/>
        <v>0</v>
      </c>
      <c r="J32" s="737"/>
      <c r="K32" s="738">
        <f t="shared" si="10"/>
        <v>0</v>
      </c>
      <c r="L32" s="739"/>
      <c r="M32" s="740"/>
      <c r="N32" s="741"/>
      <c r="O32" s="742"/>
      <c r="P32" s="743"/>
      <c r="Q32" s="744"/>
      <c r="S32" s="194" t="s">
        <v>1159</v>
      </c>
      <c r="T32" s="528">
        <v>4</v>
      </c>
      <c r="U32" s="528">
        <v>1</v>
      </c>
      <c r="V32" s="845">
        <f t="shared" si="3"/>
        <v>4</v>
      </c>
      <c r="W32" s="528">
        <v>1</v>
      </c>
      <c r="X32" s="845">
        <f t="shared" si="4"/>
        <v>4</v>
      </c>
      <c r="Y32" s="528">
        <v>1</v>
      </c>
      <c r="Z32" s="845">
        <f t="shared" si="5"/>
        <v>4</v>
      </c>
      <c r="AA32" s="528">
        <v>15</v>
      </c>
      <c r="AB32" s="845">
        <f t="shared" si="6"/>
        <v>60</v>
      </c>
      <c r="AC32" s="528">
        <v>1</v>
      </c>
      <c r="AD32" s="845">
        <f t="shared" si="7"/>
        <v>4</v>
      </c>
    </row>
    <row r="33" spans="1:30" s="194" customFormat="1" ht="15.75" x14ac:dyDescent="0.25">
      <c r="A33" s="196" t="s">
        <v>481</v>
      </c>
      <c r="B33" s="196" t="s">
        <v>480</v>
      </c>
      <c r="C33" s="731"/>
      <c r="D33" s="732" t="s">
        <v>21</v>
      </c>
      <c r="E33" s="733">
        <v>0</v>
      </c>
      <c r="F33" s="734">
        <f t="shared" si="8"/>
        <v>0</v>
      </c>
      <c r="G33" s="735"/>
      <c r="H33" s="736">
        <v>0</v>
      </c>
      <c r="I33" s="734">
        <f t="shared" si="9"/>
        <v>0</v>
      </c>
      <c r="J33" s="737"/>
      <c r="K33" s="738">
        <f t="shared" si="10"/>
        <v>0</v>
      </c>
      <c r="L33" s="747"/>
      <c r="M33" s="748"/>
      <c r="N33" s="749"/>
      <c r="O33" s="742"/>
      <c r="P33" s="743"/>
      <c r="Q33" s="744"/>
      <c r="S33" s="194" t="s">
        <v>1160</v>
      </c>
      <c r="T33" s="528">
        <v>3</v>
      </c>
      <c r="U33" s="528">
        <v>1</v>
      </c>
      <c r="V33" s="845">
        <f t="shared" si="3"/>
        <v>3</v>
      </c>
      <c r="W33" s="528">
        <v>1</v>
      </c>
      <c r="X33" s="845">
        <f t="shared" si="4"/>
        <v>3</v>
      </c>
      <c r="Y33" s="528">
        <v>1</v>
      </c>
      <c r="Z33" s="845">
        <f t="shared" si="5"/>
        <v>3</v>
      </c>
      <c r="AA33" s="528">
        <v>16</v>
      </c>
      <c r="AB33" s="845">
        <f t="shared" si="6"/>
        <v>48</v>
      </c>
      <c r="AC33" s="528">
        <v>1</v>
      </c>
      <c r="AD33" s="845">
        <f t="shared" si="7"/>
        <v>3</v>
      </c>
    </row>
    <row r="34" spans="1:30" s="194" customFormat="1" ht="15.75" x14ac:dyDescent="0.25">
      <c r="A34" s="729"/>
      <c r="B34" s="15"/>
      <c r="C34" s="731"/>
      <c r="D34" s="732" t="s">
        <v>21</v>
      </c>
      <c r="E34" s="733">
        <v>0</v>
      </c>
      <c r="F34" s="734">
        <f t="shared" si="8"/>
        <v>0</v>
      </c>
      <c r="G34" s="735"/>
      <c r="H34" s="736">
        <v>0</v>
      </c>
      <c r="I34" s="734">
        <f t="shared" si="9"/>
        <v>0</v>
      </c>
      <c r="J34" s="737"/>
      <c r="K34" s="738">
        <f t="shared" si="10"/>
        <v>0</v>
      </c>
      <c r="M34" s="769"/>
      <c r="O34" s="742"/>
      <c r="P34" s="743"/>
      <c r="Q34" s="744"/>
      <c r="S34" s="194" t="s">
        <v>38</v>
      </c>
      <c r="U34" s="528"/>
      <c r="V34" s="528">
        <f>SUM(V24:V33)</f>
        <v>59</v>
      </c>
      <c r="W34" s="528"/>
      <c r="X34" s="528">
        <f t="shared" ref="X34:AD34" si="11">SUM(X24:X33)</f>
        <v>102</v>
      </c>
      <c r="Y34" s="528"/>
      <c r="Z34" s="528">
        <f t="shared" si="11"/>
        <v>163</v>
      </c>
      <c r="AA34" s="528"/>
      <c r="AB34" s="528">
        <f t="shared" si="11"/>
        <v>962</v>
      </c>
      <c r="AC34" s="528"/>
      <c r="AD34" s="528">
        <f t="shared" si="11"/>
        <v>82</v>
      </c>
    </row>
    <row r="35" spans="1:30" s="194" customFormat="1" ht="15.75" x14ac:dyDescent="0.25">
      <c r="A35" s="729"/>
      <c r="B35" s="15"/>
      <c r="C35" s="731"/>
      <c r="D35" s="732" t="s">
        <v>21</v>
      </c>
      <c r="E35" s="733">
        <v>0</v>
      </c>
      <c r="F35" s="734">
        <f t="shared" si="8"/>
        <v>0</v>
      </c>
      <c r="G35" s="735"/>
      <c r="H35" s="736">
        <v>0</v>
      </c>
      <c r="I35" s="734">
        <f t="shared" si="9"/>
        <v>0</v>
      </c>
      <c r="J35" s="737"/>
      <c r="K35" s="738">
        <f t="shared" si="10"/>
        <v>0</v>
      </c>
      <c r="M35" s="769"/>
      <c r="O35" s="742"/>
      <c r="P35" s="743"/>
      <c r="Q35" s="744"/>
    </row>
    <row r="36" spans="1:30" s="194" customFormat="1" ht="16.5" thickBot="1" x14ac:dyDescent="0.3">
      <c r="A36" s="729"/>
      <c r="B36" s="15"/>
      <c r="C36" s="754"/>
      <c r="D36" s="732"/>
      <c r="E36" s="733"/>
      <c r="F36" s="734"/>
      <c r="G36" s="735"/>
      <c r="H36" s="736"/>
      <c r="I36" s="734"/>
      <c r="J36" s="737"/>
      <c r="K36" s="770"/>
      <c r="L36" s="196"/>
      <c r="M36" s="746"/>
      <c r="N36" s="196"/>
      <c r="O36" s="742"/>
      <c r="P36" s="743"/>
      <c r="Q36" s="744"/>
    </row>
    <row r="37" spans="1:30" s="194" customFormat="1" ht="16.5" thickTop="1" x14ac:dyDescent="0.25">
      <c r="A37" s="753"/>
      <c r="B37" s="15"/>
      <c r="C37" s="754"/>
      <c r="D37" s="732"/>
      <c r="E37" s="733"/>
      <c r="F37" s="734"/>
      <c r="G37" s="735"/>
      <c r="H37" s="736"/>
      <c r="I37" s="734"/>
      <c r="J37" s="755" t="s">
        <v>30</v>
      </c>
      <c r="K37" s="756">
        <f>SUM(K29:K36)</f>
        <v>0</v>
      </c>
      <c r="L37" s="739"/>
      <c r="M37" s="740"/>
      <c r="N37" s="741"/>
      <c r="O37" s="742"/>
      <c r="P37" s="743"/>
      <c r="Q37" s="744"/>
    </row>
    <row r="38" spans="1:30" s="194" customFormat="1" ht="16.5" thickBot="1" x14ac:dyDescent="0.3">
      <c r="A38" s="718" t="s">
        <v>0</v>
      </c>
      <c r="B38" s="719" t="s">
        <v>1</v>
      </c>
      <c r="C38" s="1095" t="s">
        <v>656</v>
      </c>
      <c r="D38" s="1095"/>
      <c r="E38" s="1095"/>
      <c r="F38" s="1095"/>
      <c r="G38" s="1095" t="s">
        <v>34</v>
      </c>
      <c r="H38" s="1095"/>
      <c r="I38" s="1095"/>
      <c r="J38" s="720"/>
      <c r="K38" s="721"/>
      <c r="L38" s="757"/>
      <c r="M38" s="758"/>
      <c r="N38" s="759"/>
      <c r="O38" s="742"/>
      <c r="P38" s="743"/>
      <c r="Q38" s="744"/>
    </row>
    <row r="39" spans="1:30" s="194" customFormat="1" ht="15.75" x14ac:dyDescent="0.25">
      <c r="A39" s="525" t="s">
        <v>482</v>
      </c>
      <c r="B39" s="525" t="s">
        <v>82</v>
      </c>
      <c r="C39" s="760" t="s">
        <v>19</v>
      </c>
      <c r="D39" s="761" t="s">
        <v>33</v>
      </c>
      <c r="E39" s="762" t="s">
        <v>35</v>
      </c>
      <c r="F39" s="763" t="s">
        <v>30</v>
      </c>
      <c r="G39" s="764" t="s">
        <v>14</v>
      </c>
      <c r="H39" s="762" t="s">
        <v>35</v>
      </c>
      <c r="I39" s="763" t="s">
        <v>30</v>
      </c>
      <c r="J39" s="727" t="s">
        <v>659</v>
      </c>
      <c r="K39" s="765" t="s">
        <v>38</v>
      </c>
      <c r="L39" s="766"/>
      <c r="M39" s="771"/>
      <c r="N39" s="772"/>
      <c r="O39" s="773"/>
      <c r="P39" s="774"/>
      <c r="Q39" s="744"/>
    </row>
    <row r="40" spans="1:30" s="194" customFormat="1" ht="15.75" x14ac:dyDescent="0.25">
      <c r="A40" s="196" t="s">
        <v>483</v>
      </c>
      <c r="B40" s="196" t="s">
        <v>1166</v>
      </c>
      <c r="C40" s="731">
        <v>59</v>
      </c>
      <c r="D40" s="732" t="s">
        <v>21</v>
      </c>
      <c r="E40" s="733">
        <v>80</v>
      </c>
      <c r="F40" s="734">
        <f>C40*E40</f>
        <v>4720</v>
      </c>
      <c r="G40" s="735"/>
      <c r="H40" s="736">
        <v>0</v>
      </c>
      <c r="I40" s="734">
        <f>G40*H40</f>
        <v>0</v>
      </c>
      <c r="J40" s="737"/>
      <c r="K40" s="738">
        <f>F40+I40+J40</f>
        <v>4720</v>
      </c>
      <c r="L40" s="739" t="s">
        <v>1169</v>
      </c>
      <c r="M40" s="740"/>
      <c r="N40" s="741"/>
      <c r="O40" s="773"/>
      <c r="P40" s="774"/>
      <c r="Q40" s="744"/>
    </row>
    <row r="41" spans="1:30" s="194" customFormat="1" ht="15.75" x14ac:dyDescent="0.25">
      <c r="A41" s="196" t="s">
        <v>484</v>
      </c>
      <c r="B41" s="196" t="s">
        <v>1167</v>
      </c>
      <c r="C41" s="731">
        <v>102</v>
      </c>
      <c r="D41" s="732" t="s">
        <v>21</v>
      </c>
      <c r="E41" s="733">
        <v>42</v>
      </c>
      <c r="F41" s="734">
        <f>C41*E41</f>
        <v>4284</v>
      </c>
      <c r="G41" s="735"/>
      <c r="H41" s="736">
        <v>0</v>
      </c>
      <c r="I41" s="734">
        <f>G41*H41</f>
        <v>0</v>
      </c>
      <c r="J41" s="737"/>
      <c r="K41" s="738">
        <f>F41+I41+J41</f>
        <v>4284</v>
      </c>
      <c r="L41" s="739" t="s">
        <v>1169</v>
      </c>
      <c r="M41" s="769"/>
      <c r="O41" s="773"/>
      <c r="P41" s="774"/>
      <c r="Q41" s="744"/>
    </row>
    <row r="42" spans="1:30" s="194" customFormat="1" ht="15.75" x14ac:dyDescent="0.25">
      <c r="A42" s="196" t="s">
        <v>485</v>
      </c>
      <c r="B42" s="196" t="s">
        <v>1164</v>
      </c>
      <c r="C42" s="731">
        <v>163</v>
      </c>
      <c r="D42" s="732" t="s">
        <v>21</v>
      </c>
      <c r="E42" s="733">
        <v>89</v>
      </c>
      <c r="F42" s="734">
        <f>C42*E42</f>
        <v>14507</v>
      </c>
      <c r="G42" s="735"/>
      <c r="H42" s="736">
        <v>0</v>
      </c>
      <c r="I42" s="734">
        <f>G42*H42</f>
        <v>0</v>
      </c>
      <c r="J42" s="737"/>
      <c r="K42" s="738">
        <f>F42+I42+J42</f>
        <v>14507</v>
      </c>
      <c r="L42" s="194" t="s">
        <v>1169</v>
      </c>
      <c r="M42" s="769"/>
      <c r="O42" s="773"/>
      <c r="P42" s="774"/>
      <c r="Q42" s="744"/>
    </row>
    <row r="43" spans="1:30" s="194" customFormat="1" ht="15.75" x14ac:dyDescent="0.25">
      <c r="A43" s="753"/>
      <c r="B43" s="37" t="s">
        <v>1168</v>
      </c>
      <c r="C43" s="754">
        <v>962</v>
      </c>
      <c r="D43" s="732" t="s">
        <v>21</v>
      </c>
      <c r="E43" s="733">
        <v>21</v>
      </c>
      <c r="F43" s="734">
        <f t="shared" ref="F43:F44" si="12">C43*E43</f>
        <v>20202</v>
      </c>
      <c r="G43" s="735"/>
      <c r="H43" s="736">
        <v>0</v>
      </c>
      <c r="I43" s="734">
        <f t="shared" ref="I43:I44" si="13">G43*H43</f>
        <v>0</v>
      </c>
      <c r="J43" s="737"/>
      <c r="K43" s="738">
        <f t="shared" ref="K43:K44" si="14">F43+I43+J43</f>
        <v>20202</v>
      </c>
      <c r="L43" s="194" t="s">
        <v>1169</v>
      </c>
      <c r="M43" s="740"/>
      <c r="N43" s="741"/>
      <c r="O43" s="773"/>
      <c r="P43" s="774"/>
      <c r="Q43" s="744"/>
    </row>
    <row r="44" spans="1:30" s="194" customFormat="1" ht="15.75" x14ac:dyDescent="0.25">
      <c r="A44" s="753"/>
      <c r="B44" s="37" t="s">
        <v>1165</v>
      </c>
      <c r="C44" s="754">
        <v>82</v>
      </c>
      <c r="D44" s="732" t="s">
        <v>21</v>
      </c>
      <c r="E44" s="733">
        <v>112</v>
      </c>
      <c r="F44" s="734">
        <f t="shared" si="12"/>
        <v>9184</v>
      </c>
      <c r="G44" s="735"/>
      <c r="H44" s="736">
        <v>0</v>
      </c>
      <c r="I44" s="734">
        <f t="shared" si="13"/>
        <v>0</v>
      </c>
      <c r="J44" s="737"/>
      <c r="K44" s="738">
        <f t="shared" si="14"/>
        <v>9184</v>
      </c>
      <c r="L44" s="194" t="s">
        <v>1169</v>
      </c>
      <c r="M44" s="777"/>
      <c r="N44" s="196"/>
      <c r="O44" s="773"/>
      <c r="P44" s="774"/>
      <c r="Q44" s="744"/>
    </row>
    <row r="45" spans="1:30" s="194" customFormat="1" ht="16.5" thickBot="1" x14ac:dyDescent="0.3">
      <c r="A45" s="753"/>
      <c r="B45" s="37"/>
      <c r="C45" s="754"/>
      <c r="D45" s="732"/>
      <c r="E45" s="733"/>
      <c r="F45" s="734"/>
      <c r="G45" s="735"/>
      <c r="H45" s="736"/>
      <c r="I45" s="734"/>
      <c r="J45" s="737"/>
      <c r="K45" s="770"/>
      <c r="M45" s="684"/>
      <c r="N45" s="196"/>
      <c r="O45" s="773"/>
      <c r="P45" s="774"/>
      <c r="Q45" s="744"/>
    </row>
    <row r="46" spans="1:30" s="194" customFormat="1" ht="16.5" thickTop="1" x14ac:dyDescent="0.25">
      <c r="A46" s="753"/>
      <c r="B46" s="37"/>
      <c r="C46" s="754"/>
      <c r="D46" s="732"/>
      <c r="E46" s="733"/>
      <c r="F46" s="734"/>
      <c r="G46" s="735"/>
      <c r="H46" s="736"/>
      <c r="I46" s="734"/>
      <c r="J46" s="755" t="s">
        <v>30</v>
      </c>
      <c r="K46" s="756">
        <f>SUM(K40:K45)</f>
        <v>52897</v>
      </c>
      <c r="M46" s="684"/>
      <c r="N46" s="196"/>
      <c r="O46" s="742"/>
      <c r="P46" s="743"/>
      <c r="Q46" s="744"/>
    </row>
    <row r="47" spans="1:30" s="194" customFormat="1" ht="16.5" thickBot="1" x14ac:dyDescent="0.3">
      <c r="A47" s="718" t="s">
        <v>0</v>
      </c>
      <c r="B47" s="719" t="s">
        <v>1</v>
      </c>
      <c r="C47" s="1095" t="s">
        <v>656</v>
      </c>
      <c r="D47" s="1095"/>
      <c r="E47" s="1095"/>
      <c r="F47" s="1095"/>
      <c r="G47" s="1095" t="s">
        <v>34</v>
      </c>
      <c r="H47" s="1095"/>
      <c r="I47" s="1095"/>
      <c r="J47" s="720"/>
      <c r="K47" s="721"/>
      <c r="L47" s="757"/>
      <c r="M47" s="758"/>
      <c r="N47" s="759"/>
      <c r="O47" s="742"/>
      <c r="P47" s="743"/>
      <c r="Q47" s="744"/>
    </row>
    <row r="48" spans="1:30" s="194" customFormat="1" ht="16.5" thickBot="1" x14ac:dyDescent="0.3">
      <c r="A48" s="394"/>
      <c r="B48" s="395"/>
      <c r="C48" s="760" t="s">
        <v>19</v>
      </c>
      <c r="D48" s="761" t="s">
        <v>33</v>
      </c>
      <c r="E48" s="762" t="s">
        <v>35</v>
      </c>
      <c r="F48" s="763" t="s">
        <v>30</v>
      </c>
      <c r="G48" s="764" t="s">
        <v>14</v>
      </c>
      <c r="H48" s="762" t="s">
        <v>35</v>
      </c>
      <c r="I48" s="763" t="s">
        <v>30</v>
      </c>
      <c r="J48" s="727" t="s">
        <v>659</v>
      </c>
      <c r="K48" s="765" t="s">
        <v>38</v>
      </c>
      <c r="L48" s="766"/>
      <c r="M48" s="771"/>
      <c r="N48" s="772"/>
      <c r="O48" s="742"/>
      <c r="P48" s="774"/>
      <c r="Q48" s="744"/>
    </row>
    <row r="49" spans="1:17" s="194" customFormat="1" ht="15.75" x14ac:dyDescent="0.25">
      <c r="A49" s="775"/>
      <c r="B49" s="776"/>
      <c r="C49" s="731"/>
      <c r="D49" s="732" t="s">
        <v>21</v>
      </c>
      <c r="E49" s="733">
        <v>0</v>
      </c>
      <c r="F49" s="734">
        <f>C49*E49</f>
        <v>0</v>
      </c>
      <c r="G49" s="735"/>
      <c r="H49" s="736">
        <v>0</v>
      </c>
      <c r="I49" s="734">
        <f>G49*H49</f>
        <v>0</v>
      </c>
      <c r="J49" s="737"/>
      <c r="K49" s="738">
        <f>F49+I49+J49</f>
        <v>0</v>
      </c>
      <c r="L49" s="747"/>
      <c r="M49" s="777"/>
      <c r="N49" s="778"/>
      <c r="O49" s="742"/>
      <c r="P49" s="743"/>
      <c r="Q49" s="744"/>
    </row>
    <row r="50" spans="1:17" s="194" customFormat="1" ht="15.75" x14ac:dyDescent="0.25">
      <c r="A50" s="729"/>
      <c r="B50" s="15"/>
      <c r="C50" s="731"/>
      <c r="D50" s="732" t="s">
        <v>21</v>
      </c>
      <c r="E50" s="733">
        <v>0</v>
      </c>
      <c r="F50" s="734">
        <f>C50*E50</f>
        <v>0</v>
      </c>
      <c r="G50" s="735"/>
      <c r="H50" s="736">
        <v>0</v>
      </c>
      <c r="I50" s="734">
        <f>G50*H50</f>
        <v>0</v>
      </c>
      <c r="J50" s="737"/>
      <c r="K50" s="779">
        <f>F50+I50+J50</f>
        <v>0</v>
      </c>
      <c r="L50" s="780"/>
      <c r="M50" s="777"/>
      <c r="N50" s="778"/>
      <c r="O50" s="781"/>
      <c r="P50" s="743"/>
      <c r="Q50" s="744"/>
    </row>
    <row r="51" spans="1:17" s="194" customFormat="1" ht="15.75" x14ac:dyDescent="0.25">
      <c r="A51" s="729"/>
      <c r="B51" s="15"/>
      <c r="C51" s="731"/>
      <c r="D51" s="732" t="s">
        <v>21</v>
      </c>
      <c r="E51" s="733">
        <v>0</v>
      </c>
      <c r="F51" s="734">
        <f>C51*E51</f>
        <v>0</v>
      </c>
      <c r="G51" s="735"/>
      <c r="H51" s="736">
        <v>0</v>
      </c>
      <c r="I51" s="734">
        <f>G51*H51</f>
        <v>0</v>
      </c>
      <c r="J51" s="737"/>
      <c r="K51" s="779">
        <f>F51+I51+J51</f>
        <v>0</v>
      </c>
      <c r="L51" s="780"/>
      <c r="M51" s="777"/>
      <c r="N51" s="778"/>
      <c r="O51" s="781"/>
      <c r="P51" s="743"/>
      <c r="Q51" s="744"/>
    </row>
    <row r="52" spans="1:17" s="194" customFormat="1" ht="15.75" x14ac:dyDescent="0.25">
      <c r="A52" s="729"/>
      <c r="B52" s="15"/>
      <c r="C52" s="731"/>
      <c r="D52" s="732" t="s">
        <v>21</v>
      </c>
      <c r="E52" s="733">
        <v>0</v>
      </c>
      <c r="F52" s="734">
        <f>C52*E52</f>
        <v>0</v>
      </c>
      <c r="G52" s="735"/>
      <c r="H52" s="736">
        <v>0</v>
      </c>
      <c r="I52" s="734">
        <f>G52*H52</f>
        <v>0</v>
      </c>
      <c r="J52" s="737"/>
      <c r="K52" s="738">
        <f>F52+I52+J52</f>
        <v>0</v>
      </c>
      <c r="L52" s="782"/>
      <c r="M52" s="777"/>
      <c r="N52" s="778"/>
      <c r="O52" s="742"/>
      <c r="P52" s="743"/>
      <c r="Q52" s="744"/>
    </row>
    <row r="53" spans="1:17" s="194" customFormat="1" ht="15.75" x14ac:dyDescent="0.25">
      <c r="A53" s="729"/>
      <c r="B53" s="15"/>
      <c r="C53" s="731"/>
      <c r="D53" s="732" t="s">
        <v>21</v>
      </c>
      <c r="E53" s="733">
        <v>0</v>
      </c>
      <c r="F53" s="734">
        <f>C53*E53</f>
        <v>0</v>
      </c>
      <c r="G53" s="735"/>
      <c r="H53" s="736">
        <v>0</v>
      </c>
      <c r="I53" s="734">
        <f>G53*H53</f>
        <v>0</v>
      </c>
      <c r="J53" s="737"/>
      <c r="K53" s="738">
        <f>F53+I53+J53</f>
        <v>0</v>
      </c>
      <c r="L53" s="739"/>
      <c r="M53" s="777"/>
      <c r="N53" s="778"/>
      <c r="O53" s="742"/>
      <c r="P53" s="743"/>
      <c r="Q53" s="744"/>
    </row>
    <row r="54" spans="1:17" s="194" customFormat="1" ht="16.5" thickBot="1" x14ac:dyDescent="0.3">
      <c r="A54" s="753"/>
      <c r="B54" s="37"/>
      <c r="C54" s="754"/>
      <c r="D54" s="732"/>
      <c r="E54" s="733"/>
      <c r="F54" s="734"/>
      <c r="G54" s="735"/>
      <c r="H54" s="736"/>
      <c r="I54" s="734"/>
      <c r="J54" s="737"/>
      <c r="K54" s="770"/>
      <c r="L54" s="739"/>
      <c r="M54" s="777"/>
      <c r="N54" s="741"/>
      <c r="O54" s="742"/>
      <c r="P54" s="743"/>
      <c r="Q54" s="744"/>
    </row>
    <row r="55" spans="1:17" s="194" customFormat="1" ht="17.25" thickTop="1" thickBot="1" x14ac:dyDescent="0.3">
      <c r="A55" s="753"/>
      <c r="B55" s="37"/>
      <c r="C55" s="754"/>
      <c r="D55" s="732"/>
      <c r="E55" s="733"/>
      <c r="F55" s="734"/>
      <c r="G55" s="735"/>
      <c r="H55" s="736"/>
      <c r="I55" s="734"/>
      <c r="J55" s="755" t="s">
        <v>30</v>
      </c>
      <c r="K55" s="756">
        <f>SUM(K49:K54)</f>
        <v>0</v>
      </c>
      <c r="L55" s="783"/>
      <c r="M55" s="784"/>
      <c r="N55" s="785"/>
      <c r="O55" s="786"/>
      <c r="P55" s="787"/>
      <c r="Q55" s="788"/>
    </row>
    <row r="56" spans="1:17" s="194" customFormat="1" ht="14.1" customHeight="1" thickTop="1" x14ac:dyDescent="0.25">
      <c r="A56" s="789"/>
      <c r="B56" s="790"/>
      <c r="C56" s="791"/>
      <c r="D56" s="791"/>
      <c r="E56" s="792"/>
      <c r="F56" s="1099" t="s">
        <v>658</v>
      </c>
      <c r="G56" s="1101" t="s">
        <v>684</v>
      </c>
      <c r="H56" s="792"/>
      <c r="I56" s="1103" t="s">
        <v>657</v>
      </c>
      <c r="J56" s="1105" t="s">
        <v>685</v>
      </c>
      <c r="K56" s="1107" t="s">
        <v>31</v>
      </c>
      <c r="M56" s="769"/>
    </row>
    <row r="57" spans="1:17" s="194" customFormat="1" ht="15.75" x14ac:dyDescent="0.2">
      <c r="A57" s="793" t="s">
        <v>32</v>
      </c>
      <c r="B57" s="1096" t="s">
        <v>674</v>
      </c>
      <c r="C57" s="794"/>
      <c r="D57" s="795"/>
      <c r="E57" s="795"/>
      <c r="F57" s="1100"/>
      <c r="G57" s="1102"/>
      <c r="H57" s="796"/>
      <c r="I57" s="1104"/>
      <c r="J57" s="1106"/>
      <c r="K57" s="1108"/>
      <c r="M57" s="769"/>
    </row>
    <row r="58" spans="1:17" s="194" customFormat="1" ht="15.75" x14ac:dyDescent="0.25">
      <c r="A58" s="829">
        <f>K58/E6</f>
        <v>12.545691547749726</v>
      </c>
      <c r="B58" s="1096"/>
      <c r="C58" s="795"/>
      <c r="D58" s="795"/>
      <c r="E58" s="795"/>
      <c r="F58" s="1109">
        <f>SUM(F49:F54,F40:F45,F29:F36,F13:F25)</f>
        <v>52897</v>
      </c>
      <c r="G58" s="1111">
        <f>SUM(G49:G54,G40:G45,G29:G36,G13:G25)</f>
        <v>0</v>
      </c>
      <c r="H58" s="796"/>
      <c r="I58" s="1109">
        <f>SUM(I49:I54,I40:I45,I29:I36,I13:I25)</f>
        <v>0</v>
      </c>
      <c r="J58" s="1109">
        <f>SUM(J49:J54,J40:J45,J29:J36,J13:J25)</f>
        <v>770000</v>
      </c>
      <c r="K58" s="1097">
        <f>SUM(K55,K46,K37,K26)</f>
        <v>822897</v>
      </c>
      <c r="M58" s="769"/>
    </row>
    <row r="59" spans="1:17" s="194" customFormat="1" ht="15.75" thickBot="1" x14ac:dyDescent="0.25">
      <c r="A59" s="793"/>
      <c r="B59" s="797"/>
      <c r="C59" s="798"/>
      <c r="D59" s="798"/>
      <c r="E59" s="798"/>
      <c r="F59" s="1110"/>
      <c r="G59" s="1112"/>
      <c r="H59" s="798"/>
      <c r="I59" s="1110"/>
      <c r="J59" s="1110"/>
      <c r="K59" s="1098"/>
      <c r="M59" s="684"/>
      <c r="N59" s="196"/>
      <c r="O59" s="685"/>
      <c r="P59" s="685"/>
    </row>
    <row r="60" spans="1:17" s="194" customFormat="1" ht="15.75" thickBot="1" x14ac:dyDescent="0.25">
      <c r="A60" s="799"/>
      <c r="B60" s="800"/>
      <c r="C60" s="800"/>
      <c r="D60" s="800"/>
      <c r="E60" s="800"/>
      <c r="F60" s="800"/>
      <c r="G60" s="800"/>
      <c r="H60" s="800"/>
      <c r="I60" s="800"/>
      <c r="J60" s="800"/>
      <c r="K60" s="801"/>
      <c r="M60" s="684"/>
      <c r="N60" s="196"/>
      <c r="O60" s="685"/>
      <c r="P60" s="685"/>
    </row>
    <row r="61" spans="1:17" s="194" customFormat="1" x14ac:dyDescent="0.2">
      <c r="C61" s="802"/>
      <c r="D61" s="802"/>
      <c r="J61" s="769"/>
      <c r="M61" s="684"/>
      <c r="N61" s="196"/>
      <c r="O61" s="685"/>
      <c r="P61" s="685"/>
    </row>
    <row r="62" spans="1:17" s="194" customFormat="1" x14ac:dyDescent="0.2">
      <c r="C62" s="802"/>
      <c r="D62" s="802"/>
      <c r="J62" s="769"/>
      <c r="M62" s="684"/>
      <c r="N62" s="196"/>
      <c r="O62" s="685"/>
      <c r="P62" s="685"/>
    </row>
    <row r="63" spans="1:17" s="194" customFormat="1" x14ac:dyDescent="0.2">
      <c r="C63" s="802"/>
      <c r="D63" s="802"/>
      <c r="J63" s="769"/>
      <c r="M63" s="684"/>
      <c r="N63" s="196"/>
      <c r="O63" s="685"/>
      <c r="P63" s="685"/>
    </row>
    <row r="64" spans="1:17" s="194" customFormat="1" x14ac:dyDescent="0.2">
      <c r="C64" s="802"/>
      <c r="D64" s="802"/>
      <c r="J64" s="769"/>
      <c r="M64" s="684"/>
      <c r="N64" s="196"/>
      <c r="O64" s="685"/>
      <c r="P64" s="685"/>
    </row>
    <row r="65" spans="3:16" s="194" customFormat="1" x14ac:dyDescent="0.2">
      <c r="C65" s="802"/>
      <c r="D65" s="802"/>
      <c r="J65" s="769"/>
      <c r="M65" s="684"/>
      <c r="N65" s="196"/>
      <c r="O65" s="685"/>
      <c r="P65" s="685"/>
    </row>
    <row r="66" spans="3:16" s="194" customFormat="1" x14ac:dyDescent="0.2">
      <c r="C66" s="802"/>
      <c r="D66" s="802"/>
      <c r="J66" s="769"/>
      <c r="M66" s="684"/>
      <c r="N66" s="196"/>
      <c r="O66" s="685"/>
      <c r="P66" s="685"/>
    </row>
    <row r="67" spans="3:16" s="194" customFormat="1" x14ac:dyDescent="0.2">
      <c r="C67" s="802"/>
      <c r="D67" s="802"/>
      <c r="J67" s="769"/>
      <c r="M67" s="684"/>
      <c r="N67" s="196"/>
      <c r="O67" s="685"/>
      <c r="P67" s="685"/>
    </row>
    <row r="68" spans="3:16" s="194" customFormat="1" x14ac:dyDescent="0.2">
      <c r="C68" s="802"/>
      <c r="D68" s="802"/>
      <c r="J68" s="769"/>
      <c r="M68" s="684"/>
      <c r="N68" s="196"/>
      <c r="O68" s="685"/>
      <c r="P68" s="685"/>
    </row>
    <row r="69" spans="3:16" s="194" customFormat="1" x14ac:dyDescent="0.2">
      <c r="C69" s="802"/>
      <c r="D69" s="802"/>
      <c r="J69" s="769"/>
      <c r="M69" s="684"/>
      <c r="N69" s="196"/>
      <c r="O69" s="685"/>
      <c r="P69" s="685"/>
    </row>
    <row r="70" spans="3:16" s="194" customFormat="1" x14ac:dyDescent="0.2">
      <c r="C70" s="802"/>
      <c r="D70" s="802"/>
      <c r="J70" s="769"/>
      <c r="M70" s="684"/>
      <c r="N70" s="196"/>
      <c r="O70" s="685"/>
      <c r="P70" s="685"/>
    </row>
    <row r="71" spans="3:16" s="194" customFormat="1" x14ac:dyDescent="0.2">
      <c r="C71" s="802"/>
      <c r="D71" s="802"/>
      <c r="J71" s="769"/>
      <c r="M71" s="684"/>
      <c r="N71" s="196"/>
      <c r="O71" s="685"/>
      <c r="P71" s="685"/>
    </row>
    <row r="72" spans="3:16" s="194" customFormat="1" x14ac:dyDescent="0.2">
      <c r="C72" s="802"/>
      <c r="D72" s="802"/>
      <c r="J72" s="769"/>
      <c r="M72" s="684"/>
      <c r="N72" s="196"/>
      <c r="O72" s="685"/>
      <c r="P72" s="685"/>
    </row>
    <row r="73" spans="3:16" s="194" customFormat="1" x14ac:dyDescent="0.2">
      <c r="C73" s="802"/>
      <c r="D73" s="802"/>
      <c r="J73" s="769"/>
      <c r="M73" s="684"/>
      <c r="N73" s="196"/>
      <c r="O73" s="685"/>
      <c r="P73" s="685"/>
    </row>
    <row r="74" spans="3:16" s="194" customFormat="1" x14ac:dyDescent="0.2">
      <c r="C74" s="802"/>
      <c r="D74" s="802"/>
      <c r="J74" s="769"/>
      <c r="M74" s="684"/>
      <c r="N74" s="196"/>
      <c r="O74" s="685"/>
      <c r="P74" s="685"/>
    </row>
    <row r="75" spans="3:16" s="194" customFormat="1" x14ac:dyDescent="0.2">
      <c r="C75" s="802"/>
      <c r="D75" s="802"/>
      <c r="J75" s="769"/>
      <c r="M75" s="684"/>
      <c r="N75" s="196"/>
      <c r="O75" s="685"/>
      <c r="P75" s="685"/>
    </row>
    <row r="76" spans="3:16" s="194" customFormat="1" x14ac:dyDescent="0.2">
      <c r="C76" s="802"/>
      <c r="D76" s="802"/>
      <c r="J76" s="769"/>
      <c r="M76" s="684"/>
      <c r="N76" s="196"/>
      <c r="O76" s="685"/>
      <c r="P76" s="685"/>
    </row>
    <row r="77" spans="3:16" s="194" customFormat="1" x14ac:dyDescent="0.2">
      <c r="C77" s="802"/>
      <c r="D77" s="802"/>
      <c r="J77" s="769"/>
      <c r="M77" s="684"/>
      <c r="N77" s="196"/>
      <c r="O77" s="685"/>
      <c r="P77" s="685"/>
    </row>
    <row r="78" spans="3:16" s="194" customFormat="1" x14ac:dyDescent="0.2">
      <c r="C78" s="802"/>
      <c r="D78" s="802"/>
      <c r="J78" s="769"/>
      <c r="M78" s="684"/>
      <c r="N78" s="196"/>
      <c r="O78" s="685"/>
      <c r="P78" s="685"/>
    </row>
    <row r="79" spans="3:16" s="194" customFormat="1" x14ac:dyDescent="0.2">
      <c r="C79" s="802"/>
      <c r="D79" s="802"/>
      <c r="J79" s="769"/>
      <c r="M79" s="684"/>
      <c r="N79" s="196"/>
      <c r="O79" s="685"/>
      <c r="P79" s="685"/>
    </row>
    <row r="80" spans="3:16" s="194" customFormat="1" x14ac:dyDescent="0.2">
      <c r="C80" s="802"/>
      <c r="D80" s="802"/>
      <c r="J80" s="769"/>
      <c r="M80" s="684"/>
      <c r="N80" s="196"/>
      <c r="O80" s="685"/>
      <c r="P80" s="685"/>
    </row>
    <row r="81" spans="3:16" s="194" customFormat="1" x14ac:dyDescent="0.2">
      <c r="C81" s="802"/>
      <c r="D81" s="802"/>
      <c r="J81" s="769"/>
      <c r="M81" s="684"/>
      <c r="N81" s="196"/>
      <c r="O81" s="685"/>
      <c r="P81" s="685"/>
    </row>
    <row r="82" spans="3:16" s="194" customFormat="1" x14ac:dyDescent="0.2">
      <c r="C82" s="802"/>
      <c r="D82" s="802"/>
      <c r="J82" s="769"/>
      <c r="M82" s="684"/>
      <c r="N82" s="196"/>
      <c r="O82" s="685"/>
      <c r="P82" s="685"/>
    </row>
    <row r="83" spans="3:16" s="194" customFormat="1" x14ac:dyDescent="0.2">
      <c r="C83" s="802"/>
      <c r="D83" s="802"/>
      <c r="J83" s="769"/>
      <c r="M83" s="684"/>
      <c r="N83" s="196"/>
      <c r="O83" s="685"/>
      <c r="P83" s="685"/>
    </row>
    <row r="84" spans="3:16" s="194" customFormat="1" x14ac:dyDescent="0.2">
      <c r="C84" s="802"/>
      <c r="D84" s="802"/>
      <c r="J84" s="769"/>
      <c r="M84" s="684"/>
      <c r="N84" s="196"/>
      <c r="O84" s="685"/>
      <c r="P84" s="685"/>
    </row>
    <row r="85" spans="3:16" s="194" customFormat="1" x14ac:dyDescent="0.2">
      <c r="C85" s="802"/>
      <c r="D85" s="802"/>
      <c r="J85" s="769"/>
      <c r="M85" s="684"/>
      <c r="N85" s="196"/>
      <c r="O85" s="685"/>
      <c r="P85" s="685"/>
    </row>
    <row r="86" spans="3:16" s="194" customFormat="1" x14ac:dyDescent="0.2">
      <c r="C86" s="802"/>
      <c r="D86" s="802"/>
      <c r="J86" s="769"/>
      <c r="M86" s="684"/>
      <c r="N86" s="196"/>
      <c r="O86" s="685"/>
      <c r="P86" s="685"/>
    </row>
    <row r="87" spans="3:16" s="194" customFormat="1" x14ac:dyDescent="0.2">
      <c r="C87" s="802"/>
      <c r="D87" s="802"/>
      <c r="J87" s="769"/>
      <c r="M87" s="684"/>
      <c r="N87" s="196"/>
      <c r="O87" s="685"/>
      <c r="P87" s="685"/>
    </row>
    <row r="88" spans="3:16" s="194" customFormat="1" x14ac:dyDescent="0.2">
      <c r="C88" s="802"/>
      <c r="D88" s="802"/>
      <c r="J88" s="769"/>
      <c r="M88" s="684"/>
      <c r="N88" s="196"/>
      <c r="O88" s="685"/>
      <c r="P88" s="685"/>
    </row>
    <row r="89" spans="3:16" s="194" customFormat="1" x14ac:dyDescent="0.2">
      <c r="C89" s="802"/>
      <c r="D89" s="802"/>
      <c r="J89" s="769"/>
      <c r="M89" s="684"/>
      <c r="N89" s="196"/>
      <c r="O89" s="685"/>
      <c r="P89" s="685"/>
    </row>
    <row r="90" spans="3:16" s="194" customFormat="1" x14ac:dyDescent="0.2">
      <c r="C90" s="802"/>
      <c r="D90" s="802"/>
      <c r="J90" s="769"/>
      <c r="M90" s="684"/>
      <c r="N90" s="196"/>
      <c r="O90" s="685"/>
      <c r="P90" s="685"/>
    </row>
    <row r="91" spans="3:16" s="194" customFormat="1" x14ac:dyDescent="0.2">
      <c r="C91" s="802"/>
      <c r="D91" s="802"/>
      <c r="J91" s="769"/>
      <c r="M91" s="684"/>
      <c r="N91" s="196"/>
      <c r="O91" s="685"/>
      <c r="P91" s="685"/>
    </row>
    <row r="92" spans="3:16" s="194" customFormat="1" x14ac:dyDescent="0.2">
      <c r="C92" s="802"/>
      <c r="D92" s="802"/>
      <c r="J92" s="769"/>
      <c r="M92" s="684"/>
      <c r="N92" s="196"/>
      <c r="O92" s="685"/>
      <c r="P92" s="685"/>
    </row>
    <row r="93" spans="3:16" s="194" customFormat="1" x14ac:dyDescent="0.2">
      <c r="C93" s="802"/>
      <c r="D93" s="802"/>
      <c r="J93" s="769"/>
      <c r="M93" s="684"/>
      <c r="N93" s="196"/>
      <c r="O93" s="685"/>
      <c r="P93" s="685"/>
    </row>
    <row r="94" spans="3:16" s="194" customFormat="1" x14ac:dyDescent="0.2">
      <c r="C94" s="802"/>
      <c r="D94" s="802"/>
      <c r="J94" s="769"/>
      <c r="M94" s="684"/>
      <c r="N94" s="196"/>
      <c r="O94" s="685"/>
      <c r="P94" s="685"/>
    </row>
    <row r="95" spans="3:16" s="194" customFormat="1" x14ac:dyDescent="0.2">
      <c r="C95" s="802"/>
      <c r="D95" s="802"/>
      <c r="J95" s="769"/>
      <c r="M95" s="684"/>
      <c r="N95" s="196"/>
      <c r="O95" s="685"/>
      <c r="P95" s="685"/>
    </row>
    <row r="96" spans="3:16" s="194" customFormat="1" x14ac:dyDescent="0.2">
      <c r="C96" s="802"/>
      <c r="D96" s="802"/>
      <c r="J96" s="769"/>
      <c r="M96" s="684"/>
      <c r="N96" s="196"/>
      <c r="O96" s="685"/>
      <c r="P96" s="685"/>
    </row>
    <row r="97" spans="3:16" s="194" customFormat="1" x14ac:dyDescent="0.2">
      <c r="C97" s="802"/>
      <c r="D97" s="802"/>
      <c r="J97" s="769"/>
      <c r="M97" s="684"/>
      <c r="N97" s="196"/>
      <c r="O97" s="685"/>
      <c r="P97" s="685"/>
    </row>
    <row r="98" spans="3:16" s="194" customFormat="1" x14ac:dyDescent="0.2">
      <c r="C98" s="802"/>
      <c r="D98" s="802"/>
      <c r="J98" s="769"/>
      <c r="M98" s="684"/>
      <c r="N98" s="196"/>
      <c r="O98" s="685"/>
      <c r="P98" s="685"/>
    </row>
    <row r="99" spans="3:16" s="194" customFormat="1" x14ac:dyDescent="0.2">
      <c r="C99" s="802"/>
      <c r="D99" s="802"/>
      <c r="J99" s="769"/>
      <c r="M99" s="684"/>
      <c r="N99" s="196"/>
      <c r="O99" s="685"/>
      <c r="P99" s="685"/>
    </row>
    <row r="100" spans="3:16" s="194" customFormat="1" x14ac:dyDescent="0.2">
      <c r="C100" s="802"/>
      <c r="D100" s="802"/>
      <c r="J100" s="769"/>
      <c r="M100" s="684"/>
      <c r="N100" s="196"/>
      <c r="O100" s="685"/>
      <c r="P100" s="685"/>
    </row>
    <row r="101" spans="3:16" s="194" customFormat="1" x14ac:dyDescent="0.2">
      <c r="C101" s="802"/>
      <c r="D101" s="802"/>
      <c r="J101" s="769"/>
      <c r="M101" s="684"/>
      <c r="N101" s="196"/>
      <c r="O101" s="685"/>
      <c r="P101" s="685"/>
    </row>
    <row r="102" spans="3:16" s="194" customFormat="1" x14ac:dyDescent="0.2">
      <c r="C102" s="802"/>
      <c r="D102" s="802"/>
      <c r="J102" s="769"/>
      <c r="M102" s="684"/>
      <c r="N102" s="196"/>
      <c r="O102" s="685"/>
      <c r="P102" s="685"/>
    </row>
    <row r="103" spans="3:16" s="194" customFormat="1" x14ac:dyDescent="0.2">
      <c r="C103" s="802"/>
      <c r="D103" s="802"/>
      <c r="J103" s="769"/>
      <c r="M103" s="684"/>
      <c r="N103" s="196"/>
      <c r="O103" s="685"/>
      <c r="P103" s="685"/>
    </row>
    <row r="104" spans="3:16" s="194" customFormat="1" x14ac:dyDescent="0.2">
      <c r="C104" s="802"/>
      <c r="D104" s="802"/>
      <c r="J104" s="769"/>
      <c r="M104" s="684"/>
      <c r="N104" s="196"/>
      <c r="O104" s="685"/>
      <c r="P104" s="685"/>
    </row>
    <row r="105" spans="3:16" s="194" customFormat="1" x14ac:dyDescent="0.2">
      <c r="C105" s="802"/>
      <c r="D105" s="802"/>
      <c r="J105" s="769"/>
      <c r="M105" s="684"/>
      <c r="N105" s="196"/>
      <c r="O105" s="685"/>
      <c r="P105" s="685"/>
    </row>
    <row r="106" spans="3:16" s="194" customFormat="1" x14ac:dyDescent="0.2">
      <c r="C106" s="802"/>
      <c r="D106" s="802"/>
      <c r="J106" s="769"/>
      <c r="M106" s="684"/>
      <c r="N106" s="196"/>
      <c r="O106" s="685"/>
      <c r="P106" s="685"/>
    </row>
    <row r="107" spans="3:16" s="194" customFormat="1" x14ac:dyDescent="0.2">
      <c r="C107" s="802"/>
      <c r="D107" s="802"/>
      <c r="J107" s="769"/>
      <c r="M107" s="684"/>
      <c r="N107" s="196"/>
      <c r="O107" s="685"/>
      <c r="P107" s="685"/>
    </row>
    <row r="108" spans="3:16" s="194" customFormat="1" x14ac:dyDescent="0.2">
      <c r="C108" s="802"/>
      <c r="D108" s="802"/>
      <c r="J108" s="769"/>
      <c r="M108" s="684"/>
      <c r="N108" s="196"/>
      <c r="O108" s="685"/>
      <c r="P108" s="685"/>
    </row>
    <row r="109" spans="3:16" s="194" customFormat="1" x14ac:dyDescent="0.2">
      <c r="C109" s="802"/>
      <c r="D109" s="802"/>
      <c r="J109" s="769"/>
      <c r="M109" s="684"/>
      <c r="N109" s="196"/>
      <c r="O109" s="685"/>
      <c r="P109" s="685"/>
    </row>
    <row r="110" spans="3:16" s="194" customFormat="1" x14ac:dyDescent="0.2">
      <c r="C110" s="802"/>
      <c r="D110" s="802"/>
      <c r="J110" s="769"/>
      <c r="M110" s="684"/>
      <c r="N110" s="196"/>
      <c r="O110" s="685"/>
      <c r="P110" s="685"/>
    </row>
    <row r="111" spans="3:16" s="194" customFormat="1" x14ac:dyDescent="0.2">
      <c r="C111" s="802"/>
      <c r="D111" s="802"/>
      <c r="J111" s="769"/>
      <c r="M111" s="684"/>
      <c r="N111" s="196"/>
      <c r="O111" s="685"/>
      <c r="P111" s="685"/>
    </row>
    <row r="112" spans="3:16" s="194" customFormat="1" x14ac:dyDescent="0.2">
      <c r="C112" s="802"/>
      <c r="D112" s="802"/>
      <c r="J112" s="769"/>
      <c r="M112" s="684"/>
      <c r="N112" s="196"/>
      <c r="O112" s="685"/>
      <c r="P112" s="685"/>
    </row>
    <row r="113" spans="3:16" s="194" customFormat="1" x14ac:dyDescent="0.2">
      <c r="C113" s="802"/>
      <c r="D113" s="802"/>
      <c r="J113" s="769"/>
      <c r="M113" s="684"/>
      <c r="N113" s="196"/>
      <c r="O113" s="685"/>
      <c r="P113" s="685"/>
    </row>
    <row r="114" spans="3:16" s="194" customFormat="1" x14ac:dyDescent="0.2">
      <c r="C114" s="802"/>
      <c r="D114" s="802"/>
      <c r="J114" s="769"/>
      <c r="M114" s="684"/>
      <c r="N114" s="196"/>
      <c r="O114" s="685"/>
      <c r="P114" s="685"/>
    </row>
    <row r="115" spans="3:16" s="194" customFormat="1" x14ac:dyDescent="0.2">
      <c r="C115" s="802"/>
      <c r="D115" s="802"/>
      <c r="J115" s="769"/>
      <c r="M115" s="684"/>
      <c r="N115" s="196"/>
      <c r="O115" s="685"/>
      <c r="P115" s="685"/>
    </row>
    <row r="116" spans="3:16" s="194" customFormat="1" x14ac:dyDescent="0.2">
      <c r="C116" s="802"/>
      <c r="D116" s="802"/>
      <c r="J116" s="769"/>
      <c r="M116" s="684"/>
      <c r="N116" s="196"/>
      <c r="O116" s="685"/>
      <c r="P116" s="685"/>
    </row>
    <row r="117" spans="3:16" s="194" customFormat="1" x14ac:dyDescent="0.2">
      <c r="C117" s="802"/>
      <c r="D117" s="802"/>
      <c r="J117" s="769"/>
      <c r="M117" s="684"/>
      <c r="N117" s="196"/>
      <c r="O117" s="685"/>
      <c r="P117" s="685"/>
    </row>
    <row r="118" spans="3:16" s="194" customFormat="1" x14ac:dyDescent="0.2">
      <c r="C118" s="802"/>
      <c r="D118" s="802"/>
      <c r="J118" s="769"/>
      <c r="M118" s="684"/>
      <c r="N118" s="196"/>
      <c r="O118" s="685"/>
      <c r="P118" s="685"/>
    </row>
    <row r="119" spans="3:16" s="194" customFormat="1" x14ac:dyDescent="0.2">
      <c r="C119" s="802"/>
      <c r="D119" s="802"/>
      <c r="J119" s="769"/>
      <c r="M119" s="684"/>
      <c r="N119" s="196"/>
      <c r="O119" s="685"/>
      <c r="P119" s="685"/>
    </row>
    <row r="120" spans="3:16" s="194" customFormat="1" x14ac:dyDescent="0.2">
      <c r="C120" s="802"/>
      <c r="D120" s="802"/>
      <c r="J120" s="769"/>
      <c r="M120" s="684"/>
      <c r="N120" s="196"/>
      <c r="O120" s="685"/>
      <c r="P120" s="685"/>
    </row>
    <row r="121" spans="3:16" s="194" customFormat="1" x14ac:dyDescent="0.2">
      <c r="C121" s="802"/>
      <c r="D121" s="802"/>
      <c r="J121" s="769"/>
      <c r="M121" s="684"/>
      <c r="N121" s="196"/>
      <c r="O121" s="685"/>
      <c r="P121" s="685"/>
    </row>
    <row r="122" spans="3:16" s="194" customFormat="1" x14ac:dyDescent="0.2">
      <c r="C122" s="802"/>
      <c r="D122" s="802"/>
      <c r="J122" s="769"/>
      <c r="M122" s="684"/>
      <c r="N122" s="196"/>
      <c r="O122" s="685"/>
      <c r="P122" s="685"/>
    </row>
    <row r="123" spans="3:16" s="194" customFormat="1" x14ac:dyDescent="0.2">
      <c r="C123" s="802"/>
      <c r="D123" s="802"/>
      <c r="J123" s="769"/>
      <c r="M123" s="684"/>
      <c r="N123" s="196"/>
      <c r="O123" s="685"/>
      <c r="P123" s="685"/>
    </row>
    <row r="124" spans="3:16" s="194" customFormat="1" x14ac:dyDescent="0.2">
      <c r="C124" s="802"/>
      <c r="D124" s="802"/>
      <c r="J124" s="769"/>
      <c r="M124" s="684"/>
      <c r="N124" s="196"/>
      <c r="O124" s="685"/>
      <c r="P124" s="685"/>
    </row>
    <row r="125" spans="3:16" s="194" customFormat="1" x14ac:dyDescent="0.2">
      <c r="C125" s="802"/>
      <c r="D125" s="802"/>
      <c r="J125" s="769"/>
      <c r="M125" s="684"/>
      <c r="N125" s="196"/>
      <c r="O125" s="685"/>
      <c r="P125" s="685"/>
    </row>
    <row r="126" spans="3:16" s="194" customFormat="1" x14ac:dyDescent="0.2">
      <c r="C126" s="802"/>
      <c r="D126" s="802"/>
      <c r="J126" s="769"/>
      <c r="M126" s="684"/>
      <c r="N126" s="196"/>
      <c r="O126" s="685"/>
      <c r="P126" s="685"/>
    </row>
    <row r="127" spans="3:16" s="194" customFormat="1" x14ac:dyDescent="0.2">
      <c r="C127" s="802"/>
      <c r="D127" s="802"/>
      <c r="J127" s="769"/>
      <c r="M127" s="684"/>
      <c r="N127" s="196"/>
      <c r="O127" s="685"/>
      <c r="P127" s="685"/>
    </row>
    <row r="128" spans="3:16" s="194" customFormat="1" x14ac:dyDescent="0.2">
      <c r="C128" s="802"/>
      <c r="D128" s="802"/>
      <c r="J128" s="769"/>
      <c r="M128" s="684"/>
      <c r="N128" s="196"/>
      <c r="O128" s="685"/>
      <c r="P128" s="685"/>
    </row>
    <row r="129" spans="3:16" s="194" customFormat="1" x14ac:dyDescent="0.2">
      <c r="C129" s="802"/>
      <c r="D129" s="802"/>
      <c r="J129" s="769"/>
      <c r="M129" s="684"/>
      <c r="N129" s="196"/>
      <c r="O129" s="685"/>
      <c r="P129" s="685"/>
    </row>
    <row r="130" spans="3:16" s="194" customFormat="1" x14ac:dyDescent="0.2">
      <c r="C130" s="802"/>
      <c r="D130" s="802"/>
      <c r="J130" s="769"/>
      <c r="M130" s="684"/>
      <c r="N130" s="196"/>
      <c r="O130" s="685"/>
      <c r="P130" s="685"/>
    </row>
    <row r="131" spans="3:16" s="194" customFormat="1" x14ac:dyDescent="0.2">
      <c r="C131" s="802"/>
      <c r="D131" s="802"/>
      <c r="J131" s="769"/>
      <c r="M131" s="684"/>
      <c r="N131" s="196"/>
      <c r="O131" s="685"/>
      <c r="P131" s="685"/>
    </row>
    <row r="132" spans="3:16" s="194" customFormat="1" x14ac:dyDescent="0.2">
      <c r="C132" s="802"/>
      <c r="D132" s="802"/>
      <c r="J132" s="769"/>
      <c r="M132" s="684"/>
      <c r="N132" s="196"/>
      <c r="O132" s="685"/>
      <c r="P132" s="685"/>
    </row>
    <row r="133" spans="3:16" s="194" customFormat="1" x14ac:dyDescent="0.2">
      <c r="C133" s="802"/>
      <c r="D133" s="802"/>
      <c r="J133" s="769"/>
      <c r="M133" s="684"/>
      <c r="N133" s="196"/>
      <c r="O133" s="685"/>
      <c r="P133" s="685"/>
    </row>
    <row r="134" spans="3:16" s="194" customFormat="1" x14ac:dyDescent="0.2">
      <c r="C134" s="802"/>
      <c r="D134" s="802"/>
      <c r="J134" s="769"/>
      <c r="M134" s="684"/>
      <c r="N134" s="196"/>
      <c r="O134" s="685"/>
      <c r="P134" s="685"/>
    </row>
    <row r="135" spans="3:16" s="194" customFormat="1" x14ac:dyDescent="0.2">
      <c r="C135" s="802"/>
      <c r="D135" s="802"/>
      <c r="J135" s="769"/>
      <c r="M135" s="684"/>
      <c r="N135" s="196"/>
      <c r="O135" s="685"/>
      <c r="P135" s="685"/>
    </row>
    <row r="136" spans="3:16" s="194" customFormat="1" x14ac:dyDescent="0.2">
      <c r="C136" s="802"/>
      <c r="D136" s="802"/>
      <c r="J136" s="769"/>
      <c r="M136" s="684"/>
      <c r="N136" s="196"/>
      <c r="O136" s="685"/>
      <c r="P136" s="685"/>
    </row>
    <row r="137" spans="3:16" s="194" customFormat="1" x14ac:dyDescent="0.2">
      <c r="C137" s="802"/>
      <c r="D137" s="802"/>
      <c r="J137" s="769"/>
      <c r="M137" s="684"/>
      <c r="N137" s="196"/>
      <c r="O137" s="685"/>
      <c r="P137" s="685"/>
    </row>
    <row r="138" spans="3:16" s="194" customFormat="1" x14ac:dyDescent="0.2">
      <c r="C138" s="802"/>
      <c r="D138" s="802"/>
      <c r="J138" s="769"/>
      <c r="M138" s="684"/>
      <c r="N138" s="196"/>
      <c r="O138" s="685"/>
      <c r="P138" s="685"/>
    </row>
    <row r="139" spans="3:16" s="194" customFormat="1" x14ac:dyDescent="0.2">
      <c r="C139" s="802"/>
      <c r="D139" s="802"/>
      <c r="J139" s="769"/>
      <c r="M139" s="684"/>
      <c r="N139" s="196"/>
      <c r="O139" s="685"/>
      <c r="P139" s="685"/>
    </row>
    <row r="140" spans="3:16" s="194" customFormat="1" x14ac:dyDescent="0.2">
      <c r="C140" s="802"/>
      <c r="D140" s="802"/>
      <c r="J140" s="769"/>
      <c r="M140" s="684"/>
      <c r="N140" s="196"/>
      <c r="O140" s="685"/>
      <c r="P140" s="685"/>
    </row>
    <row r="141" spans="3:16" s="194" customFormat="1" x14ac:dyDescent="0.2">
      <c r="C141" s="802"/>
      <c r="D141" s="802"/>
      <c r="J141" s="769"/>
      <c r="M141" s="684"/>
      <c r="N141" s="196"/>
      <c r="O141" s="685"/>
      <c r="P141" s="685"/>
    </row>
    <row r="142" spans="3:16" s="194" customFormat="1" x14ac:dyDescent="0.2">
      <c r="C142" s="802"/>
      <c r="D142" s="802"/>
      <c r="J142" s="769"/>
      <c r="M142" s="684"/>
      <c r="N142" s="196"/>
      <c r="O142" s="685"/>
      <c r="P142" s="685"/>
    </row>
    <row r="143" spans="3:16" s="194" customFormat="1" x14ac:dyDescent="0.2">
      <c r="C143" s="802"/>
      <c r="D143" s="802"/>
      <c r="J143" s="769"/>
      <c r="M143" s="684"/>
      <c r="N143" s="196"/>
      <c r="O143" s="685"/>
      <c r="P143" s="685"/>
    </row>
    <row r="144" spans="3:16" s="194" customFormat="1" x14ac:dyDescent="0.2">
      <c r="C144" s="802"/>
      <c r="D144" s="802"/>
      <c r="J144" s="769"/>
      <c r="M144" s="684"/>
      <c r="N144" s="196"/>
      <c r="O144" s="685"/>
      <c r="P144" s="685"/>
    </row>
    <row r="145" spans="3:16" s="194" customFormat="1" x14ac:dyDescent="0.2">
      <c r="C145" s="802"/>
      <c r="D145" s="802"/>
      <c r="J145" s="769"/>
      <c r="M145" s="684"/>
      <c r="N145" s="196"/>
      <c r="O145" s="685"/>
      <c r="P145" s="685"/>
    </row>
    <row r="146" spans="3:16" s="194" customFormat="1" x14ac:dyDescent="0.2">
      <c r="C146" s="802"/>
      <c r="D146" s="802"/>
      <c r="J146" s="769"/>
      <c r="M146" s="684"/>
      <c r="N146" s="196"/>
      <c r="O146" s="685"/>
      <c r="P146" s="685"/>
    </row>
    <row r="147" spans="3:16" s="194" customFormat="1" x14ac:dyDescent="0.2">
      <c r="C147" s="802"/>
      <c r="D147" s="802"/>
      <c r="J147" s="769"/>
      <c r="M147" s="684"/>
      <c r="N147" s="196"/>
      <c r="O147" s="685"/>
      <c r="P147" s="685"/>
    </row>
    <row r="148" spans="3:16" s="194" customFormat="1" x14ac:dyDescent="0.2">
      <c r="C148" s="802"/>
      <c r="D148" s="802"/>
      <c r="J148" s="769"/>
      <c r="M148" s="684"/>
      <c r="N148" s="196"/>
      <c r="O148" s="685"/>
      <c r="P148" s="685"/>
    </row>
    <row r="149" spans="3:16" s="194" customFormat="1" x14ac:dyDescent="0.2">
      <c r="C149" s="802"/>
      <c r="D149" s="802"/>
      <c r="J149" s="769"/>
      <c r="M149" s="684"/>
      <c r="N149" s="196"/>
      <c r="O149" s="685"/>
      <c r="P149" s="685"/>
    </row>
    <row r="150" spans="3:16" s="194" customFormat="1" x14ac:dyDescent="0.2">
      <c r="C150" s="802"/>
      <c r="D150" s="802"/>
      <c r="J150" s="769"/>
      <c r="M150" s="684"/>
      <c r="N150" s="196"/>
      <c r="O150" s="685"/>
      <c r="P150" s="685"/>
    </row>
    <row r="151" spans="3:16" s="194" customFormat="1" x14ac:dyDescent="0.2">
      <c r="C151" s="802"/>
      <c r="D151" s="802"/>
      <c r="J151" s="769"/>
      <c r="M151" s="684"/>
      <c r="N151" s="196"/>
      <c r="O151" s="685"/>
      <c r="P151" s="685"/>
    </row>
    <row r="152" spans="3:16" s="194" customFormat="1" x14ac:dyDescent="0.2">
      <c r="C152" s="802"/>
      <c r="D152" s="802"/>
      <c r="J152" s="769"/>
      <c r="M152" s="684"/>
      <c r="N152" s="196"/>
      <c r="O152" s="685"/>
      <c r="P152" s="685"/>
    </row>
    <row r="153" spans="3:16" s="194" customFormat="1" x14ac:dyDescent="0.2">
      <c r="C153" s="802"/>
      <c r="D153" s="802"/>
      <c r="J153" s="769"/>
      <c r="M153" s="684"/>
      <c r="N153" s="196"/>
      <c r="O153" s="685"/>
      <c r="P153" s="685"/>
    </row>
    <row r="154" spans="3:16" s="194" customFormat="1" x14ac:dyDescent="0.2">
      <c r="C154" s="802"/>
      <c r="D154" s="802"/>
      <c r="J154" s="769"/>
      <c r="M154" s="684"/>
      <c r="N154" s="196"/>
      <c r="O154" s="685"/>
      <c r="P154" s="685"/>
    </row>
    <row r="155" spans="3:16" s="194" customFormat="1" x14ac:dyDescent="0.2">
      <c r="C155" s="802"/>
      <c r="D155" s="802"/>
      <c r="J155" s="769"/>
      <c r="M155" s="684"/>
      <c r="N155" s="196"/>
      <c r="O155" s="685"/>
      <c r="P155" s="685"/>
    </row>
    <row r="156" spans="3:16" s="194" customFormat="1" x14ac:dyDescent="0.2">
      <c r="C156" s="802"/>
      <c r="D156" s="802"/>
      <c r="J156" s="769"/>
      <c r="M156" s="684"/>
      <c r="N156" s="196"/>
      <c r="O156" s="685"/>
      <c r="P156" s="685"/>
    </row>
    <row r="157" spans="3:16" s="194" customFormat="1" x14ac:dyDescent="0.2">
      <c r="C157" s="802"/>
      <c r="D157" s="802"/>
      <c r="J157" s="769"/>
      <c r="M157" s="684"/>
      <c r="N157" s="196"/>
      <c r="O157" s="685"/>
      <c r="P157" s="685"/>
    </row>
    <row r="158" spans="3:16" s="194" customFormat="1" x14ac:dyDescent="0.2">
      <c r="C158" s="802"/>
      <c r="D158" s="802"/>
      <c r="J158" s="769"/>
      <c r="M158" s="684"/>
      <c r="N158" s="196"/>
      <c r="O158" s="685"/>
      <c r="P158" s="685"/>
    </row>
    <row r="159" spans="3:16" s="194" customFormat="1" x14ac:dyDescent="0.2">
      <c r="C159" s="802"/>
      <c r="D159" s="802"/>
      <c r="J159" s="769"/>
      <c r="M159" s="684"/>
      <c r="N159" s="196"/>
      <c r="O159" s="685"/>
      <c r="P159" s="685"/>
    </row>
    <row r="160" spans="3:16" s="194" customFormat="1" x14ac:dyDescent="0.2">
      <c r="C160" s="802"/>
      <c r="D160" s="802"/>
      <c r="J160" s="769"/>
      <c r="M160" s="684"/>
      <c r="N160" s="196"/>
      <c r="O160" s="685"/>
      <c r="P160" s="685"/>
    </row>
    <row r="161" spans="3:16" s="194" customFormat="1" x14ac:dyDescent="0.2">
      <c r="C161" s="802"/>
      <c r="D161" s="802"/>
      <c r="J161" s="769"/>
      <c r="M161" s="684"/>
      <c r="N161" s="196"/>
      <c r="O161" s="685"/>
      <c r="P161" s="685"/>
    </row>
    <row r="162" spans="3:16" s="194" customFormat="1" x14ac:dyDescent="0.2">
      <c r="C162" s="802"/>
      <c r="D162" s="802"/>
      <c r="J162" s="769"/>
      <c r="M162" s="684"/>
      <c r="N162" s="196"/>
      <c r="O162" s="685"/>
      <c r="P162" s="685"/>
    </row>
    <row r="163" spans="3:16" s="194" customFormat="1" x14ac:dyDescent="0.2">
      <c r="C163" s="802"/>
      <c r="D163" s="802"/>
      <c r="J163" s="769"/>
      <c r="M163" s="684"/>
      <c r="N163" s="196"/>
      <c r="O163" s="685"/>
      <c r="P163" s="685"/>
    </row>
    <row r="164" spans="3:16" s="194" customFormat="1" x14ac:dyDescent="0.2">
      <c r="C164" s="802"/>
      <c r="D164" s="802"/>
      <c r="J164" s="769"/>
      <c r="M164" s="684"/>
      <c r="N164" s="196"/>
      <c r="O164" s="685"/>
      <c r="P164" s="685"/>
    </row>
    <row r="165" spans="3:16" s="194" customFormat="1" x14ac:dyDescent="0.2">
      <c r="C165" s="802"/>
      <c r="D165" s="802"/>
      <c r="J165" s="769"/>
      <c r="M165" s="684"/>
      <c r="N165" s="196"/>
      <c r="O165" s="685"/>
      <c r="P165" s="685"/>
    </row>
    <row r="166" spans="3:16" s="194" customFormat="1" x14ac:dyDescent="0.2">
      <c r="C166" s="802"/>
      <c r="D166" s="802"/>
      <c r="J166" s="769"/>
      <c r="M166" s="684"/>
      <c r="N166" s="196"/>
      <c r="O166" s="685"/>
      <c r="P166" s="685"/>
    </row>
    <row r="167" spans="3:16" s="194" customFormat="1" x14ac:dyDescent="0.2">
      <c r="C167" s="802"/>
      <c r="D167" s="802"/>
      <c r="J167" s="769"/>
      <c r="M167" s="684"/>
      <c r="N167" s="196"/>
      <c r="O167" s="685"/>
      <c r="P167" s="685"/>
    </row>
    <row r="168" spans="3:16" s="194" customFormat="1" x14ac:dyDescent="0.2">
      <c r="C168" s="802"/>
      <c r="D168" s="802"/>
      <c r="J168" s="769"/>
      <c r="M168" s="684"/>
      <c r="N168" s="196"/>
      <c r="O168" s="685"/>
      <c r="P168" s="685"/>
    </row>
    <row r="169" spans="3:16" s="194" customFormat="1" x14ac:dyDescent="0.2">
      <c r="C169" s="802"/>
      <c r="D169" s="802"/>
      <c r="J169" s="769"/>
      <c r="M169" s="684"/>
      <c r="N169" s="196"/>
      <c r="O169" s="685"/>
      <c r="P169" s="685"/>
    </row>
    <row r="170" spans="3:16" s="194" customFormat="1" x14ac:dyDescent="0.2">
      <c r="C170" s="802"/>
      <c r="D170" s="802"/>
      <c r="J170" s="769"/>
      <c r="M170" s="684"/>
      <c r="N170" s="196"/>
      <c r="O170" s="685"/>
      <c r="P170" s="685"/>
    </row>
    <row r="171" spans="3:16" s="194" customFormat="1" x14ac:dyDescent="0.2">
      <c r="C171" s="802"/>
      <c r="D171" s="802"/>
      <c r="J171" s="769"/>
      <c r="M171" s="684"/>
      <c r="N171" s="196"/>
      <c r="O171" s="685"/>
      <c r="P171" s="685"/>
    </row>
    <row r="172" spans="3:16" s="194" customFormat="1" x14ac:dyDescent="0.2">
      <c r="C172" s="802"/>
      <c r="D172" s="802"/>
      <c r="J172" s="769"/>
      <c r="M172" s="684"/>
      <c r="N172" s="196"/>
      <c r="O172" s="685"/>
      <c r="P172" s="685"/>
    </row>
    <row r="173" spans="3:16" s="194" customFormat="1" x14ac:dyDescent="0.2">
      <c r="C173" s="802"/>
      <c r="D173" s="802"/>
      <c r="J173" s="769"/>
      <c r="M173" s="684"/>
      <c r="N173" s="196"/>
      <c r="O173" s="685"/>
      <c r="P173" s="685"/>
    </row>
    <row r="174" spans="3:16" s="194" customFormat="1" x14ac:dyDescent="0.2">
      <c r="C174" s="802"/>
      <c r="D174" s="802"/>
      <c r="J174" s="769"/>
      <c r="M174" s="684"/>
      <c r="N174" s="196"/>
      <c r="O174" s="685"/>
      <c r="P174" s="685"/>
    </row>
    <row r="175" spans="3:16" s="194" customFormat="1" x14ac:dyDescent="0.2">
      <c r="C175" s="802"/>
      <c r="D175" s="802"/>
      <c r="J175" s="769"/>
      <c r="M175" s="684"/>
      <c r="N175" s="196"/>
      <c r="O175" s="685"/>
      <c r="P175" s="685"/>
    </row>
    <row r="176" spans="3:16" s="194" customFormat="1" x14ac:dyDescent="0.2">
      <c r="C176" s="802"/>
      <c r="D176" s="802"/>
      <c r="J176" s="769"/>
      <c r="M176" s="684"/>
      <c r="N176" s="196"/>
      <c r="O176" s="685"/>
      <c r="P176" s="685"/>
    </row>
    <row r="177" spans="3:16" s="194" customFormat="1" x14ac:dyDescent="0.2">
      <c r="C177" s="802"/>
      <c r="D177" s="802"/>
      <c r="J177" s="769"/>
      <c r="M177" s="684"/>
      <c r="N177" s="196"/>
      <c r="O177" s="685"/>
      <c r="P177" s="685"/>
    </row>
    <row r="178" spans="3:16" s="194" customFormat="1" x14ac:dyDescent="0.2">
      <c r="C178" s="802"/>
      <c r="D178" s="802"/>
      <c r="J178" s="769"/>
      <c r="M178" s="684"/>
      <c r="N178" s="196"/>
      <c r="O178" s="685"/>
      <c r="P178" s="685"/>
    </row>
    <row r="179" spans="3:16" s="194" customFormat="1" x14ac:dyDescent="0.2">
      <c r="C179" s="802"/>
      <c r="D179" s="802"/>
      <c r="J179" s="769"/>
      <c r="M179" s="684"/>
      <c r="N179" s="196"/>
      <c r="O179" s="685"/>
      <c r="P179" s="685"/>
    </row>
    <row r="180" spans="3:16" s="194" customFormat="1" x14ac:dyDescent="0.2">
      <c r="C180" s="802"/>
      <c r="D180" s="802"/>
      <c r="J180" s="769"/>
      <c r="M180" s="684"/>
      <c r="N180" s="196"/>
      <c r="O180" s="685"/>
      <c r="P180" s="685"/>
    </row>
    <row r="181" spans="3:16" s="194" customFormat="1" x14ac:dyDescent="0.2">
      <c r="C181" s="802"/>
      <c r="D181" s="802"/>
      <c r="J181" s="769"/>
      <c r="M181" s="684"/>
      <c r="N181" s="196"/>
      <c r="O181" s="685"/>
      <c r="P181" s="685"/>
    </row>
    <row r="182" spans="3:16" s="194" customFormat="1" x14ac:dyDescent="0.2">
      <c r="C182" s="802"/>
      <c r="D182" s="802"/>
      <c r="J182" s="769"/>
      <c r="M182" s="684"/>
      <c r="N182" s="196"/>
      <c r="O182" s="685"/>
      <c r="P182" s="685"/>
    </row>
    <row r="183" spans="3:16" s="194" customFormat="1" x14ac:dyDescent="0.2">
      <c r="C183" s="802"/>
      <c r="D183" s="802"/>
      <c r="J183" s="769"/>
      <c r="M183" s="684"/>
      <c r="N183" s="196"/>
      <c r="O183" s="685"/>
      <c r="P183" s="685"/>
    </row>
    <row r="184" spans="3:16" s="194" customFormat="1" x14ac:dyDescent="0.2">
      <c r="C184" s="802"/>
      <c r="D184" s="802"/>
      <c r="J184" s="769"/>
      <c r="M184" s="684"/>
      <c r="N184" s="196"/>
      <c r="O184" s="685"/>
      <c r="P184" s="685"/>
    </row>
    <row r="185" spans="3:16" s="194" customFormat="1" x14ac:dyDescent="0.2">
      <c r="C185" s="802"/>
      <c r="D185" s="802"/>
      <c r="J185" s="769"/>
      <c r="M185" s="684"/>
      <c r="N185" s="196"/>
      <c r="O185" s="685"/>
      <c r="P185" s="685"/>
    </row>
    <row r="186" spans="3:16" s="194" customFormat="1" x14ac:dyDescent="0.2">
      <c r="C186" s="802"/>
      <c r="D186" s="802"/>
      <c r="J186" s="769"/>
      <c r="M186" s="684"/>
      <c r="N186" s="196"/>
      <c r="O186" s="685"/>
      <c r="P186" s="685"/>
    </row>
    <row r="187" spans="3:16" s="194" customFormat="1" x14ac:dyDescent="0.2">
      <c r="C187" s="802"/>
      <c r="D187" s="802"/>
      <c r="J187" s="769"/>
      <c r="M187" s="684"/>
      <c r="N187" s="196"/>
      <c r="O187" s="685"/>
      <c r="P187" s="685"/>
    </row>
    <row r="188" spans="3:16" s="194" customFormat="1" x14ac:dyDescent="0.2">
      <c r="C188" s="802"/>
      <c r="D188" s="802"/>
      <c r="J188" s="769"/>
      <c r="M188" s="684"/>
      <c r="N188" s="196"/>
      <c r="O188" s="685"/>
      <c r="P188" s="685"/>
    </row>
    <row r="189" spans="3:16" s="194" customFormat="1" x14ac:dyDescent="0.2">
      <c r="C189" s="802"/>
      <c r="D189" s="802"/>
      <c r="J189" s="769"/>
      <c r="M189" s="684"/>
      <c r="N189" s="196"/>
      <c r="O189" s="685"/>
      <c r="P189" s="685"/>
    </row>
    <row r="190" spans="3:16" s="194" customFormat="1" x14ac:dyDescent="0.2">
      <c r="C190" s="802"/>
      <c r="D190" s="802"/>
      <c r="J190" s="769"/>
      <c r="M190" s="684"/>
      <c r="N190" s="196"/>
      <c r="O190" s="685"/>
      <c r="P190" s="685"/>
    </row>
    <row r="191" spans="3:16" s="194" customFormat="1" x14ac:dyDescent="0.2">
      <c r="C191" s="802"/>
      <c r="D191" s="802"/>
      <c r="J191" s="769"/>
      <c r="M191" s="684"/>
      <c r="N191" s="196"/>
      <c r="O191" s="685"/>
      <c r="P191" s="685"/>
    </row>
    <row r="192" spans="3:16" s="194" customFormat="1" x14ac:dyDescent="0.2">
      <c r="C192" s="802"/>
      <c r="D192" s="802"/>
      <c r="J192" s="769"/>
      <c r="M192" s="684"/>
      <c r="N192" s="196"/>
      <c r="O192" s="685"/>
      <c r="P192" s="685"/>
    </row>
    <row r="193" spans="3:16" s="194" customFormat="1" x14ac:dyDescent="0.2">
      <c r="C193" s="802"/>
      <c r="D193" s="802"/>
      <c r="J193" s="769"/>
      <c r="M193" s="684"/>
      <c r="N193" s="196"/>
      <c r="O193" s="685"/>
      <c r="P193" s="685"/>
    </row>
    <row r="194" spans="3:16" s="194" customFormat="1" x14ac:dyDescent="0.2">
      <c r="C194" s="802"/>
      <c r="D194" s="802"/>
      <c r="J194" s="769"/>
      <c r="M194" s="684"/>
      <c r="N194" s="196"/>
      <c r="O194" s="685"/>
      <c r="P194" s="685"/>
    </row>
    <row r="195" spans="3:16" s="194" customFormat="1" x14ac:dyDescent="0.2">
      <c r="C195" s="802"/>
      <c r="D195" s="802"/>
      <c r="J195" s="769"/>
      <c r="M195" s="684"/>
      <c r="N195" s="196"/>
      <c r="O195" s="685"/>
      <c r="P195" s="685"/>
    </row>
    <row r="196" spans="3:16" s="194" customFormat="1" x14ac:dyDescent="0.2">
      <c r="C196" s="802"/>
      <c r="D196" s="802"/>
      <c r="J196" s="769"/>
      <c r="M196" s="684"/>
      <c r="N196" s="196"/>
      <c r="O196" s="685"/>
      <c r="P196" s="685"/>
    </row>
    <row r="197" spans="3:16" s="194" customFormat="1" x14ac:dyDescent="0.2">
      <c r="C197" s="802"/>
      <c r="D197" s="802"/>
      <c r="J197" s="769"/>
      <c r="M197" s="684"/>
      <c r="N197" s="196"/>
      <c r="O197" s="685"/>
      <c r="P197" s="685"/>
    </row>
    <row r="198" spans="3:16" s="194" customFormat="1" x14ac:dyDescent="0.2">
      <c r="C198" s="802"/>
      <c r="D198" s="802"/>
      <c r="J198" s="769"/>
      <c r="M198" s="684"/>
      <c r="N198" s="196"/>
      <c r="O198" s="685"/>
      <c r="P198" s="685"/>
    </row>
    <row r="199" spans="3:16" s="194" customFormat="1" x14ac:dyDescent="0.2">
      <c r="C199" s="802"/>
      <c r="D199" s="802"/>
      <c r="J199" s="769"/>
      <c r="M199" s="684"/>
      <c r="N199" s="196"/>
      <c r="O199" s="685"/>
      <c r="P199" s="685"/>
    </row>
    <row r="200" spans="3:16" s="194" customFormat="1" x14ac:dyDescent="0.2">
      <c r="C200" s="802"/>
      <c r="D200" s="802"/>
      <c r="J200" s="769"/>
      <c r="M200" s="684"/>
      <c r="N200" s="196"/>
      <c r="O200" s="685"/>
      <c r="P200" s="685"/>
    </row>
    <row r="201" spans="3:16" s="194" customFormat="1" x14ac:dyDescent="0.2">
      <c r="C201" s="802"/>
      <c r="D201" s="802"/>
      <c r="J201" s="769"/>
      <c r="M201" s="684"/>
      <c r="N201" s="196"/>
      <c r="O201" s="685"/>
      <c r="P201" s="685"/>
    </row>
    <row r="202" spans="3:16" s="194" customFormat="1" x14ac:dyDescent="0.2">
      <c r="C202" s="802"/>
      <c r="D202" s="802"/>
      <c r="J202" s="769"/>
      <c r="M202" s="684"/>
      <c r="N202" s="196"/>
      <c r="O202" s="685"/>
      <c r="P202" s="685"/>
    </row>
    <row r="203" spans="3:16" s="194" customFormat="1" x14ac:dyDescent="0.2">
      <c r="C203" s="802"/>
      <c r="D203" s="802"/>
      <c r="J203" s="769"/>
      <c r="M203" s="684"/>
      <c r="N203" s="196"/>
      <c r="O203" s="685"/>
      <c r="P203" s="685"/>
    </row>
    <row r="204" spans="3:16" s="194" customFormat="1" x14ac:dyDescent="0.2">
      <c r="C204" s="802"/>
      <c r="D204" s="802"/>
      <c r="J204" s="769"/>
      <c r="M204" s="684"/>
      <c r="N204" s="196"/>
      <c r="O204" s="685"/>
      <c r="P204" s="685"/>
    </row>
    <row r="205" spans="3:16" s="194" customFormat="1" x14ac:dyDescent="0.2">
      <c r="C205" s="802"/>
      <c r="D205" s="802"/>
      <c r="J205" s="769"/>
      <c r="M205" s="684"/>
      <c r="N205" s="196"/>
      <c r="O205" s="685"/>
      <c r="P205" s="685"/>
    </row>
    <row r="206" spans="3:16" s="194" customFormat="1" x14ac:dyDescent="0.2">
      <c r="C206" s="802"/>
      <c r="D206" s="802"/>
      <c r="J206" s="769"/>
      <c r="M206" s="684"/>
      <c r="N206" s="196"/>
      <c r="O206" s="685"/>
      <c r="P206" s="685"/>
    </row>
    <row r="207" spans="3:16" s="194" customFormat="1" x14ac:dyDescent="0.2">
      <c r="C207" s="802"/>
      <c r="D207" s="802"/>
      <c r="J207" s="769"/>
      <c r="M207" s="684"/>
      <c r="N207" s="196"/>
      <c r="O207" s="685"/>
      <c r="P207" s="685"/>
    </row>
    <row r="208" spans="3:16" s="194" customFormat="1" x14ac:dyDescent="0.2">
      <c r="C208" s="802"/>
      <c r="D208" s="802"/>
      <c r="J208" s="769"/>
      <c r="M208" s="684"/>
      <c r="N208" s="196"/>
      <c r="O208" s="685"/>
      <c r="P208" s="685"/>
    </row>
    <row r="209" spans="3:16" s="194" customFormat="1" x14ac:dyDescent="0.2">
      <c r="C209" s="802"/>
      <c r="D209" s="802"/>
      <c r="J209" s="769"/>
      <c r="M209" s="684"/>
      <c r="N209" s="196"/>
      <c r="O209" s="685"/>
      <c r="P209" s="685"/>
    </row>
    <row r="210" spans="3:16" s="194" customFormat="1" x14ac:dyDescent="0.2">
      <c r="C210" s="802"/>
      <c r="D210" s="802"/>
      <c r="J210" s="769"/>
      <c r="M210" s="684"/>
      <c r="N210" s="196"/>
      <c r="O210" s="685"/>
      <c r="P210" s="685"/>
    </row>
    <row r="211" spans="3:16" s="194" customFormat="1" x14ac:dyDescent="0.2">
      <c r="C211" s="802"/>
      <c r="D211" s="802"/>
      <c r="J211" s="769"/>
      <c r="M211" s="684"/>
      <c r="N211" s="196"/>
      <c r="O211" s="685"/>
      <c r="P211" s="685"/>
    </row>
    <row r="212" spans="3:16" s="194" customFormat="1" x14ac:dyDescent="0.2">
      <c r="C212" s="802"/>
      <c r="D212" s="802"/>
      <c r="J212" s="769"/>
      <c r="M212" s="684"/>
      <c r="N212" s="196"/>
      <c r="O212" s="685"/>
      <c r="P212" s="685"/>
    </row>
    <row r="213" spans="3:16" s="194" customFormat="1" x14ac:dyDescent="0.2">
      <c r="C213" s="802"/>
      <c r="D213" s="802"/>
      <c r="J213" s="769"/>
      <c r="M213" s="684"/>
      <c r="N213" s="196"/>
      <c r="O213" s="685"/>
      <c r="P213" s="685"/>
    </row>
    <row r="214" spans="3:16" s="194" customFormat="1" x14ac:dyDescent="0.2">
      <c r="C214" s="802"/>
      <c r="D214" s="802"/>
      <c r="J214" s="769"/>
      <c r="M214" s="684"/>
      <c r="N214" s="196"/>
      <c r="O214" s="685"/>
      <c r="P214" s="685"/>
    </row>
    <row r="215" spans="3:16" s="194" customFormat="1" x14ac:dyDescent="0.2">
      <c r="C215" s="802"/>
      <c r="D215" s="802"/>
      <c r="J215" s="769"/>
      <c r="M215" s="684"/>
      <c r="N215" s="196"/>
      <c r="O215" s="685"/>
      <c r="P215" s="685"/>
    </row>
    <row r="216" spans="3:16" s="194" customFormat="1" x14ac:dyDescent="0.2">
      <c r="C216" s="802"/>
      <c r="D216" s="802"/>
      <c r="J216" s="769"/>
      <c r="M216" s="684"/>
      <c r="N216" s="196"/>
      <c r="O216" s="685"/>
      <c r="P216" s="685"/>
    </row>
    <row r="217" spans="3:16" s="194" customFormat="1" x14ac:dyDescent="0.2">
      <c r="C217" s="802"/>
      <c r="D217" s="802"/>
      <c r="J217" s="769"/>
      <c r="M217" s="684"/>
      <c r="N217" s="196"/>
      <c r="O217" s="685"/>
      <c r="P217" s="685"/>
    </row>
    <row r="218" spans="3:16" s="194" customFormat="1" x14ac:dyDescent="0.2">
      <c r="C218" s="802"/>
      <c r="D218" s="802"/>
      <c r="J218" s="769"/>
      <c r="M218" s="684"/>
      <c r="N218" s="196"/>
      <c r="O218" s="685"/>
      <c r="P218" s="685"/>
    </row>
    <row r="219" spans="3:16" s="194" customFormat="1" x14ac:dyDescent="0.2">
      <c r="C219" s="802"/>
      <c r="D219" s="802"/>
      <c r="J219" s="769"/>
      <c r="M219" s="684"/>
      <c r="N219" s="196"/>
      <c r="O219" s="685"/>
      <c r="P219" s="685"/>
    </row>
    <row r="220" spans="3:16" s="194" customFormat="1" x14ac:dyDescent="0.2">
      <c r="C220" s="802"/>
      <c r="D220" s="802"/>
      <c r="J220" s="769"/>
      <c r="M220" s="684"/>
      <c r="N220" s="196"/>
      <c r="O220" s="685"/>
      <c r="P220" s="685"/>
    </row>
    <row r="221" spans="3:16" s="194" customFormat="1" x14ac:dyDescent="0.2">
      <c r="C221" s="802"/>
      <c r="D221" s="802"/>
      <c r="J221" s="769"/>
      <c r="M221" s="684"/>
      <c r="N221" s="196"/>
      <c r="O221" s="685"/>
      <c r="P221" s="685"/>
    </row>
    <row r="222" spans="3:16" s="194" customFormat="1" x14ac:dyDescent="0.2">
      <c r="C222" s="802"/>
      <c r="D222" s="802"/>
      <c r="J222" s="769"/>
      <c r="M222" s="684"/>
      <c r="N222" s="196"/>
      <c r="O222" s="685"/>
      <c r="P222" s="685"/>
    </row>
    <row r="223" spans="3:16" s="194" customFormat="1" x14ac:dyDescent="0.2">
      <c r="C223" s="802"/>
      <c r="D223" s="802"/>
      <c r="J223" s="769"/>
      <c r="M223" s="684"/>
      <c r="N223" s="196"/>
      <c r="O223" s="685"/>
      <c r="P223" s="685"/>
    </row>
    <row r="224" spans="3:16" s="194" customFormat="1" x14ac:dyDescent="0.2">
      <c r="C224" s="802"/>
      <c r="D224" s="802"/>
      <c r="J224" s="769"/>
      <c r="M224" s="684"/>
      <c r="N224" s="196"/>
      <c r="O224" s="685"/>
      <c r="P224" s="685"/>
    </row>
    <row r="225" spans="3:16" s="194" customFormat="1" x14ac:dyDescent="0.2">
      <c r="C225" s="802"/>
      <c r="D225" s="802"/>
      <c r="J225" s="769"/>
      <c r="M225" s="684"/>
      <c r="N225" s="196"/>
      <c r="O225" s="685"/>
      <c r="P225" s="685"/>
    </row>
    <row r="226" spans="3:16" s="194" customFormat="1" x14ac:dyDescent="0.2">
      <c r="C226" s="802"/>
      <c r="D226" s="802"/>
      <c r="J226" s="769"/>
      <c r="M226" s="684"/>
      <c r="N226" s="196"/>
      <c r="O226" s="685"/>
      <c r="P226" s="685"/>
    </row>
    <row r="227" spans="3:16" s="194" customFormat="1" x14ac:dyDescent="0.2">
      <c r="C227" s="802"/>
      <c r="D227" s="802"/>
      <c r="J227" s="769"/>
      <c r="M227" s="684"/>
      <c r="N227" s="196"/>
      <c r="O227" s="685"/>
      <c r="P227" s="685"/>
    </row>
    <row r="228" spans="3:16" s="194" customFormat="1" x14ac:dyDescent="0.2">
      <c r="C228" s="802"/>
      <c r="D228" s="802"/>
      <c r="J228" s="769"/>
      <c r="M228" s="684"/>
      <c r="N228" s="196"/>
      <c r="O228" s="685"/>
      <c r="P228" s="685"/>
    </row>
    <row r="229" spans="3:16" s="194" customFormat="1" x14ac:dyDescent="0.2">
      <c r="C229" s="802"/>
      <c r="D229" s="802"/>
      <c r="J229" s="769"/>
      <c r="M229" s="684"/>
      <c r="N229" s="196"/>
      <c r="O229" s="685"/>
      <c r="P229" s="685"/>
    </row>
    <row r="230" spans="3:16" s="194" customFormat="1" x14ac:dyDescent="0.2">
      <c r="C230" s="802"/>
      <c r="D230" s="802"/>
      <c r="J230" s="769"/>
      <c r="M230" s="684"/>
      <c r="N230" s="196"/>
      <c r="O230" s="685"/>
      <c r="P230" s="685"/>
    </row>
    <row r="231" spans="3:16" s="194" customFormat="1" x14ac:dyDescent="0.2">
      <c r="C231" s="802"/>
      <c r="D231" s="802"/>
      <c r="J231" s="769"/>
      <c r="M231" s="684"/>
      <c r="N231" s="196"/>
      <c r="O231" s="685"/>
      <c r="P231" s="685"/>
    </row>
    <row r="232" spans="3:16" s="194" customFormat="1" x14ac:dyDescent="0.2">
      <c r="C232" s="802"/>
      <c r="D232" s="802"/>
      <c r="J232" s="769"/>
      <c r="M232" s="684"/>
      <c r="N232" s="196"/>
      <c r="O232" s="685"/>
      <c r="P232" s="685"/>
    </row>
    <row r="233" spans="3:16" s="194" customFormat="1" x14ac:dyDescent="0.2">
      <c r="C233" s="802"/>
      <c r="D233" s="802"/>
      <c r="J233" s="769"/>
      <c r="M233" s="684"/>
      <c r="N233" s="196"/>
      <c r="O233" s="685"/>
      <c r="P233" s="685"/>
    </row>
    <row r="234" spans="3:16" s="194" customFormat="1" x14ac:dyDescent="0.2">
      <c r="C234" s="802"/>
      <c r="D234" s="802"/>
      <c r="J234" s="769"/>
      <c r="M234" s="684"/>
      <c r="N234" s="196"/>
      <c r="O234" s="685"/>
      <c r="P234" s="685"/>
    </row>
    <row r="235" spans="3:16" s="194" customFormat="1" x14ac:dyDescent="0.2">
      <c r="C235" s="802"/>
      <c r="D235" s="802"/>
      <c r="J235" s="769"/>
      <c r="M235" s="684"/>
      <c r="N235" s="196"/>
      <c r="O235" s="685"/>
      <c r="P235" s="685"/>
    </row>
    <row r="236" spans="3:16" s="194" customFormat="1" x14ac:dyDescent="0.2">
      <c r="C236" s="802"/>
      <c r="D236" s="802"/>
      <c r="J236" s="769"/>
      <c r="M236" s="684"/>
      <c r="N236" s="196"/>
      <c r="O236" s="685"/>
      <c r="P236" s="685"/>
    </row>
    <row r="237" spans="3:16" s="194" customFormat="1" x14ac:dyDescent="0.2">
      <c r="C237" s="802"/>
      <c r="D237" s="802"/>
      <c r="J237" s="769"/>
      <c r="M237" s="684"/>
      <c r="N237" s="196"/>
      <c r="O237" s="685"/>
      <c r="P237" s="685"/>
    </row>
    <row r="238" spans="3:16" s="194" customFormat="1" x14ac:dyDescent="0.2">
      <c r="C238" s="802"/>
      <c r="D238" s="802"/>
      <c r="J238" s="769"/>
      <c r="M238" s="684"/>
      <c r="N238" s="196"/>
      <c r="O238" s="685"/>
      <c r="P238" s="685"/>
    </row>
  </sheetData>
  <mergeCells count="58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C11:F11"/>
    <mergeCell ref="G11:I11"/>
    <mergeCell ref="C27:F27"/>
    <mergeCell ref="G27:I27"/>
    <mergeCell ref="C38:F38"/>
    <mergeCell ref="G38:I38"/>
    <mergeCell ref="C47:F47"/>
    <mergeCell ref="G47:I47"/>
    <mergeCell ref="B57:B58"/>
    <mergeCell ref="K58:K59"/>
    <mergeCell ref="F56:F57"/>
    <mergeCell ref="G56:G57"/>
    <mergeCell ref="I56:I57"/>
    <mergeCell ref="J56:J57"/>
    <mergeCell ref="K56:K57"/>
    <mergeCell ref="F58:F59"/>
    <mergeCell ref="G58:G59"/>
    <mergeCell ref="I58:I59"/>
    <mergeCell ref="J58:J59"/>
    <mergeCell ref="Q11:Q12"/>
    <mergeCell ref="L11:L12"/>
    <mergeCell ref="M11:M12"/>
    <mergeCell ref="N11:N12"/>
    <mergeCell ref="O11:O12"/>
    <mergeCell ref="P11:P12"/>
    <mergeCell ref="U23:V23"/>
    <mergeCell ref="W23:X23"/>
    <mergeCell ref="Y23:Z23"/>
    <mergeCell ref="AA23:AB23"/>
    <mergeCell ref="AC23:AD23"/>
  </mergeCells>
  <printOptions horizontalCentered="1"/>
  <pageMargins left="0.7" right="0.7" top="0.75" bottom="0.75" header="0.5" footer="0.5"/>
  <pageSetup scale="51" fitToHeight="2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W279"/>
  <sheetViews>
    <sheetView topLeftCell="A58" zoomScale="75" zoomScaleNormal="75" zoomScaleSheetLayoutView="90" zoomScalePageLayoutView="75" workbookViewId="0">
      <selection activeCell="A99" sqref="A99"/>
    </sheetView>
  </sheetViews>
  <sheetFormatPr defaultColWidth="9.140625" defaultRowHeight="12.75" x14ac:dyDescent="0.2"/>
  <cols>
    <col min="1" max="1" width="12.140625" style="157" bestFit="1" customWidth="1"/>
    <col min="2" max="2" width="66.85546875" style="157" bestFit="1" customWidth="1"/>
    <col min="3" max="4" width="5" style="440" customWidth="1"/>
    <col min="5" max="5" width="10.85546875" style="157" bestFit="1" customWidth="1"/>
    <col min="6" max="6" width="12.5703125" style="157" bestFit="1" customWidth="1"/>
    <col min="7" max="7" width="7" style="157" bestFit="1" customWidth="1"/>
    <col min="8" max="8" width="10.85546875" style="157" bestFit="1" customWidth="1"/>
    <col min="9" max="9" width="14.42578125" style="157" bestFit="1" customWidth="1"/>
    <col min="10" max="10" width="16.140625" style="276" bestFit="1" customWidth="1"/>
    <col min="11" max="11" width="14.42578125" style="157" bestFit="1" customWidth="1"/>
    <col min="12" max="12" width="17.85546875" style="159" bestFit="1" customWidth="1"/>
    <col min="13" max="13" width="14" style="276" bestFit="1" customWidth="1"/>
    <col min="14" max="14" width="24.85546875" style="157" bestFit="1" customWidth="1"/>
    <col min="15" max="15" width="21.85546875" style="302" bestFit="1" customWidth="1"/>
    <col min="16" max="16" width="22" style="302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2"/>
      <c r="B1" s="323"/>
      <c r="C1" s="976">
        <f>'Estimate Summary'!C1:H1</f>
        <v>0</v>
      </c>
      <c r="D1" s="976"/>
      <c r="E1" s="976"/>
      <c r="F1" s="976"/>
      <c r="G1" s="976"/>
      <c r="H1" s="976"/>
      <c r="I1" s="976"/>
      <c r="J1" s="976"/>
      <c r="K1" s="977"/>
    </row>
    <row r="2" spans="1:17" ht="13.5" thickBot="1" x14ac:dyDescent="0.25">
      <c r="A2" s="324"/>
      <c r="B2" s="325"/>
      <c r="C2" s="514"/>
      <c r="D2" s="984"/>
      <c r="E2" s="984"/>
      <c r="F2" s="984"/>
      <c r="G2" s="514"/>
      <c r="H2" s="327"/>
      <c r="I2" s="328"/>
      <c r="J2" s="329"/>
      <c r="K2" s="330"/>
    </row>
    <row r="3" spans="1:17" ht="16.5" thickBot="1" x14ac:dyDescent="0.3">
      <c r="A3" s="973"/>
      <c r="B3" s="974"/>
      <c r="C3" s="514"/>
      <c r="D3" s="984"/>
      <c r="E3" s="984"/>
      <c r="F3" s="984"/>
      <c r="G3" s="515"/>
      <c r="H3" s="332"/>
      <c r="I3" s="333"/>
      <c r="J3" s="333"/>
      <c r="K3" s="334"/>
      <c r="L3" s="1002"/>
      <c r="M3" s="1003"/>
      <c r="N3" s="985"/>
      <c r="O3" s="985"/>
      <c r="P3" s="935"/>
    </row>
    <row r="4" spans="1:17" ht="18.75" thickBot="1" x14ac:dyDescent="0.25">
      <c r="A4" s="973"/>
      <c r="B4" s="974"/>
      <c r="C4" s="514"/>
      <c r="D4" s="984"/>
      <c r="E4" s="984"/>
      <c r="F4" s="984"/>
      <c r="G4" s="336"/>
      <c r="H4" s="336"/>
      <c r="I4" s="328"/>
      <c r="J4" s="329"/>
      <c r="K4" s="330"/>
      <c r="L4" s="1002"/>
      <c r="M4" s="1003"/>
      <c r="N4" s="985"/>
      <c r="O4" s="985"/>
      <c r="P4" s="935"/>
    </row>
    <row r="5" spans="1:17" ht="21" thickBot="1" x14ac:dyDescent="0.3">
      <c r="A5" s="337"/>
      <c r="B5" s="338"/>
      <c r="C5" s="516"/>
      <c r="D5" s="340"/>
      <c r="E5" s="341"/>
      <c r="F5" s="336"/>
      <c r="G5" s="983" t="s">
        <v>487</v>
      </c>
      <c r="H5" s="983"/>
      <c r="I5" s="983"/>
      <c r="J5" s="981" t="s">
        <v>73</v>
      </c>
      <c r="K5" s="982"/>
      <c r="L5" s="1002"/>
      <c r="M5" s="1003"/>
      <c r="N5" s="985"/>
      <c r="O5" s="985"/>
      <c r="P5" s="935"/>
    </row>
    <row r="6" spans="1:17" ht="21" thickBot="1" x14ac:dyDescent="0.25">
      <c r="A6" s="337"/>
      <c r="B6" s="338"/>
      <c r="C6" s="517"/>
      <c r="D6" s="343" t="str">
        <f>'Estimate Summary'!C11</f>
        <v>Area:</v>
      </c>
      <c r="E6" s="344">
        <f>'Estimate Summary'!D11</f>
        <v>65592</v>
      </c>
      <c r="F6" s="238" t="str">
        <f>'Estimate Summary'!E11</f>
        <v>Sq. Ft.</v>
      </c>
      <c r="G6" s="983"/>
      <c r="H6" s="983"/>
      <c r="I6" s="983"/>
      <c r="J6" s="345">
        <f>'1'!J6</f>
        <v>60</v>
      </c>
      <c r="K6" s="330" t="s">
        <v>74</v>
      </c>
      <c r="L6" s="1002"/>
      <c r="M6" s="1003"/>
      <c r="N6" s="985"/>
      <c r="O6" s="985"/>
      <c r="P6" s="935"/>
    </row>
    <row r="7" spans="1:17" x14ac:dyDescent="0.2">
      <c r="A7" s="978"/>
      <c r="B7" s="979"/>
      <c r="C7" s="979"/>
      <c r="D7" s="979"/>
      <c r="E7" s="979"/>
      <c r="F7" s="979"/>
      <c r="G7" s="979"/>
      <c r="H7" s="979"/>
      <c r="I7" s="979"/>
      <c r="J7" s="979"/>
      <c r="K7" s="980"/>
    </row>
    <row r="8" spans="1:17" ht="13.5" thickBot="1" x14ac:dyDescent="0.25">
      <c r="A8" s="346"/>
      <c r="B8" s="347"/>
      <c r="C8" s="972"/>
      <c r="D8" s="972"/>
      <c r="E8" s="972"/>
      <c r="F8" s="972"/>
      <c r="G8" s="971"/>
      <c r="H8" s="971"/>
      <c r="I8" s="971"/>
      <c r="J8" s="348"/>
      <c r="K8" s="349"/>
      <c r="L8" s="518"/>
      <c r="M8" s="519"/>
      <c r="N8" s="518"/>
      <c r="O8" s="520"/>
      <c r="P8" s="520"/>
    </row>
    <row r="9" spans="1:17" ht="14.25" thickTop="1" thickBot="1" x14ac:dyDescent="0.25">
      <c r="A9" s="353" t="s">
        <v>0</v>
      </c>
      <c r="B9" s="354" t="s">
        <v>1</v>
      </c>
      <c r="C9" s="939" t="s">
        <v>656</v>
      </c>
      <c r="D9" s="939"/>
      <c r="E9" s="939"/>
      <c r="F9" s="939"/>
      <c r="G9" s="939" t="s">
        <v>34</v>
      </c>
      <c r="H9" s="939"/>
      <c r="I9" s="939"/>
      <c r="J9" s="355"/>
      <c r="K9" s="523"/>
      <c r="L9" s="942" t="s">
        <v>783</v>
      </c>
      <c r="M9" s="944" t="s">
        <v>784</v>
      </c>
      <c r="N9" s="946" t="s">
        <v>785</v>
      </c>
      <c r="O9" s="948"/>
      <c r="P9" s="950"/>
      <c r="Q9" s="940"/>
    </row>
    <row r="10" spans="1:17" ht="15.75" x14ac:dyDescent="0.25">
      <c r="A10" s="525" t="s">
        <v>488</v>
      </c>
      <c r="B10" s="525" t="s">
        <v>489</v>
      </c>
      <c r="C10" s="359" t="s">
        <v>19</v>
      </c>
      <c r="D10" s="360" t="s">
        <v>33</v>
      </c>
      <c r="E10" s="361" t="s">
        <v>35</v>
      </c>
      <c r="F10" s="362" t="s">
        <v>30</v>
      </c>
      <c r="G10" s="526" t="s">
        <v>14</v>
      </c>
      <c r="H10" s="361" t="s">
        <v>35</v>
      </c>
      <c r="I10" s="362" t="s">
        <v>30</v>
      </c>
      <c r="J10" s="364" t="s">
        <v>659</v>
      </c>
      <c r="K10" s="527" t="s">
        <v>38</v>
      </c>
      <c r="L10" s="943"/>
      <c r="M10" s="945"/>
      <c r="N10" s="947"/>
      <c r="O10" s="949"/>
      <c r="P10" s="951"/>
      <c r="Q10" s="941"/>
    </row>
    <row r="11" spans="1:17" x14ac:dyDescent="0.2">
      <c r="A11" s="370"/>
      <c r="B11" s="5"/>
      <c r="C11" s="371"/>
      <c r="D11" s="372" t="s">
        <v>21</v>
      </c>
      <c r="E11" s="253">
        <v>0</v>
      </c>
      <c r="F11" s="373">
        <f t="shared" ref="F11:F22" si="0">C11*E11</f>
        <v>0</v>
      </c>
      <c r="G11" s="529"/>
      <c r="H11" s="375">
        <v>0</v>
      </c>
      <c r="I11" s="373">
        <f t="shared" ref="I11:I22" si="1">G11*H11</f>
        <v>0</v>
      </c>
      <c r="J11" s="376"/>
      <c r="K11" s="530">
        <f t="shared" ref="K11:K22" si="2">F11+I11+J11</f>
        <v>0</v>
      </c>
      <c r="L11" s="378"/>
      <c r="M11" s="379"/>
      <c r="N11" s="380"/>
      <c r="O11" s="381"/>
      <c r="P11" s="382"/>
      <c r="Q11" s="383"/>
    </row>
    <row r="12" spans="1:17" x14ac:dyDescent="0.2">
      <c r="A12" s="370"/>
      <c r="B12" s="5"/>
      <c r="C12" s="371"/>
      <c r="D12" s="372" t="s">
        <v>21</v>
      </c>
      <c r="E12" s="253">
        <v>0</v>
      </c>
      <c r="F12" s="373">
        <f t="shared" si="0"/>
        <v>0</v>
      </c>
      <c r="G12" s="529"/>
      <c r="H12" s="375">
        <v>0</v>
      </c>
      <c r="I12" s="373">
        <f t="shared" si="1"/>
        <v>0</v>
      </c>
      <c r="J12" s="376"/>
      <c r="K12" s="530">
        <f t="shared" si="2"/>
        <v>0</v>
      </c>
      <c r="L12" s="378"/>
      <c r="M12" s="379"/>
      <c r="N12" s="380"/>
      <c r="O12" s="381"/>
      <c r="P12" s="382"/>
      <c r="Q12" s="383"/>
    </row>
    <row r="13" spans="1:17" x14ac:dyDescent="0.2">
      <c r="A13" s="370"/>
      <c r="B13" s="5"/>
      <c r="C13" s="371"/>
      <c r="D13" s="372" t="s">
        <v>21</v>
      </c>
      <c r="E13" s="253">
        <v>0</v>
      </c>
      <c r="F13" s="373">
        <f t="shared" si="0"/>
        <v>0</v>
      </c>
      <c r="G13" s="529"/>
      <c r="H13" s="375">
        <v>0</v>
      </c>
      <c r="I13" s="373">
        <f t="shared" si="1"/>
        <v>0</v>
      </c>
      <c r="J13" s="376"/>
      <c r="K13" s="530">
        <f t="shared" si="2"/>
        <v>0</v>
      </c>
      <c r="L13" s="378"/>
      <c r="M13" s="379"/>
      <c r="N13" s="380"/>
      <c r="O13" s="381"/>
      <c r="P13" s="382"/>
      <c r="Q13" s="383"/>
    </row>
    <row r="14" spans="1:17" x14ac:dyDescent="0.2">
      <c r="A14" s="370"/>
      <c r="B14" s="5"/>
      <c r="C14" s="371"/>
      <c r="D14" s="372" t="s">
        <v>21</v>
      </c>
      <c r="E14" s="253">
        <v>0</v>
      </c>
      <c r="F14" s="373">
        <f t="shared" si="0"/>
        <v>0</v>
      </c>
      <c r="G14" s="529"/>
      <c r="H14" s="375">
        <v>0</v>
      </c>
      <c r="I14" s="373">
        <f t="shared" si="1"/>
        <v>0</v>
      </c>
      <c r="J14" s="376"/>
      <c r="K14" s="530">
        <f t="shared" si="2"/>
        <v>0</v>
      </c>
      <c r="L14" s="378"/>
      <c r="M14" s="379"/>
      <c r="N14" s="380"/>
      <c r="O14" s="381"/>
      <c r="P14" s="382"/>
      <c r="Q14" s="383"/>
    </row>
    <row r="15" spans="1:17" x14ac:dyDescent="0.2">
      <c r="A15" s="370"/>
      <c r="B15" s="6"/>
      <c r="C15" s="371"/>
      <c r="D15" s="372" t="s">
        <v>21</v>
      </c>
      <c r="E15" s="253">
        <v>0</v>
      </c>
      <c r="F15" s="373">
        <f t="shared" si="0"/>
        <v>0</v>
      </c>
      <c r="G15" s="529"/>
      <c r="H15" s="375">
        <v>0</v>
      </c>
      <c r="I15" s="373">
        <f t="shared" si="1"/>
        <v>0</v>
      </c>
      <c r="J15" s="376"/>
      <c r="K15" s="530">
        <f t="shared" si="2"/>
        <v>0</v>
      </c>
      <c r="L15" s="378"/>
      <c r="M15" s="379"/>
      <c r="N15" s="380"/>
      <c r="O15" s="381"/>
      <c r="P15" s="382"/>
      <c r="Q15" s="383"/>
    </row>
    <row r="16" spans="1:17" x14ac:dyDescent="0.2">
      <c r="A16" s="384"/>
      <c r="B16" s="5"/>
      <c r="C16" s="371"/>
      <c r="D16" s="372" t="s">
        <v>21</v>
      </c>
      <c r="E16" s="253">
        <v>0</v>
      </c>
      <c r="F16" s="373">
        <f t="shared" si="0"/>
        <v>0</v>
      </c>
      <c r="G16" s="529"/>
      <c r="H16" s="375">
        <v>0</v>
      </c>
      <c r="I16" s="373">
        <f t="shared" si="1"/>
        <v>0</v>
      </c>
      <c r="J16" s="376"/>
      <c r="K16" s="530">
        <f t="shared" si="2"/>
        <v>0</v>
      </c>
      <c r="L16" s="378"/>
      <c r="M16" s="379"/>
      <c r="N16" s="380"/>
      <c r="O16" s="381"/>
      <c r="P16" s="382"/>
      <c r="Q16" s="383"/>
    </row>
    <row r="17" spans="1:17" x14ac:dyDescent="0.2">
      <c r="A17" s="384"/>
      <c r="B17" s="5"/>
      <c r="C17" s="371"/>
      <c r="D17" s="372" t="s">
        <v>21</v>
      </c>
      <c r="E17" s="253">
        <v>0</v>
      </c>
      <c r="F17" s="373">
        <f t="shared" si="0"/>
        <v>0</v>
      </c>
      <c r="G17" s="529"/>
      <c r="H17" s="375">
        <v>0</v>
      </c>
      <c r="I17" s="373">
        <f t="shared" si="1"/>
        <v>0</v>
      </c>
      <c r="J17" s="376"/>
      <c r="K17" s="530">
        <f t="shared" si="2"/>
        <v>0</v>
      </c>
      <c r="L17" s="157"/>
      <c r="M17" s="469"/>
      <c r="O17" s="381"/>
      <c r="P17" s="382"/>
      <c r="Q17" s="383"/>
    </row>
    <row r="18" spans="1:17" x14ac:dyDescent="0.2">
      <c r="A18" s="384"/>
      <c r="B18" s="5"/>
      <c r="C18" s="371"/>
      <c r="D18" s="372" t="s">
        <v>21</v>
      </c>
      <c r="E18" s="253">
        <v>0</v>
      </c>
      <c r="F18" s="373">
        <f t="shared" si="0"/>
        <v>0</v>
      </c>
      <c r="G18" s="529"/>
      <c r="H18" s="375">
        <v>0</v>
      </c>
      <c r="I18" s="373">
        <f t="shared" si="1"/>
        <v>0</v>
      </c>
      <c r="J18" s="376"/>
      <c r="K18" s="530">
        <f t="shared" si="2"/>
        <v>0</v>
      </c>
      <c r="L18" s="157"/>
      <c r="M18" s="469"/>
      <c r="O18" s="381"/>
      <c r="P18" s="382"/>
      <c r="Q18" s="383"/>
    </row>
    <row r="19" spans="1:17" x14ac:dyDescent="0.2">
      <c r="A19" s="384"/>
      <c r="B19" s="5"/>
      <c r="C19" s="371"/>
      <c r="D19" s="372" t="s">
        <v>21</v>
      </c>
      <c r="E19" s="253">
        <v>0</v>
      </c>
      <c r="F19" s="373">
        <f t="shared" si="0"/>
        <v>0</v>
      </c>
      <c r="G19" s="529"/>
      <c r="H19" s="375">
        <v>0</v>
      </c>
      <c r="I19" s="373">
        <f t="shared" si="1"/>
        <v>0</v>
      </c>
      <c r="J19" s="376"/>
      <c r="K19" s="530">
        <f t="shared" si="2"/>
        <v>0</v>
      </c>
      <c r="L19" s="536"/>
      <c r="M19" s="574"/>
      <c r="N19" s="537"/>
      <c r="O19" s="381"/>
      <c r="P19" s="382"/>
      <c r="Q19" s="383"/>
    </row>
    <row r="20" spans="1:17" x14ac:dyDescent="0.2">
      <c r="A20" s="384"/>
      <c r="B20" s="5"/>
      <c r="C20" s="371"/>
      <c r="D20" s="372" t="s">
        <v>21</v>
      </c>
      <c r="E20" s="253">
        <v>0</v>
      </c>
      <c r="F20" s="373">
        <f t="shared" si="0"/>
        <v>0</v>
      </c>
      <c r="G20" s="529"/>
      <c r="H20" s="375">
        <v>0</v>
      </c>
      <c r="I20" s="373">
        <f t="shared" si="1"/>
        <v>0</v>
      </c>
      <c r="J20" s="376"/>
      <c r="K20" s="530">
        <f t="shared" si="2"/>
        <v>0</v>
      </c>
      <c r="L20" s="538"/>
      <c r="M20" s="464"/>
      <c r="N20" s="539"/>
      <c r="O20" s="381"/>
      <c r="P20" s="382"/>
      <c r="Q20" s="383"/>
    </row>
    <row r="21" spans="1:17" x14ac:dyDescent="0.2">
      <c r="A21" s="384"/>
      <c r="B21" s="5"/>
      <c r="C21" s="371"/>
      <c r="D21" s="372" t="s">
        <v>21</v>
      </c>
      <c r="E21" s="253">
        <v>0</v>
      </c>
      <c r="F21" s="373">
        <f t="shared" si="0"/>
        <v>0</v>
      </c>
      <c r="G21" s="529"/>
      <c r="H21" s="375">
        <v>0</v>
      </c>
      <c r="I21" s="373">
        <f t="shared" si="1"/>
        <v>0</v>
      </c>
      <c r="J21" s="376"/>
      <c r="K21" s="530">
        <f t="shared" si="2"/>
        <v>0</v>
      </c>
      <c r="L21" s="157"/>
      <c r="M21" s="469"/>
      <c r="O21" s="381"/>
      <c r="P21" s="382"/>
      <c r="Q21" s="383"/>
    </row>
    <row r="22" spans="1:17" x14ac:dyDescent="0.2">
      <c r="A22" s="384"/>
      <c r="B22" s="5"/>
      <c r="C22" s="371"/>
      <c r="D22" s="372" t="s">
        <v>21</v>
      </c>
      <c r="E22" s="253">
        <v>0</v>
      </c>
      <c r="F22" s="373">
        <f t="shared" si="0"/>
        <v>0</v>
      </c>
      <c r="G22" s="529"/>
      <c r="H22" s="375">
        <v>0</v>
      </c>
      <c r="I22" s="373">
        <f t="shared" si="1"/>
        <v>0</v>
      </c>
      <c r="J22" s="376"/>
      <c r="K22" s="530">
        <f t="shared" si="2"/>
        <v>0</v>
      </c>
      <c r="L22" s="157"/>
      <c r="M22" s="469"/>
      <c r="O22" s="381"/>
      <c r="P22" s="382"/>
      <c r="Q22" s="383"/>
    </row>
    <row r="23" spans="1:17" ht="13.5" thickBot="1" x14ac:dyDescent="0.25">
      <c r="A23" s="387"/>
      <c r="B23" s="7"/>
      <c r="C23" s="388"/>
      <c r="D23" s="372"/>
      <c r="E23" s="253"/>
      <c r="F23" s="373"/>
      <c r="G23" s="529"/>
      <c r="H23" s="375"/>
      <c r="I23" s="373"/>
      <c r="J23" s="376"/>
      <c r="K23" s="530"/>
      <c r="L23" s="157"/>
      <c r="M23" s="469"/>
      <c r="O23" s="381"/>
      <c r="P23" s="382"/>
      <c r="Q23" s="383"/>
    </row>
    <row r="24" spans="1:17" ht="13.5" thickTop="1" x14ac:dyDescent="0.2">
      <c r="A24" s="387"/>
      <c r="B24" s="7"/>
      <c r="C24" s="388"/>
      <c r="D24" s="372"/>
      <c r="E24" s="253"/>
      <c r="F24" s="373"/>
      <c r="G24" s="529"/>
      <c r="H24" s="375"/>
      <c r="I24" s="373"/>
      <c r="J24" s="389" t="s">
        <v>30</v>
      </c>
      <c r="K24" s="532">
        <f>SUM(K11:K23)</f>
        <v>0</v>
      </c>
      <c r="L24" s="157"/>
      <c r="M24" s="469"/>
      <c r="O24" s="381"/>
      <c r="P24" s="382"/>
      <c r="Q24" s="383"/>
    </row>
    <row r="25" spans="1:17" ht="13.5" thickBot="1" x14ac:dyDescent="0.25">
      <c r="A25" s="353" t="s">
        <v>0</v>
      </c>
      <c r="B25" s="354" t="s">
        <v>1</v>
      </c>
      <c r="C25" s="939" t="s">
        <v>656</v>
      </c>
      <c r="D25" s="939"/>
      <c r="E25" s="939"/>
      <c r="F25" s="939"/>
      <c r="G25" s="939" t="s">
        <v>34</v>
      </c>
      <c r="H25" s="939"/>
      <c r="I25" s="939"/>
      <c r="J25" s="355"/>
      <c r="K25" s="523"/>
      <c r="L25" s="391"/>
      <c r="M25" s="392"/>
      <c r="N25" s="393"/>
      <c r="O25" s="381"/>
      <c r="P25" s="382"/>
      <c r="Q25" s="383"/>
    </row>
    <row r="26" spans="1:17" ht="15.75" x14ac:dyDescent="0.25">
      <c r="A26" s="525" t="s">
        <v>490</v>
      </c>
      <c r="B26" s="525" t="s">
        <v>491</v>
      </c>
      <c r="C26" s="396" t="s">
        <v>19</v>
      </c>
      <c r="D26" s="397" t="s">
        <v>33</v>
      </c>
      <c r="E26" s="398" t="s">
        <v>35</v>
      </c>
      <c r="F26" s="399" t="s">
        <v>30</v>
      </c>
      <c r="G26" s="533" t="s">
        <v>14</v>
      </c>
      <c r="H26" s="398" t="s">
        <v>35</v>
      </c>
      <c r="I26" s="399" t="s">
        <v>30</v>
      </c>
      <c r="J26" s="364" t="s">
        <v>659</v>
      </c>
      <c r="K26" s="534" t="s">
        <v>38</v>
      </c>
      <c r="L26" s="402"/>
      <c r="M26" s="403"/>
      <c r="N26" s="404"/>
      <c r="O26" s="381"/>
      <c r="P26" s="382"/>
      <c r="Q26" s="383"/>
    </row>
    <row r="27" spans="1:17" s="159" customFormat="1" ht="15" x14ac:dyDescent="0.2">
      <c r="A27" s="804" t="s">
        <v>492</v>
      </c>
      <c r="B27" s="804" t="s">
        <v>493</v>
      </c>
      <c r="C27" s="371"/>
      <c r="D27" s="372" t="s">
        <v>21</v>
      </c>
      <c r="E27" s="253">
        <v>0</v>
      </c>
      <c r="F27" s="373">
        <f t="shared" ref="F27:F33" si="3">C27*E27</f>
        <v>0</v>
      </c>
      <c r="G27" s="529"/>
      <c r="H27" s="375">
        <v>0</v>
      </c>
      <c r="I27" s="373">
        <f t="shared" ref="I27:I33" si="4">G27*H27</f>
        <v>0</v>
      </c>
      <c r="J27" s="376"/>
      <c r="K27" s="530">
        <f t="shared" ref="K27:K33" si="5">F27+I27+J27</f>
        <v>0</v>
      </c>
      <c r="M27" s="274"/>
      <c r="O27" s="381"/>
      <c r="P27" s="382"/>
      <c r="Q27" s="383"/>
    </row>
    <row r="28" spans="1:17" s="159" customFormat="1" ht="15" x14ac:dyDescent="0.2">
      <c r="A28" s="804" t="s">
        <v>494</v>
      </c>
      <c r="B28" s="804" t="s">
        <v>495</v>
      </c>
      <c r="C28" s="371"/>
      <c r="D28" s="372" t="s">
        <v>21</v>
      </c>
      <c r="E28" s="253">
        <v>0</v>
      </c>
      <c r="F28" s="373">
        <f t="shared" si="3"/>
        <v>0</v>
      </c>
      <c r="G28" s="529"/>
      <c r="H28" s="375">
        <v>0</v>
      </c>
      <c r="I28" s="373">
        <f t="shared" si="4"/>
        <v>0</v>
      </c>
      <c r="J28" s="376"/>
      <c r="K28" s="530">
        <f t="shared" si="5"/>
        <v>0</v>
      </c>
      <c r="M28" s="276"/>
      <c r="N28" s="157"/>
      <c r="O28" s="381"/>
      <c r="P28" s="382"/>
      <c r="Q28" s="383"/>
    </row>
    <row r="29" spans="1:17" s="159" customFormat="1" x14ac:dyDescent="0.2">
      <c r="A29" s="370"/>
      <c r="B29" s="5"/>
      <c r="C29" s="371"/>
      <c r="D29" s="372" t="s">
        <v>21</v>
      </c>
      <c r="E29" s="253">
        <v>0</v>
      </c>
      <c r="F29" s="373">
        <f t="shared" si="3"/>
        <v>0</v>
      </c>
      <c r="G29" s="529"/>
      <c r="H29" s="375">
        <v>0</v>
      </c>
      <c r="I29" s="373">
        <f t="shared" si="4"/>
        <v>0</v>
      </c>
      <c r="J29" s="376"/>
      <c r="K29" s="530">
        <f t="shared" si="5"/>
        <v>0</v>
      </c>
      <c r="L29" s="378"/>
      <c r="M29" s="379"/>
      <c r="N29" s="380"/>
      <c r="O29" s="381"/>
      <c r="P29" s="382"/>
      <c r="Q29" s="383"/>
    </row>
    <row r="30" spans="1:17" s="159" customFormat="1" x14ac:dyDescent="0.2">
      <c r="A30" s="370"/>
      <c r="B30" s="5"/>
      <c r="C30" s="371"/>
      <c r="D30" s="372" t="s">
        <v>21</v>
      </c>
      <c r="E30" s="253">
        <v>0</v>
      </c>
      <c r="F30" s="373">
        <f t="shared" si="3"/>
        <v>0</v>
      </c>
      <c r="G30" s="529"/>
      <c r="H30" s="375">
        <v>0</v>
      </c>
      <c r="I30" s="373">
        <f t="shared" si="4"/>
        <v>0</v>
      </c>
      <c r="J30" s="376"/>
      <c r="K30" s="530">
        <f t="shared" si="5"/>
        <v>0</v>
      </c>
      <c r="L30" s="378"/>
      <c r="M30" s="379"/>
      <c r="N30" s="380"/>
      <c r="O30" s="381"/>
      <c r="P30" s="382"/>
      <c r="Q30" s="383"/>
    </row>
    <row r="31" spans="1:17" s="159" customFormat="1" x14ac:dyDescent="0.2">
      <c r="A31" s="370"/>
      <c r="B31" s="5"/>
      <c r="C31" s="371"/>
      <c r="D31" s="372" t="s">
        <v>21</v>
      </c>
      <c r="E31" s="253">
        <v>0</v>
      </c>
      <c r="F31" s="373">
        <f t="shared" si="3"/>
        <v>0</v>
      </c>
      <c r="G31" s="529"/>
      <c r="H31" s="375">
        <v>0</v>
      </c>
      <c r="I31" s="373">
        <f t="shared" si="4"/>
        <v>0</v>
      </c>
      <c r="J31" s="376"/>
      <c r="K31" s="530">
        <f t="shared" si="5"/>
        <v>0</v>
      </c>
      <c r="L31" s="536"/>
      <c r="M31" s="574"/>
      <c r="N31" s="537"/>
      <c r="O31" s="381"/>
      <c r="P31" s="382"/>
      <c r="Q31" s="383"/>
    </row>
    <row r="32" spans="1:17" s="159" customFormat="1" x14ac:dyDescent="0.2">
      <c r="A32" s="370"/>
      <c r="B32" s="5"/>
      <c r="C32" s="371"/>
      <c r="D32" s="372" t="s">
        <v>21</v>
      </c>
      <c r="E32" s="253">
        <v>0</v>
      </c>
      <c r="F32" s="373">
        <f t="shared" si="3"/>
        <v>0</v>
      </c>
      <c r="G32" s="529"/>
      <c r="H32" s="375">
        <v>0</v>
      </c>
      <c r="I32" s="373">
        <f t="shared" si="4"/>
        <v>0</v>
      </c>
      <c r="J32" s="376"/>
      <c r="K32" s="530">
        <f t="shared" si="5"/>
        <v>0</v>
      </c>
      <c r="M32" s="274"/>
      <c r="O32" s="381"/>
      <c r="P32" s="382"/>
      <c r="Q32" s="383"/>
    </row>
    <row r="33" spans="1:23" s="159" customFormat="1" x14ac:dyDescent="0.2">
      <c r="A33" s="370"/>
      <c r="B33" s="5"/>
      <c r="C33" s="371"/>
      <c r="D33" s="372" t="s">
        <v>21</v>
      </c>
      <c r="E33" s="253">
        <v>0</v>
      </c>
      <c r="F33" s="373">
        <f t="shared" si="3"/>
        <v>0</v>
      </c>
      <c r="G33" s="529"/>
      <c r="H33" s="375">
        <v>0</v>
      </c>
      <c r="I33" s="373">
        <f t="shared" si="4"/>
        <v>0</v>
      </c>
      <c r="J33" s="376"/>
      <c r="K33" s="530">
        <f t="shared" si="5"/>
        <v>0</v>
      </c>
      <c r="M33" s="274"/>
      <c r="O33" s="381"/>
      <c r="P33" s="382"/>
      <c r="Q33" s="383"/>
    </row>
    <row r="34" spans="1:23" s="159" customFormat="1" ht="13.5" thickBot="1" x14ac:dyDescent="0.25">
      <c r="A34" s="370"/>
      <c r="B34" s="5"/>
      <c r="C34" s="388"/>
      <c r="D34" s="372"/>
      <c r="E34" s="253"/>
      <c r="F34" s="373"/>
      <c r="G34" s="529"/>
      <c r="H34" s="375"/>
      <c r="I34" s="373"/>
      <c r="J34" s="376"/>
      <c r="K34" s="535"/>
      <c r="L34" s="157"/>
      <c r="M34" s="469"/>
      <c r="N34" s="157"/>
      <c r="O34" s="381"/>
      <c r="P34" s="382"/>
      <c r="Q34" s="383"/>
    </row>
    <row r="35" spans="1:23" s="159" customFormat="1" ht="13.5" thickTop="1" x14ac:dyDescent="0.2">
      <c r="A35" s="387"/>
      <c r="B35" s="5"/>
      <c r="C35" s="388"/>
      <c r="D35" s="372"/>
      <c r="E35" s="253"/>
      <c r="F35" s="373"/>
      <c r="G35" s="529"/>
      <c r="H35" s="375"/>
      <c r="I35" s="373"/>
      <c r="J35" s="389" t="s">
        <v>30</v>
      </c>
      <c r="K35" s="532">
        <f>SUM(K27:K34)</f>
        <v>0</v>
      </c>
      <c r="L35" s="378"/>
      <c r="M35" s="379"/>
      <c r="N35" s="380"/>
      <c r="O35" s="381"/>
      <c r="P35" s="382"/>
      <c r="Q35" s="383"/>
    </row>
    <row r="36" spans="1:23" s="159" customFormat="1" ht="13.5" thickBot="1" x14ac:dyDescent="0.25">
      <c r="A36" s="353" t="s">
        <v>0</v>
      </c>
      <c r="B36" s="354" t="s">
        <v>1</v>
      </c>
      <c r="C36" s="939" t="s">
        <v>656</v>
      </c>
      <c r="D36" s="939"/>
      <c r="E36" s="939"/>
      <c r="F36" s="939"/>
      <c r="G36" s="939" t="s">
        <v>34</v>
      </c>
      <c r="H36" s="939"/>
      <c r="I36" s="939"/>
      <c r="J36" s="355"/>
      <c r="K36" s="523"/>
      <c r="L36" s="391"/>
      <c r="M36" s="392"/>
      <c r="N36" s="393"/>
      <c r="O36" s="381"/>
      <c r="P36" s="382"/>
      <c r="Q36" s="383"/>
    </row>
    <row r="37" spans="1:23" s="159" customFormat="1" ht="16.5" thickBot="1" x14ac:dyDescent="0.3">
      <c r="A37" s="525" t="s">
        <v>496</v>
      </c>
      <c r="B37" s="525" t="s">
        <v>497</v>
      </c>
      <c r="C37" s="396" t="s">
        <v>19</v>
      </c>
      <c r="D37" s="397" t="s">
        <v>33</v>
      </c>
      <c r="E37" s="398" t="s">
        <v>35</v>
      </c>
      <c r="F37" s="399" t="s">
        <v>30</v>
      </c>
      <c r="G37" s="533" t="s">
        <v>14</v>
      </c>
      <c r="H37" s="398" t="s">
        <v>35</v>
      </c>
      <c r="I37" s="399" t="s">
        <v>30</v>
      </c>
      <c r="J37" s="364" t="s">
        <v>659</v>
      </c>
      <c r="K37" s="534" t="s">
        <v>38</v>
      </c>
      <c r="L37" s="402"/>
      <c r="M37" s="408"/>
      <c r="N37" s="409"/>
      <c r="O37" s="410"/>
      <c r="P37" s="411"/>
      <c r="Q37" s="383"/>
    </row>
    <row r="38" spans="1:23" s="159" customFormat="1" x14ac:dyDescent="0.2">
      <c r="A38" s="405"/>
      <c r="B38" s="406"/>
      <c r="C38" s="371"/>
      <c r="D38" s="372" t="s">
        <v>21</v>
      </c>
      <c r="E38" s="253">
        <v>0</v>
      </c>
      <c r="F38" s="373">
        <f>C38*E38</f>
        <v>0</v>
      </c>
      <c r="G38" s="529"/>
      <c r="H38" s="375">
        <v>0</v>
      </c>
      <c r="I38" s="373">
        <f>G38*H38</f>
        <v>0</v>
      </c>
      <c r="J38" s="376"/>
      <c r="K38" s="530">
        <f>F38+I38+J38</f>
        <v>0</v>
      </c>
      <c r="L38" s="378"/>
      <c r="M38" s="379"/>
      <c r="N38" s="380"/>
      <c r="O38" s="410"/>
      <c r="P38" s="411"/>
      <c r="Q38" s="383"/>
    </row>
    <row r="39" spans="1:23" s="159" customFormat="1" x14ac:dyDescent="0.2">
      <c r="A39" s="370"/>
      <c r="B39" s="5"/>
      <c r="C39" s="371"/>
      <c r="D39" s="372" t="s">
        <v>21</v>
      </c>
      <c r="E39" s="253">
        <v>0</v>
      </c>
      <c r="F39" s="373">
        <f>C39*E39</f>
        <v>0</v>
      </c>
      <c r="G39" s="529"/>
      <c r="H39" s="375">
        <v>0</v>
      </c>
      <c r="I39" s="373">
        <f>G39*H39</f>
        <v>0</v>
      </c>
      <c r="J39" s="376"/>
      <c r="K39" s="530">
        <f>F39+I39+J39</f>
        <v>0</v>
      </c>
      <c r="M39" s="274"/>
      <c r="O39" s="410"/>
      <c r="P39" s="411"/>
      <c r="Q39" s="383"/>
    </row>
    <row r="40" spans="1:23" s="159" customFormat="1" x14ac:dyDescent="0.2">
      <c r="A40" s="370"/>
      <c r="B40" s="5"/>
      <c r="C40" s="371"/>
      <c r="D40" s="372" t="s">
        <v>21</v>
      </c>
      <c r="E40" s="253">
        <v>0</v>
      </c>
      <c r="F40" s="373">
        <f>C40*E40</f>
        <v>0</v>
      </c>
      <c r="G40" s="529"/>
      <c r="H40" s="375">
        <v>0</v>
      </c>
      <c r="I40" s="373">
        <f>G40*H40</f>
        <v>0</v>
      </c>
      <c r="J40" s="376"/>
      <c r="K40" s="530">
        <f>F40+I40+J40</f>
        <v>0</v>
      </c>
      <c r="M40" s="274"/>
      <c r="O40" s="410"/>
      <c r="P40" s="411"/>
      <c r="Q40" s="383"/>
    </row>
    <row r="41" spans="1:23" s="159" customFormat="1" x14ac:dyDescent="0.2">
      <c r="A41" s="387"/>
      <c r="B41" s="412"/>
      <c r="C41" s="388"/>
      <c r="D41" s="372"/>
      <c r="E41" s="253"/>
      <c r="F41" s="373"/>
      <c r="G41" s="529"/>
      <c r="H41" s="375"/>
      <c r="I41" s="373"/>
      <c r="J41" s="376"/>
      <c r="K41" s="535"/>
      <c r="L41" s="378"/>
      <c r="M41" s="379"/>
      <c r="N41" s="380"/>
      <c r="O41" s="410"/>
      <c r="P41" s="411"/>
      <c r="Q41" s="383"/>
    </row>
    <row r="42" spans="1:23" s="159" customFormat="1" ht="13.5" thickBot="1" x14ac:dyDescent="0.25">
      <c r="A42" s="387"/>
      <c r="B42" s="412"/>
      <c r="C42" s="388"/>
      <c r="D42" s="372"/>
      <c r="E42" s="253"/>
      <c r="F42" s="373"/>
      <c r="G42" s="529"/>
      <c r="H42" s="375"/>
      <c r="I42" s="373"/>
      <c r="J42" s="376"/>
      <c r="K42" s="535"/>
      <c r="M42" s="276"/>
      <c r="N42" s="157"/>
      <c r="O42" s="410"/>
      <c r="P42" s="411"/>
      <c r="Q42" s="383"/>
    </row>
    <row r="43" spans="1:23" s="159" customFormat="1" ht="15.75" thickTop="1" x14ac:dyDescent="0.2">
      <c r="A43" s="387"/>
      <c r="B43" s="412"/>
      <c r="C43" s="388"/>
      <c r="D43" s="372"/>
      <c r="E43" s="253"/>
      <c r="F43" s="373"/>
      <c r="G43" s="529"/>
      <c r="H43" s="375"/>
      <c r="I43" s="373"/>
      <c r="J43" s="389" t="s">
        <v>30</v>
      </c>
      <c r="K43" s="532">
        <f>SUM(K38:K42)</f>
        <v>0</v>
      </c>
      <c r="M43" s="276"/>
      <c r="N43" s="157"/>
      <c r="O43" s="381"/>
      <c r="P43" s="382"/>
      <c r="Q43" s="383"/>
      <c r="V43" s="196"/>
      <c r="W43" s="196"/>
    </row>
    <row r="44" spans="1:23" s="159" customFormat="1" ht="13.5" thickBot="1" x14ac:dyDescent="0.25">
      <c r="A44" s="353" t="s">
        <v>0</v>
      </c>
      <c r="B44" s="354" t="s">
        <v>1</v>
      </c>
      <c r="C44" s="939" t="s">
        <v>656</v>
      </c>
      <c r="D44" s="939"/>
      <c r="E44" s="939"/>
      <c r="F44" s="939"/>
      <c r="G44" s="939" t="s">
        <v>34</v>
      </c>
      <c r="H44" s="939"/>
      <c r="I44" s="939"/>
      <c r="J44" s="355"/>
      <c r="K44" s="523"/>
      <c r="L44" s="391"/>
      <c r="M44" s="392"/>
      <c r="N44" s="393"/>
      <c r="O44" s="381"/>
      <c r="P44" s="382"/>
      <c r="Q44" s="383"/>
    </row>
    <row r="45" spans="1:23" s="159" customFormat="1" ht="16.5" thickBot="1" x14ac:dyDescent="0.3">
      <c r="A45" s="525" t="s">
        <v>498</v>
      </c>
      <c r="B45" s="525" t="s">
        <v>499</v>
      </c>
      <c r="C45" s="396" t="s">
        <v>19</v>
      </c>
      <c r="D45" s="397" t="s">
        <v>33</v>
      </c>
      <c r="E45" s="398" t="s">
        <v>35</v>
      </c>
      <c r="F45" s="399" t="s">
        <v>30</v>
      </c>
      <c r="G45" s="533" t="s">
        <v>14</v>
      </c>
      <c r="H45" s="398" t="s">
        <v>35</v>
      </c>
      <c r="I45" s="399" t="s">
        <v>30</v>
      </c>
      <c r="J45" s="364" t="s">
        <v>659</v>
      </c>
      <c r="K45" s="534" t="s">
        <v>38</v>
      </c>
      <c r="L45" s="402"/>
      <c r="M45" s="408"/>
      <c r="N45" s="409"/>
      <c r="O45" s="381"/>
      <c r="P45" s="411"/>
      <c r="Q45" s="383"/>
    </row>
    <row r="46" spans="1:23" s="159" customFormat="1" x14ac:dyDescent="0.2">
      <c r="A46" s="405"/>
      <c r="B46" s="406"/>
      <c r="C46" s="371"/>
      <c r="D46" s="372" t="s">
        <v>21</v>
      </c>
      <c r="E46" s="253">
        <v>0</v>
      </c>
      <c r="F46" s="373">
        <f>C46*E46</f>
        <v>0</v>
      </c>
      <c r="G46" s="529"/>
      <c r="H46" s="375">
        <v>0</v>
      </c>
      <c r="I46" s="373">
        <f>G46*H46</f>
        <v>0</v>
      </c>
      <c r="J46" s="376"/>
      <c r="K46" s="530">
        <f>F46+I46+J46</f>
        <v>0</v>
      </c>
      <c r="L46" s="378"/>
      <c r="M46" s="255"/>
      <c r="N46" s="421"/>
      <c r="O46" s="381"/>
      <c r="P46" s="382"/>
      <c r="Q46" s="383"/>
    </row>
    <row r="47" spans="1:23" s="159" customFormat="1" x14ac:dyDescent="0.2">
      <c r="A47" s="370"/>
      <c r="B47" s="5"/>
      <c r="C47" s="371"/>
      <c r="D47" s="372" t="s">
        <v>21</v>
      </c>
      <c r="E47" s="253">
        <v>0</v>
      </c>
      <c r="F47" s="373">
        <f>C47*E47</f>
        <v>0</v>
      </c>
      <c r="G47" s="529"/>
      <c r="H47" s="375">
        <v>0</v>
      </c>
      <c r="I47" s="373">
        <f>G47*H47</f>
        <v>0</v>
      </c>
      <c r="J47" s="376"/>
      <c r="K47" s="530">
        <f>F47+I47+J47</f>
        <v>0</v>
      </c>
      <c r="L47" s="536"/>
      <c r="M47" s="574"/>
      <c r="N47" s="537"/>
      <c r="O47" s="381"/>
      <c r="P47" s="382"/>
      <c r="Q47" s="383"/>
    </row>
    <row r="48" spans="1:23" s="159" customFormat="1" x14ac:dyDescent="0.2">
      <c r="A48" s="370"/>
      <c r="B48" s="5"/>
      <c r="C48" s="371"/>
      <c r="D48" s="372" t="s">
        <v>21</v>
      </c>
      <c r="E48" s="253">
        <v>0</v>
      </c>
      <c r="F48" s="373">
        <f>C48*E48</f>
        <v>0</v>
      </c>
      <c r="G48" s="529"/>
      <c r="H48" s="375">
        <v>0</v>
      </c>
      <c r="I48" s="373">
        <f>G48*H48</f>
        <v>0</v>
      </c>
      <c r="J48" s="376"/>
      <c r="K48" s="530">
        <f>F48+I48+J48</f>
        <v>0</v>
      </c>
      <c r="L48" s="538"/>
      <c r="M48" s="255"/>
      <c r="N48" s="421"/>
      <c r="O48" s="381"/>
      <c r="P48" s="382"/>
      <c r="Q48" s="383"/>
    </row>
    <row r="49" spans="1:17" s="159" customFormat="1" x14ac:dyDescent="0.2">
      <c r="A49" s="370"/>
      <c r="B49" s="5"/>
      <c r="C49" s="371"/>
      <c r="D49" s="372" t="s">
        <v>21</v>
      </c>
      <c r="E49" s="253">
        <v>0</v>
      </c>
      <c r="F49" s="373">
        <f>C49*E49</f>
        <v>0</v>
      </c>
      <c r="G49" s="529"/>
      <c r="H49" s="375">
        <v>0</v>
      </c>
      <c r="I49" s="373">
        <f>G49*H49</f>
        <v>0</v>
      </c>
      <c r="J49" s="376"/>
      <c r="K49" s="530">
        <f>F49+I49+J49</f>
        <v>0</v>
      </c>
      <c r="L49" s="664"/>
      <c r="M49" s="255"/>
      <c r="N49" s="421"/>
      <c r="O49" s="381"/>
      <c r="P49" s="382"/>
      <c r="Q49" s="383"/>
    </row>
    <row r="50" spans="1:17" s="159" customFormat="1" x14ac:dyDescent="0.2">
      <c r="A50" s="370"/>
      <c r="B50" s="5"/>
      <c r="C50" s="371"/>
      <c r="D50" s="372" t="s">
        <v>21</v>
      </c>
      <c r="E50" s="253">
        <v>0</v>
      </c>
      <c r="F50" s="373">
        <f>C50*E50</f>
        <v>0</v>
      </c>
      <c r="G50" s="529"/>
      <c r="H50" s="375">
        <v>0</v>
      </c>
      <c r="I50" s="373">
        <f>G50*H50</f>
        <v>0</v>
      </c>
      <c r="J50" s="376"/>
      <c r="K50" s="530">
        <f>F50+I50+J50</f>
        <v>0</v>
      </c>
      <c r="L50" s="378"/>
      <c r="M50" s="255"/>
      <c r="N50" s="421"/>
      <c r="O50" s="381"/>
      <c r="P50" s="382"/>
      <c r="Q50" s="383"/>
    </row>
    <row r="51" spans="1:17" s="159" customFormat="1" ht="13.5" thickBot="1" x14ac:dyDescent="0.25">
      <c r="A51" s="387"/>
      <c r="B51" s="412"/>
      <c r="C51" s="388"/>
      <c r="D51" s="372"/>
      <c r="E51" s="253"/>
      <c r="F51" s="373"/>
      <c r="G51" s="529"/>
      <c r="H51" s="375"/>
      <c r="I51" s="373"/>
      <c r="J51" s="376"/>
      <c r="K51" s="535"/>
      <c r="L51" s="378"/>
      <c r="M51" s="255"/>
      <c r="N51" s="380"/>
      <c r="O51" s="381"/>
      <c r="P51" s="382"/>
      <c r="Q51" s="383"/>
    </row>
    <row r="52" spans="1:17" s="159" customFormat="1" ht="13.5" thickTop="1" x14ac:dyDescent="0.2">
      <c r="A52" s="387"/>
      <c r="B52" s="412"/>
      <c r="C52" s="388"/>
      <c r="D52" s="372"/>
      <c r="E52" s="253"/>
      <c r="F52" s="373"/>
      <c r="G52" s="529"/>
      <c r="H52" s="375"/>
      <c r="I52" s="373"/>
      <c r="J52" s="389" t="s">
        <v>30</v>
      </c>
      <c r="K52" s="532">
        <f>SUM(K46:K51)</f>
        <v>0</v>
      </c>
      <c r="L52" s="157"/>
      <c r="M52" s="469"/>
      <c r="N52" s="157"/>
      <c r="O52" s="436"/>
      <c r="P52" s="437"/>
      <c r="Q52" s="383"/>
    </row>
    <row r="53" spans="1:17" s="159" customFormat="1" ht="13.5" thickBot="1" x14ac:dyDescent="0.25">
      <c r="A53" s="353" t="s">
        <v>0</v>
      </c>
      <c r="B53" s="354" t="s">
        <v>1</v>
      </c>
      <c r="C53" s="939" t="s">
        <v>656</v>
      </c>
      <c r="D53" s="939"/>
      <c r="E53" s="939"/>
      <c r="F53" s="939"/>
      <c r="G53" s="939" t="s">
        <v>34</v>
      </c>
      <c r="H53" s="939"/>
      <c r="I53" s="939"/>
      <c r="J53" s="355"/>
      <c r="K53" s="523"/>
      <c r="L53" s="391"/>
      <c r="M53" s="392"/>
      <c r="N53" s="393"/>
      <c r="O53" s="436"/>
      <c r="P53" s="437"/>
      <c r="Q53" s="383"/>
    </row>
    <row r="54" spans="1:17" s="159" customFormat="1" ht="16.5" thickBot="1" x14ac:dyDescent="0.3">
      <c r="A54" s="525" t="s">
        <v>500</v>
      </c>
      <c r="B54" s="525" t="s">
        <v>501</v>
      </c>
      <c r="C54" s="396" t="s">
        <v>19</v>
      </c>
      <c r="D54" s="397" t="s">
        <v>33</v>
      </c>
      <c r="E54" s="398" t="s">
        <v>35</v>
      </c>
      <c r="F54" s="399" t="s">
        <v>30</v>
      </c>
      <c r="G54" s="533" t="s">
        <v>14</v>
      </c>
      <c r="H54" s="398" t="s">
        <v>35</v>
      </c>
      <c r="I54" s="399" t="s">
        <v>30</v>
      </c>
      <c r="J54" s="364" t="s">
        <v>659</v>
      </c>
      <c r="K54" s="534" t="s">
        <v>38</v>
      </c>
      <c r="L54" s="402"/>
      <c r="M54" s="408"/>
      <c r="N54" s="409"/>
      <c r="O54" s="410"/>
      <c r="P54" s="411"/>
      <c r="Q54" s="383"/>
    </row>
    <row r="55" spans="1:17" s="159" customFormat="1" x14ac:dyDescent="0.2">
      <c r="A55" s="405"/>
      <c r="B55" s="406"/>
      <c r="C55" s="371"/>
      <c r="D55" s="372" t="s">
        <v>21</v>
      </c>
      <c r="E55" s="253">
        <v>0</v>
      </c>
      <c r="F55" s="373">
        <f t="shared" ref="F55:F61" si="6">C55*E55</f>
        <v>0</v>
      </c>
      <c r="G55" s="529"/>
      <c r="H55" s="375">
        <v>0</v>
      </c>
      <c r="I55" s="373">
        <f t="shared" ref="I55:I61" si="7">G55*H55</f>
        <v>0</v>
      </c>
      <c r="J55" s="376"/>
      <c r="K55" s="530">
        <f t="shared" ref="K55:K61" si="8">F55+I55+J55</f>
        <v>0</v>
      </c>
      <c r="M55" s="274"/>
      <c r="O55" s="381"/>
      <c r="P55" s="382"/>
      <c r="Q55" s="383"/>
    </row>
    <row r="56" spans="1:17" s="159" customFormat="1" x14ac:dyDescent="0.2">
      <c r="A56" s="370"/>
      <c r="B56" s="5"/>
      <c r="C56" s="371"/>
      <c r="D56" s="372" t="s">
        <v>21</v>
      </c>
      <c r="E56" s="253">
        <v>0</v>
      </c>
      <c r="F56" s="373">
        <f t="shared" si="6"/>
        <v>0</v>
      </c>
      <c r="G56" s="529"/>
      <c r="H56" s="375">
        <v>0</v>
      </c>
      <c r="I56" s="373">
        <f t="shared" si="7"/>
        <v>0</v>
      </c>
      <c r="J56" s="376"/>
      <c r="K56" s="530">
        <f t="shared" si="8"/>
        <v>0</v>
      </c>
      <c r="L56" s="378"/>
      <c r="M56" s="255"/>
      <c r="N56" s="380"/>
      <c r="O56" s="381"/>
      <c r="P56" s="382"/>
      <c r="Q56" s="383"/>
    </row>
    <row r="57" spans="1:17" s="159" customFormat="1" x14ac:dyDescent="0.2">
      <c r="A57" s="370"/>
      <c r="B57" s="5"/>
      <c r="C57" s="371"/>
      <c r="D57" s="372" t="s">
        <v>21</v>
      </c>
      <c r="E57" s="253">
        <v>0</v>
      </c>
      <c r="F57" s="373">
        <f t="shared" si="6"/>
        <v>0</v>
      </c>
      <c r="G57" s="529"/>
      <c r="H57" s="375">
        <v>0</v>
      </c>
      <c r="I57" s="373">
        <f t="shared" si="7"/>
        <v>0</v>
      </c>
      <c r="J57" s="376"/>
      <c r="K57" s="530">
        <f t="shared" si="8"/>
        <v>0</v>
      </c>
      <c r="L57" s="378"/>
      <c r="M57" s="255"/>
      <c r="N57" s="380"/>
      <c r="O57" s="381"/>
      <c r="P57" s="382"/>
      <c r="Q57" s="383"/>
    </row>
    <row r="58" spans="1:17" s="159" customFormat="1" x14ac:dyDescent="0.2">
      <c r="A58" s="370"/>
      <c r="B58" s="5"/>
      <c r="C58" s="371"/>
      <c r="D58" s="372" t="s">
        <v>21</v>
      </c>
      <c r="E58" s="253">
        <v>0</v>
      </c>
      <c r="F58" s="373">
        <f t="shared" si="6"/>
        <v>0</v>
      </c>
      <c r="G58" s="529"/>
      <c r="H58" s="375">
        <v>0</v>
      </c>
      <c r="I58" s="373">
        <f t="shared" si="7"/>
        <v>0</v>
      </c>
      <c r="J58" s="376"/>
      <c r="K58" s="530">
        <f t="shared" si="8"/>
        <v>0</v>
      </c>
      <c r="L58" s="378"/>
      <c r="M58" s="255"/>
      <c r="N58" s="380"/>
      <c r="O58" s="381"/>
      <c r="P58" s="382"/>
      <c r="Q58" s="383"/>
    </row>
    <row r="59" spans="1:17" s="159" customFormat="1" x14ac:dyDescent="0.2">
      <c r="A59" s="370"/>
      <c r="B59" s="5"/>
      <c r="C59" s="371"/>
      <c r="D59" s="372" t="s">
        <v>21</v>
      </c>
      <c r="E59" s="253">
        <v>0</v>
      </c>
      <c r="F59" s="373">
        <f t="shared" si="6"/>
        <v>0</v>
      </c>
      <c r="G59" s="529"/>
      <c r="H59" s="375">
        <v>0</v>
      </c>
      <c r="I59" s="373">
        <f t="shared" si="7"/>
        <v>0</v>
      </c>
      <c r="J59" s="376"/>
      <c r="K59" s="530">
        <f t="shared" si="8"/>
        <v>0</v>
      </c>
      <c r="M59" s="274"/>
      <c r="O59" s="381"/>
      <c r="P59" s="382"/>
      <c r="Q59" s="383"/>
    </row>
    <row r="60" spans="1:17" s="159" customFormat="1" x14ac:dyDescent="0.2">
      <c r="A60" s="370"/>
      <c r="B60" s="5"/>
      <c r="C60" s="371"/>
      <c r="D60" s="372" t="s">
        <v>21</v>
      </c>
      <c r="E60" s="253">
        <v>0</v>
      </c>
      <c r="F60" s="373">
        <f t="shared" si="6"/>
        <v>0</v>
      </c>
      <c r="G60" s="529"/>
      <c r="H60" s="375">
        <v>0</v>
      </c>
      <c r="I60" s="373">
        <f t="shared" si="7"/>
        <v>0</v>
      </c>
      <c r="J60" s="376"/>
      <c r="K60" s="530">
        <f t="shared" si="8"/>
        <v>0</v>
      </c>
      <c r="M60" s="274"/>
      <c r="O60" s="381"/>
      <c r="P60" s="382"/>
      <c r="Q60" s="383"/>
    </row>
    <row r="61" spans="1:17" s="159" customFormat="1" x14ac:dyDescent="0.2">
      <c r="A61" s="370"/>
      <c r="B61" s="5"/>
      <c r="C61" s="371"/>
      <c r="D61" s="372" t="s">
        <v>21</v>
      </c>
      <c r="E61" s="253">
        <v>0</v>
      </c>
      <c r="F61" s="373">
        <f t="shared" si="6"/>
        <v>0</v>
      </c>
      <c r="G61" s="529"/>
      <c r="H61" s="375">
        <v>0</v>
      </c>
      <c r="I61" s="373">
        <f t="shared" si="7"/>
        <v>0</v>
      </c>
      <c r="J61" s="376"/>
      <c r="K61" s="530">
        <f t="shared" si="8"/>
        <v>0</v>
      </c>
      <c r="L61" s="378"/>
      <c r="M61" s="255"/>
      <c r="N61" s="421"/>
      <c r="O61" s="381"/>
      <c r="P61" s="382"/>
      <c r="Q61" s="383"/>
    </row>
    <row r="62" spans="1:17" s="159" customFormat="1" ht="13.5" thickBot="1" x14ac:dyDescent="0.25">
      <c r="A62" s="387"/>
      <c r="B62" s="5"/>
      <c r="C62" s="388"/>
      <c r="D62" s="372"/>
      <c r="E62" s="253"/>
      <c r="F62" s="373"/>
      <c r="G62" s="529"/>
      <c r="H62" s="375"/>
      <c r="I62" s="373"/>
      <c r="J62" s="376"/>
      <c r="K62" s="535"/>
      <c r="M62" s="276"/>
      <c r="N62" s="157"/>
      <c r="O62" s="381"/>
      <c r="P62" s="382"/>
      <c r="Q62" s="383"/>
    </row>
    <row r="63" spans="1:17" s="159" customFormat="1" ht="13.5" thickTop="1" x14ac:dyDescent="0.2">
      <c r="A63" s="387"/>
      <c r="B63" s="412"/>
      <c r="C63" s="388"/>
      <c r="D63" s="372"/>
      <c r="E63" s="253"/>
      <c r="F63" s="373"/>
      <c r="G63" s="529"/>
      <c r="H63" s="375"/>
      <c r="I63" s="373"/>
      <c r="J63" s="389" t="s">
        <v>30</v>
      </c>
      <c r="K63" s="532">
        <f>SUM(K55:K62)</f>
        <v>0</v>
      </c>
      <c r="M63" s="276"/>
      <c r="N63" s="157"/>
      <c r="O63" s="381"/>
      <c r="P63" s="382"/>
      <c r="Q63" s="383"/>
    </row>
    <row r="64" spans="1:17" s="159" customFormat="1" ht="13.5" thickBot="1" x14ac:dyDescent="0.25">
      <c r="A64" s="353" t="s">
        <v>0</v>
      </c>
      <c r="B64" s="354" t="s">
        <v>1</v>
      </c>
      <c r="C64" s="939" t="s">
        <v>656</v>
      </c>
      <c r="D64" s="939"/>
      <c r="E64" s="939"/>
      <c r="F64" s="939"/>
      <c r="G64" s="939" t="s">
        <v>34</v>
      </c>
      <c r="H64" s="939"/>
      <c r="I64" s="939"/>
      <c r="J64" s="355"/>
      <c r="K64" s="523"/>
      <c r="L64" s="391"/>
      <c r="M64" s="392"/>
      <c r="N64" s="393"/>
      <c r="O64" s="381"/>
      <c r="P64" s="382"/>
      <c r="Q64" s="383"/>
    </row>
    <row r="65" spans="1:17" s="159" customFormat="1" ht="16.5" thickBot="1" x14ac:dyDescent="0.3">
      <c r="A65" s="394"/>
      <c r="B65" s="395"/>
      <c r="C65" s="396" t="s">
        <v>19</v>
      </c>
      <c r="D65" s="397" t="s">
        <v>33</v>
      </c>
      <c r="E65" s="398" t="s">
        <v>35</v>
      </c>
      <c r="F65" s="399" t="s">
        <v>30</v>
      </c>
      <c r="G65" s="533" t="s">
        <v>14</v>
      </c>
      <c r="H65" s="398" t="s">
        <v>35</v>
      </c>
      <c r="I65" s="399" t="s">
        <v>30</v>
      </c>
      <c r="J65" s="364" t="s">
        <v>659</v>
      </c>
      <c r="K65" s="534" t="s">
        <v>38</v>
      </c>
      <c r="L65" s="402"/>
      <c r="M65" s="408"/>
      <c r="N65" s="409"/>
      <c r="O65" s="381"/>
      <c r="P65" s="382"/>
      <c r="Q65" s="383"/>
    </row>
    <row r="66" spans="1:17" s="159" customFormat="1" x14ac:dyDescent="0.2">
      <c r="A66" s="405"/>
      <c r="B66" s="406"/>
      <c r="C66" s="371"/>
      <c r="D66" s="372" t="s">
        <v>21</v>
      </c>
      <c r="E66" s="253">
        <v>0</v>
      </c>
      <c r="F66" s="373">
        <f>C66*E66</f>
        <v>0</v>
      </c>
      <c r="G66" s="529"/>
      <c r="H66" s="375">
        <v>0</v>
      </c>
      <c r="I66" s="373">
        <f>G66*H66</f>
        <v>0</v>
      </c>
      <c r="J66" s="376"/>
      <c r="K66" s="530">
        <f>F66+I66+J66</f>
        <v>0</v>
      </c>
      <c r="L66" s="378"/>
      <c r="M66" s="379"/>
      <c r="N66" s="380"/>
      <c r="O66" s="381"/>
      <c r="P66" s="382"/>
      <c r="Q66" s="383"/>
    </row>
    <row r="67" spans="1:17" s="159" customFormat="1" x14ac:dyDescent="0.2">
      <c r="A67" s="370"/>
      <c r="B67" s="5"/>
      <c r="C67" s="371"/>
      <c r="D67" s="372" t="s">
        <v>21</v>
      </c>
      <c r="E67" s="253">
        <v>0</v>
      </c>
      <c r="F67" s="373">
        <f>C67*E67</f>
        <v>0</v>
      </c>
      <c r="G67" s="529"/>
      <c r="H67" s="375">
        <v>0</v>
      </c>
      <c r="I67" s="373">
        <f>G67*H67</f>
        <v>0</v>
      </c>
      <c r="J67" s="376"/>
      <c r="K67" s="530">
        <f>F67+I67+J67</f>
        <v>0</v>
      </c>
      <c r="L67" s="378"/>
      <c r="M67" s="379"/>
      <c r="N67" s="380"/>
      <c r="O67" s="381"/>
      <c r="P67" s="382"/>
      <c r="Q67" s="383"/>
    </row>
    <row r="68" spans="1:17" s="159" customFormat="1" x14ac:dyDescent="0.2">
      <c r="A68" s="370"/>
      <c r="B68" s="5"/>
      <c r="C68" s="371"/>
      <c r="D68" s="372" t="s">
        <v>21</v>
      </c>
      <c r="E68" s="253">
        <v>0</v>
      </c>
      <c r="F68" s="373">
        <f>C68*E68</f>
        <v>0</v>
      </c>
      <c r="G68" s="529"/>
      <c r="H68" s="375">
        <v>0</v>
      </c>
      <c r="I68" s="373">
        <f>G68*H68</f>
        <v>0</v>
      </c>
      <c r="J68" s="376"/>
      <c r="K68" s="530">
        <f>F68+I68+J68</f>
        <v>0</v>
      </c>
      <c r="M68" s="274"/>
      <c r="O68" s="381"/>
      <c r="P68" s="382"/>
      <c r="Q68" s="383"/>
    </row>
    <row r="69" spans="1:17" s="159" customFormat="1" x14ac:dyDescent="0.2">
      <c r="A69" s="370"/>
      <c r="B69" s="5"/>
      <c r="C69" s="371"/>
      <c r="D69" s="372" t="s">
        <v>21</v>
      </c>
      <c r="E69" s="253">
        <v>0</v>
      </c>
      <c r="F69" s="373">
        <f>C69*E69</f>
        <v>0</v>
      </c>
      <c r="G69" s="529"/>
      <c r="H69" s="375">
        <v>0</v>
      </c>
      <c r="I69" s="373">
        <f>G69*H69</f>
        <v>0</v>
      </c>
      <c r="J69" s="376"/>
      <c r="K69" s="530">
        <f>F69+I69+J69</f>
        <v>0</v>
      </c>
      <c r="M69" s="274"/>
      <c r="O69" s="381"/>
      <c r="P69" s="382"/>
      <c r="Q69" s="383"/>
    </row>
    <row r="70" spans="1:17" s="159" customFormat="1" x14ac:dyDescent="0.2">
      <c r="A70" s="370"/>
      <c r="B70" s="5"/>
      <c r="C70" s="371"/>
      <c r="D70" s="372" t="s">
        <v>21</v>
      </c>
      <c r="E70" s="253">
        <v>0</v>
      </c>
      <c r="F70" s="373">
        <f>C70*E70</f>
        <v>0</v>
      </c>
      <c r="G70" s="529"/>
      <c r="H70" s="375">
        <v>0</v>
      </c>
      <c r="I70" s="373">
        <f>G70*H70</f>
        <v>0</v>
      </c>
      <c r="J70" s="376"/>
      <c r="K70" s="530">
        <f>F70+I70+J70</f>
        <v>0</v>
      </c>
      <c r="M70" s="276"/>
      <c r="N70" s="157"/>
      <c r="O70" s="381"/>
      <c r="P70" s="382"/>
      <c r="Q70" s="383"/>
    </row>
    <row r="71" spans="1:17" s="159" customFormat="1" ht="13.5" thickBot="1" x14ac:dyDescent="0.25">
      <c r="A71" s="387"/>
      <c r="B71" s="5"/>
      <c r="C71" s="388"/>
      <c r="D71" s="372"/>
      <c r="E71" s="253"/>
      <c r="F71" s="373"/>
      <c r="G71" s="529"/>
      <c r="H71" s="375"/>
      <c r="I71" s="373"/>
      <c r="J71" s="376"/>
      <c r="K71" s="535"/>
      <c r="M71" s="276"/>
      <c r="N71" s="157"/>
      <c r="O71" s="381"/>
      <c r="P71" s="382"/>
      <c r="Q71" s="383"/>
    </row>
    <row r="72" spans="1:17" s="159" customFormat="1" ht="13.5" thickTop="1" x14ac:dyDescent="0.2">
      <c r="A72" s="387"/>
      <c r="B72" s="412"/>
      <c r="C72" s="388"/>
      <c r="D72" s="372"/>
      <c r="E72" s="253"/>
      <c r="F72" s="373"/>
      <c r="G72" s="529"/>
      <c r="H72" s="375"/>
      <c r="I72" s="373"/>
      <c r="J72" s="389" t="s">
        <v>30</v>
      </c>
      <c r="K72" s="532">
        <f>SUM(K66:K71)</f>
        <v>0</v>
      </c>
      <c r="M72" s="274"/>
      <c r="O72" s="381"/>
      <c r="P72" s="382"/>
      <c r="Q72" s="383"/>
    </row>
    <row r="73" spans="1:17" s="159" customFormat="1" ht="13.5" thickBot="1" x14ac:dyDescent="0.25">
      <c r="A73" s="353" t="s">
        <v>0</v>
      </c>
      <c r="B73" s="354" t="s">
        <v>1</v>
      </c>
      <c r="C73" s="939" t="s">
        <v>656</v>
      </c>
      <c r="D73" s="939"/>
      <c r="E73" s="939"/>
      <c r="F73" s="939"/>
      <c r="G73" s="939" t="s">
        <v>34</v>
      </c>
      <c r="H73" s="939"/>
      <c r="I73" s="939"/>
      <c r="J73" s="355"/>
      <c r="K73" s="523"/>
      <c r="L73" s="391"/>
      <c r="M73" s="355"/>
      <c r="N73" s="438"/>
      <c r="O73" s="381"/>
      <c r="P73" s="382"/>
      <c r="Q73" s="383"/>
    </row>
    <row r="74" spans="1:17" s="159" customFormat="1" ht="16.5" thickBot="1" x14ac:dyDescent="0.3">
      <c r="A74" s="394"/>
      <c r="B74" s="395"/>
      <c r="C74" s="396" t="s">
        <v>19</v>
      </c>
      <c r="D74" s="397" t="s">
        <v>33</v>
      </c>
      <c r="E74" s="398" t="s">
        <v>35</v>
      </c>
      <c r="F74" s="399" t="s">
        <v>30</v>
      </c>
      <c r="G74" s="533" t="s">
        <v>14</v>
      </c>
      <c r="H74" s="398" t="s">
        <v>35</v>
      </c>
      <c r="I74" s="399" t="s">
        <v>30</v>
      </c>
      <c r="J74" s="364" t="s">
        <v>659</v>
      </c>
      <c r="K74" s="534" t="s">
        <v>38</v>
      </c>
      <c r="L74" s="402"/>
      <c r="M74" s="408"/>
      <c r="N74" s="409"/>
      <c r="O74" s="381"/>
      <c r="P74" s="382"/>
      <c r="Q74" s="383"/>
    </row>
    <row r="75" spans="1:17" s="159" customFormat="1" x14ac:dyDescent="0.2">
      <c r="A75" s="405"/>
      <c r="B75" s="406"/>
      <c r="C75" s="371"/>
      <c r="D75" s="372" t="s">
        <v>21</v>
      </c>
      <c r="E75" s="253">
        <v>0</v>
      </c>
      <c r="F75" s="373">
        <f>C75*E75</f>
        <v>0</v>
      </c>
      <c r="G75" s="529"/>
      <c r="H75" s="375">
        <v>0</v>
      </c>
      <c r="I75" s="373">
        <f>G75*H75</f>
        <v>0</v>
      </c>
      <c r="J75" s="376"/>
      <c r="K75" s="530">
        <f>F75+I75+J75</f>
        <v>0</v>
      </c>
      <c r="M75" s="274"/>
      <c r="O75" s="381"/>
      <c r="P75" s="382"/>
      <c r="Q75" s="383"/>
    </row>
    <row r="76" spans="1:17" s="159" customFormat="1" x14ac:dyDescent="0.2">
      <c r="A76" s="370"/>
      <c r="B76" s="5"/>
      <c r="C76" s="371"/>
      <c r="D76" s="372" t="s">
        <v>21</v>
      </c>
      <c r="E76" s="253">
        <v>0</v>
      </c>
      <c r="F76" s="373">
        <f>C76*E76</f>
        <v>0</v>
      </c>
      <c r="G76" s="529"/>
      <c r="H76" s="375">
        <v>0</v>
      </c>
      <c r="I76" s="373">
        <f>G76*H76</f>
        <v>0</v>
      </c>
      <c r="J76" s="376"/>
      <c r="K76" s="530">
        <f>F76+I76+J76</f>
        <v>0</v>
      </c>
      <c r="M76" s="274"/>
      <c r="O76" s="381"/>
      <c r="P76" s="382"/>
      <c r="Q76" s="383"/>
    </row>
    <row r="77" spans="1:17" s="159" customFormat="1" x14ac:dyDescent="0.2">
      <c r="A77" s="370"/>
      <c r="B77" s="5"/>
      <c r="C77" s="371"/>
      <c r="D77" s="372" t="s">
        <v>21</v>
      </c>
      <c r="E77" s="253">
        <v>0</v>
      </c>
      <c r="F77" s="373">
        <f>C77*E77</f>
        <v>0</v>
      </c>
      <c r="G77" s="529"/>
      <c r="H77" s="375">
        <v>0</v>
      </c>
      <c r="I77" s="373">
        <f>G77*H77</f>
        <v>0</v>
      </c>
      <c r="J77" s="376"/>
      <c r="K77" s="530">
        <f>F77+I77+J77</f>
        <v>0</v>
      </c>
      <c r="L77" s="664"/>
      <c r="M77" s="666"/>
      <c r="N77" s="665"/>
      <c r="O77" s="381"/>
      <c r="P77" s="382"/>
      <c r="Q77" s="383"/>
    </row>
    <row r="78" spans="1:17" s="159" customFormat="1" ht="13.5" thickBot="1" x14ac:dyDescent="0.25">
      <c r="A78" s="387"/>
      <c r="B78" s="5"/>
      <c r="C78" s="388"/>
      <c r="D78" s="372"/>
      <c r="E78" s="253"/>
      <c r="F78" s="373"/>
      <c r="G78" s="529"/>
      <c r="H78" s="375"/>
      <c r="I78" s="373"/>
      <c r="J78" s="376"/>
      <c r="K78" s="535"/>
      <c r="L78" s="378"/>
      <c r="M78" s="379"/>
      <c r="N78" s="380"/>
      <c r="O78" s="381"/>
      <c r="P78" s="382"/>
      <c r="Q78" s="383"/>
    </row>
    <row r="79" spans="1:17" s="159" customFormat="1" ht="13.5" thickTop="1" x14ac:dyDescent="0.2">
      <c r="A79" s="387"/>
      <c r="B79" s="157"/>
      <c r="C79" s="388"/>
      <c r="D79" s="372"/>
      <c r="E79" s="253"/>
      <c r="F79" s="373"/>
      <c r="G79" s="529"/>
      <c r="H79" s="375"/>
      <c r="I79" s="373"/>
      <c r="J79" s="389" t="s">
        <v>30</v>
      </c>
      <c r="K79" s="532">
        <f>SUM(K75:K78)</f>
        <v>0</v>
      </c>
      <c r="L79" s="378"/>
      <c r="M79" s="379"/>
      <c r="N79" s="380"/>
      <c r="O79" s="381"/>
      <c r="P79" s="382"/>
      <c r="Q79" s="383"/>
    </row>
    <row r="80" spans="1:17" s="159" customFormat="1" ht="13.5" thickBot="1" x14ac:dyDescent="0.25">
      <c r="A80" s="353" t="s">
        <v>0</v>
      </c>
      <c r="B80" s="354" t="s">
        <v>1</v>
      </c>
      <c r="C80" s="939" t="s">
        <v>656</v>
      </c>
      <c r="D80" s="939"/>
      <c r="E80" s="939"/>
      <c r="F80" s="939"/>
      <c r="G80" s="939" t="s">
        <v>34</v>
      </c>
      <c r="H80" s="939"/>
      <c r="I80" s="939"/>
      <c r="J80" s="355"/>
      <c r="K80" s="523"/>
      <c r="L80" s="391"/>
      <c r="M80" s="392"/>
      <c r="N80" s="393"/>
      <c r="O80" s="381"/>
      <c r="P80" s="382"/>
      <c r="Q80" s="383"/>
    </row>
    <row r="81" spans="1:17" s="159" customFormat="1" ht="16.5" thickBot="1" x14ac:dyDescent="0.3">
      <c r="A81" s="394"/>
      <c r="B81" s="395"/>
      <c r="C81" s="396" t="s">
        <v>19</v>
      </c>
      <c r="D81" s="397" t="s">
        <v>33</v>
      </c>
      <c r="E81" s="398" t="s">
        <v>35</v>
      </c>
      <c r="F81" s="399" t="s">
        <v>30</v>
      </c>
      <c r="G81" s="533" t="s">
        <v>14</v>
      </c>
      <c r="H81" s="398" t="s">
        <v>35</v>
      </c>
      <c r="I81" s="399" t="s">
        <v>30</v>
      </c>
      <c r="J81" s="364" t="s">
        <v>659</v>
      </c>
      <c r="K81" s="534" t="s">
        <v>38</v>
      </c>
      <c r="L81" s="402"/>
      <c r="M81" s="403"/>
      <c r="N81" s="404"/>
      <c r="O81" s="381"/>
      <c r="P81" s="382"/>
      <c r="Q81" s="383"/>
    </row>
    <row r="82" spans="1:17" s="159" customFormat="1" x14ac:dyDescent="0.2">
      <c r="A82" s="405"/>
      <c r="B82" s="406"/>
      <c r="C82" s="371"/>
      <c r="D82" s="372" t="s">
        <v>21</v>
      </c>
      <c r="E82" s="253">
        <v>0</v>
      </c>
      <c r="F82" s="373">
        <f>C82*E82</f>
        <v>0</v>
      </c>
      <c r="G82" s="529"/>
      <c r="H82" s="375">
        <v>0</v>
      </c>
      <c r="I82" s="373">
        <f>G82*H82</f>
        <v>0</v>
      </c>
      <c r="J82" s="376"/>
      <c r="K82" s="530">
        <f>F82+I82+J82</f>
        <v>0</v>
      </c>
      <c r="M82" s="276"/>
      <c r="N82" s="157"/>
      <c r="O82" s="381"/>
      <c r="P82" s="382"/>
      <c r="Q82" s="383"/>
    </row>
    <row r="83" spans="1:17" s="159" customFormat="1" x14ac:dyDescent="0.2">
      <c r="A83" s="370"/>
      <c r="B83" s="5"/>
      <c r="C83" s="371"/>
      <c r="D83" s="372" t="s">
        <v>21</v>
      </c>
      <c r="E83" s="253">
        <v>0</v>
      </c>
      <c r="F83" s="373">
        <f>C83*E83</f>
        <v>0</v>
      </c>
      <c r="G83" s="529"/>
      <c r="H83" s="375">
        <v>0</v>
      </c>
      <c r="I83" s="373">
        <f>G83*H83</f>
        <v>0</v>
      </c>
      <c r="J83" s="376"/>
      <c r="K83" s="530">
        <f>F83+I83+J83</f>
        <v>0</v>
      </c>
      <c r="M83" s="276"/>
      <c r="N83" s="157"/>
      <c r="O83" s="381"/>
      <c r="P83" s="382"/>
      <c r="Q83" s="383"/>
    </row>
    <row r="84" spans="1:17" s="159" customFormat="1" x14ac:dyDescent="0.2">
      <c r="A84" s="370"/>
      <c r="C84" s="371"/>
      <c r="D84" s="372" t="s">
        <v>21</v>
      </c>
      <c r="E84" s="253">
        <v>0</v>
      </c>
      <c r="F84" s="373">
        <f>C84*E84</f>
        <v>0</v>
      </c>
      <c r="G84" s="529"/>
      <c r="H84" s="375">
        <v>0</v>
      </c>
      <c r="I84" s="373">
        <f>G84*H84</f>
        <v>0</v>
      </c>
      <c r="J84" s="376"/>
      <c r="K84" s="530">
        <f>F84+I84+J84</f>
        <v>0</v>
      </c>
      <c r="M84" s="274"/>
      <c r="O84" s="381"/>
      <c r="P84" s="382"/>
      <c r="Q84" s="383"/>
    </row>
    <row r="85" spans="1:17" s="159" customFormat="1" x14ac:dyDescent="0.2">
      <c r="A85" s="370"/>
      <c r="B85" s="5"/>
      <c r="C85" s="371"/>
      <c r="D85" s="372" t="s">
        <v>21</v>
      </c>
      <c r="E85" s="253">
        <v>0</v>
      </c>
      <c r="F85" s="373">
        <f>C85*E85</f>
        <v>0</v>
      </c>
      <c r="G85" s="529"/>
      <c r="H85" s="375">
        <v>0</v>
      </c>
      <c r="I85" s="373">
        <f>G85*H85</f>
        <v>0</v>
      </c>
      <c r="J85" s="376"/>
      <c r="K85" s="530">
        <f>F85+I85+J85</f>
        <v>0</v>
      </c>
      <c r="M85" s="274"/>
      <c r="O85" s="381"/>
      <c r="P85" s="382"/>
      <c r="Q85" s="383"/>
    </row>
    <row r="86" spans="1:17" s="159" customFormat="1" x14ac:dyDescent="0.2">
      <c r="A86" s="370"/>
      <c r="B86" s="5"/>
      <c r="C86" s="371"/>
      <c r="D86" s="372" t="s">
        <v>21</v>
      </c>
      <c r="E86" s="253">
        <v>0</v>
      </c>
      <c r="F86" s="373">
        <f>C86*E86</f>
        <v>0</v>
      </c>
      <c r="G86" s="529"/>
      <c r="H86" s="375">
        <v>0</v>
      </c>
      <c r="I86" s="373">
        <f>G86*H86</f>
        <v>0</v>
      </c>
      <c r="J86" s="376"/>
      <c r="K86" s="530">
        <f>F86+I86+J86</f>
        <v>0</v>
      </c>
      <c r="M86" s="274"/>
      <c r="O86" s="381"/>
      <c r="P86" s="382"/>
      <c r="Q86" s="383"/>
    </row>
    <row r="87" spans="1:17" s="159" customFormat="1" ht="13.5" thickBot="1" x14ac:dyDescent="0.25">
      <c r="A87" s="387"/>
      <c r="B87" s="5"/>
      <c r="C87" s="388"/>
      <c r="D87" s="372"/>
      <c r="E87" s="253"/>
      <c r="F87" s="373"/>
      <c r="G87" s="529"/>
      <c r="H87" s="375"/>
      <c r="I87" s="373"/>
      <c r="J87" s="376"/>
      <c r="K87" s="535"/>
      <c r="M87" s="274"/>
      <c r="O87" s="381"/>
      <c r="P87" s="382"/>
      <c r="Q87" s="383"/>
    </row>
    <row r="88" spans="1:17" s="159" customFormat="1" ht="13.5" thickTop="1" x14ac:dyDescent="0.2">
      <c r="A88" s="387"/>
      <c r="B88" s="412"/>
      <c r="C88" s="388"/>
      <c r="D88" s="372"/>
      <c r="E88" s="253"/>
      <c r="F88" s="373"/>
      <c r="G88" s="529"/>
      <c r="H88" s="375"/>
      <c r="I88" s="373"/>
      <c r="J88" s="389" t="s">
        <v>30</v>
      </c>
      <c r="K88" s="532">
        <f>SUM(K82:K87)</f>
        <v>0</v>
      </c>
      <c r="M88" s="276"/>
      <c r="N88" s="157"/>
      <c r="O88" s="381"/>
      <c r="P88" s="382"/>
      <c r="Q88" s="383"/>
    </row>
    <row r="89" spans="1:17" s="159" customFormat="1" ht="13.5" thickBot="1" x14ac:dyDescent="0.25">
      <c r="A89" s="353" t="s">
        <v>0</v>
      </c>
      <c r="B89" s="354" t="s">
        <v>1</v>
      </c>
      <c r="C89" s="939" t="s">
        <v>656</v>
      </c>
      <c r="D89" s="939"/>
      <c r="E89" s="939"/>
      <c r="F89" s="939"/>
      <c r="G89" s="939" t="s">
        <v>34</v>
      </c>
      <c r="H89" s="939"/>
      <c r="I89" s="939"/>
      <c r="J89" s="355"/>
      <c r="K89" s="523"/>
      <c r="L89" s="391"/>
      <c r="M89" s="392"/>
      <c r="N89" s="393"/>
      <c r="O89" s="381"/>
      <c r="P89" s="382"/>
      <c r="Q89" s="383"/>
    </row>
    <row r="90" spans="1:17" s="159" customFormat="1" ht="16.5" thickBot="1" x14ac:dyDescent="0.3">
      <c r="A90" s="394"/>
      <c r="B90" s="395"/>
      <c r="C90" s="396" t="s">
        <v>19</v>
      </c>
      <c r="D90" s="397" t="s">
        <v>33</v>
      </c>
      <c r="E90" s="398" t="s">
        <v>35</v>
      </c>
      <c r="F90" s="399" t="s">
        <v>30</v>
      </c>
      <c r="G90" s="533" t="s">
        <v>14</v>
      </c>
      <c r="H90" s="398" t="s">
        <v>35</v>
      </c>
      <c r="I90" s="399" t="s">
        <v>30</v>
      </c>
      <c r="J90" s="364" t="s">
        <v>659</v>
      </c>
      <c r="K90" s="534" t="s">
        <v>38</v>
      </c>
      <c r="L90" s="402"/>
      <c r="M90" s="403"/>
      <c r="N90" s="404"/>
      <c r="O90" s="381"/>
      <c r="P90" s="382"/>
      <c r="Q90" s="383"/>
    </row>
    <row r="91" spans="1:17" s="159" customFormat="1" x14ac:dyDescent="0.2">
      <c r="A91" s="405"/>
      <c r="B91" s="406"/>
      <c r="C91" s="371"/>
      <c r="D91" s="372" t="s">
        <v>21</v>
      </c>
      <c r="E91" s="253">
        <v>0</v>
      </c>
      <c r="F91" s="373">
        <f>C91*E91</f>
        <v>0</v>
      </c>
      <c r="G91" s="529"/>
      <c r="H91" s="375">
        <v>0</v>
      </c>
      <c r="I91" s="373">
        <f>G91*H91</f>
        <v>0</v>
      </c>
      <c r="J91" s="376"/>
      <c r="K91" s="530">
        <f>F91+I91+J91</f>
        <v>0</v>
      </c>
      <c r="M91" s="274"/>
      <c r="O91" s="381"/>
      <c r="P91" s="382"/>
      <c r="Q91" s="383"/>
    </row>
    <row r="92" spans="1:17" s="159" customFormat="1" x14ac:dyDescent="0.2">
      <c r="A92" s="370"/>
      <c r="B92" s="5"/>
      <c r="C92" s="371"/>
      <c r="D92" s="372" t="s">
        <v>21</v>
      </c>
      <c r="E92" s="253">
        <v>0</v>
      </c>
      <c r="F92" s="373">
        <f>C92*E92</f>
        <v>0</v>
      </c>
      <c r="G92" s="529"/>
      <c r="H92" s="375">
        <v>0</v>
      </c>
      <c r="I92" s="373">
        <f>G92*H92</f>
        <v>0</v>
      </c>
      <c r="J92" s="376"/>
      <c r="K92" s="530">
        <f>F92+I92+J92</f>
        <v>0</v>
      </c>
      <c r="L92" s="536"/>
      <c r="M92" s="574"/>
      <c r="N92" s="537"/>
      <c r="O92" s="381"/>
      <c r="P92" s="382"/>
      <c r="Q92" s="383"/>
    </row>
    <row r="93" spans="1:17" s="159" customFormat="1" x14ac:dyDescent="0.2">
      <c r="A93" s="370"/>
      <c r="B93" s="5"/>
      <c r="C93" s="371"/>
      <c r="D93" s="372" t="s">
        <v>21</v>
      </c>
      <c r="E93" s="253">
        <v>0</v>
      </c>
      <c r="F93" s="373">
        <f>C93*E93</f>
        <v>0</v>
      </c>
      <c r="G93" s="529"/>
      <c r="H93" s="375">
        <v>0</v>
      </c>
      <c r="I93" s="373">
        <f>G93*H93</f>
        <v>0</v>
      </c>
      <c r="J93" s="376"/>
      <c r="K93" s="530">
        <f>F93+I93+J93</f>
        <v>0</v>
      </c>
      <c r="L93" s="538"/>
      <c r="M93" s="464"/>
      <c r="N93" s="539"/>
      <c r="O93" s="381"/>
      <c r="P93" s="382"/>
      <c r="Q93" s="383"/>
    </row>
    <row r="94" spans="1:17" s="159" customFormat="1" x14ac:dyDescent="0.2">
      <c r="A94" s="370"/>
      <c r="B94" s="5"/>
      <c r="C94" s="371"/>
      <c r="D94" s="372" t="s">
        <v>21</v>
      </c>
      <c r="E94" s="253">
        <v>0</v>
      </c>
      <c r="F94" s="373">
        <f>C94*E94</f>
        <v>0</v>
      </c>
      <c r="G94" s="529"/>
      <c r="H94" s="375">
        <v>0</v>
      </c>
      <c r="I94" s="373">
        <f>G94*H94</f>
        <v>0</v>
      </c>
      <c r="J94" s="376"/>
      <c r="K94" s="530">
        <f>F94+I94+J94</f>
        <v>0</v>
      </c>
      <c r="L94" s="667"/>
      <c r="M94" s="668"/>
      <c r="N94" s="670"/>
      <c r="O94" s="381"/>
      <c r="P94" s="382"/>
      <c r="Q94" s="383"/>
    </row>
    <row r="95" spans="1:17" s="159" customFormat="1" ht="13.5" thickBot="1" x14ac:dyDescent="0.25">
      <c r="A95" s="387"/>
      <c r="B95" s="412"/>
      <c r="C95" s="371"/>
      <c r="D95" s="372"/>
      <c r="E95" s="253"/>
      <c r="F95" s="373"/>
      <c r="G95" s="529"/>
      <c r="H95" s="375"/>
      <c r="I95" s="373"/>
      <c r="J95" s="376"/>
      <c r="K95" s="530"/>
      <c r="L95" s="667"/>
      <c r="M95" s="668"/>
      <c r="N95" s="670"/>
      <c r="O95" s="381"/>
      <c r="P95" s="382"/>
      <c r="Q95" s="383"/>
    </row>
    <row r="96" spans="1:17" s="159" customFormat="1" ht="14.25" thickTop="1" thickBot="1" x14ac:dyDescent="0.25">
      <c r="A96" s="470"/>
      <c r="B96" s="156"/>
      <c r="C96" s="471"/>
      <c r="D96" s="472"/>
      <c r="E96" s="473"/>
      <c r="F96" s="474"/>
      <c r="G96" s="634"/>
      <c r="H96" s="473"/>
      <c r="I96" s="474"/>
      <c r="J96" s="476" t="s">
        <v>30</v>
      </c>
      <c r="K96" s="635">
        <f>SUM(K91:K95)</f>
        <v>0</v>
      </c>
      <c r="L96" s="671"/>
      <c r="M96" s="672"/>
      <c r="N96" s="673"/>
      <c r="O96" s="460"/>
      <c r="P96" s="461"/>
      <c r="Q96" s="462"/>
    </row>
    <row r="97" spans="1:16" s="159" customFormat="1" ht="14.1" customHeight="1" x14ac:dyDescent="0.25">
      <c r="A97" s="478"/>
      <c r="B97" s="479"/>
      <c r="C97" s="480"/>
      <c r="D97" s="480"/>
      <c r="E97" s="481"/>
      <c r="F97" s="969" t="s">
        <v>658</v>
      </c>
      <c r="G97" s="992" t="s">
        <v>684</v>
      </c>
      <c r="H97" s="481"/>
      <c r="I97" s="962" t="s">
        <v>657</v>
      </c>
      <c r="J97" s="958" t="s">
        <v>685</v>
      </c>
      <c r="K97" s="956" t="s">
        <v>31</v>
      </c>
      <c r="M97" s="276"/>
      <c r="N97" s="157"/>
      <c r="O97" s="302"/>
      <c r="P97" s="302"/>
    </row>
    <row r="98" spans="1:16" s="159" customFormat="1" ht="15" x14ac:dyDescent="0.2">
      <c r="A98" s="482" t="s">
        <v>32</v>
      </c>
      <c r="B98" s="964" t="s">
        <v>673</v>
      </c>
      <c r="C98" s="483"/>
      <c r="D98" s="484"/>
      <c r="E98" s="484"/>
      <c r="F98" s="970"/>
      <c r="G98" s="993"/>
      <c r="H98" s="485"/>
      <c r="I98" s="963"/>
      <c r="J98" s="959"/>
      <c r="K98" s="957"/>
      <c r="M98" s="276"/>
      <c r="N98" s="157"/>
      <c r="O98" s="302"/>
      <c r="P98" s="302"/>
    </row>
    <row r="99" spans="1:16" s="159" customFormat="1" ht="15" x14ac:dyDescent="0.25">
      <c r="A99" s="486">
        <f>K99/E6</f>
        <v>0</v>
      </c>
      <c r="B99" s="964"/>
      <c r="C99" s="484"/>
      <c r="D99" s="484"/>
      <c r="E99" s="484"/>
      <c r="F99" s="952">
        <f>SUM(F91:F95,F82:F87,F75:F78,F66:F71,F55:F61,F46:F51,F38:F42,F27:F34,F11:F23)</f>
        <v>0</v>
      </c>
      <c r="G99" s="997">
        <f>SUM(G91:G95,G82:G87,G75:G78,G66:G71,G55:G61,G46:G51,G38:G42,G27:G34,G11:G23)</f>
        <v>0</v>
      </c>
      <c r="H99" s="485"/>
      <c r="I99" s="952">
        <f>SUM(I91:I95,I82:I87,I75:I78,I66:I71,I55:I61,I46:I51,I38:I42,I27:I34,I11:I23)</f>
        <v>0</v>
      </c>
      <c r="J99" s="952">
        <f>SUM(J91:J95,J82:J87,J75:J78,J66:J71,J55:J61,J46:J51,J38:J42,J27:J34,J11:J23)</f>
        <v>0</v>
      </c>
      <c r="K99" s="954">
        <f>K96+K88+K79+K72+K63+K52+K43+K35+K24</f>
        <v>0</v>
      </c>
      <c r="M99" s="276"/>
      <c r="N99" s="157"/>
      <c r="O99" s="302"/>
      <c r="P99" s="302"/>
    </row>
    <row r="100" spans="1:16" s="159" customFormat="1" ht="14.25" x14ac:dyDescent="0.2">
      <c r="A100" s="482"/>
      <c r="B100" s="550"/>
      <c r="C100" s="550"/>
      <c r="D100" s="550"/>
      <c r="E100" s="550"/>
      <c r="F100" s="952"/>
      <c r="G100" s="997"/>
      <c r="H100" s="550"/>
      <c r="I100" s="952"/>
      <c r="J100" s="952"/>
      <c r="K100" s="954"/>
      <c r="M100" s="276"/>
      <c r="N100" s="157"/>
      <c r="O100" s="302"/>
      <c r="P100" s="302"/>
    </row>
    <row r="101" spans="1:16" s="159" customFormat="1" ht="13.5" thickBot="1" x14ac:dyDescent="0.25">
      <c r="A101" s="489"/>
      <c r="B101" s="490"/>
      <c r="C101" s="490"/>
      <c r="D101" s="490"/>
      <c r="E101" s="490"/>
      <c r="F101" s="490"/>
      <c r="G101" s="490"/>
      <c r="H101" s="490"/>
      <c r="I101" s="490"/>
      <c r="J101" s="490"/>
      <c r="K101" s="491"/>
      <c r="M101" s="276"/>
      <c r="N101" s="157"/>
      <c r="O101" s="302"/>
      <c r="P101" s="302"/>
    </row>
    <row r="102" spans="1:16" s="159" customFormat="1" x14ac:dyDescent="0.2">
      <c r="C102" s="655"/>
      <c r="D102" s="655"/>
      <c r="J102" s="274"/>
      <c r="M102" s="276"/>
      <c r="N102" s="157"/>
      <c r="O102" s="302"/>
      <c r="P102" s="302"/>
    </row>
    <row r="103" spans="1:16" s="159" customFormat="1" x14ac:dyDescent="0.2">
      <c r="C103" s="655"/>
      <c r="D103" s="655"/>
      <c r="J103" s="274"/>
      <c r="M103" s="276"/>
      <c r="N103" s="157"/>
      <c r="O103" s="302"/>
      <c r="P103" s="302"/>
    </row>
    <row r="104" spans="1:16" s="159" customFormat="1" x14ac:dyDescent="0.2">
      <c r="C104" s="655"/>
      <c r="D104" s="655"/>
      <c r="J104" s="274"/>
      <c r="M104" s="276"/>
      <c r="N104" s="157"/>
      <c r="O104" s="302"/>
      <c r="P104" s="302"/>
    </row>
    <row r="105" spans="1:16" s="159" customFormat="1" x14ac:dyDescent="0.2">
      <c r="C105" s="655"/>
      <c r="D105" s="655"/>
      <c r="J105" s="274"/>
      <c r="M105" s="276"/>
      <c r="N105" s="157"/>
      <c r="O105" s="302"/>
      <c r="P105" s="302"/>
    </row>
    <row r="106" spans="1:16" s="159" customFormat="1" x14ac:dyDescent="0.2">
      <c r="C106" s="655"/>
      <c r="D106" s="655"/>
      <c r="J106" s="274"/>
      <c r="M106" s="276"/>
      <c r="N106" s="157"/>
      <c r="O106" s="302"/>
      <c r="P106" s="302"/>
    </row>
    <row r="107" spans="1:16" s="159" customFormat="1" x14ac:dyDescent="0.2">
      <c r="C107" s="655"/>
      <c r="D107" s="655"/>
      <c r="J107" s="274"/>
      <c r="M107" s="276"/>
      <c r="N107" s="157"/>
      <c r="O107" s="302"/>
      <c r="P107" s="302"/>
    </row>
    <row r="108" spans="1:16" s="159" customFormat="1" x14ac:dyDescent="0.2">
      <c r="C108" s="655"/>
      <c r="D108" s="655"/>
      <c r="J108" s="274"/>
      <c r="M108" s="276"/>
      <c r="N108" s="157"/>
      <c r="O108" s="302"/>
      <c r="P108" s="302"/>
    </row>
    <row r="109" spans="1:16" s="159" customFormat="1" x14ac:dyDescent="0.2">
      <c r="C109" s="655"/>
      <c r="D109" s="655"/>
      <c r="J109" s="274"/>
      <c r="M109" s="276"/>
      <c r="N109" s="157"/>
      <c r="O109" s="302"/>
      <c r="P109" s="302"/>
    </row>
    <row r="110" spans="1:16" s="159" customFormat="1" x14ac:dyDescent="0.2">
      <c r="C110" s="655"/>
      <c r="D110" s="655"/>
      <c r="J110" s="274"/>
      <c r="M110" s="276"/>
      <c r="N110" s="157"/>
      <c r="O110" s="302"/>
      <c r="P110" s="302"/>
    </row>
    <row r="111" spans="1:16" s="159" customFormat="1" x14ac:dyDescent="0.2">
      <c r="C111" s="655"/>
      <c r="D111" s="655"/>
      <c r="J111" s="274"/>
      <c r="M111" s="276"/>
      <c r="N111" s="157"/>
      <c r="O111" s="302"/>
      <c r="P111" s="302"/>
    </row>
    <row r="112" spans="1:16" s="159" customFormat="1" x14ac:dyDescent="0.2">
      <c r="C112" s="655"/>
      <c r="D112" s="655"/>
      <c r="J112" s="274"/>
      <c r="M112" s="276"/>
      <c r="N112" s="157"/>
      <c r="O112" s="302"/>
      <c r="P112" s="302"/>
    </row>
    <row r="113" spans="3:16" s="159" customFormat="1" x14ac:dyDescent="0.2">
      <c r="C113" s="655"/>
      <c r="D113" s="655"/>
      <c r="J113" s="274"/>
      <c r="M113" s="276"/>
      <c r="N113" s="157"/>
      <c r="O113" s="302"/>
      <c r="P113" s="302"/>
    </row>
    <row r="114" spans="3:16" s="159" customFormat="1" x14ac:dyDescent="0.2">
      <c r="C114" s="655"/>
      <c r="D114" s="655"/>
      <c r="J114" s="274"/>
      <c r="M114" s="276"/>
      <c r="N114" s="157"/>
      <c r="O114" s="302"/>
      <c r="P114" s="302"/>
    </row>
    <row r="115" spans="3:16" s="159" customFormat="1" x14ac:dyDescent="0.2">
      <c r="C115" s="655"/>
      <c r="D115" s="655"/>
      <c r="J115" s="274"/>
      <c r="M115" s="276"/>
      <c r="N115" s="157"/>
      <c r="O115" s="302"/>
      <c r="P115" s="302"/>
    </row>
    <row r="116" spans="3:16" s="159" customFormat="1" x14ac:dyDescent="0.2">
      <c r="C116" s="655"/>
      <c r="D116" s="655"/>
      <c r="J116" s="274"/>
      <c r="M116" s="276"/>
      <c r="N116" s="157"/>
      <c r="O116" s="302"/>
      <c r="P116" s="302"/>
    </row>
    <row r="117" spans="3:16" s="159" customFormat="1" x14ac:dyDescent="0.2">
      <c r="C117" s="655"/>
      <c r="D117" s="655"/>
      <c r="J117" s="274"/>
      <c r="M117" s="276"/>
      <c r="N117" s="157"/>
      <c r="O117" s="302"/>
      <c r="P117" s="302"/>
    </row>
    <row r="118" spans="3:16" s="159" customFormat="1" x14ac:dyDescent="0.2">
      <c r="C118" s="655"/>
      <c r="D118" s="655"/>
      <c r="J118" s="274"/>
      <c r="M118" s="276"/>
      <c r="N118" s="157"/>
      <c r="O118" s="302"/>
      <c r="P118" s="302"/>
    </row>
    <row r="119" spans="3:16" s="159" customFormat="1" x14ac:dyDescent="0.2">
      <c r="C119" s="655"/>
      <c r="D119" s="655"/>
      <c r="J119" s="274"/>
      <c r="M119" s="276"/>
      <c r="N119" s="157"/>
      <c r="O119" s="302"/>
      <c r="P119" s="302"/>
    </row>
    <row r="120" spans="3:16" s="159" customFormat="1" x14ac:dyDescent="0.2">
      <c r="C120" s="655"/>
      <c r="D120" s="655"/>
      <c r="J120" s="274"/>
      <c r="M120" s="276"/>
      <c r="N120" s="157"/>
      <c r="O120" s="302"/>
      <c r="P120" s="302"/>
    </row>
    <row r="121" spans="3:16" s="159" customFormat="1" x14ac:dyDescent="0.2">
      <c r="C121" s="655"/>
      <c r="D121" s="655"/>
      <c r="J121" s="274"/>
      <c r="M121" s="276"/>
      <c r="N121" s="157"/>
      <c r="O121" s="302"/>
      <c r="P121" s="302"/>
    </row>
    <row r="122" spans="3:16" s="159" customFormat="1" x14ac:dyDescent="0.2">
      <c r="C122" s="655"/>
      <c r="D122" s="655"/>
      <c r="J122" s="274"/>
      <c r="M122" s="276"/>
      <c r="N122" s="157"/>
      <c r="O122" s="302"/>
      <c r="P122" s="302"/>
    </row>
    <row r="123" spans="3:16" s="159" customFormat="1" x14ac:dyDescent="0.2">
      <c r="C123" s="655"/>
      <c r="D123" s="655"/>
      <c r="J123" s="274"/>
      <c r="M123" s="276"/>
      <c r="N123" s="157"/>
      <c r="O123" s="302"/>
      <c r="P123" s="302"/>
    </row>
    <row r="124" spans="3:16" s="159" customFormat="1" x14ac:dyDescent="0.2">
      <c r="C124" s="655"/>
      <c r="D124" s="655"/>
      <c r="J124" s="274"/>
      <c r="M124" s="276"/>
      <c r="N124" s="157"/>
      <c r="O124" s="302"/>
      <c r="P124" s="302"/>
    </row>
    <row r="125" spans="3:16" s="159" customFormat="1" x14ac:dyDescent="0.2">
      <c r="C125" s="655"/>
      <c r="D125" s="655"/>
      <c r="J125" s="274"/>
      <c r="M125" s="276"/>
      <c r="N125" s="157"/>
      <c r="O125" s="302"/>
      <c r="P125" s="302"/>
    </row>
    <row r="126" spans="3:16" s="159" customFormat="1" x14ac:dyDescent="0.2">
      <c r="C126" s="655"/>
      <c r="D126" s="655"/>
      <c r="J126" s="274"/>
      <c r="M126" s="276"/>
      <c r="N126" s="157"/>
      <c r="O126" s="302"/>
      <c r="P126" s="302"/>
    </row>
    <row r="127" spans="3:16" s="159" customFormat="1" x14ac:dyDescent="0.2">
      <c r="C127" s="655"/>
      <c r="D127" s="655"/>
      <c r="J127" s="274"/>
      <c r="M127" s="276"/>
      <c r="N127" s="157"/>
      <c r="O127" s="302"/>
      <c r="P127" s="302"/>
    </row>
    <row r="128" spans="3:16" s="159" customFormat="1" x14ac:dyDescent="0.2">
      <c r="C128" s="655"/>
      <c r="D128" s="655"/>
      <c r="J128" s="274"/>
      <c r="M128" s="276"/>
      <c r="N128" s="157"/>
      <c r="O128" s="302"/>
      <c r="P128" s="302"/>
    </row>
    <row r="129" spans="3:16" s="159" customFormat="1" x14ac:dyDescent="0.2">
      <c r="C129" s="655"/>
      <c r="D129" s="655"/>
      <c r="J129" s="274"/>
      <c r="M129" s="276"/>
      <c r="N129" s="157"/>
      <c r="O129" s="302"/>
      <c r="P129" s="302"/>
    </row>
    <row r="130" spans="3:16" s="159" customFormat="1" x14ac:dyDescent="0.2">
      <c r="C130" s="655"/>
      <c r="D130" s="655"/>
      <c r="J130" s="274"/>
      <c r="M130" s="276"/>
      <c r="N130" s="157"/>
      <c r="O130" s="302"/>
      <c r="P130" s="302"/>
    </row>
    <row r="131" spans="3:16" s="159" customFormat="1" x14ac:dyDescent="0.2">
      <c r="C131" s="655"/>
      <c r="D131" s="655"/>
      <c r="J131" s="274"/>
      <c r="M131" s="276"/>
      <c r="N131" s="157"/>
      <c r="O131" s="302"/>
      <c r="P131" s="302"/>
    </row>
    <row r="132" spans="3:16" s="159" customFormat="1" x14ac:dyDescent="0.2">
      <c r="C132" s="655"/>
      <c r="D132" s="655"/>
      <c r="J132" s="274"/>
      <c r="M132" s="276"/>
      <c r="N132" s="157"/>
      <c r="O132" s="302"/>
      <c r="P132" s="302"/>
    </row>
    <row r="133" spans="3:16" s="159" customFormat="1" x14ac:dyDescent="0.2">
      <c r="C133" s="655"/>
      <c r="D133" s="655"/>
      <c r="J133" s="274"/>
      <c r="M133" s="276"/>
      <c r="N133" s="157"/>
      <c r="O133" s="302"/>
      <c r="P133" s="302"/>
    </row>
    <row r="134" spans="3:16" s="159" customFormat="1" x14ac:dyDescent="0.2">
      <c r="C134" s="655"/>
      <c r="D134" s="655"/>
      <c r="J134" s="274"/>
      <c r="M134" s="276"/>
      <c r="N134" s="157"/>
      <c r="O134" s="302"/>
      <c r="P134" s="302"/>
    </row>
    <row r="135" spans="3:16" s="159" customFormat="1" x14ac:dyDescent="0.2">
      <c r="C135" s="655"/>
      <c r="D135" s="655"/>
      <c r="J135" s="274"/>
      <c r="M135" s="276"/>
      <c r="N135" s="157"/>
      <c r="O135" s="302"/>
      <c r="P135" s="302"/>
    </row>
    <row r="136" spans="3:16" s="159" customFormat="1" x14ac:dyDescent="0.2">
      <c r="C136" s="655"/>
      <c r="D136" s="655"/>
      <c r="J136" s="274"/>
      <c r="M136" s="276"/>
      <c r="N136" s="157"/>
      <c r="O136" s="302"/>
      <c r="P136" s="302"/>
    </row>
    <row r="137" spans="3:16" s="159" customFormat="1" x14ac:dyDescent="0.2">
      <c r="C137" s="655"/>
      <c r="D137" s="655"/>
      <c r="J137" s="274"/>
      <c r="M137" s="276"/>
      <c r="N137" s="157"/>
      <c r="O137" s="302"/>
      <c r="P137" s="302"/>
    </row>
    <row r="138" spans="3:16" s="159" customFormat="1" x14ac:dyDescent="0.2">
      <c r="C138" s="655"/>
      <c r="D138" s="655"/>
      <c r="J138" s="274"/>
      <c r="M138" s="276"/>
      <c r="N138" s="157"/>
      <c r="O138" s="302"/>
      <c r="P138" s="302"/>
    </row>
    <row r="139" spans="3:16" s="159" customFormat="1" x14ac:dyDescent="0.2">
      <c r="C139" s="655"/>
      <c r="D139" s="655"/>
      <c r="J139" s="274"/>
      <c r="M139" s="276"/>
      <c r="N139" s="157"/>
      <c r="O139" s="302"/>
      <c r="P139" s="302"/>
    </row>
    <row r="140" spans="3:16" s="159" customFormat="1" x14ac:dyDescent="0.2">
      <c r="C140" s="655"/>
      <c r="D140" s="655"/>
      <c r="J140" s="274"/>
      <c r="M140" s="276"/>
      <c r="N140" s="157"/>
      <c r="O140" s="302"/>
      <c r="P140" s="302"/>
    </row>
    <row r="141" spans="3:16" s="159" customFormat="1" x14ac:dyDescent="0.2">
      <c r="C141" s="655"/>
      <c r="D141" s="655"/>
      <c r="J141" s="274"/>
      <c r="M141" s="276"/>
      <c r="N141" s="157"/>
      <c r="O141" s="302"/>
      <c r="P141" s="302"/>
    </row>
    <row r="142" spans="3:16" s="159" customFormat="1" x14ac:dyDescent="0.2">
      <c r="C142" s="655"/>
      <c r="D142" s="655"/>
      <c r="J142" s="274"/>
      <c r="M142" s="276"/>
      <c r="N142" s="157"/>
      <c r="O142" s="302"/>
      <c r="P142" s="302"/>
    </row>
    <row r="143" spans="3:16" s="159" customFormat="1" x14ac:dyDescent="0.2">
      <c r="C143" s="655"/>
      <c r="D143" s="655"/>
      <c r="J143" s="274"/>
      <c r="M143" s="276"/>
      <c r="N143" s="157"/>
      <c r="O143" s="302"/>
      <c r="P143" s="302"/>
    </row>
    <row r="144" spans="3:16" s="159" customFormat="1" x14ac:dyDescent="0.2">
      <c r="C144" s="655"/>
      <c r="D144" s="655"/>
      <c r="J144" s="274"/>
      <c r="M144" s="276"/>
      <c r="N144" s="157"/>
      <c r="O144" s="302"/>
      <c r="P144" s="302"/>
    </row>
    <row r="145" spans="3:16" s="159" customFormat="1" x14ac:dyDescent="0.2">
      <c r="C145" s="655"/>
      <c r="D145" s="655"/>
      <c r="J145" s="274"/>
      <c r="M145" s="276"/>
      <c r="N145" s="157"/>
      <c r="O145" s="302"/>
      <c r="P145" s="302"/>
    </row>
    <row r="146" spans="3:16" s="159" customFormat="1" x14ac:dyDescent="0.2">
      <c r="C146" s="655"/>
      <c r="D146" s="655"/>
      <c r="J146" s="274"/>
      <c r="M146" s="276"/>
      <c r="N146" s="157"/>
      <c r="O146" s="302"/>
      <c r="P146" s="302"/>
    </row>
    <row r="147" spans="3:16" s="159" customFormat="1" x14ac:dyDescent="0.2">
      <c r="C147" s="655"/>
      <c r="D147" s="655"/>
      <c r="J147" s="274"/>
      <c r="M147" s="276"/>
      <c r="N147" s="157"/>
      <c r="O147" s="302"/>
      <c r="P147" s="302"/>
    </row>
    <row r="148" spans="3:16" s="159" customFormat="1" x14ac:dyDescent="0.2">
      <c r="C148" s="655"/>
      <c r="D148" s="655"/>
      <c r="J148" s="274"/>
      <c r="M148" s="276"/>
      <c r="N148" s="157"/>
      <c r="O148" s="302"/>
      <c r="P148" s="302"/>
    </row>
    <row r="149" spans="3:16" s="159" customFormat="1" x14ac:dyDescent="0.2">
      <c r="C149" s="655"/>
      <c r="D149" s="655"/>
      <c r="J149" s="274"/>
      <c r="M149" s="276"/>
      <c r="N149" s="157"/>
      <c r="O149" s="302"/>
      <c r="P149" s="302"/>
    </row>
    <row r="150" spans="3:16" s="159" customFormat="1" x14ac:dyDescent="0.2">
      <c r="C150" s="655"/>
      <c r="D150" s="655"/>
      <c r="J150" s="274"/>
      <c r="M150" s="276"/>
      <c r="N150" s="157"/>
      <c r="O150" s="302"/>
      <c r="P150" s="302"/>
    </row>
    <row r="151" spans="3:16" s="159" customFormat="1" x14ac:dyDescent="0.2">
      <c r="C151" s="655"/>
      <c r="D151" s="655"/>
      <c r="J151" s="274"/>
      <c r="M151" s="276"/>
      <c r="N151" s="157"/>
      <c r="O151" s="302"/>
      <c r="P151" s="302"/>
    </row>
    <row r="152" spans="3:16" s="159" customFormat="1" x14ac:dyDescent="0.2">
      <c r="C152" s="655"/>
      <c r="D152" s="655"/>
      <c r="J152" s="274"/>
      <c r="M152" s="276"/>
      <c r="N152" s="157"/>
      <c r="O152" s="302"/>
      <c r="P152" s="302"/>
    </row>
    <row r="153" spans="3:16" s="159" customFormat="1" x14ac:dyDescent="0.2">
      <c r="C153" s="655"/>
      <c r="D153" s="655"/>
      <c r="J153" s="274"/>
      <c r="M153" s="276"/>
      <c r="N153" s="157"/>
      <c r="O153" s="302"/>
      <c r="P153" s="302"/>
    </row>
    <row r="154" spans="3:16" s="159" customFormat="1" x14ac:dyDescent="0.2">
      <c r="C154" s="655"/>
      <c r="D154" s="655"/>
      <c r="J154" s="274"/>
      <c r="M154" s="276"/>
      <c r="N154" s="157"/>
      <c r="O154" s="302"/>
      <c r="P154" s="302"/>
    </row>
    <row r="155" spans="3:16" s="159" customFormat="1" x14ac:dyDescent="0.2">
      <c r="C155" s="655"/>
      <c r="D155" s="655"/>
      <c r="J155" s="274"/>
      <c r="M155" s="276"/>
      <c r="N155" s="157"/>
      <c r="O155" s="302"/>
      <c r="P155" s="302"/>
    </row>
    <row r="156" spans="3:16" s="159" customFormat="1" x14ac:dyDescent="0.2">
      <c r="C156" s="655"/>
      <c r="D156" s="655"/>
      <c r="J156" s="274"/>
      <c r="M156" s="276"/>
      <c r="N156" s="157"/>
      <c r="O156" s="302"/>
      <c r="P156" s="302"/>
    </row>
    <row r="157" spans="3:16" s="159" customFormat="1" x14ac:dyDescent="0.2">
      <c r="C157" s="655"/>
      <c r="D157" s="655"/>
      <c r="J157" s="274"/>
      <c r="M157" s="276"/>
      <c r="N157" s="157"/>
      <c r="O157" s="302"/>
      <c r="P157" s="302"/>
    </row>
    <row r="158" spans="3:16" s="159" customFormat="1" x14ac:dyDescent="0.2">
      <c r="C158" s="655"/>
      <c r="D158" s="655"/>
      <c r="J158" s="274"/>
      <c r="M158" s="276"/>
      <c r="N158" s="157"/>
      <c r="O158" s="302"/>
      <c r="P158" s="302"/>
    </row>
    <row r="159" spans="3:16" s="159" customFormat="1" x14ac:dyDescent="0.2">
      <c r="C159" s="655"/>
      <c r="D159" s="655"/>
      <c r="J159" s="274"/>
      <c r="M159" s="276"/>
      <c r="N159" s="157"/>
      <c r="O159" s="302"/>
      <c r="P159" s="302"/>
    </row>
    <row r="160" spans="3:16" s="159" customFormat="1" x14ac:dyDescent="0.2">
      <c r="C160" s="655"/>
      <c r="D160" s="655"/>
      <c r="J160" s="274"/>
      <c r="M160" s="276"/>
      <c r="N160" s="157"/>
      <c r="O160" s="302"/>
      <c r="P160" s="302"/>
    </row>
    <row r="161" spans="3:16" s="159" customFormat="1" x14ac:dyDescent="0.2">
      <c r="C161" s="655"/>
      <c r="D161" s="655"/>
      <c r="J161" s="274"/>
      <c r="M161" s="276"/>
      <c r="N161" s="157"/>
      <c r="O161" s="302"/>
      <c r="P161" s="302"/>
    </row>
    <row r="162" spans="3:16" s="159" customFormat="1" x14ac:dyDescent="0.2">
      <c r="C162" s="655"/>
      <c r="D162" s="655"/>
      <c r="J162" s="274"/>
      <c r="M162" s="276"/>
      <c r="N162" s="157"/>
      <c r="O162" s="302"/>
      <c r="P162" s="302"/>
    </row>
    <row r="163" spans="3:16" s="159" customFormat="1" x14ac:dyDescent="0.2">
      <c r="C163" s="655"/>
      <c r="D163" s="655"/>
      <c r="J163" s="274"/>
      <c r="M163" s="276"/>
      <c r="N163" s="157"/>
      <c r="O163" s="302"/>
      <c r="P163" s="302"/>
    </row>
    <row r="164" spans="3:16" s="159" customFormat="1" x14ac:dyDescent="0.2">
      <c r="C164" s="655"/>
      <c r="D164" s="655"/>
      <c r="J164" s="274"/>
      <c r="M164" s="276"/>
      <c r="N164" s="157"/>
      <c r="O164" s="302"/>
      <c r="P164" s="302"/>
    </row>
    <row r="165" spans="3:16" s="159" customFormat="1" x14ac:dyDescent="0.2">
      <c r="C165" s="655"/>
      <c r="D165" s="655"/>
      <c r="J165" s="274"/>
      <c r="M165" s="276"/>
      <c r="N165" s="157"/>
      <c r="O165" s="302"/>
      <c r="P165" s="302"/>
    </row>
    <row r="166" spans="3:16" s="159" customFormat="1" x14ac:dyDescent="0.2">
      <c r="C166" s="655"/>
      <c r="D166" s="655"/>
      <c r="J166" s="274"/>
      <c r="M166" s="276"/>
      <c r="N166" s="157"/>
      <c r="O166" s="302"/>
      <c r="P166" s="302"/>
    </row>
    <row r="167" spans="3:16" s="159" customFormat="1" x14ac:dyDescent="0.2">
      <c r="C167" s="655"/>
      <c r="D167" s="655"/>
      <c r="J167" s="274"/>
      <c r="M167" s="276"/>
      <c r="N167" s="157"/>
      <c r="O167" s="302"/>
      <c r="P167" s="302"/>
    </row>
    <row r="168" spans="3:16" s="159" customFormat="1" x14ac:dyDescent="0.2">
      <c r="C168" s="655"/>
      <c r="D168" s="655"/>
      <c r="J168" s="274"/>
      <c r="M168" s="276"/>
      <c r="N168" s="157"/>
      <c r="O168" s="302"/>
      <c r="P168" s="302"/>
    </row>
    <row r="169" spans="3:16" s="159" customFormat="1" x14ac:dyDescent="0.2">
      <c r="C169" s="655"/>
      <c r="D169" s="655"/>
      <c r="J169" s="274"/>
      <c r="M169" s="276"/>
      <c r="N169" s="157"/>
      <c r="O169" s="302"/>
      <c r="P169" s="302"/>
    </row>
    <row r="170" spans="3:16" s="159" customFormat="1" x14ac:dyDescent="0.2">
      <c r="C170" s="655"/>
      <c r="D170" s="655"/>
      <c r="J170" s="274"/>
      <c r="M170" s="276"/>
      <c r="N170" s="157"/>
      <c r="O170" s="302"/>
      <c r="P170" s="302"/>
    </row>
    <row r="171" spans="3:16" s="159" customFormat="1" x14ac:dyDescent="0.2">
      <c r="C171" s="655"/>
      <c r="D171" s="655"/>
      <c r="J171" s="274"/>
      <c r="M171" s="276"/>
      <c r="N171" s="157"/>
      <c r="O171" s="302"/>
      <c r="P171" s="302"/>
    </row>
    <row r="172" spans="3:16" s="159" customFormat="1" x14ac:dyDescent="0.2">
      <c r="C172" s="655"/>
      <c r="D172" s="655"/>
      <c r="J172" s="274"/>
      <c r="M172" s="276"/>
      <c r="N172" s="157"/>
      <c r="O172" s="302"/>
      <c r="P172" s="302"/>
    </row>
    <row r="173" spans="3:16" s="159" customFormat="1" x14ac:dyDescent="0.2">
      <c r="C173" s="655"/>
      <c r="D173" s="655"/>
      <c r="J173" s="274"/>
      <c r="M173" s="276"/>
      <c r="N173" s="157"/>
      <c r="O173" s="302"/>
      <c r="P173" s="302"/>
    </row>
    <row r="174" spans="3:16" s="159" customFormat="1" x14ac:dyDescent="0.2">
      <c r="C174" s="655"/>
      <c r="D174" s="655"/>
      <c r="J174" s="274"/>
      <c r="M174" s="276"/>
      <c r="N174" s="157"/>
      <c r="O174" s="302"/>
      <c r="P174" s="302"/>
    </row>
    <row r="175" spans="3:16" s="159" customFormat="1" x14ac:dyDescent="0.2">
      <c r="C175" s="655"/>
      <c r="D175" s="655"/>
      <c r="J175" s="274"/>
      <c r="M175" s="276"/>
      <c r="N175" s="157"/>
      <c r="O175" s="302"/>
      <c r="P175" s="302"/>
    </row>
    <row r="176" spans="3:16" s="159" customFormat="1" x14ac:dyDescent="0.2">
      <c r="C176" s="655"/>
      <c r="D176" s="655"/>
      <c r="J176" s="274"/>
      <c r="M176" s="276"/>
      <c r="N176" s="157"/>
      <c r="O176" s="302"/>
      <c r="P176" s="302"/>
    </row>
    <row r="177" spans="3:16" s="159" customFormat="1" x14ac:dyDescent="0.2">
      <c r="C177" s="655"/>
      <c r="D177" s="655"/>
      <c r="J177" s="274"/>
      <c r="M177" s="276"/>
      <c r="N177" s="157"/>
      <c r="O177" s="302"/>
      <c r="P177" s="302"/>
    </row>
    <row r="178" spans="3:16" s="159" customFormat="1" x14ac:dyDescent="0.2">
      <c r="C178" s="655"/>
      <c r="D178" s="655"/>
      <c r="J178" s="274"/>
      <c r="M178" s="276"/>
      <c r="N178" s="157"/>
      <c r="O178" s="302"/>
      <c r="P178" s="302"/>
    </row>
    <row r="179" spans="3:16" s="159" customFormat="1" x14ac:dyDescent="0.2">
      <c r="C179" s="655"/>
      <c r="D179" s="655"/>
      <c r="J179" s="274"/>
      <c r="M179" s="276"/>
      <c r="N179" s="157"/>
      <c r="O179" s="302"/>
      <c r="P179" s="302"/>
    </row>
    <row r="180" spans="3:16" s="159" customFormat="1" x14ac:dyDescent="0.2">
      <c r="C180" s="655"/>
      <c r="D180" s="655"/>
      <c r="J180" s="274"/>
      <c r="M180" s="276"/>
      <c r="N180" s="157"/>
      <c r="O180" s="302"/>
      <c r="P180" s="302"/>
    </row>
    <row r="181" spans="3:16" s="159" customFormat="1" x14ac:dyDescent="0.2">
      <c r="C181" s="655"/>
      <c r="D181" s="655"/>
      <c r="J181" s="274"/>
      <c r="M181" s="276"/>
      <c r="N181" s="157"/>
      <c r="O181" s="302"/>
      <c r="P181" s="302"/>
    </row>
    <row r="182" spans="3:16" s="159" customFormat="1" x14ac:dyDescent="0.2">
      <c r="C182" s="655"/>
      <c r="D182" s="655"/>
      <c r="J182" s="274"/>
      <c r="M182" s="276"/>
      <c r="N182" s="157"/>
      <c r="O182" s="302"/>
      <c r="P182" s="302"/>
    </row>
    <row r="183" spans="3:16" s="159" customFormat="1" x14ac:dyDescent="0.2">
      <c r="C183" s="655"/>
      <c r="D183" s="655"/>
      <c r="J183" s="274"/>
      <c r="M183" s="276"/>
      <c r="N183" s="157"/>
      <c r="O183" s="302"/>
      <c r="P183" s="302"/>
    </row>
    <row r="184" spans="3:16" s="159" customFormat="1" x14ac:dyDescent="0.2">
      <c r="C184" s="655"/>
      <c r="D184" s="655"/>
      <c r="J184" s="274"/>
      <c r="M184" s="276"/>
      <c r="N184" s="157"/>
      <c r="O184" s="302"/>
      <c r="P184" s="302"/>
    </row>
    <row r="185" spans="3:16" s="159" customFormat="1" x14ac:dyDescent="0.2">
      <c r="C185" s="655"/>
      <c r="D185" s="655"/>
      <c r="J185" s="274"/>
      <c r="M185" s="276"/>
      <c r="N185" s="157"/>
      <c r="O185" s="302"/>
      <c r="P185" s="302"/>
    </row>
    <row r="186" spans="3:16" s="159" customFormat="1" x14ac:dyDescent="0.2">
      <c r="C186" s="655"/>
      <c r="D186" s="655"/>
      <c r="J186" s="274"/>
      <c r="M186" s="276"/>
      <c r="N186" s="157"/>
      <c r="O186" s="302"/>
      <c r="P186" s="302"/>
    </row>
    <row r="187" spans="3:16" s="159" customFormat="1" x14ac:dyDescent="0.2">
      <c r="C187" s="655"/>
      <c r="D187" s="655"/>
      <c r="J187" s="274"/>
      <c r="M187" s="276"/>
      <c r="N187" s="157"/>
      <c r="O187" s="302"/>
      <c r="P187" s="302"/>
    </row>
    <row r="188" spans="3:16" s="159" customFormat="1" x14ac:dyDescent="0.2">
      <c r="C188" s="655"/>
      <c r="D188" s="655"/>
      <c r="J188" s="274"/>
      <c r="M188" s="276"/>
      <c r="N188" s="157"/>
      <c r="O188" s="302"/>
      <c r="P188" s="302"/>
    </row>
    <row r="189" spans="3:16" s="159" customFormat="1" x14ac:dyDescent="0.2">
      <c r="C189" s="655"/>
      <c r="D189" s="655"/>
      <c r="J189" s="274"/>
      <c r="M189" s="276"/>
      <c r="N189" s="157"/>
      <c r="O189" s="302"/>
      <c r="P189" s="302"/>
    </row>
    <row r="190" spans="3:16" s="159" customFormat="1" x14ac:dyDescent="0.2">
      <c r="C190" s="655"/>
      <c r="D190" s="655"/>
      <c r="J190" s="274"/>
      <c r="M190" s="276"/>
      <c r="N190" s="157"/>
      <c r="O190" s="302"/>
      <c r="P190" s="302"/>
    </row>
    <row r="191" spans="3:16" s="159" customFormat="1" x14ac:dyDescent="0.2">
      <c r="C191" s="655"/>
      <c r="D191" s="655"/>
      <c r="J191" s="274"/>
      <c r="M191" s="276"/>
      <c r="N191" s="157"/>
      <c r="O191" s="302"/>
      <c r="P191" s="302"/>
    </row>
    <row r="192" spans="3:16" s="159" customFormat="1" x14ac:dyDescent="0.2">
      <c r="C192" s="655"/>
      <c r="D192" s="655"/>
      <c r="J192" s="274"/>
      <c r="M192" s="276"/>
      <c r="N192" s="157"/>
      <c r="O192" s="302"/>
      <c r="P192" s="302"/>
    </row>
    <row r="193" spans="3:16" s="159" customFormat="1" x14ac:dyDescent="0.2">
      <c r="C193" s="655"/>
      <c r="D193" s="655"/>
      <c r="J193" s="274"/>
      <c r="M193" s="276"/>
      <c r="N193" s="157"/>
      <c r="O193" s="302"/>
      <c r="P193" s="302"/>
    </row>
    <row r="194" spans="3:16" s="159" customFormat="1" x14ac:dyDescent="0.2">
      <c r="C194" s="655"/>
      <c r="D194" s="655"/>
      <c r="J194" s="274"/>
      <c r="M194" s="276"/>
      <c r="N194" s="157"/>
      <c r="O194" s="302"/>
      <c r="P194" s="302"/>
    </row>
    <row r="195" spans="3:16" s="159" customFormat="1" x14ac:dyDescent="0.2">
      <c r="C195" s="655"/>
      <c r="D195" s="655"/>
      <c r="J195" s="274"/>
      <c r="M195" s="276"/>
      <c r="N195" s="157"/>
      <c r="O195" s="302"/>
      <c r="P195" s="302"/>
    </row>
    <row r="196" spans="3:16" s="159" customFormat="1" x14ac:dyDescent="0.2">
      <c r="C196" s="655"/>
      <c r="D196" s="655"/>
      <c r="J196" s="274"/>
      <c r="M196" s="276"/>
      <c r="N196" s="157"/>
      <c r="O196" s="302"/>
      <c r="P196" s="302"/>
    </row>
    <row r="197" spans="3:16" s="159" customFormat="1" x14ac:dyDescent="0.2">
      <c r="C197" s="655"/>
      <c r="D197" s="655"/>
      <c r="J197" s="274"/>
      <c r="M197" s="276"/>
      <c r="N197" s="157"/>
      <c r="O197" s="302"/>
      <c r="P197" s="302"/>
    </row>
    <row r="198" spans="3:16" s="159" customFormat="1" x14ac:dyDescent="0.2">
      <c r="C198" s="655"/>
      <c r="D198" s="655"/>
      <c r="J198" s="274"/>
      <c r="M198" s="276"/>
      <c r="N198" s="157"/>
      <c r="O198" s="302"/>
      <c r="P198" s="302"/>
    </row>
    <row r="199" spans="3:16" s="159" customFormat="1" x14ac:dyDescent="0.2">
      <c r="C199" s="655"/>
      <c r="D199" s="655"/>
      <c r="J199" s="274"/>
      <c r="M199" s="276"/>
      <c r="N199" s="157"/>
      <c r="O199" s="302"/>
      <c r="P199" s="302"/>
    </row>
    <row r="200" spans="3:16" s="159" customFormat="1" x14ac:dyDescent="0.2">
      <c r="C200" s="655"/>
      <c r="D200" s="655"/>
      <c r="J200" s="274"/>
      <c r="M200" s="276"/>
      <c r="N200" s="157"/>
      <c r="O200" s="302"/>
      <c r="P200" s="302"/>
    </row>
    <row r="201" spans="3:16" s="159" customFormat="1" x14ac:dyDescent="0.2">
      <c r="C201" s="655"/>
      <c r="D201" s="655"/>
      <c r="J201" s="274"/>
      <c r="M201" s="276"/>
      <c r="N201" s="157"/>
      <c r="O201" s="302"/>
      <c r="P201" s="302"/>
    </row>
    <row r="202" spans="3:16" s="159" customFormat="1" x14ac:dyDescent="0.2">
      <c r="C202" s="655"/>
      <c r="D202" s="655"/>
      <c r="J202" s="274"/>
      <c r="M202" s="276"/>
      <c r="N202" s="157"/>
      <c r="O202" s="302"/>
      <c r="P202" s="302"/>
    </row>
    <row r="203" spans="3:16" s="159" customFormat="1" x14ac:dyDescent="0.2">
      <c r="C203" s="655"/>
      <c r="D203" s="655"/>
      <c r="J203" s="274"/>
      <c r="M203" s="276"/>
      <c r="N203" s="157"/>
      <c r="O203" s="302"/>
      <c r="P203" s="302"/>
    </row>
    <row r="204" spans="3:16" s="159" customFormat="1" x14ac:dyDescent="0.2">
      <c r="C204" s="655"/>
      <c r="D204" s="655"/>
      <c r="J204" s="274"/>
      <c r="M204" s="276"/>
      <c r="N204" s="157"/>
      <c r="O204" s="302"/>
      <c r="P204" s="302"/>
    </row>
    <row r="205" spans="3:16" s="159" customFormat="1" x14ac:dyDescent="0.2">
      <c r="C205" s="655"/>
      <c r="D205" s="655"/>
      <c r="J205" s="274"/>
      <c r="M205" s="276"/>
      <c r="N205" s="157"/>
      <c r="O205" s="302"/>
      <c r="P205" s="302"/>
    </row>
    <row r="206" spans="3:16" s="159" customFormat="1" x14ac:dyDescent="0.2">
      <c r="C206" s="655"/>
      <c r="D206" s="655"/>
      <c r="J206" s="274"/>
      <c r="M206" s="276"/>
      <c r="N206" s="157"/>
      <c r="O206" s="302"/>
      <c r="P206" s="302"/>
    </row>
    <row r="207" spans="3:16" s="159" customFormat="1" x14ac:dyDescent="0.2">
      <c r="C207" s="655"/>
      <c r="D207" s="655"/>
      <c r="J207" s="274"/>
      <c r="M207" s="276"/>
      <c r="N207" s="157"/>
      <c r="O207" s="302"/>
      <c r="P207" s="302"/>
    </row>
    <row r="208" spans="3:16" s="159" customFormat="1" x14ac:dyDescent="0.2">
      <c r="C208" s="655"/>
      <c r="D208" s="655"/>
      <c r="J208" s="274"/>
      <c r="M208" s="276"/>
      <c r="N208" s="157"/>
      <c r="O208" s="302"/>
      <c r="P208" s="302"/>
    </row>
    <row r="209" spans="3:16" s="159" customFormat="1" x14ac:dyDescent="0.2">
      <c r="C209" s="655"/>
      <c r="D209" s="655"/>
      <c r="J209" s="274"/>
      <c r="M209" s="276"/>
      <c r="N209" s="157"/>
      <c r="O209" s="302"/>
      <c r="P209" s="302"/>
    </row>
    <row r="210" spans="3:16" s="159" customFormat="1" x14ac:dyDescent="0.2">
      <c r="C210" s="655"/>
      <c r="D210" s="655"/>
      <c r="J210" s="274"/>
      <c r="M210" s="276"/>
      <c r="N210" s="157"/>
      <c r="O210" s="302"/>
      <c r="P210" s="302"/>
    </row>
    <row r="211" spans="3:16" s="159" customFormat="1" x14ac:dyDescent="0.2">
      <c r="C211" s="655"/>
      <c r="D211" s="655"/>
      <c r="J211" s="274"/>
      <c r="M211" s="276"/>
      <c r="N211" s="157"/>
      <c r="O211" s="302"/>
      <c r="P211" s="302"/>
    </row>
    <row r="212" spans="3:16" s="159" customFormat="1" x14ac:dyDescent="0.2">
      <c r="C212" s="655"/>
      <c r="D212" s="655"/>
      <c r="J212" s="274"/>
      <c r="M212" s="276"/>
      <c r="N212" s="157"/>
      <c r="O212" s="302"/>
      <c r="P212" s="302"/>
    </row>
    <row r="213" spans="3:16" s="159" customFormat="1" x14ac:dyDescent="0.2">
      <c r="C213" s="655"/>
      <c r="D213" s="655"/>
      <c r="J213" s="274"/>
      <c r="M213" s="276"/>
      <c r="N213" s="157"/>
      <c r="O213" s="302"/>
      <c r="P213" s="302"/>
    </row>
    <row r="214" spans="3:16" s="159" customFormat="1" x14ac:dyDescent="0.2">
      <c r="C214" s="655"/>
      <c r="D214" s="655"/>
      <c r="J214" s="274"/>
      <c r="M214" s="276"/>
      <c r="N214" s="157"/>
      <c r="O214" s="302"/>
      <c r="P214" s="302"/>
    </row>
    <row r="215" spans="3:16" s="159" customFormat="1" x14ac:dyDescent="0.2">
      <c r="C215" s="655"/>
      <c r="D215" s="655"/>
      <c r="J215" s="274"/>
      <c r="M215" s="276"/>
      <c r="N215" s="157"/>
      <c r="O215" s="302"/>
      <c r="P215" s="302"/>
    </row>
    <row r="216" spans="3:16" s="159" customFormat="1" x14ac:dyDescent="0.2">
      <c r="C216" s="655"/>
      <c r="D216" s="655"/>
      <c r="J216" s="274"/>
      <c r="M216" s="276"/>
      <c r="N216" s="157"/>
      <c r="O216" s="302"/>
      <c r="P216" s="302"/>
    </row>
    <row r="217" spans="3:16" s="159" customFormat="1" x14ac:dyDescent="0.2">
      <c r="C217" s="655"/>
      <c r="D217" s="655"/>
      <c r="J217" s="274"/>
      <c r="M217" s="276"/>
      <c r="N217" s="157"/>
      <c r="O217" s="302"/>
      <c r="P217" s="302"/>
    </row>
    <row r="218" spans="3:16" s="159" customFormat="1" x14ac:dyDescent="0.2">
      <c r="C218" s="655"/>
      <c r="D218" s="655"/>
      <c r="J218" s="274"/>
      <c r="M218" s="276"/>
      <c r="N218" s="157"/>
      <c r="O218" s="302"/>
      <c r="P218" s="302"/>
    </row>
    <row r="219" spans="3:16" s="159" customFormat="1" x14ac:dyDescent="0.2">
      <c r="C219" s="655"/>
      <c r="D219" s="655"/>
      <c r="J219" s="274"/>
      <c r="M219" s="276"/>
      <c r="N219" s="157"/>
      <c r="O219" s="302"/>
      <c r="P219" s="302"/>
    </row>
    <row r="220" spans="3:16" s="159" customFormat="1" x14ac:dyDescent="0.2">
      <c r="C220" s="655"/>
      <c r="D220" s="655"/>
      <c r="J220" s="274"/>
      <c r="M220" s="276"/>
      <c r="N220" s="157"/>
      <c r="O220" s="302"/>
      <c r="P220" s="302"/>
    </row>
    <row r="221" spans="3:16" s="159" customFormat="1" x14ac:dyDescent="0.2">
      <c r="C221" s="655"/>
      <c r="D221" s="655"/>
      <c r="J221" s="274"/>
      <c r="M221" s="276"/>
      <c r="N221" s="157"/>
      <c r="O221" s="302"/>
      <c r="P221" s="302"/>
    </row>
    <row r="222" spans="3:16" s="159" customFormat="1" x14ac:dyDescent="0.2">
      <c r="C222" s="655"/>
      <c r="D222" s="655"/>
      <c r="J222" s="274"/>
      <c r="M222" s="276"/>
      <c r="N222" s="157"/>
      <c r="O222" s="302"/>
      <c r="P222" s="302"/>
    </row>
    <row r="223" spans="3:16" s="159" customFormat="1" x14ac:dyDescent="0.2">
      <c r="C223" s="655"/>
      <c r="D223" s="655"/>
      <c r="J223" s="274"/>
      <c r="M223" s="276"/>
      <c r="N223" s="157"/>
      <c r="O223" s="302"/>
      <c r="P223" s="302"/>
    </row>
    <row r="224" spans="3:16" s="159" customFormat="1" x14ac:dyDescent="0.2">
      <c r="C224" s="655"/>
      <c r="D224" s="655"/>
      <c r="J224" s="274"/>
      <c r="M224" s="276"/>
      <c r="N224" s="157"/>
      <c r="O224" s="302"/>
      <c r="P224" s="302"/>
    </row>
    <row r="225" spans="3:16" s="159" customFormat="1" x14ac:dyDescent="0.2">
      <c r="C225" s="655"/>
      <c r="D225" s="655"/>
      <c r="J225" s="274"/>
      <c r="M225" s="276"/>
      <c r="N225" s="157"/>
      <c r="O225" s="302"/>
      <c r="P225" s="302"/>
    </row>
    <row r="226" spans="3:16" s="159" customFormat="1" x14ac:dyDescent="0.2">
      <c r="C226" s="655"/>
      <c r="D226" s="655"/>
      <c r="J226" s="274"/>
      <c r="M226" s="276"/>
      <c r="N226" s="157"/>
      <c r="O226" s="302"/>
      <c r="P226" s="302"/>
    </row>
    <row r="227" spans="3:16" s="159" customFormat="1" x14ac:dyDescent="0.2">
      <c r="C227" s="655"/>
      <c r="D227" s="655"/>
      <c r="J227" s="274"/>
      <c r="M227" s="276"/>
      <c r="N227" s="157"/>
      <c r="O227" s="302"/>
      <c r="P227" s="302"/>
    </row>
    <row r="228" spans="3:16" s="159" customFormat="1" x14ac:dyDescent="0.2">
      <c r="C228" s="655"/>
      <c r="D228" s="655"/>
      <c r="J228" s="274"/>
      <c r="M228" s="276"/>
      <c r="N228" s="157"/>
      <c r="O228" s="302"/>
      <c r="P228" s="302"/>
    </row>
    <row r="229" spans="3:16" s="159" customFormat="1" x14ac:dyDescent="0.2">
      <c r="C229" s="655"/>
      <c r="D229" s="655"/>
      <c r="J229" s="274"/>
      <c r="M229" s="276"/>
      <c r="N229" s="157"/>
      <c r="O229" s="302"/>
      <c r="P229" s="302"/>
    </row>
    <row r="230" spans="3:16" s="159" customFormat="1" x14ac:dyDescent="0.2">
      <c r="C230" s="655"/>
      <c r="D230" s="655"/>
      <c r="J230" s="274"/>
      <c r="M230" s="276"/>
      <c r="N230" s="157"/>
      <c r="O230" s="302"/>
      <c r="P230" s="302"/>
    </row>
    <row r="231" spans="3:16" s="159" customFormat="1" x14ac:dyDescent="0.2">
      <c r="C231" s="655"/>
      <c r="D231" s="655"/>
      <c r="J231" s="274"/>
      <c r="M231" s="276"/>
      <c r="N231" s="157"/>
      <c r="O231" s="302"/>
      <c r="P231" s="302"/>
    </row>
    <row r="232" spans="3:16" s="159" customFormat="1" x14ac:dyDescent="0.2">
      <c r="C232" s="655"/>
      <c r="D232" s="655"/>
      <c r="J232" s="274"/>
      <c r="M232" s="276"/>
      <c r="N232" s="157"/>
      <c r="O232" s="302"/>
      <c r="P232" s="302"/>
    </row>
    <row r="233" spans="3:16" s="159" customFormat="1" x14ac:dyDescent="0.2">
      <c r="C233" s="655"/>
      <c r="D233" s="655"/>
      <c r="J233" s="274"/>
      <c r="M233" s="276"/>
      <c r="N233" s="157"/>
      <c r="O233" s="302"/>
      <c r="P233" s="302"/>
    </row>
    <row r="234" spans="3:16" s="159" customFormat="1" x14ac:dyDescent="0.2">
      <c r="C234" s="655"/>
      <c r="D234" s="655"/>
      <c r="J234" s="274"/>
      <c r="M234" s="276"/>
      <c r="N234" s="157"/>
      <c r="O234" s="302"/>
      <c r="P234" s="302"/>
    </row>
    <row r="235" spans="3:16" s="159" customFormat="1" x14ac:dyDescent="0.2">
      <c r="C235" s="655"/>
      <c r="D235" s="655"/>
      <c r="J235" s="274"/>
      <c r="M235" s="276"/>
      <c r="N235" s="157"/>
      <c r="O235" s="302"/>
      <c r="P235" s="302"/>
    </row>
    <row r="236" spans="3:16" s="159" customFormat="1" x14ac:dyDescent="0.2">
      <c r="C236" s="655"/>
      <c r="D236" s="655"/>
      <c r="J236" s="274"/>
      <c r="M236" s="276"/>
      <c r="N236" s="157"/>
      <c r="O236" s="302"/>
      <c r="P236" s="302"/>
    </row>
    <row r="237" spans="3:16" s="159" customFormat="1" x14ac:dyDescent="0.2">
      <c r="C237" s="655"/>
      <c r="D237" s="655"/>
      <c r="J237" s="274"/>
      <c r="M237" s="276"/>
      <c r="N237" s="157"/>
      <c r="O237" s="302"/>
      <c r="P237" s="302"/>
    </row>
    <row r="238" spans="3:16" s="159" customFormat="1" x14ac:dyDescent="0.2">
      <c r="C238" s="655"/>
      <c r="D238" s="655"/>
      <c r="J238" s="274"/>
      <c r="M238" s="276"/>
      <c r="N238" s="157"/>
      <c r="O238" s="302"/>
      <c r="P238" s="302"/>
    </row>
    <row r="239" spans="3:16" s="159" customFormat="1" x14ac:dyDescent="0.2">
      <c r="C239" s="655"/>
      <c r="D239" s="655"/>
      <c r="J239" s="274"/>
      <c r="M239" s="276"/>
      <c r="N239" s="157"/>
      <c r="O239" s="302"/>
      <c r="P239" s="302"/>
    </row>
    <row r="240" spans="3:16" s="159" customFormat="1" x14ac:dyDescent="0.2">
      <c r="C240" s="655"/>
      <c r="D240" s="655"/>
      <c r="J240" s="274"/>
      <c r="M240" s="276"/>
      <c r="N240" s="157"/>
      <c r="O240" s="302"/>
      <c r="P240" s="302"/>
    </row>
    <row r="241" spans="3:16" s="159" customFormat="1" x14ac:dyDescent="0.2">
      <c r="C241" s="655"/>
      <c r="D241" s="655"/>
      <c r="J241" s="274"/>
      <c r="M241" s="276"/>
      <c r="N241" s="157"/>
      <c r="O241" s="302"/>
      <c r="P241" s="302"/>
    </row>
    <row r="242" spans="3:16" s="159" customFormat="1" x14ac:dyDescent="0.2">
      <c r="C242" s="655"/>
      <c r="D242" s="655"/>
      <c r="J242" s="274"/>
      <c r="M242" s="276"/>
      <c r="N242" s="157"/>
      <c r="O242" s="302"/>
      <c r="P242" s="302"/>
    </row>
    <row r="243" spans="3:16" s="159" customFormat="1" x14ac:dyDescent="0.2">
      <c r="C243" s="655"/>
      <c r="D243" s="655"/>
      <c r="J243" s="274"/>
      <c r="M243" s="276"/>
      <c r="N243" s="157"/>
      <c r="O243" s="302"/>
      <c r="P243" s="302"/>
    </row>
    <row r="244" spans="3:16" s="159" customFormat="1" x14ac:dyDescent="0.2">
      <c r="C244" s="655"/>
      <c r="D244" s="655"/>
      <c r="J244" s="274"/>
      <c r="M244" s="276"/>
      <c r="N244" s="157"/>
      <c r="O244" s="302"/>
      <c r="P244" s="302"/>
    </row>
    <row r="245" spans="3:16" s="159" customFormat="1" x14ac:dyDescent="0.2">
      <c r="C245" s="655"/>
      <c r="D245" s="655"/>
      <c r="J245" s="274"/>
      <c r="M245" s="276"/>
      <c r="N245" s="157"/>
      <c r="O245" s="302"/>
      <c r="P245" s="302"/>
    </row>
    <row r="246" spans="3:16" s="159" customFormat="1" x14ac:dyDescent="0.2">
      <c r="C246" s="655"/>
      <c r="D246" s="655"/>
      <c r="J246" s="274"/>
      <c r="M246" s="276"/>
      <c r="N246" s="157"/>
      <c r="O246" s="302"/>
      <c r="P246" s="302"/>
    </row>
    <row r="247" spans="3:16" s="159" customFormat="1" x14ac:dyDescent="0.2">
      <c r="C247" s="655"/>
      <c r="D247" s="655"/>
      <c r="J247" s="274"/>
      <c r="M247" s="276"/>
      <c r="N247" s="157"/>
      <c r="O247" s="302"/>
      <c r="P247" s="302"/>
    </row>
    <row r="248" spans="3:16" s="159" customFormat="1" x14ac:dyDescent="0.2">
      <c r="C248" s="655"/>
      <c r="D248" s="655"/>
      <c r="J248" s="274"/>
      <c r="M248" s="276"/>
      <c r="N248" s="157"/>
      <c r="O248" s="302"/>
      <c r="P248" s="302"/>
    </row>
    <row r="249" spans="3:16" s="159" customFormat="1" x14ac:dyDescent="0.2">
      <c r="C249" s="655"/>
      <c r="D249" s="655"/>
      <c r="J249" s="274"/>
      <c r="M249" s="276"/>
      <c r="N249" s="157"/>
      <c r="O249" s="302"/>
      <c r="P249" s="302"/>
    </row>
    <row r="250" spans="3:16" s="159" customFormat="1" x14ac:dyDescent="0.2">
      <c r="C250" s="655"/>
      <c r="D250" s="655"/>
      <c r="J250" s="274"/>
      <c r="M250" s="276"/>
      <c r="N250" s="157"/>
      <c r="O250" s="302"/>
      <c r="P250" s="302"/>
    </row>
    <row r="251" spans="3:16" s="159" customFormat="1" x14ac:dyDescent="0.2">
      <c r="C251" s="655"/>
      <c r="D251" s="655"/>
      <c r="J251" s="274"/>
      <c r="M251" s="276"/>
      <c r="N251" s="157"/>
      <c r="O251" s="302"/>
      <c r="P251" s="302"/>
    </row>
    <row r="252" spans="3:16" s="159" customFormat="1" x14ac:dyDescent="0.2">
      <c r="C252" s="655"/>
      <c r="D252" s="655"/>
      <c r="J252" s="274"/>
      <c r="M252" s="276"/>
      <c r="N252" s="157"/>
      <c r="O252" s="302"/>
      <c r="P252" s="302"/>
    </row>
    <row r="253" spans="3:16" s="159" customFormat="1" x14ac:dyDescent="0.2">
      <c r="C253" s="655"/>
      <c r="D253" s="655"/>
      <c r="J253" s="274"/>
      <c r="M253" s="276"/>
      <c r="N253" s="157"/>
      <c r="O253" s="302"/>
      <c r="P253" s="302"/>
    </row>
    <row r="254" spans="3:16" s="159" customFormat="1" x14ac:dyDescent="0.2">
      <c r="C254" s="655"/>
      <c r="D254" s="655"/>
      <c r="J254" s="274"/>
      <c r="M254" s="276"/>
      <c r="N254" s="157"/>
      <c r="O254" s="302"/>
      <c r="P254" s="302"/>
    </row>
    <row r="255" spans="3:16" s="159" customFormat="1" x14ac:dyDescent="0.2">
      <c r="C255" s="655"/>
      <c r="D255" s="655"/>
      <c r="J255" s="274"/>
      <c r="M255" s="276"/>
      <c r="N255" s="157"/>
      <c r="O255" s="302"/>
      <c r="P255" s="302"/>
    </row>
    <row r="256" spans="3:16" s="159" customFormat="1" x14ac:dyDescent="0.2">
      <c r="C256" s="655"/>
      <c r="D256" s="655"/>
      <c r="J256" s="274"/>
      <c r="M256" s="276"/>
      <c r="N256" s="157"/>
      <c r="O256" s="302"/>
      <c r="P256" s="302"/>
    </row>
    <row r="257" spans="3:16" s="159" customFormat="1" x14ac:dyDescent="0.2">
      <c r="C257" s="655"/>
      <c r="D257" s="655"/>
      <c r="J257" s="274"/>
      <c r="M257" s="276"/>
      <c r="N257" s="157"/>
      <c r="O257" s="302"/>
      <c r="P257" s="302"/>
    </row>
    <row r="258" spans="3:16" s="159" customFormat="1" x14ac:dyDescent="0.2">
      <c r="C258" s="655"/>
      <c r="D258" s="655"/>
      <c r="J258" s="274"/>
      <c r="M258" s="276"/>
      <c r="N258" s="157"/>
      <c r="O258" s="302"/>
      <c r="P258" s="302"/>
    </row>
    <row r="259" spans="3:16" s="159" customFormat="1" x14ac:dyDescent="0.2">
      <c r="C259" s="655"/>
      <c r="D259" s="655"/>
      <c r="J259" s="274"/>
      <c r="M259" s="276"/>
      <c r="N259" s="157"/>
      <c r="O259" s="302"/>
      <c r="P259" s="302"/>
    </row>
    <row r="260" spans="3:16" s="159" customFormat="1" x14ac:dyDescent="0.2">
      <c r="C260" s="655"/>
      <c r="D260" s="655"/>
      <c r="J260" s="274"/>
      <c r="M260" s="276"/>
      <c r="N260" s="157"/>
      <c r="O260" s="302"/>
      <c r="P260" s="302"/>
    </row>
    <row r="261" spans="3:16" s="159" customFormat="1" x14ac:dyDescent="0.2">
      <c r="C261" s="655"/>
      <c r="D261" s="655"/>
      <c r="J261" s="274"/>
      <c r="M261" s="276"/>
      <c r="N261" s="157"/>
      <c r="O261" s="302"/>
      <c r="P261" s="302"/>
    </row>
    <row r="262" spans="3:16" s="159" customFormat="1" x14ac:dyDescent="0.2">
      <c r="C262" s="655"/>
      <c r="D262" s="655"/>
      <c r="J262" s="274"/>
      <c r="M262" s="276"/>
      <c r="N262" s="157"/>
      <c r="O262" s="302"/>
      <c r="P262" s="302"/>
    </row>
    <row r="263" spans="3:16" s="159" customFormat="1" x14ac:dyDescent="0.2">
      <c r="C263" s="655"/>
      <c r="D263" s="655"/>
      <c r="J263" s="274"/>
      <c r="M263" s="276"/>
      <c r="N263" s="157"/>
      <c r="O263" s="302"/>
      <c r="P263" s="302"/>
    </row>
    <row r="264" spans="3:16" s="159" customFormat="1" x14ac:dyDescent="0.2">
      <c r="C264" s="655"/>
      <c r="D264" s="655"/>
      <c r="J264" s="274"/>
      <c r="M264" s="276"/>
      <c r="N264" s="157"/>
      <c r="O264" s="302"/>
      <c r="P264" s="302"/>
    </row>
    <row r="265" spans="3:16" s="159" customFormat="1" x14ac:dyDescent="0.2">
      <c r="C265" s="655"/>
      <c r="D265" s="655"/>
      <c r="J265" s="274"/>
      <c r="M265" s="276"/>
      <c r="N265" s="157"/>
      <c r="O265" s="302"/>
      <c r="P265" s="302"/>
    </row>
    <row r="266" spans="3:16" s="159" customFormat="1" x14ac:dyDescent="0.2">
      <c r="C266" s="655"/>
      <c r="D266" s="655"/>
      <c r="J266" s="274"/>
      <c r="M266" s="276"/>
      <c r="N266" s="157"/>
      <c r="O266" s="302"/>
      <c r="P266" s="302"/>
    </row>
    <row r="267" spans="3:16" s="159" customFormat="1" x14ac:dyDescent="0.2">
      <c r="C267" s="655"/>
      <c r="D267" s="655"/>
      <c r="J267" s="274"/>
      <c r="M267" s="276"/>
      <c r="N267" s="157"/>
      <c r="O267" s="302"/>
      <c r="P267" s="302"/>
    </row>
    <row r="268" spans="3:16" s="159" customFormat="1" x14ac:dyDescent="0.2">
      <c r="C268" s="655"/>
      <c r="D268" s="655"/>
      <c r="J268" s="274"/>
      <c r="M268" s="276"/>
      <c r="N268" s="157"/>
      <c r="O268" s="302"/>
      <c r="P268" s="302"/>
    </row>
    <row r="269" spans="3:16" s="159" customFormat="1" x14ac:dyDescent="0.2">
      <c r="C269" s="655"/>
      <c r="D269" s="655"/>
      <c r="J269" s="274"/>
      <c r="M269" s="276"/>
      <c r="N269" s="157"/>
      <c r="O269" s="302"/>
      <c r="P269" s="302"/>
    </row>
    <row r="270" spans="3:16" s="159" customFormat="1" x14ac:dyDescent="0.2">
      <c r="C270" s="655"/>
      <c r="D270" s="655"/>
      <c r="J270" s="274"/>
      <c r="M270" s="276"/>
      <c r="N270" s="157"/>
      <c r="O270" s="302"/>
      <c r="P270" s="302"/>
    </row>
    <row r="271" spans="3:16" s="159" customFormat="1" x14ac:dyDescent="0.2">
      <c r="C271" s="655"/>
      <c r="D271" s="655"/>
      <c r="J271" s="274"/>
      <c r="M271" s="276"/>
      <c r="N271" s="157"/>
      <c r="O271" s="302"/>
      <c r="P271" s="302"/>
    </row>
    <row r="272" spans="3:16" s="159" customFormat="1" x14ac:dyDescent="0.2">
      <c r="C272" s="655"/>
      <c r="D272" s="655"/>
      <c r="J272" s="274"/>
      <c r="M272" s="276"/>
      <c r="N272" s="157"/>
      <c r="O272" s="302"/>
      <c r="P272" s="302"/>
    </row>
    <row r="273" spans="3:16" s="159" customFormat="1" x14ac:dyDescent="0.2">
      <c r="C273" s="655"/>
      <c r="D273" s="655"/>
      <c r="J273" s="274"/>
      <c r="M273" s="276"/>
      <c r="N273" s="157"/>
      <c r="O273" s="302"/>
      <c r="P273" s="302"/>
    </row>
    <row r="274" spans="3:16" s="159" customFormat="1" x14ac:dyDescent="0.2">
      <c r="C274" s="655"/>
      <c r="D274" s="655"/>
      <c r="J274" s="274"/>
      <c r="M274" s="276"/>
      <c r="N274" s="157"/>
      <c r="O274" s="302"/>
      <c r="P274" s="302"/>
    </row>
    <row r="275" spans="3:16" s="159" customFormat="1" x14ac:dyDescent="0.2">
      <c r="C275" s="655"/>
      <c r="D275" s="655"/>
      <c r="J275" s="274"/>
      <c r="M275" s="276"/>
      <c r="N275" s="157"/>
      <c r="O275" s="302"/>
      <c r="P275" s="302"/>
    </row>
    <row r="276" spans="3:16" s="159" customFormat="1" x14ac:dyDescent="0.2">
      <c r="C276" s="655"/>
      <c r="D276" s="655"/>
      <c r="J276" s="274"/>
      <c r="M276" s="276"/>
      <c r="N276" s="157"/>
      <c r="O276" s="302"/>
      <c r="P276" s="302"/>
    </row>
    <row r="277" spans="3:16" s="159" customFormat="1" x14ac:dyDescent="0.2">
      <c r="C277" s="655"/>
      <c r="D277" s="655"/>
      <c r="J277" s="274"/>
      <c r="M277" s="276"/>
      <c r="N277" s="157"/>
      <c r="O277" s="302"/>
      <c r="P277" s="302"/>
    </row>
    <row r="278" spans="3:16" s="159" customFormat="1" x14ac:dyDescent="0.2">
      <c r="C278" s="655"/>
      <c r="D278" s="655"/>
      <c r="J278" s="274"/>
      <c r="M278" s="276"/>
      <c r="N278" s="157"/>
      <c r="O278" s="302"/>
      <c r="P278" s="302"/>
    </row>
    <row r="279" spans="3:16" s="159" customFormat="1" x14ac:dyDescent="0.2">
      <c r="C279" s="655"/>
      <c r="D279" s="655"/>
      <c r="J279" s="274"/>
      <c r="M279" s="276"/>
      <c r="N279" s="157"/>
      <c r="O279" s="302"/>
      <c r="P279" s="302"/>
    </row>
  </sheetData>
  <mergeCells count="54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89:F89"/>
    <mergeCell ref="G89:I89"/>
    <mergeCell ref="B98:B99"/>
    <mergeCell ref="C64:F64"/>
    <mergeCell ref="G64:I64"/>
    <mergeCell ref="C73:F73"/>
    <mergeCell ref="G73:I73"/>
    <mergeCell ref="C80:F80"/>
    <mergeCell ref="G80:I80"/>
    <mergeCell ref="K99:K100"/>
    <mergeCell ref="F97:F98"/>
    <mergeCell ref="G97:G98"/>
    <mergeCell ref="I97:I98"/>
    <mergeCell ref="J97:J98"/>
    <mergeCell ref="K97:K98"/>
    <mergeCell ref="F99:F100"/>
    <mergeCell ref="G99:G100"/>
    <mergeCell ref="I99:I100"/>
    <mergeCell ref="J99:J100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58" fitToHeight="2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Q235"/>
  <sheetViews>
    <sheetView zoomScale="90" zoomScaleNormal="75" zoomScaleSheetLayoutView="90" zoomScalePageLayoutView="75" workbookViewId="0">
      <selection activeCell="A55" sqref="A55"/>
    </sheetView>
  </sheetViews>
  <sheetFormatPr defaultColWidth="9.140625" defaultRowHeight="12.75" x14ac:dyDescent="0.2"/>
  <cols>
    <col min="1" max="1" width="12.140625" style="157" bestFit="1" customWidth="1"/>
    <col min="2" max="2" width="42.85546875" style="157" customWidth="1"/>
    <col min="3" max="4" width="5" style="440" customWidth="1"/>
    <col min="5" max="5" width="10.85546875" style="157" bestFit="1" customWidth="1"/>
    <col min="6" max="6" width="12.5703125" style="157" bestFit="1" customWidth="1"/>
    <col min="7" max="7" width="7" style="157" bestFit="1" customWidth="1"/>
    <col min="8" max="8" width="10.85546875" style="157" bestFit="1" customWidth="1"/>
    <col min="9" max="9" width="14.42578125" style="157" bestFit="1" customWidth="1"/>
    <col min="10" max="10" width="16.140625" style="276" bestFit="1" customWidth="1"/>
    <col min="11" max="11" width="14.42578125" style="157" bestFit="1" customWidth="1"/>
    <col min="12" max="12" width="17.85546875" style="159" bestFit="1" customWidth="1"/>
    <col min="13" max="13" width="14" style="276" bestFit="1" customWidth="1"/>
    <col min="14" max="14" width="24.85546875" style="157" bestFit="1" customWidth="1"/>
    <col min="15" max="15" width="22" style="302" bestFit="1" customWidth="1"/>
    <col min="16" max="16" width="22.140625" style="302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2"/>
      <c r="B1" s="323"/>
      <c r="C1" s="976">
        <f>'Estimate Summary'!C1:H1</f>
        <v>0</v>
      </c>
      <c r="D1" s="976"/>
      <c r="E1" s="976"/>
      <c r="F1" s="976"/>
      <c r="G1" s="976"/>
      <c r="H1" s="976"/>
      <c r="I1" s="976"/>
      <c r="J1" s="976"/>
      <c r="K1" s="977"/>
    </row>
    <row r="2" spans="1:17" ht="13.5" thickBot="1" x14ac:dyDescent="0.25">
      <c r="A2" s="324"/>
      <c r="B2" s="325"/>
      <c r="C2" s="514"/>
      <c r="D2" s="984"/>
      <c r="E2" s="984"/>
      <c r="F2" s="984"/>
      <c r="G2" s="514"/>
      <c r="H2" s="327"/>
      <c r="I2" s="328"/>
      <c r="J2" s="329"/>
      <c r="K2" s="330"/>
    </row>
    <row r="3" spans="1:17" ht="16.5" thickBot="1" x14ac:dyDescent="0.3">
      <c r="A3" s="973"/>
      <c r="B3" s="974"/>
      <c r="C3" s="514"/>
      <c r="D3" s="984"/>
      <c r="E3" s="984"/>
      <c r="F3" s="984"/>
      <c r="G3" s="515"/>
      <c r="H3" s="332"/>
      <c r="I3" s="333"/>
      <c r="J3" s="333"/>
      <c r="K3" s="334"/>
      <c r="L3" s="1002"/>
      <c r="M3" s="1003"/>
      <c r="N3" s="985"/>
      <c r="O3" s="985"/>
      <c r="P3" s="935"/>
    </row>
    <row r="4" spans="1:17" ht="18.75" thickBot="1" x14ac:dyDescent="0.25">
      <c r="A4" s="973"/>
      <c r="B4" s="974"/>
      <c r="C4" s="514"/>
      <c r="D4" s="984"/>
      <c r="E4" s="984"/>
      <c r="F4" s="984"/>
      <c r="G4" s="336"/>
      <c r="H4" s="336"/>
      <c r="I4" s="328"/>
      <c r="J4" s="329"/>
      <c r="K4" s="330"/>
      <c r="L4" s="1002"/>
      <c r="M4" s="1003"/>
      <c r="N4" s="985"/>
      <c r="O4" s="985"/>
      <c r="P4" s="935"/>
    </row>
    <row r="5" spans="1:17" ht="21" thickBot="1" x14ac:dyDescent="0.3">
      <c r="A5" s="337"/>
      <c r="B5" s="338"/>
      <c r="C5" s="516"/>
      <c r="D5" s="340"/>
      <c r="E5" s="341"/>
      <c r="F5" s="336"/>
      <c r="G5" s="983" t="s">
        <v>75</v>
      </c>
      <c r="H5" s="983"/>
      <c r="I5" s="983"/>
      <c r="J5" s="981" t="s">
        <v>73</v>
      </c>
      <c r="K5" s="982"/>
      <c r="L5" s="1002"/>
      <c r="M5" s="1003"/>
      <c r="N5" s="985"/>
      <c r="O5" s="985"/>
      <c r="P5" s="935"/>
    </row>
    <row r="6" spans="1:17" ht="21" thickBot="1" x14ac:dyDescent="0.25">
      <c r="A6" s="337"/>
      <c r="B6" s="338"/>
      <c r="C6" s="517"/>
      <c r="D6" s="343" t="str">
        <f>'Estimate Summary'!C11</f>
        <v>Area:</v>
      </c>
      <c r="E6" s="344">
        <f>'Estimate Summary'!D11</f>
        <v>65592</v>
      </c>
      <c r="F6" s="238" t="str">
        <f>'Estimate Summary'!E11</f>
        <v>Sq. Ft.</v>
      </c>
      <c r="G6" s="983"/>
      <c r="H6" s="983"/>
      <c r="I6" s="983"/>
      <c r="J6" s="345">
        <f>'1'!J6</f>
        <v>60</v>
      </c>
      <c r="K6" s="330" t="s">
        <v>74</v>
      </c>
      <c r="L6" s="1002"/>
      <c r="M6" s="1003"/>
      <c r="N6" s="985"/>
      <c r="O6" s="985"/>
      <c r="P6" s="935"/>
    </row>
    <row r="7" spans="1:17" x14ac:dyDescent="0.2">
      <c r="A7" s="978"/>
      <c r="B7" s="979"/>
      <c r="C7" s="979"/>
      <c r="D7" s="979"/>
      <c r="E7" s="979"/>
      <c r="F7" s="979"/>
      <c r="G7" s="979"/>
      <c r="H7" s="979"/>
      <c r="I7" s="979"/>
      <c r="J7" s="979"/>
      <c r="K7" s="980"/>
    </row>
    <row r="8" spans="1:17" ht="13.5" thickBot="1" x14ac:dyDescent="0.25">
      <c r="A8" s="346"/>
      <c r="B8" s="347"/>
      <c r="C8" s="972"/>
      <c r="D8" s="972"/>
      <c r="E8" s="972"/>
      <c r="F8" s="972"/>
      <c r="G8" s="971"/>
      <c r="H8" s="971"/>
      <c r="I8" s="971"/>
      <c r="J8" s="348"/>
      <c r="K8" s="349"/>
      <c r="L8" s="518"/>
      <c r="M8" s="519"/>
      <c r="N8" s="518"/>
      <c r="O8" s="520"/>
      <c r="P8" s="520"/>
    </row>
    <row r="9" spans="1:17" ht="14.25" thickTop="1" thickBot="1" x14ac:dyDescent="0.25">
      <c r="A9" s="353" t="s">
        <v>0</v>
      </c>
      <c r="B9" s="354" t="s">
        <v>1</v>
      </c>
      <c r="C9" s="939" t="s">
        <v>656</v>
      </c>
      <c r="D9" s="939"/>
      <c r="E9" s="939"/>
      <c r="F9" s="939"/>
      <c r="G9" s="939" t="s">
        <v>34</v>
      </c>
      <c r="H9" s="939"/>
      <c r="I9" s="939"/>
      <c r="J9" s="355"/>
      <c r="K9" s="523"/>
      <c r="L9" s="942" t="s">
        <v>783</v>
      </c>
      <c r="M9" s="944" t="s">
        <v>784</v>
      </c>
      <c r="N9" s="946" t="s">
        <v>785</v>
      </c>
      <c r="O9" s="948"/>
      <c r="P9" s="950"/>
      <c r="Q9" s="940"/>
    </row>
    <row r="10" spans="1:17" ht="15.75" x14ac:dyDescent="0.25">
      <c r="A10" s="525" t="s">
        <v>504</v>
      </c>
      <c r="B10" s="525" t="s">
        <v>505</v>
      </c>
      <c r="C10" s="359" t="s">
        <v>19</v>
      </c>
      <c r="D10" s="360" t="s">
        <v>33</v>
      </c>
      <c r="E10" s="361" t="s">
        <v>35</v>
      </c>
      <c r="F10" s="362" t="s">
        <v>30</v>
      </c>
      <c r="G10" s="526" t="s">
        <v>14</v>
      </c>
      <c r="H10" s="361" t="s">
        <v>35</v>
      </c>
      <c r="I10" s="362" t="s">
        <v>30</v>
      </c>
      <c r="J10" s="364" t="s">
        <v>659</v>
      </c>
      <c r="K10" s="527" t="s">
        <v>38</v>
      </c>
      <c r="L10" s="943"/>
      <c r="M10" s="945"/>
      <c r="N10" s="947"/>
      <c r="O10" s="949"/>
      <c r="P10" s="951"/>
      <c r="Q10" s="941"/>
    </row>
    <row r="11" spans="1:17" ht="15" x14ac:dyDescent="0.2">
      <c r="A11" s="196" t="s">
        <v>506</v>
      </c>
      <c r="B11" s="196" t="s">
        <v>507</v>
      </c>
      <c r="C11" s="371"/>
      <c r="D11" s="372" t="s">
        <v>21</v>
      </c>
      <c r="E11" s="253">
        <v>0</v>
      </c>
      <c r="F11" s="373">
        <f t="shared" ref="F11:F22" si="0">C11*E11</f>
        <v>0</v>
      </c>
      <c r="G11" s="529"/>
      <c r="H11" s="375">
        <v>0</v>
      </c>
      <c r="I11" s="373">
        <f t="shared" ref="I11:I22" si="1">G11*H11</f>
        <v>0</v>
      </c>
      <c r="J11" s="376"/>
      <c r="K11" s="530">
        <f t="shared" ref="K11:K22" si="2">F11+I11+J11</f>
        <v>0</v>
      </c>
      <c r="L11" s="378"/>
      <c r="M11" s="379"/>
      <c r="N11" s="380"/>
      <c r="O11" s="381"/>
      <c r="P11" s="382"/>
      <c r="Q11" s="383"/>
    </row>
    <row r="12" spans="1:17" x14ac:dyDescent="0.2">
      <c r="A12" s="370"/>
      <c r="B12" s="5"/>
      <c r="C12" s="371"/>
      <c r="D12" s="372" t="s">
        <v>21</v>
      </c>
      <c r="E12" s="253">
        <v>0</v>
      </c>
      <c r="F12" s="373">
        <f t="shared" si="0"/>
        <v>0</v>
      </c>
      <c r="G12" s="529"/>
      <c r="H12" s="375">
        <v>0</v>
      </c>
      <c r="I12" s="373">
        <f t="shared" si="1"/>
        <v>0</v>
      </c>
      <c r="J12" s="376"/>
      <c r="K12" s="530">
        <f t="shared" si="2"/>
        <v>0</v>
      </c>
      <c r="L12" s="378"/>
      <c r="M12" s="379"/>
      <c r="N12" s="380"/>
      <c r="O12" s="381"/>
      <c r="P12" s="382"/>
      <c r="Q12" s="383"/>
    </row>
    <row r="13" spans="1:17" x14ac:dyDescent="0.2">
      <c r="A13" s="370"/>
      <c r="B13" s="5"/>
      <c r="C13" s="371"/>
      <c r="D13" s="372" t="s">
        <v>21</v>
      </c>
      <c r="E13" s="253">
        <v>0</v>
      </c>
      <c r="F13" s="373">
        <f t="shared" si="0"/>
        <v>0</v>
      </c>
      <c r="G13" s="529"/>
      <c r="H13" s="375">
        <v>0</v>
      </c>
      <c r="I13" s="373">
        <f t="shared" si="1"/>
        <v>0</v>
      </c>
      <c r="J13" s="376"/>
      <c r="K13" s="530">
        <f t="shared" si="2"/>
        <v>0</v>
      </c>
      <c r="L13" s="378"/>
      <c r="M13" s="379"/>
      <c r="N13" s="380"/>
      <c r="O13" s="381"/>
      <c r="P13" s="382"/>
      <c r="Q13" s="383"/>
    </row>
    <row r="14" spans="1:17" x14ac:dyDescent="0.2">
      <c r="A14" s="370"/>
      <c r="B14" s="5"/>
      <c r="C14" s="371"/>
      <c r="D14" s="372" t="s">
        <v>21</v>
      </c>
      <c r="E14" s="253">
        <v>0</v>
      </c>
      <c r="F14" s="373">
        <f t="shared" si="0"/>
        <v>0</v>
      </c>
      <c r="G14" s="529"/>
      <c r="H14" s="375">
        <v>0</v>
      </c>
      <c r="I14" s="373">
        <f t="shared" si="1"/>
        <v>0</v>
      </c>
      <c r="J14" s="376"/>
      <c r="K14" s="530">
        <f t="shared" si="2"/>
        <v>0</v>
      </c>
      <c r="L14" s="378"/>
      <c r="M14" s="379"/>
      <c r="N14" s="380"/>
      <c r="O14" s="381"/>
      <c r="P14" s="382"/>
      <c r="Q14" s="383"/>
    </row>
    <row r="15" spans="1:17" x14ac:dyDescent="0.2">
      <c r="A15" s="370"/>
      <c r="B15" s="6"/>
      <c r="C15" s="371"/>
      <c r="D15" s="372" t="s">
        <v>21</v>
      </c>
      <c r="E15" s="253">
        <v>0</v>
      </c>
      <c r="F15" s="373">
        <f t="shared" si="0"/>
        <v>0</v>
      </c>
      <c r="G15" s="529"/>
      <c r="H15" s="375">
        <v>0</v>
      </c>
      <c r="I15" s="373">
        <f t="shared" si="1"/>
        <v>0</v>
      </c>
      <c r="J15" s="376"/>
      <c r="K15" s="530">
        <f t="shared" si="2"/>
        <v>0</v>
      </c>
      <c r="L15" s="378"/>
      <c r="M15" s="379"/>
      <c r="N15" s="380"/>
      <c r="O15" s="381"/>
      <c r="P15" s="382"/>
      <c r="Q15" s="383"/>
    </row>
    <row r="16" spans="1:17" x14ac:dyDescent="0.2">
      <c r="A16" s="384"/>
      <c r="B16" s="5"/>
      <c r="C16" s="371"/>
      <c r="D16" s="372" t="s">
        <v>21</v>
      </c>
      <c r="E16" s="253">
        <v>0</v>
      </c>
      <c r="F16" s="373">
        <f t="shared" si="0"/>
        <v>0</v>
      </c>
      <c r="G16" s="529"/>
      <c r="H16" s="375">
        <v>0</v>
      </c>
      <c r="I16" s="373">
        <f t="shared" si="1"/>
        <v>0</v>
      </c>
      <c r="J16" s="376"/>
      <c r="K16" s="530">
        <f t="shared" si="2"/>
        <v>0</v>
      </c>
      <c r="L16" s="378"/>
      <c r="M16" s="379"/>
      <c r="N16" s="380"/>
      <c r="O16" s="381"/>
      <c r="P16" s="382"/>
      <c r="Q16" s="383"/>
    </row>
    <row r="17" spans="1:17" x14ac:dyDescent="0.2">
      <c r="A17" s="384"/>
      <c r="B17" s="5"/>
      <c r="C17" s="371"/>
      <c r="D17" s="372" t="s">
        <v>21</v>
      </c>
      <c r="E17" s="253">
        <v>0</v>
      </c>
      <c r="F17" s="373">
        <f t="shared" si="0"/>
        <v>0</v>
      </c>
      <c r="G17" s="529"/>
      <c r="H17" s="375">
        <v>0</v>
      </c>
      <c r="I17" s="373">
        <f t="shared" si="1"/>
        <v>0</v>
      </c>
      <c r="J17" s="376"/>
      <c r="K17" s="530">
        <f t="shared" si="2"/>
        <v>0</v>
      </c>
      <c r="L17" s="157"/>
      <c r="M17" s="469"/>
      <c r="O17" s="381"/>
      <c r="P17" s="382"/>
      <c r="Q17" s="383"/>
    </row>
    <row r="18" spans="1:17" x14ac:dyDescent="0.2">
      <c r="A18" s="384"/>
      <c r="B18" s="5"/>
      <c r="C18" s="371"/>
      <c r="D18" s="372" t="s">
        <v>21</v>
      </c>
      <c r="E18" s="253">
        <v>0</v>
      </c>
      <c r="F18" s="373">
        <f t="shared" si="0"/>
        <v>0</v>
      </c>
      <c r="G18" s="529"/>
      <c r="H18" s="375">
        <v>0</v>
      </c>
      <c r="I18" s="373">
        <f t="shared" si="1"/>
        <v>0</v>
      </c>
      <c r="J18" s="376"/>
      <c r="K18" s="530">
        <f t="shared" si="2"/>
        <v>0</v>
      </c>
      <c r="L18" s="157"/>
      <c r="M18" s="469"/>
      <c r="O18" s="381"/>
      <c r="P18" s="382"/>
      <c r="Q18" s="383"/>
    </row>
    <row r="19" spans="1:17" x14ac:dyDescent="0.2">
      <c r="A19" s="384"/>
      <c r="B19" s="5"/>
      <c r="C19" s="371"/>
      <c r="D19" s="372" t="s">
        <v>21</v>
      </c>
      <c r="E19" s="253">
        <v>0</v>
      </c>
      <c r="F19" s="373">
        <f t="shared" si="0"/>
        <v>0</v>
      </c>
      <c r="G19" s="529"/>
      <c r="H19" s="375">
        <v>0</v>
      </c>
      <c r="I19" s="373">
        <f t="shared" si="1"/>
        <v>0</v>
      </c>
      <c r="J19" s="376"/>
      <c r="K19" s="530">
        <f t="shared" si="2"/>
        <v>0</v>
      </c>
      <c r="L19" s="536"/>
      <c r="M19" s="574"/>
      <c r="N19" s="537"/>
      <c r="O19" s="381"/>
      <c r="P19" s="382"/>
      <c r="Q19" s="383"/>
    </row>
    <row r="20" spans="1:17" x14ac:dyDescent="0.2">
      <c r="A20" s="384"/>
      <c r="B20" s="5"/>
      <c r="C20" s="371"/>
      <c r="D20" s="372" t="s">
        <v>21</v>
      </c>
      <c r="E20" s="253">
        <v>0</v>
      </c>
      <c r="F20" s="373">
        <f t="shared" si="0"/>
        <v>0</v>
      </c>
      <c r="G20" s="529"/>
      <c r="H20" s="375">
        <v>0</v>
      </c>
      <c r="I20" s="373">
        <f t="shared" si="1"/>
        <v>0</v>
      </c>
      <c r="J20" s="376"/>
      <c r="K20" s="530">
        <f t="shared" si="2"/>
        <v>0</v>
      </c>
      <c r="L20" s="538"/>
      <c r="M20" s="464"/>
      <c r="N20" s="539"/>
      <c r="O20" s="381"/>
      <c r="P20" s="382"/>
      <c r="Q20" s="383"/>
    </row>
    <row r="21" spans="1:17" x14ac:dyDescent="0.2">
      <c r="A21" s="384"/>
      <c r="B21" s="5"/>
      <c r="C21" s="371"/>
      <c r="D21" s="372" t="s">
        <v>21</v>
      </c>
      <c r="E21" s="253">
        <v>0</v>
      </c>
      <c r="F21" s="373">
        <f t="shared" si="0"/>
        <v>0</v>
      </c>
      <c r="G21" s="529"/>
      <c r="H21" s="375">
        <v>0</v>
      </c>
      <c r="I21" s="373">
        <f t="shared" si="1"/>
        <v>0</v>
      </c>
      <c r="J21" s="376"/>
      <c r="K21" s="530">
        <f t="shared" si="2"/>
        <v>0</v>
      </c>
      <c r="L21" s="157"/>
      <c r="M21" s="469"/>
      <c r="O21" s="381"/>
      <c r="P21" s="382"/>
      <c r="Q21" s="383"/>
    </row>
    <row r="22" spans="1:17" x14ac:dyDescent="0.2">
      <c r="A22" s="384"/>
      <c r="B22" s="5"/>
      <c r="C22" s="371"/>
      <c r="D22" s="372" t="s">
        <v>21</v>
      </c>
      <c r="E22" s="253">
        <v>0</v>
      </c>
      <c r="F22" s="373">
        <f t="shared" si="0"/>
        <v>0</v>
      </c>
      <c r="G22" s="529"/>
      <c r="H22" s="375">
        <v>0</v>
      </c>
      <c r="I22" s="373">
        <f t="shared" si="1"/>
        <v>0</v>
      </c>
      <c r="J22" s="376"/>
      <c r="K22" s="530">
        <f t="shared" si="2"/>
        <v>0</v>
      </c>
      <c r="L22" s="157"/>
      <c r="M22" s="469"/>
      <c r="O22" s="381"/>
      <c r="P22" s="382"/>
      <c r="Q22" s="383"/>
    </row>
    <row r="23" spans="1:17" ht="13.5" thickBot="1" x14ac:dyDescent="0.25">
      <c r="A23" s="387"/>
      <c r="B23" s="7"/>
      <c r="C23" s="388"/>
      <c r="D23" s="372"/>
      <c r="E23" s="253"/>
      <c r="F23" s="373"/>
      <c r="G23" s="529"/>
      <c r="H23" s="375"/>
      <c r="I23" s="373"/>
      <c r="J23" s="376"/>
      <c r="K23" s="530"/>
      <c r="L23" s="157"/>
      <c r="M23" s="469"/>
      <c r="O23" s="381"/>
      <c r="P23" s="382"/>
      <c r="Q23" s="383"/>
    </row>
    <row r="24" spans="1:17" ht="13.5" thickTop="1" x14ac:dyDescent="0.2">
      <c r="A24" s="387"/>
      <c r="B24" s="7"/>
      <c r="C24" s="388"/>
      <c r="D24" s="372"/>
      <c r="E24" s="253"/>
      <c r="F24" s="373"/>
      <c r="G24" s="529"/>
      <c r="H24" s="375"/>
      <c r="I24" s="373"/>
      <c r="J24" s="389" t="s">
        <v>30</v>
      </c>
      <c r="K24" s="532">
        <f>SUM(K11:K23)</f>
        <v>0</v>
      </c>
      <c r="L24" s="157"/>
      <c r="M24" s="469"/>
      <c r="O24" s="381"/>
      <c r="P24" s="382"/>
      <c r="Q24" s="383"/>
    </row>
    <row r="25" spans="1:17" ht="13.5" thickBot="1" x14ac:dyDescent="0.25">
      <c r="A25" s="353" t="s">
        <v>0</v>
      </c>
      <c r="B25" s="354" t="s">
        <v>1</v>
      </c>
      <c r="C25" s="939" t="s">
        <v>656</v>
      </c>
      <c r="D25" s="939"/>
      <c r="E25" s="939"/>
      <c r="F25" s="939"/>
      <c r="G25" s="939" t="s">
        <v>34</v>
      </c>
      <c r="H25" s="939"/>
      <c r="I25" s="939"/>
      <c r="J25" s="355"/>
      <c r="K25" s="523"/>
      <c r="L25" s="391"/>
      <c r="M25" s="392"/>
      <c r="N25" s="393"/>
      <c r="O25" s="381"/>
      <c r="P25" s="382"/>
      <c r="Q25" s="383"/>
    </row>
    <row r="26" spans="1:17" ht="16.5" thickBot="1" x14ac:dyDescent="0.3">
      <c r="A26" s="525" t="s">
        <v>508</v>
      </c>
      <c r="B26" s="525" t="s">
        <v>509</v>
      </c>
      <c r="C26" s="396" t="s">
        <v>19</v>
      </c>
      <c r="D26" s="397" t="s">
        <v>33</v>
      </c>
      <c r="E26" s="398" t="s">
        <v>35</v>
      </c>
      <c r="F26" s="399" t="s">
        <v>30</v>
      </c>
      <c r="G26" s="533" t="s">
        <v>14</v>
      </c>
      <c r="H26" s="398" t="s">
        <v>35</v>
      </c>
      <c r="I26" s="399" t="s">
        <v>30</v>
      </c>
      <c r="J26" s="364" t="s">
        <v>659</v>
      </c>
      <c r="K26" s="534" t="s">
        <v>38</v>
      </c>
      <c r="L26" s="402"/>
      <c r="M26" s="403"/>
      <c r="N26" s="404"/>
      <c r="O26" s="381"/>
      <c r="P26" s="382"/>
      <c r="Q26" s="383"/>
    </row>
    <row r="27" spans="1:17" s="159" customFormat="1" x14ac:dyDescent="0.2">
      <c r="A27" s="405"/>
      <c r="B27" s="406"/>
      <c r="C27" s="371"/>
      <c r="D27" s="372" t="s">
        <v>21</v>
      </c>
      <c r="E27" s="253">
        <v>0</v>
      </c>
      <c r="F27" s="373">
        <f t="shared" ref="F27:F33" si="3">C27*E27</f>
        <v>0</v>
      </c>
      <c r="G27" s="529"/>
      <c r="H27" s="375">
        <v>0</v>
      </c>
      <c r="I27" s="373">
        <f t="shared" ref="I27:I33" si="4">G27*H27</f>
        <v>0</v>
      </c>
      <c r="J27" s="376"/>
      <c r="K27" s="530">
        <f t="shared" ref="K27:K33" si="5">F27+I27+J27</f>
        <v>0</v>
      </c>
      <c r="M27" s="274"/>
      <c r="O27" s="381"/>
      <c r="P27" s="382"/>
      <c r="Q27" s="383"/>
    </row>
    <row r="28" spans="1:17" s="159" customFormat="1" x14ac:dyDescent="0.2">
      <c r="A28" s="370"/>
      <c r="B28" s="5"/>
      <c r="C28" s="371"/>
      <c r="D28" s="372" t="s">
        <v>21</v>
      </c>
      <c r="E28" s="253">
        <v>0</v>
      </c>
      <c r="F28" s="373">
        <f t="shared" si="3"/>
        <v>0</v>
      </c>
      <c r="G28" s="529"/>
      <c r="H28" s="375">
        <v>0</v>
      </c>
      <c r="I28" s="373">
        <f t="shared" si="4"/>
        <v>0</v>
      </c>
      <c r="J28" s="376"/>
      <c r="K28" s="530">
        <f t="shared" si="5"/>
        <v>0</v>
      </c>
      <c r="M28" s="276"/>
      <c r="N28" s="157"/>
      <c r="O28" s="381"/>
      <c r="P28" s="382"/>
      <c r="Q28" s="383"/>
    </row>
    <row r="29" spans="1:17" s="159" customFormat="1" x14ac:dyDescent="0.2">
      <c r="A29" s="370"/>
      <c r="B29" s="5"/>
      <c r="C29" s="371"/>
      <c r="D29" s="372" t="s">
        <v>21</v>
      </c>
      <c r="E29" s="253">
        <v>0</v>
      </c>
      <c r="F29" s="373">
        <f t="shared" si="3"/>
        <v>0</v>
      </c>
      <c r="G29" s="529"/>
      <c r="H29" s="375">
        <v>0</v>
      </c>
      <c r="I29" s="373">
        <f t="shared" si="4"/>
        <v>0</v>
      </c>
      <c r="J29" s="376"/>
      <c r="K29" s="530">
        <f t="shared" si="5"/>
        <v>0</v>
      </c>
      <c r="L29" s="378"/>
      <c r="M29" s="379"/>
      <c r="N29" s="380"/>
      <c r="O29" s="381"/>
      <c r="P29" s="382"/>
      <c r="Q29" s="383"/>
    </row>
    <row r="30" spans="1:17" s="159" customFormat="1" x14ac:dyDescent="0.2">
      <c r="A30" s="370"/>
      <c r="B30" s="5"/>
      <c r="C30" s="371"/>
      <c r="D30" s="372" t="s">
        <v>21</v>
      </c>
      <c r="E30" s="253">
        <v>0</v>
      </c>
      <c r="F30" s="373">
        <f t="shared" si="3"/>
        <v>0</v>
      </c>
      <c r="G30" s="529"/>
      <c r="H30" s="375">
        <v>0</v>
      </c>
      <c r="I30" s="373">
        <f t="shared" si="4"/>
        <v>0</v>
      </c>
      <c r="J30" s="376"/>
      <c r="K30" s="530">
        <f t="shared" si="5"/>
        <v>0</v>
      </c>
      <c r="L30" s="378"/>
      <c r="M30" s="379"/>
      <c r="N30" s="380"/>
      <c r="O30" s="381"/>
      <c r="P30" s="382"/>
      <c r="Q30" s="383"/>
    </row>
    <row r="31" spans="1:17" s="159" customFormat="1" x14ac:dyDescent="0.2">
      <c r="A31" s="370"/>
      <c r="B31" s="5"/>
      <c r="C31" s="371"/>
      <c r="D31" s="372" t="s">
        <v>21</v>
      </c>
      <c r="E31" s="253">
        <v>0</v>
      </c>
      <c r="F31" s="373">
        <f t="shared" si="3"/>
        <v>0</v>
      </c>
      <c r="G31" s="529"/>
      <c r="H31" s="375">
        <v>0</v>
      </c>
      <c r="I31" s="373">
        <f t="shared" si="4"/>
        <v>0</v>
      </c>
      <c r="J31" s="376"/>
      <c r="K31" s="530">
        <f t="shared" si="5"/>
        <v>0</v>
      </c>
      <c r="L31" s="536"/>
      <c r="M31" s="574"/>
      <c r="N31" s="537"/>
      <c r="O31" s="381"/>
      <c r="P31" s="382"/>
      <c r="Q31" s="383"/>
    </row>
    <row r="32" spans="1:17" s="159" customFormat="1" x14ac:dyDescent="0.2">
      <c r="A32" s="370"/>
      <c r="B32" s="5"/>
      <c r="C32" s="371"/>
      <c r="D32" s="372" t="s">
        <v>21</v>
      </c>
      <c r="E32" s="253">
        <v>0</v>
      </c>
      <c r="F32" s="373">
        <f t="shared" si="3"/>
        <v>0</v>
      </c>
      <c r="G32" s="529"/>
      <c r="H32" s="375">
        <v>0</v>
      </c>
      <c r="I32" s="373">
        <f t="shared" si="4"/>
        <v>0</v>
      </c>
      <c r="J32" s="376"/>
      <c r="K32" s="530">
        <f t="shared" si="5"/>
        <v>0</v>
      </c>
      <c r="M32" s="274"/>
      <c r="O32" s="381"/>
      <c r="P32" s="382"/>
      <c r="Q32" s="383"/>
    </row>
    <row r="33" spans="1:17" s="159" customFormat="1" x14ac:dyDescent="0.2">
      <c r="A33" s="370"/>
      <c r="B33" s="5"/>
      <c r="C33" s="371"/>
      <c r="D33" s="372" t="s">
        <v>21</v>
      </c>
      <c r="E33" s="253">
        <v>0</v>
      </c>
      <c r="F33" s="373">
        <f t="shared" si="3"/>
        <v>0</v>
      </c>
      <c r="G33" s="529"/>
      <c r="H33" s="375">
        <v>0</v>
      </c>
      <c r="I33" s="373">
        <f t="shared" si="4"/>
        <v>0</v>
      </c>
      <c r="J33" s="376"/>
      <c r="K33" s="530">
        <f t="shared" si="5"/>
        <v>0</v>
      </c>
      <c r="M33" s="274"/>
      <c r="O33" s="381"/>
      <c r="P33" s="382"/>
      <c r="Q33" s="383"/>
    </row>
    <row r="34" spans="1:17" s="159" customFormat="1" ht="13.5" thickBot="1" x14ac:dyDescent="0.25">
      <c r="A34" s="370"/>
      <c r="B34" s="5"/>
      <c r="C34" s="388"/>
      <c r="D34" s="372"/>
      <c r="E34" s="253"/>
      <c r="F34" s="373"/>
      <c r="G34" s="529"/>
      <c r="H34" s="375"/>
      <c r="I34" s="373"/>
      <c r="J34" s="376"/>
      <c r="K34" s="535"/>
      <c r="L34" s="157"/>
      <c r="M34" s="469"/>
      <c r="N34" s="157"/>
      <c r="O34" s="381"/>
      <c r="P34" s="382"/>
      <c r="Q34" s="383"/>
    </row>
    <row r="35" spans="1:17" s="159" customFormat="1" ht="13.5" thickTop="1" x14ac:dyDescent="0.2">
      <c r="A35" s="387"/>
      <c r="B35" s="5"/>
      <c r="C35" s="388"/>
      <c r="D35" s="372"/>
      <c r="E35" s="253"/>
      <c r="F35" s="373"/>
      <c r="G35" s="529"/>
      <c r="H35" s="375"/>
      <c r="I35" s="373"/>
      <c r="J35" s="389" t="s">
        <v>30</v>
      </c>
      <c r="K35" s="532">
        <f>SUM(K27:K34)</f>
        <v>0</v>
      </c>
      <c r="L35" s="378"/>
      <c r="M35" s="379"/>
      <c r="N35" s="380"/>
      <c r="O35" s="381"/>
      <c r="P35" s="382"/>
      <c r="Q35" s="383"/>
    </row>
    <row r="36" spans="1:17" s="159" customFormat="1" ht="13.5" thickBot="1" x14ac:dyDescent="0.25">
      <c r="A36" s="353" t="s">
        <v>0</v>
      </c>
      <c r="B36" s="354" t="s">
        <v>1</v>
      </c>
      <c r="C36" s="939" t="s">
        <v>656</v>
      </c>
      <c r="D36" s="939"/>
      <c r="E36" s="939"/>
      <c r="F36" s="939"/>
      <c r="G36" s="939" t="s">
        <v>34</v>
      </c>
      <c r="H36" s="939"/>
      <c r="I36" s="939"/>
      <c r="J36" s="355"/>
      <c r="K36" s="523"/>
      <c r="L36" s="391"/>
      <c r="M36" s="392"/>
      <c r="N36" s="393"/>
      <c r="O36" s="381"/>
      <c r="P36" s="382"/>
      <c r="Q36" s="383"/>
    </row>
    <row r="37" spans="1:17" s="159" customFormat="1" ht="16.5" thickBot="1" x14ac:dyDescent="0.3">
      <c r="A37" s="525" t="s">
        <v>510</v>
      </c>
      <c r="B37" s="525" t="s">
        <v>511</v>
      </c>
      <c r="C37" s="396" t="s">
        <v>19</v>
      </c>
      <c r="D37" s="397" t="s">
        <v>33</v>
      </c>
      <c r="E37" s="398" t="s">
        <v>35</v>
      </c>
      <c r="F37" s="399" t="s">
        <v>30</v>
      </c>
      <c r="G37" s="533" t="s">
        <v>14</v>
      </c>
      <c r="H37" s="398" t="s">
        <v>35</v>
      </c>
      <c r="I37" s="399" t="s">
        <v>30</v>
      </c>
      <c r="J37" s="364" t="s">
        <v>659</v>
      </c>
      <c r="K37" s="534" t="s">
        <v>38</v>
      </c>
      <c r="L37" s="402"/>
      <c r="M37" s="408"/>
      <c r="N37" s="409"/>
      <c r="O37" s="410"/>
      <c r="P37" s="411"/>
      <c r="Q37" s="383"/>
    </row>
    <row r="38" spans="1:17" s="159" customFormat="1" x14ac:dyDescent="0.2">
      <c r="A38" s="405"/>
      <c r="B38" s="406"/>
      <c r="C38" s="371"/>
      <c r="D38" s="372" t="s">
        <v>21</v>
      </c>
      <c r="E38" s="253">
        <v>0</v>
      </c>
      <c r="F38" s="373">
        <f>C38*E38</f>
        <v>0</v>
      </c>
      <c r="G38" s="529"/>
      <c r="H38" s="375">
        <v>0</v>
      </c>
      <c r="I38" s="373">
        <f>G38*H38</f>
        <v>0</v>
      </c>
      <c r="J38" s="376"/>
      <c r="K38" s="530">
        <f>F38+I38+J38</f>
        <v>0</v>
      </c>
      <c r="L38" s="378"/>
      <c r="M38" s="379"/>
      <c r="N38" s="380"/>
      <c r="O38" s="410"/>
      <c r="P38" s="411"/>
      <c r="Q38" s="383"/>
    </row>
    <row r="39" spans="1:17" s="159" customFormat="1" x14ac:dyDescent="0.2">
      <c r="A39" s="370"/>
      <c r="B39" s="5"/>
      <c r="C39" s="371"/>
      <c r="D39" s="372" t="s">
        <v>21</v>
      </c>
      <c r="E39" s="253">
        <v>0</v>
      </c>
      <c r="F39" s="373">
        <f>C39*E39</f>
        <v>0</v>
      </c>
      <c r="G39" s="529"/>
      <c r="H39" s="375">
        <v>0</v>
      </c>
      <c r="I39" s="373">
        <f>G39*H39</f>
        <v>0</v>
      </c>
      <c r="J39" s="376"/>
      <c r="K39" s="530">
        <f>F39+I39+J39</f>
        <v>0</v>
      </c>
      <c r="M39" s="274"/>
      <c r="O39" s="410"/>
      <c r="P39" s="411"/>
      <c r="Q39" s="383"/>
    </row>
    <row r="40" spans="1:17" s="159" customFormat="1" x14ac:dyDescent="0.2">
      <c r="A40" s="370"/>
      <c r="B40" s="5"/>
      <c r="C40" s="371"/>
      <c r="D40" s="372" t="s">
        <v>21</v>
      </c>
      <c r="E40" s="253">
        <v>0</v>
      </c>
      <c r="F40" s="373">
        <f>C40*E40</f>
        <v>0</v>
      </c>
      <c r="G40" s="529"/>
      <c r="H40" s="375">
        <v>0</v>
      </c>
      <c r="I40" s="373">
        <f>G40*H40</f>
        <v>0</v>
      </c>
      <c r="J40" s="376"/>
      <c r="K40" s="530">
        <f>F40+I40+J40</f>
        <v>0</v>
      </c>
      <c r="M40" s="274"/>
      <c r="O40" s="410"/>
      <c r="P40" s="411"/>
      <c r="Q40" s="383"/>
    </row>
    <row r="41" spans="1:17" s="159" customFormat="1" x14ac:dyDescent="0.2">
      <c r="A41" s="387"/>
      <c r="B41" s="412"/>
      <c r="C41" s="388"/>
      <c r="D41" s="372"/>
      <c r="E41" s="253"/>
      <c r="F41" s="373"/>
      <c r="G41" s="529"/>
      <c r="H41" s="375"/>
      <c r="I41" s="373"/>
      <c r="J41" s="376"/>
      <c r="K41" s="535"/>
      <c r="L41" s="378"/>
      <c r="M41" s="379"/>
      <c r="N41" s="380"/>
      <c r="O41" s="410"/>
      <c r="P41" s="411"/>
      <c r="Q41" s="383"/>
    </row>
    <row r="42" spans="1:17" s="159" customFormat="1" ht="13.5" thickBot="1" x14ac:dyDescent="0.25">
      <c r="A42" s="387"/>
      <c r="B42" s="412"/>
      <c r="C42" s="388"/>
      <c r="D42" s="372"/>
      <c r="E42" s="253"/>
      <c r="F42" s="373"/>
      <c r="G42" s="529"/>
      <c r="H42" s="375"/>
      <c r="I42" s="373"/>
      <c r="J42" s="376"/>
      <c r="K42" s="535"/>
      <c r="M42" s="276"/>
      <c r="N42" s="157"/>
      <c r="O42" s="410"/>
      <c r="P42" s="411"/>
      <c r="Q42" s="383"/>
    </row>
    <row r="43" spans="1:17" s="159" customFormat="1" ht="13.5" thickTop="1" x14ac:dyDescent="0.2">
      <c r="A43" s="387"/>
      <c r="B43" s="412"/>
      <c r="C43" s="388"/>
      <c r="D43" s="372"/>
      <c r="E43" s="253"/>
      <c r="F43" s="373"/>
      <c r="G43" s="529"/>
      <c r="H43" s="375"/>
      <c r="I43" s="373"/>
      <c r="J43" s="389" t="s">
        <v>30</v>
      </c>
      <c r="K43" s="532">
        <f>SUM(K38:K42)</f>
        <v>0</v>
      </c>
      <c r="M43" s="276"/>
      <c r="N43" s="157"/>
      <c r="O43" s="381"/>
      <c r="P43" s="382"/>
      <c r="Q43" s="383"/>
    </row>
    <row r="44" spans="1:17" s="159" customFormat="1" ht="13.5" thickBot="1" x14ac:dyDescent="0.25">
      <c r="A44" s="353" t="s">
        <v>0</v>
      </c>
      <c r="B44" s="354" t="s">
        <v>1</v>
      </c>
      <c r="C44" s="939" t="s">
        <v>656</v>
      </c>
      <c r="D44" s="939"/>
      <c r="E44" s="939"/>
      <c r="F44" s="939"/>
      <c r="G44" s="939" t="s">
        <v>34</v>
      </c>
      <c r="H44" s="939"/>
      <c r="I44" s="939"/>
      <c r="J44" s="355"/>
      <c r="K44" s="523"/>
      <c r="L44" s="391"/>
      <c r="M44" s="392"/>
      <c r="N44" s="393"/>
      <c r="O44" s="381"/>
      <c r="P44" s="382"/>
      <c r="Q44" s="383"/>
    </row>
    <row r="45" spans="1:17" s="159" customFormat="1" ht="15.75" x14ac:dyDescent="0.25">
      <c r="A45" s="525" t="s">
        <v>512</v>
      </c>
      <c r="B45" s="525" t="s">
        <v>514</v>
      </c>
      <c r="C45" s="396" t="s">
        <v>19</v>
      </c>
      <c r="D45" s="397" t="s">
        <v>33</v>
      </c>
      <c r="E45" s="398" t="s">
        <v>35</v>
      </c>
      <c r="F45" s="399" t="s">
        <v>30</v>
      </c>
      <c r="G45" s="533" t="s">
        <v>14</v>
      </c>
      <c r="H45" s="398" t="s">
        <v>35</v>
      </c>
      <c r="I45" s="399" t="s">
        <v>30</v>
      </c>
      <c r="J45" s="364" t="s">
        <v>659</v>
      </c>
      <c r="K45" s="534" t="s">
        <v>38</v>
      </c>
      <c r="L45" s="402"/>
      <c r="M45" s="408"/>
      <c r="N45" s="409"/>
      <c r="O45" s="381"/>
      <c r="P45" s="411"/>
      <c r="Q45" s="383"/>
    </row>
    <row r="46" spans="1:17" s="159" customFormat="1" ht="15" x14ac:dyDescent="0.2">
      <c r="A46" s="804" t="s">
        <v>513</v>
      </c>
      <c r="B46" s="804" t="s">
        <v>515</v>
      </c>
      <c r="C46" s="371"/>
      <c r="D46" s="372" t="s">
        <v>21</v>
      </c>
      <c r="E46" s="253">
        <v>0</v>
      </c>
      <c r="F46" s="373">
        <f>C46*E46</f>
        <v>0</v>
      </c>
      <c r="G46" s="529"/>
      <c r="H46" s="375">
        <v>0</v>
      </c>
      <c r="I46" s="373">
        <f>G46*H46</f>
        <v>0</v>
      </c>
      <c r="J46" s="376"/>
      <c r="K46" s="530">
        <f>F46+I46+J46</f>
        <v>0</v>
      </c>
      <c r="L46" s="378"/>
      <c r="M46" s="255"/>
      <c r="N46" s="421"/>
      <c r="O46" s="381"/>
      <c r="P46" s="382"/>
      <c r="Q46" s="383"/>
    </row>
    <row r="47" spans="1:17" s="159" customFormat="1" x14ac:dyDescent="0.2">
      <c r="A47" s="370"/>
      <c r="B47" s="5"/>
      <c r="C47" s="371"/>
      <c r="D47" s="372" t="s">
        <v>21</v>
      </c>
      <c r="E47" s="253">
        <v>0</v>
      </c>
      <c r="F47" s="373">
        <f>C47*E47</f>
        <v>0</v>
      </c>
      <c r="G47" s="529"/>
      <c r="H47" s="375">
        <v>0</v>
      </c>
      <c r="I47" s="373">
        <f>G47*H47</f>
        <v>0</v>
      </c>
      <c r="J47" s="376"/>
      <c r="K47" s="530">
        <f>F47+I47+J47</f>
        <v>0</v>
      </c>
      <c r="L47" s="536"/>
      <c r="M47" s="574"/>
      <c r="N47" s="537"/>
      <c r="O47" s="381"/>
      <c r="P47" s="382"/>
      <c r="Q47" s="383"/>
    </row>
    <row r="48" spans="1:17" s="159" customFormat="1" x14ac:dyDescent="0.2">
      <c r="A48" s="370"/>
      <c r="B48" s="5"/>
      <c r="C48" s="371"/>
      <c r="D48" s="372" t="s">
        <v>21</v>
      </c>
      <c r="E48" s="253">
        <v>0</v>
      </c>
      <c r="F48" s="373">
        <f>C48*E48</f>
        <v>0</v>
      </c>
      <c r="G48" s="529"/>
      <c r="H48" s="375">
        <v>0</v>
      </c>
      <c r="I48" s="373">
        <f>G48*H48</f>
        <v>0</v>
      </c>
      <c r="J48" s="376"/>
      <c r="K48" s="530">
        <f>F48+I48+J48</f>
        <v>0</v>
      </c>
      <c r="L48" s="538"/>
      <c r="M48" s="255"/>
      <c r="N48" s="421"/>
      <c r="O48" s="381"/>
      <c r="P48" s="382"/>
      <c r="Q48" s="383"/>
    </row>
    <row r="49" spans="1:17" s="159" customFormat="1" x14ac:dyDescent="0.2">
      <c r="A49" s="370"/>
      <c r="B49" s="5"/>
      <c r="C49" s="371"/>
      <c r="D49" s="372" t="s">
        <v>21</v>
      </c>
      <c r="E49" s="253">
        <v>0</v>
      </c>
      <c r="F49" s="373">
        <f>C49*E49</f>
        <v>0</v>
      </c>
      <c r="G49" s="529"/>
      <c r="H49" s="375">
        <v>0</v>
      </c>
      <c r="I49" s="373">
        <f>G49*H49</f>
        <v>0</v>
      </c>
      <c r="J49" s="376"/>
      <c r="K49" s="530">
        <f>F49+I49+J49</f>
        <v>0</v>
      </c>
      <c r="L49" s="664"/>
      <c r="M49" s="255"/>
      <c r="N49" s="421"/>
      <c r="O49" s="381"/>
      <c r="P49" s="382"/>
      <c r="Q49" s="383"/>
    </row>
    <row r="50" spans="1:17" s="159" customFormat="1" x14ac:dyDescent="0.2">
      <c r="A50" s="370"/>
      <c r="B50" s="5"/>
      <c r="C50" s="371"/>
      <c r="D50" s="372" t="s">
        <v>21</v>
      </c>
      <c r="E50" s="253">
        <v>0</v>
      </c>
      <c r="F50" s="373">
        <f>C50*E50</f>
        <v>0</v>
      </c>
      <c r="G50" s="529"/>
      <c r="H50" s="375">
        <v>0</v>
      </c>
      <c r="I50" s="373">
        <f>G50*H50</f>
        <v>0</v>
      </c>
      <c r="J50" s="376"/>
      <c r="K50" s="530">
        <f>F50+I50+J50</f>
        <v>0</v>
      </c>
      <c r="L50" s="378"/>
      <c r="M50" s="255"/>
      <c r="N50" s="421"/>
      <c r="O50" s="381"/>
      <c r="P50" s="382"/>
      <c r="Q50" s="383"/>
    </row>
    <row r="51" spans="1:17" s="159" customFormat="1" ht="13.5" thickBot="1" x14ac:dyDescent="0.25">
      <c r="A51" s="387"/>
      <c r="B51" s="412"/>
      <c r="C51" s="388"/>
      <c r="D51" s="372"/>
      <c r="E51" s="253"/>
      <c r="F51" s="373"/>
      <c r="G51" s="529"/>
      <c r="H51" s="375"/>
      <c r="I51" s="373"/>
      <c r="J51" s="376"/>
      <c r="K51" s="535"/>
      <c r="L51" s="378"/>
      <c r="M51" s="255"/>
      <c r="N51" s="380"/>
      <c r="O51" s="381"/>
      <c r="P51" s="382"/>
      <c r="Q51" s="383"/>
    </row>
    <row r="52" spans="1:17" s="159" customFormat="1" ht="14.25" thickTop="1" thickBot="1" x14ac:dyDescent="0.25">
      <c r="A52" s="387"/>
      <c r="B52" s="412"/>
      <c r="C52" s="388"/>
      <c r="D52" s="372"/>
      <c r="E52" s="253"/>
      <c r="F52" s="373"/>
      <c r="G52" s="529"/>
      <c r="H52" s="375"/>
      <c r="I52" s="373"/>
      <c r="J52" s="389" t="s">
        <v>30</v>
      </c>
      <c r="K52" s="532">
        <f>SUM(K46:K51)</f>
        <v>0</v>
      </c>
      <c r="L52" s="679"/>
      <c r="M52" s="680"/>
      <c r="N52" s="585"/>
      <c r="O52" s="681"/>
      <c r="P52" s="682"/>
      <c r="Q52" s="462"/>
    </row>
    <row r="53" spans="1:17" s="159" customFormat="1" ht="14.1" customHeight="1" thickTop="1" x14ac:dyDescent="0.25">
      <c r="A53" s="478"/>
      <c r="B53" s="479"/>
      <c r="C53" s="480"/>
      <c r="D53" s="480"/>
      <c r="E53" s="481"/>
      <c r="F53" s="969" t="s">
        <v>658</v>
      </c>
      <c r="G53" s="992" t="s">
        <v>684</v>
      </c>
      <c r="H53" s="481"/>
      <c r="I53" s="962" t="s">
        <v>657</v>
      </c>
      <c r="J53" s="958" t="s">
        <v>685</v>
      </c>
      <c r="K53" s="956" t="s">
        <v>31</v>
      </c>
      <c r="M53" s="276"/>
      <c r="N53" s="157"/>
      <c r="O53" s="302"/>
      <c r="P53" s="302"/>
    </row>
    <row r="54" spans="1:17" s="159" customFormat="1" ht="14.1" customHeight="1" x14ac:dyDescent="0.2">
      <c r="A54" s="482" t="s">
        <v>32</v>
      </c>
      <c r="B54" s="964" t="s">
        <v>672</v>
      </c>
      <c r="C54" s="483"/>
      <c r="D54" s="484"/>
      <c r="E54" s="484"/>
      <c r="F54" s="970"/>
      <c r="G54" s="993"/>
      <c r="H54" s="485"/>
      <c r="I54" s="963"/>
      <c r="J54" s="959"/>
      <c r="K54" s="957"/>
      <c r="M54" s="276"/>
      <c r="N54" s="157"/>
      <c r="O54" s="302"/>
      <c r="P54" s="302"/>
    </row>
    <row r="55" spans="1:17" s="159" customFormat="1" ht="15" x14ac:dyDescent="0.25">
      <c r="A55" s="486">
        <f>K55/E6</f>
        <v>0</v>
      </c>
      <c r="B55" s="964"/>
      <c r="C55" s="484"/>
      <c r="D55" s="484"/>
      <c r="E55" s="484"/>
      <c r="F55" s="952">
        <f>SUM(F46:F51,F38:F42,F27:F34,F11:F23)</f>
        <v>0</v>
      </c>
      <c r="G55" s="1134">
        <f>SUM(G46:G51,G38:G42,G27:G34,G11:G23)</f>
        <v>0</v>
      </c>
      <c r="H55" s="485"/>
      <c r="I55" s="952">
        <f>SUM(I46:I51,I38:I42,I27:I34,I11:I23)</f>
        <v>0</v>
      </c>
      <c r="J55" s="952">
        <f>SUM(J46:J51,J38:J42,J27:J34,J11:J23)</f>
        <v>0</v>
      </c>
      <c r="K55" s="954">
        <f>K52+K43+K35+K24</f>
        <v>0</v>
      </c>
      <c r="M55" s="276"/>
      <c r="N55" s="157"/>
      <c r="O55" s="302"/>
      <c r="P55" s="302"/>
    </row>
    <row r="56" spans="1:17" s="159" customFormat="1" ht="14.25" x14ac:dyDescent="0.2">
      <c r="A56" s="482"/>
      <c r="B56" s="550"/>
      <c r="C56" s="550"/>
      <c r="D56" s="550"/>
      <c r="E56" s="550"/>
      <c r="F56" s="952"/>
      <c r="G56" s="997"/>
      <c r="H56" s="550"/>
      <c r="I56" s="952"/>
      <c r="J56" s="952"/>
      <c r="K56" s="954"/>
      <c r="M56" s="276"/>
      <c r="N56" s="157"/>
      <c r="O56" s="302"/>
      <c r="P56" s="302"/>
    </row>
    <row r="57" spans="1:17" s="159" customFormat="1" ht="13.5" thickBot="1" x14ac:dyDescent="0.25">
      <c r="A57" s="489"/>
      <c r="B57" s="490"/>
      <c r="C57" s="490"/>
      <c r="D57" s="490"/>
      <c r="E57" s="490"/>
      <c r="F57" s="490"/>
      <c r="G57" s="490"/>
      <c r="H57" s="490"/>
      <c r="I57" s="490"/>
      <c r="J57" s="490"/>
      <c r="K57" s="491"/>
      <c r="M57" s="276"/>
      <c r="N57" s="157"/>
      <c r="O57" s="302"/>
      <c r="P57" s="302"/>
    </row>
    <row r="58" spans="1:17" s="159" customFormat="1" x14ac:dyDescent="0.2">
      <c r="C58" s="655"/>
      <c r="D58" s="655"/>
      <c r="J58" s="274"/>
      <c r="M58" s="276"/>
      <c r="N58" s="157"/>
      <c r="O58" s="302"/>
      <c r="P58" s="302"/>
    </row>
    <row r="59" spans="1:17" s="159" customFormat="1" x14ac:dyDescent="0.2">
      <c r="C59" s="655"/>
      <c r="D59" s="655"/>
      <c r="J59" s="274"/>
      <c r="M59" s="276"/>
      <c r="N59" s="157"/>
      <c r="O59" s="302"/>
      <c r="P59" s="302"/>
    </row>
    <row r="60" spans="1:17" s="159" customFormat="1" x14ac:dyDescent="0.2">
      <c r="C60" s="655"/>
      <c r="D60" s="655"/>
      <c r="J60" s="274"/>
      <c r="M60" s="276"/>
      <c r="N60" s="157"/>
      <c r="O60" s="302"/>
      <c r="P60" s="302"/>
    </row>
    <row r="61" spans="1:17" s="159" customFormat="1" x14ac:dyDescent="0.2">
      <c r="C61" s="655"/>
      <c r="D61" s="655"/>
      <c r="J61" s="274"/>
      <c r="M61" s="276"/>
      <c r="N61" s="157"/>
      <c r="O61" s="302"/>
      <c r="P61" s="302"/>
    </row>
    <row r="62" spans="1:17" s="159" customFormat="1" x14ac:dyDescent="0.2">
      <c r="C62" s="655"/>
      <c r="D62" s="655"/>
      <c r="J62" s="274"/>
      <c r="M62" s="276"/>
      <c r="N62" s="157"/>
      <c r="O62" s="302"/>
      <c r="P62" s="302"/>
    </row>
    <row r="63" spans="1:17" s="159" customFormat="1" x14ac:dyDescent="0.2">
      <c r="C63" s="655"/>
      <c r="D63" s="655"/>
      <c r="J63" s="274"/>
      <c r="M63" s="276"/>
      <c r="N63" s="157"/>
      <c r="O63" s="302"/>
      <c r="P63" s="302"/>
    </row>
    <row r="64" spans="1:17" s="159" customFormat="1" x14ac:dyDescent="0.2">
      <c r="C64" s="655"/>
      <c r="D64" s="655"/>
      <c r="J64" s="274"/>
      <c r="M64" s="276"/>
      <c r="N64" s="157"/>
      <c r="O64" s="302"/>
      <c r="P64" s="302"/>
    </row>
    <row r="65" spans="3:16" s="159" customFormat="1" x14ac:dyDescent="0.2">
      <c r="C65" s="655"/>
      <c r="D65" s="655"/>
      <c r="J65" s="274"/>
      <c r="M65" s="276"/>
      <c r="N65" s="157"/>
      <c r="O65" s="302"/>
      <c r="P65" s="302"/>
    </row>
    <row r="66" spans="3:16" s="159" customFormat="1" x14ac:dyDescent="0.2">
      <c r="C66" s="655"/>
      <c r="D66" s="655"/>
      <c r="J66" s="274"/>
      <c r="M66" s="276"/>
      <c r="N66" s="157"/>
      <c r="O66" s="302"/>
      <c r="P66" s="302"/>
    </row>
    <row r="67" spans="3:16" s="159" customFormat="1" x14ac:dyDescent="0.2">
      <c r="C67" s="655"/>
      <c r="D67" s="655"/>
      <c r="J67" s="274"/>
      <c r="M67" s="276"/>
      <c r="N67" s="157"/>
      <c r="O67" s="302"/>
      <c r="P67" s="302"/>
    </row>
    <row r="68" spans="3:16" s="159" customFormat="1" x14ac:dyDescent="0.2">
      <c r="C68" s="655"/>
      <c r="D68" s="655"/>
      <c r="J68" s="274"/>
      <c r="M68" s="276"/>
      <c r="N68" s="157"/>
      <c r="O68" s="302"/>
      <c r="P68" s="302"/>
    </row>
    <row r="69" spans="3:16" s="159" customFormat="1" x14ac:dyDescent="0.2">
      <c r="C69" s="655"/>
      <c r="D69" s="655"/>
      <c r="J69" s="274"/>
      <c r="M69" s="276"/>
      <c r="N69" s="157"/>
      <c r="O69" s="302"/>
      <c r="P69" s="302"/>
    </row>
    <row r="70" spans="3:16" s="159" customFormat="1" x14ac:dyDescent="0.2">
      <c r="C70" s="655"/>
      <c r="D70" s="655"/>
      <c r="J70" s="274"/>
      <c r="M70" s="276"/>
      <c r="N70" s="157"/>
      <c r="O70" s="302"/>
      <c r="P70" s="302"/>
    </row>
    <row r="71" spans="3:16" s="159" customFormat="1" x14ac:dyDescent="0.2">
      <c r="C71" s="655"/>
      <c r="D71" s="655"/>
      <c r="J71" s="274"/>
      <c r="M71" s="276"/>
      <c r="N71" s="157"/>
      <c r="O71" s="302"/>
      <c r="P71" s="302"/>
    </row>
    <row r="72" spans="3:16" s="159" customFormat="1" x14ac:dyDescent="0.2">
      <c r="C72" s="655"/>
      <c r="D72" s="655"/>
      <c r="J72" s="274"/>
      <c r="M72" s="276"/>
      <c r="N72" s="157"/>
      <c r="O72" s="302"/>
      <c r="P72" s="302"/>
    </row>
    <row r="73" spans="3:16" s="159" customFormat="1" x14ac:dyDescent="0.2">
      <c r="C73" s="655"/>
      <c r="D73" s="655"/>
      <c r="J73" s="274"/>
      <c r="M73" s="276"/>
      <c r="N73" s="157"/>
      <c r="O73" s="302"/>
      <c r="P73" s="302"/>
    </row>
    <row r="74" spans="3:16" s="159" customFormat="1" x14ac:dyDescent="0.2">
      <c r="C74" s="655"/>
      <c r="D74" s="655"/>
      <c r="J74" s="274"/>
      <c r="M74" s="276"/>
      <c r="N74" s="157"/>
      <c r="O74" s="302"/>
      <c r="P74" s="302"/>
    </row>
    <row r="75" spans="3:16" s="159" customFormat="1" x14ac:dyDescent="0.2">
      <c r="C75" s="655"/>
      <c r="D75" s="655"/>
      <c r="J75" s="274"/>
      <c r="M75" s="276"/>
      <c r="N75" s="157"/>
      <c r="O75" s="302"/>
      <c r="P75" s="302"/>
    </row>
    <row r="76" spans="3:16" s="159" customFormat="1" x14ac:dyDescent="0.2">
      <c r="C76" s="655"/>
      <c r="D76" s="655"/>
      <c r="J76" s="274"/>
      <c r="M76" s="276"/>
      <c r="N76" s="157"/>
      <c r="O76" s="302"/>
      <c r="P76" s="302"/>
    </row>
    <row r="77" spans="3:16" s="159" customFormat="1" x14ac:dyDescent="0.2">
      <c r="C77" s="655"/>
      <c r="D77" s="655"/>
      <c r="J77" s="274"/>
      <c r="M77" s="276"/>
      <c r="N77" s="157"/>
      <c r="O77" s="302"/>
      <c r="P77" s="302"/>
    </row>
    <row r="78" spans="3:16" s="159" customFormat="1" x14ac:dyDescent="0.2">
      <c r="C78" s="655"/>
      <c r="D78" s="655"/>
      <c r="J78" s="274"/>
      <c r="M78" s="276"/>
      <c r="N78" s="157"/>
      <c r="O78" s="302"/>
      <c r="P78" s="302"/>
    </row>
    <row r="79" spans="3:16" s="159" customFormat="1" x14ac:dyDescent="0.2">
      <c r="C79" s="655"/>
      <c r="D79" s="655"/>
      <c r="J79" s="274"/>
      <c r="M79" s="276"/>
      <c r="N79" s="157"/>
      <c r="O79" s="302"/>
      <c r="P79" s="302"/>
    </row>
    <row r="80" spans="3:16" s="159" customFormat="1" x14ac:dyDescent="0.2">
      <c r="C80" s="655"/>
      <c r="D80" s="655"/>
      <c r="J80" s="274"/>
      <c r="M80" s="276"/>
      <c r="N80" s="157"/>
      <c r="O80" s="302"/>
      <c r="P80" s="302"/>
    </row>
    <row r="81" spans="3:16" s="159" customFormat="1" x14ac:dyDescent="0.2">
      <c r="C81" s="655"/>
      <c r="D81" s="655"/>
      <c r="J81" s="274"/>
      <c r="M81" s="276"/>
      <c r="N81" s="157"/>
      <c r="O81" s="302"/>
      <c r="P81" s="302"/>
    </row>
    <row r="82" spans="3:16" s="159" customFormat="1" x14ac:dyDescent="0.2">
      <c r="C82" s="655"/>
      <c r="D82" s="655"/>
      <c r="J82" s="274"/>
      <c r="M82" s="276"/>
      <c r="N82" s="157"/>
      <c r="O82" s="302"/>
      <c r="P82" s="302"/>
    </row>
    <row r="83" spans="3:16" s="159" customFormat="1" x14ac:dyDescent="0.2">
      <c r="C83" s="655"/>
      <c r="D83" s="655"/>
      <c r="J83" s="274"/>
      <c r="M83" s="276"/>
      <c r="N83" s="157"/>
      <c r="O83" s="302"/>
      <c r="P83" s="302"/>
    </row>
    <row r="84" spans="3:16" s="159" customFormat="1" x14ac:dyDescent="0.2">
      <c r="C84" s="655"/>
      <c r="D84" s="655"/>
      <c r="J84" s="274"/>
      <c r="M84" s="276"/>
      <c r="N84" s="157"/>
      <c r="O84" s="302"/>
      <c r="P84" s="302"/>
    </row>
    <row r="85" spans="3:16" s="159" customFormat="1" x14ac:dyDescent="0.2">
      <c r="C85" s="655"/>
      <c r="D85" s="655"/>
      <c r="J85" s="274"/>
      <c r="M85" s="276"/>
      <c r="N85" s="157"/>
      <c r="O85" s="302"/>
      <c r="P85" s="302"/>
    </row>
    <row r="86" spans="3:16" s="159" customFormat="1" x14ac:dyDescent="0.2">
      <c r="C86" s="655"/>
      <c r="D86" s="655"/>
      <c r="J86" s="274"/>
      <c r="M86" s="276"/>
      <c r="N86" s="157"/>
      <c r="O86" s="302"/>
      <c r="P86" s="302"/>
    </row>
    <row r="87" spans="3:16" s="159" customFormat="1" x14ac:dyDescent="0.2">
      <c r="C87" s="655"/>
      <c r="D87" s="655"/>
      <c r="J87" s="274"/>
      <c r="M87" s="276"/>
      <c r="N87" s="157"/>
      <c r="O87" s="302"/>
      <c r="P87" s="302"/>
    </row>
    <row r="88" spans="3:16" s="159" customFormat="1" x14ac:dyDescent="0.2">
      <c r="C88" s="655"/>
      <c r="D88" s="655"/>
      <c r="J88" s="274"/>
      <c r="M88" s="276"/>
      <c r="N88" s="157"/>
      <c r="O88" s="302"/>
      <c r="P88" s="302"/>
    </row>
    <row r="89" spans="3:16" s="159" customFormat="1" x14ac:dyDescent="0.2">
      <c r="C89" s="655"/>
      <c r="D89" s="655"/>
      <c r="J89" s="274"/>
      <c r="M89" s="276"/>
      <c r="N89" s="157"/>
      <c r="O89" s="302"/>
      <c r="P89" s="302"/>
    </row>
    <row r="90" spans="3:16" s="159" customFormat="1" x14ac:dyDescent="0.2">
      <c r="C90" s="655"/>
      <c r="D90" s="655"/>
      <c r="J90" s="274"/>
      <c r="M90" s="276"/>
      <c r="N90" s="157"/>
      <c r="O90" s="302"/>
      <c r="P90" s="302"/>
    </row>
    <row r="91" spans="3:16" s="159" customFormat="1" x14ac:dyDescent="0.2">
      <c r="C91" s="655"/>
      <c r="D91" s="655"/>
      <c r="J91" s="274"/>
      <c r="M91" s="276"/>
      <c r="N91" s="157"/>
      <c r="O91" s="302"/>
      <c r="P91" s="302"/>
    </row>
    <row r="92" spans="3:16" s="159" customFormat="1" x14ac:dyDescent="0.2">
      <c r="C92" s="655"/>
      <c r="D92" s="655"/>
      <c r="J92" s="274"/>
      <c r="M92" s="276"/>
      <c r="N92" s="157"/>
      <c r="O92" s="302"/>
      <c r="P92" s="302"/>
    </row>
    <row r="93" spans="3:16" s="159" customFormat="1" x14ac:dyDescent="0.2">
      <c r="C93" s="655"/>
      <c r="D93" s="655"/>
      <c r="J93" s="274"/>
      <c r="M93" s="276"/>
      <c r="N93" s="157"/>
      <c r="O93" s="302"/>
      <c r="P93" s="302"/>
    </row>
    <row r="94" spans="3:16" s="159" customFormat="1" x14ac:dyDescent="0.2">
      <c r="C94" s="655"/>
      <c r="D94" s="655"/>
      <c r="J94" s="274"/>
      <c r="M94" s="276"/>
      <c r="N94" s="157"/>
      <c r="O94" s="302"/>
      <c r="P94" s="302"/>
    </row>
    <row r="95" spans="3:16" s="159" customFormat="1" x14ac:dyDescent="0.2">
      <c r="C95" s="655"/>
      <c r="D95" s="655"/>
      <c r="J95" s="274"/>
      <c r="M95" s="276"/>
      <c r="N95" s="157"/>
      <c r="O95" s="302"/>
      <c r="P95" s="302"/>
    </row>
    <row r="96" spans="3:16" s="159" customFormat="1" x14ac:dyDescent="0.2">
      <c r="C96" s="655"/>
      <c r="D96" s="655"/>
      <c r="J96" s="274"/>
      <c r="M96" s="276"/>
      <c r="N96" s="157"/>
      <c r="O96" s="302"/>
      <c r="P96" s="302"/>
    </row>
    <row r="97" spans="3:16" s="159" customFormat="1" x14ac:dyDescent="0.2">
      <c r="C97" s="655"/>
      <c r="D97" s="655"/>
      <c r="J97" s="274"/>
      <c r="M97" s="276"/>
      <c r="N97" s="157"/>
      <c r="O97" s="302"/>
      <c r="P97" s="302"/>
    </row>
    <row r="98" spans="3:16" s="159" customFormat="1" x14ac:dyDescent="0.2">
      <c r="C98" s="655"/>
      <c r="D98" s="655"/>
      <c r="J98" s="274"/>
      <c r="M98" s="276"/>
      <c r="N98" s="157"/>
      <c r="O98" s="302"/>
      <c r="P98" s="302"/>
    </row>
    <row r="99" spans="3:16" s="159" customFormat="1" x14ac:dyDescent="0.2">
      <c r="C99" s="655"/>
      <c r="D99" s="655"/>
      <c r="J99" s="274"/>
      <c r="M99" s="276"/>
      <c r="N99" s="157"/>
      <c r="O99" s="302"/>
      <c r="P99" s="302"/>
    </row>
    <row r="100" spans="3:16" s="159" customFormat="1" x14ac:dyDescent="0.2">
      <c r="C100" s="655"/>
      <c r="D100" s="655"/>
      <c r="J100" s="274"/>
      <c r="M100" s="276"/>
      <c r="N100" s="157"/>
      <c r="O100" s="302"/>
      <c r="P100" s="302"/>
    </row>
    <row r="101" spans="3:16" s="159" customFormat="1" x14ac:dyDescent="0.2">
      <c r="C101" s="655"/>
      <c r="D101" s="655"/>
      <c r="J101" s="274"/>
      <c r="M101" s="276"/>
      <c r="N101" s="157"/>
      <c r="O101" s="302"/>
      <c r="P101" s="302"/>
    </row>
    <row r="102" spans="3:16" s="159" customFormat="1" x14ac:dyDescent="0.2">
      <c r="C102" s="655"/>
      <c r="D102" s="655"/>
      <c r="J102" s="274"/>
      <c r="M102" s="276"/>
      <c r="N102" s="157"/>
      <c r="O102" s="302"/>
      <c r="P102" s="302"/>
    </row>
    <row r="103" spans="3:16" s="159" customFormat="1" x14ac:dyDescent="0.2">
      <c r="C103" s="655"/>
      <c r="D103" s="655"/>
      <c r="J103" s="274"/>
      <c r="M103" s="276"/>
      <c r="N103" s="157"/>
      <c r="O103" s="302"/>
      <c r="P103" s="302"/>
    </row>
    <row r="104" spans="3:16" s="159" customFormat="1" x14ac:dyDescent="0.2">
      <c r="C104" s="655"/>
      <c r="D104" s="655"/>
      <c r="J104" s="274"/>
      <c r="M104" s="276"/>
      <c r="N104" s="157"/>
      <c r="O104" s="302"/>
      <c r="P104" s="302"/>
    </row>
    <row r="105" spans="3:16" s="159" customFormat="1" x14ac:dyDescent="0.2">
      <c r="C105" s="655"/>
      <c r="D105" s="655"/>
      <c r="J105" s="274"/>
      <c r="M105" s="276"/>
      <c r="N105" s="157"/>
      <c r="O105" s="302"/>
      <c r="P105" s="302"/>
    </row>
    <row r="106" spans="3:16" s="159" customFormat="1" x14ac:dyDescent="0.2">
      <c r="C106" s="655"/>
      <c r="D106" s="655"/>
      <c r="J106" s="274"/>
      <c r="M106" s="276"/>
      <c r="N106" s="157"/>
      <c r="O106" s="302"/>
      <c r="P106" s="302"/>
    </row>
    <row r="107" spans="3:16" s="159" customFormat="1" x14ac:dyDescent="0.2">
      <c r="C107" s="655"/>
      <c r="D107" s="655"/>
      <c r="J107" s="274"/>
      <c r="M107" s="276"/>
      <c r="N107" s="157"/>
      <c r="O107" s="302"/>
      <c r="P107" s="302"/>
    </row>
    <row r="108" spans="3:16" s="159" customFormat="1" x14ac:dyDescent="0.2">
      <c r="C108" s="655"/>
      <c r="D108" s="655"/>
      <c r="J108" s="274"/>
      <c r="M108" s="276"/>
      <c r="N108" s="157"/>
      <c r="O108" s="302"/>
      <c r="P108" s="302"/>
    </row>
    <row r="109" spans="3:16" s="159" customFormat="1" x14ac:dyDescent="0.2">
      <c r="C109" s="655"/>
      <c r="D109" s="655"/>
      <c r="J109" s="274"/>
      <c r="M109" s="276"/>
      <c r="N109" s="157"/>
      <c r="O109" s="302"/>
      <c r="P109" s="302"/>
    </row>
    <row r="110" spans="3:16" s="159" customFormat="1" x14ac:dyDescent="0.2">
      <c r="C110" s="655"/>
      <c r="D110" s="655"/>
      <c r="J110" s="274"/>
      <c r="M110" s="276"/>
      <c r="N110" s="157"/>
      <c r="O110" s="302"/>
      <c r="P110" s="302"/>
    </row>
    <row r="111" spans="3:16" s="159" customFormat="1" x14ac:dyDescent="0.2">
      <c r="C111" s="655"/>
      <c r="D111" s="655"/>
      <c r="J111" s="274"/>
      <c r="M111" s="276"/>
      <c r="N111" s="157"/>
      <c r="O111" s="302"/>
      <c r="P111" s="302"/>
    </row>
    <row r="112" spans="3:16" s="159" customFormat="1" x14ac:dyDescent="0.2">
      <c r="C112" s="655"/>
      <c r="D112" s="655"/>
      <c r="J112" s="274"/>
      <c r="M112" s="276"/>
      <c r="N112" s="157"/>
      <c r="O112" s="302"/>
      <c r="P112" s="302"/>
    </row>
    <row r="113" spans="3:16" s="159" customFormat="1" x14ac:dyDescent="0.2">
      <c r="C113" s="655"/>
      <c r="D113" s="655"/>
      <c r="J113" s="274"/>
      <c r="M113" s="276"/>
      <c r="N113" s="157"/>
      <c r="O113" s="302"/>
      <c r="P113" s="302"/>
    </row>
    <row r="114" spans="3:16" s="159" customFormat="1" x14ac:dyDescent="0.2">
      <c r="C114" s="655"/>
      <c r="D114" s="655"/>
      <c r="J114" s="274"/>
      <c r="M114" s="276"/>
      <c r="N114" s="157"/>
      <c r="O114" s="302"/>
      <c r="P114" s="302"/>
    </row>
    <row r="115" spans="3:16" s="159" customFormat="1" x14ac:dyDescent="0.2">
      <c r="C115" s="655"/>
      <c r="D115" s="655"/>
      <c r="J115" s="274"/>
      <c r="M115" s="276"/>
      <c r="N115" s="157"/>
      <c r="O115" s="302"/>
      <c r="P115" s="302"/>
    </row>
    <row r="116" spans="3:16" s="159" customFormat="1" x14ac:dyDescent="0.2">
      <c r="C116" s="655"/>
      <c r="D116" s="655"/>
      <c r="J116" s="274"/>
      <c r="M116" s="276"/>
      <c r="N116" s="157"/>
      <c r="O116" s="302"/>
      <c r="P116" s="302"/>
    </row>
    <row r="117" spans="3:16" s="159" customFormat="1" x14ac:dyDescent="0.2">
      <c r="C117" s="655"/>
      <c r="D117" s="655"/>
      <c r="J117" s="274"/>
      <c r="M117" s="276"/>
      <c r="N117" s="157"/>
      <c r="O117" s="302"/>
      <c r="P117" s="302"/>
    </row>
    <row r="118" spans="3:16" s="159" customFormat="1" x14ac:dyDescent="0.2">
      <c r="C118" s="655"/>
      <c r="D118" s="655"/>
      <c r="J118" s="274"/>
      <c r="M118" s="276"/>
      <c r="N118" s="157"/>
      <c r="O118" s="302"/>
      <c r="P118" s="302"/>
    </row>
    <row r="119" spans="3:16" s="159" customFormat="1" x14ac:dyDescent="0.2">
      <c r="C119" s="655"/>
      <c r="D119" s="655"/>
      <c r="J119" s="274"/>
      <c r="M119" s="276"/>
      <c r="N119" s="157"/>
      <c r="O119" s="302"/>
      <c r="P119" s="302"/>
    </row>
    <row r="120" spans="3:16" s="159" customFormat="1" x14ac:dyDescent="0.2">
      <c r="C120" s="655"/>
      <c r="D120" s="655"/>
      <c r="J120" s="274"/>
      <c r="M120" s="276"/>
      <c r="N120" s="157"/>
      <c r="O120" s="302"/>
      <c r="P120" s="302"/>
    </row>
    <row r="121" spans="3:16" s="159" customFormat="1" x14ac:dyDescent="0.2">
      <c r="C121" s="655"/>
      <c r="D121" s="655"/>
      <c r="J121" s="274"/>
      <c r="M121" s="276"/>
      <c r="N121" s="157"/>
      <c r="O121" s="302"/>
      <c r="P121" s="302"/>
    </row>
    <row r="122" spans="3:16" s="159" customFormat="1" x14ac:dyDescent="0.2">
      <c r="C122" s="655"/>
      <c r="D122" s="655"/>
      <c r="J122" s="274"/>
      <c r="M122" s="276"/>
      <c r="N122" s="157"/>
      <c r="O122" s="302"/>
      <c r="P122" s="302"/>
    </row>
    <row r="123" spans="3:16" s="159" customFormat="1" x14ac:dyDescent="0.2">
      <c r="C123" s="655"/>
      <c r="D123" s="655"/>
      <c r="J123" s="274"/>
      <c r="M123" s="276"/>
      <c r="N123" s="157"/>
      <c r="O123" s="302"/>
      <c r="P123" s="302"/>
    </row>
    <row r="124" spans="3:16" s="159" customFormat="1" x14ac:dyDescent="0.2">
      <c r="C124" s="655"/>
      <c r="D124" s="655"/>
      <c r="J124" s="274"/>
      <c r="M124" s="276"/>
      <c r="N124" s="157"/>
      <c r="O124" s="302"/>
      <c r="P124" s="302"/>
    </row>
    <row r="125" spans="3:16" s="159" customFormat="1" x14ac:dyDescent="0.2">
      <c r="C125" s="655"/>
      <c r="D125" s="655"/>
      <c r="J125" s="274"/>
      <c r="M125" s="276"/>
      <c r="N125" s="157"/>
      <c r="O125" s="302"/>
      <c r="P125" s="302"/>
    </row>
    <row r="126" spans="3:16" s="159" customFormat="1" x14ac:dyDescent="0.2">
      <c r="C126" s="655"/>
      <c r="D126" s="655"/>
      <c r="J126" s="274"/>
      <c r="M126" s="276"/>
      <c r="N126" s="157"/>
      <c r="O126" s="302"/>
      <c r="P126" s="302"/>
    </row>
    <row r="127" spans="3:16" s="159" customFormat="1" x14ac:dyDescent="0.2">
      <c r="C127" s="655"/>
      <c r="D127" s="655"/>
      <c r="J127" s="274"/>
      <c r="M127" s="276"/>
      <c r="N127" s="157"/>
      <c r="O127" s="302"/>
      <c r="P127" s="302"/>
    </row>
    <row r="128" spans="3:16" s="159" customFormat="1" x14ac:dyDescent="0.2">
      <c r="C128" s="655"/>
      <c r="D128" s="655"/>
      <c r="J128" s="274"/>
      <c r="M128" s="276"/>
      <c r="N128" s="157"/>
      <c r="O128" s="302"/>
      <c r="P128" s="302"/>
    </row>
    <row r="129" spans="3:16" s="159" customFormat="1" x14ac:dyDescent="0.2">
      <c r="C129" s="655"/>
      <c r="D129" s="655"/>
      <c r="J129" s="274"/>
      <c r="M129" s="276"/>
      <c r="N129" s="157"/>
      <c r="O129" s="302"/>
      <c r="P129" s="302"/>
    </row>
    <row r="130" spans="3:16" s="159" customFormat="1" x14ac:dyDescent="0.2">
      <c r="C130" s="655"/>
      <c r="D130" s="655"/>
      <c r="J130" s="274"/>
      <c r="M130" s="276"/>
      <c r="N130" s="157"/>
      <c r="O130" s="302"/>
      <c r="P130" s="302"/>
    </row>
    <row r="131" spans="3:16" s="159" customFormat="1" x14ac:dyDescent="0.2">
      <c r="C131" s="655"/>
      <c r="D131" s="655"/>
      <c r="J131" s="274"/>
      <c r="M131" s="276"/>
      <c r="N131" s="157"/>
      <c r="O131" s="302"/>
      <c r="P131" s="302"/>
    </row>
    <row r="132" spans="3:16" s="159" customFormat="1" x14ac:dyDescent="0.2">
      <c r="C132" s="655"/>
      <c r="D132" s="655"/>
      <c r="J132" s="274"/>
      <c r="M132" s="276"/>
      <c r="N132" s="157"/>
      <c r="O132" s="302"/>
      <c r="P132" s="302"/>
    </row>
    <row r="133" spans="3:16" s="159" customFormat="1" x14ac:dyDescent="0.2">
      <c r="C133" s="655"/>
      <c r="D133" s="655"/>
      <c r="J133" s="274"/>
      <c r="M133" s="276"/>
      <c r="N133" s="157"/>
      <c r="O133" s="302"/>
      <c r="P133" s="302"/>
    </row>
    <row r="134" spans="3:16" s="159" customFormat="1" x14ac:dyDescent="0.2">
      <c r="C134" s="655"/>
      <c r="D134" s="655"/>
      <c r="J134" s="274"/>
      <c r="M134" s="276"/>
      <c r="N134" s="157"/>
      <c r="O134" s="302"/>
      <c r="P134" s="302"/>
    </row>
    <row r="135" spans="3:16" s="159" customFormat="1" x14ac:dyDescent="0.2">
      <c r="C135" s="655"/>
      <c r="D135" s="655"/>
      <c r="J135" s="274"/>
      <c r="M135" s="276"/>
      <c r="N135" s="157"/>
      <c r="O135" s="302"/>
      <c r="P135" s="302"/>
    </row>
    <row r="136" spans="3:16" s="159" customFormat="1" x14ac:dyDescent="0.2">
      <c r="C136" s="655"/>
      <c r="D136" s="655"/>
      <c r="J136" s="274"/>
      <c r="M136" s="276"/>
      <c r="N136" s="157"/>
      <c r="O136" s="302"/>
      <c r="P136" s="302"/>
    </row>
    <row r="137" spans="3:16" s="159" customFormat="1" x14ac:dyDescent="0.2">
      <c r="C137" s="655"/>
      <c r="D137" s="655"/>
      <c r="J137" s="274"/>
      <c r="M137" s="276"/>
      <c r="N137" s="157"/>
      <c r="O137" s="302"/>
      <c r="P137" s="302"/>
    </row>
    <row r="138" spans="3:16" s="159" customFormat="1" x14ac:dyDescent="0.2">
      <c r="C138" s="655"/>
      <c r="D138" s="655"/>
      <c r="J138" s="274"/>
      <c r="M138" s="276"/>
      <c r="N138" s="157"/>
      <c r="O138" s="302"/>
      <c r="P138" s="302"/>
    </row>
    <row r="139" spans="3:16" s="159" customFormat="1" x14ac:dyDescent="0.2">
      <c r="C139" s="655"/>
      <c r="D139" s="655"/>
      <c r="J139" s="274"/>
      <c r="M139" s="276"/>
      <c r="N139" s="157"/>
      <c r="O139" s="302"/>
      <c r="P139" s="302"/>
    </row>
    <row r="140" spans="3:16" s="159" customFormat="1" x14ac:dyDescent="0.2">
      <c r="C140" s="655"/>
      <c r="D140" s="655"/>
      <c r="J140" s="274"/>
      <c r="M140" s="276"/>
      <c r="N140" s="157"/>
      <c r="O140" s="302"/>
      <c r="P140" s="302"/>
    </row>
    <row r="141" spans="3:16" s="159" customFormat="1" x14ac:dyDescent="0.2">
      <c r="C141" s="655"/>
      <c r="D141" s="655"/>
      <c r="J141" s="274"/>
      <c r="M141" s="276"/>
      <c r="N141" s="157"/>
      <c r="O141" s="302"/>
      <c r="P141" s="302"/>
    </row>
    <row r="142" spans="3:16" s="159" customFormat="1" x14ac:dyDescent="0.2">
      <c r="C142" s="655"/>
      <c r="D142" s="655"/>
      <c r="J142" s="274"/>
      <c r="M142" s="276"/>
      <c r="N142" s="157"/>
      <c r="O142" s="302"/>
      <c r="P142" s="302"/>
    </row>
    <row r="143" spans="3:16" s="159" customFormat="1" x14ac:dyDescent="0.2">
      <c r="C143" s="655"/>
      <c r="D143" s="655"/>
      <c r="J143" s="274"/>
      <c r="M143" s="276"/>
      <c r="N143" s="157"/>
      <c r="O143" s="302"/>
      <c r="P143" s="302"/>
    </row>
    <row r="144" spans="3:16" s="159" customFormat="1" x14ac:dyDescent="0.2">
      <c r="C144" s="655"/>
      <c r="D144" s="655"/>
      <c r="J144" s="274"/>
      <c r="M144" s="276"/>
      <c r="N144" s="157"/>
      <c r="O144" s="302"/>
      <c r="P144" s="302"/>
    </row>
    <row r="145" spans="3:16" s="159" customFormat="1" x14ac:dyDescent="0.2">
      <c r="C145" s="655"/>
      <c r="D145" s="655"/>
      <c r="J145" s="274"/>
      <c r="M145" s="276"/>
      <c r="N145" s="157"/>
      <c r="O145" s="302"/>
      <c r="P145" s="302"/>
    </row>
    <row r="146" spans="3:16" s="159" customFormat="1" x14ac:dyDescent="0.2">
      <c r="C146" s="655"/>
      <c r="D146" s="655"/>
      <c r="J146" s="274"/>
      <c r="M146" s="276"/>
      <c r="N146" s="157"/>
      <c r="O146" s="302"/>
      <c r="P146" s="302"/>
    </row>
    <row r="147" spans="3:16" s="159" customFormat="1" x14ac:dyDescent="0.2">
      <c r="C147" s="655"/>
      <c r="D147" s="655"/>
      <c r="J147" s="274"/>
      <c r="M147" s="276"/>
      <c r="N147" s="157"/>
      <c r="O147" s="302"/>
      <c r="P147" s="302"/>
    </row>
    <row r="148" spans="3:16" s="159" customFormat="1" x14ac:dyDescent="0.2">
      <c r="C148" s="655"/>
      <c r="D148" s="655"/>
      <c r="J148" s="274"/>
      <c r="M148" s="276"/>
      <c r="N148" s="157"/>
      <c r="O148" s="302"/>
      <c r="P148" s="302"/>
    </row>
    <row r="149" spans="3:16" s="159" customFormat="1" x14ac:dyDescent="0.2">
      <c r="C149" s="655"/>
      <c r="D149" s="655"/>
      <c r="J149" s="274"/>
      <c r="M149" s="276"/>
      <c r="N149" s="157"/>
      <c r="O149" s="302"/>
      <c r="P149" s="302"/>
    </row>
    <row r="150" spans="3:16" s="159" customFormat="1" x14ac:dyDescent="0.2">
      <c r="C150" s="655"/>
      <c r="D150" s="655"/>
      <c r="J150" s="274"/>
      <c r="M150" s="276"/>
      <c r="N150" s="157"/>
      <c r="O150" s="302"/>
      <c r="P150" s="302"/>
    </row>
    <row r="151" spans="3:16" s="159" customFormat="1" x14ac:dyDescent="0.2">
      <c r="C151" s="655"/>
      <c r="D151" s="655"/>
      <c r="J151" s="274"/>
      <c r="M151" s="276"/>
      <c r="N151" s="157"/>
      <c r="O151" s="302"/>
      <c r="P151" s="302"/>
    </row>
    <row r="152" spans="3:16" s="159" customFormat="1" x14ac:dyDescent="0.2">
      <c r="C152" s="655"/>
      <c r="D152" s="655"/>
      <c r="J152" s="274"/>
      <c r="M152" s="276"/>
      <c r="N152" s="157"/>
      <c r="O152" s="302"/>
      <c r="P152" s="302"/>
    </row>
    <row r="153" spans="3:16" s="159" customFormat="1" x14ac:dyDescent="0.2">
      <c r="C153" s="655"/>
      <c r="D153" s="655"/>
      <c r="J153" s="274"/>
      <c r="M153" s="276"/>
      <c r="N153" s="157"/>
      <c r="O153" s="302"/>
      <c r="P153" s="302"/>
    </row>
    <row r="154" spans="3:16" s="159" customFormat="1" x14ac:dyDescent="0.2">
      <c r="C154" s="655"/>
      <c r="D154" s="655"/>
      <c r="J154" s="274"/>
      <c r="M154" s="276"/>
      <c r="N154" s="157"/>
      <c r="O154" s="302"/>
      <c r="P154" s="302"/>
    </row>
    <row r="155" spans="3:16" s="159" customFormat="1" x14ac:dyDescent="0.2">
      <c r="C155" s="655"/>
      <c r="D155" s="655"/>
      <c r="J155" s="274"/>
      <c r="M155" s="276"/>
      <c r="N155" s="157"/>
      <c r="O155" s="302"/>
      <c r="P155" s="302"/>
    </row>
    <row r="156" spans="3:16" s="159" customFormat="1" x14ac:dyDescent="0.2">
      <c r="C156" s="655"/>
      <c r="D156" s="655"/>
      <c r="J156" s="274"/>
      <c r="M156" s="276"/>
      <c r="N156" s="157"/>
      <c r="O156" s="302"/>
      <c r="P156" s="302"/>
    </row>
    <row r="157" spans="3:16" s="159" customFormat="1" x14ac:dyDescent="0.2">
      <c r="C157" s="655"/>
      <c r="D157" s="655"/>
      <c r="J157" s="274"/>
      <c r="M157" s="276"/>
      <c r="N157" s="157"/>
      <c r="O157" s="302"/>
      <c r="P157" s="302"/>
    </row>
    <row r="158" spans="3:16" s="159" customFormat="1" x14ac:dyDescent="0.2">
      <c r="C158" s="655"/>
      <c r="D158" s="655"/>
      <c r="J158" s="274"/>
      <c r="M158" s="276"/>
      <c r="N158" s="157"/>
      <c r="O158" s="302"/>
      <c r="P158" s="302"/>
    </row>
    <row r="159" spans="3:16" s="159" customFormat="1" x14ac:dyDescent="0.2">
      <c r="C159" s="655"/>
      <c r="D159" s="655"/>
      <c r="J159" s="274"/>
      <c r="M159" s="276"/>
      <c r="N159" s="157"/>
      <c r="O159" s="302"/>
      <c r="P159" s="302"/>
    </row>
    <row r="160" spans="3:16" s="159" customFormat="1" x14ac:dyDescent="0.2">
      <c r="C160" s="655"/>
      <c r="D160" s="655"/>
      <c r="J160" s="274"/>
      <c r="M160" s="276"/>
      <c r="N160" s="157"/>
      <c r="O160" s="302"/>
      <c r="P160" s="302"/>
    </row>
    <row r="161" spans="3:16" s="159" customFormat="1" x14ac:dyDescent="0.2">
      <c r="C161" s="655"/>
      <c r="D161" s="655"/>
      <c r="J161" s="274"/>
      <c r="M161" s="276"/>
      <c r="N161" s="157"/>
      <c r="O161" s="302"/>
      <c r="P161" s="302"/>
    </row>
    <row r="162" spans="3:16" s="159" customFormat="1" x14ac:dyDescent="0.2">
      <c r="C162" s="655"/>
      <c r="D162" s="655"/>
      <c r="J162" s="274"/>
      <c r="M162" s="276"/>
      <c r="N162" s="157"/>
      <c r="O162" s="302"/>
      <c r="P162" s="302"/>
    </row>
    <row r="163" spans="3:16" s="159" customFormat="1" x14ac:dyDescent="0.2">
      <c r="C163" s="655"/>
      <c r="D163" s="655"/>
      <c r="J163" s="274"/>
      <c r="M163" s="276"/>
      <c r="N163" s="157"/>
      <c r="O163" s="302"/>
      <c r="P163" s="302"/>
    </row>
    <row r="164" spans="3:16" s="159" customFormat="1" x14ac:dyDescent="0.2">
      <c r="C164" s="655"/>
      <c r="D164" s="655"/>
      <c r="J164" s="274"/>
      <c r="M164" s="276"/>
      <c r="N164" s="157"/>
      <c r="O164" s="302"/>
      <c r="P164" s="302"/>
    </row>
    <row r="165" spans="3:16" s="159" customFormat="1" x14ac:dyDescent="0.2">
      <c r="C165" s="655"/>
      <c r="D165" s="655"/>
      <c r="J165" s="274"/>
      <c r="M165" s="276"/>
      <c r="N165" s="157"/>
      <c r="O165" s="302"/>
      <c r="P165" s="302"/>
    </row>
    <row r="166" spans="3:16" s="159" customFormat="1" x14ac:dyDescent="0.2">
      <c r="C166" s="655"/>
      <c r="D166" s="655"/>
      <c r="J166" s="274"/>
      <c r="M166" s="276"/>
      <c r="N166" s="157"/>
      <c r="O166" s="302"/>
      <c r="P166" s="302"/>
    </row>
    <row r="167" spans="3:16" s="159" customFormat="1" x14ac:dyDescent="0.2">
      <c r="C167" s="655"/>
      <c r="D167" s="655"/>
      <c r="J167" s="274"/>
      <c r="M167" s="276"/>
      <c r="N167" s="157"/>
      <c r="O167" s="302"/>
      <c r="P167" s="302"/>
    </row>
    <row r="168" spans="3:16" s="159" customFormat="1" x14ac:dyDescent="0.2">
      <c r="C168" s="655"/>
      <c r="D168" s="655"/>
      <c r="J168" s="274"/>
      <c r="M168" s="276"/>
      <c r="N168" s="157"/>
      <c r="O168" s="302"/>
      <c r="P168" s="302"/>
    </row>
    <row r="169" spans="3:16" s="159" customFormat="1" x14ac:dyDescent="0.2">
      <c r="C169" s="655"/>
      <c r="D169" s="655"/>
      <c r="J169" s="274"/>
      <c r="M169" s="276"/>
      <c r="N169" s="157"/>
      <c r="O169" s="302"/>
      <c r="P169" s="302"/>
    </row>
    <row r="170" spans="3:16" s="159" customFormat="1" x14ac:dyDescent="0.2">
      <c r="C170" s="655"/>
      <c r="D170" s="655"/>
      <c r="J170" s="274"/>
      <c r="M170" s="276"/>
      <c r="N170" s="157"/>
      <c r="O170" s="302"/>
      <c r="P170" s="302"/>
    </row>
    <row r="171" spans="3:16" s="159" customFormat="1" x14ac:dyDescent="0.2">
      <c r="C171" s="655"/>
      <c r="D171" s="655"/>
      <c r="J171" s="274"/>
      <c r="M171" s="276"/>
      <c r="N171" s="157"/>
      <c r="O171" s="302"/>
      <c r="P171" s="302"/>
    </row>
    <row r="172" spans="3:16" s="159" customFormat="1" x14ac:dyDescent="0.2">
      <c r="C172" s="655"/>
      <c r="D172" s="655"/>
      <c r="J172" s="274"/>
      <c r="M172" s="276"/>
      <c r="N172" s="157"/>
      <c r="O172" s="302"/>
      <c r="P172" s="302"/>
    </row>
    <row r="173" spans="3:16" s="159" customFormat="1" x14ac:dyDescent="0.2">
      <c r="C173" s="655"/>
      <c r="D173" s="655"/>
      <c r="J173" s="274"/>
      <c r="M173" s="276"/>
      <c r="N173" s="157"/>
      <c r="O173" s="302"/>
      <c r="P173" s="302"/>
    </row>
    <row r="174" spans="3:16" s="159" customFormat="1" x14ac:dyDescent="0.2">
      <c r="C174" s="655"/>
      <c r="D174" s="655"/>
      <c r="J174" s="274"/>
      <c r="M174" s="276"/>
      <c r="N174" s="157"/>
      <c r="O174" s="302"/>
      <c r="P174" s="302"/>
    </row>
    <row r="175" spans="3:16" s="159" customFormat="1" x14ac:dyDescent="0.2">
      <c r="C175" s="655"/>
      <c r="D175" s="655"/>
      <c r="J175" s="274"/>
      <c r="M175" s="276"/>
      <c r="N175" s="157"/>
      <c r="O175" s="302"/>
      <c r="P175" s="302"/>
    </row>
    <row r="176" spans="3:16" s="159" customFormat="1" x14ac:dyDescent="0.2">
      <c r="C176" s="655"/>
      <c r="D176" s="655"/>
      <c r="J176" s="274"/>
      <c r="M176" s="276"/>
      <c r="N176" s="157"/>
      <c r="O176" s="302"/>
      <c r="P176" s="302"/>
    </row>
    <row r="177" spans="3:16" s="159" customFormat="1" x14ac:dyDescent="0.2">
      <c r="C177" s="655"/>
      <c r="D177" s="655"/>
      <c r="J177" s="274"/>
      <c r="M177" s="276"/>
      <c r="N177" s="157"/>
      <c r="O177" s="302"/>
      <c r="P177" s="302"/>
    </row>
    <row r="178" spans="3:16" s="159" customFormat="1" x14ac:dyDescent="0.2">
      <c r="C178" s="655"/>
      <c r="D178" s="655"/>
      <c r="J178" s="274"/>
      <c r="M178" s="276"/>
      <c r="N178" s="157"/>
      <c r="O178" s="302"/>
      <c r="P178" s="302"/>
    </row>
    <row r="179" spans="3:16" s="159" customFormat="1" x14ac:dyDescent="0.2">
      <c r="C179" s="655"/>
      <c r="D179" s="655"/>
      <c r="J179" s="274"/>
      <c r="M179" s="276"/>
      <c r="N179" s="157"/>
      <c r="O179" s="302"/>
      <c r="P179" s="302"/>
    </row>
    <row r="180" spans="3:16" s="159" customFormat="1" x14ac:dyDescent="0.2">
      <c r="C180" s="655"/>
      <c r="D180" s="655"/>
      <c r="J180" s="274"/>
      <c r="M180" s="276"/>
      <c r="N180" s="157"/>
      <c r="O180" s="302"/>
      <c r="P180" s="302"/>
    </row>
    <row r="181" spans="3:16" s="159" customFormat="1" x14ac:dyDescent="0.2">
      <c r="C181" s="655"/>
      <c r="D181" s="655"/>
      <c r="J181" s="274"/>
      <c r="M181" s="276"/>
      <c r="N181" s="157"/>
      <c r="O181" s="302"/>
      <c r="P181" s="302"/>
    </row>
    <row r="182" spans="3:16" s="159" customFormat="1" x14ac:dyDescent="0.2">
      <c r="C182" s="655"/>
      <c r="D182" s="655"/>
      <c r="J182" s="274"/>
      <c r="M182" s="276"/>
      <c r="N182" s="157"/>
      <c r="O182" s="302"/>
      <c r="P182" s="302"/>
    </row>
    <row r="183" spans="3:16" s="159" customFormat="1" x14ac:dyDescent="0.2">
      <c r="C183" s="655"/>
      <c r="D183" s="655"/>
      <c r="J183" s="274"/>
      <c r="M183" s="276"/>
      <c r="N183" s="157"/>
      <c r="O183" s="302"/>
      <c r="P183" s="302"/>
    </row>
    <row r="184" spans="3:16" s="159" customFormat="1" x14ac:dyDescent="0.2">
      <c r="C184" s="655"/>
      <c r="D184" s="655"/>
      <c r="J184" s="274"/>
      <c r="M184" s="276"/>
      <c r="N184" s="157"/>
      <c r="O184" s="302"/>
      <c r="P184" s="302"/>
    </row>
    <row r="185" spans="3:16" s="159" customFormat="1" x14ac:dyDescent="0.2">
      <c r="C185" s="655"/>
      <c r="D185" s="655"/>
      <c r="J185" s="274"/>
      <c r="M185" s="276"/>
      <c r="N185" s="157"/>
      <c r="O185" s="302"/>
      <c r="P185" s="302"/>
    </row>
    <row r="186" spans="3:16" s="159" customFormat="1" x14ac:dyDescent="0.2">
      <c r="C186" s="655"/>
      <c r="D186" s="655"/>
      <c r="J186" s="274"/>
      <c r="M186" s="276"/>
      <c r="N186" s="157"/>
      <c r="O186" s="302"/>
      <c r="P186" s="302"/>
    </row>
    <row r="187" spans="3:16" s="159" customFormat="1" x14ac:dyDescent="0.2">
      <c r="C187" s="655"/>
      <c r="D187" s="655"/>
      <c r="J187" s="274"/>
      <c r="M187" s="276"/>
      <c r="N187" s="157"/>
      <c r="O187" s="302"/>
      <c r="P187" s="302"/>
    </row>
    <row r="188" spans="3:16" s="159" customFormat="1" x14ac:dyDescent="0.2">
      <c r="C188" s="655"/>
      <c r="D188" s="655"/>
      <c r="J188" s="274"/>
      <c r="M188" s="276"/>
      <c r="N188" s="157"/>
      <c r="O188" s="302"/>
      <c r="P188" s="302"/>
    </row>
    <row r="189" spans="3:16" s="159" customFormat="1" x14ac:dyDescent="0.2">
      <c r="C189" s="655"/>
      <c r="D189" s="655"/>
      <c r="J189" s="274"/>
      <c r="M189" s="276"/>
      <c r="N189" s="157"/>
      <c r="O189" s="302"/>
      <c r="P189" s="302"/>
    </row>
    <row r="190" spans="3:16" s="159" customFormat="1" x14ac:dyDescent="0.2">
      <c r="C190" s="655"/>
      <c r="D190" s="655"/>
      <c r="J190" s="274"/>
      <c r="M190" s="276"/>
      <c r="N190" s="157"/>
      <c r="O190" s="302"/>
      <c r="P190" s="302"/>
    </row>
    <row r="191" spans="3:16" s="159" customFormat="1" x14ac:dyDescent="0.2">
      <c r="C191" s="655"/>
      <c r="D191" s="655"/>
      <c r="J191" s="274"/>
      <c r="M191" s="276"/>
      <c r="N191" s="157"/>
      <c r="O191" s="302"/>
      <c r="P191" s="302"/>
    </row>
    <row r="192" spans="3:16" s="159" customFormat="1" x14ac:dyDescent="0.2">
      <c r="C192" s="655"/>
      <c r="D192" s="655"/>
      <c r="J192" s="274"/>
      <c r="M192" s="276"/>
      <c r="N192" s="157"/>
      <c r="O192" s="302"/>
      <c r="P192" s="302"/>
    </row>
    <row r="193" spans="3:16" s="159" customFormat="1" x14ac:dyDescent="0.2">
      <c r="C193" s="655"/>
      <c r="D193" s="655"/>
      <c r="J193" s="274"/>
      <c r="M193" s="276"/>
      <c r="N193" s="157"/>
      <c r="O193" s="302"/>
      <c r="P193" s="302"/>
    </row>
    <row r="194" spans="3:16" s="159" customFormat="1" x14ac:dyDescent="0.2">
      <c r="C194" s="655"/>
      <c r="D194" s="655"/>
      <c r="J194" s="274"/>
      <c r="M194" s="276"/>
      <c r="N194" s="157"/>
      <c r="O194" s="302"/>
      <c r="P194" s="302"/>
    </row>
    <row r="195" spans="3:16" s="159" customFormat="1" x14ac:dyDescent="0.2">
      <c r="C195" s="655"/>
      <c r="D195" s="655"/>
      <c r="J195" s="274"/>
      <c r="M195" s="276"/>
      <c r="N195" s="157"/>
      <c r="O195" s="302"/>
      <c r="P195" s="302"/>
    </row>
    <row r="196" spans="3:16" s="159" customFormat="1" x14ac:dyDescent="0.2">
      <c r="C196" s="655"/>
      <c r="D196" s="655"/>
      <c r="J196" s="274"/>
      <c r="M196" s="276"/>
      <c r="N196" s="157"/>
      <c r="O196" s="302"/>
      <c r="P196" s="302"/>
    </row>
    <row r="197" spans="3:16" s="159" customFormat="1" x14ac:dyDescent="0.2">
      <c r="C197" s="655"/>
      <c r="D197" s="655"/>
      <c r="J197" s="274"/>
      <c r="M197" s="276"/>
      <c r="N197" s="157"/>
      <c r="O197" s="302"/>
      <c r="P197" s="302"/>
    </row>
    <row r="198" spans="3:16" s="159" customFormat="1" x14ac:dyDescent="0.2">
      <c r="C198" s="655"/>
      <c r="D198" s="655"/>
      <c r="J198" s="274"/>
      <c r="M198" s="276"/>
      <c r="N198" s="157"/>
      <c r="O198" s="302"/>
      <c r="P198" s="302"/>
    </row>
    <row r="199" spans="3:16" s="159" customFormat="1" x14ac:dyDescent="0.2">
      <c r="C199" s="655"/>
      <c r="D199" s="655"/>
      <c r="J199" s="274"/>
      <c r="M199" s="276"/>
      <c r="N199" s="157"/>
      <c r="O199" s="302"/>
      <c r="P199" s="302"/>
    </row>
    <row r="200" spans="3:16" s="159" customFormat="1" x14ac:dyDescent="0.2">
      <c r="C200" s="655"/>
      <c r="D200" s="655"/>
      <c r="J200" s="274"/>
      <c r="M200" s="276"/>
      <c r="N200" s="157"/>
      <c r="O200" s="302"/>
      <c r="P200" s="302"/>
    </row>
    <row r="201" spans="3:16" s="159" customFormat="1" x14ac:dyDescent="0.2">
      <c r="C201" s="655"/>
      <c r="D201" s="655"/>
      <c r="J201" s="274"/>
      <c r="M201" s="276"/>
      <c r="N201" s="157"/>
      <c r="O201" s="302"/>
      <c r="P201" s="302"/>
    </row>
    <row r="202" spans="3:16" s="159" customFormat="1" x14ac:dyDescent="0.2">
      <c r="C202" s="655"/>
      <c r="D202" s="655"/>
      <c r="J202" s="274"/>
      <c r="M202" s="276"/>
      <c r="N202" s="157"/>
      <c r="O202" s="302"/>
      <c r="P202" s="302"/>
    </row>
    <row r="203" spans="3:16" s="159" customFormat="1" x14ac:dyDescent="0.2">
      <c r="C203" s="655"/>
      <c r="D203" s="655"/>
      <c r="J203" s="274"/>
      <c r="M203" s="276"/>
      <c r="N203" s="157"/>
      <c r="O203" s="302"/>
      <c r="P203" s="302"/>
    </row>
    <row r="204" spans="3:16" s="159" customFormat="1" x14ac:dyDescent="0.2">
      <c r="C204" s="655"/>
      <c r="D204" s="655"/>
      <c r="J204" s="274"/>
      <c r="M204" s="276"/>
      <c r="N204" s="157"/>
      <c r="O204" s="302"/>
      <c r="P204" s="302"/>
    </row>
    <row r="205" spans="3:16" s="159" customFormat="1" x14ac:dyDescent="0.2">
      <c r="C205" s="655"/>
      <c r="D205" s="655"/>
      <c r="J205" s="274"/>
      <c r="M205" s="276"/>
      <c r="N205" s="157"/>
      <c r="O205" s="302"/>
      <c r="P205" s="302"/>
    </row>
    <row r="206" spans="3:16" s="159" customFormat="1" x14ac:dyDescent="0.2">
      <c r="C206" s="655"/>
      <c r="D206" s="655"/>
      <c r="J206" s="274"/>
      <c r="M206" s="276"/>
      <c r="N206" s="157"/>
      <c r="O206" s="302"/>
      <c r="P206" s="302"/>
    </row>
    <row r="207" spans="3:16" s="159" customFormat="1" x14ac:dyDescent="0.2">
      <c r="C207" s="655"/>
      <c r="D207" s="655"/>
      <c r="J207" s="274"/>
      <c r="M207" s="276"/>
      <c r="N207" s="157"/>
      <c r="O207" s="302"/>
      <c r="P207" s="302"/>
    </row>
    <row r="208" spans="3:16" s="159" customFormat="1" x14ac:dyDescent="0.2">
      <c r="C208" s="655"/>
      <c r="D208" s="655"/>
      <c r="J208" s="274"/>
      <c r="M208" s="276"/>
      <c r="N208" s="157"/>
      <c r="O208" s="302"/>
      <c r="P208" s="302"/>
    </row>
    <row r="209" spans="3:16" s="159" customFormat="1" x14ac:dyDescent="0.2">
      <c r="C209" s="655"/>
      <c r="D209" s="655"/>
      <c r="J209" s="274"/>
      <c r="M209" s="276"/>
      <c r="N209" s="157"/>
      <c r="O209" s="302"/>
      <c r="P209" s="302"/>
    </row>
    <row r="210" spans="3:16" s="159" customFormat="1" x14ac:dyDescent="0.2">
      <c r="C210" s="655"/>
      <c r="D210" s="655"/>
      <c r="J210" s="274"/>
      <c r="M210" s="276"/>
      <c r="N210" s="157"/>
      <c r="O210" s="302"/>
      <c r="P210" s="302"/>
    </row>
    <row r="211" spans="3:16" s="159" customFormat="1" x14ac:dyDescent="0.2">
      <c r="C211" s="655"/>
      <c r="D211" s="655"/>
      <c r="J211" s="274"/>
      <c r="M211" s="276"/>
      <c r="N211" s="157"/>
      <c r="O211" s="302"/>
      <c r="P211" s="302"/>
    </row>
    <row r="212" spans="3:16" s="159" customFormat="1" x14ac:dyDescent="0.2">
      <c r="C212" s="655"/>
      <c r="D212" s="655"/>
      <c r="J212" s="274"/>
      <c r="M212" s="276"/>
      <c r="N212" s="157"/>
      <c r="O212" s="302"/>
      <c r="P212" s="302"/>
    </row>
    <row r="213" spans="3:16" s="159" customFormat="1" x14ac:dyDescent="0.2">
      <c r="C213" s="655"/>
      <c r="D213" s="655"/>
      <c r="J213" s="274"/>
      <c r="M213" s="276"/>
      <c r="N213" s="157"/>
      <c r="O213" s="302"/>
      <c r="P213" s="302"/>
    </row>
    <row r="214" spans="3:16" s="159" customFormat="1" x14ac:dyDescent="0.2">
      <c r="C214" s="655"/>
      <c r="D214" s="655"/>
      <c r="J214" s="274"/>
      <c r="M214" s="276"/>
      <c r="N214" s="157"/>
      <c r="O214" s="302"/>
      <c r="P214" s="302"/>
    </row>
    <row r="215" spans="3:16" s="159" customFormat="1" x14ac:dyDescent="0.2">
      <c r="C215" s="655"/>
      <c r="D215" s="655"/>
      <c r="J215" s="274"/>
      <c r="M215" s="276"/>
      <c r="N215" s="157"/>
      <c r="O215" s="302"/>
      <c r="P215" s="302"/>
    </row>
    <row r="216" spans="3:16" s="159" customFormat="1" x14ac:dyDescent="0.2">
      <c r="C216" s="655"/>
      <c r="D216" s="655"/>
      <c r="J216" s="274"/>
      <c r="M216" s="276"/>
      <c r="N216" s="157"/>
      <c r="O216" s="302"/>
      <c r="P216" s="302"/>
    </row>
    <row r="217" spans="3:16" s="159" customFormat="1" x14ac:dyDescent="0.2">
      <c r="C217" s="655"/>
      <c r="D217" s="655"/>
      <c r="J217" s="274"/>
      <c r="M217" s="276"/>
      <c r="N217" s="157"/>
      <c r="O217" s="302"/>
      <c r="P217" s="302"/>
    </row>
    <row r="218" spans="3:16" s="159" customFormat="1" x14ac:dyDescent="0.2">
      <c r="C218" s="655"/>
      <c r="D218" s="655"/>
      <c r="J218" s="274"/>
      <c r="M218" s="276"/>
      <c r="N218" s="157"/>
      <c r="O218" s="302"/>
      <c r="P218" s="302"/>
    </row>
    <row r="219" spans="3:16" s="159" customFormat="1" x14ac:dyDescent="0.2">
      <c r="C219" s="655"/>
      <c r="D219" s="655"/>
      <c r="J219" s="274"/>
      <c r="M219" s="276"/>
      <c r="N219" s="157"/>
      <c r="O219" s="302"/>
      <c r="P219" s="302"/>
    </row>
    <row r="220" spans="3:16" s="159" customFormat="1" x14ac:dyDescent="0.2">
      <c r="C220" s="655"/>
      <c r="D220" s="655"/>
      <c r="J220" s="274"/>
      <c r="M220" s="276"/>
      <c r="N220" s="157"/>
      <c r="O220" s="302"/>
      <c r="P220" s="302"/>
    </row>
    <row r="221" spans="3:16" s="159" customFormat="1" x14ac:dyDescent="0.2">
      <c r="C221" s="655"/>
      <c r="D221" s="655"/>
      <c r="J221" s="274"/>
      <c r="M221" s="276"/>
      <c r="N221" s="157"/>
      <c r="O221" s="302"/>
      <c r="P221" s="302"/>
    </row>
    <row r="222" spans="3:16" s="159" customFormat="1" x14ac:dyDescent="0.2">
      <c r="C222" s="655"/>
      <c r="D222" s="655"/>
      <c r="J222" s="274"/>
      <c r="M222" s="276"/>
      <c r="N222" s="157"/>
      <c r="O222" s="302"/>
      <c r="P222" s="302"/>
    </row>
    <row r="223" spans="3:16" s="159" customFormat="1" x14ac:dyDescent="0.2">
      <c r="C223" s="655"/>
      <c r="D223" s="655"/>
      <c r="J223" s="274"/>
      <c r="M223" s="276"/>
      <c r="N223" s="157"/>
      <c r="O223" s="302"/>
      <c r="P223" s="302"/>
    </row>
    <row r="224" spans="3:16" s="159" customFormat="1" x14ac:dyDescent="0.2">
      <c r="C224" s="655"/>
      <c r="D224" s="655"/>
      <c r="J224" s="274"/>
      <c r="M224" s="276"/>
      <c r="N224" s="157"/>
      <c r="O224" s="302"/>
      <c r="P224" s="302"/>
    </row>
    <row r="225" spans="3:16" s="159" customFormat="1" x14ac:dyDescent="0.2">
      <c r="C225" s="655"/>
      <c r="D225" s="655"/>
      <c r="J225" s="274"/>
      <c r="M225" s="276"/>
      <c r="N225" s="157"/>
      <c r="O225" s="302"/>
      <c r="P225" s="302"/>
    </row>
    <row r="226" spans="3:16" s="159" customFormat="1" x14ac:dyDescent="0.2">
      <c r="C226" s="655"/>
      <c r="D226" s="655"/>
      <c r="J226" s="274"/>
      <c r="M226" s="276"/>
      <c r="N226" s="157"/>
      <c r="O226" s="302"/>
      <c r="P226" s="302"/>
    </row>
    <row r="227" spans="3:16" s="159" customFormat="1" x14ac:dyDescent="0.2">
      <c r="C227" s="655"/>
      <c r="D227" s="655"/>
      <c r="J227" s="274"/>
      <c r="M227" s="276"/>
      <c r="N227" s="157"/>
      <c r="O227" s="302"/>
      <c r="P227" s="302"/>
    </row>
    <row r="228" spans="3:16" s="159" customFormat="1" x14ac:dyDescent="0.2">
      <c r="C228" s="655"/>
      <c r="D228" s="655"/>
      <c r="J228" s="274"/>
      <c r="M228" s="276"/>
      <c r="N228" s="157"/>
      <c r="O228" s="302"/>
      <c r="P228" s="302"/>
    </row>
    <row r="229" spans="3:16" s="159" customFormat="1" x14ac:dyDescent="0.2">
      <c r="C229" s="655"/>
      <c r="D229" s="655"/>
      <c r="J229" s="274"/>
      <c r="M229" s="276"/>
      <c r="N229" s="157"/>
      <c r="O229" s="302"/>
      <c r="P229" s="302"/>
    </row>
    <row r="230" spans="3:16" s="159" customFormat="1" x14ac:dyDescent="0.2">
      <c r="C230" s="655"/>
      <c r="D230" s="655"/>
      <c r="J230" s="274"/>
      <c r="M230" s="276"/>
      <c r="N230" s="157"/>
      <c r="O230" s="302"/>
      <c r="P230" s="302"/>
    </row>
    <row r="231" spans="3:16" s="159" customFormat="1" x14ac:dyDescent="0.2">
      <c r="C231" s="655"/>
      <c r="D231" s="655"/>
      <c r="J231" s="274"/>
      <c r="M231" s="276"/>
      <c r="N231" s="157"/>
      <c r="O231" s="302"/>
      <c r="P231" s="302"/>
    </row>
    <row r="232" spans="3:16" s="159" customFormat="1" x14ac:dyDescent="0.2">
      <c r="C232" s="655"/>
      <c r="D232" s="655"/>
      <c r="J232" s="274"/>
      <c r="M232" s="276"/>
      <c r="N232" s="157"/>
      <c r="O232" s="302"/>
      <c r="P232" s="302"/>
    </row>
    <row r="233" spans="3:16" s="159" customFormat="1" x14ac:dyDescent="0.2">
      <c r="C233" s="655"/>
      <c r="D233" s="655"/>
      <c r="J233" s="274"/>
      <c r="M233" s="276"/>
      <c r="N233" s="157"/>
      <c r="O233" s="302"/>
      <c r="P233" s="302"/>
    </row>
    <row r="234" spans="3:16" s="159" customFormat="1" x14ac:dyDescent="0.2">
      <c r="C234" s="655"/>
      <c r="D234" s="655"/>
      <c r="J234" s="274"/>
      <c r="M234" s="276"/>
      <c r="N234" s="157"/>
      <c r="O234" s="302"/>
      <c r="P234" s="302"/>
    </row>
    <row r="235" spans="3:16" s="159" customFormat="1" x14ac:dyDescent="0.2">
      <c r="C235" s="655"/>
      <c r="D235" s="655"/>
      <c r="J235" s="274"/>
      <c r="M235" s="276"/>
      <c r="N235" s="157"/>
      <c r="O235" s="302"/>
      <c r="P235" s="302"/>
    </row>
  </sheetData>
  <mergeCells count="44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B54:B55"/>
    <mergeCell ref="C44:F44"/>
    <mergeCell ref="G44:I44"/>
    <mergeCell ref="C9:F9"/>
    <mergeCell ref="G9:I9"/>
    <mergeCell ref="C25:F25"/>
    <mergeCell ref="G25:I25"/>
    <mergeCell ref="C36:F36"/>
    <mergeCell ref="G36:I36"/>
    <mergeCell ref="K55:K56"/>
    <mergeCell ref="F53:F54"/>
    <mergeCell ref="G53:G54"/>
    <mergeCell ref="I53:I54"/>
    <mergeCell ref="J53:J54"/>
    <mergeCell ref="K53:K54"/>
    <mergeCell ref="F55:F56"/>
    <mergeCell ref="G55:G56"/>
    <mergeCell ref="I55:I56"/>
    <mergeCell ref="J55:J56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67" fitToHeight="2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AA249"/>
  <sheetViews>
    <sheetView zoomScale="90" zoomScaleNormal="75" zoomScaleSheetLayoutView="90" zoomScalePageLayoutView="75" workbookViewId="0">
      <selection activeCell="N53" sqref="N53"/>
    </sheetView>
  </sheetViews>
  <sheetFormatPr defaultColWidth="9.140625" defaultRowHeight="12.75" x14ac:dyDescent="0.2"/>
  <cols>
    <col min="1" max="1" width="12.140625" style="157" bestFit="1" customWidth="1"/>
    <col min="2" max="2" width="42.85546875" style="157" customWidth="1"/>
    <col min="3" max="4" width="5" style="440" customWidth="1"/>
    <col min="5" max="5" width="11.42578125" style="157" bestFit="1" customWidth="1"/>
    <col min="6" max="6" width="12.5703125" style="157" bestFit="1" customWidth="1"/>
    <col min="7" max="7" width="7" style="157" bestFit="1" customWidth="1"/>
    <col min="8" max="8" width="10.85546875" style="157" bestFit="1" customWidth="1"/>
    <col min="9" max="9" width="14.42578125" style="157" bestFit="1" customWidth="1"/>
    <col min="10" max="10" width="16.140625" style="276" bestFit="1" customWidth="1"/>
    <col min="11" max="11" width="14.42578125" style="157" bestFit="1" customWidth="1"/>
    <col min="12" max="12" width="17.85546875" style="159" bestFit="1" customWidth="1"/>
    <col min="13" max="13" width="14" style="276" bestFit="1" customWidth="1"/>
    <col min="14" max="14" width="24.85546875" style="157" bestFit="1" customWidth="1"/>
    <col min="15" max="15" width="22" style="302" bestFit="1" customWidth="1"/>
    <col min="16" max="16" width="22.140625" style="302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2"/>
      <c r="B1" s="323"/>
      <c r="C1" s="976">
        <f>'Estimate Summary'!C1:H1</f>
        <v>0</v>
      </c>
      <c r="D1" s="976"/>
      <c r="E1" s="976"/>
      <c r="F1" s="976"/>
      <c r="G1" s="976"/>
      <c r="H1" s="976"/>
      <c r="I1" s="976"/>
      <c r="J1" s="976"/>
      <c r="K1" s="977"/>
    </row>
    <row r="2" spans="1:17" ht="13.5" thickBot="1" x14ac:dyDescent="0.25">
      <c r="A2" s="324"/>
      <c r="B2" s="325"/>
      <c r="C2" s="514"/>
      <c r="D2" s="984"/>
      <c r="E2" s="984"/>
      <c r="F2" s="984"/>
      <c r="G2" s="514"/>
      <c r="H2" s="327"/>
      <c r="I2" s="328"/>
      <c r="J2" s="329"/>
      <c r="K2" s="330"/>
    </row>
    <row r="3" spans="1:17" ht="16.5" thickBot="1" x14ac:dyDescent="0.3">
      <c r="A3" s="973"/>
      <c r="B3" s="974"/>
      <c r="C3" s="514"/>
      <c r="D3" s="984"/>
      <c r="E3" s="984"/>
      <c r="F3" s="984"/>
      <c r="G3" s="515"/>
      <c r="H3" s="332"/>
      <c r="I3" s="333"/>
      <c r="J3" s="333"/>
      <c r="K3" s="334"/>
      <c r="L3" s="1002"/>
      <c r="M3" s="1003"/>
      <c r="N3" s="985"/>
      <c r="O3" s="985"/>
      <c r="P3" s="935"/>
    </row>
    <row r="4" spans="1:17" ht="18.75" thickBot="1" x14ac:dyDescent="0.25">
      <c r="A4" s="973"/>
      <c r="B4" s="974"/>
      <c r="C4" s="514"/>
      <c r="D4" s="984"/>
      <c r="E4" s="984"/>
      <c r="F4" s="984"/>
      <c r="G4" s="336"/>
      <c r="H4" s="336"/>
      <c r="I4" s="328"/>
      <c r="J4" s="329"/>
      <c r="K4" s="330"/>
      <c r="L4" s="1002"/>
      <c r="M4" s="1003"/>
      <c r="N4" s="985"/>
      <c r="O4" s="985"/>
      <c r="P4" s="935"/>
    </row>
    <row r="5" spans="1:17" ht="21" thickBot="1" x14ac:dyDescent="0.3">
      <c r="A5" s="337"/>
      <c r="B5" s="338"/>
      <c r="C5" s="516"/>
      <c r="D5" s="340"/>
      <c r="E5" s="341"/>
      <c r="F5" s="336"/>
      <c r="G5" s="983" t="s">
        <v>517</v>
      </c>
      <c r="H5" s="983"/>
      <c r="I5" s="983"/>
      <c r="J5" s="981" t="s">
        <v>73</v>
      </c>
      <c r="K5" s="982"/>
      <c r="L5" s="1002"/>
      <c r="M5" s="1003"/>
      <c r="N5" s="985"/>
      <c r="O5" s="985"/>
      <c r="P5" s="935"/>
    </row>
    <row r="6" spans="1:17" ht="21" thickBot="1" x14ac:dyDescent="0.25">
      <c r="A6" s="337"/>
      <c r="B6" s="338"/>
      <c r="C6" s="517"/>
      <c r="D6" s="343" t="str">
        <f>'Estimate Summary'!C11</f>
        <v>Area:</v>
      </c>
      <c r="E6" s="344">
        <f>'Estimate Summary'!D11</f>
        <v>65592</v>
      </c>
      <c r="F6" s="238" t="str">
        <f>'Estimate Summary'!E11</f>
        <v>Sq. Ft.</v>
      </c>
      <c r="G6" s="983"/>
      <c r="H6" s="983"/>
      <c r="I6" s="983"/>
      <c r="J6" s="345">
        <f>'1'!J6</f>
        <v>60</v>
      </c>
      <c r="K6" s="330" t="s">
        <v>74</v>
      </c>
      <c r="L6" s="1002"/>
      <c r="M6" s="1003"/>
      <c r="N6" s="985"/>
      <c r="O6" s="985"/>
      <c r="P6" s="935"/>
    </row>
    <row r="7" spans="1:17" x14ac:dyDescent="0.2">
      <c r="A7" s="978"/>
      <c r="B7" s="979"/>
      <c r="C7" s="979"/>
      <c r="D7" s="979"/>
      <c r="E7" s="979"/>
      <c r="F7" s="979"/>
      <c r="G7" s="979"/>
      <c r="H7" s="979"/>
      <c r="I7" s="979"/>
      <c r="J7" s="979"/>
      <c r="K7" s="980"/>
    </row>
    <row r="8" spans="1:17" x14ac:dyDescent="0.2">
      <c r="A8" s="346"/>
      <c r="B8" s="347"/>
      <c r="C8" s="972"/>
      <c r="D8" s="972"/>
      <c r="E8" s="972"/>
      <c r="F8" s="972"/>
      <c r="G8" s="971"/>
      <c r="H8" s="971"/>
      <c r="I8" s="971"/>
      <c r="J8" s="348"/>
      <c r="K8" s="349"/>
      <c r="L8" s="518"/>
      <c r="M8" s="519"/>
      <c r="N8" s="518"/>
      <c r="O8" s="520"/>
      <c r="P8" s="520"/>
    </row>
    <row r="9" spans="1:17" x14ac:dyDescent="0.2">
      <c r="A9" s="521"/>
      <c r="B9" s="203"/>
      <c r="C9" s="1000"/>
      <c r="D9" s="1000"/>
      <c r="E9" s="996"/>
      <c r="F9" s="996"/>
      <c r="G9" s="1001"/>
      <c r="H9" s="996"/>
      <c r="I9" s="996"/>
      <c r="J9" s="996"/>
      <c r="K9" s="999"/>
      <c r="L9" s="468"/>
      <c r="M9" s="467"/>
      <c r="N9" s="413"/>
      <c r="O9" s="414"/>
      <c r="P9" s="414"/>
    </row>
    <row r="10" spans="1:17" ht="13.5" thickBot="1" x14ac:dyDescent="0.25">
      <c r="A10" s="401"/>
      <c r="B10" s="522"/>
      <c r="C10" s="1000"/>
      <c r="D10" s="1000"/>
      <c r="E10" s="996"/>
      <c r="F10" s="996"/>
      <c r="G10" s="1001"/>
      <c r="H10" s="996"/>
      <c r="I10" s="996"/>
      <c r="J10" s="996"/>
      <c r="K10" s="999"/>
      <c r="L10" s="468"/>
      <c r="M10" s="467"/>
      <c r="N10" s="413"/>
      <c r="O10" s="414"/>
      <c r="P10" s="414"/>
    </row>
    <row r="11" spans="1:17" ht="14.25" thickTop="1" thickBot="1" x14ac:dyDescent="0.25">
      <c r="A11" s="353" t="s">
        <v>0</v>
      </c>
      <c r="B11" s="354" t="s">
        <v>1</v>
      </c>
      <c r="C11" s="939" t="s">
        <v>656</v>
      </c>
      <c r="D11" s="939"/>
      <c r="E11" s="939"/>
      <c r="F11" s="939"/>
      <c r="G11" s="939" t="s">
        <v>34</v>
      </c>
      <c r="H11" s="939"/>
      <c r="I11" s="939"/>
      <c r="J11" s="355"/>
      <c r="K11" s="523"/>
      <c r="L11" s="942" t="s">
        <v>783</v>
      </c>
      <c r="M11" s="944" t="s">
        <v>784</v>
      </c>
      <c r="N11" s="946" t="s">
        <v>785</v>
      </c>
      <c r="O11" s="948"/>
      <c r="P11" s="950"/>
      <c r="Q11" s="940"/>
    </row>
    <row r="12" spans="1:17" ht="15.75" x14ac:dyDescent="0.25">
      <c r="A12" s="525" t="s">
        <v>518</v>
      </c>
      <c r="B12" s="525" t="s">
        <v>519</v>
      </c>
      <c r="C12" s="359" t="s">
        <v>19</v>
      </c>
      <c r="D12" s="360" t="s">
        <v>33</v>
      </c>
      <c r="E12" s="361" t="s">
        <v>35</v>
      </c>
      <c r="F12" s="362" t="s">
        <v>30</v>
      </c>
      <c r="G12" s="526" t="s">
        <v>14</v>
      </c>
      <c r="H12" s="361" t="s">
        <v>35</v>
      </c>
      <c r="I12" s="362" t="s">
        <v>30</v>
      </c>
      <c r="J12" s="364" t="s">
        <v>659</v>
      </c>
      <c r="K12" s="527" t="s">
        <v>38</v>
      </c>
      <c r="L12" s="943"/>
      <c r="M12" s="945"/>
      <c r="N12" s="947"/>
      <c r="O12" s="949"/>
      <c r="P12" s="951"/>
      <c r="Q12" s="941"/>
    </row>
    <row r="13" spans="1:17" ht="15" x14ac:dyDescent="0.2">
      <c r="A13" s="528" t="s">
        <v>518</v>
      </c>
      <c r="B13" s="194" t="s">
        <v>519</v>
      </c>
      <c r="C13" s="371"/>
      <c r="D13" s="372" t="s">
        <v>21</v>
      </c>
      <c r="E13" s="253">
        <v>0</v>
      </c>
      <c r="F13" s="373">
        <f t="shared" ref="F13:F24" si="0">C13*E13</f>
        <v>0</v>
      </c>
      <c r="G13" s="529"/>
      <c r="H13" s="375">
        <v>0</v>
      </c>
      <c r="I13" s="373">
        <f t="shared" ref="I13:I24" si="1">G13*H13</f>
        <v>0</v>
      </c>
      <c r="J13" s="376"/>
      <c r="K13" s="530">
        <f t="shared" ref="K13:K24" si="2">F13+I13+J13</f>
        <v>0</v>
      </c>
      <c r="L13" s="378"/>
      <c r="M13" s="379"/>
      <c r="N13" s="380"/>
      <c r="O13" s="381"/>
      <c r="P13" s="382"/>
      <c r="Q13" s="383"/>
    </row>
    <row r="14" spans="1:17" ht="15" x14ac:dyDescent="0.2">
      <c r="A14" s="528" t="s">
        <v>521</v>
      </c>
      <c r="B14" s="194" t="s">
        <v>520</v>
      </c>
      <c r="C14" s="371"/>
      <c r="D14" s="372" t="s">
        <v>21</v>
      </c>
      <c r="E14" s="253">
        <v>0</v>
      </c>
      <c r="F14" s="373">
        <f t="shared" si="0"/>
        <v>0</v>
      </c>
      <c r="G14" s="529"/>
      <c r="H14" s="375">
        <v>0</v>
      </c>
      <c r="I14" s="373">
        <f t="shared" si="1"/>
        <v>0</v>
      </c>
      <c r="J14" s="376"/>
      <c r="K14" s="530">
        <f t="shared" si="2"/>
        <v>0</v>
      </c>
      <c r="L14" s="378"/>
      <c r="M14" s="379"/>
      <c r="N14" s="380"/>
      <c r="O14" s="381"/>
      <c r="P14" s="382"/>
      <c r="Q14" s="383"/>
    </row>
    <row r="15" spans="1:17" x14ac:dyDescent="0.2">
      <c r="A15" s="370"/>
      <c r="B15" s="5"/>
      <c r="C15" s="371"/>
      <c r="D15" s="372" t="s">
        <v>21</v>
      </c>
      <c r="E15" s="253">
        <v>0</v>
      </c>
      <c r="F15" s="373">
        <f t="shared" si="0"/>
        <v>0</v>
      </c>
      <c r="G15" s="529"/>
      <c r="H15" s="375">
        <v>0</v>
      </c>
      <c r="I15" s="373">
        <f t="shared" si="1"/>
        <v>0</v>
      </c>
      <c r="J15" s="376"/>
      <c r="K15" s="530">
        <f t="shared" si="2"/>
        <v>0</v>
      </c>
      <c r="L15" s="378"/>
      <c r="M15" s="379"/>
      <c r="N15" s="380"/>
      <c r="O15" s="381"/>
      <c r="P15" s="382"/>
      <c r="Q15" s="383"/>
    </row>
    <row r="16" spans="1:17" x14ac:dyDescent="0.2">
      <c r="A16" s="370"/>
      <c r="B16" s="5"/>
      <c r="C16" s="371"/>
      <c r="D16" s="372" t="s">
        <v>21</v>
      </c>
      <c r="E16" s="253">
        <v>0</v>
      </c>
      <c r="F16" s="373">
        <f t="shared" si="0"/>
        <v>0</v>
      </c>
      <c r="G16" s="529"/>
      <c r="H16" s="375">
        <v>0</v>
      </c>
      <c r="I16" s="373">
        <f t="shared" si="1"/>
        <v>0</v>
      </c>
      <c r="J16" s="376"/>
      <c r="K16" s="530">
        <f t="shared" si="2"/>
        <v>0</v>
      </c>
      <c r="L16" s="378"/>
      <c r="M16" s="379"/>
      <c r="N16" s="380"/>
      <c r="O16" s="381"/>
      <c r="P16" s="382"/>
      <c r="Q16" s="383"/>
    </row>
    <row r="17" spans="1:17" x14ac:dyDescent="0.2">
      <c r="A17" s="370"/>
      <c r="B17" s="6"/>
      <c r="C17" s="371"/>
      <c r="D17" s="372" t="s">
        <v>21</v>
      </c>
      <c r="E17" s="253">
        <v>0</v>
      </c>
      <c r="F17" s="373">
        <f t="shared" si="0"/>
        <v>0</v>
      </c>
      <c r="G17" s="529"/>
      <c r="H17" s="375">
        <v>0</v>
      </c>
      <c r="I17" s="373">
        <f t="shared" si="1"/>
        <v>0</v>
      </c>
      <c r="J17" s="376"/>
      <c r="K17" s="530">
        <f t="shared" si="2"/>
        <v>0</v>
      </c>
      <c r="L17" s="378"/>
      <c r="M17" s="379"/>
      <c r="N17" s="380"/>
      <c r="O17" s="381"/>
      <c r="P17" s="382"/>
      <c r="Q17" s="383"/>
    </row>
    <row r="18" spans="1:17" x14ac:dyDescent="0.2">
      <c r="A18" s="384"/>
      <c r="B18" s="5"/>
      <c r="C18" s="371"/>
      <c r="D18" s="372" t="s">
        <v>21</v>
      </c>
      <c r="E18" s="253">
        <v>0</v>
      </c>
      <c r="F18" s="373">
        <f t="shared" si="0"/>
        <v>0</v>
      </c>
      <c r="G18" s="529"/>
      <c r="H18" s="375">
        <v>0</v>
      </c>
      <c r="I18" s="373">
        <f t="shared" si="1"/>
        <v>0</v>
      </c>
      <c r="J18" s="376"/>
      <c r="K18" s="530">
        <f t="shared" si="2"/>
        <v>0</v>
      </c>
      <c r="L18" s="378"/>
      <c r="M18" s="379"/>
      <c r="N18" s="380"/>
      <c r="O18" s="381"/>
      <c r="P18" s="382"/>
      <c r="Q18" s="383"/>
    </row>
    <row r="19" spans="1:17" x14ac:dyDescent="0.2">
      <c r="A19" s="384"/>
      <c r="B19" s="5"/>
      <c r="C19" s="371"/>
      <c r="D19" s="372" t="s">
        <v>21</v>
      </c>
      <c r="E19" s="253">
        <v>0</v>
      </c>
      <c r="F19" s="373">
        <f t="shared" si="0"/>
        <v>0</v>
      </c>
      <c r="G19" s="529"/>
      <c r="H19" s="375">
        <v>0</v>
      </c>
      <c r="I19" s="373">
        <f t="shared" si="1"/>
        <v>0</v>
      </c>
      <c r="J19" s="376"/>
      <c r="K19" s="530">
        <f t="shared" si="2"/>
        <v>0</v>
      </c>
      <c r="L19" s="157"/>
      <c r="M19" s="469"/>
      <c r="O19" s="381"/>
      <c r="P19" s="382"/>
      <c r="Q19" s="383"/>
    </row>
    <row r="20" spans="1:17" x14ac:dyDescent="0.2">
      <c r="A20" s="384"/>
      <c r="B20" s="5"/>
      <c r="C20" s="371"/>
      <c r="D20" s="372" t="s">
        <v>21</v>
      </c>
      <c r="E20" s="253">
        <v>0</v>
      </c>
      <c r="F20" s="373">
        <f t="shared" si="0"/>
        <v>0</v>
      </c>
      <c r="G20" s="529"/>
      <c r="H20" s="375">
        <v>0</v>
      </c>
      <c r="I20" s="373">
        <f t="shared" si="1"/>
        <v>0</v>
      </c>
      <c r="J20" s="376"/>
      <c r="K20" s="530">
        <f t="shared" si="2"/>
        <v>0</v>
      </c>
      <c r="L20" s="157"/>
      <c r="M20" s="469"/>
      <c r="O20" s="381"/>
      <c r="P20" s="382"/>
      <c r="Q20" s="383"/>
    </row>
    <row r="21" spans="1:17" x14ac:dyDescent="0.2">
      <c r="A21" s="384"/>
      <c r="B21" s="5"/>
      <c r="C21" s="371"/>
      <c r="D21" s="372" t="s">
        <v>21</v>
      </c>
      <c r="E21" s="253">
        <v>0</v>
      </c>
      <c r="F21" s="373">
        <f t="shared" si="0"/>
        <v>0</v>
      </c>
      <c r="G21" s="529"/>
      <c r="H21" s="375">
        <v>0</v>
      </c>
      <c r="I21" s="373">
        <f t="shared" si="1"/>
        <v>0</v>
      </c>
      <c r="J21" s="376"/>
      <c r="K21" s="530">
        <f t="shared" si="2"/>
        <v>0</v>
      </c>
      <c r="L21" s="536"/>
      <c r="M21" s="574"/>
      <c r="N21" s="537"/>
      <c r="O21" s="381"/>
      <c r="P21" s="382"/>
      <c r="Q21" s="383"/>
    </row>
    <row r="22" spans="1:17" x14ac:dyDescent="0.2">
      <c r="A22" s="384"/>
      <c r="B22" s="5"/>
      <c r="C22" s="371"/>
      <c r="D22" s="372" t="s">
        <v>21</v>
      </c>
      <c r="E22" s="253">
        <v>0</v>
      </c>
      <c r="F22" s="373">
        <f t="shared" si="0"/>
        <v>0</v>
      </c>
      <c r="G22" s="529"/>
      <c r="H22" s="375">
        <v>0</v>
      </c>
      <c r="I22" s="373">
        <f t="shared" si="1"/>
        <v>0</v>
      </c>
      <c r="J22" s="376"/>
      <c r="K22" s="530">
        <f t="shared" si="2"/>
        <v>0</v>
      </c>
      <c r="L22" s="538"/>
      <c r="M22" s="464"/>
      <c r="N22" s="539"/>
      <c r="O22" s="381"/>
      <c r="P22" s="382"/>
      <c r="Q22" s="383"/>
    </row>
    <row r="23" spans="1:17" x14ac:dyDescent="0.2">
      <c r="A23" s="384"/>
      <c r="B23" s="5"/>
      <c r="C23" s="371"/>
      <c r="D23" s="372" t="s">
        <v>21</v>
      </c>
      <c r="E23" s="253">
        <v>0</v>
      </c>
      <c r="F23" s="373">
        <f t="shared" si="0"/>
        <v>0</v>
      </c>
      <c r="G23" s="529"/>
      <c r="H23" s="375">
        <v>0</v>
      </c>
      <c r="I23" s="373">
        <f t="shared" si="1"/>
        <v>0</v>
      </c>
      <c r="J23" s="376"/>
      <c r="K23" s="530">
        <f t="shared" si="2"/>
        <v>0</v>
      </c>
      <c r="L23" s="157"/>
      <c r="M23" s="469"/>
      <c r="O23" s="381"/>
      <c r="P23" s="382"/>
      <c r="Q23" s="383"/>
    </row>
    <row r="24" spans="1:17" x14ac:dyDescent="0.2">
      <c r="A24" s="384"/>
      <c r="B24" s="5"/>
      <c r="C24" s="371"/>
      <c r="D24" s="372" t="s">
        <v>21</v>
      </c>
      <c r="E24" s="253">
        <v>0</v>
      </c>
      <c r="F24" s="373">
        <f t="shared" si="0"/>
        <v>0</v>
      </c>
      <c r="G24" s="529"/>
      <c r="H24" s="375">
        <v>0</v>
      </c>
      <c r="I24" s="373">
        <f t="shared" si="1"/>
        <v>0</v>
      </c>
      <c r="J24" s="376"/>
      <c r="K24" s="530">
        <f t="shared" si="2"/>
        <v>0</v>
      </c>
      <c r="L24" s="157"/>
      <c r="M24" s="469"/>
      <c r="O24" s="381"/>
      <c r="P24" s="382"/>
      <c r="Q24" s="383"/>
    </row>
    <row r="25" spans="1:17" ht="13.5" thickBot="1" x14ac:dyDescent="0.25">
      <c r="A25" s="387"/>
      <c r="B25" s="7"/>
      <c r="C25" s="388"/>
      <c r="D25" s="372"/>
      <c r="E25" s="253"/>
      <c r="F25" s="373"/>
      <c r="G25" s="529"/>
      <c r="H25" s="375"/>
      <c r="I25" s="373"/>
      <c r="J25" s="376"/>
      <c r="K25" s="530"/>
      <c r="L25" s="157"/>
      <c r="M25" s="469"/>
      <c r="O25" s="381"/>
      <c r="P25" s="382"/>
      <c r="Q25" s="383"/>
    </row>
    <row r="26" spans="1:17" ht="13.5" thickTop="1" x14ac:dyDescent="0.2">
      <c r="A26" s="387"/>
      <c r="B26" s="7"/>
      <c r="C26" s="388"/>
      <c r="D26" s="372"/>
      <c r="E26" s="253"/>
      <c r="F26" s="373"/>
      <c r="G26" s="529"/>
      <c r="H26" s="375"/>
      <c r="I26" s="373"/>
      <c r="J26" s="389" t="s">
        <v>30</v>
      </c>
      <c r="K26" s="532">
        <f>SUM(K13:K25)</f>
        <v>0</v>
      </c>
      <c r="L26" s="157"/>
      <c r="M26" s="469"/>
      <c r="O26" s="381"/>
      <c r="P26" s="382"/>
      <c r="Q26" s="383"/>
    </row>
    <row r="27" spans="1:17" ht="13.5" thickBot="1" x14ac:dyDescent="0.25">
      <c r="A27" s="353" t="s">
        <v>0</v>
      </c>
      <c r="B27" s="354" t="s">
        <v>1</v>
      </c>
      <c r="C27" s="939" t="s">
        <v>656</v>
      </c>
      <c r="D27" s="939"/>
      <c r="E27" s="939"/>
      <c r="F27" s="939"/>
      <c r="G27" s="939" t="s">
        <v>34</v>
      </c>
      <c r="H27" s="939"/>
      <c r="I27" s="939"/>
      <c r="J27" s="355"/>
      <c r="K27" s="523"/>
      <c r="L27" s="391"/>
      <c r="M27" s="392"/>
      <c r="N27" s="393"/>
      <c r="O27" s="381"/>
      <c r="P27" s="382"/>
      <c r="Q27" s="383"/>
    </row>
    <row r="28" spans="1:17" ht="15.75" x14ac:dyDescent="0.25">
      <c r="A28" s="525" t="s">
        <v>522</v>
      </c>
      <c r="B28" s="525" t="s">
        <v>523</v>
      </c>
      <c r="C28" s="396" t="s">
        <v>19</v>
      </c>
      <c r="D28" s="397" t="s">
        <v>33</v>
      </c>
      <c r="E28" s="398" t="s">
        <v>35</v>
      </c>
      <c r="F28" s="399" t="s">
        <v>30</v>
      </c>
      <c r="G28" s="533" t="s">
        <v>14</v>
      </c>
      <c r="H28" s="398" t="s">
        <v>35</v>
      </c>
      <c r="I28" s="399" t="s">
        <v>30</v>
      </c>
      <c r="J28" s="364" t="s">
        <v>659</v>
      </c>
      <c r="K28" s="534" t="s">
        <v>38</v>
      </c>
      <c r="L28" s="402"/>
      <c r="M28" s="403"/>
      <c r="N28" s="404"/>
      <c r="O28" s="381"/>
      <c r="P28" s="382"/>
      <c r="Q28" s="383"/>
    </row>
    <row r="29" spans="1:17" s="159" customFormat="1" ht="15" x14ac:dyDescent="0.2">
      <c r="A29" s="194" t="s">
        <v>524</v>
      </c>
      <c r="B29" s="194" t="s">
        <v>525</v>
      </c>
      <c r="C29" s="371"/>
      <c r="D29" s="372" t="s">
        <v>21</v>
      </c>
      <c r="E29" s="253">
        <v>0</v>
      </c>
      <c r="F29" s="373">
        <f>C29*E29</f>
        <v>0</v>
      </c>
      <c r="G29" s="529"/>
      <c r="H29" s="375">
        <v>0</v>
      </c>
      <c r="I29" s="373">
        <f>G29*H29</f>
        <v>0</v>
      </c>
      <c r="J29" s="376"/>
      <c r="K29" s="530">
        <f>F29+I29+J29</f>
        <v>0</v>
      </c>
      <c r="M29" s="274"/>
      <c r="O29" s="381"/>
      <c r="P29" s="382"/>
      <c r="Q29" s="383"/>
    </row>
    <row r="30" spans="1:17" s="159" customFormat="1" x14ac:dyDescent="0.2">
      <c r="A30" s="158" t="s">
        <v>528</v>
      </c>
      <c r="B30" s="159" t="s">
        <v>526</v>
      </c>
      <c r="C30" s="371"/>
      <c r="D30" s="372" t="s">
        <v>21</v>
      </c>
      <c r="E30" s="253">
        <v>0</v>
      </c>
      <c r="F30" s="373">
        <f>C30*E30</f>
        <v>0</v>
      </c>
      <c r="G30" s="529"/>
      <c r="H30" s="375">
        <v>0</v>
      </c>
      <c r="I30" s="373">
        <f>G30*H30</f>
        <v>0</v>
      </c>
      <c r="J30" s="376"/>
      <c r="K30" s="530">
        <f>F30+I30+J30</f>
        <v>0</v>
      </c>
      <c r="L30" s="159" t="s">
        <v>990</v>
      </c>
      <c r="M30" s="276">
        <v>500000</v>
      </c>
      <c r="N30" s="157"/>
      <c r="O30" s="381"/>
      <c r="P30" s="382"/>
      <c r="Q30" s="383"/>
    </row>
    <row r="31" spans="1:17" s="159" customFormat="1" x14ac:dyDescent="0.2">
      <c r="A31" s="158" t="s">
        <v>529</v>
      </c>
      <c r="B31" s="159" t="s">
        <v>527</v>
      </c>
      <c r="C31" s="371"/>
      <c r="D31" s="372" t="s">
        <v>21</v>
      </c>
      <c r="E31" s="253">
        <v>0</v>
      </c>
      <c r="F31" s="373">
        <f t="shared" ref="F31:F47" si="3">C31*E31</f>
        <v>0</v>
      </c>
      <c r="G31" s="529"/>
      <c r="H31" s="375">
        <v>0</v>
      </c>
      <c r="I31" s="373">
        <f t="shared" ref="I31:I47" si="4">G31*H31</f>
        <v>0</v>
      </c>
      <c r="J31" s="376">
        <f>M31-M30</f>
        <v>228300</v>
      </c>
      <c r="K31" s="530">
        <f t="shared" ref="K31:K47" si="5">F31+I31+J31</f>
        <v>228300</v>
      </c>
      <c r="L31" s="378" t="s">
        <v>1051</v>
      </c>
      <c r="M31" s="379">
        <v>728300</v>
      </c>
      <c r="N31" s="380" t="s">
        <v>1052</v>
      </c>
      <c r="O31" s="381"/>
      <c r="P31" s="382"/>
      <c r="Q31" s="383"/>
    </row>
    <row r="32" spans="1:17" s="159" customFormat="1" ht="15" x14ac:dyDescent="0.2">
      <c r="A32" s="194" t="s">
        <v>530</v>
      </c>
      <c r="B32" s="194" t="s">
        <v>531</v>
      </c>
      <c r="C32" s="371"/>
      <c r="D32" s="372" t="s">
        <v>21</v>
      </c>
      <c r="E32" s="253">
        <v>0</v>
      </c>
      <c r="F32" s="373">
        <f t="shared" si="3"/>
        <v>0</v>
      </c>
      <c r="G32" s="529"/>
      <c r="H32" s="375">
        <v>0</v>
      </c>
      <c r="I32" s="373">
        <f t="shared" si="4"/>
        <v>0</v>
      </c>
      <c r="J32" s="376"/>
      <c r="K32" s="530">
        <f t="shared" si="5"/>
        <v>0</v>
      </c>
      <c r="L32" s="378" t="s">
        <v>1245</v>
      </c>
      <c r="M32" s="379" t="s">
        <v>1246</v>
      </c>
      <c r="N32" s="380" t="s">
        <v>1247</v>
      </c>
      <c r="O32" s="381"/>
      <c r="P32" s="382"/>
      <c r="Q32" s="383"/>
    </row>
    <row r="33" spans="1:17" s="159" customFormat="1" x14ac:dyDescent="0.2">
      <c r="A33" s="158" t="s">
        <v>532</v>
      </c>
      <c r="B33" s="159" t="s">
        <v>533</v>
      </c>
      <c r="C33" s="371"/>
      <c r="D33" s="372" t="s">
        <v>21</v>
      </c>
      <c r="E33" s="253">
        <v>0</v>
      </c>
      <c r="F33" s="373">
        <f t="shared" si="3"/>
        <v>0</v>
      </c>
      <c r="G33" s="529"/>
      <c r="H33" s="375">
        <v>0</v>
      </c>
      <c r="I33" s="373">
        <f t="shared" si="4"/>
        <v>0</v>
      </c>
      <c r="J33" s="376"/>
      <c r="K33" s="530">
        <f t="shared" si="5"/>
        <v>0</v>
      </c>
      <c r="L33" s="536"/>
      <c r="M33" s="574"/>
      <c r="N33" s="537" t="s">
        <v>1248</v>
      </c>
      <c r="O33" s="381"/>
      <c r="P33" s="382"/>
      <c r="Q33" s="383"/>
    </row>
    <row r="34" spans="1:17" s="159" customFormat="1" x14ac:dyDescent="0.2">
      <c r="A34" s="158" t="s">
        <v>544</v>
      </c>
      <c r="B34" s="159" t="s">
        <v>1293</v>
      </c>
      <c r="C34" s="371">
        <v>1</v>
      </c>
      <c r="D34" s="372" t="s">
        <v>21</v>
      </c>
      <c r="E34" s="253">
        <v>40000</v>
      </c>
      <c r="F34" s="373">
        <f t="shared" si="3"/>
        <v>40000</v>
      </c>
      <c r="G34" s="529"/>
      <c r="H34" s="375">
        <v>0</v>
      </c>
      <c r="I34" s="373">
        <f t="shared" si="4"/>
        <v>0</v>
      </c>
      <c r="J34" s="376"/>
      <c r="K34" s="530">
        <f t="shared" si="5"/>
        <v>40000</v>
      </c>
      <c r="M34" s="274"/>
      <c r="N34" s="159" t="s">
        <v>1249</v>
      </c>
      <c r="O34" s="381"/>
      <c r="P34" s="382"/>
      <c r="Q34" s="383"/>
    </row>
    <row r="35" spans="1:17" s="159" customFormat="1" x14ac:dyDescent="0.2">
      <c r="A35" s="675" t="s">
        <v>545</v>
      </c>
      <c r="B35" s="675" t="s">
        <v>534</v>
      </c>
      <c r="C35" s="371"/>
      <c r="D35" s="372" t="s">
        <v>21</v>
      </c>
      <c r="E35" s="253">
        <v>0</v>
      </c>
      <c r="F35" s="373">
        <f t="shared" si="3"/>
        <v>0</v>
      </c>
      <c r="G35" s="529"/>
      <c r="H35" s="375">
        <v>0</v>
      </c>
      <c r="I35" s="373">
        <f t="shared" si="4"/>
        <v>0</v>
      </c>
      <c r="J35" s="376"/>
      <c r="K35" s="530">
        <f t="shared" si="5"/>
        <v>0</v>
      </c>
      <c r="M35" s="274"/>
      <c r="O35" s="381"/>
      <c r="P35" s="382"/>
      <c r="Q35" s="383"/>
    </row>
    <row r="36" spans="1:17" s="159" customFormat="1" x14ac:dyDescent="0.2">
      <c r="A36" s="675" t="s">
        <v>546</v>
      </c>
      <c r="B36" s="675" t="s">
        <v>535</v>
      </c>
      <c r="C36" s="371"/>
      <c r="D36" s="372" t="s">
        <v>21</v>
      </c>
      <c r="E36" s="253">
        <v>0</v>
      </c>
      <c r="F36" s="373">
        <f t="shared" si="3"/>
        <v>0</v>
      </c>
      <c r="G36" s="529"/>
      <c r="H36" s="375">
        <v>0</v>
      </c>
      <c r="I36" s="373">
        <f t="shared" si="4"/>
        <v>0</v>
      </c>
      <c r="J36" s="376"/>
      <c r="K36" s="530">
        <f t="shared" si="5"/>
        <v>0</v>
      </c>
      <c r="L36" s="157"/>
      <c r="M36" s="469"/>
      <c r="N36" s="157"/>
      <c r="O36" s="381"/>
      <c r="P36" s="382"/>
      <c r="Q36" s="383"/>
    </row>
    <row r="37" spans="1:17" s="159" customFormat="1" x14ac:dyDescent="0.2">
      <c r="A37" s="675" t="s">
        <v>547</v>
      </c>
      <c r="B37" s="675" t="s">
        <v>536</v>
      </c>
      <c r="C37" s="371"/>
      <c r="D37" s="372" t="s">
        <v>21</v>
      </c>
      <c r="E37" s="253">
        <v>0</v>
      </c>
      <c r="F37" s="373">
        <f t="shared" si="3"/>
        <v>0</v>
      </c>
      <c r="G37" s="529"/>
      <c r="H37" s="375">
        <v>0</v>
      </c>
      <c r="I37" s="373">
        <f t="shared" si="4"/>
        <v>0</v>
      </c>
      <c r="J37" s="376"/>
      <c r="K37" s="530">
        <f t="shared" si="5"/>
        <v>0</v>
      </c>
      <c r="L37" s="378"/>
      <c r="M37" s="379"/>
      <c r="N37" s="380"/>
      <c r="O37" s="381"/>
      <c r="P37" s="382"/>
      <c r="Q37" s="383"/>
    </row>
    <row r="38" spans="1:17" s="159" customFormat="1" x14ac:dyDescent="0.2">
      <c r="A38" s="158" t="s">
        <v>548</v>
      </c>
      <c r="B38" s="159" t="s">
        <v>537</v>
      </c>
      <c r="C38" s="371"/>
      <c r="D38" s="372" t="s">
        <v>21</v>
      </c>
      <c r="E38" s="253">
        <v>0</v>
      </c>
      <c r="F38" s="373">
        <f t="shared" si="3"/>
        <v>0</v>
      </c>
      <c r="G38" s="529"/>
      <c r="H38" s="375">
        <v>0</v>
      </c>
      <c r="I38" s="373">
        <f t="shared" si="4"/>
        <v>0</v>
      </c>
      <c r="J38" s="376"/>
      <c r="K38" s="530">
        <f t="shared" si="5"/>
        <v>0</v>
      </c>
      <c r="L38" s="536"/>
      <c r="M38" s="574"/>
      <c r="N38" s="537"/>
      <c r="O38" s="381"/>
      <c r="P38" s="382"/>
      <c r="Q38" s="383"/>
    </row>
    <row r="39" spans="1:17" s="159" customFormat="1" x14ac:dyDescent="0.2">
      <c r="A39" s="158" t="s">
        <v>549</v>
      </c>
      <c r="B39" s="159" t="s">
        <v>538</v>
      </c>
      <c r="C39" s="371"/>
      <c r="D39" s="372" t="s">
        <v>21</v>
      </c>
      <c r="E39" s="253">
        <v>0</v>
      </c>
      <c r="F39" s="373">
        <f t="shared" si="3"/>
        <v>0</v>
      </c>
      <c r="G39" s="529"/>
      <c r="H39" s="375">
        <v>0</v>
      </c>
      <c r="I39" s="373">
        <f t="shared" si="4"/>
        <v>0</v>
      </c>
      <c r="J39" s="376"/>
      <c r="K39" s="530">
        <f t="shared" si="5"/>
        <v>0</v>
      </c>
      <c r="L39" s="538"/>
      <c r="M39" s="666"/>
      <c r="N39" s="665"/>
      <c r="O39" s="410"/>
      <c r="P39" s="411"/>
      <c r="Q39" s="383"/>
    </row>
    <row r="40" spans="1:17" s="159" customFormat="1" x14ac:dyDescent="0.2">
      <c r="A40" s="675" t="s">
        <v>550</v>
      </c>
      <c r="B40" s="675" t="s">
        <v>539</v>
      </c>
      <c r="C40" s="371"/>
      <c r="D40" s="372" t="s">
        <v>21</v>
      </c>
      <c r="E40" s="253">
        <v>0</v>
      </c>
      <c r="F40" s="373">
        <f t="shared" si="3"/>
        <v>0</v>
      </c>
      <c r="G40" s="529"/>
      <c r="H40" s="375">
        <v>0</v>
      </c>
      <c r="I40" s="373">
        <f t="shared" si="4"/>
        <v>0</v>
      </c>
      <c r="J40" s="376"/>
      <c r="K40" s="530">
        <f t="shared" si="5"/>
        <v>0</v>
      </c>
      <c r="L40" s="378"/>
      <c r="M40" s="379"/>
      <c r="N40" s="380"/>
      <c r="O40" s="410"/>
      <c r="P40" s="411"/>
      <c r="Q40" s="383"/>
    </row>
    <row r="41" spans="1:17" s="159" customFormat="1" x14ac:dyDescent="0.2">
      <c r="A41" s="675" t="s">
        <v>551</v>
      </c>
      <c r="B41" s="675" t="s">
        <v>540</v>
      </c>
      <c r="C41" s="371"/>
      <c r="D41" s="372" t="s">
        <v>21</v>
      </c>
      <c r="E41" s="253">
        <v>0</v>
      </c>
      <c r="F41" s="373">
        <f t="shared" si="3"/>
        <v>0</v>
      </c>
      <c r="G41" s="529"/>
      <c r="H41" s="375">
        <v>0</v>
      </c>
      <c r="I41" s="373">
        <f t="shared" si="4"/>
        <v>0</v>
      </c>
      <c r="J41" s="376"/>
      <c r="K41" s="530">
        <f t="shared" si="5"/>
        <v>0</v>
      </c>
      <c r="M41" s="274"/>
      <c r="O41" s="410"/>
      <c r="P41" s="411"/>
      <c r="Q41" s="383"/>
    </row>
    <row r="42" spans="1:17" s="159" customFormat="1" x14ac:dyDescent="0.2">
      <c r="A42" s="675" t="s">
        <v>552</v>
      </c>
      <c r="B42" s="675" t="s">
        <v>541</v>
      </c>
      <c r="C42" s="371"/>
      <c r="D42" s="372" t="s">
        <v>21</v>
      </c>
      <c r="E42" s="253">
        <v>0</v>
      </c>
      <c r="F42" s="373">
        <f t="shared" si="3"/>
        <v>0</v>
      </c>
      <c r="G42" s="529"/>
      <c r="H42" s="375">
        <v>0</v>
      </c>
      <c r="I42" s="373">
        <f t="shared" si="4"/>
        <v>0</v>
      </c>
      <c r="J42" s="376"/>
      <c r="K42" s="530">
        <f t="shared" si="5"/>
        <v>0</v>
      </c>
      <c r="M42" s="274"/>
      <c r="O42" s="410"/>
      <c r="P42" s="411"/>
      <c r="Q42" s="383"/>
    </row>
    <row r="43" spans="1:17" s="159" customFormat="1" x14ac:dyDescent="0.2">
      <c r="A43" s="675" t="s">
        <v>553</v>
      </c>
      <c r="B43" s="675" t="s">
        <v>542</v>
      </c>
      <c r="C43" s="371"/>
      <c r="D43" s="372" t="s">
        <v>21</v>
      </c>
      <c r="E43" s="253">
        <v>0</v>
      </c>
      <c r="F43" s="373">
        <f t="shared" si="3"/>
        <v>0</v>
      </c>
      <c r="G43" s="529"/>
      <c r="H43" s="375">
        <v>0</v>
      </c>
      <c r="I43" s="373">
        <f t="shared" si="4"/>
        <v>0</v>
      </c>
      <c r="J43" s="376"/>
      <c r="K43" s="530">
        <f t="shared" si="5"/>
        <v>0</v>
      </c>
      <c r="L43" s="378"/>
      <c r="M43" s="379"/>
      <c r="N43" s="380"/>
      <c r="O43" s="410"/>
      <c r="P43" s="411"/>
      <c r="Q43" s="383"/>
    </row>
    <row r="44" spans="1:17" s="159" customFormat="1" x14ac:dyDescent="0.2">
      <c r="A44" s="158" t="s">
        <v>554</v>
      </c>
      <c r="B44" s="159" t="s">
        <v>543</v>
      </c>
      <c r="C44" s="371"/>
      <c r="D44" s="372" t="s">
        <v>21</v>
      </c>
      <c r="E44" s="253">
        <v>0</v>
      </c>
      <c r="F44" s="373">
        <f t="shared" si="3"/>
        <v>0</v>
      </c>
      <c r="G44" s="529"/>
      <c r="H44" s="375">
        <v>0</v>
      </c>
      <c r="I44" s="373">
        <f t="shared" si="4"/>
        <v>0</v>
      </c>
      <c r="J44" s="376"/>
      <c r="K44" s="530">
        <f t="shared" si="5"/>
        <v>0</v>
      </c>
      <c r="M44" s="276"/>
      <c r="N44" s="157"/>
      <c r="O44" s="410"/>
      <c r="P44" s="411"/>
      <c r="Q44" s="383"/>
    </row>
    <row r="45" spans="1:17" s="159" customFormat="1" ht="15" x14ac:dyDescent="0.2">
      <c r="A45" s="194" t="s">
        <v>555</v>
      </c>
      <c r="B45" s="194" t="s">
        <v>556</v>
      </c>
      <c r="C45" s="371"/>
      <c r="D45" s="372" t="s">
        <v>21</v>
      </c>
      <c r="E45" s="253">
        <v>0</v>
      </c>
      <c r="F45" s="373">
        <f t="shared" si="3"/>
        <v>0</v>
      </c>
      <c r="G45" s="529"/>
      <c r="H45" s="375">
        <v>0</v>
      </c>
      <c r="I45" s="373">
        <f t="shared" si="4"/>
        <v>0</v>
      </c>
      <c r="J45" s="376"/>
      <c r="K45" s="530">
        <f t="shared" si="5"/>
        <v>0</v>
      </c>
      <c r="M45" s="276"/>
      <c r="N45" s="157"/>
      <c r="O45" s="381"/>
      <c r="P45" s="382"/>
      <c r="Q45" s="383"/>
    </row>
    <row r="46" spans="1:17" s="159" customFormat="1" x14ac:dyDescent="0.2">
      <c r="C46" s="371"/>
      <c r="D46" s="372" t="s">
        <v>21</v>
      </c>
      <c r="E46" s="253">
        <v>0</v>
      </c>
      <c r="F46" s="373">
        <f t="shared" si="3"/>
        <v>0</v>
      </c>
      <c r="G46" s="529"/>
      <c r="H46" s="375">
        <v>0</v>
      </c>
      <c r="I46" s="373">
        <f t="shared" si="4"/>
        <v>0</v>
      </c>
      <c r="J46" s="376"/>
      <c r="K46" s="530">
        <f t="shared" si="5"/>
        <v>0</v>
      </c>
      <c r="M46" s="274"/>
      <c r="O46" s="381"/>
      <c r="P46" s="382"/>
      <c r="Q46" s="383"/>
    </row>
    <row r="47" spans="1:17" s="159" customFormat="1" x14ac:dyDescent="0.2">
      <c r="C47" s="371"/>
      <c r="D47" s="372" t="s">
        <v>21</v>
      </c>
      <c r="E47" s="253">
        <v>0</v>
      </c>
      <c r="F47" s="373">
        <f t="shared" si="3"/>
        <v>0</v>
      </c>
      <c r="G47" s="529"/>
      <c r="H47" s="375">
        <v>0</v>
      </c>
      <c r="I47" s="373">
        <f t="shared" si="4"/>
        <v>0</v>
      </c>
      <c r="J47" s="376"/>
      <c r="K47" s="530">
        <f t="shared" si="5"/>
        <v>0</v>
      </c>
      <c r="M47" s="274"/>
      <c r="O47" s="381"/>
      <c r="P47" s="411"/>
      <c r="Q47" s="383"/>
    </row>
    <row r="48" spans="1:17" s="159" customFormat="1" ht="13.5" thickBot="1" x14ac:dyDescent="0.25">
      <c r="A48" s="370"/>
      <c r="B48" s="5"/>
      <c r="C48" s="388"/>
      <c r="D48" s="372"/>
      <c r="E48" s="253"/>
      <c r="F48" s="373"/>
      <c r="G48" s="529"/>
      <c r="H48" s="375"/>
      <c r="I48" s="373"/>
      <c r="J48" s="376"/>
      <c r="K48" s="535"/>
      <c r="L48" s="378"/>
      <c r="M48" s="255"/>
      <c r="N48" s="421"/>
      <c r="O48" s="381"/>
      <c r="P48" s="382"/>
      <c r="Q48" s="383"/>
    </row>
    <row r="49" spans="1:27" s="159" customFormat="1" ht="13.5" thickTop="1" x14ac:dyDescent="0.2">
      <c r="A49" s="387"/>
      <c r="B49" s="5"/>
      <c r="C49" s="388"/>
      <c r="D49" s="372"/>
      <c r="E49" s="253"/>
      <c r="F49" s="373"/>
      <c r="G49" s="529"/>
      <c r="H49" s="375"/>
      <c r="I49" s="373"/>
      <c r="J49" s="389" t="s">
        <v>30</v>
      </c>
      <c r="K49" s="532">
        <f>SUM(K29:K48)</f>
        <v>268300</v>
      </c>
      <c r="L49" s="536"/>
      <c r="M49" s="574"/>
      <c r="N49" s="537"/>
      <c r="O49" s="381"/>
      <c r="P49" s="382"/>
      <c r="Q49" s="383"/>
    </row>
    <row r="50" spans="1:27" s="159" customFormat="1" ht="13.5" thickBot="1" x14ac:dyDescent="0.25">
      <c r="A50" s="353" t="s">
        <v>0</v>
      </c>
      <c r="B50" s="354" t="s">
        <v>1</v>
      </c>
      <c r="C50" s="939" t="s">
        <v>656</v>
      </c>
      <c r="D50" s="939"/>
      <c r="E50" s="939"/>
      <c r="F50" s="939"/>
      <c r="G50" s="939" t="s">
        <v>34</v>
      </c>
      <c r="H50" s="939"/>
      <c r="I50" s="939"/>
      <c r="J50" s="355"/>
      <c r="K50" s="523"/>
      <c r="L50" s="391"/>
      <c r="M50" s="392"/>
      <c r="N50" s="393"/>
      <c r="O50" s="381"/>
      <c r="P50" s="382"/>
      <c r="Q50" s="383"/>
    </row>
    <row r="51" spans="1:27" s="159" customFormat="1" ht="16.5" thickBot="1" x14ac:dyDescent="0.3">
      <c r="A51" s="805" t="s">
        <v>558</v>
      </c>
      <c r="B51" s="805" t="s">
        <v>557</v>
      </c>
      <c r="C51" s="396" t="s">
        <v>19</v>
      </c>
      <c r="D51" s="397" t="s">
        <v>33</v>
      </c>
      <c r="E51" s="398" t="s">
        <v>35</v>
      </c>
      <c r="F51" s="399" t="s">
        <v>30</v>
      </c>
      <c r="G51" s="533" t="s">
        <v>14</v>
      </c>
      <c r="H51" s="398" t="s">
        <v>35</v>
      </c>
      <c r="I51" s="399" t="s">
        <v>30</v>
      </c>
      <c r="J51" s="364" t="s">
        <v>659</v>
      </c>
      <c r="K51" s="534" t="s">
        <v>38</v>
      </c>
      <c r="L51" s="402"/>
      <c r="M51" s="408"/>
      <c r="N51" s="409"/>
      <c r="O51" s="381"/>
      <c r="P51" s="382"/>
      <c r="Q51" s="383"/>
      <c r="Z51" s="196"/>
      <c r="AA51" s="196"/>
    </row>
    <row r="52" spans="1:27" s="159" customFormat="1" ht="15" x14ac:dyDescent="0.2">
      <c r="A52" s="405"/>
      <c r="B52" s="406"/>
      <c r="C52" s="371"/>
      <c r="D52" s="372" t="s">
        <v>21</v>
      </c>
      <c r="E52" s="253">
        <v>0</v>
      </c>
      <c r="F52" s="373">
        <f>C52*E52</f>
        <v>0</v>
      </c>
      <c r="G52" s="529"/>
      <c r="H52" s="375">
        <v>0</v>
      </c>
      <c r="I52" s="373">
        <f>G52*H52</f>
        <v>0</v>
      </c>
      <c r="J52" s="376"/>
      <c r="K52" s="530">
        <f>F52+I52+J52</f>
        <v>0</v>
      </c>
      <c r="L52" s="378"/>
      <c r="M52" s="255"/>
      <c r="N52" s="421"/>
      <c r="O52" s="381"/>
      <c r="P52" s="382"/>
      <c r="Q52" s="383"/>
      <c r="Z52" s="196"/>
      <c r="AA52" s="196"/>
    </row>
    <row r="53" spans="1:27" s="159" customFormat="1" x14ac:dyDescent="0.2">
      <c r="A53" s="370"/>
      <c r="B53" s="5"/>
      <c r="C53" s="371"/>
      <c r="D53" s="372" t="s">
        <v>21</v>
      </c>
      <c r="E53" s="253">
        <v>0</v>
      </c>
      <c r="F53" s="373">
        <f>C53*E53</f>
        <v>0</v>
      </c>
      <c r="G53" s="529"/>
      <c r="H53" s="375">
        <v>0</v>
      </c>
      <c r="I53" s="373">
        <f>G53*H53</f>
        <v>0</v>
      </c>
      <c r="J53" s="376"/>
      <c r="K53" s="530">
        <f>F53+I53+J53</f>
        <v>0</v>
      </c>
      <c r="L53" s="378"/>
      <c r="M53" s="255"/>
      <c r="N53" s="380"/>
      <c r="O53" s="381"/>
      <c r="P53" s="382"/>
      <c r="Q53" s="383"/>
    </row>
    <row r="54" spans="1:27" s="159" customFormat="1" x14ac:dyDescent="0.2">
      <c r="A54" s="370"/>
      <c r="B54" s="5"/>
      <c r="C54" s="371"/>
      <c r="D54" s="372" t="s">
        <v>21</v>
      </c>
      <c r="E54" s="253">
        <v>0</v>
      </c>
      <c r="F54" s="373">
        <f>C54*E54</f>
        <v>0</v>
      </c>
      <c r="G54" s="529"/>
      <c r="H54" s="375">
        <v>0</v>
      </c>
      <c r="I54" s="373">
        <f>G54*H54</f>
        <v>0</v>
      </c>
      <c r="J54" s="376"/>
      <c r="K54" s="530">
        <f>F54+I54+J54</f>
        <v>0</v>
      </c>
      <c r="L54" s="157"/>
      <c r="M54" s="469"/>
      <c r="N54" s="157"/>
      <c r="O54" s="436"/>
      <c r="P54" s="437"/>
      <c r="Q54" s="383"/>
    </row>
    <row r="55" spans="1:27" s="159" customFormat="1" x14ac:dyDescent="0.2">
      <c r="A55" s="387"/>
      <c r="B55" s="412"/>
      <c r="C55" s="388"/>
      <c r="D55" s="372"/>
      <c r="E55" s="253"/>
      <c r="F55" s="373"/>
      <c r="G55" s="529"/>
      <c r="H55" s="375"/>
      <c r="I55" s="373"/>
      <c r="J55" s="376"/>
      <c r="K55" s="535"/>
      <c r="M55" s="274"/>
      <c r="O55" s="436"/>
      <c r="P55" s="437"/>
      <c r="Q55" s="383"/>
    </row>
    <row r="56" spans="1:27" s="159" customFormat="1" ht="13.5" thickBot="1" x14ac:dyDescent="0.25">
      <c r="A56" s="387"/>
      <c r="B56" s="412"/>
      <c r="C56" s="388"/>
      <c r="D56" s="372"/>
      <c r="E56" s="253"/>
      <c r="F56" s="373"/>
      <c r="G56" s="529"/>
      <c r="H56" s="375"/>
      <c r="I56" s="373"/>
      <c r="J56" s="376"/>
      <c r="K56" s="535"/>
      <c r="M56" s="274"/>
      <c r="O56" s="410"/>
      <c r="P56" s="411"/>
      <c r="Q56" s="383"/>
    </row>
    <row r="57" spans="1:27" s="159" customFormat="1" ht="13.5" thickTop="1" x14ac:dyDescent="0.2">
      <c r="A57" s="387"/>
      <c r="B57" s="412"/>
      <c r="C57" s="388"/>
      <c r="D57" s="372"/>
      <c r="E57" s="253"/>
      <c r="F57" s="373"/>
      <c r="G57" s="529"/>
      <c r="H57" s="375"/>
      <c r="I57" s="373"/>
      <c r="J57" s="389" t="s">
        <v>30</v>
      </c>
      <c r="K57" s="532">
        <f>SUM(K52:K56)</f>
        <v>0</v>
      </c>
      <c r="M57" s="274"/>
      <c r="O57" s="381"/>
      <c r="P57" s="382"/>
      <c r="Q57" s="383"/>
    </row>
    <row r="58" spans="1:27" s="159" customFormat="1" ht="13.5" thickBot="1" x14ac:dyDescent="0.25">
      <c r="A58" s="353" t="s">
        <v>0</v>
      </c>
      <c r="B58" s="354" t="s">
        <v>1</v>
      </c>
      <c r="C58" s="939" t="s">
        <v>656</v>
      </c>
      <c r="D58" s="939"/>
      <c r="E58" s="939"/>
      <c r="F58" s="939"/>
      <c r="G58" s="939" t="s">
        <v>34</v>
      </c>
      <c r="H58" s="939"/>
      <c r="I58" s="939"/>
      <c r="J58" s="355"/>
      <c r="K58" s="523"/>
      <c r="L58" s="391"/>
      <c r="M58" s="392"/>
      <c r="N58" s="393"/>
      <c r="O58" s="381"/>
      <c r="P58" s="382"/>
      <c r="Q58" s="383"/>
    </row>
    <row r="59" spans="1:27" s="159" customFormat="1" ht="16.5" thickBot="1" x14ac:dyDescent="0.3">
      <c r="A59" s="805" t="s">
        <v>559</v>
      </c>
      <c r="B59" s="805" t="s">
        <v>560</v>
      </c>
      <c r="C59" s="396" t="s">
        <v>19</v>
      </c>
      <c r="D59" s="397" t="s">
        <v>33</v>
      </c>
      <c r="E59" s="398" t="s">
        <v>35</v>
      </c>
      <c r="F59" s="399" t="s">
        <v>30</v>
      </c>
      <c r="G59" s="533" t="s">
        <v>14</v>
      </c>
      <c r="H59" s="398" t="s">
        <v>35</v>
      </c>
      <c r="I59" s="399" t="s">
        <v>30</v>
      </c>
      <c r="J59" s="364" t="s">
        <v>659</v>
      </c>
      <c r="K59" s="534" t="s">
        <v>38</v>
      </c>
      <c r="L59" s="402"/>
      <c r="M59" s="408"/>
      <c r="N59" s="409"/>
      <c r="O59" s="381"/>
      <c r="P59" s="382"/>
      <c r="Q59" s="383"/>
    </row>
    <row r="60" spans="1:27" s="159" customFormat="1" x14ac:dyDescent="0.2">
      <c r="A60" s="405"/>
      <c r="B60" s="406"/>
      <c r="C60" s="371"/>
      <c r="D60" s="372" t="s">
        <v>21</v>
      </c>
      <c r="E60" s="253">
        <v>0</v>
      </c>
      <c r="F60" s="373">
        <f>C60*E60</f>
        <v>0</v>
      </c>
      <c r="G60" s="529"/>
      <c r="H60" s="375">
        <v>0</v>
      </c>
      <c r="I60" s="373">
        <f>G60*H60</f>
        <v>0</v>
      </c>
      <c r="J60" s="376"/>
      <c r="K60" s="530">
        <f>F60+I60+J60</f>
        <v>0</v>
      </c>
      <c r="L60" s="378"/>
      <c r="M60" s="255"/>
      <c r="N60" s="380"/>
      <c r="O60" s="381"/>
      <c r="P60" s="382"/>
      <c r="Q60" s="383"/>
    </row>
    <row r="61" spans="1:27" s="159" customFormat="1" x14ac:dyDescent="0.2">
      <c r="A61" s="370"/>
      <c r="B61" s="5"/>
      <c r="C61" s="371"/>
      <c r="D61" s="372" t="s">
        <v>21</v>
      </c>
      <c r="E61" s="253">
        <v>0</v>
      </c>
      <c r="F61" s="373">
        <f>C61*E61</f>
        <v>0</v>
      </c>
      <c r="G61" s="529"/>
      <c r="H61" s="375">
        <v>0</v>
      </c>
      <c r="I61" s="373">
        <f>G61*H61</f>
        <v>0</v>
      </c>
      <c r="J61" s="376"/>
      <c r="K61" s="530">
        <f>F61+I61+J61</f>
        <v>0</v>
      </c>
      <c r="M61" s="274"/>
      <c r="O61" s="381"/>
      <c r="P61" s="382"/>
      <c r="Q61" s="383"/>
    </row>
    <row r="62" spans="1:27" s="159" customFormat="1" x14ac:dyDescent="0.2">
      <c r="A62" s="370"/>
      <c r="B62" s="5"/>
      <c r="C62" s="371"/>
      <c r="D62" s="372" t="s">
        <v>21</v>
      </c>
      <c r="E62" s="253">
        <v>0</v>
      </c>
      <c r="F62" s="373">
        <f>C62*E62</f>
        <v>0</v>
      </c>
      <c r="G62" s="529"/>
      <c r="H62" s="375">
        <v>0</v>
      </c>
      <c r="I62" s="373">
        <f>G62*H62</f>
        <v>0</v>
      </c>
      <c r="J62" s="376"/>
      <c r="K62" s="530">
        <f>F62+I62+J62</f>
        <v>0</v>
      </c>
      <c r="M62" s="274"/>
      <c r="O62" s="381"/>
      <c r="P62" s="382"/>
      <c r="Q62" s="383"/>
    </row>
    <row r="63" spans="1:27" s="159" customFormat="1" x14ac:dyDescent="0.2">
      <c r="A63" s="370"/>
      <c r="B63" s="5"/>
      <c r="C63" s="371"/>
      <c r="D63" s="372" t="s">
        <v>21</v>
      </c>
      <c r="E63" s="253">
        <v>0</v>
      </c>
      <c r="F63" s="373">
        <f>C63*E63</f>
        <v>0</v>
      </c>
      <c r="G63" s="529"/>
      <c r="H63" s="375">
        <v>0</v>
      </c>
      <c r="I63" s="373">
        <f>G63*H63</f>
        <v>0</v>
      </c>
      <c r="J63" s="376"/>
      <c r="K63" s="530">
        <f>F63+I63+J63</f>
        <v>0</v>
      </c>
      <c r="L63" s="378"/>
      <c r="M63" s="255"/>
      <c r="N63" s="421"/>
      <c r="O63" s="381"/>
      <c r="P63" s="382"/>
      <c r="Q63" s="383"/>
    </row>
    <row r="64" spans="1:27" s="159" customFormat="1" x14ac:dyDescent="0.2">
      <c r="A64" s="370"/>
      <c r="B64" s="5"/>
      <c r="C64" s="371"/>
      <c r="D64" s="372" t="s">
        <v>21</v>
      </c>
      <c r="E64" s="253">
        <v>0</v>
      </c>
      <c r="F64" s="373">
        <f>C64*E64</f>
        <v>0</v>
      </c>
      <c r="G64" s="529"/>
      <c r="H64" s="375">
        <v>0</v>
      </c>
      <c r="I64" s="373">
        <f>G64*H64</f>
        <v>0</v>
      </c>
      <c r="J64" s="376"/>
      <c r="K64" s="530">
        <f>F64+I64+J64</f>
        <v>0</v>
      </c>
      <c r="M64" s="276"/>
      <c r="N64" s="157"/>
      <c r="O64" s="381"/>
      <c r="P64" s="382"/>
      <c r="Q64" s="383"/>
    </row>
    <row r="65" spans="1:17" s="159" customFormat="1" ht="13.5" thickBot="1" x14ac:dyDescent="0.25">
      <c r="A65" s="387"/>
      <c r="B65" s="412"/>
      <c r="C65" s="388"/>
      <c r="D65" s="372"/>
      <c r="E65" s="253"/>
      <c r="F65" s="373"/>
      <c r="G65" s="529"/>
      <c r="H65" s="375"/>
      <c r="I65" s="373"/>
      <c r="J65" s="376"/>
      <c r="K65" s="535"/>
      <c r="M65" s="276"/>
      <c r="N65" s="157"/>
      <c r="O65" s="381"/>
      <c r="P65" s="382"/>
      <c r="Q65" s="383"/>
    </row>
    <row r="66" spans="1:17" s="159" customFormat="1" ht="14.25" thickTop="1" thickBot="1" x14ac:dyDescent="0.25">
      <c r="A66" s="387"/>
      <c r="B66" s="412"/>
      <c r="C66" s="388"/>
      <c r="D66" s="372"/>
      <c r="E66" s="253"/>
      <c r="F66" s="373"/>
      <c r="G66" s="529"/>
      <c r="H66" s="375"/>
      <c r="I66" s="373"/>
      <c r="J66" s="389" t="s">
        <v>30</v>
      </c>
      <c r="K66" s="532">
        <f>SUM(K60:K65)</f>
        <v>0</v>
      </c>
      <c r="M66" s="274"/>
      <c r="O66" s="381"/>
      <c r="P66" s="382"/>
      <c r="Q66" s="383"/>
    </row>
    <row r="67" spans="1:17" s="159" customFormat="1" ht="14.1" customHeight="1" x14ac:dyDescent="0.25">
      <c r="A67" s="478"/>
      <c r="B67" s="479"/>
      <c r="C67" s="480"/>
      <c r="D67" s="480"/>
      <c r="E67" s="481"/>
      <c r="F67" s="969" t="s">
        <v>658</v>
      </c>
      <c r="G67" s="992" t="s">
        <v>684</v>
      </c>
      <c r="H67" s="481"/>
      <c r="I67" s="962" t="s">
        <v>657</v>
      </c>
      <c r="J67" s="958" t="s">
        <v>685</v>
      </c>
      <c r="K67" s="956" t="s">
        <v>31</v>
      </c>
      <c r="M67" s="276"/>
      <c r="N67" s="157"/>
      <c r="O67" s="302"/>
      <c r="P67" s="302"/>
    </row>
    <row r="68" spans="1:17" s="159" customFormat="1" ht="15" x14ac:dyDescent="0.2">
      <c r="A68" s="482" t="s">
        <v>32</v>
      </c>
      <c r="B68" s="964" t="s">
        <v>671</v>
      </c>
      <c r="C68" s="483"/>
      <c r="D68" s="484"/>
      <c r="E68" s="484"/>
      <c r="F68" s="970"/>
      <c r="G68" s="993"/>
      <c r="H68" s="485"/>
      <c r="I68" s="963"/>
      <c r="J68" s="959"/>
      <c r="K68" s="957"/>
      <c r="M68" s="276"/>
      <c r="N68" s="157"/>
      <c r="O68" s="302"/>
      <c r="P68" s="302"/>
    </row>
    <row r="69" spans="1:17" s="159" customFormat="1" ht="15" x14ac:dyDescent="0.25">
      <c r="A69" s="826">
        <f>K69/E6</f>
        <v>4.0904378582753997</v>
      </c>
      <c r="B69" s="964"/>
      <c r="C69" s="484"/>
      <c r="D69" s="484"/>
      <c r="E69" s="484"/>
      <c r="F69" s="952">
        <f>SUM(F13:F24,F60:F65,F52:F56,F29:F48)</f>
        <v>40000</v>
      </c>
      <c r="G69" s="1134">
        <f>SUM(G13:G24,G60:G65,G52:G56,G29:G48)</f>
        <v>0</v>
      </c>
      <c r="H69" s="485"/>
      <c r="I69" s="952">
        <f>SUM(I13:I24,I60:I65,I52:I56,I29:I48)</f>
        <v>0</v>
      </c>
      <c r="J69" s="952">
        <f>SUM(J13:J24,J60:J65,J52:J56,J29:J48)</f>
        <v>228300</v>
      </c>
      <c r="K69" s="954">
        <f>SUM(K66,K57,K49,K26)</f>
        <v>268300</v>
      </c>
      <c r="M69" s="276"/>
      <c r="N69" s="157"/>
      <c r="O69" s="302"/>
      <c r="P69" s="302"/>
    </row>
    <row r="70" spans="1:17" s="159" customFormat="1" ht="15" thickBot="1" x14ac:dyDescent="0.25">
      <c r="A70" s="482"/>
      <c r="B70" s="550"/>
      <c r="C70" s="488"/>
      <c r="D70" s="488"/>
      <c r="E70" s="488"/>
      <c r="F70" s="953"/>
      <c r="G70" s="998"/>
      <c r="H70" s="488"/>
      <c r="I70" s="953"/>
      <c r="J70" s="953"/>
      <c r="K70" s="955"/>
      <c r="M70" s="276"/>
      <c r="N70" s="157"/>
      <c r="O70" s="302"/>
      <c r="P70" s="302"/>
    </row>
    <row r="71" spans="1:17" s="159" customFormat="1" ht="13.5" thickBot="1" x14ac:dyDescent="0.25">
      <c r="A71" s="489"/>
      <c r="B71" s="490"/>
      <c r="C71" s="490"/>
      <c r="D71" s="490"/>
      <c r="E71" s="490"/>
      <c r="F71" s="490"/>
      <c r="G71" s="490"/>
      <c r="H71" s="490"/>
      <c r="I71" s="490"/>
      <c r="J71" s="490"/>
      <c r="K71" s="491"/>
      <c r="M71" s="276"/>
      <c r="N71" s="157"/>
      <c r="O71" s="302"/>
      <c r="P71" s="302"/>
    </row>
    <row r="72" spans="1:17" s="159" customFormat="1" x14ac:dyDescent="0.2">
      <c r="C72" s="655"/>
      <c r="D72" s="655"/>
      <c r="J72" s="274"/>
      <c r="M72" s="276"/>
      <c r="N72" s="157"/>
      <c r="O72" s="302"/>
      <c r="P72" s="302"/>
    </row>
    <row r="73" spans="1:17" s="159" customFormat="1" x14ac:dyDescent="0.2">
      <c r="C73" s="655"/>
      <c r="D73" s="655"/>
      <c r="J73" s="274"/>
      <c r="M73" s="276"/>
      <c r="N73" s="157"/>
      <c r="O73" s="302"/>
      <c r="P73" s="302"/>
    </row>
    <row r="74" spans="1:17" s="159" customFormat="1" x14ac:dyDescent="0.2">
      <c r="C74" s="655"/>
      <c r="D74" s="655"/>
      <c r="J74" s="274"/>
      <c r="M74" s="276"/>
      <c r="N74" s="157"/>
      <c r="O74" s="302"/>
      <c r="P74" s="302"/>
    </row>
    <row r="75" spans="1:17" s="159" customFormat="1" x14ac:dyDescent="0.2">
      <c r="C75" s="655"/>
      <c r="D75" s="655"/>
      <c r="J75" s="274"/>
      <c r="M75" s="276"/>
      <c r="N75" s="157"/>
      <c r="O75" s="302"/>
      <c r="P75" s="302"/>
    </row>
    <row r="76" spans="1:17" s="159" customFormat="1" x14ac:dyDescent="0.2">
      <c r="C76" s="655"/>
      <c r="D76" s="655"/>
      <c r="J76" s="274"/>
      <c r="M76" s="276"/>
      <c r="N76" s="157"/>
      <c r="O76" s="302"/>
      <c r="P76" s="302"/>
    </row>
    <row r="77" spans="1:17" s="159" customFormat="1" x14ac:dyDescent="0.2">
      <c r="C77" s="655"/>
      <c r="D77" s="655"/>
      <c r="J77" s="274"/>
      <c r="M77" s="276"/>
      <c r="N77" s="157"/>
      <c r="O77" s="302"/>
      <c r="P77" s="302"/>
    </row>
    <row r="78" spans="1:17" s="159" customFormat="1" x14ac:dyDescent="0.2">
      <c r="C78" s="655"/>
      <c r="D78" s="655"/>
      <c r="J78" s="274"/>
      <c r="M78" s="276"/>
      <c r="N78" s="157"/>
      <c r="O78" s="302"/>
      <c r="P78" s="302"/>
    </row>
    <row r="79" spans="1:17" s="159" customFormat="1" x14ac:dyDescent="0.2">
      <c r="C79" s="655"/>
      <c r="D79" s="655"/>
      <c r="J79" s="274"/>
      <c r="M79" s="276"/>
      <c r="N79" s="157"/>
      <c r="O79" s="302"/>
      <c r="P79" s="302"/>
    </row>
    <row r="80" spans="1:17" s="159" customFormat="1" x14ac:dyDescent="0.2">
      <c r="C80" s="655"/>
      <c r="D80" s="655"/>
      <c r="J80" s="274"/>
      <c r="M80" s="276"/>
      <c r="N80" s="157"/>
      <c r="O80" s="302"/>
      <c r="P80" s="302"/>
    </row>
    <row r="81" spans="3:16" s="159" customFormat="1" x14ac:dyDescent="0.2">
      <c r="C81" s="655"/>
      <c r="D81" s="655"/>
      <c r="J81" s="274"/>
      <c r="M81" s="276"/>
      <c r="N81" s="157"/>
      <c r="O81" s="302"/>
      <c r="P81" s="302"/>
    </row>
    <row r="82" spans="3:16" s="159" customFormat="1" x14ac:dyDescent="0.2">
      <c r="C82" s="655"/>
      <c r="D82" s="655"/>
      <c r="J82" s="274"/>
      <c r="M82" s="276"/>
      <c r="N82" s="157"/>
      <c r="O82" s="302"/>
      <c r="P82" s="302"/>
    </row>
    <row r="83" spans="3:16" s="159" customFormat="1" x14ac:dyDescent="0.2">
      <c r="C83" s="655"/>
      <c r="D83" s="655"/>
      <c r="J83" s="274"/>
      <c r="M83" s="276"/>
      <c r="N83" s="157"/>
      <c r="O83" s="302"/>
      <c r="P83" s="302"/>
    </row>
    <row r="84" spans="3:16" s="159" customFormat="1" x14ac:dyDescent="0.2">
      <c r="C84" s="655"/>
      <c r="D84" s="655"/>
      <c r="J84" s="274"/>
      <c r="M84" s="276"/>
      <c r="N84" s="157"/>
      <c r="O84" s="302"/>
      <c r="P84" s="302"/>
    </row>
    <row r="85" spans="3:16" s="159" customFormat="1" x14ac:dyDescent="0.2">
      <c r="C85" s="655"/>
      <c r="D85" s="655"/>
      <c r="J85" s="274"/>
      <c r="M85" s="276"/>
      <c r="N85" s="157"/>
      <c r="O85" s="302"/>
      <c r="P85" s="302"/>
    </row>
    <row r="86" spans="3:16" s="159" customFormat="1" x14ac:dyDescent="0.2">
      <c r="C86" s="655"/>
      <c r="D86" s="655"/>
      <c r="J86" s="274"/>
      <c r="M86" s="276"/>
      <c r="N86" s="157"/>
      <c r="O86" s="302"/>
      <c r="P86" s="302"/>
    </row>
    <row r="87" spans="3:16" s="159" customFormat="1" x14ac:dyDescent="0.2">
      <c r="C87" s="655"/>
      <c r="D87" s="655"/>
      <c r="J87" s="274"/>
      <c r="M87" s="276"/>
      <c r="N87" s="157"/>
      <c r="O87" s="302"/>
      <c r="P87" s="302"/>
    </row>
    <row r="88" spans="3:16" s="159" customFormat="1" x14ac:dyDescent="0.2">
      <c r="C88" s="655"/>
      <c r="D88" s="655"/>
      <c r="J88" s="274"/>
      <c r="M88" s="276"/>
      <c r="N88" s="157"/>
      <c r="O88" s="302"/>
      <c r="P88" s="302"/>
    </row>
    <row r="89" spans="3:16" s="159" customFormat="1" x14ac:dyDescent="0.2">
      <c r="C89" s="655"/>
      <c r="D89" s="655"/>
      <c r="J89" s="274"/>
      <c r="M89" s="276"/>
      <c r="N89" s="157"/>
      <c r="O89" s="302"/>
      <c r="P89" s="302"/>
    </row>
    <row r="90" spans="3:16" s="159" customFormat="1" x14ac:dyDescent="0.2">
      <c r="C90" s="655"/>
      <c r="D90" s="655"/>
      <c r="J90" s="274"/>
      <c r="M90" s="276"/>
      <c r="N90" s="157"/>
      <c r="O90" s="302"/>
      <c r="P90" s="302"/>
    </row>
    <row r="91" spans="3:16" s="159" customFormat="1" x14ac:dyDescent="0.2">
      <c r="C91" s="655"/>
      <c r="D91" s="655"/>
      <c r="J91" s="274"/>
      <c r="M91" s="276"/>
      <c r="N91" s="157"/>
      <c r="O91" s="302"/>
      <c r="P91" s="302"/>
    </row>
    <row r="92" spans="3:16" s="159" customFormat="1" x14ac:dyDescent="0.2">
      <c r="C92" s="655"/>
      <c r="D92" s="655"/>
      <c r="J92" s="274"/>
      <c r="M92" s="276"/>
      <c r="N92" s="157"/>
      <c r="O92" s="302"/>
      <c r="P92" s="302"/>
    </row>
    <row r="93" spans="3:16" s="159" customFormat="1" x14ac:dyDescent="0.2">
      <c r="C93" s="655"/>
      <c r="D93" s="655"/>
      <c r="J93" s="274"/>
      <c r="M93" s="276"/>
      <c r="N93" s="157"/>
      <c r="O93" s="302"/>
      <c r="P93" s="302"/>
    </row>
    <row r="94" spans="3:16" s="159" customFormat="1" x14ac:dyDescent="0.2">
      <c r="C94" s="655"/>
      <c r="D94" s="655"/>
      <c r="J94" s="274"/>
      <c r="M94" s="276"/>
      <c r="N94" s="157"/>
      <c r="O94" s="302"/>
      <c r="P94" s="302"/>
    </row>
    <row r="95" spans="3:16" s="159" customFormat="1" x14ac:dyDescent="0.2">
      <c r="C95" s="655"/>
      <c r="D95" s="655"/>
      <c r="J95" s="274"/>
      <c r="M95" s="276"/>
      <c r="N95" s="157"/>
      <c r="O95" s="302"/>
      <c r="P95" s="302"/>
    </row>
    <row r="96" spans="3:16" s="159" customFormat="1" x14ac:dyDescent="0.2">
      <c r="C96" s="655"/>
      <c r="D96" s="655"/>
      <c r="J96" s="274"/>
      <c r="M96" s="276"/>
      <c r="N96" s="157"/>
      <c r="O96" s="302"/>
      <c r="P96" s="302"/>
    </row>
    <row r="97" spans="3:16" s="159" customFormat="1" x14ac:dyDescent="0.2">
      <c r="C97" s="655"/>
      <c r="D97" s="655"/>
      <c r="J97" s="274"/>
      <c r="M97" s="276"/>
      <c r="N97" s="157"/>
      <c r="O97" s="302"/>
      <c r="P97" s="302"/>
    </row>
    <row r="98" spans="3:16" s="159" customFormat="1" x14ac:dyDescent="0.2">
      <c r="C98" s="655"/>
      <c r="D98" s="655"/>
      <c r="J98" s="274"/>
      <c r="M98" s="276"/>
      <c r="N98" s="157"/>
      <c r="O98" s="302"/>
      <c r="P98" s="302"/>
    </row>
    <row r="99" spans="3:16" s="159" customFormat="1" x14ac:dyDescent="0.2">
      <c r="C99" s="655"/>
      <c r="D99" s="655"/>
      <c r="J99" s="274"/>
      <c r="M99" s="276"/>
      <c r="N99" s="157"/>
      <c r="O99" s="302"/>
      <c r="P99" s="302"/>
    </row>
    <row r="100" spans="3:16" s="159" customFormat="1" x14ac:dyDescent="0.2">
      <c r="C100" s="655"/>
      <c r="D100" s="655"/>
      <c r="J100" s="274"/>
      <c r="M100" s="276"/>
      <c r="N100" s="157"/>
      <c r="O100" s="302"/>
      <c r="P100" s="302"/>
    </row>
    <row r="101" spans="3:16" s="159" customFormat="1" x14ac:dyDescent="0.2">
      <c r="C101" s="655"/>
      <c r="D101" s="655"/>
      <c r="J101" s="274"/>
      <c r="M101" s="276"/>
      <c r="N101" s="157"/>
      <c r="O101" s="302"/>
      <c r="P101" s="302"/>
    </row>
    <row r="102" spans="3:16" s="159" customFormat="1" x14ac:dyDescent="0.2">
      <c r="C102" s="655"/>
      <c r="D102" s="655"/>
      <c r="J102" s="274"/>
      <c r="M102" s="276"/>
      <c r="N102" s="157"/>
      <c r="O102" s="302"/>
      <c r="P102" s="302"/>
    </row>
    <row r="103" spans="3:16" s="159" customFormat="1" x14ac:dyDescent="0.2">
      <c r="C103" s="655"/>
      <c r="D103" s="655"/>
      <c r="J103" s="274"/>
      <c r="M103" s="276"/>
      <c r="N103" s="157"/>
      <c r="O103" s="302"/>
      <c r="P103" s="302"/>
    </row>
    <row r="104" spans="3:16" s="159" customFormat="1" x14ac:dyDescent="0.2">
      <c r="C104" s="655"/>
      <c r="D104" s="655"/>
      <c r="J104" s="274"/>
      <c r="M104" s="276"/>
      <c r="N104" s="157"/>
      <c r="O104" s="302"/>
      <c r="P104" s="302"/>
    </row>
    <row r="105" spans="3:16" s="159" customFormat="1" x14ac:dyDescent="0.2">
      <c r="C105" s="655"/>
      <c r="D105" s="655"/>
      <c r="J105" s="274"/>
      <c r="M105" s="276"/>
      <c r="N105" s="157"/>
      <c r="O105" s="302"/>
      <c r="P105" s="302"/>
    </row>
    <row r="106" spans="3:16" s="159" customFormat="1" x14ac:dyDescent="0.2">
      <c r="C106" s="655"/>
      <c r="D106" s="655"/>
      <c r="J106" s="274"/>
      <c r="M106" s="276"/>
      <c r="N106" s="157"/>
      <c r="O106" s="302"/>
      <c r="P106" s="302"/>
    </row>
    <row r="107" spans="3:16" s="159" customFormat="1" x14ac:dyDescent="0.2">
      <c r="C107" s="655"/>
      <c r="D107" s="655"/>
      <c r="J107" s="274"/>
      <c r="M107" s="276"/>
      <c r="N107" s="157"/>
      <c r="O107" s="302"/>
      <c r="P107" s="302"/>
    </row>
    <row r="108" spans="3:16" s="159" customFormat="1" x14ac:dyDescent="0.2">
      <c r="C108" s="655"/>
      <c r="D108" s="655"/>
      <c r="J108" s="274"/>
      <c r="M108" s="276"/>
      <c r="N108" s="157"/>
      <c r="O108" s="302"/>
      <c r="P108" s="302"/>
    </row>
    <row r="109" spans="3:16" s="159" customFormat="1" x14ac:dyDescent="0.2">
      <c r="C109" s="655"/>
      <c r="D109" s="655"/>
      <c r="J109" s="274"/>
      <c r="M109" s="276"/>
      <c r="N109" s="157"/>
      <c r="O109" s="302"/>
      <c r="P109" s="302"/>
    </row>
    <row r="110" spans="3:16" s="159" customFormat="1" x14ac:dyDescent="0.2">
      <c r="C110" s="655"/>
      <c r="D110" s="655"/>
      <c r="J110" s="274"/>
      <c r="M110" s="276"/>
      <c r="N110" s="157"/>
      <c r="O110" s="302"/>
      <c r="P110" s="302"/>
    </row>
    <row r="111" spans="3:16" s="159" customFormat="1" x14ac:dyDescent="0.2">
      <c r="C111" s="655"/>
      <c r="D111" s="655"/>
      <c r="J111" s="274"/>
      <c r="M111" s="276"/>
      <c r="N111" s="157"/>
      <c r="O111" s="302"/>
      <c r="P111" s="302"/>
    </row>
    <row r="112" spans="3:16" s="159" customFormat="1" x14ac:dyDescent="0.2">
      <c r="C112" s="655"/>
      <c r="D112" s="655"/>
      <c r="J112" s="274"/>
      <c r="M112" s="276"/>
      <c r="N112" s="157"/>
      <c r="O112" s="302"/>
      <c r="P112" s="302"/>
    </row>
    <row r="113" spans="3:16" s="159" customFormat="1" x14ac:dyDescent="0.2">
      <c r="C113" s="655"/>
      <c r="D113" s="655"/>
      <c r="J113" s="274"/>
      <c r="M113" s="276"/>
      <c r="N113" s="157"/>
      <c r="O113" s="302"/>
      <c r="P113" s="302"/>
    </row>
    <row r="114" spans="3:16" s="159" customFormat="1" x14ac:dyDescent="0.2">
      <c r="C114" s="655"/>
      <c r="D114" s="655"/>
      <c r="J114" s="274"/>
      <c r="M114" s="276"/>
      <c r="N114" s="157"/>
      <c r="O114" s="302"/>
      <c r="P114" s="302"/>
    </row>
    <row r="115" spans="3:16" s="159" customFormat="1" x14ac:dyDescent="0.2">
      <c r="C115" s="655"/>
      <c r="D115" s="655"/>
      <c r="J115" s="274"/>
      <c r="M115" s="276"/>
      <c r="N115" s="157"/>
      <c r="O115" s="302"/>
      <c r="P115" s="302"/>
    </row>
    <row r="116" spans="3:16" s="159" customFormat="1" x14ac:dyDescent="0.2">
      <c r="C116" s="655"/>
      <c r="D116" s="655"/>
      <c r="J116" s="274"/>
      <c r="M116" s="276"/>
      <c r="N116" s="157"/>
      <c r="O116" s="302"/>
      <c r="P116" s="302"/>
    </row>
    <row r="117" spans="3:16" s="159" customFormat="1" x14ac:dyDescent="0.2">
      <c r="C117" s="655"/>
      <c r="D117" s="655"/>
      <c r="J117" s="274"/>
      <c r="M117" s="276"/>
      <c r="N117" s="157"/>
      <c r="O117" s="302"/>
      <c r="P117" s="302"/>
    </row>
    <row r="118" spans="3:16" s="159" customFormat="1" x14ac:dyDescent="0.2">
      <c r="C118" s="655"/>
      <c r="D118" s="655"/>
      <c r="J118" s="274"/>
      <c r="M118" s="276"/>
      <c r="N118" s="157"/>
      <c r="O118" s="302"/>
      <c r="P118" s="302"/>
    </row>
    <row r="119" spans="3:16" s="159" customFormat="1" x14ac:dyDescent="0.2">
      <c r="C119" s="655"/>
      <c r="D119" s="655"/>
      <c r="J119" s="274"/>
      <c r="M119" s="276"/>
      <c r="N119" s="157"/>
      <c r="O119" s="302"/>
      <c r="P119" s="302"/>
    </row>
    <row r="120" spans="3:16" s="159" customFormat="1" x14ac:dyDescent="0.2">
      <c r="C120" s="655"/>
      <c r="D120" s="655"/>
      <c r="J120" s="274"/>
      <c r="M120" s="276"/>
      <c r="N120" s="157"/>
      <c r="O120" s="302"/>
      <c r="P120" s="302"/>
    </row>
    <row r="121" spans="3:16" s="159" customFormat="1" x14ac:dyDescent="0.2">
      <c r="C121" s="655"/>
      <c r="D121" s="655"/>
      <c r="J121" s="274"/>
      <c r="M121" s="276"/>
      <c r="N121" s="157"/>
      <c r="O121" s="302"/>
      <c r="P121" s="302"/>
    </row>
    <row r="122" spans="3:16" s="159" customFormat="1" x14ac:dyDescent="0.2">
      <c r="C122" s="655"/>
      <c r="D122" s="655"/>
      <c r="J122" s="274"/>
      <c r="M122" s="276"/>
      <c r="N122" s="157"/>
      <c r="O122" s="302"/>
      <c r="P122" s="302"/>
    </row>
    <row r="123" spans="3:16" s="159" customFormat="1" x14ac:dyDescent="0.2">
      <c r="C123" s="655"/>
      <c r="D123" s="655"/>
      <c r="J123" s="274"/>
      <c r="M123" s="276"/>
      <c r="N123" s="157"/>
      <c r="O123" s="302"/>
      <c r="P123" s="302"/>
    </row>
    <row r="124" spans="3:16" s="159" customFormat="1" x14ac:dyDescent="0.2">
      <c r="C124" s="655"/>
      <c r="D124" s="655"/>
      <c r="J124" s="274"/>
      <c r="M124" s="276"/>
      <c r="N124" s="157"/>
      <c r="O124" s="302"/>
      <c r="P124" s="302"/>
    </row>
    <row r="125" spans="3:16" s="159" customFormat="1" x14ac:dyDescent="0.2">
      <c r="C125" s="655"/>
      <c r="D125" s="655"/>
      <c r="J125" s="274"/>
      <c r="M125" s="276"/>
      <c r="N125" s="157"/>
      <c r="O125" s="302"/>
      <c r="P125" s="302"/>
    </row>
    <row r="126" spans="3:16" s="159" customFormat="1" x14ac:dyDescent="0.2">
      <c r="C126" s="655"/>
      <c r="D126" s="655"/>
      <c r="J126" s="274"/>
      <c r="M126" s="276"/>
      <c r="N126" s="157"/>
      <c r="O126" s="302"/>
      <c r="P126" s="302"/>
    </row>
    <row r="127" spans="3:16" s="159" customFormat="1" x14ac:dyDescent="0.2">
      <c r="C127" s="655"/>
      <c r="D127" s="655"/>
      <c r="J127" s="274"/>
      <c r="M127" s="276"/>
      <c r="N127" s="157"/>
      <c r="O127" s="302"/>
      <c r="P127" s="302"/>
    </row>
    <row r="128" spans="3:16" s="159" customFormat="1" x14ac:dyDescent="0.2">
      <c r="C128" s="655"/>
      <c r="D128" s="655"/>
      <c r="J128" s="274"/>
      <c r="M128" s="276"/>
      <c r="N128" s="157"/>
      <c r="O128" s="302"/>
      <c r="P128" s="302"/>
    </row>
    <row r="129" spans="3:16" s="159" customFormat="1" x14ac:dyDescent="0.2">
      <c r="C129" s="655"/>
      <c r="D129" s="655"/>
      <c r="J129" s="274"/>
      <c r="M129" s="276"/>
      <c r="N129" s="157"/>
      <c r="O129" s="302"/>
      <c r="P129" s="302"/>
    </row>
    <row r="130" spans="3:16" s="159" customFormat="1" x14ac:dyDescent="0.2">
      <c r="C130" s="655"/>
      <c r="D130" s="655"/>
      <c r="J130" s="274"/>
      <c r="M130" s="276"/>
      <c r="N130" s="157"/>
      <c r="O130" s="302"/>
      <c r="P130" s="302"/>
    </row>
    <row r="131" spans="3:16" s="159" customFormat="1" x14ac:dyDescent="0.2">
      <c r="C131" s="655"/>
      <c r="D131" s="655"/>
      <c r="J131" s="274"/>
      <c r="M131" s="276"/>
      <c r="N131" s="157"/>
      <c r="O131" s="302"/>
      <c r="P131" s="302"/>
    </row>
    <row r="132" spans="3:16" s="159" customFormat="1" x14ac:dyDescent="0.2">
      <c r="C132" s="655"/>
      <c r="D132" s="655"/>
      <c r="J132" s="274"/>
      <c r="M132" s="276"/>
      <c r="N132" s="157"/>
      <c r="O132" s="302"/>
      <c r="P132" s="302"/>
    </row>
    <row r="133" spans="3:16" s="159" customFormat="1" x14ac:dyDescent="0.2">
      <c r="C133" s="655"/>
      <c r="D133" s="655"/>
      <c r="J133" s="274"/>
      <c r="M133" s="276"/>
      <c r="N133" s="157"/>
      <c r="O133" s="302"/>
      <c r="P133" s="302"/>
    </row>
    <row r="134" spans="3:16" s="159" customFormat="1" x14ac:dyDescent="0.2">
      <c r="C134" s="655"/>
      <c r="D134" s="655"/>
      <c r="J134" s="274"/>
      <c r="M134" s="276"/>
      <c r="N134" s="157"/>
      <c r="O134" s="302"/>
      <c r="P134" s="302"/>
    </row>
    <row r="135" spans="3:16" s="159" customFormat="1" x14ac:dyDescent="0.2">
      <c r="C135" s="655"/>
      <c r="D135" s="655"/>
      <c r="J135" s="274"/>
      <c r="M135" s="276"/>
      <c r="N135" s="157"/>
      <c r="O135" s="302"/>
      <c r="P135" s="302"/>
    </row>
    <row r="136" spans="3:16" s="159" customFormat="1" x14ac:dyDescent="0.2">
      <c r="C136" s="655"/>
      <c r="D136" s="655"/>
      <c r="J136" s="274"/>
      <c r="M136" s="276"/>
      <c r="N136" s="157"/>
      <c r="O136" s="302"/>
      <c r="P136" s="302"/>
    </row>
    <row r="137" spans="3:16" s="159" customFormat="1" x14ac:dyDescent="0.2">
      <c r="C137" s="655"/>
      <c r="D137" s="655"/>
      <c r="J137" s="274"/>
      <c r="M137" s="276"/>
      <c r="N137" s="157"/>
      <c r="O137" s="302"/>
      <c r="P137" s="302"/>
    </row>
    <row r="138" spans="3:16" s="159" customFormat="1" x14ac:dyDescent="0.2">
      <c r="C138" s="655"/>
      <c r="D138" s="655"/>
      <c r="J138" s="274"/>
      <c r="M138" s="276"/>
      <c r="N138" s="157"/>
      <c r="O138" s="302"/>
      <c r="P138" s="302"/>
    </row>
    <row r="139" spans="3:16" s="159" customFormat="1" x14ac:dyDescent="0.2">
      <c r="C139" s="655"/>
      <c r="D139" s="655"/>
      <c r="J139" s="274"/>
      <c r="M139" s="276"/>
      <c r="N139" s="157"/>
      <c r="O139" s="302"/>
      <c r="P139" s="302"/>
    </row>
    <row r="140" spans="3:16" s="159" customFormat="1" x14ac:dyDescent="0.2">
      <c r="C140" s="655"/>
      <c r="D140" s="655"/>
      <c r="J140" s="274"/>
      <c r="M140" s="276"/>
      <c r="N140" s="157"/>
      <c r="O140" s="302"/>
      <c r="P140" s="302"/>
    </row>
    <row r="141" spans="3:16" s="159" customFormat="1" x14ac:dyDescent="0.2">
      <c r="C141" s="655"/>
      <c r="D141" s="655"/>
      <c r="J141" s="274"/>
      <c r="M141" s="276"/>
      <c r="N141" s="157"/>
      <c r="O141" s="302"/>
      <c r="P141" s="302"/>
    </row>
    <row r="142" spans="3:16" s="159" customFormat="1" x14ac:dyDescent="0.2">
      <c r="C142" s="655"/>
      <c r="D142" s="655"/>
      <c r="J142" s="274"/>
      <c r="M142" s="276"/>
      <c r="N142" s="157"/>
      <c r="O142" s="302"/>
      <c r="P142" s="302"/>
    </row>
    <row r="143" spans="3:16" s="159" customFormat="1" x14ac:dyDescent="0.2">
      <c r="C143" s="655"/>
      <c r="D143" s="655"/>
      <c r="J143" s="274"/>
      <c r="M143" s="276"/>
      <c r="N143" s="157"/>
      <c r="O143" s="302"/>
      <c r="P143" s="302"/>
    </row>
    <row r="144" spans="3:16" s="159" customFormat="1" x14ac:dyDescent="0.2">
      <c r="C144" s="655"/>
      <c r="D144" s="655"/>
      <c r="J144" s="274"/>
      <c r="M144" s="276"/>
      <c r="N144" s="157"/>
      <c r="O144" s="302"/>
      <c r="P144" s="302"/>
    </row>
    <row r="145" spans="3:16" s="159" customFormat="1" x14ac:dyDescent="0.2">
      <c r="C145" s="655"/>
      <c r="D145" s="655"/>
      <c r="J145" s="274"/>
      <c r="M145" s="276"/>
      <c r="N145" s="157"/>
      <c r="O145" s="302"/>
      <c r="P145" s="302"/>
    </row>
    <row r="146" spans="3:16" s="159" customFormat="1" x14ac:dyDescent="0.2">
      <c r="C146" s="655"/>
      <c r="D146" s="655"/>
      <c r="J146" s="274"/>
      <c r="M146" s="276"/>
      <c r="N146" s="157"/>
      <c r="O146" s="302"/>
      <c r="P146" s="302"/>
    </row>
    <row r="147" spans="3:16" s="159" customFormat="1" x14ac:dyDescent="0.2">
      <c r="C147" s="655"/>
      <c r="D147" s="655"/>
      <c r="J147" s="274"/>
      <c r="M147" s="276"/>
      <c r="N147" s="157"/>
      <c r="O147" s="302"/>
      <c r="P147" s="302"/>
    </row>
    <row r="148" spans="3:16" s="159" customFormat="1" x14ac:dyDescent="0.2">
      <c r="C148" s="655"/>
      <c r="D148" s="655"/>
      <c r="J148" s="274"/>
      <c r="M148" s="276"/>
      <c r="N148" s="157"/>
      <c r="O148" s="302"/>
      <c r="P148" s="302"/>
    </row>
    <row r="149" spans="3:16" s="159" customFormat="1" x14ac:dyDescent="0.2">
      <c r="C149" s="655"/>
      <c r="D149" s="655"/>
      <c r="J149" s="274"/>
      <c r="M149" s="276"/>
      <c r="N149" s="157"/>
      <c r="O149" s="302"/>
      <c r="P149" s="302"/>
    </row>
    <row r="150" spans="3:16" s="159" customFormat="1" x14ac:dyDescent="0.2">
      <c r="C150" s="655"/>
      <c r="D150" s="655"/>
      <c r="J150" s="274"/>
      <c r="M150" s="276"/>
      <c r="N150" s="157"/>
      <c r="O150" s="302"/>
      <c r="P150" s="302"/>
    </row>
    <row r="151" spans="3:16" s="159" customFormat="1" x14ac:dyDescent="0.2">
      <c r="C151" s="655"/>
      <c r="D151" s="655"/>
      <c r="J151" s="274"/>
      <c r="M151" s="276"/>
      <c r="N151" s="157"/>
      <c r="O151" s="302"/>
      <c r="P151" s="302"/>
    </row>
    <row r="152" spans="3:16" s="159" customFormat="1" x14ac:dyDescent="0.2">
      <c r="C152" s="655"/>
      <c r="D152" s="655"/>
      <c r="J152" s="274"/>
      <c r="M152" s="276"/>
      <c r="N152" s="157"/>
      <c r="O152" s="302"/>
      <c r="P152" s="302"/>
    </row>
    <row r="153" spans="3:16" s="159" customFormat="1" x14ac:dyDescent="0.2">
      <c r="C153" s="655"/>
      <c r="D153" s="655"/>
      <c r="J153" s="274"/>
      <c r="M153" s="276"/>
      <c r="N153" s="157"/>
      <c r="O153" s="302"/>
      <c r="P153" s="302"/>
    </row>
    <row r="154" spans="3:16" s="159" customFormat="1" x14ac:dyDescent="0.2">
      <c r="C154" s="655"/>
      <c r="D154" s="655"/>
      <c r="J154" s="274"/>
      <c r="M154" s="276"/>
      <c r="N154" s="157"/>
      <c r="O154" s="302"/>
      <c r="P154" s="302"/>
    </row>
    <row r="155" spans="3:16" s="159" customFormat="1" x14ac:dyDescent="0.2">
      <c r="C155" s="655"/>
      <c r="D155" s="655"/>
      <c r="J155" s="274"/>
      <c r="M155" s="276"/>
      <c r="N155" s="157"/>
      <c r="O155" s="302"/>
      <c r="P155" s="302"/>
    </row>
    <row r="156" spans="3:16" s="159" customFormat="1" x14ac:dyDescent="0.2">
      <c r="C156" s="655"/>
      <c r="D156" s="655"/>
      <c r="J156" s="274"/>
      <c r="M156" s="276"/>
      <c r="N156" s="157"/>
      <c r="O156" s="302"/>
      <c r="P156" s="302"/>
    </row>
    <row r="157" spans="3:16" s="159" customFormat="1" x14ac:dyDescent="0.2">
      <c r="C157" s="655"/>
      <c r="D157" s="655"/>
      <c r="J157" s="274"/>
      <c r="M157" s="276"/>
      <c r="N157" s="157"/>
      <c r="O157" s="302"/>
      <c r="P157" s="302"/>
    </row>
    <row r="158" spans="3:16" s="159" customFormat="1" x14ac:dyDescent="0.2">
      <c r="C158" s="655"/>
      <c r="D158" s="655"/>
      <c r="J158" s="274"/>
      <c r="M158" s="276"/>
      <c r="N158" s="157"/>
      <c r="O158" s="302"/>
      <c r="P158" s="302"/>
    </row>
    <row r="159" spans="3:16" s="159" customFormat="1" x14ac:dyDescent="0.2">
      <c r="C159" s="655"/>
      <c r="D159" s="655"/>
      <c r="J159" s="274"/>
      <c r="M159" s="276"/>
      <c r="N159" s="157"/>
      <c r="O159" s="302"/>
      <c r="P159" s="302"/>
    </row>
    <row r="160" spans="3:16" s="159" customFormat="1" x14ac:dyDescent="0.2">
      <c r="C160" s="655"/>
      <c r="D160" s="655"/>
      <c r="J160" s="274"/>
      <c r="M160" s="276"/>
      <c r="N160" s="157"/>
      <c r="O160" s="302"/>
      <c r="P160" s="302"/>
    </row>
    <row r="161" spans="3:16" s="159" customFormat="1" x14ac:dyDescent="0.2">
      <c r="C161" s="655"/>
      <c r="D161" s="655"/>
      <c r="J161" s="274"/>
      <c r="M161" s="276"/>
      <c r="N161" s="157"/>
      <c r="O161" s="302"/>
      <c r="P161" s="302"/>
    </row>
    <row r="162" spans="3:16" s="159" customFormat="1" x14ac:dyDescent="0.2">
      <c r="C162" s="655"/>
      <c r="D162" s="655"/>
      <c r="J162" s="274"/>
      <c r="M162" s="276"/>
      <c r="N162" s="157"/>
      <c r="O162" s="302"/>
      <c r="P162" s="302"/>
    </row>
    <row r="163" spans="3:16" s="159" customFormat="1" x14ac:dyDescent="0.2">
      <c r="C163" s="655"/>
      <c r="D163" s="655"/>
      <c r="J163" s="274"/>
      <c r="M163" s="276"/>
      <c r="N163" s="157"/>
      <c r="O163" s="302"/>
      <c r="P163" s="302"/>
    </row>
    <row r="164" spans="3:16" s="159" customFormat="1" x14ac:dyDescent="0.2">
      <c r="C164" s="655"/>
      <c r="D164" s="655"/>
      <c r="J164" s="274"/>
      <c r="M164" s="276"/>
      <c r="N164" s="157"/>
      <c r="O164" s="302"/>
      <c r="P164" s="302"/>
    </row>
    <row r="165" spans="3:16" s="159" customFormat="1" x14ac:dyDescent="0.2">
      <c r="C165" s="655"/>
      <c r="D165" s="655"/>
      <c r="J165" s="274"/>
      <c r="M165" s="276"/>
      <c r="N165" s="157"/>
      <c r="O165" s="302"/>
      <c r="P165" s="302"/>
    </row>
    <row r="166" spans="3:16" s="159" customFormat="1" x14ac:dyDescent="0.2">
      <c r="C166" s="655"/>
      <c r="D166" s="655"/>
      <c r="J166" s="274"/>
      <c r="M166" s="276"/>
      <c r="N166" s="157"/>
      <c r="O166" s="302"/>
      <c r="P166" s="302"/>
    </row>
    <row r="167" spans="3:16" s="159" customFormat="1" x14ac:dyDescent="0.2">
      <c r="C167" s="655"/>
      <c r="D167" s="655"/>
      <c r="J167" s="274"/>
      <c r="M167" s="276"/>
      <c r="N167" s="157"/>
      <c r="O167" s="302"/>
      <c r="P167" s="302"/>
    </row>
    <row r="168" spans="3:16" s="159" customFormat="1" x14ac:dyDescent="0.2">
      <c r="C168" s="655"/>
      <c r="D168" s="655"/>
      <c r="J168" s="274"/>
      <c r="M168" s="276"/>
      <c r="N168" s="157"/>
      <c r="O168" s="302"/>
      <c r="P168" s="302"/>
    </row>
    <row r="169" spans="3:16" s="159" customFormat="1" x14ac:dyDescent="0.2">
      <c r="C169" s="655"/>
      <c r="D169" s="655"/>
      <c r="J169" s="274"/>
      <c r="M169" s="276"/>
      <c r="N169" s="157"/>
      <c r="O169" s="302"/>
      <c r="P169" s="302"/>
    </row>
    <row r="170" spans="3:16" s="159" customFormat="1" x14ac:dyDescent="0.2">
      <c r="C170" s="655"/>
      <c r="D170" s="655"/>
      <c r="J170" s="274"/>
      <c r="M170" s="276"/>
      <c r="N170" s="157"/>
      <c r="O170" s="302"/>
      <c r="P170" s="302"/>
    </row>
    <row r="171" spans="3:16" s="159" customFormat="1" x14ac:dyDescent="0.2">
      <c r="C171" s="655"/>
      <c r="D171" s="655"/>
      <c r="J171" s="274"/>
      <c r="M171" s="276"/>
      <c r="N171" s="157"/>
      <c r="O171" s="302"/>
      <c r="P171" s="302"/>
    </row>
    <row r="172" spans="3:16" s="159" customFormat="1" x14ac:dyDescent="0.2">
      <c r="C172" s="655"/>
      <c r="D172" s="655"/>
      <c r="J172" s="274"/>
      <c r="M172" s="276"/>
      <c r="N172" s="157"/>
      <c r="O172" s="302"/>
      <c r="P172" s="302"/>
    </row>
    <row r="173" spans="3:16" s="159" customFormat="1" x14ac:dyDescent="0.2">
      <c r="C173" s="655"/>
      <c r="D173" s="655"/>
      <c r="J173" s="274"/>
      <c r="M173" s="276"/>
      <c r="N173" s="157"/>
      <c r="O173" s="302"/>
      <c r="P173" s="302"/>
    </row>
    <row r="174" spans="3:16" s="159" customFormat="1" x14ac:dyDescent="0.2">
      <c r="C174" s="655"/>
      <c r="D174" s="655"/>
      <c r="J174" s="274"/>
      <c r="M174" s="276"/>
      <c r="N174" s="157"/>
      <c r="O174" s="302"/>
      <c r="P174" s="302"/>
    </row>
    <row r="175" spans="3:16" s="159" customFormat="1" x14ac:dyDescent="0.2">
      <c r="C175" s="655"/>
      <c r="D175" s="655"/>
      <c r="J175" s="274"/>
      <c r="M175" s="276"/>
      <c r="N175" s="157"/>
      <c r="O175" s="302"/>
      <c r="P175" s="302"/>
    </row>
    <row r="176" spans="3:16" s="159" customFormat="1" x14ac:dyDescent="0.2">
      <c r="C176" s="655"/>
      <c r="D176" s="655"/>
      <c r="J176" s="274"/>
      <c r="M176" s="276"/>
      <c r="N176" s="157"/>
      <c r="O176" s="302"/>
      <c r="P176" s="302"/>
    </row>
    <row r="177" spans="3:16" s="159" customFormat="1" x14ac:dyDescent="0.2">
      <c r="C177" s="655"/>
      <c r="D177" s="655"/>
      <c r="J177" s="274"/>
      <c r="M177" s="276"/>
      <c r="N177" s="157"/>
      <c r="O177" s="302"/>
      <c r="P177" s="302"/>
    </row>
    <row r="178" spans="3:16" s="159" customFormat="1" x14ac:dyDescent="0.2">
      <c r="C178" s="655"/>
      <c r="D178" s="655"/>
      <c r="J178" s="274"/>
      <c r="M178" s="276"/>
      <c r="N178" s="157"/>
      <c r="O178" s="302"/>
      <c r="P178" s="302"/>
    </row>
    <row r="179" spans="3:16" s="159" customFormat="1" x14ac:dyDescent="0.2">
      <c r="C179" s="655"/>
      <c r="D179" s="655"/>
      <c r="J179" s="274"/>
      <c r="M179" s="276"/>
      <c r="N179" s="157"/>
      <c r="O179" s="302"/>
      <c r="P179" s="302"/>
    </row>
    <row r="180" spans="3:16" s="159" customFormat="1" x14ac:dyDescent="0.2">
      <c r="C180" s="655"/>
      <c r="D180" s="655"/>
      <c r="J180" s="274"/>
      <c r="M180" s="276"/>
      <c r="N180" s="157"/>
      <c r="O180" s="302"/>
      <c r="P180" s="302"/>
    </row>
    <row r="181" spans="3:16" s="159" customFormat="1" x14ac:dyDescent="0.2">
      <c r="C181" s="655"/>
      <c r="D181" s="655"/>
      <c r="J181" s="274"/>
      <c r="M181" s="276"/>
      <c r="N181" s="157"/>
      <c r="O181" s="302"/>
      <c r="P181" s="302"/>
    </row>
    <row r="182" spans="3:16" s="159" customFormat="1" x14ac:dyDescent="0.2">
      <c r="C182" s="655"/>
      <c r="D182" s="655"/>
      <c r="J182" s="274"/>
      <c r="M182" s="276"/>
      <c r="N182" s="157"/>
      <c r="O182" s="302"/>
      <c r="P182" s="302"/>
    </row>
    <row r="183" spans="3:16" s="159" customFormat="1" x14ac:dyDescent="0.2">
      <c r="C183" s="655"/>
      <c r="D183" s="655"/>
      <c r="J183" s="274"/>
      <c r="M183" s="276"/>
      <c r="N183" s="157"/>
      <c r="O183" s="302"/>
      <c r="P183" s="302"/>
    </row>
    <row r="184" spans="3:16" s="159" customFormat="1" x14ac:dyDescent="0.2">
      <c r="C184" s="655"/>
      <c r="D184" s="655"/>
      <c r="J184" s="274"/>
      <c r="M184" s="276"/>
      <c r="N184" s="157"/>
      <c r="O184" s="302"/>
      <c r="P184" s="302"/>
    </row>
    <row r="185" spans="3:16" s="159" customFormat="1" x14ac:dyDescent="0.2">
      <c r="C185" s="655"/>
      <c r="D185" s="655"/>
      <c r="J185" s="274"/>
      <c r="M185" s="276"/>
      <c r="N185" s="157"/>
      <c r="O185" s="302"/>
      <c r="P185" s="302"/>
    </row>
    <row r="186" spans="3:16" s="159" customFormat="1" x14ac:dyDescent="0.2">
      <c r="C186" s="655"/>
      <c r="D186" s="655"/>
      <c r="J186" s="274"/>
      <c r="M186" s="276"/>
      <c r="N186" s="157"/>
      <c r="O186" s="302"/>
      <c r="P186" s="302"/>
    </row>
    <row r="187" spans="3:16" s="159" customFormat="1" x14ac:dyDescent="0.2">
      <c r="C187" s="655"/>
      <c r="D187" s="655"/>
      <c r="J187" s="274"/>
      <c r="M187" s="276"/>
      <c r="N187" s="157"/>
      <c r="O187" s="302"/>
      <c r="P187" s="302"/>
    </row>
    <row r="188" spans="3:16" s="159" customFormat="1" x14ac:dyDescent="0.2">
      <c r="C188" s="655"/>
      <c r="D188" s="655"/>
      <c r="J188" s="274"/>
      <c r="M188" s="276"/>
      <c r="N188" s="157"/>
      <c r="O188" s="302"/>
      <c r="P188" s="302"/>
    </row>
    <row r="189" spans="3:16" s="159" customFormat="1" x14ac:dyDescent="0.2">
      <c r="C189" s="655"/>
      <c r="D189" s="655"/>
      <c r="J189" s="274"/>
      <c r="M189" s="276"/>
      <c r="N189" s="157"/>
      <c r="O189" s="302"/>
      <c r="P189" s="302"/>
    </row>
    <row r="190" spans="3:16" s="159" customFormat="1" x14ac:dyDescent="0.2">
      <c r="C190" s="655"/>
      <c r="D190" s="655"/>
      <c r="J190" s="274"/>
      <c r="M190" s="276"/>
      <c r="N190" s="157"/>
      <c r="O190" s="302"/>
      <c r="P190" s="302"/>
    </row>
    <row r="191" spans="3:16" s="159" customFormat="1" x14ac:dyDescent="0.2">
      <c r="C191" s="655"/>
      <c r="D191" s="655"/>
      <c r="J191" s="274"/>
      <c r="M191" s="276"/>
      <c r="N191" s="157"/>
      <c r="O191" s="302"/>
      <c r="P191" s="302"/>
    </row>
    <row r="192" spans="3:16" s="159" customFormat="1" x14ac:dyDescent="0.2">
      <c r="C192" s="655"/>
      <c r="D192" s="655"/>
      <c r="J192" s="274"/>
      <c r="M192" s="276"/>
      <c r="N192" s="157"/>
      <c r="O192" s="302"/>
      <c r="P192" s="302"/>
    </row>
    <row r="193" spans="3:16" s="159" customFormat="1" x14ac:dyDescent="0.2">
      <c r="C193" s="655"/>
      <c r="D193" s="655"/>
      <c r="J193" s="274"/>
      <c r="M193" s="276"/>
      <c r="N193" s="157"/>
      <c r="O193" s="302"/>
      <c r="P193" s="302"/>
    </row>
    <row r="194" spans="3:16" s="159" customFormat="1" x14ac:dyDescent="0.2">
      <c r="C194" s="655"/>
      <c r="D194" s="655"/>
      <c r="J194" s="274"/>
      <c r="M194" s="276"/>
      <c r="N194" s="157"/>
      <c r="O194" s="302"/>
      <c r="P194" s="302"/>
    </row>
    <row r="195" spans="3:16" s="159" customFormat="1" x14ac:dyDescent="0.2">
      <c r="C195" s="655"/>
      <c r="D195" s="655"/>
      <c r="J195" s="274"/>
      <c r="M195" s="276"/>
      <c r="N195" s="157"/>
      <c r="O195" s="302"/>
      <c r="P195" s="302"/>
    </row>
    <row r="196" spans="3:16" s="159" customFormat="1" x14ac:dyDescent="0.2">
      <c r="C196" s="655"/>
      <c r="D196" s="655"/>
      <c r="J196" s="274"/>
      <c r="M196" s="276"/>
      <c r="N196" s="157"/>
      <c r="O196" s="302"/>
      <c r="P196" s="302"/>
    </row>
    <row r="197" spans="3:16" s="159" customFormat="1" x14ac:dyDescent="0.2">
      <c r="C197" s="655"/>
      <c r="D197" s="655"/>
      <c r="J197" s="274"/>
      <c r="M197" s="276"/>
      <c r="N197" s="157"/>
      <c r="O197" s="302"/>
      <c r="P197" s="302"/>
    </row>
    <row r="198" spans="3:16" s="159" customFormat="1" x14ac:dyDescent="0.2">
      <c r="C198" s="655"/>
      <c r="D198" s="655"/>
      <c r="J198" s="274"/>
      <c r="M198" s="276"/>
      <c r="N198" s="157"/>
      <c r="O198" s="302"/>
      <c r="P198" s="302"/>
    </row>
    <row r="199" spans="3:16" s="159" customFormat="1" x14ac:dyDescent="0.2">
      <c r="C199" s="655"/>
      <c r="D199" s="655"/>
      <c r="J199" s="274"/>
      <c r="M199" s="276"/>
      <c r="N199" s="157"/>
      <c r="O199" s="302"/>
      <c r="P199" s="302"/>
    </row>
    <row r="200" spans="3:16" s="159" customFormat="1" x14ac:dyDescent="0.2">
      <c r="C200" s="655"/>
      <c r="D200" s="655"/>
      <c r="J200" s="274"/>
      <c r="M200" s="276"/>
      <c r="N200" s="157"/>
      <c r="O200" s="302"/>
      <c r="P200" s="302"/>
    </row>
    <row r="201" spans="3:16" s="159" customFormat="1" x14ac:dyDescent="0.2">
      <c r="C201" s="655"/>
      <c r="D201" s="655"/>
      <c r="J201" s="274"/>
      <c r="M201" s="276"/>
      <c r="N201" s="157"/>
      <c r="O201" s="302"/>
      <c r="P201" s="302"/>
    </row>
    <row r="202" spans="3:16" s="159" customFormat="1" x14ac:dyDescent="0.2">
      <c r="C202" s="655"/>
      <c r="D202" s="655"/>
      <c r="J202" s="274"/>
      <c r="M202" s="276"/>
      <c r="N202" s="157"/>
      <c r="O202" s="302"/>
      <c r="P202" s="302"/>
    </row>
    <row r="203" spans="3:16" s="159" customFormat="1" x14ac:dyDescent="0.2">
      <c r="C203" s="655"/>
      <c r="D203" s="655"/>
      <c r="J203" s="274"/>
      <c r="M203" s="276"/>
      <c r="N203" s="157"/>
      <c r="O203" s="302"/>
      <c r="P203" s="302"/>
    </row>
    <row r="204" spans="3:16" s="159" customFormat="1" x14ac:dyDescent="0.2">
      <c r="C204" s="655"/>
      <c r="D204" s="655"/>
      <c r="J204" s="274"/>
      <c r="M204" s="276"/>
      <c r="N204" s="157"/>
      <c r="O204" s="302"/>
      <c r="P204" s="302"/>
    </row>
    <row r="205" spans="3:16" s="159" customFormat="1" x14ac:dyDescent="0.2">
      <c r="C205" s="655"/>
      <c r="D205" s="655"/>
      <c r="J205" s="274"/>
      <c r="M205" s="276"/>
      <c r="N205" s="157"/>
      <c r="O205" s="302"/>
      <c r="P205" s="302"/>
    </row>
    <row r="206" spans="3:16" s="159" customFormat="1" x14ac:dyDescent="0.2">
      <c r="C206" s="655"/>
      <c r="D206" s="655"/>
      <c r="J206" s="274"/>
      <c r="M206" s="276"/>
      <c r="N206" s="157"/>
      <c r="O206" s="302"/>
      <c r="P206" s="302"/>
    </row>
    <row r="207" spans="3:16" s="159" customFormat="1" x14ac:dyDescent="0.2">
      <c r="C207" s="655"/>
      <c r="D207" s="655"/>
      <c r="J207" s="274"/>
      <c r="M207" s="276"/>
      <c r="N207" s="157"/>
      <c r="O207" s="302"/>
      <c r="P207" s="302"/>
    </row>
    <row r="208" spans="3:16" s="159" customFormat="1" x14ac:dyDescent="0.2">
      <c r="C208" s="655"/>
      <c r="D208" s="655"/>
      <c r="J208" s="274"/>
      <c r="M208" s="276"/>
      <c r="N208" s="157"/>
      <c r="O208" s="302"/>
      <c r="P208" s="302"/>
    </row>
    <row r="209" spans="3:16" s="159" customFormat="1" x14ac:dyDescent="0.2">
      <c r="C209" s="655"/>
      <c r="D209" s="655"/>
      <c r="J209" s="274"/>
      <c r="M209" s="276"/>
      <c r="N209" s="157"/>
      <c r="O209" s="302"/>
      <c r="P209" s="302"/>
    </row>
    <row r="210" spans="3:16" s="159" customFormat="1" x14ac:dyDescent="0.2">
      <c r="C210" s="655"/>
      <c r="D210" s="655"/>
      <c r="J210" s="274"/>
      <c r="M210" s="276"/>
      <c r="N210" s="157"/>
      <c r="O210" s="302"/>
      <c r="P210" s="302"/>
    </row>
    <row r="211" spans="3:16" s="159" customFormat="1" x14ac:dyDescent="0.2">
      <c r="C211" s="655"/>
      <c r="D211" s="655"/>
      <c r="J211" s="274"/>
      <c r="M211" s="276"/>
      <c r="N211" s="157"/>
      <c r="O211" s="302"/>
      <c r="P211" s="302"/>
    </row>
    <row r="212" spans="3:16" s="159" customFormat="1" x14ac:dyDescent="0.2">
      <c r="C212" s="655"/>
      <c r="D212" s="655"/>
      <c r="J212" s="274"/>
      <c r="M212" s="276"/>
      <c r="N212" s="157"/>
      <c r="O212" s="302"/>
      <c r="P212" s="302"/>
    </row>
    <row r="213" spans="3:16" s="159" customFormat="1" x14ac:dyDescent="0.2">
      <c r="C213" s="655"/>
      <c r="D213" s="655"/>
      <c r="J213" s="274"/>
      <c r="M213" s="276"/>
      <c r="N213" s="157"/>
      <c r="O213" s="302"/>
      <c r="P213" s="302"/>
    </row>
    <row r="214" spans="3:16" s="159" customFormat="1" x14ac:dyDescent="0.2">
      <c r="C214" s="655"/>
      <c r="D214" s="655"/>
      <c r="J214" s="274"/>
      <c r="M214" s="276"/>
      <c r="N214" s="157"/>
      <c r="O214" s="302"/>
      <c r="P214" s="302"/>
    </row>
    <row r="215" spans="3:16" s="159" customFormat="1" x14ac:dyDescent="0.2">
      <c r="C215" s="655"/>
      <c r="D215" s="655"/>
      <c r="J215" s="274"/>
      <c r="M215" s="276"/>
      <c r="N215" s="157"/>
      <c r="O215" s="302"/>
      <c r="P215" s="302"/>
    </row>
    <row r="216" spans="3:16" s="159" customFormat="1" x14ac:dyDescent="0.2">
      <c r="C216" s="655"/>
      <c r="D216" s="655"/>
      <c r="J216" s="274"/>
      <c r="M216" s="276"/>
      <c r="N216" s="157"/>
      <c r="O216" s="302"/>
      <c r="P216" s="302"/>
    </row>
    <row r="217" spans="3:16" s="159" customFormat="1" x14ac:dyDescent="0.2">
      <c r="C217" s="655"/>
      <c r="D217" s="655"/>
      <c r="J217" s="274"/>
      <c r="M217" s="276"/>
      <c r="N217" s="157"/>
      <c r="O217" s="302"/>
      <c r="P217" s="302"/>
    </row>
    <row r="218" spans="3:16" s="159" customFormat="1" x14ac:dyDescent="0.2">
      <c r="C218" s="655"/>
      <c r="D218" s="655"/>
      <c r="J218" s="274"/>
      <c r="M218" s="276"/>
      <c r="N218" s="157"/>
      <c r="O218" s="302"/>
      <c r="P218" s="302"/>
    </row>
    <row r="219" spans="3:16" s="159" customFormat="1" x14ac:dyDescent="0.2">
      <c r="C219" s="655"/>
      <c r="D219" s="655"/>
      <c r="J219" s="274"/>
      <c r="M219" s="276"/>
      <c r="N219" s="157"/>
      <c r="O219" s="302"/>
      <c r="P219" s="302"/>
    </row>
    <row r="220" spans="3:16" s="159" customFormat="1" x14ac:dyDescent="0.2">
      <c r="C220" s="655"/>
      <c r="D220" s="655"/>
      <c r="J220" s="274"/>
      <c r="M220" s="276"/>
      <c r="N220" s="157"/>
      <c r="O220" s="302"/>
      <c r="P220" s="302"/>
    </row>
    <row r="221" spans="3:16" s="159" customFormat="1" x14ac:dyDescent="0.2">
      <c r="C221" s="655"/>
      <c r="D221" s="655"/>
      <c r="J221" s="274"/>
      <c r="M221" s="276"/>
      <c r="N221" s="157"/>
      <c r="O221" s="302"/>
      <c r="P221" s="302"/>
    </row>
    <row r="222" spans="3:16" s="159" customFormat="1" x14ac:dyDescent="0.2">
      <c r="C222" s="655"/>
      <c r="D222" s="655"/>
      <c r="J222" s="274"/>
      <c r="M222" s="276"/>
      <c r="N222" s="157"/>
      <c r="O222" s="302"/>
      <c r="P222" s="302"/>
    </row>
    <row r="223" spans="3:16" s="159" customFormat="1" x14ac:dyDescent="0.2">
      <c r="C223" s="655"/>
      <c r="D223" s="655"/>
      <c r="J223" s="274"/>
      <c r="M223" s="276"/>
      <c r="N223" s="157"/>
      <c r="O223" s="302"/>
      <c r="P223" s="302"/>
    </row>
    <row r="224" spans="3:16" s="159" customFormat="1" x14ac:dyDescent="0.2">
      <c r="C224" s="655"/>
      <c r="D224" s="655"/>
      <c r="J224" s="274"/>
      <c r="M224" s="276"/>
      <c r="N224" s="157"/>
      <c r="O224" s="302"/>
      <c r="P224" s="302"/>
    </row>
    <row r="225" spans="3:16" s="159" customFormat="1" x14ac:dyDescent="0.2">
      <c r="C225" s="655"/>
      <c r="D225" s="655"/>
      <c r="J225" s="274"/>
      <c r="M225" s="276"/>
      <c r="N225" s="157"/>
      <c r="O225" s="302"/>
      <c r="P225" s="302"/>
    </row>
    <row r="226" spans="3:16" s="159" customFormat="1" x14ac:dyDescent="0.2">
      <c r="C226" s="655"/>
      <c r="D226" s="655"/>
      <c r="J226" s="274"/>
      <c r="M226" s="276"/>
      <c r="N226" s="157"/>
      <c r="O226" s="302"/>
      <c r="P226" s="302"/>
    </row>
    <row r="227" spans="3:16" s="159" customFormat="1" x14ac:dyDescent="0.2">
      <c r="C227" s="655"/>
      <c r="D227" s="655"/>
      <c r="J227" s="274"/>
      <c r="M227" s="276"/>
      <c r="N227" s="157"/>
      <c r="O227" s="302"/>
      <c r="P227" s="302"/>
    </row>
    <row r="228" spans="3:16" s="159" customFormat="1" x14ac:dyDescent="0.2">
      <c r="C228" s="655"/>
      <c r="D228" s="655"/>
      <c r="J228" s="274"/>
      <c r="M228" s="276"/>
      <c r="N228" s="157"/>
      <c r="O228" s="302"/>
      <c r="P228" s="302"/>
    </row>
    <row r="229" spans="3:16" s="159" customFormat="1" x14ac:dyDescent="0.2">
      <c r="C229" s="655"/>
      <c r="D229" s="655"/>
      <c r="J229" s="274"/>
      <c r="M229" s="276"/>
      <c r="N229" s="157"/>
      <c r="O229" s="302"/>
      <c r="P229" s="302"/>
    </row>
    <row r="230" spans="3:16" s="159" customFormat="1" x14ac:dyDescent="0.2">
      <c r="C230" s="655"/>
      <c r="D230" s="655"/>
      <c r="J230" s="274"/>
      <c r="M230" s="276"/>
      <c r="N230" s="157"/>
      <c r="O230" s="302"/>
      <c r="P230" s="302"/>
    </row>
    <row r="231" spans="3:16" s="159" customFormat="1" x14ac:dyDescent="0.2">
      <c r="C231" s="655"/>
      <c r="D231" s="655"/>
      <c r="J231" s="274"/>
      <c r="M231" s="276"/>
      <c r="N231" s="157"/>
      <c r="O231" s="302"/>
      <c r="P231" s="302"/>
    </row>
    <row r="232" spans="3:16" s="159" customFormat="1" x14ac:dyDescent="0.2">
      <c r="C232" s="655"/>
      <c r="D232" s="655"/>
      <c r="J232" s="274"/>
      <c r="M232" s="276"/>
      <c r="N232" s="157"/>
      <c r="O232" s="302"/>
      <c r="P232" s="302"/>
    </row>
    <row r="233" spans="3:16" s="159" customFormat="1" x14ac:dyDescent="0.2">
      <c r="C233" s="655"/>
      <c r="D233" s="655"/>
      <c r="J233" s="274"/>
      <c r="M233" s="276"/>
      <c r="N233" s="157"/>
      <c r="O233" s="302"/>
      <c r="P233" s="302"/>
    </row>
    <row r="234" spans="3:16" s="159" customFormat="1" x14ac:dyDescent="0.2">
      <c r="C234" s="655"/>
      <c r="D234" s="655"/>
      <c r="J234" s="274"/>
      <c r="M234" s="276"/>
      <c r="N234" s="157"/>
      <c r="O234" s="302"/>
      <c r="P234" s="302"/>
    </row>
    <row r="235" spans="3:16" s="159" customFormat="1" x14ac:dyDescent="0.2">
      <c r="C235" s="655"/>
      <c r="D235" s="655"/>
      <c r="J235" s="274"/>
      <c r="M235" s="276"/>
      <c r="N235" s="157"/>
      <c r="O235" s="302"/>
      <c r="P235" s="302"/>
    </row>
    <row r="236" spans="3:16" s="159" customFormat="1" x14ac:dyDescent="0.2">
      <c r="C236" s="655"/>
      <c r="D236" s="655"/>
      <c r="J236" s="274"/>
      <c r="M236" s="276"/>
      <c r="N236" s="157"/>
      <c r="O236" s="302"/>
      <c r="P236" s="302"/>
    </row>
    <row r="237" spans="3:16" s="159" customFormat="1" x14ac:dyDescent="0.2">
      <c r="C237" s="655"/>
      <c r="D237" s="655"/>
      <c r="J237" s="274"/>
      <c r="M237" s="276"/>
      <c r="N237" s="157"/>
      <c r="O237" s="302"/>
      <c r="P237" s="302"/>
    </row>
    <row r="238" spans="3:16" s="159" customFormat="1" x14ac:dyDescent="0.2">
      <c r="C238" s="655"/>
      <c r="D238" s="655"/>
      <c r="J238" s="274"/>
      <c r="M238" s="276"/>
      <c r="N238" s="157"/>
      <c r="O238" s="302"/>
      <c r="P238" s="302"/>
    </row>
    <row r="239" spans="3:16" s="159" customFormat="1" x14ac:dyDescent="0.2">
      <c r="C239" s="655"/>
      <c r="D239" s="655"/>
      <c r="J239" s="274"/>
      <c r="M239" s="276"/>
      <c r="N239" s="157"/>
      <c r="O239" s="302"/>
      <c r="P239" s="302"/>
    </row>
    <row r="240" spans="3:16" s="159" customFormat="1" x14ac:dyDescent="0.2">
      <c r="C240" s="655"/>
      <c r="D240" s="655"/>
      <c r="J240" s="274"/>
      <c r="M240" s="276"/>
      <c r="N240" s="157"/>
      <c r="O240" s="302"/>
      <c r="P240" s="302"/>
    </row>
    <row r="241" spans="3:16" s="159" customFormat="1" x14ac:dyDescent="0.2">
      <c r="C241" s="655"/>
      <c r="D241" s="655"/>
      <c r="J241" s="274"/>
      <c r="M241" s="276"/>
      <c r="N241" s="157"/>
      <c r="O241" s="302"/>
      <c r="P241" s="302"/>
    </row>
    <row r="242" spans="3:16" s="159" customFormat="1" x14ac:dyDescent="0.2">
      <c r="C242" s="655"/>
      <c r="D242" s="655"/>
      <c r="J242" s="274"/>
      <c r="M242" s="276"/>
      <c r="N242" s="157"/>
      <c r="O242" s="302"/>
      <c r="P242" s="302"/>
    </row>
    <row r="243" spans="3:16" s="159" customFormat="1" x14ac:dyDescent="0.2">
      <c r="C243" s="655"/>
      <c r="D243" s="655"/>
      <c r="J243" s="274"/>
      <c r="M243" s="276"/>
      <c r="N243" s="157"/>
      <c r="O243" s="302"/>
      <c r="P243" s="302"/>
    </row>
    <row r="244" spans="3:16" s="159" customFormat="1" x14ac:dyDescent="0.2">
      <c r="C244" s="655"/>
      <c r="D244" s="655"/>
      <c r="J244" s="274"/>
      <c r="M244" s="276"/>
      <c r="N244" s="157"/>
      <c r="O244" s="302"/>
      <c r="P244" s="302"/>
    </row>
    <row r="245" spans="3:16" s="159" customFormat="1" x14ac:dyDescent="0.2">
      <c r="C245" s="655"/>
      <c r="D245" s="655"/>
      <c r="J245" s="274"/>
      <c r="M245" s="276"/>
      <c r="N245" s="157"/>
      <c r="O245" s="302"/>
      <c r="P245" s="302"/>
    </row>
    <row r="246" spans="3:16" s="159" customFormat="1" x14ac:dyDescent="0.2">
      <c r="C246" s="655"/>
      <c r="D246" s="655"/>
      <c r="J246" s="274"/>
      <c r="M246" s="276"/>
      <c r="N246" s="157"/>
      <c r="O246" s="302"/>
      <c r="P246" s="302"/>
    </row>
    <row r="247" spans="3:16" s="159" customFormat="1" x14ac:dyDescent="0.2">
      <c r="C247" s="655"/>
      <c r="D247" s="655"/>
      <c r="J247" s="274"/>
      <c r="M247" s="276"/>
      <c r="N247" s="157"/>
      <c r="O247" s="302"/>
      <c r="P247" s="302"/>
    </row>
    <row r="248" spans="3:16" s="159" customFormat="1" x14ac:dyDescent="0.2">
      <c r="C248" s="655"/>
      <c r="D248" s="655"/>
      <c r="J248" s="274"/>
      <c r="M248" s="276"/>
      <c r="N248" s="157"/>
      <c r="O248" s="302"/>
      <c r="P248" s="302"/>
    </row>
    <row r="249" spans="3:16" s="159" customFormat="1" x14ac:dyDescent="0.2">
      <c r="C249" s="655"/>
      <c r="D249" s="655"/>
      <c r="J249" s="274"/>
      <c r="M249" s="276"/>
      <c r="N249" s="157"/>
      <c r="O249" s="302"/>
      <c r="P249" s="302"/>
    </row>
  </sheetData>
  <mergeCells count="53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B68:B69"/>
    <mergeCell ref="C58:F58"/>
    <mergeCell ref="G58:I58"/>
    <mergeCell ref="C11:F11"/>
    <mergeCell ref="G11:I11"/>
    <mergeCell ref="C27:F27"/>
    <mergeCell ref="G27:I27"/>
    <mergeCell ref="C50:F50"/>
    <mergeCell ref="G50:I50"/>
    <mergeCell ref="K69:K70"/>
    <mergeCell ref="F67:F68"/>
    <mergeCell ref="G67:G68"/>
    <mergeCell ref="I67:I68"/>
    <mergeCell ref="J67:J68"/>
    <mergeCell ref="K67:K68"/>
    <mergeCell ref="F69:F70"/>
    <mergeCell ref="G69:G70"/>
    <mergeCell ref="I69:I70"/>
    <mergeCell ref="J69:J70"/>
    <mergeCell ref="Q11:Q12"/>
    <mergeCell ref="L11:L12"/>
    <mergeCell ref="M11:M12"/>
    <mergeCell ref="N11:N12"/>
    <mergeCell ref="O11:O12"/>
    <mergeCell ref="P11:P12"/>
  </mergeCells>
  <printOptions horizontalCentered="1"/>
  <pageMargins left="0.7" right="0.7" top="0.75" bottom="0.75" header="0.5" footer="0.5"/>
  <pageSetup scale="62" fitToHeight="2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T277"/>
  <sheetViews>
    <sheetView topLeftCell="A28" zoomScale="90" zoomScaleNormal="75" zoomScaleSheetLayoutView="90" zoomScalePageLayoutView="75" workbookViewId="0">
      <selection activeCell="L11" sqref="L11"/>
    </sheetView>
  </sheetViews>
  <sheetFormatPr defaultColWidth="9.140625" defaultRowHeight="12.75" x14ac:dyDescent="0.2"/>
  <cols>
    <col min="1" max="1" width="12.85546875" style="157" bestFit="1" customWidth="1"/>
    <col min="2" max="2" width="52.5703125" style="157" bestFit="1" customWidth="1"/>
    <col min="3" max="4" width="5" style="440" customWidth="1"/>
    <col min="5" max="5" width="10.85546875" style="157" bestFit="1" customWidth="1"/>
    <col min="6" max="6" width="12.5703125" style="157" bestFit="1" customWidth="1"/>
    <col min="7" max="7" width="7" style="157" bestFit="1" customWidth="1"/>
    <col min="8" max="8" width="10.85546875" style="157" bestFit="1" customWidth="1"/>
    <col min="9" max="9" width="14.42578125" style="157" bestFit="1" customWidth="1"/>
    <col min="10" max="10" width="16.140625" style="276" bestFit="1" customWidth="1"/>
    <col min="11" max="11" width="14.42578125" style="157" bestFit="1" customWidth="1"/>
    <col min="12" max="12" width="17.85546875" style="159" bestFit="1" customWidth="1"/>
    <col min="13" max="13" width="14" style="276" bestFit="1" customWidth="1"/>
    <col min="14" max="14" width="24.85546875" style="157" bestFit="1" customWidth="1"/>
    <col min="15" max="15" width="22" style="302" bestFit="1" customWidth="1"/>
    <col min="16" max="16" width="22.140625" style="302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2"/>
      <c r="B1" s="323"/>
      <c r="C1" s="976">
        <f>'Estimate Summary'!C1:H1</f>
        <v>0</v>
      </c>
      <c r="D1" s="976"/>
      <c r="E1" s="976"/>
      <c r="F1" s="976"/>
      <c r="G1" s="976"/>
      <c r="H1" s="976"/>
      <c r="I1" s="976"/>
      <c r="J1" s="976"/>
      <c r="K1" s="977"/>
    </row>
    <row r="2" spans="1:17" ht="13.5" thickBot="1" x14ac:dyDescent="0.25">
      <c r="A2" s="324"/>
      <c r="B2" s="325"/>
      <c r="C2" s="514"/>
      <c r="D2" s="984"/>
      <c r="E2" s="984"/>
      <c r="F2" s="984"/>
      <c r="G2" s="514"/>
      <c r="H2" s="327"/>
      <c r="I2" s="328"/>
      <c r="J2" s="329"/>
      <c r="K2" s="330"/>
    </row>
    <row r="3" spans="1:17" ht="16.5" thickBot="1" x14ac:dyDescent="0.3">
      <c r="A3" s="973"/>
      <c r="B3" s="974"/>
      <c r="C3" s="514"/>
      <c r="D3" s="984"/>
      <c r="E3" s="984"/>
      <c r="F3" s="984"/>
      <c r="G3" s="515"/>
      <c r="H3" s="332"/>
      <c r="I3" s="333"/>
      <c r="J3" s="333"/>
      <c r="K3" s="334"/>
      <c r="L3" s="1002"/>
      <c r="M3" s="1003"/>
      <c r="N3" s="985"/>
      <c r="O3" s="985"/>
      <c r="P3" s="935"/>
    </row>
    <row r="4" spans="1:17" ht="18.75" thickBot="1" x14ac:dyDescent="0.25">
      <c r="A4" s="973"/>
      <c r="B4" s="974"/>
      <c r="C4" s="514"/>
      <c r="D4" s="984"/>
      <c r="E4" s="984"/>
      <c r="F4" s="984"/>
      <c r="G4" s="336"/>
      <c r="H4" s="336"/>
      <c r="I4" s="328"/>
      <c r="J4" s="329"/>
      <c r="K4" s="330"/>
      <c r="L4" s="1002"/>
      <c r="M4" s="1003"/>
      <c r="N4" s="985"/>
      <c r="O4" s="985"/>
      <c r="P4" s="935"/>
    </row>
    <row r="5" spans="1:17" ht="21" thickBot="1" x14ac:dyDescent="0.3">
      <c r="A5" s="337"/>
      <c r="B5" s="338"/>
      <c r="C5" s="516"/>
      <c r="D5" s="340"/>
      <c r="E5" s="341"/>
      <c r="F5" s="336"/>
      <c r="G5" s="983" t="s">
        <v>562</v>
      </c>
      <c r="H5" s="983"/>
      <c r="I5" s="983"/>
      <c r="J5" s="981" t="s">
        <v>73</v>
      </c>
      <c r="K5" s="982"/>
      <c r="L5" s="1002"/>
      <c r="M5" s="1003"/>
      <c r="N5" s="985"/>
      <c r="O5" s="985"/>
      <c r="P5" s="935"/>
    </row>
    <row r="6" spans="1:17" ht="21" thickBot="1" x14ac:dyDescent="0.25">
      <c r="A6" s="337"/>
      <c r="B6" s="338"/>
      <c r="C6" s="517"/>
      <c r="D6" s="343" t="str">
        <f>'Estimate Summary'!C11</f>
        <v>Area:</v>
      </c>
      <c r="E6" s="344">
        <f>'Estimate Summary'!D11</f>
        <v>65592</v>
      </c>
      <c r="F6" s="238" t="str">
        <f>'Estimate Summary'!E11</f>
        <v>Sq. Ft.</v>
      </c>
      <c r="G6" s="983"/>
      <c r="H6" s="983"/>
      <c r="I6" s="983"/>
      <c r="J6" s="345">
        <f>'1'!J6</f>
        <v>60</v>
      </c>
      <c r="K6" s="330" t="s">
        <v>74</v>
      </c>
      <c r="L6" s="1002"/>
      <c r="M6" s="1003"/>
      <c r="N6" s="985"/>
      <c r="O6" s="985"/>
      <c r="P6" s="935"/>
    </row>
    <row r="7" spans="1:17" x14ac:dyDescent="0.2">
      <c r="A7" s="978"/>
      <c r="B7" s="979"/>
      <c r="C7" s="979"/>
      <c r="D7" s="979"/>
      <c r="E7" s="979"/>
      <c r="F7" s="979"/>
      <c r="G7" s="979"/>
      <c r="H7" s="979"/>
      <c r="I7" s="979"/>
      <c r="J7" s="979"/>
      <c r="K7" s="980"/>
    </row>
    <row r="8" spans="1:17" ht="13.5" thickBot="1" x14ac:dyDescent="0.25">
      <c r="A8" s="346"/>
      <c r="B8" s="347"/>
      <c r="C8" s="972"/>
      <c r="D8" s="972"/>
      <c r="E8" s="972"/>
      <c r="F8" s="972"/>
      <c r="G8" s="971"/>
      <c r="H8" s="971"/>
      <c r="I8" s="971"/>
      <c r="J8" s="348"/>
      <c r="K8" s="349"/>
      <c r="L8" s="518"/>
      <c r="M8" s="519"/>
      <c r="N8" s="518"/>
      <c r="O8" s="520"/>
      <c r="P8" s="520"/>
    </row>
    <row r="9" spans="1:17" ht="14.25" thickTop="1" thickBot="1" x14ac:dyDescent="0.25">
      <c r="A9" s="353" t="s">
        <v>0</v>
      </c>
      <c r="B9" s="354" t="s">
        <v>1</v>
      </c>
      <c r="C9" s="939" t="s">
        <v>656</v>
      </c>
      <c r="D9" s="939"/>
      <c r="E9" s="939"/>
      <c r="F9" s="939"/>
      <c r="G9" s="939" t="s">
        <v>34</v>
      </c>
      <c r="H9" s="939"/>
      <c r="I9" s="939"/>
      <c r="J9" s="355"/>
      <c r="K9" s="523"/>
      <c r="L9" s="942" t="s">
        <v>783</v>
      </c>
      <c r="M9" s="944" t="s">
        <v>784</v>
      </c>
      <c r="N9" s="946" t="s">
        <v>785</v>
      </c>
      <c r="O9" s="948" t="s">
        <v>1041</v>
      </c>
      <c r="P9" s="950"/>
      <c r="Q9" s="940"/>
    </row>
    <row r="10" spans="1:17" ht="15.75" x14ac:dyDescent="0.25">
      <c r="A10" s="525" t="s">
        <v>563</v>
      </c>
      <c r="B10" s="525" t="s">
        <v>564</v>
      </c>
      <c r="C10" s="359" t="s">
        <v>19</v>
      </c>
      <c r="D10" s="360" t="s">
        <v>33</v>
      </c>
      <c r="E10" s="361" t="s">
        <v>35</v>
      </c>
      <c r="F10" s="362" t="s">
        <v>30</v>
      </c>
      <c r="G10" s="526" t="s">
        <v>14</v>
      </c>
      <c r="H10" s="361" t="s">
        <v>35</v>
      </c>
      <c r="I10" s="362" t="s">
        <v>30</v>
      </c>
      <c r="J10" s="364" t="s">
        <v>659</v>
      </c>
      <c r="K10" s="527" t="s">
        <v>38</v>
      </c>
      <c r="L10" s="943"/>
      <c r="M10" s="945"/>
      <c r="N10" s="947"/>
      <c r="O10" s="949"/>
      <c r="P10" s="951"/>
      <c r="Q10" s="941"/>
    </row>
    <row r="11" spans="1:17" ht="15" x14ac:dyDescent="0.2">
      <c r="A11" s="194" t="s">
        <v>566</v>
      </c>
      <c r="B11" s="194" t="s">
        <v>565</v>
      </c>
      <c r="C11" s="371"/>
      <c r="D11" s="372" t="s">
        <v>21</v>
      </c>
      <c r="E11" s="253">
        <v>0</v>
      </c>
      <c r="F11" s="373">
        <f t="shared" ref="F11:F19" si="0">C11*E11</f>
        <v>0</v>
      </c>
      <c r="G11" s="529"/>
      <c r="H11" s="375">
        <v>0</v>
      </c>
      <c r="I11" s="373">
        <f t="shared" ref="I11:I19" si="1">G11*H11</f>
        <v>0</v>
      </c>
      <c r="J11" s="376">
        <f>M11</f>
        <v>53250</v>
      </c>
      <c r="K11" s="530">
        <f t="shared" ref="K11:K19" si="2">F11+I11+J11</f>
        <v>53250</v>
      </c>
      <c r="L11" s="862" t="s">
        <v>1101</v>
      </c>
      <c r="M11" s="379">
        <v>53250</v>
      </c>
      <c r="N11" s="380"/>
      <c r="O11" s="381" t="s">
        <v>1054</v>
      </c>
      <c r="P11" s="382">
        <v>64500</v>
      </c>
      <c r="Q11" s="383"/>
    </row>
    <row r="12" spans="1:17" ht="15" x14ac:dyDescent="0.2">
      <c r="A12" s="194" t="s">
        <v>567</v>
      </c>
      <c r="B12" s="194" t="s">
        <v>568</v>
      </c>
      <c r="C12" s="371"/>
      <c r="D12" s="372" t="s">
        <v>21</v>
      </c>
      <c r="E12" s="253">
        <v>0</v>
      </c>
      <c r="F12" s="373">
        <f t="shared" si="0"/>
        <v>0</v>
      </c>
      <c r="G12" s="529"/>
      <c r="H12" s="375">
        <v>0</v>
      </c>
      <c r="I12" s="373">
        <f t="shared" si="1"/>
        <v>0</v>
      </c>
      <c r="J12" s="376"/>
      <c r="K12" s="530">
        <f t="shared" si="2"/>
        <v>0</v>
      </c>
      <c r="L12" s="378" t="s">
        <v>1102</v>
      </c>
      <c r="M12" s="379"/>
      <c r="N12" s="380" t="s">
        <v>1175</v>
      </c>
      <c r="O12" s="381"/>
      <c r="P12" s="382"/>
      <c r="Q12" s="383"/>
    </row>
    <row r="13" spans="1:17" ht="15" x14ac:dyDescent="0.2">
      <c r="A13" s="194" t="s">
        <v>570</v>
      </c>
      <c r="B13" s="194" t="s">
        <v>569</v>
      </c>
      <c r="C13" s="371"/>
      <c r="D13" s="372" t="s">
        <v>21</v>
      </c>
      <c r="E13" s="253">
        <v>0</v>
      </c>
      <c r="F13" s="373">
        <f t="shared" si="0"/>
        <v>0</v>
      </c>
      <c r="G13" s="529"/>
      <c r="H13" s="375">
        <v>0</v>
      </c>
      <c r="I13" s="373">
        <f t="shared" si="1"/>
        <v>0</v>
      </c>
      <c r="J13" s="376"/>
      <c r="K13" s="530">
        <f t="shared" si="2"/>
        <v>0</v>
      </c>
      <c r="L13" s="378" t="s">
        <v>1183</v>
      </c>
      <c r="M13" s="379">
        <v>87000</v>
      </c>
      <c r="N13" s="380"/>
      <c r="O13" s="381"/>
      <c r="P13" s="382"/>
      <c r="Q13" s="383"/>
    </row>
    <row r="14" spans="1:17" x14ac:dyDescent="0.2">
      <c r="C14" s="371"/>
      <c r="D14" s="372" t="s">
        <v>21</v>
      </c>
      <c r="E14" s="253">
        <v>0</v>
      </c>
      <c r="F14" s="373">
        <f t="shared" si="0"/>
        <v>0</v>
      </c>
      <c r="G14" s="529"/>
      <c r="H14" s="375">
        <v>0</v>
      </c>
      <c r="I14" s="373">
        <f t="shared" si="1"/>
        <v>0</v>
      </c>
      <c r="J14" s="376"/>
      <c r="K14" s="530">
        <f t="shared" si="2"/>
        <v>0</v>
      </c>
      <c r="L14" s="378"/>
      <c r="M14" s="379"/>
      <c r="N14" s="380"/>
      <c r="O14" s="381"/>
      <c r="P14" s="382"/>
      <c r="Q14" s="383"/>
    </row>
    <row r="15" spans="1:17" x14ac:dyDescent="0.2">
      <c r="C15" s="371"/>
      <c r="D15" s="372" t="s">
        <v>21</v>
      </c>
      <c r="E15" s="253">
        <v>0</v>
      </c>
      <c r="F15" s="373">
        <f t="shared" si="0"/>
        <v>0</v>
      </c>
      <c r="G15" s="529"/>
      <c r="H15" s="375">
        <v>0</v>
      </c>
      <c r="I15" s="373">
        <f t="shared" si="1"/>
        <v>0</v>
      </c>
      <c r="J15" s="376"/>
      <c r="K15" s="530">
        <f t="shared" si="2"/>
        <v>0</v>
      </c>
      <c r="L15" s="378"/>
      <c r="M15" s="379"/>
      <c r="N15" s="380"/>
      <c r="O15" s="381"/>
      <c r="P15" s="382"/>
      <c r="Q15" s="383"/>
    </row>
    <row r="16" spans="1:17" x14ac:dyDescent="0.2">
      <c r="C16" s="371"/>
      <c r="D16" s="372" t="s">
        <v>21</v>
      </c>
      <c r="E16" s="253">
        <v>0</v>
      </c>
      <c r="F16" s="373">
        <f t="shared" si="0"/>
        <v>0</v>
      </c>
      <c r="G16" s="529"/>
      <c r="H16" s="375">
        <v>0</v>
      </c>
      <c r="I16" s="373">
        <f t="shared" si="1"/>
        <v>0</v>
      </c>
      <c r="J16" s="376"/>
      <c r="K16" s="530">
        <f t="shared" si="2"/>
        <v>0</v>
      </c>
      <c r="L16" s="378"/>
      <c r="M16" s="379"/>
      <c r="N16" s="380"/>
      <c r="O16" s="381"/>
      <c r="P16" s="382"/>
      <c r="Q16" s="383"/>
    </row>
    <row r="17" spans="1:17" x14ac:dyDescent="0.2">
      <c r="C17" s="371"/>
      <c r="D17" s="372" t="s">
        <v>21</v>
      </c>
      <c r="E17" s="253">
        <v>0</v>
      </c>
      <c r="F17" s="373">
        <f t="shared" si="0"/>
        <v>0</v>
      </c>
      <c r="G17" s="529"/>
      <c r="H17" s="375">
        <v>0</v>
      </c>
      <c r="I17" s="373">
        <f t="shared" si="1"/>
        <v>0</v>
      </c>
      <c r="J17" s="376"/>
      <c r="K17" s="530">
        <f t="shared" si="2"/>
        <v>0</v>
      </c>
      <c r="L17" s="157"/>
      <c r="M17" s="469"/>
      <c r="O17" s="381"/>
      <c r="P17" s="382"/>
      <c r="Q17" s="383"/>
    </row>
    <row r="18" spans="1:17" x14ac:dyDescent="0.2">
      <c r="C18" s="371"/>
      <c r="D18" s="372" t="s">
        <v>21</v>
      </c>
      <c r="E18" s="253">
        <v>0</v>
      </c>
      <c r="F18" s="373">
        <f t="shared" si="0"/>
        <v>0</v>
      </c>
      <c r="G18" s="529"/>
      <c r="H18" s="375">
        <v>0</v>
      </c>
      <c r="I18" s="373">
        <f t="shared" si="1"/>
        <v>0</v>
      </c>
      <c r="J18" s="376"/>
      <c r="K18" s="530">
        <f t="shared" si="2"/>
        <v>0</v>
      </c>
      <c r="L18" s="157"/>
      <c r="M18" s="469"/>
      <c r="O18" s="381"/>
      <c r="P18" s="382"/>
      <c r="Q18" s="383"/>
    </row>
    <row r="19" spans="1:17" x14ac:dyDescent="0.2">
      <c r="C19" s="371"/>
      <c r="D19" s="372" t="s">
        <v>21</v>
      </c>
      <c r="E19" s="253">
        <v>0</v>
      </c>
      <c r="F19" s="373">
        <f t="shared" si="0"/>
        <v>0</v>
      </c>
      <c r="G19" s="529"/>
      <c r="H19" s="375">
        <v>0</v>
      </c>
      <c r="I19" s="373">
        <f t="shared" si="1"/>
        <v>0</v>
      </c>
      <c r="J19" s="376"/>
      <c r="K19" s="530">
        <f t="shared" si="2"/>
        <v>0</v>
      </c>
      <c r="L19" s="536"/>
      <c r="M19" s="574"/>
      <c r="N19" s="537"/>
      <c r="O19" s="381"/>
      <c r="P19" s="382"/>
      <c r="Q19" s="383"/>
    </row>
    <row r="20" spans="1:17" ht="13.5" thickBot="1" x14ac:dyDescent="0.25">
      <c r="A20" s="387"/>
      <c r="B20" s="7"/>
      <c r="C20" s="388"/>
      <c r="D20" s="372"/>
      <c r="E20" s="253"/>
      <c r="F20" s="373"/>
      <c r="G20" s="529"/>
      <c r="H20" s="375"/>
      <c r="I20" s="373"/>
      <c r="J20" s="376"/>
      <c r="K20" s="530"/>
      <c r="L20" s="538"/>
      <c r="M20" s="464"/>
      <c r="N20" s="539"/>
      <c r="O20" s="381"/>
      <c r="P20" s="382"/>
      <c r="Q20" s="383"/>
    </row>
    <row r="21" spans="1:17" ht="13.5" thickTop="1" x14ac:dyDescent="0.2">
      <c r="A21" s="387"/>
      <c r="B21" s="7"/>
      <c r="C21" s="388"/>
      <c r="D21" s="372"/>
      <c r="E21" s="253"/>
      <c r="F21" s="373"/>
      <c r="G21" s="529"/>
      <c r="H21" s="375"/>
      <c r="I21" s="373"/>
      <c r="J21" s="389" t="s">
        <v>30</v>
      </c>
      <c r="K21" s="532">
        <f>SUM(K11:K20)</f>
        <v>53250</v>
      </c>
      <c r="L21" s="157"/>
      <c r="M21" s="469"/>
      <c r="O21" s="381"/>
      <c r="P21" s="382"/>
      <c r="Q21" s="383"/>
    </row>
    <row r="22" spans="1:17" ht="13.5" thickBot="1" x14ac:dyDescent="0.25">
      <c r="A22" s="353" t="s">
        <v>0</v>
      </c>
      <c r="B22" s="354" t="s">
        <v>1</v>
      </c>
      <c r="C22" s="939" t="s">
        <v>656</v>
      </c>
      <c r="D22" s="939"/>
      <c r="E22" s="939"/>
      <c r="F22" s="939"/>
      <c r="G22" s="939" t="s">
        <v>34</v>
      </c>
      <c r="H22" s="939"/>
      <c r="I22" s="939"/>
      <c r="J22" s="355"/>
      <c r="K22" s="523"/>
      <c r="L22" s="157"/>
      <c r="M22" s="469"/>
      <c r="O22" s="381"/>
      <c r="P22" s="382"/>
      <c r="Q22" s="383"/>
    </row>
    <row r="23" spans="1:17" ht="16.5" thickBot="1" x14ac:dyDescent="0.3">
      <c r="A23" s="524" t="s">
        <v>571</v>
      </c>
      <c r="B23" s="524" t="s">
        <v>572</v>
      </c>
      <c r="C23" s="396" t="s">
        <v>19</v>
      </c>
      <c r="D23" s="397" t="s">
        <v>33</v>
      </c>
      <c r="E23" s="398" t="s">
        <v>35</v>
      </c>
      <c r="F23" s="399" t="s">
        <v>30</v>
      </c>
      <c r="G23" s="533" t="s">
        <v>14</v>
      </c>
      <c r="H23" s="398" t="s">
        <v>35</v>
      </c>
      <c r="I23" s="399" t="s">
        <v>30</v>
      </c>
      <c r="J23" s="364" t="s">
        <v>659</v>
      </c>
      <c r="K23" s="534" t="s">
        <v>38</v>
      </c>
      <c r="L23" s="391"/>
      <c r="M23" s="392"/>
      <c r="N23" s="393"/>
      <c r="O23" s="381"/>
      <c r="P23" s="382"/>
      <c r="Q23" s="383"/>
    </row>
    <row r="24" spans="1:17" s="159" customFormat="1" x14ac:dyDescent="0.2">
      <c r="A24" s="158" t="s">
        <v>573</v>
      </c>
      <c r="B24" s="159" t="s">
        <v>587</v>
      </c>
      <c r="C24" s="371"/>
      <c r="D24" s="372" t="s">
        <v>21</v>
      </c>
      <c r="E24" s="253">
        <v>0</v>
      </c>
      <c r="F24" s="373">
        <f t="shared" ref="F24:F30" si="3">C24*E24</f>
        <v>0</v>
      </c>
      <c r="G24" s="529"/>
      <c r="H24" s="375">
        <v>0</v>
      </c>
      <c r="I24" s="373">
        <f t="shared" ref="I24:I30" si="4">G24*H24</f>
        <v>0</v>
      </c>
      <c r="J24" s="376">
        <f>M25</f>
        <v>28809.84</v>
      </c>
      <c r="K24" s="530">
        <f t="shared" ref="K24:K30" si="5">F24+I24+J24</f>
        <v>28809.84</v>
      </c>
      <c r="L24" s="402"/>
      <c r="M24" s="403"/>
      <c r="N24" s="404"/>
      <c r="O24" s="381"/>
      <c r="P24" s="382"/>
      <c r="Q24" s="383"/>
    </row>
    <row r="25" spans="1:17" s="159" customFormat="1" x14ac:dyDescent="0.2">
      <c r="A25" s="675" t="s">
        <v>574</v>
      </c>
      <c r="B25" s="675" t="s">
        <v>586</v>
      </c>
      <c r="C25" s="371"/>
      <c r="D25" s="372" t="s">
        <v>21</v>
      </c>
      <c r="E25" s="253">
        <v>0</v>
      </c>
      <c r="F25" s="373">
        <f t="shared" si="3"/>
        <v>0</v>
      </c>
      <c r="G25" s="529"/>
      <c r="H25" s="375">
        <v>0</v>
      </c>
      <c r="I25" s="373">
        <f t="shared" si="4"/>
        <v>0</v>
      </c>
      <c r="J25" s="376"/>
      <c r="K25" s="530">
        <f t="shared" si="5"/>
        <v>0</v>
      </c>
      <c r="L25" s="875" t="s">
        <v>1040</v>
      </c>
      <c r="M25" s="274">
        <v>28809.84</v>
      </c>
      <c r="O25" s="381"/>
      <c r="P25" s="382"/>
      <c r="Q25" s="383"/>
    </row>
    <row r="26" spans="1:17" s="159" customFormat="1" x14ac:dyDescent="0.2">
      <c r="A26" s="675" t="s">
        <v>575</v>
      </c>
      <c r="B26" s="675" t="s">
        <v>585</v>
      </c>
      <c r="C26" s="371"/>
      <c r="D26" s="372" t="s">
        <v>21</v>
      </c>
      <c r="E26" s="253">
        <v>0</v>
      </c>
      <c r="F26" s="373">
        <f t="shared" si="3"/>
        <v>0</v>
      </c>
      <c r="G26" s="529"/>
      <c r="H26" s="375">
        <v>0</v>
      </c>
      <c r="I26" s="373">
        <f t="shared" si="4"/>
        <v>0</v>
      </c>
      <c r="J26" s="376"/>
      <c r="K26" s="530">
        <f t="shared" si="5"/>
        <v>0</v>
      </c>
      <c r="L26" s="159" t="s">
        <v>1099</v>
      </c>
      <c r="M26" s="274">
        <f>17880+18300+1680+2520</f>
        <v>40380</v>
      </c>
      <c r="O26" s="381"/>
      <c r="P26" s="382"/>
      <c r="Q26" s="383"/>
    </row>
    <row r="27" spans="1:17" s="159" customFormat="1" x14ac:dyDescent="0.2">
      <c r="A27" s="675" t="s">
        <v>576</v>
      </c>
      <c r="B27" s="675" t="s">
        <v>584</v>
      </c>
      <c r="C27" s="371"/>
      <c r="D27" s="372" t="s">
        <v>21</v>
      </c>
      <c r="E27" s="253">
        <v>0</v>
      </c>
      <c r="F27" s="373">
        <f t="shared" si="3"/>
        <v>0</v>
      </c>
      <c r="G27" s="529"/>
      <c r="H27" s="375">
        <v>0</v>
      </c>
      <c r="I27" s="373">
        <f t="shared" si="4"/>
        <v>0</v>
      </c>
      <c r="J27" s="376"/>
      <c r="K27" s="530">
        <f t="shared" si="5"/>
        <v>0</v>
      </c>
      <c r="L27" s="159" t="s">
        <v>1100</v>
      </c>
      <c r="M27" s="274"/>
      <c r="O27" s="381"/>
      <c r="P27" s="382"/>
      <c r="Q27" s="383"/>
    </row>
    <row r="28" spans="1:17" s="159" customFormat="1" x14ac:dyDescent="0.2">
      <c r="A28" s="675" t="s">
        <v>577</v>
      </c>
      <c r="B28" s="675" t="s">
        <v>583</v>
      </c>
      <c r="C28" s="371"/>
      <c r="D28" s="372" t="s">
        <v>21</v>
      </c>
      <c r="E28" s="253">
        <v>0</v>
      </c>
      <c r="F28" s="373">
        <f t="shared" si="3"/>
        <v>0</v>
      </c>
      <c r="G28" s="529"/>
      <c r="H28" s="375">
        <v>0</v>
      </c>
      <c r="I28" s="373">
        <f t="shared" si="4"/>
        <v>0</v>
      </c>
      <c r="J28" s="376"/>
      <c r="K28" s="530">
        <f t="shared" si="5"/>
        <v>0</v>
      </c>
      <c r="M28" s="276"/>
      <c r="N28" s="157"/>
      <c r="O28" s="381"/>
      <c r="P28" s="382"/>
      <c r="Q28" s="383"/>
    </row>
    <row r="29" spans="1:17" s="159" customFormat="1" x14ac:dyDescent="0.2">
      <c r="A29" s="675" t="s">
        <v>578</v>
      </c>
      <c r="B29" s="675" t="s">
        <v>582</v>
      </c>
      <c r="C29" s="371"/>
      <c r="D29" s="372" t="s">
        <v>21</v>
      </c>
      <c r="E29" s="253">
        <v>0</v>
      </c>
      <c r="F29" s="373">
        <f t="shared" si="3"/>
        <v>0</v>
      </c>
      <c r="G29" s="529"/>
      <c r="H29" s="375">
        <v>0</v>
      </c>
      <c r="I29" s="373">
        <f t="shared" si="4"/>
        <v>0</v>
      </c>
      <c r="J29" s="376"/>
      <c r="K29" s="530">
        <f t="shared" si="5"/>
        <v>0</v>
      </c>
      <c r="L29" s="378"/>
      <c r="M29" s="379"/>
      <c r="N29" s="380"/>
      <c r="O29" s="381"/>
      <c r="P29" s="382"/>
      <c r="Q29" s="383"/>
    </row>
    <row r="30" spans="1:17" s="159" customFormat="1" x14ac:dyDescent="0.2">
      <c r="A30" s="158" t="s">
        <v>579</v>
      </c>
      <c r="B30" s="159" t="s">
        <v>55</v>
      </c>
      <c r="C30" s="371"/>
      <c r="D30" s="372" t="s">
        <v>21</v>
      </c>
      <c r="E30" s="253">
        <v>0</v>
      </c>
      <c r="F30" s="373">
        <f t="shared" si="3"/>
        <v>0</v>
      </c>
      <c r="G30" s="529"/>
      <c r="H30" s="375">
        <v>0</v>
      </c>
      <c r="I30" s="373">
        <f t="shared" si="4"/>
        <v>0</v>
      </c>
      <c r="J30" s="376"/>
      <c r="K30" s="530">
        <f t="shared" si="5"/>
        <v>0</v>
      </c>
      <c r="L30" s="378"/>
      <c r="M30" s="379"/>
      <c r="N30" s="380"/>
      <c r="O30" s="381"/>
      <c r="P30" s="382"/>
      <c r="Q30" s="383"/>
    </row>
    <row r="31" spans="1:17" s="159" customFormat="1" x14ac:dyDescent="0.2">
      <c r="A31" s="158" t="s">
        <v>580</v>
      </c>
      <c r="B31" s="159" t="s">
        <v>581</v>
      </c>
      <c r="C31" s="371"/>
      <c r="D31" s="372" t="s">
        <v>21</v>
      </c>
      <c r="E31" s="253">
        <v>0</v>
      </c>
      <c r="F31" s="373">
        <f>C31*E31</f>
        <v>0</v>
      </c>
      <c r="G31" s="529"/>
      <c r="H31" s="375">
        <v>0</v>
      </c>
      <c r="I31" s="373">
        <f>G31*H31</f>
        <v>0</v>
      </c>
      <c r="J31" s="376"/>
      <c r="K31" s="530">
        <f>F31+I31+J31</f>
        <v>0</v>
      </c>
      <c r="L31" s="536"/>
      <c r="M31" s="574"/>
      <c r="N31" s="537"/>
      <c r="O31" s="381"/>
      <c r="P31" s="382"/>
      <c r="Q31" s="383"/>
    </row>
    <row r="32" spans="1:17" s="159" customFormat="1" ht="13.5" thickBot="1" x14ac:dyDescent="0.25">
      <c r="A32" s="158"/>
      <c r="C32" s="388"/>
      <c r="D32" s="372"/>
      <c r="E32" s="253"/>
      <c r="F32" s="373"/>
      <c r="G32" s="529"/>
      <c r="H32" s="375"/>
      <c r="I32" s="373"/>
      <c r="J32" s="255"/>
      <c r="K32" s="535"/>
      <c r="M32" s="274"/>
      <c r="O32" s="381"/>
      <c r="P32" s="382"/>
      <c r="Q32" s="383"/>
    </row>
    <row r="33" spans="1:20" s="159" customFormat="1" ht="13.5" thickTop="1" x14ac:dyDescent="0.2">
      <c r="A33" s="387"/>
      <c r="B33" s="5"/>
      <c r="C33" s="388"/>
      <c r="D33" s="372"/>
      <c r="E33" s="253"/>
      <c r="F33" s="373"/>
      <c r="G33" s="529"/>
      <c r="H33" s="375"/>
      <c r="I33" s="373"/>
      <c r="J33" s="389" t="s">
        <v>30</v>
      </c>
      <c r="K33" s="532">
        <f>SUM(K24:K32)</f>
        <v>28809.84</v>
      </c>
      <c r="M33" s="274"/>
      <c r="O33" s="381"/>
      <c r="P33" s="382"/>
      <c r="Q33" s="383"/>
    </row>
    <row r="34" spans="1:20" s="159" customFormat="1" ht="13.5" thickBot="1" x14ac:dyDescent="0.25">
      <c r="A34" s="353" t="s">
        <v>0</v>
      </c>
      <c r="B34" s="354" t="s">
        <v>1</v>
      </c>
      <c r="C34" s="939" t="s">
        <v>656</v>
      </c>
      <c r="D34" s="939"/>
      <c r="E34" s="939"/>
      <c r="F34" s="939"/>
      <c r="G34" s="939" t="s">
        <v>34</v>
      </c>
      <c r="H34" s="939"/>
      <c r="I34" s="939"/>
      <c r="J34" s="355"/>
      <c r="K34" s="523"/>
      <c r="L34" s="157"/>
      <c r="M34" s="469"/>
      <c r="N34" s="157"/>
      <c r="O34" s="381"/>
      <c r="P34" s="382"/>
      <c r="Q34" s="383"/>
    </row>
    <row r="35" spans="1:20" s="159" customFormat="1" ht="16.5" thickBot="1" x14ac:dyDescent="0.3">
      <c r="A35" s="524" t="s">
        <v>588</v>
      </c>
      <c r="B35" s="524" t="s">
        <v>589</v>
      </c>
      <c r="C35" s="396" t="s">
        <v>19</v>
      </c>
      <c r="D35" s="397" t="s">
        <v>33</v>
      </c>
      <c r="E35" s="398" t="s">
        <v>35</v>
      </c>
      <c r="F35" s="399" t="s">
        <v>30</v>
      </c>
      <c r="G35" s="533" t="s">
        <v>14</v>
      </c>
      <c r="H35" s="398" t="s">
        <v>35</v>
      </c>
      <c r="I35" s="399" t="s">
        <v>30</v>
      </c>
      <c r="J35" s="364" t="s">
        <v>659</v>
      </c>
      <c r="K35" s="534" t="s">
        <v>38</v>
      </c>
      <c r="L35" s="391"/>
      <c r="M35" s="392"/>
      <c r="N35" s="393"/>
      <c r="O35" s="381"/>
      <c r="P35" s="382"/>
      <c r="Q35" s="383"/>
    </row>
    <row r="36" spans="1:20" s="159" customFormat="1" x14ac:dyDescent="0.2">
      <c r="A36" s="158" t="s">
        <v>593</v>
      </c>
      <c r="B36" s="159" t="s">
        <v>590</v>
      </c>
      <c r="C36" s="371"/>
      <c r="D36" s="372" t="s">
        <v>21</v>
      </c>
      <c r="E36" s="253">
        <v>0</v>
      </c>
      <c r="F36" s="373">
        <f>C36*E36</f>
        <v>0</v>
      </c>
      <c r="G36" s="529"/>
      <c r="H36" s="375">
        <v>0</v>
      </c>
      <c r="I36" s="373">
        <f>G36*H36</f>
        <v>0</v>
      </c>
      <c r="J36" s="376"/>
      <c r="K36" s="530">
        <f>F36+I36+J36</f>
        <v>0</v>
      </c>
      <c r="L36" s="402"/>
      <c r="M36" s="403"/>
      <c r="N36" s="404"/>
      <c r="O36" s="381"/>
      <c r="P36" s="382"/>
      <c r="Q36" s="383"/>
    </row>
    <row r="37" spans="1:20" s="159" customFormat="1" x14ac:dyDescent="0.2">
      <c r="A37" s="158" t="s">
        <v>592</v>
      </c>
      <c r="B37" s="159" t="s">
        <v>591</v>
      </c>
      <c r="C37" s="371"/>
      <c r="D37" s="372" t="s">
        <v>21</v>
      </c>
      <c r="E37" s="253">
        <v>0</v>
      </c>
      <c r="F37" s="373">
        <f>C37*E37</f>
        <v>0</v>
      </c>
      <c r="G37" s="529"/>
      <c r="H37" s="375">
        <v>0</v>
      </c>
      <c r="I37" s="373">
        <f>G37*H37</f>
        <v>0</v>
      </c>
      <c r="J37" s="376">
        <f>M37</f>
        <v>960</v>
      </c>
      <c r="K37" s="530">
        <f>F37+I37+J37</f>
        <v>960</v>
      </c>
      <c r="L37" s="538" t="s">
        <v>1039</v>
      </c>
      <c r="M37" s="666">
        <v>960</v>
      </c>
      <c r="N37" s="665"/>
      <c r="O37" s="410"/>
      <c r="P37" s="411"/>
      <c r="Q37" s="383"/>
    </row>
    <row r="38" spans="1:20" s="159" customFormat="1" x14ac:dyDescent="0.2">
      <c r="A38" s="370"/>
      <c r="B38" s="5"/>
      <c r="C38" s="371"/>
      <c r="D38" s="372" t="s">
        <v>21</v>
      </c>
      <c r="E38" s="253">
        <v>0</v>
      </c>
      <c r="F38" s="373">
        <f>C38*E38</f>
        <v>0</v>
      </c>
      <c r="G38" s="529"/>
      <c r="H38" s="375">
        <v>0</v>
      </c>
      <c r="I38" s="373">
        <f>G38*H38</f>
        <v>0</v>
      </c>
      <c r="J38" s="376"/>
      <c r="K38" s="530">
        <f>F38+I38+J38</f>
        <v>0</v>
      </c>
      <c r="L38" s="378"/>
      <c r="M38" s="379"/>
      <c r="N38" s="380"/>
      <c r="O38" s="410"/>
      <c r="P38" s="411"/>
      <c r="Q38" s="383"/>
    </row>
    <row r="39" spans="1:20" s="159" customFormat="1" ht="15" x14ac:dyDescent="0.2">
      <c r="A39" s="387"/>
      <c r="B39" s="412"/>
      <c r="C39" s="388"/>
      <c r="D39" s="372"/>
      <c r="E39" s="253"/>
      <c r="F39" s="373"/>
      <c r="G39" s="529"/>
      <c r="H39" s="375"/>
      <c r="I39" s="373"/>
      <c r="J39" s="376"/>
      <c r="K39" s="535"/>
      <c r="M39" s="274"/>
      <c r="O39" s="410"/>
      <c r="P39" s="411"/>
      <c r="Q39" s="383"/>
      <c r="S39" s="196"/>
      <c r="T39" s="196"/>
    </row>
    <row r="40" spans="1:20" s="159" customFormat="1" ht="15.75" thickBot="1" x14ac:dyDescent="0.25">
      <c r="A40" s="387"/>
      <c r="B40" s="412"/>
      <c r="C40" s="388"/>
      <c r="D40" s="372"/>
      <c r="E40" s="253"/>
      <c r="F40" s="373"/>
      <c r="G40" s="529"/>
      <c r="H40" s="375"/>
      <c r="I40" s="373"/>
      <c r="J40" s="376"/>
      <c r="K40" s="535"/>
      <c r="M40" s="274"/>
      <c r="O40" s="410"/>
      <c r="P40" s="411"/>
      <c r="Q40" s="383"/>
      <c r="S40" s="196"/>
      <c r="T40" s="196"/>
    </row>
    <row r="41" spans="1:20" s="159" customFormat="1" ht="15.75" thickTop="1" x14ac:dyDescent="0.2">
      <c r="A41" s="387"/>
      <c r="B41" s="412"/>
      <c r="C41" s="388"/>
      <c r="D41" s="372"/>
      <c r="E41" s="253"/>
      <c r="F41" s="373"/>
      <c r="G41" s="529"/>
      <c r="H41" s="375"/>
      <c r="I41" s="373"/>
      <c r="J41" s="389" t="s">
        <v>30</v>
      </c>
      <c r="K41" s="532">
        <f>SUM(K36:K40)</f>
        <v>960</v>
      </c>
      <c r="L41" s="378"/>
      <c r="M41" s="379"/>
      <c r="N41" s="380"/>
      <c r="O41" s="410"/>
      <c r="P41" s="411"/>
      <c r="Q41" s="383"/>
      <c r="S41" s="196"/>
      <c r="T41" s="196"/>
    </row>
    <row r="42" spans="1:20" s="159" customFormat="1" ht="15.75" thickBot="1" x14ac:dyDescent="0.25">
      <c r="A42" s="353" t="s">
        <v>0</v>
      </c>
      <c r="B42" s="354" t="s">
        <v>1</v>
      </c>
      <c r="C42" s="939" t="s">
        <v>656</v>
      </c>
      <c r="D42" s="939"/>
      <c r="E42" s="939"/>
      <c r="F42" s="939"/>
      <c r="G42" s="939" t="s">
        <v>34</v>
      </c>
      <c r="H42" s="939"/>
      <c r="I42" s="939"/>
      <c r="J42" s="355"/>
      <c r="K42" s="523"/>
      <c r="L42" s="391"/>
      <c r="M42" s="392"/>
      <c r="N42" s="393"/>
      <c r="O42" s="410"/>
      <c r="P42" s="411"/>
      <c r="Q42" s="383"/>
      <c r="S42" s="196"/>
      <c r="T42" s="196"/>
    </row>
    <row r="43" spans="1:20" s="159" customFormat="1" ht="15.75" x14ac:dyDescent="0.25">
      <c r="A43" s="525" t="s">
        <v>594</v>
      </c>
      <c r="B43" s="525" t="s">
        <v>595</v>
      </c>
      <c r="C43" s="396" t="s">
        <v>19</v>
      </c>
      <c r="D43" s="397" t="s">
        <v>33</v>
      </c>
      <c r="E43" s="398" t="s">
        <v>35</v>
      </c>
      <c r="F43" s="399" t="s">
        <v>30</v>
      </c>
      <c r="G43" s="533" t="s">
        <v>14</v>
      </c>
      <c r="H43" s="398" t="s">
        <v>35</v>
      </c>
      <c r="I43" s="399" t="s">
        <v>30</v>
      </c>
      <c r="J43" s="364" t="s">
        <v>659</v>
      </c>
      <c r="K43" s="534" t="s">
        <v>38</v>
      </c>
      <c r="L43" s="402"/>
      <c r="M43" s="408"/>
      <c r="N43" s="409"/>
      <c r="O43" s="381"/>
      <c r="P43" s="382"/>
      <c r="Q43" s="383"/>
      <c r="S43" s="157"/>
      <c r="T43" s="157"/>
    </row>
    <row r="44" spans="1:20" s="159" customFormat="1" ht="15" x14ac:dyDescent="0.2">
      <c r="A44" s="528" t="s">
        <v>596</v>
      </c>
      <c r="B44" s="196" t="s">
        <v>597</v>
      </c>
      <c r="C44" s="371">
        <v>363</v>
      </c>
      <c r="D44" s="372" t="s">
        <v>1136</v>
      </c>
      <c r="E44" s="253">
        <v>115</v>
      </c>
      <c r="F44" s="373"/>
      <c r="G44" s="529"/>
      <c r="H44" s="375">
        <v>0</v>
      </c>
      <c r="I44" s="373">
        <f>G44*H44</f>
        <v>0</v>
      </c>
      <c r="J44" s="376"/>
      <c r="K44" s="530">
        <f>F44+I44+J44</f>
        <v>0</v>
      </c>
      <c r="M44" s="274"/>
      <c r="O44" s="381"/>
      <c r="P44" s="382"/>
      <c r="Q44" s="383"/>
    </row>
    <row r="45" spans="1:20" s="159" customFormat="1" ht="15" x14ac:dyDescent="0.2">
      <c r="A45" s="528" t="s">
        <v>598</v>
      </c>
      <c r="B45" s="196" t="s">
        <v>1149</v>
      </c>
      <c r="C45" s="371"/>
      <c r="D45" s="372" t="s">
        <v>21</v>
      </c>
      <c r="E45" s="253">
        <v>0</v>
      </c>
      <c r="F45" s="373">
        <f>C45*E45</f>
        <v>0</v>
      </c>
      <c r="G45" s="529"/>
      <c r="H45" s="375">
        <v>0</v>
      </c>
      <c r="I45" s="373">
        <f>G45*H45</f>
        <v>0</v>
      </c>
      <c r="J45" s="376">
        <f>M45</f>
        <v>16800</v>
      </c>
      <c r="K45" s="530">
        <f>F45+I45+J45</f>
        <v>16800</v>
      </c>
      <c r="L45" s="159" t="s">
        <v>1150</v>
      </c>
      <c r="M45" s="274">
        <v>16800</v>
      </c>
      <c r="O45" s="381"/>
      <c r="P45" s="411"/>
      <c r="Q45" s="383"/>
    </row>
    <row r="46" spans="1:20" s="159" customFormat="1" ht="15" x14ac:dyDescent="0.2">
      <c r="A46" s="528" t="s">
        <v>600</v>
      </c>
      <c r="B46" s="196" t="s">
        <v>601</v>
      </c>
      <c r="C46" s="371"/>
      <c r="D46" s="372" t="s">
        <v>21</v>
      </c>
      <c r="E46" s="253">
        <v>0</v>
      </c>
      <c r="F46" s="373">
        <f>C46*E46</f>
        <v>0</v>
      </c>
      <c r="G46" s="529"/>
      <c r="H46" s="375">
        <v>0</v>
      </c>
      <c r="I46" s="373">
        <f>G46*H46</f>
        <v>0</v>
      </c>
      <c r="J46" s="376"/>
      <c r="K46" s="530">
        <f>F46+I46+J46</f>
        <v>0</v>
      </c>
      <c r="L46" s="378"/>
      <c r="M46" s="255"/>
      <c r="N46" s="421"/>
      <c r="O46" s="381"/>
      <c r="P46" s="382"/>
      <c r="Q46" s="383"/>
    </row>
    <row r="47" spans="1:20" s="159" customFormat="1" x14ac:dyDescent="0.2">
      <c r="A47" s="256" t="s">
        <v>603</v>
      </c>
      <c r="B47" s="256" t="s">
        <v>602</v>
      </c>
      <c r="C47" s="371"/>
      <c r="D47" s="372" t="s">
        <v>21</v>
      </c>
      <c r="E47" s="253">
        <v>0</v>
      </c>
      <c r="F47" s="373">
        <f>C47*E47</f>
        <v>0</v>
      </c>
      <c r="G47" s="529"/>
      <c r="H47" s="375">
        <v>0</v>
      </c>
      <c r="I47" s="373">
        <f>G47*H47</f>
        <v>0</v>
      </c>
      <c r="J47" s="376"/>
      <c r="K47" s="530">
        <f>F47+I47+J47</f>
        <v>0</v>
      </c>
      <c r="L47" s="536"/>
      <c r="M47" s="574"/>
      <c r="N47" s="537"/>
      <c r="O47" s="381"/>
      <c r="P47" s="382"/>
      <c r="Q47" s="383"/>
    </row>
    <row r="48" spans="1:20" s="159" customFormat="1" x14ac:dyDescent="0.2">
      <c r="A48" s="370"/>
      <c r="B48" s="5"/>
      <c r="C48" s="371"/>
      <c r="D48" s="372" t="s">
        <v>21</v>
      </c>
      <c r="E48" s="253">
        <v>0</v>
      </c>
      <c r="F48" s="373">
        <f>C48*E48</f>
        <v>0</v>
      </c>
      <c r="G48" s="529"/>
      <c r="H48" s="375">
        <v>0</v>
      </c>
      <c r="I48" s="373">
        <f>G48*H48</f>
        <v>0</v>
      </c>
      <c r="J48" s="376"/>
      <c r="K48" s="530">
        <f>F48+I48+J48</f>
        <v>0</v>
      </c>
      <c r="M48" s="274"/>
      <c r="O48" s="381"/>
      <c r="P48" s="382"/>
      <c r="Q48" s="383"/>
    </row>
    <row r="49" spans="1:17" s="159" customFormat="1" ht="13.5" thickBot="1" x14ac:dyDescent="0.25">
      <c r="A49" s="387"/>
      <c r="B49" s="412"/>
      <c r="C49" s="388"/>
      <c r="D49" s="372"/>
      <c r="E49" s="253"/>
      <c r="F49" s="373"/>
      <c r="G49" s="529"/>
      <c r="H49" s="375"/>
      <c r="I49" s="373"/>
      <c r="J49" s="376"/>
      <c r="K49" s="535"/>
      <c r="M49" s="274"/>
      <c r="O49" s="381"/>
      <c r="P49" s="382"/>
      <c r="Q49" s="383"/>
    </row>
    <row r="50" spans="1:17" s="159" customFormat="1" ht="13.5" thickTop="1" x14ac:dyDescent="0.2">
      <c r="A50" s="387"/>
      <c r="B50" s="412"/>
      <c r="C50" s="388"/>
      <c r="D50" s="372"/>
      <c r="E50" s="253"/>
      <c r="F50" s="373"/>
      <c r="G50" s="529"/>
      <c r="H50" s="375"/>
      <c r="I50" s="373"/>
      <c r="J50" s="389" t="s">
        <v>30</v>
      </c>
      <c r="K50" s="532">
        <f>SUM(K44:K49)</f>
        <v>16800</v>
      </c>
      <c r="L50" s="378"/>
      <c r="M50" s="255"/>
      <c r="N50" s="421"/>
      <c r="O50" s="381"/>
      <c r="P50" s="382"/>
      <c r="Q50" s="383"/>
    </row>
    <row r="51" spans="1:17" s="159" customFormat="1" ht="13.5" thickBot="1" x14ac:dyDescent="0.25">
      <c r="A51" s="353" t="s">
        <v>0</v>
      </c>
      <c r="B51" s="354" t="s">
        <v>1</v>
      </c>
      <c r="C51" s="939" t="s">
        <v>656</v>
      </c>
      <c r="D51" s="939"/>
      <c r="E51" s="939"/>
      <c r="F51" s="939"/>
      <c r="G51" s="939" t="s">
        <v>34</v>
      </c>
      <c r="H51" s="939"/>
      <c r="I51" s="939"/>
      <c r="J51" s="355"/>
      <c r="K51" s="523"/>
      <c r="L51" s="391"/>
      <c r="M51" s="392"/>
      <c r="N51" s="393"/>
      <c r="O51" s="381"/>
      <c r="P51" s="382"/>
      <c r="Q51" s="383"/>
    </row>
    <row r="52" spans="1:17" s="159" customFormat="1" ht="15.75" x14ac:dyDescent="0.25">
      <c r="A52" s="525" t="s">
        <v>604</v>
      </c>
      <c r="B52" s="525" t="s">
        <v>605</v>
      </c>
      <c r="C52" s="396" t="s">
        <v>19</v>
      </c>
      <c r="D52" s="397" t="s">
        <v>33</v>
      </c>
      <c r="E52" s="398" t="s">
        <v>35</v>
      </c>
      <c r="F52" s="399" t="s">
        <v>30</v>
      </c>
      <c r="G52" s="533" t="s">
        <v>14</v>
      </c>
      <c r="H52" s="398" t="s">
        <v>35</v>
      </c>
      <c r="I52" s="399" t="s">
        <v>30</v>
      </c>
      <c r="J52" s="364" t="s">
        <v>659</v>
      </c>
      <c r="K52" s="534" t="s">
        <v>38</v>
      </c>
      <c r="L52" s="402"/>
      <c r="M52" s="408"/>
      <c r="N52" s="409"/>
      <c r="O52" s="436"/>
      <c r="P52" s="437"/>
      <c r="Q52" s="383"/>
    </row>
    <row r="53" spans="1:17" s="159" customFormat="1" ht="15" x14ac:dyDescent="0.2">
      <c r="A53" s="196" t="s">
        <v>606</v>
      </c>
      <c r="B53" s="196" t="s">
        <v>607</v>
      </c>
      <c r="C53" s="371"/>
      <c r="D53" s="372" t="s">
        <v>21</v>
      </c>
      <c r="E53" s="253">
        <v>0</v>
      </c>
      <c r="F53" s="373">
        <f t="shared" ref="F53:F59" si="6">C53*E53</f>
        <v>0</v>
      </c>
      <c r="G53" s="529"/>
      <c r="H53" s="375">
        <v>0</v>
      </c>
      <c r="I53" s="373">
        <f t="shared" ref="I53:I59" si="7">G53*H53</f>
        <v>0</v>
      </c>
      <c r="J53" s="376">
        <f>M53</f>
        <v>51251.17</v>
      </c>
      <c r="K53" s="530">
        <f t="shared" ref="K53:K59" si="8">F53+I53+J53</f>
        <v>51251.17</v>
      </c>
      <c r="L53" s="872" t="s">
        <v>1040</v>
      </c>
      <c r="M53" s="274">
        <v>51251.17</v>
      </c>
      <c r="O53" s="436"/>
      <c r="P53" s="437"/>
      <c r="Q53" s="383"/>
    </row>
    <row r="54" spans="1:17" s="159" customFormat="1" ht="15" x14ac:dyDescent="0.2">
      <c r="A54" s="196" t="s">
        <v>608</v>
      </c>
      <c r="B54" s="196" t="s">
        <v>609</v>
      </c>
      <c r="C54" s="371"/>
      <c r="D54" s="372" t="s">
        <v>21</v>
      </c>
      <c r="E54" s="253">
        <v>0</v>
      </c>
      <c r="F54" s="373">
        <f t="shared" si="6"/>
        <v>0</v>
      </c>
      <c r="G54" s="529"/>
      <c r="H54" s="375">
        <v>0</v>
      </c>
      <c r="I54" s="373">
        <f t="shared" si="7"/>
        <v>0</v>
      </c>
      <c r="J54" s="376"/>
      <c r="K54" s="530">
        <f t="shared" si="8"/>
        <v>0</v>
      </c>
      <c r="L54" s="159" t="s">
        <v>1105</v>
      </c>
      <c r="M54" s="274">
        <v>51662.6</v>
      </c>
      <c r="O54" s="410"/>
      <c r="P54" s="411"/>
      <c r="Q54" s="383"/>
    </row>
    <row r="55" spans="1:17" s="159" customFormat="1" ht="15" x14ac:dyDescent="0.2">
      <c r="A55" s="196" t="s">
        <v>611</v>
      </c>
      <c r="B55" s="196" t="s">
        <v>610</v>
      </c>
      <c r="C55" s="371"/>
      <c r="D55" s="372" t="s">
        <v>21</v>
      </c>
      <c r="E55" s="253">
        <v>0</v>
      </c>
      <c r="F55" s="373">
        <f t="shared" si="6"/>
        <v>0</v>
      </c>
      <c r="G55" s="529"/>
      <c r="H55" s="375">
        <v>0</v>
      </c>
      <c r="I55" s="373">
        <f t="shared" si="7"/>
        <v>0</v>
      </c>
      <c r="J55" s="376"/>
      <c r="K55" s="530">
        <f t="shared" si="8"/>
        <v>0</v>
      </c>
      <c r="L55" s="159" t="s">
        <v>1099</v>
      </c>
      <c r="M55" s="274">
        <v>56660</v>
      </c>
      <c r="O55" s="381"/>
      <c r="P55" s="382"/>
      <c r="Q55" s="383"/>
    </row>
    <row r="56" spans="1:17" s="159" customFormat="1" x14ac:dyDescent="0.2">
      <c r="A56" s="370"/>
      <c r="B56" s="5"/>
      <c r="C56" s="371"/>
      <c r="D56" s="372" t="s">
        <v>21</v>
      </c>
      <c r="E56" s="253">
        <v>0</v>
      </c>
      <c r="F56" s="373">
        <f t="shared" si="6"/>
        <v>0</v>
      </c>
      <c r="G56" s="529"/>
      <c r="H56" s="375">
        <v>0</v>
      </c>
      <c r="I56" s="373">
        <f t="shared" si="7"/>
        <v>0</v>
      </c>
      <c r="J56" s="376"/>
      <c r="K56" s="530">
        <f t="shared" si="8"/>
        <v>0</v>
      </c>
      <c r="M56" s="274"/>
      <c r="O56" s="381"/>
      <c r="P56" s="382"/>
      <c r="Q56" s="383"/>
    </row>
    <row r="57" spans="1:17" s="159" customFormat="1" x14ac:dyDescent="0.2">
      <c r="A57" s="370"/>
      <c r="B57" s="5"/>
      <c r="C57" s="371"/>
      <c r="D57" s="372" t="s">
        <v>21</v>
      </c>
      <c r="E57" s="253">
        <v>0</v>
      </c>
      <c r="F57" s="373">
        <f t="shared" si="6"/>
        <v>0</v>
      </c>
      <c r="G57" s="529"/>
      <c r="H57" s="375">
        <v>0</v>
      </c>
      <c r="I57" s="373">
        <f t="shared" si="7"/>
        <v>0</v>
      </c>
      <c r="J57" s="376"/>
      <c r="K57" s="530">
        <f t="shared" si="8"/>
        <v>0</v>
      </c>
      <c r="M57" s="274"/>
      <c r="O57" s="381"/>
      <c r="P57" s="382"/>
      <c r="Q57" s="383"/>
    </row>
    <row r="58" spans="1:17" s="159" customFormat="1" x14ac:dyDescent="0.2">
      <c r="A58" s="370"/>
      <c r="B58" s="5"/>
      <c r="C58" s="371"/>
      <c r="D58" s="372" t="s">
        <v>21</v>
      </c>
      <c r="E58" s="253">
        <v>0</v>
      </c>
      <c r="F58" s="373">
        <f t="shared" si="6"/>
        <v>0</v>
      </c>
      <c r="G58" s="529"/>
      <c r="H58" s="375">
        <v>0</v>
      </c>
      <c r="I58" s="373">
        <f t="shared" si="7"/>
        <v>0</v>
      </c>
      <c r="J58" s="376"/>
      <c r="K58" s="530">
        <f t="shared" si="8"/>
        <v>0</v>
      </c>
      <c r="L58" s="378"/>
      <c r="M58" s="255"/>
      <c r="N58" s="380"/>
      <c r="O58" s="381"/>
      <c r="P58" s="382"/>
      <c r="Q58" s="383"/>
    </row>
    <row r="59" spans="1:17" s="159" customFormat="1" x14ac:dyDescent="0.2">
      <c r="A59" s="370"/>
      <c r="B59" s="5"/>
      <c r="C59" s="371"/>
      <c r="D59" s="372" t="s">
        <v>21</v>
      </c>
      <c r="E59" s="253">
        <v>0</v>
      </c>
      <c r="F59" s="373">
        <f t="shared" si="6"/>
        <v>0</v>
      </c>
      <c r="G59" s="529"/>
      <c r="H59" s="375">
        <v>0</v>
      </c>
      <c r="I59" s="373">
        <f t="shared" si="7"/>
        <v>0</v>
      </c>
      <c r="J59" s="376"/>
      <c r="K59" s="530">
        <f t="shared" si="8"/>
        <v>0</v>
      </c>
      <c r="M59" s="274"/>
      <c r="O59" s="381"/>
      <c r="P59" s="382"/>
      <c r="Q59" s="383"/>
    </row>
    <row r="60" spans="1:17" s="159" customFormat="1" ht="13.5" thickBot="1" x14ac:dyDescent="0.25">
      <c r="A60" s="387"/>
      <c r="B60" s="5"/>
      <c r="C60" s="388"/>
      <c r="D60" s="372"/>
      <c r="E60" s="253"/>
      <c r="F60" s="373"/>
      <c r="G60" s="529"/>
      <c r="H60" s="375"/>
      <c r="I60" s="373"/>
      <c r="J60" s="376"/>
      <c r="K60" s="535"/>
      <c r="M60" s="274"/>
      <c r="O60" s="381"/>
      <c r="P60" s="382"/>
      <c r="Q60" s="383"/>
    </row>
    <row r="61" spans="1:17" s="159" customFormat="1" ht="13.5" thickTop="1" x14ac:dyDescent="0.2">
      <c r="A61" s="387"/>
      <c r="B61" s="412"/>
      <c r="C61" s="388"/>
      <c r="D61" s="372"/>
      <c r="E61" s="253"/>
      <c r="F61" s="373"/>
      <c r="G61" s="529"/>
      <c r="H61" s="375"/>
      <c r="I61" s="373"/>
      <c r="J61" s="389" t="s">
        <v>30</v>
      </c>
      <c r="K61" s="532">
        <f>SUM(K53:K60)</f>
        <v>51251.17</v>
      </c>
      <c r="L61" s="378"/>
      <c r="M61" s="255"/>
      <c r="N61" s="421"/>
      <c r="O61" s="381"/>
      <c r="P61" s="382"/>
      <c r="Q61" s="383"/>
    </row>
    <row r="62" spans="1:17" s="159" customFormat="1" ht="13.5" thickBot="1" x14ac:dyDescent="0.25">
      <c r="A62" s="353" t="s">
        <v>0</v>
      </c>
      <c r="B62" s="354" t="s">
        <v>1</v>
      </c>
      <c r="C62" s="939" t="s">
        <v>656</v>
      </c>
      <c r="D62" s="939"/>
      <c r="E62" s="939"/>
      <c r="F62" s="939"/>
      <c r="G62" s="939" t="s">
        <v>34</v>
      </c>
      <c r="H62" s="939"/>
      <c r="I62" s="939"/>
      <c r="J62" s="355"/>
      <c r="K62" s="523"/>
      <c r="L62" s="391"/>
      <c r="M62" s="392"/>
      <c r="N62" s="393"/>
      <c r="O62" s="381"/>
      <c r="P62" s="382"/>
      <c r="Q62" s="383"/>
    </row>
    <row r="63" spans="1:17" s="159" customFormat="1" ht="16.5" thickBot="1" x14ac:dyDescent="0.3">
      <c r="A63" s="394"/>
      <c r="B63" s="395"/>
      <c r="C63" s="396" t="s">
        <v>19</v>
      </c>
      <c r="D63" s="397" t="s">
        <v>33</v>
      </c>
      <c r="E63" s="398" t="s">
        <v>35</v>
      </c>
      <c r="F63" s="399" t="s">
        <v>30</v>
      </c>
      <c r="G63" s="533" t="s">
        <v>14</v>
      </c>
      <c r="H63" s="398" t="s">
        <v>35</v>
      </c>
      <c r="I63" s="399" t="s">
        <v>30</v>
      </c>
      <c r="J63" s="364" t="s">
        <v>659</v>
      </c>
      <c r="K63" s="534" t="s">
        <v>38</v>
      </c>
      <c r="L63" s="402"/>
      <c r="M63" s="408"/>
      <c r="N63" s="409"/>
      <c r="O63" s="381"/>
      <c r="P63" s="382"/>
      <c r="Q63" s="383"/>
    </row>
    <row r="64" spans="1:17" s="159" customFormat="1" x14ac:dyDescent="0.2">
      <c r="A64" s="405"/>
      <c r="B64" s="406"/>
      <c r="C64" s="371"/>
      <c r="D64" s="372" t="s">
        <v>21</v>
      </c>
      <c r="E64" s="253">
        <v>0</v>
      </c>
      <c r="F64" s="373">
        <f>C64*E64</f>
        <v>0</v>
      </c>
      <c r="G64" s="529"/>
      <c r="H64" s="375">
        <v>0</v>
      </c>
      <c r="I64" s="373">
        <f>G64*H64</f>
        <v>0</v>
      </c>
      <c r="J64" s="376"/>
      <c r="K64" s="530">
        <f>F64+I64+J64</f>
        <v>0</v>
      </c>
      <c r="M64" s="274"/>
      <c r="O64" s="381"/>
      <c r="P64" s="382"/>
      <c r="Q64" s="383"/>
    </row>
    <row r="65" spans="1:17" s="159" customFormat="1" x14ac:dyDescent="0.2">
      <c r="A65" s="370"/>
      <c r="B65" s="5"/>
      <c r="C65" s="371"/>
      <c r="D65" s="372" t="s">
        <v>21</v>
      </c>
      <c r="E65" s="253">
        <v>0</v>
      </c>
      <c r="F65" s="373">
        <f>C65*E65</f>
        <v>0</v>
      </c>
      <c r="G65" s="529"/>
      <c r="H65" s="375">
        <v>0</v>
      </c>
      <c r="I65" s="373">
        <f>G65*H65</f>
        <v>0</v>
      </c>
      <c r="J65" s="376"/>
      <c r="K65" s="530">
        <f>F65+I65+J65</f>
        <v>0</v>
      </c>
      <c r="M65" s="274"/>
      <c r="O65" s="381"/>
      <c r="P65" s="382"/>
      <c r="Q65" s="383"/>
    </row>
    <row r="66" spans="1:17" s="159" customFormat="1" x14ac:dyDescent="0.2">
      <c r="A66" s="370"/>
      <c r="B66" s="5"/>
      <c r="C66" s="371"/>
      <c r="D66" s="372" t="s">
        <v>21</v>
      </c>
      <c r="E66" s="253">
        <v>0</v>
      </c>
      <c r="F66" s="373">
        <f>C66*E66</f>
        <v>0</v>
      </c>
      <c r="G66" s="529"/>
      <c r="H66" s="375">
        <v>0</v>
      </c>
      <c r="I66" s="373">
        <f>G66*H66</f>
        <v>0</v>
      </c>
      <c r="J66" s="376"/>
      <c r="K66" s="530">
        <f>F66+I66+J66</f>
        <v>0</v>
      </c>
      <c r="M66" s="274"/>
      <c r="O66" s="381"/>
      <c r="P66" s="382"/>
      <c r="Q66" s="383"/>
    </row>
    <row r="67" spans="1:17" s="159" customFormat="1" x14ac:dyDescent="0.2">
      <c r="A67" s="370"/>
      <c r="B67" s="5"/>
      <c r="C67" s="371"/>
      <c r="D67" s="372" t="s">
        <v>21</v>
      </c>
      <c r="E67" s="253">
        <v>0</v>
      </c>
      <c r="F67" s="373">
        <f>C67*E67</f>
        <v>0</v>
      </c>
      <c r="G67" s="529"/>
      <c r="H67" s="375">
        <v>0</v>
      </c>
      <c r="I67" s="373">
        <f>G67*H67</f>
        <v>0</v>
      </c>
      <c r="J67" s="376"/>
      <c r="K67" s="530">
        <f>F67+I67+J67</f>
        <v>0</v>
      </c>
      <c r="L67" s="378"/>
      <c r="M67" s="379"/>
      <c r="N67" s="380"/>
      <c r="O67" s="381"/>
      <c r="P67" s="382"/>
      <c r="Q67" s="383"/>
    </row>
    <row r="68" spans="1:17" s="159" customFormat="1" x14ac:dyDescent="0.2">
      <c r="A68" s="370"/>
      <c r="B68" s="5"/>
      <c r="C68" s="371"/>
      <c r="D68" s="372" t="s">
        <v>21</v>
      </c>
      <c r="E68" s="253">
        <v>0</v>
      </c>
      <c r="F68" s="373">
        <f>C68*E68</f>
        <v>0</v>
      </c>
      <c r="G68" s="529"/>
      <c r="H68" s="375">
        <v>0</v>
      </c>
      <c r="I68" s="373">
        <f>G68*H68</f>
        <v>0</v>
      </c>
      <c r="J68" s="376"/>
      <c r="K68" s="530">
        <f>F68+I68+J68</f>
        <v>0</v>
      </c>
      <c r="M68" s="274"/>
      <c r="O68" s="381"/>
      <c r="P68" s="382"/>
      <c r="Q68" s="383"/>
    </row>
    <row r="69" spans="1:17" s="159" customFormat="1" ht="13.5" thickBot="1" x14ac:dyDescent="0.25">
      <c r="A69" s="387"/>
      <c r="B69" s="5"/>
      <c r="C69" s="388"/>
      <c r="D69" s="372"/>
      <c r="E69" s="253"/>
      <c r="F69" s="373"/>
      <c r="G69" s="529"/>
      <c r="H69" s="375"/>
      <c r="I69" s="373"/>
      <c r="J69" s="376"/>
      <c r="K69" s="535"/>
      <c r="M69" s="274"/>
      <c r="O69" s="381"/>
      <c r="P69" s="382"/>
      <c r="Q69" s="383"/>
    </row>
    <row r="70" spans="1:17" s="159" customFormat="1" ht="13.5" thickTop="1" x14ac:dyDescent="0.2">
      <c r="A70" s="387"/>
      <c r="B70" s="412"/>
      <c r="C70" s="388"/>
      <c r="D70" s="372"/>
      <c r="E70" s="253"/>
      <c r="F70" s="373"/>
      <c r="G70" s="529"/>
      <c r="H70" s="375"/>
      <c r="I70" s="373"/>
      <c r="J70" s="389" t="s">
        <v>30</v>
      </c>
      <c r="K70" s="532">
        <f>SUM(K64:K69)</f>
        <v>0</v>
      </c>
      <c r="M70" s="276"/>
      <c r="N70" s="157"/>
      <c r="O70" s="381"/>
      <c r="P70" s="382"/>
      <c r="Q70" s="383"/>
    </row>
    <row r="71" spans="1:17" s="159" customFormat="1" ht="13.5" thickBot="1" x14ac:dyDescent="0.25">
      <c r="A71" s="353" t="s">
        <v>0</v>
      </c>
      <c r="B71" s="354" t="s">
        <v>1</v>
      </c>
      <c r="C71" s="939" t="s">
        <v>656</v>
      </c>
      <c r="D71" s="939"/>
      <c r="E71" s="939"/>
      <c r="F71" s="939"/>
      <c r="G71" s="939" t="s">
        <v>34</v>
      </c>
      <c r="H71" s="939"/>
      <c r="I71" s="939"/>
      <c r="J71" s="355"/>
      <c r="K71" s="523"/>
      <c r="L71" s="391"/>
      <c r="M71" s="392"/>
      <c r="N71" s="393"/>
      <c r="O71" s="381"/>
      <c r="P71" s="382"/>
      <c r="Q71" s="383"/>
    </row>
    <row r="72" spans="1:17" s="159" customFormat="1" ht="16.5" thickBot="1" x14ac:dyDescent="0.3">
      <c r="A72" s="394"/>
      <c r="B72" s="395"/>
      <c r="C72" s="396" t="s">
        <v>19</v>
      </c>
      <c r="D72" s="397" t="s">
        <v>33</v>
      </c>
      <c r="E72" s="398" t="s">
        <v>35</v>
      </c>
      <c r="F72" s="399" t="s">
        <v>30</v>
      </c>
      <c r="G72" s="533" t="s">
        <v>14</v>
      </c>
      <c r="H72" s="398" t="s">
        <v>35</v>
      </c>
      <c r="I72" s="399" t="s">
        <v>30</v>
      </c>
      <c r="J72" s="364" t="s">
        <v>659</v>
      </c>
      <c r="K72" s="534" t="s">
        <v>38</v>
      </c>
      <c r="L72" s="402"/>
      <c r="M72" s="408"/>
      <c r="N72" s="409"/>
      <c r="O72" s="381"/>
      <c r="P72" s="382"/>
      <c r="Q72" s="383"/>
    </row>
    <row r="73" spans="1:17" s="159" customFormat="1" x14ac:dyDescent="0.2">
      <c r="A73" s="405"/>
      <c r="B73" s="406"/>
      <c r="C73" s="371"/>
      <c r="D73" s="372" t="s">
        <v>21</v>
      </c>
      <c r="E73" s="253">
        <v>0</v>
      </c>
      <c r="F73" s="373">
        <f>C73*E73</f>
        <v>0</v>
      </c>
      <c r="G73" s="529"/>
      <c r="H73" s="375">
        <v>0</v>
      </c>
      <c r="I73" s="373">
        <f>G73*H73</f>
        <v>0</v>
      </c>
      <c r="J73" s="376"/>
      <c r="K73" s="530">
        <f>F73+I73+J73</f>
        <v>0</v>
      </c>
      <c r="M73" s="274"/>
      <c r="O73" s="381"/>
      <c r="P73" s="382"/>
      <c r="Q73" s="383"/>
    </row>
    <row r="74" spans="1:17" s="159" customFormat="1" x14ac:dyDescent="0.2">
      <c r="A74" s="370"/>
      <c r="B74" s="5"/>
      <c r="C74" s="371"/>
      <c r="D74" s="372" t="s">
        <v>21</v>
      </c>
      <c r="E74" s="253">
        <v>0</v>
      </c>
      <c r="F74" s="373">
        <f>C74*E74</f>
        <v>0</v>
      </c>
      <c r="G74" s="529"/>
      <c r="H74" s="375">
        <v>0</v>
      </c>
      <c r="I74" s="373">
        <f>G74*H74</f>
        <v>0</v>
      </c>
      <c r="J74" s="376"/>
      <c r="K74" s="530">
        <f>F74+I74+J74</f>
        <v>0</v>
      </c>
      <c r="M74" s="274"/>
      <c r="O74" s="381"/>
      <c r="P74" s="382"/>
      <c r="Q74" s="383"/>
    </row>
    <row r="75" spans="1:17" s="159" customFormat="1" x14ac:dyDescent="0.2">
      <c r="A75" s="370"/>
      <c r="B75" s="5"/>
      <c r="C75" s="371"/>
      <c r="D75" s="372" t="s">
        <v>21</v>
      </c>
      <c r="E75" s="253">
        <v>0</v>
      </c>
      <c r="F75" s="373">
        <f>C75*E75</f>
        <v>0</v>
      </c>
      <c r="G75" s="529"/>
      <c r="H75" s="375">
        <v>0</v>
      </c>
      <c r="I75" s="373">
        <f>G75*H75</f>
        <v>0</v>
      </c>
      <c r="J75" s="376"/>
      <c r="K75" s="530">
        <f>F75+I75+J75</f>
        <v>0</v>
      </c>
      <c r="M75" s="274"/>
      <c r="O75" s="381"/>
      <c r="P75" s="382"/>
      <c r="Q75" s="383"/>
    </row>
    <row r="76" spans="1:17" s="159" customFormat="1" ht="13.5" thickBot="1" x14ac:dyDescent="0.25">
      <c r="A76" s="387"/>
      <c r="B76" s="5"/>
      <c r="C76" s="388"/>
      <c r="D76" s="372"/>
      <c r="E76" s="253"/>
      <c r="F76" s="373"/>
      <c r="G76" s="529"/>
      <c r="H76" s="375"/>
      <c r="I76" s="373"/>
      <c r="J76" s="376"/>
      <c r="K76" s="535"/>
      <c r="M76" s="274"/>
      <c r="O76" s="381"/>
      <c r="P76" s="382"/>
      <c r="Q76" s="383"/>
    </row>
    <row r="77" spans="1:17" s="159" customFormat="1" ht="13.5" thickTop="1" x14ac:dyDescent="0.2">
      <c r="A77" s="387"/>
      <c r="B77" s="157"/>
      <c r="C77" s="388"/>
      <c r="D77" s="372"/>
      <c r="E77" s="253"/>
      <c r="F77" s="373"/>
      <c r="G77" s="529"/>
      <c r="H77" s="375"/>
      <c r="I77" s="373"/>
      <c r="J77" s="389" t="s">
        <v>30</v>
      </c>
      <c r="K77" s="532">
        <f>SUM(K73:K76)</f>
        <v>0</v>
      </c>
      <c r="M77" s="274"/>
      <c r="O77" s="381"/>
      <c r="P77" s="382"/>
      <c r="Q77" s="383"/>
    </row>
    <row r="78" spans="1:17" s="159" customFormat="1" ht="13.5" thickBot="1" x14ac:dyDescent="0.25">
      <c r="A78" s="353" t="s">
        <v>0</v>
      </c>
      <c r="B78" s="354" t="s">
        <v>1</v>
      </c>
      <c r="C78" s="939" t="s">
        <v>656</v>
      </c>
      <c r="D78" s="939"/>
      <c r="E78" s="939"/>
      <c r="F78" s="939"/>
      <c r="G78" s="939" t="s">
        <v>34</v>
      </c>
      <c r="H78" s="939"/>
      <c r="I78" s="939"/>
      <c r="J78" s="355"/>
      <c r="K78" s="523"/>
      <c r="L78" s="391"/>
      <c r="M78" s="355"/>
      <c r="N78" s="438"/>
      <c r="O78" s="381"/>
      <c r="P78" s="382"/>
      <c r="Q78" s="383"/>
    </row>
    <row r="79" spans="1:17" s="159" customFormat="1" ht="16.5" thickBot="1" x14ac:dyDescent="0.3">
      <c r="A79" s="394"/>
      <c r="B79" s="395"/>
      <c r="C79" s="396" t="s">
        <v>19</v>
      </c>
      <c r="D79" s="397" t="s">
        <v>33</v>
      </c>
      <c r="E79" s="398" t="s">
        <v>35</v>
      </c>
      <c r="F79" s="399" t="s">
        <v>30</v>
      </c>
      <c r="G79" s="533" t="s">
        <v>14</v>
      </c>
      <c r="H79" s="398" t="s">
        <v>35</v>
      </c>
      <c r="I79" s="399" t="s">
        <v>30</v>
      </c>
      <c r="J79" s="364" t="s">
        <v>659</v>
      </c>
      <c r="K79" s="534" t="s">
        <v>38</v>
      </c>
      <c r="L79" s="402"/>
      <c r="M79" s="408"/>
      <c r="N79" s="409"/>
      <c r="O79" s="381"/>
      <c r="P79" s="382"/>
      <c r="Q79" s="383"/>
    </row>
    <row r="80" spans="1:17" s="159" customFormat="1" x14ac:dyDescent="0.2">
      <c r="A80" s="405"/>
      <c r="B80" s="406"/>
      <c r="C80" s="371"/>
      <c r="D80" s="372" t="s">
        <v>21</v>
      </c>
      <c r="E80" s="253">
        <v>0</v>
      </c>
      <c r="F80" s="373">
        <f>C80*E80</f>
        <v>0</v>
      </c>
      <c r="G80" s="529"/>
      <c r="H80" s="375">
        <v>0</v>
      </c>
      <c r="I80" s="373">
        <f>G80*H80</f>
        <v>0</v>
      </c>
      <c r="J80" s="376"/>
      <c r="K80" s="530">
        <f>F80+I80+J80</f>
        <v>0</v>
      </c>
      <c r="M80" s="274"/>
      <c r="O80" s="381"/>
      <c r="P80" s="382"/>
      <c r="Q80" s="383"/>
    </row>
    <row r="81" spans="1:17" s="159" customFormat="1" x14ac:dyDescent="0.2">
      <c r="A81" s="370"/>
      <c r="B81" s="5"/>
      <c r="C81" s="371"/>
      <c r="D81" s="372" t="s">
        <v>21</v>
      </c>
      <c r="E81" s="253">
        <v>0</v>
      </c>
      <c r="F81" s="373">
        <f>C81*E81</f>
        <v>0</v>
      </c>
      <c r="G81" s="529"/>
      <c r="H81" s="375">
        <v>0</v>
      </c>
      <c r="I81" s="373">
        <f>G81*H81</f>
        <v>0</v>
      </c>
      <c r="J81" s="376"/>
      <c r="K81" s="530">
        <f>F81+I81+J81</f>
        <v>0</v>
      </c>
      <c r="M81" s="274"/>
      <c r="O81" s="381"/>
      <c r="P81" s="382"/>
      <c r="Q81" s="383"/>
    </row>
    <row r="82" spans="1:17" s="159" customFormat="1" x14ac:dyDescent="0.2">
      <c r="A82" s="370"/>
      <c r="C82" s="371"/>
      <c r="D82" s="372" t="s">
        <v>21</v>
      </c>
      <c r="E82" s="253">
        <v>0</v>
      </c>
      <c r="F82" s="373">
        <f>C82*E82</f>
        <v>0</v>
      </c>
      <c r="G82" s="529"/>
      <c r="H82" s="375">
        <v>0</v>
      </c>
      <c r="I82" s="373">
        <f>G82*H82</f>
        <v>0</v>
      </c>
      <c r="J82" s="376"/>
      <c r="K82" s="530">
        <f>F82+I82+J82</f>
        <v>0</v>
      </c>
      <c r="M82" s="276"/>
      <c r="N82" s="157"/>
      <c r="O82" s="381"/>
      <c r="P82" s="382"/>
      <c r="Q82" s="383"/>
    </row>
    <row r="83" spans="1:17" s="159" customFormat="1" x14ac:dyDescent="0.2">
      <c r="A83" s="370"/>
      <c r="B83" s="5"/>
      <c r="C83" s="371"/>
      <c r="D83" s="372" t="s">
        <v>21</v>
      </c>
      <c r="E83" s="253">
        <v>0</v>
      </c>
      <c r="F83" s="373">
        <f>C83*E83</f>
        <v>0</v>
      </c>
      <c r="G83" s="529"/>
      <c r="H83" s="375">
        <v>0</v>
      </c>
      <c r="I83" s="373">
        <f>G83*H83</f>
        <v>0</v>
      </c>
      <c r="J83" s="376"/>
      <c r="K83" s="530">
        <f>F83+I83+J83</f>
        <v>0</v>
      </c>
      <c r="M83" s="276"/>
      <c r="N83" s="157"/>
      <c r="O83" s="381"/>
      <c r="P83" s="382"/>
      <c r="Q83" s="383"/>
    </row>
    <row r="84" spans="1:17" s="159" customFormat="1" x14ac:dyDescent="0.2">
      <c r="A84" s="370"/>
      <c r="B84" s="5"/>
      <c r="C84" s="371"/>
      <c r="D84" s="372" t="s">
        <v>21</v>
      </c>
      <c r="E84" s="253">
        <v>0</v>
      </c>
      <c r="F84" s="373">
        <f>C84*E84</f>
        <v>0</v>
      </c>
      <c r="G84" s="529"/>
      <c r="H84" s="375">
        <v>0</v>
      </c>
      <c r="I84" s="373">
        <f>G84*H84</f>
        <v>0</v>
      </c>
      <c r="J84" s="376"/>
      <c r="K84" s="530">
        <f>F84+I84+J84</f>
        <v>0</v>
      </c>
      <c r="M84" s="274"/>
      <c r="O84" s="381"/>
      <c r="P84" s="382"/>
      <c r="Q84" s="383"/>
    </row>
    <row r="85" spans="1:17" s="159" customFormat="1" ht="13.5" thickBot="1" x14ac:dyDescent="0.25">
      <c r="A85" s="387"/>
      <c r="B85" s="5"/>
      <c r="C85" s="388"/>
      <c r="D85" s="372"/>
      <c r="E85" s="253"/>
      <c r="F85" s="373"/>
      <c r="G85" s="529"/>
      <c r="H85" s="375"/>
      <c r="I85" s="373"/>
      <c r="J85" s="376"/>
      <c r="K85" s="535"/>
      <c r="M85" s="274"/>
      <c r="O85" s="381"/>
      <c r="P85" s="382"/>
      <c r="Q85" s="383"/>
    </row>
    <row r="86" spans="1:17" s="159" customFormat="1" ht="13.5" thickTop="1" x14ac:dyDescent="0.2">
      <c r="A86" s="387"/>
      <c r="B86" s="412"/>
      <c r="C86" s="388"/>
      <c r="D86" s="372"/>
      <c r="E86" s="253"/>
      <c r="F86" s="373"/>
      <c r="G86" s="529"/>
      <c r="H86" s="375"/>
      <c r="I86" s="373"/>
      <c r="J86" s="389" t="s">
        <v>30</v>
      </c>
      <c r="K86" s="532">
        <f>SUM(K80:K85)</f>
        <v>0</v>
      </c>
      <c r="M86" s="274"/>
      <c r="O86" s="381"/>
      <c r="P86" s="382"/>
      <c r="Q86" s="383"/>
    </row>
    <row r="87" spans="1:17" s="159" customFormat="1" ht="13.5" thickBot="1" x14ac:dyDescent="0.25">
      <c r="A87" s="353" t="s">
        <v>0</v>
      </c>
      <c r="B87" s="354" t="s">
        <v>1</v>
      </c>
      <c r="C87" s="939" t="s">
        <v>656</v>
      </c>
      <c r="D87" s="939"/>
      <c r="E87" s="939"/>
      <c r="F87" s="939"/>
      <c r="G87" s="939" t="s">
        <v>34</v>
      </c>
      <c r="H87" s="939"/>
      <c r="I87" s="939"/>
      <c r="J87" s="355"/>
      <c r="K87" s="523"/>
      <c r="L87" s="391"/>
      <c r="M87" s="392"/>
      <c r="N87" s="393"/>
      <c r="O87" s="381"/>
      <c r="P87" s="382"/>
      <c r="Q87" s="383"/>
    </row>
    <row r="88" spans="1:17" s="159" customFormat="1" ht="16.5" thickBot="1" x14ac:dyDescent="0.3">
      <c r="A88" s="394"/>
      <c r="B88" s="395"/>
      <c r="C88" s="396" t="s">
        <v>19</v>
      </c>
      <c r="D88" s="397" t="s">
        <v>33</v>
      </c>
      <c r="E88" s="398" t="s">
        <v>35</v>
      </c>
      <c r="F88" s="399" t="s">
        <v>30</v>
      </c>
      <c r="G88" s="533" t="s">
        <v>14</v>
      </c>
      <c r="H88" s="398" t="s">
        <v>35</v>
      </c>
      <c r="I88" s="399" t="s">
        <v>30</v>
      </c>
      <c r="J88" s="364" t="s">
        <v>659</v>
      </c>
      <c r="K88" s="534" t="s">
        <v>38</v>
      </c>
      <c r="L88" s="402"/>
      <c r="M88" s="403"/>
      <c r="N88" s="404"/>
      <c r="O88" s="381"/>
      <c r="P88" s="382"/>
      <c r="Q88" s="383"/>
    </row>
    <row r="89" spans="1:17" s="159" customFormat="1" x14ac:dyDescent="0.2">
      <c r="A89" s="405"/>
      <c r="B89" s="406"/>
      <c r="C89" s="371"/>
      <c r="D89" s="372" t="s">
        <v>21</v>
      </c>
      <c r="E89" s="253">
        <v>0</v>
      </c>
      <c r="F89" s="373">
        <f>C89*E89</f>
        <v>0</v>
      </c>
      <c r="G89" s="529"/>
      <c r="H89" s="375">
        <v>0</v>
      </c>
      <c r="I89" s="373">
        <f>G89*H89</f>
        <v>0</v>
      </c>
      <c r="J89" s="376"/>
      <c r="K89" s="530">
        <f>F89+I89+J89</f>
        <v>0</v>
      </c>
      <c r="M89" s="274"/>
      <c r="O89" s="381"/>
      <c r="P89" s="382"/>
      <c r="Q89" s="383"/>
    </row>
    <row r="90" spans="1:17" s="159" customFormat="1" x14ac:dyDescent="0.2">
      <c r="A90" s="370"/>
      <c r="B90" s="5"/>
      <c r="C90" s="371"/>
      <c r="D90" s="372" t="s">
        <v>21</v>
      </c>
      <c r="E90" s="253">
        <v>0</v>
      </c>
      <c r="F90" s="373">
        <f>C90*E90</f>
        <v>0</v>
      </c>
      <c r="G90" s="529"/>
      <c r="H90" s="375">
        <v>0</v>
      </c>
      <c r="I90" s="373">
        <f>G90*H90</f>
        <v>0</v>
      </c>
      <c r="J90" s="376"/>
      <c r="K90" s="530">
        <f>F90+I90+J90</f>
        <v>0</v>
      </c>
      <c r="L90" s="536"/>
      <c r="M90" s="574"/>
      <c r="N90" s="537"/>
      <c r="O90" s="381"/>
      <c r="P90" s="382"/>
      <c r="Q90" s="383"/>
    </row>
    <row r="91" spans="1:17" s="159" customFormat="1" x14ac:dyDescent="0.2">
      <c r="A91" s="370"/>
      <c r="B91" s="5"/>
      <c r="C91" s="371"/>
      <c r="D91" s="372" t="s">
        <v>21</v>
      </c>
      <c r="E91" s="253">
        <v>0</v>
      </c>
      <c r="F91" s="373">
        <f>C91*E91</f>
        <v>0</v>
      </c>
      <c r="G91" s="529"/>
      <c r="H91" s="375">
        <v>0</v>
      </c>
      <c r="I91" s="373">
        <f>G91*H91</f>
        <v>0</v>
      </c>
      <c r="J91" s="376"/>
      <c r="K91" s="530">
        <f>F91+I91+J91</f>
        <v>0</v>
      </c>
      <c r="L91" s="538"/>
      <c r="M91" s="464"/>
      <c r="N91" s="539"/>
      <c r="O91" s="381"/>
      <c r="P91" s="382"/>
      <c r="Q91" s="383"/>
    </row>
    <row r="92" spans="1:17" s="159" customFormat="1" x14ac:dyDescent="0.2">
      <c r="A92" s="370"/>
      <c r="B92" s="5"/>
      <c r="C92" s="371"/>
      <c r="D92" s="372" t="s">
        <v>21</v>
      </c>
      <c r="E92" s="253">
        <v>0</v>
      </c>
      <c r="F92" s="373">
        <f>C92*E92</f>
        <v>0</v>
      </c>
      <c r="G92" s="529"/>
      <c r="H92" s="375">
        <v>0</v>
      </c>
      <c r="I92" s="373">
        <f>G92*H92</f>
        <v>0</v>
      </c>
      <c r="J92" s="376"/>
      <c r="K92" s="530">
        <f>F92+I92+J92</f>
        <v>0</v>
      </c>
      <c r="L92" s="667"/>
      <c r="M92" s="668"/>
      <c r="N92" s="670"/>
      <c r="O92" s="381"/>
      <c r="P92" s="382"/>
      <c r="Q92" s="383"/>
    </row>
    <row r="93" spans="1:17" s="159" customFormat="1" ht="13.5" thickBot="1" x14ac:dyDescent="0.25">
      <c r="A93" s="387"/>
      <c r="B93" s="412"/>
      <c r="C93" s="371"/>
      <c r="D93" s="372"/>
      <c r="E93" s="253"/>
      <c r="F93" s="373"/>
      <c r="G93" s="529"/>
      <c r="H93" s="375"/>
      <c r="I93" s="373"/>
      <c r="J93" s="376"/>
      <c r="K93" s="530"/>
      <c r="L93" s="667"/>
      <c r="M93" s="668"/>
      <c r="N93" s="670"/>
      <c r="O93" s="381"/>
      <c r="P93" s="382"/>
      <c r="Q93" s="383"/>
    </row>
    <row r="94" spans="1:17" s="159" customFormat="1" ht="14.25" thickTop="1" thickBot="1" x14ac:dyDescent="0.25">
      <c r="A94" s="470"/>
      <c r="B94" s="156"/>
      <c r="C94" s="471"/>
      <c r="D94" s="472"/>
      <c r="E94" s="473"/>
      <c r="F94" s="474"/>
      <c r="G94" s="634"/>
      <c r="H94" s="473"/>
      <c r="I94" s="474"/>
      <c r="J94" s="476" t="s">
        <v>30</v>
      </c>
      <c r="K94" s="635">
        <f>SUM(K89:K93)</f>
        <v>0</v>
      </c>
      <c r="L94" s="671"/>
      <c r="M94" s="672"/>
      <c r="N94" s="673"/>
      <c r="O94" s="460"/>
      <c r="P94" s="461"/>
      <c r="Q94" s="462"/>
    </row>
    <row r="95" spans="1:17" s="159" customFormat="1" ht="14.1" customHeight="1" thickTop="1" x14ac:dyDescent="0.25">
      <c r="A95" s="478"/>
      <c r="B95" s="479"/>
      <c r="C95" s="480"/>
      <c r="D95" s="480"/>
      <c r="E95" s="481"/>
      <c r="F95" s="969" t="s">
        <v>658</v>
      </c>
      <c r="G95" s="992" t="s">
        <v>684</v>
      </c>
      <c r="H95" s="481"/>
      <c r="I95" s="962" t="s">
        <v>657</v>
      </c>
      <c r="J95" s="958" t="s">
        <v>685</v>
      </c>
      <c r="K95" s="994" t="s">
        <v>31</v>
      </c>
      <c r="L95" s="806"/>
      <c r="M95" s="575"/>
      <c r="N95" s="544"/>
      <c r="O95" s="545"/>
      <c r="P95" s="545"/>
      <c r="Q95" s="546"/>
    </row>
    <row r="96" spans="1:17" s="159" customFormat="1" ht="15" x14ac:dyDescent="0.2">
      <c r="A96" s="482" t="s">
        <v>32</v>
      </c>
      <c r="B96" s="964" t="s">
        <v>670</v>
      </c>
      <c r="C96" s="483"/>
      <c r="D96" s="484"/>
      <c r="E96" s="484"/>
      <c r="F96" s="970"/>
      <c r="G96" s="993"/>
      <c r="H96" s="485"/>
      <c r="I96" s="963"/>
      <c r="J96" s="959"/>
      <c r="K96" s="995"/>
      <c r="L96" s="807"/>
      <c r="M96" s="261"/>
      <c r="O96" s="548"/>
      <c r="P96" s="548"/>
      <c r="Q96" s="549"/>
    </row>
    <row r="97" spans="1:17" s="159" customFormat="1" ht="15" x14ac:dyDescent="0.25">
      <c r="A97" s="486">
        <f>K97/E6</f>
        <v>2.3031926149530433</v>
      </c>
      <c r="B97" s="964"/>
      <c r="C97" s="484"/>
      <c r="D97" s="484"/>
      <c r="E97" s="484"/>
      <c r="F97" s="952">
        <f>SUM(F89:F93,F80:F85,F73:F76,F64:F69,F53:F60,F44:F49,F36:F40,F24:F32,F11:F20)</f>
        <v>0</v>
      </c>
      <c r="G97" s="997">
        <f>SUM(G89:G93,G80:G85,G73:G76,G64:G69,G53:G60,G44:G49,G36:G40,G25:G32,G11:G20)</f>
        <v>0</v>
      </c>
      <c r="H97" s="485"/>
      <c r="I97" s="952">
        <f>SUM(I89:I93,I80:I85,I73:I76,I64:I69,I53:I60,I44:I49,I36:I40,I25:I32,I11:I20)</f>
        <v>0</v>
      </c>
      <c r="J97" s="952">
        <f>SUM(J89:J93,J80:J85,J73:J76,J64:J69,J53:J60,J44:J49,J36:J40,J24:J32,J11:J20)</f>
        <v>151071.01</v>
      </c>
      <c r="K97" s="960">
        <f>SUM(K94,K86,K77,K70,K61,K50,K41,K33,K21)</f>
        <v>151071.01</v>
      </c>
      <c r="L97" s="807"/>
      <c r="M97" s="261"/>
      <c r="O97" s="548"/>
      <c r="P97" s="548"/>
      <c r="Q97" s="549"/>
    </row>
    <row r="98" spans="1:17" s="159" customFormat="1" ht="15" thickBot="1" x14ac:dyDescent="0.25">
      <c r="A98" s="482"/>
      <c r="B98" s="550"/>
      <c r="C98" s="488"/>
      <c r="D98" s="488"/>
      <c r="E98" s="488"/>
      <c r="F98" s="953"/>
      <c r="G98" s="998"/>
      <c r="H98" s="488"/>
      <c r="I98" s="953"/>
      <c r="J98" s="953"/>
      <c r="K98" s="961"/>
      <c r="L98" s="807"/>
      <c r="M98" s="261"/>
      <c r="O98" s="548"/>
      <c r="P98" s="548"/>
      <c r="Q98" s="549"/>
    </row>
    <row r="99" spans="1:17" s="159" customFormat="1" ht="13.5" thickBot="1" x14ac:dyDescent="0.25">
      <c r="A99" s="489"/>
      <c r="B99" s="490"/>
      <c r="C99" s="490"/>
      <c r="D99" s="490"/>
      <c r="E99" s="490"/>
      <c r="F99" s="490"/>
      <c r="G99" s="490"/>
      <c r="H99" s="490"/>
      <c r="I99" s="490"/>
      <c r="J99" s="490"/>
      <c r="K99" s="490"/>
      <c r="L99" s="807"/>
      <c r="M99" s="261"/>
      <c r="O99" s="548"/>
      <c r="P99" s="548"/>
      <c r="Q99" s="549"/>
    </row>
    <row r="100" spans="1:17" s="159" customFormat="1" x14ac:dyDescent="0.2">
      <c r="C100" s="655"/>
      <c r="D100" s="655"/>
      <c r="J100" s="274"/>
      <c r="M100" s="221"/>
      <c r="N100" s="157"/>
      <c r="O100" s="548"/>
      <c r="P100" s="548"/>
      <c r="Q100" s="549"/>
    </row>
    <row r="101" spans="1:17" s="159" customFormat="1" x14ac:dyDescent="0.2">
      <c r="C101" s="655"/>
      <c r="D101" s="655"/>
      <c r="J101" s="274"/>
      <c r="M101" s="274"/>
    </row>
    <row r="102" spans="1:17" s="159" customFormat="1" x14ac:dyDescent="0.2">
      <c r="C102" s="655"/>
      <c r="D102" s="655"/>
      <c r="J102" s="274"/>
      <c r="M102" s="274"/>
    </row>
    <row r="103" spans="1:17" s="159" customFormat="1" x14ac:dyDescent="0.2">
      <c r="C103" s="655"/>
      <c r="D103" s="655"/>
      <c r="J103" s="274"/>
      <c r="M103" s="274"/>
    </row>
    <row r="104" spans="1:17" s="159" customFormat="1" x14ac:dyDescent="0.2">
      <c r="C104" s="655"/>
      <c r="D104" s="655"/>
      <c r="J104" s="274"/>
      <c r="M104" s="274"/>
    </row>
    <row r="105" spans="1:17" s="159" customFormat="1" x14ac:dyDescent="0.2">
      <c r="C105" s="655"/>
      <c r="D105" s="655"/>
      <c r="J105" s="274"/>
      <c r="M105" s="274"/>
    </row>
    <row r="106" spans="1:17" s="159" customFormat="1" x14ac:dyDescent="0.2">
      <c r="C106" s="655"/>
      <c r="D106" s="655"/>
      <c r="J106" s="274"/>
      <c r="M106" s="274"/>
    </row>
    <row r="107" spans="1:17" s="159" customFormat="1" x14ac:dyDescent="0.2">
      <c r="C107" s="655"/>
      <c r="D107" s="655"/>
      <c r="J107" s="274"/>
      <c r="M107" s="274"/>
    </row>
    <row r="108" spans="1:17" s="159" customFormat="1" x14ac:dyDescent="0.2">
      <c r="C108" s="655"/>
      <c r="D108" s="655"/>
      <c r="J108" s="274"/>
      <c r="M108" s="274"/>
    </row>
    <row r="109" spans="1:17" s="159" customFormat="1" x14ac:dyDescent="0.2">
      <c r="C109" s="655"/>
      <c r="D109" s="655"/>
      <c r="J109" s="274"/>
      <c r="M109" s="276"/>
      <c r="N109" s="157"/>
      <c r="O109" s="302"/>
      <c r="P109" s="302"/>
    </row>
    <row r="110" spans="1:17" s="159" customFormat="1" x14ac:dyDescent="0.2">
      <c r="C110" s="655"/>
      <c r="D110" s="655"/>
      <c r="J110" s="274"/>
      <c r="M110" s="276"/>
      <c r="N110" s="157"/>
      <c r="O110" s="302"/>
      <c r="P110" s="302"/>
    </row>
    <row r="111" spans="1:17" s="159" customFormat="1" x14ac:dyDescent="0.2">
      <c r="C111" s="655"/>
      <c r="D111" s="655"/>
      <c r="J111" s="274"/>
      <c r="M111" s="276"/>
      <c r="N111" s="157"/>
      <c r="O111" s="302"/>
      <c r="P111" s="302"/>
    </row>
    <row r="112" spans="1:17" s="159" customFormat="1" x14ac:dyDescent="0.2">
      <c r="C112" s="655"/>
      <c r="D112" s="655"/>
      <c r="J112" s="274"/>
      <c r="M112" s="276"/>
      <c r="N112" s="157"/>
      <c r="O112" s="302"/>
      <c r="P112" s="302"/>
    </row>
    <row r="113" spans="3:16" s="159" customFormat="1" x14ac:dyDescent="0.2">
      <c r="C113" s="655"/>
      <c r="D113" s="655"/>
      <c r="J113" s="274"/>
      <c r="M113" s="276"/>
      <c r="N113" s="157"/>
      <c r="O113" s="302"/>
      <c r="P113" s="302"/>
    </row>
    <row r="114" spans="3:16" s="159" customFormat="1" x14ac:dyDescent="0.2">
      <c r="C114" s="655"/>
      <c r="D114" s="655"/>
      <c r="J114" s="274"/>
      <c r="M114" s="276"/>
      <c r="N114" s="157"/>
      <c r="O114" s="302"/>
      <c r="P114" s="302"/>
    </row>
    <row r="115" spans="3:16" s="159" customFormat="1" x14ac:dyDescent="0.2">
      <c r="C115" s="655"/>
      <c r="D115" s="655"/>
      <c r="J115" s="274"/>
      <c r="M115" s="276"/>
      <c r="N115" s="157"/>
      <c r="O115" s="302"/>
      <c r="P115" s="302"/>
    </row>
    <row r="116" spans="3:16" s="159" customFormat="1" x14ac:dyDescent="0.2">
      <c r="C116" s="655"/>
      <c r="D116" s="655"/>
      <c r="J116" s="274"/>
      <c r="M116" s="276"/>
      <c r="N116" s="157"/>
      <c r="O116" s="302"/>
      <c r="P116" s="302"/>
    </row>
    <row r="117" spans="3:16" s="159" customFormat="1" x14ac:dyDescent="0.2">
      <c r="C117" s="655"/>
      <c r="D117" s="655"/>
      <c r="J117" s="274"/>
      <c r="M117" s="276"/>
      <c r="N117" s="157"/>
      <c r="O117" s="302"/>
      <c r="P117" s="302"/>
    </row>
    <row r="118" spans="3:16" s="159" customFormat="1" x14ac:dyDescent="0.2">
      <c r="C118" s="655"/>
      <c r="D118" s="655"/>
      <c r="J118" s="274"/>
      <c r="M118" s="276"/>
      <c r="N118" s="157"/>
      <c r="O118" s="302"/>
      <c r="P118" s="302"/>
    </row>
    <row r="119" spans="3:16" s="159" customFormat="1" x14ac:dyDescent="0.2">
      <c r="C119" s="655"/>
      <c r="D119" s="655"/>
      <c r="J119" s="274"/>
      <c r="M119" s="276"/>
      <c r="N119" s="157"/>
      <c r="O119" s="302"/>
      <c r="P119" s="302"/>
    </row>
    <row r="120" spans="3:16" s="159" customFormat="1" x14ac:dyDescent="0.2">
      <c r="C120" s="655"/>
      <c r="D120" s="655"/>
      <c r="J120" s="274"/>
      <c r="M120" s="276"/>
      <c r="N120" s="157"/>
      <c r="O120" s="302"/>
      <c r="P120" s="302"/>
    </row>
    <row r="121" spans="3:16" s="159" customFormat="1" x14ac:dyDescent="0.2">
      <c r="C121" s="655"/>
      <c r="D121" s="655"/>
      <c r="J121" s="274"/>
      <c r="M121" s="276"/>
      <c r="N121" s="157"/>
      <c r="O121" s="302"/>
      <c r="P121" s="302"/>
    </row>
    <row r="122" spans="3:16" s="159" customFormat="1" x14ac:dyDescent="0.2">
      <c r="C122" s="655"/>
      <c r="D122" s="655"/>
      <c r="J122" s="274"/>
      <c r="M122" s="276"/>
      <c r="N122" s="157"/>
      <c r="O122" s="302"/>
      <c r="P122" s="302"/>
    </row>
    <row r="123" spans="3:16" s="159" customFormat="1" x14ac:dyDescent="0.2">
      <c r="C123" s="655"/>
      <c r="D123" s="655"/>
      <c r="J123" s="274"/>
      <c r="M123" s="276"/>
      <c r="N123" s="157"/>
      <c r="O123" s="302"/>
      <c r="P123" s="302"/>
    </row>
    <row r="124" spans="3:16" s="159" customFormat="1" x14ac:dyDescent="0.2">
      <c r="C124" s="655"/>
      <c r="D124" s="655"/>
      <c r="J124" s="274"/>
      <c r="M124" s="276"/>
      <c r="N124" s="157"/>
      <c r="O124" s="302"/>
      <c r="P124" s="302"/>
    </row>
    <row r="125" spans="3:16" s="159" customFormat="1" x14ac:dyDescent="0.2">
      <c r="C125" s="655"/>
      <c r="D125" s="655"/>
      <c r="J125" s="274"/>
      <c r="M125" s="276"/>
      <c r="N125" s="157"/>
      <c r="O125" s="302"/>
      <c r="P125" s="302"/>
    </row>
    <row r="126" spans="3:16" s="159" customFormat="1" x14ac:dyDescent="0.2">
      <c r="C126" s="655"/>
      <c r="D126" s="655"/>
      <c r="J126" s="274"/>
      <c r="M126" s="276"/>
      <c r="N126" s="157"/>
      <c r="O126" s="302"/>
      <c r="P126" s="302"/>
    </row>
    <row r="127" spans="3:16" s="159" customFormat="1" x14ac:dyDescent="0.2">
      <c r="C127" s="655"/>
      <c r="D127" s="655"/>
      <c r="J127" s="274"/>
      <c r="M127" s="276"/>
      <c r="N127" s="157"/>
      <c r="O127" s="302"/>
      <c r="P127" s="302"/>
    </row>
    <row r="128" spans="3:16" s="159" customFormat="1" x14ac:dyDescent="0.2">
      <c r="C128" s="655"/>
      <c r="D128" s="655"/>
      <c r="J128" s="274"/>
      <c r="M128" s="276"/>
      <c r="N128" s="157"/>
      <c r="O128" s="302"/>
      <c r="P128" s="302"/>
    </row>
    <row r="129" spans="3:16" s="159" customFormat="1" x14ac:dyDescent="0.2">
      <c r="C129" s="655"/>
      <c r="D129" s="655"/>
      <c r="J129" s="274"/>
      <c r="M129" s="276"/>
      <c r="N129" s="157"/>
      <c r="O129" s="302"/>
      <c r="P129" s="302"/>
    </row>
    <row r="130" spans="3:16" s="159" customFormat="1" x14ac:dyDescent="0.2">
      <c r="C130" s="655"/>
      <c r="D130" s="655"/>
      <c r="J130" s="274"/>
      <c r="M130" s="276"/>
      <c r="N130" s="157"/>
      <c r="O130" s="302"/>
      <c r="P130" s="302"/>
    </row>
    <row r="131" spans="3:16" s="159" customFormat="1" x14ac:dyDescent="0.2">
      <c r="C131" s="655"/>
      <c r="D131" s="655"/>
      <c r="J131" s="274"/>
      <c r="M131" s="276"/>
      <c r="N131" s="157"/>
      <c r="O131" s="302"/>
      <c r="P131" s="302"/>
    </row>
    <row r="132" spans="3:16" s="159" customFormat="1" x14ac:dyDescent="0.2">
      <c r="C132" s="655"/>
      <c r="D132" s="655"/>
      <c r="J132" s="274"/>
      <c r="M132" s="276"/>
      <c r="N132" s="157"/>
      <c r="O132" s="302"/>
      <c r="P132" s="302"/>
    </row>
    <row r="133" spans="3:16" s="159" customFormat="1" x14ac:dyDescent="0.2">
      <c r="C133" s="655"/>
      <c r="D133" s="655"/>
      <c r="J133" s="274"/>
      <c r="M133" s="276"/>
      <c r="N133" s="157"/>
      <c r="O133" s="302"/>
      <c r="P133" s="302"/>
    </row>
    <row r="134" spans="3:16" s="159" customFormat="1" x14ac:dyDescent="0.2">
      <c r="C134" s="655"/>
      <c r="D134" s="655"/>
      <c r="J134" s="274"/>
      <c r="M134" s="276"/>
      <c r="N134" s="157"/>
      <c r="O134" s="302"/>
      <c r="P134" s="302"/>
    </row>
    <row r="135" spans="3:16" s="159" customFormat="1" x14ac:dyDescent="0.2">
      <c r="C135" s="655"/>
      <c r="D135" s="655"/>
      <c r="J135" s="274"/>
      <c r="M135" s="276"/>
      <c r="N135" s="157"/>
      <c r="O135" s="302"/>
      <c r="P135" s="302"/>
    </row>
    <row r="136" spans="3:16" s="159" customFormat="1" x14ac:dyDescent="0.2">
      <c r="C136" s="655"/>
      <c r="D136" s="655"/>
      <c r="J136" s="274"/>
      <c r="M136" s="276"/>
      <c r="N136" s="157"/>
      <c r="O136" s="302"/>
      <c r="P136" s="302"/>
    </row>
    <row r="137" spans="3:16" s="159" customFormat="1" x14ac:dyDescent="0.2">
      <c r="C137" s="655"/>
      <c r="D137" s="655"/>
      <c r="J137" s="274"/>
      <c r="M137" s="276"/>
      <c r="N137" s="157"/>
      <c r="O137" s="302"/>
      <c r="P137" s="302"/>
    </row>
    <row r="138" spans="3:16" s="159" customFormat="1" x14ac:dyDescent="0.2">
      <c r="C138" s="655"/>
      <c r="D138" s="655"/>
      <c r="J138" s="274"/>
      <c r="M138" s="276"/>
      <c r="N138" s="157"/>
      <c r="O138" s="302"/>
      <c r="P138" s="302"/>
    </row>
    <row r="139" spans="3:16" s="159" customFormat="1" x14ac:dyDescent="0.2">
      <c r="C139" s="655"/>
      <c r="D139" s="655"/>
      <c r="J139" s="274"/>
      <c r="M139" s="276"/>
      <c r="N139" s="157"/>
      <c r="O139" s="302"/>
      <c r="P139" s="302"/>
    </row>
    <row r="140" spans="3:16" s="159" customFormat="1" x14ac:dyDescent="0.2">
      <c r="C140" s="655"/>
      <c r="D140" s="655"/>
      <c r="J140" s="274"/>
      <c r="M140" s="276"/>
      <c r="N140" s="157"/>
      <c r="O140" s="302"/>
      <c r="P140" s="302"/>
    </row>
    <row r="141" spans="3:16" s="159" customFormat="1" x14ac:dyDescent="0.2">
      <c r="C141" s="655"/>
      <c r="D141" s="655"/>
      <c r="J141" s="274"/>
      <c r="M141" s="276"/>
      <c r="N141" s="157"/>
      <c r="O141" s="302"/>
      <c r="P141" s="302"/>
    </row>
    <row r="142" spans="3:16" s="159" customFormat="1" x14ac:dyDescent="0.2">
      <c r="C142" s="655"/>
      <c r="D142" s="655"/>
      <c r="J142" s="274"/>
      <c r="M142" s="276"/>
      <c r="N142" s="157"/>
      <c r="O142" s="302"/>
      <c r="P142" s="302"/>
    </row>
    <row r="143" spans="3:16" s="159" customFormat="1" x14ac:dyDescent="0.2">
      <c r="C143" s="655"/>
      <c r="D143" s="655"/>
      <c r="J143" s="274"/>
      <c r="M143" s="276"/>
      <c r="N143" s="157"/>
      <c r="O143" s="302"/>
      <c r="P143" s="302"/>
    </row>
    <row r="144" spans="3:16" s="159" customFormat="1" x14ac:dyDescent="0.2">
      <c r="C144" s="655"/>
      <c r="D144" s="655"/>
      <c r="J144" s="274"/>
      <c r="M144" s="276"/>
      <c r="N144" s="157"/>
      <c r="O144" s="302"/>
      <c r="P144" s="302"/>
    </row>
    <row r="145" spans="3:16" s="159" customFormat="1" x14ac:dyDescent="0.2">
      <c r="C145" s="655"/>
      <c r="D145" s="655"/>
      <c r="J145" s="274"/>
      <c r="M145" s="276"/>
      <c r="N145" s="157"/>
      <c r="O145" s="302"/>
      <c r="P145" s="302"/>
    </row>
    <row r="146" spans="3:16" s="159" customFormat="1" x14ac:dyDescent="0.2">
      <c r="C146" s="655"/>
      <c r="D146" s="655"/>
      <c r="J146" s="274"/>
      <c r="M146" s="276"/>
      <c r="N146" s="157"/>
      <c r="O146" s="302"/>
      <c r="P146" s="302"/>
    </row>
    <row r="147" spans="3:16" s="159" customFormat="1" x14ac:dyDescent="0.2">
      <c r="C147" s="655"/>
      <c r="D147" s="655"/>
      <c r="J147" s="274"/>
      <c r="M147" s="276"/>
      <c r="N147" s="157"/>
      <c r="O147" s="302"/>
      <c r="P147" s="302"/>
    </row>
    <row r="148" spans="3:16" s="159" customFormat="1" x14ac:dyDescent="0.2">
      <c r="C148" s="655"/>
      <c r="D148" s="655"/>
      <c r="J148" s="274"/>
      <c r="M148" s="276"/>
      <c r="N148" s="157"/>
      <c r="O148" s="302"/>
      <c r="P148" s="302"/>
    </row>
    <row r="149" spans="3:16" s="159" customFormat="1" x14ac:dyDescent="0.2">
      <c r="C149" s="655"/>
      <c r="D149" s="655"/>
      <c r="J149" s="274"/>
      <c r="M149" s="276"/>
      <c r="N149" s="157"/>
      <c r="O149" s="302"/>
      <c r="P149" s="302"/>
    </row>
    <row r="150" spans="3:16" s="159" customFormat="1" x14ac:dyDescent="0.2">
      <c r="C150" s="655"/>
      <c r="D150" s="655"/>
      <c r="J150" s="274"/>
      <c r="M150" s="276"/>
      <c r="N150" s="157"/>
      <c r="O150" s="302"/>
      <c r="P150" s="302"/>
    </row>
    <row r="151" spans="3:16" s="159" customFormat="1" x14ac:dyDescent="0.2">
      <c r="C151" s="655"/>
      <c r="D151" s="655"/>
      <c r="J151" s="274"/>
      <c r="M151" s="276"/>
      <c r="N151" s="157"/>
      <c r="O151" s="302"/>
      <c r="P151" s="302"/>
    </row>
    <row r="152" spans="3:16" s="159" customFormat="1" x14ac:dyDescent="0.2">
      <c r="C152" s="655"/>
      <c r="D152" s="655"/>
      <c r="J152" s="274"/>
      <c r="M152" s="276"/>
      <c r="N152" s="157"/>
      <c r="O152" s="302"/>
      <c r="P152" s="302"/>
    </row>
    <row r="153" spans="3:16" s="159" customFormat="1" x14ac:dyDescent="0.2">
      <c r="C153" s="655"/>
      <c r="D153" s="655"/>
      <c r="J153" s="274"/>
      <c r="M153" s="276"/>
      <c r="N153" s="157"/>
      <c r="O153" s="302"/>
      <c r="P153" s="302"/>
    </row>
    <row r="154" spans="3:16" s="159" customFormat="1" x14ac:dyDescent="0.2">
      <c r="C154" s="655"/>
      <c r="D154" s="655"/>
      <c r="J154" s="274"/>
      <c r="M154" s="276"/>
      <c r="N154" s="157"/>
      <c r="O154" s="302"/>
      <c r="P154" s="302"/>
    </row>
    <row r="155" spans="3:16" s="159" customFormat="1" x14ac:dyDescent="0.2">
      <c r="C155" s="655"/>
      <c r="D155" s="655"/>
      <c r="J155" s="274"/>
      <c r="M155" s="276"/>
      <c r="N155" s="157"/>
      <c r="O155" s="302"/>
      <c r="P155" s="302"/>
    </row>
    <row r="156" spans="3:16" s="159" customFormat="1" x14ac:dyDescent="0.2">
      <c r="C156" s="655"/>
      <c r="D156" s="655"/>
      <c r="J156" s="274"/>
      <c r="M156" s="276"/>
      <c r="N156" s="157"/>
      <c r="O156" s="302"/>
      <c r="P156" s="302"/>
    </row>
    <row r="157" spans="3:16" s="159" customFormat="1" x14ac:dyDescent="0.2">
      <c r="C157" s="655"/>
      <c r="D157" s="655"/>
      <c r="J157" s="274"/>
      <c r="M157" s="276"/>
      <c r="N157" s="157"/>
      <c r="O157" s="302"/>
      <c r="P157" s="302"/>
    </row>
    <row r="158" spans="3:16" s="159" customFormat="1" x14ac:dyDescent="0.2">
      <c r="C158" s="655"/>
      <c r="D158" s="655"/>
      <c r="J158" s="274"/>
      <c r="M158" s="276"/>
      <c r="N158" s="157"/>
      <c r="O158" s="302"/>
      <c r="P158" s="302"/>
    </row>
    <row r="159" spans="3:16" s="159" customFormat="1" x14ac:dyDescent="0.2">
      <c r="C159" s="655"/>
      <c r="D159" s="655"/>
      <c r="J159" s="274"/>
      <c r="M159" s="276"/>
      <c r="N159" s="157"/>
      <c r="O159" s="302"/>
      <c r="P159" s="302"/>
    </row>
    <row r="160" spans="3:16" s="159" customFormat="1" x14ac:dyDescent="0.2">
      <c r="C160" s="655"/>
      <c r="D160" s="655"/>
      <c r="J160" s="274"/>
      <c r="M160" s="276"/>
      <c r="N160" s="157"/>
      <c r="O160" s="302"/>
      <c r="P160" s="302"/>
    </row>
    <row r="161" spans="3:16" s="159" customFormat="1" x14ac:dyDescent="0.2">
      <c r="C161" s="655"/>
      <c r="D161" s="655"/>
      <c r="J161" s="274"/>
      <c r="M161" s="276"/>
      <c r="N161" s="157"/>
      <c r="O161" s="302"/>
      <c r="P161" s="302"/>
    </row>
    <row r="162" spans="3:16" s="159" customFormat="1" x14ac:dyDescent="0.2">
      <c r="C162" s="655"/>
      <c r="D162" s="655"/>
      <c r="J162" s="274"/>
      <c r="M162" s="276"/>
      <c r="N162" s="157"/>
      <c r="O162" s="302"/>
      <c r="P162" s="302"/>
    </row>
    <row r="163" spans="3:16" s="159" customFormat="1" x14ac:dyDescent="0.2">
      <c r="C163" s="655"/>
      <c r="D163" s="655"/>
      <c r="J163" s="274"/>
      <c r="M163" s="276"/>
      <c r="N163" s="157"/>
      <c r="O163" s="302"/>
      <c r="P163" s="302"/>
    </row>
    <row r="164" spans="3:16" s="159" customFormat="1" x14ac:dyDescent="0.2">
      <c r="C164" s="655"/>
      <c r="D164" s="655"/>
      <c r="J164" s="274"/>
      <c r="M164" s="276"/>
      <c r="N164" s="157"/>
      <c r="O164" s="302"/>
      <c r="P164" s="302"/>
    </row>
    <row r="165" spans="3:16" s="159" customFormat="1" x14ac:dyDescent="0.2">
      <c r="C165" s="655"/>
      <c r="D165" s="655"/>
      <c r="J165" s="274"/>
      <c r="M165" s="276"/>
      <c r="N165" s="157"/>
      <c r="O165" s="302"/>
      <c r="P165" s="302"/>
    </row>
    <row r="166" spans="3:16" s="159" customFormat="1" x14ac:dyDescent="0.2">
      <c r="C166" s="655"/>
      <c r="D166" s="655"/>
      <c r="J166" s="274"/>
      <c r="M166" s="276"/>
      <c r="N166" s="157"/>
      <c r="O166" s="302"/>
      <c r="P166" s="302"/>
    </row>
    <row r="167" spans="3:16" s="159" customFormat="1" x14ac:dyDescent="0.2">
      <c r="C167" s="655"/>
      <c r="D167" s="655"/>
      <c r="J167" s="274"/>
      <c r="M167" s="276"/>
      <c r="N167" s="157"/>
      <c r="O167" s="302"/>
      <c r="P167" s="302"/>
    </row>
    <row r="168" spans="3:16" s="159" customFormat="1" x14ac:dyDescent="0.2">
      <c r="C168" s="655"/>
      <c r="D168" s="655"/>
      <c r="J168" s="274"/>
      <c r="M168" s="276"/>
      <c r="N168" s="157"/>
      <c r="O168" s="302"/>
      <c r="P168" s="302"/>
    </row>
    <row r="169" spans="3:16" s="159" customFormat="1" x14ac:dyDescent="0.2">
      <c r="C169" s="655"/>
      <c r="D169" s="655"/>
      <c r="J169" s="274"/>
      <c r="M169" s="276"/>
      <c r="N169" s="157"/>
      <c r="O169" s="302"/>
      <c r="P169" s="302"/>
    </row>
    <row r="170" spans="3:16" s="159" customFormat="1" x14ac:dyDescent="0.2">
      <c r="C170" s="655"/>
      <c r="D170" s="655"/>
      <c r="J170" s="274"/>
      <c r="M170" s="276"/>
      <c r="N170" s="157"/>
      <c r="O170" s="302"/>
      <c r="P170" s="302"/>
    </row>
    <row r="171" spans="3:16" s="159" customFormat="1" x14ac:dyDescent="0.2">
      <c r="C171" s="655"/>
      <c r="D171" s="655"/>
      <c r="J171" s="274"/>
      <c r="M171" s="276"/>
      <c r="N171" s="157"/>
      <c r="O171" s="302"/>
      <c r="P171" s="302"/>
    </row>
    <row r="172" spans="3:16" s="159" customFormat="1" x14ac:dyDescent="0.2">
      <c r="C172" s="655"/>
      <c r="D172" s="655"/>
      <c r="J172" s="274"/>
      <c r="M172" s="276"/>
      <c r="N172" s="157"/>
      <c r="O172" s="302"/>
      <c r="P172" s="302"/>
    </row>
    <row r="173" spans="3:16" s="159" customFormat="1" x14ac:dyDescent="0.2">
      <c r="C173" s="655"/>
      <c r="D173" s="655"/>
      <c r="J173" s="274"/>
      <c r="M173" s="276"/>
      <c r="N173" s="157"/>
      <c r="O173" s="302"/>
      <c r="P173" s="302"/>
    </row>
    <row r="174" spans="3:16" s="159" customFormat="1" x14ac:dyDescent="0.2">
      <c r="C174" s="655"/>
      <c r="D174" s="655"/>
      <c r="J174" s="274"/>
      <c r="M174" s="276"/>
      <c r="N174" s="157"/>
      <c r="O174" s="302"/>
      <c r="P174" s="302"/>
    </row>
    <row r="175" spans="3:16" s="159" customFormat="1" x14ac:dyDescent="0.2">
      <c r="C175" s="655"/>
      <c r="D175" s="655"/>
      <c r="J175" s="274"/>
      <c r="M175" s="276"/>
      <c r="N175" s="157"/>
      <c r="O175" s="302"/>
      <c r="P175" s="302"/>
    </row>
    <row r="176" spans="3:16" s="159" customFormat="1" x14ac:dyDescent="0.2">
      <c r="C176" s="655"/>
      <c r="D176" s="655"/>
      <c r="J176" s="274"/>
      <c r="M176" s="276"/>
      <c r="N176" s="157"/>
      <c r="O176" s="302"/>
      <c r="P176" s="302"/>
    </row>
    <row r="177" spans="3:16" s="159" customFormat="1" x14ac:dyDescent="0.2">
      <c r="C177" s="655"/>
      <c r="D177" s="655"/>
      <c r="J177" s="274"/>
      <c r="M177" s="276"/>
      <c r="N177" s="157"/>
      <c r="O177" s="302"/>
      <c r="P177" s="302"/>
    </row>
    <row r="178" spans="3:16" s="159" customFormat="1" x14ac:dyDescent="0.2">
      <c r="C178" s="655"/>
      <c r="D178" s="655"/>
      <c r="J178" s="274"/>
      <c r="M178" s="276"/>
      <c r="N178" s="157"/>
      <c r="O178" s="302"/>
      <c r="P178" s="302"/>
    </row>
    <row r="179" spans="3:16" s="159" customFormat="1" x14ac:dyDescent="0.2">
      <c r="C179" s="655"/>
      <c r="D179" s="655"/>
      <c r="J179" s="274"/>
      <c r="M179" s="276"/>
      <c r="N179" s="157"/>
      <c r="O179" s="302"/>
      <c r="P179" s="302"/>
    </row>
    <row r="180" spans="3:16" s="159" customFormat="1" x14ac:dyDescent="0.2">
      <c r="C180" s="655"/>
      <c r="D180" s="655"/>
      <c r="J180" s="274"/>
      <c r="M180" s="276"/>
      <c r="N180" s="157"/>
      <c r="O180" s="302"/>
      <c r="P180" s="302"/>
    </row>
    <row r="181" spans="3:16" s="159" customFormat="1" x14ac:dyDescent="0.2">
      <c r="C181" s="655"/>
      <c r="D181" s="655"/>
      <c r="J181" s="274"/>
      <c r="M181" s="276"/>
      <c r="N181" s="157"/>
      <c r="O181" s="302"/>
      <c r="P181" s="302"/>
    </row>
    <row r="182" spans="3:16" s="159" customFormat="1" x14ac:dyDescent="0.2">
      <c r="C182" s="655"/>
      <c r="D182" s="655"/>
      <c r="J182" s="274"/>
      <c r="M182" s="276"/>
      <c r="N182" s="157"/>
      <c r="O182" s="302"/>
      <c r="P182" s="302"/>
    </row>
    <row r="183" spans="3:16" s="159" customFormat="1" x14ac:dyDescent="0.2">
      <c r="C183" s="655"/>
      <c r="D183" s="655"/>
      <c r="J183" s="274"/>
      <c r="M183" s="276"/>
      <c r="N183" s="157"/>
      <c r="O183" s="302"/>
      <c r="P183" s="302"/>
    </row>
    <row r="184" spans="3:16" s="159" customFormat="1" x14ac:dyDescent="0.2">
      <c r="C184" s="655"/>
      <c r="D184" s="655"/>
      <c r="J184" s="274"/>
      <c r="M184" s="276"/>
      <c r="N184" s="157"/>
      <c r="O184" s="302"/>
      <c r="P184" s="302"/>
    </row>
    <row r="185" spans="3:16" s="159" customFormat="1" x14ac:dyDescent="0.2">
      <c r="C185" s="655"/>
      <c r="D185" s="655"/>
      <c r="J185" s="274"/>
      <c r="M185" s="276"/>
      <c r="N185" s="157"/>
      <c r="O185" s="302"/>
      <c r="P185" s="302"/>
    </row>
    <row r="186" spans="3:16" s="159" customFormat="1" x14ac:dyDescent="0.2">
      <c r="C186" s="655"/>
      <c r="D186" s="655"/>
      <c r="J186" s="274"/>
      <c r="M186" s="276"/>
      <c r="N186" s="157"/>
      <c r="O186" s="302"/>
      <c r="P186" s="302"/>
    </row>
    <row r="187" spans="3:16" s="159" customFormat="1" x14ac:dyDescent="0.2">
      <c r="C187" s="655"/>
      <c r="D187" s="655"/>
      <c r="J187" s="274"/>
      <c r="M187" s="276"/>
      <c r="N187" s="157"/>
      <c r="O187" s="302"/>
      <c r="P187" s="302"/>
    </row>
    <row r="188" spans="3:16" s="159" customFormat="1" x14ac:dyDescent="0.2">
      <c r="C188" s="655"/>
      <c r="D188" s="655"/>
      <c r="J188" s="274"/>
      <c r="M188" s="276"/>
      <c r="N188" s="157"/>
      <c r="O188" s="302"/>
      <c r="P188" s="302"/>
    </row>
    <row r="189" spans="3:16" s="159" customFormat="1" x14ac:dyDescent="0.2">
      <c r="C189" s="655"/>
      <c r="D189" s="655"/>
      <c r="J189" s="274"/>
      <c r="M189" s="276"/>
      <c r="N189" s="157"/>
      <c r="O189" s="302"/>
      <c r="P189" s="302"/>
    </row>
    <row r="190" spans="3:16" s="159" customFormat="1" x14ac:dyDescent="0.2">
      <c r="C190" s="655"/>
      <c r="D190" s="655"/>
      <c r="J190" s="274"/>
      <c r="M190" s="276"/>
      <c r="N190" s="157"/>
      <c r="O190" s="302"/>
      <c r="P190" s="302"/>
    </row>
    <row r="191" spans="3:16" s="159" customFormat="1" x14ac:dyDescent="0.2">
      <c r="C191" s="655"/>
      <c r="D191" s="655"/>
      <c r="J191" s="274"/>
      <c r="M191" s="276"/>
      <c r="N191" s="157"/>
      <c r="O191" s="302"/>
      <c r="P191" s="302"/>
    </row>
    <row r="192" spans="3:16" s="159" customFormat="1" x14ac:dyDescent="0.2">
      <c r="C192" s="655"/>
      <c r="D192" s="655"/>
      <c r="J192" s="274"/>
      <c r="M192" s="276"/>
      <c r="N192" s="157"/>
      <c r="O192" s="302"/>
      <c r="P192" s="302"/>
    </row>
    <row r="193" spans="3:16" s="159" customFormat="1" x14ac:dyDescent="0.2">
      <c r="C193" s="655"/>
      <c r="D193" s="655"/>
      <c r="J193" s="274"/>
      <c r="M193" s="276"/>
      <c r="N193" s="157"/>
      <c r="O193" s="302"/>
      <c r="P193" s="302"/>
    </row>
    <row r="194" spans="3:16" s="159" customFormat="1" x14ac:dyDescent="0.2">
      <c r="C194" s="655"/>
      <c r="D194" s="655"/>
      <c r="J194" s="274"/>
      <c r="M194" s="276"/>
      <c r="N194" s="157"/>
      <c r="O194" s="302"/>
      <c r="P194" s="302"/>
    </row>
    <row r="195" spans="3:16" s="159" customFormat="1" x14ac:dyDescent="0.2">
      <c r="C195" s="655"/>
      <c r="D195" s="655"/>
      <c r="J195" s="274"/>
      <c r="M195" s="276"/>
      <c r="N195" s="157"/>
      <c r="O195" s="302"/>
      <c r="P195" s="302"/>
    </row>
    <row r="196" spans="3:16" s="159" customFormat="1" x14ac:dyDescent="0.2">
      <c r="C196" s="655"/>
      <c r="D196" s="655"/>
      <c r="J196" s="274"/>
      <c r="M196" s="276"/>
      <c r="N196" s="157"/>
      <c r="O196" s="302"/>
      <c r="P196" s="302"/>
    </row>
    <row r="197" spans="3:16" s="159" customFormat="1" x14ac:dyDescent="0.2">
      <c r="C197" s="655"/>
      <c r="D197" s="655"/>
      <c r="J197" s="274"/>
      <c r="M197" s="276"/>
      <c r="N197" s="157"/>
      <c r="O197" s="302"/>
      <c r="P197" s="302"/>
    </row>
    <row r="198" spans="3:16" s="159" customFormat="1" x14ac:dyDescent="0.2">
      <c r="C198" s="655"/>
      <c r="D198" s="655"/>
      <c r="J198" s="274"/>
      <c r="M198" s="276"/>
      <c r="N198" s="157"/>
      <c r="O198" s="302"/>
      <c r="P198" s="302"/>
    </row>
    <row r="199" spans="3:16" s="159" customFormat="1" x14ac:dyDescent="0.2">
      <c r="C199" s="655"/>
      <c r="D199" s="655"/>
      <c r="J199" s="274"/>
      <c r="M199" s="276"/>
      <c r="N199" s="157"/>
      <c r="O199" s="302"/>
      <c r="P199" s="302"/>
    </row>
    <row r="200" spans="3:16" s="159" customFormat="1" x14ac:dyDescent="0.2">
      <c r="C200" s="655"/>
      <c r="D200" s="655"/>
      <c r="J200" s="274"/>
      <c r="M200" s="276"/>
      <c r="N200" s="157"/>
      <c r="O200" s="302"/>
      <c r="P200" s="302"/>
    </row>
    <row r="201" spans="3:16" s="159" customFormat="1" x14ac:dyDescent="0.2">
      <c r="C201" s="655"/>
      <c r="D201" s="655"/>
      <c r="J201" s="274"/>
      <c r="M201" s="276"/>
      <c r="N201" s="157"/>
      <c r="O201" s="302"/>
      <c r="P201" s="302"/>
    </row>
    <row r="202" spans="3:16" s="159" customFormat="1" x14ac:dyDescent="0.2">
      <c r="C202" s="655"/>
      <c r="D202" s="655"/>
      <c r="J202" s="274"/>
      <c r="M202" s="276"/>
      <c r="N202" s="157"/>
      <c r="O202" s="302"/>
      <c r="P202" s="302"/>
    </row>
    <row r="203" spans="3:16" s="159" customFormat="1" x14ac:dyDescent="0.2">
      <c r="C203" s="655"/>
      <c r="D203" s="655"/>
      <c r="J203" s="274"/>
      <c r="M203" s="276"/>
      <c r="N203" s="157"/>
      <c r="O203" s="302"/>
      <c r="P203" s="302"/>
    </row>
    <row r="204" spans="3:16" s="159" customFormat="1" x14ac:dyDescent="0.2">
      <c r="C204" s="655"/>
      <c r="D204" s="655"/>
      <c r="J204" s="274"/>
      <c r="M204" s="276"/>
      <c r="N204" s="157"/>
      <c r="O204" s="302"/>
      <c r="P204" s="302"/>
    </row>
    <row r="205" spans="3:16" s="159" customFormat="1" x14ac:dyDescent="0.2">
      <c r="C205" s="655"/>
      <c r="D205" s="655"/>
      <c r="J205" s="274"/>
      <c r="M205" s="276"/>
      <c r="N205" s="157"/>
      <c r="O205" s="302"/>
      <c r="P205" s="302"/>
    </row>
    <row r="206" spans="3:16" s="159" customFormat="1" x14ac:dyDescent="0.2">
      <c r="C206" s="655"/>
      <c r="D206" s="655"/>
      <c r="J206" s="274"/>
      <c r="M206" s="276"/>
      <c r="N206" s="157"/>
      <c r="O206" s="302"/>
      <c r="P206" s="302"/>
    </row>
    <row r="207" spans="3:16" s="159" customFormat="1" x14ac:dyDescent="0.2">
      <c r="C207" s="655"/>
      <c r="D207" s="655"/>
      <c r="J207" s="274"/>
      <c r="M207" s="276"/>
      <c r="N207" s="157"/>
      <c r="O207" s="302"/>
      <c r="P207" s="302"/>
    </row>
    <row r="208" spans="3:16" s="159" customFormat="1" x14ac:dyDescent="0.2">
      <c r="C208" s="655"/>
      <c r="D208" s="655"/>
      <c r="J208" s="274"/>
      <c r="M208" s="276"/>
      <c r="N208" s="157"/>
      <c r="O208" s="302"/>
      <c r="P208" s="302"/>
    </row>
    <row r="209" spans="3:16" s="159" customFormat="1" x14ac:dyDescent="0.2">
      <c r="C209" s="655"/>
      <c r="D209" s="655"/>
      <c r="J209" s="274"/>
      <c r="M209" s="276"/>
      <c r="N209" s="157"/>
      <c r="O209" s="302"/>
      <c r="P209" s="302"/>
    </row>
    <row r="210" spans="3:16" s="159" customFormat="1" x14ac:dyDescent="0.2">
      <c r="C210" s="655"/>
      <c r="D210" s="655"/>
      <c r="J210" s="274"/>
      <c r="M210" s="276"/>
      <c r="N210" s="157"/>
      <c r="O210" s="302"/>
      <c r="P210" s="302"/>
    </row>
    <row r="211" spans="3:16" s="159" customFormat="1" x14ac:dyDescent="0.2">
      <c r="C211" s="655"/>
      <c r="D211" s="655"/>
      <c r="J211" s="274"/>
      <c r="M211" s="276"/>
      <c r="N211" s="157"/>
      <c r="O211" s="302"/>
      <c r="P211" s="302"/>
    </row>
    <row r="212" spans="3:16" s="159" customFormat="1" x14ac:dyDescent="0.2">
      <c r="C212" s="655"/>
      <c r="D212" s="655"/>
      <c r="J212" s="274"/>
      <c r="M212" s="276"/>
      <c r="N212" s="157"/>
      <c r="O212" s="302"/>
      <c r="P212" s="302"/>
    </row>
    <row r="213" spans="3:16" s="159" customFormat="1" x14ac:dyDescent="0.2">
      <c r="C213" s="655"/>
      <c r="D213" s="655"/>
      <c r="J213" s="274"/>
      <c r="M213" s="276"/>
      <c r="N213" s="157"/>
      <c r="O213" s="302"/>
      <c r="P213" s="302"/>
    </row>
    <row r="214" spans="3:16" s="159" customFormat="1" x14ac:dyDescent="0.2">
      <c r="C214" s="655"/>
      <c r="D214" s="655"/>
      <c r="J214" s="274"/>
      <c r="M214" s="276"/>
      <c r="N214" s="157"/>
      <c r="O214" s="302"/>
      <c r="P214" s="302"/>
    </row>
    <row r="215" spans="3:16" s="159" customFormat="1" x14ac:dyDescent="0.2">
      <c r="C215" s="655"/>
      <c r="D215" s="655"/>
      <c r="J215" s="274"/>
      <c r="M215" s="276"/>
      <c r="N215" s="157"/>
      <c r="O215" s="302"/>
      <c r="P215" s="302"/>
    </row>
    <row r="216" spans="3:16" s="159" customFormat="1" x14ac:dyDescent="0.2">
      <c r="C216" s="655"/>
      <c r="D216" s="655"/>
      <c r="J216" s="274"/>
      <c r="M216" s="276"/>
      <c r="N216" s="157"/>
      <c r="O216" s="302"/>
      <c r="P216" s="302"/>
    </row>
    <row r="217" spans="3:16" s="159" customFormat="1" x14ac:dyDescent="0.2">
      <c r="C217" s="655"/>
      <c r="D217" s="655"/>
      <c r="J217" s="274"/>
      <c r="M217" s="276"/>
      <c r="N217" s="157"/>
      <c r="O217" s="302"/>
      <c r="P217" s="302"/>
    </row>
    <row r="218" spans="3:16" s="159" customFormat="1" x14ac:dyDescent="0.2">
      <c r="C218" s="655"/>
      <c r="D218" s="655"/>
      <c r="J218" s="274"/>
      <c r="M218" s="276"/>
      <c r="N218" s="157"/>
      <c r="O218" s="302"/>
      <c r="P218" s="302"/>
    </row>
    <row r="219" spans="3:16" s="159" customFormat="1" x14ac:dyDescent="0.2">
      <c r="C219" s="655"/>
      <c r="D219" s="655"/>
      <c r="J219" s="274"/>
      <c r="M219" s="276"/>
      <c r="N219" s="157"/>
      <c r="O219" s="302"/>
      <c r="P219" s="302"/>
    </row>
    <row r="220" spans="3:16" s="159" customFormat="1" x14ac:dyDescent="0.2">
      <c r="C220" s="655"/>
      <c r="D220" s="655"/>
      <c r="J220" s="274"/>
      <c r="M220" s="276"/>
      <c r="N220" s="157"/>
      <c r="O220" s="302"/>
      <c r="P220" s="302"/>
    </row>
    <row r="221" spans="3:16" s="159" customFormat="1" x14ac:dyDescent="0.2">
      <c r="C221" s="655"/>
      <c r="D221" s="655"/>
      <c r="J221" s="274"/>
      <c r="M221" s="276"/>
      <c r="N221" s="157"/>
      <c r="O221" s="302"/>
      <c r="P221" s="302"/>
    </row>
    <row r="222" spans="3:16" s="159" customFormat="1" x14ac:dyDescent="0.2">
      <c r="C222" s="655"/>
      <c r="D222" s="655"/>
      <c r="J222" s="274"/>
      <c r="M222" s="276"/>
      <c r="N222" s="157"/>
      <c r="O222" s="302"/>
      <c r="P222" s="302"/>
    </row>
    <row r="223" spans="3:16" s="159" customFormat="1" x14ac:dyDescent="0.2">
      <c r="C223" s="655"/>
      <c r="D223" s="655"/>
      <c r="J223" s="274"/>
      <c r="M223" s="276"/>
      <c r="N223" s="157"/>
      <c r="O223" s="302"/>
      <c r="P223" s="302"/>
    </row>
    <row r="224" spans="3:16" s="159" customFormat="1" x14ac:dyDescent="0.2">
      <c r="C224" s="655"/>
      <c r="D224" s="655"/>
      <c r="J224" s="274"/>
      <c r="M224" s="276"/>
      <c r="N224" s="157"/>
      <c r="O224" s="302"/>
      <c r="P224" s="302"/>
    </row>
    <row r="225" spans="3:16" s="159" customFormat="1" x14ac:dyDescent="0.2">
      <c r="C225" s="655"/>
      <c r="D225" s="655"/>
      <c r="J225" s="274"/>
      <c r="M225" s="276"/>
      <c r="N225" s="157"/>
      <c r="O225" s="302"/>
      <c r="P225" s="302"/>
    </row>
    <row r="226" spans="3:16" s="159" customFormat="1" x14ac:dyDescent="0.2">
      <c r="C226" s="655"/>
      <c r="D226" s="655"/>
      <c r="J226" s="274"/>
      <c r="M226" s="276"/>
      <c r="N226" s="157"/>
      <c r="O226" s="302"/>
      <c r="P226" s="302"/>
    </row>
    <row r="227" spans="3:16" s="159" customFormat="1" x14ac:dyDescent="0.2">
      <c r="C227" s="655"/>
      <c r="D227" s="655"/>
      <c r="J227" s="274"/>
      <c r="M227" s="276"/>
      <c r="N227" s="157"/>
      <c r="O227" s="302"/>
      <c r="P227" s="302"/>
    </row>
    <row r="228" spans="3:16" s="159" customFormat="1" x14ac:dyDescent="0.2">
      <c r="C228" s="655"/>
      <c r="D228" s="655"/>
      <c r="J228" s="274"/>
      <c r="M228" s="276"/>
      <c r="N228" s="157"/>
      <c r="O228" s="302"/>
      <c r="P228" s="302"/>
    </row>
    <row r="229" spans="3:16" s="159" customFormat="1" x14ac:dyDescent="0.2">
      <c r="C229" s="655"/>
      <c r="D229" s="655"/>
      <c r="J229" s="274"/>
      <c r="M229" s="276"/>
      <c r="N229" s="157"/>
      <c r="O229" s="302"/>
      <c r="P229" s="302"/>
    </row>
    <row r="230" spans="3:16" s="159" customFormat="1" x14ac:dyDescent="0.2">
      <c r="C230" s="655"/>
      <c r="D230" s="655"/>
      <c r="J230" s="274"/>
      <c r="M230" s="276"/>
      <c r="N230" s="157"/>
      <c r="O230" s="302"/>
      <c r="P230" s="302"/>
    </row>
    <row r="231" spans="3:16" s="159" customFormat="1" x14ac:dyDescent="0.2">
      <c r="C231" s="655"/>
      <c r="D231" s="655"/>
      <c r="J231" s="274"/>
      <c r="M231" s="276"/>
      <c r="N231" s="157"/>
      <c r="O231" s="302"/>
      <c r="P231" s="302"/>
    </row>
    <row r="232" spans="3:16" s="159" customFormat="1" x14ac:dyDescent="0.2">
      <c r="C232" s="655"/>
      <c r="D232" s="655"/>
      <c r="J232" s="274"/>
      <c r="M232" s="276"/>
      <c r="N232" s="157"/>
      <c r="O232" s="302"/>
      <c r="P232" s="302"/>
    </row>
    <row r="233" spans="3:16" s="159" customFormat="1" x14ac:dyDescent="0.2">
      <c r="C233" s="655"/>
      <c r="D233" s="655"/>
      <c r="J233" s="274"/>
      <c r="M233" s="276"/>
      <c r="N233" s="157"/>
      <c r="O233" s="302"/>
      <c r="P233" s="302"/>
    </row>
    <row r="234" spans="3:16" s="159" customFormat="1" x14ac:dyDescent="0.2">
      <c r="C234" s="655"/>
      <c r="D234" s="655"/>
      <c r="J234" s="274"/>
      <c r="M234" s="276"/>
      <c r="N234" s="157"/>
      <c r="O234" s="302"/>
      <c r="P234" s="302"/>
    </row>
    <row r="235" spans="3:16" s="159" customFormat="1" x14ac:dyDescent="0.2">
      <c r="C235" s="655"/>
      <c r="D235" s="655"/>
      <c r="J235" s="274"/>
      <c r="M235" s="276"/>
      <c r="N235" s="157"/>
      <c r="O235" s="302"/>
      <c r="P235" s="302"/>
    </row>
    <row r="236" spans="3:16" s="159" customFormat="1" x14ac:dyDescent="0.2">
      <c r="C236" s="655"/>
      <c r="D236" s="655"/>
      <c r="J236" s="274"/>
      <c r="M236" s="276"/>
      <c r="N236" s="157"/>
      <c r="O236" s="302"/>
      <c r="P236" s="302"/>
    </row>
    <row r="237" spans="3:16" s="159" customFormat="1" x14ac:dyDescent="0.2">
      <c r="C237" s="655"/>
      <c r="D237" s="655"/>
      <c r="J237" s="274"/>
      <c r="M237" s="276"/>
      <c r="N237" s="157"/>
      <c r="O237" s="302"/>
      <c r="P237" s="302"/>
    </row>
    <row r="238" spans="3:16" s="159" customFormat="1" x14ac:dyDescent="0.2">
      <c r="C238" s="655"/>
      <c r="D238" s="655"/>
      <c r="J238" s="274"/>
      <c r="M238" s="276"/>
      <c r="N238" s="157"/>
      <c r="O238" s="302"/>
      <c r="P238" s="302"/>
    </row>
    <row r="239" spans="3:16" s="159" customFormat="1" x14ac:dyDescent="0.2">
      <c r="C239" s="655"/>
      <c r="D239" s="655"/>
      <c r="J239" s="274"/>
      <c r="M239" s="276"/>
      <c r="N239" s="157"/>
      <c r="O239" s="302"/>
      <c r="P239" s="302"/>
    </row>
    <row r="240" spans="3:16" s="159" customFormat="1" x14ac:dyDescent="0.2">
      <c r="C240" s="655"/>
      <c r="D240" s="655"/>
      <c r="J240" s="274"/>
      <c r="M240" s="276"/>
      <c r="N240" s="157"/>
      <c r="O240" s="302"/>
      <c r="P240" s="302"/>
    </row>
    <row r="241" spans="3:16" s="159" customFormat="1" x14ac:dyDescent="0.2">
      <c r="C241" s="655"/>
      <c r="D241" s="655"/>
      <c r="J241" s="274"/>
      <c r="M241" s="276"/>
      <c r="N241" s="157"/>
      <c r="O241" s="302"/>
      <c r="P241" s="302"/>
    </row>
    <row r="242" spans="3:16" s="159" customFormat="1" x14ac:dyDescent="0.2">
      <c r="C242" s="655"/>
      <c r="D242" s="655"/>
      <c r="J242" s="274"/>
      <c r="M242" s="276"/>
      <c r="N242" s="157"/>
      <c r="O242" s="302"/>
      <c r="P242" s="302"/>
    </row>
    <row r="243" spans="3:16" s="159" customFormat="1" x14ac:dyDescent="0.2">
      <c r="C243" s="655"/>
      <c r="D243" s="655"/>
      <c r="J243" s="274"/>
      <c r="M243" s="276"/>
      <c r="N243" s="157"/>
      <c r="O243" s="302"/>
      <c r="P243" s="302"/>
    </row>
    <row r="244" spans="3:16" s="159" customFormat="1" x14ac:dyDescent="0.2">
      <c r="C244" s="655"/>
      <c r="D244" s="655"/>
      <c r="J244" s="274"/>
      <c r="M244" s="276"/>
      <c r="N244" s="157"/>
      <c r="O244" s="302"/>
      <c r="P244" s="302"/>
    </row>
    <row r="245" spans="3:16" s="159" customFormat="1" x14ac:dyDescent="0.2">
      <c r="C245" s="655"/>
      <c r="D245" s="655"/>
      <c r="J245" s="274"/>
      <c r="M245" s="276"/>
      <c r="N245" s="157"/>
      <c r="O245" s="302"/>
      <c r="P245" s="302"/>
    </row>
    <row r="246" spans="3:16" s="159" customFormat="1" x14ac:dyDescent="0.2">
      <c r="C246" s="655"/>
      <c r="D246" s="655"/>
      <c r="J246" s="274"/>
      <c r="M246" s="276"/>
      <c r="N246" s="157"/>
      <c r="O246" s="302"/>
      <c r="P246" s="302"/>
    </row>
    <row r="247" spans="3:16" s="159" customFormat="1" x14ac:dyDescent="0.2">
      <c r="C247" s="655"/>
      <c r="D247" s="655"/>
      <c r="J247" s="274"/>
      <c r="M247" s="276"/>
      <c r="N247" s="157"/>
      <c r="O247" s="302"/>
      <c r="P247" s="302"/>
    </row>
    <row r="248" spans="3:16" s="159" customFormat="1" x14ac:dyDescent="0.2">
      <c r="C248" s="655"/>
      <c r="D248" s="655"/>
      <c r="J248" s="274"/>
      <c r="M248" s="276"/>
      <c r="N248" s="157"/>
      <c r="O248" s="302"/>
      <c r="P248" s="302"/>
    </row>
    <row r="249" spans="3:16" s="159" customFormat="1" x14ac:dyDescent="0.2">
      <c r="C249" s="655"/>
      <c r="D249" s="655"/>
      <c r="J249" s="274"/>
      <c r="M249" s="276"/>
      <c r="N249" s="157"/>
      <c r="O249" s="302"/>
      <c r="P249" s="302"/>
    </row>
    <row r="250" spans="3:16" s="159" customFormat="1" x14ac:dyDescent="0.2">
      <c r="C250" s="655"/>
      <c r="D250" s="655"/>
      <c r="J250" s="274"/>
      <c r="M250" s="276"/>
      <c r="N250" s="157"/>
      <c r="O250" s="302"/>
      <c r="P250" s="302"/>
    </row>
    <row r="251" spans="3:16" s="159" customFormat="1" x14ac:dyDescent="0.2">
      <c r="C251" s="655"/>
      <c r="D251" s="655"/>
      <c r="J251" s="274"/>
      <c r="M251" s="276"/>
      <c r="N251" s="157"/>
      <c r="O251" s="302"/>
      <c r="P251" s="302"/>
    </row>
    <row r="252" spans="3:16" s="159" customFormat="1" x14ac:dyDescent="0.2">
      <c r="C252" s="655"/>
      <c r="D252" s="655"/>
      <c r="J252" s="274"/>
      <c r="M252" s="276"/>
      <c r="N252" s="157"/>
      <c r="O252" s="302"/>
      <c r="P252" s="302"/>
    </row>
    <row r="253" spans="3:16" s="159" customFormat="1" x14ac:dyDescent="0.2">
      <c r="C253" s="655"/>
      <c r="D253" s="655"/>
      <c r="J253" s="274"/>
      <c r="M253" s="276"/>
      <c r="N253" s="157"/>
      <c r="O253" s="302"/>
      <c r="P253" s="302"/>
    </row>
    <row r="254" spans="3:16" s="159" customFormat="1" x14ac:dyDescent="0.2">
      <c r="C254" s="655"/>
      <c r="D254" s="655"/>
      <c r="J254" s="274"/>
      <c r="M254" s="276"/>
      <c r="N254" s="157"/>
      <c r="O254" s="302"/>
      <c r="P254" s="302"/>
    </row>
    <row r="255" spans="3:16" s="159" customFormat="1" x14ac:dyDescent="0.2">
      <c r="C255" s="655"/>
      <c r="D255" s="655"/>
      <c r="J255" s="274"/>
      <c r="M255" s="276"/>
      <c r="N255" s="157"/>
      <c r="O255" s="302"/>
      <c r="P255" s="302"/>
    </row>
    <row r="256" spans="3:16" s="159" customFormat="1" x14ac:dyDescent="0.2">
      <c r="C256" s="655"/>
      <c r="D256" s="655"/>
      <c r="J256" s="274"/>
      <c r="M256" s="276"/>
      <c r="N256" s="157"/>
      <c r="O256" s="302"/>
      <c r="P256" s="302"/>
    </row>
    <row r="257" spans="3:16" s="159" customFormat="1" x14ac:dyDescent="0.2">
      <c r="C257" s="655"/>
      <c r="D257" s="655"/>
      <c r="J257" s="274"/>
      <c r="M257" s="276"/>
      <c r="N257" s="157"/>
      <c r="O257" s="302"/>
      <c r="P257" s="302"/>
    </row>
    <row r="258" spans="3:16" s="159" customFormat="1" x14ac:dyDescent="0.2">
      <c r="C258" s="655"/>
      <c r="D258" s="655"/>
      <c r="J258" s="274"/>
      <c r="M258" s="276"/>
      <c r="N258" s="157"/>
      <c r="O258" s="302"/>
      <c r="P258" s="302"/>
    </row>
    <row r="259" spans="3:16" s="159" customFormat="1" x14ac:dyDescent="0.2">
      <c r="C259" s="655"/>
      <c r="D259" s="655"/>
      <c r="J259" s="274"/>
      <c r="M259" s="276"/>
      <c r="N259" s="157"/>
      <c r="O259" s="302"/>
      <c r="P259" s="302"/>
    </row>
    <row r="260" spans="3:16" s="159" customFormat="1" x14ac:dyDescent="0.2">
      <c r="C260" s="655"/>
      <c r="D260" s="655"/>
      <c r="J260" s="274"/>
      <c r="M260" s="276"/>
      <c r="N260" s="157"/>
      <c r="O260" s="302"/>
      <c r="P260" s="302"/>
    </row>
    <row r="261" spans="3:16" s="159" customFormat="1" x14ac:dyDescent="0.2">
      <c r="C261" s="655"/>
      <c r="D261" s="655"/>
      <c r="J261" s="274"/>
      <c r="M261" s="276"/>
      <c r="N261" s="157"/>
      <c r="O261" s="302"/>
      <c r="P261" s="302"/>
    </row>
    <row r="262" spans="3:16" s="159" customFormat="1" x14ac:dyDescent="0.2">
      <c r="C262" s="655"/>
      <c r="D262" s="655"/>
      <c r="J262" s="274"/>
      <c r="M262" s="276"/>
      <c r="N262" s="157"/>
      <c r="O262" s="302"/>
      <c r="P262" s="302"/>
    </row>
    <row r="263" spans="3:16" s="159" customFormat="1" x14ac:dyDescent="0.2">
      <c r="C263" s="655"/>
      <c r="D263" s="655"/>
      <c r="J263" s="274"/>
      <c r="M263" s="276"/>
      <c r="N263" s="157"/>
      <c r="O263" s="302"/>
      <c r="P263" s="302"/>
    </row>
    <row r="264" spans="3:16" s="159" customFormat="1" x14ac:dyDescent="0.2">
      <c r="C264" s="655"/>
      <c r="D264" s="655"/>
      <c r="J264" s="274"/>
      <c r="M264" s="276"/>
      <c r="N264" s="157"/>
      <c r="O264" s="302"/>
      <c r="P264" s="302"/>
    </row>
    <row r="265" spans="3:16" s="159" customFormat="1" x14ac:dyDescent="0.2">
      <c r="C265" s="655"/>
      <c r="D265" s="655"/>
      <c r="J265" s="274"/>
      <c r="M265" s="276"/>
      <c r="N265" s="157"/>
      <c r="O265" s="302"/>
      <c r="P265" s="302"/>
    </row>
    <row r="266" spans="3:16" s="159" customFormat="1" x14ac:dyDescent="0.2">
      <c r="C266" s="655"/>
      <c r="D266" s="655"/>
      <c r="J266" s="274"/>
      <c r="M266" s="276"/>
      <c r="N266" s="157"/>
      <c r="O266" s="302"/>
      <c r="P266" s="302"/>
    </row>
    <row r="267" spans="3:16" s="159" customFormat="1" x14ac:dyDescent="0.2">
      <c r="C267" s="655"/>
      <c r="D267" s="655"/>
      <c r="J267" s="274"/>
      <c r="M267" s="276"/>
      <c r="N267" s="157"/>
      <c r="O267" s="302"/>
      <c r="P267" s="302"/>
    </row>
    <row r="268" spans="3:16" s="159" customFormat="1" x14ac:dyDescent="0.2">
      <c r="C268" s="655"/>
      <c r="D268" s="655"/>
      <c r="J268" s="274"/>
      <c r="M268" s="276"/>
      <c r="N268" s="157"/>
      <c r="O268" s="302"/>
      <c r="P268" s="302"/>
    </row>
    <row r="269" spans="3:16" s="159" customFormat="1" x14ac:dyDescent="0.2">
      <c r="C269" s="655"/>
      <c r="D269" s="655"/>
      <c r="J269" s="274"/>
      <c r="M269" s="276"/>
      <c r="N269" s="157"/>
      <c r="O269" s="302"/>
      <c r="P269" s="302"/>
    </row>
    <row r="270" spans="3:16" s="159" customFormat="1" x14ac:dyDescent="0.2">
      <c r="C270" s="655"/>
      <c r="D270" s="655"/>
      <c r="J270" s="274"/>
      <c r="M270" s="276"/>
      <c r="N270" s="157"/>
      <c r="O270" s="302"/>
      <c r="P270" s="302"/>
    </row>
    <row r="271" spans="3:16" s="159" customFormat="1" x14ac:dyDescent="0.2">
      <c r="C271" s="655"/>
      <c r="D271" s="655"/>
      <c r="J271" s="274"/>
      <c r="M271" s="276"/>
      <c r="N271" s="157"/>
      <c r="O271" s="302"/>
      <c r="P271" s="302"/>
    </row>
    <row r="272" spans="3:16" s="159" customFormat="1" x14ac:dyDescent="0.2">
      <c r="C272" s="655"/>
      <c r="D272" s="655"/>
      <c r="J272" s="274"/>
      <c r="M272" s="276"/>
      <c r="N272" s="157"/>
      <c r="O272" s="302"/>
      <c r="P272" s="302"/>
    </row>
    <row r="273" spans="3:16" s="159" customFormat="1" x14ac:dyDescent="0.2">
      <c r="C273" s="655"/>
      <c r="D273" s="655"/>
      <c r="J273" s="274"/>
      <c r="M273" s="276"/>
      <c r="N273" s="157"/>
      <c r="O273" s="302"/>
      <c r="P273" s="302"/>
    </row>
    <row r="274" spans="3:16" s="159" customFormat="1" x14ac:dyDescent="0.2">
      <c r="C274" s="655"/>
      <c r="D274" s="655"/>
      <c r="J274" s="274"/>
      <c r="M274" s="276"/>
      <c r="N274" s="157"/>
      <c r="O274" s="302"/>
      <c r="P274" s="302"/>
    </row>
    <row r="275" spans="3:16" s="159" customFormat="1" x14ac:dyDescent="0.2">
      <c r="C275" s="655"/>
      <c r="D275" s="655"/>
      <c r="J275" s="274"/>
      <c r="M275" s="276"/>
      <c r="N275" s="157"/>
      <c r="O275" s="302"/>
      <c r="P275" s="302"/>
    </row>
    <row r="276" spans="3:16" s="159" customFormat="1" x14ac:dyDescent="0.2">
      <c r="C276" s="655"/>
      <c r="D276" s="655"/>
      <c r="J276" s="274"/>
      <c r="M276" s="276"/>
      <c r="N276" s="157"/>
      <c r="O276" s="302"/>
      <c r="P276" s="302"/>
    </row>
    <row r="277" spans="3:16" s="159" customFormat="1" x14ac:dyDescent="0.2">
      <c r="C277" s="655"/>
      <c r="D277" s="655"/>
      <c r="J277" s="274"/>
      <c r="M277" s="276"/>
      <c r="N277" s="157"/>
      <c r="O277" s="302"/>
      <c r="P277" s="302"/>
    </row>
  </sheetData>
  <mergeCells count="54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F9"/>
    <mergeCell ref="G9:I9"/>
    <mergeCell ref="C22:F22"/>
    <mergeCell ref="G22:I22"/>
    <mergeCell ref="C34:F34"/>
    <mergeCell ref="G34:I34"/>
    <mergeCell ref="C42:F42"/>
    <mergeCell ref="G42:I42"/>
    <mergeCell ref="C51:F51"/>
    <mergeCell ref="G51:I51"/>
    <mergeCell ref="C87:F87"/>
    <mergeCell ref="G87:I87"/>
    <mergeCell ref="B96:B97"/>
    <mergeCell ref="C62:F62"/>
    <mergeCell ref="G62:I62"/>
    <mergeCell ref="C71:F71"/>
    <mergeCell ref="G71:I71"/>
    <mergeCell ref="C78:F78"/>
    <mergeCell ref="G78:I78"/>
    <mergeCell ref="K97:K98"/>
    <mergeCell ref="F95:F96"/>
    <mergeCell ref="G95:G96"/>
    <mergeCell ref="I95:I96"/>
    <mergeCell ref="J95:J96"/>
    <mergeCell ref="K95:K96"/>
    <mergeCell ref="F97:F98"/>
    <mergeCell ref="G97:G98"/>
    <mergeCell ref="I97:I98"/>
    <mergeCell ref="J97:J98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58" fitToHeight="2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Q237"/>
  <sheetViews>
    <sheetView zoomScale="90" zoomScaleNormal="75" zoomScaleSheetLayoutView="90" zoomScalePageLayoutView="75" workbookViewId="0">
      <selection activeCell="A57" sqref="A57"/>
    </sheetView>
  </sheetViews>
  <sheetFormatPr defaultColWidth="9.140625" defaultRowHeight="12.75" x14ac:dyDescent="0.2"/>
  <cols>
    <col min="1" max="1" width="12.140625" style="157" bestFit="1" customWidth="1"/>
    <col min="2" max="2" width="52.42578125" style="157" bestFit="1" customWidth="1"/>
    <col min="3" max="4" width="5" style="440" customWidth="1"/>
    <col min="5" max="5" width="10.85546875" style="157" bestFit="1" customWidth="1"/>
    <col min="6" max="6" width="12.5703125" style="157" bestFit="1" customWidth="1"/>
    <col min="7" max="7" width="8" style="157" bestFit="1" customWidth="1"/>
    <col min="8" max="8" width="10.85546875" style="157" bestFit="1" customWidth="1"/>
    <col min="9" max="9" width="14.42578125" style="157" bestFit="1" customWidth="1"/>
    <col min="10" max="10" width="16.140625" style="276" bestFit="1" customWidth="1"/>
    <col min="11" max="11" width="14.42578125" style="157" bestFit="1" customWidth="1"/>
    <col min="12" max="12" width="17.85546875" style="159" bestFit="1" customWidth="1"/>
    <col min="13" max="13" width="14" style="276" bestFit="1" customWidth="1"/>
    <col min="14" max="14" width="24.85546875" style="157" bestFit="1" customWidth="1"/>
    <col min="15" max="15" width="22" style="302" bestFit="1" customWidth="1"/>
    <col min="16" max="16" width="22.140625" style="302" bestFit="1" customWidth="1"/>
    <col min="17" max="17" width="18.140625" style="157" bestFit="1" customWidth="1"/>
    <col min="18" max="16384" width="9.140625" style="157"/>
  </cols>
  <sheetData>
    <row r="1" spans="1:17" ht="18.75" thickBot="1" x14ac:dyDescent="0.3">
      <c r="A1" s="322"/>
      <c r="B1" s="323"/>
      <c r="C1" s="976">
        <f>'Estimate Summary'!C1:H1</f>
        <v>0</v>
      </c>
      <c r="D1" s="976"/>
      <c r="E1" s="976"/>
      <c r="F1" s="976"/>
      <c r="G1" s="976"/>
      <c r="H1" s="976"/>
      <c r="I1" s="976"/>
      <c r="J1" s="976"/>
      <c r="K1" s="977"/>
    </row>
    <row r="2" spans="1:17" ht="13.5" thickBot="1" x14ac:dyDescent="0.25">
      <c r="A2" s="324"/>
      <c r="B2" s="325"/>
      <c r="C2" s="514"/>
      <c r="D2" s="984"/>
      <c r="E2" s="984"/>
      <c r="F2" s="984"/>
      <c r="G2" s="514"/>
      <c r="H2" s="327"/>
      <c r="I2" s="328"/>
      <c r="J2" s="329"/>
      <c r="K2" s="330"/>
    </row>
    <row r="3" spans="1:17" ht="16.5" thickBot="1" x14ac:dyDescent="0.3">
      <c r="A3" s="973"/>
      <c r="B3" s="974"/>
      <c r="C3" s="514"/>
      <c r="D3" s="984"/>
      <c r="E3" s="984"/>
      <c r="F3" s="984"/>
      <c r="G3" s="515"/>
      <c r="H3" s="332"/>
      <c r="I3" s="333"/>
      <c r="J3" s="333"/>
      <c r="K3" s="334"/>
      <c r="L3" s="1002"/>
      <c r="M3" s="1003"/>
      <c r="N3" s="985"/>
      <c r="O3" s="985"/>
      <c r="P3" s="935"/>
    </row>
    <row r="4" spans="1:17" ht="18.75" thickBot="1" x14ac:dyDescent="0.25">
      <c r="A4" s="973"/>
      <c r="B4" s="974"/>
      <c r="C4" s="514"/>
      <c r="D4" s="984"/>
      <c r="E4" s="984"/>
      <c r="F4" s="984"/>
      <c r="G4" s="336"/>
      <c r="H4" s="336"/>
      <c r="I4" s="328"/>
      <c r="J4" s="329"/>
      <c r="K4" s="330"/>
      <c r="L4" s="1002"/>
      <c r="M4" s="1003"/>
      <c r="N4" s="985"/>
      <c r="O4" s="985"/>
      <c r="P4" s="935"/>
    </row>
    <row r="5" spans="1:17" ht="21" thickBot="1" x14ac:dyDescent="0.3">
      <c r="A5" s="337"/>
      <c r="B5" s="338"/>
      <c r="C5" s="516"/>
      <c r="D5" s="340"/>
      <c r="E5" s="341"/>
      <c r="F5" s="336"/>
      <c r="G5" s="983" t="s">
        <v>613</v>
      </c>
      <c r="H5" s="983"/>
      <c r="I5" s="983"/>
      <c r="J5" s="981" t="s">
        <v>73</v>
      </c>
      <c r="K5" s="982"/>
      <c r="L5" s="1002"/>
      <c r="M5" s="1003"/>
      <c r="N5" s="985"/>
      <c r="O5" s="985"/>
      <c r="P5" s="935"/>
    </row>
    <row r="6" spans="1:17" ht="21" thickBot="1" x14ac:dyDescent="0.25">
      <c r="A6" s="337"/>
      <c r="B6" s="338"/>
      <c r="C6" s="517"/>
      <c r="D6" s="343" t="str">
        <f>'Estimate Summary'!C11</f>
        <v>Area:</v>
      </c>
      <c r="E6" s="344">
        <f>'Estimate Summary'!D11</f>
        <v>65592</v>
      </c>
      <c r="F6" s="238" t="str">
        <f>'Estimate Summary'!E11</f>
        <v>Sq. Ft.</v>
      </c>
      <c r="G6" s="983"/>
      <c r="H6" s="983"/>
      <c r="I6" s="983"/>
      <c r="J6" s="345">
        <f>'1'!J6</f>
        <v>60</v>
      </c>
      <c r="K6" s="330" t="s">
        <v>74</v>
      </c>
      <c r="L6" s="1002"/>
      <c r="M6" s="1003"/>
      <c r="N6" s="985"/>
      <c r="O6" s="985"/>
      <c r="P6" s="935"/>
    </row>
    <row r="7" spans="1:17" x14ac:dyDescent="0.2">
      <c r="A7" s="978"/>
      <c r="B7" s="979"/>
      <c r="C7" s="979"/>
      <c r="D7" s="979"/>
      <c r="E7" s="979"/>
      <c r="F7" s="979"/>
      <c r="G7" s="979"/>
      <c r="H7" s="979"/>
      <c r="I7" s="979"/>
      <c r="J7" s="979"/>
      <c r="K7" s="980"/>
    </row>
    <row r="8" spans="1:17" x14ac:dyDescent="0.2">
      <c r="A8" s="346"/>
      <c r="B8" s="347"/>
      <c r="C8" s="972"/>
      <c r="D8" s="972"/>
      <c r="E8" s="972"/>
      <c r="F8" s="972"/>
      <c r="G8" s="971"/>
      <c r="H8" s="971"/>
      <c r="I8" s="971"/>
      <c r="J8" s="348"/>
      <c r="K8" s="349"/>
      <c r="L8" s="518"/>
      <c r="M8" s="519"/>
      <c r="N8" s="518"/>
      <c r="O8" s="520"/>
      <c r="P8" s="520"/>
    </row>
    <row r="9" spans="1:17" x14ac:dyDescent="0.2">
      <c r="A9" s="521"/>
      <c r="B9" s="203"/>
      <c r="C9" s="1000"/>
      <c r="D9" s="1000"/>
      <c r="E9" s="996"/>
      <c r="F9" s="996"/>
      <c r="G9" s="1001"/>
      <c r="H9" s="996"/>
      <c r="I9" s="996"/>
      <c r="J9" s="996"/>
      <c r="K9" s="999"/>
      <c r="L9" s="468"/>
      <c r="M9" s="467"/>
      <c r="N9" s="413"/>
      <c r="O9" s="414"/>
      <c r="P9" s="414"/>
    </row>
    <row r="10" spans="1:17" ht="13.5" thickBot="1" x14ac:dyDescent="0.25">
      <c r="A10" s="401"/>
      <c r="B10" s="522"/>
      <c r="C10" s="1000"/>
      <c r="D10" s="1000"/>
      <c r="E10" s="996"/>
      <c r="F10" s="996"/>
      <c r="G10" s="1001"/>
      <c r="H10" s="996"/>
      <c r="I10" s="996"/>
      <c r="J10" s="996"/>
      <c r="K10" s="999"/>
      <c r="L10" s="468"/>
      <c r="M10" s="467"/>
      <c r="N10" s="413"/>
      <c r="O10" s="414"/>
      <c r="P10" s="414"/>
    </row>
    <row r="11" spans="1:17" ht="14.25" thickTop="1" thickBot="1" x14ac:dyDescent="0.25">
      <c r="A11" s="353" t="s">
        <v>0</v>
      </c>
      <c r="B11" s="354" t="s">
        <v>1</v>
      </c>
      <c r="C11" s="939" t="s">
        <v>656</v>
      </c>
      <c r="D11" s="939"/>
      <c r="E11" s="939"/>
      <c r="F11" s="939"/>
      <c r="G11" s="939" t="s">
        <v>34</v>
      </c>
      <c r="H11" s="939"/>
      <c r="I11" s="939"/>
      <c r="J11" s="355"/>
      <c r="K11" s="523"/>
      <c r="L11" s="942" t="s">
        <v>783</v>
      </c>
      <c r="M11" s="944" t="s">
        <v>784</v>
      </c>
      <c r="N11" s="946" t="s">
        <v>785</v>
      </c>
      <c r="O11" s="948"/>
      <c r="P11" s="950"/>
      <c r="Q11" s="940"/>
    </row>
    <row r="12" spans="1:17" ht="15.75" x14ac:dyDescent="0.25">
      <c r="A12" s="525" t="s">
        <v>614</v>
      </c>
      <c r="B12" s="525" t="s">
        <v>615</v>
      </c>
      <c r="C12" s="359" t="s">
        <v>19</v>
      </c>
      <c r="D12" s="360" t="s">
        <v>33</v>
      </c>
      <c r="E12" s="361" t="s">
        <v>35</v>
      </c>
      <c r="F12" s="362" t="s">
        <v>30</v>
      </c>
      <c r="G12" s="526" t="s">
        <v>14</v>
      </c>
      <c r="H12" s="361" t="s">
        <v>35</v>
      </c>
      <c r="I12" s="362" t="s">
        <v>30</v>
      </c>
      <c r="J12" s="364" t="s">
        <v>659</v>
      </c>
      <c r="K12" s="527" t="s">
        <v>38</v>
      </c>
      <c r="L12" s="943"/>
      <c r="M12" s="945"/>
      <c r="N12" s="947"/>
      <c r="O12" s="949"/>
      <c r="P12" s="951"/>
      <c r="Q12" s="941"/>
    </row>
    <row r="13" spans="1:17" ht="15" x14ac:dyDescent="0.2">
      <c r="A13" s="196" t="s">
        <v>617</v>
      </c>
      <c r="B13" s="196" t="s">
        <v>616</v>
      </c>
      <c r="C13" s="371"/>
      <c r="D13" s="372" t="s">
        <v>21</v>
      </c>
      <c r="E13" s="253">
        <v>0</v>
      </c>
      <c r="F13" s="373">
        <f t="shared" ref="F13:F24" si="0">C13*E13</f>
        <v>0</v>
      </c>
      <c r="G13" s="529"/>
      <c r="H13" s="375">
        <v>0</v>
      </c>
      <c r="I13" s="373">
        <f t="shared" ref="I13:I24" si="1">G13*H13</f>
        <v>0</v>
      </c>
      <c r="J13" s="376"/>
      <c r="K13" s="530">
        <f t="shared" ref="K13:K24" si="2">F13+I13+J13</f>
        <v>0</v>
      </c>
      <c r="L13" s="378"/>
      <c r="M13" s="379"/>
      <c r="N13" s="380"/>
      <c r="O13" s="381"/>
      <c r="P13" s="382"/>
      <c r="Q13" s="383"/>
    </row>
    <row r="14" spans="1:17" ht="15" x14ac:dyDescent="0.2">
      <c r="A14" s="196" t="s">
        <v>618</v>
      </c>
      <c r="B14" s="196" t="s">
        <v>619</v>
      </c>
      <c r="C14" s="371"/>
      <c r="D14" s="372" t="s">
        <v>21</v>
      </c>
      <c r="E14" s="253">
        <v>0</v>
      </c>
      <c r="F14" s="373">
        <f t="shared" si="0"/>
        <v>0</v>
      </c>
      <c r="G14" s="529"/>
      <c r="H14" s="375">
        <v>0</v>
      </c>
      <c r="I14" s="373">
        <f t="shared" si="1"/>
        <v>0</v>
      </c>
      <c r="J14" s="376"/>
      <c r="K14" s="530">
        <f t="shared" si="2"/>
        <v>0</v>
      </c>
      <c r="L14" s="378"/>
      <c r="M14" s="379"/>
      <c r="N14" s="380"/>
      <c r="O14" s="381"/>
      <c r="P14" s="382"/>
      <c r="Q14" s="383"/>
    </row>
    <row r="15" spans="1:17" x14ac:dyDescent="0.2">
      <c r="A15" s="370"/>
      <c r="B15" s="5"/>
      <c r="C15" s="371"/>
      <c r="D15" s="372" t="s">
        <v>21</v>
      </c>
      <c r="E15" s="253">
        <v>0</v>
      </c>
      <c r="F15" s="373">
        <f t="shared" si="0"/>
        <v>0</v>
      </c>
      <c r="G15" s="529"/>
      <c r="H15" s="375">
        <v>0</v>
      </c>
      <c r="I15" s="373">
        <f t="shared" si="1"/>
        <v>0</v>
      </c>
      <c r="J15" s="376"/>
      <c r="K15" s="530">
        <f t="shared" si="2"/>
        <v>0</v>
      </c>
      <c r="L15" s="378"/>
      <c r="M15" s="379"/>
      <c r="N15" s="380"/>
      <c r="O15" s="381"/>
      <c r="P15" s="382"/>
      <c r="Q15" s="383"/>
    </row>
    <row r="16" spans="1:17" x14ac:dyDescent="0.2">
      <c r="A16" s="370"/>
      <c r="B16" s="5"/>
      <c r="C16" s="371"/>
      <c r="D16" s="372" t="s">
        <v>21</v>
      </c>
      <c r="E16" s="253">
        <v>0</v>
      </c>
      <c r="F16" s="373">
        <f t="shared" si="0"/>
        <v>0</v>
      </c>
      <c r="G16" s="529"/>
      <c r="H16" s="375">
        <v>0</v>
      </c>
      <c r="I16" s="373">
        <f t="shared" si="1"/>
        <v>0</v>
      </c>
      <c r="J16" s="376"/>
      <c r="K16" s="530">
        <f t="shared" si="2"/>
        <v>0</v>
      </c>
      <c r="L16" s="378"/>
      <c r="M16" s="379"/>
      <c r="N16" s="380"/>
      <c r="O16" s="381"/>
      <c r="P16" s="382"/>
      <c r="Q16" s="383"/>
    </row>
    <row r="17" spans="1:17" x14ac:dyDescent="0.2">
      <c r="A17" s="370"/>
      <c r="B17" s="6"/>
      <c r="C17" s="371"/>
      <c r="D17" s="372" t="s">
        <v>21</v>
      </c>
      <c r="E17" s="253">
        <v>0</v>
      </c>
      <c r="F17" s="373">
        <f t="shared" si="0"/>
        <v>0</v>
      </c>
      <c r="G17" s="529"/>
      <c r="H17" s="375">
        <v>0</v>
      </c>
      <c r="I17" s="373">
        <f t="shared" si="1"/>
        <v>0</v>
      </c>
      <c r="J17" s="376"/>
      <c r="K17" s="530">
        <f t="shared" si="2"/>
        <v>0</v>
      </c>
      <c r="L17" s="378"/>
      <c r="M17" s="379"/>
      <c r="N17" s="380"/>
      <c r="O17" s="381"/>
      <c r="P17" s="382"/>
      <c r="Q17" s="383"/>
    </row>
    <row r="18" spans="1:17" x14ac:dyDescent="0.2">
      <c r="A18" s="384"/>
      <c r="B18" s="5"/>
      <c r="C18" s="371"/>
      <c r="D18" s="372" t="s">
        <v>21</v>
      </c>
      <c r="E18" s="253">
        <v>0</v>
      </c>
      <c r="F18" s="373">
        <f t="shared" si="0"/>
        <v>0</v>
      </c>
      <c r="G18" s="529"/>
      <c r="H18" s="375">
        <v>0</v>
      </c>
      <c r="I18" s="373">
        <f t="shared" si="1"/>
        <v>0</v>
      </c>
      <c r="J18" s="376"/>
      <c r="K18" s="530">
        <f t="shared" si="2"/>
        <v>0</v>
      </c>
      <c r="L18" s="378"/>
      <c r="M18" s="379"/>
      <c r="N18" s="380"/>
      <c r="O18" s="381"/>
      <c r="P18" s="382"/>
      <c r="Q18" s="383"/>
    </row>
    <row r="19" spans="1:17" x14ac:dyDescent="0.2">
      <c r="A19" s="384"/>
      <c r="B19" s="5"/>
      <c r="C19" s="371"/>
      <c r="D19" s="372" t="s">
        <v>21</v>
      </c>
      <c r="E19" s="253">
        <v>0</v>
      </c>
      <c r="F19" s="373">
        <f t="shared" si="0"/>
        <v>0</v>
      </c>
      <c r="G19" s="529"/>
      <c r="H19" s="375">
        <v>0</v>
      </c>
      <c r="I19" s="373">
        <f t="shared" si="1"/>
        <v>0</v>
      </c>
      <c r="J19" s="376"/>
      <c r="K19" s="530">
        <f t="shared" si="2"/>
        <v>0</v>
      </c>
      <c r="L19" s="157"/>
      <c r="M19" s="469"/>
      <c r="O19" s="381"/>
      <c r="P19" s="382"/>
      <c r="Q19" s="383"/>
    </row>
    <row r="20" spans="1:17" x14ac:dyDescent="0.2">
      <c r="A20" s="384"/>
      <c r="B20" s="5"/>
      <c r="C20" s="371"/>
      <c r="D20" s="372" t="s">
        <v>21</v>
      </c>
      <c r="E20" s="253">
        <v>0</v>
      </c>
      <c r="F20" s="373">
        <f t="shared" si="0"/>
        <v>0</v>
      </c>
      <c r="G20" s="529"/>
      <c r="H20" s="375">
        <v>0</v>
      </c>
      <c r="I20" s="373">
        <f t="shared" si="1"/>
        <v>0</v>
      </c>
      <c r="J20" s="376"/>
      <c r="K20" s="530">
        <f t="shared" si="2"/>
        <v>0</v>
      </c>
      <c r="L20" s="157"/>
      <c r="M20" s="469"/>
      <c r="O20" s="381"/>
      <c r="P20" s="382"/>
      <c r="Q20" s="383"/>
    </row>
    <row r="21" spans="1:17" x14ac:dyDescent="0.2">
      <c r="A21" s="384"/>
      <c r="B21" s="5"/>
      <c r="C21" s="371"/>
      <c r="D21" s="372" t="s">
        <v>21</v>
      </c>
      <c r="E21" s="253">
        <v>0</v>
      </c>
      <c r="F21" s="373">
        <f t="shared" si="0"/>
        <v>0</v>
      </c>
      <c r="G21" s="529"/>
      <c r="H21" s="375">
        <v>0</v>
      </c>
      <c r="I21" s="373">
        <f t="shared" si="1"/>
        <v>0</v>
      </c>
      <c r="J21" s="376"/>
      <c r="K21" s="530">
        <f t="shared" si="2"/>
        <v>0</v>
      </c>
      <c r="L21" s="536"/>
      <c r="M21" s="574"/>
      <c r="N21" s="537"/>
      <c r="O21" s="381"/>
      <c r="P21" s="382"/>
      <c r="Q21" s="383"/>
    </row>
    <row r="22" spans="1:17" x14ac:dyDescent="0.2">
      <c r="A22" s="384"/>
      <c r="B22" s="5"/>
      <c r="C22" s="371"/>
      <c r="D22" s="372" t="s">
        <v>21</v>
      </c>
      <c r="E22" s="253">
        <v>0</v>
      </c>
      <c r="F22" s="373">
        <f t="shared" si="0"/>
        <v>0</v>
      </c>
      <c r="G22" s="529"/>
      <c r="H22" s="375">
        <v>0</v>
      </c>
      <c r="I22" s="373">
        <f t="shared" si="1"/>
        <v>0</v>
      </c>
      <c r="J22" s="376"/>
      <c r="K22" s="530">
        <f t="shared" si="2"/>
        <v>0</v>
      </c>
      <c r="L22" s="538"/>
      <c r="M22" s="464"/>
      <c r="N22" s="539"/>
      <c r="O22" s="381"/>
      <c r="P22" s="382"/>
      <c r="Q22" s="383"/>
    </row>
    <row r="23" spans="1:17" x14ac:dyDescent="0.2">
      <c r="A23" s="384"/>
      <c r="B23" s="5"/>
      <c r="C23" s="371"/>
      <c r="D23" s="372" t="s">
        <v>21</v>
      </c>
      <c r="E23" s="253">
        <v>0</v>
      </c>
      <c r="F23" s="373">
        <f t="shared" si="0"/>
        <v>0</v>
      </c>
      <c r="G23" s="529"/>
      <c r="H23" s="375">
        <v>0</v>
      </c>
      <c r="I23" s="373">
        <f t="shared" si="1"/>
        <v>0</v>
      </c>
      <c r="J23" s="376"/>
      <c r="K23" s="530">
        <f t="shared" si="2"/>
        <v>0</v>
      </c>
      <c r="L23" s="157"/>
      <c r="M23" s="469"/>
      <c r="O23" s="381"/>
      <c r="P23" s="382"/>
      <c r="Q23" s="383"/>
    </row>
    <row r="24" spans="1:17" x14ac:dyDescent="0.2">
      <c r="A24" s="384"/>
      <c r="B24" s="5"/>
      <c r="C24" s="371"/>
      <c r="D24" s="372" t="s">
        <v>21</v>
      </c>
      <c r="E24" s="253">
        <v>0</v>
      </c>
      <c r="F24" s="373">
        <f t="shared" si="0"/>
        <v>0</v>
      </c>
      <c r="G24" s="529"/>
      <c r="H24" s="375">
        <v>0</v>
      </c>
      <c r="I24" s="373">
        <f t="shared" si="1"/>
        <v>0</v>
      </c>
      <c r="J24" s="376"/>
      <c r="K24" s="530">
        <f t="shared" si="2"/>
        <v>0</v>
      </c>
      <c r="L24" s="157"/>
      <c r="M24" s="469"/>
      <c r="O24" s="381"/>
      <c r="P24" s="382"/>
      <c r="Q24" s="383"/>
    </row>
    <row r="25" spans="1:17" ht="13.5" thickBot="1" x14ac:dyDescent="0.25">
      <c r="A25" s="387"/>
      <c r="B25" s="7"/>
      <c r="C25" s="388"/>
      <c r="D25" s="372"/>
      <c r="E25" s="253"/>
      <c r="F25" s="373"/>
      <c r="G25" s="529"/>
      <c r="H25" s="375"/>
      <c r="I25" s="373"/>
      <c r="J25" s="376"/>
      <c r="K25" s="530"/>
      <c r="O25" s="381"/>
      <c r="P25" s="382"/>
      <c r="Q25" s="383"/>
    </row>
    <row r="26" spans="1:17" ht="13.5" thickTop="1" x14ac:dyDescent="0.2">
      <c r="A26" s="387"/>
      <c r="B26" s="7"/>
      <c r="C26" s="388"/>
      <c r="D26" s="372"/>
      <c r="E26" s="253"/>
      <c r="F26" s="373"/>
      <c r="G26" s="529"/>
      <c r="H26" s="375"/>
      <c r="I26" s="373"/>
      <c r="J26" s="389" t="s">
        <v>30</v>
      </c>
      <c r="K26" s="532">
        <f>SUM(K13:K25)</f>
        <v>0</v>
      </c>
      <c r="O26" s="381"/>
      <c r="P26" s="382"/>
      <c r="Q26" s="383"/>
    </row>
    <row r="27" spans="1:17" ht="13.5" thickBot="1" x14ac:dyDescent="0.25">
      <c r="A27" s="353" t="s">
        <v>0</v>
      </c>
      <c r="B27" s="354" t="s">
        <v>1</v>
      </c>
      <c r="C27" s="939" t="s">
        <v>656</v>
      </c>
      <c r="D27" s="939"/>
      <c r="E27" s="939"/>
      <c r="F27" s="939"/>
      <c r="G27" s="939" t="s">
        <v>34</v>
      </c>
      <c r="H27" s="939"/>
      <c r="I27" s="939"/>
      <c r="J27" s="355"/>
      <c r="K27" s="523"/>
      <c r="L27" s="391"/>
      <c r="M27" s="392"/>
      <c r="N27" s="393"/>
      <c r="O27" s="381"/>
      <c r="P27" s="382"/>
      <c r="Q27" s="383"/>
    </row>
    <row r="28" spans="1:17" ht="15.75" x14ac:dyDescent="0.25">
      <c r="A28" s="525" t="s">
        <v>620</v>
      </c>
      <c r="B28" s="525" t="s">
        <v>621</v>
      </c>
      <c r="C28" s="396" t="s">
        <v>19</v>
      </c>
      <c r="D28" s="397" t="s">
        <v>33</v>
      </c>
      <c r="E28" s="398" t="s">
        <v>35</v>
      </c>
      <c r="F28" s="399" t="s">
        <v>30</v>
      </c>
      <c r="G28" s="533" t="s">
        <v>14</v>
      </c>
      <c r="H28" s="398" t="s">
        <v>35</v>
      </c>
      <c r="I28" s="399" t="s">
        <v>30</v>
      </c>
      <c r="J28" s="364" t="s">
        <v>659</v>
      </c>
      <c r="K28" s="534" t="s">
        <v>38</v>
      </c>
      <c r="L28" s="402"/>
      <c r="M28" s="403"/>
      <c r="N28" s="404"/>
      <c r="O28" s="381"/>
      <c r="P28" s="382"/>
      <c r="Q28" s="383"/>
    </row>
    <row r="29" spans="1:17" s="159" customFormat="1" ht="15" x14ac:dyDescent="0.2">
      <c r="A29" s="196" t="s">
        <v>623</v>
      </c>
      <c r="B29" s="196" t="s">
        <v>622</v>
      </c>
      <c r="C29" s="371"/>
      <c r="D29" s="372" t="s">
        <v>21</v>
      </c>
      <c r="E29" s="253">
        <v>0</v>
      </c>
      <c r="F29" s="373">
        <f t="shared" ref="F29:F35" si="3">C29*E29</f>
        <v>0</v>
      </c>
      <c r="G29" s="529"/>
      <c r="H29" s="375">
        <v>0</v>
      </c>
      <c r="I29" s="373">
        <f t="shared" ref="I29:I35" si="4">G29*H29</f>
        <v>0</v>
      </c>
      <c r="J29" s="376"/>
      <c r="K29" s="530">
        <f t="shared" ref="K29:K35" si="5">F29+I29+J29</f>
        <v>0</v>
      </c>
      <c r="M29" s="274"/>
      <c r="O29" s="381"/>
      <c r="P29" s="382"/>
      <c r="Q29" s="383"/>
    </row>
    <row r="30" spans="1:17" s="159" customFormat="1" ht="15" x14ac:dyDescent="0.2">
      <c r="A30" s="196" t="s">
        <v>624</v>
      </c>
      <c r="B30" s="196" t="s">
        <v>625</v>
      </c>
      <c r="C30" s="371"/>
      <c r="D30" s="372" t="s">
        <v>21</v>
      </c>
      <c r="E30" s="253">
        <v>0</v>
      </c>
      <c r="F30" s="373">
        <f t="shared" si="3"/>
        <v>0</v>
      </c>
      <c r="G30" s="529"/>
      <c r="H30" s="375">
        <v>0</v>
      </c>
      <c r="I30" s="373">
        <f t="shared" si="4"/>
        <v>0</v>
      </c>
      <c r="J30" s="376"/>
      <c r="K30" s="530">
        <f t="shared" si="5"/>
        <v>0</v>
      </c>
      <c r="M30" s="274"/>
      <c r="O30" s="381"/>
      <c r="P30" s="382"/>
      <c r="Q30" s="383"/>
    </row>
    <row r="31" spans="1:17" s="159" customFormat="1" x14ac:dyDescent="0.2">
      <c r="A31" s="370"/>
      <c r="B31" s="5"/>
      <c r="C31" s="371"/>
      <c r="D31" s="372" t="s">
        <v>21</v>
      </c>
      <c r="E31" s="253">
        <v>0</v>
      </c>
      <c r="F31" s="373">
        <f t="shared" si="3"/>
        <v>0</v>
      </c>
      <c r="G31" s="529"/>
      <c r="H31" s="375">
        <v>0</v>
      </c>
      <c r="I31" s="373">
        <f t="shared" si="4"/>
        <v>0</v>
      </c>
      <c r="J31" s="376"/>
      <c r="K31" s="530">
        <f t="shared" si="5"/>
        <v>0</v>
      </c>
      <c r="M31" s="274"/>
      <c r="O31" s="381"/>
      <c r="P31" s="382"/>
      <c r="Q31" s="383"/>
    </row>
    <row r="32" spans="1:17" s="159" customFormat="1" x14ac:dyDescent="0.2">
      <c r="A32" s="370"/>
      <c r="B32" s="5"/>
      <c r="C32" s="371"/>
      <c r="D32" s="372" t="s">
        <v>21</v>
      </c>
      <c r="E32" s="253">
        <v>0</v>
      </c>
      <c r="F32" s="373">
        <f t="shared" si="3"/>
        <v>0</v>
      </c>
      <c r="G32" s="529"/>
      <c r="H32" s="375">
        <v>0</v>
      </c>
      <c r="I32" s="373">
        <f t="shared" si="4"/>
        <v>0</v>
      </c>
      <c r="J32" s="376"/>
      <c r="K32" s="530">
        <f t="shared" si="5"/>
        <v>0</v>
      </c>
      <c r="M32" s="276"/>
      <c r="N32" s="157"/>
      <c r="O32" s="381"/>
      <c r="P32" s="382"/>
      <c r="Q32" s="383"/>
    </row>
    <row r="33" spans="1:17" s="159" customFormat="1" x14ac:dyDescent="0.2">
      <c r="A33" s="370"/>
      <c r="B33" s="5"/>
      <c r="C33" s="371"/>
      <c r="D33" s="372" t="s">
        <v>21</v>
      </c>
      <c r="E33" s="253">
        <v>0</v>
      </c>
      <c r="F33" s="373">
        <f t="shared" si="3"/>
        <v>0</v>
      </c>
      <c r="G33" s="529"/>
      <c r="H33" s="375">
        <v>0</v>
      </c>
      <c r="I33" s="373">
        <f t="shared" si="4"/>
        <v>0</v>
      </c>
      <c r="J33" s="376"/>
      <c r="K33" s="530">
        <f t="shared" si="5"/>
        <v>0</v>
      </c>
      <c r="L33" s="378"/>
      <c r="M33" s="379"/>
      <c r="N33" s="380"/>
      <c r="O33" s="381"/>
      <c r="P33" s="382"/>
      <c r="Q33" s="383"/>
    </row>
    <row r="34" spans="1:17" s="159" customFormat="1" x14ac:dyDescent="0.2">
      <c r="A34" s="370"/>
      <c r="B34" s="5"/>
      <c r="C34" s="371"/>
      <c r="D34" s="372" t="s">
        <v>21</v>
      </c>
      <c r="E34" s="253">
        <v>0</v>
      </c>
      <c r="F34" s="373">
        <f t="shared" si="3"/>
        <v>0</v>
      </c>
      <c r="G34" s="529"/>
      <c r="H34" s="375">
        <v>0</v>
      </c>
      <c r="I34" s="373">
        <f t="shared" si="4"/>
        <v>0</v>
      </c>
      <c r="J34" s="376"/>
      <c r="K34" s="530">
        <f t="shared" si="5"/>
        <v>0</v>
      </c>
      <c r="L34" s="378"/>
      <c r="M34" s="379"/>
      <c r="N34" s="380"/>
      <c r="O34" s="381"/>
      <c r="P34" s="382"/>
      <c r="Q34" s="383"/>
    </row>
    <row r="35" spans="1:17" s="159" customFormat="1" x14ac:dyDescent="0.2">
      <c r="A35" s="370"/>
      <c r="B35" s="5"/>
      <c r="C35" s="371"/>
      <c r="D35" s="372" t="s">
        <v>21</v>
      </c>
      <c r="E35" s="253">
        <v>0</v>
      </c>
      <c r="F35" s="373">
        <f t="shared" si="3"/>
        <v>0</v>
      </c>
      <c r="G35" s="529"/>
      <c r="H35" s="375">
        <v>0</v>
      </c>
      <c r="I35" s="373">
        <f t="shared" si="4"/>
        <v>0</v>
      </c>
      <c r="J35" s="376"/>
      <c r="K35" s="530">
        <f t="shared" si="5"/>
        <v>0</v>
      </c>
      <c r="L35" s="536"/>
      <c r="M35" s="574"/>
      <c r="N35" s="537"/>
      <c r="O35" s="381"/>
      <c r="P35" s="382"/>
      <c r="Q35" s="383"/>
    </row>
    <row r="36" spans="1:17" s="159" customFormat="1" ht="13.5" thickBot="1" x14ac:dyDescent="0.25">
      <c r="A36" s="370"/>
      <c r="B36" s="5"/>
      <c r="C36" s="388"/>
      <c r="D36" s="372"/>
      <c r="E36" s="253"/>
      <c r="F36" s="373"/>
      <c r="G36" s="529"/>
      <c r="H36" s="375"/>
      <c r="I36" s="373"/>
      <c r="J36" s="376"/>
      <c r="K36" s="535"/>
      <c r="M36" s="274"/>
      <c r="O36" s="381"/>
      <c r="P36" s="382"/>
      <c r="Q36" s="383"/>
    </row>
    <row r="37" spans="1:17" s="159" customFormat="1" ht="13.5" thickTop="1" x14ac:dyDescent="0.2">
      <c r="A37" s="387"/>
      <c r="B37" s="5"/>
      <c r="C37" s="388"/>
      <c r="D37" s="372"/>
      <c r="E37" s="253"/>
      <c r="F37" s="373"/>
      <c r="G37" s="529"/>
      <c r="H37" s="375"/>
      <c r="I37" s="373"/>
      <c r="J37" s="389" t="s">
        <v>30</v>
      </c>
      <c r="K37" s="532">
        <f>SUM(K29:K36)</f>
        <v>0</v>
      </c>
      <c r="M37" s="274"/>
      <c r="O37" s="381"/>
      <c r="P37" s="382"/>
      <c r="Q37" s="383"/>
    </row>
    <row r="38" spans="1:17" s="159" customFormat="1" ht="13.5" thickBot="1" x14ac:dyDescent="0.25">
      <c r="A38" s="353" t="s">
        <v>0</v>
      </c>
      <c r="B38" s="354" t="s">
        <v>1</v>
      </c>
      <c r="C38" s="939" t="s">
        <v>656</v>
      </c>
      <c r="D38" s="939"/>
      <c r="E38" s="939"/>
      <c r="F38" s="939"/>
      <c r="G38" s="939" t="s">
        <v>34</v>
      </c>
      <c r="H38" s="939"/>
      <c r="I38" s="939"/>
      <c r="J38" s="355"/>
      <c r="K38" s="523"/>
      <c r="L38" s="391"/>
      <c r="M38" s="392"/>
      <c r="N38" s="393"/>
      <c r="O38" s="381"/>
      <c r="P38" s="382"/>
      <c r="Q38" s="383"/>
    </row>
    <row r="39" spans="1:17" s="159" customFormat="1" ht="15.75" x14ac:dyDescent="0.25">
      <c r="A39" s="525" t="s">
        <v>626</v>
      </c>
      <c r="B39" s="525" t="s">
        <v>627</v>
      </c>
      <c r="C39" s="396" t="s">
        <v>19</v>
      </c>
      <c r="D39" s="397" t="s">
        <v>33</v>
      </c>
      <c r="E39" s="398" t="s">
        <v>35</v>
      </c>
      <c r="F39" s="399" t="s">
        <v>30</v>
      </c>
      <c r="G39" s="533" t="s">
        <v>14</v>
      </c>
      <c r="H39" s="398" t="s">
        <v>35</v>
      </c>
      <c r="I39" s="399" t="s">
        <v>30</v>
      </c>
      <c r="J39" s="364" t="s">
        <v>659</v>
      </c>
      <c r="K39" s="534" t="s">
        <v>38</v>
      </c>
      <c r="L39" s="402"/>
      <c r="M39" s="403"/>
      <c r="N39" s="404"/>
      <c r="O39" s="410"/>
      <c r="P39" s="411"/>
      <c r="Q39" s="383"/>
    </row>
    <row r="40" spans="1:17" s="159" customFormat="1" ht="15" x14ac:dyDescent="0.2">
      <c r="A40" s="196" t="s">
        <v>628</v>
      </c>
      <c r="B40" s="196" t="s">
        <v>629</v>
      </c>
      <c r="C40" s="371"/>
      <c r="D40" s="372" t="s">
        <v>21</v>
      </c>
      <c r="E40" s="253">
        <v>0</v>
      </c>
      <c r="F40" s="373">
        <f>C40*E40</f>
        <v>0</v>
      </c>
      <c r="G40" s="529"/>
      <c r="H40" s="375">
        <v>0</v>
      </c>
      <c r="I40" s="373">
        <f>G40*H40</f>
        <v>0</v>
      </c>
      <c r="J40" s="376"/>
      <c r="K40" s="530">
        <f>F40+I40+J40</f>
        <v>0</v>
      </c>
      <c r="M40" s="274"/>
      <c r="O40" s="410"/>
      <c r="P40" s="411"/>
      <c r="Q40" s="383"/>
    </row>
    <row r="41" spans="1:17" s="159" customFormat="1" x14ac:dyDescent="0.2">
      <c r="A41" s="256" t="s">
        <v>631</v>
      </c>
      <c r="B41" s="256" t="s">
        <v>630</v>
      </c>
      <c r="C41" s="371"/>
      <c r="D41" s="372" t="s">
        <v>21</v>
      </c>
      <c r="E41" s="253">
        <v>0</v>
      </c>
      <c r="F41" s="373">
        <f>C41*E41</f>
        <v>0</v>
      </c>
      <c r="G41" s="529"/>
      <c r="H41" s="375">
        <v>0</v>
      </c>
      <c r="I41" s="373">
        <f>G41*H41</f>
        <v>0</v>
      </c>
      <c r="J41" s="376"/>
      <c r="K41" s="530">
        <f>F41+I41+J41</f>
        <v>0</v>
      </c>
      <c r="L41" s="538"/>
      <c r="M41" s="666"/>
      <c r="N41" s="665"/>
      <c r="O41" s="410"/>
      <c r="P41" s="411"/>
      <c r="Q41" s="383"/>
    </row>
    <row r="42" spans="1:17" s="159" customFormat="1" ht="15" x14ac:dyDescent="0.2">
      <c r="A42" s="196" t="s">
        <v>632</v>
      </c>
      <c r="B42" s="196" t="s">
        <v>633</v>
      </c>
      <c r="C42" s="371"/>
      <c r="D42" s="372" t="s">
        <v>21</v>
      </c>
      <c r="E42" s="253">
        <v>0</v>
      </c>
      <c r="F42" s="373">
        <f>C42*E42</f>
        <v>0</v>
      </c>
      <c r="G42" s="529"/>
      <c r="H42" s="375">
        <v>0</v>
      </c>
      <c r="I42" s="373">
        <f>G42*H42</f>
        <v>0</v>
      </c>
      <c r="J42" s="376"/>
      <c r="K42" s="530">
        <f>F42+I42+J42</f>
        <v>0</v>
      </c>
      <c r="L42" s="378"/>
      <c r="M42" s="379"/>
      <c r="N42" s="380"/>
      <c r="O42" s="410"/>
      <c r="P42" s="411"/>
      <c r="Q42" s="383"/>
    </row>
    <row r="43" spans="1:17" s="159" customFormat="1" ht="15" x14ac:dyDescent="0.2">
      <c r="A43" s="196" t="s">
        <v>634</v>
      </c>
      <c r="B43" s="196" t="s">
        <v>635</v>
      </c>
      <c r="C43" s="371"/>
      <c r="D43" s="372" t="s">
        <v>21</v>
      </c>
      <c r="E43" s="253">
        <v>0</v>
      </c>
      <c r="F43" s="373">
        <f>C43*E43</f>
        <v>0</v>
      </c>
      <c r="G43" s="529"/>
      <c r="H43" s="375">
        <v>0</v>
      </c>
      <c r="I43" s="373">
        <f>G43*H43</f>
        <v>0</v>
      </c>
      <c r="J43" s="376"/>
      <c r="K43" s="530">
        <f>F43+I43+J43</f>
        <v>0</v>
      </c>
      <c r="M43" s="274"/>
      <c r="O43" s="410"/>
      <c r="P43" s="411"/>
      <c r="Q43" s="383"/>
    </row>
    <row r="44" spans="1:17" s="159" customFormat="1" ht="13.5" thickBot="1" x14ac:dyDescent="0.25">
      <c r="A44" s="387"/>
      <c r="B44" s="412"/>
      <c r="C44" s="388"/>
      <c r="D44" s="372"/>
      <c r="E44" s="253"/>
      <c r="F44" s="373"/>
      <c r="G44" s="529"/>
      <c r="H44" s="375"/>
      <c r="I44" s="373"/>
      <c r="J44" s="376"/>
      <c r="K44" s="535"/>
      <c r="M44" s="274"/>
      <c r="O44" s="410"/>
      <c r="P44" s="411"/>
      <c r="Q44" s="383"/>
    </row>
    <row r="45" spans="1:17" s="159" customFormat="1" ht="13.5" thickTop="1" x14ac:dyDescent="0.2">
      <c r="A45" s="387"/>
      <c r="B45" s="412"/>
      <c r="C45" s="388"/>
      <c r="D45" s="372"/>
      <c r="E45" s="253"/>
      <c r="F45" s="373"/>
      <c r="G45" s="529"/>
      <c r="H45" s="375"/>
      <c r="I45" s="373"/>
      <c r="J45" s="389" t="s">
        <v>30</v>
      </c>
      <c r="K45" s="532">
        <f>SUM(K40:K44)</f>
        <v>0</v>
      </c>
      <c r="L45" s="378"/>
      <c r="M45" s="379"/>
      <c r="N45" s="380"/>
      <c r="O45" s="381"/>
      <c r="P45" s="382"/>
      <c r="Q45" s="383"/>
    </row>
    <row r="46" spans="1:17" s="159" customFormat="1" ht="13.5" thickBot="1" x14ac:dyDescent="0.25">
      <c r="A46" s="353" t="s">
        <v>0</v>
      </c>
      <c r="B46" s="354" t="s">
        <v>1</v>
      </c>
      <c r="C46" s="939" t="s">
        <v>656</v>
      </c>
      <c r="D46" s="939"/>
      <c r="E46" s="939"/>
      <c r="F46" s="939"/>
      <c r="G46" s="939" t="s">
        <v>34</v>
      </c>
      <c r="H46" s="939"/>
      <c r="I46" s="939"/>
      <c r="J46" s="355"/>
      <c r="K46" s="523"/>
      <c r="L46" s="391"/>
      <c r="M46" s="392"/>
      <c r="N46" s="393"/>
      <c r="O46" s="381"/>
      <c r="P46" s="382"/>
      <c r="Q46" s="383"/>
    </row>
    <row r="47" spans="1:17" s="159" customFormat="1" ht="15.75" x14ac:dyDescent="0.25">
      <c r="A47" s="525" t="s">
        <v>636</v>
      </c>
      <c r="B47" s="525" t="s">
        <v>637</v>
      </c>
      <c r="C47" s="396" t="s">
        <v>19</v>
      </c>
      <c r="D47" s="397" t="s">
        <v>33</v>
      </c>
      <c r="E47" s="398" t="s">
        <v>35</v>
      </c>
      <c r="F47" s="399" t="s">
        <v>30</v>
      </c>
      <c r="G47" s="533" t="s">
        <v>14</v>
      </c>
      <c r="H47" s="398" t="s">
        <v>35</v>
      </c>
      <c r="I47" s="399" t="s">
        <v>30</v>
      </c>
      <c r="J47" s="364" t="s">
        <v>659</v>
      </c>
      <c r="K47" s="534" t="s">
        <v>38</v>
      </c>
      <c r="L47" s="402"/>
      <c r="M47" s="408"/>
      <c r="N47" s="409"/>
      <c r="O47" s="381"/>
      <c r="P47" s="411"/>
      <c r="Q47" s="383"/>
    </row>
    <row r="48" spans="1:17" s="159" customFormat="1" ht="15" x14ac:dyDescent="0.2">
      <c r="A48" s="196" t="s">
        <v>638</v>
      </c>
      <c r="B48" s="196" t="s">
        <v>639</v>
      </c>
      <c r="C48" s="371"/>
      <c r="D48" s="372" t="s">
        <v>21</v>
      </c>
      <c r="E48" s="253">
        <v>0</v>
      </c>
      <c r="F48" s="373">
        <f>C48*E48</f>
        <v>0</v>
      </c>
      <c r="G48" s="529"/>
      <c r="H48" s="375">
        <v>0</v>
      </c>
      <c r="I48" s="373">
        <f>G48*H48</f>
        <v>0</v>
      </c>
      <c r="J48" s="376"/>
      <c r="K48" s="530">
        <f>F48+I48+J48</f>
        <v>0</v>
      </c>
      <c r="L48" s="378"/>
      <c r="M48" s="255"/>
      <c r="N48" s="421"/>
      <c r="O48" s="381"/>
      <c r="P48" s="382"/>
      <c r="Q48" s="383"/>
    </row>
    <row r="49" spans="1:17" s="159" customFormat="1" x14ac:dyDescent="0.2">
      <c r="A49" s="256" t="s">
        <v>640</v>
      </c>
      <c r="B49" s="256" t="s">
        <v>641</v>
      </c>
      <c r="C49" s="371"/>
      <c r="D49" s="372" t="s">
        <v>21</v>
      </c>
      <c r="E49" s="253">
        <v>0</v>
      </c>
      <c r="F49" s="373">
        <f>C49*E49</f>
        <v>0</v>
      </c>
      <c r="G49" s="529"/>
      <c r="H49" s="375">
        <v>0</v>
      </c>
      <c r="I49" s="373">
        <f>G49*H49</f>
        <v>0</v>
      </c>
      <c r="J49" s="376"/>
      <c r="K49" s="530">
        <f>F49+I49+J49</f>
        <v>0</v>
      </c>
      <c r="L49" s="536"/>
      <c r="M49" s="574"/>
      <c r="N49" s="537"/>
      <c r="O49" s="381"/>
      <c r="P49" s="382"/>
      <c r="Q49" s="383"/>
    </row>
    <row r="50" spans="1:17" s="159" customFormat="1" x14ac:dyDescent="0.2">
      <c r="A50" s="370"/>
      <c r="B50" s="5"/>
      <c r="C50" s="371"/>
      <c r="D50" s="372" t="s">
        <v>21</v>
      </c>
      <c r="E50" s="253">
        <v>0</v>
      </c>
      <c r="F50" s="373">
        <f>C50*E50</f>
        <v>0</v>
      </c>
      <c r="G50" s="529"/>
      <c r="H50" s="375">
        <v>0</v>
      </c>
      <c r="I50" s="373">
        <f>G50*H50</f>
        <v>0</v>
      </c>
      <c r="J50" s="376"/>
      <c r="K50" s="530">
        <f>F50+I50+J50</f>
        <v>0</v>
      </c>
      <c r="M50" s="274"/>
      <c r="O50" s="381"/>
      <c r="P50" s="382"/>
      <c r="Q50" s="383"/>
    </row>
    <row r="51" spans="1:17" s="159" customFormat="1" x14ac:dyDescent="0.2">
      <c r="A51" s="370"/>
      <c r="B51" s="5"/>
      <c r="C51" s="371"/>
      <c r="D51" s="372" t="s">
        <v>21</v>
      </c>
      <c r="E51" s="253">
        <v>0</v>
      </c>
      <c r="F51" s="373">
        <f>C51*E51</f>
        <v>0</v>
      </c>
      <c r="G51" s="529"/>
      <c r="H51" s="375">
        <v>0</v>
      </c>
      <c r="I51" s="373">
        <f>G51*H51</f>
        <v>0</v>
      </c>
      <c r="J51" s="376"/>
      <c r="K51" s="530">
        <f>F51+I51+J51</f>
        <v>0</v>
      </c>
      <c r="M51" s="274"/>
      <c r="O51" s="381"/>
      <c r="P51" s="382"/>
      <c r="Q51" s="383"/>
    </row>
    <row r="52" spans="1:17" s="159" customFormat="1" x14ac:dyDescent="0.2">
      <c r="A52" s="370"/>
      <c r="B52" s="5"/>
      <c r="C52" s="371"/>
      <c r="D52" s="372" t="s">
        <v>21</v>
      </c>
      <c r="E52" s="253">
        <v>0</v>
      </c>
      <c r="F52" s="373">
        <f>C52*E52</f>
        <v>0</v>
      </c>
      <c r="G52" s="529"/>
      <c r="H52" s="375">
        <v>0</v>
      </c>
      <c r="I52" s="373">
        <f>G52*H52</f>
        <v>0</v>
      </c>
      <c r="J52" s="376"/>
      <c r="K52" s="530">
        <f>F52+I52+J52</f>
        <v>0</v>
      </c>
      <c r="L52" s="378"/>
      <c r="M52" s="255"/>
      <c r="N52" s="421"/>
      <c r="O52" s="381"/>
      <c r="P52" s="382"/>
      <c r="Q52" s="383"/>
    </row>
    <row r="53" spans="1:17" s="159" customFormat="1" ht="13.5" thickBot="1" x14ac:dyDescent="0.25">
      <c r="A53" s="387"/>
      <c r="B53" s="412"/>
      <c r="C53" s="388"/>
      <c r="D53" s="372"/>
      <c r="E53" s="253"/>
      <c r="F53" s="373"/>
      <c r="G53" s="529"/>
      <c r="H53" s="375"/>
      <c r="I53" s="373"/>
      <c r="J53" s="376"/>
      <c r="K53" s="535"/>
      <c r="M53" s="274"/>
      <c r="O53" s="381"/>
      <c r="P53" s="382"/>
      <c r="Q53" s="383"/>
    </row>
    <row r="54" spans="1:17" s="159" customFormat="1" ht="14.25" thickTop="1" thickBot="1" x14ac:dyDescent="0.25">
      <c r="A54" s="387"/>
      <c r="B54" s="412"/>
      <c r="C54" s="388"/>
      <c r="D54" s="372"/>
      <c r="E54" s="253"/>
      <c r="F54" s="373"/>
      <c r="G54" s="529"/>
      <c r="H54" s="375"/>
      <c r="I54" s="373"/>
      <c r="J54" s="389" t="s">
        <v>30</v>
      </c>
      <c r="K54" s="532">
        <f>SUM(K48:K53)</f>
        <v>0</v>
      </c>
      <c r="L54" s="583"/>
      <c r="M54" s="657"/>
      <c r="N54" s="658"/>
      <c r="O54" s="681"/>
      <c r="P54" s="682"/>
      <c r="Q54" s="462"/>
    </row>
    <row r="55" spans="1:17" s="159" customFormat="1" ht="14.1" customHeight="1" thickTop="1" x14ac:dyDescent="0.25">
      <c r="A55" s="478"/>
      <c r="B55" s="479"/>
      <c r="C55" s="480"/>
      <c r="D55" s="480"/>
      <c r="E55" s="481"/>
      <c r="F55" s="969" t="s">
        <v>658</v>
      </c>
      <c r="G55" s="992" t="s">
        <v>684</v>
      </c>
      <c r="H55" s="481"/>
      <c r="I55" s="962" t="s">
        <v>657</v>
      </c>
      <c r="J55" s="958" t="s">
        <v>685</v>
      </c>
      <c r="K55" s="956" t="s">
        <v>31</v>
      </c>
      <c r="M55" s="276"/>
      <c r="N55" s="157"/>
      <c r="O55" s="302"/>
      <c r="P55" s="302"/>
    </row>
    <row r="56" spans="1:17" s="159" customFormat="1" ht="15" x14ac:dyDescent="0.2">
      <c r="A56" s="482" t="s">
        <v>32</v>
      </c>
      <c r="B56" s="964" t="s">
        <v>669</v>
      </c>
      <c r="C56" s="483"/>
      <c r="D56" s="484"/>
      <c r="E56" s="484"/>
      <c r="F56" s="970"/>
      <c r="G56" s="993"/>
      <c r="H56" s="485"/>
      <c r="I56" s="963"/>
      <c r="J56" s="959"/>
      <c r="K56" s="957"/>
      <c r="M56" s="276"/>
      <c r="N56" s="157"/>
      <c r="O56" s="302"/>
      <c r="P56" s="302"/>
    </row>
    <row r="57" spans="1:17" s="159" customFormat="1" ht="15" x14ac:dyDescent="0.25">
      <c r="A57" s="486">
        <f>K57/E6</f>
        <v>0</v>
      </c>
      <c r="B57" s="964"/>
      <c r="C57" s="484"/>
      <c r="D57" s="484"/>
      <c r="E57" s="484"/>
      <c r="F57" s="960">
        <f>SUM(F48:F53,F40:F44,F29:F36,F13:F25)</f>
        <v>0</v>
      </c>
      <c r="G57" s="1006">
        <f>SUM(G48:G53,G40:G44,G29:G36,G13:G24)</f>
        <v>0</v>
      </c>
      <c r="H57" s="485"/>
      <c r="I57" s="960">
        <f>SUM(I48:I53,I40:I44,I29:I36,I13:I25)</f>
        <v>0</v>
      </c>
      <c r="J57" s="952">
        <f>SUM(J48:J53,J40:J44,J29:J36,J13:J25)</f>
        <v>0</v>
      </c>
      <c r="K57" s="954">
        <f>SUM(K54,K45,K37,K26)</f>
        <v>0</v>
      </c>
      <c r="M57" s="276"/>
      <c r="N57" s="157"/>
      <c r="O57" s="302"/>
      <c r="P57" s="302"/>
    </row>
    <row r="58" spans="1:17" s="159" customFormat="1" ht="15" thickBot="1" x14ac:dyDescent="0.25">
      <c r="A58" s="482"/>
      <c r="B58" s="550"/>
      <c r="C58" s="488"/>
      <c r="D58" s="488"/>
      <c r="E58" s="488"/>
      <c r="F58" s="961"/>
      <c r="G58" s="1007"/>
      <c r="H58" s="488"/>
      <c r="I58" s="961"/>
      <c r="J58" s="953"/>
      <c r="K58" s="955"/>
      <c r="M58" s="276"/>
      <c r="N58" s="157"/>
      <c r="O58" s="302"/>
      <c r="P58" s="302"/>
    </row>
    <row r="59" spans="1:17" s="159" customFormat="1" ht="13.5" thickBot="1" x14ac:dyDescent="0.25">
      <c r="A59" s="489"/>
      <c r="B59" s="490"/>
      <c r="C59" s="490"/>
      <c r="D59" s="490"/>
      <c r="E59" s="490"/>
      <c r="F59" s="490"/>
      <c r="G59" s="490"/>
      <c r="H59" s="490"/>
      <c r="I59" s="490"/>
      <c r="J59" s="490"/>
      <c r="K59" s="491"/>
      <c r="M59" s="276"/>
      <c r="N59" s="157"/>
      <c r="O59" s="302"/>
      <c r="P59" s="302"/>
    </row>
    <row r="60" spans="1:17" s="159" customFormat="1" x14ac:dyDescent="0.2">
      <c r="C60" s="655"/>
      <c r="D60" s="655"/>
      <c r="J60" s="274"/>
      <c r="M60" s="276"/>
      <c r="N60" s="157"/>
      <c r="O60" s="302"/>
      <c r="P60" s="302"/>
    </row>
    <row r="61" spans="1:17" s="159" customFormat="1" x14ac:dyDescent="0.2">
      <c r="C61" s="655"/>
      <c r="D61" s="655"/>
      <c r="J61" s="274"/>
      <c r="M61" s="276"/>
      <c r="N61" s="157"/>
      <c r="O61" s="302"/>
      <c r="P61" s="302"/>
    </row>
    <row r="62" spans="1:17" s="159" customFormat="1" x14ac:dyDescent="0.2">
      <c r="C62" s="655"/>
      <c r="D62" s="655"/>
      <c r="J62" s="274"/>
      <c r="M62" s="276"/>
      <c r="N62" s="157"/>
      <c r="O62" s="302"/>
      <c r="P62" s="302"/>
    </row>
    <row r="63" spans="1:17" s="159" customFormat="1" x14ac:dyDescent="0.2">
      <c r="C63" s="655"/>
      <c r="D63" s="655"/>
      <c r="J63" s="274"/>
      <c r="M63" s="276"/>
      <c r="N63" s="157"/>
      <c r="O63" s="302"/>
      <c r="P63" s="302"/>
    </row>
    <row r="64" spans="1:17" s="159" customFormat="1" x14ac:dyDescent="0.2">
      <c r="C64" s="655"/>
      <c r="D64" s="655"/>
      <c r="J64" s="274"/>
      <c r="M64" s="276"/>
      <c r="N64" s="157"/>
      <c r="O64" s="302"/>
      <c r="P64" s="302"/>
    </row>
    <row r="65" spans="3:16" s="159" customFormat="1" x14ac:dyDescent="0.2">
      <c r="C65" s="655"/>
      <c r="D65" s="655"/>
      <c r="J65" s="274"/>
      <c r="M65" s="276"/>
      <c r="N65" s="157"/>
      <c r="O65" s="302"/>
      <c r="P65" s="302"/>
    </row>
    <row r="66" spans="3:16" s="159" customFormat="1" x14ac:dyDescent="0.2">
      <c r="C66" s="655"/>
      <c r="D66" s="655"/>
      <c r="J66" s="274"/>
      <c r="M66" s="276"/>
      <c r="N66" s="157"/>
      <c r="O66" s="302"/>
      <c r="P66" s="302"/>
    </row>
    <row r="67" spans="3:16" s="159" customFormat="1" x14ac:dyDescent="0.2">
      <c r="C67" s="655"/>
      <c r="D67" s="655"/>
      <c r="J67" s="274"/>
      <c r="M67" s="276"/>
      <c r="N67" s="157"/>
      <c r="O67" s="302"/>
      <c r="P67" s="302"/>
    </row>
    <row r="68" spans="3:16" s="159" customFormat="1" x14ac:dyDescent="0.2">
      <c r="C68" s="655"/>
      <c r="D68" s="655"/>
      <c r="J68" s="274"/>
      <c r="M68" s="276"/>
      <c r="N68" s="157"/>
      <c r="O68" s="302"/>
      <c r="P68" s="302"/>
    </row>
    <row r="69" spans="3:16" s="159" customFormat="1" x14ac:dyDescent="0.2">
      <c r="C69" s="655"/>
      <c r="D69" s="655"/>
      <c r="J69" s="274"/>
      <c r="M69" s="276"/>
      <c r="N69" s="157"/>
      <c r="O69" s="302"/>
      <c r="P69" s="302"/>
    </row>
    <row r="70" spans="3:16" s="159" customFormat="1" x14ac:dyDescent="0.2">
      <c r="C70" s="655"/>
      <c r="D70" s="655"/>
      <c r="J70" s="274"/>
      <c r="M70" s="276"/>
      <c r="N70" s="157"/>
      <c r="O70" s="302"/>
      <c r="P70" s="302"/>
    </row>
    <row r="71" spans="3:16" s="159" customFormat="1" x14ac:dyDescent="0.2">
      <c r="C71" s="655"/>
      <c r="D71" s="655"/>
      <c r="J71" s="274"/>
      <c r="M71" s="276"/>
      <c r="N71" s="157"/>
      <c r="O71" s="302"/>
      <c r="P71" s="302"/>
    </row>
    <row r="72" spans="3:16" s="159" customFormat="1" x14ac:dyDescent="0.2">
      <c r="C72" s="655"/>
      <c r="D72" s="655"/>
      <c r="J72" s="274"/>
      <c r="M72" s="276"/>
      <c r="N72" s="157"/>
      <c r="O72" s="302"/>
      <c r="P72" s="302"/>
    </row>
    <row r="73" spans="3:16" s="159" customFormat="1" x14ac:dyDescent="0.2">
      <c r="C73" s="655"/>
      <c r="D73" s="655"/>
      <c r="J73" s="274"/>
      <c r="M73" s="276"/>
      <c r="N73" s="157"/>
      <c r="O73" s="302"/>
      <c r="P73" s="302"/>
    </row>
    <row r="74" spans="3:16" s="159" customFormat="1" x14ac:dyDescent="0.2">
      <c r="C74" s="655"/>
      <c r="D74" s="655"/>
      <c r="J74" s="274"/>
      <c r="M74" s="276"/>
      <c r="N74" s="157"/>
      <c r="O74" s="302"/>
      <c r="P74" s="302"/>
    </row>
    <row r="75" spans="3:16" s="159" customFormat="1" x14ac:dyDescent="0.2">
      <c r="C75" s="655"/>
      <c r="D75" s="655"/>
      <c r="J75" s="274"/>
      <c r="M75" s="276"/>
      <c r="N75" s="157"/>
      <c r="O75" s="302"/>
      <c r="P75" s="302"/>
    </row>
    <row r="76" spans="3:16" s="159" customFormat="1" x14ac:dyDescent="0.2">
      <c r="C76" s="655"/>
      <c r="D76" s="655"/>
      <c r="J76" s="274"/>
      <c r="M76" s="276"/>
      <c r="N76" s="157"/>
      <c r="O76" s="302"/>
      <c r="P76" s="302"/>
    </row>
    <row r="77" spans="3:16" s="159" customFormat="1" x14ac:dyDescent="0.2">
      <c r="C77" s="655"/>
      <c r="D77" s="655"/>
      <c r="J77" s="274"/>
      <c r="M77" s="276"/>
      <c r="N77" s="157"/>
      <c r="O77" s="302"/>
      <c r="P77" s="302"/>
    </row>
    <row r="78" spans="3:16" s="159" customFormat="1" x14ac:dyDescent="0.2">
      <c r="C78" s="655"/>
      <c r="D78" s="655"/>
      <c r="J78" s="274"/>
      <c r="M78" s="276"/>
      <c r="N78" s="157"/>
      <c r="O78" s="302"/>
      <c r="P78" s="302"/>
    </row>
    <row r="79" spans="3:16" s="159" customFormat="1" x14ac:dyDescent="0.2">
      <c r="C79" s="655"/>
      <c r="D79" s="655"/>
      <c r="J79" s="274"/>
      <c r="M79" s="276"/>
      <c r="N79" s="157"/>
      <c r="O79" s="302"/>
      <c r="P79" s="302"/>
    </row>
    <row r="80" spans="3:16" s="159" customFormat="1" x14ac:dyDescent="0.2">
      <c r="C80" s="655"/>
      <c r="D80" s="655"/>
      <c r="J80" s="274"/>
      <c r="M80" s="276"/>
      <c r="N80" s="157"/>
      <c r="O80" s="302"/>
      <c r="P80" s="302"/>
    </row>
    <row r="81" spans="3:16" s="159" customFormat="1" x14ac:dyDescent="0.2">
      <c r="C81" s="655"/>
      <c r="D81" s="655"/>
      <c r="J81" s="274"/>
      <c r="M81" s="276"/>
      <c r="N81" s="157"/>
      <c r="O81" s="302"/>
      <c r="P81" s="302"/>
    </row>
    <row r="82" spans="3:16" s="159" customFormat="1" x14ac:dyDescent="0.2">
      <c r="C82" s="655"/>
      <c r="D82" s="655"/>
      <c r="J82" s="274"/>
      <c r="M82" s="276"/>
      <c r="N82" s="157"/>
      <c r="O82" s="302"/>
      <c r="P82" s="302"/>
    </row>
    <row r="83" spans="3:16" s="159" customFormat="1" x14ac:dyDescent="0.2">
      <c r="C83" s="655"/>
      <c r="D83" s="655"/>
      <c r="J83" s="274"/>
      <c r="M83" s="276"/>
      <c r="N83" s="157"/>
      <c r="O83" s="302"/>
      <c r="P83" s="302"/>
    </row>
    <row r="84" spans="3:16" s="159" customFormat="1" x14ac:dyDescent="0.2">
      <c r="C84" s="655"/>
      <c r="D84" s="655"/>
      <c r="J84" s="274"/>
      <c r="M84" s="276"/>
      <c r="N84" s="157"/>
      <c r="O84" s="302"/>
      <c r="P84" s="302"/>
    </row>
    <row r="85" spans="3:16" s="159" customFormat="1" x14ac:dyDescent="0.2">
      <c r="C85" s="655"/>
      <c r="D85" s="655"/>
      <c r="J85" s="274"/>
      <c r="M85" s="276"/>
      <c r="N85" s="157"/>
      <c r="O85" s="302"/>
      <c r="P85" s="302"/>
    </row>
    <row r="86" spans="3:16" s="159" customFormat="1" x14ac:dyDescent="0.2">
      <c r="C86" s="655"/>
      <c r="D86" s="655"/>
      <c r="J86" s="274"/>
      <c r="M86" s="276"/>
      <c r="N86" s="157"/>
      <c r="O86" s="302"/>
      <c r="P86" s="302"/>
    </row>
    <row r="87" spans="3:16" s="159" customFormat="1" x14ac:dyDescent="0.2">
      <c r="C87" s="655"/>
      <c r="D87" s="655"/>
      <c r="J87" s="274"/>
      <c r="M87" s="276"/>
      <c r="N87" s="157"/>
      <c r="O87" s="302"/>
      <c r="P87" s="302"/>
    </row>
    <row r="88" spans="3:16" s="159" customFormat="1" x14ac:dyDescent="0.2">
      <c r="C88" s="655"/>
      <c r="D88" s="655"/>
      <c r="J88" s="274"/>
      <c r="M88" s="276"/>
      <c r="N88" s="157"/>
      <c r="O88" s="302"/>
      <c r="P88" s="302"/>
    </row>
    <row r="89" spans="3:16" s="159" customFormat="1" x14ac:dyDescent="0.2">
      <c r="C89" s="655"/>
      <c r="D89" s="655"/>
      <c r="J89" s="274"/>
      <c r="M89" s="276"/>
      <c r="N89" s="157"/>
      <c r="O89" s="302"/>
      <c r="P89" s="302"/>
    </row>
    <row r="90" spans="3:16" s="159" customFormat="1" x14ac:dyDescent="0.2">
      <c r="C90" s="655"/>
      <c r="D90" s="655"/>
      <c r="J90" s="274"/>
      <c r="M90" s="276"/>
      <c r="N90" s="157"/>
      <c r="O90" s="302"/>
      <c r="P90" s="302"/>
    </row>
    <row r="91" spans="3:16" s="159" customFormat="1" x14ac:dyDescent="0.2">
      <c r="C91" s="655"/>
      <c r="D91" s="655"/>
      <c r="J91" s="274"/>
      <c r="M91" s="276"/>
      <c r="N91" s="157"/>
      <c r="O91" s="302"/>
      <c r="P91" s="302"/>
    </row>
    <row r="92" spans="3:16" s="159" customFormat="1" x14ac:dyDescent="0.2">
      <c r="C92" s="655"/>
      <c r="D92" s="655"/>
      <c r="J92" s="274"/>
      <c r="M92" s="276"/>
      <c r="N92" s="157"/>
      <c r="O92" s="302"/>
      <c r="P92" s="302"/>
    </row>
    <row r="93" spans="3:16" s="159" customFormat="1" x14ac:dyDescent="0.2">
      <c r="C93" s="655"/>
      <c r="D93" s="655"/>
      <c r="J93" s="274"/>
      <c r="M93" s="276"/>
      <c r="N93" s="157"/>
      <c r="O93" s="302"/>
      <c r="P93" s="302"/>
    </row>
    <row r="94" spans="3:16" s="159" customFormat="1" x14ac:dyDescent="0.2">
      <c r="C94" s="655"/>
      <c r="D94" s="655"/>
      <c r="J94" s="274"/>
      <c r="M94" s="276"/>
      <c r="N94" s="157"/>
      <c r="O94" s="302"/>
      <c r="P94" s="302"/>
    </row>
    <row r="95" spans="3:16" s="159" customFormat="1" x14ac:dyDescent="0.2">
      <c r="C95" s="655"/>
      <c r="D95" s="655"/>
      <c r="J95" s="274"/>
      <c r="M95" s="276"/>
      <c r="N95" s="157"/>
      <c r="O95" s="302"/>
      <c r="P95" s="302"/>
    </row>
    <row r="96" spans="3:16" s="159" customFormat="1" x14ac:dyDescent="0.2">
      <c r="C96" s="655"/>
      <c r="D96" s="655"/>
      <c r="J96" s="274"/>
      <c r="M96" s="276"/>
      <c r="N96" s="157"/>
      <c r="O96" s="302"/>
      <c r="P96" s="302"/>
    </row>
    <row r="97" spans="3:16" s="159" customFormat="1" x14ac:dyDescent="0.2">
      <c r="C97" s="655"/>
      <c r="D97" s="655"/>
      <c r="J97" s="274"/>
      <c r="M97" s="276"/>
      <c r="N97" s="157"/>
      <c r="O97" s="302"/>
      <c r="P97" s="302"/>
    </row>
    <row r="98" spans="3:16" s="159" customFormat="1" x14ac:dyDescent="0.2">
      <c r="C98" s="655"/>
      <c r="D98" s="655"/>
      <c r="J98" s="274"/>
      <c r="M98" s="276"/>
      <c r="N98" s="157"/>
      <c r="O98" s="302"/>
      <c r="P98" s="302"/>
    </row>
    <row r="99" spans="3:16" s="159" customFormat="1" x14ac:dyDescent="0.2">
      <c r="C99" s="655"/>
      <c r="D99" s="655"/>
      <c r="J99" s="274"/>
      <c r="M99" s="276"/>
      <c r="N99" s="157"/>
      <c r="O99" s="302"/>
      <c r="P99" s="302"/>
    </row>
    <row r="100" spans="3:16" s="159" customFormat="1" x14ac:dyDescent="0.2">
      <c r="C100" s="655"/>
      <c r="D100" s="655"/>
      <c r="J100" s="274"/>
      <c r="M100" s="276"/>
      <c r="N100" s="157"/>
      <c r="O100" s="302"/>
      <c r="P100" s="302"/>
    </row>
    <row r="101" spans="3:16" s="159" customFormat="1" x14ac:dyDescent="0.2">
      <c r="C101" s="655"/>
      <c r="D101" s="655"/>
      <c r="J101" s="274"/>
      <c r="M101" s="276"/>
      <c r="N101" s="157"/>
      <c r="O101" s="302"/>
      <c r="P101" s="302"/>
    </row>
    <row r="102" spans="3:16" s="159" customFormat="1" x14ac:dyDescent="0.2">
      <c r="C102" s="655"/>
      <c r="D102" s="655"/>
      <c r="J102" s="274"/>
      <c r="M102" s="276"/>
      <c r="N102" s="157"/>
      <c r="O102" s="302"/>
      <c r="P102" s="302"/>
    </row>
    <row r="103" spans="3:16" s="159" customFormat="1" x14ac:dyDescent="0.2">
      <c r="C103" s="655"/>
      <c r="D103" s="655"/>
      <c r="J103" s="274"/>
      <c r="M103" s="276"/>
      <c r="N103" s="157"/>
      <c r="O103" s="302"/>
      <c r="P103" s="302"/>
    </row>
    <row r="104" spans="3:16" s="159" customFormat="1" x14ac:dyDescent="0.2">
      <c r="C104" s="655"/>
      <c r="D104" s="655"/>
      <c r="J104" s="274"/>
      <c r="M104" s="276"/>
      <c r="N104" s="157"/>
      <c r="O104" s="302"/>
      <c r="P104" s="302"/>
    </row>
    <row r="105" spans="3:16" s="159" customFormat="1" x14ac:dyDescent="0.2">
      <c r="C105" s="655"/>
      <c r="D105" s="655"/>
      <c r="J105" s="274"/>
      <c r="M105" s="276"/>
      <c r="N105" s="157"/>
      <c r="O105" s="302"/>
      <c r="P105" s="302"/>
    </row>
    <row r="106" spans="3:16" s="159" customFormat="1" x14ac:dyDescent="0.2">
      <c r="C106" s="655"/>
      <c r="D106" s="655"/>
      <c r="J106" s="274"/>
      <c r="M106" s="276"/>
      <c r="N106" s="157"/>
      <c r="O106" s="302"/>
      <c r="P106" s="302"/>
    </row>
    <row r="107" spans="3:16" s="159" customFormat="1" x14ac:dyDescent="0.2">
      <c r="C107" s="655"/>
      <c r="D107" s="655"/>
      <c r="J107" s="274"/>
      <c r="M107" s="276"/>
      <c r="N107" s="157"/>
      <c r="O107" s="302"/>
      <c r="P107" s="302"/>
    </row>
    <row r="108" spans="3:16" s="159" customFormat="1" x14ac:dyDescent="0.2">
      <c r="C108" s="655"/>
      <c r="D108" s="655"/>
      <c r="J108" s="274"/>
      <c r="M108" s="276"/>
      <c r="N108" s="157"/>
      <c r="O108" s="302"/>
      <c r="P108" s="302"/>
    </row>
    <row r="109" spans="3:16" s="159" customFormat="1" x14ac:dyDescent="0.2">
      <c r="C109" s="655"/>
      <c r="D109" s="655"/>
      <c r="J109" s="274"/>
      <c r="M109" s="276"/>
      <c r="N109" s="157"/>
      <c r="O109" s="302"/>
      <c r="P109" s="302"/>
    </row>
    <row r="110" spans="3:16" s="159" customFormat="1" x14ac:dyDescent="0.2">
      <c r="C110" s="655"/>
      <c r="D110" s="655"/>
      <c r="J110" s="274"/>
      <c r="M110" s="276"/>
      <c r="N110" s="157"/>
      <c r="O110" s="302"/>
      <c r="P110" s="302"/>
    </row>
    <row r="111" spans="3:16" s="159" customFormat="1" x14ac:dyDescent="0.2">
      <c r="C111" s="655"/>
      <c r="D111" s="655"/>
      <c r="J111" s="274"/>
      <c r="M111" s="276"/>
      <c r="N111" s="157"/>
      <c r="O111" s="302"/>
      <c r="P111" s="302"/>
    </row>
    <row r="112" spans="3:16" s="159" customFormat="1" x14ac:dyDescent="0.2">
      <c r="C112" s="655"/>
      <c r="D112" s="655"/>
      <c r="J112" s="274"/>
      <c r="M112" s="276"/>
      <c r="N112" s="157"/>
      <c r="O112" s="302"/>
      <c r="P112" s="302"/>
    </row>
    <row r="113" spans="3:16" s="159" customFormat="1" x14ac:dyDescent="0.2">
      <c r="C113" s="655"/>
      <c r="D113" s="655"/>
      <c r="J113" s="274"/>
      <c r="M113" s="276"/>
      <c r="N113" s="157"/>
      <c r="O113" s="302"/>
      <c r="P113" s="302"/>
    </row>
    <row r="114" spans="3:16" s="159" customFormat="1" x14ac:dyDescent="0.2">
      <c r="C114" s="655"/>
      <c r="D114" s="655"/>
      <c r="J114" s="274"/>
      <c r="M114" s="276"/>
      <c r="N114" s="157"/>
      <c r="O114" s="302"/>
      <c r="P114" s="302"/>
    </row>
    <row r="115" spans="3:16" s="159" customFormat="1" x14ac:dyDescent="0.2">
      <c r="C115" s="655"/>
      <c r="D115" s="655"/>
      <c r="J115" s="274"/>
      <c r="M115" s="276"/>
      <c r="N115" s="157"/>
      <c r="O115" s="302"/>
      <c r="P115" s="302"/>
    </row>
    <row r="116" spans="3:16" s="159" customFormat="1" x14ac:dyDescent="0.2">
      <c r="C116" s="655"/>
      <c r="D116" s="655"/>
      <c r="J116" s="274"/>
      <c r="M116" s="276"/>
      <c r="N116" s="157"/>
      <c r="O116" s="302"/>
      <c r="P116" s="302"/>
    </row>
    <row r="117" spans="3:16" s="159" customFormat="1" x14ac:dyDescent="0.2">
      <c r="C117" s="655"/>
      <c r="D117" s="655"/>
      <c r="J117" s="274"/>
      <c r="M117" s="276"/>
      <c r="N117" s="157"/>
      <c r="O117" s="302"/>
      <c r="P117" s="302"/>
    </row>
    <row r="118" spans="3:16" s="159" customFormat="1" x14ac:dyDescent="0.2">
      <c r="C118" s="655"/>
      <c r="D118" s="655"/>
      <c r="J118" s="274"/>
      <c r="M118" s="276"/>
      <c r="N118" s="157"/>
      <c r="O118" s="302"/>
      <c r="P118" s="302"/>
    </row>
    <row r="119" spans="3:16" s="159" customFormat="1" x14ac:dyDescent="0.2">
      <c r="C119" s="655"/>
      <c r="D119" s="655"/>
      <c r="J119" s="274"/>
      <c r="M119" s="276"/>
      <c r="N119" s="157"/>
      <c r="O119" s="302"/>
      <c r="P119" s="302"/>
    </row>
    <row r="120" spans="3:16" s="159" customFormat="1" x14ac:dyDescent="0.2">
      <c r="C120" s="655"/>
      <c r="D120" s="655"/>
      <c r="J120" s="274"/>
      <c r="M120" s="276"/>
      <c r="N120" s="157"/>
      <c r="O120" s="302"/>
      <c r="P120" s="302"/>
    </row>
    <row r="121" spans="3:16" s="159" customFormat="1" x14ac:dyDescent="0.2">
      <c r="C121" s="655"/>
      <c r="D121" s="655"/>
      <c r="J121" s="274"/>
      <c r="M121" s="276"/>
      <c r="N121" s="157"/>
      <c r="O121" s="302"/>
      <c r="P121" s="302"/>
    </row>
    <row r="122" spans="3:16" s="159" customFormat="1" x14ac:dyDescent="0.2">
      <c r="C122" s="655"/>
      <c r="D122" s="655"/>
      <c r="J122" s="274"/>
      <c r="M122" s="276"/>
      <c r="N122" s="157"/>
      <c r="O122" s="302"/>
      <c r="P122" s="302"/>
    </row>
    <row r="123" spans="3:16" s="159" customFormat="1" x14ac:dyDescent="0.2">
      <c r="C123" s="655"/>
      <c r="D123" s="655"/>
      <c r="J123" s="274"/>
      <c r="M123" s="276"/>
      <c r="N123" s="157"/>
      <c r="O123" s="302"/>
      <c r="P123" s="302"/>
    </row>
    <row r="124" spans="3:16" s="159" customFormat="1" x14ac:dyDescent="0.2">
      <c r="C124" s="655"/>
      <c r="D124" s="655"/>
      <c r="J124" s="274"/>
      <c r="M124" s="276"/>
      <c r="N124" s="157"/>
      <c r="O124" s="302"/>
      <c r="P124" s="302"/>
    </row>
    <row r="125" spans="3:16" s="159" customFormat="1" x14ac:dyDescent="0.2">
      <c r="C125" s="655"/>
      <c r="D125" s="655"/>
      <c r="J125" s="274"/>
      <c r="M125" s="276"/>
      <c r="N125" s="157"/>
      <c r="O125" s="302"/>
      <c r="P125" s="302"/>
    </row>
    <row r="126" spans="3:16" s="159" customFormat="1" x14ac:dyDescent="0.2">
      <c r="C126" s="655"/>
      <c r="D126" s="655"/>
      <c r="J126" s="274"/>
      <c r="M126" s="276"/>
      <c r="N126" s="157"/>
      <c r="O126" s="302"/>
      <c r="P126" s="302"/>
    </row>
    <row r="127" spans="3:16" s="159" customFormat="1" x14ac:dyDescent="0.2">
      <c r="C127" s="655"/>
      <c r="D127" s="655"/>
      <c r="J127" s="274"/>
      <c r="M127" s="276"/>
      <c r="N127" s="157"/>
      <c r="O127" s="302"/>
      <c r="P127" s="302"/>
    </row>
    <row r="128" spans="3:16" s="159" customFormat="1" x14ac:dyDescent="0.2">
      <c r="C128" s="655"/>
      <c r="D128" s="655"/>
      <c r="J128" s="274"/>
      <c r="M128" s="276"/>
      <c r="N128" s="157"/>
      <c r="O128" s="302"/>
      <c r="P128" s="302"/>
    </row>
    <row r="129" spans="3:16" s="159" customFormat="1" x14ac:dyDescent="0.2">
      <c r="C129" s="655"/>
      <c r="D129" s="655"/>
      <c r="J129" s="274"/>
      <c r="M129" s="276"/>
      <c r="N129" s="157"/>
      <c r="O129" s="302"/>
      <c r="P129" s="302"/>
    </row>
    <row r="130" spans="3:16" s="159" customFormat="1" x14ac:dyDescent="0.2">
      <c r="C130" s="655"/>
      <c r="D130" s="655"/>
      <c r="J130" s="274"/>
      <c r="M130" s="276"/>
      <c r="N130" s="157"/>
      <c r="O130" s="302"/>
      <c r="P130" s="302"/>
    </row>
    <row r="131" spans="3:16" s="159" customFormat="1" x14ac:dyDescent="0.2">
      <c r="C131" s="655"/>
      <c r="D131" s="655"/>
      <c r="J131" s="274"/>
      <c r="M131" s="276"/>
      <c r="N131" s="157"/>
      <c r="O131" s="302"/>
      <c r="P131" s="302"/>
    </row>
    <row r="132" spans="3:16" s="159" customFormat="1" x14ac:dyDescent="0.2">
      <c r="C132" s="655"/>
      <c r="D132" s="655"/>
      <c r="J132" s="274"/>
      <c r="M132" s="276"/>
      <c r="N132" s="157"/>
      <c r="O132" s="302"/>
      <c r="P132" s="302"/>
    </row>
    <row r="133" spans="3:16" s="159" customFormat="1" x14ac:dyDescent="0.2">
      <c r="C133" s="655"/>
      <c r="D133" s="655"/>
      <c r="J133" s="274"/>
      <c r="M133" s="276"/>
      <c r="N133" s="157"/>
      <c r="O133" s="302"/>
      <c r="P133" s="302"/>
    </row>
    <row r="134" spans="3:16" s="159" customFormat="1" x14ac:dyDescent="0.2">
      <c r="C134" s="655"/>
      <c r="D134" s="655"/>
      <c r="J134" s="274"/>
      <c r="M134" s="276"/>
      <c r="N134" s="157"/>
      <c r="O134" s="302"/>
      <c r="P134" s="302"/>
    </row>
    <row r="135" spans="3:16" s="159" customFormat="1" x14ac:dyDescent="0.2">
      <c r="C135" s="655"/>
      <c r="D135" s="655"/>
      <c r="J135" s="274"/>
      <c r="M135" s="276"/>
      <c r="N135" s="157"/>
      <c r="O135" s="302"/>
      <c r="P135" s="302"/>
    </row>
    <row r="136" spans="3:16" s="159" customFormat="1" x14ac:dyDescent="0.2">
      <c r="C136" s="655"/>
      <c r="D136" s="655"/>
      <c r="J136" s="274"/>
      <c r="M136" s="276"/>
      <c r="N136" s="157"/>
      <c r="O136" s="302"/>
      <c r="P136" s="302"/>
    </row>
    <row r="137" spans="3:16" s="159" customFormat="1" x14ac:dyDescent="0.2">
      <c r="C137" s="655"/>
      <c r="D137" s="655"/>
      <c r="J137" s="274"/>
      <c r="M137" s="276"/>
      <c r="N137" s="157"/>
      <c r="O137" s="302"/>
      <c r="P137" s="302"/>
    </row>
    <row r="138" spans="3:16" s="159" customFormat="1" x14ac:dyDescent="0.2">
      <c r="C138" s="655"/>
      <c r="D138" s="655"/>
      <c r="J138" s="274"/>
      <c r="M138" s="276"/>
      <c r="N138" s="157"/>
      <c r="O138" s="302"/>
      <c r="P138" s="302"/>
    </row>
    <row r="139" spans="3:16" s="159" customFormat="1" x14ac:dyDescent="0.2">
      <c r="C139" s="655"/>
      <c r="D139" s="655"/>
      <c r="J139" s="274"/>
      <c r="M139" s="276"/>
      <c r="N139" s="157"/>
      <c r="O139" s="302"/>
      <c r="P139" s="302"/>
    </row>
    <row r="140" spans="3:16" s="159" customFormat="1" x14ac:dyDescent="0.2">
      <c r="C140" s="655"/>
      <c r="D140" s="655"/>
      <c r="J140" s="274"/>
      <c r="M140" s="276"/>
      <c r="N140" s="157"/>
      <c r="O140" s="302"/>
      <c r="P140" s="302"/>
    </row>
    <row r="141" spans="3:16" s="159" customFormat="1" x14ac:dyDescent="0.2">
      <c r="C141" s="655"/>
      <c r="D141" s="655"/>
      <c r="J141" s="274"/>
      <c r="M141" s="276"/>
      <c r="N141" s="157"/>
      <c r="O141" s="302"/>
      <c r="P141" s="302"/>
    </row>
    <row r="142" spans="3:16" s="159" customFormat="1" x14ac:dyDescent="0.2">
      <c r="C142" s="655"/>
      <c r="D142" s="655"/>
      <c r="J142" s="274"/>
      <c r="M142" s="276"/>
      <c r="N142" s="157"/>
      <c r="O142" s="302"/>
      <c r="P142" s="302"/>
    </row>
    <row r="143" spans="3:16" s="159" customFormat="1" x14ac:dyDescent="0.2">
      <c r="C143" s="655"/>
      <c r="D143" s="655"/>
      <c r="J143" s="274"/>
      <c r="M143" s="276"/>
      <c r="N143" s="157"/>
      <c r="O143" s="302"/>
      <c r="P143" s="302"/>
    </row>
    <row r="144" spans="3:16" s="159" customFormat="1" x14ac:dyDescent="0.2">
      <c r="C144" s="655"/>
      <c r="D144" s="655"/>
      <c r="J144" s="274"/>
      <c r="M144" s="276"/>
      <c r="N144" s="157"/>
      <c r="O144" s="302"/>
      <c r="P144" s="302"/>
    </row>
    <row r="145" spans="3:16" s="159" customFormat="1" x14ac:dyDescent="0.2">
      <c r="C145" s="655"/>
      <c r="D145" s="655"/>
      <c r="J145" s="274"/>
      <c r="M145" s="276"/>
      <c r="N145" s="157"/>
      <c r="O145" s="302"/>
      <c r="P145" s="302"/>
    </row>
    <row r="146" spans="3:16" s="159" customFormat="1" x14ac:dyDescent="0.2">
      <c r="C146" s="655"/>
      <c r="D146" s="655"/>
      <c r="J146" s="274"/>
      <c r="M146" s="276"/>
      <c r="N146" s="157"/>
      <c r="O146" s="302"/>
      <c r="P146" s="302"/>
    </row>
    <row r="147" spans="3:16" s="159" customFormat="1" x14ac:dyDescent="0.2">
      <c r="C147" s="655"/>
      <c r="D147" s="655"/>
      <c r="J147" s="274"/>
      <c r="M147" s="276"/>
      <c r="N147" s="157"/>
      <c r="O147" s="302"/>
      <c r="P147" s="302"/>
    </row>
    <row r="148" spans="3:16" s="159" customFormat="1" x14ac:dyDescent="0.2">
      <c r="C148" s="655"/>
      <c r="D148" s="655"/>
      <c r="J148" s="274"/>
      <c r="M148" s="276"/>
      <c r="N148" s="157"/>
      <c r="O148" s="302"/>
      <c r="P148" s="302"/>
    </row>
    <row r="149" spans="3:16" s="159" customFormat="1" x14ac:dyDescent="0.2">
      <c r="C149" s="655"/>
      <c r="D149" s="655"/>
      <c r="J149" s="274"/>
      <c r="M149" s="276"/>
      <c r="N149" s="157"/>
      <c r="O149" s="302"/>
      <c r="P149" s="302"/>
    </row>
    <row r="150" spans="3:16" s="159" customFormat="1" x14ac:dyDescent="0.2">
      <c r="C150" s="655"/>
      <c r="D150" s="655"/>
      <c r="J150" s="274"/>
      <c r="M150" s="276"/>
      <c r="N150" s="157"/>
      <c r="O150" s="302"/>
      <c r="P150" s="302"/>
    </row>
    <row r="151" spans="3:16" s="159" customFormat="1" x14ac:dyDescent="0.2">
      <c r="C151" s="655"/>
      <c r="D151" s="655"/>
      <c r="J151" s="274"/>
      <c r="M151" s="276"/>
      <c r="N151" s="157"/>
      <c r="O151" s="302"/>
      <c r="P151" s="302"/>
    </row>
    <row r="152" spans="3:16" s="159" customFormat="1" x14ac:dyDescent="0.2">
      <c r="C152" s="655"/>
      <c r="D152" s="655"/>
      <c r="J152" s="274"/>
      <c r="M152" s="276"/>
      <c r="N152" s="157"/>
      <c r="O152" s="302"/>
      <c r="P152" s="302"/>
    </row>
    <row r="153" spans="3:16" s="159" customFormat="1" x14ac:dyDescent="0.2">
      <c r="C153" s="655"/>
      <c r="D153" s="655"/>
      <c r="J153" s="274"/>
      <c r="M153" s="276"/>
      <c r="N153" s="157"/>
      <c r="O153" s="302"/>
      <c r="P153" s="302"/>
    </row>
    <row r="154" spans="3:16" s="159" customFormat="1" x14ac:dyDescent="0.2">
      <c r="C154" s="655"/>
      <c r="D154" s="655"/>
      <c r="J154" s="274"/>
      <c r="M154" s="276"/>
      <c r="N154" s="157"/>
      <c r="O154" s="302"/>
      <c r="P154" s="302"/>
    </row>
    <row r="155" spans="3:16" s="159" customFormat="1" x14ac:dyDescent="0.2">
      <c r="C155" s="655"/>
      <c r="D155" s="655"/>
      <c r="J155" s="274"/>
      <c r="M155" s="276"/>
      <c r="N155" s="157"/>
      <c r="O155" s="302"/>
      <c r="P155" s="302"/>
    </row>
    <row r="156" spans="3:16" s="159" customFormat="1" x14ac:dyDescent="0.2">
      <c r="C156" s="655"/>
      <c r="D156" s="655"/>
      <c r="J156" s="274"/>
      <c r="M156" s="276"/>
      <c r="N156" s="157"/>
      <c r="O156" s="302"/>
      <c r="P156" s="302"/>
    </row>
    <row r="157" spans="3:16" s="159" customFormat="1" x14ac:dyDescent="0.2">
      <c r="C157" s="655"/>
      <c r="D157" s="655"/>
      <c r="J157" s="274"/>
      <c r="M157" s="276"/>
      <c r="N157" s="157"/>
      <c r="O157" s="302"/>
      <c r="P157" s="302"/>
    </row>
    <row r="158" spans="3:16" s="159" customFormat="1" x14ac:dyDescent="0.2">
      <c r="C158" s="655"/>
      <c r="D158" s="655"/>
      <c r="J158" s="274"/>
      <c r="M158" s="276"/>
      <c r="N158" s="157"/>
      <c r="O158" s="302"/>
      <c r="P158" s="302"/>
    </row>
    <row r="159" spans="3:16" s="159" customFormat="1" x14ac:dyDescent="0.2">
      <c r="C159" s="655"/>
      <c r="D159" s="655"/>
      <c r="J159" s="274"/>
      <c r="M159" s="276"/>
      <c r="N159" s="157"/>
      <c r="O159" s="302"/>
      <c r="P159" s="302"/>
    </row>
    <row r="160" spans="3:16" s="159" customFormat="1" x14ac:dyDescent="0.2">
      <c r="C160" s="655"/>
      <c r="D160" s="655"/>
      <c r="J160" s="274"/>
      <c r="M160" s="276"/>
      <c r="N160" s="157"/>
      <c r="O160" s="302"/>
      <c r="P160" s="302"/>
    </row>
    <row r="161" spans="3:16" s="159" customFormat="1" x14ac:dyDescent="0.2">
      <c r="C161" s="655"/>
      <c r="D161" s="655"/>
      <c r="J161" s="274"/>
      <c r="M161" s="276"/>
      <c r="N161" s="157"/>
      <c r="O161" s="302"/>
      <c r="P161" s="302"/>
    </row>
    <row r="162" spans="3:16" s="159" customFormat="1" x14ac:dyDescent="0.2">
      <c r="C162" s="655"/>
      <c r="D162" s="655"/>
      <c r="J162" s="274"/>
      <c r="M162" s="276"/>
      <c r="N162" s="157"/>
      <c r="O162" s="302"/>
      <c r="P162" s="302"/>
    </row>
    <row r="163" spans="3:16" s="159" customFormat="1" x14ac:dyDescent="0.2">
      <c r="C163" s="655"/>
      <c r="D163" s="655"/>
      <c r="J163" s="274"/>
      <c r="M163" s="276"/>
      <c r="N163" s="157"/>
      <c r="O163" s="302"/>
      <c r="P163" s="302"/>
    </row>
    <row r="164" spans="3:16" s="159" customFormat="1" x14ac:dyDescent="0.2">
      <c r="C164" s="655"/>
      <c r="D164" s="655"/>
      <c r="J164" s="274"/>
      <c r="M164" s="276"/>
      <c r="N164" s="157"/>
      <c r="O164" s="302"/>
      <c r="P164" s="302"/>
    </row>
    <row r="165" spans="3:16" s="159" customFormat="1" x14ac:dyDescent="0.2">
      <c r="C165" s="655"/>
      <c r="D165" s="655"/>
      <c r="J165" s="274"/>
      <c r="M165" s="276"/>
      <c r="N165" s="157"/>
      <c r="O165" s="302"/>
      <c r="P165" s="302"/>
    </row>
    <row r="166" spans="3:16" s="159" customFormat="1" x14ac:dyDescent="0.2">
      <c r="C166" s="655"/>
      <c r="D166" s="655"/>
      <c r="J166" s="274"/>
      <c r="M166" s="276"/>
      <c r="N166" s="157"/>
      <c r="O166" s="302"/>
      <c r="P166" s="302"/>
    </row>
    <row r="167" spans="3:16" s="159" customFormat="1" x14ac:dyDescent="0.2">
      <c r="C167" s="655"/>
      <c r="D167" s="655"/>
      <c r="J167" s="274"/>
      <c r="M167" s="276"/>
      <c r="N167" s="157"/>
      <c r="O167" s="302"/>
      <c r="P167" s="302"/>
    </row>
    <row r="168" spans="3:16" s="159" customFormat="1" x14ac:dyDescent="0.2">
      <c r="C168" s="655"/>
      <c r="D168" s="655"/>
      <c r="J168" s="274"/>
      <c r="M168" s="276"/>
      <c r="N168" s="157"/>
      <c r="O168" s="302"/>
      <c r="P168" s="302"/>
    </row>
    <row r="169" spans="3:16" s="159" customFormat="1" x14ac:dyDescent="0.2">
      <c r="C169" s="655"/>
      <c r="D169" s="655"/>
      <c r="J169" s="274"/>
      <c r="M169" s="276"/>
      <c r="N169" s="157"/>
      <c r="O169" s="302"/>
      <c r="P169" s="302"/>
    </row>
    <row r="170" spans="3:16" s="159" customFormat="1" x14ac:dyDescent="0.2">
      <c r="C170" s="655"/>
      <c r="D170" s="655"/>
      <c r="J170" s="274"/>
      <c r="M170" s="276"/>
      <c r="N170" s="157"/>
      <c r="O170" s="302"/>
      <c r="P170" s="302"/>
    </row>
    <row r="171" spans="3:16" s="159" customFormat="1" x14ac:dyDescent="0.2">
      <c r="C171" s="655"/>
      <c r="D171" s="655"/>
      <c r="J171" s="274"/>
      <c r="M171" s="276"/>
      <c r="N171" s="157"/>
      <c r="O171" s="302"/>
      <c r="P171" s="302"/>
    </row>
    <row r="172" spans="3:16" s="159" customFormat="1" x14ac:dyDescent="0.2">
      <c r="C172" s="655"/>
      <c r="D172" s="655"/>
      <c r="J172" s="274"/>
      <c r="M172" s="276"/>
      <c r="N172" s="157"/>
      <c r="O172" s="302"/>
      <c r="P172" s="302"/>
    </row>
    <row r="173" spans="3:16" s="159" customFormat="1" x14ac:dyDescent="0.2">
      <c r="C173" s="655"/>
      <c r="D173" s="655"/>
      <c r="J173" s="274"/>
      <c r="M173" s="276"/>
      <c r="N173" s="157"/>
      <c r="O173" s="302"/>
      <c r="P173" s="302"/>
    </row>
    <row r="174" spans="3:16" s="159" customFormat="1" x14ac:dyDescent="0.2">
      <c r="C174" s="655"/>
      <c r="D174" s="655"/>
      <c r="J174" s="274"/>
      <c r="M174" s="276"/>
      <c r="N174" s="157"/>
      <c r="O174" s="302"/>
      <c r="P174" s="302"/>
    </row>
    <row r="175" spans="3:16" s="159" customFormat="1" x14ac:dyDescent="0.2">
      <c r="C175" s="655"/>
      <c r="D175" s="655"/>
      <c r="J175" s="274"/>
      <c r="M175" s="276"/>
      <c r="N175" s="157"/>
      <c r="O175" s="302"/>
      <c r="P175" s="302"/>
    </row>
    <row r="176" spans="3:16" s="159" customFormat="1" x14ac:dyDescent="0.2">
      <c r="C176" s="655"/>
      <c r="D176" s="655"/>
      <c r="J176" s="274"/>
      <c r="M176" s="276"/>
      <c r="N176" s="157"/>
      <c r="O176" s="302"/>
      <c r="P176" s="302"/>
    </row>
    <row r="177" spans="3:16" s="159" customFormat="1" x14ac:dyDescent="0.2">
      <c r="C177" s="655"/>
      <c r="D177" s="655"/>
      <c r="J177" s="274"/>
      <c r="M177" s="276"/>
      <c r="N177" s="157"/>
      <c r="O177" s="302"/>
      <c r="P177" s="302"/>
    </row>
    <row r="178" spans="3:16" s="159" customFormat="1" x14ac:dyDescent="0.2">
      <c r="C178" s="655"/>
      <c r="D178" s="655"/>
      <c r="J178" s="274"/>
      <c r="M178" s="276"/>
      <c r="N178" s="157"/>
      <c r="O178" s="302"/>
      <c r="P178" s="302"/>
    </row>
    <row r="179" spans="3:16" s="159" customFormat="1" x14ac:dyDescent="0.2">
      <c r="C179" s="655"/>
      <c r="D179" s="655"/>
      <c r="J179" s="274"/>
      <c r="M179" s="276"/>
      <c r="N179" s="157"/>
      <c r="O179" s="302"/>
      <c r="P179" s="302"/>
    </row>
    <row r="180" spans="3:16" s="159" customFormat="1" x14ac:dyDescent="0.2">
      <c r="C180" s="655"/>
      <c r="D180" s="655"/>
      <c r="J180" s="274"/>
      <c r="M180" s="276"/>
      <c r="N180" s="157"/>
      <c r="O180" s="302"/>
      <c r="P180" s="302"/>
    </row>
    <row r="181" spans="3:16" s="159" customFormat="1" x14ac:dyDescent="0.2">
      <c r="C181" s="655"/>
      <c r="D181" s="655"/>
      <c r="J181" s="274"/>
      <c r="M181" s="276"/>
      <c r="N181" s="157"/>
      <c r="O181" s="302"/>
      <c r="P181" s="302"/>
    </row>
    <row r="182" spans="3:16" s="159" customFormat="1" x14ac:dyDescent="0.2">
      <c r="C182" s="655"/>
      <c r="D182" s="655"/>
      <c r="J182" s="274"/>
      <c r="M182" s="276"/>
      <c r="N182" s="157"/>
      <c r="O182" s="302"/>
      <c r="P182" s="302"/>
    </row>
    <row r="183" spans="3:16" s="159" customFormat="1" x14ac:dyDescent="0.2">
      <c r="C183" s="655"/>
      <c r="D183" s="655"/>
      <c r="J183" s="274"/>
      <c r="M183" s="276"/>
      <c r="N183" s="157"/>
      <c r="O183" s="302"/>
      <c r="P183" s="302"/>
    </row>
    <row r="184" spans="3:16" s="159" customFormat="1" x14ac:dyDescent="0.2">
      <c r="C184" s="655"/>
      <c r="D184" s="655"/>
      <c r="J184" s="274"/>
      <c r="M184" s="276"/>
      <c r="N184" s="157"/>
      <c r="O184" s="302"/>
      <c r="P184" s="302"/>
    </row>
    <row r="185" spans="3:16" s="159" customFormat="1" x14ac:dyDescent="0.2">
      <c r="C185" s="655"/>
      <c r="D185" s="655"/>
      <c r="J185" s="274"/>
      <c r="M185" s="276"/>
      <c r="N185" s="157"/>
      <c r="O185" s="302"/>
      <c r="P185" s="302"/>
    </row>
    <row r="186" spans="3:16" s="159" customFormat="1" x14ac:dyDescent="0.2">
      <c r="C186" s="655"/>
      <c r="D186" s="655"/>
      <c r="J186" s="274"/>
      <c r="M186" s="276"/>
      <c r="N186" s="157"/>
      <c r="O186" s="302"/>
      <c r="P186" s="302"/>
    </row>
    <row r="187" spans="3:16" s="159" customFormat="1" x14ac:dyDescent="0.2">
      <c r="C187" s="655"/>
      <c r="D187" s="655"/>
      <c r="J187" s="274"/>
      <c r="M187" s="276"/>
      <c r="N187" s="157"/>
      <c r="O187" s="302"/>
      <c r="P187" s="302"/>
    </row>
    <row r="188" spans="3:16" s="159" customFormat="1" x14ac:dyDescent="0.2">
      <c r="C188" s="655"/>
      <c r="D188" s="655"/>
      <c r="J188" s="274"/>
      <c r="M188" s="276"/>
      <c r="N188" s="157"/>
      <c r="O188" s="302"/>
      <c r="P188" s="302"/>
    </row>
    <row r="189" spans="3:16" s="159" customFormat="1" x14ac:dyDescent="0.2">
      <c r="C189" s="655"/>
      <c r="D189" s="655"/>
      <c r="J189" s="274"/>
      <c r="M189" s="276"/>
      <c r="N189" s="157"/>
      <c r="O189" s="302"/>
      <c r="P189" s="302"/>
    </row>
    <row r="190" spans="3:16" s="159" customFormat="1" x14ac:dyDescent="0.2">
      <c r="C190" s="655"/>
      <c r="D190" s="655"/>
      <c r="J190" s="274"/>
      <c r="M190" s="276"/>
      <c r="N190" s="157"/>
      <c r="O190" s="302"/>
      <c r="P190" s="302"/>
    </row>
    <row r="191" spans="3:16" s="159" customFormat="1" x14ac:dyDescent="0.2">
      <c r="C191" s="655"/>
      <c r="D191" s="655"/>
      <c r="J191" s="274"/>
      <c r="M191" s="276"/>
      <c r="N191" s="157"/>
      <c r="O191" s="302"/>
      <c r="P191" s="302"/>
    </row>
    <row r="192" spans="3:16" s="159" customFormat="1" x14ac:dyDescent="0.2">
      <c r="C192" s="655"/>
      <c r="D192" s="655"/>
      <c r="J192" s="274"/>
      <c r="M192" s="276"/>
      <c r="N192" s="157"/>
      <c r="O192" s="302"/>
      <c r="P192" s="302"/>
    </row>
    <row r="193" spans="3:16" s="159" customFormat="1" x14ac:dyDescent="0.2">
      <c r="C193" s="655"/>
      <c r="D193" s="655"/>
      <c r="J193" s="274"/>
      <c r="M193" s="276"/>
      <c r="N193" s="157"/>
      <c r="O193" s="302"/>
      <c r="P193" s="302"/>
    </row>
    <row r="194" spans="3:16" s="159" customFormat="1" x14ac:dyDescent="0.2">
      <c r="C194" s="655"/>
      <c r="D194" s="655"/>
      <c r="J194" s="274"/>
      <c r="M194" s="276"/>
      <c r="N194" s="157"/>
      <c r="O194" s="302"/>
      <c r="P194" s="302"/>
    </row>
    <row r="195" spans="3:16" s="159" customFormat="1" x14ac:dyDescent="0.2">
      <c r="C195" s="655"/>
      <c r="D195" s="655"/>
      <c r="J195" s="274"/>
      <c r="M195" s="276"/>
      <c r="N195" s="157"/>
      <c r="O195" s="302"/>
      <c r="P195" s="302"/>
    </row>
    <row r="196" spans="3:16" s="159" customFormat="1" x14ac:dyDescent="0.2">
      <c r="C196" s="655"/>
      <c r="D196" s="655"/>
      <c r="J196" s="274"/>
      <c r="M196" s="276"/>
      <c r="N196" s="157"/>
      <c r="O196" s="302"/>
      <c r="P196" s="302"/>
    </row>
    <row r="197" spans="3:16" s="159" customFormat="1" x14ac:dyDescent="0.2">
      <c r="C197" s="655"/>
      <c r="D197" s="655"/>
      <c r="J197" s="274"/>
      <c r="M197" s="276"/>
      <c r="N197" s="157"/>
      <c r="O197" s="302"/>
      <c r="P197" s="302"/>
    </row>
    <row r="198" spans="3:16" s="159" customFormat="1" x14ac:dyDescent="0.2">
      <c r="C198" s="655"/>
      <c r="D198" s="655"/>
      <c r="J198" s="274"/>
      <c r="M198" s="276"/>
      <c r="N198" s="157"/>
      <c r="O198" s="302"/>
      <c r="P198" s="302"/>
    </row>
    <row r="199" spans="3:16" s="159" customFormat="1" x14ac:dyDescent="0.2">
      <c r="C199" s="655"/>
      <c r="D199" s="655"/>
      <c r="J199" s="274"/>
      <c r="M199" s="276"/>
      <c r="N199" s="157"/>
      <c r="O199" s="302"/>
      <c r="P199" s="302"/>
    </row>
    <row r="200" spans="3:16" s="159" customFormat="1" x14ac:dyDescent="0.2">
      <c r="C200" s="655"/>
      <c r="D200" s="655"/>
      <c r="J200" s="274"/>
      <c r="M200" s="276"/>
      <c r="N200" s="157"/>
      <c r="O200" s="302"/>
      <c r="P200" s="302"/>
    </row>
    <row r="201" spans="3:16" s="159" customFormat="1" x14ac:dyDescent="0.2">
      <c r="C201" s="655"/>
      <c r="D201" s="655"/>
      <c r="J201" s="274"/>
      <c r="M201" s="276"/>
      <c r="N201" s="157"/>
      <c r="O201" s="302"/>
      <c r="P201" s="302"/>
    </row>
    <row r="202" spans="3:16" s="159" customFormat="1" x14ac:dyDescent="0.2">
      <c r="C202" s="655"/>
      <c r="D202" s="655"/>
      <c r="J202" s="274"/>
      <c r="M202" s="276"/>
      <c r="N202" s="157"/>
      <c r="O202" s="302"/>
      <c r="P202" s="302"/>
    </row>
    <row r="203" spans="3:16" s="159" customFormat="1" x14ac:dyDescent="0.2">
      <c r="C203" s="655"/>
      <c r="D203" s="655"/>
      <c r="J203" s="274"/>
      <c r="M203" s="276"/>
      <c r="N203" s="157"/>
      <c r="O203" s="302"/>
      <c r="P203" s="302"/>
    </row>
    <row r="204" spans="3:16" s="159" customFormat="1" x14ac:dyDescent="0.2">
      <c r="C204" s="655"/>
      <c r="D204" s="655"/>
      <c r="J204" s="274"/>
      <c r="M204" s="276"/>
      <c r="N204" s="157"/>
      <c r="O204" s="302"/>
      <c r="P204" s="302"/>
    </row>
    <row r="205" spans="3:16" s="159" customFormat="1" x14ac:dyDescent="0.2">
      <c r="C205" s="655"/>
      <c r="D205" s="655"/>
      <c r="J205" s="274"/>
      <c r="M205" s="276"/>
      <c r="N205" s="157"/>
      <c r="O205" s="302"/>
      <c r="P205" s="302"/>
    </row>
    <row r="206" spans="3:16" s="159" customFormat="1" x14ac:dyDescent="0.2">
      <c r="C206" s="655"/>
      <c r="D206" s="655"/>
      <c r="J206" s="274"/>
      <c r="M206" s="276"/>
      <c r="N206" s="157"/>
      <c r="O206" s="302"/>
      <c r="P206" s="302"/>
    </row>
    <row r="207" spans="3:16" s="159" customFormat="1" x14ac:dyDescent="0.2">
      <c r="C207" s="655"/>
      <c r="D207" s="655"/>
      <c r="J207" s="274"/>
      <c r="M207" s="276"/>
      <c r="N207" s="157"/>
      <c r="O207" s="302"/>
      <c r="P207" s="302"/>
    </row>
    <row r="208" spans="3:16" s="159" customFormat="1" x14ac:dyDescent="0.2">
      <c r="C208" s="655"/>
      <c r="D208" s="655"/>
      <c r="J208" s="274"/>
      <c r="M208" s="276"/>
      <c r="N208" s="157"/>
      <c r="O208" s="302"/>
      <c r="P208" s="302"/>
    </row>
    <row r="209" spans="3:16" s="159" customFormat="1" x14ac:dyDescent="0.2">
      <c r="C209" s="655"/>
      <c r="D209" s="655"/>
      <c r="J209" s="274"/>
      <c r="M209" s="276"/>
      <c r="N209" s="157"/>
      <c r="O209" s="302"/>
      <c r="P209" s="302"/>
    </row>
    <row r="210" spans="3:16" s="159" customFormat="1" x14ac:dyDescent="0.2">
      <c r="C210" s="655"/>
      <c r="D210" s="655"/>
      <c r="J210" s="274"/>
      <c r="M210" s="276"/>
      <c r="N210" s="157"/>
      <c r="O210" s="302"/>
      <c r="P210" s="302"/>
    </row>
    <row r="211" spans="3:16" s="159" customFormat="1" x14ac:dyDescent="0.2">
      <c r="C211" s="655"/>
      <c r="D211" s="655"/>
      <c r="J211" s="274"/>
      <c r="M211" s="276"/>
      <c r="N211" s="157"/>
      <c r="O211" s="302"/>
      <c r="P211" s="302"/>
    </row>
    <row r="212" spans="3:16" s="159" customFormat="1" x14ac:dyDescent="0.2">
      <c r="C212" s="655"/>
      <c r="D212" s="655"/>
      <c r="J212" s="274"/>
      <c r="M212" s="276"/>
      <c r="N212" s="157"/>
      <c r="O212" s="302"/>
      <c r="P212" s="302"/>
    </row>
    <row r="213" spans="3:16" s="159" customFormat="1" x14ac:dyDescent="0.2">
      <c r="C213" s="655"/>
      <c r="D213" s="655"/>
      <c r="J213" s="274"/>
      <c r="M213" s="276"/>
      <c r="N213" s="157"/>
      <c r="O213" s="302"/>
      <c r="P213" s="302"/>
    </row>
    <row r="214" spans="3:16" s="159" customFormat="1" x14ac:dyDescent="0.2">
      <c r="C214" s="655"/>
      <c r="D214" s="655"/>
      <c r="J214" s="274"/>
      <c r="M214" s="276"/>
      <c r="N214" s="157"/>
      <c r="O214" s="302"/>
      <c r="P214" s="302"/>
    </row>
    <row r="215" spans="3:16" s="159" customFormat="1" x14ac:dyDescent="0.2">
      <c r="C215" s="655"/>
      <c r="D215" s="655"/>
      <c r="J215" s="274"/>
      <c r="M215" s="276"/>
      <c r="N215" s="157"/>
      <c r="O215" s="302"/>
      <c r="P215" s="302"/>
    </row>
    <row r="216" spans="3:16" s="159" customFormat="1" x14ac:dyDescent="0.2">
      <c r="C216" s="655"/>
      <c r="D216" s="655"/>
      <c r="J216" s="274"/>
      <c r="M216" s="276"/>
      <c r="N216" s="157"/>
      <c r="O216" s="302"/>
      <c r="P216" s="302"/>
    </row>
    <row r="217" spans="3:16" s="159" customFormat="1" x14ac:dyDescent="0.2">
      <c r="C217" s="655"/>
      <c r="D217" s="655"/>
      <c r="J217" s="274"/>
      <c r="M217" s="276"/>
      <c r="N217" s="157"/>
      <c r="O217" s="302"/>
      <c r="P217" s="302"/>
    </row>
    <row r="218" spans="3:16" s="159" customFormat="1" x14ac:dyDescent="0.2">
      <c r="C218" s="655"/>
      <c r="D218" s="655"/>
      <c r="J218" s="274"/>
      <c r="M218" s="276"/>
      <c r="N218" s="157"/>
      <c r="O218" s="302"/>
      <c r="P218" s="302"/>
    </row>
    <row r="219" spans="3:16" s="159" customFormat="1" x14ac:dyDescent="0.2">
      <c r="C219" s="655"/>
      <c r="D219" s="655"/>
      <c r="J219" s="274"/>
      <c r="M219" s="276"/>
      <c r="N219" s="157"/>
      <c r="O219" s="302"/>
      <c r="P219" s="302"/>
    </row>
    <row r="220" spans="3:16" s="159" customFormat="1" x14ac:dyDescent="0.2">
      <c r="C220" s="655"/>
      <c r="D220" s="655"/>
      <c r="J220" s="274"/>
      <c r="M220" s="276"/>
      <c r="N220" s="157"/>
      <c r="O220" s="302"/>
      <c r="P220" s="302"/>
    </row>
    <row r="221" spans="3:16" s="159" customFormat="1" x14ac:dyDescent="0.2">
      <c r="C221" s="655"/>
      <c r="D221" s="655"/>
      <c r="J221" s="274"/>
      <c r="M221" s="276"/>
      <c r="N221" s="157"/>
      <c r="O221" s="302"/>
      <c r="P221" s="302"/>
    </row>
    <row r="222" spans="3:16" s="159" customFormat="1" x14ac:dyDescent="0.2">
      <c r="C222" s="655"/>
      <c r="D222" s="655"/>
      <c r="J222" s="274"/>
      <c r="M222" s="276"/>
      <c r="N222" s="157"/>
      <c r="O222" s="302"/>
      <c r="P222" s="302"/>
    </row>
    <row r="223" spans="3:16" s="159" customFormat="1" x14ac:dyDescent="0.2">
      <c r="C223" s="655"/>
      <c r="D223" s="655"/>
      <c r="J223" s="274"/>
      <c r="M223" s="276"/>
      <c r="N223" s="157"/>
      <c r="O223" s="302"/>
      <c r="P223" s="302"/>
    </row>
    <row r="224" spans="3:16" s="159" customFormat="1" x14ac:dyDescent="0.2">
      <c r="C224" s="655"/>
      <c r="D224" s="655"/>
      <c r="J224" s="274"/>
      <c r="M224" s="276"/>
      <c r="N224" s="157"/>
      <c r="O224" s="302"/>
      <c r="P224" s="302"/>
    </row>
    <row r="225" spans="3:16" s="159" customFormat="1" x14ac:dyDescent="0.2">
      <c r="C225" s="655"/>
      <c r="D225" s="655"/>
      <c r="J225" s="274"/>
      <c r="M225" s="276"/>
      <c r="N225" s="157"/>
      <c r="O225" s="302"/>
      <c r="P225" s="302"/>
    </row>
    <row r="226" spans="3:16" s="159" customFormat="1" x14ac:dyDescent="0.2">
      <c r="C226" s="655"/>
      <c r="D226" s="655"/>
      <c r="J226" s="274"/>
      <c r="M226" s="276"/>
      <c r="N226" s="157"/>
      <c r="O226" s="302"/>
      <c r="P226" s="302"/>
    </row>
    <row r="227" spans="3:16" s="159" customFormat="1" x14ac:dyDescent="0.2">
      <c r="C227" s="655"/>
      <c r="D227" s="655"/>
      <c r="J227" s="274"/>
      <c r="M227" s="276"/>
      <c r="N227" s="157"/>
      <c r="O227" s="302"/>
      <c r="P227" s="302"/>
    </row>
    <row r="228" spans="3:16" s="159" customFormat="1" x14ac:dyDescent="0.2">
      <c r="C228" s="655"/>
      <c r="D228" s="655"/>
      <c r="J228" s="274"/>
      <c r="M228" s="276"/>
      <c r="N228" s="157"/>
      <c r="O228" s="302"/>
      <c r="P228" s="302"/>
    </row>
    <row r="229" spans="3:16" s="159" customFormat="1" x14ac:dyDescent="0.2">
      <c r="C229" s="655"/>
      <c r="D229" s="655"/>
      <c r="J229" s="274"/>
      <c r="M229" s="276"/>
      <c r="N229" s="157"/>
      <c r="O229" s="302"/>
      <c r="P229" s="302"/>
    </row>
    <row r="230" spans="3:16" s="159" customFormat="1" x14ac:dyDescent="0.2">
      <c r="C230" s="655"/>
      <c r="D230" s="655"/>
      <c r="J230" s="274"/>
      <c r="M230" s="276"/>
      <c r="N230" s="157"/>
      <c r="O230" s="302"/>
      <c r="P230" s="302"/>
    </row>
    <row r="231" spans="3:16" s="159" customFormat="1" x14ac:dyDescent="0.2">
      <c r="C231" s="655"/>
      <c r="D231" s="655"/>
      <c r="J231" s="274"/>
      <c r="M231" s="276"/>
      <c r="N231" s="157"/>
      <c r="O231" s="302"/>
      <c r="P231" s="302"/>
    </row>
    <row r="232" spans="3:16" s="159" customFormat="1" x14ac:dyDescent="0.2">
      <c r="C232" s="655"/>
      <c r="D232" s="655"/>
      <c r="J232" s="274"/>
      <c r="M232" s="276"/>
      <c r="N232" s="157"/>
      <c r="O232" s="302"/>
      <c r="P232" s="302"/>
    </row>
    <row r="233" spans="3:16" s="159" customFormat="1" x14ac:dyDescent="0.2">
      <c r="C233" s="655"/>
      <c r="D233" s="655"/>
      <c r="J233" s="274"/>
      <c r="M233" s="276"/>
      <c r="N233" s="157"/>
      <c r="O233" s="302"/>
      <c r="P233" s="302"/>
    </row>
    <row r="234" spans="3:16" s="159" customFormat="1" x14ac:dyDescent="0.2">
      <c r="C234" s="655"/>
      <c r="D234" s="655"/>
      <c r="J234" s="274"/>
      <c r="M234" s="276"/>
      <c r="N234" s="157"/>
      <c r="O234" s="302"/>
      <c r="P234" s="302"/>
    </row>
    <row r="235" spans="3:16" s="159" customFormat="1" x14ac:dyDescent="0.2">
      <c r="C235" s="655"/>
      <c r="D235" s="655"/>
      <c r="J235" s="274"/>
      <c r="M235" s="276"/>
      <c r="N235" s="157"/>
      <c r="O235" s="302"/>
      <c r="P235" s="302"/>
    </row>
    <row r="236" spans="3:16" s="159" customFormat="1" x14ac:dyDescent="0.2">
      <c r="C236" s="655"/>
      <c r="D236" s="655"/>
      <c r="J236" s="274"/>
      <c r="M236" s="276"/>
      <c r="N236" s="157"/>
      <c r="O236" s="302"/>
      <c r="P236" s="302"/>
    </row>
    <row r="237" spans="3:16" s="159" customFormat="1" x14ac:dyDescent="0.2">
      <c r="C237" s="655"/>
      <c r="D237" s="655"/>
      <c r="J237" s="274"/>
      <c r="M237" s="276"/>
      <c r="N237" s="157"/>
      <c r="O237" s="302"/>
      <c r="P237" s="302"/>
    </row>
  </sheetData>
  <mergeCells count="53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B56:B57"/>
    <mergeCell ref="C46:F46"/>
    <mergeCell ref="G46:I46"/>
    <mergeCell ref="C11:F11"/>
    <mergeCell ref="G11:I11"/>
    <mergeCell ref="C27:F27"/>
    <mergeCell ref="G27:I27"/>
    <mergeCell ref="C38:F38"/>
    <mergeCell ref="G38:I38"/>
    <mergeCell ref="K57:K58"/>
    <mergeCell ref="F55:F56"/>
    <mergeCell ref="G55:G56"/>
    <mergeCell ref="I55:I56"/>
    <mergeCell ref="J55:J56"/>
    <mergeCell ref="K55:K56"/>
    <mergeCell ref="F57:F58"/>
    <mergeCell ref="G57:G58"/>
    <mergeCell ref="I57:I58"/>
    <mergeCell ref="J57:J58"/>
    <mergeCell ref="Q11:Q12"/>
    <mergeCell ref="L11:L12"/>
    <mergeCell ref="M11:M12"/>
    <mergeCell ref="N11:N12"/>
    <mergeCell ref="O11:O12"/>
    <mergeCell ref="P11:P12"/>
  </mergeCells>
  <printOptions horizontalCentered="1"/>
  <pageMargins left="0.7" right="0.7" top="0.75" bottom="0.75" header="0.5" footer="0.5"/>
  <pageSetup scale="63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27</vt:i4>
      </vt:variant>
    </vt:vector>
  </HeadingPairs>
  <TitlesOfParts>
    <vt:vector size="57" baseType="lpstr">
      <vt:lpstr>Cost Data</vt:lpstr>
      <vt:lpstr>Cost Report</vt:lpstr>
      <vt:lpstr>DATA</vt:lpstr>
      <vt:lpstr>Estimate Version Comparison</vt:lpstr>
      <vt:lpstr>Client  Detailed Summary </vt:lpstr>
      <vt:lpstr>Estimate 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21</vt:lpstr>
      <vt:lpstr>22</vt:lpstr>
      <vt:lpstr>23</vt:lpstr>
      <vt:lpstr>25</vt:lpstr>
      <vt:lpstr>26</vt:lpstr>
      <vt:lpstr>27</vt:lpstr>
      <vt:lpstr>28</vt:lpstr>
      <vt:lpstr>31</vt:lpstr>
      <vt:lpstr>32</vt:lpstr>
      <vt:lpstr>33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'2'!Print_Area</vt:lpstr>
      <vt:lpstr>'21'!Print_Area</vt:lpstr>
      <vt:lpstr>'22'!Print_Area</vt:lpstr>
      <vt:lpstr>'23'!Print_Area</vt:lpstr>
      <vt:lpstr>'25'!Print_Area</vt:lpstr>
      <vt:lpstr>'26'!Print_Area</vt:lpstr>
      <vt:lpstr>'27'!Print_Area</vt:lpstr>
      <vt:lpstr>'28'!Print_Area</vt:lpstr>
      <vt:lpstr>'3'!Print_Area</vt:lpstr>
      <vt:lpstr>'31'!Print_Area</vt:lpstr>
      <vt:lpstr>'32'!Print_Area</vt:lpstr>
      <vt:lpstr>'33'!Print_Area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'Client  Detailed Summary '!Print_Area</vt:lpstr>
      <vt:lpstr>'Estimate Summary'!Print_Area</vt:lpstr>
      <vt:lpstr>'Estimate Version Comparison'!Print_Area</vt:lpstr>
    </vt:vector>
  </TitlesOfParts>
  <Company>Global Construction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Estimate</dc:title>
  <dc:creator>Greg McConnachie</dc:creator>
  <cp:lastModifiedBy>Victor Meisner</cp:lastModifiedBy>
  <cp:lastPrinted>2024-03-28T12:15:13Z</cp:lastPrinted>
  <dcterms:created xsi:type="dcterms:W3CDTF">1999-04-26T00:27:24Z</dcterms:created>
  <dcterms:modified xsi:type="dcterms:W3CDTF">2024-09-13T20:35:49Z</dcterms:modified>
</cp:coreProperties>
</file>