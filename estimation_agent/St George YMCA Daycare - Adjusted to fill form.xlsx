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S:\02 Estimates\E-3091 YMCA Daycare Building - St George\02 AG Documents\"/>
    </mc:Choice>
  </mc:AlternateContent>
  <xr:revisionPtr revIDLastSave="0" documentId="13_ncr:1_{3A0D8D69-0D11-49D9-B8B0-ED900AE9FE95}" xr6:coauthVersionLast="47" xr6:coauthVersionMax="47" xr10:uidLastSave="{00000000-0000-0000-0000-000000000000}"/>
  <bookViews>
    <workbookView xWindow="-108" yWindow="-108" windowWidth="23256" windowHeight="13896" tabRatio="920" firstSheet="5" activeTab="5" xr2:uid="{00000000-000D-0000-FFFF-FFFF00000000}"/>
  </bookViews>
  <sheets>
    <sheet name="Cost Data" sheetId="80" r:id="rId1"/>
    <sheet name="Cost Report" sheetId="81" r:id="rId2"/>
    <sheet name="DATA" sheetId="78" r:id="rId3"/>
    <sheet name="Estimate Version Comparison" sheetId="79" r:id="rId4"/>
    <sheet name="Client  Detailed Summary " sheetId="77" r:id="rId5"/>
    <sheet name="Estimate Summary" sheetId="1" r:id="rId6"/>
    <sheet name="1" sheetId="30" r:id="rId7"/>
    <sheet name="2" sheetId="29" r:id="rId8"/>
    <sheet name="3" sheetId="28" r:id="rId9"/>
    <sheet name="4" sheetId="42" r:id="rId10"/>
    <sheet name="5" sheetId="26" r:id="rId11"/>
    <sheet name="6" sheetId="25" r:id="rId12"/>
    <sheet name="7" sheetId="24" r:id="rId13"/>
    <sheet name="8" sheetId="75" r:id="rId14"/>
    <sheet name="9" sheetId="22" r:id="rId15"/>
    <sheet name="10" sheetId="43" r:id="rId16"/>
    <sheet name="11" sheetId="66" r:id="rId17"/>
    <sheet name="12" sheetId="49" r:id="rId18"/>
    <sheet name="13" sheetId="50" r:id="rId19"/>
    <sheet name="14" sheetId="45" r:id="rId20"/>
    <sheet name="21" sheetId="16" r:id="rId21"/>
    <sheet name="22" sheetId="15" r:id="rId22"/>
    <sheet name="23" sheetId="67" r:id="rId23"/>
    <sheet name="25" sheetId="68" r:id="rId24"/>
    <sheet name="26" sheetId="69" r:id="rId25"/>
    <sheet name="27" sheetId="70" r:id="rId26"/>
    <sheet name="28" sheetId="71" r:id="rId27"/>
    <sheet name="31" sheetId="72" r:id="rId28"/>
    <sheet name="32" sheetId="73" r:id="rId29"/>
    <sheet name="33" sheetId="74" r:id="rId30"/>
    <sheet name="Submittal form" sheetId="82" r:id="rId31"/>
  </sheets>
  <definedNames>
    <definedName name="_xlnm._FilterDatabase" localSheetId="1" hidden="1">'Cost Report'!$B$1:$E$182</definedName>
    <definedName name="Discount" localSheetId="16">#REF!</definedName>
    <definedName name="Discount" localSheetId="22">#REF!</definedName>
    <definedName name="Discount" localSheetId="23">#REF!</definedName>
    <definedName name="Discount" localSheetId="24">#REF!</definedName>
    <definedName name="Discount" localSheetId="25">#REF!</definedName>
    <definedName name="Discount" localSheetId="26">#REF!</definedName>
    <definedName name="Discount" localSheetId="27">#REF!</definedName>
    <definedName name="Discount" localSheetId="28">#REF!</definedName>
    <definedName name="Discount" localSheetId="29">#REF!</definedName>
    <definedName name="Discount" localSheetId="13">#REF!</definedName>
    <definedName name="Discount" localSheetId="4">#REF!</definedName>
    <definedName name="Discount" localSheetId="0">#REF!</definedName>
    <definedName name="Discount" localSheetId="1">#REF!</definedName>
    <definedName name="Discount" localSheetId="3">#REF!</definedName>
    <definedName name="Discount">#REF!</definedName>
    <definedName name="_xlnm.Print_Area" localSheetId="6">'1'!$A$1:$K$138</definedName>
    <definedName name="_xlnm.Print_Area" localSheetId="15">'10'!$A$1:$K$26</definedName>
    <definedName name="_xlnm.Print_Area" localSheetId="16">'11'!$A$1:$K$36</definedName>
    <definedName name="_xlnm.Print_Area" localSheetId="17">'12'!$A$1:$K$22</definedName>
    <definedName name="_xlnm.Print_Area" localSheetId="18">'13'!$A$1:$K$22</definedName>
    <definedName name="_xlnm.Print_Area" localSheetId="19">'14'!$A:$K</definedName>
    <definedName name="_xlnm.Print_Area" localSheetId="7">'2'!$A$1:$K$48</definedName>
    <definedName name="_xlnm.Print_Area" localSheetId="20">'21'!$A$1:$K$25</definedName>
    <definedName name="_xlnm.Print_Area" localSheetId="21">'22'!$A$1:$K$26</definedName>
    <definedName name="_xlnm.Print_Area" localSheetId="22">'23'!$A$1:$K$20</definedName>
    <definedName name="_xlnm.Print_Area" localSheetId="23">'25'!$A$1:$K$26</definedName>
    <definedName name="_xlnm.Print_Area" localSheetId="24">'26'!$A$1:$K$28</definedName>
    <definedName name="_xlnm.Print_Area" localSheetId="25">'27'!$A$1:$K$26</definedName>
    <definedName name="_xlnm.Print_Area" localSheetId="26">'28'!$A$1:$K$26</definedName>
    <definedName name="_xlnm.Print_Area" localSheetId="8">'3'!$A$1:$K$52</definedName>
    <definedName name="_xlnm.Print_Area" localSheetId="27">'31'!$A$1:$K$28</definedName>
    <definedName name="_xlnm.Print_Area" localSheetId="28">'32'!$A$1:$K$24</definedName>
    <definedName name="_xlnm.Print_Area" localSheetId="29">'33'!$A$1:$K$28</definedName>
    <definedName name="_xlnm.Print_Area" localSheetId="9">'4'!$A$1:$K$27</definedName>
    <definedName name="_xlnm.Print_Area" localSheetId="10">'5'!$A$1:$K$26</definedName>
    <definedName name="_xlnm.Print_Area" localSheetId="11">'6'!$A$1:$K$96</definedName>
    <definedName name="_xlnm.Print_Area" localSheetId="12">'7'!$A$1:$K$37</definedName>
    <definedName name="_xlnm.Print_Area" localSheetId="13">'8'!$A$1:$K$39</definedName>
    <definedName name="_xlnm.Print_Area" localSheetId="14">'9'!$A$1:$K$37</definedName>
    <definedName name="_xlnm.Print_Area" localSheetId="4">'Client  Detailed Summary '!$B$1:$H$159</definedName>
    <definedName name="_xlnm.Print_Area" localSheetId="5">'Estimate Summary'!$A$1:$J$87</definedName>
    <definedName name="_xlnm.Print_Area" localSheetId="3">'Estimate Version Comparison'!$A$1:$K$164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" i="24" l="1"/>
  <c r="N55" i="24"/>
  <c r="C45" i="28"/>
  <c r="P15" i="28"/>
  <c r="S46" i="24"/>
  <c r="C36" i="82"/>
  <c r="O25" i="72"/>
  <c r="M33" i="75"/>
  <c r="O23" i="24"/>
  <c r="O24" i="24" s="1"/>
  <c r="L26" i="25"/>
  <c r="O26" i="25"/>
  <c r="M53" i="24"/>
  <c r="J43" i="24" s="1"/>
  <c r="I51" i="24"/>
  <c r="F51" i="24"/>
  <c r="K51" i="24" s="1"/>
  <c r="I54" i="24"/>
  <c r="F54" i="24"/>
  <c r="K54" i="24" s="1"/>
  <c r="I53" i="24"/>
  <c r="F53" i="24"/>
  <c r="J42" i="24"/>
  <c r="J71" i="24"/>
  <c r="J70" i="24"/>
  <c r="J69" i="24"/>
  <c r="M75" i="24"/>
  <c r="I76" i="24"/>
  <c r="F76" i="24"/>
  <c r="J68" i="24"/>
  <c r="I80" i="24"/>
  <c r="F80" i="24"/>
  <c r="K80" i="24" s="1"/>
  <c r="I79" i="24"/>
  <c r="F79" i="24"/>
  <c r="I78" i="24"/>
  <c r="F78" i="24"/>
  <c r="K78" i="24" s="1"/>
  <c r="I77" i="24"/>
  <c r="F77" i="24"/>
  <c r="K77" i="24" s="1"/>
  <c r="I74" i="24"/>
  <c r="F74" i="24"/>
  <c r="I73" i="24"/>
  <c r="F73" i="24"/>
  <c r="I72" i="24"/>
  <c r="F72" i="24"/>
  <c r="K72" i="24" s="1"/>
  <c r="J67" i="24"/>
  <c r="I70" i="24"/>
  <c r="F70" i="24"/>
  <c r="I69" i="24"/>
  <c r="F69" i="24"/>
  <c r="I68" i="24"/>
  <c r="F68" i="24"/>
  <c r="I67" i="24"/>
  <c r="F67" i="24"/>
  <c r="I75" i="24"/>
  <c r="F75" i="24"/>
  <c r="I71" i="24"/>
  <c r="F71" i="24"/>
  <c r="L97" i="28"/>
  <c r="N95" i="28"/>
  <c r="J32" i="25"/>
  <c r="J97" i="75"/>
  <c r="J11" i="73"/>
  <c r="J43" i="22"/>
  <c r="J13" i="75"/>
  <c r="M26" i="75"/>
  <c r="J79" i="25"/>
  <c r="M20" i="15"/>
  <c r="J39" i="72"/>
  <c r="M46" i="72"/>
  <c r="J13" i="69"/>
  <c r="M109" i="24"/>
  <c r="K50" i="22"/>
  <c r="I50" i="22"/>
  <c r="F50" i="22"/>
  <c r="K49" i="22"/>
  <c r="I49" i="22"/>
  <c r="F49" i="22"/>
  <c r="I48" i="22"/>
  <c r="F48" i="22"/>
  <c r="K48" i="22" s="1"/>
  <c r="M64" i="28"/>
  <c r="M32" i="43"/>
  <c r="N20" i="72"/>
  <c r="N19" i="72"/>
  <c r="N17" i="72"/>
  <c r="U69" i="28"/>
  <c r="N62" i="25"/>
  <c r="J11" i="25"/>
  <c r="J68" i="22"/>
  <c r="J31" i="73"/>
  <c r="K33" i="73"/>
  <c r="I33" i="73"/>
  <c r="F33" i="73"/>
  <c r="I32" i="73"/>
  <c r="F32" i="73"/>
  <c r="K32" i="73" s="1"/>
  <c r="I34" i="73"/>
  <c r="F34" i="73"/>
  <c r="K34" i="73" s="1"/>
  <c r="J13" i="22"/>
  <c r="I16" i="22"/>
  <c r="F16" i="22"/>
  <c r="K16" i="22" s="1"/>
  <c r="I15" i="22"/>
  <c r="F15" i="22"/>
  <c r="K15" i="22" s="1"/>
  <c r="G132" i="30"/>
  <c r="K79" i="24" l="1"/>
  <c r="K53" i="24"/>
  <c r="K73" i="24"/>
  <c r="K76" i="24"/>
  <c r="K69" i="24"/>
  <c r="K70" i="24"/>
  <c r="K68" i="24"/>
  <c r="K74" i="24"/>
  <c r="K67" i="24"/>
  <c r="K75" i="24"/>
  <c r="K71" i="24"/>
  <c r="J34" i="43"/>
  <c r="U68" i="28" l="1"/>
  <c r="U63" i="28"/>
  <c r="T68" i="28"/>
  <c r="U62" i="28"/>
  <c r="U61" i="28"/>
  <c r="U59" i="28"/>
  <c r="S69" i="28"/>
  <c r="S60" i="28"/>
  <c r="S59" i="28"/>
  <c r="C47" i="28"/>
  <c r="F45" i="28"/>
  <c r="F40" i="28"/>
  <c r="E41" i="28"/>
  <c r="E40" i="28"/>
  <c r="J56" i="28"/>
  <c r="J31" i="28"/>
  <c r="J30" i="28"/>
  <c r="I47" i="24"/>
  <c r="F47" i="24"/>
  <c r="K47" i="24" s="1"/>
  <c r="I46" i="24"/>
  <c r="F46" i="24"/>
  <c r="I55" i="24"/>
  <c r="F55" i="24"/>
  <c r="I52" i="24"/>
  <c r="F52" i="24"/>
  <c r="I50" i="24"/>
  <c r="F50" i="24"/>
  <c r="I49" i="24"/>
  <c r="F49" i="24"/>
  <c r="I48" i="24"/>
  <c r="F48" i="24"/>
  <c r="I45" i="24"/>
  <c r="F45" i="24"/>
  <c r="J14" i="25"/>
  <c r="K25" i="25"/>
  <c r="I25" i="25"/>
  <c r="K24" i="25"/>
  <c r="I24" i="25"/>
  <c r="I23" i="25"/>
  <c r="K23" i="25" s="1"/>
  <c r="I22" i="25"/>
  <c r="K22" i="25" s="1"/>
  <c r="I26" i="25"/>
  <c r="K26" i="25" s="1"/>
  <c r="I21" i="25"/>
  <c r="K21" i="25" s="1"/>
  <c r="I20" i="25"/>
  <c r="K20" i="25" s="1"/>
  <c r="I19" i="25"/>
  <c r="K19" i="25" s="1"/>
  <c r="J21" i="24"/>
  <c r="J12" i="24"/>
  <c r="I29" i="24"/>
  <c r="F29" i="24"/>
  <c r="I28" i="24"/>
  <c r="F28" i="24"/>
  <c r="I27" i="24"/>
  <c r="F27" i="24"/>
  <c r="M25" i="24"/>
  <c r="I26" i="24"/>
  <c r="F26" i="24"/>
  <c r="I25" i="24"/>
  <c r="F25" i="24"/>
  <c r="F70" i="25"/>
  <c r="K70" i="25" s="1"/>
  <c r="F69" i="25"/>
  <c r="K69" i="25" s="1"/>
  <c r="F68" i="25"/>
  <c r="K68" i="25" s="1"/>
  <c r="F67" i="25"/>
  <c r="K67" i="25" s="1"/>
  <c r="F66" i="25"/>
  <c r="K66" i="25" s="1"/>
  <c r="F65" i="25"/>
  <c r="K65" i="25" s="1"/>
  <c r="F64" i="25"/>
  <c r="K64" i="25" s="1"/>
  <c r="F63" i="25"/>
  <c r="K63" i="25" s="1"/>
  <c r="F62" i="25"/>
  <c r="K62" i="25" s="1"/>
  <c r="F72" i="25"/>
  <c r="K72" i="25" s="1"/>
  <c r="F71" i="25"/>
  <c r="K71" i="25" s="1"/>
  <c r="F61" i="25"/>
  <c r="K61" i="25" s="1"/>
  <c r="F60" i="25"/>
  <c r="K60" i="25" s="1"/>
  <c r="F59" i="25"/>
  <c r="K59" i="25" s="1"/>
  <c r="F58" i="25"/>
  <c r="K58" i="25" s="1"/>
  <c r="M50" i="25"/>
  <c r="J48" i="25" s="1"/>
  <c r="M55" i="25"/>
  <c r="M59" i="25"/>
  <c r="F57" i="25"/>
  <c r="K57" i="25" s="1"/>
  <c r="F56" i="25"/>
  <c r="K56" i="25" s="1"/>
  <c r="F54" i="25"/>
  <c r="K54" i="25" s="1"/>
  <c r="F53" i="25"/>
  <c r="K53" i="25" s="1"/>
  <c r="F52" i="25"/>
  <c r="K52" i="25" s="1"/>
  <c r="F51" i="25"/>
  <c r="K51" i="25" s="1"/>
  <c r="F55" i="25"/>
  <c r="K55" i="25" s="1"/>
  <c r="I22" i="24"/>
  <c r="F22" i="24"/>
  <c r="I21" i="24"/>
  <c r="F21" i="24"/>
  <c r="I20" i="24"/>
  <c r="F20" i="24"/>
  <c r="I23" i="24"/>
  <c r="F23" i="24"/>
  <c r="I19" i="24"/>
  <c r="F19" i="24"/>
  <c r="E83" i="75"/>
  <c r="E82" i="75"/>
  <c r="E81" i="75"/>
  <c r="I85" i="75"/>
  <c r="F85" i="75"/>
  <c r="K85" i="75" s="1"/>
  <c r="I84" i="75"/>
  <c r="F84" i="75"/>
  <c r="K84" i="75" s="1"/>
  <c r="I86" i="75"/>
  <c r="F86" i="75"/>
  <c r="K86" i="75" s="1"/>
  <c r="J44" i="22"/>
  <c r="J11" i="22"/>
  <c r="J12" i="67"/>
  <c r="J30" i="72"/>
  <c r="M39" i="72"/>
  <c r="J41" i="73"/>
  <c r="E49" i="30"/>
  <c r="N65" i="73"/>
  <c r="N64" i="73"/>
  <c r="N67" i="73" s="1"/>
  <c r="J63" i="73"/>
  <c r="G29" i="75"/>
  <c r="G28" i="75"/>
  <c r="G27" i="75"/>
  <c r="G25" i="75"/>
  <c r="G24" i="75"/>
  <c r="G22" i="75"/>
  <c r="G19" i="75"/>
  <c r="G20" i="75"/>
  <c r="G18" i="75"/>
  <c r="G16" i="75"/>
  <c r="G15" i="75"/>
  <c r="K19" i="24" l="1"/>
  <c r="K46" i="24"/>
  <c r="J137" i="24"/>
  <c r="K52" i="24"/>
  <c r="K55" i="24"/>
  <c r="K25" i="24"/>
  <c r="K45" i="24"/>
  <c r="K20" i="24"/>
  <c r="K27" i="24"/>
  <c r="K49" i="24"/>
  <c r="K28" i="24"/>
  <c r="K50" i="24"/>
  <c r="K26" i="24"/>
  <c r="K48" i="24"/>
  <c r="K21" i="24"/>
  <c r="K29" i="24"/>
  <c r="K23" i="24"/>
  <c r="K22" i="24"/>
  <c r="J14" i="15"/>
  <c r="J12" i="15"/>
  <c r="J14" i="29"/>
  <c r="J52" i="73"/>
  <c r="J51" i="73"/>
  <c r="J26" i="73"/>
  <c r="I61" i="28" l="1"/>
  <c r="F61" i="28"/>
  <c r="K61" i="28" s="1"/>
  <c r="I60" i="28"/>
  <c r="F60" i="28"/>
  <c r="K60" i="28" s="1"/>
  <c r="I16" i="25"/>
  <c r="K16" i="25" s="1"/>
  <c r="I15" i="25"/>
  <c r="K15" i="25" s="1"/>
  <c r="I43" i="24"/>
  <c r="F43" i="24"/>
  <c r="K43" i="24" s="1"/>
  <c r="I42" i="24"/>
  <c r="F42" i="24"/>
  <c r="I44" i="24"/>
  <c r="F44" i="24"/>
  <c r="K44" i="24" l="1"/>
  <c r="K42" i="24"/>
  <c r="I52" i="73"/>
  <c r="F52" i="73"/>
  <c r="K52" i="73" s="1"/>
  <c r="C33" i="25"/>
  <c r="C37" i="25" l="1"/>
  <c r="K42" i="25"/>
  <c r="K41" i="25"/>
  <c r="C69" i="22" l="1"/>
  <c r="I32" i="22" l="1"/>
  <c r="F32" i="22"/>
  <c r="K32" i="22" s="1"/>
  <c r="I31" i="22"/>
  <c r="F31" i="22"/>
  <c r="K31" i="22" s="1"/>
  <c r="I36" i="22"/>
  <c r="F36" i="22"/>
  <c r="I35" i="22"/>
  <c r="F35" i="22"/>
  <c r="K35" i="22" s="1"/>
  <c r="I34" i="22"/>
  <c r="F34" i="22"/>
  <c r="I86" i="25"/>
  <c r="F86" i="25"/>
  <c r="I85" i="25"/>
  <c r="F85" i="25"/>
  <c r="I83" i="25"/>
  <c r="F83" i="25"/>
  <c r="K83" i="25" s="1"/>
  <c r="K86" i="25" l="1"/>
  <c r="K36" i="22"/>
  <c r="K34" i="22"/>
  <c r="K85" i="25"/>
  <c r="C98" i="75" l="1"/>
  <c r="F98" i="75"/>
  <c r="I98" i="75"/>
  <c r="I27" i="75"/>
  <c r="F27" i="75"/>
  <c r="I26" i="75"/>
  <c r="F26" i="75"/>
  <c r="K26" i="75" s="1"/>
  <c r="I23" i="75"/>
  <c r="F23" i="75"/>
  <c r="K23" i="75" s="1"/>
  <c r="I21" i="75"/>
  <c r="F21" i="75"/>
  <c r="K21" i="75" s="1"/>
  <c r="I17" i="75"/>
  <c r="F17" i="75"/>
  <c r="I14" i="75"/>
  <c r="F14" i="75"/>
  <c r="I24" i="75"/>
  <c r="F24" i="75"/>
  <c r="I25" i="75"/>
  <c r="F25" i="75"/>
  <c r="I20" i="75"/>
  <c r="F20" i="75"/>
  <c r="I22" i="75"/>
  <c r="F22" i="75"/>
  <c r="I19" i="75"/>
  <c r="F19" i="75"/>
  <c r="I16" i="75"/>
  <c r="F16" i="75"/>
  <c r="I29" i="75"/>
  <c r="F29" i="75"/>
  <c r="I18" i="75"/>
  <c r="F18" i="75"/>
  <c r="I28" i="75"/>
  <c r="F28" i="75"/>
  <c r="I15" i="75"/>
  <c r="F15" i="75"/>
  <c r="K98" i="75" l="1"/>
  <c r="K27" i="75"/>
  <c r="K17" i="75"/>
  <c r="K14" i="75"/>
  <c r="K15" i="75"/>
  <c r="K24" i="75"/>
  <c r="K25" i="75"/>
  <c r="K20" i="75"/>
  <c r="K18" i="75"/>
  <c r="K22" i="75"/>
  <c r="K16" i="75"/>
  <c r="K29" i="75"/>
  <c r="K19" i="75"/>
  <c r="K28" i="75"/>
  <c r="I18" i="24" l="1"/>
  <c r="F18" i="24"/>
  <c r="I15" i="24"/>
  <c r="F15" i="24"/>
  <c r="I14" i="24"/>
  <c r="F14" i="24"/>
  <c r="I13" i="24"/>
  <c r="F13" i="24"/>
  <c r="I17" i="24"/>
  <c r="F17" i="24"/>
  <c r="I12" i="24"/>
  <c r="F12" i="24"/>
  <c r="K40" i="25"/>
  <c r="C47" i="25"/>
  <c r="C46" i="25"/>
  <c r="E46" i="25"/>
  <c r="C50" i="25"/>
  <c r="K50" i="25"/>
  <c r="K48" i="25"/>
  <c r="K46" i="25" l="1"/>
  <c r="K14" i="24"/>
  <c r="K13" i="24"/>
  <c r="K18" i="24"/>
  <c r="K17" i="24"/>
  <c r="K15" i="24"/>
  <c r="K12" i="24"/>
  <c r="K47" i="25"/>
  <c r="C45" i="25" l="1"/>
  <c r="K36" i="25"/>
  <c r="K35" i="25"/>
  <c r="K33" i="25"/>
  <c r="E46" i="28" l="1"/>
  <c r="E43" i="28"/>
  <c r="E44" i="28" s="1"/>
  <c r="E45" i="28" s="1"/>
  <c r="E42" i="28"/>
  <c r="C59" i="28"/>
  <c r="I62" i="28"/>
  <c r="F62" i="28"/>
  <c r="K62" i="28" s="1"/>
  <c r="I59" i="28"/>
  <c r="F59" i="28"/>
  <c r="C80" i="28"/>
  <c r="L81" i="28"/>
  <c r="C79" i="28"/>
  <c r="K59" i="28" l="1"/>
  <c r="C14" i="28"/>
  <c r="I49" i="28"/>
  <c r="I48" i="28"/>
  <c r="I47" i="28"/>
  <c r="C46" i="28" l="1"/>
  <c r="I46" i="28"/>
  <c r="I45" i="28"/>
  <c r="I44" i="28"/>
  <c r="F44" i="28"/>
  <c r="K44" i="28" s="1"/>
  <c r="I56" i="72"/>
  <c r="F56" i="72"/>
  <c r="K56" i="72" s="1"/>
  <c r="C55" i="72"/>
  <c r="F55" i="72" s="1"/>
  <c r="K55" i="72" s="1"/>
  <c r="I55" i="72"/>
  <c r="I54" i="72"/>
  <c r="F54" i="72"/>
  <c r="I57" i="72"/>
  <c r="F57" i="72"/>
  <c r="K57" i="72" s="1"/>
  <c r="I53" i="72"/>
  <c r="F53" i="72"/>
  <c r="K53" i="72" s="1"/>
  <c r="I51" i="72"/>
  <c r="F51" i="72"/>
  <c r="I58" i="72"/>
  <c r="F58" i="72"/>
  <c r="I52" i="72"/>
  <c r="F52" i="72"/>
  <c r="I50" i="72"/>
  <c r="F50" i="72"/>
  <c r="K50" i="72" s="1"/>
  <c r="I49" i="72"/>
  <c r="F49" i="72"/>
  <c r="K49" i="72" s="1"/>
  <c r="I48" i="72"/>
  <c r="F48" i="72"/>
  <c r="I47" i="72"/>
  <c r="F47" i="72"/>
  <c r="I61" i="72"/>
  <c r="F61" i="72"/>
  <c r="I60" i="72"/>
  <c r="F60" i="72"/>
  <c r="I59" i="72"/>
  <c r="F59" i="72"/>
  <c r="K59" i="72" s="1"/>
  <c r="I44" i="73"/>
  <c r="F44" i="73"/>
  <c r="I43" i="73"/>
  <c r="F43" i="73"/>
  <c r="I42" i="73"/>
  <c r="F42" i="73"/>
  <c r="I12" i="73"/>
  <c r="F12" i="73"/>
  <c r="K12" i="73" s="1"/>
  <c r="I33" i="72"/>
  <c r="F33" i="72"/>
  <c r="I32" i="72"/>
  <c r="F32" i="72"/>
  <c r="K32" i="72" s="1"/>
  <c r="I37" i="72"/>
  <c r="F37" i="72"/>
  <c r="I36" i="72"/>
  <c r="F36" i="72"/>
  <c r="I35" i="72"/>
  <c r="F35" i="72"/>
  <c r="K35" i="72" s="1"/>
  <c r="F94" i="1"/>
  <c r="E106" i="1"/>
  <c r="E104" i="1"/>
  <c r="K44" i="73" l="1"/>
  <c r="K42" i="73"/>
  <c r="K43" i="73"/>
  <c r="K45" i="28"/>
  <c r="K46" i="28"/>
  <c r="K51" i="72"/>
  <c r="K54" i="72"/>
  <c r="K52" i="72"/>
  <c r="K58" i="72"/>
  <c r="K36" i="72"/>
  <c r="K48" i="72"/>
  <c r="K61" i="72"/>
  <c r="K47" i="72"/>
  <c r="K60" i="72"/>
  <c r="K33" i="72"/>
  <c r="K37" i="72"/>
  <c r="K6" i="1"/>
  <c r="A77" i="22"/>
  <c r="F91" i="30"/>
  <c r="K91" i="30" s="1"/>
  <c r="I102" i="30"/>
  <c r="C102" i="30"/>
  <c r="F102" i="30" s="1"/>
  <c r="K11" i="78"/>
  <c r="H11" i="78"/>
  <c r="D11" i="78"/>
  <c r="C11" i="78"/>
  <c r="B11" i="78"/>
  <c r="A11" i="78"/>
  <c r="F47" i="28" l="1"/>
  <c r="K47" i="28" s="1"/>
  <c r="C49" i="28"/>
  <c r="F49" i="28" s="1"/>
  <c r="K49" i="28" s="1"/>
  <c r="C48" i="28"/>
  <c r="K102" i="30"/>
  <c r="J105" i="73"/>
  <c r="J57" i="74"/>
  <c r="F48" i="28" l="1"/>
  <c r="K48" i="28" s="1"/>
  <c r="J99" i="50"/>
  <c r="T11" i="78" l="1"/>
  <c r="S11" i="78"/>
  <c r="R11" i="78"/>
  <c r="N11" i="78"/>
  <c r="J11" i="78"/>
  <c r="G11" i="78"/>
  <c r="F11" i="78"/>
  <c r="E11" i="78"/>
  <c r="G7" i="79" l="1"/>
  <c r="H7" i="79"/>
  <c r="E151" i="79"/>
  <c r="E146" i="79"/>
  <c r="E140" i="79"/>
  <c r="E134" i="79"/>
  <c r="E127" i="79"/>
  <c r="E122" i="79"/>
  <c r="E110" i="79"/>
  <c r="E105" i="79"/>
  <c r="E102" i="79"/>
  <c r="E98" i="79"/>
  <c r="E92" i="79"/>
  <c r="E86" i="79"/>
  <c r="E76" i="79"/>
  <c r="E68" i="79"/>
  <c r="E59" i="79"/>
  <c r="E47" i="79"/>
  <c r="E41" i="79"/>
  <c r="E35" i="79"/>
  <c r="E31" i="79"/>
  <c r="E24" i="79"/>
  <c r="E19" i="79"/>
  <c r="E8" i="79"/>
  <c r="C4" i="79"/>
  <c r="B3" i="79"/>
  <c r="B2" i="79"/>
  <c r="B4" i="77"/>
  <c r="B3" i="77"/>
  <c r="G57" i="74" l="1"/>
  <c r="G89" i="72"/>
  <c r="J89" i="72"/>
  <c r="G55" i="71"/>
  <c r="J55" i="71"/>
  <c r="G57" i="69" l="1"/>
  <c r="J57" i="69"/>
  <c r="G77" i="22" l="1"/>
  <c r="J77" i="22"/>
  <c r="I47" i="22"/>
  <c r="F47" i="22"/>
  <c r="I46" i="22"/>
  <c r="F46" i="22"/>
  <c r="I45" i="22"/>
  <c r="F45" i="22"/>
  <c r="I44" i="22"/>
  <c r="F44" i="22"/>
  <c r="K46" i="22" l="1"/>
  <c r="E100" i="81" s="1"/>
  <c r="K47" i="22"/>
  <c r="E101" i="81" s="1"/>
  <c r="K45" i="22"/>
  <c r="E99" i="81" s="1"/>
  <c r="K44" i="22"/>
  <c r="E98" i="81" s="1"/>
  <c r="Y41" i="28"/>
  <c r="Y53" i="28" s="1"/>
  <c r="F43" i="28" s="1"/>
  <c r="I43" i="28"/>
  <c r="G139" i="30"/>
  <c r="J77" i="26"/>
  <c r="G77" i="26"/>
  <c r="I41" i="28"/>
  <c r="G88" i="28"/>
  <c r="J88" i="28"/>
  <c r="Y39" i="28"/>
  <c r="I50" i="28"/>
  <c r="F50" i="28"/>
  <c r="I51" i="28"/>
  <c r="K43" i="28" l="1"/>
  <c r="K50" i="28"/>
  <c r="F117" i="30"/>
  <c r="C118" i="30" s="1"/>
  <c r="F118" i="30" s="1"/>
  <c r="F114" i="30"/>
  <c r="K114" i="30" s="1"/>
  <c r="F113" i="30"/>
  <c r="K113" i="30" s="1"/>
  <c r="F112" i="30"/>
  <c r="K112" i="30" s="1"/>
  <c r="F111" i="30"/>
  <c r="K111" i="30" s="1"/>
  <c r="F110" i="30"/>
  <c r="K110" i="30" s="1"/>
  <c r="F109" i="30"/>
  <c r="K109" i="30" s="1"/>
  <c r="K118" i="30" l="1"/>
  <c r="K120" i="30" s="1"/>
  <c r="Y38" i="28" l="1"/>
  <c r="Y36" i="28"/>
  <c r="Y35" i="28"/>
  <c r="Y34" i="28"/>
  <c r="Y32" i="28"/>
  <c r="Y31" i="28"/>
  <c r="G137" i="25"/>
  <c r="J137" i="25"/>
  <c r="Y52" i="28" l="1"/>
  <c r="Y50" i="28"/>
  <c r="Y51" i="28"/>
  <c r="K41" i="28" s="1"/>
  <c r="F51" i="28" l="1"/>
  <c r="K51" i="28" s="1"/>
  <c r="G51" i="29"/>
  <c r="J51" i="29"/>
  <c r="I35" i="29"/>
  <c r="F35" i="29"/>
  <c r="K35" i="29" s="1"/>
  <c r="I34" i="29"/>
  <c r="F34" i="29"/>
  <c r="K34" i="29" s="1"/>
  <c r="I33" i="29"/>
  <c r="F33" i="29"/>
  <c r="I32" i="29"/>
  <c r="F32" i="29"/>
  <c r="K32" i="29" s="1"/>
  <c r="I31" i="29"/>
  <c r="F31" i="29"/>
  <c r="I30" i="29"/>
  <c r="F30" i="29"/>
  <c r="K30" i="29" s="1"/>
  <c r="I29" i="29"/>
  <c r="F29" i="29"/>
  <c r="J88" i="79"/>
  <c r="K102" i="79"/>
  <c r="J102" i="79"/>
  <c r="J105" i="79"/>
  <c r="K110" i="79"/>
  <c r="J122" i="79"/>
  <c r="K33" i="29" l="1"/>
  <c r="K29" i="29"/>
  <c r="K31" i="29"/>
  <c r="J110" i="79"/>
  <c r="K122" i="79"/>
  <c r="K88" i="79"/>
  <c r="K105" i="79"/>
  <c r="K37" i="29" l="1"/>
  <c r="G181" i="30"/>
  <c r="G180" i="30"/>
  <c r="F179" i="30"/>
  <c r="G179" i="30" s="1"/>
  <c r="G177" i="30"/>
  <c r="G176" i="30"/>
  <c r="G174" i="30"/>
  <c r="K171" i="30"/>
  <c r="M160" i="30" s="1"/>
  <c r="G21" i="79" l="1"/>
  <c r="E31" i="81"/>
  <c r="D17" i="80"/>
  <c r="G21" i="77"/>
  <c r="C5" i="77"/>
  <c r="B87" i="1" l="1"/>
  <c r="D11" i="1" l="1"/>
  <c r="I11" i="78" s="1"/>
  <c r="J6" i="30" l="1"/>
  <c r="C40" i="30" l="1"/>
  <c r="C90" i="30"/>
  <c r="C92" i="30"/>
  <c r="C80" i="30"/>
  <c r="D55" i="30"/>
  <c r="J55" i="30" s="1"/>
  <c r="K55" i="30" s="1"/>
  <c r="D54" i="30"/>
  <c r="J54" i="30" s="1"/>
  <c r="K54" i="30" s="1"/>
  <c r="D53" i="30"/>
  <c r="J53" i="30" s="1"/>
  <c r="K53" i="30" s="1"/>
  <c r="D50" i="30"/>
  <c r="D51" i="30"/>
  <c r="J51" i="30" s="1"/>
  <c r="K51" i="30" s="1"/>
  <c r="D49" i="30"/>
  <c r="C30" i="30"/>
  <c r="F30" i="30" s="1"/>
  <c r="D172" i="30"/>
  <c r="F131" i="30"/>
  <c r="F132" i="30"/>
  <c r="F133" i="30"/>
  <c r="E6" i="30"/>
  <c r="C134" i="30" s="1"/>
  <c r="F134" i="30" s="1"/>
  <c r="F123" i="30"/>
  <c r="F124" i="30"/>
  <c r="F125" i="30"/>
  <c r="F126" i="30"/>
  <c r="F100" i="30"/>
  <c r="F101" i="30"/>
  <c r="K101" i="30" s="1"/>
  <c r="E15" i="1"/>
  <c r="E17" i="1"/>
  <c r="E19" i="1"/>
  <c r="G68" i="42"/>
  <c r="E21" i="1" s="1"/>
  <c r="E23" i="1"/>
  <c r="E25" i="1"/>
  <c r="G137" i="24"/>
  <c r="E27" i="1" s="1"/>
  <c r="G128" i="75"/>
  <c r="E29" i="1" s="1"/>
  <c r="E31" i="1"/>
  <c r="G76" i="43"/>
  <c r="E33" i="1" s="1"/>
  <c r="G99" i="66"/>
  <c r="E35" i="1" s="1"/>
  <c r="G99" i="49"/>
  <c r="E37" i="1" s="1"/>
  <c r="G99" i="50"/>
  <c r="E39" i="1" s="1"/>
  <c r="E96" i="79" s="1"/>
  <c r="G99" i="45"/>
  <c r="E41" i="1" s="1"/>
  <c r="G99" i="16"/>
  <c r="E43" i="1" s="1"/>
  <c r="G94" i="15"/>
  <c r="E45" i="1" s="1"/>
  <c r="G102" i="67"/>
  <c r="E47" i="1" s="1"/>
  <c r="G54" i="68"/>
  <c r="E49" i="1" s="1"/>
  <c r="E120" i="79" s="1"/>
  <c r="E51" i="1"/>
  <c r="G99" i="70"/>
  <c r="E53" i="1" s="1"/>
  <c r="E55" i="1"/>
  <c r="E57" i="1"/>
  <c r="G105" i="73"/>
  <c r="E59" i="1" s="1"/>
  <c r="E61" i="1"/>
  <c r="F90" i="30"/>
  <c r="F92" i="30"/>
  <c r="F13" i="29"/>
  <c r="F14" i="29"/>
  <c r="F15" i="29"/>
  <c r="F16" i="29"/>
  <c r="F17" i="29"/>
  <c r="K17" i="29" s="1"/>
  <c r="F18" i="29"/>
  <c r="F19" i="29"/>
  <c r="F20" i="29"/>
  <c r="F21" i="29"/>
  <c r="K21" i="29" s="1"/>
  <c r="F22" i="29"/>
  <c r="F23" i="29"/>
  <c r="F24" i="29"/>
  <c r="K24" i="29" s="1"/>
  <c r="F40" i="29"/>
  <c r="K40" i="29" s="1"/>
  <c r="F41" i="29"/>
  <c r="K41" i="29" s="1"/>
  <c r="F42" i="29"/>
  <c r="F43" i="29"/>
  <c r="F44" i="29"/>
  <c r="F45" i="29"/>
  <c r="F46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40" i="29"/>
  <c r="I41" i="29"/>
  <c r="I42" i="29"/>
  <c r="I43" i="29"/>
  <c r="I44" i="29"/>
  <c r="I45" i="29"/>
  <c r="I46" i="29"/>
  <c r="G17" i="1"/>
  <c r="F81" i="28"/>
  <c r="F82" i="28"/>
  <c r="F83" i="28"/>
  <c r="F68" i="28"/>
  <c r="F69" i="28"/>
  <c r="F70" i="28"/>
  <c r="F71" i="28"/>
  <c r="F72" i="28"/>
  <c r="K72" i="28" s="1"/>
  <c r="F73" i="28"/>
  <c r="F74" i="28"/>
  <c r="F55" i="28"/>
  <c r="F56" i="28"/>
  <c r="F57" i="28"/>
  <c r="F58" i="28"/>
  <c r="F63" i="28"/>
  <c r="F30" i="28"/>
  <c r="F31" i="28"/>
  <c r="F32" i="28"/>
  <c r="F33" i="28"/>
  <c r="F34" i="28"/>
  <c r="F35" i="28"/>
  <c r="F14" i="28"/>
  <c r="F15" i="28"/>
  <c r="F16" i="28"/>
  <c r="F17" i="28"/>
  <c r="F18" i="28"/>
  <c r="F19" i="28"/>
  <c r="F20" i="28"/>
  <c r="F79" i="28"/>
  <c r="F80" i="28"/>
  <c r="I81" i="28"/>
  <c r="I82" i="28"/>
  <c r="I83" i="28"/>
  <c r="I68" i="28"/>
  <c r="K68" i="28" s="1"/>
  <c r="I69" i="28"/>
  <c r="I70" i="28"/>
  <c r="I71" i="28"/>
  <c r="I72" i="28"/>
  <c r="I73" i="28"/>
  <c r="I74" i="28"/>
  <c r="I55" i="28"/>
  <c r="I56" i="28"/>
  <c r="I57" i="28"/>
  <c r="I58" i="28"/>
  <c r="I63" i="28"/>
  <c r="I40" i="28"/>
  <c r="I42" i="28"/>
  <c r="I30" i="28"/>
  <c r="I31" i="28"/>
  <c r="I32" i="28"/>
  <c r="I33" i="28"/>
  <c r="I34" i="28"/>
  <c r="I35" i="28"/>
  <c r="I14" i="28"/>
  <c r="I15" i="28"/>
  <c r="I16" i="28"/>
  <c r="I17" i="28"/>
  <c r="I18" i="28"/>
  <c r="I19" i="28"/>
  <c r="I20" i="28"/>
  <c r="I79" i="28"/>
  <c r="I80" i="28"/>
  <c r="G19" i="1"/>
  <c r="F57" i="42"/>
  <c r="F58" i="42"/>
  <c r="F59" i="42"/>
  <c r="F60" i="42"/>
  <c r="F61" i="42"/>
  <c r="F62" i="42"/>
  <c r="K62" i="42" s="1"/>
  <c r="F63" i="42"/>
  <c r="F48" i="42"/>
  <c r="K48" i="42" s="1"/>
  <c r="F49" i="42"/>
  <c r="K49" i="42" s="1"/>
  <c r="F50" i="42"/>
  <c r="K50" i="42" s="1"/>
  <c r="F51" i="42"/>
  <c r="F52" i="42"/>
  <c r="F40" i="42"/>
  <c r="F41" i="42"/>
  <c r="F42" i="42"/>
  <c r="F29" i="42"/>
  <c r="F30" i="42"/>
  <c r="K30" i="42" s="1"/>
  <c r="F31" i="42"/>
  <c r="F32" i="42"/>
  <c r="F33" i="42"/>
  <c r="K33" i="42" s="1"/>
  <c r="F34" i="42"/>
  <c r="F35" i="42"/>
  <c r="K35" i="42" s="1"/>
  <c r="F13" i="42"/>
  <c r="F14" i="42"/>
  <c r="K14" i="42" s="1"/>
  <c r="F15" i="42"/>
  <c r="F16" i="42"/>
  <c r="K16" i="42" s="1"/>
  <c r="F17" i="42"/>
  <c r="F18" i="42"/>
  <c r="K18" i="42" s="1"/>
  <c r="F19" i="42"/>
  <c r="F20" i="42"/>
  <c r="K20" i="42" s="1"/>
  <c r="F21" i="42"/>
  <c r="F22" i="42"/>
  <c r="F23" i="42"/>
  <c r="F24" i="42"/>
  <c r="I57" i="42"/>
  <c r="I58" i="42"/>
  <c r="I59" i="42"/>
  <c r="I60" i="42"/>
  <c r="I61" i="42"/>
  <c r="I62" i="42"/>
  <c r="I63" i="42"/>
  <c r="I48" i="42"/>
  <c r="I49" i="42"/>
  <c r="I50" i="42"/>
  <c r="I51" i="42"/>
  <c r="I52" i="42"/>
  <c r="K52" i="42" s="1"/>
  <c r="I40" i="42"/>
  <c r="K40" i="42" s="1"/>
  <c r="I41" i="42"/>
  <c r="K41" i="42" s="1"/>
  <c r="I42" i="42"/>
  <c r="I29" i="42"/>
  <c r="K29" i="42" s="1"/>
  <c r="I30" i="42"/>
  <c r="I31" i="42"/>
  <c r="I32" i="42"/>
  <c r="I33" i="42"/>
  <c r="I34" i="42"/>
  <c r="I35" i="42"/>
  <c r="I13" i="42"/>
  <c r="I14" i="42"/>
  <c r="I15" i="42"/>
  <c r="I16" i="42"/>
  <c r="I17" i="42"/>
  <c r="I18" i="42"/>
  <c r="I19" i="42"/>
  <c r="I20" i="42"/>
  <c r="I21" i="42"/>
  <c r="I22" i="42"/>
  <c r="K22" i="42" s="1"/>
  <c r="I23" i="42"/>
  <c r="K23" i="42" s="1"/>
  <c r="I24" i="42"/>
  <c r="K24" i="42" s="1"/>
  <c r="J68" i="42"/>
  <c r="G21" i="1" s="1"/>
  <c r="F68" i="26"/>
  <c r="F69" i="26"/>
  <c r="F70" i="26"/>
  <c r="F71" i="26"/>
  <c r="F72" i="26"/>
  <c r="F57" i="26"/>
  <c r="F58" i="26"/>
  <c r="K58" i="26" s="1"/>
  <c r="F59" i="26"/>
  <c r="F60" i="26"/>
  <c r="F61" i="26"/>
  <c r="K61" i="26" s="1"/>
  <c r="F62" i="26"/>
  <c r="K62" i="26" s="1"/>
  <c r="F63" i="26"/>
  <c r="F48" i="26"/>
  <c r="F49" i="26"/>
  <c r="F50" i="26"/>
  <c r="F51" i="26"/>
  <c r="F52" i="26"/>
  <c r="F40" i="26"/>
  <c r="K40" i="26" s="1"/>
  <c r="F41" i="26"/>
  <c r="K41" i="26" s="1"/>
  <c r="F42" i="26"/>
  <c r="F29" i="26"/>
  <c r="K29" i="26" s="1"/>
  <c r="F30" i="26"/>
  <c r="F31" i="26"/>
  <c r="F32" i="26"/>
  <c r="F33" i="26"/>
  <c r="F34" i="26"/>
  <c r="F35" i="26"/>
  <c r="F13" i="26"/>
  <c r="F14" i="26"/>
  <c r="F15" i="26"/>
  <c r="F16" i="26"/>
  <c r="F17" i="26"/>
  <c r="F18" i="26"/>
  <c r="F19" i="26"/>
  <c r="F20" i="26"/>
  <c r="F21" i="26"/>
  <c r="F22" i="26"/>
  <c r="K22" i="26" s="1"/>
  <c r="F23" i="26"/>
  <c r="K23" i="26" s="1"/>
  <c r="F24" i="26"/>
  <c r="K24" i="26" s="1"/>
  <c r="I68" i="26"/>
  <c r="I69" i="26"/>
  <c r="K69" i="26" s="1"/>
  <c r="I70" i="26"/>
  <c r="I71" i="26"/>
  <c r="I72" i="26"/>
  <c r="I57" i="26"/>
  <c r="I58" i="26"/>
  <c r="I59" i="26"/>
  <c r="I60" i="26"/>
  <c r="K60" i="26" s="1"/>
  <c r="I61" i="26"/>
  <c r="I62" i="26"/>
  <c r="I63" i="26"/>
  <c r="I48" i="26"/>
  <c r="I49" i="26"/>
  <c r="I50" i="26"/>
  <c r="I51" i="26"/>
  <c r="I52" i="26"/>
  <c r="I40" i="26"/>
  <c r="I41" i="26"/>
  <c r="I42" i="26"/>
  <c r="I29" i="26"/>
  <c r="I30" i="26"/>
  <c r="K30" i="26" s="1"/>
  <c r="I31" i="26"/>
  <c r="I32" i="26"/>
  <c r="I33" i="26"/>
  <c r="I34" i="26"/>
  <c r="I35" i="26"/>
  <c r="I13" i="26"/>
  <c r="I14" i="26"/>
  <c r="K14" i="26" s="1"/>
  <c r="I15" i="26"/>
  <c r="I16" i="26"/>
  <c r="I17" i="26"/>
  <c r="I18" i="26"/>
  <c r="I19" i="26"/>
  <c r="I20" i="26"/>
  <c r="I21" i="26"/>
  <c r="I22" i="26"/>
  <c r="I23" i="26"/>
  <c r="I24" i="26"/>
  <c r="G23" i="1"/>
  <c r="F130" i="25"/>
  <c r="F131" i="25"/>
  <c r="F132" i="25"/>
  <c r="F121" i="25"/>
  <c r="F122" i="25"/>
  <c r="F123" i="25"/>
  <c r="F124" i="25"/>
  <c r="F125" i="25"/>
  <c r="F110" i="25"/>
  <c r="F111" i="25"/>
  <c r="F112" i="25"/>
  <c r="F113" i="25"/>
  <c r="F114" i="25"/>
  <c r="F115" i="25"/>
  <c r="F116" i="25"/>
  <c r="F101" i="25"/>
  <c r="F102" i="25"/>
  <c r="F103" i="25"/>
  <c r="F104" i="25"/>
  <c r="F105" i="25"/>
  <c r="F93" i="25"/>
  <c r="F94" i="25"/>
  <c r="F95" i="25"/>
  <c r="F79" i="25"/>
  <c r="F80" i="25"/>
  <c r="F81" i="25"/>
  <c r="F82" i="25"/>
  <c r="F84" i="25"/>
  <c r="F87" i="25"/>
  <c r="F88" i="25"/>
  <c r="K39" i="25"/>
  <c r="K49" i="25"/>
  <c r="F73" i="25"/>
  <c r="I130" i="25"/>
  <c r="I131" i="25"/>
  <c r="I132" i="25"/>
  <c r="I121" i="25"/>
  <c r="I122" i="25"/>
  <c r="I123" i="25"/>
  <c r="I124" i="25"/>
  <c r="I125" i="25"/>
  <c r="I110" i="25"/>
  <c r="I111" i="25"/>
  <c r="I112" i="25"/>
  <c r="I113" i="25"/>
  <c r="I114" i="25"/>
  <c r="I115" i="25"/>
  <c r="I116" i="25"/>
  <c r="I101" i="25"/>
  <c r="I102" i="25"/>
  <c r="I103" i="25"/>
  <c r="I104" i="25"/>
  <c r="I105" i="25"/>
  <c r="I93" i="25"/>
  <c r="I94" i="25"/>
  <c r="I95" i="25"/>
  <c r="K95" i="25" s="1"/>
  <c r="I79" i="25"/>
  <c r="I80" i="25"/>
  <c r="I81" i="25"/>
  <c r="I82" i="25"/>
  <c r="I84" i="25"/>
  <c r="I87" i="25"/>
  <c r="I88" i="25"/>
  <c r="I11" i="25"/>
  <c r="I12" i="25"/>
  <c r="I13" i="25"/>
  <c r="K13" i="25" s="1"/>
  <c r="I14" i="25"/>
  <c r="I17" i="25"/>
  <c r="I18" i="25"/>
  <c r="I27" i="25"/>
  <c r="K27" i="25" s="1"/>
  <c r="G25" i="1"/>
  <c r="F131" i="24"/>
  <c r="F132" i="24"/>
  <c r="F125" i="24"/>
  <c r="F126" i="24"/>
  <c r="F119" i="24"/>
  <c r="F120" i="24"/>
  <c r="F113" i="24"/>
  <c r="F114" i="24"/>
  <c r="F115" i="24"/>
  <c r="F107" i="24"/>
  <c r="F108" i="24"/>
  <c r="F109" i="24"/>
  <c r="F102" i="24"/>
  <c r="F103" i="24"/>
  <c r="F97" i="24"/>
  <c r="F98" i="24"/>
  <c r="F92" i="24"/>
  <c r="F93" i="24"/>
  <c r="F86" i="24"/>
  <c r="F87" i="24"/>
  <c r="F88" i="24"/>
  <c r="F66" i="24"/>
  <c r="F81" i="24"/>
  <c r="F82" i="24"/>
  <c r="F60" i="24"/>
  <c r="F61" i="24"/>
  <c r="F62" i="24"/>
  <c r="F41" i="24"/>
  <c r="F56" i="24"/>
  <c r="F35" i="24"/>
  <c r="F36" i="24"/>
  <c r="F37" i="24"/>
  <c r="F11" i="24"/>
  <c r="F16" i="24"/>
  <c r="F24" i="24"/>
  <c r="F30" i="24"/>
  <c r="I131" i="24"/>
  <c r="I132" i="24"/>
  <c r="I125" i="24"/>
  <c r="I126" i="24"/>
  <c r="I119" i="24"/>
  <c r="I120" i="24"/>
  <c r="I113" i="24"/>
  <c r="I114" i="24"/>
  <c r="I115" i="24"/>
  <c r="I107" i="24"/>
  <c r="I108" i="24"/>
  <c r="I109" i="24"/>
  <c r="I102" i="24"/>
  <c r="I103" i="24"/>
  <c r="I97" i="24"/>
  <c r="K97" i="24" s="1"/>
  <c r="I98" i="24"/>
  <c r="I92" i="24"/>
  <c r="I93" i="24"/>
  <c r="I86" i="24"/>
  <c r="I87" i="24"/>
  <c r="I88" i="24"/>
  <c r="I66" i="24"/>
  <c r="I81" i="24"/>
  <c r="I82" i="24"/>
  <c r="I60" i="24"/>
  <c r="I61" i="24"/>
  <c r="I62" i="24"/>
  <c r="K62" i="24" s="1"/>
  <c r="I41" i="24"/>
  <c r="I56" i="24"/>
  <c r="I35" i="24"/>
  <c r="I36" i="24"/>
  <c r="I37" i="24"/>
  <c r="I11" i="24"/>
  <c r="I16" i="24"/>
  <c r="I24" i="24"/>
  <c r="K24" i="24" s="1"/>
  <c r="I30" i="24"/>
  <c r="G27" i="1"/>
  <c r="G64" i="1" s="1"/>
  <c r="F122" i="75"/>
  <c r="F123" i="75"/>
  <c r="F116" i="75"/>
  <c r="F117" i="75"/>
  <c r="F110" i="75"/>
  <c r="F111" i="75"/>
  <c r="F104" i="75"/>
  <c r="F105" i="75"/>
  <c r="F97" i="75"/>
  <c r="F99" i="75"/>
  <c r="F91" i="75"/>
  <c r="F92" i="75"/>
  <c r="F81" i="75"/>
  <c r="F82" i="75"/>
  <c r="F83" i="75"/>
  <c r="F87" i="75"/>
  <c r="F76" i="75"/>
  <c r="F77" i="75"/>
  <c r="F71" i="75"/>
  <c r="F72" i="75"/>
  <c r="F66" i="75"/>
  <c r="F67" i="75"/>
  <c r="F60" i="75"/>
  <c r="F61" i="75"/>
  <c r="F62" i="75"/>
  <c r="F54" i="75"/>
  <c r="F55" i="75"/>
  <c r="F56" i="75"/>
  <c r="F48" i="75"/>
  <c r="F49" i="75"/>
  <c r="F50" i="75"/>
  <c r="F43" i="75"/>
  <c r="K43" i="75" s="1"/>
  <c r="F44" i="75"/>
  <c r="F37" i="75"/>
  <c r="F38" i="75"/>
  <c r="F39" i="75"/>
  <c r="F13" i="75"/>
  <c r="F30" i="75"/>
  <c r="F31" i="75"/>
  <c r="F32" i="75"/>
  <c r="I122" i="75"/>
  <c r="I123" i="75"/>
  <c r="I116" i="75"/>
  <c r="I117" i="75"/>
  <c r="I110" i="75"/>
  <c r="I111" i="75"/>
  <c r="I104" i="75"/>
  <c r="I105" i="75"/>
  <c r="I97" i="75"/>
  <c r="I99" i="75"/>
  <c r="I91" i="75"/>
  <c r="I92" i="75"/>
  <c r="I81" i="75"/>
  <c r="I82" i="75"/>
  <c r="I83" i="75"/>
  <c r="I87" i="75"/>
  <c r="I76" i="75"/>
  <c r="I77" i="75"/>
  <c r="I71" i="75"/>
  <c r="I72" i="75"/>
  <c r="I66" i="75"/>
  <c r="I67" i="75"/>
  <c r="I60" i="75"/>
  <c r="I61" i="75"/>
  <c r="I62" i="75"/>
  <c r="I54" i="75"/>
  <c r="I55" i="75"/>
  <c r="I56" i="75"/>
  <c r="I48" i="75"/>
  <c r="I49" i="75"/>
  <c r="I50" i="75"/>
  <c r="I43" i="75"/>
  <c r="I44" i="75"/>
  <c r="I37" i="75"/>
  <c r="I38" i="75"/>
  <c r="K38" i="75" s="1"/>
  <c r="I39" i="75"/>
  <c r="I13" i="75"/>
  <c r="I30" i="75"/>
  <c r="I31" i="75"/>
  <c r="I32" i="75"/>
  <c r="J128" i="75"/>
  <c r="G29" i="1" s="1"/>
  <c r="F68" i="22"/>
  <c r="F69" i="22"/>
  <c r="F42" i="22"/>
  <c r="F43" i="22"/>
  <c r="F33" i="22"/>
  <c r="F37" i="22"/>
  <c r="F23" i="22"/>
  <c r="F24" i="22"/>
  <c r="F25" i="22"/>
  <c r="F26" i="22"/>
  <c r="F11" i="22"/>
  <c r="F12" i="22"/>
  <c r="F13" i="22"/>
  <c r="F14" i="22"/>
  <c r="F17" i="22"/>
  <c r="F18" i="22"/>
  <c r="I68" i="22"/>
  <c r="I69" i="22"/>
  <c r="I42" i="22"/>
  <c r="I43" i="22"/>
  <c r="I33" i="22"/>
  <c r="I37" i="22"/>
  <c r="I23" i="22"/>
  <c r="I24" i="22"/>
  <c r="I25" i="22"/>
  <c r="I26" i="22"/>
  <c r="I11" i="22"/>
  <c r="I12" i="22"/>
  <c r="I13" i="22"/>
  <c r="I14" i="22"/>
  <c r="I17" i="22"/>
  <c r="I18" i="22"/>
  <c r="G31" i="1"/>
  <c r="F68" i="43"/>
  <c r="F69" i="43"/>
  <c r="F70" i="43"/>
  <c r="F71" i="43"/>
  <c r="F62" i="43"/>
  <c r="F63" i="43"/>
  <c r="F56" i="43"/>
  <c r="F57" i="43"/>
  <c r="F49" i="43"/>
  <c r="F50" i="43"/>
  <c r="F51" i="43"/>
  <c r="K51" i="43" s="1"/>
  <c r="F43" i="43"/>
  <c r="F44" i="43"/>
  <c r="F28" i="43"/>
  <c r="K28" i="43" s="1"/>
  <c r="F29" i="43"/>
  <c r="F30" i="43"/>
  <c r="F31" i="43"/>
  <c r="F32" i="43"/>
  <c r="F33" i="43"/>
  <c r="F34" i="43"/>
  <c r="F20" i="43"/>
  <c r="F21" i="43"/>
  <c r="F22" i="43"/>
  <c r="F23" i="43"/>
  <c r="F11" i="43"/>
  <c r="F12" i="43"/>
  <c r="F13" i="43"/>
  <c r="K13" i="43" s="1"/>
  <c r="F14" i="43"/>
  <c r="F15" i="43"/>
  <c r="I68" i="43"/>
  <c r="I69" i="43"/>
  <c r="I70" i="43"/>
  <c r="K70" i="43" s="1"/>
  <c r="I71" i="43"/>
  <c r="I62" i="43"/>
  <c r="I63" i="43"/>
  <c r="I56" i="43"/>
  <c r="I57" i="43"/>
  <c r="I49" i="43"/>
  <c r="I50" i="43"/>
  <c r="I51" i="43"/>
  <c r="I43" i="43"/>
  <c r="I44" i="43"/>
  <c r="I28" i="43"/>
  <c r="I29" i="43"/>
  <c r="I30" i="43"/>
  <c r="I31" i="43"/>
  <c r="I32" i="43"/>
  <c r="I33" i="43"/>
  <c r="I34" i="43"/>
  <c r="K34" i="43" s="1"/>
  <c r="I20" i="43"/>
  <c r="I21" i="43"/>
  <c r="K21" i="43" s="1"/>
  <c r="I22" i="43"/>
  <c r="I23" i="43"/>
  <c r="I11" i="43"/>
  <c r="I12" i="43"/>
  <c r="I13" i="43"/>
  <c r="I14" i="43"/>
  <c r="I15" i="43"/>
  <c r="J76" i="43"/>
  <c r="G33" i="1" s="1"/>
  <c r="F91" i="66"/>
  <c r="F92" i="66"/>
  <c r="F93" i="66"/>
  <c r="F94" i="66"/>
  <c r="F82" i="66"/>
  <c r="F83" i="66"/>
  <c r="K83" i="66" s="1"/>
  <c r="F84" i="66"/>
  <c r="K84" i="66" s="1"/>
  <c r="F85" i="66"/>
  <c r="K85" i="66" s="1"/>
  <c r="F86" i="66"/>
  <c r="K86" i="66" s="1"/>
  <c r="F75" i="66"/>
  <c r="F76" i="66"/>
  <c r="F77" i="66"/>
  <c r="K77" i="66" s="1"/>
  <c r="F66" i="66"/>
  <c r="F67" i="66"/>
  <c r="F68" i="66"/>
  <c r="F69" i="66"/>
  <c r="K69" i="66" s="1"/>
  <c r="F70" i="66"/>
  <c r="F55" i="66"/>
  <c r="F56" i="66"/>
  <c r="F57" i="66"/>
  <c r="F58" i="66"/>
  <c r="F59" i="66"/>
  <c r="F60" i="66"/>
  <c r="F61" i="66"/>
  <c r="F46" i="66"/>
  <c r="F47" i="66"/>
  <c r="K47" i="66" s="1"/>
  <c r="F48" i="66"/>
  <c r="F49" i="66"/>
  <c r="K49" i="66" s="1"/>
  <c r="F50" i="66"/>
  <c r="K50" i="66" s="1"/>
  <c r="F38" i="66"/>
  <c r="F39" i="66"/>
  <c r="K39" i="66" s="1"/>
  <c r="F40" i="66"/>
  <c r="K40" i="66" s="1"/>
  <c r="F27" i="66"/>
  <c r="K27" i="66" s="1"/>
  <c r="F28" i="66"/>
  <c r="F29" i="66"/>
  <c r="K29" i="66" s="1"/>
  <c r="F30" i="66"/>
  <c r="K30" i="66" s="1"/>
  <c r="F31" i="66"/>
  <c r="F32" i="66"/>
  <c r="F33" i="66"/>
  <c r="F11" i="66"/>
  <c r="F12" i="66"/>
  <c r="F13" i="66"/>
  <c r="F14" i="66"/>
  <c r="F15" i="66"/>
  <c r="F16" i="66"/>
  <c r="F17" i="66"/>
  <c r="F18" i="66"/>
  <c r="F19" i="66"/>
  <c r="F20" i="66"/>
  <c r="F21" i="66"/>
  <c r="K21" i="66" s="1"/>
  <c r="F22" i="66"/>
  <c r="I91" i="66"/>
  <c r="K91" i="66" s="1"/>
  <c r="I92" i="66"/>
  <c r="K92" i="66" s="1"/>
  <c r="I93" i="66"/>
  <c r="I94" i="66"/>
  <c r="K94" i="66" s="1"/>
  <c r="I82" i="66"/>
  <c r="I83" i="66"/>
  <c r="I84" i="66"/>
  <c r="I85" i="66"/>
  <c r="I86" i="66"/>
  <c r="I75" i="66"/>
  <c r="I76" i="66"/>
  <c r="I77" i="66"/>
  <c r="I66" i="66"/>
  <c r="I67" i="66"/>
  <c r="I68" i="66"/>
  <c r="I69" i="66"/>
  <c r="I70" i="66"/>
  <c r="I55" i="66"/>
  <c r="K55" i="66" s="1"/>
  <c r="I56" i="66"/>
  <c r="K56" i="66" s="1"/>
  <c r="I57" i="66"/>
  <c r="K57" i="66" s="1"/>
  <c r="I58" i="66"/>
  <c r="I59" i="66"/>
  <c r="I60" i="66"/>
  <c r="I61" i="66"/>
  <c r="K61" i="66" s="1"/>
  <c r="I46" i="66"/>
  <c r="I47" i="66"/>
  <c r="I48" i="66"/>
  <c r="I49" i="66"/>
  <c r="I50" i="66"/>
  <c r="I38" i="66"/>
  <c r="I39" i="66"/>
  <c r="I40" i="66"/>
  <c r="I27" i="66"/>
  <c r="I28" i="66"/>
  <c r="I29" i="66"/>
  <c r="I30" i="66"/>
  <c r="I31" i="66"/>
  <c r="K31" i="66" s="1"/>
  <c r="I32" i="66"/>
  <c r="I33" i="66"/>
  <c r="K33" i="66" s="1"/>
  <c r="I11" i="66"/>
  <c r="K11" i="66" s="1"/>
  <c r="I12" i="66"/>
  <c r="K12" i="66" s="1"/>
  <c r="I13" i="66"/>
  <c r="I14" i="66"/>
  <c r="K14" i="66" s="1"/>
  <c r="I15" i="66"/>
  <c r="K15" i="66" s="1"/>
  <c r="I16" i="66"/>
  <c r="K16" i="66" s="1"/>
  <c r="I17" i="66"/>
  <c r="I18" i="66"/>
  <c r="I19" i="66"/>
  <c r="I20" i="66"/>
  <c r="I21" i="66"/>
  <c r="I22" i="66"/>
  <c r="J99" i="66"/>
  <c r="G35" i="1" s="1"/>
  <c r="F91" i="49"/>
  <c r="F92" i="49"/>
  <c r="F93" i="49"/>
  <c r="F94" i="49"/>
  <c r="F82" i="49"/>
  <c r="F83" i="49"/>
  <c r="F84" i="49"/>
  <c r="K84" i="49" s="1"/>
  <c r="F85" i="49"/>
  <c r="F86" i="49"/>
  <c r="K86" i="49" s="1"/>
  <c r="F75" i="49"/>
  <c r="F76" i="49"/>
  <c r="F77" i="49"/>
  <c r="F66" i="49"/>
  <c r="K66" i="49" s="1"/>
  <c r="F67" i="49"/>
  <c r="F68" i="49"/>
  <c r="F69" i="49"/>
  <c r="F70" i="49"/>
  <c r="F55" i="49"/>
  <c r="F56" i="49"/>
  <c r="F57" i="49"/>
  <c r="F58" i="49"/>
  <c r="F59" i="49"/>
  <c r="F60" i="49"/>
  <c r="K60" i="49" s="1"/>
  <c r="F61" i="49"/>
  <c r="F46" i="49"/>
  <c r="K46" i="49" s="1"/>
  <c r="F47" i="49"/>
  <c r="K47" i="49" s="1"/>
  <c r="F48" i="49"/>
  <c r="F49" i="49"/>
  <c r="F50" i="49"/>
  <c r="K50" i="49" s="1"/>
  <c r="F38" i="49"/>
  <c r="K38" i="49" s="1"/>
  <c r="F39" i="49"/>
  <c r="K39" i="49" s="1"/>
  <c r="F40" i="49"/>
  <c r="K40" i="49" s="1"/>
  <c r="F27" i="49"/>
  <c r="K27" i="49" s="1"/>
  <c r="F28" i="49"/>
  <c r="F29" i="49"/>
  <c r="F30" i="49"/>
  <c r="F31" i="49"/>
  <c r="F32" i="49"/>
  <c r="F33" i="49"/>
  <c r="F11" i="49"/>
  <c r="F12" i="49"/>
  <c r="F13" i="49"/>
  <c r="F14" i="49"/>
  <c r="F15" i="49"/>
  <c r="F16" i="49"/>
  <c r="K16" i="49" s="1"/>
  <c r="F17" i="49"/>
  <c r="K17" i="49" s="1"/>
  <c r="F18" i="49"/>
  <c r="K18" i="49" s="1"/>
  <c r="F19" i="49"/>
  <c r="F20" i="49"/>
  <c r="K20" i="49" s="1"/>
  <c r="F21" i="49"/>
  <c r="F22" i="49"/>
  <c r="I91" i="49"/>
  <c r="K91" i="49" s="1"/>
  <c r="I92" i="49"/>
  <c r="K92" i="49" s="1"/>
  <c r="I93" i="49"/>
  <c r="I94" i="49"/>
  <c r="I82" i="49"/>
  <c r="I83" i="49"/>
  <c r="I84" i="49"/>
  <c r="I85" i="49"/>
  <c r="I86" i="49"/>
  <c r="I75" i="49"/>
  <c r="I76" i="49"/>
  <c r="I77" i="49"/>
  <c r="I66" i="49"/>
  <c r="I67" i="49"/>
  <c r="I68" i="49"/>
  <c r="I69" i="49"/>
  <c r="I70" i="49"/>
  <c r="I55" i="49"/>
  <c r="I56" i="49"/>
  <c r="I57" i="49"/>
  <c r="I58" i="49"/>
  <c r="K58" i="49" s="1"/>
  <c r="I59" i="49"/>
  <c r="I60" i="49"/>
  <c r="I61" i="49"/>
  <c r="I46" i="49"/>
  <c r="I47" i="49"/>
  <c r="I48" i="49"/>
  <c r="I49" i="49"/>
  <c r="I50" i="49"/>
  <c r="I38" i="49"/>
  <c r="I39" i="49"/>
  <c r="I40" i="49"/>
  <c r="I27" i="49"/>
  <c r="I28" i="49"/>
  <c r="I29" i="49"/>
  <c r="I30" i="49"/>
  <c r="I31" i="49"/>
  <c r="I32" i="49"/>
  <c r="I33" i="49"/>
  <c r="I11" i="49"/>
  <c r="I12" i="49"/>
  <c r="K12" i="49" s="1"/>
  <c r="I13" i="49"/>
  <c r="I14" i="49"/>
  <c r="I15" i="49"/>
  <c r="I16" i="49"/>
  <c r="I17" i="49"/>
  <c r="I18" i="49"/>
  <c r="I19" i="49"/>
  <c r="I20" i="49"/>
  <c r="I21" i="49"/>
  <c r="I22" i="49"/>
  <c r="J99" i="49"/>
  <c r="G37" i="1" s="1"/>
  <c r="F21" i="50"/>
  <c r="I91" i="50"/>
  <c r="I92" i="50"/>
  <c r="I93" i="50"/>
  <c r="I94" i="50"/>
  <c r="K94" i="50" s="1"/>
  <c r="I82" i="50"/>
  <c r="I83" i="50"/>
  <c r="I84" i="50"/>
  <c r="I85" i="50"/>
  <c r="I86" i="50"/>
  <c r="I75" i="50"/>
  <c r="I76" i="50"/>
  <c r="I77" i="50"/>
  <c r="I66" i="50"/>
  <c r="I67" i="50"/>
  <c r="I68" i="50"/>
  <c r="I69" i="50"/>
  <c r="I70" i="50"/>
  <c r="I55" i="50"/>
  <c r="I56" i="50"/>
  <c r="I57" i="50"/>
  <c r="I58" i="50"/>
  <c r="I59" i="50"/>
  <c r="I60" i="50"/>
  <c r="I61" i="50"/>
  <c r="K61" i="50" s="1"/>
  <c r="I46" i="50"/>
  <c r="I47" i="50"/>
  <c r="I48" i="50"/>
  <c r="I49" i="50"/>
  <c r="I50" i="50"/>
  <c r="I38" i="50"/>
  <c r="I39" i="50"/>
  <c r="I40" i="50"/>
  <c r="I27" i="50"/>
  <c r="I28" i="50"/>
  <c r="I29" i="50"/>
  <c r="I30" i="50"/>
  <c r="I31" i="50"/>
  <c r="I32" i="50"/>
  <c r="I33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G39" i="1"/>
  <c r="F91" i="45"/>
  <c r="F92" i="45"/>
  <c r="F93" i="45"/>
  <c r="F94" i="45"/>
  <c r="F82" i="45"/>
  <c r="F83" i="45"/>
  <c r="F84" i="45"/>
  <c r="F85" i="45"/>
  <c r="F86" i="45"/>
  <c r="F75" i="45"/>
  <c r="F76" i="45"/>
  <c r="F77" i="45"/>
  <c r="F66" i="45"/>
  <c r="K66" i="45" s="1"/>
  <c r="F67" i="45"/>
  <c r="K67" i="45" s="1"/>
  <c r="F68" i="45"/>
  <c r="F69" i="45"/>
  <c r="F70" i="45"/>
  <c r="K70" i="45" s="1"/>
  <c r="F55" i="45"/>
  <c r="F56" i="45"/>
  <c r="F57" i="45"/>
  <c r="F58" i="45"/>
  <c r="F59" i="45"/>
  <c r="F60" i="45"/>
  <c r="F61" i="45"/>
  <c r="F46" i="45"/>
  <c r="F47" i="45"/>
  <c r="F48" i="45"/>
  <c r="F49" i="45"/>
  <c r="F50" i="45"/>
  <c r="K50" i="45" s="1"/>
  <c r="F38" i="45"/>
  <c r="F39" i="45"/>
  <c r="F40" i="45"/>
  <c r="F27" i="45"/>
  <c r="F28" i="45"/>
  <c r="F29" i="45"/>
  <c r="K29" i="45" s="1"/>
  <c r="F30" i="45"/>
  <c r="F31" i="45"/>
  <c r="F32" i="45"/>
  <c r="F33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K22" i="45" s="1"/>
  <c r="I91" i="45"/>
  <c r="I92" i="45"/>
  <c r="K92" i="45" s="1"/>
  <c r="I93" i="45"/>
  <c r="I94" i="45"/>
  <c r="I82" i="45"/>
  <c r="K82" i="45" s="1"/>
  <c r="I83" i="45"/>
  <c r="K83" i="45" s="1"/>
  <c r="I84" i="45"/>
  <c r="I85" i="45"/>
  <c r="I86" i="45"/>
  <c r="I75" i="45"/>
  <c r="I76" i="45"/>
  <c r="I77" i="45"/>
  <c r="I66" i="45"/>
  <c r="I67" i="45"/>
  <c r="I68" i="45"/>
  <c r="I69" i="45"/>
  <c r="I70" i="45"/>
  <c r="I55" i="45"/>
  <c r="K55" i="45" s="1"/>
  <c r="I56" i="45"/>
  <c r="I57" i="45"/>
  <c r="I58" i="45"/>
  <c r="K58" i="45" s="1"/>
  <c r="I59" i="45"/>
  <c r="K59" i="45" s="1"/>
  <c r="I60" i="45"/>
  <c r="I61" i="45"/>
  <c r="I46" i="45"/>
  <c r="K46" i="45" s="1"/>
  <c r="I47" i="45"/>
  <c r="K47" i="45" s="1"/>
  <c r="I48" i="45"/>
  <c r="I49" i="45"/>
  <c r="I50" i="45"/>
  <c r="I38" i="45"/>
  <c r="I39" i="45"/>
  <c r="I40" i="45"/>
  <c r="I27" i="45"/>
  <c r="I28" i="45"/>
  <c r="I29" i="45"/>
  <c r="I30" i="45"/>
  <c r="I31" i="45"/>
  <c r="I32" i="45"/>
  <c r="I33" i="45"/>
  <c r="I11" i="45"/>
  <c r="I12" i="45"/>
  <c r="I13" i="45"/>
  <c r="K13" i="45" s="1"/>
  <c r="I14" i="45"/>
  <c r="I15" i="45"/>
  <c r="I16" i="45"/>
  <c r="I17" i="45"/>
  <c r="I18" i="45"/>
  <c r="I19" i="45"/>
  <c r="I20" i="45"/>
  <c r="I21" i="45"/>
  <c r="I22" i="45"/>
  <c r="J99" i="45"/>
  <c r="G41" i="1" s="1"/>
  <c r="F91" i="16"/>
  <c r="F92" i="16"/>
  <c r="F93" i="16"/>
  <c r="F94" i="16"/>
  <c r="K94" i="16" s="1"/>
  <c r="F82" i="16"/>
  <c r="F83" i="16"/>
  <c r="K83" i="16" s="1"/>
  <c r="F84" i="16"/>
  <c r="F85" i="16"/>
  <c r="F86" i="16"/>
  <c r="F75" i="16"/>
  <c r="F76" i="16"/>
  <c r="F77" i="16"/>
  <c r="K77" i="16" s="1"/>
  <c r="F66" i="16"/>
  <c r="F67" i="16"/>
  <c r="K67" i="16" s="1"/>
  <c r="F68" i="16"/>
  <c r="F69" i="16"/>
  <c r="F70" i="16"/>
  <c r="F55" i="16"/>
  <c r="F56" i="16"/>
  <c r="F57" i="16"/>
  <c r="F58" i="16"/>
  <c r="F59" i="16"/>
  <c r="F60" i="16"/>
  <c r="F61" i="16"/>
  <c r="F46" i="16"/>
  <c r="F47" i="16"/>
  <c r="F48" i="16"/>
  <c r="F49" i="16"/>
  <c r="F50" i="16"/>
  <c r="F38" i="16"/>
  <c r="K38" i="16" s="1"/>
  <c r="F39" i="16"/>
  <c r="K39" i="16" s="1"/>
  <c r="F40" i="16"/>
  <c r="F27" i="16"/>
  <c r="F28" i="16"/>
  <c r="F29" i="16"/>
  <c r="F30" i="16"/>
  <c r="F31" i="16"/>
  <c r="F32" i="16"/>
  <c r="F33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K22" i="16" s="1"/>
  <c r="I91" i="16"/>
  <c r="I92" i="16"/>
  <c r="K92" i="16" s="1"/>
  <c r="I93" i="16"/>
  <c r="I94" i="16"/>
  <c r="I82" i="16"/>
  <c r="I83" i="16"/>
  <c r="I84" i="16"/>
  <c r="I85" i="16"/>
  <c r="I86" i="16"/>
  <c r="I75" i="16"/>
  <c r="I76" i="16"/>
  <c r="I77" i="16"/>
  <c r="I66" i="16"/>
  <c r="I67" i="16"/>
  <c r="I68" i="16"/>
  <c r="I69" i="16"/>
  <c r="I70" i="16"/>
  <c r="I55" i="16"/>
  <c r="I56" i="16"/>
  <c r="I57" i="16"/>
  <c r="I58" i="16"/>
  <c r="I59" i="16"/>
  <c r="K59" i="16" s="1"/>
  <c r="I60" i="16"/>
  <c r="I61" i="16"/>
  <c r="I46" i="16"/>
  <c r="I47" i="16"/>
  <c r="I48" i="16"/>
  <c r="I49" i="16"/>
  <c r="I50" i="16"/>
  <c r="I38" i="16"/>
  <c r="I39" i="16"/>
  <c r="I40" i="16"/>
  <c r="I27" i="16"/>
  <c r="I28" i="16"/>
  <c r="I29" i="16"/>
  <c r="K29" i="16" s="1"/>
  <c r="I30" i="16"/>
  <c r="I31" i="16"/>
  <c r="I32" i="16"/>
  <c r="K32" i="16" s="1"/>
  <c r="I33" i="16"/>
  <c r="I11" i="16"/>
  <c r="I12" i="16"/>
  <c r="I13" i="16"/>
  <c r="K13" i="16" s="1"/>
  <c r="I14" i="16"/>
  <c r="K14" i="16" s="1"/>
  <c r="I15" i="16"/>
  <c r="I16" i="16"/>
  <c r="I17" i="16"/>
  <c r="I18" i="16"/>
  <c r="I19" i="16"/>
  <c r="I20" i="16"/>
  <c r="I21" i="16"/>
  <c r="I22" i="16"/>
  <c r="J99" i="16"/>
  <c r="G43" i="1" s="1"/>
  <c r="F77" i="15"/>
  <c r="F78" i="15"/>
  <c r="F79" i="15"/>
  <c r="F80" i="15"/>
  <c r="K80" i="15" s="1"/>
  <c r="F81" i="15"/>
  <c r="K81" i="15" s="1"/>
  <c r="F70" i="15"/>
  <c r="F71" i="15"/>
  <c r="F72" i="15"/>
  <c r="K72" i="15" s="1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K61" i="15" s="1"/>
  <c r="F62" i="15"/>
  <c r="F63" i="15"/>
  <c r="F64" i="15"/>
  <c r="K64" i="15" s="1"/>
  <c r="F65" i="15"/>
  <c r="F38" i="15"/>
  <c r="F39" i="15"/>
  <c r="F40" i="15"/>
  <c r="K40" i="15" s="1"/>
  <c r="F41" i="15"/>
  <c r="K41" i="15" s="1"/>
  <c r="F42" i="15"/>
  <c r="F43" i="15"/>
  <c r="F44" i="15"/>
  <c r="F27" i="15"/>
  <c r="F28" i="15"/>
  <c r="F29" i="15"/>
  <c r="F30" i="15"/>
  <c r="F31" i="15"/>
  <c r="F32" i="15"/>
  <c r="F33" i="15"/>
  <c r="F11" i="15"/>
  <c r="F12" i="15"/>
  <c r="F13" i="15"/>
  <c r="F14" i="15"/>
  <c r="F15" i="15"/>
  <c r="F16" i="15"/>
  <c r="K16" i="15" s="1"/>
  <c r="F17" i="15"/>
  <c r="F18" i="15"/>
  <c r="F19" i="15"/>
  <c r="K19" i="15" s="1"/>
  <c r="F20" i="15"/>
  <c r="F21" i="15"/>
  <c r="F22" i="15"/>
  <c r="I77" i="15"/>
  <c r="I78" i="15"/>
  <c r="I79" i="15"/>
  <c r="I80" i="15"/>
  <c r="I81" i="15"/>
  <c r="I70" i="15"/>
  <c r="I71" i="15"/>
  <c r="I72" i="15"/>
  <c r="I49" i="15"/>
  <c r="I50" i="15"/>
  <c r="I51" i="15"/>
  <c r="I52" i="15"/>
  <c r="K52" i="15" s="1"/>
  <c r="I53" i="15"/>
  <c r="I54" i="15"/>
  <c r="I55" i="15"/>
  <c r="I56" i="15"/>
  <c r="K56" i="15" s="1"/>
  <c r="I57" i="15"/>
  <c r="I58" i="15"/>
  <c r="I59" i="15"/>
  <c r="I60" i="15"/>
  <c r="I61" i="15"/>
  <c r="I62" i="15"/>
  <c r="I63" i="15"/>
  <c r="I64" i="15"/>
  <c r="I65" i="15"/>
  <c r="I38" i="15"/>
  <c r="I39" i="15"/>
  <c r="I40" i="15"/>
  <c r="I41" i="15"/>
  <c r="I42" i="15"/>
  <c r="I43" i="15"/>
  <c r="I44" i="15"/>
  <c r="I27" i="15"/>
  <c r="I28" i="15"/>
  <c r="I29" i="15"/>
  <c r="I30" i="15"/>
  <c r="K30" i="15" s="1"/>
  <c r="I31" i="15"/>
  <c r="I32" i="15"/>
  <c r="I33" i="15"/>
  <c r="I11" i="15"/>
  <c r="K11" i="15" s="1"/>
  <c r="I12" i="15"/>
  <c r="I13" i="15"/>
  <c r="I14" i="15"/>
  <c r="I15" i="15"/>
  <c r="I16" i="15"/>
  <c r="I17" i="15"/>
  <c r="I18" i="15"/>
  <c r="I19" i="15"/>
  <c r="I20" i="15"/>
  <c r="I21" i="15"/>
  <c r="I22" i="15"/>
  <c r="J94" i="15"/>
  <c r="G45" i="1" s="1"/>
  <c r="F94" i="67"/>
  <c r="F95" i="67"/>
  <c r="F96" i="67"/>
  <c r="F97" i="67"/>
  <c r="F88" i="67"/>
  <c r="F89" i="67"/>
  <c r="F82" i="67"/>
  <c r="F83" i="67"/>
  <c r="F76" i="67"/>
  <c r="F77" i="67"/>
  <c r="F61" i="67"/>
  <c r="F62" i="67"/>
  <c r="F63" i="67"/>
  <c r="F64" i="67"/>
  <c r="F65" i="67"/>
  <c r="F66" i="67"/>
  <c r="F67" i="67"/>
  <c r="F68" i="67"/>
  <c r="F69" i="67"/>
  <c r="F70" i="67"/>
  <c r="F71" i="67"/>
  <c r="F56" i="67"/>
  <c r="F49" i="67"/>
  <c r="F50" i="67"/>
  <c r="F51" i="67"/>
  <c r="K51" i="67" s="1"/>
  <c r="F41" i="67"/>
  <c r="F42" i="67"/>
  <c r="F43" i="67"/>
  <c r="F44" i="67"/>
  <c r="F34" i="67"/>
  <c r="F35" i="67"/>
  <c r="F36" i="67"/>
  <c r="F28" i="67"/>
  <c r="K28" i="67" s="1"/>
  <c r="F29" i="67"/>
  <c r="F21" i="67"/>
  <c r="F22" i="67"/>
  <c r="F23" i="67"/>
  <c r="K23" i="67" s="1"/>
  <c r="F11" i="67"/>
  <c r="F12" i="67"/>
  <c r="K12" i="67" s="1"/>
  <c r="F13" i="67"/>
  <c r="F14" i="67"/>
  <c r="K14" i="67" s="1"/>
  <c r="F15" i="67"/>
  <c r="F16" i="67"/>
  <c r="I94" i="67"/>
  <c r="K94" i="67" s="1"/>
  <c r="I95" i="67"/>
  <c r="K95" i="67" s="1"/>
  <c r="I96" i="67"/>
  <c r="I97" i="67"/>
  <c r="K97" i="67" s="1"/>
  <c r="I88" i="67"/>
  <c r="I89" i="67"/>
  <c r="I82" i="67"/>
  <c r="I83" i="67"/>
  <c r="I76" i="67"/>
  <c r="I77" i="67"/>
  <c r="I61" i="67"/>
  <c r="I62" i="67"/>
  <c r="K62" i="67" s="1"/>
  <c r="I63" i="67"/>
  <c r="I64" i="67"/>
  <c r="I65" i="67"/>
  <c r="I66" i="67"/>
  <c r="K66" i="67" s="1"/>
  <c r="I67" i="67"/>
  <c r="I68" i="67"/>
  <c r="I69" i="67"/>
  <c r="I70" i="67"/>
  <c r="K70" i="67" s="1"/>
  <c r="I71" i="67"/>
  <c r="K71" i="67" s="1"/>
  <c r="I56" i="67"/>
  <c r="I49" i="67"/>
  <c r="I50" i="67"/>
  <c r="K50" i="67" s="1"/>
  <c r="I51" i="67"/>
  <c r="I41" i="67"/>
  <c r="I42" i="67"/>
  <c r="I43" i="67"/>
  <c r="I44" i="67"/>
  <c r="I34" i="67"/>
  <c r="I35" i="67"/>
  <c r="I36" i="67"/>
  <c r="K36" i="67" s="1"/>
  <c r="I28" i="67"/>
  <c r="I29" i="67"/>
  <c r="I21" i="67"/>
  <c r="I22" i="67"/>
  <c r="K22" i="67" s="1"/>
  <c r="I23" i="67"/>
  <c r="I11" i="67"/>
  <c r="I12" i="67"/>
  <c r="I13" i="67"/>
  <c r="K13" i="67" s="1"/>
  <c r="I14" i="67"/>
  <c r="I15" i="67"/>
  <c r="I16" i="67"/>
  <c r="J102" i="67"/>
  <c r="G47" i="1" s="1"/>
  <c r="F46" i="68"/>
  <c r="K46" i="68" s="1"/>
  <c r="F47" i="68"/>
  <c r="F48" i="68"/>
  <c r="F49" i="68"/>
  <c r="F38" i="68"/>
  <c r="F39" i="68"/>
  <c r="F40" i="68"/>
  <c r="F27" i="68"/>
  <c r="F28" i="68"/>
  <c r="F29" i="68"/>
  <c r="F30" i="68"/>
  <c r="F31" i="68"/>
  <c r="F32" i="68"/>
  <c r="F33" i="68"/>
  <c r="F11" i="68"/>
  <c r="F12" i="68"/>
  <c r="F13" i="68"/>
  <c r="F14" i="68"/>
  <c r="F15" i="68"/>
  <c r="F16" i="68"/>
  <c r="F17" i="68"/>
  <c r="F18" i="68"/>
  <c r="F19" i="68"/>
  <c r="F20" i="68"/>
  <c r="F21" i="68"/>
  <c r="F22" i="68"/>
  <c r="I46" i="68"/>
  <c r="I47" i="68"/>
  <c r="I48" i="68"/>
  <c r="I49" i="68"/>
  <c r="I38" i="68"/>
  <c r="I39" i="68"/>
  <c r="I40" i="68"/>
  <c r="I27" i="68"/>
  <c r="I28" i="68"/>
  <c r="I29" i="68"/>
  <c r="I30" i="68"/>
  <c r="I31" i="68"/>
  <c r="I32" i="68"/>
  <c r="K32" i="68" s="1"/>
  <c r="I33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J54" i="68"/>
  <c r="G49" i="1" s="1"/>
  <c r="F48" i="69"/>
  <c r="F49" i="69"/>
  <c r="K49" i="69" s="1"/>
  <c r="F50" i="69"/>
  <c r="F51" i="69"/>
  <c r="K51" i="69" s="1"/>
  <c r="F52" i="69"/>
  <c r="K52" i="69" s="1"/>
  <c r="F40" i="69"/>
  <c r="K40" i="69" s="1"/>
  <c r="F41" i="69"/>
  <c r="F42" i="69"/>
  <c r="F29" i="69"/>
  <c r="F30" i="69"/>
  <c r="F31" i="69"/>
  <c r="F32" i="69"/>
  <c r="F33" i="69"/>
  <c r="F34" i="69"/>
  <c r="F35" i="69"/>
  <c r="F13" i="69"/>
  <c r="F14" i="69"/>
  <c r="F15" i="69"/>
  <c r="F16" i="69"/>
  <c r="F17" i="69"/>
  <c r="F18" i="69"/>
  <c r="F19" i="69"/>
  <c r="K19" i="69" s="1"/>
  <c r="F20" i="69"/>
  <c r="F21" i="69"/>
  <c r="F22" i="69"/>
  <c r="K22" i="69" s="1"/>
  <c r="F23" i="69"/>
  <c r="K23" i="69" s="1"/>
  <c r="F24" i="69"/>
  <c r="I48" i="69"/>
  <c r="I49" i="69"/>
  <c r="I50" i="69"/>
  <c r="I51" i="69"/>
  <c r="I52" i="69"/>
  <c r="I40" i="69"/>
  <c r="I41" i="69"/>
  <c r="I42" i="69"/>
  <c r="I29" i="69"/>
  <c r="I30" i="69"/>
  <c r="I31" i="69"/>
  <c r="I32" i="69"/>
  <c r="I33" i="69"/>
  <c r="I34" i="69"/>
  <c r="I35" i="69"/>
  <c r="I13" i="69"/>
  <c r="K13" i="69" s="1"/>
  <c r="I14" i="69"/>
  <c r="K14" i="69" s="1"/>
  <c r="I15" i="69"/>
  <c r="I16" i="69"/>
  <c r="I17" i="69"/>
  <c r="K17" i="69" s="1"/>
  <c r="I18" i="69"/>
  <c r="I19" i="69"/>
  <c r="I20" i="69"/>
  <c r="I21" i="69"/>
  <c r="I22" i="69"/>
  <c r="I23" i="69"/>
  <c r="I24" i="69"/>
  <c r="G51" i="1"/>
  <c r="F91" i="70"/>
  <c r="F92" i="70"/>
  <c r="F93" i="70"/>
  <c r="K93" i="70" s="1"/>
  <c r="F94" i="70"/>
  <c r="F82" i="70"/>
  <c r="F83" i="70"/>
  <c r="K83" i="70" s="1"/>
  <c r="F84" i="70"/>
  <c r="F85" i="70"/>
  <c r="F86" i="70"/>
  <c r="K86" i="70" s="1"/>
  <c r="F75" i="70"/>
  <c r="K75" i="70" s="1"/>
  <c r="F76" i="70"/>
  <c r="K76" i="70" s="1"/>
  <c r="F77" i="70"/>
  <c r="F66" i="70"/>
  <c r="K66" i="70" s="1"/>
  <c r="F67" i="70"/>
  <c r="F68" i="70"/>
  <c r="F69" i="70"/>
  <c r="F70" i="70"/>
  <c r="F55" i="70"/>
  <c r="F56" i="70"/>
  <c r="F57" i="70"/>
  <c r="F58" i="70"/>
  <c r="F59" i="70"/>
  <c r="F60" i="70"/>
  <c r="F61" i="70"/>
  <c r="F46" i="70"/>
  <c r="F47" i="70"/>
  <c r="F48" i="70"/>
  <c r="F49" i="70"/>
  <c r="F50" i="70"/>
  <c r="K50" i="70" s="1"/>
  <c r="F38" i="70"/>
  <c r="F39" i="70"/>
  <c r="F40" i="70"/>
  <c r="F27" i="70"/>
  <c r="K27" i="70" s="1"/>
  <c r="F28" i="70"/>
  <c r="F29" i="70"/>
  <c r="F30" i="70"/>
  <c r="F31" i="70"/>
  <c r="F32" i="70"/>
  <c r="F33" i="70"/>
  <c r="F11" i="70"/>
  <c r="F12" i="70"/>
  <c r="F13" i="70"/>
  <c r="F14" i="70"/>
  <c r="F15" i="70"/>
  <c r="F16" i="70"/>
  <c r="K16" i="70" s="1"/>
  <c r="F17" i="70"/>
  <c r="F18" i="70"/>
  <c r="F19" i="70"/>
  <c r="F20" i="70"/>
  <c r="K20" i="70" s="1"/>
  <c r="F21" i="70"/>
  <c r="F22" i="70"/>
  <c r="I91" i="70"/>
  <c r="K91" i="70" s="1"/>
  <c r="I92" i="70"/>
  <c r="I93" i="70"/>
  <c r="I94" i="70"/>
  <c r="I82" i="70"/>
  <c r="I83" i="70"/>
  <c r="I84" i="70"/>
  <c r="I85" i="70"/>
  <c r="I86" i="70"/>
  <c r="I75" i="70"/>
  <c r="I76" i="70"/>
  <c r="I77" i="70"/>
  <c r="I66" i="70"/>
  <c r="I67" i="70"/>
  <c r="K67" i="70" s="1"/>
  <c r="I68" i="70"/>
  <c r="I69" i="70"/>
  <c r="K69" i="70" s="1"/>
  <c r="I70" i="70"/>
  <c r="K70" i="70" s="1"/>
  <c r="I55" i="70"/>
  <c r="I56" i="70"/>
  <c r="I57" i="70"/>
  <c r="I58" i="70"/>
  <c r="I59" i="70"/>
  <c r="I60" i="70"/>
  <c r="I61" i="70"/>
  <c r="I46" i="70"/>
  <c r="I47" i="70"/>
  <c r="I48" i="70"/>
  <c r="I49" i="70"/>
  <c r="I50" i="70"/>
  <c r="I38" i="70"/>
  <c r="I39" i="70"/>
  <c r="I40" i="70"/>
  <c r="I27" i="70"/>
  <c r="I28" i="70"/>
  <c r="I29" i="70"/>
  <c r="I30" i="70"/>
  <c r="I31" i="70"/>
  <c r="I32" i="70"/>
  <c r="I33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J99" i="70"/>
  <c r="G53" i="1" s="1"/>
  <c r="F46" i="71"/>
  <c r="F47" i="71"/>
  <c r="F48" i="71"/>
  <c r="F49" i="71"/>
  <c r="F50" i="71"/>
  <c r="F38" i="71"/>
  <c r="F39" i="71"/>
  <c r="F40" i="71"/>
  <c r="F27" i="71"/>
  <c r="F28" i="71"/>
  <c r="F29" i="71"/>
  <c r="F30" i="71"/>
  <c r="F31" i="71"/>
  <c r="F32" i="71"/>
  <c r="F33" i="71"/>
  <c r="F11" i="71"/>
  <c r="F12" i="71"/>
  <c r="F13" i="71"/>
  <c r="F14" i="71"/>
  <c r="F15" i="71"/>
  <c r="F16" i="71"/>
  <c r="F17" i="71"/>
  <c r="F18" i="71"/>
  <c r="F19" i="71"/>
  <c r="F20" i="71"/>
  <c r="F21" i="71"/>
  <c r="F22" i="71"/>
  <c r="I46" i="71"/>
  <c r="I47" i="71"/>
  <c r="K47" i="71" s="1"/>
  <c r="I48" i="71"/>
  <c r="I49" i="71"/>
  <c r="I50" i="71"/>
  <c r="I38" i="71"/>
  <c r="I39" i="71"/>
  <c r="I40" i="71"/>
  <c r="I27" i="71"/>
  <c r="I28" i="71"/>
  <c r="I29" i="71"/>
  <c r="I30" i="71"/>
  <c r="I31" i="71"/>
  <c r="I32" i="71"/>
  <c r="I33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G55" i="1"/>
  <c r="F80" i="72"/>
  <c r="F81" i="72"/>
  <c r="F82" i="72"/>
  <c r="F83" i="72"/>
  <c r="F84" i="72"/>
  <c r="F72" i="72"/>
  <c r="F73" i="72"/>
  <c r="F74" i="72"/>
  <c r="F29" i="72"/>
  <c r="F30" i="72"/>
  <c r="F31" i="72"/>
  <c r="F34" i="72"/>
  <c r="F38" i="72"/>
  <c r="F39" i="72"/>
  <c r="F40" i="72"/>
  <c r="F41" i="72"/>
  <c r="F42" i="72"/>
  <c r="F43" i="72"/>
  <c r="F44" i="72"/>
  <c r="F45" i="72"/>
  <c r="F46" i="72"/>
  <c r="F62" i="72"/>
  <c r="F63" i="72"/>
  <c r="F64" i="72"/>
  <c r="F65" i="72"/>
  <c r="F66" i="72"/>
  <c r="F67" i="72"/>
  <c r="I80" i="72"/>
  <c r="I81" i="72"/>
  <c r="I82" i="72"/>
  <c r="I83" i="72"/>
  <c r="I84" i="72"/>
  <c r="I72" i="72"/>
  <c r="I73" i="72"/>
  <c r="I74" i="72"/>
  <c r="I29" i="72"/>
  <c r="I30" i="72"/>
  <c r="I31" i="72"/>
  <c r="I34" i="72"/>
  <c r="I38" i="72"/>
  <c r="I39" i="72"/>
  <c r="I40" i="72"/>
  <c r="I41" i="72"/>
  <c r="I42" i="72"/>
  <c r="I43" i="72"/>
  <c r="K43" i="72" s="1"/>
  <c r="I44" i="72"/>
  <c r="I45" i="72"/>
  <c r="I46" i="72"/>
  <c r="I62" i="72"/>
  <c r="I63" i="72"/>
  <c r="I64" i="72"/>
  <c r="I65" i="72"/>
  <c r="I66" i="72"/>
  <c r="I67" i="72"/>
  <c r="G57" i="1"/>
  <c r="F97" i="73"/>
  <c r="F98" i="73"/>
  <c r="F99" i="73"/>
  <c r="F100" i="73"/>
  <c r="F88" i="73"/>
  <c r="F89" i="73"/>
  <c r="F90" i="73"/>
  <c r="F91" i="73"/>
  <c r="F92" i="73"/>
  <c r="F81" i="73"/>
  <c r="F82" i="73"/>
  <c r="F83" i="73"/>
  <c r="F72" i="73"/>
  <c r="F73" i="73"/>
  <c r="F74" i="73"/>
  <c r="F75" i="73"/>
  <c r="F76" i="73"/>
  <c r="F61" i="73"/>
  <c r="F62" i="73"/>
  <c r="F63" i="73"/>
  <c r="F64" i="73"/>
  <c r="F65" i="73"/>
  <c r="F66" i="73"/>
  <c r="F67" i="73"/>
  <c r="F51" i="73"/>
  <c r="F53" i="73"/>
  <c r="F54" i="73"/>
  <c r="F55" i="73"/>
  <c r="F56" i="73"/>
  <c r="F40" i="73"/>
  <c r="F41" i="73"/>
  <c r="F45" i="73"/>
  <c r="F26" i="73"/>
  <c r="F27" i="73"/>
  <c r="F28" i="73"/>
  <c r="F29" i="73"/>
  <c r="F30" i="73"/>
  <c r="F31" i="73"/>
  <c r="F35" i="73"/>
  <c r="F11" i="73"/>
  <c r="F13" i="73"/>
  <c r="F14" i="73"/>
  <c r="F15" i="73"/>
  <c r="F16" i="73"/>
  <c r="F17" i="73"/>
  <c r="F18" i="73"/>
  <c r="F19" i="73"/>
  <c r="F20" i="73"/>
  <c r="I97" i="73"/>
  <c r="I98" i="73"/>
  <c r="I99" i="73"/>
  <c r="I100" i="73"/>
  <c r="I88" i="73"/>
  <c r="I89" i="73"/>
  <c r="I90" i="73"/>
  <c r="I91" i="73"/>
  <c r="K91" i="73" s="1"/>
  <c r="I92" i="73"/>
  <c r="K92" i="73" s="1"/>
  <c r="I81" i="73"/>
  <c r="I82" i="73"/>
  <c r="K82" i="73" s="1"/>
  <c r="I83" i="73"/>
  <c r="I72" i="73"/>
  <c r="I73" i="73"/>
  <c r="I74" i="73"/>
  <c r="I75" i="73"/>
  <c r="I76" i="73"/>
  <c r="I61" i="73"/>
  <c r="I62" i="73"/>
  <c r="I63" i="73"/>
  <c r="I64" i="73"/>
  <c r="I65" i="73"/>
  <c r="I66" i="73"/>
  <c r="K66" i="73" s="1"/>
  <c r="I67" i="73"/>
  <c r="I51" i="73"/>
  <c r="I53" i="73"/>
  <c r="I54" i="73"/>
  <c r="I55" i="73"/>
  <c r="I56" i="73"/>
  <c r="I40" i="73"/>
  <c r="I41" i="73"/>
  <c r="I45" i="73"/>
  <c r="I26" i="73"/>
  <c r="I27" i="73"/>
  <c r="I28" i="73"/>
  <c r="I29" i="73"/>
  <c r="I30" i="73"/>
  <c r="I31" i="73"/>
  <c r="I35" i="73"/>
  <c r="I11" i="73"/>
  <c r="I13" i="73"/>
  <c r="I14" i="73"/>
  <c r="I15" i="73"/>
  <c r="I16" i="73"/>
  <c r="K16" i="73" s="1"/>
  <c r="I17" i="73"/>
  <c r="I18" i="73"/>
  <c r="I19" i="73"/>
  <c r="I20" i="73"/>
  <c r="K20" i="73" s="1"/>
  <c r="G59" i="1"/>
  <c r="F48" i="74"/>
  <c r="F49" i="74"/>
  <c r="K49" i="74" s="1"/>
  <c r="F50" i="74"/>
  <c r="F51" i="74"/>
  <c r="F52" i="74"/>
  <c r="F40" i="74"/>
  <c r="F41" i="74"/>
  <c r="F42" i="74"/>
  <c r="K42" i="74" s="1"/>
  <c r="F43" i="74"/>
  <c r="F29" i="74"/>
  <c r="F30" i="74"/>
  <c r="F31" i="74"/>
  <c r="F32" i="74"/>
  <c r="F33" i="74"/>
  <c r="F34" i="74"/>
  <c r="F35" i="74"/>
  <c r="K35" i="74" s="1"/>
  <c r="F13" i="74"/>
  <c r="K13" i="74" s="1"/>
  <c r="F14" i="74"/>
  <c r="K14" i="74" s="1"/>
  <c r="F15" i="74"/>
  <c r="K15" i="74" s="1"/>
  <c r="F16" i="74"/>
  <c r="K16" i="74" s="1"/>
  <c r="F17" i="74"/>
  <c r="F18" i="74"/>
  <c r="K18" i="74" s="1"/>
  <c r="F19" i="74"/>
  <c r="F20" i="74"/>
  <c r="F21" i="74"/>
  <c r="F22" i="74"/>
  <c r="F23" i="74"/>
  <c r="F24" i="74"/>
  <c r="I48" i="74"/>
  <c r="I49" i="74"/>
  <c r="I50" i="74"/>
  <c r="I51" i="74"/>
  <c r="I52" i="74"/>
  <c r="I40" i="74"/>
  <c r="I41" i="74"/>
  <c r="I42" i="74"/>
  <c r="I43" i="74"/>
  <c r="I29" i="74"/>
  <c r="I30" i="74"/>
  <c r="I31" i="74"/>
  <c r="K31" i="74" s="1"/>
  <c r="I32" i="74"/>
  <c r="I33" i="74"/>
  <c r="K33" i="74" s="1"/>
  <c r="I34" i="74"/>
  <c r="I35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G61" i="1"/>
  <c r="C94" i="30"/>
  <c r="F94" i="30" s="1"/>
  <c r="F95" i="30"/>
  <c r="F79" i="30"/>
  <c r="F80" i="30"/>
  <c r="F81" i="30"/>
  <c r="F82" i="30"/>
  <c r="F83" i="30"/>
  <c r="F84" i="30"/>
  <c r="F85" i="30"/>
  <c r="F70" i="30"/>
  <c r="F71" i="30"/>
  <c r="F72" i="30"/>
  <c r="F73" i="30"/>
  <c r="F74" i="30"/>
  <c r="F27" i="30"/>
  <c r="F28" i="30"/>
  <c r="C29" i="30"/>
  <c r="I29" i="30" s="1"/>
  <c r="C31" i="30"/>
  <c r="F32" i="30"/>
  <c r="F33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I131" i="30"/>
  <c r="I132" i="30"/>
  <c r="I133" i="30"/>
  <c r="I134" i="30"/>
  <c r="I123" i="30"/>
  <c r="I124" i="30"/>
  <c r="I125" i="30"/>
  <c r="I126" i="30"/>
  <c r="I100" i="30"/>
  <c r="I101" i="30"/>
  <c r="I103" i="30"/>
  <c r="I90" i="30"/>
  <c r="I92" i="30"/>
  <c r="I93" i="30"/>
  <c r="I94" i="30"/>
  <c r="I95" i="30"/>
  <c r="I79" i="30"/>
  <c r="I80" i="30"/>
  <c r="I81" i="30"/>
  <c r="I82" i="30"/>
  <c r="I83" i="30"/>
  <c r="I84" i="30"/>
  <c r="I85" i="30"/>
  <c r="K85" i="30" s="1"/>
  <c r="I70" i="30"/>
  <c r="I71" i="30"/>
  <c r="I72" i="30"/>
  <c r="I73" i="30"/>
  <c r="K73" i="30" s="1"/>
  <c r="I74" i="30"/>
  <c r="I27" i="30"/>
  <c r="I28" i="30"/>
  <c r="I32" i="30"/>
  <c r="I33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J6" i="74"/>
  <c r="J6" i="73"/>
  <c r="J6" i="72"/>
  <c r="J6" i="71"/>
  <c r="J6" i="70"/>
  <c r="J6" i="69"/>
  <c r="J6" i="68"/>
  <c r="J6" i="67"/>
  <c r="J6" i="15"/>
  <c r="J6" i="16"/>
  <c r="J6" i="45"/>
  <c r="J6" i="50"/>
  <c r="J6" i="49"/>
  <c r="J6" i="66"/>
  <c r="J6" i="43"/>
  <c r="J6" i="22"/>
  <c r="J6" i="75"/>
  <c r="J6" i="24"/>
  <c r="J6" i="25"/>
  <c r="J6" i="26"/>
  <c r="J6" i="42"/>
  <c r="J6" i="28"/>
  <c r="J6" i="29"/>
  <c r="K51" i="74"/>
  <c r="K40" i="74"/>
  <c r="K20" i="74"/>
  <c r="K22" i="74"/>
  <c r="K24" i="74"/>
  <c r="F25" i="73"/>
  <c r="I25" i="73"/>
  <c r="F13" i="72"/>
  <c r="I13" i="72"/>
  <c r="F14" i="72"/>
  <c r="I14" i="72"/>
  <c r="F15" i="72"/>
  <c r="I15" i="72"/>
  <c r="F16" i="72"/>
  <c r="I16" i="72"/>
  <c r="F17" i="72"/>
  <c r="I17" i="72"/>
  <c r="F18" i="72"/>
  <c r="I18" i="72"/>
  <c r="F19" i="72"/>
  <c r="I19" i="72"/>
  <c r="F20" i="72"/>
  <c r="I20" i="72"/>
  <c r="F21" i="72"/>
  <c r="I21" i="72"/>
  <c r="F22" i="72"/>
  <c r="I22" i="72"/>
  <c r="F23" i="72"/>
  <c r="I23" i="72"/>
  <c r="F24" i="72"/>
  <c r="I24" i="72"/>
  <c r="K31" i="71"/>
  <c r="K21" i="71"/>
  <c r="K58" i="70"/>
  <c r="K76" i="67"/>
  <c r="K63" i="67"/>
  <c r="K67" i="67"/>
  <c r="K34" i="67"/>
  <c r="K44" i="67"/>
  <c r="K15" i="15"/>
  <c r="K15" i="16"/>
  <c r="K38" i="45"/>
  <c r="K18" i="45"/>
  <c r="K14" i="49"/>
  <c r="K31" i="49"/>
  <c r="K66" i="66"/>
  <c r="K67" i="66"/>
  <c r="K70" i="66"/>
  <c r="K75" i="66"/>
  <c r="K13" i="66"/>
  <c r="K17" i="66"/>
  <c r="K19" i="66"/>
  <c r="K20" i="66"/>
  <c r="K31" i="43"/>
  <c r="K32" i="43"/>
  <c r="F62" i="22"/>
  <c r="I62" i="22"/>
  <c r="F63" i="22"/>
  <c r="I63" i="22"/>
  <c r="K49" i="26"/>
  <c r="K50" i="26"/>
  <c r="K52" i="26"/>
  <c r="K57" i="26"/>
  <c r="K70" i="26"/>
  <c r="K31" i="26"/>
  <c r="K34" i="26"/>
  <c r="K35" i="26"/>
  <c r="K15" i="26"/>
  <c r="K16" i="26"/>
  <c r="K19" i="26"/>
  <c r="K20" i="26"/>
  <c r="K31" i="42"/>
  <c r="K13" i="29"/>
  <c r="K19" i="30"/>
  <c r="C1" i="74"/>
  <c r="C1" i="73"/>
  <c r="C1" i="72"/>
  <c r="C1" i="71"/>
  <c r="C1" i="70"/>
  <c r="C1" i="69"/>
  <c r="C1" i="68"/>
  <c r="C1" i="67"/>
  <c r="C1" i="15"/>
  <c r="C1" i="16"/>
  <c r="C1" i="45"/>
  <c r="C1" i="50"/>
  <c r="C1" i="49"/>
  <c r="C1" i="66"/>
  <c r="C1" i="43"/>
  <c r="C1" i="22"/>
  <c r="C1" i="75"/>
  <c r="C1" i="24"/>
  <c r="C1" i="25"/>
  <c r="C1" i="26"/>
  <c r="C1" i="42"/>
  <c r="C1" i="28"/>
  <c r="C1" i="29"/>
  <c r="C1" i="30"/>
  <c r="K82" i="70"/>
  <c r="K47" i="68"/>
  <c r="K28" i="68"/>
  <c r="K13" i="68"/>
  <c r="K21" i="68"/>
  <c r="F86" i="15"/>
  <c r="I86" i="15"/>
  <c r="F87" i="15"/>
  <c r="I87" i="15"/>
  <c r="F88" i="15"/>
  <c r="I88" i="15"/>
  <c r="F89" i="15"/>
  <c r="I89" i="15"/>
  <c r="K47" i="16"/>
  <c r="K48" i="16"/>
  <c r="K49" i="16"/>
  <c r="K55" i="16"/>
  <c r="K68" i="16"/>
  <c r="K75" i="16"/>
  <c r="K76" i="16"/>
  <c r="K48" i="45"/>
  <c r="K75" i="45"/>
  <c r="K76" i="45"/>
  <c r="K86" i="45"/>
  <c r="K91" i="45"/>
  <c r="F91" i="50"/>
  <c r="F92" i="50"/>
  <c r="F93" i="50"/>
  <c r="F94" i="50"/>
  <c r="F82" i="50"/>
  <c r="F83" i="50"/>
  <c r="F84" i="50"/>
  <c r="F85" i="50"/>
  <c r="F86" i="50"/>
  <c r="F75" i="50"/>
  <c r="K75" i="50" s="1"/>
  <c r="F76" i="50"/>
  <c r="F77" i="50"/>
  <c r="K77" i="50" s="1"/>
  <c r="F66" i="50"/>
  <c r="K66" i="50" s="1"/>
  <c r="F67" i="50"/>
  <c r="K67" i="50" s="1"/>
  <c r="F68" i="50"/>
  <c r="F69" i="50"/>
  <c r="K69" i="50" s="1"/>
  <c r="F70" i="50"/>
  <c r="K70" i="50" s="1"/>
  <c r="F55" i="50"/>
  <c r="K55" i="50" s="1"/>
  <c r="F56" i="50"/>
  <c r="F57" i="50"/>
  <c r="K57" i="50" s="1"/>
  <c r="F58" i="50"/>
  <c r="F59" i="50"/>
  <c r="F60" i="50"/>
  <c r="F61" i="50"/>
  <c r="F46" i="50"/>
  <c r="F47" i="50"/>
  <c r="F48" i="50"/>
  <c r="F49" i="50"/>
  <c r="F50" i="50"/>
  <c r="F38" i="50"/>
  <c r="K38" i="50" s="1"/>
  <c r="F39" i="50"/>
  <c r="F40" i="50"/>
  <c r="K40" i="50" s="1"/>
  <c r="F27" i="50"/>
  <c r="K27" i="50" s="1"/>
  <c r="F28" i="50"/>
  <c r="K28" i="50" s="1"/>
  <c r="F29" i="50"/>
  <c r="F30" i="50"/>
  <c r="K30" i="50" s="1"/>
  <c r="F31" i="50"/>
  <c r="K31" i="50" s="1"/>
  <c r="F32" i="50"/>
  <c r="K32" i="50" s="1"/>
  <c r="F33" i="50"/>
  <c r="F11" i="50"/>
  <c r="K11" i="50" s="1"/>
  <c r="F12" i="50"/>
  <c r="F13" i="50"/>
  <c r="F14" i="50"/>
  <c r="F15" i="50"/>
  <c r="F16" i="50"/>
  <c r="F17" i="50"/>
  <c r="F18" i="50"/>
  <c r="F19" i="50"/>
  <c r="F20" i="50"/>
  <c r="F22" i="50"/>
  <c r="K22" i="50" s="1"/>
  <c r="K21" i="50"/>
  <c r="K75" i="49"/>
  <c r="K82" i="49"/>
  <c r="K83" i="49"/>
  <c r="K94" i="49"/>
  <c r="K57" i="42"/>
  <c r="K58" i="42"/>
  <c r="K60" i="42"/>
  <c r="K61" i="42"/>
  <c r="E6" i="29"/>
  <c r="K44" i="29"/>
  <c r="K45" i="29"/>
  <c r="K88" i="73"/>
  <c r="E6" i="75"/>
  <c r="A128" i="75" s="1"/>
  <c r="F6" i="75"/>
  <c r="D6" i="75"/>
  <c r="E6" i="74"/>
  <c r="F6" i="74"/>
  <c r="D6" i="74"/>
  <c r="E6" i="73"/>
  <c r="F6" i="73"/>
  <c r="D6" i="73"/>
  <c r="E6" i="72"/>
  <c r="F6" i="72"/>
  <c r="D6" i="72"/>
  <c r="E6" i="71"/>
  <c r="F6" i="71"/>
  <c r="D6" i="71"/>
  <c r="E6" i="70"/>
  <c r="F6" i="70"/>
  <c r="D6" i="70"/>
  <c r="E6" i="69"/>
  <c r="F6" i="69"/>
  <c r="D6" i="69"/>
  <c r="E6" i="68"/>
  <c r="F6" i="68"/>
  <c r="D6" i="68"/>
  <c r="E6" i="67"/>
  <c r="F6" i="67"/>
  <c r="D6" i="67"/>
  <c r="E6" i="66"/>
  <c r="F6" i="66"/>
  <c r="D6" i="66"/>
  <c r="E6" i="15"/>
  <c r="F6" i="15"/>
  <c r="D6" i="15"/>
  <c r="E6" i="16"/>
  <c r="F6" i="16"/>
  <c r="D6" i="16"/>
  <c r="E6" i="45"/>
  <c r="F6" i="45"/>
  <c r="D6" i="45"/>
  <c r="E6" i="50"/>
  <c r="F6" i="50"/>
  <c r="D6" i="50"/>
  <c r="E6" i="49"/>
  <c r="F6" i="49"/>
  <c r="D6" i="49"/>
  <c r="E6" i="43"/>
  <c r="A76" i="43" s="1"/>
  <c r="F6" i="43"/>
  <c r="D6" i="43"/>
  <c r="E6" i="22"/>
  <c r="F6" i="22"/>
  <c r="D6" i="22"/>
  <c r="E6" i="24"/>
  <c r="A137" i="24" s="1"/>
  <c r="F6" i="24"/>
  <c r="D6" i="24"/>
  <c r="E6" i="25"/>
  <c r="F6" i="25"/>
  <c r="D6" i="25"/>
  <c r="E6" i="26"/>
  <c r="F6" i="26"/>
  <c r="D6" i="26"/>
  <c r="E6" i="42"/>
  <c r="F6" i="42"/>
  <c r="D6" i="42"/>
  <c r="E6" i="28"/>
  <c r="F6" i="28"/>
  <c r="D6" i="28"/>
  <c r="F6" i="29"/>
  <c r="D6" i="29"/>
  <c r="F6" i="30"/>
  <c r="D6" i="30"/>
  <c r="K113" i="24" l="1"/>
  <c r="K68" i="22"/>
  <c r="K50" i="43"/>
  <c r="K12" i="43"/>
  <c r="K29" i="43"/>
  <c r="K92" i="30"/>
  <c r="E17" i="81" s="1"/>
  <c r="K35" i="24"/>
  <c r="K132" i="25"/>
  <c r="K87" i="25"/>
  <c r="K122" i="25"/>
  <c r="K50" i="75"/>
  <c r="K71" i="75"/>
  <c r="K90" i="30"/>
  <c r="E16" i="81" s="1"/>
  <c r="K90" i="73"/>
  <c r="K33" i="22"/>
  <c r="K26" i="22"/>
  <c r="K13" i="22"/>
  <c r="K81" i="75"/>
  <c r="K122" i="75"/>
  <c r="K32" i="75"/>
  <c r="K87" i="75"/>
  <c r="K123" i="75"/>
  <c r="K125" i="75" s="1"/>
  <c r="K72" i="75"/>
  <c r="K44" i="75"/>
  <c r="K66" i="75"/>
  <c r="K39" i="75"/>
  <c r="K77" i="75"/>
  <c r="K76" i="75"/>
  <c r="K61" i="75"/>
  <c r="K31" i="75"/>
  <c r="K83" i="75"/>
  <c r="K92" i="75"/>
  <c r="K48" i="75"/>
  <c r="K110" i="75"/>
  <c r="K117" i="75"/>
  <c r="K116" i="75"/>
  <c r="K13" i="75"/>
  <c r="K62" i="75"/>
  <c r="K60" i="75"/>
  <c r="K93" i="24"/>
  <c r="K80" i="25"/>
  <c r="K114" i="25"/>
  <c r="K130" i="25"/>
  <c r="K110" i="25"/>
  <c r="K35" i="28"/>
  <c r="K30" i="28"/>
  <c r="K34" i="28"/>
  <c r="K81" i="28"/>
  <c r="K31" i="28"/>
  <c r="K74" i="72"/>
  <c r="K45" i="72"/>
  <c r="K64" i="72"/>
  <c r="K100" i="73"/>
  <c r="K54" i="73"/>
  <c r="K15" i="73"/>
  <c r="K99" i="73"/>
  <c r="K51" i="73"/>
  <c r="K97" i="73"/>
  <c r="K62" i="73"/>
  <c r="K45" i="73"/>
  <c r="K76" i="73"/>
  <c r="K13" i="73"/>
  <c r="K75" i="73"/>
  <c r="K35" i="73"/>
  <c r="K74" i="73"/>
  <c r="K31" i="73"/>
  <c r="K30" i="73"/>
  <c r="K72" i="73"/>
  <c r="K28" i="73"/>
  <c r="K81" i="72"/>
  <c r="K41" i="72"/>
  <c r="K83" i="72"/>
  <c r="K97" i="75"/>
  <c r="K56" i="75"/>
  <c r="K105" i="75"/>
  <c r="K55" i="75"/>
  <c r="K104" i="75"/>
  <c r="K100" i="30"/>
  <c r="K81" i="24"/>
  <c r="K125" i="24"/>
  <c r="K102" i="25"/>
  <c r="K58" i="66"/>
  <c r="K83" i="73"/>
  <c r="K16" i="69"/>
  <c r="K15" i="69"/>
  <c r="K82" i="66"/>
  <c r="K93" i="66"/>
  <c r="K96" i="66" s="1"/>
  <c r="K69" i="43"/>
  <c r="K59" i="66"/>
  <c r="K31" i="70"/>
  <c r="K12" i="45"/>
  <c r="K70" i="49"/>
  <c r="K91" i="75"/>
  <c r="K49" i="75"/>
  <c r="K93" i="25"/>
  <c r="K48" i="69"/>
  <c r="K41" i="73"/>
  <c r="K60" i="15"/>
  <c r="K46" i="66"/>
  <c r="K52" i="66" s="1"/>
  <c r="K29" i="74"/>
  <c r="K19" i="73"/>
  <c r="K91" i="16"/>
  <c r="K124" i="30"/>
  <c r="K63" i="28"/>
  <c r="K123" i="30"/>
  <c r="K28" i="16"/>
  <c r="K86" i="24"/>
  <c r="K18" i="26"/>
  <c r="K48" i="26"/>
  <c r="K54" i="26" s="1"/>
  <c r="K77" i="49"/>
  <c r="K42" i="22"/>
  <c r="E96" i="81" s="1"/>
  <c r="K20" i="50"/>
  <c r="K50" i="50"/>
  <c r="K86" i="50"/>
  <c r="K19" i="50"/>
  <c r="K49" i="50"/>
  <c r="K85" i="50"/>
  <c r="K132" i="30"/>
  <c r="E26" i="81" s="1"/>
  <c r="K11" i="73"/>
  <c r="K11" i="68"/>
  <c r="K21" i="16"/>
  <c r="K85" i="70"/>
  <c r="K17" i="68"/>
  <c r="K34" i="72"/>
  <c r="K17" i="50"/>
  <c r="K47" i="50"/>
  <c r="K52" i="50" s="1"/>
  <c r="K83" i="50"/>
  <c r="K40" i="68"/>
  <c r="K31" i="15"/>
  <c r="K57" i="16"/>
  <c r="K82" i="50"/>
  <c r="K21" i="69"/>
  <c r="K43" i="67"/>
  <c r="K17" i="16"/>
  <c r="K36" i="24"/>
  <c r="K108" i="24"/>
  <c r="K33" i="26"/>
  <c r="K16" i="28"/>
  <c r="K14" i="45"/>
  <c r="K93" i="45"/>
  <c r="K33" i="49"/>
  <c r="K22" i="66"/>
  <c r="K76" i="66"/>
  <c r="K16" i="50"/>
  <c r="K81" i="30"/>
  <c r="K13" i="50"/>
  <c r="K24" i="50" s="1"/>
  <c r="K92" i="50"/>
  <c r="K50" i="71"/>
  <c r="K19" i="68"/>
  <c r="K53" i="15"/>
  <c r="K30" i="16"/>
  <c r="K56" i="45"/>
  <c r="K68" i="49"/>
  <c r="K48" i="66"/>
  <c r="K14" i="43"/>
  <c r="K69" i="28"/>
  <c r="K20" i="28"/>
  <c r="K39" i="72"/>
  <c r="K43" i="43"/>
  <c r="K73" i="28"/>
  <c r="K46" i="50"/>
  <c r="K15" i="50"/>
  <c r="K12" i="50"/>
  <c r="K58" i="50"/>
  <c r="K91" i="50"/>
  <c r="F105" i="73"/>
  <c r="D59" i="1" s="1"/>
  <c r="K22" i="30"/>
  <c r="K14" i="30"/>
  <c r="K18" i="30"/>
  <c r="K33" i="30"/>
  <c r="K20" i="30"/>
  <c r="K16" i="30"/>
  <c r="K125" i="30"/>
  <c r="K13" i="30"/>
  <c r="K27" i="30"/>
  <c r="E5" i="81" s="1"/>
  <c r="K83" i="30"/>
  <c r="K74" i="30"/>
  <c r="K80" i="30"/>
  <c r="K71" i="30"/>
  <c r="K79" i="30"/>
  <c r="K15" i="30"/>
  <c r="K95" i="30"/>
  <c r="E20" i="81" s="1"/>
  <c r="K21" i="30"/>
  <c r="K17" i="30"/>
  <c r="K32" i="30"/>
  <c r="E10" i="81" s="1"/>
  <c r="K84" i="30"/>
  <c r="K32" i="74"/>
  <c r="K52" i="74"/>
  <c r="F57" i="74"/>
  <c r="K19" i="71"/>
  <c r="K11" i="71"/>
  <c r="K77" i="70"/>
  <c r="K94" i="70"/>
  <c r="K68" i="70"/>
  <c r="K72" i="70" s="1"/>
  <c r="K84" i="70"/>
  <c r="K88" i="70" s="1"/>
  <c r="K15" i="68"/>
  <c r="K30" i="68"/>
  <c r="K48" i="68"/>
  <c r="K20" i="15"/>
  <c r="K12" i="15"/>
  <c r="K27" i="15"/>
  <c r="K65" i="15"/>
  <c r="K57" i="15"/>
  <c r="K49" i="15"/>
  <c r="K77" i="15"/>
  <c r="K83" i="15" s="1"/>
  <c r="K19" i="16"/>
  <c r="K11" i="16"/>
  <c r="K40" i="16"/>
  <c r="K43" i="16" s="1"/>
  <c r="K61" i="16"/>
  <c r="K69" i="16"/>
  <c r="K85" i="16"/>
  <c r="K33" i="45"/>
  <c r="K39" i="45"/>
  <c r="K60" i="45"/>
  <c r="K68" i="45"/>
  <c r="K84" i="45"/>
  <c r="K85" i="49"/>
  <c r="K88" i="49" s="1"/>
  <c r="K22" i="49"/>
  <c r="K29" i="49"/>
  <c r="K48" i="49"/>
  <c r="K56" i="49"/>
  <c r="K76" i="49"/>
  <c r="K93" i="49"/>
  <c r="K96" i="49" s="1"/>
  <c r="K18" i="66"/>
  <c r="K24" i="66" s="1"/>
  <c r="K60" i="66"/>
  <c r="K68" i="66"/>
  <c r="K72" i="66" s="1"/>
  <c r="K23" i="43"/>
  <c r="K25" i="43" s="1"/>
  <c r="K30" i="43"/>
  <c r="K40" i="43" s="1"/>
  <c r="K57" i="43"/>
  <c r="I105" i="73"/>
  <c r="F59" i="1" s="1"/>
  <c r="I99" i="50"/>
  <c r="I89" i="72"/>
  <c r="F57" i="1" s="1"/>
  <c r="K82" i="30"/>
  <c r="K42" i="69"/>
  <c r="F89" i="72"/>
  <c r="D57" i="1" s="1"/>
  <c r="I57" i="74"/>
  <c r="I55" i="71"/>
  <c r="K70" i="30"/>
  <c r="F55" i="71"/>
  <c r="K32" i="69"/>
  <c r="K83" i="67"/>
  <c r="K61" i="73"/>
  <c r="K81" i="73"/>
  <c r="K85" i="73" s="1"/>
  <c r="K98" i="73"/>
  <c r="K15" i="43"/>
  <c r="K20" i="43"/>
  <c r="K44" i="43"/>
  <c r="K62" i="43"/>
  <c r="K16" i="24"/>
  <c r="K61" i="24"/>
  <c r="K107" i="24"/>
  <c r="K132" i="24"/>
  <c r="K26" i="73"/>
  <c r="K18" i="16"/>
  <c r="K33" i="16"/>
  <c r="K60" i="16"/>
  <c r="K84" i="16"/>
  <c r="K22" i="43"/>
  <c r="K56" i="43"/>
  <c r="K71" i="43"/>
  <c r="K14" i="22"/>
  <c r="K37" i="22"/>
  <c r="K72" i="26"/>
  <c r="K73" i="73"/>
  <c r="K89" i="73"/>
  <c r="K94" i="73" s="1"/>
  <c r="K11" i="43"/>
  <c r="K17" i="43" s="1"/>
  <c r="K49" i="43"/>
  <c r="K53" i="43" s="1"/>
  <c r="K68" i="43"/>
  <c r="K66" i="24"/>
  <c r="K103" i="24"/>
  <c r="K120" i="24"/>
  <c r="K105" i="25"/>
  <c r="K17" i="73"/>
  <c r="K56" i="73"/>
  <c r="K64" i="73"/>
  <c r="K21" i="70"/>
  <c r="K13" i="70"/>
  <c r="K92" i="70"/>
  <c r="K96" i="70" s="1"/>
  <c r="K41" i="67"/>
  <c r="K56" i="16"/>
  <c r="K93" i="16"/>
  <c r="K96" i="16" s="1"/>
  <c r="K33" i="43"/>
  <c r="K25" i="22"/>
  <c r="K12" i="70"/>
  <c r="K46" i="70"/>
  <c r="K16" i="67"/>
  <c r="K21" i="67"/>
  <c r="K25" i="67" s="1"/>
  <c r="K35" i="67"/>
  <c r="K38" i="67" s="1"/>
  <c r="K42" i="67"/>
  <c r="K49" i="67"/>
  <c r="K53" i="67" s="1"/>
  <c r="K69" i="67"/>
  <c r="K65" i="67"/>
  <c r="K61" i="67"/>
  <c r="K82" i="67"/>
  <c r="K96" i="67"/>
  <c r="K99" i="67" s="1"/>
  <c r="K22" i="15"/>
  <c r="K18" i="15"/>
  <c r="K14" i="15"/>
  <c r="K33" i="15"/>
  <c r="K29" i="15"/>
  <c r="K43" i="15"/>
  <c r="K39" i="15"/>
  <c r="K63" i="15"/>
  <c r="K59" i="15"/>
  <c r="K55" i="15"/>
  <c r="K51" i="15"/>
  <c r="K71" i="15"/>
  <c r="K79" i="15"/>
  <c r="K18" i="50"/>
  <c r="K14" i="50"/>
  <c r="K33" i="50"/>
  <c r="K29" i="50"/>
  <c r="K39" i="50"/>
  <c r="K43" i="50" s="1"/>
  <c r="K48" i="50"/>
  <c r="K60" i="50"/>
  <c r="K56" i="50"/>
  <c r="K68" i="50"/>
  <c r="K76" i="50"/>
  <c r="K84" i="50"/>
  <c r="K93" i="50"/>
  <c r="K17" i="70"/>
  <c r="K32" i="70"/>
  <c r="K28" i="70"/>
  <c r="K38" i="70"/>
  <c r="K47" i="70"/>
  <c r="K59" i="70"/>
  <c r="K55" i="70"/>
  <c r="K63" i="70" s="1"/>
  <c r="F57" i="69"/>
  <c r="K88" i="67"/>
  <c r="K44" i="15"/>
  <c r="K21" i="49"/>
  <c r="K13" i="49"/>
  <c r="K32" i="49"/>
  <c r="K28" i="49"/>
  <c r="K59" i="49"/>
  <c r="K55" i="49"/>
  <c r="K67" i="49"/>
  <c r="K19" i="28"/>
  <c r="K15" i="28"/>
  <c r="I51" i="29"/>
  <c r="K67" i="72"/>
  <c r="K17" i="71"/>
  <c r="K13" i="71"/>
  <c r="K32" i="71"/>
  <c r="K28" i="71"/>
  <c r="K38" i="71"/>
  <c r="I57" i="69"/>
  <c r="I77" i="22"/>
  <c r="F31" i="1" s="1"/>
  <c r="K40" i="28"/>
  <c r="K20" i="29"/>
  <c r="K16" i="29"/>
  <c r="K62" i="15"/>
  <c r="K58" i="15"/>
  <c r="K54" i="15"/>
  <c r="K50" i="15"/>
  <c r="K78" i="15"/>
  <c r="K20" i="16"/>
  <c r="K16" i="16"/>
  <c r="K12" i="16"/>
  <c r="K31" i="16"/>
  <c r="K27" i="16"/>
  <c r="K50" i="16"/>
  <c r="K46" i="16"/>
  <c r="K58" i="16"/>
  <c r="K70" i="16"/>
  <c r="K66" i="16"/>
  <c r="K72" i="16" s="1"/>
  <c r="K86" i="16"/>
  <c r="K82" i="16"/>
  <c r="F77" i="22"/>
  <c r="D31" i="1" s="1"/>
  <c r="F77" i="26"/>
  <c r="I88" i="28"/>
  <c r="F19" i="1" s="1"/>
  <c r="G20" i="79"/>
  <c r="K45" i="75"/>
  <c r="K48" i="74"/>
  <c r="K18" i="73"/>
  <c r="K40" i="73"/>
  <c r="K66" i="72"/>
  <c r="K62" i="72"/>
  <c r="K30" i="72"/>
  <c r="K72" i="72"/>
  <c r="K20" i="71"/>
  <c r="K16" i="71"/>
  <c r="K12" i="71"/>
  <c r="K27" i="71"/>
  <c r="K46" i="71"/>
  <c r="I137" i="25"/>
  <c r="F25" i="1" s="1"/>
  <c r="K68" i="26"/>
  <c r="I77" i="26"/>
  <c r="K21" i="26"/>
  <c r="K17" i="26"/>
  <c r="K13" i="26"/>
  <c r="K32" i="26"/>
  <c r="K42" i="26"/>
  <c r="K45" i="26" s="1"/>
  <c r="G38" i="79" s="1"/>
  <c r="K51" i="26"/>
  <c r="K63" i="26"/>
  <c r="K59" i="26"/>
  <c r="D159" i="79"/>
  <c r="I30" i="30"/>
  <c r="K30" i="30" s="1"/>
  <c r="K17" i="74"/>
  <c r="K63" i="72"/>
  <c r="K44" i="72"/>
  <c r="K40" i="72"/>
  <c r="K31" i="72"/>
  <c r="K73" i="72"/>
  <c r="K82" i="72"/>
  <c r="K15" i="71"/>
  <c r="K30" i="71"/>
  <c r="K40" i="71"/>
  <c r="K49" i="71"/>
  <c r="F137" i="25"/>
  <c r="D25" i="1" s="1"/>
  <c r="K57" i="28"/>
  <c r="K56" i="28"/>
  <c r="F88" i="28"/>
  <c r="D19" i="1" s="1"/>
  <c r="K131" i="30"/>
  <c r="E25" i="81" s="1"/>
  <c r="K42" i="28"/>
  <c r="H49" i="30"/>
  <c r="J49" i="30" s="1"/>
  <c r="H50" i="30"/>
  <c r="J50" i="30" s="1"/>
  <c r="K50" i="30" s="1"/>
  <c r="K65" i="72"/>
  <c r="K46" i="72"/>
  <c r="K42" i="72"/>
  <c r="K38" i="72"/>
  <c r="K29" i="72"/>
  <c r="K84" i="72"/>
  <c r="K80" i="72"/>
  <c r="K24" i="69"/>
  <c r="K26" i="69" s="1"/>
  <c r="G123" i="79" s="1"/>
  <c r="K20" i="69"/>
  <c r="K35" i="69"/>
  <c r="K31" i="69"/>
  <c r="K41" i="69"/>
  <c r="K50" i="69"/>
  <c r="K54" i="69" s="1"/>
  <c r="K18" i="69"/>
  <c r="K11" i="30"/>
  <c r="K72" i="30"/>
  <c r="K43" i="29"/>
  <c r="F51" i="29"/>
  <c r="D17" i="1" s="1"/>
  <c r="K21" i="74"/>
  <c r="K43" i="74"/>
  <c r="K14" i="73"/>
  <c r="K27" i="73"/>
  <c r="K53" i="73"/>
  <c r="K65" i="73"/>
  <c r="F76" i="43"/>
  <c r="D33" i="1" s="1"/>
  <c r="K63" i="22"/>
  <c r="I99" i="70"/>
  <c r="F53" i="1" s="1"/>
  <c r="K22" i="68"/>
  <c r="K18" i="68"/>
  <c r="K14" i="68"/>
  <c r="K33" i="68"/>
  <c r="K29" i="68"/>
  <c r="K39" i="68"/>
  <c r="K20" i="68"/>
  <c r="K16" i="68"/>
  <c r="K12" i="68"/>
  <c r="K31" i="68"/>
  <c r="K27" i="68"/>
  <c r="K49" i="68"/>
  <c r="K51" i="68" s="1"/>
  <c r="K19" i="72"/>
  <c r="K17" i="72"/>
  <c r="K28" i="30"/>
  <c r="E6" i="81" s="1"/>
  <c r="K33" i="69"/>
  <c r="K29" i="69"/>
  <c r="K21" i="45"/>
  <c r="K17" i="45"/>
  <c r="K32" i="45"/>
  <c r="K28" i="45"/>
  <c r="K20" i="45"/>
  <c r="K16" i="45"/>
  <c r="K31" i="45"/>
  <c r="K27" i="45"/>
  <c r="K30" i="24"/>
  <c r="K37" i="24"/>
  <c r="K41" i="24"/>
  <c r="K82" i="24"/>
  <c r="K87" i="24"/>
  <c r="K98" i="24"/>
  <c r="K99" i="24" s="1"/>
  <c r="K109" i="24"/>
  <c r="K114" i="24"/>
  <c r="K14" i="25"/>
  <c r="K73" i="25"/>
  <c r="K43" i="25"/>
  <c r="K34" i="25"/>
  <c r="K88" i="25"/>
  <c r="K81" i="25"/>
  <c r="K94" i="25"/>
  <c r="K103" i="25"/>
  <c r="K115" i="25"/>
  <c r="K111" i="25"/>
  <c r="K123" i="25"/>
  <c r="K131" i="25"/>
  <c r="K18" i="25"/>
  <c r="K12" i="25"/>
  <c r="K45" i="25"/>
  <c r="K38" i="25"/>
  <c r="K32" i="25"/>
  <c r="K84" i="25"/>
  <c r="K79" i="25"/>
  <c r="K101" i="25"/>
  <c r="K113" i="25"/>
  <c r="K125" i="25"/>
  <c r="K121" i="25"/>
  <c r="K71" i="26"/>
  <c r="K74" i="26" s="1"/>
  <c r="K21" i="42"/>
  <c r="K17" i="42"/>
  <c r="K13" i="42"/>
  <c r="K26" i="42" s="1"/>
  <c r="K32" i="42"/>
  <c r="K42" i="42"/>
  <c r="K51" i="42"/>
  <c r="K63" i="42"/>
  <c r="K59" i="42"/>
  <c r="K19" i="42"/>
  <c r="K15" i="42"/>
  <c r="K34" i="42"/>
  <c r="K46" i="29"/>
  <c r="K42" i="29"/>
  <c r="K23" i="29"/>
  <c r="K19" i="29"/>
  <c r="K15" i="29"/>
  <c r="K126" i="30"/>
  <c r="K16" i="72"/>
  <c r="K22" i="71"/>
  <c r="K18" i="71"/>
  <c r="K14" i="71"/>
  <c r="K33" i="71"/>
  <c r="K29" i="71"/>
  <c r="K39" i="71"/>
  <c r="K48" i="71"/>
  <c r="K19" i="70"/>
  <c r="K15" i="70"/>
  <c r="K11" i="70"/>
  <c r="K24" i="70" s="1"/>
  <c r="K30" i="70"/>
  <c r="K40" i="70"/>
  <c r="K49" i="70"/>
  <c r="K61" i="70"/>
  <c r="K57" i="70"/>
  <c r="K22" i="70"/>
  <c r="K18" i="70"/>
  <c r="K14" i="70"/>
  <c r="K33" i="70"/>
  <c r="K29" i="70"/>
  <c r="K39" i="70"/>
  <c r="K48" i="70"/>
  <c r="K60" i="70"/>
  <c r="K56" i="70"/>
  <c r="K19" i="45"/>
  <c r="K15" i="45"/>
  <c r="K11" i="45"/>
  <c r="K30" i="45"/>
  <c r="K40" i="45"/>
  <c r="K49" i="45"/>
  <c r="K61" i="45"/>
  <c r="K57" i="45"/>
  <c r="K69" i="45"/>
  <c r="K72" i="45" s="1"/>
  <c r="K77" i="45"/>
  <c r="K79" i="45" s="1"/>
  <c r="K85" i="45"/>
  <c r="K88" i="45" s="1"/>
  <c r="K94" i="45"/>
  <c r="K96" i="45" s="1"/>
  <c r="K32" i="66"/>
  <c r="K28" i="66"/>
  <c r="K38" i="66"/>
  <c r="K43" i="66" s="1"/>
  <c r="K63" i="43"/>
  <c r="K17" i="22"/>
  <c r="K11" i="22"/>
  <c r="K23" i="22"/>
  <c r="K69" i="22"/>
  <c r="K18" i="22"/>
  <c r="K12" i="22"/>
  <c r="K24" i="22"/>
  <c r="K43" i="22"/>
  <c r="K22" i="29"/>
  <c r="K18" i="29"/>
  <c r="H176" i="30"/>
  <c r="H180" i="30"/>
  <c r="H177" i="30"/>
  <c r="H181" i="30"/>
  <c r="H178" i="30"/>
  <c r="H175" i="30"/>
  <c r="H179" i="30"/>
  <c r="H174" i="30"/>
  <c r="F137" i="24"/>
  <c r="D27" i="1" s="1"/>
  <c r="K126" i="24"/>
  <c r="D55" i="1"/>
  <c r="K79" i="66"/>
  <c r="I99" i="66"/>
  <c r="F35" i="1" s="1"/>
  <c r="K30" i="75"/>
  <c r="K37" i="75"/>
  <c r="K54" i="75"/>
  <c r="K67" i="75"/>
  <c r="K82" i="75"/>
  <c r="K99" i="75"/>
  <c r="K111" i="75"/>
  <c r="K87" i="15"/>
  <c r="F61" i="1"/>
  <c r="K23" i="74"/>
  <c r="K19" i="74"/>
  <c r="K30" i="74"/>
  <c r="K29" i="73"/>
  <c r="K55" i="73"/>
  <c r="K67" i="73"/>
  <c r="K63" i="73"/>
  <c r="F99" i="49"/>
  <c r="D37" i="1" s="1"/>
  <c r="F31" i="30"/>
  <c r="I31" i="30"/>
  <c r="I99" i="45"/>
  <c r="F41" i="1" s="1"/>
  <c r="K23" i="72"/>
  <c r="K21" i="15"/>
  <c r="K17" i="15"/>
  <c r="K13" i="15"/>
  <c r="K32" i="15"/>
  <c r="K28" i="15"/>
  <c r="K42" i="15"/>
  <c r="K79" i="28"/>
  <c r="E40" i="81" s="1"/>
  <c r="K17" i="28"/>
  <c r="K13" i="28"/>
  <c r="K32" i="28"/>
  <c r="K58" i="28"/>
  <c r="K74" i="28"/>
  <c r="K70" i="28"/>
  <c r="K82" i="28"/>
  <c r="K15" i="72"/>
  <c r="F29" i="30"/>
  <c r="K29" i="30" s="1"/>
  <c r="K62" i="22"/>
  <c r="K22" i="72"/>
  <c r="K14" i="72"/>
  <c r="K79" i="16"/>
  <c r="K15" i="67"/>
  <c r="K11" i="67"/>
  <c r="F99" i="16"/>
  <c r="D43" i="1" s="1"/>
  <c r="K45" i="42"/>
  <c r="K88" i="15"/>
  <c r="K35" i="68"/>
  <c r="K24" i="72"/>
  <c r="K25" i="73"/>
  <c r="F23" i="1"/>
  <c r="K52" i="45"/>
  <c r="K86" i="15"/>
  <c r="K79" i="70"/>
  <c r="K79" i="49"/>
  <c r="K79" i="50"/>
  <c r="K65" i="26"/>
  <c r="K21" i="72"/>
  <c r="K34" i="69"/>
  <c r="K30" i="69"/>
  <c r="K89" i="15"/>
  <c r="K12" i="30"/>
  <c r="K94" i="30"/>
  <c r="E19" i="81" s="1"/>
  <c r="K34" i="74"/>
  <c r="K41" i="74"/>
  <c r="K45" i="74" s="1"/>
  <c r="K50" i="74"/>
  <c r="K29" i="67"/>
  <c r="K31" i="67" s="1"/>
  <c r="K56" i="67"/>
  <c r="K58" i="67" s="1"/>
  <c r="K68" i="67"/>
  <c r="K64" i="67"/>
  <c r="K77" i="67"/>
  <c r="K79" i="67" s="1"/>
  <c r="K89" i="67"/>
  <c r="K91" i="67" s="1"/>
  <c r="K38" i="15"/>
  <c r="K70" i="15"/>
  <c r="F94" i="15"/>
  <c r="D45" i="1" s="1"/>
  <c r="I99" i="49"/>
  <c r="F37" i="1" s="1"/>
  <c r="K11" i="24"/>
  <c r="K56" i="24"/>
  <c r="K60" i="24"/>
  <c r="K88" i="24"/>
  <c r="K92" i="24"/>
  <c r="K102" i="24"/>
  <c r="K115" i="24"/>
  <c r="K119" i="24"/>
  <c r="K131" i="24"/>
  <c r="K80" i="28"/>
  <c r="E41" i="81" s="1"/>
  <c r="K18" i="28"/>
  <c r="K14" i="28"/>
  <c r="K33" i="28"/>
  <c r="K29" i="28"/>
  <c r="K55" i="28"/>
  <c r="K71" i="28"/>
  <c r="K83" i="28"/>
  <c r="K54" i="42"/>
  <c r="K85" i="67"/>
  <c r="K20" i="72"/>
  <c r="K18" i="72"/>
  <c r="K13" i="72"/>
  <c r="K38" i="68"/>
  <c r="K19" i="49"/>
  <c r="K15" i="49"/>
  <c r="K11" i="49"/>
  <c r="K30" i="49"/>
  <c r="K35" i="49" s="1"/>
  <c r="K49" i="49"/>
  <c r="K52" i="49" s="1"/>
  <c r="K61" i="49"/>
  <c r="K57" i="49"/>
  <c r="K69" i="49"/>
  <c r="I128" i="75"/>
  <c r="F29" i="1" s="1"/>
  <c r="K14" i="29"/>
  <c r="E64" i="1"/>
  <c r="K134" i="30"/>
  <c r="E28" i="81" s="1"/>
  <c r="K88" i="66"/>
  <c r="K72" i="50"/>
  <c r="F99" i="50"/>
  <c r="D39" i="1" s="1"/>
  <c r="K59" i="50"/>
  <c r="K37" i="42"/>
  <c r="K63" i="66"/>
  <c r="F102" i="67"/>
  <c r="D47" i="1" s="1"/>
  <c r="I94" i="15"/>
  <c r="F45" i="1" s="1"/>
  <c r="K43" i="49"/>
  <c r="F51" i="1"/>
  <c r="F54" i="68"/>
  <c r="D49" i="1" s="1"/>
  <c r="I99" i="16"/>
  <c r="F43" i="1" s="1"/>
  <c r="H43" i="1" s="1"/>
  <c r="F39" i="1"/>
  <c r="H39" i="1" s="1"/>
  <c r="I39" i="1" s="1"/>
  <c r="F99" i="66"/>
  <c r="D35" i="1" s="1"/>
  <c r="I76" i="43"/>
  <c r="F33" i="1" s="1"/>
  <c r="F128" i="75"/>
  <c r="D29" i="1" s="1"/>
  <c r="I137" i="24"/>
  <c r="F27" i="1" s="1"/>
  <c r="F64" i="1" s="1"/>
  <c r="K17" i="25"/>
  <c r="K11" i="25"/>
  <c r="K44" i="25"/>
  <c r="K37" i="25"/>
  <c r="K82" i="25"/>
  <c r="K104" i="25"/>
  <c r="K116" i="25"/>
  <c r="K112" i="25"/>
  <c r="K124" i="25"/>
  <c r="K133" i="30"/>
  <c r="E27" i="81" s="1"/>
  <c r="F55" i="1"/>
  <c r="F99" i="70"/>
  <c r="D53" i="1" s="1"/>
  <c r="D51" i="1"/>
  <c r="I54" i="68"/>
  <c r="F49" i="1" s="1"/>
  <c r="I102" i="67"/>
  <c r="F47" i="1" s="1"/>
  <c r="D23" i="1"/>
  <c r="F68" i="42"/>
  <c r="D21" i="1" s="1"/>
  <c r="F17" i="1"/>
  <c r="D61" i="1"/>
  <c r="F99" i="45"/>
  <c r="D41" i="1" s="1"/>
  <c r="I68" i="42"/>
  <c r="F21" i="1" s="1"/>
  <c r="E97" i="81" l="1"/>
  <c r="K59" i="22"/>
  <c r="K74" i="22"/>
  <c r="K59" i="43"/>
  <c r="K73" i="43"/>
  <c r="K46" i="43"/>
  <c r="K102" i="73"/>
  <c r="K39" i="22"/>
  <c r="G71" i="79" s="1"/>
  <c r="K134" i="25"/>
  <c r="E60" i="81" s="1"/>
  <c r="K94" i="24"/>
  <c r="E68" i="81" s="1"/>
  <c r="K73" i="75"/>
  <c r="K83" i="24"/>
  <c r="K63" i="24"/>
  <c r="E65" i="81" s="1"/>
  <c r="K94" i="75"/>
  <c r="G64" i="77" s="1"/>
  <c r="K78" i="75"/>
  <c r="K68" i="75"/>
  <c r="K40" i="75"/>
  <c r="E77" i="81" s="1"/>
  <c r="K107" i="75"/>
  <c r="K88" i="75"/>
  <c r="E85" i="81" s="1"/>
  <c r="K119" i="75"/>
  <c r="G66" i="77" s="1"/>
  <c r="K51" i="75"/>
  <c r="D79" i="80" s="1"/>
  <c r="K57" i="75"/>
  <c r="E80" i="81" s="1"/>
  <c r="K113" i="75"/>
  <c r="K101" i="75"/>
  <c r="D87" i="80" s="1"/>
  <c r="K63" i="75"/>
  <c r="K34" i="75"/>
  <c r="K104" i="24"/>
  <c r="E70" i="81" s="1"/>
  <c r="K32" i="24"/>
  <c r="D60" i="80" s="1"/>
  <c r="K122" i="24"/>
  <c r="G56" i="79" s="1"/>
  <c r="K128" i="24"/>
  <c r="E74" i="81" s="1"/>
  <c r="K38" i="24"/>
  <c r="G49" i="79" s="1"/>
  <c r="K98" i="25"/>
  <c r="D51" i="80" s="1"/>
  <c r="K65" i="28"/>
  <c r="D26" i="80" s="1"/>
  <c r="K77" i="72"/>
  <c r="G143" i="79" s="1"/>
  <c r="K48" i="73"/>
  <c r="E176" i="81" s="1"/>
  <c r="K78" i="73"/>
  <c r="H35" i="1"/>
  <c r="K58" i="73"/>
  <c r="G146" i="77" s="1"/>
  <c r="K37" i="74"/>
  <c r="G153" i="79" s="1"/>
  <c r="K128" i="30"/>
  <c r="G16" i="77" s="1"/>
  <c r="K26" i="74"/>
  <c r="G152" i="79" s="1"/>
  <c r="K35" i="16"/>
  <c r="K43" i="68"/>
  <c r="K54" i="68" s="1"/>
  <c r="A54" i="68" s="1"/>
  <c r="K22" i="73"/>
  <c r="K96" i="50"/>
  <c r="K99" i="50" s="1"/>
  <c r="A99" i="50" s="1"/>
  <c r="K116" i="24"/>
  <c r="G55" i="77" s="1"/>
  <c r="K35" i="66"/>
  <c r="K110" i="24"/>
  <c r="K88" i="50"/>
  <c r="K89" i="24"/>
  <c r="K57" i="24"/>
  <c r="K65" i="42"/>
  <c r="K68" i="42" s="1"/>
  <c r="A68" i="42" s="1"/>
  <c r="K24" i="71"/>
  <c r="G135" i="79" s="1"/>
  <c r="K43" i="70"/>
  <c r="G130" i="79" s="1"/>
  <c r="K48" i="29"/>
  <c r="G22" i="77" s="1"/>
  <c r="K37" i="26"/>
  <c r="G37" i="79" s="1"/>
  <c r="K43" i="45"/>
  <c r="K45" i="69"/>
  <c r="G125" i="79" s="1"/>
  <c r="K24" i="45"/>
  <c r="K88" i="16"/>
  <c r="K99" i="16" s="1"/>
  <c r="A99" i="16" s="1"/>
  <c r="K63" i="45"/>
  <c r="K35" i="50"/>
  <c r="K52" i="71"/>
  <c r="G136" i="77" s="1"/>
  <c r="K72" i="49"/>
  <c r="E126" i="81" s="1"/>
  <c r="K46" i="15"/>
  <c r="G106" i="77" s="1"/>
  <c r="K134" i="24"/>
  <c r="K87" i="30"/>
  <c r="G13" i="77" s="1"/>
  <c r="K24" i="30"/>
  <c r="K76" i="30"/>
  <c r="E13" i="81" s="1"/>
  <c r="G72" i="79"/>
  <c r="K52" i="28"/>
  <c r="E36" i="81" s="1"/>
  <c r="K37" i="73"/>
  <c r="K52" i="16"/>
  <c r="K67" i="15"/>
  <c r="E138" i="81" s="1"/>
  <c r="K69" i="73"/>
  <c r="G39" i="79"/>
  <c r="K26" i="26"/>
  <c r="G36" i="79" s="1"/>
  <c r="H35" i="79" s="1"/>
  <c r="K54" i="74"/>
  <c r="G155" i="79" s="1"/>
  <c r="K35" i="45"/>
  <c r="G100" i="79" s="1"/>
  <c r="K24" i="68"/>
  <c r="K65" i="43"/>
  <c r="K76" i="43" s="1"/>
  <c r="K63" i="16"/>
  <c r="K18" i="67"/>
  <c r="D159" i="80" s="1"/>
  <c r="K63" i="50"/>
  <c r="H27" i="1"/>
  <c r="E61" i="81" s="1"/>
  <c r="K24" i="15"/>
  <c r="E135" i="81" s="1"/>
  <c r="K24" i="16"/>
  <c r="G103" i="79" s="1"/>
  <c r="H102" i="79" s="1"/>
  <c r="K35" i="70"/>
  <c r="G127" i="77" s="1"/>
  <c r="K35" i="15"/>
  <c r="G105" i="77" s="1"/>
  <c r="G88" i="77"/>
  <c r="K107" i="25"/>
  <c r="E57" i="81" s="1"/>
  <c r="K52" i="70"/>
  <c r="G129" i="77" s="1"/>
  <c r="K46" i="67"/>
  <c r="G112" i="77" s="1"/>
  <c r="E8" i="81"/>
  <c r="E7" i="81"/>
  <c r="I139" i="30"/>
  <c r="F15" i="1" s="1"/>
  <c r="K43" i="71"/>
  <c r="G137" i="79" s="1"/>
  <c r="G118" i="79"/>
  <c r="K74" i="15"/>
  <c r="K28" i="22"/>
  <c r="G70" i="79" s="1"/>
  <c r="K127" i="25"/>
  <c r="E59" i="81" s="1"/>
  <c r="G79" i="77"/>
  <c r="G79" i="79"/>
  <c r="E107" i="81"/>
  <c r="D106" i="80"/>
  <c r="J35" i="79"/>
  <c r="K35" i="79"/>
  <c r="G115" i="77"/>
  <c r="G117" i="79"/>
  <c r="E150" i="81"/>
  <c r="D167" i="80"/>
  <c r="G111" i="77"/>
  <c r="G113" i="79"/>
  <c r="E144" i="81"/>
  <c r="D161" i="80"/>
  <c r="E159" i="81"/>
  <c r="D185" i="80"/>
  <c r="E69" i="81"/>
  <c r="D67" i="80"/>
  <c r="G82" i="77"/>
  <c r="D110" i="80"/>
  <c r="D144" i="80"/>
  <c r="E132" i="81"/>
  <c r="I43" i="1"/>
  <c r="G77" i="79"/>
  <c r="E105" i="81"/>
  <c r="D104" i="80"/>
  <c r="G32" i="79"/>
  <c r="E43" i="81"/>
  <c r="D33" i="80"/>
  <c r="E124" i="81"/>
  <c r="D128" i="80"/>
  <c r="G86" i="77"/>
  <c r="G88" i="79"/>
  <c r="E115" i="81"/>
  <c r="D116" i="80"/>
  <c r="E82" i="81"/>
  <c r="D82" i="80"/>
  <c r="E139" i="81"/>
  <c r="D153" i="80"/>
  <c r="G8" i="77"/>
  <c r="G9" i="79"/>
  <c r="G90" i="79"/>
  <c r="E118" i="81"/>
  <c r="D119" i="80"/>
  <c r="G130" i="77"/>
  <c r="G132" i="79"/>
  <c r="E162" i="81"/>
  <c r="D188" i="80"/>
  <c r="G115" i="79"/>
  <c r="E147" i="81"/>
  <c r="D164" i="80"/>
  <c r="E114" i="81"/>
  <c r="D115" i="80"/>
  <c r="G110" i="77"/>
  <c r="G112" i="79"/>
  <c r="E143" i="81"/>
  <c r="D160" i="80"/>
  <c r="E119" i="81"/>
  <c r="D120" i="80"/>
  <c r="G126" i="77"/>
  <c r="G128" i="79"/>
  <c r="E158" i="81"/>
  <c r="D184" i="80"/>
  <c r="E123" i="81"/>
  <c r="D127" i="80"/>
  <c r="G33" i="77"/>
  <c r="G33" i="79"/>
  <c r="E44" i="81"/>
  <c r="D34" i="80"/>
  <c r="E122" i="81"/>
  <c r="D126" i="80"/>
  <c r="E137" i="81"/>
  <c r="D151" i="80"/>
  <c r="G152" i="77"/>
  <c r="G154" i="79"/>
  <c r="E145" i="81"/>
  <c r="D162" i="80"/>
  <c r="G81" i="77"/>
  <c r="G81" i="79"/>
  <c r="E109" i="81"/>
  <c r="D108" i="80"/>
  <c r="G62" i="77"/>
  <c r="E84" i="81"/>
  <c r="D84" i="80"/>
  <c r="G85" i="77"/>
  <c r="G87" i="79"/>
  <c r="E113" i="81"/>
  <c r="D114" i="80"/>
  <c r="G78" i="77"/>
  <c r="G78" i="79"/>
  <c r="E106" i="81"/>
  <c r="D105" i="80"/>
  <c r="K77" i="26"/>
  <c r="A77" i="26" s="1"/>
  <c r="K20" i="22"/>
  <c r="G69" i="79" s="1"/>
  <c r="G62" i="79"/>
  <c r="E83" i="81"/>
  <c r="D83" i="80"/>
  <c r="G89" i="79"/>
  <c r="E116" i="81"/>
  <c r="D117" i="80"/>
  <c r="E112" i="81"/>
  <c r="I35" i="1"/>
  <c r="D150" i="80"/>
  <c r="E142" i="81"/>
  <c r="E117" i="81"/>
  <c r="D118" i="80"/>
  <c r="G97" i="77"/>
  <c r="G99" i="79"/>
  <c r="E129" i="81"/>
  <c r="D138" i="80"/>
  <c r="D18" i="80"/>
  <c r="K63" i="49"/>
  <c r="E88" i="81"/>
  <c r="D88" i="80"/>
  <c r="G51" i="77"/>
  <c r="G51" i="79"/>
  <c r="E151" i="81"/>
  <c r="D168" i="80"/>
  <c r="E148" i="81"/>
  <c r="D165" i="80"/>
  <c r="G80" i="77"/>
  <c r="G80" i="79"/>
  <c r="E108" i="81"/>
  <c r="D107" i="80"/>
  <c r="D77" i="80"/>
  <c r="E140" i="81"/>
  <c r="D154" i="80"/>
  <c r="E131" i="81"/>
  <c r="D140" i="80"/>
  <c r="E110" i="81"/>
  <c r="D109" i="80"/>
  <c r="G74" i="79"/>
  <c r="K35" i="71"/>
  <c r="G136" i="79" s="1"/>
  <c r="K69" i="72"/>
  <c r="E78" i="81"/>
  <c r="D78" i="80"/>
  <c r="H53" i="1"/>
  <c r="H37" i="1"/>
  <c r="H41" i="1"/>
  <c r="H96" i="79"/>
  <c r="E127" i="81"/>
  <c r="J139" i="30"/>
  <c r="H61" i="1"/>
  <c r="G153" i="77"/>
  <c r="E182" i="81"/>
  <c r="D219" i="80"/>
  <c r="G150" i="77"/>
  <c r="G141" i="77"/>
  <c r="E171" i="81"/>
  <c r="D202" i="80"/>
  <c r="K86" i="72"/>
  <c r="G135" i="77"/>
  <c r="E166" i="81"/>
  <c r="D195" i="80"/>
  <c r="G123" i="77"/>
  <c r="E156" i="81"/>
  <c r="D179" i="80"/>
  <c r="G121" i="77"/>
  <c r="E154" i="81"/>
  <c r="D177" i="80"/>
  <c r="K37" i="69"/>
  <c r="G124" i="79" s="1"/>
  <c r="H122" i="79" s="1"/>
  <c r="K65" i="22"/>
  <c r="G73" i="79" s="1"/>
  <c r="G74" i="77"/>
  <c r="E103" i="81"/>
  <c r="D99" i="80"/>
  <c r="H25" i="1"/>
  <c r="H23" i="1"/>
  <c r="E50" i="81"/>
  <c r="D42" i="80"/>
  <c r="E51" i="81"/>
  <c r="D43" i="80"/>
  <c r="G36" i="77"/>
  <c r="E46" i="81"/>
  <c r="D38" i="80"/>
  <c r="G38" i="77"/>
  <c r="E48" i="81"/>
  <c r="D40" i="80"/>
  <c r="E49" i="81"/>
  <c r="D41" i="80"/>
  <c r="G37" i="77"/>
  <c r="E47" i="81"/>
  <c r="D39" i="80"/>
  <c r="K76" i="28"/>
  <c r="G28" i="79" s="1"/>
  <c r="K26" i="28"/>
  <c r="H19" i="1"/>
  <c r="E37" i="81"/>
  <c r="E3" i="81"/>
  <c r="D3" i="80"/>
  <c r="K49" i="30"/>
  <c r="H33" i="1"/>
  <c r="H31" i="1"/>
  <c r="I31" i="1" s="1"/>
  <c r="K90" i="25"/>
  <c r="K136" i="30"/>
  <c r="K85" i="28"/>
  <c r="G29" i="79" s="1"/>
  <c r="K24" i="49"/>
  <c r="K73" i="67"/>
  <c r="H184" i="30"/>
  <c r="K31" i="30"/>
  <c r="H55" i="1"/>
  <c r="G87" i="77"/>
  <c r="K37" i="28"/>
  <c r="G26" i="79" s="1"/>
  <c r="G113" i="77"/>
  <c r="H29" i="1"/>
  <c r="I29" i="1" s="1"/>
  <c r="K118" i="25"/>
  <c r="H45" i="1"/>
  <c r="I45" i="1" s="1"/>
  <c r="H51" i="1"/>
  <c r="I51" i="1" s="1"/>
  <c r="K99" i="66"/>
  <c r="A99" i="66" s="1"/>
  <c r="K91" i="15"/>
  <c r="G39" i="77"/>
  <c r="K26" i="72"/>
  <c r="G141" i="79" s="1"/>
  <c r="G116" i="77"/>
  <c r="H94" i="77"/>
  <c r="H59" i="1"/>
  <c r="K29" i="25"/>
  <c r="H49" i="1"/>
  <c r="I49" i="1" s="1"/>
  <c r="H47" i="1"/>
  <c r="H21" i="1"/>
  <c r="K76" i="25"/>
  <c r="L76" i="25" s="1"/>
  <c r="G77" i="77"/>
  <c r="G32" i="77"/>
  <c r="K26" i="29"/>
  <c r="H57" i="1"/>
  <c r="K99" i="45"/>
  <c r="A99" i="45" s="1"/>
  <c r="H17" i="1"/>
  <c r="E66" i="81" l="1"/>
  <c r="K137" i="24"/>
  <c r="D63" i="80"/>
  <c r="D66" i="80"/>
  <c r="G53" i="77"/>
  <c r="G50" i="77"/>
  <c r="D208" i="80"/>
  <c r="N18" i="72"/>
  <c r="G142" i="79"/>
  <c r="N15" i="72"/>
  <c r="N21" i="72" s="1"/>
  <c r="E177" i="81"/>
  <c r="D211" i="80"/>
  <c r="D96" i="80"/>
  <c r="G71" i="77"/>
  <c r="E94" i="81"/>
  <c r="G16" i="79"/>
  <c r="E23" i="81"/>
  <c r="D10" i="80"/>
  <c r="E14" i="81"/>
  <c r="D7" i="80"/>
  <c r="D55" i="80"/>
  <c r="E56" i="81"/>
  <c r="G63" i="77"/>
  <c r="D86" i="80"/>
  <c r="E86" i="81"/>
  <c r="G64" i="79"/>
  <c r="G61" i="77"/>
  <c r="G109" i="77"/>
  <c r="G111" i="79"/>
  <c r="G13" i="79"/>
  <c r="G12" i="79"/>
  <c r="D64" i="80"/>
  <c r="G52" i="79"/>
  <c r="G52" i="77"/>
  <c r="G49" i="77"/>
  <c r="G56" i="77"/>
  <c r="E73" i="81"/>
  <c r="G60" i="77"/>
  <c r="D80" i="80"/>
  <c r="G63" i="79"/>
  <c r="D85" i="80"/>
  <c r="D90" i="80"/>
  <c r="E90" i="81"/>
  <c r="E79" i="81"/>
  <c r="G66" i="79"/>
  <c r="D81" i="80"/>
  <c r="E81" i="81"/>
  <c r="E87" i="81"/>
  <c r="D76" i="80"/>
  <c r="G65" i="79"/>
  <c r="G61" i="79"/>
  <c r="K128" i="75"/>
  <c r="G60" i="79"/>
  <c r="E76" i="81"/>
  <c r="D89" i="80"/>
  <c r="E89" i="81"/>
  <c r="G65" i="77"/>
  <c r="G48" i="79"/>
  <c r="D68" i="80"/>
  <c r="E62" i="81"/>
  <c r="E64" i="81"/>
  <c r="G54" i="79"/>
  <c r="G50" i="79"/>
  <c r="D71" i="80"/>
  <c r="G48" i="77"/>
  <c r="G57" i="79"/>
  <c r="G57" i="77"/>
  <c r="G54" i="77"/>
  <c r="D69" i="80"/>
  <c r="E71" i="81"/>
  <c r="E63" i="81"/>
  <c r="D65" i="80"/>
  <c r="E67" i="81"/>
  <c r="G53" i="79"/>
  <c r="D61" i="80"/>
  <c r="D72" i="80"/>
  <c r="E72" i="81"/>
  <c r="D54" i="80"/>
  <c r="D52" i="80"/>
  <c r="D210" i="80"/>
  <c r="G148" i="79"/>
  <c r="E32" i="81"/>
  <c r="G27" i="77"/>
  <c r="G27" i="79"/>
  <c r="D6" i="80"/>
  <c r="D217" i="80"/>
  <c r="G12" i="77"/>
  <c r="E111" i="81"/>
  <c r="E180" i="81"/>
  <c r="D70" i="80"/>
  <c r="G82" i="79"/>
  <c r="H76" i="79" s="1"/>
  <c r="D62" i="80"/>
  <c r="G108" i="79"/>
  <c r="K105" i="73"/>
  <c r="A105" i="73" s="1"/>
  <c r="D186" i="80"/>
  <c r="D25" i="80"/>
  <c r="H31" i="79"/>
  <c r="K31" i="79" s="1"/>
  <c r="G92" i="77"/>
  <c r="E164" i="81"/>
  <c r="G114" i="79"/>
  <c r="E174" i="81"/>
  <c r="D187" i="80"/>
  <c r="E160" i="81"/>
  <c r="C39" i="30"/>
  <c r="F39" i="30" s="1"/>
  <c r="K39" i="30" s="1"/>
  <c r="E161" i="81"/>
  <c r="K99" i="70"/>
  <c r="A99" i="70" s="1"/>
  <c r="G131" i="79"/>
  <c r="G128" i="77"/>
  <c r="H125" i="77" s="1"/>
  <c r="G138" i="79"/>
  <c r="E136" i="81"/>
  <c r="G107" i="79"/>
  <c r="D97" i="80"/>
  <c r="E146" i="81"/>
  <c r="E95" i="81"/>
  <c r="E167" i="81"/>
  <c r="D152" i="80"/>
  <c r="D139" i="80"/>
  <c r="G22" i="79"/>
  <c r="H19" i="79" s="1"/>
  <c r="J19" i="79" s="1"/>
  <c r="G55" i="79"/>
  <c r="D130" i="80"/>
  <c r="D193" i="80"/>
  <c r="G133" i="77"/>
  <c r="D163" i="80"/>
  <c r="D196" i="80"/>
  <c r="G72" i="77"/>
  <c r="G94" i="79"/>
  <c r="I27" i="1"/>
  <c r="C41" i="30"/>
  <c r="C103" i="30"/>
  <c r="F103" i="30" s="1"/>
  <c r="K103" i="30" s="1"/>
  <c r="K105" i="30" s="1"/>
  <c r="G15" i="77" s="1"/>
  <c r="G26" i="77"/>
  <c r="H84" i="77"/>
  <c r="G98" i="77"/>
  <c r="H96" i="77" s="1"/>
  <c r="G101" i="77"/>
  <c r="H100" i="77" s="1"/>
  <c r="H19" i="77"/>
  <c r="H134" i="79"/>
  <c r="K134" i="79" s="1"/>
  <c r="E130" i="81"/>
  <c r="E133" i="81"/>
  <c r="G129" i="79"/>
  <c r="H127" i="79" s="1"/>
  <c r="D149" i="80"/>
  <c r="G70" i="77"/>
  <c r="G106" i="79"/>
  <c r="H105" i="79" s="1"/>
  <c r="E38" i="81"/>
  <c r="D95" i="80"/>
  <c r="G104" i="77"/>
  <c r="H103" i="77" s="1"/>
  <c r="E93" i="81"/>
  <c r="K94" i="15"/>
  <c r="A94" i="15" s="1"/>
  <c r="D194" i="80"/>
  <c r="H151" i="79"/>
  <c r="K151" i="79" s="1"/>
  <c r="E165" i="81"/>
  <c r="G134" i="77"/>
  <c r="H132" i="77" s="1"/>
  <c r="E92" i="81"/>
  <c r="J134" i="79"/>
  <c r="E30" i="81"/>
  <c r="D16" i="80"/>
  <c r="G43" i="79"/>
  <c r="G43" i="77"/>
  <c r="E141" i="81"/>
  <c r="I47" i="1"/>
  <c r="E175" i="81"/>
  <c r="D209" i="80"/>
  <c r="K51" i="29"/>
  <c r="A51" i="29" s="1"/>
  <c r="G147" i="77"/>
  <c r="G149" i="79"/>
  <c r="E178" i="81"/>
  <c r="D212" i="80"/>
  <c r="H68" i="79"/>
  <c r="G147" i="79"/>
  <c r="G91" i="77"/>
  <c r="G93" i="79"/>
  <c r="E121" i="81"/>
  <c r="D125" i="80"/>
  <c r="E104" i="81"/>
  <c r="I33" i="1"/>
  <c r="G28" i="77"/>
  <c r="G69" i="77"/>
  <c r="E170" i="81"/>
  <c r="E125" i="81"/>
  <c r="D129" i="80"/>
  <c r="H98" i="79"/>
  <c r="K57" i="69"/>
  <c r="A57" i="69" s="1"/>
  <c r="E128" i="81"/>
  <c r="I41" i="1"/>
  <c r="E163" i="81"/>
  <c r="I55" i="1"/>
  <c r="E29" i="81"/>
  <c r="I17" i="1"/>
  <c r="G42" i="79"/>
  <c r="G42" i="77"/>
  <c r="G45" i="77"/>
  <c r="E58" i="81"/>
  <c r="D53" i="80"/>
  <c r="G17" i="79"/>
  <c r="G17" i="77"/>
  <c r="E33" i="81"/>
  <c r="I19" i="1"/>
  <c r="E45" i="81"/>
  <c r="I23" i="1"/>
  <c r="D94" i="80"/>
  <c r="G144" i="79"/>
  <c r="H140" i="79" s="1"/>
  <c r="K89" i="72"/>
  <c r="A89" i="72" s="1"/>
  <c r="G140" i="77"/>
  <c r="E120" i="81"/>
  <c r="I37" i="1"/>
  <c r="K77" i="22"/>
  <c r="K55" i="71"/>
  <c r="A55" i="71" s="1"/>
  <c r="H86" i="79"/>
  <c r="E42" i="81"/>
  <c r="I21" i="1"/>
  <c r="G114" i="77"/>
  <c r="H108" i="77" s="1"/>
  <c r="G116" i="79"/>
  <c r="E149" i="81"/>
  <c r="D166" i="80"/>
  <c r="E168" i="81"/>
  <c r="I57" i="1"/>
  <c r="H31" i="77"/>
  <c r="H76" i="77"/>
  <c r="K102" i="67"/>
  <c r="A102" i="67" s="1"/>
  <c r="E173" i="81"/>
  <c r="I59" i="1"/>
  <c r="K99" i="49"/>
  <c r="A99" i="49" s="1"/>
  <c r="G145" i="77"/>
  <c r="G44" i="77"/>
  <c r="G44" i="79"/>
  <c r="E55" i="81"/>
  <c r="D50" i="80"/>
  <c r="D27" i="80"/>
  <c r="G25" i="79"/>
  <c r="E52" i="81"/>
  <c r="I25" i="1"/>
  <c r="D201" i="80"/>
  <c r="E179" i="81"/>
  <c r="I61" i="1"/>
  <c r="E157" i="81"/>
  <c r="I53" i="1"/>
  <c r="G45" i="79"/>
  <c r="K57" i="74"/>
  <c r="A57" i="74" s="1"/>
  <c r="E75" i="81"/>
  <c r="H120" i="79"/>
  <c r="E152" i="81"/>
  <c r="E134" i="81"/>
  <c r="J96" i="79"/>
  <c r="K96" i="79"/>
  <c r="C38" i="30"/>
  <c r="F38" i="30" s="1"/>
  <c r="K38" i="30" s="1"/>
  <c r="E91" i="81"/>
  <c r="H35" i="77"/>
  <c r="E9" i="81"/>
  <c r="G151" i="77"/>
  <c r="H149" i="77" s="1"/>
  <c r="E181" i="81"/>
  <c r="D218" i="80"/>
  <c r="G139" i="77"/>
  <c r="E169" i="81"/>
  <c r="D200" i="80"/>
  <c r="G142" i="77"/>
  <c r="E172" i="81"/>
  <c r="D203" i="80"/>
  <c r="E153" i="81"/>
  <c r="G122" i="77"/>
  <c r="H120" i="77" s="1"/>
  <c r="E155" i="81"/>
  <c r="D178" i="80"/>
  <c r="G73" i="77"/>
  <c r="E102" i="81"/>
  <c r="D98" i="80"/>
  <c r="C59" i="30"/>
  <c r="F59" i="30" s="1"/>
  <c r="K59" i="30" s="1"/>
  <c r="E53" i="81"/>
  <c r="D48" i="80"/>
  <c r="E54" i="81"/>
  <c r="D49" i="80"/>
  <c r="K137" i="25"/>
  <c r="A137" i="25" s="1"/>
  <c r="D23" i="80"/>
  <c r="G25" i="77"/>
  <c r="E34" i="81"/>
  <c r="K88" i="28"/>
  <c r="A88" i="28" s="1"/>
  <c r="G29" i="77"/>
  <c r="E39" i="81"/>
  <c r="D28" i="80"/>
  <c r="E35" i="81"/>
  <c r="D24" i="80"/>
  <c r="K56" i="30"/>
  <c r="G15" i="1"/>
  <c r="E24" i="81"/>
  <c r="D11" i="80"/>
  <c r="K34" i="30"/>
  <c r="H118" i="77"/>
  <c r="C93" i="30"/>
  <c r="F93" i="30" s="1"/>
  <c r="H59" i="77" l="1"/>
  <c r="H47" i="77"/>
  <c r="H59" i="79"/>
  <c r="J59" i="79" s="1"/>
  <c r="H47" i="79"/>
  <c r="K47" i="79" s="1"/>
  <c r="H24" i="79"/>
  <c r="K24" i="79" s="1"/>
  <c r="H144" i="77"/>
  <c r="H92" i="79"/>
  <c r="H110" i="79"/>
  <c r="J31" i="79"/>
  <c r="H90" i="77"/>
  <c r="F41" i="30"/>
  <c r="F40" i="30"/>
  <c r="K40" i="30" s="1"/>
  <c r="K19" i="79"/>
  <c r="E21" i="81"/>
  <c r="D9" i="80"/>
  <c r="G15" i="79"/>
  <c r="H68" i="77"/>
  <c r="J151" i="79"/>
  <c r="H146" i="79"/>
  <c r="K146" i="79" s="1"/>
  <c r="H41" i="77"/>
  <c r="K98" i="79"/>
  <c r="J98" i="79"/>
  <c r="K76" i="79"/>
  <c r="J76" i="79"/>
  <c r="K140" i="79"/>
  <c r="J140" i="79"/>
  <c r="K127" i="79"/>
  <c r="J127" i="79"/>
  <c r="K92" i="79"/>
  <c r="J92" i="79"/>
  <c r="J68" i="79"/>
  <c r="K68" i="79"/>
  <c r="H41" i="79"/>
  <c r="K120" i="79"/>
  <c r="J120" i="79"/>
  <c r="H24" i="77"/>
  <c r="H138" i="77"/>
  <c r="K35" i="30"/>
  <c r="K67" i="30"/>
  <c r="K93" i="30"/>
  <c r="K59" i="79" l="1"/>
  <c r="J47" i="79"/>
  <c r="J24" i="79"/>
  <c r="K41" i="30"/>
  <c r="K45" i="30" s="1"/>
  <c r="G10" i="77" s="1"/>
  <c r="F139" i="30"/>
  <c r="D15" i="1" s="1"/>
  <c r="D64" i="1" s="1"/>
  <c r="D66" i="1" s="1"/>
  <c r="J146" i="79"/>
  <c r="G11" i="79"/>
  <c r="G11" i="77"/>
  <c r="G10" i="79"/>
  <c r="G9" i="77"/>
  <c r="J41" i="79"/>
  <c r="K41" i="79"/>
  <c r="K97" i="30"/>
  <c r="E18" i="81"/>
  <c r="E12" i="81"/>
  <c r="D5" i="80"/>
  <c r="E4" i="81"/>
  <c r="D4" i="80"/>
  <c r="D69" i="1" l="1"/>
  <c r="D68" i="1"/>
  <c r="D71" i="1" s="1"/>
  <c r="H15" i="1"/>
  <c r="G14" i="77"/>
  <c r="H7" i="77" s="1"/>
  <c r="K139" i="30"/>
  <c r="A139" i="30" s="1"/>
  <c r="E15" i="81"/>
  <c r="G14" i="79"/>
  <c r="H8" i="79" s="1"/>
  <c r="D8" i="80"/>
  <c r="C37" i="1"/>
  <c r="C45" i="1"/>
  <c r="C31" i="1"/>
  <c r="C25" i="1"/>
  <c r="C43" i="1"/>
  <c r="C55" i="1"/>
  <c r="C23" i="1"/>
  <c r="C53" i="1"/>
  <c r="C33" i="1"/>
  <c r="C39" i="1"/>
  <c r="C29" i="1"/>
  <c r="C61" i="1"/>
  <c r="C51" i="1"/>
  <c r="C41" i="1"/>
  <c r="C35" i="1"/>
  <c r="C27" i="1"/>
  <c r="C19" i="1"/>
  <c r="C21" i="1"/>
  <c r="C17" i="1"/>
  <c r="C57" i="1"/>
  <c r="C47" i="1"/>
  <c r="C49" i="1"/>
  <c r="C59" i="1"/>
  <c r="I15" i="1" l="1"/>
  <c r="H64" i="1"/>
  <c r="D82" i="1"/>
  <c r="O11" i="78" s="1"/>
  <c r="D75" i="1"/>
  <c r="E36" i="82" s="1"/>
  <c r="E38" i="82" s="1"/>
  <c r="C15" i="1"/>
  <c r="C64" i="1" s="1"/>
  <c r="E2" i="81"/>
  <c r="I64" i="1"/>
  <c r="J8" i="79"/>
  <c r="K8" i="79"/>
  <c r="G157" i="79"/>
  <c r="G155" i="77"/>
  <c r="G157" i="77" s="1"/>
  <c r="G159" i="79" l="1"/>
  <c r="K157" i="79"/>
  <c r="J157" i="79"/>
  <c r="E82" i="1"/>
  <c r="P11" i="78" s="1"/>
  <c r="F71" i="1"/>
  <c r="G71" i="1" s="1"/>
  <c r="D77" i="1"/>
  <c r="D84" i="1"/>
  <c r="Q11" i="78" s="1"/>
  <c r="K159" i="79" l="1"/>
  <c r="J159" i="79"/>
  <c r="L11" i="78"/>
  <c r="M11" i="78" s="1"/>
  <c r="D86" i="1" l="1"/>
  <c r="D85" i="1"/>
  <c r="F75" i="1"/>
  <c r="G75" i="1" l="1"/>
</calcChain>
</file>

<file path=xl/sharedStrings.xml><?xml version="1.0" encoding="utf-8"?>
<sst xmlns="http://schemas.openxmlformats.org/spreadsheetml/2006/main" count="6733" uniqueCount="1383">
  <si>
    <t>CODE</t>
  </si>
  <si>
    <t>DESCRIPTION</t>
  </si>
  <si>
    <t>M-HRS</t>
  </si>
  <si>
    <t>General Requirements</t>
  </si>
  <si>
    <t>Concrete</t>
  </si>
  <si>
    <t>Masonry</t>
  </si>
  <si>
    <t>Metals</t>
  </si>
  <si>
    <t>Wood &amp; Plastics</t>
  </si>
  <si>
    <t>Finishes</t>
  </si>
  <si>
    <t>Specialties</t>
  </si>
  <si>
    <t>Electrical</t>
  </si>
  <si>
    <t>Sub Totals&gt;&gt;&gt;&gt;&gt;&gt;</t>
  </si>
  <si>
    <t>LAB $$</t>
  </si>
  <si>
    <t>M&amp;E $$</t>
  </si>
  <si>
    <t>MHrs</t>
  </si>
  <si>
    <t>Total Construction Cost&gt;&gt;&gt;&gt;&gt;&gt;</t>
  </si>
  <si>
    <t>OH&amp;P&gt;&gt;&gt;&gt;&gt;&gt;</t>
  </si>
  <si>
    <t>Estimated Price</t>
  </si>
  <si>
    <t>Job Sign</t>
  </si>
  <si>
    <t>Qty</t>
  </si>
  <si>
    <t>M</t>
  </si>
  <si>
    <t>LS</t>
  </si>
  <si>
    <t>TOTAL DIVISION 1</t>
  </si>
  <si>
    <t>TOTAL DIVISION 2</t>
  </si>
  <si>
    <t>TOTAL DIVISION 3</t>
  </si>
  <si>
    <t>TOTAL DIVISION 5</t>
  </si>
  <si>
    <t>TOTAL DIVISION 6</t>
  </si>
  <si>
    <t>TOTAL DIVISION 7</t>
  </si>
  <si>
    <t>TOTAL DIVISION 8</t>
  </si>
  <si>
    <t>TOTAL DIVISION 9</t>
  </si>
  <si>
    <t>Sub Total</t>
  </si>
  <si>
    <t>TOTAL</t>
  </si>
  <si>
    <t>$ / Sq.Ft</t>
  </si>
  <si>
    <t>Unit</t>
  </si>
  <si>
    <t>Labor</t>
  </si>
  <si>
    <t>U. Price</t>
  </si>
  <si>
    <t xml:space="preserve"> /sq.ft.</t>
  </si>
  <si>
    <t>SUB CONT.</t>
  </si>
  <si>
    <t>Total</t>
  </si>
  <si>
    <t>HST</t>
  </si>
  <si>
    <t>Controls</t>
  </si>
  <si>
    <t>Plumbing</t>
  </si>
  <si>
    <t>HVAC</t>
  </si>
  <si>
    <t>TOTAL DIVISION 4</t>
  </si>
  <si>
    <t>Fire Extinguishers</t>
  </si>
  <si>
    <t>TOTAL DIVISION 10</t>
  </si>
  <si>
    <t>Aluminum Doors and Frames</t>
  </si>
  <si>
    <t>Entrances and Storefronts</t>
  </si>
  <si>
    <t>Millwork</t>
  </si>
  <si>
    <t>Soil Investigation and Testing</t>
  </si>
  <si>
    <t>Material Inspection and Testing</t>
  </si>
  <si>
    <t>Survey and Layout</t>
  </si>
  <si>
    <t>Temporary Lighting</t>
  </si>
  <si>
    <t>Small Tools</t>
  </si>
  <si>
    <t>Final Cleaning</t>
  </si>
  <si>
    <t>Sidewalks</t>
  </si>
  <si>
    <t>Vapour Barrier</t>
  </si>
  <si>
    <t>Thermal and Moisture Protection</t>
  </si>
  <si>
    <t>Siding</t>
  </si>
  <si>
    <t>Membrane Roofing</t>
  </si>
  <si>
    <t>Traffic Doors</t>
  </si>
  <si>
    <t>Hardware</t>
  </si>
  <si>
    <t>Glazing</t>
  </si>
  <si>
    <t>Wood Flooring</t>
  </si>
  <si>
    <t>Exterior Painting</t>
  </si>
  <si>
    <t>Interior Painting</t>
  </si>
  <si>
    <t>Wall Coverings</t>
  </si>
  <si>
    <t>Lockers</t>
  </si>
  <si>
    <t>Elevators</t>
  </si>
  <si>
    <t>Lifts</t>
  </si>
  <si>
    <t>Equipment</t>
  </si>
  <si>
    <t>Food Service Equipment</t>
  </si>
  <si>
    <t>Schedule</t>
  </si>
  <si>
    <t>Weeks</t>
  </si>
  <si>
    <t>Security</t>
  </si>
  <si>
    <t>Furnishings</t>
  </si>
  <si>
    <t>Special Construction</t>
  </si>
  <si>
    <t>Demolition</t>
  </si>
  <si>
    <t>Finish Carpentry</t>
  </si>
  <si>
    <t>Flooring</t>
  </si>
  <si>
    <t>Painting</t>
  </si>
  <si>
    <t>Lighting</t>
  </si>
  <si>
    <t>Sanitary Line Video</t>
  </si>
  <si>
    <t>Total (HST excluded)</t>
  </si>
  <si>
    <t>Soft Cost</t>
  </si>
  <si>
    <t>Job Type</t>
  </si>
  <si>
    <t>Margin</t>
  </si>
  <si>
    <t>Target Margin</t>
  </si>
  <si>
    <t>A &gt; 1,000,000</t>
  </si>
  <si>
    <t>B &gt; 500,000</t>
  </si>
  <si>
    <t>C &gt; 100,000</t>
  </si>
  <si>
    <t>D &lt; 100,000</t>
  </si>
  <si>
    <t>Total (HST Excluded)</t>
  </si>
  <si>
    <t>Reprographics</t>
  </si>
  <si>
    <t>Windows</t>
  </si>
  <si>
    <t>sub</t>
  </si>
  <si>
    <t>qty</t>
  </si>
  <si>
    <t>unit $</t>
  </si>
  <si>
    <t>ext</t>
  </si>
  <si>
    <t>units</t>
  </si>
  <si>
    <t>Competititors on Bid</t>
  </si>
  <si>
    <t>Preconstruction Costs</t>
  </si>
  <si>
    <t>01 11 00</t>
  </si>
  <si>
    <t>01 31 00</t>
  </si>
  <si>
    <t>Project Management and Coordination</t>
  </si>
  <si>
    <t xml:space="preserve">01 41 00 </t>
  </si>
  <si>
    <t xml:space="preserve">Permits </t>
  </si>
  <si>
    <t>01 51 00</t>
  </si>
  <si>
    <t>Temporary Utilities</t>
  </si>
  <si>
    <t>Construction Facilities</t>
  </si>
  <si>
    <t>01 52 00</t>
  </si>
  <si>
    <t xml:space="preserve">01 54 00 </t>
  </si>
  <si>
    <t>Construction Aids</t>
  </si>
  <si>
    <t>01 56 00</t>
  </si>
  <si>
    <t>Temporary Barriers &amp; Enclosures</t>
  </si>
  <si>
    <t xml:space="preserve">01 74 00 </t>
  </si>
  <si>
    <t>Cleaning &amp; Waste Management</t>
  </si>
  <si>
    <t xml:space="preserve">Senior Estimator </t>
  </si>
  <si>
    <t>Junior Estimator</t>
  </si>
  <si>
    <t>Design Costs</t>
  </si>
  <si>
    <t>Architectural</t>
  </si>
  <si>
    <t>Civil</t>
  </si>
  <si>
    <t xml:space="preserve">Structural </t>
  </si>
  <si>
    <t>Geotechnical</t>
  </si>
  <si>
    <t>Senior Construction Manager</t>
  </si>
  <si>
    <t>Senior Estimator</t>
  </si>
  <si>
    <t>Senior Project Manager</t>
  </si>
  <si>
    <t>Project Superintendent</t>
  </si>
  <si>
    <t>Project Foreman</t>
  </si>
  <si>
    <t>Temporary Power</t>
  </si>
  <si>
    <t>Temporary Fuel Oil</t>
  </si>
  <si>
    <t>Temp HVAC</t>
  </si>
  <si>
    <t>Temporary Internet</t>
  </si>
  <si>
    <t>Temporary Water</t>
  </si>
  <si>
    <t>Temporary Fire Protection</t>
  </si>
  <si>
    <t>Sanitary Facilities</t>
  </si>
  <si>
    <t>Scaffolding / Staging</t>
  </si>
  <si>
    <t>Air/Dust Barriers</t>
  </si>
  <si>
    <t>Temp Barricades</t>
  </si>
  <si>
    <t>Temporary Fencing</t>
  </si>
  <si>
    <t xml:space="preserve">Hoarding </t>
  </si>
  <si>
    <t>Progress Cleaning</t>
  </si>
  <si>
    <t>Site Maintenance</t>
  </si>
  <si>
    <t>Construction Waste Mgmt &amp; Disposal</t>
  </si>
  <si>
    <t>01 45 00</t>
  </si>
  <si>
    <t>Quality Control</t>
  </si>
  <si>
    <t>Hazardous Idendification Inspection</t>
  </si>
  <si>
    <t>Construction Field Office</t>
  </si>
  <si>
    <t>Drawing Reprographics</t>
  </si>
  <si>
    <t>First-Aid / Safety</t>
  </si>
  <si>
    <t>Bldg Permit Fees</t>
  </si>
  <si>
    <t>Fire Suppression</t>
  </si>
  <si>
    <t>Division</t>
  </si>
  <si>
    <t>02 00 00</t>
  </si>
  <si>
    <t>02 41 00</t>
  </si>
  <si>
    <t>Existing Conditions</t>
  </si>
  <si>
    <t>02 82 00</t>
  </si>
  <si>
    <t xml:space="preserve">Asbestos Remediation </t>
  </si>
  <si>
    <t>02 83 00</t>
  </si>
  <si>
    <t>03 00 00</t>
  </si>
  <si>
    <t>03 11 00</t>
  </si>
  <si>
    <t xml:space="preserve">Concrete Forming </t>
  </si>
  <si>
    <t xml:space="preserve">Concrete Reinforcing </t>
  </si>
  <si>
    <t>03 20 00</t>
  </si>
  <si>
    <t>03 30 00</t>
  </si>
  <si>
    <t>03 35 00</t>
  </si>
  <si>
    <t>03 40 00</t>
  </si>
  <si>
    <t>03 60 00</t>
  </si>
  <si>
    <t xml:space="preserve">Cast-in-Place Concrete </t>
  </si>
  <si>
    <t xml:space="preserve">Concrete Finishing </t>
  </si>
  <si>
    <t xml:space="preserve">Precast Concrete </t>
  </si>
  <si>
    <t xml:space="preserve">Grouting </t>
  </si>
  <si>
    <t>04 00 00</t>
  </si>
  <si>
    <t>04 20 00</t>
  </si>
  <si>
    <t>04 43 00</t>
  </si>
  <si>
    <t xml:space="preserve">Unit Masonry </t>
  </si>
  <si>
    <t xml:space="preserve">Stone Masonry </t>
  </si>
  <si>
    <t xml:space="preserve">Division </t>
  </si>
  <si>
    <t xml:space="preserve">05 00 00 </t>
  </si>
  <si>
    <t>05 12 00</t>
  </si>
  <si>
    <t>05 20 00</t>
  </si>
  <si>
    <t>05 30 00</t>
  </si>
  <si>
    <t>05 51 00</t>
  </si>
  <si>
    <t>05 52 00</t>
  </si>
  <si>
    <t>05 59 00</t>
  </si>
  <si>
    <t xml:space="preserve">Structural Steel Framing </t>
  </si>
  <si>
    <t xml:space="preserve">Metal Joists </t>
  </si>
  <si>
    <t xml:space="preserve">Metal Decking </t>
  </si>
  <si>
    <t xml:space="preserve">Metal Stairs </t>
  </si>
  <si>
    <t xml:space="preserve">Metal Railings </t>
  </si>
  <si>
    <t xml:space="preserve">Metal Specialties </t>
  </si>
  <si>
    <t>06 00 00</t>
  </si>
  <si>
    <t xml:space="preserve">Wood, Plastics, and Composites </t>
  </si>
  <si>
    <t>06 20 00</t>
  </si>
  <si>
    <t>06 22 00</t>
  </si>
  <si>
    <t>06 41 00</t>
  </si>
  <si>
    <t>Architechtural Wood Casework</t>
  </si>
  <si>
    <t>Wood Paneling</t>
  </si>
  <si>
    <t>06 42 00</t>
  </si>
  <si>
    <t>06 43 00</t>
  </si>
  <si>
    <t>Wood Stairs and Railings</t>
  </si>
  <si>
    <t>06 46 00</t>
  </si>
  <si>
    <t>Wood Trim</t>
  </si>
  <si>
    <t>Wood Frames</t>
  </si>
  <si>
    <t>06 48 00</t>
  </si>
  <si>
    <t>07 00 00</t>
  </si>
  <si>
    <t>07 21 00</t>
  </si>
  <si>
    <t>Thermal Insulation</t>
  </si>
  <si>
    <t>07 21 16</t>
  </si>
  <si>
    <t>07 21 26</t>
  </si>
  <si>
    <t>07 21 29</t>
  </si>
  <si>
    <t>Blanket Insulation</t>
  </si>
  <si>
    <t>Blown Insulation</t>
  </si>
  <si>
    <t>Sprayed Insulation</t>
  </si>
  <si>
    <t>07 24 00</t>
  </si>
  <si>
    <t>EIFS</t>
  </si>
  <si>
    <t xml:space="preserve">07 31 00 </t>
  </si>
  <si>
    <t xml:space="preserve">Shingles </t>
  </si>
  <si>
    <t xml:space="preserve">07 42 00 </t>
  </si>
  <si>
    <t>Wall Panels</t>
  </si>
  <si>
    <t>07 46 00</t>
  </si>
  <si>
    <t>07 52 00</t>
  </si>
  <si>
    <t>Modified Bituminous Membrane Roofing</t>
  </si>
  <si>
    <t>07 53 00</t>
  </si>
  <si>
    <t>Elastomeric Membrane Roofing</t>
  </si>
  <si>
    <t>07 62 00</t>
  </si>
  <si>
    <t>Sheet Metal Flashing and Trim</t>
  </si>
  <si>
    <t>Sheet Metal Roofing Specialties</t>
  </si>
  <si>
    <t>Sheet Metal Wall Cladding</t>
  </si>
  <si>
    <t>07 63 00</t>
  </si>
  <si>
    <t>07 64 00</t>
  </si>
  <si>
    <t>07 72 00</t>
  </si>
  <si>
    <t>Roof Accessories</t>
  </si>
  <si>
    <t>07 72 26</t>
  </si>
  <si>
    <t>07 72 33</t>
  </si>
  <si>
    <t>Roof Hatches</t>
  </si>
  <si>
    <t>07 81 00</t>
  </si>
  <si>
    <t>Applied Fireproofing</t>
  </si>
  <si>
    <t>07 84 00</t>
  </si>
  <si>
    <t>Firestopping</t>
  </si>
  <si>
    <t>07 90 00</t>
  </si>
  <si>
    <t>Joint Protection</t>
  </si>
  <si>
    <t>08 00 00</t>
  </si>
  <si>
    <t>Openings</t>
  </si>
  <si>
    <t>08 11 00</t>
  </si>
  <si>
    <t>Metal Doors and Frames</t>
  </si>
  <si>
    <t>08 11 13</t>
  </si>
  <si>
    <t>08 11 16</t>
  </si>
  <si>
    <t>08 14 00</t>
  </si>
  <si>
    <t>Wood Doors</t>
  </si>
  <si>
    <t>08 31 00</t>
  </si>
  <si>
    <t>Access Doors and Panels</t>
  </si>
  <si>
    <t>08 32 00</t>
  </si>
  <si>
    <t>Sliding Gates</t>
  </si>
  <si>
    <t>08 33 00</t>
  </si>
  <si>
    <t>Coiling Doors and Drilles</t>
  </si>
  <si>
    <t>08 34 00</t>
  </si>
  <si>
    <t>Special Function Doors</t>
  </si>
  <si>
    <t>08 38 00</t>
  </si>
  <si>
    <t>08 41 00</t>
  </si>
  <si>
    <t xml:space="preserve">08 44 00 </t>
  </si>
  <si>
    <t>Curtain Wall and Glazed Assemblies</t>
  </si>
  <si>
    <t>08 50 00</t>
  </si>
  <si>
    <t>Composite Windows</t>
  </si>
  <si>
    <t>08 54 00</t>
  </si>
  <si>
    <t>08 51 00</t>
  </si>
  <si>
    <t>08 52 00</t>
  </si>
  <si>
    <t>08 53 00</t>
  </si>
  <si>
    <t>08 70 00</t>
  </si>
  <si>
    <t>08 81 00</t>
  </si>
  <si>
    <t>Glass Glazing</t>
  </si>
  <si>
    <t>08 83 00</t>
  </si>
  <si>
    <t>Mirrors</t>
  </si>
  <si>
    <t>08 87 00</t>
  </si>
  <si>
    <t>Glazing Surface Films</t>
  </si>
  <si>
    <t>08 91 00</t>
  </si>
  <si>
    <t>Louvers</t>
  </si>
  <si>
    <t>09 00 00</t>
  </si>
  <si>
    <t>09 20 00</t>
  </si>
  <si>
    <t>Plaster and Gypsum Board</t>
  </si>
  <si>
    <t>09 30 00</t>
  </si>
  <si>
    <t>Tiling</t>
  </si>
  <si>
    <t>09 50 00</t>
  </si>
  <si>
    <t>Ceiling</t>
  </si>
  <si>
    <t>09 60 00</t>
  </si>
  <si>
    <t>09 61 00</t>
  </si>
  <si>
    <t>09 62 00</t>
  </si>
  <si>
    <t>Specialty Flooring</t>
  </si>
  <si>
    <t>09 64 00</t>
  </si>
  <si>
    <t>09 65 00</t>
  </si>
  <si>
    <t>09 67 00</t>
  </si>
  <si>
    <t>09 68 00</t>
  </si>
  <si>
    <t>09 72 00</t>
  </si>
  <si>
    <t>09 91 00</t>
  </si>
  <si>
    <t>09 91 13</t>
  </si>
  <si>
    <t>09 91 23</t>
  </si>
  <si>
    <t>10 00 00</t>
  </si>
  <si>
    <t xml:space="preserve">10 11 00 </t>
  </si>
  <si>
    <t>Visual Display Units</t>
  </si>
  <si>
    <t>10 14 00</t>
  </si>
  <si>
    <t>Signage</t>
  </si>
  <si>
    <t>10 20 00</t>
  </si>
  <si>
    <t>Interior Specialties</t>
  </si>
  <si>
    <t>10 21 00</t>
  </si>
  <si>
    <t>10 21 13</t>
  </si>
  <si>
    <t>Toilet Compartments</t>
  </si>
  <si>
    <t>10 22 00</t>
  </si>
  <si>
    <t>Partitions</t>
  </si>
  <si>
    <t>10 22 19</t>
  </si>
  <si>
    <t>Demountable Partitions</t>
  </si>
  <si>
    <t>10 22 39</t>
  </si>
  <si>
    <t>Folding Panel Partitions</t>
  </si>
  <si>
    <t>Sliding Partions</t>
  </si>
  <si>
    <t>10 22 43</t>
  </si>
  <si>
    <t>10 28 00</t>
  </si>
  <si>
    <t>Toilet , Bath, and Laundry Accessories</t>
  </si>
  <si>
    <t xml:space="preserve">10 44 00 </t>
  </si>
  <si>
    <t>Fire Protection Specialties</t>
  </si>
  <si>
    <t>10 44 16</t>
  </si>
  <si>
    <t>10 51 00</t>
  </si>
  <si>
    <t>10 57 00</t>
  </si>
  <si>
    <t>Wardrobe and Closet Specialties</t>
  </si>
  <si>
    <t>10 70 00</t>
  </si>
  <si>
    <t>Exterior Specialties</t>
  </si>
  <si>
    <t>10 73 00</t>
  </si>
  <si>
    <t>Protective Covers</t>
  </si>
  <si>
    <t>10 73 16</t>
  </si>
  <si>
    <t>Canopies</t>
  </si>
  <si>
    <t>10 75 00</t>
  </si>
  <si>
    <t>Flagpoles</t>
  </si>
  <si>
    <t>11 00 00</t>
  </si>
  <si>
    <t>11 11 00</t>
  </si>
  <si>
    <t>Vehicle Service Equipment</t>
  </si>
  <si>
    <t>11 13 00</t>
  </si>
  <si>
    <t>Loading Dock Equipment</t>
  </si>
  <si>
    <t>11 30 00</t>
  </si>
  <si>
    <t>Residential Equipment</t>
  </si>
  <si>
    <t>11 30 13</t>
  </si>
  <si>
    <t>Residential Appliances</t>
  </si>
  <si>
    <t>11 41 00</t>
  </si>
  <si>
    <t>Food Storage Equipment</t>
  </si>
  <si>
    <t>11 41 23</t>
  </si>
  <si>
    <t>Walk-In Coolers</t>
  </si>
  <si>
    <t>11 48 00</t>
  </si>
  <si>
    <t>Food service Cleaning and Disposal Equipment</t>
  </si>
  <si>
    <t>11 48 13</t>
  </si>
  <si>
    <t>Commercial Dishwasher</t>
  </si>
  <si>
    <t>11 52 00</t>
  </si>
  <si>
    <t>Audio-Visual Equipment</t>
  </si>
  <si>
    <t>11 53 00</t>
  </si>
  <si>
    <t>Laboratory Equipment</t>
  </si>
  <si>
    <t>12 00 00</t>
  </si>
  <si>
    <t xml:space="preserve">12 20 00 </t>
  </si>
  <si>
    <t>Window Treatments</t>
  </si>
  <si>
    <t>12 21 00</t>
  </si>
  <si>
    <t>Window Blinds</t>
  </si>
  <si>
    <t>12 30 00</t>
  </si>
  <si>
    <t>Casework</t>
  </si>
  <si>
    <t>12 32 00</t>
  </si>
  <si>
    <t>12 35 00</t>
  </si>
  <si>
    <t>Manufactured Wood Casework</t>
  </si>
  <si>
    <t>Specialty Casework</t>
  </si>
  <si>
    <t>Countertops</t>
  </si>
  <si>
    <t>12 36 00</t>
  </si>
  <si>
    <t>13 00 00</t>
  </si>
  <si>
    <t>14 00 00</t>
  </si>
  <si>
    <t>Conveying Equipment</t>
  </si>
  <si>
    <t>14 20 00</t>
  </si>
  <si>
    <t>14 40 00</t>
  </si>
  <si>
    <t>Wheelchair Lifts</t>
  </si>
  <si>
    <t>14 42 00</t>
  </si>
  <si>
    <t>21 00 00</t>
  </si>
  <si>
    <t>21 10 00</t>
  </si>
  <si>
    <t>Water-Based Fire-Suppression System</t>
  </si>
  <si>
    <t>22 00 00</t>
  </si>
  <si>
    <t>22 10 00</t>
  </si>
  <si>
    <t>Plumbing Piping</t>
  </si>
  <si>
    <t>22 30 00</t>
  </si>
  <si>
    <t>Plumbing Equipment</t>
  </si>
  <si>
    <t>22 33 00</t>
  </si>
  <si>
    <t>Electric Domestic Water Heaters</t>
  </si>
  <si>
    <t>22 34 00</t>
  </si>
  <si>
    <t>Fuel-Fired Domestic Water Heaters</t>
  </si>
  <si>
    <t>22 40 00</t>
  </si>
  <si>
    <t>Plumbing Fixtures</t>
  </si>
  <si>
    <t>22 42 00</t>
  </si>
  <si>
    <t>Commercial Plumbing Fixtures</t>
  </si>
  <si>
    <t>Commercial Urinals</t>
  </si>
  <si>
    <t xml:space="preserve">Commercial Lavatories and Sinks </t>
  </si>
  <si>
    <t>Commercial Lavatories</t>
  </si>
  <si>
    <t>Commercial Sinks</t>
  </si>
  <si>
    <t>Commercial Bathtubs</t>
  </si>
  <si>
    <t>Commercial Showers</t>
  </si>
  <si>
    <t>Commercial Disposers</t>
  </si>
  <si>
    <t>Shampoo Bowls</t>
  </si>
  <si>
    <t>Wash Fountains</t>
  </si>
  <si>
    <t>Commercial Laundry Trays</t>
  </si>
  <si>
    <t xml:space="preserve">Commercial Faucets, Supplies, and Trim Flushometers </t>
  </si>
  <si>
    <t>Commercial Water Closets</t>
  </si>
  <si>
    <t>Flushometers</t>
  </si>
  <si>
    <t>22 42 13</t>
  </si>
  <si>
    <t>22 42 13.13</t>
  </si>
  <si>
    <t>22 42 13.16</t>
  </si>
  <si>
    <t>22 42 16</t>
  </si>
  <si>
    <t>22 42 16.13</t>
  </si>
  <si>
    <t>22 42 16.16</t>
  </si>
  <si>
    <t>22 42 19</t>
  </si>
  <si>
    <t>22 42 23</t>
  </si>
  <si>
    <t>22 42 26</t>
  </si>
  <si>
    <t>22 42 29</t>
  </si>
  <si>
    <t>22 42 33</t>
  </si>
  <si>
    <t>22 42 36</t>
  </si>
  <si>
    <t>22 42 39</t>
  </si>
  <si>
    <t>22 42 43</t>
  </si>
  <si>
    <t>22 45 00</t>
  </si>
  <si>
    <t>Emergency Plumbing Fixtures</t>
  </si>
  <si>
    <t>22 45 13</t>
  </si>
  <si>
    <t>22 45 16</t>
  </si>
  <si>
    <t>Emergency Showers</t>
  </si>
  <si>
    <t>Eyewash Station</t>
  </si>
  <si>
    <t>22 47 00</t>
  </si>
  <si>
    <t>Drinking Fountains and Water Coolers</t>
  </si>
  <si>
    <t>23 00 00</t>
  </si>
  <si>
    <t>Heating, Ventilating, and Air Conditioning</t>
  </si>
  <si>
    <t>23 07 00</t>
  </si>
  <si>
    <t>HVAC Insulation</t>
  </si>
  <si>
    <t>23 08 00</t>
  </si>
  <si>
    <t>Commissioning of HVAC</t>
  </si>
  <si>
    <t>23 09 00</t>
  </si>
  <si>
    <t>Instrumentation and Control for HVAC</t>
  </si>
  <si>
    <t>23 10 00</t>
  </si>
  <si>
    <t>Facility Fuel System</t>
  </si>
  <si>
    <t>23 11 23</t>
  </si>
  <si>
    <t>Facility Natural Gas Piping</t>
  </si>
  <si>
    <t>23 13 00</t>
  </si>
  <si>
    <t>Facility Fuel Storage</t>
  </si>
  <si>
    <t>23 20 00</t>
  </si>
  <si>
    <t>HVAC Piping and Pumps</t>
  </si>
  <si>
    <t>23 23 00</t>
  </si>
  <si>
    <t>Refrigerant Piping</t>
  </si>
  <si>
    <t>23 30 00</t>
  </si>
  <si>
    <t>HVAC Air Distribution</t>
  </si>
  <si>
    <t>HVAC Ducts and Casings</t>
  </si>
  <si>
    <t>23 31 00</t>
  </si>
  <si>
    <t>23 31 12</t>
  </si>
  <si>
    <t>Metal Ducts</t>
  </si>
  <si>
    <t>23 31 12.13</t>
  </si>
  <si>
    <t>Rectangular Metal Ducts</t>
  </si>
  <si>
    <t>23 31 12.16</t>
  </si>
  <si>
    <t>Round and Flat-Oval Spiral Ducts</t>
  </si>
  <si>
    <t>23 33 00</t>
  </si>
  <si>
    <t>Air Duct Accessories</t>
  </si>
  <si>
    <t>23 33 46</t>
  </si>
  <si>
    <t>Flexible Ducts</t>
  </si>
  <si>
    <t>23 34 00</t>
  </si>
  <si>
    <t>HVAC Fans</t>
  </si>
  <si>
    <t>23 38 00</t>
  </si>
  <si>
    <t>Ventilation Hoods</t>
  </si>
  <si>
    <t xml:space="preserve">23 70 00 </t>
  </si>
  <si>
    <t>Central HVAC Equipment</t>
  </si>
  <si>
    <t>23 74 00</t>
  </si>
  <si>
    <t>Packaged Outdoor HVAC Equipment</t>
  </si>
  <si>
    <t>23 83 00</t>
  </si>
  <si>
    <t>Radiant Heating Units</t>
  </si>
  <si>
    <t>23 84 00</t>
  </si>
  <si>
    <t>Humidity Control Equipment</t>
  </si>
  <si>
    <t>25 00 00</t>
  </si>
  <si>
    <t>Integrated Automation</t>
  </si>
  <si>
    <t>26 00 00</t>
  </si>
  <si>
    <t>26 09 00</t>
  </si>
  <si>
    <t>Instrumentation and Controls for Electrical Systems</t>
  </si>
  <si>
    <t>26 10 00</t>
  </si>
  <si>
    <t>Medium-Voltage Electrical Distribution</t>
  </si>
  <si>
    <t>26 11 00</t>
  </si>
  <si>
    <t>Substations</t>
  </si>
  <si>
    <t>26 12 00</t>
  </si>
  <si>
    <t>Medium Voltage Transformer</t>
  </si>
  <si>
    <t>26 13 00</t>
  </si>
  <si>
    <t>Medium Voltage Switchgear</t>
  </si>
  <si>
    <t>26 16 00</t>
  </si>
  <si>
    <t>Medium-Voltage Metering</t>
  </si>
  <si>
    <t>Medium-Voltage Circuit Protection Devices</t>
  </si>
  <si>
    <t>26 18 00</t>
  </si>
  <si>
    <t>26 50 00</t>
  </si>
  <si>
    <t>26 51 00</t>
  </si>
  <si>
    <t>Interior Lighting</t>
  </si>
  <si>
    <t>26 52 00</t>
  </si>
  <si>
    <t>Exterior Lighting</t>
  </si>
  <si>
    <t>Safety Lighting</t>
  </si>
  <si>
    <t>26 56 00</t>
  </si>
  <si>
    <t>27 00 00</t>
  </si>
  <si>
    <t>Communications</t>
  </si>
  <si>
    <t>27 10 00</t>
  </si>
  <si>
    <t>Structured Cabling</t>
  </si>
  <si>
    <t>27 20 00</t>
  </si>
  <si>
    <t>Data Communications</t>
  </si>
  <si>
    <t>27 21 00</t>
  </si>
  <si>
    <t>Data Communications Network Equipment</t>
  </si>
  <si>
    <t xml:space="preserve">27 22 00 </t>
  </si>
  <si>
    <t>Data Communications Hardware</t>
  </si>
  <si>
    <t>27 30 00</t>
  </si>
  <si>
    <t>Voice Communications</t>
  </si>
  <si>
    <t>27 40 00</t>
  </si>
  <si>
    <t>Audio-Voice Communications</t>
  </si>
  <si>
    <t>27 50 00</t>
  </si>
  <si>
    <t>Distributed Communications and Monitoring Systems</t>
  </si>
  <si>
    <t>28 00 00</t>
  </si>
  <si>
    <t>Electronic Safety and Security</t>
  </si>
  <si>
    <t>28 10 00</t>
  </si>
  <si>
    <t>Access Control</t>
  </si>
  <si>
    <t>28 15 00</t>
  </si>
  <si>
    <t>Access Control Hardware Devices</t>
  </si>
  <si>
    <t>28 20 00</t>
  </si>
  <si>
    <t>Video Surveillance</t>
  </si>
  <si>
    <t>28 30 00</t>
  </si>
  <si>
    <t>Security Detection, Aarm, and Monitoring</t>
  </si>
  <si>
    <t>28 40 00</t>
  </si>
  <si>
    <t>28 46 00</t>
  </si>
  <si>
    <t>Life Safety</t>
  </si>
  <si>
    <t>Fire Detection and Alarm</t>
  </si>
  <si>
    <t>31 00 00</t>
  </si>
  <si>
    <t>Earthwork</t>
  </si>
  <si>
    <t>31 10 00</t>
  </si>
  <si>
    <t>Site Clearing</t>
  </si>
  <si>
    <t>Clearing and Grubbing</t>
  </si>
  <si>
    <t>31 11 00</t>
  </si>
  <si>
    <t>31 20 00</t>
  </si>
  <si>
    <t>Earth Moving</t>
  </si>
  <si>
    <t>31 22 00</t>
  </si>
  <si>
    <t>Rough Grading</t>
  </si>
  <si>
    <t>Fine Grading</t>
  </si>
  <si>
    <t>31 22 13</t>
  </si>
  <si>
    <t>31 22 16</t>
  </si>
  <si>
    <t>31 23 00</t>
  </si>
  <si>
    <t>Excavation and Fill</t>
  </si>
  <si>
    <t>31 23 13</t>
  </si>
  <si>
    <t>Subgrade Preparation</t>
  </si>
  <si>
    <t>Trenching</t>
  </si>
  <si>
    <t>Structural Excavation for Minor Structures</t>
  </si>
  <si>
    <t xml:space="preserve">Rock Removal </t>
  </si>
  <si>
    <t>Dewatering</t>
  </si>
  <si>
    <t>Fill</t>
  </si>
  <si>
    <t>Backfill</t>
  </si>
  <si>
    <t>Compaction</t>
  </si>
  <si>
    <t>Flowable Fill</t>
  </si>
  <si>
    <t>Geofoam</t>
  </si>
  <si>
    <t>Trenching and Backfilling</t>
  </si>
  <si>
    <t>31 23 16</t>
  </si>
  <si>
    <t>31 23 16.13</t>
  </si>
  <si>
    <t>31 23 16.16</t>
  </si>
  <si>
    <t>31 23 16.26</t>
  </si>
  <si>
    <t>31 23 19</t>
  </si>
  <si>
    <t>31 23 23</t>
  </si>
  <si>
    <t>31 23 23.13</t>
  </si>
  <si>
    <t>31 23 23.23</t>
  </si>
  <si>
    <t>31 23 23.33</t>
  </si>
  <si>
    <t>31 23 23.43</t>
  </si>
  <si>
    <t>31 23 33</t>
  </si>
  <si>
    <t>31 25 00</t>
  </si>
  <si>
    <t>Erosion nd Sedimentation Controls</t>
  </si>
  <si>
    <t>Riprap</t>
  </si>
  <si>
    <t>31 37 00</t>
  </si>
  <si>
    <t>31 70 00</t>
  </si>
  <si>
    <t>Tunneling</t>
  </si>
  <si>
    <t>32 00 00</t>
  </si>
  <si>
    <t>Exterior Improvements</t>
  </si>
  <si>
    <t xml:space="preserve">32 10 00 </t>
  </si>
  <si>
    <t>Bases, Ballasts, and Paving</t>
  </si>
  <si>
    <t>Base Course</t>
  </si>
  <si>
    <t>32 11 00</t>
  </si>
  <si>
    <t>32 12 00</t>
  </si>
  <si>
    <t>Flexible Paving</t>
  </si>
  <si>
    <t>Unit Paving</t>
  </si>
  <si>
    <t>32 14 00</t>
  </si>
  <si>
    <t>32 16 00</t>
  </si>
  <si>
    <t>Curbs, Gutters, Sidewalks, and Driveways</t>
  </si>
  <si>
    <t>32 16 13</t>
  </si>
  <si>
    <t>32 16 13.13</t>
  </si>
  <si>
    <t>32 16 13.16</t>
  </si>
  <si>
    <t>32 16 13.23</t>
  </si>
  <si>
    <t>32 16 13.33</t>
  </si>
  <si>
    <t>32 16 13.43</t>
  </si>
  <si>
    <t>32 16 23</t>
  </si>
  <si>
    <t>32 16 33</t>
  </si>
  <si>
    <t>Driveways</t>
  </si>
  <si>
    <t>Stone Curbs</t>
  </si>
  <si>
    <t>Asphalt Curbs</t>
  </si>
  <si>
    <t>Precast Concrete Curbs and Gutters</t>
  </si>
  <si>
    <t>Steel Faced Curbs</t>
  </si>
  <si>
    <t>Cast-In-Place Concrete Curbs and Gutters</t>
  </si>
  <si>
    <t>Curbs and Gutters</t>
  </si>
  <si>
    <t>32 17 00</t>
  </si>
  <si>
    <t>Paving Specialties</t>
  </si>
  <si>
    <t>Parking Bumpers</t>
  </si>
  <si>
    <t>32 17 23</t>
  </si>
  <si>
    <t>32 17 13</t>
  </si>
  <si>
    <t>32 30 00</t>
  </si>
  <si>
    <t>Site Improvements</t>
  </si>
  <si>
    <t>32 31 00</t>
  </si>
  <si>
    <t>32 32 00</t>
  </si>
  <si>
    <t>Retaining Walls</t>
  </si>
  <si>
    <t>32 33 00</t>
  </si>
  <si>
    <t>Site Furnishing</t>
  </si>
  <si>
    <t>Site Trash and Litter Receptacles</t>
  </si>
  <si>
    <t>32 33 23</t>
  </si>
  <si>
    <t>32 90 00</t>
  </si>
  <si>
    <t>Planting</t>
  </si>
  <si>
    <t>32 91 00</t>
  </si>
  <si>
    <t>Planting Preparation</t>
  </si>
  <si>
    <t>32 92 00</t>
  </si>
  <si>
    <t>Turf and Grasses</t>
  </si>
  <si>
    <t>32 93 00</t>
  </si>
  <si>
    <t>33 00 00</t>
  </si>
  <si>
    <t>Utilities</t>
  </si>
  <si>
    <t>33 10 00</t>
  </si>
  <si>
    <t>Water Utilities</t>
  </si>
  <si>
    <t>Groundwater Sources</t>
  </si>
  <si>
    <t>33 11 00</t>
  </si>
  <si>
    <t>33 14 00</t>
  </si>
  <si>
    <t>Water Utility Transmission and Distribution</t>
  </si>
  <si>
    <t>33 30 00</t>
  </si>
  <si>
    <t>Sanitary Sewerage</t>
  </si>
  <si>
    <t>Sanitary Sewerage Piping</t>
  </si>
  <si>
    <t>33 31 00</t>
  </si>
  <si>
    <t>33 32 00</t>
  </si>
  <si>
    <t>Sanitary Sewerage Equipment</t>
  </si>
  <si>
    <t>33 40 00</t>
  </si>
  <si>
    <t>Stormwater Utilities</t>
  </si>
  <si>
    <t>33 41 00</t>
  </si>
  <si>
    <t>Subdrainage</t>
  </si>
  <si>
    <t>Foundation Drainage</t>
  </si>
  <si>
    <t>33 41 13</t>
  </si>
  <si>
    <t>33 42 00</t>
  </si>
  <si>
    <t>Stormwater Conveyance</t>
  </si>
  <si>
    <t>33 46 00</t>
  </si>
  <si>
    <t>Stormwater Management</t>
  </si>
  <si>
    <t>33 70 00</t>
  </si>
  <si>
    <t>Electrical Utilities</t>
  </si>
  <si>
    <t>33 71 00</t>
  </si>
  <si>
    <t>Electrical Utilities Transmission and Distribution</t>
  </si>
  <si>
    <t>33 71 19</t>
  </si>
  <si>
    <t>Electrical Underground Ducts, Ductbanks, and Manholes</t>
  </si>
  <si>
    <t>Sq. Ft.</t>
  </si>
  <si>
    <t>Area:</t>
  </si>
  <si>
    <t>01 11 13</t>
  </si>
  <si>
    <t>01 11 16</t>
  </si>
  <si>
    <t>01 11 23</t>
  </si>
  <si>
    <t>01 11 26</t>
  </si>
  <si>
    <t>01 11 19</t>
  </si>
  <si>
    <t>01 11 26.13</t>
  </si>
  <si>
    <t>01 11 26.16</t>
  </si>
  <si>
    <t>01 11 26.19</t>
  </si>
  <si>
    <t>01 11 26.23</t>
  </si>
  <si>
    <t>01 11 26.26</t>
  </si>
  <si>
    <t>01 11 26.29</t>
  </si>
  <si>
    <t>01 11 26.33</t>
  </si>
  <si>
    <t>Materials &amp; Equipment</t>
  </si>
  <si>
    <t>Labor Total</t>
  </si>
  <si>
    <t>Material Total</t>
  </si>
  <si>
    <t>Quote</t>
  </si>
  <si>
    <t>Thermal &amp; Moisture Protection</t>
  </si>
  <si>
    <t>Specalties</t>
  </si>
  <si>
    <t>Furnishing</t>
  </si>
  <si>
    <t>TOTAL DIVISION 11</t>
  </si>
  <si>
    <t>TOTAL DIVISION 12</t>
  </si>
  <si>
    <t>TOTAL DIVISION 14</t>
  </si>
  <si>
    <t>TOTAL DIVISION 13</t>
  </si>
  <si>
    <t>TOTAL DIVISION 22</t>
  </si>
  <si>
    <t>TOTAL DIVISION 21</t>
  </si>
  <si>
    <t>TOTAL DIVISION 33</t>
  </si>
  <si>
    <t>TOTAL DIVISION 32</t>
  </si>
  <si>
    <t>TOTAL DIVISION 31</t>
  </si>
  <si>
    <t>TOTAL DIVISION 28</t>
  </si>
  <si>
    <t>TOTAL DIVISION 27</t>
  </si>
  <si>
    <t>TOTAL DIVISION 26</t>
  </si>
  <si>
    <t>TOTAL DIVISION 25</t>
  </si>
  <si>
    <t>TOTAL DIVISION 23</t>
  </si>
  <si>
    <t>Compartments and Cubicles</t>
  </si>
  <si>
    <t xml:space="preserve">Commercial Water Closets, Urinals, and Bidets </t>
  </si>
  <si>
    <t>Facility Fuel piping</t>
  </si>
  <si>
    <t>23 11 00</t>
  </si>
  <si>
    <t>26 09 13</t>
  </si>
  <si>
    <t>Electrical Contractor</t>
  </si>
  <si>
    <t>%</t>
  </si>
  <si>
    <t>Total Hours</t>
  </si>
  <si>
    <t>Contractor Total</t>
  </si>
  <si>
    <t>01 00 00</t>
  </si>
  <si>
    <t>Fee</t>
  </si>
  <si>
    <t>04 40 00</t>
  </si>
  <si>
    <t>Stone Assemblies</t>
  </si>
  <si>
    <t>05 50 00</t>
  </si>
  <si>
    <t>Metal Fabrications</t>
  </si>
  <si>
    <t>06 40 00</t>
  </si>
  <si>
    <t>Architectural Woodwork</t>
  </si>
  <si>
    <t>07 50 00</t>
  </si>
  <si>
    <t>Flashing and Sheet Metal</t>
  </si>
  <si>
    <t>07 60 00</t>
  </si>
  <si>
    <t>07 80 00</t>
  </si>
  <si>
    <t>Smoke and Fire Protection</t>
  </si>
  <si>
    <t>08 10 00</t>
  </si>
  <si>
    <t>Doors and Frames</t>
  </si>
  <si>
    <t>08 30 00</t>
  </si>
  <si>
    <t>Speciality Doors and Frames</t>
  </si>
  <si>
    <t>08 40 00</t>
  </si>
  <si>
    <t>Store Fronts and Curtainwalls</t>
  </si>
  <si>
    <t>08 80 00</t>
  </si>
  <si>
    <t>08 90 00</t>
  </si>
  <si>
    <t>Hardeware</t>
  </si>
  <si>
    <t>09 70 00</t>
  </si>
  <si>
    <t>Wall Finishes</t>
  </si>
  <si>
    <t>09 90 00</t>
  </si>
  <si>
    <t>Safety Specialties</t>
  </si>
  <si>
    <t>10 40 00</t>
  </si>
  <si>
    <t>10 50 00</t>
  </si>
  <si>
    <t>Storage Specialties</t>
  </si>
  <si>
    <t>Vehicle Equipment</t>
  </si>
  <si>
    <t>11 10 00</t>
  </si>
  <si>
    <t>11 40 00</t>
  </si>
  <si>
    <t>11 50 00</t>
  </si>
  <si>
    <t>Educational &amp; Lab Equipment</t>
  </si>
  <si>
    <t>23 80 00</t>
  </si>
  <si>
    <t>Decentralized HVAC Equipment</t>
  </si>
  <si>
    <t>Electrical Distribution</t>
  </si>
  <si>
    <t>31 30 00</t>
  </si>
  <si>
    <t>Earthwork Methods</t>
  </si>
  <si>
    <t>06 11 00</t>
  </si>
  <si>
    <t>Framing</t>
  </si>
  <si>
    <t>Travel</t>
  </si>
  <si>
    <t>Hotel</t>
  </si>
  <si>
    <t>foreman - Mondays</t>
  </si>
  <si>
    <t>foreman: Tues to Thurs</t>
  </si>
  <si>
    <t>foreman: Fridays</t>
  </si>
  <si>
    <t>SF</t>
  </si>
  <si>
    <t>Week</t>
  </si>
  <si>
    <t>Ea</t>
  </si>
  <si>
    <t>Allow</t>
  </si>
  <si>
    <t>Month</t>
  </si>
  <si>
    <t>Province</t>
  </si>
  <si>
    <t>City/Town</t>
  </si>
  <si>
    <t>Estimate Name</t>
  </si>
  <si>
    <t>Area</t>
  </si>
  <si>
    <t>Estimate Price</t>
  </si>
  <si>
    <t>Cost per Week</t>
  </si>
  <si>
    <t>Buyouts</t>
  </si>
  <si>
    <t>CO's</t>
  </si>
  <si>
    <t>Project Information</t>
  </si>
  <si>
    <t>Contract Type</t>
  </si>
  <si>
    <t>Payment Method</t>
  </si>
  <si>
    <t>Project Coordinator</t>
  </si>
  <si>
    <t>Status</t>
  </si>
  <si>
    <t>Bid Docs</t>
  </si>
  <si>
    <t>Rate</t>
  </si>
  <si>
    <t>ft</t>
  </si>
  <si>
    <t>ea</t>
  </si>
  <si>
    <t>Insulation</t>
  </si>
  <si>
    <t>L/Hour</t>
  </si>
  <si>
    <t>Hours</t>
  </si>
  <si>
    <t>Winter Conditions</t>
  </si>
  <si>
    <t>L</t>
  </si>
  <si>
    <t>Months</t>
  </si>
  <si>
    <t>United Rentals</t>
  </si>
  <si>
    <t>Frost Fighters</t>
  </si>
  <si>
    <t>month</t>
  </si>
  <si>
    <t>9.1 litres / hour</t>
  </si>
  <si>
    <t>Tarps (10)</t>
  </si>
  <si>
    <t>Fans</t>
  </si>
  <si>
    <t>Fuel Cube</t>
  </si>
  <si>
    <t>Litres/day</t>
  </si>
  <si>
    <t>Days</t>
  </si>
  <si>
    <t>Fuel</t>
  </si>
  <si>
    <t>litre</t>
  </si>
  <si>
    <t>Delivery</t>
  </si>
  <si>
    <t>Pickup</t>
  </si>
  <si>
    <t>Snow removal</t>
  </si>
  <si>
    <t>Cost</t>
  </si>
  <si>
    <t>Quantity</t>
  </si>
  <si>
    <t>Budget Year</t>
  </si>
  <si>
    <t>Date:</t>
  </si>
  <si>
    <t xml:space="preserve">02 82 00 </t>
  </si>
  <si>
    <t>Asbestos Remediation</t>
  </si>
  <si>
    <t>Sanitary Trenching</t>
  </si>
  <si>
    <t>Conduit Trenching</t>
  </si>
  <si>
    <t>Sub Contractor</t>
  </si>
  <si>
    <t>Quote Total</t>
  </si>
  <si>
    <t>Additional Quote Info</t>
  </si>
  <si>
    <t>Sub Contractor Cost</t>
  </si>
  <si>
    <t>Volume m3</t>
  </si>
  <si>
    <t>Footings</t>
  </si>
  <si>
    <t>A</t>
  </si>
  <si>
    <t>B</t>
  </si>
  <si>
    <t>Strip Footing</t>
  </si>
  <si>
    <t>Walls</t>
  </si>
  <si>
    <t>Piers</t>
  </si>
  <si>
    <t>Slab - ground floor</t>
  </si>
  <si>
    <t>Slab - 2nd floor</t>
  </si>
  <si>
    <t>Total Volume - Slab</t>
  </si>
  <si>
    <t>Total Volume - Footing</t>
  </si>
  <si>
    <t>Total Volume - Walls</t>
  </si>
  <si>
    <t>Pump</t>
  </si>
  <si>
    <t>Rebar</t>
  </si>
  <si>
    <t>Mesh</t>
  </si>
  <si>
    <t xml:space="preserve">06 11 00 </t>
  </si>
  <si>
    <t>01 31 01</t>
  </si>
  <si>
    <t>01 31 02</t>
  </si>
  <si>
    <t>01 31 03</t>
  </si>
  <si>
    <t>01 31 05</t>
  </si>
  <si>
    <t>01 31 04</t>
  </si>
  <si>
    <t>01 31 06</t>
  </si>
  <si>
    <t>01 32 00</t>
  </si>
  <si>
    <t>PM KM</t>
  </si>
  <si>
    <t>Superintendent KM</t>
  </si>
  <si>
    <t>Frequency</t>
  </si>
  <si>
    <t>Distance (Round Trip)</t>
  </si>
  <si>
    <t>Toll Cost</t>
  </si>
  <si>
    <t>Per Diem</t>
  </si>
  <si>
    <t>01 55 00</t>
  </si>
  <si>
    <t>Quantity of Fuel</t>
  </si>
  <si>
    <t>Tank Size</t>
  </si>
  <si>
    <t>L/Hr</t>
  </si>
  <si>
    <t>Litres / Day</t>
  </si>
  <si>
    <t>Duration (Days)</t>
  </si>
  <si>
    <t>Running (Hours / Day)</t>
  </si>
  <si>
    <t>m3</t>
  </si>
  <si>
    <t>Width</t>
  </si>
  <si>
    <t>D</t>
  </si>
  <si>
    <t>Type</t>
  </si>
  <si>
    <t>Height</t>
  </si>
  <si>
    <t>Thickness (ft)</t>
  </si>
  <si>
    <t>Area (SF)</t>
  </si>
  <si>
    <t>Length (FT)</t>
  </si>
  <si>
    <t>Width (ft)</t>
  </si>
  <si>
    <t>Height (ft)</t>
  </si>
  <si>
    <t>Total Volume - Exterior</t>
  </si>
  <si>
    <t>01 74 01</t>
  </si>
  <si>
    <t>01 74 02</t>
  </si>
  <si>
    <t>01 74 03</t>
  </si>
  <si>
    <t>01 74 04</t>
  </si>
  <si>
    <t>Moncton</t>
  </si>
  <si>
    <t>Saint John</t>
  </si>
  <si>
    <t xml:space="preserve">Fredericton </t>
  </si>
  <si>
    <t>Halifax</t>
  </si>
  <si>
    <t>/$1000</t>
  </si>
  <si>
    <t>Dieppe</t>
  </si>
  <si>
    <t>01 56 01</t>
  </si>
  <si>
    <t>01 56 02</t>
  </si>
  <si>
    <t>01 56 03</t>
  </si>
  <si>
    <t>01 56 04</t>
  </si>
  <si>
    <t>01 55 01</t>
  </si>
  <si>
    <t>01 55 02</t>
  </si>
  <si>
    <t>01 55 03</t>
  </si>
  <si>
    <t>01 55 04</t>
  </si>
  <si>
    <t>01 55 05</t>
  </si>
  <si>
    <t>01 55 06</t>
  </si>
  <si>
    <t>01 55 07</t>
  </si>
  <si>
    <t>01 54 01</t>
  </si>
  <si>
    <t>01 54 02</t>
  </si>
  <si>
    <t>01 54 03</t>
  </si>
  <si>
    <t>01 52 01</t>
  </si>
  <si>
    <t>01 52 02</t>
  </si>
  <si>
    <t>01 52 03</t>
  </si>
  <si>
    <t>01 52 04</t>
  </si>
  <si>
    <t>01 52 05</t>
  </si>
  <si>
    <t xml:space="preserve">01 51 01 </t>
  </si>
  <si>
    <t xml:space="preserve">01 51 02 </t>
  </si>
  <si>
    <t>01 51 03</t>
  </si>
  <si>
    <t>01 51 04</t>
  </si>
  <si>
    <t>01 51 05</t>
  </si>
  <si>
    <t>01 51 06</t>
  </si>
  <si>
    <t>01 51 07</t>
  </si>
  <si>
    <t>01 45 01</t>
  </si>
  <si>
    <t>01 45 02</t>
  </si>
  <si>
    <t>01 45 03</t>
  </si>
  <si>
    <t>01 45 04</t>
  </si>
  <si>
    <t>01 45 05</t>
  </si>
  <si>
    <t>01 41 00</t>
  </si>
  <si>
    <t>Slab Finishing - Ground Floor</t>
  </si>
  <si>
    <t>rolls</t>
  </si>
  <si>
    <t>sheet</t>
  </si>
  <si>
    <t>Contractor Quote</t>
  </si>
  <si>
    <t>03 11 01</t>
  </si>
  <si>
    <t>03 11 02.1</t>
  </si>
  <si>
    <t>03 11 02.2</t>
  </si>
  <si>
    <t>03 11 02.3</t>
  </si>
  <si>
    <t>03 20 02</t>
  </si>
  <si>
    <t>03 20 01</t>
  </si>
  <si>
    <t>03 20 03</t>
  </si>
  <si>
    <t>03 30 01</t>
  </si>
  <si>
    <t>03 30 02</t>
  </si>
  <si>
    <t>03 30 03</t>
  </si>
  <si>
    <t>03 30 04</t>
  </si>
  <si>
    <t>Exterior Pads</t>
  </si>
  <si>
    <t>Budget Year :</t>
  </si>
  <si>
    <t>Status :</t>
  </si>
  <si>
    <t>Bid Documents :</t>
  </si>
  <si>
    <t>Estimate Name :</t>
  </si>
  <si>
    <t>Client :</t>
  </si>
  <si>
    <t>Contract Type :</t>
  </si>
  <si>
    <t>Payment Method :</t>
  </si>
  <si>
    <t>Province :</t>
  </si>
  <si>
    <t>City/Town :</t>
  </si>
  <si>
    <t>Framing Materials</t>
  </si>
  <si>
    <t>Framing Labour</t>
  </si>
  <si>
    <t>2x6 Stud</t>
  </si>
  <si>
    <t>2x10</t>
  </si>
  <si>
    <t xml:space="preserve">1x3 </t>
  </si>
  <si>
    <t>PLYWOOD</t>
  </si>
  <si>
    <t>1/2" Standard</t>
  </si>
  <si>
    <t>EA</t>
  </si>
  <si>
    <t>3/4" Standard</t>
  </si>
  <si>
    <t>5/8" OSB T&amp;G</t>
  </si>
  <si>
    <t>Concrete Floor Polishing</t>
  </si>
  <si>
    <t>VCT</t>
  </si>
  <si>
    <t>LVT</t>
  </si>
  <si>
    <t>Carpet Tile</t>
  </si>
  <si>
    <t>"+ Development Fee</t>
  </si>
  <si>
    <t>$100 &lt;$500k, $150 $500k to 1M, $300 1M - 5 M, $500 &gt; 5M</t>
  </si>
  <si>
    <t>Framing Material</t>
  </si>
  <si>
    <t>Foundation Materials</t>
  </si>
  <si>
    <t>03 60 01</t>
  </si>
  <si>
    <t>03 60 02</t>
  </si>
  <si>
    <t>Sub - Division</t>
  </si>
  <si>
    <t>Discription</t>
  </si>
  <si>
    <t>Rentals</t>
  </si>
  <si>
    <t>Insurance</t>
  </si>
  <si>
    <t>Quarter</t>
  </si>
  <si>
    <t>Project Definition</t>
  </si>
  <si>
    <t>Contract  Type</t>
  </si>
  <si>
    <t>Q1</t>
  </si>
  <si>
    <t>NB</t>
  </si>
  <si>
    <t>CCDC 2</t>
  </si>
  <si>
    <t>Stipulated Price</t>
  </si>
  <si>
    <t>Result</t>
  </si>
  <si>
    <t>Q2</t>
  </si>
  <si>
    <t>PEI</t>
  </si>
  <si>
    <t>CCDC 5B</t>
  </si>
  <si>
    <t>Fixed Fee</t>
  </si>
  <si>
    <t>Awarded</t>
  </si>
  <si>
    <t>Office</t>
  </si>
  <si>
    <t>Successful</t>
  </si>
  <si>
    <t>Q3</t>
  </si>
  <si>
    <t>NS</t>
  </si>
  <si>
    <t>CCDC 5A</t>
  </si>
  <si>
    <t>Not Awarded</t>
  </si>
  <si>
    <t>Retail</t>
  </si>
  <si>
    <t>Unsuccessful</t>
  </si>
  <si>
    <t>Q4</t>
  </si>
  <si>
    <t>Other</t>
  </si>
  <si>
    <t>Design Build</t>
  </si>
  <si>
    <t>Pending</t>
  </si>
  <si>
    <t>Quarter:</t>
  </si>
  <si>
    <t>Estimate # E-</t>
  </si>
  <si>
    <t>Result:</t>
  </si>
  <si>
    <t>Closing Date :</t>
  </si>
  <si>
    <t>Closing Date</t>
  </si>
  <si>
    <t>CLIENT SUMMARY</t>
  </si>
  <si>
    <t>$/SF</t>
  </si>
  <si>
    <t>Insurance and Travel</t>
  </si>
  <si>
    <t>Construction Aids &amp; Winter Conditions</t>
  </si>
  <si>
    <t>Column1</t>
  </si>
  <si>
    <t>Multi Residential</t>
  </si>
  <si>
    <t>$120 Base Fee</t>
  </si>
  <si>
    <t>Type of Construction</t>
  </si>
  <si>
    <t>Price Category</t>
  </si>
  <si>
    <t>Successful / Unsuccessful</t>
  </si>
  <si>
    <t>&gt;5M</t>
  </si>
  <si>
    <t>2-5M</t>
  </si>
  <si>
    <t>C</t>
  </si>
  <si>
    <t>500K - 2M</t>
  </si>
  <si>
    <t>100K - 500K</t>
  </si>
  <si>
    <t>E</t>
  </si>
  <si>
    <t>less than 100K</t>
  </si>
  <si>
    <t>Food</t>
  </si>
  <si>
    <t>01 54 04</t>
  </si>
  <si>
    <t>Technology (Procore, Smartbid, On-screen, Imaginit, Sage 300)</t>
  </si>
  <si>
    <t>01 32 01</t>
  </si>
  <si>
    <t>Builders Risk</t>
  </si>
  <si>
    <t>Wrap-up Liability</t>
  </si>
  <si>
    <t>Estimate Number</t>
  </si>
  <si>
    <t>Field Office One Time Charges</t>
  </si>
  <si>
    <t>General Liability &amp; Contractor's Pollution Liability</t>
  </si>
  <si>
    <t>$1000/month</t>
  </si>
  <si>
    <t>Contractor's Pollution Liability</t>
  </si>
  <si>
    <t>January 29th, 2026</t>
  </si>
  <si>
    <t>St George</t>
  </si>
  <si>
    <t>St George YMCA Daycare</t>
  </si>
  <si>
    <t>Eastern Chalotte/YMCA</t>
  </si>
  <si>
    <t xml:space="preserve">prisma </t>
  </si>
  <si>
    <t>Glad Tidings</t>
  </si>
  <si>
    <t>Bannon</t>
  </si>
  <si>
    <t>Budget for AON Bond</t>
  </si>
  <si>
    <t xml:space="preserve">Remove existing asphalt </t>
  </si>
  <si>
    <t>Parking extension</t>
  </si>
  <si>
    <t>Extisting parking convert to new</t>
  </si>
  <si>
    <t>Grading:</t>
  </si>
  <si>
    <t>New Skatepark</t>
  </si>
  <si>
    <t xml:space="preserve">Asphalt paving: </t>
  </si>
  <si>
    <t>New playground - cut area to 300mm below</t>
  </si>
  <si>
    <t>LF</t>
  </si>
  <si>
    <t>Plants - Sodding</t>
  </si>
  <si>
    <t>Pavement Markings:</t>
  </si>
  <si>
    <t>Blackout existing and repaint to new layout</t>
  </si>
  <si>
    <t>New parking</t>
  </si>
  <si>
    <t>100mm dia PVC DR35 perforated foundation drain</t>
  </si>
  <si>
    <t>100 x 50 dia saddle, 50 dia curbstop &amp; box</t>
  </si>
  <si>
    <t>50 dia water service</t>
  </si>
  <si>
    <t>Sanitary manhole</t>
  </si>
  <si>
    <t xml:space="preserve">Storm manhole </t>
  </si>
  <si>
    <t>Catch basin - 750 dia</t>
  </si>
  <si>
    <t>150 dia sanitary sewer</t>
  </si>
  <si>
    <t>100 dia sanitary sewer</t>
  </si>
  <si>
    <t>200 dia storm sewer</t>
  </si>
  <si>
    <t>250 dia storm sewer</t>
  </si>
  <si>
    <t>300 dia storm sewer</t>
  </si>
  <si>
    <t>100 dia storm sewer</t>
  </si>
  <si>
    <t>Core 150 dia SAN pipe into existing sanitary manhole</t>
  </si>
  <si>
    <t>Core 300 dia ST ppe into existing catchbasin manhole</t>
  </si>
  <si>
    <t>Remove existing skatepark - location for new daycare</t>
  </si>
  <si>
    <t>Remove existing electrical lines, conduits and poles</t>
  </si>
  <si>
    <t xml:space="preserve">Add waste for - 35MPa </t>
  </si>
  <si>
    <t xml:space="preserve">Add waste for - 25MPa </t>
  </si>
  <si>
    <t>Pump hours</t>
  </si>
  <si>
    <t>Heating</t>
  </si>
  <si>
    <t>Foundation Wall + circular columns (5nrs) - 25MPa</t>
  </si>
  <si>
    <t>Footing - 25MPa</t>
  </si>
  <si>
    <t>Slab - 35MPa</t>
  </si>
  <si>
    <t>Exterior Concrete  - On grade slab - 35MPa</t>
  </si>
  <si>
    <t xml:space="preserve">Footings </t>
  </si>
  <si>
    <t>Piers (300 dia; 1.5 m high)</t>
  </si>
  <si>
    <t>Sidewalk</t>
  </si>
  <si>
    <t>Edges of slab - (350 LF)</t>
  </si>
  <si>
    <t>Insulation - 50mmRigid insulation (FW-1042SF, US-6395SF, USExt-998SF)</t>
  </si>
  <si>
    <t>Vapour Barrier (US-6395SF, US Ext -438+71+201 =710SF )</t>
  </si>
  <si>
    <t>12 mm Fibreboard (between slab and fdn wall)</t>
  </si>
  <si>
    <t>Saw cut</t>
  </si>
  <si>
    <t>Slab Finishing - Ground Floor Exterior (broom finish)</t>
  </si>
  <si>
    <t xml:space="preserve">2x4 Stud </t>
  </si>
  <si>
    <t>Wall framing</t>
  </si>
  <si>
    <t>Roof framing</t>
  </si>
  <si>
    <t>2x4 Lintel</t>
  </si>
  <si>
    <t>2x4 Perimeter blocking</t>
  </si>
  <si>
    <t>Roof Trusses</t>
  </si>
  <si>
    <t>2x10 Lintel</t>
  </si>
  <si>
    <t>5/8" Exterior - OSB- Roof gable sheathing - W2</t>
  </si>
  <si>
    <t>5/8" Exterior  -  OSB - walls sheathing W1</t>
  </si>
  <si>
    <t>5/8" Plywood sheathing -SSEL- Roof   - W3</t>
  </si>
  <si>
    <t xml:space="preserve">7/16" OSB sheathing for roof </t>
  </si>
  <si>
    <t>1x4 vertical strapping wall</t>
  </si>
  <si>
    <t>1x4  strapping ceiling</t>
  </si>
  <si>
    <t>R-20 Batt insulation - Ext Wall W1</t>
  </si>
  <si>
    <t>Sound Batt insulation - Int wall P1, &amp; P2</t>
  </si>
  <si>
    <t>Mineral wool insulation - Int wall P3, &amp; P4</t>
  </si>
  <si>
    <t>R-50 Blown-in cellulose Insulation - Roof R1</t>
  </si>
  <si>
    <t>6 Mil Vapour barrier</t>
  </si>
  <si>
    <t>Air/weather barrier</t>
  </si>
  <si>
    <t>Wood siding</t>
  </si>
  <si>
    <t>Asphalt shingles</t>
  </si>
  <si>
    <t>Wood siding installation</t>
  </si>
  <si>
    <t>Aluminum clad Vinyl - 6'0"x5'10"-  W1</t>
  </si>
  <si>
    <t>Aluminum clad Vinyl - 3'0"x5'10"-  W2</t>
  </si>
  <si>
    <t>Aluminum clad Vinyl - 5'3"x3'3"-  W3</t>
  </si>
  <si>
    <t>Hollow Metal Doors and Frames:</t>
  </si>
  <si>
    <t xml:space="preserve">Double 915 x 2135 </t>
  </si>
  <si>
    <t xml:space="preserve">Single 915 x 2135 </t>
  </si>
  <si>
    <t>With insulated glass unit - Typ D:</t>
  </si>
  <si>
    <t xml:space="preserve">Single 1220 x 2135 </t>
  </si>
  <si>
    <t>With cleared tempered glass - Typ D:</t>
  </si>
  <si>
    <t>With cleared tempered glass - Typ C:</t>
  </si>
  <si>
    <t>With cleared tempered glass - Typ B:</t>
  </si>
  <si>
    <t>Single 915 x 2135 with Side lite</t>
  </si>
  <si>
    <t>With no glazing:</t>
  </si>
  <si>
    <t>Single - 915 x 2135 - Typ A</t>
  </si>
  <si>
    <t>Single - 915 x 2135 - Dutch door - Typ E</t>
  </si>
  <si>
    <t>Single - 915 x 2135 - Typ A, 1HR fire rated</t>
  </si>
  <si>
    <t xml:space="preserve">Side lite - </t>
  </si>
  <si>
    <t>Door glazing</t>
  </si>
  <si>
    <t>5/8" Gypsum board</t>
  </si>
  <si>
    <t>5/8" Type X Gypsum board</t>
  </si>
  <si>
    <t>Cubbies - 30</t>
  </si>
  <si>
    <t>Cubbies - 20</t>
  </si>
  <si>
    <t>Cubbies - 16</t>
  </si>
  <si>
    <t>Cubbies - 10</t>
  </si>
  <si>
    <t>Cubbies - 6</t>
  </si>
  <si>
    <t>Casework - with double sink</t>
  </si>
  <si>
    <t>Casework - with double and single sinks</t>
  </si>
  <si>
    <t>Cabinets with double wash hand basin</t>
  </si>
  <si>
    <t>Kitchen casework</t>
  </si>
  <si>
    <t>Gypsum board drop ceiling</t>
  </si>
  <si>
    <t>ACT</t>
  </si>
  <si>
    <t>5/8" (16mm) Type X Gypsum board underside of roof trusses for 1hr fire seperation</t>
  </si>
  <si>
    <t>Perforated vynyl</t>
  </si>
  <si>
    <t>Concrete Floor Polishing - Exposed concrete</t>
  </si>
  <si>
    <t>Resilient Sheet Flooring</t>
  </si>
  <si>
    <t>Epoxy</t>
  </si>
  <si>
    <t>Carpet</t>
  </si>
  <si>
    <t>6"x6" wood post (3.1 m - 5 nrs)</t>
  </si>
  <si>
    <t>Acadian</t>
  </si>
  <si>
    <t>RCS</t>
  </si>
  <si>
    <t>NRB Construction</t>
  </si>
  <si>
    <t>Fundy Paving</t>
  </si>
  <si>
    <t>sidewalk only</t>
  </si>
  <si>
    <t>Craft Concrete</t>
  </si>
  <si>
    <t>Hi Roc</t>
  </si>
  <si>
    <t>Eastern Fence</t>
  </si>
  <si>
    <t>Maritime Hydroseed</t>
  </si>
  <si>
    <t xml:space="preserve">Coastal Enterprises </t>
  </si>
  <si>
    <t>Midi Construction</t>
  </si>
  <si>
    <t>Ramsay Electric</t>
  </si>
  <si>
    <t>ConAir</t>
  </si>
  <si>
    <t>First Choice Ventilation</t>
  </si>
  <si>
    <t>Greenfoot</t>
  </si>
  <si>
    <t>Matrix</t>
  </si>
  <si>
    <t>Division 10</t>
  </si>
  <si>
    <t>Rodney</t>
  </si>
  <si>
    <t>Short Atlantic Industry</t>
  </si>
  <si>
    <t>Stonhard</t>
  </si>
  <si>
    <t>Strongbond Coating</t>
  </si>
  <si>
    <t>Certa Pro Painters</t>
  </si>
  <si>
    <t>Dynamic Painting</t>
  </si>
  <si>
    <t>Legacy Painter</t>
  </si>
  <si>
    <t>Commercial flooring</t>
  </si>
  <si>
    <t>Craft Construction</t>
  </si>
  <si>
    <t>FRS Flooring</t>
  </si>
  <si>
    <t>Floor Plus Commercial</t>
  </si>
  <si>
    <t>Floor Fashions</t>
  </si>
  <si>
    <t xml:space="preserve">Fredericton Flooring </t>
  </si>
  <si>
    <t>Ritchie's Flooring</t>
  </si>
  <si>
    <t>Premium Drywall</t>
  </si>
  <si>
    <t>Arsenault Bros</t>
  </si>
  <si>
    <t xml:space="preserve">All access </t>
  </si>
  <si>
    <t>Coastal Entrance Solution</t>
  </si>
  <si>
    <t>Baytown Hardware Ltd</t>
  </si>
  <si>
    <t>Kent Building supplies</t>
  </si>
  <si>
    <t>Kent Building Supplies</t>
  </si>
  <si>
    <t>Trinity Maintenance Solution</t>
  </si>
  <si>
    <t>Fundy Pros</t>
  </si>
  <si>
    <t>Huff 'n' Puff</t>
  </si>
  <si>
    <t>Koop Insulation</t>
  </si>
  <si>
    <t>Belvue Roofing</t>
  </si>
  <si>
    <t>GE Bourgoin</t>
  </si>
  <si>
    <t>Evolve Construction</t>
  </si>
  <si>
    <t>Legacy Outdoors</t>
  </si>
  <si>
    <t>Everline</t>
  </si>
  <si>
    <t>Atlas Structure System</t>
  </si>
  <si>
    <t>East Coast Framing</t>
  </si>
  <si>
    <t>Trusko</t>
  </si>
  <si>
    <t>Burge Builders</t>
  </si>
  <si>
    <t>Gable Enterprises</t>
  </si>
  <si>
    <t>Designer's Choice</t>
  </si>
  <si>
    <t>Foxwoods</t>
  </si>
  <si>
    <t>Top Shelf Cabinets</t>
  </si>
  <si>
    <t>Wildwood Cabinets</t>
  </si>
  <si>
    <t>Orr Foundation</t>
  </si>
  <si>
    <t>Arthur Sivret &amp; fils</t>
  </si>
  <si>
    <t>Harris Rebar</t>
  </si>
  <si>
    <t>Osco Rebar</t>
  </si>
  <si>
    <t>Fundy Contractors</t>
  </si>
  <si>
    <t>Benton</t>
  </si>
  <si>
    <t>GP Concrete</t>
  </si>
  <si>
    <t>I-Tech</t>
  </si>
  <si>
    <t>LaForest Industries Ltd</t>
  </si>
  <si>
    <t>Integrity Concrete</t>
  </si>
  <si>
    <t>Avondale Construction</t>
  </si>
  <si>
    <t>Terraex.ca</t>
  </si>
  <si>
    <t>Griffin Plumbing</t>
  </si>
  <si>
    <t>Exterior Concrete   - Sidewalks -- 35MPa - (40m3)</t>
  </si>
  <si>
    <t>Playground</t>
  </si>
  <si>
    <t>Skatepark</t>
  </si>
  <si>
    <t>Glass Guru</t>
  </si>
  <si>
    <t>Removal and disposal of existing chain link fence at the skatepark</t>
  </si>
  <si>
    <t>Fundy Fence</t>
  </si>
  <si>
    <t>Plumbing package</t>
  </si>
  <si>
    <t>Insulation package</t>
  </si>
  <si>
    <t>Maxim Construction</t>
  </si>
  <si>
    <t>Iron Maple</t>
  </si>
  <si>
    <t>Bond Fee</t>
  </si>
  <si>
    <t>Nucor Rebar</t>
  </si>
  <si>
    <t>Wire Mesh</t>
  </si>
  <si>
    <t>Fences and 2Gates - New playground - Nuvo iron</t>
  </si>
  <si>
    <t>Fences and swing gate - New skatepark - Chain link</t>
  </si>
  <si>
    <t>Building Exc &amp; fil</t>
  </si>
  <si>
    <t>Draintile</t>
  </si>
  <si>
    <t>Storm piping, catch basins &amp; Manholes</t>
  </si>
  <si>
    <t>Sanitary piping &amp; Manholes</t>
  </si>
  <si>
    <t xml:space="preserve">Water Service </t>
  </si>
  <si>
    <t>Parking lot, skatepark prep work - sawcutting, subbase,, &amp; base materaials</t>
  </si>
  <si>
    <t>HVAC Installation</t>
  </si>
  <si>
    <t>Includes Concrete for foundation (footings, walls, &amp; 5 pillars)</t>
  </si>
  <si>
    <t>Excludes sidewalks prep work.</t>
  </si>
  <si>
    <t>No concrete</t>
  </si>
  <si>
    <t>Epoxy only</t>
  </si>
  <si>
    <t>Drywall + Ceiling + Fire block</t>
  </si>
  <si>
    <r>
      <t>Drywall + Ceiling</t>
    </r>
    <r>
      <rPr>
        <b/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(no Fire block)</t>
    </r>
  </si>
  <si>
    <t>Resilient + Carpet</t>
  </si>
  <si>
    <t>W1</t>
  </si>
  <si>
    <t>W2</t>
  </si>
  <si>
    <t>W3</t>
  </si>
  <si>
    <t>Active Glass</t>
  </si>
  <si>
    <t>Glazing + Hardware</t>
  </si>
  <si>
    <t>Fire stopping</t>
  </si>
  <si>
    <t>Batt Insul</t>
  </si>
  <si>
    <t>Sound Batt</t>
  </si>
  <si>
    <t>Mineral wool</t>
  </si>
  <si>
    <t xml:space="preserve">Fuel/accommodation </t>
  </si>
  <si>
    <t>Trusses</t>
  </si>
  <si>
    <t>Exterior pre-fab wall</t>
  </si>
  <si>
    <t>Interior pre-fab wall</t>
  </si>
  <si>
    <t>If pre-fab wall is used</t>
  </si>
  <si>
    <t>LVL Beam</t>
  </si>
  <si>
    <t>LVL Beam &amp; hangers</t>
  </si>
  <si>
    <t>plus LVL beam &amp; hangers</t>
  </si>
  <si>
    <t>Additional fee for crane service</t>
  </si>
  <si>
    <t>bracing Mat not included</t>
  </si>
  <si>
    <t>Wood Siding Material</t>
  </si>
  <si>
    <t>Wood siding Material</t>
  </si>
  <si>
    <t>Lumber, strapping &amp; Plywood</t>
  </si>
  <si>
    <t>Cellulose Blow Insul</t>
  </si>
  <si>
    <t>Cellulose, batt, sound, mineral wool</t>
  </si>
  <si>
    <t>Labour</t>
  </si>
  <si>
    <t>Material</t>
  </si>
  <si>
    <t>Mat + Lab</t>
  </si>
  <si>
    <t>All slab, insulation for slab, sidewalks, Wwmesh</t>
  </si>
  <si>
    <t>slab and sawcut</t>
  </si>
  <si>
    <t>25 MPA</t>
  </si>
  <si>
    <t>32MPA</t>
  </si>
  <si>
    <t>35MPA</t>
  </si>
  <si>
    <t>Difference</t>
  </si>
  <si>
    <t>Base quote</t>
  </si>
  <si>
    <t>Interior Slab</t>
  </si>
  <si>
    <t>Exterior Slab</t>
  </si>
  <si>
    <t xml:space="preserve">WWM </t>
  </si>
  <si>
    <t>incl</t>
  </si>
  <si>
    <t>Slab concrete</t>
  </si>
  <si>
    <t>Exterior Concrete</t>
  </si>
  <si>
    <t>HiRoc</t>
  </si>
  <si>
    <t>GP</t>
  </si>
  <si>
    <t>75.6$/SF</t>
  </si>
  <si>
    <t>0$/SF</t>
  </si>
  <si>
    <t>21.7$/SF</t>
  </si>
  <si>
    <t>9.5$/SF</t>
  </si>
  <si>
    <t>40$/SF</t>
  </si>
  <si>
    <t>29.1$/SF</t>
  </si>
  <si>
    <t>22.4$/SF</t>
  </si>
  <si>
    <t>42.2$/SF</t>
  </si>
  <si>
    <t>2.3$/SF</t>
  </si>
  <si>
    <t>0.8$/SF</t>
  </si>
  <si>
    <t>33.3$/SF</t>
  </si>
  <si>
    <t>43.7$/SF</t>
  </si>
  <si>
    <t>64.9$/SF</t>
  </si>
  <si>
    <t>102.9$/SF</t>
  </si>
  <si>
    <t>59.3$/SF</t>
  </si>
  <si>
    <t>546.9$/SF</t>
  </si>
  <si>
    <t>Sackville Smiles</t>
  </si>
  <si>
    <t>2700 sf</t>
  </si>
  <si>
    <t>Wee College MacNaughton</t>
  </si>
  <si>
    <t>Cove Power Electric</t>
  </si>
  <si>
    <t>12028 sf</t>
  </si>
  <si>
    <t>9.8$/SF</t>
  </si>
  <si>
    <t>3.1$/SF</t>
  </si>
  <si>
    <t>0.2$/SF</t>
  </si>
  <si>
    <t>1.1$/SF</t>
  </si>
  <si>
    <t>5.3$/SF</t>
  </si>
  <si>
    <t>16.5$/SF</t>
  </si>
  <si>
    <t>0.7$/SF</t>
  </si>
  <si>
    <t>22.3$/SF</t>
  </si>
  <si>
    <t>7.4$/SF</t>
  </si>
  <si>
    <t>14.2$/SF</t>
  </si>
  <si>
    <t>14.3$/SF</t>
  </si>
  <si>
    <t>3.3$/SF</t>
  </si>
  <si>
    <t>100$/SF</t>
  </si>
  <si>
    <t>Beaurivage Fire Hall</t>
  </si>
  <si>
    <t>11141 sf</t>
  </si>
  <si>
    <t>42.6$/SF</t>
  </si>
  <si>
    <t>4.5$/SF</t>
  </si>
  <si>
    <t>32.2$/SF</t>
  </si>
  <si>
    <t>17$/SF</t>
  </si>
  <si>
    <t>36.2$/SF</t>
  </si>
  <si>
    <t>29.8$/SF</t>
  </si>
  <si>
    <t>25.3$/SF</t>
  </si>
  <si>
    <t>15$/SF</t>
  </si>
  <si>
    <t>3.8$/SF</t>
  </si>
  <si>
    <t>0.3$/SF</t>
  </si>
  <si>
    <t>46.1$/SF</t>
  </si>
  <si>
    <t>24.2$/SF</t>
  </si>
  <si>
    <t>46.7$/SF</t>
  </si>
  <si>
    <t>43.4$/SF</t>
  </si>
  <si>
    <t>17.4$/SF</t>
  </si>
  <si>
    <t>383.8$/SF</t>
  </si>
  <si>
    <t>LM</t>
  </si>
  <si>
    <t>Budget (Beaurivage - Eastern Fence)</t>
  </si>
  <si>
    <t>Fire Block only</t>
  </si>
  <si>
    <t>Coastal Enterprises</t>
  </si>
  <si>
    <t>Asphalt + Line Painting</t>
  </si>
  <si>
    <t>Sidewalks &amp; curb</t>
  </si>
  <si>
    <t xml:space="preserve">Allowance to be provided </t>
  </si>
  <si>
    <t>Procase</t>
  </si>
  <si>
    <t>Elite Pro Painting</t>
  </si>
  <si>
    <t>Neil Titus</t>
  </si>
  <si>
    <t>TerraEX</t>
  </si>
  <si>
    <t>Site Services (water storm &amp; sanitary)</t>
  </si>
  <si>
    <t>Conc curb/sidewalks/pads</t>
  </si>
  <si>
    <t>Asphalt</t>
  </si>
  <si>
    <t>Fencing - Chain &amp; Ornamental</t>
  </si>
  <si>
    <t>Topsoil &amp; sod</t>
  </si>
  <si>
    <t>Others</t>
  </si>
  <si>
    <t>Grading &amp; Co</t>
  </si>
  <si>
    <t>Elect work - Excavation &amp; fill - by TerraEx</t>
  </si>
  <si>
    <t>Accessories</t>
  </si>
  <si>
    <t>Additional by Midi</t>
  </si>
  <si>
    <t>Sidewalks prep - Excvn, pitrun &amp; crush</t>
  </si>
  <si>
    <t>Underground Electrical trenchg &amp; Bakfil</t>
  </si>
  <si>
    <t>Underground Plumbing trenchg &amp; Bakfil</t>
  </si>
  <si>
    <t>FCS Flooring</t>
  </si>
  <si>
    <t>Interior Conc</t>
  </si>
  <si>
    <t>Exter Conc</t>
  </si>
  <si>
    <t>Metacalf</t>
  </si>
  <si>
    <t>Glazing only</t>
  </si>
  <si>
    <t>Cove - Resilient</t>
  </si>
  <si>
    <t>Cove - Cove base</t>
  </si>
  <si>
    <t>Royal door</t>
  </si>
  <si>
    <t>MC Ventilation</t>
  </si>
  <si>
    <t>PLG Builders</t>
  </si>
  <si>
    <t xml:space="preserve">see Detailed breakdown </t>
  </si>
  <si>
    <t>Eaves though</t>
  </si>
  <si>
    <t>Ermen</t>
  </si>
  <si>
    <t>Condensate piping</t>
  </si>
  <si>
    <t>All</t>
  </si>
  <si>
    <t>Premium</t>
  </si>
  <si>
    <t>firestop</t>
  </si>
  <si>
    <t>Caulking wall</t>
  </si>
  <si>
    <t>Caulking floor</t>
  </si>
  <si>
    <t>Geroges</t>
  </si>
  <si>
    <t>FCG</t>
  </si>
  <si>
    <t>Precision</t>
  </si>
  <si>
    <t>Siding+ Insulation + trough + metal flashing</t>
  </si>
  <si>
    <t>Doors + Glazing + Hardwares</t>
  </si>
  <si>
    <t>note- remove glazing and hardware below</t>
  </si>
  <si>
    <t>HM Doors</t>
  </si>
  <si>
    <t xml:space="preserve">6 stall Bobrick </t>
  </si>
  <si>
    <t>Door Accessories</t>
  </si>
  <si>
    <t>Hardwares + Install</t>
  </si>
  <si>
    <t>Coldtech</t>
  </si>
  <si>
    <t>without WWM</t>
  </si>
  <si>
    <t>Valley Ref</t>
  </si>
  <si>
    <t>Sewells Paving</t>
  </si>
  <si>
    <t>Advantage Hardware</t>
  </si>
  <si>
    <t>others</t>
  </si>
  <si>
    <t>Extreme Air</t>
  </si>
  <si>
    <t>budget</t>
  </si>
  <si>
    <t>Winter conditions</t>
  </si>
  <si>
    <t>Hydracure</t>
  </si>
  <si>
    <t>Enviro</t>
  </si>
  <si>
    <t>$</t>
  </si>
  <si>
    <t>moved to Div 7</t>
  </si>
  <si>
    <t>Siding + roofing +co labour</t>
  </si>
  <si>
    <t>Wood Siding Labour &amp; Insulation</t>
  </si>
  <si>
    <t>Air barrier</t>
  </si>
  <si>
    <t xml:space="preserve">Hourly rate </t>
  </si>
  <si>
    <t>Soffit &amp; fascia</t>
  </si>
  <si>
    <t xml:space="preserve"> Strapping</t>
  </si>
  <si>
    <t>Kent + East Coast</t>
  </si>
  <si>
    <t>Baytown + Glass guru + Labour</t>
  </si>
  <si>
    <t>Conc</t>
  </si>
  <si>
    <t>Rough &amp; Finish Carpentry</t>
  </si>
  <si>
    <t>Wood trusses &amp; joists</t>
  </si>
  <si>
    <t>Roofing/flashing &amp; trim</t>
  </si>
  <si>
    <t>Metal doors &amp; frame 7 hardware</t>
  </si>
  <si>
    <t>Alum clad vinyl windows</t>
  </si>
  <si>
    <t>Gypsum board assemblies</t>
  </si>
  <si>
    <t>Resilient sheet flooring</t>
  </si>
  <si>
    <t>Epoxy quartz flooring</t>
  </si>
  <si>
    <t xml:space="preserve">Sub Total </t>
  </si>
  <si>
    <t>Extisting parking convert to new -  873 m2</t>
  </si>
  <si>
    <t>Parking extension - 109 m2</t>
  </si>
  <si>
    <t>New Skatepark - 574 m2</t>
  </si>
  <si>
    <t>1156 m2</t>
  </si>
  <si>
    <t>labour</t>
  </si>
  <si>
    <t>Air barrier - Labour</t>
  </si>
  <si>
    <t xml:space="preserve"> Strapping - Labour</t>
  </si>
  <si>
    <t>Insulation - Labour</t>
  </si>
  <si>
    <t>Window pine work</t>
  </si>
  <si>
    <t>also in the Rodney in Div 10</t>
  </si>
  <si>
    <t>K-Line</t>
  </si>
  <si>
    <t>ICR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</si>
</sst>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0.0%"/>
    <numFmt numFmtId="168" formatCode="[$-409]mmmm\ d\,\ yyyy;@"/>
    <numFmt numFmtId="169" formatCode="dd/mm/yy;@"/>
    <numFmt numFmtId="170" formatCode="_(&quot;$&quot;* #,##0_);_(&quot;$&quot;* \(#,##0\);_(&quot;$&quot;* &quot;-&quot;??_);_(@_)"/>
    <numFmt numFmtId="171" formatCode="[$-1009]mmmm\ d\,\ yyyy;@"/>
    <numFmt numFmtId="172" formatCode="0.0"/>
    <numFmt numFmtId="173" formatCode="_(&quot;$&quot;* #,##0.000_);_(&quot;$&quot;* \(#,##0.000\);_(&quot;$&quot;* &quot;-&quot;??_);_(@_)"/>
    <numFmt numFmtId="174" formatCode="_(* #,##0_);_(* \(#,##0\);_(* &quot;-&quot;??_);_(@_)"/>
  </numFmts>
  <fonts count="59" x14ac:knownFonts="1"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9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name val="Tahoma"/>
      <family val="2"/>
    </font>
    <font>
      <b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C00000"/>
      <name val="Tahoma"/>
      <family val="2"/>
    </font>
    <font>
      <b/>
      <sz val="11"/>
      <color rgb="FFC00000"/>
      <name val="Tahoma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4"/>
      <name val="Tahoma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Tahoma"/>
      <family val="2"/>
    </font>
    <font>
      <sz val="16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name val="Arial"/>
      <family val="2"/>
    </font>
    <font>
      <b/>
      <sz val="14"/>
      <color theme="0" tint="-0.34998626667073579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sz val="11"/>
      <color rgb="FFC00000"/>
      <name val="Arial"/>
      <family val="2"/>
    </font>
    <font>
      <b/>
      <i/>
      <sz val="11"/>
      <color rgb="FFC0000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0" tint="-0.34998626667073579"/>
      <name val="Arial"/>
      <family val="2"/>
    </font>
    <font>
      <b/>
      <i/>
      <sz val="10"/>
      <color rgb="FFC00000"/>
      <name val="Arial"/>
      <family val="2"/>
    </font>
    <font>
      <b/>
      <i/>
      <u/>
      <sz val="10"/>
      <name val="Arial"/>
      <family val="2"/>
    </font>
    <font>
      <b/>
      <sz val="12"/>
      <color theme="0" tint="-0.34998626667073579"/>
      <name val="Arial"/>
      <family val="2"/>
    </font>
    <font>
      <sz val="12"/>
      <color rgb="FFC00000"/>
      <name val="Arial"/>
      <family val="2"/>
    </font>
    <font>
      <b/>
      <i/>
      <sz val="12"/>
      <color rgb="FFC0000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D1C24"/>
        <bgColor indexed="64"/>
      </patternFill>
    </fill>
    <fill>
      <patternFill patternType="solid">
        <fgColor rgb="FF9E9F9E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FFFD2"/>
        <bgColor indexed="64"/>
      </patternFill>
    </fill>
    <fill>
      <patternFill patternType="solid">
        <fgColor theme="8" tint="0.59999389629810485"/>
        <bgColor indexed="64"/>
      </patternFill>
    </fill>
  </fills>
  <borders count="17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 style="thick">
        <color auto="1"/>
      </left>
      <right style="thin">
        <color theme="0" tint="-0.24994659260841701"/>
      </right>
      <top style="thick">
        <color auto="1"/>
      </top>
      <bottom/>
      <diagonal/>
    </border>
    <border>
      <left style="thick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medium">
        <color auto="1"/>
      </bottom>
      <diagonal/>
    </border>
    <border>
      <left style="thick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ck">
        <color auto="1"/>
      </bottom>
      <diagonal/>
    </border>
    <border>
      <left/>
      <right/>
      <top style="thin">
        <color theme="0" tint="-0.2499465926084170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/>
      <top style="thick">
        <color theme="1"/>
      </top>
      <bottom style="thin">
        <color theme="0"/>
      </bottom>
      <diagonal/>
    </border>
    <border>
      <left/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ck">
        <color theme="1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ck">
        <color theme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 style="thick">
        <color theme="1"/>
      </left>
      <right/>
      <top style="thick">
        <color theme="1"/>
      </top>
      <bottom style="thin">
        <color theme="0"/>
      </bottom>
      <diagonal/>
    </border>
    <border>
      <left/>
      <right/>
      <top style="thick">
        <color theme="1"/>
      </top>
      <bottom style="thin">
        <color theme="0"/>
      </bottom>
      <diagonal/>
    </border>
    <border>
      <left style="thick">
        <color theme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 style="thick">
        <color theme="1"/>
      </left>
      <right/>
      <top style="thin">
        <color theme="0"/>
      </top>
      <bottom/>
      <diagonal/>
    </border>
    <border>
      <left/>
      <right style="thick">
        <color theme="1"/>
      </right>
      <top style="thin">
        <color theme="0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medium">
        <color theme="1"/>
      </top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/>
      <bottom style="thick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16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20">
    <xf numFmtId="0" fontId="0" fillId="0" borderId="0" xfId="0"/>
    <xf numFmtId="164" fontId="0" fillId="0" borderId="0" xfId="2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Font="1" applyAlignment="1"/>
    <xf numFmtId="49" fontId="1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33" xfId="0" applyBorder="1" applyAlignment="1">
      <alignment horizontal="center"/>
    </xf>
    <xf numFmtId="0" fontId="17" fillId="4" borderId="36" xfId="0" applyFont="1" applyFill="1" applyBorder="1" applyAlignment="1">
      <alignment horizontal="center"/>
    </xf>
    <xf numFmtId="0" fontId="17" fillId="4" borderId="37" xfId="0" applyFont="1" applyFill="1" applyBorder="1" applyAlignment="1">
      <alignment horizontal="left"/>
    </xf>
    <xf numFmtId="0" fontId="18" fillId="4" borderId="37" xfId="0" applyFont="1" applyFill="1" applyBorder="1" applyAlignment="1">
      <alignment vertical="center" wrapText="1"/>
    </xf>
    <xf numFmtId="1" fontId="0" fillId="0" borderId="0" xfId="0" applyNumberFormat="1"/>
    <xf numFmtId="10" fontId="0" fillId="0" borderId="0" xfId="0" applyNumberFormat="1"/>
    <xf numFmtId="0" fontId="0" fillId="0" borderId="33" xfId="0" applyBorder="1"/>
    <xf numFmtId="164" fontId="0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0" fillId="4" borderId="37" xfId="2" applyFont="1" applyFill="1" applyBorder="1"/>
    <xf numFmtId="0" fontId="0" fillId="4" borderId="37" xfId="0" applyFill="1" applyBorder="1"/>
    <xf numFmtId="0" fontId="3" fillId="0" borderId="0" xfId="0" applyFont="1"/>
    <xf numFmtId="164" fontId="0" fillId="0" borderId="0" xfId="2" applyFont="1" applyFill="1"/>
    <xf numFmtId="170" fontId="3" fillId="0" borderId="0" xfId="2" applyNumberFormat="1" applyFont="1" applyFill="1"/>
    <xf numFmtId="170" fontId="3" fillId="0" borderId="0" xfId="2" applyNumberFormat="1" applyFont="1" applyFill="1" applyBorder="1"/>
    <xf numFmtId="164" fontId="0" fillId="0" borderId="0" xfId="0" applyNumberFormat="1" applyAlignment="1">
      <alignment vertical="center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/>
    <xf numFmtId="49" fontId="19" fillId="0" borderId="0" xfId="0" applyNumberFormat="1" applyFont="1"/>
    <xf numFmtId="49" fontId="10" fillId="0" borderId="0" xfId="0" applyNumberFormat="1" applyFont="1"/>
    <xf numFmtId="0" fontId="21" fillId="0" borderId="0" xfId="0" applyFont="1"/>
    <xf numFmtId="0" fontId="7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/>
    <xf numFmtId="49" fontId="22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center"/>
    </xf>
    <xf numFmtId="164" fontId="3" fillId="0" borderId="0" xfId="2" applyFont="1" applyBorder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9" fontId="0" fillId="0" borderId="0" xfId="4" applyFont="1" applyAlignment="1"/>
    <xf numFmtId="164" fontId="7" fillId="0" borderId="0" xfId="2" applyFont="1" applyAlignment="1"/>
    <xf numFmtId="9" fontId="7" fillId="0" borderId="0" xfId="4" applyFont="1" applyAlignment="1"/>
    <xf numFmtId="0" fontId="15" fillId="5" borderId="0" xfId="0" applyFont="1" applyFill="1" applyAlignment="1">
      <alignment horizontal="left"/>
    </xf>
    <xf numFmtId="164" fontId="12" fillId="5" borderId="0" xfId="2" applyFont="1" applyFill="1" applyBorder="1" applyAlignment="1">
      <alignment horizontal="right"/>
    </xf>
    <xf numFmtId="164" fontId="13" fillId="5" borderId="0" xfId="2" applyFont="1" applyFill="1" applyBorder="1"/>
    <xf numFmtId="0" fontId="15" fillId="4" borderId="120" xfId="0" applyFont="1" applyFill="1" applyBorder="1" applyAlignment="1">
      <alignment horizontal="left"/>
    </xf>
    <xf numFmtId="164" fontId="12" fillId="4" borderId="120" xfId="2" applyFont="1" applyFill="1" applyBorder="1" applyAlignment="1">
      <alignment horizontal="right"/>
    </xf>
    <xf numFmtId="164" fontId="13" fillId="4" borderId="120" xfId="2" applyFont="1" applyFill="1" applyBorder="1"/>
    <xf numFmtId="0" fontId="15" fillId="4" borderId="127" xfId="0" applyFont="1" applyFill="1" applyBorder="1" applyAlignment="1">
      <alignment horizontal="center"/>
    </xf>
    <xf numFmtId="164" fontId="13" fillId="4" borderId="128" xfId="2" applyFont="1" applyFill="1" applyBorder="1"/>
    <xf numFmtId="0" fontId="15" fillId="5" borderId="129" xfId="0" applyFont="1" applyFill="1" applyBorder="1" applyAlignment="1">
      <alignment horizontal="center"/>
    </xf>
    <xf numFmtId="164" fontId="13" fillId="5" borderId="130" xfId="2" applyFont="1" applyFill="1" applyBorder="1"/>
    <xf numFmtId="164" fontId="0" fillId="0" borderId="0" xfId="2" applyFont="1" applyBorder="1"/>
    <xf numFmtId="0" fontId="0" fillId="0" borderId="130" xfId="0" applyBorder="1"/>
    <xf numFmtId="0" fontId="0" fillId="4" borderId="144" xfId="0" applyFill="1" applyBorder="1"/>
    <xf numFmtId="164" fontId="24" fillId="0" borderId="0" xfId="2" applyFont="1" applyBorder="1"/>
    <xf numFmtId="0" fontId="24" fillId="0" borderId="0" xfId="0" applyFont="1"/>
    <xf numFmtId="164" fontId="24" fillId="0" borderId="139" xfId="0" applyNumberFormat="1" applyFont="1" applyBorder="1"/>
    <xf numFmtId="164" fontId="24" fillId="0" borderId="139" xfId="2" applyFont="1" applyBorder="1"/>
    <xf numFmtId="0" fontId="24" fillId="0" borderId="139" xfId="0" applyFont="1" applyBorder="1"/>
    <xf numFmtId="0" fontId="24" fillId="0" borderId="140" xfId="0" applyFont="1" applyBorder="1"/>
    <xf numFmtId="0" fontId="25" fillId="5" borderId="129" xfId="0" applyFont="1" applyFill="1" applyBorder="1" applyAlignment="1">
      <alignment horizontal="center"/>
    </xf>
    <xf numFmtId="0" fontId="25" fillId="5" borderId="0" xfId="0" applyFont="1" applyFill="1" applyAlignment="1">
      <alignment horizontal="left"/>
    </xf>
    <xf numFmtId="0" fontId="24" fillId="5" borderId="0" xfId="0" applyFont="1" applyFill="1"/>
    <xf numFmtId="0" fontId="24" fillId="9" borderId="0" xfId="0" applyFont="1" applyFill="1"/>
    <xf numFmtId="164" fontId="24" fillId="5" borderId="0" xfId="2" applyFont="1" applyFill="1" applyBorder="1"/>
    <xf numFmtId="0" fontId="24" fillId="0" borderId="0" xfId="0" applyFont="1" applyAlignment="1">
      <alignment horizontal="left"/>
    </xf>
    <xf numFmtId="164" fontId="24" fillId="9" borderId="0" xfId="2" applyFont="1" applyFill="1" applyBorder="1"/>
    <xf numFmtId="0" fontId="24" fillId="0" borderId="138" xfId="0" applyFont="1" applyBorder="1"/>
    <xf numFmtId="0" fontId="25" fillId="5" borderId="133" xfId="0" applyFont="1" applyFill="1" applyBorder="1" applyAlignment="1">
      <alignment horizontal="center"/>
    </xf>
    <xf numFmtId="0" fontId="25" fillId="5" borderId="134" xfId="0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164" fontId="24" fillId="5" borderId="0" xfId="0" applyNumberFormat="1" applyFont="1" applyFill="1"/>
    <xf numFmtId="0" fontId="25" fillId="5" borderId="13" xfId="0" applyFont="1" applyFill="1" applyBorder="1" applyAlignment="1">
      <alignment horizontal="center"/>
    </xf>
    <xf numFmtId="0" fontId="25" fillId="5" borderId="13" xfId="0" applyFont="1" applyFill="1" applyBorder="1" applyAlignment="1">
      <alignment horizontal="left"/>
    </xf>
    <xf numFmtId="164" fontId="27" fillId="0" borderId="0" xfId="2" applyFont="1" applyBorder="1" applyAlignment="1">
      <alignment vertical="center"/>
    </xf>
    <xf numFmtId="0" fontId="24" fillId="5" borderId="137" xfId="0" applyFont="1" applyFill="1" applyBorder="1"/>
    <xf numFmtId="0" fontId="16" fillId="6" borderId="131" xfId="2" applyNumberFormat="1" applyFont="1" applyFill="1" applyBorder="1" applyAlignment="1">
      <alignment horizontal="left" vertical="center"/>
    </xf>
    <xf numFmtId="0" fontId="28" fillId="6" borderId="0" xfId="2" applyNumberFormat="1" applyFont="1" applyFill="1" applyBorder="1" applyAlignment="1">
      <alignment horizontal="left" vertical="center"/>
    </xf>
    <xf numFmtId="171" fontId="28" fillId="6" borderId="125" xfId="2" applyNumberFormat="1" applyFont="1" applyFill="1" applyBorder="1" applyAlignment="1">
      <alignment horizontal="left" vertical="center"/>
    </xf>
    <xf numFmtId="164" fontId="26" fillId="6" borderId="123" xfId="2" applyFont="1" applyFill="1" applyBorder="1" applyAlignment="1">
      <alignment horizontal="right" vertical="center"/>
    </xf>
    <xf numFmtId="171" fontId="26" fillId="6" borderId="124" xfId="2" applyNumberFormat="1" applyFont="1" applyFill="1" applyBorder="1" applyAlignment="1">
      <alignment horizontal="left" vertical="center"/>
    </xf>
    <xf numFmtId="0" fontId="27" fillId="0" borderId="135" xfId="0" applyFont="1" applyBorder="1" applyAlignment="1">
      <alignment horizontal="center" vertical="center"/>
    </xf>
    <xf numFmtId="0" fontId="27" fillId="0" borderId="136" xfId="0" applyFont="1" applyBorder="1" applyAlignment="1">
      <alignment horizontal="left" vertical="center"/>
    </xf>
    <xf numFmtId="0" fontId="24" fillId="0" borderId="136" xfId="0" applyFont="1" applyBorder="1" applyAlignment="1">
      <alignment vertical="center"/>
    </xf>
    <xf numFmtId="164" fontId="24" fillId="0" borderId="136" xfId="2" applyFont="1" applyBorder="1" applyAlignment="1">
      <alignment vertical="center"/>
    </xf>
    <xf numFmtId="164" fontId="27" fillId="0" borderId="136" xfId="2" applyFont="1" applyBorder="1" applyAlignment="1">
      <alignment horizontal="right" vertical="center"/>
    </xf>
    <xf numFmtId="164" fontId="27" fillId="0" borderId="13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24" fillId="0" borderId="136" xfId="0" applyNumberFormat="1" applyFont="1" applyBorder="1" applyAlignment="1">
      <alignment vertical="center"/>
    </xf>
    <xf numFmtId="0" fontId="24" fillId="0" borderId="137" xfId="0" applyFont="1" applyBorder="1" applyAlignment="1">
      <alignment vertical="center"/>
    </xf>
    <xf numFmtId="0" fontId="27" fillId="0" borderId="141" xfId="0" applyFont="1" applyBorder="1" applyAlignment="1">
      <alignment horizontal="center" vertical="center"/>
    </xf>
    <xf numFmtId="0" fontId="27" fillId="0" borderId="142" xfId="0" applyFont="1" applyBorder="1" applyAlignment="1">
      <alignment horizontal="left" vertical="center"/>
    </xf>
    <xf numFmtId="164" fontId="24" fillId="0" borderId="142" xfId="2" applyFont="1" applyBorder="1" applyAlignment="1">
      <alignment vertical="center"/>
    </xf>
    <xf numFmtId="164" fontId="24" fillId="0" borderId="142" xfId="0" applyNumberFormat="1" applyFont="1" applyBorder="1" applyAlignment="1">
      <alignment vertical="center"/>
    </xf>
    <xf numFmtId="0" fontId="24" fillId="0" borderId="142" xfId="0" applyFont="1" applyBorder="1" applyAlignment="1">
      <alignment vertical="center"/>
    </xf>
    <xf numFmtId="164" fontId="27" fillId="0" borderId="142" xfId="2" applyFont="1" applyBorder="1" applyAlignment="1">
      <alignment horizontal="right" vertical="center"/>
    </xf>
    <xf numFmtId="164" fontId="27" fillId="0" borderId="143" xfId="0" applyNumberFormat="1" applyFont="1" applyBorder="1" applyAlignment="1">
      <alignment vertical="center"/>
    </xf>
    <xf numFmtId="0" fontId="24" fillId="0" borderId="129" xfId="0" applyFont="1" applyBorder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2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0" fontId="24" fillId="0" borderId="130" xfId="0" applyFont="1" applyBorder="1" applyAlignment="1">
      <alignment vertical="center"/>
    </xf>
    <xf numFmtId="0" fontId="24" fillId="0" borderId="138" xfId="0" applyFont="1" applyBorder="1" applyAlignment="1">
      <alignment vertical="center"/>
    </xf>
    <xf numFmtId="0" fontId="24" fillId="0" borderId="139" xfId="0" applyFont="1" applyBorder="1" applyAlignment="1">
      <alignment vertical="center"/>
    </xf>
    <xf numFmtId="164" fontId="24" fillId="0" borderId="139" xfId="2" applyFont="1" applyBorder="1" applyAlignment="1">
      <alignment vertical="center"/>
    </xf>
    <xf numFmtId="164" fontId="24" fillId="0" borderId="139" xfId="0" applyNumberFormat="1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164" fontId="24" fillId="5" borderId="0" xfId="2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164" fontId="24" fillId="5" borderId="0" xfId="0" applyNumberFormat="1" applyFont="1" applyFill="1" applyAlignment="1">
      <alignment vertical="center"/>
    </xf>
    <xf numFmtId="0" fontId="24" fillId="5" borderId="130" xfId="0" applyFont="1" applyFill="1" applyBorder="1" applyAlignment="1">
      <alignment vertical="center"/>
    </xf>
    <xf numFmtId="164" fontId="27" fillId="0" borderId="0" xfId="2" applyFont="1" applyBorder="1" applyAlignment="1">
      <alignment horizontal="right" vertical="center"/>
    </xf>
    <xf numFmtId="164" fontId="27" fillId="0" borderId="130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39" xfId="0" applyFont="1" applyBorder="1" applyAlignment="1">
      <alignment horizontal="left" vertical="center"/>
    </xf>
    <xf numFmtId="0" fontId="24" fillId="0" borderId="129" xfId="0" applyFont="1" applyBorder="1" applyAlignment="1">
      <alignment horizontal="center" vertical="center"/>
    </xf>
    <xf numFmtId="0" fontId="24" fillId="0" borderId="138" xfId="0" applyFont="1" applyBorder="1" applyAlignment="1">
      <alignment horizontal="center" vertical="center"/>
    </xf>
    <xf numFmtId="164" fontId="24" fillId="0" borderId="139" xfId="2" applyFont="1" applyFill="1" applyBorder="1" applyAlignment="1">
      <alignment vertical="center"/>
    </xf>
    <xf numFmtId="49" fontId="26" fillId="0" borderId="129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5" fillId="0" borderId="129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5" fillId="0" borderId="138" xfId="0" applyNumberFormat="1" applyFont="1" applyBorder="1" applyAlignment="1">
      <alignment horizontal="center" vertical="center"/>
    </xf>
    <xf numFmtId="49" fontId="25" fillId="0" borderId="139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5" fillId="0" borderId="10" xfId="2" applyNumberFormat="1" applyFont="1" applyFill="1" applyBorder="1" applyAlignment="1"/>
    <xf numFmtId="164" fontId="15" fillId="0" borderId="10" xfId="2" applyFont="1" applyFill="1" applyBorder="1" applyAlignment="1"/>
    <xf numFmtId="171" fontId="0" fillId="0" borderId="0" xfId="0" applyNumberFormat="1"/>
    <xf numFmtId="0" fontId="29" fillId="12" borderId="163" xfId="0" applyFont="1" applyFill="1" applyBorder="1"/>
    <xf numFmtId="0" fontId="0" fillId="13" borderId="164" xfId="0" applyFill="1" applyBorder="1"/>
    <xf numFmtId="0" fontId="0" fillId="0" borderId="164" xfId="0" applyBorder="1"/>
    <xf numFmtId="0" fontId="0" fillId="13" borderId="165" xfId="0" applyFill="1" applyBorder="1"/>
    <xf numFmtId="171" fontId="7" fillId="0" borderId="0" xfId="0" applyNumberFormat="1" applyFont="1"/>
    <xf numFmtId="169" fontId="7" fillId="0" borderId="0" xfId="0" applyNumberFormat="1" applyFont="1"/>
    <xf numFmtId="37" fontId="0" fillId="0" borderId="0" xfId="0" applyNumberFormat="1"/>
    <xf numFmtId="2" fontId="0" fillId="0" borderId="2" xfId="0" applyNumberFormat="1" applyBorder="1" applyAlignment="1">
      <alignment horizontal="center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3" xfId="0" applyNumberFormat="1" applyBorder="1" applyAlignment="1">
      <alignment horizontal="center"/>
    </xf>
    <xf numFmtId="171" fontId="0" fillId="0" borderId="3" xfId="0" applyNumberFormat="1" applyBorder="1"/>
    <xf numFmtId="0" fontId="1" fillId="0" borderId="10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6" borderId="0" xfId="0" applyFont="1" applyFill="1"/>
    <xf numFmtId="0" fontId="2" fillId="6" borderId="155" xfId="0" applyFont="1" applyFill="1" applyBorder="1" applyAlignment="1">
      <alignment horizontal="center"/>
    </xf>
    <xf numFmtId="0" fontId="2" fillId="6" borderId="156" xfId="0" applyFont="1" applyFill="1" applyBorder="1" applyAlignment="1">
      <alignment horizontal="left"/>
    </xf>
    <xf numFmtId="0" fontId="1" fillId="6" borderId="156" xfId="0" applyFont="1" applyFill="1" applyBorder="1"/>
    <xf numFmtId="0" fontId="15" fillId="6" borderId="156" xfId="2" applyNumberFormat="1" applyFont="1" applyFill="1" applyBorder="1" applyAlignment="1"/>
    <xf numFmtId="164" fontId="15" fillId="6" borderId="157" xfId="2" applyFont="1" applyFill="1" applyBorder="1" applyAlignment="1"/>
    <xf numFmtId="0" fontId="30" fillId="6" borderId="0" xfId="2" applyNumberFormat="1" applyFont="1" applyFill="1" applyBorder="1" applyAlignment="1">
      <alignment horizontal="left"/>
    </xf>
    <xf numFmtId="0" fontId="26" fillId="6" borderId="0" xfId="2" applyNumberFormat="1" applyFont="1" applyFill="1" applyBorder="1" applyAlignment="1">
      <alignment horizontal="left"/>
    </xf>
    <xf numFmtId="164" fontId="19" fillId="6" borderId="159" xfId="2" applyFont="1" applyFill="1" applyBorder="1" applyAlignment="1">
      <alignment horizontal="right"/>
    </xf>
    <xf numFmtId="171" fontId="19" fillId="6" borderId="124" xfId="2" applyNumberFormat="1" applyFont="1" applyFill="1" applyBorder="1" applyAlignment="1">
      <alignment horizontal="left"/>
    </xf>
    <xf numFmtId="171" fontId="19" fillId="6" borderId="125" xfId="2" applyNumberFormat="1" applyFont="1" applyFill="1" applyBorder="1" applyAlignment="1">
      <alignment horizontal="left"/>
    </xf>
    <xf numFmtId="0" fontId="15" fillId="10" borderId="161" xfId="0" applyFont="1" applyFill="1" applyBorder="1" applyAlignment="1">
      <alignment horizontal="center"/>
    </xf>
    <xf numFmtId="0" fontId="15" fillId="10" borderId="120" xfId="0" applyFont="1" applyFill="1" applyBorder="1" applyAlignment="1">
      <alignment horizontal="left"/>
    </xf>
    <xf numFmtId="164" fontId="12" fillId="10" borderId="120" xfId="2" applyFont="1" applyFill="1" applyBorder="1" applyAlignment="1">
      <alignment horizontal="right"/>
    </xf>
    <xf numFmtId="164" fontId="13" fillId="10" borderId="120" xfId="2" applyFont="1" applyFill="1" applyBorder="1" applyAlignment="1"/>
    <xf numFmtId="164" fontId="13" fillId="10" borderId="162" xfId="2" applyFont="1" applyFill="1" applyBorder="1" applyAlignment="1"/>
    <xf numFmtId="0" fontId="31" fillId="0" borderId="12" xfId="0" applyFont="1" applyBorder="1" applyAlignment="1">
      <alignment horizontal="center"/>
    </xf>
    <xf numFmtId="0" fontId="3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" fillId="11" borderId="151" xfId="0" applyFont="1" applyFill="1" applyBorder="1" applyAlignment="1">
      <alignment horizontal="center"/>
    </xf>
    <xf numFmtId="0" fontId="1" fillId="11" borderId="152" xfId="0" applyFont="1" applyFill="1" applyBorder="1" applyAlignment="1">
      <alignment horizontal="left"/>
    </xf>
    <xf numFmtId="0" fontId="1" fillId="11" borderId="152" xfId="0" applyFont="1" applyFill="1" applyBorder="1"/>
    <xf numFmtId="0" fontId="1" fillId="11" borderId="152" xfId="0" applyFont="1" applyFill="1" applyBorder="1" applyAlignment="1">
      <alignment horizontal="center"/>
    </xf>
    <xf numFmtId="0" fontId="1" fillId="11" borderId="153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0" xfId="0" applyFont="1" applyAlignment="1">
      <alignment horizontal="left"/>
    </xf>
    <xf numFmtId="164" fontId="1" fillId="0" borderId="8" xfId="2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7" xfId="0" applyFont="1" applyBorder="1"/>
    <xf numFmtId="0" fontId="10" fillId="0" borderId="0" xfId="0" applyFont="1"/>
    <xf numFmtId="0" fontId="10" fillId="0" borderId="9" xfId="0" applyFont="1" applyBorder="1"/>
    <xf numFmtId="0" fontId="10" fillId="0" borderId="10" xfId="0" applyFont="1" applyBorder="1"/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left"/>
    </xf>
    <xf numFmtId="0" fontId="1" fillId="11" borderId="10" xfId="0" applyFont="1" applyFill="1" applyBorder="1"/>
    <xf numFmtId="0" fontId="1" fillId="11" borderId="10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53" xfId="0" applyFont="1" applyFill="1" applyBorder="1"/>
    <xf numFmtId="0" fontId="1" fillId="0" borderId="7" xfId="0" applyFont="1" applyBorder="1" applyAlignment="1">
      <alignment horizontal="center"/>
    </xf>
    <xf numFmtId="0" fontId="32" fillId="10" borderId="9" xfId="0" applyFont="1" applyFill="1" applyBorder="1" applyAlignment="1">
      <alignment horizontal="center"/>
    </xf>
    <xf numFmtId="0" fontId="32" fillId="10" borderId="10" xfId="0" applyFont="1" applyFill="1" applyBorder="1" applyAlignment="1">
      <alignment horizontal="left"/>
    </xf>
    <xf numFmtId="0" fontId="33" fillId="10" borderId="10" xfId="0" applyFont="1" applyFill="1" applyBorder="1" applyAlignment="1">
      <alignment wrapText="1"/>
    </xf>
    <xf numFmtId="0" fontId="33" fillId="10" borderId="11" xfId="0" applyFont="1" applyFill="1" applyBorder="1" applyAlignment="1">
      <alignment wrapText="1"/>
    </xf>
    <xf numFmtId="0" fontId="31" fillId="10" borderId="29" xfId="0" applyFont="1" applyFill="1" applyBorder="1"/>
    <xf numFmtId="0" fontId="34" fillId="10" borderId="30" xfId="0" applyFont="1" applyFill="1" applyBorder="1"/>
    <xf numFmtId="0" fontId="35" fillId="10" borderId="30" xfId="0" applyFont="1" applyFill="1" applyBorder="1" applyAlignment="1">
      <alignment horizontal="left"/>
    </xf>
    <xf numFmtId="0" fontId="35" fillId="10" borderId="30" xfId="0" applyFont="1" applyFill="1" applyBorder="1"/>
    <xf numFmtId="0" fontId="34" fillId="0" borderId="149" xfId="0" applyFont="1" applyBorder="1" applyAlignment="1">
      <alignment horizontal="center"/>
    </xf>
    <xf numFmtId="0" fontId="14" fillId="6" borderId="117" xfId="0" applyFont="1" applyFill="1" applyBorder="1" applyAlignment="1">
      <alignment horizontal="right"/>
    </xf>
    <xf numFmtId="171" fontId="14" fillId="6" borderId="47" xfId="0" applyNumberFormat="1" applyFont="1" applyFill="1" applyBorder="1" applyAlignment="1">
      <alignment horizontal="center"/>
    </xf>
    <xf numFmtId="164" fontId="31" fillId="0" borderId="47" xfId="2" applyFont="1" applyBorder="1" applyAlignment="1">
      <alignment horizontal="right"/>
    </xf>
    <xf numFmtId="164" fontId="31" fillId="0" borderId="147" xfId="2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164" fontId="1" fillId="0" borderId="0" xfId="2" applyFont="1" applyBorder="1"/>
    <xf numFmtId="0" fontId="14" fillId="6" borderId="166" xfId="0" applyFont="1" applyFill="1" applyBorder="1" applyAlignment="1">
      <alignment horizontal="right"/>
    </xf>
    <xf numFmtId="0" fontId="36" fillId="6" borderId="147" xfId="0" applyFont="1" applyFill="1" applyBorder="1" applyAlignment="1">
      <alignment horizontal="center"/>
    </xf>
    <xf numFmtId="0" fontId="36" fillId="6" borderId="145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right"/>
    </xf>
    <xf numFmtId="0" fontId="14" fillId="6" borderId="147" xfId="0" applyFont="1" applyFill="1" applyBorder="1" applyAlignment="1">
      <alignment horizontal="center"/>
    </xf>
    <xf numFmtId="0" fontId="14" fillId="6" borderId="168" xfId="0" applyFont="1" applyFill="1" applyBorder="1" applyAlignment="1">
      <alignment horizontal="right"/>
    </xf>
    <xf numFmtId="0" fontId="14" fillId="6" borderId="168" xfId="0" applyFont="1" applyFill="1" applyBorder="1" applyAlignment="1">
      <alignment horizontal="center"/>
    </xf>
    <xf numFmtId="0" fontId="1" fillId="0" borderId="145" xfId="0" applyFont="1" applyBorder="1" applyAlignment="1">
      <alignment horizontal="center"/>
    </xf>
    <xf numFmtId="164" fontId="14" fillId="6" borderId="47" xfId="2" applyFont="1" applyFill="1" applyBorder="1" applyAlignment="1">
      <alignment horizontal="right"/>
    </xf>
    <xf numFmtId="164" fontId="14" fillId="6" borderId="47" xfId="2" applyFont="1" applyFill="1" applyBorder="1" applyAlignment="1">
      <alignment horizontal="center"/>
    </xf>
    <xf numFmtId="164" fontId="36" fillId="6" borderId="147" xfId="2" applyFont="1" applyFill="1" applyBorder="1" applyAlignment="1">
      <alignment horizontal="center"/>
    </xf>
    <xf numFmtId="164" fontId="36" fillId="6" borderId="145" xfId="2" applyFont="1" applyFill="1" applyBorder="1" applyAlignment="1">
      <alignment horizontal="center"/>
    </xf>
    <xf numFmtId="0" fontId="1" fillId="0" borderId="147" xfId="0" applyFont="1" applyBorder="1" applyAlignment="1">
      <alignment horizontal="center"/>
    </xf>
    <xf numFmtId="164" fontId="36" fillId="6" borderId="47" xfId="2" applyFont="1" applyFill="1" applyBorder="1" applyAlignment="1"/>
    <xf numFmtId="164" fontId="36" fillId="6" borderId="47" xfId="2" applyFont="1" applyFill="1" applyBorder="1" applyAlignment="1">
      <alignment horizontal="center"/>
    </xf>
    <xf numFmtId="164" fontId="36" fillId="6" borderId="47" xfId="2" applyFont="1" applyFill="1" applyBorder="1" applyAlignment="1">
      <alignment horizontal="left"/>
    </xf>
    <xf numFmtId="1" fontId="36" fillId="6" borderId="47" xfId="0" applyNumberFormat="1" applyFont="1" applyFill="1" applyBorder="1" applyAlignment="1">
      <alignment horizontal="right"/>
    </xf>
    <xf numFmtId="164" fontId="36" fillId="6" borderId="119" xfId="2" applyFont="1" applyFill="1" applyBorder="1" applyAlignment="1">
      <alignment horizontal="left"/>
    </xf>
    <xf numFmtId="37" fontId="36" fillId="6" borderId="119" xfId="2" applyNumberFormat="1" applyFont="1" applyFill="1" applyBorder="1" applyAlignment="1">
      <alignment horizontal="center"/>
    </xf>
    <xf numFmtId="1" fontId="36" fillId="6" borderId="119" xfId="0" applyNumberFormat="1" applyFont="1" applyFill="1" applyBorder="1" applyAlignment="1">
      <alignment horizontal="left"/>
    </xf>
    <xf numFmtId="164" fontId="36" fillId="6" borderId="119" xfId="2" applyFont="1" applyFill="1" applyBorder="1" applyAlignment="1">
      <alignment horizontal="right"/>
    </xf>
    <xf numFmtId="0" fontId="15" fillId="11" borderId="33" xfId="0" applyFont="1" applyFill="1" applyBorder="1" applyAlignment="1">
      <alignment horizontal="left"/>
    </xf>
    <xf numFmtId="0" fontId="15" fillId="11" borderId="0" xfId="0" applyFont="1" applyFill="1" applyAlignment="1">
      <alignment horizontal="left"/>
    </xf>
    <xf numFmtId="164" fontId="12" fillId="11" borderId="0" xfId="2" applyFont="1" applyFill="1" applyBorder="1" applyAlignment="1">
      <alignment horizontal="left"/>
    </xf>
    <xf numFmtId="37" fontId="13" fillId="11" borderId="0" xfId="2" applyNumberFormat="1" applyFont="1" applyFill="1" applyBorder="1" applyAlignment="1">
      <alignment horizontal="center"/>
    </xf>
    <xf numFmtId="1" fontId="12" fillId="11" borderId="0" xfId="0" applyNumberFormat="1" applyFont="1" applyFill="1" applyAlignment="1">
      <alignment horizontal="right"/>
    </xf>
    <xf numFmtId="164" fontId="2" fillId="11" borderId="0" xfId="2" applyFont="1" applyFill="1" applyBorder="1" applyAlignment="1">
      <alignment horizontal="left"/>
    </xf>
    <xf numFmtId="164" fontId="2" fillId="11" borderId="0" xfId="2" applyFont="1" applyFill="1" applyBorder="1" applyAlignment="1">
      <alignment horizontal="center"/>
    </xf>
    <xf numFmtId="0" fontId="31" fillId="0" borderId="0" xfId="0" applyFont="1" applyAlignment="1">
      <alignment horizontal="right"/>
    </xf>
    <xf numFmtId="9" fontId="1" fillId="0" borderId="0" xfId="4" applyFont="1" applyBorder="1" applyAlignment="1">
      <alignment horizontal="center"/>
    </xf>
    <xf numFmtId="164" fontId="1" fillId="0" borderId="0" xfId="2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2" applyFont="1" applyFill="1" applyBorder="1"/>
    <xf numFmtId="0" fontId="1" fillId="0" borderId="0" xfId="0" applyFont="1" applyAlignment="1">
      <alignment horizontal="right"/>
    </xf>
    <xf numFmtId="164" fontId="1" fillId="0" borderId="0" xfId="2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7" fillId="0" borderId="0" xfId="0" applyFont="1" applyAlignment="1">
      <alignment horizontal="right"/>
    </xf>
    <xf numFmtId="9" fontId="1" fillId="0" borderId="0" xfId="2" applyNumberFormat="1" applyFont="1" applyBorder="1" applyAlignment="1">
      <alignment horizontal="center"/>
    </xf>
    <xf numFmtId="164" fontId="1" fillId="0" borderId="0" xfId="2" applyFont="1" applyBorder="1" applyAlignment="1">
      <alignment horizontal="left"/>
    </xf>
    <xf numFmtId="0" fontId="6" fillId="0" borderId="0" xfId="0" applyFont="1"/>
    <xf numFmtId="164" fontId="37" fillId="0" borderId="0" xfId="2" applyFont="1" applyBorder="1" applyAlignment="1">
      <alignment horizontal="left"/>
    </xf>
    <xf numFmtId="0" fontId="37" fillId="0" borderId="0" xfId="0" applyFont="1"/>
    <xf numFmtId="164" fontId="1" fillId="0" borderId="0" xfId="2" applyFont="1" applyBorder="1" applyAlignment="1">
      <alignment horizontal="right"/>
    </xf>
    <xf numFmtId="167" fontId="2" fillId="0" borderId="0" xfId="4" applyNumberFormat="1" applyFont="1" applyBorder="1" applyAlignment="1">
      <alignment horizontal="right"/>
    </xf>
    <xf numFmtId="164" fontId="1" fillId="0" borderId="2" xfId="2" applyFont="1" applyBorder="1" applyAlignment="1">
      <alignment horizontal="center"/>
    </xf>
    <xf numFmtId="9" fontId="1" fillId="0" borderId="3" xfId="4" applyFont="1" applyBorder="1" applyAlignment="1">
      <alignment horizontal="center"/>
    </xf>
    <xf numFmtId="164" fontId="1" fillId="0" borderId="3" xfId="2" applyFont="1" applyBorder="1" applyAlignment="1">
      <alignment horizontal="center"/>
    </xf>
    <xf numFmtId="0" fontId="2" fillId="0" borderId="0" xfId="0" applyFont="1" applyAlignment="1">
      <alignment horizontal="right"/>
    </xf>
    <xf numFmtId="164" fontId="1" fillId="0" borderId="0" xfId="2" applyFont="1" applyFill="1" applyBorder="1" applyAlignment="1">
      <alignment horizontal="left"/>
    </xf>
    <xf numFmtId="1" fontId="37" fillId="0" borderId="0" xfId="0" applyNumberFormat="1" applyFont="1" applyAlignment="1">
      <alignment horizontal="right"/>
    </xf>
    <xf numFmtId="164" fontId="1" fillId="11" borderId="37" xfId="2" applyFont="1" applyFill="1" applyBorder="1" applyAlignment="1">
      <alignment horizontal="left"/>
    </xf>
    <xf numFmtId="164" fontId="1" fillId="0" borderId="0" xfId="2" applyFont="1" applyAlignment="1">
      <alignment horizontal="left"/>
    </xf>
    <xf numFmtId="164" fontId="1" fillId="0" borderId="0" xfId="2" applyFont="1" applyAlignment="1">
      <alignment horizontal="right"/>
    </xf>
    <xf numFmtId="164" fontId="1" fillId="0" borderId="0" xfId="2" applyFont="1"/>
    <xf numFmtId="164" fontId="1" fillId="2" borderId="0" xfId="2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9" fontId="1" fillId="0" borderId="0" xfId="4" applyFont="1" applyAlignment="1">
      <alignment horizontal="center"/>
    </xf>
    <xf numFmtId="9" fontId="1" fillId="2" borderId="0" xfId="4" applyFont="1" applyFill="1" applyAlignment="1">
      <alignment horizontal="right"/>
    </xf>
    <xf numFmtId="0" fontId="39" fillId="0" borderId="0" xfId="0" applyFont="1" applyAlignment="1">
      <alignment horizontal="left"/>
    </xf>
    <xf numFmtId="164" fontId="39" fillId="0" borderId="0" xfId="0" applyNumberFormat="1" applyFont="1" applyAlignment="1">
      <alignment horizontal="left"/>
    </xf>
    <xf numFmtId="9" fontId="39" fillId="0" borderId="0" xfId="4" applyFont="1" applyFill="1" applyBorder="1" applyAlignment="1">
      <alignment horizontal="right"/>
    </xf>
    <xf numFmtId="0" fontId="1" fillId="0" borderId="0" xfId="2" applyNumberFormat="1" applyFont="1" applyAlignment="1"/>
    <xf numFmtId="0" fontId="40" fillId="0" borderId="0" xfId="0" applyFont="1"/>
    <xf numFmtId="0" fontId="1" fillId="10" borderId="31" xfId="0" applyFont="1" applyFill="1" applyBorder="1"/>
    <xf numFmtId="0" fontId="1" fillId="10" borderId="32" xfId="0" applyFont="1" applyFill="1" applyBorder="1"/>
    <xf numFmtId="164" fontId="1" fillId="0" borderId="0" xfId="2" applyFont="1" applyBorder="1" applyAlignment="1"/>
    <xf numFmtId="164" fontId="36" fillId="6" borderId="147" xfId="2" applyFont="1" applyFill="1" applyBorder="1" applyAlignment="1"/>
    <xf numFmtId="164" fontId="36" fillId="6" borderId="145" xfId="2" applyFont="1" applyFill="1" applyBorder="1" applyAlignment="1"/>
    <xf numFmtId="164" fontId="36" fillId="6" borderId="117" xfId="2" applyFont="1" applyFill="1" applyBorder="1" applyAlignment="1"/>
    <xf numFmtId="164" fontId="36" fillId="6" borderId="118" xfId="2" applyFont="1" applyFill="1" applyBorder="1" applyAlignment="1"/>
    <xf numFmtId="164" fontId="36" fillId="6" borderId="119" xfId="2" applyFont="1" applyFill="1" applyBorder="1" applyAlignment="1"/>
    <xf numFmtId="0" fontId="36" fillId="6" borderId="148" xfId="0" applyFont="1" applyFill="1" applyBorder="1"/>
    <xf numFmtId="0" fontId="36" fillId="6" borderId="150" xfId="0" applyFont="1" applyFill="1" applyBorder="1"/>
    <xf numFmtId="164" fontId="13" fillId="11" borderId="0" xfId="2" applyFont="1" applyFill="1" applyBorder="1" applyAlignment="1"/>
    <xf numFmtId="0" fontId="13" fillId="11" borderId="0" xfId="0" applyFont="1" applyFill="1"/>
    <xf numFmtId="0" fontId="1" fillId="11" borderId="32" xfId="0" applyFont="1" applyFill="1" applyBorder="1"/>
    <xf numFmtId="0" fontId="9" fillId="11" borderId="0" xfId="0" applyFont="1" applyFill="1" applyAlignment="1">
      <alignment horizontal="center"/>
    </xf>
    <xf numFmtId="0" fontId="31" fillId="0" borderId="33" xfId="0" applyFont="1" applyBorder="1"/>
    <xf numFmtId="164" fontId="1" fillId="0" borderId="0" xfId="2" applyFont="1" applyFill="1" applyBorder="1" applyAlignment="1"/>
    <xf numFmtId="164" fontId="1" fillId="0" borderId="0" xfId="0" applyNumberFormat="1" applyFont="1"/>
    <xf numFmtId="0" fontId="1" fillId="0" borderId="33" xfId="0" applyFont="1" applyBorder="1"/>
    <xf numFmtId="164" fontId="1" fillId="0" borderId="1" xfId="2" applyFont="1" applyBorder="1" applyAlignment="1"/>
    <xf numFmtId="164" fontId="1" fillId="0" borderId="1" xfId="0" applyNumberFormat="1" applyFont="1" applyBorder="1"/>
    <xf numFmtId="0" fontId="1" fillId="11" borderId="34" xfId="0" applyFont="1" applyFill="1" applyBorder="1"/>
    <xf numFmtId="164" fontId="1" fillId="0" borderId="3" xfId="2" applyFont="1" applyBorder="1" applyAlignment="1"/>
    <xf numFmtId="164" fontId="1" fillId="3" borderId="0" xfId="2" applyFont="1" applyFill="1" applyBorder="1" applyAlignment="1"/>
    <xf numFmtId="164" fontId="37" fillId="0" borderId="0" xfId="2" applyFont="1" applyBorder="1" applyAlignment="1"/>
    <xf numFmtId="0" fontId="1" fillId="11" borderId="36" xfId="0" applyFont="1" applyFill="1" applyBorder="1"/>
    <xf numFmtId="0" fontId="1" fillId="11" borderId="37" xfId="0" applyFont="1" applyFill="1" applyBorder="1"/>
    <xf numFmtId="164" fontId="1" fillId="11" borderId="37" xfId="2" applyFont="1" applyFill="1" applyBorder="1" applyAlignment="1"/>
    <xf numFmtId="0" fontId="1" fillId="11" borderId="0" xfId="0" applyFont="1" applyFill="1"/>
    <xf numFmtId="164" fontId="1" fillId="0" borderId="0" xfId="2" applyFont="1" applyAlignment="1"/>
    <xf numFmtId="0" fontId="2" fillId="2" borderId="0" xfId="0" applyFont="1" applyFill="1"/>
    <xf numFmtId="0" fontId="1" fillId="2" borderId="0" xfId="0" applyFont="1" applyFill="1"/>
    <xf numFmtId="164" fontId="1" fillId="2" borderId="0" xfId="2" applyFont="1" applyFill="1" applyAlignment="1"/>
    <xf numFmtId="0" fontId="1" fillId="2" borderId="0" xfId="2" applyNumberFormat="1" applyFont="1" applyFill="1" applyAlignment="1"/>
    <xf numFmtId="0" fontId="2" fillId="0" borderId="0" xfId="0" applyFont="1"/>
    <xf numFmtId="10" fontId="1" fillId="2" borderId="0" xfId="2" applyNumberFormat="1" applyFont="1" applyFill="1" applyAlignment="1"/>
    <xf numFmtId="0" fontId="31" fillId="10" borderId="12" xfId="0" applyFont="1" applyFill="1" applyBorder="1"/>
    <xf numFmtId="0" fontId="34" fillId="10" borderId="13" xfId="0" applyFont="1" applyFill="1" applyBorder="1"/>
    <xf numFmtId="0" fontId="2" fillId="6" borderId="48" xfId="0" applyFont="1" applyFill="1" applyBorder="1" applyAlignment="1">
      <alignment horizontal="left"/>
    </xf>
    <xf numFmtId="0" fontId="2" fillId="6" borderId="47" xfId="0" applyFont="1" applyFill="1" applyBorder="1" applyAlignment="1">
      <alignment horizontal="left"/>
    </xf>
    <xf numFmtId="0" fontId="41" fillId="6" borderId="47" xfId="2" applyNumberFormat="1" applyFont="1" applyFill="1" applyBorder="1" applyAlignment="1"/>
    <xf numFmtId="164" fontId="15" fillId="6" borderId="47" xfId="2" applyFont="1" applyFill="1" applyBorder="1" applyAlignment="1"/>
    <xf numFmtId="164" fontId="1" fillId="6" borderId="47" xfId="2" applyFont="1" applyFill="1" applyBorder="1"/>
    <xf numFmtId="0" fontId="1" fillId="6" borderId="47" xfId="0" applyFont="1" applyFill="1" applyBorder="1"/>
    <xf numFmtId="0" fontId="1" fillId="6" borderId="49" xfId="0" applyFont="1" applyFill="1" applyBorder="1"/>
    <xf numFmtId="0" fontId="42" fillId="6" borderId="47" xfId="2" applyNumberFormat="1" applyFont="1" applyFill="1" applyBorder="1" applyAlignment="1">
      <alignment horizontal="center"/>
    </xf>
    <xf numFmtId="0" fontId="32" fillId="6" borderId="47" xfId="0" applyFont="1" applyFill="1" applyBorder="1"/>
    <xf numFmtId="164" fontId="31" fillId="6" borderId="47" xfId="2" applyFont="1" applyFill="1" applyBorder="1" applyAlignment="1"/>
    <xf numFmtId="164" fontId="31" fillId="6" borderId="49" xfId="2" applyFont="1" applyFill="1" applyBorder="1" applyAlignment="1"/>
    <xf numFmtId="0" fontId="43" fillId="6" borderId="47" xfId="2" applyNumberFormat="1" applyFont="1" applyFill="1" applyBorder="1" applyAlignment="1">
      <alignment vertical="center"/>
    </xf>
    <xf numFmtId="164" fontId="43" fillId="6" borderId="47" xfId="2" applyFont="1" applyFill="1" applyBorder="1" applyAlignment="1">
      <alignment vertical="center"/>
    </xf>
    <xf numFmtId="164" fontId="16" fillId="6" borderId="48" xfId="2" applyFont="1" applyFill="1" applyBorder="1" applyAlignment="1">
      <alignment vertical="center"/>
    </xf>
    <xf numFmtId="164" fontId="16" fillId="6" borderId="47" xfId="2" applyFont="1" applyFill="1" applyBorder="1" applyAlignment="1">
      <alignment vertical="center"/>
    </xf>
    <xf numFmtId="0" fontId="42" fillId="6" borderId="47" xfId="2" applyNumberFormat="1" applyFont="1" applyFill="1" applyBorder="1" applyAlignment="1"/>
    <xf numFmtId="164" fontId="32" fillId="6" borderId="47" xfId="2" applyFont="1" applyFill="1" applyBorder="1"/>
    <xf numFmtId="1" fontId="32" fillId="6" borderId="47" xfId="0" applyNumberFormat="1" applyFont="1" applyFill="1" applyBorder="1" applyAlignment="1">
      <alignment horizontal="right"/>
    </xf>
    <xf numFmtId="0" fontId="41" fillId="6" borderId="47" xfId="2" applyNumberFormat="1" applyFont="1" applyFill="1" applyBorder="1" applyAlignment="1">
      <alignment horizontal="right"/>
    </xf>
    <xf numFmtId="37" fontId="15" fillId="6" borderId="47" xfId="2" applyNumberFormat="1" applyFont="1" applyFill="1" applyBorder="1" applyAlignment="1">
      <alignment horizontal="center"/>
    </xf>
    <xf numFmtId="1" fontId="15" fillId="6" borderId="47" xfId="0" applyNumberFormat="1" applyFont="1" applyFill="1" applyBorder="1" applyAlignment="1">
      <alignment horizontal="center"/>
    </xf>
    <xf numFmtId="0" fontId="1" fillId="7" borderId="47" xfId="0" applyFont="1" applyFill="1" applyBorder="1"/>
    <xf numFmtId="0" fontId="2" fillId="10" borderId="7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164" fontId="2" fillId="10" borderId="0" xfId="2" applyFont="1" applyFill="1" applyBorder="1" applyAlignment="1">
      <alignment horizontal="left"/>
    </xf>
    <xf numFmtId="0" fontId="1" fillId="10" borderId="8" xfId="0" applyFont="1" applyFill="1" applyBorder="1"/>
    <xf numFmtId="164" fontId="38" fillId="0" borderId="52" xfId="2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164" fontId="38" fillId="0" borderId="52" xfId="0" applyNumberFormat="1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1" fillId="5" borderId="10" xfId="2" applyFont="1" applyFill="1" applyBorder="1"/>
    <xf numFmtId="164" fontId="1" fillId="5" borderId="10" xfId="0" applyNumberFormat="1" applyFont="1" applyFill="1" applyBorder="1"/>
    <xf numFmtId="49" fontId="14" fillId="5" borderId="12" xfId="0" applyNumberFormat="1" applyFont="1" applyFill="1" applyBorder="1" applyAlignment="1">
      <alignment horizontal="left"/>
    </xf>
    <xf numFmtId="49" fontId="14" fillId="5" borderId="13" xfId="0" applyNumberFormat="1" applyFont="1" applyFill="1" applyBorder="1"/>
    <xf numFmtId="0" fontId="2" fillId="5" borderId="17" xfId="0" applyFont="1" applyFill="1" applyBorder="1" applyAlignment="1">
      <alignment horizontal="center" vertical="center" shrinkToFit="1"/>
    </xf>
    <xf numFmtId="0" fontId="2" fillId="5" borderId="13" xfId="0" applyFont="1" applyFill="1" applyBorder="1" applyAlignment="1">
      <alignment horizontal="center" vertical="center" shrinkToFit="1"/>
    </xf>
    <xf numFmtId="164" fontId="2" fillId="5" borderId="13" xfId="2" applyFont="1" applyFill="1" applyBorder="1" applyAlignment="1">
      <alignment horizontal="center" vertical="center"/>
    </xf>
    <xf numFmtId="164" fontId="2" fillId="5" borderId="18" xfId="2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64" fontId="2" fillId="5" borderId="21" xfId="2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164" fontId="2" fillId="0" borderId="0" xfId="2" applyFont="1" applyFill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7" xfId="0" applyNumberFormat="1" applyFont="1" applyBorder="1" applyAlignment="1">
      <alignment horizontal="center"/>
    </xf>
    <xf numFmtId="0" fontId="1" fillId="0" borderId="5" xfId="2" applyNumberFormat="1" applyFont="1" applyFill="1" applyBorder="1" applyAlignment="1">
      <alignment shrinkToFit="1"/>
    </xf>
    <xf numFmtId="0" fontId="1" fillId="0" borderId="0" xfId="0" applyFont="1" applyAlignment="1">
      <alignment horizontal="center" shrinkToFit="1"/>
    </xf>
    <xf numFmtId="164" fontId="1" fillId="0" borderId="6" xfId="2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164" fontId="1" fillId="0" borderId="0" xfId="2" applyFont="1" applyFill="1" applyBorder="1" applyAlignment="1">
      <alignment horizontal="right"/>
    </xf>
    <xf numFmtId="164" fontId="1" fillId="0" borderId="4" xfId="2" applyFont="1" applyFill="1" applyBorder="1"/>
    <xf numFmtId="164" fontId="1" fillId="0" borderId="5" xfId="0" applyNumberFormat="1" applyFont="1" applyBorder="1"/>
    <xf numFmtId="0" fontId="1" fillId="0" borderId="55" xfId="0" applyFont="1" applyBorder="1" applyAlignment="1">
      <alignment horizontal="left"/>
    </xf>
    <xf numFmtId="164" fontId="1" fillId="0" borderId="40" xfId="2" applyFont="1" applyFill="1" applyBorder="1"/>
    <xf numFmtId="0" fontId="1" fillId="0" borderId="56" xfId="0" applyFont="1" applyBorder="1"/>
    <xf numFmtId="164" fontId="2" fillId="0" borderId="74" xfId="0" applyNumberFormat="1" applyFont="1" applyBorder="1" applyAlignment="1">
      <alignment horizontal="center"/>
    </xf>
    <xf numFmtId="164" fontId="2" fillId="0" borderId="75" xfId="0" applyNumberFormat="1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49" fontId="6" fillId="0" borderId="7" xfId="0" applyNumberFormat="1" applyFont="1" applyBorder="1" applyAlignment="1">
      <alignment horizontal="right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49" fontId="2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shrinkToFit="1"/>
    </xf>
    <xf numFmtId="164" fontId="2" fillId="0" borderId="0" xfId="2" applyFont="1" applyFill="1" applyBorder="1" applyAlignment="1">
      <alignment horizontal="right"/>
    </xf>
    <xf numFmtId="164" fontId="2" fillId="0" borderId="30" xfId="0" applyNumberFormat="1" applyFont="1" applyBorder="1"/>
    <xf numFmtId="0" fontId="1" fillId="5" borderId="65" xfId="0" applyFont="1" applyFill="1" applyBorder="1" applyAlignment="1">
      <alignment horizontal="left"/>
    </xf>
    <xf numFmtId="164" fontId="1" fillId="5" borderId="66" xfId="2" applyFont="1" applyFill="1" applyBorder="1"/>
    <xf numFmtId="0" fontId="1" fillId="5" borderId="67" xfId="0" applyFont="1" applyFill="1" applyBorder="1"/>
    <xf numFmtId="49" fontId="31" fillId="5" borderId="7" xfId="0" applyNumberFormat="1" applyFont="1" applyFill="1" applyBorder="1" applyAlignment="1">
      <alignment horizontal="left"/>
    </xf>
    <xf numFmtId="49" fontId="31" fillId="5" borderId="0" xfId="0" applyNumberFormat="1" applyFont="1" applyFill="1"/>
    <xf numFmtId="0" fontId="2" fillId="5" borderId="14" xfId="0" applyFont="1" applyFill="1" applyBorder="1" applyAlignment="1">
      <alignment vertical="center" shrinkToFit="1"/>
    </xf>
    <xf numFmtId="0" fontId="2" fillId="5" borderId="15" xfId="0" applyFont="1" applyFill="1" applyBorder="1" applyAlignment="1">
      <alignment vertical="center" shrinkToFit="1"/>
    </xf>
    <xf numFmtId="164" fontId="2" fillId="5" borderId="15" xfId="2" applyFont="1" applyFill="1" applyBorder="1" applyAlignment="1">
      <alignment vertical="center"/>
    </xf>
    <xf numFmtId="164" fontId="2" fillId="5" borderId="16" xfId="2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1" fillId="5" borderId="68" xfId="0" applyFont="1" applyFill="1" applyBorder="1" applyAlignment="1">
      <alignment horizontal="left"/>
    </xf>
    <xf numFmtId="164" fontId="1" fillId="5" borderId="69" xfId="2" applyFont="1" applyFill="1" applyBorder="1"/>
    <xf numFmtId="0" fontId="1" fillId="5" borderId="70" xfId="0" applyFont="1" applyFill="1" applyBorder="1"/>
    <xf numFmtId="49" fontId="2" fillId="0" borderId="1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left"/>
    </xf>
    <xf numFmtId="164" fontId="2" fillId="5" borderId="15" xfId="2" applyFont="1" applyFill="1" applyBorder="1" applyAlignment="1">
      <alignment vertical="center" wrapText="1"/>
    </xf>
    <xf numFmtId="164" fontId="1" fillId="5" borderId="13" xfId="2" applyFont="1" applyFill="1" applyBorder="1"/>
    <xf numFmtId="0" fontId="1" fillId="5" borderId="71" xfId="0" applyFont="1" applyFill="1" applyBorder="1"/>
    <xf numFmtId="0" fontId="2" fillId="0" borderId="7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0" xfId="0" applyNumberFormat="1" applyFont="1"/>
    <xf numFmtId="0" fontId="1" fillId="0" borderId="40" xfId="0" applyFont="1" applyBorder="1"/>
    <xf numFmtId="164" fontId="1" fillId="0" borderId="40" xfId="0" applyNumberFormat="1" applyFont="1" applyBorder="1"/>
    <xf numFmtId="164" fontId="1" fillId="0" borderId="5" xfId="2" applyFont="1" applyFill="1" applyBorder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164" fontId="1" fillId="0" borderId="0" xfId="2" applyFont="1" applyFill="1" applyBorder="1" applyAlignment="1">
      <alignment horizontal="center" vertical="center"/>
    </xf>
    <xf numFmtId="164" fontId="1" fillId="0" borderId="6" xfId="2" applyFont="1" applyFill="1" applyBorder="1" applyAlignment="1">
      <alignment horizontal="center" vertical="center"/>
    </xf>
    <xf numFmtId="0" fontId="1" fillId="0" borderId="6" xfId="2" applyNumberFormat="1" applyFont="1" applyFill="1" applyBorder="1" applyAlignment="1">
      <alignment horizontal="center"/>
    </xf>
    <xf numFmtId="164" fontId="1" fillId="0" borderId="5" xfId="2" applyFont="1" applyFill="1" applyBorder="1" applyAlignment="1">
      <alignment horizontal="right"/>
    </xf>
    <xf numFmtId="0" fontId="1" fillId="0" borderId="32" xfId="0" applyFont="1" applyBorder="1"/>
    <xf numFmtId="0" fontId="1" fillId="0" borderId="0" xfId="2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49" fontId="2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0" xfId="2" applyFont="1" applyFill="1" applyBorder="1" applyAlignment="1">
      <alignment horizontal="right" vertical="center"/>
    </xf>
    <xf numFmtId="164" fontId="1" fillId="0" borderId="4" xfId="2" applyFont="1" applyFill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horizontal="left"/>
    </xf>
    <xf numFmtId="164" fontId="1" fillId="0" borderId="13" xfId="2" applyFont="1" applyFill="1" applyBorder="1" applyAlignment="1">
      <alignment shrinkToFit="1"/>
    </xf>
    <xf numFmtId="0" fontId="1" fillId="0" borderId="13" xfId="0" applyFont="1" applyBorder="1" applyAlignment="1">
      <alignment horizontal="center" shrinkToFit="1"/>
    </xf>
    <xf numFmtId="49" fontId="1" fillId="0" borderId="7" xfId="0" applyNumberFormat="1" applyFont="1" applyBorder="1" applyAlignment="1">
      <alignment horizontal="left"/>
    </xf>
    <xf numFmtId="164" fontId="1" fillId="0" borderId="0" xfId="2" applyFont="1" applyFill="1" applyBorder="1" applyAlignment="1">
      <alignment shrinkToFit="1"/>
    </xf>
    <xf numFmtId="0" fontId="1" fillId="0" borderId="9" xfId="0" applyFont="1" applyBorder="1"/>
    <xf numFmtId="164" fontId="2" fillId="0" borderId="77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5" borderId="72" xfId="0" applyFont="1" applyFill="1" applyBorder="1"/>
    <xf numFmtId="164" fontId="1" fillId="0" borderId="5" xfId="2" applyFont="1" applyFill="1" applyBorder="1" applyAlignment="1">
      <alignment shrinkToFit="1"/>
    </xf>
    <xf numFmtId="0" fontId="1" fillId="0" borderId="0" xfId="0" applyFont="1" applyAlignment="1">
      <alignment shrinkToFit="1"/>
    </xf>
    <xf numFmtId="164" fontId="1" fillId="0" borderId="0" xfId="2" applyFont="1" applyAlignment="1">
      <alignment shrinkToFit="1"/>
    </xf>
    <xf numFmtId="49" fontId="2" fillId="0" borderId="8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3" xfId="0" applyFont="1" applyFill="1" applyBorder="1"/>
    <xf numFmtId="164" fontId="2" fillId="5" borderId="13" xfId="2" applyFont="1" applyFill="1" applyBorder="1" applyAlignment="1">
      <alignment horizontal="center"/>
    </xf>
    <xf numFmtId="0" fontId="1" fillId="5" borderId="21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horizontal="right" wrapText="1"/>
    </xf>
    <xf numFmtId="0" fontId="9" fillId="0" borderId="0" xfId="0" applyFont="1"/>
    <xf numFmtId="0" fontId="9" fillId="0" borderId="8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0" xfId="2" applyNumberFormat="1" applyFont="1" applyFill="1" applyBorder="1" applyAlignment="1">
      <alignment shrinkToFit="1"/>
    </xf>
    <xf numFmtId="0" fontId="9" fillId="0" borderId="10" xfId="0" applyFont="1" applyBorder="1" applyAlignment="1">
      <alignment horizontal="center" shrinkToFit="1"/>
    </xf>
    <xf numFmtId="164" fontId="9" fillId="0" borderId="10" xfId="2" applyFont="1" applyBorder="1" applyAlignment="1">
      <alignment shrinkToFit="1"/>
    </xf>
    <xf numFmtId="164" fontId="9" fillId="0" borderId="10" xfId="2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57" xfId="0" applyFont="1" applyBorder="1" applyAlignment="1">
      <alignment horizontal="left"/>
    </xf>
    <xf numFmtId="164" fontId="1" fillId="0" borderId="58" xfId="2" applyFont="1" applyFill="1" applyBorder="1"/>
    <xf numFmtId="0" fontId="1" fillId="0" borderId="59" xfId="0" applyFont="1" applyBorder="1"/>
    <xf numFmtId="164" fontId="2" fillId="0" borderId="78" xfId="0" applyNumberFormat="1" applyFont="1" applyBorder="1" applyAlignment="1">
      <alignment horizontal="center"/>
    </xf>
    <xf numFmtId="164" fontId="2" fillId="0" borderId="79" xfId="0" applyNumberFormat="1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1" fillId="0" borderId="53" xfId="0" applyFont="1" applyBorder="1" applyAlignment="1">
      <alignment horizontal="left"/>
    </xf>
    <xf numFmtId="164" fontId="1" fillId="0" borderId="54" xfId="2" applyFont="1" applyFill="1" applyBorder="1"/>
    <xf numFmtId="164" fontId="1" fillId="0" borderId="54" xfId="0" applyNumberFormat="1" applyFont="1" applyBorder="1"/>
    <xf numFmtId="0" fontId="1" fillId="0" borderId="41" xfId="0" applyFont="1" applyBorder="1" applyAlignment="1">
      <alignment horizontal="left"/>
    </xf>
    <xf numFmtId="164" fontId="1" fillId="0" borderId="40" xfId="2" applyFont="1" applyBorder="1"/>
    <xf numFmtId="0" fontId="1" fillId="0" borderId="40" xfId="0" applyFont="1" applyBorder="1" applyAlignment="1">
      <alignment horizontal="left"/>
    </xf>
    <xf numFmtId="164" fontId="1" fillId="0" borderId="0" xfId="2" applyFont="1" applyFill="1"/>
    <xf numFmtId="0" fontId="40" fillId="0" borderId="9" xfId="0" applyFont="1" applyBorder="1" applyAlignment="1">
      <alignment horizontal="center"/>
    </xf>
    <xf numFmtId="0" fontId="1" fillId="0" borderId="23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164" fontId="1" fillId="0" borderId="10" xfId="2" applyFont="1" applyFill="1" applyBorder="1"/>
    <xf numFmtId="164" fontId="1" fillId="0" borderId="22" xfId="2" applyFont="1" applyFill="1" applyBorder="1" applyAlignment="1">
      <alignment horizontal="center"/>
    </xf>
    <xf numFmtId="0" fontId="1" fillId="0" borderId="23" xfId="0" applyFont="1" applyBorder="1" applyAlignment="1">
      <alignment horizontal="right"/>
    </xf>
    <xf numFmtId="164" fontId="2" fillId="0" borderId="10" xfId="2" applyFont="1" applyFill="1" applyBorder="1" applyAlignment="1">
      <alignment horizontal="right"/>
    </xf>
    <xf numFmtId="164" fontId="2" fillId="0" borderId="51" xfId="0" applyNumberFormat="1" applyFont="1" applyBorder="1"/>
    <xf numFmtId="0" fontId="33" fillId="8" borderId="12" xfId="0" applyFont="1" applyFill="1" applyBorder="1" applyAlignment="1">
      <alignment horizontal="center"/>
    </xf>
    <xf numFmtId="0" fontId="44" fillId="8" borderId="13" xfId="0" applyFont="1" applyFill="1" applyBorder="1"/>
    <xf numFmtId="0" fontId="44" fillId="8" borderId="13" xfId="0" applyFont="1" applyFill="1" applyBorder="1" applyAlignment="1">
      <alignment shrinkToFit="1"/>
    </xf>
    <xf numFmtId="164" fontId="44" fillId="8" borderId="13" xfId="2" applyFont="1" applyFill="1" applyBorder="1"/>
    <xf numFmtId="0" fontId="44" fillId="8" borderId="7" xfId="0" applyFont="1" applyFill="1" applyBorder="1"/>
    <xf numFmtId="0" fontId="1" fillId="8" borderId="0" xfId="0" applyFont="1" applyFill="1"/>
    <xf numFmtId="0" fontId="33" fillId="8" borderId="0" xfId="0" applyFont="1" applyFill="1" applyAlignment="1">
      <alignment vertical="center" shrinkToFit="1"/>
    </xf>
    <xf numFmtId="3" fontId="33" fillId="8" borderId="0" xfId="0" applyNumberFormat="1" applyFont="1" applyFill="1" applyAlignment="1">
      <alignment vertical="center"/>
    </xf>
    <xf numFmtId="0" fontId="33" fillId="8" borderId="7" xfId="2" applyNumberFormat="1" applyFont="1" applyFill="1" applyBorder="1"/>
    <xf numFmtId="0" fontId="44" fillId="8" borderId="9" xfId="0" applyFont="1" applyFill="1" applyBorder="1"/>
    <xf numFmtId="0" fontId="44" fillId="8" borderId="10" xfId="0" applyFont="1" applyFill="1" applyBorder="1"/>
    <xf numFmtId="0" fontId="1" fillId="10" borderId="9" xfId="0" applyFont="1" applyFill="1" applyBorder="1"/>
    <xf numFmtId="0" fontId="1" fillId="10" borderId="10" xfId="0" applyFont="1" applyFill="1" applyBorder="1"/>
    <xf numFmtId="0" fontId="1" fillId="10" borderId="11" xfId="0" applyFont="1" applyFill="1" applyBorder="1"/>
    <xf numFmtId="0" fontId="1" fillId="0" borderId="0" xfId="2" applyNumberFormat="1" applyFont="1" applyFill="1" applyAlignment="1">
      <alignment horizontal="left"/>
    </xf>
    <xf numFmtId="164" fontId="1" fillId="0" borderId="0" xfId="2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3" applyFont="1"/>
    <xf numFmtId="164" fontId="1" fillId="0" borderId="0" xfId="3" applyNumberFormat="1" applyFont="1"/>
    <xf numFmtId="165" fontId="46" fillId="0" borderId="0" xfId="1" applyFont="1" applyFill="1"/>
    <xf numFmtId="0" fontId="47" fillId="0" borderId="14" xfId="3" applyFont="1" applyBorder="1"/>
    <xf numFmtId="166" fontId="47" fillId="0" borderId="15" xfId="3" applyNumberFormat="1" applyFont="1" applyBorder="1"/>
    <xf numFmtId="164" fontId="47" fillId="0" borderId="16" xfId="3" applyNumberFormat="1" applyFont="1" applyBorder="1"/>
    <xf numFmtId="0" fontId="48" fillId="0" borderId="0" xfId="0" applyFont="1"/>
    <xf numFmtId="0" fontId="1" fillId="0" borderId="5" xfId="3" applyFont="1" applyBorder="1"/>
    <xf numFmtId="166" fontId="1" fillId="0" borderId="6" xfId="3" applyNumberFormat="1" applyFont="1" applyBorder="1"/>
    <xf numFmtId="0" fontId="1" fillId="0" borderId="5" xfId="3" applyFont="1" applyBorder="1" applyAlignment="1">
      <alignment horizontal="left"/>
    </xf>
    <xf numFmtId="0" fontId="1" fillId="0" borderId="6" xfId="3" applyFont="1" applyBorder="1" applyAlignment="1">
      <alignment horizontal="left"/>
    </xf>
    <xf numFmtId="164" fontId="1" fillId="0" borderId="38" xfId="2" applyFont="1" applyFill="1" applyBorder="1" applyAlignment="1">
      <alignment horizontal="left"/>
    </xf>
    <xf numFmtId="0" fontId="47" fillId="0" borderId="15" xfId="3" applyFont="1" applyBorder="1"/>
    <xf numFmtId="166" fontId="1" fillId="0" borderId="15" xfId="3" applyNumberFormat="1" applyFont="1" applyBorder="1"/>
    <xf numFmtId="164" fontId="47" fillId="0" borderId="15" xfId="3" applyNumberFormat="1" applyFont="1" applyBorder="1"/>
    <xf numFmtId="166" fontId="1" fillId="0" borderId="0" xfId="3" applyNumberFormat="1" applyFont="1"/>
    <xf numFmtId="0" fontId="1" fillId="0" borderId="0" xfId="3" applyFont="1" applyAlignment="1">
      <alignment horizontal="left"/>
    </xf>
    <xf numFmtId="0" fontId="1" fillId="0" borderId="0" xfId="2" applyNumberFormat="1" applyFont="1" applyFill="1" applyBorder="1" applyAlignment="1">
      <alignment horizontal="left"/>
    </xf>
    <xf numFmtId="164" fontId="1" fillId="0" borderId="38" xfId="2" applyFont="1" applyFill="1" applyBorder="1"/>
    <xf numFmtId="164" fontId="41" fillId="6" borderId="47" xfId="2" applyFont="1" applyFill="1" applyBorder="1" applyAlignment="1"/>
    <xf numFmtId="164" fontId="42" fillId="6" borderId="47" xfId="2" applyFont="1" applyFill="1" applyBorder="1" applyAlignment="1">
      <alignment horizontal="center"/>
    </xf>
    <xf numFmtId="164" fontId="42" fillId="6" borderId="47" xfId="2" applyFont="1" applyFill="1" applyBorder="1" applyAlignment="1"/>
    <xf numFmtId="164" fontId="41" fillId="6" borderId="47" xfId="2" applyFont="1" applyFill="1" applyBorder="1" applyAlignment="1">
      <alignment horizontal="right"/>
    </xf>
    <xf numFmtId="0" fontId="38" fillId="0" borderId="40" xfId="0" applyFont="1" applyBorder="1" applyAlignment="1">
      <alignment horizontal="center"/>
    </xf>
    <xf numFmtId="164" fontId="38" fillId="0" borderId="40" xfId="2" applyFont="1" applyBorder="1" applyAlignment="1">
      <alignment horizontal="center"/>
    </xf>
    <xf numFmtId="164" fontId="38" fillId="0" borderId="40" xfId="0" applyNumberFormat="1" applyFont="1" applyBorder="1" applyAlignment="1">
      <alignment horizontal="center"/>
    </xf>
    <xf numFmtId="0" fontId="1" fillId="5" borderId="7" xfId="0" applyFont="1" applyFill="1" applyBorder="1"/>
    <xf numFmtId="0" fontId="2" fillId="5" borderId="0" xfId="0" applyFont="1" applyFill="1" applyAlignment="1">
      <alignment vertical="center"/>
    </xf>
    <xf numFmtId="164" fontId="1" fillId="5" borderId="11" xfId="0" applyNumberFormat="1" applyFont="1" applyFill="1" applyBorder="1"/>
    <xf numFmtId="0" fontId="31" fillId="5" borderId="0" xfId="0" applyFont="1" applyFill="1" applyAlignment="1">
      <alignment horizontal="left"/>
    </xf>
    <xf numFmtId="0" fontId="31" fillId="5" borderId="0" xfId="0" applyFont="1" applyFill="1"/>
    <xf numFmtId="1" fontId="2" fillId="5" borderId="17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" fillId="0" borderId="5" xfId="0" applyNumberFormat="1" applyFont="1" applyBorder="1" applyAlignment="1">
      <alignment horizontal="right"/>
    </xf>
    <xf numFmtId="164" fontId="1" fillId="0" borderId="19" xfId="0" applyNumberFormat="1" applyFont="1" applyBorder="1"/>
    <xf numFmtId="49" fontId="6" fillId="0" borderId="7" xfId="0" applyNumberFormat="1" applyFont="1" applyBorder="1" applyAlignment="1">
      <alignment horizontal="center"/>
    </xf>
    <xf numFmtId="164" fontId="2" fillId="0" borderId="25" xfId="0" applyNumberFormat="1" applyFont="1" applyBorder="1"/>
    <xf numFmtId="1" fontId="2" fillId="5" borderId="14" xfId="0" applyNumberFormat="1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164" fontId="1" fillId="0" borderId="8" xfId="0" applyNumberFormat="1" applyFont="1" applyBorder="1"/>
    <xf numFmtId="0" fontId="1" fillId="0" borderId="85" xfId="0" applyFont="1" applyBorder="1" applyAlignment="1">
      <alignment horizontal="left"/>
    </xf>
    <xf numFmtId="0" fontId="1" fillId="0" borderId="86" xfId="0" applyFont="1" applyBorder="1"/>
    <xf numFmtId="0" fontId="1" fillId="0" borderId="61" xfId="0" applyFont="1" applyBorder="1" applyAlignment="1">
      <alignment horizontal="left"/>
    </xf>
    <xf numFmtId="0" fontId="1" fillId="0" borderId="64" xfId="0" applyFont="1" applyBorder="1"/>
    <xf numFmtId="164" fontId="2" fillId="0" borderId="87" xfId="0" applyNumberFormat="1" applyFont="1" applyBorder="1" applyAlignment="1">
      <alignment horizontal="center"/>
    </xf>
    <xf numFmtId="164" fontId="2" fillId="0" borderId="88" xfId="0" applyNumberFormat="1" applyFont="1" applyBorder="1" applyAlignment="1">
      <alignment horizontal="center"/>
    </xf>
    <xf numFmtId="0" fontId="1" fillId="0" borderId="90" xfId="0" applyFont="1" applyBorder="1" applyAlignment="1">
      <alignment horizontal="left"/>
    </xf>
    <xf numFmtId="164" fontId="1" fillId="0" borderId="30" xfId="2" applyFont="1" applyFill="1" applyBorder="1"/>
    <xf numFmtId="0" fontId="1" fillId="0" borderId="30" xfId="0" applyFont="1" applyBorder="1"/>
    <xf numFmtId="164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4" fillId="8" borderId="0" xfId="0" applyFont="1" applyFill="1"/>
    <xf numFmtId="49" fontId="2" fillId="0" borderId="13" xfId="0" applyNumberFormat="1" applyFont="1" applyBorder="1" applyAlignment="1">
      <alignment horizontal="right"/>
    </xf>
    <xf numFmtId="0" fontId="1" fillId="6" borderId="102" xfId="0" applyFont="1" applyFill="1" applyBorder="1"/>
    <xf numFmtId="0" fontId="1" fillId="6" borderId="103" xfId="0" applyFont="1" applyFill="1" applyBorder="1"/>
    <xf numFmtId="0" fontId="1" fillId="6" borderId="103" xfId="0" applyFont="1" applyFill="1" applyBorder="1" applyAlignment="1">
      <alignment horizontal="center"/>
    </xf>
    <xf numFmtId="0" fontId="1" fillId="6" borderId="106" xfId="0" applyFont="1" applyFill="1" applyBorder="1"/>
    <xf numFmtId="0" fontId="1" fillId="6" borderId="107" xfId="0" applyFont="1" applyFill="1" applyBorder="1"/>
    <xf numFmtId="0" fontId="1" fillId="6" borderId="101" xfId="0" applyFont="1" applyFill="1" applyBorder="1"/>
    <xf numFmtId="0" fontId="1" fillId="6" borderId="101" xfId="0" applyFont="1" applyFill="1" applyBorder="1" applyAlignment="1">
      <alignment horizontal="center"/>
    </xf>
    <xf numFmtId="0" fontId="1" fillId="6" borderId="108" xfId="0" applyFont="1" applyFill="1" applyBorder="1"/>
    <xf numFmtId="0" fontId="31" fillId="0" borderId="0" xfId="0" applyFont="1"/>
    <xf numFmtId="0" fontId="9" fillId="6" borderId="107" xfId="0" applyFont="1" applyFill="1" applyBorder="1"/>
    <xf numFmtId="1" fontId="1" fillId="6" borderId="101" xfId="0" applyNumberFormat="1" applyFont="1" applyFill="1" applyBorder="1"/>
    <xf numFmtId="2" fontId="1" fillId="6" borderId="101" xfId="0" applyNumberFormat="1" applyFont="1" applyFill="1" applyBorder="1"/>
    <xf numFmtId="0" fontId="2" fillId="6" borderId="107" xfId="0" applyFont="1" applyFill="1" applyBorder="1"/>
    <xf numFmtId="0" fontId="31" fillId="6" borderId="101" xfId="0" applyFont="1" applyFill="1" applyBorder="1"/>
    <xf numFmtId="2" fontId="31" fillId="6" borderId="101" xfId="0" applyNumberFormat="1" applyFont="1" applyFill="1" applyBorder="1"/>
    <xf numFmtId="1" fontId="1" fillId="0" borderId="5" xfId="2" applyNumberFormat="1" applyFont="1" applyFill="1" applyBorder="1" applyAlignment="1">
      <alignment shrinkToFit="1"/>
    </xf>
    <xf numFmtId="0" fontId="1" fillId="6" borderId="109" xfId="0" applyFont="1" applyFill="1" applyBorder="1"/>
    <xf numFmtId="0" fontId="1" fillId="6" borderId="110" xfId="0" applyFont="1" applyFill="1" applyBorder="1"/>
    <xf numFmtId="0" fontId="31" fillId="6" borderId="110" xfId="0" applyFont="1" applyFill="1" applyBorder="1"/>
    <xf numFmtId="2" fontId="31" fillId="6" borderId="110" xfId="0" applyNumberFormat="1" applyFont="1" applyFill="1" applyBorder="1"/>
    <xf numFmtId="0" fontId="1" fillId="6" borderId="111" xfId="0" applyFont="1" applyFill="1" applyBorder="1"/>
    <xf numFmtId="164" fontId="1" fillId="0" borderId="52" xfId="2" applyFont="1" applyFill="1" applyBorder="1"/>
    <xf numFmtId="164" fontId="1" fillId="0" borderId="30" xfId="2" applyFont="1" applyBorder="1"/>
    <xf numFmtId="164" fontId="1" fillId="0" borderId="30" xfId="0" applyNumberFormat="1" applyFont="1" applyBorder="1"/>
    <xf numFmtId="1" fontId="1" fillId="0" borderId="0" xfId="0" applyNumberFormat="1" applyFont="1" applyAlignment="1">
      <alignment horizontal="right" shrinkToFit="1"/>
    </xf>
    <xf numFmtId="1" fontId="1" fillId="0" borderId="0" xfId="0" applyNumberFormat="1" applyFont="1"/>
    <xf numFmtId="0" fontId="31" fillId="5" borderId="27" xfId="0" applyFont="1" applyFill="1" applyBorder="1"/>
    <xf numFmtId="0" fontId="31" fillId="5" borderId="28" xfId="0" applyFont="1" applyFill="1" applyBorder="1"/>
    <xf numFmtId="0" fontId="47" fillId="0" borderId="0" xfId="0" applyFont="1"/>
    <xf numFmtId="1" fontId="1" fillId="0" borderId="5" xfId="0" applyNumberFormat="1" applyFont="1" applyBorder="1" applyAlignment="1">
      <alignment shrinkToFit="1"/>
    </xf>
    <xf numFmtId="0" fontId="1" fillId="0" borderId="89" xfId="0" applyFont="1" applyBorder="1" applyAlignment="1">
      <alignment horizontal="left"/>
    </xf>
    <xf numFmtId="164" fontId="1" fillId="0" borderId="37" xfId="2" applyFont="1" applyBorder="1"/>
    <xf numFmtId="0" fontId="1" fillId="0" borderId="37" xfId="0" applyFont="1" applyBorder="1"/>
    <xf numFmtId="0" fontId="2" fillId="10" borderId="12" xfId="0" applyFont="1" applyFill="1" applyBorder="1"/>
    <xf numFmtId="0" fontId="2" fillId="10" borderId="13" xfId="0" applyFont="1" applyFill="1" applyBorder="1"/>
    <xf numFmtId="164" fontId="41" fillId="6" borderId="47" xfId="2" applyFont="1" applyFill="1" applyBorder="1" applyAlignment="1">
      <alignment horizontal="center"/>
    </xf>
    <xf numFmtId="164" fontId="2" fillId="6" borderId="47" xfId="2" applyFont="1" applyFill="1" applyBorder="1" applyAlignment="1"/>
    <xf numFmtId="164" fontId="2" fillId="6" borderId="49" xfId="2" applyFont="1" applyFill="1" applyBorder="1" applyAlignment="1"/>
    <xf numFmtId="164" fontId="41" fillId="6" borderId="47" xfId="2" applyFont="1" applyFill="1" applyBorder="1" applyAlignment="1">
      <alignment vertical="center"/>
    </xf>
    <xf numFmtId="164" fontId="15" fillId="6" borderId="48" xfId="2" applyFont="1" applyFill="1" applyBorder="1" applyAlignment="1">
      <alignment vertical="center"/>
    </xf>
    <xf numFmtId="164" fontId="15" fillId="6" borderId="47" xfId="2" applyFont="1" applyFill="1" applyBorder="1" applyAlignment="1">
      <alignment vertical="center"/>
    </xf>
    <xf numFmtId="0" fontId="2" fillId="0" borderId="40" xfId="0" applyFont="1" applyBorder="1" applyAlignment="1">
      <alignment horizontal="center"/>
    </xf>
    <xf numFmtId="164" fontId="2" fillId="0" borderId="40" xfId="2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0" fontId="2" fillId="5" borderId="27" xfId="0" applyFont="1" applyFill="1" applyBorder="1"/>
    <xf numFmtId="0" fontId="2" fillId="5" borderId="28" xfId="0" applyFont="1" applyFill="1" applyBorder="1"/>
    <xf numFmtId="49" fontId="1" fillId="0" borderId="7" xfId="0" applyNumberFormat="1" applyFont="1" applyBorder="1" applyAlignment="1">
      <alignment horizontal="right"/>
    </xf>
    <xf numFmtId="0" fontId="41" fillId="8" borderId="12" xfId="0" applyFont="1" applyFill="1" applyBorder="1" applyAlignment="1">
      <alignment horizontal="center"/>
    </xf>
    <xf numFmtId="0" fontId="32" fillId="8" borderId="13" xfId="0" applyFont="1" applyFill="1" applyBorder="1"/>
    <xf numFmtId="0" fontId="32" fillId="8" borderId="13" xfId="0" applyFont="1" applyFill="1" applyBorder="1" applyAlignment="1">
      <alignment shrinkToFit="1"/>
    </xf>
    <xf numFmtId="164" fontId="32" fillId="8" borderId="13" xfId="2" applyFont="1" applyFill="1" applyBorder="1"/>
    <xf numFmtId="0" fontId="32" fillId="8" borderId="7" xfId="0" applyFont="1" applyFill="1" applyBorder="1"/>
    <xf numFmtId="0" fontId="41" fillId="8" borderId="0" xfId="0" applyFont="1" applyFill="1" applyAlignment="1">
      <alignment vertical="center" shrinkToFit="1"/>
    </xf>
    <xf numFmtId="3" fontId="41" fillId="8" borderId="0" xfId="0" applyNumberFormat="1" applyFont="1" applyFill="1" applyAlignment="1">
      <alignment vertical="center"/>
    </xf>
    <xf numFmtId="0" fontId="32" fillId="8" borderId="0" xfId="0" applyFont="1" applyFill="1"/>
    <xf numFmtId="0" fontId="32" fillId="8" borderId="10" xfId="0" applyFont="1" applyFill="1" applyBorder="1"/>
    <xf numFmtId="164" fontId="1" fillId="6" borderId="47" xfId="2" applyFont="1" applyFill="1" applyBorder="1" applyAlignment="1"/>
    <xf numFmtId="164" fontId="43" fillId="6" borderId="47" xfId="2" applyFont="1" applyFill="1" applyBorder="1" applyAlignment="1"/>
    <xf numFmtId="164" fontId="16" fillId="6" borderId="48" xfId="2" applyFont="1" applyFill="1" applyBorder="1" applyAlignment="1"/>
    <xf numFmtId="164" fontId="16" fillId="6" borderId="47" xfId="2" applyFont="1" applyFill="1" applyBorder="1" applyAlignment="1"/>
    <xf numFmtId="164" fontId="32" fillId="6" borderId="47" xfId="2" applyFont="1" applyFill="1" applyBorder="1" applyAlignment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4" fontId="1" fillId="5" borderId="10" xfId="2" applyFont="1" applyFill="1" applyBorder="1" applyAlignment="1"/>
    <xf numFmtId="0" fontId="2" fillId="5" borderId="13" xfId="0" applyFont="1" applyFill="1" applyBorder="1" applyAlignment="1">
      <alignment horizontal="center" shrinkToFit="1"/>
    </xf>
    <xf numFmtId="164" fontId="2" fillId="5" borderId="18" xfId="2" applyFont="1" applyFill="1" applyBorder="1" applyAlignment="1">
      <alignment horizontal="center"/>
    </xf>
    <xf numFmtId="1" fontId="2" fillId="5" borderId="17" xfId="0" applyNumberFormat="1" applyFont="1" applyFill="1" applyBorder="1" applyAlignment="1">
      <alignment horizontal="center"/>
    </xf>
    <xf numFmtId="164" fontId="2" fillId="5" borderId="21" xfId="2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4" fontId="1" fillId="0" borderId="4" xfId="2" applyFont="1" applyFill="1" applyBorder="1" applyAlignment="1"/>
    <xf numFmtId="164" fontId="1" fillId="0" borderId="40" xfId="2" applyFont="1" applyFill="1" applyBorder="1" applyAlignment="1"/>
    <xf numFmtId="164" fontId="1" fillId="5" borderId="66" xfId="2" applyFont="1" applyFill="1" applyBorder="1" applyAlignment="1"/>
    <xf numFmtId="0" fontId="2" fillId="5" borderId="15" xfId="0" applyFont="1" applyFill="1" applyBorder="1" applyAlignment="1">
      <alignment shrinkToFit="1"/>
    </xf>
    <xf numFmtId="164" fontId="2" fillId="5" borderId="15" xfId="2" applyFont="1" applyFill="1" applyBorder="1" applyAlignment="1"/>
    <xf numFmtId="164" fontId="2" fillId="5" borderId="16" xfId="2" applyFont="1" applyFill="1" applyBorder="1" applyAlignment="1"/>
    <xf numFmtId="1" fontId="2" fillId="5" borderId="14" xfId="0" applyNumberFormat="1" applyFont="1" applyFill="1" applyBorder="1"/>
    <xf numFmtId="0" fontId="2" fillId="5" borderId="26" xfId="0" applyFont="1" applyFill="1" applyBorder="1"/>
    <xf numFmtId="164" fontId="1" fillId="5" borderId="69" xfId="2" applyFont="1" applyFill="1" applyBorder="1" applyAlignment="1"/>
    <xf numFmtId="164" fontId="1" fillId="0" borderId="0" xfId="2" applyFont="1" applyFill="1" applyAlignment="1"/>
    <xf numFmtId="164" fontId="1" fillId="5" borderId="13" xfId="2" applyFont="1" applyFill="1" applyBorder="1" applyAlignment="1"/>
    <xf numFmtId="164" fontId="1" fillId="0" borderId="10" xfId="2" applyFont="1" applyFill="1" applyBorder="1" applyAlignment="1"/>
    <xf numFmtId="1" fontId="1" fillId="0" borderId="23" xfId="0" applyNumberFormat="1" applyFont="1" applyBorder="1" applyAlignment="1">
      <alignment horizontal="right"/>
    </xf>
    <xf numFmtId="164" fontId="2" fillId="0" borderId="24" xfId="0" applyNumberFormat="1" applyFont="1" applyBorder="1"/>
    <xf numFmtId="0" fontId="10" fillId="0" borderId="12" xfId="0" applyFont="1" applyBorder="1"/>
    <xf numFmtId="0" fontId="10" fillId="0" borderId="18" xfId="0" applyFont="1" applyBorder="1"/>
    <xf numFmtId="0" fontId="2" fillId="5" borderId="14" xfId="0" applyFont="1" applyFill="1" applyBorder="1" applyAlignment="1">
      <alignment shrinkToFit="1"/>
    </xf>
    <xf numFmtId="49" fontId="2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4" fontId="1" fillId="0" borderId="37" xfId="2" applyFont="1" applyBorder="1" applyAlignment="1"/>
    <xf numFmtId="164" fontId="44" fillId="8" borderId="13" xfId="2" applyFont="1" applyFill="1" applyBorder="1" applyAlignment="1"/>
    <xf numFmtId="0" fontId="33" fillId="8" borderId="0" xfId="0" applyFont="1" applyFill="1" applyAlignment="1">
      <alignment shrinkToFit="1"/>
    </xf>
    <xf numFmtId="3" fontId="33" fillId="8" borderId="0" xfId="0" applyNumberFormat="1" applyFont="1" applyFill="1"/>
    <xf numFmtId="0" fontId="1" fillId="0" borderId="0" xfId="2" applyNumberFormat="1" applyFont="1" applyFill="1" applyBorder="1" applyAlignment="1">
      <alignment shrinkToFit="1"/>
    </xf>
    <xf numFmtId="0" fontId="10" fillId="0" borderId="6" xfId="0" applyFont="1" applyBorder="1"/>
    <xf numFmtId="164" fontId="1" fillId="0" borderId="40" xfId="2" applyFont="1" applyBorder="1" applyAlignment="1"/>
    <xf numFmtId="0" fontId="2" fillId="5" borderId="7" xfId="0" applyFont="1" applyFill="1" applyBorder="1"/>
    <xf numFmtId="0" fontId="2" fillId="5" borderId="0" xfId="0" applyFont="1" applyFill="1"/>
    <xf numFmtId="0" fontId="1" fillId="0" borderId="6" xfId="0" applyFont="1" applyBorder="1" applyAlignment="1">
      <alignment horizontal="left"/>
    </xf>
    <xf numFmtId="164" fontId="1" fillId="0" borderId="30" xfId="2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0" fontId="1" fillId="0" borderId="0" xfId="0" applyFont="1" applyAlignment="1">
      <alignment horizontal="left" shrinkToFit="1"/>
    </xf>
    <xf numFmtId="0" fontId="10" fillId="0" borderId="13" xfId="0" applyFont="1" applyBorder="1"/>
    <xf numFmtId="164" fontId="1" fillId="0" borderId="37" xfId="2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0" xfId="0" applyFont="1" applyAlignment="1">
      <alignment horizontal="right" shrinkToFit="1"/>
    </xf>
    <xf numFmtId="0" fontId="2" fillId="5" borderId="17" xfId="0" applyFont="1" applyFill="1" applyBorder="1" applyAlignment="1">
      <alignment horizontal="center" shrinkToFit="1"/>
    </xf>
    <xf numFmtId="0" fontId="1" fillId="0" borderId="91" xfId="0" applyFont="1" applyBorder="1" applyAlignment="1">
      <alignment horizontal="left"/>
    </xf>
    <xf numFmtId="164" fontId="1" fillId="0" borderId="92" xfId="2" applyFont="1" applyFill="1" applyBorder="1"/>
    <xf numFmtId="0" fontId="1" fillId="0" borderId="93" xfId="0" applyFont="1" applyBorder="1"/>
    <xf numFmtId="0" fontId="1" fillId="0" borderId="94" xfId="0" applyFont="1" applyBorder="1" applyAlignment="1">
      <alignment horizontal="left"/>
    </xf>
    <xf numFmtId="0" fontId="1" fillId="0" borderId="95" xfId="0" applyFont="1" applyBorder="1"/>
    <xf numFmtId="164" fontId="1" fillId="0" borderId="96" xfId="2" applyFont="1" applyFill="1" applyBorder="1"/>
    <xf numFmtId="164" fontId="2" fillId="0" borderId="98" xfId="0" applyNumberFormat="1" applyFont="1" applyBorder="1" applyAlignment="1">
      <alignment horizontal="center"/>
    </xf>
    <xf numFmtId="164" fontId="2" fillId="0" borderId="97" xfId="2" applyFont="1" applyFill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64" fontId="2" fillId="0" borderId="99" xfId="0" applyNumberFormat="1" applyFont="1" applyBorder="1" applyAlignment="1">
      <alignment horizontal="center"/>
    </xf>
    <xf numFmtId="164" fontId="2" fillId="0" borderId="100" xfId="2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6" xfId="0" applyFont="1" applyBorder="1"/>
    <xf numFmtId="0" fontId="6" fillId="0" borderId="7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1" fillId="0" borderId="89" xfId="0" applyFont="1" applyBorder="1"/>
    <xf numFmtId="164" fontId="1" fillId="0" borderId="37" xfId="2" applyFont="1" applyFill="1" applyBorder="1"/>
    <xf numFmtId="164" fontId="2" fillId="0" borderId="113" xfId="0" applyNumberFormat="1" applyFont="1" applyBorder="1" applyAlignment="1">
      <alignment horizontal="center"/>
    </xf>
    <xf numFmtId="164" fontId="2" fillId="0" borderId="114" xfId="0" applyNumberFormat="1" applyFont="1" applyBorder="1" applyAlignment="1">
      <alignment horizontal="center"/>
    </xf>
    <xf numFmtId="0" fontId="31" fillId="10" borderId="13" xfId="0" applyFont="1" applyFill="1" applyBorder="1"/>
    <xf numFmtId="164" fontId="10" fillId="0" borderId="0" xfId="2" applyFont="1"/>
    <xf numFmtId="164" fontId="10" fillId="0" borderId="0" xfId="0" applyNumberFormat="1" applyFont="1"/>
    <xf numFmtId="0" fontId="31" fillId="6" borderId="48" xfId="0" applyFont="1" applyFill="1" applyBorder="1" applyAlignment="1">
      <alignment horizontal="left"/>
    </xf>
    <xf numFmtId="0" fontId="31" fillId="6" borderId="47" xfId="0" applyFont="1" applyFill="1" applyBorder="1" applyAlignment="1">
      <alignment horizontal="left"/>
    </xf>
    <xf numFmtId="164" fontId="14" fillId="6" borderId="47" xfId="2" applyFont="1" applyFill="1" applyBorder="1" applyAlignment="1"/>
    <xf numFmtId="164" fontId="10" fillId="6" borderId="47" xfId="2" applyFont="1" applyFill="1" applyBorder="1"/>
    <xf numFmtId="0" fontId="10" fillId="6" borderId="47" xfId="0" applyFont="1" applyFill="1" applyBorder="1"/>
    <xf numFmtId="0" fontId="10" fillId="6" borderId="49" xfId="0" applyFont="1" applyFill="1" applyBorder="1"/>
    <xf numFmtId="0" fontId="53" fillId="6" borderId="47" xfId="0" applyFont="1" applyFill="1" applyBorder="1"/>
    <xf numFmtId="164" fontId="42" fillId="6" borderId="47" xfId="2" applyFont="1" applyFill="1" applyBorder="1" applyAlignment="1">
      <alignment vertical="center"/>
    </xf>
    <xf numFmtId="164" fontId="14" fillId="6" borderId="48" xfId="2" applyFont="1" applyFill="1" applyBorder="1" applyAlignment="1">
      <alignment vertical="center"/>
    </xf>
    <xf numFmtId="164" fontId="14" fillId="6" borderId="47" xfId="2" applyFont="1" applyFill="1" applyBorder="1" applyAlignment="1">
      <alignment vertical="center"/>
    </xf>
    <xf numFmtId="164" fontId="53" fillId="6" borderId="47" xfId="2" applyFont="1" applyFill="1" applyBorder="1"/>
    <xf numFmtId="1" fontId="53" fillId="6" borderId="47" xfId="0" applyNumberFormat="1" applyFont="1" applyFill="1" applyBorder="1" applyAlignment="1">
      <alignment horizontal="right"/>
    </xf>
    <xf numFmtId="164" fontId="42" fillId="6" borderId="47" xfId="2" applyFont="1" applyFill="1" applyBorder="1" applyAlignment="1">
      <alignment horizontal="right"/>
    </xf>
    <xf numFmtId="37" fontId="14" fillId="6" borderId="47" xfId="2" applyNumberFormat="1" applyFont="1" applyFill="1" applyBorder="1" applyAlignment="1">
      <alignment horizontal="center"/>
    </xf>
    <xf numFmtId="1" fontId="14" fillId="6" borderId="47" xfId="0" applyNumberFormat="1" applyFont="1" applyFill="1" applyBorder="1" applyAlignment="1">
      <alignment horizontal="center"/>
    </xf>
    <xf numFmtId="164" fontId="19" fillId="6" borderId="47" xfId="2" applyFont="1" applyFill="1" applyBorder="1" applyAlignment="1">
      <alignment horizontal="left"/>
    </xf>
    <xf numFmtId="0" fontId="10" fillId="7" borderId="47" xfId="0" applyFont="1" applyFill="1" applyBorder="1"/>
    <xf numFmtId="0" fontId="31" fillId="10" borderId="7" xfId="0" applyFont="1" applyFill="1" applyBorder="1" applyAlignment="1">
      <alignment horizontal="left"/>
    </xf>
    <xf numFmtId="0" fontId="31" fillId="10" borderId="0" xfId="0" applyFont="1" applyFill="1" applyAlignment="1">
      <alignment horizontal="left"/>
    </xf>
    <xf numFmtId="164" fontId="31" fillId="10" borderId="0" xfId="2" applyFont="1" applyFill="1" applyBorder="1" applyAlignment="1">
      <alignment horizontal="left"/>
    </xf>
    <xf numFmtId="0" fontId="10" fillId="10" borderId="8" xfId="0" applyFont="1" applyFill="1" applyBorder="1"/>
    <xf numFmtId="0" fontId="31" fillId="0" borderId="40" xfId="0" applyFont="1" applyBorder="1" applyAlignment="1">
      <alignment horizontal="center"/>
    </xf>
    <xf numFmtId="164" fontId="31" fillId="0" borderId="40" xfId="2" applyFont="1" applyBorder="1" applyAlignment="1">
      <alignment horizontal="center"/>
    </xf>
    <xf numFmtId="164" fontId="31" fillId="0" borderId="40" xfId="0" applyNumberFormat="1" applyFont="1" applyBorder="1" applyAlignment="1">
      <alignment horizontal="center"/>
    </xf>
    <xf numFmtId="0" fontId="10" fillId="5" borderId="7" xfId="0" applyFont="1" applyFill="1" applyBorder="1"/>
    <xf numFmtId="0" fontId="10" fillId="5" borderId="0" xfId="0" applyFont="1" applyFill="1"/>
    <xf numFmtId="0" fontId="10" fillId="0" borderId="40" xfId="0" applyFont="1" applyBorder="1" applyAlignment="1">
      <alignment horizontal="left"/>
    </xf>
    <xf numFmtId="164" fontId="10" fillId="0" borderId="40" xfId="2" applyFont="1" applyBorder="1"/>
    <xf numFmtId="0" fontId="10" fillId="0" borderId="40" xfId="0" applyFont="1" applyBorder="1"/>
    <xf numFmtId="164" fontId="10" fillId="0" borderId="40" xfId="0" applyNumberFormat="1" applyFont="1" applyBorder="1"/>
    <xf numFmtId="0" fontId="31" fillId="5" borderId="7" xfId="0" applyFont="1" applyFill="1" applyBorder="1" applyAlignment="1">
      <alignment vertical="center"/>
    </xf>
    <xf numFmtId="0" fontId="31" fillId="5" borderId="0" xfId="0" applyFont="1" applyFill="1" applyAlignment="1">
      <alignment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164" fontId="10" fillId="5" borderId="10" xfId="2" applyFont="1" applyFill="1" applyBorder="1"/>
    <xf numFmtId="164" fontId="10" fillId="5" borderId="11" xfId="0" applyNumberFormat="1" applyFont="1" applyFill="1" applyBorder="1"/>
    <xf numFmtId="0" fontId="31" fillId="5" borderId="17" xfId="0" applyFont="1" applyFill="1" applyBorder="1" applyAlignment="1">
      <alignment horizontal="center" vertical="center" shrinkToFit="1"/>
    </xf>
    <xf numFmtId="0" fontId="31" fillId="5" borderId="13" xfId="0" applyFont="1" applyFill="1" applyBorder="1" applyAlignment="1">
      <alignment horizontal="center" vertical="center" shrinkToFit="1"/>
    </xf>
    <xf numFmtId="164" fontId="31" fillId="5" borderId="13" xfId="2" applyFont="1" applyFill="1" applyBorder="1" applyAlignment="1">
      <alignment horizontal="center" vertical="center"/>
    </xf>
    <xf numFmtId="164" fontId="31" fillId="5" borderId="18" xfId="2" applyFont="1" applyFill="1" applyBorder="1" applyAlignment="1">
      <alignment horizontal="center" vertical="center"/>
    </xf>
    <xf numFmtId="1" fontId="31" fillId="5" borderId="17" xfId="0" applyNumberFormat="1" applyFont="1" applyFill="1" applyBorder="1" applyAlignment="1">
      <alignment horizontal="center" vertical="center"/>
    </xf>
    <xf numFmtId="164" fontId="31" fillId="5" borderId="21" xfId="2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49" fontId="31" fillId="0" borderId="7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right"/>
    </xf>
    <xf numFmtId="0" fontId="10" fillId="0" borderId="5" xfId="2" applyNumberFormat="1" applyFont="1" applyFill="1" applyBorder="1" applyAlignment="1">
      <alignment shrinkToFit="1"/>
    </xf>
    <xf numFmtId="0" fontId="10" fillId="0" borderId="0" xfId="0" applyFont="1" applyAlignment="1">
      <alignment horizontal="center" shrinkToFit="1"/>
    </xf>
    <xf numFmtId="164" fontId="10" fillId="0" borderId="0" xfId="2" applyFont="1" applyFill="1" applyBorder="1" applyAlignment="1">
      <alignment horizontal="center"/>
    </xf>
    <xf numFmtId="164" fontId="10" fillId="0" borderId="6" xfId="2" applyFont="1" applyFill="1" applyBorder="1" applyAlignment="1">
      <alignment horizontal="center"/>
    </xf>
    <xf numFmtId="1" fontId="10" fillId="0" borderId="5" xfId="0" applyNumberFormat="1" applyFont="1" applyBorder="1" applyAlignment="1">
      <alignment horizontal="right"/>
    </xf>
    <xf numFmtId="164" fontId="10" fillId="0" borderId="0" xfId="2" applyFont="1" applyFill="1" applyBorder="1" applyAlignment="1">
      <alignment horizontal="right"/>
    </xf>
    <xf numFmtId="164" fontId="10" fillId="0" borderId="4" xfId="2" applyFont="1" applyFill="1" applyBorder="1"/>
    <xf numFmtId="164" fontId="10" fillId="0" borderId="19" xfId="0" applyNumberFormat="1" applyFont="1" applyBorder="1"/>
    <xf numFmtId="0" fontId="10" fillId="0" borderId="55" xfId="0" applyFont="1" applyBorder="1" applyAlignment="1">
      <alignment horizontal="left"/>
    </xf>
    <xf numFmtId="164" fontId="10" fillId="0" borderId="40" xfId="2" applyFont="1" applyFill="1" applyBorder="1"/>
    <xf numFmtId="0" fontId="10" fillId="0" borderId="56" xfId="0" applyFont="1" applyBorder="1"/>
    <xf numFmtId="164" fontId="31" fillId="0" borderId="74" xfId="0" applyNumberFormat="1" applyFont="1" applyBorder="1" applyAlignment="1">
      <alignment horizontal="center"/>
    </xf>
    <xf numFmtId="164" fontId="31" fillId="0" borderId="75" xfId="0" applyNumberFormat="1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49" fontId="10" fillId="0" borderId="7" xfId="0" applyNumberFormat="1" applyFont="1" applyBorder="1" applyAlignment="1">
      <alignment horizontal="right"/>
    </xf>
    <xf numFmtId="164" fontId="10" fillId="0" borderId="0" xfId="2" applyFont="1" applyFill="1"/>
    <xf numFmtId="0" fontId="10" fillId="0" borderId="85" xfId="0" applyFont="1" applyBorder="1" applyAlignment="1">
      <alignment horizontal="left"/>
    </xf>
    <xf numFmtId="164" fontId="10" fillId="0" borderId="52" xfId="2" applyFont="1" applyFill="1" applyBorder="1"/>
    <xf numFmtId="0" fontId="10" fillId="0" borderId="86" xfId="0" applyFont="1" applyBorder="1"/>
    <xf numFmtId="0" fontId="10" fillId="0" borderId="61" xfId="0" applyFont="1" applyBorder="1" applyAlignment="1">
      <alignment horizontal="left"/>
    </xf>
    <xf numFmtId="164" fontId="10" fillId="0" borderId="54" xfId="2" applyFont="1" applyFill="1" applyBorder="1"/>
    <xf numFmtId="0" fontId="10" fillId="0" borderId="64" xfId="0" applyFont="1" applyBorder="1"/>
    <xf numFmtId="49" fontId="31" fillId="0" borderId="7" xfId="0" applyNumberFormat="1" applyFont="1" applyBorder="1" applyAlignment="1">
      <alignment horizontal="right"/>
    </xf>
    <xf numFmtId="0" fontId="10" fillId="0" borderId="5" xfId="0" applyFont="1" applyBorder="1" applyAlignment="1">
      <alignment shrinkToFit="1"/>
    </xf>
    <xf numFmtId="164" fontId="31" fillId="0" borderId="0" xfId="2" applyFont="1" applyFill="1" applyBorder="1" applyAlignment="1">
      <alignment horizontal="right"/>
    </xf>
    <xf numFmtId="164" fontId="31" fillId="0" borderId="25" xfId="0" applyNumberFormat="1" applyFont="1" applyBorder="1"/>
    <xf numFmtId="0" fontId="10" fillId="5" borderId="65" xfId="0" applyFont="1" applyFill="1" applyBorder="1" applyAlignment="1">
      <alignment horizontal="left"/>
    </xf>
    <xf numFmtId="164" fontId="10" fillId="5" borderId="66" xfId="2" applyFont="1" applyFill="1" applyBorder="1"/>
    <xf numFmtId="0" fontId="10" fillId="5" borderId="67" xfId="0" applyFont="1" applyFill="1" applyBorder="1"/>
    <xf numFmtId="0" fontId="31" fillId="5" borderId="14" xfId="0" applyFont="1" applyFill="1" applyBorder="1" applyAlignment="1">
      <alignment vertical="center" shrinkToFit="1"/>
    </xf>
    <xf numFmtId="0" fontId="31" fillId="5" borderId="15" xfId="0" applyFont="1" applyFill="1" applyBorder="1" applyAlignment="1">
      <alignment vertical="center" shrinkToFit="1"/>
    </xf>
    <xf numFmtId="164" fontId="31" fillId="5" borderId="15" xfId="2" applyFont="1" applyFill="1" applyBorder="1" applyAlignment="1">
      <alignment vertical="center"/>
    </xf>
    <xf numFmtId="164" fontId="31" fillId="5" borderId="16" xfId="2" applyFont="1" applyFill="1" applyBorder="1" applyAlignment="1">
      <alignment vertical="center"/>
    </xf>
    <xf numFmtId="1" fontId="31" fillId="5" borderId="14" xfId="0" applyNumberFormat="1" applyFont="1" applyFill="1" applyBorder="1" applyAlignment="1">
      <alignment vertical="center"/>
    </xf>
    <xf numFmtId="0" fontId="31" fillId="5" borderId="26" xfId="0" applyFont="1" applyFill="1" applyBorder="1" applyAlignment="1">
      <alignment vertical="center"/>
    </xf>
    <xf numFmtId="0" fontId="10" fillId="5" borderId="68" xfId="0" applyFont="1" applyFill="1" applyBorder="1" applyAlignment="1">
      <alignment horizontal="left"/>
    </xf>
    <xf numFmtId="164" fontId="10" fillId="5" borderId="69" xfId="2" applyFont="1" applyFill="1" applyBorder="1"/>
    <xf numFmtId="0" fontId="10" fillId="5" borderId="70" xfId="0" applyFont="1" applyFill="1" applyBorder="1"/>
    <xf numFmtId="164" fontId="10" fillId="0" borderId="0" xfId="2" applyFont="1" applyAlignment="1">
      <alignment horizontal="left"/>
    </xf>
    <xf numFmtId="164" fontId="10" fillId="0" borderId="8" xfId="0" applyNumberFormat="1" applyFont="1" applyBorder="1"/>
    <xf numFmtId="164" fontId="10" fillId="5" borderId="13" xfId="2" applyFont="1" applyFill="1" applyBorder="1"/>
    <xf numFmtId="0" fontId="10" fillId="5" borderId="71" xfId="0" applyFont="1" applyFill="1" applyBorder="1"/>
    <xf numFmtId="0" fontId="31" fillId="0" borderId="77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49" fontId="31" fillId="0" borderId="12" xfId="0" applyNumberFormat="1" applyFont="1" applyBorder="1" applyAlignment="1">
      <alignment horizontal="center"/>
    </xf>
    <xf numFmtId="49" fontId="10" fillId="0" borderId="13" xfId="0" applyNumberFormat="1" applyFont="1" applyBorder="1" applyAlignment="1">
      <alignment horizontal="left"/>
    </xf>
    <xf numFmtId="164" fontId="10" fillId="0" borderId="0" xfId="2" applyFont="1" applyFill="1" applyBorder="1"/>
    <xf numFmtId="0" fontId="10" fillId="0" borderId="32" xfId="0" applyFont="1" applyBorder="1"/>
    <xf numFmtId="164" fontId="10" fillId="0" borderId="5" xfId="0" applyNumberFormat="1" applyFont="1" applyBorder="1"/>
    <xf numFmtId="0" fontId="10" fillId="0" borderId="33" xfId="0" applyFont="1" applyBorder="1" applyAlignment="1">
      <alignment horizontal="left"/>
    </xf>
    <xf numFmtId="164" fontId="31" fillId="0" borderId="112" xfId="0" applyNumberFormat="1" applyFont="1" applyBorder="1" applyAlignment="1">
      <alignment horizontal="center"/>
    </xf>
    <xf numFmtId="0" fontId="10" fillId="0" borderId="94" xfId="0" applyFont="1" applyBorder="1" applyAlignment="1">
      <alignment horizontal="left"/>
    </xf>
    <xf numFmtId="0" fontId="10" fillId="0" borderId="89" xfId="0" applyFont="1" applyBorder="1"/>
    <xf numFmtId="164" fontId="10" fillId="0" borderId="37" xfId="2" applyFont="1" applyFill="1" applyBorder="1"/>
    <xf numFmtId="0" fontId="10" fillId="0" borderId="37" xfId="0" applyFont="1" applyBorder="1"/>
    <xf numFmtId="164" fontId="31" fillId="0" borderId="113" xfId="0" applyNumberFormat="1" applyFont="1" applyBorder="1" applyAlignment="1">
      <alignment horizontal="center"/>
    </xf>
    <xf numFmtId="164" fontId="31" fillId="0" borderId="114" xfId="0" applyNumberFormat="1" applyFont="1" applyBorder="1" applyAlignment="1">
      <alignment horizontal="center"/>
    </xf>
    <xf numFmtId="0" fontId="31" fillId="0" borderId="80" xfId="0" applyFont="1" applyBorder="1" applyAlignment="1">
      <alignment horizontal="center"/>
    </xf>
    <xf numFmtId="0" fontId="42" fillId="8" borderId="12" xfId="0" applyFont="1" applyFill="1" applyBorder="1" applyAlignment="1">
      <alignment horizontal="center"/>
    </xf>
    <xf numFmtId="0" fontId="53" fillId="8" borderId="13" xfId="0" applyFont="1" applyFill="1" applyBorder="1"/>
    <xf numFmtId="0" fontId="53" fillId="8" borderId="13" xfId="0" applyFont="1" applyFill="1" applyBorder="1" applyAlignment="1">
      <alignment shrinkToFit="1"/>
    </xf>
    <xf numFmtId="164" fontId="53" fillId="8" borderId="13" xfId="2" applyFont="1" applyFill="1" applyBorder="1"/>
    <xf numFmtId="0" fontId="53" fillId="8" borderId="7" xfId="0" applyFont="1" applyFill="1" applyBorder="1"/>
    <xf numFmtId="0" fontId="10" fillId="8" borderId="0" xfId="0" applyFont="1" applyFill="1"/>
    <xf numFmtId="0" fontId="42" fillId="8" borderId="0" xfId="0" applyFont="1" applyFill="1" applyAlignment="1">
      <alignment vertical="center" shrinkToFit="1"/>
    </xf>
    <xf numFmtId="3" fontId="42" fillId="8" borderId="0" xfId="0" applyNumberFormat="1" applyFont="1" applyFill="1" applyAlignment="1">
      <alignment vertical="center"/>
    </xf>
    <xf numFmtId="0" fontId="53" fillId="8" borderId="0" xfId="0" applyFont="1" applyFill="1"/>
    <xf numFmtId="0" fontId="53" fillId="8" borderId="10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0" borderId="11" xfId="0" applyFont="1" applyFill="1" applyBorder="1"/>
    <xf numFmtId="0" fontId="10" fillId="0" borderId="0" xfId="0" applyFont="1" applyAlignment="1">
      <alignment horizontal="left" shrinkToFit="1"/>
    </xf>
    <xf numFmtId="0" fontId="10" fillId="0" borderId="0" xfId="0" applyFont="1" applyAlignment="1">
      <alignment shrinkToFit="1"/>
    </xf>
    <xf numFmtId="0" fontId="10" fillId="0" borderId="0" xfId="0" applyFont="1" applyAlignment="1">
      <alignment horizontal="right"/>
    </xf>
    <xf numFmtId="0" fontId="31" fillId="5" borderId="0" xfId="0" applyFont="1" applyFill="1" applyAlignment="1">
      <alignment horizontal="center"/>
    </xf>
    <xf numFmtId="0" fontId="1" fillId="0" borderId="29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165" fontId="0" fillId="0" borderId="0" xfId="1" applyFont="1"/>
    <xf numFmtId="164" fontId="1" fillId="0" borderId="32" xfId="0" applyNumberFormat="1" applyFont="1" applyBorder="1"/>
    <xf numFmtId="164" fontId="2" fillId="0" borderId="31" xfId="0" applyNumberFormat="1" applyFont="1" applyBorder="1"/>
    <xf numFmtId="164" fontId="1" fillId="0" borderId="76" xfId="0" applyNumberFormat="1" applyFont="1" applyBorder="1"/>
    <xf numFmtId="164" fontId="1" fillId="0" borderId="80" xfId="0" applyNumberFormat="1" applyFont="1" applyBorder="1"/>
    <xf numFmtId="164" fontId="1" fillId="5" borderId="72" xfId="0" applyNumberFormat="1" applyFont="1" applyFill="1" applyBorder="1"/>
    <xf numFmtId="0" fontId="2" fillId="5" borderId="169" xfId="0" applyFont="1" applyFill="1" applyBorder="1" applyAlignment="1">
      <alignment vertical="center"/>
    </xf>
    <xf numFmtId="164" fontId="2" fillId="0" borderId="112" xfId="0" applyNumberFormat="1" applyFont="1" applyBorder="1" applyAlignment="1">
      <alignment horizontal="center"/>
    </xf>
    <xf numFmtId="164" fontId="1" fillId="0" borderId="53" xfId="0" applyNumberFormat="1" applyFont="1" applyBorder="1"/>
    <xf numFmtId="164" fontId="1" fillId="0" borderId="41" xfId="0" applyNumberFormat="1" applyFont="1" applyBorder="1"/>
    <xf numFmtId="0" fontId="1" fillId="0" borderId="170" xfId="0" applyFont="1" applyBorder="1"/>
    <xf numFmtId="0" fontId="1" fillId="0" borderId="171" xfId="0" applyFont="1" applyBorder="1"/>
    <xf numFmtId="0" fontId="1" fillId="0" borderId="172" xfId="0" applyFont="1" applyBorder="1"/>
    <xf numFmtId="0" fontId="1" fillId="0" borderId="173" xfId="0" applyFont="1" applyBorder="1"/>
    <xf numFmtId="172" fontId="1" fillId="0" borderId="5" xfId="2" applyNumberFormat="1" applyFont="1" applyFill="1" applyBorder="1" applyAlignment="1">
      <alignment shrinkToFit="1"/>
    </xf>
    <xf numFmtId="14" fontId="0" fillId="0" borderId="0" xfId="0" applyNumberFormat="1"/>
    <xf numFmtId="0" fontId="0" fillId="0" borderId="0" xfId="1" applyNumberFormat="1" applyFont="1"/>
    <xf numFmtId="164" fontId="33" fillId="8" borderId="7" xfId="2" applyFont="1" applyFill="1" applyBorder="1"/>
    <xf numFmtId="44" fontId="33" fillId="8" borderId="7" xfId="2" applyNumberFormat="1" applyFont="1" applyFill="1" applyBorder="1"/>
    <xf numFmtId="44" fontId="41" fillId="8" borderId="7" xfId="2" applyNumberFormat="1" applyFont="1" applyFill="1" applyBorder="1"/>
    <xf numFmtId="44" fontId="33" fillId="8" borderId="7" xfId="2" applyNumberFormat="1" applyFont="1" applyFill="1" applyBorder="1" applyAlignment="1"/>
    <xf numFmtId="44" fontId="42" fillId="8" borderId="7" xfId="2" applyNumberFormat="1" applyFont="1" applyFill="1" applyBorder="1"/>
    <xf numFmtId="0" fontId="33" fillId="8" borderId="7" xfId="2" applyNumberFormat="1" applyFont="1" applyFill="1" applyBorder="1" applyAlignment="1"/>
    <xf numFmtId="2" fontId="1" fillId="0" borderId="0" xfId="0" applyNumberFormat="1" applyFont="1"/>
    <xf numFmtId="164" fontId="2" fillId="0" borderId="0" xfId="2" applyFont="1"/>
    <xf numFmtId="0" fontId="6" fillId="0" borderId="0" xfId="0" applyFont="1" applyAlignment="1">
      <alignment horizontal="left"/>
    </xf>
    <xf numFmtId="0" fontId="56" fillId="14" borderId="0" xfId="0" applyFont="1" applyFill="1" applyAlignment="1">
      <alignment horizontal="left" wrapText="1"/>
    </xf>
    <xf numFmtId="0" fontId="1" fillId="14" borderId="5" xfId="2" applyNumberFormat="1" applyFont="1" applyFill="1" applyBorder="1" applyAlignment="1">
      <alignment shrinkToFit="1"/>
    </xf>
    <xf numFmtId="0" fontId="1" fillId="14" borderId="0" xfId="0" applyFont="1" applyFill="1" applyAlignment="1">
      <alignment horizontal="center" shrinkToFit="1"/>
    </xf>
    <xf numFmtId="0" fontId="23" fillId="14" borderId="0" xfId="0" applyFont="1" applyFill="1" applyAlignment="1">
      <alignment horizontal="left"/>
    </xf>
    <xf numFmtId="0" fontId="55" fillId="14" borderId="0" xfId="0" applyFont="1" applyFill="1" applyAlignment="1">
      <alignment horizontal="left"/>
    </xf>
    <xf numFmtId="0" fontId="1" fillId="14" borderId="0" xfId="0" applyFont="1" applyFill="1" applyAlignment="1">
      <alignment horizontal="left" indent="1"/>
    </xf>
    <xf numFmtId="0" fontId="10" fillId="14" borderId="0" xfId="0" applyFont="1" applyFill="1"/>
    <xf numFmtId="0" fontId="48" fillId="14" borderId="0" xfId="0" applyFont="1" applyFill="1" applyAlignment="1">
      <alignment horizontal="left"/>
    </xf>
    <xf numFmtId="0" fontId="6" fillId="14" borderId="0" xfId="0" applyFont="1" applyFill="1" applyAlignment="1">
      <alignment horizontal="left" indent="1"/>
    </xf>
    <xf numFmtId="0" fontId="1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1" fillId="14" borderId="0" xfId="0" applyFont="1" applyFill="1" applyAlignment="1">
      <alignment horizontal="right"/>
    </xf>
    <xf numFmtId="49" fontId="1" fillId="14" borderId="0" xfId="0" applyNumberFormat="1" applyFont="1" applyFill="1" applyAlignment="1">
      <alignment horizontal="left"/>
    </xf>
    <xf numFmtId="0" fontId="10" fillId="14" borderId="13" xfId="0" applyFont="1" applyFill="1" applyBorder="1" applyAlignment="1">
      <alignment horizontal="center"/>
    </xf>
    <xf numFmtId="0" fontId="10" fillId="14" borderId="18" xfId="0" applyFont="1" applyFill="1" applyBorder="1"/>
    <xf numFmtId="0" fontId="1" fillId="14" borderId="0" xfId="2" applyNumberFormat="1" applyFont="1" applyFill="1" applyBorder="1" applyAlignment="1">
      <alignment shrinkToFit="1"/>
    </xf>
    <xf numFmtId="0" fontId="10" fillId="14" borderId="0" xfId="0" applyFont="1" applyFill="1" applyAlignment="1">
      <alignment horizontal="center"/>
    </xf>
    <xf numFmtId="0" fontId="48" fillId="14" borderId="0" xfId="0" applyFont="1" applyFill="1"/>
    <xf numFmtId="0" fontId="48" fillId="14" borderId="0" xfId="0" applyFont="1" applyFill="1" applyAlignment="1">
      <alignment horizontal="left" indent="1"/>
    </xf>
    <xf numFmtId="0" fontId="1" fillId="14" borderId="0" xfId="0" applyFont="1" applyFill="1" applyAlignment="1">
      <alignment horizontal="left" wrapText="1" indent="1"/>
    </xf>
    <xf numFmtId="49" fontId="1" fillId="14" borderId="0" xfId="0" applyNumberFormat="1" applyFont="1" applyFill="1" applyAlignment="1">
      <alignment horizontal="right"/>
    </xf>
    <xf numFmtId="49" fontId="2" fillId="14" borderId="0" xfId="0" applyNumberFormat="1" applyFont="1" applyFill="1" applyAlignment="1">
      <alignment horizontal="left"/>
    </xf>
    <xf numFmtId="49" fontId="1" fillId="14" borderId="13" xfId="0" applyNumberFormat="1" applyFont="1" applyFill="1" applyBorder="1" applyAlignment="1">
      <alignment horizontal="left"/>
    </xf>
    <xf numFmtId="2" fontId="1" fillId="14" borderId="5" xfId="2" applyNumberFormat="1" applyFont="1" applyFill="1" applyBorder="1" applyAlignment="1">
      <alignment shrinkToFit="1"/>
    </xf>
    <xf numFmtId="1" fontId="1" fillId="14" borderId="5" xfId="2" applyNumberFormat="1" applyFont="1" applyFill="1" applyBorder="1" applyAlignment="1">
      <alignment shrinkToFit="1"/>
    </xf>
    <xf numFmtId="49" fontId="1" fillId="14" borderId="0" xfId="0" applyNumberFormat="1" applyFont="1" applyFill="1" applyAlignment="1">
      <alignment horizontal="left" wrapText="1"/>
    </xf>
    <xf numFmtId="164" fontId="1" fillId="14" borderId="0" xfId="2" applyFont="1" applyFill="1" applyBorder="1" applyAlignment="1">
      <alignment shrinkToFit="1"/>
    </xf>
    <xf numFmtId="49" fontId="1" fillId="3" borderId="0" xfId="0" applyNumberFormat="1" applyFont="1" applyFill="1" applyAlignment="1">
      <alignment horizontal="left"/>
    </xf>
    <xf numFmtId="0" fontId="1" fillId="3" borderId="5" xfId="2" applyNumberFormat="1" applyFont="1" applyFill="1" applyBorder="1" applyAlignment="1">
      <alignment shrinkToFit="1"/>
    </xf>
    <xf numFmtId="0" fontId="1" fillId="3" borderId="0" xfId="0" applyFont="1" applyFill="1" applyAlignment="1">
      <alignment horizontal="center" shrinkToFit="1"/>
    </xf>
    <xf numFmtId="1" fontId="1" fillId="3" borderId="5" xfId="2" applyNumberFormat="1" applyFont="1" applyFill="1" applyBorder="1" applyAlignment="1">
      <alignment shrinkToFit="1"/>
    </xf>
    <xf numFmtId="0" fontId="47" fillId="0" borderId="55" xfId="0" applyFont="1" applyBorder="1" applyAlignment="1">
      <alignment horizontal="left"/>
    </xf>
    <xf numFmtId="0" fontId="1" fillId="3" borderId="0" xfId="2" applyNumberFormat="1" applyFont="1" applyFill="1" applyBorder="1" applyAlignment="1">
      <alignment horizontal="center"/>
    </xf>
    <xf numFmtId="0" fontId="47" fillId="0" borderId="0" xfId="0" applyFont="1" applyAlignment="1">
      <alignment horizontal="left"/>
    </xf>
    <xf numFmtId="1" fontId="1" fillId="3" borderId="5" xfId="0" applyNumberFormat="1" applyFont="1" applyFill="1" applyBorder="1" applyAlignment="1">
      <alignment horizontal="right"/>
    </xf>
    <xf numFmtId="164" fontId="2" fillId="3" borderId="30" xfId="0" applyNumberFormat="1" applyFont="1" applyFill="1" applyBorder="1"/>
    <xf numFmtId="0" fontId="1" fillId="3" borderId="5" xfId="0" applyFont="1" applyFill="1" applyBorder="1" applyAlignment="1">
      <alignment shrinkToFit="1"/>
    </xf>
    <xf numFmtId="164" fontId="1" fillId="3" borderId="0" xfId="2" applyFont="1" applyFill="1" applyBorder="1" applyAlignment="1">
      <alignment horizontal="center"/>
    </xf>
    <xf numFmtId="0" fontId="1" fillId="0" borderId="85" xfId="0" applyFont="1" applyBorder="1" applyAlignment="1">
      <alignment horizontal="left" wrapText="1"/>
    </xf>
    <xf numFmtId="164" fontId="2" fillId="0" borderId="174" xfId="2" applyFont="1" applyBorder="1" applyAlignment="1">
      <alignment horizontal="left"/>
    </xf>
    <xf numFmtId="0" fontId="1" fillId="3" borderId="86" xfId="0" applyFont="1" applyFill="1" applyBorder="1" applyAlignment="1">
      <alignment wrapText="1"/>
    </xf>
    <xf numFmtId="0" fontId="1" fillId="3" borderId="56" xfId="0" applyFont="1" applyFill="1" applyBorder="1" applyAlignment="1">
      <alignment wrapText="1"/>
    </xf>
    <xf numFmtId="0" fontId="10" fillId="15" borderId="6" xfId="0" applyFont="1" applyFill="1" applyBorder="1"/>
    <xf numFmtId="0" fontId="1" fillId="15" borderId="0" xfId="2" applyNumberFormat="1" applyFont="1" applyFill="1" applyBorder="1" applyAlignment="1">
      <alignment shrinkToFit="1"/>
    </xf>
    <xf numFmtId="0" fontId="1" fillId="15" borderId="0" xfId="0" applyFont="1" applyFill="1" applyAlignment="1">
      <alignment horizontal="center" shrinkToFit="1"/>
    </xf>
    <xf numFmtId="164" fontId="1" fillId="15" borderId="4" xfId="2" applyFont="1" applyFill="1" applyBorder="1" applyAlignment="1"/>
    <xf numFmtId="0" fontId="1" fillId="3" borderId="56" xfId="0" applyFont="1" applyFill="1" applyBorder="1"/>
    <xf numFmtId="0" fontId="1" fillId="16" borderId="0" xfId="0" applyFont="1" applyFill="1" applyAlignment="1">
      <alignment horizontal="left"/>
    </xf>
    <xf numFmtId="164" fontId="1" fillId="16" borderId="0" xfId="2" applyFont="1" applyFill="1" applyAlignment="1">
      <alignment horizontal="left"/>
    </xf>
    <xf numFmtId="0" fontId="10" fillId="16" borderId="6" xfId="0" applyFont="1" applyFill="1" applyBorder="1"/>
    <xf numFmtId="0" fontId="1" fillId="16" borderId="0" xfId="2" applyNumberFormat="1" applyFont="1" applyFill="1" applyBorder="1" applyAlignment="1">
      <alignment shrinkToFit="1"/>
    </xf>
    <xf numFmtId="0" fontId="1" fillId="16" borderId="0" xfId="0" applyFont="1" applyFill="1" applyAlignment="1">
      <alignment horizontal="center" shrinkToFit="1"/>
    </xf>
    <xf numFmtId="164" fontId="2" fillId="0" borderId="54" xfId="2" applyFont="1" applyFill="1" applyBorder="1" applyAlignment="1"/>
    <xf numFmtId="164" fontId="1" fillId="0" borderId="66" xfId="2" applyFont="1" applyFill="1" applyBorder="1" applyAlignment="1"/>
    <xf numFmtId="164" fontId="1" fillId="0" borderId="175" xfId="2" applyFont="1" applyFill="1" applyBorder="1"/>
    <xf numFmtId="164" fontId="2" fillId="0" borderId="74" xfId="0" applyNumberFormat="1" applyFont="1" applyBorder="1" applyAlignment="1">
      <alignment horizontal="left"/>
    </xf>
    <xf numFmtId="0" fontId="48" fillId="0" borderId="0" xfId="0" applyFont="1" applyAlignment="1">
      <alignment horizontal="left"/>
    </xf>
    <xf numFmtId="0" fontId="48" fillId="0" borderId="55" xfId="0" applyFont="1" applyBorder="1" applyAlignment="1">
      <alignment horizontal="left"/>
    </xf>
    <xf numFmtId="164" fontId="1" fillId="3" borderId="4" xfId="2" applyFont="1" applyFill="1" applyBorder="1"/>
    <xf numFmtId="173" fontId="1" fillId="0" borderId="0" xfId="2" applyNumberFormat="1" applyFont="1"/>
    <xf numFmtId="0" fontId="1" fillId="0" borderId="176" xfId="0" applyFont="1" applyBorder="1"/>
    <xf numFmtId="49" fontId="1" fillId="17" borderId="0" xfId="0" applyNumberFormat="1" applyFont="1" applyFill="1" applyAlignment="1">
      <alignment horizontal="left"/>
    </xf>
    <xf numFmtId="0" fontId="1" fillId="17" borderId="5" xfId="2" applyNumberFormat="1" applyFont="1" applyFill="1" applyBorder="1" applyAlignment="1">
      <alignment shrinkToFit="1"/>
    </xf>
    <xf numFmtId="0" fontId="1" fillId="17" borderId="0" xfId="0" applyFont="1" applyFill="1" applyAlignment="1">
      <alignment horizontal="center" shrinkToFit="1"/>
    </xf>
    <xf numFmtId="164" fontId="1" fillId="17" borderId="0" xfId="2" applyFont="1" applyFill="1" applyBorder="1" applyAlignment="1">
      <alignment horizontal="center"/>
    </xf>
    <xf numFmtId="164" fontId="1" fillId="17" borderId="6" xfId="2" applyFont="1" applyFill="1" applyBorder="1" applyAlignment="1">
      <alignment horizontal="center"/>
    </xf>
    <xf numFmtId="1" fontId="1" fillId="17" borderId="5" xfId="0" applyNumberFormat="1" applyFont="1" applyFill="1" applyBorder="1" applyAlignment="1">
      <alignment horizontal="right"/>
    </xf>
    <xf numFmtId="164" fontId="1" fillId="17" borderId="0" xfId="2" applyFont="1" applyFill="1" applyBorder="1" applyAlignment="1">
      <alignment horizontal="right"/>
    </xf>
    <xf numFmtId="164" fontId="1" fillId="17" borderId="4" xfId="2" applyFont="1" applyFill="1" applyBorder="1"/>
    <xf numFmtId="164" fontId="1" fillId="17" borderId="0" xfId="2" applyFont="1" applyFill="1"/>
    <xf numFmtId="164" fontId="1" fillId="3" borderId="175" xfId="2" applyFont="1" applyFill="1" applyBorder="1"/>
    <xf numFmtId="164" fontId="1" fillId="17" borderId="40" xfId="2" applyFont="1" applyFill="1" applyBorder="1"/>
    <xf numFmtId="164" fontId="2" fillId="0" borderId="174" xfId="2" applyFont="1" applyFill="1" applyBorder="1" applyAlignment="1"/>
    <xf numFmtId="44" fontId="1" fillId="0" borderId="0" xfId="0" applyNumberFormat="1" applyFont="1"/>
    <xf numFmtId="164" fontId="1" fillId="17" borderId="0" xfId="2" applyFont="1" applyFill="1" applyAlignment="1"/>
    <xf numFmtId="164" fontId="1" fillId="0" borderId="32" xfId="2" applyFont="1" applyBorder="1"/>
    <xf numFmtId="164" fontId="1" fillId="0" borderId="77" xfId="2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164" fontId="1" fillId="0" borderId="74" xfId="0" applyNumberFormat="1" applyFont="1" applyBorder="1" applyAlignment="1">
      <alignment horizontal="center"/>
    </xf>
    <xf numFmtId="164" fontId="1" fillId="0" borderId="75" xfId="0" applyNumberFormat="1" applyFont="1" applyBorder="1" applyAlignment="1">
      <alignment horizontal="center"/>
    </xf>
    <xf numFmtId="164" fontId="6" fillId="0" borderId="0" xfId="2" applyFont="1"/>
    <xf numFmtId="164" fontId="38" fillId="0" borderId="0" xfId="2" applyFont="1"/>
    <xf numFmtId="9" fontId="38" fillId="0" borderId="0" xfId="4" applyFont="1"/>
    <xf numFmtId="174" fontId="38" fillId="0" borderId="0" xfId="1" applyNumberFormat="1" applyFont="1"/>
    <xf numFmtId="49" fontId="31" fillId="3" borderId="0" xfId="0" applyNumberFormat="1" applyFont="1" applyFill="1" applyAlignment="1">
      <alignment horizontal="left"/>
    </xf>
    <xf numFmtId="0" fontId="10" fillId="3" borderId="5" xfId="2" applyNumberFormat="1" applyFont="1" applyFill="1" applyBorder="1" applyAlignment="1">
      <alignment shrinkToFit="1"/>
    </xf>
    <xf numFmtId="0" fontId="10" fillId="3" borderId="0" xfId="0" applyFont="1" applyFill="1" applyAlignment="1">
      <alignment horizontal="center" shrinkToFit="1"/>
    </xf>
    <xf numFmtId="164" fontId="10" fillId="3" borderId="0" xfId="2" applyFont="1" applyFill="1" applyBorder="1" applyAlignment="1">
      <alignment horizontal="center"/>
    </xf>
    <xf numFmtId="164" fontId="10" fillId="3" borderId="6" xfId="2" applyFont="1" applyFill="1" applyBorder="1" applyAlignment="1">
      <alignment horizontal="center"/>
    </xf>
    <xf numFmtId="1" fontId="10" fillId="3" borderId="5" xfId="0" applyNumberFormat="1" applyFont="1" applyFill="1" applyBorder="1" applyAlignment="1">
      <alignment horizontal="right"/>
    </xf>
    <xf numFmtId="164" fontId="10" fillId="3" borderId="0" xfId="2" applyFont="1" applyFill="1" applyBorder="1" applyAlignment="1">
      <alignment horizontal="right"/>
    </xf>
    <xf numFmtId="164" fontId="10" fillId="3" borderId="4" xfId="2" applyFont="1" applyFill="1" applyBorder="1"/>
    <xf numFmtId="164" fontId="10" fillId="3" borderId="19" xfId="0" applyNumberFormat="1" applyFont="1" applyFill="1" applyBorder="1"/>
    <xf numFmtId="44" fontId="1" fillId="0" borderId="55" xfId="0" applyNumberFormat="1" applyFont="1" applyBorder="1" applyAlignment="1">
      <alignment horizontal="left"/>
    </xf>
    <xf numFmtId="0" fontId="2" fillId="3" borderId="55" xfId="0" applyFont="1" applyFill="1" applyBorder="1" applyAlignment="1">
      <alignment horizontal="left"/>
    </xf>
    <xf numFmtId="164" fontId="1" fillId="3" borderId="40" xfId="2" applyFont="1" applyFill="1" applyBorder="1"/>
    <xf numFmtId="164" fontId="1" fillId="0" borderId="56" xfId="0" applyNumberFormat="1" applyFont="1" applyBorder="1"/>
    <xf numFmtId="164" fontId="2" fillId="3" borderId="0" xfId="0" applyNumberFormat="1" applyFont="1" applyFill="1"/>
    <xf numFmtId="164" fontId="1" fillId="0" borderId="177" xfId="0" applyNumberFormat="1" applyFont="1" applyBorder="1"/>
    <xf numFmtId="0" fontId="1" fillId="3" borderId="61" xfId="0" applyFont="1" applyFill="1" applyBorder="1" applyAlignment="1">
      <alignment horizontal="left"/>
    </xf>
    <xf numFmtId="164" fontId="1" fillId="3" borderId="54" xfId="2" applyFont="1" applyFill="1" applyBorder="1"/>
    <xf numFmtId="164" fontId="2" fillId="0" borderId="175" xfId="2" applyFont="1" applyFill="1" applyBorder="1" applyAlignment="1"/>
    <xf numFmtId="0" fontId="47" fillId="3" borderId="55" xfId="0" applyFont="1" applyFill="1" applyBorder="1" applyAlignment="1">
      <alignment horizontal="left"/>
    </xf>
    <xf numFmtId="164" fontId="2" fillId="0" borderId="175" xfId="2" applyFont="1" applyFill="1" applyBorder="1"/>
    <xf numFmtId="164" fontId="2" fillId="0" borderId="0" xfId="2" applyFont="1" applyAlignment="1">
      <alignment horizontal="left"/>
    </xf>
    <xf numFmtId="164" fontId="1" fillId="3" borderId="40" xfId="2" applyFont="1" applyFill="1" applyBorder="1" applyAlignment="1"/>
    <xf numFmtId="164" fontId="2" fillId="0" borderId="0" xfId="2" applyFont="1" applyFill="1"/>
    <xf numFmtId="164" fontId="1" fillId="0" borderId="52" xfId="2" applyFont="1" applyFill="1" applyBorder="1" applyAlignment="1"/>
    <xf numFmtId="164" fontId="1" fillId="0" borderId="54" xfId="2" applyFont="1" applyFill="1" applyBorder="1" applyAlignment="1"/>
    <xf numFmtId="164" fontId="1" fillId="18" borderId="4" xfId="2" applyFont="1" applyFill="1" applyBorder="1" applyAlignment="1"/>
    <xf numFmtId="164" fontId="2" fillId="18" borderId="175" xfId="2" applyFont="1" applyFill="1" applyBorder="1" applyAlignment="1"/>
    <xf numFmtId="164" fontId="1" fillId="0" borderId="56" xfId="2" applyFont="1" applyBorder="1"/>
    <xf numFmtId="165" fontId="1" fillId="0" borderId="32" xfId="1" applyFont="1" applyBorder="1"/>
    <xf numFmtId="164" fontId="1" fillId="18" borderId="40" xfId="2" applyFont="1" applyFill="1" applyBorder="1" applyAlignment="1"/>
    <xf numFmtId="44" fontId="1" fillId="0" borderId="32" xfId="0" applyNumberFormat="1" applyFont="1" applyBorder="1"/>
    <xf numFmtId="164" fontId="2" fillId="0" borderId="178" xfId="2" applyFont="1" applyFill="1" applyBorder="1" applyAlignment="1"/>
    <xf numFmtId="0" fontId="1" fillId="0" borderId="55" xfId="0" applyFont="1" applyBorder="1" applyAlignment="1">
      <alignment horizontal="right"/>
    </xf>
    <xf numFmtId="164" fontId="3" fillId="0" borderId="0" xfId="2" applyFont="1"/>
    <xf numFmtId="165" fontId="0" fillId="0" borderId="0" xfId="0" applyNumberFormat="1"/>
    <xf numFmtId="44" fontId="0" fillId="0" borderId="0" xfId="0" applyNumberFormat="1"/>
    <xf numFmtId="44" fontId="2" fillId="0" borderId="76" xfId="0" applyNumberFormat="1" applyFont="1" applyBorder="1" applyAlignment="1">
      <alignment horizontal="center"/>
    </xf>
    <xf numFmtId="0" fontId="1" fillId="17" borderId="55" xfId="0" applyFont="1" applyFill="1" applyBorder="1" applyAlignment="1">
      <alignment horizontal="left"/>
    </xf>
    <xf numFmtId="0" fontId="1" fillId="17" borderId="0" xfId="0" applyFont="1" applyFill="1" applyAlignment="1">
      <alignment horizontal="left"/>
    </xf>
    <xf numFmtId="164" fontId="1" fillId="17" borderId="0" xfId="2" applyFont="1" applyFill="1" applyAlignment="1">
      <alignment horizontal="left"/>
    </xf>
    <xf numFmtId="0" fontId="1" fillId="17" borderId="85" xfId="0" applyFont="1" applyFill="1" applyBorder="1" applyAlignment="1">
      <alignment horizontal="left"/>
    </xf>
    <xf numFmtId="164" fontId="1" fillId="17" borderId="52" xfId="2" applyFont="1" applyFill="1" applyBorder="1"/>
    <xf numFmtId="0" fontId="1" fillId="17" borderId="61" xfId="0" applyFont="1" applyFill="1" applyBorder="1" applyAlignment="1">
      <alignment horizontal="left"/>
    </xf>
    <xf numFmtId="164" fontId="1" fillId="17" borderId="96" xfId="2" applyFont="1" applyFill="1" applyBorder="1"/>
    <xf numFmtId="0" fontId="47" fillId="17" borderId="0" xfId="0" applyFont="1" applyFill="1" applyAlignment="1">
      <alignment horizontal="left"/>
    </xf>
    <xf numFmtId="0" fontId="34" fillId="0" borderId="115" xfId="0" applyFont="1" applyBorder="1" applyAlignment="1">
      <alignment horizontal="center"/>
    </xf>
    <xf numFmtId="0" fontId="34" fillId="0" borderId="116" xfId="0" applyFont="1" applyBorder="1" applyAlignment="1">
      <alignment horizontal="center"/>
    </xf>
    <xf numFmtId="0" fontId="34" fillId="0" borderId="167" xfId="0" applyFont="1" applyBorder="1" applyAlignment="1">
      <alignment horizontal="center"/>
    </xf>
    <xf numFmtId="0" fontId="34" fillId="0" borderId="146" xfId="0" applyFont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33" xfId="0" applyFont="1" applyFill="1" applyBorder="1" applyAlignment="1">
      <alignment horizontal="center"/>
    </xf>
    <xf numFmtId="164" fontId="36" fillId="6" borderId="47" xfId="2" applyFont="1" applyFill="1" applyBorder="1" applyAlignment="1">
      <alignment horizontal="center"/>
    </xf>
    <xf numFmtId="0" fontId="36" fillId="6" borderId="117" xfId="0" applyFont="1" applyFill="1" applyBorder="1" applyAlignment="1">
      <alignment horizontal="left"/>
    </xf>
    <xf numFmtId="0" fontId="36" fillId="6" borderId="47" xfId="0" applyFont="1" applyFill="1" applyBorder="1" applyAlignment="1">
      <alignment horizontal="left"/>
    </xf>
    <xf numFmtId="164" fontId="9" fillId="11" borderId="0" xfId="2" applyFont="1" applyFill="1" applyBorder="1" applyAlignment="1">
      <alignment horizontal="center"/>
    </xf>
    <xf numFmtId="1" fontId="9" fillId="11" borderId="0" xfId="0" applyNumberFormat="1" applyFont="1" applyFill="1" applyAlignment="1">
      <alignment horizontal="center"/>
    </xf>
    <xf numFmtId="0" fontId="1" fillId="0" borderId="0" xfId="0" applyFont="1"/>
    <xf numFmtId="0" fontId="2" fillId="5" borderId="3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right" vertical="center"/>
    </xf>
    <xf numFmtId="0" fontId="16" fillId="6" borderId="121" xfId="2" applyNumberFormat="1" applyFont="1" applyFill="1" applyBorder="1" applyAlignment="1">
      <alignment horizontal="left" vertical="center"/>
    </xf>
    <xf numFmtId="0" fontId="16" fillId="6" borderId="122" xfId="2" applyNumberFormat="1" applyFont="1" applyFill="1" applyBorder="1" applyAlignment="1">
      <alignment horizontal="left" vertical="center"/>
    </xf>
    <xf numFmtId="0" fontId="16" fillId="6" borderId="131" xfId="2" applyNumberFormat="1" applyFont="1" applyFill="1" applyBorder="1" applyAlignment="1">
      <alignment horizontal="center" vertical="center"/>
    </xf>
    <xf numFmtId="0" fontId="16" fillId="6" borderId="132" xfId="2" applyNumberFormat="1" applyFont="1" applyFill="1" applyBorder="1" applyAlignment="1">
      <alignment horizontal="center" vertical="center"/>
    </xf>
    <xf numFmtId="0" fontId="16" fillId="6" borderId="0" xfId="2" applyNumberFormat="1" applyFont="1" applyFill="1" applyBorder="1" applyAlignment="1">
      <alignment horizontal="center" vertical="center"/>
    </xf>
    <xf numFmtId="0" fontId="16" fillId="6" borderId="130" xfId="2" applyNumberFormat="1" applyFont="1" applyFill="1" applyBorder="1" applyAlignment="1">
      <alignment horizontal="center" vertical="center"/>
    </xf>
    <xf numFmtId="0" fontId="16" fillId="6" borderId="125" xfId="2" applyNumberFormat="1" applyFont="1" applyFill="1" applyBorder="1" applyAlignment="1">
      <alignment horizontal="center" vertical="center"/>
    </xf>
    <xf numFmtId="0" fontId="16" fillId="6" borderId="126" xfId="2" applyNumberFormat="1" applyFont="1" applyFill="1" applyBorder="1" applyAlignment="1">
      <alignment horizontal="center" vertical="center"/>
    </xf>
    <xf numFmtId="0" fontId="26" fillId="6" borderId="123" xfId="2" applyNumberFormat="1" applyFont="1" applyFill="1" applyBorder="1" applyAlignment="1">
      <alignment horizontal="left" vertical="center"/>
    </xf>
    <xf numFmtId="0" fontId="26" fillId="6" borderId="124" xfId="2" applyNumberFormat="1" applyFont="1" applyFill="1" applyBorder="1" applyAlignment="1">
      <alignment horizontal="left" vertical="center"/>
    </xf>
    <xf numFmtId="9" fontId="27" fillId="0" borderId="0" xfId="4" applyFont="1" applyAlignment="1">
      <alignment horizontal="right" vertical="center"/>
    </xf>
    <xf numFmtId="164" fontId="7" fillId="0" borderId="130" xfId="0" applyNumberFormat="1" applyFont="1" applyBorder="1" applyAlignment="1">
      <alignment horizontal="center" vertical="center"/>
    </xf>
    <xf numFmtId="164" fontId="0" fillId="0" borderId="0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5" fillId="5" borderId="0" xfId="0" applyFont="1" applyFill="1" applyAlignment="1">
      <alignment horizontal="center"/>
    </xf>
    <xf numFmtId="0" fontId="15" fillId="5" borderId="139" xfId="0" applyFont="1" applyFill="1" applyBorder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31" fillId="0" borderId="0" xfId="0" applyFont="1" applyAlignment="1">
      <alignment horizontal="right" wrapText="1"/>
    </xf>
    <xf numFmtId="0" fontId="26" fillId="6" borderId="159" xfId="2" applyNumberFormat="1" applyFont="1" applyFill="1" applyBorder="1" applyAlignment="1">
      <alignment horizontal="left"/>
    </xf>
    <xf numFmtId="0" fontId="26" fillId="6" borderId="124" xfId="2" applyNumberFormat="1" applyFont="1" applyFill="1" applyBorder="1" applyAlignment="1">
      <alignment horizontal="left"/>
    </xf>
    <xf numFmtId="0" fontId="16" fillId="6" borderId="0" xfId="2" applyNumberFormat="1" applyFont="1" applyFill="1" applyBorder="1" applyAlignment="1">
      <alignment horizontal="center"/>
    </xf>
    <xf numFmtId="0" fontId="16" fillId="6" borderId="8" xfId="2" applyNumberFormat="1" applyFont="1" applyFill="1" applyBorder="1" applyAlignment="1">
      <alignment horizontal="center"/>
    </xf>
    <xf numFmtId="0" fontId="16" fillId="6" borderId="125" xfId="2" applyNumberFormat="1" applyFont="1" applyFill="1" applyBorder="1" applyAlignment="1">
      <alignment horizontal="center"/>
    </xf>
    <xf numFmtId="0" fontId="16" fillId="6" borderId="160" xfId="2" applyNumberFormat="1" applyFont="1" applyFill="1" applyBorder="1" applyAlignment="1">
      <alignment horizontal="center"/>
    </xf>
    <xf numFmtId="0" fontId="16" fillId="6" borderId="158" xfId="2" applyNumberFormat="1" applyFont="1" applyFill="1" applyBorder="1" applyAlignment="1">
      <alignment horizontal="left"/>
    </xf>
    <xf numFmtId="0" fontId="16" fillId="6" borderId="125" xfId="2" applyNumberFormat="1" applyFont="1" applyFill="1" applyBorder="1" applyAlignment="1">
      <alignment horizontal="left"/>
    </xf>
    <xf numFmtId="164" fontId="9" fillId="0" borderId="39" xfId="0" applyNumberFormat="1" applyFont="1" applyBorder="1" applyAlignment="1">
      <alignment horizontal="right"/>
    </xf>
    <xf numFmtId="164" fontId="9" fillId="0" borderId="154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8" xfId="0" applyNumberFormat="1" applyFont="1" applyBorder="1" applyAlignment="1">
      <alignment horizontal="right"/>
    </xf>
    <xf numFmtId="1" fontId="1" fillId="5" borderId="10" xfId="0" applyNumberFormat="1" applyFont="1" applyFill="1" applyBorder="1" applyAlignment="1">
      <alignment horizontal="center" shrinkToFit="1"/>
    </xf>
    <xf numFmtId="0" fontId="9" fillId="5" borderId="73" xfId="0" applyFont="1" applyFill="1" applyBorder="1" applyAlignment="1">
      <alignment horizontal="center" vertical="center"/>
    </xf>
    <xf numFmtId="0" fontId="9" fillId="5" borderId="76" xfId="0" applyFont="1" applyFill="1" applyBorder="1" applyAlignment="1">
      <alignment horizontal="center" vertical="center"/>
    </xf>
    <xf numFmtId="0" fontId="9" fillId="5" borderId="60" xfId="0" applyFont="1" applyFill="1" applyBorder="1" applyAlignment="1">
      <alignment horizontal="center" vertical="center"/>
    </xf>
    <xf numFmtId="0" fontId="9" fillId="5" borderId="61" xfId="0" applyFont="1" applyFill="1" applyBorder="1" applyAlignment="1">
      <alignment horizontal="center" vertical="center"/>
    </xf>
    <xf numFmtId="164" fontId="9" fillId="5" borderId="62" xfId="2" applyFont="1" applyFill="1" applyBorder="1" applyAlignment="1">
      <alignment horizontal="center" vertical="center"/>
    </xf>
    <xf numFmtId="164" fontId="9" fillId="5" borderId="54" xfId="2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9" fillId="5" borderId="64" xfId="0" applyFont="1" applyFill="1" applyBorder="1" applyAlignment="1">
      <alignment horizontal="center" vertical="center"/>
    </xf>
    <xf numFmtId="0" fontId="9" fillId="5" borderId="81" xfId="0" applyFont="1" applyFill="1" applyBorder="1" applyAlignment="1">
      <alignment horizontal="center" vertical="center"/>
    </xf>
    <xf numFmtId="0" fontId="9" fillId="5" borderId="82" xfId="0" applyFont="1" applyFill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164" fontId="33" fillId="8" borderId="0" xfId="2" applyFont="1" applyFill="1" applyBorder="1" applyAlignment="1">
      <alignment horizontal="center" vertical="center" wrapText="1"/>
    </xf>
    <xf numFmtId="164" fontId="33" fillId="8" borderId="10" xfId="2" applyFont="1" applyFill="1" applyBorder="1" applyAlignment="1">
      <alignment horizontal="center" vertical="center" wrapText="1"/>
    </xf>
    <xf numFmtId="164" fontId="33" fillId="8" borderId="8" xfId="2" applyFont="1" applyFill="1" applyBorder="1" applyAlignment="1">
      <alignment horizontal="center" vertical="center"/>
    </xf>
    <xf numFmtId="164" fontId="33" fillId="8" borderId="11" xfId="2" applyFont="1" applyFill="1" applyBorder="1" applyAlignment="1">
      <alignment horizontal="center" vertical="center"/>
    </xf>
    <xf numFmtId="164" fontId="43" fillId="8" borderId="21" xfId="2" applyFont="1" applyFill="1" applyBorder="1" applyAlignment="1">
      <alignment horizontal="center" vertical="center" wrapText="1"/>
    </xf>
    <xf numFmtId="164" fontId="43" fillId="8" borderId="8" xfId="2" applyFont="1" applyFill="1" applyBorder="1" applyAlignment="1">
      <alignment horizontal="center" vertical="center" wrapText="1"/>
    </xf>
    <xf numFmtId="0" fontId="33" fillId="8" borderId="13" xfId="0" applyFont="1" applyFill="1" applyBorder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164" fontId="33" fillId="8" borderId="0" xfId="2" applyFont="1" applyFill="1" applyBorder="1" applyAlignment="1">
      <alignment horizontal="center" vertical="center"/>
    </xf>
    <xf numFmtId="164" fontId="33" fillId="8" borderId="10" xfId="2" applyFont="1" applyFill="1" applyBorder="1" applyAlignment="1">
      <alignment horizontal="center" vertical="center"/>
    </xf>
    <xf numFmtId="3" fontId="33" fillId="8" borderId="13" xfId="0" applyNumberFormat="1" applyFont="1" applyFill="1" applyBorder="1" applyAlignment="1">
      <alignment horizontal="center" vertical="center" wrapText="1"/>
    </xf>
    <xf numFmtId="3" fontId="33" fillId="8" borderId="0" xfId="0" applyNumberFormat="1" applyFont="1" applyFill="1" applyAlignment="1">
      <alignment horizontal="center" vertical="center" wrapText="1"/>
    </xf>
    <xf numFmtId="0" fontId="45" fillId="8" borderId="0" xfId="0" applyFont="1" applyFill="1" applyAlignment="1">
      <alignment horizontal="center" vertical="center"/>
    </xf>
    <xf numFmtId="0" fontId="44" fillId="8" borderId="13" xfId="2" applyNumberFormat="1" applyFont="1" applyFill="1" applyBorder="1" applyAlignment="1">
      <alignment horizontal="center" wrapText="1"/>
    </xf>
    <xf numFmtId="0" fontId="44" fillId="8" borderId="0" xfId="2" applyNumberFormat="1" applyFont="1" applyFill="1" applyBorder="1" applyAlignment="1">
      <alignment horizontal="center" wrapText="1"/>
    </xf>
    <xf numFmtId="0" fontId="44" fillId="8" borderId="0" xfId="0" applyFont="1" applyFill="1" applyAlignment="1">
      <alignment horizontal="center" vertical="center"/>
    </xf>
    <xf numFmtId="0" fontId="44" fillId="8" borderId="10" xfId="0" applyFont="1" applyFill="1" applyBorder="1" applyAlignment="1">
      <alignment horizontal="center" vertical="center"/>
    </xf>
    <xf numFmtId="0" fontId="33" fillId="8" borderId="13" xfId="0" applyFont="1" applyFill="1" applyBorder="1" applyAlignment="1">
      <alignment horizontal="center" vertical="center" wrapText="1" shrinkToFit="1"/>
    </xf>
    <xf numFmtId="0" fontId="33" fillId="8" borderId="0" xfId="0" applyFont="1" applyFill="1" applyAlignment="1">
      <alignment horizontal="center" vertical="center" wrapText="1" shrinkToFit="1"/>
    </xf>
    <xf numFmtId="1" fontId="2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5" fillId="6" borderId="48" xfId="0" applyFont="1" applyFill="1" applyBorder="1" applyAlignment="1">
      <alignment horizontal="left"/>
    </xf>
    <xf numFmtId="0" fontId="15" fillId="6" borderId="47" xfId="0" applyFont="1" applyFill="1" applyBorder="1" applyAlignment="1">
      <alignment horizontal="left"/>
    </xf>
    <xf numFmtId="0" fontId="40" fillId="0" borderId="0" xfId="0" applyFont="1" applyAlignment="1">
      <alignment horizontal="right"/>
    </xf>
    <xf numFmtId="0" fontId="35" fillId="10" borderId="13" xfId="0" applyFont="1" applyFill="1" applyBorder="1" applyAlignment="1">
      <alignment horizontal="center"/>
    </xf>
    <xf numFmtId="0" fontId="35" fillId="10" borderId="21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8" xfId="0" applyFont="1" applyFill="1" applyBorder="1" applyAlignment="1">
      <alignment horizontal="center"/>
    </xf>
    <xf numFmtId="0" fontId="9" fillId="6" borderId="47" xfId="0" applyFont="1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164" fontId="30" fillId="6" borderId="47" xfId="2" applyFont="1" applyFill="1" applyBorder="1" applyAlignment="1">
      <alignment horizontal="center" vertical="center"/>
    </xf>
    <xf numFmtId="164" fontId="15" fillId="6" borderId="47" xfId="2" applyFont="1" applyFill="1" applyBorder="1" applyAlignment="1">
      <alignment horizontal="left"/>
    </xf>
    <xf numFmtId="168" fontId="1" fillId="0" borderId="0" xfId="0" applyNumberFormat="1" applyFont="1"/>
    <xf numFmtId="164" fontId="1" fillId="0" borderId="13" xfId="2" applyFont="1" applyFill="1" applyBorder="1" applyAlignment="1">
      <alignment horizontal="center"/>
    </xf>
    <xf numFmtId="164" fontId="1" fillId="0" borderId="21" xfId="2" applyFont="1" applyFill="1" applyBorder="1" applyAlignment="1">
      <alignment horizontal="center"/>
    </xf>
    <xf numFmtId="164" fontId="1" fillId="0" borderId="8" xfId="2" applyFont="1" applyFill="1" applyBorder="1" applyAlignment="1">
      <alignment horizontal="center"/>
    </xf>
    <xf numFmtId="164" fontId="1" fillId="0" borderId="11" xfId="2" applyFon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44" fillId="8" borderId="13" xfId="2" applyFont="1" applyFill="1" applyBorder="1" applyAlignment="1">
      <alignment horizontal="center" wrapText="1"/>
    </xf>
    <xf numFmtId="164" fontId="44" fillId="8" borderId="0" xfId="2" applyFont="1" applyFill="1" applyBorder="1" applyAlignment="1">
      <alignment horizontal="center" wrapText="1"/>
    </xf>
    <xf numFmtId="164" fontId="43" fillId="8" borderId="13" xfId="2" applyFont="1" applyFill="1" applyBorder="1" applyAlignment="1">
      <alignment horizontal="center" vertical="center" wrapText="1"/>
    </xf>
    <xf numFmtId="164" fontId="43" fillId="8" borderId="0" xfId="2" applyFont="1" applyFill="1" applyBorder="1" applyAlignment="1">
      <alignment horizontal="center" vertical="center" wrapText="1"/>
    </xf>
    <xf numFmtId="164" fontId="2" fillId="5" borderId="0" xfId="2" applyFont="1" applyFill="1" applyBorder="1" applyAlignment="1">
      <alignment horizontal="center" vertical="center"/>
    </xf>
    <xf numFmtId="0" fontId="33" fillId="8" borderId="0" xfId="2" applyNumberFormat="1" applyFont="1" applyFill="1" applyBorder="1" applyAlignment="1">
      <alignment horizontal="center" vertical="center" wrapText="1"/>
    </xf>
    <xf numFmtId="0" fontId="33" fillId="8" borderId="10" xfId="2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shrinkToFit="1"/>
    </xf>
    <xf numFmtId="1" fontId="2" fillId="5" borderId="0" xfId="0" applyNumberFormat="1" applyFont="1" applyFill="1" applyAlignment="1">
      <alignment horizontal="center" vertical="center"/>
    </xf>
    <xf numFmtId="0" fontId="39" fillId="0" borderId="7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1" fillId="6" borderId="104" xfId="0" applyFont="1" applyFill="1" applyBorder="1" applyAlignment="1">
      <alignment horizontal="center"/>
    </xf>
    <xf numFmtId="0" fontId="1" fillId="6" borderId="105" xfId="0" applyFont="1" applyFill="1" applyBorder="1" applyAlignment="1">
      <alignment horizontal="center"/>
    </xf>
    <xf numFmtId="1" fontId="44" fillId="8" borderId="0" xfId="0" applyNumberFormat="1" applyFont="1" applyFill="1" applyAlignment="1">
      <alignment horizontal="center" vertical="center"/>
    </xf>
    <xf numFmtId="1" fontId="44" fillId="8" borderId="10" xfId="0" applyNumberFormat="1" applyFont="1" applyFill="1" applyBorder="1" applyAlignment="1">
      <alignment horizontal="center" vertical="center"/>
    </xf>
    <xf numFmtId="0" fontId="2" fillId="5" borderId="73" xfId="0" applyFont="1" applyFill="1" applyBorder="1" applyAlignment="1">
      <alignment horizontal="center" vertical="center"/>
    </xf>
    <xf numFmtId="0" fontId="2" fillId="5" borderId="76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" fillId="5" borderId="61" xfId="0" applyFont="1" applyFill="1" applyBorder="1" applyAlignment="1">
      <alignment horizontal="center" vertical="center"/>
    </xf>
    <xf numFmtId="164" fontId="2" fillId="5" borderId="62" xfId="2" applyFont="1" applyFill="1" applyBorder="1" applyAlignment="1">
      <alignment horizontal="center" vertical="center"/>
    </xf>
    <xf numFmtId="164" fontId="2" fillId="5" borderId="54" xfId="2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" fillId="5" borderId="81" xfId="0" applyFont="1" applyFill="1" applyBorder="1" applyAlignment="1">
      <alignment horizontal="center" vertical="center"/>
    </xf>
    <xf numFmtId="0" fontId="2" fillId="5" borderId="82" xfId="0" applyFont="1" applyFill="1" applyBorder="1" applyAlignment="1">
      <alignment horizontal="center" vertical="center"/>
    </xf>
    <xf numFmtId="0" fontId="2" fillId="5" borderId="83" xfId="0" applyFont="1" applyFill="1" applyBorder="1" applyAlignment="1">
      <alignment horizontal="center" vertical="center"/>
    </xf>
    <xf numFmtId="0" fontId="2" fillId="5" borderId="84" xfId="0" applyFont="1" applyFill="1" applyBorder="1" applyAlignment="1">
      <alignment horizontal="center" vertical="center"/>
    </xf>
    <xf numFmtId="164" fontId="41" fillId="8" borderId="0" xfId="2" applyFont="1" applyFill="1" applyBorder="1" applyAlignment="1">
      <alignment horizontal="center" vertical="center" wrapText="1"/>
    </xf>
    <xf numFmtId="164" fontId="41" fillId="8" borderId="10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/>
    </xf>
    <xf numFmtId="164" fontId="41" fillId="8" borderId="11" xfId="2" applyFont="1" applyFill="1" applyBorder="1" applyAlignment="1">
      <alignment horizontal="center" vertical="center"/>
    </xf>
    <xf numFmtId="0" fontId="41" fillId="8" borderId="13" xfId="0" applyFont="1" applyFill="1" applyBorder="1" applyAlignment="1">
      <alignment horizontal="center" vertical="center" wrapText="1" shrinkToFit="1"/>
    </xf>
    <xf numFmtId="0" fontId="41" fillId="8" borderId="0" xfId="0" applyFont="1" applyFill="1" applyAlignment="1">
      <alignment horizontal="center" vertical="center" wrapText="1" shrinkToFit="1"/>
    </xf>
    <xf numFmtId="164" fontId="32" fillId="8" borderId="13" xfId="2" applyFont="1" applyFill="1" applyBorder="1" applyAlignment="1">
      <alignment horizontal="center" wrapText="1"/>
    </xf>
    <xf numFmtId="164" fontId="32" fillId="8" borderId="0" xfId="2" applyFont="1" applyFill="1" applyBorder="1" applyAlignment="1">
      <alignment horizontal="center" wrapText="1"/>
    </xf>
    <xf numFmtId="3" fontId="41" fillId="8" borderId="13" xfId="0" applyNumberFormat="1" applyFont="1" applyFill="1" applyBorder="1" applyAlignment="1">
      <alignment horizontal="center" vertical="center" wrapText="1"/>
    </xf>
    <xf numFmtId="3" fontId="41" fillId="8" borderId="0" xfId="0" applyNumberFormat="1" applyFont="1" applyFill="1" applyAlignment="1">
      <alignment horizontal="center" vertical="center" wrapText="1"/>
    </xf>
    <xf numFmtId="0" fontId="41" fillId="8" borderId="13" xfId="0" applyFont="1" applyFill="1" applyBorder="1" applyAlignment="1">
      <alignment horizontal="center" wrapText="1"/>
    </xf>
    <xf numFmtId="0" fontId="41" fillId="8" borderId="0" xfId="0" applyFont="1" applyFill="1" applyAlignment="1">
      <alignment horizontal="center" wrapText="1"/>
    </xf>
    <xf numFmtId="164" fontId="41" fillId="8" borderId="21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 wrapText="1"/>
    </xf>
    <xf numFmtId="0" fontId="50" fillId="8" borderId="0" xfId="0" applyFont="1" applyFill="1" applyAlignment="1">
      <alignment horizontal="center" vertical="center"/>
    </xf>
    <xf numFmtId="0" fontId="41" fillId="8" borderId="0" xfId="2" applyNumberFormat="1" applyFont="1" applyFill="1" applyBorder="1" applyAlignment="1">
      <alignment horizontal="center" vertical="center" wrapText="1"/>
    </xf>
    <xf numFmtId="0" fontId="41" fillId="8" borderId="10" xfId="2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49" fillId="10" borderId="13" xfId="0" applyFont="1" applyFill="1" applyBorder="1" applyAlignment="1">
      <alignment horizontal="center"/>
    </xf>
    <xf numFmtId="0" fontId="49" fillId="10" borderId="21" xfId="0" applyFont="1" applyFill="1" applyBorder="1" applyAlignment="1">
      <alignment horizontal="center"/>
    </xf>
    <xf numFmtId="164" fontId="15" fillId="6" borderId="47" xfId="2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/>
    </xf>
    <xf numFmtId="0" fontId="2" fillId="6" borderId="49" xfId="0" applyFont="1" applyFill="1" applyBorder="1" applyAlignment="1">
      <alignment horizontal="center"/>
    </xf>
    <xf numFmtId="0" fontId="9" fillId="5" borderId="73" xfId="0" applyFont="1" applyFill="1" applyBorder="1" applyAlignment="1">
      <alignment horizontal="center"/>
    </xf>
    <xf numFmtId="0" fontId="9" fillId="5" borderId="76" xfId="0" applyFont="1" applyFill="1" applyBorder="1" applyAlignment="1">
      <alignment horizontal="center"/>
    </xf>
    <xf numFmtId="0" fontId="9" fillId="5" borderId="60" xfId="0" applyFont="1" applyFill="1" applyBorder="1" applyAlignment="1">
      <alignment horizontal="center"/>
    </xf>
    <xf numFmtId="0" fontId="9" fillId="5" borderId="61" xfId="0" applyFont="1" applyFill="1" applyBorder="1" applyAlignment="1">
      <alignment horizontal="center"/>
    </xf>
    <xf numFmtId="164" fontId="9" fillId="5" borderId="62" xfId="2" applyFont="1" applyFill="1" applyBorder="1" applyAlignment="1">
      <alignment horizontal="center"/>
    </xf>
    <xf numFmtId="164" fontId="9" fillId="5" borderId="54" xfId="2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64" xfId="0" applyFont="1" applyFill="1" applyBorder="1" applyAlignment="1">
      <alignment horizontal="center"/>
    </xf>
    <xf numFmtId="0" fontId="9" fillId="5" borderId="81" xfId="0" applyFont="1" applyFill="1" applyBorder="1" applyAlignment="1">
      <alignment horizontal="center"/>
    </xf>
    <xf numFmtId="0" fontId="9" fillId="5" borderId="82" xfId="0" applyFont="1" applyFill="1" applyBorder="1" applyAlignment="1">
      <alignment horizontal="center"/>
    </xf>
    <xf numFmtId="0" fontId="9" fillId="5" borderId="83" xfId="0" applyFont="1" applyFill="1" applyBorder="1" applyAlignment="1">
      <alignment horizontal="center"/>
    </xf>
    <xf numFmtId="0" fontId="9" fillId="5" borderId="84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shrinkToFit="1"/>
    </xf>
    <xf numFmtId="164" fontId="43" fillId="8" borderId="21" xfId="2" applyFont="1" applyFill="1" applyBorder="1" applyAlignment="1">
      <alignment horizontal="center" wrapText="1"/>
    </xf>
    <xf numFmtId="164" fontId="43" fillId="8" borderId="8" xfId="2" applyFont="1" applyFill="1" applyBorder="1" applyAlignment="1">
      <alignment horizontal="center" wrapText="1"/>
    </xf>
    <xf numFmtId="164" fontId="33" fillId="8" borderId="0" xfId="2" applyFont="1" applyFill="1" applyBorder="1" applyAlignment="1">
      <alignment horizontal="center" wrapText="1"/>
    </xf>
    <xf numFmtId="164" fontId="33" fillId="8" borderId="10" xfId="2" applyFont="1" applyFill="1" applyBorder="1" applyAlignment="1">
      <alignment horizontal="center" wrapText="1"/>
    </xf>
    <xf numFmtId="0" fontId="33" fillId="8" borderId="0" xfId="2" applyNumberFormat="1" applyFont="1" applyFill="1" applyBorder="1" applyAlignment="1">
      <alignment horizontal="center" wrapText="1"/>
    </xf>
    <xf numFmtId="0" fontId="33" fillId="8" borderId="10" xfId="2" applyNumberFormat="1" applyFont="1" applyFill="1" applyBorder="1" applyAlignment="1">
      <alignment horizontal="center" wrapText="1"/>
    </xf>
    <xf numFmtId="164" fontId="33" fillId="8" borderId="8" xfId="2" applyFont="1" applyFill="1" applyBorder="1" applyAlignment="1">
      <alignment horizontal="center"/>
    </xf>
    <xf numFmtId="164" fontId="33" fillId="8" borderId="11" xfId="2" applyFont="1" applyFill="1" applyBorder="1" applyAlignment="1">
      <alignment horizontal="center"/>
    </xf>
    <xf numFmtId="3" fontId="33" fillId="8" borderId="13" xfId="0" applyNumberFormat="1" applyFont="1" applyFill="1" applyBorder="1" applyAlignment="1">
      <alignment horizontal="center" wrapText="1"/>
    </xf>
    <xf numFmtId="3" fontId="33" fillId="8" borderId="0" xfId="0" applyNumberFormat="1" applyFont="1" applyFill="1" applyAlignment="1">
      <alignment horizontal="center" wrapText="1"/>
    </xf>
    <xf numFmtId="0" fontId="45" fillId="8" borderId="0" xfId="0" applyFont="1" applyFill="1" applyAlignment="1">
      <alignment horizontal="center"/>
    </xf>
    <xf numFmtId="0" fontId="33" fillId="8" borderId="13" xfId="0" applyFont="1" applyFill="1" applyBorder="1" applyAlignment="1">
      <alignment horizontal="center" wrapText="1" shrinkToFit="1"/>
    </xf>
    <xf numFmtId="0" fontId="33" fillId="8" borderId="0" xfId="0" applyFont="1" applyFill="1" applyAlignment="1">
      <alignment horizontal="center" wrapText="1" shrinkToFit="1"/>
    </xf>
    <xf numFmtId="164" fontId="30" fillId="6" borderId="50" xfId="2" applyFont="1" applyFill="1" applyBorder="1" applyAlignment="1">
      <alignment horizontal="center" wrapText="1"/>
    </xf>
    <xf numFmtId="164" fontId="30" fillId="6" borderId="42" xfId="2" applyFont="1" applyFill="1" applyBorder="1" applyAlignment="1">
      <alignment horizontal="center" wrapText="1"/>
    </xf>
    <xf numFmtId="164" fontId="30" fillId="6" borderId="43" xfId="2" applyFont="1" applyFill="1" applyBorder="1" applyAlignment="1">
      <alignment horizontal="center" wrapText="1"/>
    </xf>
    <xf numFmtId="164" fontId="30" fillId="6" borderId="44" xfId="2" applyFont="1" applyFill="1" applyBorder="1" applyAlignment="1">
      <alignment horizontal="center" wrapText="1"/>
    </xf>
    <xf numFmtId="164" fontId="30" fillId="6" borderId="45" xfId="2" applyFont="1" applyFill="1" applyBorder="1" applyAlignment="1">
      <alignment horizontal="center" wrapText="1"/>
    </xf>
    <xf numFmtId="164" fontId="30" fillId="6" borderId="46" xfId="2" applyFont="1" applyFill="1" applyBorder="1" applyAlignment="1">
      <alignment horizontal="center" wrapText="1"/>
    </xf>
    <xf numFmtId="0" fontId="2" fillId="5" borderId="0" xfId="0" applyFont="1" applyFill="1" applyAlignment="1">
      <alignment horizontal="center" shrinkToFit="1"/>
    </xf>
    <xf numFmtId="164" fontId="2" fillId="5" borderId="0" xfId="2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2" fillId="5" borderId="8" xfId="0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wrapText="1"/>
    </xf>
    <xf numFmtId="164" fontId="30" fillId="6" borderId="47" xfId="2" applyFont="1" applyFill="1" applyBorder="1" applyAlignment="1">
      <alignment horizontal="center"/>
    </xf>
    <xf numFmtId="0" fontId="31" fillId="5" borderId="73" xfId="0" applyFont="1" applyFill="1" applyBorder="1" applyAlignment="1">
      <alignment horizontal="center" vertical="center"/>
    </xf>
    <xf numFmtId="0" fontId="31" fillId="5" borderId="76" xfId="0" applyFont="1" applyFill="1" applyBorder="1" applyAlignment="1">
      <alignment horizontal="center" vertical="center"/>
    </xf>
    <xf numFmtId="0" fontId="31" fillId="5" borderId="60" xfId="0" applyFont="1" applyFill="1" applyBorder="1" applyAlignment="1">
      <alignment horizontal="center" vertical="center"/>
    </xf>
    <xf numFmtId="0" fontId="31" fillId="5" borderId="61" xfId="0" applyFont="1" applyFill="1" applyBorder="1" applyAlignment="1">
      <alignment horizontal="center" vertical="center"/>
    </xf>
    <xf numFmtId="164" fontId="31" fillId="5" borderId="62" xfId="2" applyFont="1" applyFill="1" applyBorder="1" applyAlignment="1">
      <alignment horizontal="center" vertical="center"/>
    </xf>
    <xf numFmtId="164" fontId="31" fillId="5" borderId="54" xfId="2" applyFont="1" applyFill="1" applyBorder="1" applyAlignment="1">
      <alignment horizontal="center" vertical="center"/>
    </xf>
    <xf numFmtId="0" fontId="31" fillId="5" borderId="63" xfId="0" applyFont="1" applyFill="1" applyBorder="1" applyAlignment="1">
      <alignment horizontal="center" vertical="center"/>
    </xf>
    <xf numFmtId="0" fontId="31" fillId="5" borderId="64" xfId="0" applyFont="1" applyFill="1" applyBorder="1" applyAlignment="1">
      <alignment horizontal="center" vertical="center"/>
    </xf>
    <xf numFmtId="0" fontId="31" fillId="5" borderId="81" xfId="0" applyFont="1" applyFill="1" applyBorder="1" applyAlignment="1">
      <alignment horizontal="center" vertical="center"/>
    </xf>
    <xf numFmtId="0" fontId="31" fillId="5" borderId="82" xfId="0" applyFont="1" applyFill="1" applyBorder="1" applyAlignment="1">
      <alignment horizontal="center" vertical="center"/>
    </xf>
    <xf numFmtId="0" fontId="31" fillId="5" borderId="83" xfId="0" applyFont="1" applyFill="1" applyBorder="1" applyAlignment="1">
      <alignment horizontal="center" vertical="center"/>
    </xf>
    <xf numFmtId="0" fontId="31" fillId="5" borderId="84" xfId="0" applyFont="1" applyFill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center" shrinkToFit="1"/>
    </xf>
    <xf numFmtId="0" fontId="54" fillId="8" borderId="0" xfId="0" applyFont="1" applyFill="1" applyAlignment="1">
      <alignment horizontal="center" vertical="center"/>
    </xf>
    <xf numFmtId="164" fontId="42" fillId="8" borderId="8" xfId="2" applyFont="1" applyFill="1" applyBorder="1" applyAlignment="1">
      <alignment horizontal="center" vertical="center"/>
    </xf>
    <xf numFmtId="164" fontId="42" fillId="8" borderId="11" xfId="2" applyFont="1" applyFill="1" applyBorder="1" applyAlignment="1">
      <alignment horizontal="center" vertical="center"/>
    </xf>
    <xf numFmtId="0" fontId="42" fillId="8" borderId="13" xfId="0" applyFont="1" applyFill="1" applyBorder="1" applyAlignment="1">
      <alignment horizontal="center" vertical="center" wrapText="1" shrinkToFit="1"/>
    </xf>
    <xf numFmtId="0" fontId="42" fillId="8" borderId="0" xfId="0" applyFont="1" applyFill="1" applyAlignment="1">
      <alignment horizontal="center" vertical="center" wrapText="1" shrinkToFit="1"/>
    </xf>
    <xf numFmtId="164" fontId="53" fillId="8" borderId="13" xfId="2" applyFont="1" applyFill="1" applyBorder="1" applyAlignment="1">
      <alignment horizontal="center" wrapText="1"/>
    </xf>
    <xf numFmtId="164" fontId="53" fillId="8" borderId="0" xfId="2" applyFont="1" applyFill="1" applyBorder="1" applyAlignment="1">
      <alignment horizontal="center" wrapText="1"/>
    </xf>
    <xf numFmtId="3" fontId="42" fillId="8" borderId="13" xfId="0" applyNumberFormat="1" applyFont="1" applyFill="1" applyBorder="1" applyAlignment="1">
      <alignment horizontal="center" vertical="center" wrapText="1"/>
    </xf>
    <xf numFmtId="3" fontId="42" fillId="8" borderId="0" xfId="0" applyNumberFormat="1" applyFont="1" applyFill="1" applyAlignment="1">
      <alignment horizontal="center" vertical="center" wrapText="1"/>
    </xf>
    <xf numFmtId="0" fontId="42" fillId="8" borderId="13" xfId="0" applyFont="1" applyFill="1" applyBorder="1" applyAlignment="1">
      <alignment horizontal="center" wrapText="1"/>
    </xf>
    <xf numFmtId="0" fontId="42" fillId="8" borderId="0" xfId="0" applyFont="1" applyFill="1" applyAlignment="1">
      <alignment horizontal="center" wrapText="1"/>
    </xf>
    <xf numFmtId="164" fontId="42" fillId="8" borderId="21" xfId="2" applyFont="1" applyFill="1" applyBorder="1" applyAlignment="1">
      <alignment horizontal="center" vertical="center" wrapText="1"/>
    </xf>
    <xf numFmtId="164" fontId="42" fillId="8" borderId="8" xfId="2" applyFont="1" applyFill="1" applyBorder="1" applyAlignment="1">
      <alignment horizontal="center" vertical="center" wrapText="1"/>
    </xf>
    <xf numFmtId="164" fontId="42" fillId="8" borderId="0" xfId="2" applyFont="1" applyFill="1" applyBorder="1" applyAlignment="1">
      <alignment horizontal="center" vertical="center" wrapText="1"/>
    </xf>
    <xf numFmtId="164" fontId="42" fillId="8" borderId="10" xfId="2" applyFont="1" applyFill="1" applyBorder="1" applyAlignment="1">
      <alignment horizontal="center" vertical="center" wrapText="1"/>
    </xf>
    <xf numFmtId="1" fontId="42" fillId="8" borderId="0" xfId="2" applyNumberFormat="1" applyFont="1" applyFill="1" applyBorder="1" applyAlignment="1">
      <alignment horizontal="center" vertical="center" wrapText="1"/>
    </xf>
    <xf numFmtId="0" fontId="42" fillId="8" borderId="10" xfId="2" applyNumberFormat="1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31" fillId="10" borderId="0" xfId="0" applyFont="1" applyFill="1" applyAlignment="1">
      <alignment horizontal="center"/>
    </xf>
    <xf numFmtId="1" fontId="31" fillId="10" borderId="0" xfId="0" applyNumberFormat="1" applyFont="1" applyFill="1" applyAlignment="1">
      <alignment horizontal="center"/>
    </xf>
    <xf numFmtId="0" fontId="31" fillId="5" borderId="0" xfId="0" applyFont="1" applyFill="1" applyAlignment="1">
      <alignment horizontal="center" vertical="center" shrinkToFit="1"/>
    </xf>
    <xf numFmtId="164" fontId="31" fillId="5" borderId="0" xfId="2" applyFont="1" applyFill="1" applyBorder="1" applyAlignment="1">
      <alignment horizontal="center" vertical="center"/>
    </xf>
    <xf numFmtId="1" fontId="31" fillId="5" borderId="0" xfId="0" applyNumberFormat="1" applyFont="1" applyFill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0" fontId="14" fillId="6" borderId="48" xfId="0" applyFont="1" applyFill="1" applyBorder="1" applyAlignment="1">
      <alignment horizontal="left"/>
    </xf>
    <xf numFmtId="0" fontId="14" fillId="6" borderId="47" xfId="0" applyFont="1" applyFill="1" applyBorder="1" applyAlignment="1">
      <alignment horizontal="left"/>
    </xf>
    <xf numFmtId="164" fontId="14" fillId="6" borderId="47" xfId="2" applyFont="1" applyFill="1" applyBorder="1" applyAlignment="1">
      <alignment horizontal="left"/>
    </xf>
    <xf numFmtId="0" fontId="10" fillId="0" borderId="7" xfId="0" applyFont="1" applyBorder="1" applyAlignment="1">
      <alignment horizontal="right"/>
    </xf>
    <xf numFmtId="0" fontId="10" fillId="0" borderId="0" xfId="0" applyFont="1" applyAlignment="1">
      <alignment horizontal="right"/>
    </xf>
    <xf numFmtId="168" fontId="10" fillId="0" borderId="0" xfId="0" applyNumberFormat="1" applyFont="1"/>
    <xf numFmtId="0" fontId="10" fillId="0" borderId="0" xfId="0" applyFont="1"/>
    <xf numFmtId="164" fontId="14" fillId="6" borderId="47" xfId="2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52" fillId="10" borderId="13" xfId="0" applyFont="1" applyFill="1" applyBorder="1" applyAlignment="1">
      <alignment horizontal="center"/>
    </xf>
    <xf numFmtId="0" fontId="52" fillId="10" borderId="21" xfId="0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vertical="center" wrapText="1"/>
    </xf>
    <xf numFmtId="0" fontId="47" fillId="17" borderId="55" xfId="0" applyFont="1" applyFill="1" applyBorder="1" applyAlignment="1">
      <alignment horizontal="left"/>
    </xf>
    <xf numFmtId="164" fontId="1" fillId="17" borderId="40" xfId="2" applyFont="1" applyFill="1" applyBorder="1" applyAlignment="1"/>
    <xf numFmtId="4" fontId="2" fillId="0" borderId="77" xfId="0" applyNumberFormat="1" applyFont="1" applyBorder="1" applyAlignment="1">
      <alignment horizontal="center"/>
    </xf>
    <xf numFmtId="44" fontId="2" fillId="0" borderId="77" xfId="0" applyNumberFormat="1" applyFont="1" applyBorder="1" applyAlignment="1">
      <alignment horizontal="center"/>
    </xf>
    <xf numFmtId="164" fontId="1" fillId="17" borderId="0" xfId="2" applyFont="1" applyFill="1" applyBorder="1"/>
    <xf numFmtId="164" fontId="1" fillId="15" borderId="40" xfId="2" applyFont="1" applyFill="1" applyBorder="1" applyAlignment="1"/>
    <xf numFmtId="0" fontId="58" fillId="15" borderId="56" xfId="0" applyFont="1" applyFill="1" applyBorder="1"/>
  </cellXfs>
  <cellStyles count="9">
    <cellStyle name="Comma" xfId="1" builtinId="3"/>
    <cellStyle name="Comma 2" xfId="7" xr:uid="{E2D46A0F-4C19-4AB9-8CC9-33F208CA2A39}"/>
    <cellStyle name="Comma 3" xfId="5" xr:uid="{8F166C45-BEE7-4003-9635-181A718B44C5}"/>
    <cellStyle name="Currency" xfId="2" builtinId="4"/>
    <cellStyle name="Currency 2" xfId="8" xr:uid="{65FEE154-DA29-41C3-BB46-A3E949BE4FF0}"/>
    <cellStyle name="Currency 3" xfId="6" xr:uid="{277F193B-8E92-45BF-8F93-48F33B395096}"/>
    <cellStyle name="Normal" xfId="0" builtinId="0"/>
    <cellStyle name="Normal 4" xfId="3" xr:uid="{00000000-0005-0000-0000-000003000000}"/>
    <cellStyle name="Percent" xfId="4" builtinId="5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FFFD2"/>
      <color rgb="FF00FF99"/>
      <color rgb="FFED1C24"/>
      <color rgb="FF9E9F9E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1072930</xdr:colOff>
      <xdr:row>0</xdr:row>
      <xdr:rowOff>224791</xdr:rowOff>
    </xdr:from>
    <xdr:to>
      <xdr:col>7</xdr:col>
      <xdr:colOff>1108262</xdr:colOff>
      <xdr:row>6</xdr:row>
      <xdr:rowOff>97617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9B227-3BDC-9048-8698-6C2EC642C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4521" y="224791"/>
          <a:ext cx="3152605" cy="1117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139700</xdr:rowOff>
    </xdr:from>
    <xdr:to>
      <xdr:col>1</xdr:col>
      <xdr:colOff>1206500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75123-7BA3-7540-9470-BC09EF21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39700"/>
          <a:ext cx="1333500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606777</xdr:colOff>
      <xdr:row>0</xdr:row>
      <xdr:rowOff>112888</xdr:rowOff>
    </xdr:from>
    <xdr:to>
      <xdr:col>1</xdr:col>
      <xdr:colOff>1178277</xdr:colOff>
      <xdr:row>6</xdr:row>
      <xdr:rowOff>88194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3B9819-F315-EC40-B560-4CB1F957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7" y="112888"/>
          <a:ext cx="1333500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190500</xdr:rowOff>
    </xdr:from>
    <xdr:to>
      <xdr:col>1</xdr:col>
      <xdr:colOff>1181100</xdr:colOff>
      <xdr:row>6</xdr:row>
      <xdr:rowOff>93980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E96C3B-AFE5-1141-9DB5-035DFB66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90500"/>
          <a:ext cx="1333500" cy="1333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1192389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CB16EF-C29A-F542-BEEE-598524B7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141111</xdr:rowOff>
    </xdr:from>
    <xdr:to>
      <xdr:col>1</xdr:col>
      <xdr:colOff>1206500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E14B1-D719-7849-A21D-1A83C155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165100</xdr:rowOff>
    </xdr:from>
    <xdr:to>
      <xdr:col>1</xdr:col>
      <xdr:colOff>1181100</xdr:colOff>
      <xdr:row>8</xdr:row>
      <xdr:rowOff>97155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3E5311-C3A7-BC48-B257-BDE6722E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65100"/>
          <a:ext cx="1333500" cy="1333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691445</xdr:colOff>
      <xdr:row>0</xdr:row>
      <xdr:rowOff>169333</xdr:rowOff>
    </xdr:from>
    <xdr:to>
      <xdr:col>1</xdr:col>
      <xdr:colOff>1202691</xdr:colOff>
      <xdr:row>6</xdr:row>
      <xdr:rowOff>60465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81DACA-B6B3-E948-9DD9-BB32423D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445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1151961</xdr:colOff>
      <xdr:row>6</xdr:row>
      <xdr:rowOff>68650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BA7C4-FC76-EA42-B46C-B5A0C8DE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169333</xdr:rowOff>
    </xdr:from>
    <xdr:to>
      <xdr:col>1</xdr:col>
      <xdr:colOff>1178278</xdr:colOff>
      <xdr:row>6</xdr:row>
      <xdr:rowOff>68085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E0A07E-8EA1-6B48-8120-CD6ACD96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151848</xdr:rowOff>
    </xdr:from>
    <xdr:to>
      <xdr:col>1</xdr:col>
      <xdr:colOff>1167848</xdr:colOff>
      <xdr:row>6</xdr:row>
      <xdr:rowOff>67780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CA3A8F-3CDC-1B48-928F-AC3302D9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51848"/>
          <a:ext cx="1333500" cy="1333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127000</xdr:rowOff>
    </xdr:from>
    <xdr:to>
      <xdr:col>1</xdr:col>
      <xdr:colOff>1178278</xdr:colOff>
      <xdr:row>6</xdr:row>
      <xdr:rowOff>35277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37D7A0-8821-8545-90BC-E3343EB8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27000"/>
          <a:ext cx="1333500" cy="1333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155222</xdr:rowOff>
    </xdr:from>
    <xdr:to>
      <xdr:col>1</xdr:col>
      <xdr:colOff>1135945</xdr:colOff>
      <xdr:row>6</xdr:row>
      <xdr:rowOff>63499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57F287-7FDE-A349-8083-CF7AD22C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493888</xdr:colOff>
      <xdr:row>0</xdr:row>
      <xdr:rowOff>141111</xdr:rowOff>
    </xdr:from>
    <xdr:to>
      <xdr:col>1</xdr:col>
      <xdr:colOff>1164166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0B22E3-E7C3-9343-BE1B-4F7E6BAE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88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183444</xdr:rowOff>
    </xdr:from>
    <xdr:to>
      <xdr:col>1</xdr:col>
      <xdr:colOff>1164167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DDC990-1AE0-A342-B898-CD723CEF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155222</xdr:rowOff>
    </xdr:from>
    <xdr:to>
      <xdr:col>1</xdr:col>
      <xdr:colOff>1164167</xdr:colOff>
      <xdr:row>6</xdr:row>
      <xdr:rowOff>63499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11F8A7-31D4-144A-9DD2-D05DAC069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169333</xdr:rowOff>
    </xdr:from>
    <xdr:to>
      <xdr:col>1</xdr:col>
      <xdr:colOff>1206500</xdr:colOff>
      <xdr:row>6</xdr:row>
      <xdr:rowOff>68085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0967F-A8A2-B84E-AD9D-C50933D6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643467</xdr:colOff>
      <xdr:row>0</xdr:row>
      <xdr:rowOff>152399</xdr:rowOff>
    </xdr:from>
    <xdr:to>
      <xdr:col>1</xdr:col>
      <xdr:colOff>1164167</xdr:colOff>
      <xdr:row>6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93470-7259-2D45-BA1D-B64D790A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467" y="152399"/>
          <a:ext cx="1333500" cy="1333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550333</xdr:colOff>
      <xdr:row>0</xdr:row>
      <xdr:rowOff>169334</xdr:rowOff>
    </xdr:from>
    <xdr:to>
      <xdr:col>1</xdr:col>
      <xdr:colOff>1192389</xdr:colOff>
      <xdr:row>6</xdr:row>
      <xdr:rowOff>68086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79E860-308C-9440-BD28-2863C8BE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33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186267</xdr:rowOff>
    </xdr:from>
    <xdr:to>
      <xdr:col>1</xdr:col>
      <xdr:colOff>1164167</xdr:colOff>
      <xdr:row>6</xdr:row>
      <xdr:rowOff>170180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4F537-8DFD-594E-A2EA-A33EAAA4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6267"/>
          <a:ext cx="1333500" cy="13335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626534</xdr:colOff>
      <xdr:row>0</xdr:row>
      <xdr:rowOff>169334</xdr:rowOff>
    </xdr:from>
    <xdr:to>
      <xdr:col>1</xdr:col>
      <xdr:colOff>1181101</xdr:colOff>
      <xdr:row>6</xdr:row>
      <xdr:rowOff>45509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9F139-ECE7-204F-BDAA-E6B59FF6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34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507999</xdr:colOff>
      <xdr:row>0</xdr:row>
      <xdr:rowOff>155223</xdr:rowOff>
    </xdr:from>
    <xdr:to>
      <xdr:col>1</xdr:col>
      <xdr:colOff>1065388</xdr:colOff>
      <xdr:row>6</xdr:row>
      <xdr:rowOff>64559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A9798-9203-C847-AB16-510DE34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155223"/>
          <a:ext cx="1333500" cy="13335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141111</xdr:rowOff>
    </xdr:from>
    <xdr:to>
      <xdr:col>1</xdr:col>
      <xdr:colOff>1178278</xdr:colOff>
      <xdr:row>6</xdr:row>
      <xdr:rowOff>51293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149023-958B-EF4E-B3F7-029CB3EC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634999</xdr:colOff>
      <xdr:row>0</xdr:row>
      <xdr:rowOff>141111</xdr:rowOff>
    </xdr:from>
    <xdr:to>
      <xdr:col>1</xdr:col>
      <xdr:colOff>1151960</xdr:colOff>
      <xdr:row>6</xdr:row>
      <xdr:rowOff>51293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F5687-D7BB-3145-8D9D-173B70CD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620888</xdr:colOff>
      <xdr:row>0</xdr:row>
      <xdr:rowOff>141111</xdr:rowOff>
    </xdr:from>
    <xdr:to>
      <xdr:col>1</xdr:col>
      <xdr:colOff>1178277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DBF4B6-C10A-784F-879F-2E576B54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8" y="141111"/>
          <a:ext cx="1333500" cy="1333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4000000}" name="Quarter" displayName="Quarter" ref="B2:B6" totalsRowShown="0" headerRowDxfId="18" dataDxfId="17">
  <autoFilter ref="B2:B6" xr:uid="{00000000-0009-0000-0100-00001C000000}"/>
  <tableColumns count="1">
    <tableColumn id="1" xr3:uid="{00000000-0010-0000-0400-000001000000}" name="Quarter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5000000}" name="Province" displayName="Province" ref="D2:D6" totalsRowShown="0" headerRowDxfId="15" dataDxfId="14">
  <autoFilter ref="D2:D6" xr:uid="{00000000-0009-0000-0100-00001D000000}"/>
  <tableColumns count="1">
    <tableColumn id="1" xr3:uid="{00000000-0010-0000-0500-000001000000}" name="Provinc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6000000}" name="Contract_Type" displayName="Contract_Type" ref="J2:J6" totalsRowShown="0" headerRowDxfId="12" dataDxfId="11">
  <autoFilter ref="J2:J6" xr:uid="{00000000-0009-0000-0100-00001E000000}"/>
  <tableColumns count="1">
    <tableColumn id="1" xr3:uid="{00000000-0010-0000-0600-000001000000}" name="Contract  Typ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7000000}" name="Payment_Method" displayName="Payment_Method" ref="K2:K4" totalsRowShown="0" headerRowDxfId="9" dataDxfId="8">
  <autoFilter ref="K2:K4" xr:uid="{00000000-0009-0000-0100-00001F000000}"/>
  <tableColumns count="1">
    <tableColumn id="1" xr3:uid="{00000000-0010-0000-0700-000001000000}" name="Payment Metho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8000000}" name="Status" displayName="Status" ref="R4:R7" totalsRowShown="0" headerRowDxfId="6" headerRowBorderDxfId="5" tableBorderDxfId="4" totalsRowBorderDxfId="3">
  <autoFilter ref="R4:R7" xr:uid="{00000000-0009-0000-0100-000020000000}"/>
  <tableColumns count="1">
    <tableColumn id="1" xr3:uid="{00000000-0010-0000-0800-000001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9000000}" name="Result" displayName="Result" ref="T4:T6" totalsRowShown="0" headerRowDxfId="2" dataDxfId="1">
  <autoFilter ref="T4:T6" xr:uid="{00000000-0009-0000-0100-000021000000}"/>
  <tableColumns count="1">
    <tableColumn id="1" xr3:uid="{00000000-0010-0000-0900-000001000000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"/>
  <sheetViews>
    <sheetView showFormulas="1" zoomScale="91" workbookViewId="0">
      <selection activeCell="A13" sqref="A13:B13"/>
    </sheetView>
  </sheetViews>
  <sheetFormatPr defaultColWidth="11.44140625" defaultRowHeight="13.2" x14ac:dyDescent="0.25"/>
  <cols>
    <col min="2" max="2" width="14" bestFit="1" customWidth="1"/>
    <col min="3" max="3" width="66.88671875" bestFit="1" customWidth="1"/>
    <col min="4" max="4" width="26.44140625" customWidth="1"/>
  </cols>
  <sheetData>
    <row r="1" spans="1:4" x14ac:dyDescent="0.25">
      <c r="A1" t="s">
        <v>152</v>
      </c>
      <c r="B1">
        <v>2</v>
      </c>
    </row>
    <row r="2" spans="1:4" ht="15.6" x14ac:dyDescent="0.3">
      <c r="B2" s="34" t="s">
        <v>686</v>
      </c>
      <c r="C2" s="35" t="s">
        <v>3</v>
      </c>
    </row>
    <row r="3" spans="1:4" ht="15" x14ac:dyDescent="0.25">
      <c r="B3" s="14" t="s">
        <v>102</v>
      </c>
      <c r="C3" s="36" t="s">
        <v>101</v>
      </c>
      <c r="D3" s="2">
        <f>'1'!K24</f>
        <v>0</v>
      </c>
    </row>
    <row r="4" spans="1:4" ht="15" x14ac:dyDescent="0.25">
      <c r="B4" s="15" t="s">
        <v>103</v>
      </c>
      <c r="C4" s="37" t="s">
        <v>104</v>
      </c>
      <c r="D4" s="2">
        <f>'1'!K35</f>
        <v>183350</v>
      </c>
    </row>
    <row r="5" spans="1:4" ht="15" x14ac:dyDescent="0.25">
      <c r="B5" s="15" t="s">
        <v>105</v>
      </c>
      <c r="C5" s="37" t="s">
        <v>106</v>
      </c>
      <c r="D5" s="2">
        <f>'1'!K67</f>
        <v>17078.206072875</v>
      </c>
    </row>
    <row r="6" spans="1:4" ht="15" x14ac:dyDescent="0.25">
      <c r="B6" s="15" t="s">
        <v>144</v>
      </c>
      <c r="C6" s="37" t="s">
        <v>145</v>
      </c>
      <c r="D6" s="2">
        <f>'1'!K76</f>
        <v>8000</v>
      </c>
    </row>
    <row r="7" spans="1:4" ht="15" x14ac:dyDescent="0.25">
      <c r="B7" s="15" t="s">
        <v>107</v>
      </c>
      <c r="C7" s="37" t="s">
        <v>108</v>
      </c>
      <c r="D7" s="2">
        <f>'1'!K87</f>
        <v>5700</v>
      </c>
    </row>
    <row r="8" spans="1:4" ht="15" x14ac:dyDescent="0.25">
      <c r="B8" s="15" t="s">
        <v>110</v>
      </c>
      <c r="C8" s="37" t="s">
        <v>109</v>
      </c>
      <c r="D8" s="2">
        <f>'1'!K97</f>
        <v>14495.394757312501</v>
      </c>
    </row>
    <row r="9" spans="1:4" ht="15" x14ac:dyDescent="0.25">
      <c r="B9" s="15" t="s">
        <v>111</v>
      </c>
      <c r="C9" s="37" t="s">
        <v>112</v>
      </c>
      <c r="D9" s="2">
        <f>'1'!K105</f>
        <v>12471.035971887501</v>
      </c>
    </row>
    <row r="10" spans="1:4" ht="15" x14ac:dyDescent="0.25">
      <c r="B10" s="15" t="s">
        <v>113</v>
      </c>
      <c r="C10" s="37" t="s">
        <v>114</v>
      </c>
      <c r="D10" s="2">
        <f>'1'!K128</f>
        <v>22425</v>
      </c>
    </row>
    <row r="11" spans="1:4" ht="15" x14ac:dyDescent="0.25">
      <c r="B11" s="15" t="s">
        <v>115</v>
      </c>
      <c r="C11" s="37" t="s">
        <v>116</v>
      </c>
      <c r="D11" s="2">
        <f>'1'!K136</f>
        <v>19859</v>
      </c>
    </row>
    <row r="13" spans="1:4" x14ac:dyDescent="0.25">
      <c r="A13" t="s">
        <v>152</v>
      </c>
      <c r="B13">
        <v>2</v>
      </c>
    </row>
    <row r="15" spans="1:4" ht="15" x14ac:dyDescent="0.25">
      <c r="B15" s="3" t="s">
        <v>153</v>
      </c>
      <c r="C15" s="3" t="s">
        <v>155</v>
      </c>
    </row>
    <row r="16" spans="1:4" ht="15" x14ac:dyDescent="0.25">
      <c r="B16" s="4" t="s">
        <v>154</v>
      </c>
      <c r="C16" s="4" t="s">
        <v>77</v>
      </c>
      <c r="D16" s="2">
        <f>'2'!K26</f>
        <v>3600</v>
      </c>
    </row>
    <row r="17" spans="1:4" ht="15" x14ac:dyDescent="0.25">
      <c r="B17" s="4" t="s">
        <v>156</v>
      </c>
      <c r="C17" s="4" t="s">
        <v>157</v>
      </c>
      <c r="D17" s="2">
        <f>'2'!K37</f>
        <v>0</v>
      </c>
    </row>
    <row r="18" spans="1:4" ht="15" x14ac:dyDescent="0.25">
      <c r="B18" s="4" t="s">
        <v>158</v>
      </c>
      <c r="C18" s="4" t="s">
        <v>537</v>
      </c>
      <c r="D18" s="2">
        <f>'2'!K48</f>
        <v>0</v>
      </c>
    </row>
    <row r="21" spans="1:4" x14ac:dyDescent="0.25">
      <c r="A21" t="s">
        <v>152</v>
      </c>
      <c r="B21">
        <v>3</v>
      </c>
    </row>
    <row r="22" spans="1:4" ht="15" x14ac:dyDescent="0.25">
      <c r="B22" s="3" t="s">
        <v>159</v>
      </c>
      <c r="C22" s="3" t="s">
        <v>4</v>
      </c>
    </row>
    <row r="23" spans="1:4" ht="15" x14ac:dyDescent="0.25">
      <c r="B23" s="4" t="s">
        <v>160</v>
      </c>
      <c r="C23" s="4" t="s">
        <v>161</v>
      </c>
      <c r="D23" s="2">
        <f>'3'!K26</f>
        <v>56820</v>
      </c>
    </row>
    <row r="24" spans="1:4" ht="15" x14ac:dyDescent="0.25">
      <c r="B24" s="4" t="s">
        <v>163</v>
      </c>
      <c r="C24" s="4" t="s">
        <v>162</v>
      </c>
      <c r="D24" s="2">
        <f>'3'!K37</f>
        <v>25280</v>
      </c>
    </row>
    <row r="25" spans="1:4" ht="15" x14ac:dyDescent="0.25">
      <c r="B25" s="4" t="s">
        <v>164</v>
      </c>
      <c r="C25" s="4" t="s">
        <v>168</v>
      </c>
      <c r="D25" s="2">
        <f>'3'!K52</f>
        <v>26603.125</v>
      </c>
    </row>
    <row r="26" spans="1:4" ht="15" x14ac:dyDescent="0.25">
      <c r="B26" s="4" t="s">
        <v>165</v>
      </c>
      <c r="C26" s="4" t="s">
        <v>169</v>
      </c>
      <c r="D26" s="2">
        <f>'3'!K65</f>
        <v>10447.200000000001</v>
      </c>
    </row>
    <row r="27" spans="1:4" ht="15" x14ac:dyDescent="0.25">
      <c r="B27" s="4" t="s">
        <v>166</v>
      </c>
      <c r="C27" s="4" t="s">
        <v>170</v>
      </c>
      <c r="D27" s="2">
        <f>'3'!K76</f>
        <v>0</v>
      </c>
    </row>
    <row r="28" spans="1:4" ht="15" x14ac:dyDescent="0.25">
      <c r="B28" s="4" t="s">
        <v>167</v>
      </c>
      <c r="C28" s="4" t="s">
        <v>171</v>
      </c>
      <c r="D28" s="2">
        <f>'3'!K85</f>
        <v>23375.293750000001</v>
      </c>
    </row>
    <row r="31" spans="1:4" x14ac:dyDescent="0.25">
      <c r="A31" t="s">
        <v>152</v>
      </c>
      <c r="B31">
        <v>4</v>
      </c>
    </row>
    <row r="32" spans="1:4" ht="15" x14ac:dyDescent="0.25">
      <c r="B32" s="3" t="s">
        <v>172</v>
      </c>
      <c r="C32" s="3" t="s">
        <v>5</v>
      </c>
    </row>
    <row r="33" spans="1:4" ht="15" x14ac:dyDescent="0.25">
      <c r="B33" s="4" t="s">
        <v>173</v>
      </c>
      <c r="C33" s="4" t="s">
        <v>175</v>
      </c>
      <c r="D33" s="2">
        <f>'4'!K26</f>
        <v>0</v>
      </c>
    </row>
    <row r="34" spans="1:4" ht="15" x14ac:dyDescent="0.25">
      <c r="B34" s="4" t="s">
        <v>174</v>
      </c>
      <c r="C34" s="4" t="s">
        <v>176</v>
      </c>
      <c r="D34" s="2">
        <f>'4'!K37</f>
        <v>0</v>
      </c>
    </row>
    <row r="36" spans="1:4" x14ac:dyDescent="0.25">
      <c r="A36" t="s">
        <v>177</v>
      </c>
      <c r="B36">
        <v>5</v>
      </c>
    </row>
    <row r="37" spans="1:4" ht="15" x14ac:dyDescent="0.25">
      <c r="B37" s="3" t="s">
        <v>178</v>
      </c>
      <c r="C37" s="3" t="s">
        <v>6</v>
      </c>
    </row>
    <row r="38" spans="1:4" ht="15" x14ac:dyDescent="0.25">
      <c r="B38" s="4" t="s">
        <v>179</v>
      </c>
      <c r="C38" s="4" t="s">
        <v>185</v>
      </c>
      <c r="D38" s="2">
        <f>'5'!K26</f>
        <v>0</v>
      </c>
    </row>
    <row r="39" spans="1:4" ht="15" x14ac:dyDescent="0.25">
      <c r="B39" s="4" t="s">
        <v>180</v>
      </c>
      <c r="C39" s="4" t="s">
        <v>186</v>
      </c>
      <c r="D39" s="2">
        <f>'5'!K37</f>
        <v>0</v>
      </c>
    </row>
    <row r="40" spans="1:4" ht="15" x14ac:dyDescent="0.25">
      <c r="B40" s="4" t="s">
        <v>181</v>
      </c>
      <c r="C40" s="4" t="s">
        <v>187</v>
      </c>
      <c r="D40" s="2">
        <f>'5'!K45</f>
        <v>0</v>
      </c>
    </row>
    <row r="41" spans="1:4" ht="15" x14ac:dyDescent="0.25">
      <c r="B41" s="4" t="s">
        <v>182</v>
      </c>
      <c r="C41" s="4" t="s">
        <v>188</v>
      </c>
      <c r="D41" s="2">
        <f>'5'!K54</f>
        <v>0</v>
      </c>
    </row>
    <row r="42" spans="1:4" ht="15" x14ac:dyDescent="0.25">
      <c r="B42" s="4" t="s">
        <v>183</v>
      </c>
      <c r="C42" s="4" t="s">
        <v>189</v>
      </c>
      <c r="D42" s="2">
        <f>'5'!K65</f>
        <v>0</v>
      </c>
    </row>
    <row r="43" spans="1:4" ht="15" x14ac:dyDescent="0.25">
      <c r="B43" s="4" t="s">
        <v>184</v>
      </c>
      <c r="C43" s="4" t="s">
        <v>190</v>
      </c>
      <c r="D43" s="2">
        <f>'5'!K74</f>
        <v>0</v>
      </c>
    </row>
    <row r="46" spans="1:4" x14ac:dyDescent="0.25">
      <c r="A46" t="s">
        <v>177</v>
      </c>
      <c r="B46">
        <v>6</v>
      </c>
    </row>
    <row r="47" spans="1:4" ht="15" x14ac:dyDescent="0.25">
      <c r="B47" s="3" t="s">
        <v>191</v>
      </c>
      <c r="C47" s="3" t="s">
        <v>192</v>
      </c>
    </row>
    <row r="48" spans="1:4" ht="15" x14ac:dyDescent="0.25">
      <c r="B48" s="4" t="s">
        <v>801</v>
      </c>
      <c r="C48" s="4" t="s">
        <v>726</v>
      </c>
      <c r="D48" s="2">
        <f>'6'!K29</f>
        <v>120000</v>
      </c>
    </row>
    <row r="49" spans="1:4" ht="15" x14ac:dyDescent="0.25">
      <c r="B49" s="4" t="s">
        <v>193</v>
      </c>
      <c r="C49" s="4" t="s">
        <v>78</v>
      </c>
      <c r="D49" s="2">
        <f>'6'!K76</f>
        <v>92676.18</v>
      </c>
    </row>
    <row r="50" spans="1:4" ht="15" x14ac:dyDescent="0.25">
      <c r="B50" s="4" t="s">
        <v>194</v>
      </c>
      <c r="C50" s="4" t="s">
        <v>48</v>
      </c>
      <c r="D50" s="2">
        <f>'6'!K90</f>
        <v>124494</v>
      </c>
    </row>
    <row r="51" spans="1:4" ht="15" x14ac:dyDescent="0.25">
      <c r="B51" s="4" t="s">
        <v>195</v>
      </c>
      <c r="C51" s="4" t="s">
        <v>196</v>
      </c>
      <c r="D51" s="2">
        <f>'6'!K98</f>
        <v>0</v>
      </c>
    </row>
    <row r="52" spans="1:4" ht="15" x14ac:dyDescent="0.25">
      <c r="B52" s="4" t="s">
        <v>198</v>
      </c>
      <c r="C52" s="4" t="s">
        <v>197</v>
      </c>
      <c r="D52" s="2">
        <f>'6'!K107</f>
        <v>0</v>
      </c>
    </row>
    <row r="53" spans="1:4" ht="15" x14ac:dyDescent="0.25">
      <c r="B53" s="4" t="s">
        <v>199</v>
      </c>
      <c r="C53" s="4" t="s">
        <v>200</v>
      </c>
      <c r="D53" s="2">
        <f>'6'!K118</f>
        <v>0</v>
      </c>
    </row>
    <row r="54" spans="1:4" ht="15" x14ac:dyDescent="0.25">
      <c r="B54" s="4" t="s">
        <v>201</v>
      </c>
      <c r="C54" s="4" t="s">
        <v>202</v>
      </c>
      <c r="D54" s="2">
        <f>'6'!K127</f>
        <v>0</v>
      </c>
    </row>
    <row r="55" spans="1:4" ht="15" x14ac:dyDescent="0.25">
      <c r="B55" s="4" t="s">
        <v>204</v>
      </c>
      <c r="C55" s="4" t="s">
        <v>203</v>
      </c>
      <c r="D55" s="2">
        <f>'6'!K134</f>
        <v>0</v>
      </c>
    </row>
    <row r="58" spans="1:4" x14ac:dyDescent="0.25">
      <c r="A58" t="s">
        <v>177</v>
      </c>
      <c r="B58">
        <v>7</v>
      </c>
    </row>
    <row r="59" spans="1:4" ht="15" x14ac:dyDescent="0.25">
      <c r="B59" s="3" t="s">
        <v>205</v>
      </c>
      <c r="C59" s="3" t="s">
        <v>57</v>
      </c>
    </row>
    <row r="60" spans="1:4" ht="15" x14ac:dyDescent="0.25">
      <c r="B60" s="4" t="s">
        <v>206</v>
      </c>
      <c r="C60" s="4" t="s">
        <v>207</v>
      </c>
      <c r="D60" s="2">
        <f>'7'!K32</f>
        <v>39041.340000000004</v>
      </c>
    </row>
    <row r="61" spans="1:4" ht="15" x14ac:dyDescent="0.25">
      <c r="B61" s="4" t="s">
        <v>214</v>
      </c>
      <c r="C61" s="4" t="s">
        <v>215</v>
      </c>
      <c r="D61" s="2">
        <f>'7'!K38</f>
        <v>0</v>
      </c>
    </row>
    <row r="62" spans="1:4" ht="15" x14ac:dyDescent="0.25">
      <c r="B62" s="4" t="s">
        <v>216</v>
      </c>
      <c r="C62" s="4" t="s">
        <v>217</v>
      </c>
      <c r="D62" s="2">
        <f>'7'!K57</f>
        <v>27863</v>
      </c>
    </row>
    <row r="63" spans="1:4" ht="15" x14ac:dyDescent="0.25">
      <c r="B63" s="4" t="s">
        <v>218</v>
      </c>
      <c r="C63" s="4" t="s">
        <v>219</v>
      </c>
      <c r="D63" s="2">
        <f>'7'!K63</f>
        <v>0</v>
      </c>
    </row>
    <row r="64" spans="1:4" ht="15" x14ac:dyDescent="0.25">
      <c r="B64" s="4" t="s">
        <v>220</v>
      </c>
      <c r="C64" s="4" t="s">
        <v>58</v>
      </c>
      <c r="D64" s="2">
        <f>'7'!K83</f>
        <v>70982.2</v>
      </c>
    </row>
    <row r="65" spans="1:4" ht="15" x14ac:dyDescent="0.25">
      <c r="B65" s="4" t="s">
        <v>221</v>
      </c>
      <c r="C65" s="4" t="s">
        <v>222</v>
      </c>
      <c r="D65" s="2">
        <f>'7'!K89</f>
        <v>0</v>
      </c>
    </row>
    <row r="66" spans="1:4" ht="15" x14ac:dyDescent="0.25">
      <c r="B66" s="4" t="s">
        <v>223</v>
      </c>
      <c r="C66" s="4" t="s">
        <v>224</v>
      </c>
      <c r="D66" s="2">
        <f>'7'!K94</f>
        <v>0</v>
      </c>
    </row>
    <row r="67" spans="1:4" ht="15" x14ac:dyDescent="0.25">
      <c r="B67" s="4" t="s">
        <v>225</v>
      </c>
      <c r="C67" s="4" t="s">
        <v>226</v>
      </c>
      <c r="D67" s="2">
        <f>'7'!K99</f>
        <v>0</v>
      </c>
    </row>
    <row r="68" spans="1:4" ht="15" x14ac:dyDescent="0.25">
      <c r="B68" s="4" t="s">
        <v>229</v>
      </c>
      <c r="C68" s="4" t="s">
        <v>227</v>
      </c>
      <c r="D68" s="2">
        <f>'7'!K104</f>
        <v>0</v>
      </c>
    </row>
    <row r="69" spans="1:4" ht="15" x14ac:dyDescent="0.25">
      <c r="B69" s="4" t="s">
        <v>230</v>
      </c>
      <c r="C69" s="4" t="s">
        <v>228</v>
      </c>
      <c r="D69" s="2">
        <f>'7'!K110</f>
        <v>0</v>
      </c>
    </row>
    <row r="70" spans="1:4" ht="15" x14ac:dyDescent="0.25">
      <c r="B70" s="4" t="s">
        <v>231</v>
      </c>
      <c r="C70" s="4" t="s">
        <v>232</v>
      </c>
      <c r="D70" s="2">
        <f>'7'!K116</f>
        <v>4140</v>
      </c>
    </row>
    <row r="71" spans="1:4" ht="15" x14ac:dyDescent="0.25">
      <c r="B71" s="4" t="s">
        <v>236</v>
      </c>
      <c r="C71" s="4" t="s">
        <v>237</v>
      </c>
      <c r="D71" s="2">
        <f>'7'!K122</f>
        <v>0</v>
      </c>
    </row>
    <row r="72" spans="1:4" ht="15" x14ac:dyDescent="0.25">
      <c r="B72" s="4" t="s">
        <v>240</v>
      </c>
      <c r="C72" s="4" t="s">
        <v>241</v>
      </c>
      <c r="D72" s="2">
        <f>'7'!K128</f>
        <v>0</v>
      </c>
    </row>
    <row r="74" spans="1:4" x14ac:dyDescent="0.25">
      <c r="A74" t="s">
        <v>152</v>
      </c>
      <c r="B74">
        <v>8</v>
      </c>
    </row>
    <row r="75" spans="1:4" ht="15" x14ac:dyDescent="0.25">
      <c r="B75" s="3" t="s">
        <v>242</v>
      </c>
      <c r="C75" s="3" t="s">
        <v>243</v>
      </c>
    </row>
    <row r="76" spans="1:4" ht="15" x14ac:dyDescent="0.25">
      <c r="B76" s="4" t="s">
        <v>244</v>
      </c>
      <c r="C76" s="4" t="s">
        <v>245</v>
      </c>
      <c r="D76" s="2">
        <f>'8'!K34</f>
        <v>109127</v>
      </c>
    </row>
    <row r="77" spans="1:4" ht="15" x14ac:dyDescent="0.25">
      <c r="B77" s="4" t="s">
        <v>248</v>
      </c>
      <c r="C77" s="4" t="s">
        <v>249</v>
      </c>
      <c r="D77" s="2">
        <f>'8'!K40</f>
        <v>0</v>
      </c>
    </row>
    <row r="78" spans="1:4" ht="15" x14ac:dyDescent="0.25">
      <c r="B78" s="4" t="s">
        <v>250</v>
      </c>
      <c r="C78" s="4" t="s">
        <v>251</v>
      </c>
      <c r="D78" s="2">
        <f>'8'!K45</f>
        <v>0</v>
      </c>
    </row>
    <row r="79" spans="1:4" ht="15" x14ac:dyDescent="0.25">
      <c r="B79" s="4" t="s">
        <v>252</v>
      </c>
      <c r="C79" s="4" t="s">
        <v>253</v>
      </c>
      <c r="D79" s="2">
        <f>'8'!K51</f>
        <v>0</v>
      </c>
    </row>
    <row r="80" spans="1:4" ht="15" x14ac:dyDescent="0.25">
      <c r="B80" s="4" t="s">
        <v>254</v>
      </c>
      <c r="C80" s="4" t="s">
        <v>255</v>
      </c>
      <c r="D80" s="2">
        <f>'8'!K57</f>
        <v>0</v>
      </c>
    </row>
    <row r="81" spans="1:4" ht="15" x14ac:dyDescent="0.25">
      <c r="B81" s="4" t="s">
        <v>256</v>
      </c>
      <c r="C81" s="4" t="s">
        <v>257</v>
      </c>
      <c r="D81" s="2">
        <f>'8'!K63</f>
        <v>0</v>
      </c>
    </row>
    <row r="82" spans="1:4" ht="15" x14ac:dyDescent="0.25">
      <c r="B82" s="4" t="s">
        <v>258</v>
      </c>
      <c r="C82" s="4" t="s">
        <v>60</v>
      </c>
      <c r="D82" s="2">
        <f>'8'!K68</f>
        <v>0</v>
      </c>
    </row>
    <row r="83" spans="1:4" ht="15" x14ac:dyDescent="0.25">
      <c r="B83" s="4" t="s">
        <v>259</v>
      </c>
      <c r="C83" s="4" t="s">
        <v>47</v>
      </c>
      <c r="D83" s="2">
        <f>'8'!K73</f>
        <v>0</v>
      </c>
    </row>
    <row r="84" spans="1:4" ht="15" x14ac:dyDescent="0.25">
      <c r="B84" s="4" t="s">
        <v>260</v>
      </c>
      <c r="C84" s="4" t="s">
        <v>261</v>
      </c>
      <c r="D84" s="2">
        <f>'8'!K78</f>
        <v>0</v>
      </c>
    </row>
    <row r="85" spans="1:4" ht="15" x14ac:dyDescent="0.25">
      <c r="B85" s="4" t="s">
        <v>262</v>
      </c>
      <c r="C85" s="4" t="s">
        <v>94</v>
      </c>
      <c r="D85" s="2">
        <f>'8'!K88</f>
        <v>21730.21</v>
      </c>
    </row>
    <row r="86" spans="1:4" ht="15" x14ac:dyDescent="0.25">
      <c r="B86" s="4" t="s">
        <v>268</v>
      </c>
      <c r="C86" s="4" t="s">
        <v>61</v>
      </c>
      <c r="D86" s="2">
        <f>'8'!K94</f>
        <v>0</v>
      </c>
    </row>
    <row r="87" spans="1:4" ht="15" x14ac:dyDescent="0.25">
      <c r="B87" s="4" t="s">
        <v>269</v>
      </c>
      <c r="C87" s="4" t="s">
        <v>270</v>
      </c>
      <c r="D87" s="2">
        <f>'8'!K101</f>
        <v>5310</v>
      </c>
    </row>
    <row r="88" spans="1:4" ht="15" x14ac:dyDescent="0.25">
      <c r="B88" s="4" t="s">
        <v>271</v>
      </c>
      <c r="C88" s="4" t="s">
        <v>272</v>
      </c>
      <c r="D88" s="2">
        <f>'8'!K107</f>
        <v>0</v>
      </c>
    </row>
    <row r="89" spans="1:4" ht="15" x14ac:dyDescent="0.25">
      <c r="B89" s="4" t="s">
        <v>273</v>
      </c>
      <c r="C89" s="4" t="s">
        <v>274</v>
      </c>
      <c r="D89" s="2">
        <f>'8'!K113</f>
        <v>0</v>
      </c>
    </row>
    <row r="90" spans="1:4" ht="15" x14ac:dyDescent="0.25">
      <c r="B90" s="4" t="s">
        <v>275</v>
      </c>
      <c r="C90" s="4" t="s">
        <v>276</v>
      </c>
      <c r="D90" s="2">
        <f>'8'!K119</f>
        <v>0</v>
      </c>
    </row>
    <row r="92" spans="1:4" x14ac:dyDescent="0.25">
      <c r="A92" t="s">
        <v>177</v>
      </c>
      <c r="B92">
        <v>9</v>
      </c>
    </row>
    <row r="93" spans="1:4" ht="15" x14ac:dyDescent="0.25">
      <c r="B93" s="3" t="s">
        <v>277</v>
      </c>
      <c r="C93" s="3" t="s">
        <v>8</v>
      </c>
    </row>
    <row r="94" spans="1:4" ht="15" x14ac:dyDescent="0.25">
      <c r="B94" s="4" t="s">
        <v>278</v>
      </c>
      <c r="C94" s="4" t="s">
        <v>279</v>
      </c>
      <c r="D94" s="2">
        <f>'9'!K20</f>
        <v>106922.63</v>
      </c>
    </row>
    <row r="95" spans="1:4" ht="15" x14ac:dyDescent="0.25">
      <c r="B95" s="4" t="s">
        <v>280</v>
      </c>
      <c r="C95" s="4" t="s">
        <v>281</v>
      </c>
      <c r="D95" s="2">
        <f>'9'!K28</f>
        <v>0</v>
      </c>
    </row>
    <row r="96" spans="1:4" ht="15" x14ac:dyDescent="0.25">
      <c r="B96" s="4" t="s">
        <v>282</v>
      </c>
      <c r="C96" s="4" t="s">
        <v>283</v>
      </c>
      <c r="D96" s="2">
        <f>'9'!K39</f>
        <v>0</v>
      </c>
    </row>
    <row r="97" spans="1:4" ht="15" x14ac:dyDescent="0.25">
      <c r="B97" s="4" t="s">
        <v>284</v>
      </c>
      <c r="C97" s="4" t="s">
        <v>79</v>
      </c>
      <c r="D97" s="2">
        <f>'9'!K59</f>
        <v>59372</v>
      </c>
    </row>
    <row r="98" spans="1:4" ht="15" x14ac:dyDescent="0.25">
      <c r="B98" s="4" t="s">
        <v>292</v>
      </c>
      <c r="C98" s="4" t="s">
        <v>66</v>
      </c>
      <c r="D98" s="2">
        <f>'9'!K65</f>
        <v>0</v>
      </c>
    </row>
    <row r="99" spans="1:4" ht="15" x14ac:dyDescent="0.25">
      <c r="B99" s="4" t="s">
        <v>293</v>
      </c>
      <c r="C99" s="4" t="s">
        <v>80</v>
      </c>
      <c r="D99" s="2">
        <f>'9'!K74</f>
        <v>21440</v>
      </c>
    </row>
    <row r="102" spans="1:4" x14ac:dyDescent="0.25">
      <c r="A102" t="s">
        <v>152</v>
      </c>
      <c r="B102">
        <v>10</v>
      </c>
    </row>
    <row r="103" spans="1:4" ht="15" x14ac:dyDescent="0.25">
      <c r="B103" s="3" t="s">
        <v>296</v>
      </c>
      <c r="C103" s="3" t="s">
        <v>9</v>
      </c>
    </row>
    <row r="104" spans="1:4" ht="15" x14ac:dyDescent="0.25">
      <c r="B104" s="4" t="s">
        <v>297</v>
      </c>
      <c r="C104" s="4" t="s">
        <v>298</v>
      </c>
      <c r="D104" s="2">
        <f>'10'!K17</f>
        <v>0</v>
      </c>
    </row>
    <row r="105" spans="1:4" ht="15" x14ac:dyDescent="0.25">
      <c r="B105" s="4" t="s">
        <v>299</v>
      </c>
      <c r="C105" s="4" t="s">
        <v>300</v>
      </c>
      <c r="D105" s="2">
        <f>'10'!K25</f>
        <v>0</v>
      </c>
    </row>
    <row r="106" spans="1:4" ht="15" x14ac:dyDescent="0.25">
      <c r="B106" s="4" t="s">
        <v>301</v>
      </c>
      <c r="C106" s="4" t="s">
        <v>302</v>
      </c>
      <c r="D106" s="2">
        <f>'10'!K40</f>
        <v>10815</v>
      </c>
    </row>
    <row r="107" spans="1:4" ht="15" x14ac:dyDescent="0.25">
      <c r="B107" s="4" t="s">
        <v>316</v>
      </c>
      <c r="C107" s="4" t="s">
        <v>317</v>
      </c>
      <c r="D107" s="2">
        <f>'10'!K46</f>
        <v>0</v>
      </c>
    </row>
    <row r="108" spans="1:4" ht="15" x14ac:dyDescent="0.25">
      <c r="B108" s="4" t="s">
        <v>319</v>
      </c>
      <c r="C108" s="4" t="s">
        <v>67</v>
      </c>
      <c r="D108" s="2">
        <f>'10'!K53</f>
        <v>0</v>
      </c>
    </row>
    <row r="109" spans="1:4" ht="15" x14ac:dyDescent="0.25">
      <c r="B109" s="4" t="s">
        <v>320</v>
      </c>
      <c r="C109" s="4" t="s">
        <v>321</v>
      </c>
      <c r="D109" s="2">
        <f>'10'!K59</f>
        <v>0</v>
      </c>
    </row>
    <row r="110" spans="1:4" ht="15" x14ac:dyDescent="0.25">
      <c r="B110" s="4" t="s">
        <v>322</v>
      </c>
      <c r="C110" s="4" t="s">
        <v>323</v>
      </c>
      <c r="D110" s="2">
        <f>'10'!K65</f>
        <v>0</v>
      </c>
    </row>
    <row r="112" spans="1:4" x14ac:dyDescent="0.25">
      <c r="A112" t="s">
        <v>177</v>
      </c>
      <c r="B112">
        <v>11</v>
      </c>
    </row>
    <row r="113" spans="1:4" ht="15" x14ac:dyDescent="0.25">
      <c r="B113" s="3" t="s">
        <v>330</v>
      </c>
      <c r="C113" s="3" t="s">
        <v>70</v>
      </c>
    </row>
    <row r="114" spans="1:4" ht="15" x14ac:dyDescent="0.25">
      <c r="B114" s="4" t="s">
        <v>331</v>
      </c>
      <c r="C114" s="4" t="s">
        <v>332</v>
      </c>
      <c r="D114" s="2">
        <f>'11'!K24</f>
        <v>0</v>
      </c>
    </row>
    <row r="115" spans="1:4" ht="15" x14ac:dyDescent="0.25">
      <c r="B115" s="4" t="s">
        <v>333</v>
      </c>
      <c r="C115" s="4" t="s">
        <v>334</v>
      </c>
      <c r="D115" s="2">
        <f>'11'!K35</f>
        <v>0</v>
      </c>
    </row>
    <row r="116" spans="1:4" ht="15" x14ac:dyDescent="0.25">
      <c r="B116" s="4" t="s">
        <v>335</v>
      </c>
      <c r="C116" s="4" t="s">
        <v>336</v>
      </c>
      <c r="D116" s="2">
        <f>'11'!K43</f>
        <v>0</v>
      </c>
    </row>
    <row r="117" spans="1:4" ht="15" x14ac:dyDescent="0.25">
      <c r="B117" s="4" t="s">
        <v>339</v>
      </c>
      <c r="C117" s="4" t="s">
        <v>340</v>
      </c>
      <c r="D117" s="2">
        <f>'11'!K52</f>
        <v>0</v>
      </c>
    </row>
    <row r="118" spans="1:4" ht="15" x14ac:dyDescent="0.25">
      <c r="B118" s="4" t="s">
        <v>343</v>
      </c>
      <c r="C118" s="4" t="s">
        <v>344</v>
      </c>
      <c r="D118" s="2">
        <f>'11'!K63</f>
        <v>0</v>
      </c>
    </row>
    <row r="119" spans="1:4" ht="15" x14ac:dyDescent="0.25">
      <c r="B119" s="4" t="s">
        <v>347</v>
      </c>
      <c r="C119" s="4" t="s">
        <v>348</v>
      </c>
      <c r="D119" s="2">
        <f>'11'!K72</f>
        <v>0</v>
      </c>
    </row>
    <row r="120" spans="1:4" ht="15" x14ac:dyDescent="0.25">
      <c r="B120" s="4" t="s">
        <v>349</v>
      </c>
      <c r="C120" s="4" t="s">
        <v>350</v>
      </c>
      <c r="D120" s="2">
        <f>'11'!K79</f>
        <v>0</v>
      </c>
    </row>
    <row r="123" spans="1:4" x14ac:dyDescent="0.25">
      <c r="A123" t="s">
        <v>177</v>
      </c>
      <c r="B123">
        <v>12</v>
      </c>
    </row>
    <row r="124" spans="1:4" ht="15" x14ac:dyDescent="0.25">
      <c r="B124" s="3" t="s">
        <v>351</v>
      </c>
      <c r="C124" s="3" t="s">
        <v>75</v>
      </c>
    </row>
    <row r="125" spans="1:4" ht="15" x14ac:dyDescent="0.25">
      <c r="B125" s="4" t="s">
        <v>352</v>
      </c>
      <c r="C125" s="4" t="s">
        <v>353</v>
      </c>
      <c r="D125" s="2">
        <f>'12'!K24</f>
        <v>0</v>
      </c>
    </row>
    <row r="126" spans="1:4" ht="15" x14ac:dyDescent="0.25">
      <c r="B126" s="4" t="s">
        <v>354</v>
      </c>
      <c r="C126" s="4" t="s">
        <v>355</v>
      </c>
      <c r="D126" s="2">
        <f>'12'!K35</f>
        <v>0</v>
      </c>
    </row>
    <row r="127" spans="1:4" ht="15" x14ac:dyDescent="0.25">
      <c r="B127" s="4" t="s">
        <v>356</v>
      </c>
      <c r="C127" s="4" t="s">
        <v>357</v>
      </c>
      <c r="D127" s="2">
        <f>'12'!K43</f>
        <v>0</v>
      </c>
    </row>
    <row r="128" spans="1:4" ht="15" x14ac:dyDescent="0.25">
      <c r="B128" s="4" t="s">
        <v>358</v>
      </c>
      <c r="C128" s="4" t="s">
        <v>360</v>
      </c>
      <c r="D128" s="2">
        <f>'12'!K52</f>
        <v>0</v>
      </c>
    </row>
    <row r="129" spans="1:4" ht="15" x14ac:dyDescent="0.25">
      <c r="B129" s="4" t="s">
        <v>359</v>
      </c>
      <c r="C129" s="4" t="s">
        <v>361</v>
      </c>
      <c r="D129" s="2">
        <f>'12'!K63</f>
        <v>0</v>
      </c>
    </row>
    <row r="130" spans="1:4" ht="15" x14ac:dyDescent="0.25">
      <c r="B130" s="4" t="s">
        <v>363</v>
      </c>
      <c r="C130" s="4" t="s">
        <v>362</v>
      </c>
      <c r="D130" s="2">
        <f>'12'!K72</f>
        <v>0</v>
      </c>
    </row>
    <row r="132" spans="1:4" x14ac:dyDescent="0.25">
      <c r="A132" t="s">
        <v>177</v>
      </c>
      <c r="B132">
        <v>13</v>
      </c>
    </row>
    <row r="133" spans="1:4" ht="15" x14ac:dyDescent="0.25">
      <c r="B133" s="3" t="s">
        <v>364</v>
      </c>
      <c r="C133" s="3" t="s">
        <v>76</v>
      </c>
    </row>
    <row r="136" spans="1:4" x14ac:dyDescent="0.25">
      <c r="A136" t="s">
        <v>177</v>
      </c>
      <c r="B136">
        <v>14</v>
      </c>
    </row>
    <row r="137" spans="1:4" ht="15" x14ac:dyDescent="0.25">
      <c r="B137" s="3" t="s">
        <v>365</v>
      </c>
      <c r="C137" s="3" t="s">
        <v>366</v>
      </c>
    </row>
    <row r="138" spans="1:4" ht="15" x14ac:dyDescent="0.25">
      <c r="B138" s="4" t="s">
        <v>367</v>
      </c>
      <c r="C138" s="4" t="s">
        <v>68</v>
      </c>
      <c r="D138" s="2">
        <f>'14'!K24</f>
        <v>0</v>
      </c>
    </row>
    <row r="139" spans="1:4" ht="15" x14ac:dyDescent="0.25">
      <c r="B139" s="4" t="s">
        <v>368</v>
      </c>
      <c r="C139" s="4" t="s">
        <v>69</v>
      </c>
      <c r="D139" s="2">
        <f>'14'!K35</f>
        <v>0</v>
      </c>
    </row>
    <row r="140" spans="1:4" ht="15" x14ac:dyDescent="0.25">
      <c r="B140" s="4" t="s">
        <v>370</v>
      </c>
      <c r="C140" s="4" t="s">
        <v>369</v>
      </c>
      <c r="D140" s="2">
        <f>'14'!K43</f>
        <v>0</v>
      </c>
    </row>
    <row r="142" spans="1:4" x14ac:dyDescent="0.25">
      <c r="A142" t="s">
        <v>177</v>
      </c>
      <c r="B142">
        <v>21</v>
      </c>
    </row>
    <row r="143" spans="1:4" ht="15" x14ac:dyDescent="0.25">
      <c r="B143" s="3" t="s">
        <v>371</v>
      </c>
      <c r="C143" s="3" t="s">
        <v>151</v>
      </c>
    </row>
    <row r="144" spans="1:4" ht="15" x14ac:dyDescent="0.25">
      <c r="B144" s="4" t="s">
        <v>372</v>
      </c>
      <c r="C144" s="4" t="s">
        <v>373</v>
      </c>
      <c r="D144" s="2">
        <f>'21'!K24</f>
        <v>0</v>
      </c>
    </row>
    <row r="147" spans="1:4" x14ac:dyDescent="0.25">
      <c r="A147" t="s">
        <v>177</v>
      </c>
      <c r="B147">
        <v>22</v>
      </c>
    </row>
    <row r="148" spans="1:4" ht="15" x14ac:dyDescent="0.25">
      <c r="B148" s="3" t="s">
        <v>374</v>
      </c>
      <c r="C148" s="3" t="s">
        <v>41</v>
      </c>
    </row>
    <row r="149" spans="1:4" ht="15" x14ac:dyDescent="0.25">
      <c r="B149" s="4" t="s">
        <v>375</v>
      </c>
      <c r="C149" s="4" t="s">
        <v>376</v>
      </c>
      <c r="D149" s="2">
        <f>'22'!K24</f>
        <v>112350</v>
      </c>
    </row>
    <row r="150" spans="1:4" ht="15" x14ac:dyDescent="0.25">
      <c r="B150" s="4" t="s">
        <v>377</v>
      </c>
      <c r="C150" s="4" t="s">
        <v>378</v>
      </c>
      <c r="D150" s="2">
        <f>'22'!K35</f>
        <v>0</v>
      </c>
    </row>
    <row r="151" spans="1:4" ht="15" x14ac:dyDescent="0.25">
      <c r="B151" s="4" t="s">
        <v>383</v>
      </c>
      <c r="C151" s="4" t="s">
        <v>384</v>
      </c>
      <c r="D151" s="2">
        <f>'22'!K46</f>
        <v>0</v>
      </c>
    </row>
    <row r="152" spans="1:4" ht="15" x14ac:dyDescent="0.25">
      <c r="B152" s="4" t="s">
        <v>385</v>
      </c>
      <c r="C152" s="4" t="s">
        <v>386</v>
      </c>
      <c r="D152" s="2">
        <f>'22'!K67</f>
        <v>0</v>
      </c>
    </row>
    <row r="153" spans="1:4" ht="15" x14ac:dyDescent="0.25">
      <c r="B153" s="4" t="s">
        <v>414</v>
      </c>
      <c r="C153" s="4" t="s">
        <v>415</v>
      </c>
      <c r="D153" s="2">
        <f>'22'!K74</f>
        <v>0</v>
      </c>
    </row>
    <row r="154" spans="1:4" ht="15" x14ac:dyDescent="0.25">
      <c r="B154" s="4" t="s">
        <v>420</v>
      </c>
      <c r="C154" s="4" t="s">
        <v>421</v>
      </c>
      <c r="D154" s="2">
        <f>'22'!K83</f>
        <v>0</v>
      </c>
    </row>
    <row r="157" spans="1:4" x14ac:dyDescent="0.25">
      <c r="A157" t="s">
        <v>177</v>
      </c>
      <c r="B157">
        <v>23</v>
      </c>
    </row>
    <row r="158" spans="1:4" ht="15" x14ac:dyDescent="0.25">
      <c r="B158" s="3" t="s">
        <v>422</v>
      </c>
      <c r="C158" s="3" t="s">
        <v>423</v>
      </c>
    </row>
    <row r="159" spans="1:4" ht="15" x14ac:dyDescent="0.25">
      <c r="B159" s="4" t="s">
        <v>424</v>
      </c>
      <c r="C159" s="4" t="s">
        <v>425</v>
      </c>
      <c r="D159" s="2">
        <f>'23'!K18</f>
        <v>132800</v>
      </c>
    </row>
    <row r="160" spans="1:4" ht="15" x14ac:dyDescent="0.25">
      <c r="B160" s="4" t="s">
        <v>426</v>
      </c>
      <c r="C160" s="4" t="s">
        <v>427</v>
      </c>
      <c r="D160" s="2">
        <f>'23'!K25</f>
        <v>0</v>
      </c>
    </row>
    <row r="161" spans="1:4" ht="15" x14ac:dyDescent="0.25">
      <c r="B161" s="4" t="s">
        <v>428</v>
      </c>
      <c r="C161" s="4" t="s">
        <v>429</v>
      </c>
      <c r="D161" s="2">
        <f>'23'!K31</f>
        <v>0</v>
      </c>
    </row>
    <row r="162" spans="1:4" ht="15" x14ac:dyDescent="0.25">
      <c r="B162" s="4" t="s">
        <v>430</v>
      </c>
      <c r="C162" s="4" t="s">
        <v>431</v>
      </c>
      <c r="D162" s="2">
        <f>'23'!K38</f>
        <v>0</v>
      </c>
    </row>
    <row r="163" spans="1:4" ht="15" x14ac:dyDescent="0.25">
      <c r="B163" s="4" t="s">
        <v>434</v>
      </c>
      <c r="C163" s="4" t="s">
        <v>435</v>
      </c>
      <c r="D163" s="2">
        <f>'23'!K46</f>
        <v>0</v>
      </c>
    </row>
    <row r="164" spans="1:4" ht="15" x14ac:dyDescent="0.25">
      <c r="B164" s="4" t="s">
        <v>436</v>
      </c>
      <c r="C164" s="4" t="s">
        <v>437</v>
      </c>
      <c r="D164" s="2">
        <f>'23'!K53</f>
        <v>0</v>
      </c>
    </row>
    <row r="165" spans="1:4" ht="15" x14ac:dyDescent="0.25">
      <c r="B165" s="4" t="s">
        <v>438</v>
      </c>
      <c r="C165" s="4" t="s">
        <v>439</v>
      </c>
      <c r="D165" s="2">
        <f>'23'!K58</f>
        <v>0</v>
      </c>
    </row>
    <row r="166" spans="1:4" ht="15" x14ac:dyDescent="0.25">
      <c r="B166" s="4" t="s">
        <v>440</v>
      </c>
      <c r="C166" s="4" t="s">
        <v>441</v>
      </c>
      <c r="D166" s="2">
        <f>'23'!K73</f>
        <v>0</v>
      </c>
    </row>
    <row r="167" spans="1:4" ht="15" x14ac:dyDescent="0.25">
      <c r="B167" s="4" t="s">
        <v>458</v>
      </c>
      <c r="C167" s="4" t="s">
        <v>459</v>
      </c>
      <c r="D167" s="2">
        <f>'23'!K79</f>
        <v>0</v>
      </c>
    </row>
    <row r="168" spans="1:4" ht="15" x14ac:dyDescent="0.25">
      <c r="B168" s="4" t="s">
        <v>462</v>
      </c>
      <c r="C168" s="4" t="s">
        <v>463</v>
      </c>
      <c r="D168" s="2">
        <f>'23'!K91</f>
        <v>0</v>
      </c>
    </row>
    <row r="171" spans="1:4" x14ac:dyDescent="0.25">
      <c r="A171" t="s">
        <v>152</v>
      </c>
      <c r="B171">
        <v>25</v>
      </c>
    </row>
    <row r="172" spans="1:4" ht="15" x14ac:dyDescent="0.25">
      <c r="B172" s="3" t="s">
        <v>466</v>
      </c>
      <c r="C172" s="3" t="s">
        <v>467</v>
      </c>
    </row>
    <row r="175" spans="1:4" x14ac:dyDescent="0.25">
      <c r="A175" t="s">
        <v>177</v>
      </c>
      <c r="B175">
        <v>26</v>
      </c>
    </row>
    <row r="176" spans="1:4" ht="15" x14ac:dyDescent="0.25">
      <c r="B176" s="3" t="s">
        <v>468</v>
      </c>
      <c r="C176" s="3" t="s">
        <v>10</v>
      </c>
    </row>
    <row r="177" spans="1:16" ht="15" x14ac:dyDescent="0.25">
      <c r="B177" s="4" t="s">
        <v>469</v>
      </c>
      <c r="C177" s="4" t="s">
        <v>470</v>
      </c>
      <c r="D177" s="2">
        <f>'26'!K26</f>
        <v>236981.55</v>
      </c>
    </row>
    <row r="178" spans="1:16" ht="15" x14ac:dyDescent="0.25">
      <c r="B178" s="4" t="s">
        <v>471</v>
      </c>
      <c r="C178" s="4" t="s">
        <v>472</v>
      </c>
      <c r="D178" s="2">
        <f>'26'!K37</f>
        <v>0</v>
      </c>
    </row>
    <row r="179" spans="1:16" ht="15" x14ac:dyDescent="0.25">
      <c r="B179" s="4" t="s">
        <v>483</v>
      </c>
      <c r="C179" s="4" t="s">
        <v>81</v>
      </c>
      <c r="D179" s="2">
        <f>'26'!K45</f>
        <v>0</v>
      </c>
    </row>
    <row r="181" spans="1:16" x14ac:dyDescent="0.25">
      <c r="O181" s="8"/>
      <c r="P181" s="5"/>
    </row>
    <row r="182" spans="1:16" ht="15" x14ac:dyDescent="0.25">
      <c r="A182" t="s">
        <v>177</v>
      </c>
      <c r="B182">
        <v>27</v>
      </c>
      <c r="C182" s="3"/>
      <c r="O182" s="8"/>
      <c r="P182" s="5"/>
    </row>
    <row r="183" spans="1:16" ht="15" x14ac:dyDescent="0.25">
      <c r="B183" s="3" t="s">
        <v>490</v>
      </c>
      <c r="C183" s="3" t="s">
        <v>491</v>
      </c>
      <c r="O183" s="8"/>
      <c r="P183" s="5"/>
    </row>
    <row r="184" spans="1:16" ht="15" x14ac:dyDescent="0.25">
      <c r="B184" s="4" t="s">
        <v>492</v>
      </c>
      <c r="C184" s="4" t="s">
        <v>493</v>
      </c>
      <c r="D184" s="2">
        <f>'27'!K24</f>
        <v>0</v>
      </c>
      <c r="O184" s="8"/>
      <c r="P184" s="5"/>
    </row>
    <row r="185" spans="1:16" ht="15" x14ac:dyDescent="0.25">
      <c r="B185" s="4" t="s">
        <v>494</v>
      </c>
      <c r="C185" s="4" t="s">
        <v>495</v>
      </c>
      <c r="D185" s="2">
        <f>'27'!K35</f>
        <v>0</v>
      </c>
      <c r="O185" s="8"/>
      <c r="P185" s="6"/>
    </row>
    <row r="186" spans="1:16" ht="15" x14ac:dyDescent="0.25">
      <c r="B186" s="4" t="s">
        <v>500</v>
      </c>
      <c r="C186" s="4" t="s">
        <v>501</v>
      </c>
      <c r="D186" s="2">
        <f>'27'!K43</f>
        <v>0</v>
      </c>
      <c r="O186" s="9"/>
      <c r="P186" s="5"/>
    </row>
    <row r="187" spans="1:16" ht="15" x14ac:dyDescent="0.25">
      <c r="B187" s="4" t="s">
        <v>502</v>
      </c>
      <c r="C187" s="4" t="s">
        <v>503</v>
      </c>
      <c r="D187" s="2">
        <f>'27'!K52</f>
        <v>0</v>
      </c>
      <c r="O187" s="9"/>
      <c r="P187" s="5"/>
    </row>
    <row r="188" spans="1:16" ht="15" x14ac:dyDescent="0.25">
      <c r="B188" s="4" t="s">
        <v>504</v>
      </c>
      <c r="C188" s="4" t="s">
        <v>505</v>
      </c>
      <c r="D188" s="2">
        <f>'27'!K63</f>
        <v>0</v>
      </c>
      <c r="O188" s="9"/>
      <c r="P188" s="5"/>
    </row>
    <row r="189" spans="1:16" x14ac:dyDescent="0.25">
      <c r="O189" s="9"/>
      <c r="P189" s="5"/>
    </row>
    <row r="190" spans="1:16" x14ac:dyDescent="0.25">
      <c r="O190" s="9"/>
      <c r="P190" s="5"/>
    </row>
    <row r="191" spans="1:16" x14ac:dyDescent="0.25">
      <c r="A191" t="s">
        <v>152</v>
      </c>
      <c r="B191">
        <v>28</v>
      </c>
      <c r="O191" s="10"/>
      <c r="P191" s="7"/>
    </row>
    <row r="192" spans="1:16" ht="15" x14ac:dyDescent="0.25">
      <c r="B192" s="3" t="s">
        <v>506</v>
      </c>
      <c r="C192" s="3" t="s">
        <v>507</v>
      </c>
      <c r="O192" s="10"/>
      <c r="P192" s="7"/>
    </row>
    <row r="193" spans="1:16" ht="15" x14ac:dyDescent="0.25">
      <c r="B193" s="4" t="s">
        <v>508</v>
      </c>
      <c r="C193" s="4" t="s">
        <v>509</v>
      </c>
      <c r="D193" s="2">
        <f>'28'!K24</f>
        <v>0</v>
      </c>
      <c r="O193" s="11"/>
      <c r="P193" s="11"/>
    </row>
    <row r="194" spans="1:16" ht="15" x14ac:dyDescent="0.25">
      <c r="B194" s="4" t="s">
        <v>512</v>
      </c>
      <c r="C194" s="4" t="s">
        <v>513</v>
      </c>
      <c r="D194" s="2">
        <f>'28'!K35</f>
        <v>0</v>
      </c>
    </row>
    <row r="195" spans="1:16" ht="15" x14ac:dyDescent="0.25">
      <c r="B195" s="4" t="s">
        <v>514</v>
      </c>
      <c r="C195" s="4" t="s">
        <v>515</v>
      </c>
      <c r="D195" s="2">
        <f>'28'!K43</f>
        <v>0</v>
      </c>
    </row>
    <row r="196" spans="1:16" ht="15" x14ac:dyDescent="0.25">
      <c r="B196" s="4" t="s">
        <v>516</v>
      </c>
      <c r="C196" s="4" t="s">
        <v>518</v>
      </c>
      <c r="D196" s="2">
        <f>'28'!K52</f>
        <v>0</v>
      </c>
      <c r="O196" s="8"/>
      <c r="P196" s="5"/>
    </row>
    <row r="197" spans="1:16" x14ac:dyDescent="0.25">
      <c r="O197" s="8"/>
      <c r="P197" s="5"/>
    </row>
    <row r="198" spans="1:16" x14ac:dyDescent="0.25">
      <c r="A198" t="s">
        <v>152</v>
      </c>
      <c r="B198">
        <v>31</v>
      </c>
      <c r="O198" s="8"/>
      <c r="P198" s="5"/>
    </row>
    <row r="199" spans="1:16" ht="15" x14ac:dyDescent="0.25">
      <c r="B199" s="3" t="s">
        <v>520</v>
      </c>
      <c r="C199" s="3" t="s">
        <v>521</v>
      </c>
      <c r="O199" s="8"/>
      <c r="P199" s="5"/>
    </row>
    <row r="200" spans="1:16" ht="15" x14ac:dyDescent="0.25">
      <c r="B200" s="4" t="s">
        <v>522</v>
      </c>
      <c r="C200" s="4" t="s">
        <v>523</v>
      </c>
      <c r="D200" s="2">
        <f>'31'!K26</f>
        <v>0</v>
      </c>
      <c r="O200" s="10"/>
      <c r="P200" s="5"/>
    </row>
    <row r="201" spans="1:16" ht="15" x14ac:dyDescent="0.25">
      <c r="B201" s="4" t="s">
        <v>526</v>
      </c>
      <c r="C201" s="4" t="s">
        <v>527</v>
      </c>
      <c r="D201" s="2">
        <f>'31'!K69</f>
        <v>279224.83</v>
      </c>
    </row>
    <row r="202" spans="1:16" ht="15" x14ac:dyDescent="0.25">
      <c r="B202" s="4" t="s">
        <v>561</v>
      </c>
      <c r="C202" s="4" t="s">
        <v>560</v>
      </c>
      <c r="D202" s="2">
        <f>'31'!K77</f>
        <v>0</v>
      </c>
    </row>
    <row r="203" spans="1:16" ht="15" x14ac:dyDescent="0.25">
      <c r="B203" s="4" t="s">
        <v>562</v>
      </c>
      <c r="C203" s="4" t="s">
        <v>563</v>
      </c>
      <c r="D203" s="2">
        <f>'31'!K86</f>
        <v>0</v>
      </c>
    </row>
    <row r="206" spans="1:16" x14ac:dyDescent="0.25">
      <c r="A206" t="s">
        <v>177</v>
      </c>
      <c r="B206">
        <v>32</v>
      </c>
    </row>
    <row r="207" spans="1:16" ht="15" x14ac:dyDescent="0.25">
      <c r="B207" s="3" t="s">
        <v>564</v>
      </c>
      <c r="C207" s="3" t="s">
        <v>565</v>
      </c>
    </row>
    <row r="208" spans="1:16" ht="15" x14ac:dyDescent="0.25">
      <c r="B208" s="4" t="s">
        <v>566</v>
      </c>
      <c r="C208" s="4" t="s">
        <v>567</v>
      </c>
      <c r="D208" s="2">
        <f>'32'!K22</f>
        <v>86800</v>
      </c>
    </row>
    <row r="209" spans="1:4" ht="15" x14ac:dyDescent="0.25">
      <c r="B209" s="4" t="s">
        <v>574</v>
      </c>
      <c r="C209" s="4" t="s">
        <v>575</v>
      </c>
      <c r="D209" s="2">
        <f>'32'!K37</f>
        <v>41050</v>
      </c>
    </row>
    <row r="210" spans="1:4" ht="15" x14ac:dyDescent="0.25">
      <c r="B210" s="4" t="s">
        <v>591</v>
      </c>
      <c r="C210" s="4" t="s">
        <v>592</v>
      </c>
      <c r="D210" s="2">
        <f>'32'!K48</f>
        <v>1400</v>
      </c>
    </row>
    <row r="211" spans="1:4" ht="15" x14ac:dyDescent="0.25">
      <c r="B211" s="4" t="s">
        <v>596</v>
      </c>
      <c r="C211" s="4" t="s">
        <v>597</v>
      </c>
      <c r="D211" s="2">
        <f>'32'!K58</f>
        <v>41666</v>
      </c>
    </row>
    <row r="212" spans="1:4" ht="15" x14ac:dyDescent="0.25">
      <c r="B212" s="4" t="s">
        <v>605</v>
      </c>
      <c r="C212" s="4" t="s">
        <v>606</v>
      </c>
      <c r="D212" s="2">
        <f>'32'!K69</f>
        <v>26588</v>
      </c>
    </row>
    <row r="215" spans="1:4" x14ac:dyDescent="0.25">
      <c r="A215" t="s">
        <v>152</v>
      </c>
      <c r="B215">
        <v>33</v>
      </c>
    </row>
    <row r="216" spans="1:4" ht="15" x14ac:dyDescent="0.25">
      <c r="B216" s="3" t="s">
        <v>612</v>
      </c>
      <c r="C216" s="3" t="s">
        <v>613</v>
      </c>
    </row>
    <row r="217" spans="1:4" ht="15" x14ac:dyDescent="0.25">
      <c r="B217" s="4" t="s">
        <v>614</v>
      </c>
      <c r="C217" s="4" t="s">
        <v>615</v>
      </c>
      <c r="D217" s="2">
        <f>'33'!K26</f>
        <v>0</v>
      </c>
    </row>
    <row r="218" spans="1:4" ht="15" x14ac:dyDescent="0.25">
      <c r="B218" s="4" t="s">
        <v>620</v>
      </c>
      <c r="C218" s="4" t="s">
        <v>621</v>
      </c>
      <c r="D218" s="2">
        <f>'33'!K37</f>
        <v>0</v>
      </c>
    </row>
    <row r="219" spans="1:4" ht="15" x14ac:dyDescent="0.25">
      <c r="B219" s="4" t="s">
        <v>636</v>
      </c>
      <c r="C219" s="4" t="s">
        <v>637</v>
      </c>
      <c r="D219" s="2">
        <f>'33'!K54</f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2"/>
  <sheetViews>
    <sheetView showFormulas="1" zoomScale="91" workbookViewId="0">
      <selection activeCell="E29" sqref="E29"/>
    </sheetView>
  </sheetViews>
  <sheetFormatPr defaultColWidth="11.44140625" defaultRowHeight="13.2" x14ac:dyDescent="0.25"/>
  <cols>
    <col min="2" max="3" width="22" customWidth="1"/>
    <col min="4" max="4" width="60" bestFit="1" customWidth="1"/>
    <col min="5" max="5" width="34" customWidth="1"/>
  </cols>
  <sheetData>
    <row r="1" spans="1:5" ht="15" x14ac:dyDescent="0.25">
      <c r="A1" s="3"/>
      <c r="B1" s="39" t="s">
        <v>152</v>
      </c>
      <c r="C1" s="39" t="s">
        <v>920</v>
      </c>
      <c r="D1" s="39" t="s">
        <v>921</v>
      </c>
      <c r="E1" s="39" t="s">
        <v>774</v>
      </c>
    </row>
    <row r="2" spans="1:5" s="40" customFormat="1" ht="13.8" x14ac:dyDescent="0.25">
      <c r="B2" s="45" t="s">
        <v>686</v>
      </c>
      <c r="C2" s="47"/>
      <c r="D2" s="46" t="s">
        <v>3</v>
      </c>
      <c r="E2" s="41">
        <f>'Estimate Summary'!H15</f>
        <v>353890.15449362498</v>
      </c>
    </row>
    <row r="3" spans="1:5" ht="15" x14ac:dyDescent="0.25">
      <c r="B3" s="14" t="s">
        <v>102</v>
      </c>
      <c r="C3" s="47"/>
      <c r="D3" s="36" t="s">
        <v>101</v>
      </c>
      <c r="E3" s="2">
        <f>'1'!K24</f>
        <v>0</v>
      </c>
    </row>
    <row r="4" spans="1:5" ht="15" x14ac:dyDescent="0.25">
      <c r="B4" s="15" t="s">
        <v>103</v>
      </c>
      <c r="C4" s="48"/>
      <c r="D4" s="37" t="s">
        <v>104</v>
      </c>
      <c r="E4" s="2">
        <f>'1'!K35</f>
        <v>183350</v>
      </c>
    </row>
    <row r="5" spans="1:5" ht="15" x14ac:dyDescent="0.25">
      <c r="B5" s="15" t="s">
        <v>103</v>
      </c>
      <c r="C5" s="49" t="s">
        <v>802</v>
      </c>
      <c r="D5" s="5" t="s">
        <v>124</v>
      </c>
      <c r="E5" s="2">
        <f>'1'!K27</f>
        <v>0</v>
      </c>
    </row>
    <row r="6" spans="1:5" ht="15" x14ac:dyDescent="0.25">
      <c r="B6" s="15" t="s">
        <v>103</v>
      </c>
      <c r="C6" s="49" t="s">
        <v>803</v>
      </c>
      <c r="D6" s="5" t="s">
        <v>125</v>
      </c>
      <c r="E6" s="2">
        <f>'1'!K28</f>
        <v>0</v>
      </c>
    </row>
    <row r="7" spans="1:5" ht="15" x14ac:dyDescent="0.25">
      <c r="B7" s="15" t="s">
        <v>103</v>
      </c>
      <c r="C7" s="49" t="s">
        <v>804</v>
      </c>
      <c r="D7" s="5" t="s">
        <v>126</v>
      </c>
      <c r="E7" s="2">
        <f>'1'!K29</f>
        <v>38000</v>
      </c>
    </row>
    <row r="8" spans="1:5" ht="15" x14ac:dyDescent="0.25">
      <c r="B8" s="15" t="s">
        <v>103</v>
      </c>
      <c r="C8" s="49" t="s">
        <v>806</v>
      </c>
      <c r="D8" s="5" t="s">
        <v>748</v>
      </c>
      <c r="E8" s="2">
        <f>'1'!K30</f>
        <v>0</v>
      </c>
    </row>
    <row r="9" spans="1:5" ht="15" x14ac:dyDescent="0.25">
      <c r="B9" s="15" t="s">
        <v>103</v>
      </c>
      <c r="C9" s="49" t="s">
        <v>805</v>
      </c>
      <c r="D9" s="5" t="s">
        <v>127</v>
      </c>
      <c r="E9" s="2">
        <f>'1'!K31</f>
        <v>145350</v>
      </c>
    </row>
    <row r="10" spans="1:5" ht="15" x14ac:dyDescent="0.25">
      <c r="B10" s="15" t="s">
        <v>103</v>
      </c>
      <c r="C10" s="49" t="s">
        <v>807</v>
      </c>
      <c r="D10" s="5" t="s">
        <v>128</v>
      </c>
      <c r="E10" s="2">
        <f>'1'!K32</f>
        <v>0</v>
      </c>
    </row>
    <row r="11" spans="1:5" ht="15" x14ac:dyDescent="0.25">
      <c r="B11" s="15" t="s">
        <v>808</v>
      </c>
      <c r="C11" s="49" t="s">
        <v>808</v>
      </c>
      <c r="D11" s="5" t="s">
        <v>727</v>
      </c>
      <c r="E11" s="2"/>
    </row>
    <row r="12" spans="1:5" ht="15" x14ac:dyDescent="0.25">
      <c r="B12" s="15" t="s">
        <v>105</v>
      </c>
      <c r="C12" s="48"/>
      <c r="D12" s="37" t="s">
        <v>106</v>
      </c>
      <c r="E12" s="2">
        <f>'1'!K67</f>
        <v>17078.206072875</v>
      </c>
    </row>
    <row r="13" spans="1:5" ht="15" x14ac:dyDescent="0.25">
      <c r="B13" s="15" t="s">
        <v>144</v>
      </c>
      <c r="C13" s="48"/>
      <c r="D13" s="37" t="s">
        <v>145</v>
      </c>
      <c r="E13" s="2">
        <f>'1'!K76</f>
        <v>8000</v>
      </c>
    </row>
    <row r="14" spans="1:5" ht="15" x14ac:dyDescent="0.25">
      <c r="B14" s="15" t="s">
        <v>107</v>
      </c>
      <c r="C14" s="48"/>
      <c r="D14" s="37" t="s">
        <v>108</v>
      </c>
      <c r="E14" s="2">
        <f>'1'!K87</f>
        <v>5700</v>
      </c>
    </row>
    <row r="15" spans="1:5" ht="15" x14ac:dyDescent="0.25">
      <c r="B15" s="15" t="s">
        <v>110</v>
      </c>
      <c r="C15" s="48"/>
      <c r="D15" s="37" t="s">
        <v>109</v>
      </c>
      <c r="E15" s="2">
        <f>'1'!K97</f>
        <v>14495.394757312501</v>
      </c>
    </row>
    <row r="16" spans="1:5" ht="15" x14ac:dyDescent="0.25">
      <c r="B16" s="15" t="s">
        <v>110</v>
      </c>
      <c r="C16" s="8" t="s">
        <v>857</v>
      </c>
      <c r="D16" s="5" t="s">
        <v>147</v>
      </c>
      <c r="E16" s="2">
        <f>'1'!K90</f>
        <v>7125</v>
      </c>
    </row>
    <row r="17" spans="2:5" ht="15" x14ac:dyDescent="0.25">
      <c r="B17" s="15" t="s">
        <v>110</v>
      </c>
      <c r="C17" s="8" t="s">
        <v>858</v>
      </c>
      <c r="D17" s="5" t="s">
        <v>135</v>
      </c>
      <c r="E17" s="2">
        <f>'1'!K92</f>
        <v>1900</v>
      </c>
    </row>
    <row r="18" spans="2:5" ht="15" x14ac:dyDescent="0.25">
      <c r="B18" s="15" t="s">
        <v>110</v>
      </c>
      <c r="C18" s="8" t="s">
        <v>859</v>
      </c>
      <c r="D18" s="5" t="s">
        <v>148</v>
      </c>
      <c r="E18" s="2">
        <f>'1'!K93</f>
        <v>1055.3947573125001</v>
      </c>
    </row>
    <row r="19" spans="2:5" ht="15" x14ac:dyDescent="0.25">
      <c r="B19" s="15" t="s">
        <v>110</v>
      </c>
      <c r="C19" s="8" t="s">
        <v>860</v>
      </c>
      <c r="D19" s="5" t="s">
        <v>149</v>
      </c>
      <c r="E19" s="2">
        <f>'1'!K94</f>
        <v>2375</v>
      </c>
    </row>
    <row r="20" spans="2:5" ht="15" x14ac:dyDescent="0.25">
      <c r="B20" s="15" t="s">
        <v>110</v>
      </c>
      <c r="C20" s="8" t="s">
        <v>861</v>
      </c>
      <c r="D20" s="5" t="s">
        <v>18</v>
      </c>
      <c r="E20" s="2">
        <f>'1'!K95</f>
        <v>200</v>
      </c>
    </row>
    <row r="21" spans="2:5" ht="15" x14ac:dyDescent="0.25">
      <c r="B21" s="15" t="s">
        <v>111</v>
      </c>
      <c r="C21" s="48"/>
      <c r="D21" s="37" t="s">
        <v>112</v>
      </c>
      <c r="E21" s="2">
        <f>'1'!K105</f>
        <v>12471.035971887501</v>
      </c>
    </row>
    <row r="22" spans="2:5" ht="15" x14ac:dyDescent="0.25">
      <c r="B22" s="15" t="s">
        <v>815</v>
      </c>
      <c r="C22" s="48" t="s">
        <v>815</v>
      </c>
      <c r="D22" s="37" t="s">
        <v>757</v>
      </c>
      <c r="E22" s="2"/>
    </row>
    <row r="23" spans="2:5" ht="15" x14ac:dyDescent="0.25">
      <c r="B23" s="15" t="s">
        <v>113</v>
      </c>
      <c r="C23" s="48"/>
      <c r="D23" s="37" t="s">
        <v>114</v>
      </c>
      <c r="E23" s="2">
        <f>'1'!K128</f>
        <v>22425</v>
      </c>
    </row>
    <row r="24" spans="2:5" ht="15" x14ac:dyDescent="0.25">
      <c r="B24" s="15" t="s">
        <v>115</v>
      </c>
      <c r="C24" s="48"/>
      <c r="D24" s="37" t="s">
        <v>116</v>
      </c>
      <c r="E24" s="2">
        <f>'1'!K136</f>
        <v>19859</v>
      </c>
    </row>
    <row r="25" spans="2:5" ht="15" x14ac:dyDescent="0.25">
      <c r="B25" s="15" t="s">
        <v>115</v>
      </c>
      <c r="C25" s="49" t="s">
        <v>833</v>
      </c>
      <c r="D25" s="5" t="s">
        <v>141</v>
      </c>
      <c r="E25" s="2">
        <f>'1'!K131</f>
        <v>0</v>
      </c>
    </row>
    <row r="26" spans="2:5" ht="15" x14ac:dyDescent="0.25">
      <c r="B26" s="15" t="s">
        <v>115</v>
      </c>
      <c r="C26" s="49" t="s">
        <v>834</v>
      </c>
      <c r="D26" s="5" t="s">
        <v>142</v>
      </c>
      <c r="E26" s="2">
        <f>'1'!K132</f>
        <v>9750</v>
      </c>
    </row>
    <row r="27" spans="2:5" ht="15" x14ac:dyDescent="0.25">
      <c r="B27" s="15" t="s">
        <v>115</v>
      </c>
      <c r="C27" s="49" t="s">
        <v>835</v>
      </c>
      <c r="D27" s="5" t="s">
        <v>143</v>
      </c>
      <c r="E27" s="2">
        <f>'1'!K133</f>
        <v>3300</v>
      </c>
    </row>
    <row r="28" spans="2:5" ht="15" x14ac:dyDescent="0.25">
      <c r="B28" s="15" t="s">
        <v>115</v>
      </c>
      <c r="C28" s="49" t="s">
        <v>836</v>
      </c>
      <c r="D28" s="5" t="s">
        <v>54</v>
      </c>
      <c r="E28" s="2">
        <f>'1'!K134</f>
        <v>6809.0000000000009</v>
      </c>
    </row>
    <row r="29" spans="2:5" s="40" customFormat="1" ht="13.8" x14ac:dyDescent="0.25">
      <c r="B29" s="40" t="s">
        <v>153</v>
      </c>
      <c r="C29" s="38"/>
      <c r="D29" s="40" t="s">
        <v>155</v>
      </c>
      <c r="E29" s="41">
        <f>'Estimate Summary'!H17</f>
        <v>3600</v>
      </c>
    </row>
    <row r="30" spans="2:5" ht="15" x14ac:dyDescent="0.25">
      <c r="B30" s="4" t="s">
        <v>154</v>
      </c>
      <c r="C30" s="38"/>
      <c r="D30" s="4" t="s">
        <v>77</v>
      </c>
      <c r="E30" s="2">
        <f>'2'!K26</f>
        <v>3600</v>
      </c>
    </row>
    <row r="31" spans="2:5" ht="15" x14ac:dyDescent="0.25">
      <c r="B31" s="4" t="s">
        <v>156</v>
      </c>
      <c r="C31" s="38"/>
      <c r="D31" s="4" t="s">
        <v>157</v>
      </c>
      <c r="E31" s="2">
        <f>'2'!K37</f>
        <v>0</v>
      </c>
    </row>
    <row r="32" spans="2:5" ht="15" x14ac:dyDescent="0.25">
      <c r="B32" s="4" t="s">
        <v>158</v>
      </c>
      <c r="C32" s="38"/>
      <c r="D32" s="4" t="s">
        <v>537</v>
      </c>
      <c r="E32" s="2">
        <f>'2'!K48</f>
        <v>0</v>
      </c>
    </row>
    <row r="33" spans="2:5" s="40" customFormat="1" ht="13.8" x14ac:dyDescent="0.25">
      <c r="B33" s="40" t="s">
        <v>159</v>
      </c>
      <c r="C33" s="38"/>
      <c r="D33" s="40" t="s">
        <v>4</v>
      </c>
      <c r="E33" s="41">
        <f>'Estimate Summary'!H19</f>
        <v>142525.61874999999</v>
      </c>
    </row>
    <row r="34" spans="2:5" ht="15" x14ac:dyDescent="0.25">
      <c r="B34" s="4" t="s">
        <v>160</v>
      </c>
      <c r="C34" s="38"/>
      <c r="D34" s="4" t="s">
        <v>161</v>
      </c>
      <c r="E34" s="2">
        <f>'3'!K26</f>
        <v>56820</v>
      </c>
    </row>
    <row r="35" spans="2:5" ht="15" x14ac:dyDescent="0.25">
      <c r="B35" s="4" t="s">
        <v>163</v>
      </c>
      <c r="C35" s="38"/>
      <c r="D35" s="4" t="s">
        <v>162</v>
      </c>
      <c r="E35" s="2">
        <f>'3'!K37</f>
        <v>25280</v>
      </c>
    </row>
    <row r="36" spans="2:5" ht="15" x14ac:dyDescent="0.25">
      <c r="B36" s="4" t="s">
        <v>164</v>
      </c>
      <c r="C36" s="38"/>
      <c r="D36" s="4" t="s">
        <v>168</v>
      </c>
      <c r="E36" s="2">
        <f>'3'!K52</f>
        <v>26603.125</v>
      </c>
    </row>
    <row r="37" spans="2:5" ht="15" x14ac:dyDescent="0.25">
      <c r="B37" s="4" t="s">
        <v>165</v>
      </c>
      <c r="C37" s="38"/>
      <c r="D37" s="4" t="s">
        <v>169</v>
      </c>
      <c r="E37" s="2">
        <f>'3'!K65</f>
        <v>10447.200000000001</v>
      </c>
    </row>
    <row r="38" spans="2:5" ht="15" x14ac:dyDescent="0.25">
      <c r="B38" s="4" t="s">
        <v>166</v>
      </c>
      <c r="C38" s="38"/>
      <c r="D38" s="4" t="s">
        <v>170</v>
      </c>
      <c r="E38" s="2">
        <f>'3'!K76</f>
        <v>0</v>
      </c>
    </row>
    <row r="39" spans="2:5" ht="15" x14ac:dyDescent="0.25">
      <c r="B39" s="4" t="s">
        <v>167</v>
      </c>
      <c r="C39" s="38"/>
      <c r="D39" s="4" t="s">
        <v>917</v>
      </c>
      <c r="E39" s="2">
        <f>'3'!K85</f>
        <v>23375.293750000001</v>
      </c>
    </row>
    <row r="40" spans="2:5" ht="15" x14ac:dyDescent="0.25">
      <c r="B40" s="4" t="s">
        <v>167</v>
      </c>
      <c r="C40" s="49" t="s">
        <v>918</v>
      </c>
      <c r="D40" s="5" t="s">
        <v>754</v>
      </c>
      <c r="E40" s="2">
        <f>'3'!K79</f>
        <v>14977.625</v>
      </c>
    </row>
    <row r="41" spans="2:5" ht="15" x14ac:dyDescent="0.25">
      <c r="B41" s="4" t="s">
        <v>167</v>
      </c>
      <c r="C41" s="49" t="s">
        <v>919</v>
      </c>
      <c r="D41" s="5" t="s">
        <v>56</v>
      </c>
      <c r="E41" s="2">
        <f>'3'!K80</f>
        <v>8397.6687500000007</v>
      </c>
    </row>
    <row r="42" spans="2:5" s="40" customFormat="1" ht="13.8" x14ac:dyDescent="0.25">
      <c r="B42" s="40" t="s">
        <v>172</v>
      </c>
      <c r="C42" s="38"/>
      <c r="D42" s="40" t="s">
        <v>5</v>
      </c>
      <c r="E42" s="41">
        <f>'Estimate Summary'!H21</f>
        <v>0</v>
      </c>
    </row>
    <row r="43" spans="2:5" ht="15" x14ac:dyDescent="0.25">
      <c r="B43" s="4" t="s">
        <v>173</v>
      </c>
      <c r="C43" s="38"/>
      <c r="D43" s="4" t="s">
        <v>175</v>
      </c>
      <c r="E43" s="2">
        <f>'4'!K26</f>
        <v>0</v>
      </c>
    </row>
    <row r="44" spans="2:5" ht="15" x14ac:dyDescent="0.25">
      <c r="B44" s="4" t="s">
        <v>174</v>
      </c>
      <c r="C44" s="38"/>
      <c r="D44" s="4" t="s">
        <v>176</v>
      </c>
      <c r="E44" s="2">
        <f>'4'!K37</f>
        <v>0</v>
      </c>
    </row>
    <row r="45" spans="2:5" s="40" customFormat="1" ht="13.8" x14ac:dyDescent="0.25">
      <c r="B45" s="40" t="s">
        <v>178</v>
      </c>
      <c r="C45" s="38"/>
      <c r="D45" s="40" t="s">
        <v>6</v>
      </c>
      <c r="E45" s="41">
        <f>'Estimate Summary'!H23</f>
        <v>0</v>
      </c>
    </row>
    <row r="46" spans="2:5" ht="15" x14ac:dyDescent="0.25">
      <c r="B46" s="4" t="s">
        <v>179</v>
      </c>
      <c r="C46" s="38"/>
      <c r="D46" s="4" t="s">
        <v>185</v>
      </c>
      <c r="E46" s="2">
        <f>'5'!K26</f>
        <v>0</v>
      </c>
    </row>
    <row r="47" spans="2:5" ht="15" x14ac:dyDescent="0.25">
      <c r="B47" s="4" t="s">
        <v>180</v>
      </c>
      <c r="C47" s="38"/>
      <c r="D47" s="4" t="s">
        <v>186</v>
      </c>
      <c r="E47" s="2">
        <f>'5'!K37</f>
        <v>0</v>
      </c>
    </row>
    <row r="48" spans="2:5" ht="15" x14ac:dyDescent="0.25">
      <c r="B48" s="4" t="s">
        <v>181</v>
      </c>
      <c r="C48" s="38"/>
      <c r="D48" s="4" t="s">
        <v>187</v>
      </c>
      <c r="E48" s="2">
        <f>'5'!K45</f>
        <v>0</v>
      </c>
    </row>
    <row r="49" spans="2:5" ht="15" x14ac:dyDescent="0.25">
      <c r="B49" s="4" t="s">
        <v>182</v>
      </c>
      <c r="C49" s="38"/>
      <c r="D49" s="4" t="s">
        <v>188</v>
      </c>
      <c r="E49" s="2">
        <f>'5'!K54</f>
        <v>0</v>
      </c>
    </row>
    <row r="50" spans="2:5" ht="15" x14ac:dyDescent="0.25">
      <c r="B50" s="4" t="s">
        <v>183</v>
      </c>
      <c r="C50" s="38"/>
      <c r="D50" s="4" t="s">
        <v>189</v>
      </c>
      <c r="E50" s="2">
        <f>'5'!K65</f>
        <v>0</v>
      </c>
    </row>
    <row r="51" spans="2:5" ht="15" x14ac:dyDescent="0.25">
      <c r="B51" s="4" t="s">
        <v>184</v>
      </c>
      <c r="C51" s="38"/>
      <c r="D51" s="4" t="s">
        <v>190</v>
      </c>
      <c r="E51" s="2">
        <f>'5'!K74</f>
        <v>0</v>
      </c>
    </row>
    <row r="52" spans="2:5" s="40" customFormat="1" ht="13.8" x14ac:dyDescent="0.25">
      <c r="B52" s="40" t="s">
        <v>191</v>
      </c>
      <c r="C52" s="38"/>
      <c r="D52" s="40" t="s">
        <v>192</v>
      </c>
      <c r="E52" s="41">
        <f>'Estimate Summary'!H25</f>
        <v>337170.18</v>
      </c>
    </row>
    <row r="53" spans="2:5" ht="15" x14ac:dyDescent="0.25">
      <c r="B53" s="4" t="s">
        <v>801</v>
      </c>
      <c r="C53" s="38"/>
      <c r="D53" s="4" t="s">
        <v>901</v>
      </c>
      <c r="E53" s="2">
        <f>'6'!K29</f>
        <v>120000</v>
      </c>
    </row>
    <row r="54" spans="2:5" ht="15" x14ac:dyDescent="0.25">
      <c r="B54" s="4" t="s">
        <v>193</v>
      </c>
      <c r="C54" s="38"/>
      <c r="D54" s="4" t="s">
        <v>916</v>
      </c>
      <c r="E54" s="2">
        <f>'6'!K76</f>
        <v>92676.18</v>
      </c>
    </row>
    <row r="55" spans="2:5" ht="15" x14ac:dyDescent="0.25">
      <c r="B55" s="4" t="s">
        <v>194</v>
      </c>
      <c r="C55" s="38"/>
      <c r="D55" s="4" t="s">
        <v>48</v>
      </c>
      <c r="E55" s="2">
        <f>'6'!K90</f>
        <v>124494</v>
      </c>
    </row>
    <row r="56" spans="2:5" ht="15" x14ac:dyDescent="0.25">
      <c r="B56" s="4" t="s">
        <v>195</v>
      </c>
      <c r="C56" s="38"/>
      <c r="D56" s="4" t="s">
        <v>196</v>
      </c>
      <c r="E56" s="2">
        <f>'6'!K98</f>
        <v>0</v>
      </c>
    </row>
    <row r="57" spans="2:5" ht="15" x14ac:dyDescent="0.25">
      <c r="B57" s="4" t="s">
        <v>198</v>
      </c>
      <c r="C57" s="38"/>
      <c r="D57" s="4" t="s">
        <v>197</v>
      </c>
      <c r="E57" s="2">
        <f>'6'!K107</f>
        <v>0</v>
      </c>
    </row>
    <row r="58" spans="2:5" ht="15" x14ac:dyDescent="0.25">
      <c r="B58" s="4" t="s">
        <v>199</v>
      </c>
      <c r="C58" s="38"/>
      <c r="D58" s="4" t="s">
        <v>200</v>
      </c>
      <c r="E58" s="2">
        <f>'6'!K118</f>
        <v>0</v>
      </c>
    </row>
    <row r="59" spans="2:5" ht="15" x14ac:dyDescent="0.25">
      <c r="B59" s="4" t="s">
        <v>201</v>
      </c>
      <c r="C59" s="38"/>
      <c r="D59" s="4" t="s">
        <v>202</v>
      </c>
      <c r="E59" s="2">
        <f>'6'!K127</f>
        <v>0</v>
      </c>
    </row>
    <row r="60" spans="2:5" ht="15" x14ac:dyDescent="0.25">
      <c r="B60" s="4" t="s">
        <v>204</v>
      </c>
      <c r="C60" s="38"/>
      <c r="D60" s="4" t="s">
        <v>203</v>
      </c>
      <c r="E60" s="2">
        <f>'6'!K134</f>
        <v>0</v>
      </c>
    </row>
    <row r="61" spans="2:5" s="40" customFormat="1" ht="13.8" x14ac:dyDescent="0.25">
      <c r="B61" s="40" t="s">
        <v>205</v>
      </c>
      <c r="C61" s="38"/>
      <c r="D61" s="40" t="s">
        <v>57</v>
      </c>
      <c r="E61" s="41">
        <f>'Estimate Summary'!H27</f>
        <v>142026.54</v>
      </c>
    </row>
    <row r="62" spans="2:5" ht="15" x14ac:dyDescent="0.25">
      <c r="B62" s="4" t="s">
        <v>206</v>
      </c>
      <c r="C62" s="38"/>
      <c r="D62" s="4" t="s">
        <v>207</v>
      </c>
      <c r="E62" s="2">
        <f>'7'!K32</f>
        <v>39041.340000000004</v>
      </c>
    </row>
    <row r="63" spans="2:5" ht="15" x14ac:dyDescent="0.25">
      <c r="B63" s="4" t="s">
        <v>214</v>
      </c>
      <c r="C63" s="38"/>
      <c r="D63" s="4" t="s">
        <v>215</v>
      </c>
      <c r="E63" s="2">
        <f>'7'!K38</f>
        <v>0</v>
      </c>
    </row>
    <row r="64" spans="2:5" ht="15" x14ac:dyDescent="0.25">
      <c r="B64" s="4" t="s">
        <v>216</v>
      </c>
      <c r="C64" s="38"/>
      <c r="D64" s="4" t="s">
        <v>217</v>
      </c>
      <c r="E64" s="2">
        <f>'7'!K57</f>
        <v>27863</v>
      </c>
    </row>
    <row r="65" spans="2:5" ht="15" x14ac:dyDescent="0.25">
      <c r="B65" s="4" t="s">
        <v>218</v>
      </c>
      <c r="C65" s="38"/>
      <c r="D65" s="4" t="s">
        <v>219</v>
      </c>
      <c r="E65" s="2">
        <f>'7'!K63</f>
        <v>0</v>
      </c>
    </row>
    <row r="66" spans="2:5" ht="15" x14ac:dyDescent="0.25">
      <c r="B66" s="4" t="s">
        <v>220</v>
      </c>
      <c r="C66" s="38"/>
      <c r="D66" s="4" t="s">
        <v>58</v>
      </c>
      <c r="E66" s="2">
        <f>'7'!K83</f>
        <v>70982.2</v>
      </c>
    </row>
    <row r="67" spans="2:5" ht="15" x14ac:dyDescent="0.25">
      <c r="B67" s="4" t="s">
        <v>221</v>
      </c>
      <c r="C67" s="38"/>
      <c r="D67" s="4" t="s">
        <v>222</v>
      </c>
      <c r="E67" s="2">
        <f>'7'!K89</f>
        <v>0</v>
      </c>
    </row>
    <row r="68" spans="2:5" ht="15" x14ac:dyDescent="0.25">
      <c r="B68" s="4" t="s">
        <v>223</v>
      </c>
      <c r="C68" s="38"/>
      <c r="D68" s="4" t="s">
        <v>224</v>
      </c>
      <c r="E68" s="2">
        <f>'7'!K94</f>
        <v>0</v>
      </c>
    </row>
    <row r="69" spans="2:5" ht="15" x14ac:dyDescent="0.25">
      <c r="B69" s="4" t="s">
        <v>225</v>
      </c>
      <c r="C69" s="38"/>
      <c r="D69" s="4" t="s">
        <v>226</v>
      </c>
      <c r="E69" s="2">
        <f>'7'!K99</f>
        <v>0</v>
      </c>
    </row>
    <row r="70" spans="2:5" ht="15" x14ac:dyDescent="0.25">
      <c r="B70" s="4" t="s">
        <v>229</v>
      </c>
      <c r="C70" s="38"/>
      <c r="D70" s="4" t="s">
        <v>227</v>
      </c>
      <c r="E70" s="2">
        <f>'7'!K104</f>
        <v>0</v>
      </c>
    </row>
    <row r="71" spans="2:5" ht="15" x14ac:dyDescent="0.25">
      <c r="B71" s="4" t="s">
        <v>230</v>
      </c>
      <c r="C71" s="38"/>
      <c r="D71" s="4" t="s">
        <v>228</v>
      </c>
      <c r="E71" s="2">
        <f>'7'!K110</f>
        <v>0</v>
      </c>
    </row>
    <row r="72" spans="2:5" ht="15" x14ac:dyDescent="0.25">
      <c r="B72" s="4" t="s">
        <v>231</v>
      </c>
      <c r="C72" s="38"/>
      <c r="D72" s="4" t="s">
        <v>232</v>
      </c>
      <c r="E72" s="2">
        <f>'7'!K116</f>
        <v>4140</v>
      </c>
    </row>
    <row r="73" spans="2:5" ht="15" x14ac:dyDescent="0.25">
      <c r="B73" s="4" t="s">
        <v>236</v>
      </c>
      <c r="C73" s="38"/>
      <c r="D73" s="4" t="s">
        <v>237</v>
      </c>
      <c r="E73" s="2">
        <f>'7'!K122</f>
        <v>0</v>
      </c>
    </row>
    <row r="74" spans="2:5" ht="15" x14ac:dyDescent="0.25">
      <c r="B74" s="4" t="s">
        <v>240</v>
      </c>
      <c r="C74" s="38"/>
      <c r="D74" s="4" t="s">
        <v>241</v>
      </c>
      <c r="E74" s="2">
        <f>'7'!K128</f>
        <v>0</v>
      </c>
    </row>
    <row r="75" spans="2:5" s="40" customFormat="1" ht="13.8" x14ac:dyDescent="0.25">
      <c r="B75" s="40" t="s">
        <v>242</v>
      </c>
      <c r="C75" s="38"/>
      <c r="D75" s="40" t="s">
        <v>243</v>
      </c>
      <c r="E75" s="41">
        <f>'Estimate Summary'!H29</f>
        <v>136167.21</v>
      </c>
    </row>
    <row r="76" spans="2:5" ht="15" x14ac:dyDescent="0.25">
      <c r="B76" s="4" t="s">
        <v>244</v>
      </c>
      <c r="C76" s="38"/>
      <c r="D76" s="4" t="s">
        <v>245</v>
      </c>
      <c r="E76" s="2">
        <f>'8'!K34</f>
        <v>109127</v>
      </c>
    </row>
    <row r="77" spans="2:5" ht="15" x14ac:dyDescent="0.25">
      <c r="B77" s="4" t="s">
        <v>248</v>
      </c>
      <c r="C77" s="38"/>
      <c r="D77" s="4" t="s">
        <v>249</v>
      </c>
      <c r="E77" s="2">
        <f>'8'!K40</f>
        <v>0</v>
      </c>
    </row>
    <row r="78" spans="2:5" ht="15" x14ac:dyDescent="0.25">
      <c r="B78" s="4" t="s">
        <v>250</v>
      </c>
      <c r="C78" s="38"/>
      <c r="D78" s="4" t="s">
        <v>251</v>
      </c>
      <c r="E78" s="2">
        <f>'8'!K45</f>
        <v>0</v>
      </c>
    </row>
    <row r="79" spans="2:5" ht="15" x14ac:dyDescent="0.25">
      <c r="B79" s="4" t="s">
        <v>252</v>
      </c>
      <c r="C79" s="38"/>
      <c r="D79" s="4" t="s">
        <v>253</v>
      </c>
      <c r="E79" s="2">
        <f>'8'!K51</f>
        <v>0</v>
      </c>
    </row>
    <row r="80" spans="2:5" ht="15" x14ac:dyDescent="0.25">
      <c r="B80" s="4" t="s">
        <v>254</v>
      </c>
      <c r="C80" s="38"/>
      <c r="D80" s="4" t="s">
        <v>255</v>
      </c>
      <c r="E80" s="2">
        <f>'8'!K57</f>
        <v>0</v>
      </c>
    </row>
    <row r="81" spans="2:5" ht="15" x14ac:dyDescent="0.25">
      <c r="B81" s="4" t="s">
        <v>256</v>
      </c>
      <c r="C81" s="38"/>
      <c r="D81" s="4" t="s">
        <v>257</v>
      </c>
      <c r="E81" s="2">
        <f>'8'!K63</f>
        <v>0</v>
      </c>
    </row>
    <row r="82" spans="2:5" ht="15" x14ac:dyDescent="0.25">
      <c r="B82" s="4" t="s">
        <v>258</v>
      </c>
      <c r="C82" s="38"/>
      <c r="D82" s="4" t="s">
        <v>60</v>
      </c>
      <c r="E82" s="2">
        <f>'8'!K68</f>
        <v>0</v>
      </c>
    </row>
    <row r="83" spans="2:5" ht="15" x14ac:dyDescent="0.25">
      <c r="B83" s="4" t="s">
        <v>259</v>
      </c>
      <c r="C83" s="38"/>
      <c r="D83" s="4" t="s">
        <v>47</v>
      </c>
      <c r="E83" s="2">
        <f>'8'!K73</f>
        <v>0</v>
      </c>
    </row>
    <row r="84" spans="2:5" ht="15" x14ac:dyDescent="0.25">
      <c r="B84" s="4" t="s">
        <v>260</v>
      </c>
      <c r="C84" s="38"/>
      <c r="D84" s="4" t="s">
        <v>261</v>
      </c>
      <c r="E84" s="2">
        <f>'8'!K78</f>
        <v>0</v>
      </c>
    </row>
    <row r="85" spans="2:5" ht="15" x14ac:dyDescent="0.25">
      <c r="B85" s="4" t="s">
        <v>262</v>
      </c>
      <c r="C85" s="38"/>
      <c r="D85" s="4" t="s">
        <v>94</v>
      </c>
      <c r="E85" s="2">
        <f>'8'!K88</f>
        <v>21730.21</v>
      </c>
    </row>
    <row r="86" spans="2:5" ht="15" x14ac:dyDescent="0.25">
      <c r="B86" s="4" t="s">
        <v>268</v>
      </c>
      <c r="C86" s="38"/>
      <c r="D86" s="4" t="s">
        <v>61</v>
      </c>
      <c r="E86" s="2">
        <f>'8'!K94</f>
        <v>0</v>
      </c>
    </row>
    <row r="87" spans="2:5" ht="15" x14ac:dyDescent="0.25">
      <c r="B87" s="4" t="s">
        <v>269</v>
      </c>
      <c r="C87" s="38"/>
      <c r="D87" s="4" t="s">
        <v>270</v>
      </c>
      <c r="E87" s="2">
        <f>'8'!K101</f>
        <v>5310</v>
      </c>
    </row>
    <row r="88" spans="2:5" ht="15" x14ac:dyDescent="0.25">
      <c r="B88" s="4" t="s">
        <v>271</v>
      </c>
      <c r="C88" s="38"/>
      <c r="D88" s="4" t="s">
        <v>272</v>
      </c>
      <c r="E88" s="2">
        <f>'8'!K107</f>
        <v>0</v>
      </c>
    </row>
    <row r="89" spans="2:5" ht="15" x14ac:dyDescent="0.25">
      <c r="B89" s="4" t="s">
        <v>273</v>
      </c>
      <c r="C89" s="38"/>
      <c r="D89" s="4" t="s">
        <v>274</v>
      </c>
      <c r="E89" s="2">
        <f>'8'!K113</f>
        <v>0</v>
      </c>
    </row>
    <row r="90" spans="2:5" ht="17.100000000000001" customHeight="1" x14ac:dyDescent="0.25">
      <c r="B90" s="4" t="s">
        <v>275</v>
      </c>
      <c r="C90" s="38"/>
      <c r="D90" s="4" t="s">
        <v>276</v>
      </c>
      <c r="E90" s="2">
        <f>'8'!K119</f>
        <v>0</v>
      </c>
    </row>
    <row r="91" spans="2:5" s="40" customFormat="1" ht="13.8" x14ac:dyDescent="0.25">
      <c r="B91" s="40" t="s">
        <v>277</v>
      </c>
      <c r="C91" s="38"/>
      <c r="D91" s="40" t="s">
        <v>8</v>
      </c>
      <c r="E91" s="41">
        <f>'Estimate Summary'!H31</f>
        <v>187734.62999999998</v>
      </c>
    </row>
    <row r="92" spans="2:5" ht="15" x14ac:dyDescent="0.25">
      <c r="B92" s="4" t="s">
        <v>278</v>
      </c>
      <c r="C92" s="38"/>
      <c r="D92" s="4" t="s">
        <v>279</v>
      </c>
      <c r="E92" s="2">
        <f>'9'!K20</f>
        <v>106922.63</v>
      </c>
    </row>
    <row r="93" spans="2:5" ht="15" x14ac:dyDescent="0.25">
      <c r="B93" s="4" t="s">
        <v>280</v>
      </c>
      <c r="C93" s="38"/>
      <c r="D93" s="4" t="s">
        <v>281</v>
      </c>
      <c r="E93" s="2">
        <f>'9'!K28</f>
        <v>0</v>
      </c>
    </row>
    <row r="94" spans="2:5" ht="15" x14ac:dyDescent="0.25">
      <c r="B94" s="4" t="s">
        <v>282</v>
      </c>
      <c r="C94" s="38"/>
      <c r="D94" s="4" t="s">
        <v>283</v>
      </c>
      <c r="E94" s="2">
        <f>'9'!K39</f>
        <v>0</v>
      </c>
    </row>
    <row r="95" spans="2:5" ht="15" x14ac:dyDescent="0.25">
      <c r="B95" s="4" t="s">
        <v>284</v>
      </c>
      <c r="C95" s="38"/>
      <c r="D95" s="4" t="s">
        <v>79</v>
      </c>
      <c r="E95" s="2">
        <f>'9'!K59</f>
        <v>59372</v>
      </c>
    </row>
    <row r="96" spans="2:5" ht="15" x14ac:dyDescent="0.25">
      <c r="B96" s="4" t="s">
        <v>284</v>
      </c>
      <c r="C96" s="4" t="s">
        <v>285</v>
      </c>
      <c r="D96" s="4" t="s">
        <v>910</v>
      </c>
      <c r="E96" s="2">
        <f>'9'!K42</f>
        <v>0</v>
      </c>
    </row>
    <row r="97" spans="2:5" ht="15" x14ac:dyDescent="0.25">
      <c r="B97" s="4" t="s">
        <v>284</v>
      </c>
      <c r="C97" s="4" t="s">
        <v>286</v>
      </c>
      <c r="D97" s="4" t="s">
        <v>287</v>
      </c>
      <c r="E97" s="2">
        <f>'9'!K43</f>
        <v>45560</v>
      </c>
    </row>
    <row r="98" spans="2:5" ht="15" x14ac:dyDescent="0.25">
      <c r="B98" s="4" t="s">
        <v>284</v>
      </c>
      <c r="C98" s="4" t="s">
        <v>288</v>
      </c>
      <c r="D98" s="4" t="s">
        <v>63</v>
      </c>
      <c r="E98" s="2">
        <f>'9'!K44</f>
        <v>13812</v>
      </c>
    </row>
    <row r="99" spans="2:5" ht="15" x14ac:dyDescent="0.25">
      <c r="B99" s="4" t="s">
        <v>284</v>
      </c>
      <c r="C99" s="4" t="s">
        <v>289</v>
      </c>
      <c r="D99" s="4" t="s">
        <v>911</v>
      </c>
      <c r="E99" s="2">
        <f>'9'!K45</f>
        <v>0</v>
      </c>
    </row>
    <row r="100" spans="2:5" ht="15" x14ac:dyDescent="0.25">
      <c r="B100" s="4" t="s">
        <v>284</v>
      </c>
      <c r="C100" s="4" t="s">
        <v>290</v>
      </c>
      <c r="D100" s="4" t="s">
        <v>912</v>
      </c>
      <c r="E100" s="2">
        <f>'9'!K46</f>
        <v>0</v>
      </c>
    </row>
    <row r="101" spans="2:5" ht="15" x14ac:dyDescent="0.25">
      <c r="B101" s="4" t="s">
        <v>284</v>
      </c>
      <c r="C101" s="4" t="s">
        <v>291</v>
      </c>
      <c r="D101" s="4" t="s">
        <v>913</v>
      </c>
      <c r="E101" s="2">
        <f>'9'!K47</f>
        <v>0</v>
      </c>
    </row>
    <row r="102" spans="2:5" ht="15" x14ac:dyDescent="0.25">
      <c r="B102" s="4" t="s">
        <v>292</v>
      </c>
      <c r="C102" s="38"/>
      <c r="D102" s="4" t="s">
        <v>66</v>
      </c>
      <c r="E102" s="2">
        <f>'9'!K65</f>
        <v>0</v>
      </c>
    </row>
    <row r="103" spans="2:5" ht="15" x14ac:dyDescent="0.25">
      <c r="B103" s="4" t="s">
        <v>293</v>
      </c>
      <c r="C103" s="38"/>
      <c r="D103" s="4" t="s">
        <v>80</v>
      </c>
      <c r="E103" s="2">
        <f>'9'!K74</f>
        <v>21440</v>
      </c>
    </row>
    <row r="104" spans="2:5" s="40" customFormat="1" ht="13.8" x14ac:dyDescent="0.25">
      <c r="B104" s="40" t="s">
        <v>296</v>
      </c>
      <c r="C104" s="38"/>
      <c r="D104" s="40" t="s">
        <v>9</v>
      </c>
      <c r="E104" s="41">
        <f>'Estimate Summary'!H33</f>
        <v>10815</v>
      </c>
    </row>
    <row r="105" spans="2:5" ht="15" x14ac:dyDescent="0.25">
      <c r="B105" s="4" t="s">
        <v>297</v>
      </c>
      <c r="C105" s="38"/>
      <c r="D105" s="4" t="s">
        <v>298</v>
      </c>
      <c r="E105" s="2">
        <f>'10'!K17</f>
        <v>0</v>
      </c>
    </row>
    <row r="106" spans="2:5" ht="15" x14ac:dyDescent="0.25">
      <c r="B106" s="4" t="s">
        <v>299</v>
      </c>
      <c r="C106" s="38"/>
      <c r="D106" s="4" t="s">
        <v>300</v>
      </c>
      <c r="E106" s="2">
        <f>'10'!K25</f>
        <v>0</v>
      </c>
    </row>
    <row r="107" spans="2:5" ht="15" x14ac:dyDescent="0.25">
      <c r="B107" s="4" t="s">
        <v>301</v>
      </c>
      <c r="C107" s="38"/>
      <c r="D107" s="4" t="s">
        <v>302</v>
      </c>
      <c r="E107" s="2">
        <f>'10'!K40</f>
        <v>10815</v>
      </c>
    </row>
    <row r="108" spans="2:5" ht="15" x14ac:dyDescent="0.25">
      <c r="B108" s="4" t="s">
        <v>316</v>
      </c>
      <c r="C108" s="38"/>
      <c r="D108" s="4" t="s">
        <v>317</v>
      </c>
      <c r="E108" s="2">
        <f>'10'!K46</f>
        <v>0</v>
      </c>
    </row>
    <row r="109" spans="2:5" ht="15" x14ac:dyDescent="0.25">
      <c r="B109" s="4" t="s">
        <v>319</v>
      </c>
      <c r="C109" s="38"/>
      <c r="D109" s="4" t="s">
        <v>67</v>
      </c>
      <c r="E109" s="2">
        <f>'10'!K53</f>
        <v>0</v>
      </c>
    </row>
    <row r="110" spans="2:5" ht="15" x14ac:dyDescent="0.25">
      <c r="B110" s="4" t="s">
        <v>320</v>
      </c>
      <c r="C110" s="38"/>
      <c r="D110" s="4" t="s">
        <v>321</v>
      </c>
      <c r="E110" s="2">
        <f>'10'!K59</f>
        <v>0</v>
      </c>
    </row>
    <row r="111" spans="2:5" ht="15" x14ac:dyDescent="0.25">
      <c r="B111" s="4" t="s">
        <v>322</v>
      </c>
      <c r="C111" s="38"/>
      <c r="D111" s="4" t="s">
        <v>323</v>
      </c>
      <c r="E111" s="2">
        <f>'10'!K65</f>
        <v>0</v>
      </c>
    </row>
    <row r="112" spans="2:5" s="40" customFormat="1" ht="13.8" x14ac:dyDescent="0.25">
      <c r="B112" s="40" t="s">
        <v>330</v>
      </c>
      <c r="C112" s="38"/>
      <c r="D112" s="40" t="s">
        <v>70</v>
      </c>
      <c r="E112" s="41">
        <f>'Estimate Summary'!H35</f>
        <v>0</v>
      </c>
    </row>
    <row r="113" spans="2:5" ht="15" x14ac:dyDescent="0.25">
      <c r="B113" s="4" t="s">
        <v>331</v>
      </c>
      <c r="C113" s="38"/>
      <c r="D113" s="4" t="s">
        <v>332</v>
      </c>
      <c r="E113" s="2">
        <f>'11'!K24</f>
        <v>0</v>
      </c>
    </row>
    <row r="114" spans="2:5" ht="15" x14ac:dyDescent="0.25">
      <c r="B114" s="4" t="s">
        <v>333</v>
      </c>
      <c r="C114" s="38"/>
      <c r="D114" s="4" t="s">
        <v>334</v>
      </c>
      <c r="E114" s="2">
        <f>'11'!K35</f>
        <v>0</v>
      </c>
    </row>
    <row r="115" spans="2:5" ht="15" x14ac:dyDescent="0.25">
      <c r="B115" s="4" t="s">
        <v>335</v>
      </c>
      <c r="C115" s="38"/>
      <c r="D115" s="4" t="s">
        <v>336</v>
      </c>
      <c r="E115" s="2">
        <f>'11'!K43</f>
        <v>0</v>
      </c>
    </row>
    <row r="116" spans="2:5" ht="15" x14ac:dyDescent="0.25">
      <c r="B116" s="4" t="s">
        <v>339</v>
      </c>
      <c r="C116" s="38"/>
      <c r="D116" s="4" t="s">
        <v>340</v>
      </c>
      <c r="E116" s="2">
        <f>'11'!K52</f>
        <v>0</v>
      </c>
    </row>
    <row r="117" spans="2:5" ht="15" x14ac:dyDescent="0.25">
      <c r="B117" s="4" t="s">
        <v>343</v>
      </c>
      <c r="C117" s="38"/>
      <c r="D117" s="4" t="s">
        <v>344</v>
      </c>
      <c r="E117" s="2">
        <f>'11'!K63</f>
        <v>0</v>
      </c>
    </row>
    <row r="118" spans="2:5" ht="15" x14ac:dyDescent="0.25">
      <c r="B118" s="4" t="s">
        <v>347</v>
      </c>
      <c r="C118" s="38"/>
      <c r="D118" s="4" t="s">
        <v>348</v>
      </c>
      <c r="E118" s="2">
        <f>'11'!K72</f>
        <v>0</v>
      </c>
    </row>
    <row r="119" spans="2:5" ht="15" x14ac:dyDescent="0.25">
      <c r="B119" s="4" t="s">
        <v>349</v>
      </c>
      <c r="C119" s="38"/>
      <c r="D119" s="4" t="s">
        <v>350</v>
      </c>
      <c r="E119" s="2">
        <f>'11'!K79</f>
        <v>0</v>
      </c>
    </row>
    <row r="120" spans="2:5" s="40" customFormat="1" ht="13.8" x14ac:dyDescent="0.25">
      <c r="B120" s="40" t="s">
        <v>351</v>
      </c>
      <c r="C120" s="38"/>
      <c r="D120" s="40" t="s">
        <v>75</v>
      </c>
      <c r="E120" s="41">
        <f>'Estimate Summary'!H37</f>
        <v>0</v>
      </c>
    </row>
    <row r="121" spans="2:5" ht="15" x14ac:dyDescent="0.25">
      <c r="B121" s="4" t="s">
        <v>352</v>
      </c>
      <c r="C121" s="38"/>
      <c r="D121" s="4" t="s">
        <v>353</v>
      </c>
      <c r="E121" s="2">
        <f>'12'!K24</f>
        <v>0</v>
      </c>
    </row>
    <row r="122" spans="2:5" ht="15" x14ac:dyDescent="0.25">
      <c r="B122" s="4" t="s">
        <v>354</v>
      </c>
      <c r="C122" s="38"/>
      <c r="D122" s="4" t="s">
        <v>355</v>
      </c>
      <c r="E122" s="2">
        <f>'12'!K35</f>
        <v>0</v>
      </c>
    </row>
    <row r="123" spans="2:5" ht="15" x14ac:dyDescent="0.25">
      <c r="B123" s="4" t="s">
        <v>356</v>
      </c>
      <c r="C123" s="38"/>
      <c r="D123" s="4" t="s">
        <v>357</v>
      </c>
      <c r="E123" s="2">
        <f>'12'!K43</f>
        <v>0</v>
      </c>
    </row>
    <row r="124" spans="2:5" ht="15" x14ac:dyDescent="0.25">
      <c r="B124" s="4" t="s">
        <v>358</v>
      </c>
      <c r="C124" s="38"/>
      <c r="D124" s="4" t="s">
        <v>360</v>
      </c>
      <c r="E124" s="2">
        <f>'12'!K52</f>
        <v>0</v>
      </c>
    </row>
    <row r="125" spans="2:5" ht="15" x14ac:dyDescent="0.25">
      <c r="B125" s="4" t="s">
        <v>359</v>
      </c>
      <c r="C125" s="38"/>
      <c r="D125" s="4" t="s">
        <v>361</v>
      </c>
      <c r="E125" s="2">
        <f>'12'!K63</f>
        <v>0</v>
      </c>
    </row>
    <row r="126" spans="2:5" ht="15" x14ac:dyDescent="0.25">
      <c r="B126" s="4" t="s">
        <v>363</v>
      </c>
      <c r="C126" s="38"/>
      <c r="D126" s="4" t="s">
        <v>362</v>
      </c>
      <c r="E126" s="2">
        <f>'12'!K72</f>
        <v>0</v>
      </c>
    </row>
    <row r="127" spans="2:5" s="40" customFormat="1" ht="13.8" x14ac:dyDescent="0.25">
      <c r="B127" s="40" t="s">
        <v>364</v>
      </c>
      <c r="C127" s="38"/>
      <c r="D127" s="40" t="s">
        <v>76</v>
      </c>
      <c r="E127" s="41">
        <f>'Estimate Summary'!H39</f>
        <v>0</v>
      </c>
    </row>
    <row r="128" spans="2:5" s="40" customFormat="1" ht="13.8" x14ac:dyDescent="0.25">
      <c r="B128" s="40" t="s">
        <v>365</v>
      </c>
      <c r="C128" s="38"/>
      <c r="D128" s="40" t="s">
        <v>366</v>
      </c>
      <c r="E128" s="41">
        <f>'Estimate Summary'!H41</f>
        <v>0</v>
      </c>
    </row>
    <row r="129" spans="2:5" ht="15" x14ac:dyDescent="0.25">
      <c r="B129" s="4" t="s">
        <v>367</v>
      </c>
      <c r="C129" s="38"/>
      <c r="D129" s="4" t="s">
        <v>68</v>
      </c>
      <c r="E129" s="2">
        <f>'14'!K24</f>
        <v>0</v>
      </c>
    </row>
    <row r="130" spans="2:5" ht="15" x14ac:dyDescent="0.25">
      <c r="B130" s="4" t="s">
        <v>368</v>
      </c>
      <c r="C130" s="38"/>
      <c r="D130" s="4" t="s">
        <v>69</v>
      </c>
      <c r="E130" s="2">
        <f>'14'!K35</f>
        <v>0</v>
      </c>
    </row>
    <row r="131" spans="2:5" ht="15" x14ac:dyDescent="0.25">
      <c r="B131" s="4" t="s">
        <v>370</v>
      </c>
      <c r="C131" s="38"/>
      <c r="D131" s="4" t="s">
        <v>369</v>
      </c>
      <c r="E131" s="2">
        <f>'14'!K43</f>
        <v>0</v>
      </c>
    </row>
    <row r="132" spans="2:5" s="40" customFormat="1" ht="13.8" x14ac:dyDescent="0.25">
      <c r="B132" s="40" t="s">
        <v>371</v>
      </c>
      <c r="C132" s="38"/>
      <c r="D132" s="40" t="s">
        <v>151</v>
      </c>
      <c r="E132" s="41">
        <f>'Estimate Summary'!H43</f>
        <v>0</v>
      </c>
    </row>
    <row r="133" spans="2:5" ht="15" x14ac:dyDescent="0.25">
      <c r="B133" s="4" t="s">
        <v>372</v>
      </c>
      <c r="C133" s="38"/>
      <c r="D133" s="4" t="s">
        <v>373</v>
      </c>
      <c r="E133" s="2">
        <f>'21'!K24</f>
        <v>0</v>
      </c>
    </row>
    <row r="134" spans="2:5" s="40" customFormat="1" ht="13.8" x14ac:dyDescent="0.25">
      <c r="B134" s="40" t="s">
        <v>374</v>
      </c>
      <c r="C134" s="38"/>
      <c r="D134" s="40" t="s">
        <v>41</v>
      </c>
      <c r="E134" s="41">
        <f>'Estimate Summary'!H45</f>
        <v>112350</v>
      </c>
    </row>
    <row r="135" spans="2:5" ht="15" x14ac:dyDescent="0.25">
      <c r="B135" s="4" t="s">
        <v>375</v>
      </c>
      <c r="C135" s="38"/>
      <c r="D135" s="4" t="s">
        <v>376</v>
      </c>
      <c r="E135" s="2">
        <f>'22'!K24</f>
        <v>112350</v>
      </c>
    </row>
    <row r="136" spans="2:5" ht="15" x14ac:dyDescent="0.25">
      <c r="B136" s="4" t="s">
        <v>377</v>
      </c>
      <c r="C136" s="38"/>
      <c r="D136" s="4" t="s">
        <v>378</v>
      </c>
      <c r="E136" s="2">
        <f>'22'!K35</f>
        <v>0</v>
      </c>
    </row>
    <row r="137" spans="2:5" ht="15" x14ac:dyDescent="0.25">
      <c r="B137" s="4" t="s">
        <v>383</v>
      </c>
      <c r="C137" s="38"/>
      <c r="D137" s="4" t="s">
        <v>384</v>
      </c>
      <c r="E137" s="2">
        <f>'22'!K46</f>
        <v>0</v>
      </c>
    </row>
    <row r="138" spans="2:5" ht="15" x14ac:dyDescent="0.25">
      <c r="B138" s="4" t="s">
        <v>385</v>
      </c>
      <c r="C138" s="38"/>
      <c r="D138" s="4" t="s">
        <v>386</v>
      </c>
      <c r="E138" s="2">
        <f>'22'!K67</f>
        <v>0</v>
      </c>
    </row>
    <row r="139" spans="2:5" ht="15" x14ac:dyDescent="0.25">
      <c r="B139" s="4" t="s">
        <v>414</v>
      </c>
      <c r="C139" s="38"/>
      <c r="D139" s="4" t="s">
        <v>415</v>
      </c>
      <c r="E139" s="2">
        <f>'22'!K74</f>
        <v>0</v>
      </c>
    </row>
    <row r="140" spans="2:5" ht="15" x14ac:dyDescent="0.25">
      <c r="B140" s="4" t="s">
        <v>420</v>
      </c>
      <c r="C140" s="38"/>
      <c r="D140" s="4" t="s">
        <v>421</v>
      </c>
      <c r="E140" s="2">
        <f>'22'!K83</f>
        <v>0</v>
      </c>
    </row>
    <row r="141" spans="2:5" s="40" customFormat="1" ht="13.8" x14ac:dyDescent="0.25">
      <c r="B141" s="40" t="s">
        <v>422</v>
      </c>
      <c r="C141" s="38"/>
      <c r="D141" s="40" t="s">
        <v>423</v>
      </c>
      <c r="E141" s="41">
        <f>'Estimate Summary'!H47</f>
        <v>132800</v>
      </c>
    </row>
    <row r="142" spans="2:5" ht="15" x14ac:dyDescent="0.25">
      <c r="B142" s="4" t="s">
        <v>424</v>
      </c>
      <c r="C142" s="38"/>
      <c r="D142" s="4" t="s">
        <v>425</v>
      </c>
      <c r="E142" s="2">
        <f>'23'!K18</f>
        <v>132800</v>
      </c>
    </row>
    <row r="143" spans="2:5" ht="15" x14ac:dyDescent="0.25">
      <c r="B143" s="4" t="s">
        <v>426</v>
      </c>
      <c r="C143" s="38"/>
      <c r="D143" s="4" t="s">
        <v>427</v>
      </c>
      <c r="E143" s="2">
        <f>'23'!K25</f>
        <v>0</v>
      </c>
    </row>
    <row r="144" spans="2:5" ht="15" x14ac:dyDescent="0.25">
      <c r="B144" s="4" t="s">
        <v>428</v>
      </c>
      <c r="C144" s="38"/>
      <c r="D144" s="4" t="s">
        <v>429</v>
      </c>
      <c r="E144" s="2">
        <f>'23'!K31</f>
        <v>0</v>
      </c>
    </row>
    <row r="145" spans="2:17" ht="15" x14ac:dyDescent="0.25">
      <c r="B145" s="4" t="s">
        <v>430</v>
      </c>
      <c r="C145" s="38"/>
      <c r="D145" s="4" t="s">
        <v>431</v>
      </c>
      <c r="E145" s="2">
        <f>'23'!K38</f>
        <v>0</v>
      </c>
    </row>
    <row r="146" spans="2:17" ht="15" x14ac:dyDescent="0.25">
      <c r="B146" s="4" t="s">
        <v>434</v>
      </c>
      <c r="C146" s="38"/>
      <c r="D146" s="4" t="s">
        <v>435</v>
      </c>
      <c r="E146" s="2">
        <f>'23'!K46</f>
        <v>0</v>
      </c>
    </row>
    <row r="147" spans="2:17" ht="15" x14ac:dyDescent="0.25">
      <c r="B147" s="4" t="s">
        <v>436</v>
      </c>
      <c r="C147" s="38"/>
      <c r="D147" s="4" t="s">
        <v>437</v>
      </c>
      <c r="E147" s="2">
        <f>'23'!K53</f>
        <v>0</v>
      </c>
    </row>
    <row r="148" spans="2:17" ht="15" x14ac:dyDescent="0.25">
      <c r="B148" s="4" t="s">
        <v>438</v>
      </c>
      <c r="C148" s="38"/>
      <c r="D148" s="4" t="s">
        <v>439</v>
      </c>
      <c r="E148" s="2">
        <f>'23'!K58</f>
        <v>0</v>
      </c>
    </row>
    <row r="149" spans="2:17" ht="15" x14ac:dyDescent="0.25">
      <c r="B149" s="4" t="s">
        <v>440</v>
      </c>
      <c r="C149" s="38"/>
      <c r="D149" s="4" t="s">
        <v>441</v>
      </c>
      <c r="E149" s="2">
        <f>'23'!K73</f>
        <v>0</v>
      </c>
    </row>
    <row r="150" spans="2:17" ht="15" x14ac:dyDescent="0.25">
      <c r="B150" s="4" t="s">
        <v>458</v>
      </c>
      <c r="C150" s="38"/>
      <c r="D150" s="4" t="s">
        <v>459</v>
      </c>
      <c r="E150" s="2">
        <f>'23'!K79</f>
        <v>0</v>
      </c>
    </row>
    <row r="151" spans="2:17" ht="15" x14ac:dyDescent="0.25">
      <c r="B151" s="4" t="s">
        <v>462</v>
      </c>
      <c r="C151" s="38"/>
      <c r="D151" s="4" t="s">
        <v>463</v>
      </c>
      <c r="E151" s="2">
        <f>'23'!K91</f>
        <v>0</v>
      </c>
    </row>
    <row r="152" spans="2:17" s="40" customFormat="1" ht="13.8" x14ac:dyDescent="0.25">
      <c r="B152" s="40" t="s">
        <v>466</v>
      </c>
      <c r="C152" s="38"/>
      <c r="D152" s="40" t="s">
        <v>467</v>
      </c>
      <c r="E152" s="41">
        <f>'Estimate Summary'!H49</f>
        <v>0</v>
      </c>
    </row>
    <row r="153" spans="2:17" s="40" customFormat="1" ht="13.8" x14ac:dyDescent="0.25">
      <c r="B153" s="40" t="s">
        <v>468</v>
      </c>
      <c r="C153" s="38"/>
      <c r="D153" s="40" t="s">
        <v>10</v>
      </c>
      <c r="E153" s="41">
        <f>'Estimate Summary'!H51</f>
        <v>236981.55</v>
      </c>
    </row>
    <row r="154" spans="2:17" ht="15" x14ac:dyDescent="0.25">
      <c r="B154" s="4" t="s">
        <v>469</v>
      </c>
      <c r="C154" s="38"/>
      <c r="D154" s="4" t="s">
        <v>470</v>
      </c>
      <c r="E154" s="2">
        <f>'26'!K26</f>
        <v>236981.55</v>
      </c>
      <c r="P154" s="8"/>
      <c r="Q154" s="5"/>
    </row>
    <row r="155" spans="2:17" ht="15" x14ac:dyDescent="0.25">
      <c r="B155" s="4" t="s">
        <v>471</v>
      </c>
      <c r="C155" s="38"/>
      <c r="D155" s="4" t="s">
        <v>472</v>
      </c>
      <c r="E155" s="2">
        <f>'26'!K37</f>
        <v>0</v>
      </c>
      <c r="P155" s="8"/>
      <c r="Q155" s="5"/>
    </row>
    <row r="156" spans="2:17" ht="15" x14ac:dyDescent="0.25">
      <c r="B156" s="4" t="s">
        <v>483</v>
      </c>
      <c r="C156" s="38"/>
      <c r="D156" s="4" t="s">
        <v>81</v>
      </c>
      <c r="E156" s="2">
        <f>'26'!K45</f>
        <v>0</v>
      </c>
      <c r="P156" s="8"/>
      <c r="Q156" s="5"/>
    </row>
    <row r="157" spans="2:17" s="40" customFormat="1" ht="13.8" x14ac:dyDescent="0.25">
      <c r="B157" s="40" t="s">
        <v>490</v>
      </c>
      <c r="C157" s="38"/>
      <c r="D157" s="40" t="s">
        <v>491</v>
      </c>
      <c r="E157" s="41">
        <f>'Estimate Summary'!H53</f>
        <v>0</v>
      </c>
      <c r="P157" s="44"/>
      <c r="Q157" s="43"/>
    </row>
    <row r="158" spans="2:17" ht="15" x14ac:dyDescent="0.25">
      <c r="B158" s="4" t="s">
        <v>492</v>
      </c>
      <c r="C158" s="38"/>
      <c r="D158" s="4" t="s">
        <v>493</v>
      </c>
      <c r="E158" s="2">
        <f>'27'!K24</f>
        <v>0</v>
      </c>
      <c r="P158" s="9"/>
      <c r="Q158" s="5"/>
    </row>
    <row r="159" spans="2:17" ht="15" x14ac:dyDescent="0.25">
      <c r="B159" s="4" t="s">
        <v>494</v>
      </c>
      <c r="C159" s="38"/>
      <c r="D159" s="4" t="s">
        <v>495</v>
      </c>
      <c r="E159" s="2">
        <f>'27'!K35</f>
        <v>0</v>
      </c>
      <c r="P159" s="9"/>
      <c r="Q159" s="5"/>
    </row>
    <row r="160" spans="2:17" ht="15" x14ac:dyDescent="0.25">
      <c r="B160" s="4" t="s">
        <v>500</v>
      </c>
      <c r="C160" s="38"/>
      <c r="D160" s="4" t="s">
        <v>501</v>
      </c>
      <c r="E160" s="2">
        <f>'27'!K43</f>
        <v>0</v>
      </c>
      <c r="P160" s="9"/>
      <c r="Q160" s="5"/>
    </row>
    <row r="161" spans="2:17" ht="15" x14ac:dyDescent="0.25">
      <c r="B161" s="4" t="s">
        <v>502</v>
      </c>
      <c r="C161" s="38"/>
      <c r="D161" s="4" t="s">
        <v>503</v>
      </c>
      <c r="E161" s="2">
        <f>'27'!K52</f>
        <v>0</v>
      </c>
      <c r="P161" s="10"/>
      <c r="Q161" s="7"/>
    </row>
    <row r="162" spans="2:17" ht="15" x14ac:dyDescent="0.25">
      <c r="B162" s="4" t="s">
        <v>504</v>
      </c>
      <c r="C162" s="38"/>
      <c r="D162" s="4" t="s">
        <v>505</v>
      </c>
      <c r="E162" s="2">
        <f>'27'!K63</f>
        <v>0</v>
      </c>
      <c r="P162" s="10"/>
      <c r="Q162" s="7"/>
    </row>
    <row r="163" spans="2:17" s="40" customFormat="1" ht="13.8" x14ac:dyDescent="0.25">
      <c r="B163" s="40" t="s">
        <v>506</v>
      </c>
      <c r="C163" s="38"/>
      <c r="D163" s="40" t="s">
        <v>507</v>
      </c>
      <c r="E163" s="41">
        <f>'Estimate Summary'!H55</f>
        <v>0</v>
      </c>
      <c r="P163" s="42"/>
      <c r="Q163" s="43"/>
    </row>
    <row r="164" spans="2:17" ht="15" x14ac:dyDescent="0.25">
      <c r="B164" s="4" t="s">
        <v>508</v>
      </c>
      <c r="C164" s="38"/>
      <c r="D164" s="4" t="s">
        <v>509</v>
      </c>
      <c r="E164" s="2">
        <f>'28'!K24</f>
        <v>0</v>
      </c>
      <c r="P164" s="8"/>
      <c r="Q164" s="5"/>
    </row>
    <row r="165" spans="2:17" ht="15" x14ac:dyDescent="0.25">
      <c r="B165" s="4" t="s">
        <v>512</v>
      </c>
      <c r="C165" s="38"/>
      <c r="D165" s="4" t="s">
        <v>513</v>
      </c>
      <c r="E165" s="2">
        <f>'28'!K35</f>
        <v>0</v>
      </c>
      <c r="P165" s="8"/>
      <c r="Q165" s="5"/>
    </row>
    <row r="166" spans="2:17" ht="15" x14ac:dyDescent="0.25">
      <c r="B166" s="4" t="s">
        <v>514</v>
      </c>
      <c r="C166" s="38"/>
      <c r="D166" s="4" t="s">
        <v>515</v>
      </c>
      <c r="E166" s="2">
        <f>'28'!K43</f>
        <v>0</v>
      </c>
      <c r="P166" s="8"/>
      <c r="Q166" s="5"/>
    </row>
    <row r="167" spans="2:17" ht="15" x14ac:dyDescent="0.25">
      <c r="B167" s="4" t="s">
        <v>516</v>
      </c>
      <c r="C167" s="38"/>
      <c r="D167" s="4" t="s">
        <v>518</v>
      </c>
      <c r="E167" s="2">
        <f>'28'!K52</f>
        <v>0</v>
      </c>
      <c r="P167" s="10"/>
      <c r="Q167" s="5"/>
    </row>
    <row r="168" spans="2:17" s="40" customFormat="1" ht="13.8" x14ac:dyDescent="0.25">
      <c r="B168" s="40" t="s">
        <v>520</v>
      </c>
      <c r="C168" s="38"/>
      <c r="D168" s="40" t="s">
        <v>521</v>
      </c>
      <c r="E168" s="41">
        <f>'Estimate Summary'!H57</f>
        <v>279224.83</v>
      </c>
    </row>
    <row r="169" spans="2:17" ht="15" x14ac:dyDescent="0.25">
      <c r="B169" s="4" t="s">
        <v>522</v>
      </c>
      <c r="C169" s="38"/>
      <c r="D169" s="4" t="s">
        <v>523</v>
      </c>
      <c r="E169" s="2">
        <f>'31'!K26</f>
        <v>0</v>
      </c>
    </row>
    <row r="170" spans="2:17" ht="15" x14ac:dyDescent="0.25">
      <c r="B170" s="4" t="s">
        <v>526</v>
      </c>
      <c r="C170" s="38"/>
      <c r="D170" s="4" t="s">
        <v>527</v>
      </c>
      <c r="E170" s="2">
        <f>'31'!K69</f>
        <v>279224.83</v>
      </c>
    </row>
    <row r="171" spans="2:17" ht="15" x14ac:dyDescent="0.25">
      <c r="B171" s="4" t="s">
        <v>561</v>
      </c>
      <c r="C171" s="38"/>
      <c r="D171" s="4" t="s">
        <v>560</v>
      </c>
      <c r="E171" s="2">
        <f>'31'!K77</f>
        <v>0</v>
      </c>
    </row>
    <row r="172" spans="2:17" ht="15" x14ac:dyDescent="0.25">
      <c r="B172" s="4" t="s">
        <v>562</v>
      </c>
      <c r="C172" s="38"/>
      <c r="D172" s="4" t="s">
        <v>563</v>
      </c>
      <c r="E172" s="2">
        <f>'31'!K86</f>
        <v>0</v>
      </c>
    </row>
    <row r="173" spans="2:17" s="40" customFormat="1" ht="13.8" x14ac:dyDescent="0.25">
      <c r="B173" s="40" t="s">
        <v>564</v>
      </c>
      <c r="C173" s="38"/>
      <c r="D173" s="40" t="s">
        <v>565</v>
      </c>
      <c r="E173" s="41">
        <f>'Estimate Summary'!H59</f>
        <v>197504</v>
      </c>
    </row>
    <row r="174" spans="2:17" ht="15" x14ac:dyDescent="0.25">
      <c r="B174" s="4" t="s">
        <v>566</v>
      </c>
      <c r="C174" s="38"/>
      <c r="D174" s="4" t="s">
        <v>567</v>
      </c>
      <c r="E174" s="2">
        <f>'32'!K22</f>
        <v>86800</v>
      </c>
    </row>
    <row r="175" spans="2:17" ht="15" x14ac:dyDescent="0.25">
      <c r="B175" s="4" t="s">
        <v>574</v>
      </c>
      <c r="C175" s="38"/>
      <c r="D175" s="4" t="s">
        <v>575</v>
      </c>
      <c r="E175" s="2">
        <f>'32'!K37</f>
        <v>41050</v>
      </c>
    </row>
    <row r="176" spans="2:17" ht="15" x14ac:dyDescent="0.25">
      <c r="B176" s="4" t="s">
        <v>591</v>
      </c>
      <c r="C176" s="38"/>
      <c r="D176" s="4" t="s">
        <v>592</v>
      </c>
      <c r="E176" s="2">
        <f>'32'!K48</f>
        <v>1400</v>
      </c>
    </row>
    <row r="177" spans="2:5" ht="15" x14ac:dyDescent="0.25">
      <c r="B177" s="4" t="s">
        <v>596</v>
      </c>
      <c r="C177" s="38"/>
      <c r="D177" s="4" t="s">
        <v>597</v>
      </c>
      <c r="E177" s="2">
        <f>'32'!K58</f>
        <v>41666</v>
      </c>
    </row>
    <row r="178" spans="2:5" ht="15" x14ac:dyDescent="0.25">
      <c r="B178" s="4" t="s">
        <v>605</v>
      </c>
      <c r="C178" s="38"/>
      <c r="D178" s="4" t="s">
        <v>606</v>
      </c>
      <c r="E178" s="2">
        <f>'32'!K69</f>
        <v>26588</v>
      </c>
    </row>
    <row r="179" spans="2:5" s="40" customFormat="1" ht="13.8" x14ac:dyDescent="0.25">
      <c r="B179" s="40" t="s">
        <v>612</v>
      </c>
      <c r="C179" s="38"/>
      <c r="D179" s="40" t="s">
        <v>613</v>
      </c>
      <c r="E179" s="41">
        <f>'Estimate Summary'!H61</f>
        <v>0</v>
      </c>
    </row>
    <row r="180" spans="2:5" ht="15" x14ac:dyDescent="0.25">
      <c r="B180" s="4" t="s">
        <v>614</v>
      </c>
      <c r="C180" s="38"/>
      <c r="D180" s="4" t="s">
        <v>615</v>
      </c>
      <c r="E180" s="2">
        <f>'33'!K26</f>
        <v>0</v>
      </c>
    </row>
    <row r="181" spans="2:5" ht="15" x14ac:dyDescent="0.25">
      <c r="B181" s="4" t="s">
        <v>620</v>
      </c>
      <c r="C181" s="38"/>
      <c r="D181" s="4" t="s">
        <v>621</v>
      </c>
      <c r="E181" s="2">
        <f>'33'!K37</f>
        <v>0</v>
      </c>
    </row>
    <row r="182" spans="2:5" ht="15" x14ac:dyDescent="0.25">
      <c r="B182" s="4" t="s">
        <v>636</v>
      </c>
      <c r="C182" s="38"/>
      <c r="D182" s="4" t="s">
        <v>637</v>
      </c>
      <c r="E182" s="2">
        <f>'33'!K54</f>
        <v>0</v>
      </c>
    </row>
  </sheetData>
  <autoFilter ref="B1:E182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workbookViewId="0">
      <selection activeCell="A11" sqref="A11"/>
    </sheetView>
  </sheetViews>
  <sheetFormatPr defaultColWidth="11.44140625" defaultRowHeight="13.2" x14ac:dyDescent="0.25"/>
  <cols>
    <col min="1" max="1" width="17" bestFit="1" customWidth="1"/>
    <col min="2" max="2" width="16.5546875" bestFit="1" customWidth="1"/>
    <col min="3" max="3" width="10.5546875" bestFit="1" customWidth="1"/>
    <col min="4" max="4" width="12.88671875" customWidth="1"/>
    <col min="5" max="5" width="14.109375" bestFit="1" customWidth="1"/>
    <col min="6" max="6" width="24.109375" bestFit="1" customWidth="1"/>
    <col min="7" max="7" width="19.5546875" bestFit="1" customWidth="1"/>
    <col min="8" max="8" width="25" customWidth="1"/>
    <col min="9" max="9" width="6.88671875" bestFit="1" customWidth="1"/>
    <col min="10" max="10" width="18.44140625" bestFit="1" customWidth="1"/>
    <col min="11" max="11" width="22.44140625" bestFit="1" customWidth="1"/>
    <col min="12" max="12" width="32.44140625" bestFit="1" customWidth="1"/>
    <col min="13" max="13" width="30.88671875" customWidth="1"/>
    <col min="14" max="14" width="12.5546875" bestFit="1" customWidth="1"/>
    <col min="15" max="15" width="14.44140625" bestFit="1" customWidth="1"/>
    <col min="16" max="16" width="21" bestFit="1" customWidth="1"/>
    <col min="17" max="17" width="10" bestFit="1" customWidth="1"/>
    <col min="18" max="18" width="12.88671875" bestFit="1" customWidth="1"/>
    <col min="19" max="19" width="11.88671875" bestFit="1" customWidth="1"/>
    <col min="20" max="20" width="32.5546875" bestFit="1" customWidth="1"/>
  </cols>
  <sheetData>
    <row r="1" spans="1:20" x14ac:dyDescent="0.25">
      <c r="A1" s="142"/>
      <c r="L1" s="13"/>
      <c r="M1" s="13"/>
      <c r="O1" s="13"/>
      <c r="P1" s="13"/>
      <c r="Q1" s="52"/>
    </row>
    <row r="2" spans="1:20" s="3" customFormat="1" ht="15" x14ac:dyDescent="0.25">
      <c r="A2" s="142"/>
      <c r="B2" t="s">
        <v>924</v>
      </c>
      <c r="C2" t="s">
        <v>958</v>
      </c>
      <c r="D2" t="s">
        <v>737</v>
      </c>
      <c r="E2"/>
      <c r="G2"/>
      <c r="H2" t="s">
        <v>925</v>
      </c>
      <c r="I2"/>
      <c r="J2" t="s">
        <v>926</v>
      </c>
      <c r="K2" t="s">
        <v>747</v>
      </c>
      <c r="L2" s="13"/>
      <c r="M2" s="150" t="s">
        <v>788</v>
      </c>
      <c r="N2" s="151" t="s">
        <v>964</v>
      </c>
      <c r="O2" s="13"/>
      <c r="P2" s="13"/>
      <c r="Q2" s="52"/>
      <c r="R2"/>
      <c r="S2"/>
      <c r="T2"/>
    </row>
    <row r="3" spans="1:20" x14ac:dyDescent="0.25">
      <c r="A3" s="142"/>
      <c r="B3" t="s">
        <v>927</v>
      </c>
      <c r="D3" t="s">
        <v>928</v>
      </c>
      <c r="H3" t="s">
        <v>959</v>
      </c>
      <c r="J3" t="s">
        <v>929</v>
      </c>
      <c r="K3" t="s">
        <v>930</v>
      </c>
      <c r="L3" s="13"/>
      <c r="M3" s="152" t="s">
        <v>789</v>
      </c>
      <c r="N3" s="153" t="s">
        <v>965</v>
      </c>
      <c r="O3" s="13"/>
      <c r="P3" s="13"/>
      <c r="Q3" s="52"/>
    </row>
    <row r="4" spans="1:20" ht="15.6" x14ac:dyDescent="0.3">
      <c r="A4" s="142"/>
      <c r="B4" t="s">
        <v>932</v>
      </c>
      <c r="D4" t="s">
        <v>933</v>
      </c>
      <c r="H4" t="s">
        <v>937</v>
      </c>
      <c r="J4" t="s">
        <v>934</v>
      </c>
      <c r="K4" t="s">
        <v>935</v>
      </c>
      <c r="L4" s="13"/>
      <c r="M4" s="152" t="s">
        <v>966</v>
      </c>
      <c r="N4" s="153" t="s">
        <v>967</v>
      </c>
      <c r="O4" s="13"/>
      <c r="P4" s="13"/>
      <c r="Q4" s="52"/>
      <c r="R4" s="143" t="s">
        <v>749</v>
      </c>
      <c r="T4" t="s">
        <v>931</v>
      </c>
    </row>
    <row r="5" spans="1:20" x14ac:dyDescent="0.25">
      <c r="A5" s="142"/>
      <c r="B5" t="s">
        <v>939</v>
      </c>
      <c r="D5" t="s">
        <v>940</v>
      </c>
      <c r="H5" t="s">
        <v>943</v>
      </c>
      <c r="J5" t="s">
        <v>941</v>
      </c>
      <c r="L5" s="13"/>
      <c r="M5" s="152" t="s">
        <v>824</v>
      </c>
      <c r="N5" s="153" t="s">
        <v>968</v>
      </c>
      <c r="O5" s="13"/>
      <c r="P5" s="13"/>
      <c r="Q5" s="52"/>
      <c r="R5" s="144" t="s">
        <v>936</v>
      </c>
      <c r="T5" t="s">
        <v>938</v>
      </c>
    </row>
    <row r="6" spans="1:20" x14ac:dyDescent="0.25">
      <c r="A6" s="142"/>
      <c r="B6" t="s">
        <v>945</v>
      </c>
      <c r="D6" t="s">
        <v>946</v>
      </c>
      <c r="H6" t="s">
        <v>971</v>
      </c>
      <c r="J6" t="s">
        <v>947</v>
      </c>
      <c r="L6" s="13"/>
      <c r="M6" s="154" t="s">
        <v>969</v>
      </c>
      <c r="N6" s="155" t="s">
        <v>970</v>
      </c>
      <c r="O6" s="13"/>
      <c r="P6" s="13"/>
      <c r="Q6" s="52"/>
      <c r="R6" s="145" t="s">
        <v>942</v>
      </c>
      <c r="T6" t="s">
        <v>944</v>
      </c>
    </row>
    <row r="7" spans="1:20" x14ac:dyDescent="0.25">
      <c r="A7" s="142"/>
      <c r="L7" s="13"/>
      <c r="M7" s="13"/>
      <c r="O7" s="13"/>
      <c r="P7" s="13"/>
      <c r="Q7" s="52"/>
      <c r="R7" s="146" t="s">
        <v>948</v>
      </c>
    </row>
    <row r="8" spans="1:20" x14ac:dyDescent="0.25">
      <c r="A8" s="142"/>
      <c r="L8" s="13"/>
      <c r="M8" s="13"/>
      <c r="O8" s="13"/>
      <c r="P8" s="13"/>
      <c r="Q8" s="52"/>
      <c r="R8" s="145"/>
    </row>
    <row r="9" spans="1:20" x14ac:dyDescent="0.25">
      <c r="A9" s="142"/>
      <c r="L9" s="13"/>
      <c r="M9" s="13"/>
      <c r="O9" s="13"/>
      <c r="P9" s="13"/>
      <c r="Q9" s="52"/>
      <c r="R9" s="144"/>
    </row>
    <row r="10" spans="1:20" ht="15" x14ac:dyDescent="0.25">
      <c r="A10" s="147" t="s">
        <v>953</v>
      </c>
      <c r="B10" s="148" t="s">
        <v>776</v>
      </c>
      <c r="C10" s="148" t="s">
        <v>924</v>
      </c>
      <c r="D10" s="3" t="s">
        <v>737</v>
      </c>
      <c r="E10" s="3" t="s">
        <v>738</v>
      </c>
      <c r="F10" s="3" t="s">
        <v>977</v>
      </c>
      <c r="G10" s="3" t="s">
        <v>739</v>
      </c>
      <c r="H10" s="3" t="s">
        <v>961</v>
      </c>
      <c r="I10" s="3" t="s">
        <v>740</v>
      </c>
      <c r="J10" s="3" t="s">
        <v>746</v>
      </c>
      <c r="K10" s="3" t="s">
        <v>747</v>
      </c>
      <c r="L10" s="53" t="s">
        <v>741</v>
      </c>
      <c r="M10" s="53" t="s">
        <v>962</v>
      </c>
      <c r="N10" s="3" t="s">
        <v>72</v>
      </c>
      <c r="O10" s="53" t="s">
        <v>84</v>
      </c>
      <c r="P10" s="53" t="s">
        <v>742</v>
      </c>
      <c r="Q10" s="54" t="s">
        <v>86</v>
      </c>
      <c r="R10" s="3" t="s">
        <v>749</v>
      </c>
      <c r="S10" s="3" t="s">
        <v>750</v>
      </c>
      <c r="T10" s="3" t="s">
        <v>963</v>
      </c>
    </row>
    <row r="11" spans="1:20" x14ac:dyDescent="0.25">
      <c r="A11" s="826" t="str">
        <f>+'Estimate Summary'!B3</f>
        <v>January 29th, 2026</v>
      </c>
      <c r="B11" s="827">
        <f>+'Estimate Summary'!B7</f>
        <v>2026</v>
      </c>
      <c r="C11" s="811" t="str">
        <f>+'Estimate Summary'!B8</f>
        <v>Q1</v>
      </c>
      <c r="D11" t="str">
        <f>+'Estimate Summary'!B5</f>
        <v>NB</v>
      </c>
      <c r="E11" s="2" t="str">
        <f>'Estimate Summary'!B6</f>
        <v>St George</v>
      </c>
      <c r="F11">
        <f>'Estimate Summary'!B4</f>
        <v>3091</v>
      </c>
      <c r="G11" s="2" t="str">
        <f>'Estimate Summary'!D5</f>
        <v>St George YMCA Daycare</v>
      </c>
      <c r="H11" s="2">
        <f>+'Estimate Summary'!F8</f>
        <v>0</v>
      </c>
      <c r="I11" s="149">
        <f>+'Estimate Summary'!D11</f>
        <v>6190</v>
      </c>
      <c r="J11" s="2" t="str">
        <f>'Estimate Summary'!D7</f>
        <v>CCDC 2</v>
      </c>
      <c r="K11" s="2">
        <f>+'Estimate Summary'!D8</f>
        <v>0</v>
      </c>
      <c r="L11" s="2">
        <f>+'Estimate Summary'!D75</f>
        <v>2386429.9989058063</v>
      </c>
      <c r="M11" s="2" t="str">
        <f>IF(L11&lt;100000,"E",IF(L11&lt;500000,"D",IF(L11&lt;2000000,"C",IF(L11&lt;5000000,"B",IF(L11&gt;=5000000,"A")))))</f>
        <v>B</v>
      </c>
      <c r="N11">
        <f>'Estimate Summary'!D81</f>
        <v>38</v>
      </c>
      <c r="O11" s="2">
        <f>'Estimate Summary'!D82</f>
        <v>280996.92598095752</v>
      </c>
      <c r="P11" s="21">
        <f>'Estimate Summary'!E82</f>
        <v>7394.6559468673031</v>
      </c>
      <c r="Q11" s="22">
        <f>'Estimate Summary'!D84</f>
        <v>0.11774781833525241</v>
      </c>
      <c r="R11">
        <f>'Estimate Summary'!F6</f>
        <v>0</v>
      </c>
      <c r="S11">
        <f>'Estimate Summary'!F5</f>
        <v>0</v>
      </c>
      <c r="T11">
        <f>'Estimate Summary'!F7</f>
        <v>0</v>
      </c>
    </row>
  </sheetData>
  <dataValidations count="1">
    <dataValidation type="list" allowBlank="1" showInputMessage="1" showErrorMessage="1" sqref="H2" xr:uid="{2494BA54-5772-4C23-A978-EBD7A7E30474}">
      <formula1>$H$2:$H$6</formula1>
    </dataValidation>
  </dataValidations>
  <pageMargins left="0.7" right="0.7" top="0.75" bottom="0.75" header="0.3" footer="0.3"/>
  <pageSetup orientation="portrait" horizontalDpi="0" verticalDpi="0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72"/>
  <sheetViews>
    <sheetView view="pageLayout" topLeftCell="A64" zoomScale="75" zoomScaleNormal="100" zoomScaleSheetLayoutView="110" zoomScalePageLayoutView="75" workbookViewId="0">
      <selection activeCell="D51" sqref="D51"/>
    </sheetView>
  </sheetViews>
  <sheetFormatPr defaultColWidth="11.44140625" defaultRowHeight="13.2" x14ac:dyDescent="0.25"/>
  <cols>
    <col min="1" max="1" width="2.44140625" customWidth="1"/>
    <col min="2" max="2" width="17.109375" style="12" customWidth="1"/>
    <col min="3" max="3" width="55.88671875" style="16" customWidth="1"/>
    <col min="4" max="4" width="25.5546875" customWidth="1"/>
    <col min="5" max="5" width="22" customWidth="1"/>
    <col min="6" max="6" width="2.5546875" customWidth="1"/>
    <col min="7" max="7" width="24" customWidth="1"/>
    <col min="8" max="8" width="16.5546875" customWidth="1"/>
    <col min="9" max="9" width="3.5546875" customWidth="1"/>
    <col min="10" max="10" width="41.5546875" style="1" customWidth="1"/>
    <col min="11" max="11" width="20.5546875" customWidth="1"/>
    <col min="12" max="12" width="2.109375" customWidth="1"/>
    <col min="13" max="13" width="14" bestFit="1" customWidth="1"/>
  </cols>
  <sheetData>
    <row r="1" spans="2:12" ht="13.8" thickBot="1" x14ac:dyDescent="0.3"/>
    <row r="2" spans="2:12" ht="30" customHeight="1" thickTop="1" x14ac:dyDescent="0.25">
      <c r="B2" s="983" t="str">
        <f>'Estimate Summary'!D5</f>
        <v>St George YMCA Daycare</v>
      </c>
      <c r="C2" s="984"/>
      <c r="D2" s="90"/>
      <c r="E2" s="90"/>
      <c r="F2" s="90"/>
      <c r="G2" s="90"/>
      <c r="H2" s="90"/>
      <c r="I2" s="985" t="s">
        <v>954</v>
      </c>
      <c r="J2" s="985"/>
      <c r="K2" s="986"/>
    </row>
    <row r="3" spans="2:12" ht="26.1" customHeight="1" x14ac:dyDescent="0.25">
      <c r="B3" s="991" t="str">
        <f>'Estimate Summary'!D6</f>
        <v>Eastern Chalotte/YMCA</v>
      </c>
      <c r="C3" s="992"/>
      <c r="D3" s="91"/>
      <c r="E3" s="91"/>
      <c r="F3" s="91"/>
      <c r="G3" s="91"/>
      <c r="H3" s="91"/>
      <c r="I3" s="987"/>
      <c r="J3" s="987"/>
      <c r="K3" s="988"/>
    </row>
    <row r="4" spans="2:12" ht="24" customHeight="1" x14ac:dyDescent="0.25">
      <c r="B4" s="93" t="s">
        <v>777</v>
      </c>
      <c r="C4" s="94" t="str">
        <f>'Estimate Summary'!B3</f>
        <v>January 29th, 2026</v>
      </c>
      <c r="D4" s="92"/>
      <c r="E4" s="92"/>
      <c r="F4" s="92"/>
      <c r="G4" s="92"/>
      <c r="H4" s="92"/>
      <c r="I4" s="989"/>
      <c r="J4" s="989"/>
      <c r="K4" s="990"/>
    </row>
    <row r="5" spans="2:12" x14ac:dyDescent="0.25">
      <c r="B5" s="61"/>
      <c r="C5" s="58"/>
      <c r="D5" s="58"/>
      <c r="E5" s="58"/>
      <c r="F5" s="58"/>
      <c r="G5" s="58"/>
      <c r="H5" s="58"/>
      <c r="I5" s="59"/>
      <c r="J5" s="60"/>
      <c r="K5" s="62"/>
      <c r="L5" s="23"/>
    </row>
    <row r="6" spans="2:12" x14ac:dyDescent="0.25">
      <c r="B6" s="63"/>
      <c r="C6" s="55"/>
      <c r="D6" s="998"/>
      <c r="E6" s="998"/>
      <c r="F6" s="55"/>
      <c r="G6" s="998"/>
      <c r="H6" s="998"/>
      <c r="I6" s="56"/>
      <c r="J6" s="57"/>
      <c r="K6" s="64"/>
      <c r="L6" s="23"/>
    </row>
    <row r="7" spans="2:12" ht="13.8" thickBot="1" x14ac:dyDescent="0.3">
      <c r="B7" s="63"/>
      <c r="C7" s="55"/>
      <c r="D7" s="999"/>
      <c r="E7" s="999"/>
      <c r="F7" s="55"/>
      <c r="G7" s="999" t="str">
        <f>'Estimate Summary'!B3</f>
        <v>January 29th, 2026</v>
      </c>
      <c r="H7" s="999">
        <f>'Estimate Summary'!G8</f>
        <v>0</v>
      </c>
      <c r="I7" s="56"/>
      <c r="J7" s="57"/>
      <c r="K7" s="64"/>
      <c r="L7" s="23"/>
    </row>
    <row r="8" spans="2:12" s="101" customFormat="1" ht="21.6" customHeight="1" x14ac:dyDescent="0.25">
      <c r="B8" s="95" t="s">
        <v>686</v>
      </c>
      <c r="C8" s="96" t="s">
        <v>3</v>
      </c>
      <c r="D8" s="97"/>
      <c r="E8" s="98">
        <f>SUM(D9:D17)</f>
        <v>0</v>
      </c>
      <c r="F8" s="102"/>
      <c r="G8" s="97"/>
      <c r="H8" s="98">
        <f>SUM(G9:G17)</f>
        <v>283378.63680207497</v>
      </c>
      <c r="I8" s="97"/>
      <c r="J8" s="99" t="str">
        <f>IF(H8&gt;E8,"Increase","Decrease or No Change")</f>
        <v>Increase</v>
      </c>
      <c r="K8" s="100">
        <f>H8-E8</f>
        <v>283378.63680207497</v>
      </c>
    </row>
    <row r="9" spans="2:12" s="101" customFormat="1" ht="18" customHeight="1" x14ac:dyDescent="0.25">
      <c r="B9" s="132" t="s">
        <v>102</v>
      </c>
      <c r="C9" s="133" t="s">
        <v>101</v>
      </c>
      <c r="D9" s="114">
        <v>0</v>
      </c>
      <c r="E9" s="113"/>
      <c r="F9" s="112"/>
      <c r="G9" s="114">
        <f>'1'!K24</f>
        <v>0</v>
      </c>
      <c r="H9" s="114"/>
      <c r="I9" s="112"/>
      <c r="J9" s="113"/>
      <c r="K9" s="115"/>
    </row>
    <row r="10" spans="2:12" s="101" customFormat="1" ht="18" customHeight="1" x14ac:dyDescent="0.25">
      <c r="B10" s="134" t="s">
        <v>103</v>
      </c>
      <c r="C10" s="135" t="s">
        <v>104</v>
      </c>
      <c r="D10" s="114">
        <v>0</v>
      </c>
      <c r="E10" s="113"/>
      <c r="F10" s="112"/>
      <c r="G10" s="114">
        <f>'1'!K35</f>
        <v>183350</v>
      </c>
      <c r="H10" s="114"/>
      <c r="I10" s="112"/>
      <c r="J10" s="113"/>
      <c r="K10" s="115"/>
    </row>
    <row r="11" spans="2:12" s="101" customFormat="1" ht="18" customHeight="1" x14ac:dyDescent="0.25">
      <c r="B11" s="134" t="s">
        <v>105</v>
      </c>
      <c r="C11" s="135" t="s">
        <v>106</v>
      </c>
      <c r="D11" s="114">
        <v>0</v>
      </c>
      <c r="E11" s="113"/>
      <c r="F11" s="112"/>
      <c r="G11" s="114">
        <f>'1'!K67</f>
        <v>17078.206072875</v>
      </c>
      <c r="H11" s="114"/>
      <c r="I11" s="112"/>
      <c r="J11" s="113"/>
      <c r="K11" s="115"/>
    </row>
    <row r="12" spans="2:12" s="101" customFormat="1" ht="18" customHeight="1" x14ac:dyDescent="0.25">
      <c r="B12" s="134" t="s">
        <v>144</v>
      </c>
      <c r="C12" s="135" t="s">
        <v>145</v>
      </c>
      <c r="D12" s="114">
        <v>0</v>
      </c>
      <c r="E12" s="113"/>
      <c r="F12" s="112"/>
      <c r="G12" s="114">
        <f>'1'!K76</f>
        <v>8000</v>
      </c>
      <c r="H12" s="114"/>
      <c r="I12" s="112"/>
      <c r="J12" s="113"/>
      <c r="K12" s="115"/>
    </row>
    <row r="13" spans="2:12" s="101" customFormat="1" ht="18" customHeight="1" x14ac:dyDescent="0.25">
      <c r="B13" s="134" t="s">
        <v>107</v>
      </c>
      <c r="C13" s="135" t="s">
        <v>108</v>
      </c>
      <c r="D13" s="114">
        <v>0</v>
      </c>
      <c r="E13" s="113"/>
      <c r="F13" s="112"/>
      <c r="G13" s="114">
        <f>'1'!K87</f>
        <v>5700</v>
      </c>
      <c r="H13" s="114"/>
      <c r="I13" s="112"/>
      <c r="J13" s="113"/>
      <c r="K13" s="115"/>
    </row>
    <row r="14" spans="2:12" s="101" customFormat="1" ht="18" customHeight="1" x14ac:dyDescent="0.25">
      <c r="B14" s="134" t="s">
        <v>110</v>
      </c>
      <c r="C14" s="135" t="s">
        <v>109</v>
      </c>
      <c r="D14" s="114">
        <v>0</v>
      </c>
      <c r="E14" s="113"/>
      <c r="F14" s="112"/>
      <c r="G14" s="114">
        <f>'1'!K97</f>
        <v>14495.394757312501</v>
      </c>
      <c r="H14" s="114"/>
      <c r="I14" s="112"/>
      <c r="J14" s="113"/>
      <c r="K14" s="115"/>
    </row>
    <row r="15" spans="2:12" s="101" customFormat="1" ht="18" customHeight="1" x14ac:dyDescent="0.25">
      <c r="B15" s="134" t="s">
        <v>111</v>
      </c>
      <c r="C15" s="135" t="s">
        <v>112</v>
      </c>
      <c r="D15" s="114">
        <v>0</v>
      </c>
      <c r="E15" s="113"/>
      <c r="F15" s="112"/>
      <c r="G15" s="114">
        <f>'1'!K105</f>
        <v>12471.035971887501</v>
      </c>
      <c r="H15" s="114"/>
      <c r="I15" s="112"/>
      <c r="J15" s="113"/>
      <c r="K15" s="115"/>
    </row>
    <row r="16" spans="2:12" s="101" customFormat="1" ht="18" customHeight="1" x14ac:dyDescent="0.25">
      <c r="B16" s="134" t="s">
        <v>113</v>
      </c>
      <c r="C16" s="135" t="s">
        <v>114</v>
      </c>
      <c r="D16" s="114">
        <v>0</v>
      </c>
      <c r="E16" s="113"/>
      <c r="F16" s="112"/>
      <c r="G16" s="114">
        <f>'1'!K128</f>
        <v>22425</v>
      </c>
      <c r="H16" s="114"/>
      <c r="I16" s="112"/>
      <c r="J16" s="113"/>
      <c r="K16" s="115"/>
    </row>
    <row r="17" spans="2:11" s="101" customFormat="1" ht="18" customHeight="1" thickBot="1" x14ac:dyDescent="0.3">
      <c r="B17" s="136" t="s">
        <v>115</v>
      </c>
      <c r="C17" s="137" t="s">
        <v>116</v>
      </c>
      <c r="D17" s="119">
        <v>0</v>
      </c>
      <c r="E17" s="118"/>
      <c r="F17" s="117"/>
      <c r="G17" s="119">
        <f>'1'!K136</f>
        <v>19859</v>
      </c>
      <c r="H17" s="119"/>
      <c r="I17" s="117"/>
      <c r="J17" s="118"/>
      <c r="K17" s="120"/>
    </row>
    <row r="18" spans="2:11" ht="6.9" customHeight="1" thickBot="1" x14ac:dyDescent="0.35">
      <c r="B18" s="74"/>
      <c r="C18" s="75"/>
      <c r="D18" s="76"/>
      <c r="E18" s="75"/>
      <c r="F18" s="77"/>
      <c r="G18" s="76"/>
      <c r="H18" s="76"/>
      <c r="I18" s="77"/>
      <c r="J18" s="78"/>
      <c r="K18" s="76"/>
    </row>
    <row r="19" spans="2:11" s="101" customFormat="1" ht="21.6" customHeight="1" x14ac:dyDescent="0.25">
      <c r="B19" s="95" t="s">
        <v>153</v>
      </c>
      <c r="C19" s="96" t="s">
        <v>155</v>
      </c>
      <c r="D19" s="97"/>
      <c r="E19" s="98">
        <f>SUM(D20:D22)</f>
        <v>0</v>
      </c>
      <c r="F19" s="102"/>
      <c r="G19" s="97"/>
      <c r="H19" s="98">
        <f>SUM(G20:G22)</f>
        <v>0</v>
      </c>
      <c r="I19" s="97"/>
      <c r="J19" s="99" t="str">
        <f>IF(H19&gt;E19,"Increase","Decrease or No Change")</f>
        <v>Decrease or No Change</v>
      </c>
      <c r="K19" s="100">
        <f>H19-E19</f>
        <v>0</v>
      </c>
    </row>
    <row r="20" spans="2:11" s="101" customFormat="1" ht="18" customHeight="1" x14ac:dyDescent="0.25">
      <c r="B20" s="129" t="s">
        <v>154</v>
      </c>
      <c r="C20" s="127" t="s">
        <v>77</v>
      </c>
      <c r="D20" s="114">
        <v>0</v>
      </c>
      <c r="E20" s="113"/>
      <c r="F20" s="112"/>
      <c r="G20" s="114">
        <f>'2'!K13</f>
        <v>0</v>
      </c>
      <c r="H20" s="114"/>
      <c r="I20" s="112"/>
      <c r="J20" s="113"/>
      <c r="K20" s="115"/>
    </row>
    <row r="21" spans="2:11" s="101" customFormat="1" ht="18" customHeight="1" x14ac:dyDescent="0.25">
      <c r="B21" s="129" t="s">
        <v>156</v>
      </c>
      <c r="C21" s="127" t="s">
        <v>157</v>
      </c>
      <c r="D21" s="114">
        <v>0</v>
      </c>
      <c r="E21" s="113"/>
      <c r="F21" s="112"/>
      <c r="G21" s="114">
        <f>'2'!K37</f>
        <v>0</v>
      </c>
      <c r="H21" s="114"/>
      <c r="I21" s="112"/>
      <c r="J21" s="113"/>
      <c r="K21" s="115"/>
    </row>
    <row r="22" spans="2:11" s="101" customFormat="1" ht="18" customHeight="1" thickBot="1" x14ac:dyDescent="0.3">
      <c r="B22" s="130" t="s">
        <v>158</v>
      </c>
      <c r="C22" s="128" t="s">
        <v>537</v>
      </c>
      <c r="D22" s="119">
        <v>0</v>
      </c>
      <c r="E22" s="118"/>
      <c r="F22" s="117"/>
      <c r="G22" s="119">
        <f>'2'!K48</f>
        <v>0</v>
      </c>
      <c r="H22" s="119"/>
      <c r="I22" s="117"/>
      <c r="J22" s="118"/>
      <c r="K22" s="120"/>
    </row>
    <row r="23" spans="2:11" ht="6.9" customHeight="1" thickBot="1" x14ac:dyDescent="0.35">
      <c r="B23" s="74"/>
      <c r="C23" s="75"/>
      <c r="D23" s="76"/>
      <c r="E23" s="80"/>
      <c r="F23" s="77"/>
      <c r="G23" s="76"/>
      <c r="H23" s="76"/>
      <c r="I23" s="77"/>
      <c r="J23" s="78"/>
      <c r="K23" s="76"/>
    </row>
    <row r="24" spans="2:11" s="101" customFormat="1" ht="21.6" customHeight="1" x14ac:dyDescent="0.25">
      <c r="B24" s="95" t="s">
        <v>159</v>
      </c>
      <c r="C24" s="96" t="s">
        <v>4</v>
      </c>
      <c r="D24" s="97"/>
      <c r="E24" s="98">
        <f>SUM(D25:D29)</f>
        <v>0</v>
      </c>
      <c r="F24" s="97"/>
      <c r="G24" s="97"/>
      <c r="H24" s="98">
        <f>SUM(G25:G29)</f>
        <v>142525.61874999999</v>
      </c>
      <c r="I24" s="97"/>
      <c r="J24" s="99" t="str">
        <f>IF(H24&gt;E24,"Increase","Decrease or No Change")</f>
        <v>Increase</v>
      </c>
      <c r="K24" s="100">
        <f>H24-E24</f>
        <v>142525.61874999999</v>
      </c>
    </row>
    <row r="25" spans="2:11" s="101" customFormat="1" ht="18" customHeight="1" x14ac:dyDescent="0.25">
      <c r="B25" s="129" t="s">
        <v>160</v>
      </c>
      <c r="C25" s="127" t="s">
        <v>161</v>
      </c>
      <c r="D25" s="114">
        <v>0</v>
      </c>
      <c r="E25" s="113"/>
      <c r="F25" s="112"/>
      <c r="G25" s="114">
        <f>'3'!K26</f>
        <v>56820</v>
      </c>
      <c r="H25" s="114"/>
      <c r="I25" s="112"/>
      <c r="J25" s="113"/>
      <c r="K25" s="115"/>
    </row>
    <row r="26" spans="2:11" s="101" customFormat="1" ht="18" customHeight="1" x14ac:dyDescent="0.25">
      <c r="B26" s="129" t="s">
        <v>163</v>
      </c>
      <c r="C26" s="127" t="s">
        <v>162</v>
      </c>
      <c r="D26" s="114">
        <v>0</v>
      </c>
      <c r="E26" s="113"/>
      <c r="F26" s="112"/>
      <c r="G26" s="114">
        <f>'3'!K37</f>
        <v>25280</v>
      </c>
      <c r="H26" s="114"/>
      <c r="I26" s="112"/>
      <c r="J26" s="113"/>
      <c r="K26" s="115"/>
    </row>
    <row r="27" spans="2:11" s="101" customFormat="1" ht="18" customHeight="1" x14ac:dyDescent="0.25">
      <c r="B27" s="129" t="s">
        <v>164</v>
      </c>
      <c r="C27" s="127" t="s">
        <v>168</v>
      </c>
      <c r="D27" s="114">
        <v>0</v>
      </c>
      <c r="E27" s="113"/>
      <c r="F27" s="112"/>
      <c r="G27" s="114">
        <f>'3'!K52+'3'!K65</f>
        <v>37050.324999999997</v>
      </c>
      <c r="H27" s="114"/>
      <c r="I27" s="112"/>
      <c r="J27" s="113"/>
      <c r="K27" s="115"/>
    </row>
    <row r="28" spans="2:11" s="101" customFormat="1" ht="18" customHeight="1" x14ac:dyDescent="0.25">
      <c r="B28" s="129" t="s">
        <v>166</v>
      </c>
      <c r="C28" s="127" t="s">
        <v>170</v>
      </c>
      <c r="D28" s="114">
        <v>0</v>
      </c>
      <c r="E28" s="113"/>
      <c r="F28" s="112"/>
      <c r="G28" s="114">
        <f>'3'!K76</f>
        <v>0</v>
      </c>
      <c r="H28" s="114"/>
      <c r="I28" s="112"/>
      <c r="J28" s="113"/>
      <c r="K28" s="115"/>
    </row>
    <row r="29" spans="2:11" s="101" customFormat="1" ht="18" customHeight="1" thickBot="1" x14ac:dyDescent="0.3">
      <c r="B29" s="130" t="s">
        <v>167</v>
      </c>
      <c r="C29" s="128" t="s">
        <v>171</v>
      </c>
      <c r="D29" s="119">
        <v>0</v>
      </c>
      <c r="E29" s="118"/>
      <c r="F29" s="117"/>
      <c r="G29" s="119">
        <f>'3'!K85</f>
        <v>23375.293750000001</v>
      </c>
      <c r="H29" s="119"/>
      <c r="I29" s="117"/>
      <c r="J29" s="118"/>
      <c r="K29" s="120"/>
    </row>
    <row r="30" spans="2:11" ht="6.9" customHeight="1" thickBot="1" x14ac:dyDescent="0.35">
      <c r="B30" s="74"/>
      <c r="C30" s="75"/>
      <c r="D30" s="76"/>
      <c r="E30" s="78"/>
      <c r="F30" s="76"/>
      <c r="G30" s="76"/>
      <c r="H30" s="76"/>
      <c r="I30" s="76"/>
      <c r="J30" s="78"/>
      <c r="K30" s="76"/>
    </row>
    <row r="31" spans="2:11" s="101" customFormat="1" ht="21.6" customHeight="1" x14ac:dyDescent="0.25">
      <c r="B31" s="95" t="s">
        <v>172</v>
      </c>
      <c r="C31" s="96" t="s">
        <v>5</v>
      </c>
      <c r="D31" s="97"/>
      <c r="E31" s="98">
        <f>SUM(D32:D33)</f>
        <v>0</v>
      </c>
      <c r="F31" s="97"/>
      <c r="G31" s="97"/>
      <c r="H31" s="98">
        <f>SUM(G32:G33)</f>
        <v>0</v>
      </c>
      <c r="I31" s="97"/>
      <c r="J31" s="99" t="str">
        <f>IF(H31&gt;E31,"Increase","Decrease or No Change")</f>
        <v>Decrease or No Change</v>
      </c>
      <c r="K31" s="100">
        <f>H31-E31</f>
        <v>0</v>
      </c>
    </row>
    <row r="32" spans="2:11" s="101" customFormat="1" ht="18" customHeight="1" x14ac:dyDescent="0.25">
      <c r="B32" s="129" t="s">
        <v>173</v>
      </c>
      <c r="C32" s="127" t="s">
        <v>175</v>
      </c>
      <c r="D32" s="114">
        <v>0</v>
      </c>
      <c r="E32" s="113"/>
      <c r="F32" s="112"/>
      <c r="G32" s="114">
        <f>'4'!K26</f>
        <v>0</v>
      </c>
      <c r="H32" s="114"/>
      <c r="I32" s="112"/>
      <c r="J32" s="113"/>
      <c r="K32" s="115"/>
    </row>
    <row r="33" spans="2:11" s="101" customFormat="1" ht="18" customHeight="1" thickBot="1" x14ac:dyDescent="0.3">
      <c r="B33" s="130" t="s">
        <v>688</v>
      </c>
      <c r="C33" s="128" t="s">
        <v>689</v>
      </c>
      <c r="D33" s="119">
        <v>0</v>
      </c>
      <c r="E33" s="131"/>
      <c r="F33" s="117"/>
      <c r="G33" s="119">
        <f>'4'!K37</f>
        <v>0</v>
      </c>
      <c r="H33" s="119"/>
      <c r="I33" s="117"/>
      <c r="J33" s="131"/>
      <c r="K33" s="120"/>
    </row>
    <row r="34" spans="2:11" ht="6.9" customHeight="1" thickBot="1" x14ac:dyDescent="0.35">
      <c r="B34" s="74"/>
      <c r="C34" s="75"/>
      <c r="D34" s="76"/>
      <c r="E34" s="78"/>
      <c r="F34" s="76"/>
      <c r="G34" s="76"/>
      <c r="H34" s="76"/>
      <c r="I34" s="76"/>
      <c r="J34" s="78"/>
      <c r="K34" s="76"/>
    </row>
    <row r="35" spans="2:11" s="101" customFormat="1" ht="21.6" customHeight="1" x14ac:dyDescent="0.25">
      <c r="B35" s="95" t="s">
        <v>178</v>
      </c>
      <c r="C35" s="96" t="s">
        <v>6</v>
      </c>
      <c r="D35" s="97"/>
      <c r="E35" s="98">
        <f>SUM(D36:D39)</f>
        <v>0</v>
      </c>
      <c r="F35" s="102"/>
      <c r="G35" s="97"/>
      <c r="H35" s="98">
        <f>SUM(G36:G39)</f>
        <v>0</v>
      </c>
      <c r="I35" s="97"/>
      <c r="J35" s="99" t="str">
        <f>IF(H35&gt;E35,"Increase","Decrease or No Change")</f>
        <v>Decrease or No Change</v>
      </c>
      <c r="K35" s="100">
        <f>H35-E35</f>
        <v>0</v>
      </c>
    </row>
    <row r="36" spans="2:11" s="101" customFormat="1" ht="18" customHeight="1" x14ac:dyDescent="0.25">
      <c r="B36" s="111" t="s">
        <v>179</v>
      </c>
      <c r="C36" s="127" t="s">
        <v>185</v>
      </c>
      <c r="D36" s="114">
        <v>0</v>
      </c>
      <c r="E36" s="113"/>
      <c r="F36" s="112"/>
      <c r="G36" s="114">
        <f>'5'!K26</f>
        <v>0</v>
      </c>
      <c r="H36" s="114"/>
      <c r="I36" s="112"/>
      <c r="J36" s="113"/>
      <c r="K36" s="115"/>
    </row>
    <row r="37" spans="2:11" s="101" customFormat="1" ht="18" customHeight="1" x14ac:dyDescent="0.25">
      <c r="B37" s="111" t="s">
        <v>180</v>
      </c>
      <c r="C37" s="127" t="s">
        <v>186</v>
      </c>
      <c r="D37" s="114">
        <v>0</v>
      </c>
      <c r="E37" s="113"/>
      <c r="F37" s="112"/>
      <c r="G37" s="114">
        <f>'5'!K37</f>
        <v>0</v>
      </c>
      <c r="H37" s="114"/>
      <c r="I37" s="112"/>
      <c r="J37" s="113"/>
      <c r="K37" s="115"/>
    </row>
    <row r="38" spans="2:11" s="101" customFormat="1" ht="18" customHeight="1" x14ac:dyDescent="0.25">
      <c r="B38" s="111" t="s">
        <v>181</v>
      </c>
      <c r="C38" s="127" t="s">
        <v>187</v>
      </c>
      <c r="D38" s="114">
        <v>0</v>
      </c>
      <c r="E38" s="113"/>
      <c r="F38" s="112"/>
      <c r="G38" s="114">
        <f>'5'!K45</f>
        <v>0</v>
      </c>
      <c r="H38" s="114"/>
      <c r="I38" s="112"/>
      <c r="J38" s="113"/>
      <c r="K38" s="115"/>
    </row>
    <row r="39" spans="2:11" s="101" customFormat="1" ht="18" customHeight="1" thickBot="1" x14ac:dyDescent="0.3">
      <c r="B39" s="116" t="s">
        <v>690</v>
      </c>
      <c r="C39" s="128" t="s">
        <v>691</v>
      </c>
      <c r="D39" s="119">
        <v>0</v>
      </c>
      <c r="E39" s="118"/>
      <c r="F39" s="117"/>
      <c r="G39" s="119">
        <f>'5'!K54+'5'!K65+'5'!K74</f>
        <v>0</v>
      </c>
      <c r="H39" s="119"/>
      <c r="I39" s="117"/>
      <c r="J39" s="118"/>
      <c r="K39" s="120"/>
    </row>
    <row r="40" spans="2:11" ht="6.9" customHeight="1" thickBot="1" x14ac:dyDescent="0.35">
      <c r="B40" s="74"/>
      <c r="C40" s="75"/>
      <c r="D40" s="76"/>
      <c r="E40" s="80"/>
      <c r="F40" s="77"/>
      <c r="G40" s="76"/>
      <c r="H40" s="76"/>
      <c r="I40" s="77"/>
      <c r="J40" s="78"/>
      <c r="K40" s="76"/>
    </row>
    <row r="41" spans="2:11" s="101" customFormat="1" ht="21.6" customHeight="1" x14ac:dyDescent="0.25">
      <c r="B41" s="95" t="s">
        <v>191</v>
      </c>
      <c r="C41" s="96" t="s">
        <v>192</v>
      </c>
      <c r="D41" s="97"/>
      <c r="E41" s="98">
        <f>SUM(D42:D45)</f>
        <v>0</v>
      </c>
      <c r="F41" s="102"/>
      <c r="G41" s="97"/>
      <c r="H41" s="98">
        <f>SUM(G42:G45)</f>
        <v>337170.18</v>
      </c>
      <c r="I41" s="97"/>
      <c r="J41" s="99" t="str">
        <f>IF(H41&gt;E41,"Increase","Decrease or No Change")</f>
        <v>Increase</v>
      </c>
      <c r="K41" s="100">
        <f>H41-E41</f>
        <v>337170.18</v>
      </c>
    </row>
    <row r="42" spans="2:11" s="101" customFormat="1" ht="18" customHeight="1" x14ac:dyDescent="0.25">
      <c r="B42" s="111" t="s">
        <v>725</v>
      </c>
      <c r="C42" s="112" t="s">
        <v>901</v>
      </c>
      <c r="D42" s="114">
        <v>0</v>
      </c>
      <c r="E42" s="113"/>
      <c r="F42" s="114"/>
      <c r="G42" s="114">
        <f>'6'!K29</f>
        <v>120000</v>
      </c>
      <c r="H42" s="114"/>
      <c r="I42" s="112"/>
      <c r="J42" s="125"/>
      <c r="K42" s="126"/>
    </row>
    <row r="43" spans="2:11" s="101" customFormat="1" ht="18" customHeight="1" x14ac:dyDescent="0.25">
      <c r="B43" s="111" t="s">
        <v>725</v>
      </c>
      <c r="C43" s="112" t="s">
        <v>916</v>
      </c>
      <c r="D43" s="114">
        <v>0</v>
      </c>
      <c r="E43" s="113"/>
      <c r="F43" s="114"/>
      <c r="G43" s="114">
        <f>'6'!K76</f>
        <v>92676.18</v>
      </c>
      <c r="H43" s="114"/>
      <c r="I43" s="112"/>
      <c r="J43" s="125"/>
      <c r="K43" s="126"/>
    </row>
    <row r="44" spans="2:11" s="101" customFormat="1" ht="18" customHeight="1" x14ac:dyDescent="0.25">
      <c r="B44" s="111" t="s">
        <v>194</v>
      </c>
      <c r="C44" s="112" t="s">
        <v>48</v>
      </c>
      <c r="D44" s="114">
        <v>0</v>
      </c>
      <c r="E44" s="113"/>
      <c r="F44" s="112"/>
      <c r="G44" s="114">
        <f>'6'!K90</f>
        <v>124494</v>
      </c>
      <c r="H44" s="114"/>
      <c r="I44" s="112"/>
      <c r="J44" s="113"/>
      <c r="K44" s="115"/>
    </row>
    <row r="45" spans="2:11" s="101" customFormat="1" ht="18" customHeight="1" thickBot="1" x14ac:dyDescent="0.3">
      <c r="B45" s="116" t="s">
        <v>692</v>
      </c>
      <c r="C45" s="117" t="s">
        <v>693</v>
      </c>
      <c r="D45" s="119">
        <v>0</v>
      </c>
      <c r="E45" s="118"/>
      <c r="F45" s="117"/>
      <c r="G45" s="119">
        <f>'6'!K98+'6'!K107+'6'!K118+'6'!K127+'6'!K134</f>
        <v>0</v>
      </c>
      <c r="H45" s="119"/>
      <c r="I45" s="117"/>
      <c r="J45" s="118"/>
      <c r="K45" s="120"/>
    </row>
    <row r="46" spans="2:11" ht="6.9" customHeight="1" thickBot="1" x14ac:dyDescent="0.35">
      <c r="B46" s="74"/>
      <c r="C46" s="75"/>
      <c r="D46" s="76"/>
      <c r="E46" s="80"/>
      <c r="F46" s="77"/>
      <c r="G46" s="76"/>
      <c r="H46" s="76"/>
      <c r="I46" s="77"/>
      <c r="J46" s="78"/>
      <c r="K46" s="76"/>
    </row>
    <row r="47" spans="2:11" s="101" customFormat="1" ht="21.6" customHeight="1" x14ac:dyDescent="0.25">
      <c r="B47" s="95" t="s">
        <v>205</v>
      </c>
      <c r="C47" s="96" t="s">
        <v>57</v>
      </c>
      <c r="D47" s="97"/>
      <c r="E47" s="98">
        <f>SUM(D48:D57)</f>
        <v>0</v>
      </c>
      <c r="F47" s="102"/>
      <c r="G47" s="97"/>
      <c r="H47" s="98">
        <f>SUM(G48:G57)</f>
        <v>142026.53999999998</v>
      </c>
      <c r="I47" s="97"/>
      <c r="J47" s="99" t="str">
        <f>IF(H47&gt;E47,"Increase","Decrease or No Change")</f>
        <v>Increase</v>
      </c>
      <c r="K47" s="100">
        <f>H47-E47</f>
        <v>142026.53999999998</v>
      </c>
    </row>
    <row r="48" spans="2:11" s="101" customFormat="1" ht="18" customHeight="1" x14ac:dyDescent="0.25">
      <c r="B48" s="111" t="s">
        <v>206</v>
      </c>
      <c r="C48" s="112" t="s">
        <v>207</v>
      </c>
      <c r="D48" s="114">
        <v>0</v>
      </c>
      <c r="E48" s="113"/>
      <c r="F48" s="112"/>
      <c r="G48" s="114">
        <f>'7'!K32</f>
        <v>39041.340000000004</v>
      </c>
      <c r="H48" s="114"/>
      <c r="I48" s="112"/>
      <c r="J48" s="113"/>
      <c r="K48" s="115"/>
    </row>
    <row r="49" spans="2:11" s="101" customFormat="1" ht="18" customHeight="1" x14ac:dyDescent="0.25">
      <c r="B49" s="111" t="s">
        <v>214</v>
      </c>
      <c r="C49" s="112" t="s">
        <v>215</v>
      </c>
      <c r="D49" s="114">
        <v>0</v>
      </c>
      <c r="E49" s="113"/>
      <c r="F49" s="112"/>
      <c r="G49" s="114">
        <f>'7'!K38</f>
        <v>0</v>
      </c>
      <c r="H49" s="114"/>
      <c r="I49" s="112"/>
      <c r="J49" s="113"/>
      <c r="K49" s="115"/>
    </row>
    <row r="50" spans="2:11" s="101" customFormat="1" ht="18" customHeight="1" x14ac:dyDescent="0.25">
      <c r="B50" s="111" t="s">
        <v>216</v>
      </c>
      <c r="C50" s="112" t="s">
        <v>217</v>
      </c>
      <c r="D50" s="114">
        <v>0</v>
      </c>
      <c r="E50" s="113"/>
      <c r="F50" s="112"/>
      <c r="G50" s="114">
        <f>'7'!K57</f>
        <v>27863</v>
      </c>
      <c r="H50" s="114"/>
      <c r="I50" s="112"/>
      <c r="J50" s="113"/>
      <c r="K50" s="115"/>
    </row>
    <row r="51" spans="2:11" s="101" customFormat="1" ht="18" customHeight="1" x14ac:dyDescent="0.25">
      <c r="B51" s="111" t="s">
        <v>218</v>
      </c>
      <c r="C51" s="112" t="s">
        <v>219</v>
      </c>
      <c r="D51" s="114">
        <v>0</v>
      </c>
      <c r="E51" s="113"/>
      <c r="F51" s="112"/>
      <c r="G51" s="114">
        <f>'7'!K63</f>
        <v>0</v>
      </c>
      <c r="H51" s="114"/>
      <c r="I51" s="112"/>
      <c r="J51" s="113"/>
      <c r="K51" s="115"/>
    </row>
    <row r="52" spans="2:11" s="101" customFormat="1" ht="18" customHeight="1" x14ac:dyDescent="0.25">
      <c r="B52" s="111" t="s">
        <v>220</v>
      </c>
      <c r="C52" s="112" t="s">
        <v>58</v>
      </c>
      <c r="D52" s="114">
        <v>0</v>
      </c>
      <c r="E52" s="113"/>
      <c r="F52" s="112"/>
      <c r="G52" s="114">
        <f>'7'!K83</f>
        <v>70982.2</v>
      </c>
      <c r="H52" s="114"/>
      <c r="I52" s="112"/>
      <c r="J52" s="113"/>
      <c r="K52" s="115"/>
    </row>
    <row r="53" spans="2:11" s="101" customFormat="1" ht="18" customHeight="1" x14ac:dyDescent="0.25">
      <c r="B53" s="111" t="s">
        <v>694</v>
      </c>
      <c r="C53" s="112" t="s">
        <v>59</v>
      </c>
      <c r="D53" s="114">
        <v>0</v>
      </c>
      <c r="E53" s="113"/>
      <c r="F53" s="112"/>
      <c r="G53" s="114">
        <f>'7'!K89+'7'!K94</f>
        <v>0</v>
      </c>
      <c r="H53" s="114"/>
      <c r="I53" s="112"/>
      <c r="J53" s="113"/>
      <c r="K53" s="115"/>
    </row>
    <row r="54" spans="2:11" s="101" customFormat="1" ht="18" customHeight="1" x14ac:dyDescent="0.25">
      <c r="B54" s="111" t="s">
        <v>696</v>
      </c>
      <c r="C54" s="112" t="s">
        <v>695</v>
      </c>
      <c r="D54" s="114">
        <v>0</v>
      </c>
      <c r="E54" s="113"/>
      <c r="F54" s="112"/>
      <c r="G54" s="114">
        <f>'7'!K99+'7'!K104+'7'!K110</f>
        <v>0</v>
      </c>
      <c r="H54" s="114"/>
      <c r="I54" s="112"/>
      <c r="J54" s="113"/>
      <c r="K54" s="115"/>
    </row>
    <row r="55" spans="2:11" s="101" customFormat="1" ht="18" customHeight="1" x14ac:dyDescent="0.25">
      <c r="B55" s="111" t="s">
        <v>231</v>
      </c>
      <c r="C55" s="112" t="s">
        <v>232</v>
      </c>
      <c r="D55" s="114">
        <v>0</v>
      </c>
      <c r="E55" s="113"/>
      <c r="F55" s="112"/>
      <c r="G55" s="114">
        <f>'7'!K116</f>
        <v>4140</v>
      </c>
      <c r="H55" s="114"/>
      <c r="I55" s="112"/>
      <c r="J55" s="113"/>
      <c r="K55" s="115"/>
    </row>
    <row r="56" spans="2:11" s="101" customFormat="1" ht="18" customHeight="1" x14ac:dyDescent="0.25">
      <c r="B56" s="111" t="s">
        <v>697</v>
      </c>
      <c r="C56" s="112" t="s">
        <v>698</v>
      </c>
      <c r="D56" s="114">
        <v>0</v>
      </c>
      <c r="E56" s="113"/>
      <c r="F56" s="112"/>
      <c r="G56" s="114">
        <f>'7'!K122</f>
        <v>0</v>
      </c>
      <c r="H56" s="114"/>
      <c r="I56" s="112"/>
      <c r="J56" s="113"/>
      <c r="K56" s="115"/>
    </row>
    <row r="57" spans="2:11" s="101" customFormat="1" ht="18" customHeight="1" thickBot="1" x14ac:dyDescent="0.3">
      <c r="B57" s="116" t="s">
        <v>240</v>
      </c>
      <c r="C57" s="117" t="s">
        <v>241</v>
      </c>
      <c r="D57" s="119">
        <v>0</v>
      </c>
      <c r="E57" s="118"/>
      <c r="F57" s="117"/>
      <c r="G57" s="119">
        <f>'7'!K128</f>
        <v>0</v>
      </c>
      <c r="H57" s="119"/>
      <c r="I57" s="117"/>
      <c r="J57" s="118"/>
      <c r="K57" s="120"/>
    </row>
    <row r="58" spans="2:11" ht="6.9" customHeight="1" thickBot="1" x14ac:dyDescent="0.35">
      <c r="B58" s="74"/>
      <c r="C58" s="75"/>
      <c r="D58" s="76"/>
      <c r="E58" s="80"/>
      <c r="F58" s="77"/>
      <c r="G58" s="76"/>
      <c r="H58" s="76"/>
      <c r="I58" s="77"/>
      <c r="J58" s="78"/>
      <c r="K58" s="76"/>
    </row>
    <row r="59" spans="2:11" s="101" customFormat="1" ht="21.6" customHeight="1" x14ac:dyDescent="0.25">
      <c r="B59" s="95" t="s">
        <v>242</v>
      </c>
      <c r="C59" s="96" t="s">
        <v>243</v>
      </c>
      <c r="D59" s="97"/>
      <c r="E59" s="98">
        <f>SUM(D60:D66)</f>
        <v>0</v>
      </c>
      <c r="F59" s="102"/>
      <c r="G59" s="97"/>
      <c r="H59" s="98">
        <f>SUM(G60:G66)</f>
        <v>136167.21</v>
      </c>
      <c r="I59" s="97"/>
      <c r="J59" s="99" t="str">
        <f>IF(H59&gt;E59,"Increase","Decrease or No Change")</f>
        <v>Increase</v>
      </c>
      <c r="K59" s="100">
        <f>H59-E59</f>
        <v>136167.21</v>
      </c>
    </row>
    <row r="60" spans="2:11" s="101" customFormat="1" ht="18" customHeight="1" x14ac:dyDescent="0.25">
      <c r="B60" s="111" t="s">
        <v>699</v>
      </c>
      <c r="C60" s="112" t="s">
        <v>700</v>
      </c>
      <c r="D60" s="114">
        <v>0</v>
      </c>
      <c r="E60" s="113"/>
      <c r="F60" s="112"/>
      <c r="G60" s="114">
        <f>'8'!K34+'8'!K40</f>
        <v>109127</v>
      </c>
      <c r="H60" s="114"/>
      <c r="I60" s="112"/>
      <c r="J60" s="113"/>
      <c r="K60" s="115"/>
    </row>
    <row r="61" spans="2:11" s="101" customFormat="1" ht="18" customHeight="1" x14ac:dyDescent="0.25">
      <c r="B61" s="111" t="s">
        <v>701</v>
      </c>
      <c r="C61" s="112" t="s">
        <v>702</v>
      </c>
      <c r="D61" s="114">
        <v>0</v>
      </c>
      <c r="E61" s="113"/>
      <c r="F61" s="112"/>
      <c r="G61" s="114">
        <f>'8'!K45+'8'!K51+'8'!K57+'8'!K63+'8'!K68</f>
        <v>0</v>
      </c>
      <c r="H61" s="114"/>
      <c r="I61" s="112"/>
      <c r="J61" s="113"/>
      <c r="K61" s="115"/>
    </row>
    <row r="62" spans="2:11" s="101" customFormat="1" ht="18" customHeight="1" x14ac:dyDescent="0.25">
      <c r="B62" s="111" t="s">
        <v>703</v>
      </c>
      <c r="C62" s="112" t="s">
        <v>704</v>
      </c>
      <c r="D62" s="114">
        <v>0</v>
      </c>
      <c r="E62" s="113"/>
      <c r="F62" s="112"/>
      <c r="G62" s="114">
        <f>'8'!K73+'8'!K78</f>
        <v>0</v>
      </c>
      <c r="H62" s="114"/>
      <c r="I62" s="112"/>
      <c r="J62" s="113"/>
      <c r="K62" s="115"/>
    </row>
    <row r="63" spans="2:11" s="101" customFormat="1" ht="18" customHeight="1" x14ac:dyDescent="0.25">
      <c r="B63" s="111" t="s">
        <v>262</v>
      </c>
      <c r="C63" s="112" t="s">
        <v>94</v>
      </c>
      <c r="D63" s="114">
        <v>0</v>
      </c>
      <c r="E63" s="113"/>
      <c r="F63" s="112"/>
      <c r="G63" s="114">
        <f>'8'!K88</f>
        <v>21730.21</v>
      </c>
      <c r="H63" s="114"/>
      <c r="I63" s="112"/>
      <c r="J63" s="113"/>
      <c r="K63" s="115"/>
    </row>
    <row r="64" spans="2:11" s="101" customFormat="1" ht="18" customHeight="1" x14ac:dyDescent="0.25">
      <c r="B64" s="111" t="s">
        <v>268</v>
      </c>
      <c r="C64" s="112" t="s">
        <v>707</v>
      </c>
      <c r="D64" s="114">
        <v>0</v>
      </c>
      <c r="E64" s="113"/>
      <c r="F64" s="112"/>
      <c r="G64" s="114">
        <f>'8'!K94</f>
        <v>0</v>
      </c>
      <c r="H64" s="114"/>
      <c r="I64" s="112"/>
      <c r="J64" s="113"/>
      <c r="K64" s="115"/>
    </row>
    <row r="65" spans="2:11" s="101" customFormat="1" ht="18" customHeight="1" x14ac:dyDescent="0.25">
      <c r="B65" s="111" t="s">
        <v>705</v>
      </c>
      <c r="C65" s="112" t="s">
        <v>62</v>
      </c>
      <c r="D65" s="114">
        <v>0</v>
      </c>
      <c r="E65" s="113"/>
      <c r="F65" s="112"/>
      <c r="G65" s="114">
        <f>'8'!K101+'8'!K107+'8'!K113</f>
        <v>5310</v>
      </c>
      <c r="H65" s="114"/>
      <c r="I65" s="112"/>
      <c r="J65" s="113"/>
      <c r="K65" s="115"/>
    </row>
    <row r="66" spans="2:11" s="101" customFormat="1" ht="18" customHeight="1" thickBot="1" x14ac:dyDescent="0.3">
      <c r="B66" s="116" t="s">
        <v>706</v>
      </c>
      <c r="C66" s="117" t="s">
        <v>276</v>
      </c>
      <c r="D66" s="119">
        <v>0</v>
      </c>
      <c r="E66" s="118"/>
      <c r="F66" s="117"/>
      <c r="G66" s="119">
        <f>'8'!K119</f>
        <v>0</v>
      </c>
      <c r="H66" s="119"/>
      <c r="I66" s="117"/>
      <c r="J66" s="118"/>
      <c r="K66" s="120"/>
    </row>
    <row r="67" spans="2:11" ht="6.9" customHeight="1" thickBot="1" x14ac:dyDescent="0.35">
      <c r="B67" s="74"/>
      <c r="C67" s="75"/>
      <c r="D67" s="76"/>
      <c r="E67" s="80"/>
      <c r="F67" s="77"/>
      <c r="G67" s="76"/>
      <c r="H67" s="76"/>
      <c r="I67" s="77"/>
      <c r="J67" s="78"/>
      <c r="K67" s="76"/>
    </row>
    <row r="68" spans="2:11" s="101" customFormat="1" ht="21.6" customHeight="1" x14ac:dyDescent="0.25">
      <c r="B68" s="95" t="s">
        <v>277</v>
      </c>
      <c r="C68" s="96" t="s">
        <v>8</v>
      </c>
      <c r="D68" s="97"/>
      <c r="E68" s="98">
        <f>SUM(D69:D74)</f>
        <v>0</v>
      </c>
      <c r="F68" s="102"/>
      <c r="G68" s="97"/>
      <c r="H68" s="98">
        <f>SUM(G69:G74)</f>
        <v>187734.63</v>
      </c>
      <c r="I68" s="97"/>
      <c r="J68" s="99" t="str">
        <f>IF(H68&gt;E68,"Increase","Decrease or No Change")</f>
        <v>Increase</v>
      </c>
      <c r="K68" s="100">
        <f>H68-E68</f>
        <v>187734.63</v>
      </c>
    </row>
    <row r="69" spans="2:11" s="101" customFormat="1" ht="18" customHeight="1" x14ac:dyDescent="0.25">
      <c r="B69" s="111" t="s">
        <v>278</v>
      </c>
      <c r="C69" s="112" t="s">
        <v>279</v>
      </c>
      <c r="D69" s="114">
        <v>0</v>
      </c>
      <c r="E69" s="113"/>
      <c r="F69" s="112"/>
      <c r="G69" s="114">
        <f>'9'!K20</f>
        <v>106922.63</v>
      </c>
      <c r="H69" s="114"/>
      <c r="I69" s="112"/>
      <c r="J69" s="113"/>
      <c r="K69" s="115"/>
    </row>
    <row r="70" spans="2:11" s="101" customFormat="1" ht="18" customHeight="1" x14ac:dyDescent="0.25">
      <c r="B70" s="111" t="s">
        <v>280</v>
      </c>
      <c r="C70" s="112" t="s">
        <v>281</v>
      </c>
      <c r="D70" s="114">
        <v>0</v>
      </c>
      <c r="E70" s="113"/>
      <c r="F70" s="112"/>
      <c r="G70" s="114">
        <f>'9'!K28</f>
        <v>0</v>
      </c>
      <c r="H70" s="114"/>
      <c r="I70" s="112"/>
      <c r="J70" s="113"/>
      <c r="K70" s="115"/>
    </row>
    <row r="71" spans="2:11" s="101" customFormat="1" ht="18" customHeight="1" x14ac:dyDescent="0.25">
      <c r="B71" s="111" t="s">
        <v>282</v>
      </c>
      <c r="C71" s="112" t="s">
        <v>283</v>
      </c>
      <c r="D71" s="114">
        <v>0</v>
      </c>
      <c r="E71" s="113"/>
      <c r="F71" s="112"/>
      <c r="G71" s="114">
        <f>'9'!K39</f>
        <v>0</v>
      </c>
      <c r="H71" s="114"/>
      <c r="I71" s="112"/>
      <c r="J71" s="113"/>
      <c r="K71" s="115"/>
    </row>
    <row r="72" spans="2:11" s="101" customFormat="1" ht="18" customHeight="1" x14ac:dyDescent="0.25">
      <c r="B72" s="111" t="s">
        <v>284</v>
      </c>
      <c r="C72" s="112" t="s">
        <v>79</v>
      </c>
      <c r="D72" s="114">
        <v>0</v>
      </c>
      <c r="E72" s="113"/>
      <c r="F72" s="112"/>
      <c r="G72" s="114">
        <f>'9'!K59</f>
        <v>59372</v>
      </c>
      <c r="H72" s="114"/>
      <c r="I72" s="112"/>
      <c r="J72" s="113"/>
      <c r="K72" s="115"/>
    </row>
    <row r="73" spans="2:11" s="101" customFormat="1" ht="18" customHeight="1" x14ac:dyDescent="0.25">
      <c r="B73" s="111" t="s">
        <v>708</v>
      </c>
      <c r="C73" s="112" t="s">
        <v>709</v>
      </c>
      <c r="D73" s="114">
        <v>0</v>
      </c>
      <c r="E73" s="113"/>
      <c r="F73" s="112"/>
      <c r="G73" s="114">
        <f>'9'!K65</f>
        <v>0</v>
      </c>
      <c r="H73" s="114"/>
      <c r="I73" s="112"/>
      <c r="J73" s="113"/>
      <c r="K73" s="115"/>
    </row>
    <row r="74" spans="2:11" s="101" customFormat="1" ht="18" customHeight="1" thickBot="1" x14ac:dyDescent="0.3">
      <c r="B74" s="116" t="s">
        <v>710</v>
      </c>
      <c r="C74" s="117" t="s">
        <v>80</v>
      </c>
      <c r="D74" s="119">
        <v>0</v>
      </c>
      <c r="E74" s="118"/>
      <c r="F74" s="117"/>
      <c r="G74" s="119">
        <f>'9'!K74</f>
        <v>21440</v>
      </c>
      <c r="H74" s="119"/>
      <c r="I74" s="117"/>
      <c r="J74" s="118"/>
      <c r="K74" s="120"/>
    </row>
    <row r="75" spans="2:11" ht="6.9" customHeight="1" thickBot="1" x14ac:dyDescent="0.35">
      <c r="B75" s="82"/>
      <c r="C75" s="83"/>
      <c r="D75" s="76"/>
      <c r="E75" s="80"/>
      <c r="F75" s="77"/>
      <c r="G75" s="76"/>
      <c r="H75" s="76"/>
      <c r="I75" s="77"/>
      <c r="J75" s="78"/>
      <c r="K75" s="76"/>
    </row>
    <row r="76" spans="2:11" s="101" customFormat="1" ht="21.6" customHeight="1" x14ac:dyDescent="0.25">
      <c r="B76" s="95" t="s">
        <v>296</v>
      </c>
      <c r="C76" s="96" t="s">
        <v>9</v>
      </c>
      <c r="D76" s="97"/>
      <c r="E76" s="98">
        <f>SUM(D77:D82)</f>
        <v>0</v>
      </c>
      <c r="F76" s="97"/>
      <c r="G76" s="97"/>
      <c r="H76" s="98">
        <f>SUM(G77:G82)</f>
        <v>10815</v>
      </c>
      <c r="I76" s="97"/>
      <c r="J76" s="99" t="str">
        <f>IF(H76&gt;E76,"Increase","Decrease or No Change")</f>
        <v>Increase</v>
      </c>
      <c r="K76" s="100">
        <f>H76-E76</f>
        <v>10815</v>
      </c>
    </row>
    <row r="77" spans="2:11" s="101" customFormat="1" ht="18" customHeight="1" x14ac:dyDescent="0.25">
      <c r="B77" s="111" t="s">
        <v>297</v>
      </c>
      <c r="C77" s="112" t="s">
        <v>298</v>
      </c>
      <c r="D77" s="114">
        <v>0</v>
      </c>
      <c r="E77" s="113"/>
      <c r="F77" s="112"/>
      <c r="G77" s="114">
        <f>'10'!K17</f>
        <v>0</v>
      </c>
      <c r="H77" s="114"/>
      <c r="I77" s="112"/>
      <c r="J77" s="113"/>
      <c r="K77" s="115"/>
    </row>
    <row r="78" spans="2:11" s="101" customFormat="1" ht="18" customHeight="1" x14ac:dyDescent="0.25">
      <c r="B78" s="111" t="s">
        <v>299</v>
      </c>
      <c r="C78" s="112" t="s">
        <v>300</v>
      </c>
      <c r="D78" s="114">
        <v>0</v>
      </c>
      <c r="E78" s="113"/>
      <c r="F78" s="112"/>
      <c r="G78" s="114">
        <f>'10'!K25</f>
        <v>0</v>
      </c>
      <c r="H78" s="114"/>
      <c r="I78" s="112"/>
      <c r="J78" s="113"/>
      <c r="K78" s="115"/>
    </row>
    <row r="79" spans="2:11" s="101" customFormat="1" ht="18" customHeight="1" x14ac:dyDescent="0.25">
      <c r="B79" s="111" t="s">
        <v>301</v>
      </c>
      <c r="C79" s="112" t="s">
        <v>302</v>
      </c>
      <c r="D79" s="114">
        <v>0</v>
      </c>
      <c r="E79" s="113"/>
      <c r="F79" s="112"/>
      <c r="G79" s="114">
        <f>'10'!K40</f>
        <v>10815</v>
      </c>
      <c r="H79" s="114"/>
      <c r="I79" s="112"/>
      <c r="J79" s="113"/>
      <c r="K79" s="115"/>
    </row>
    <row r="80" spans="2:11" s="101" customFormat="1" ht="18" customHeight="1" x14ac:dyDescent="0.25">
      <c r="B80" s="111" t="s">
        <v>712</v>
      </c>
      <c r="C80" s="112" t="s">
        <v>711</v>
      </c>
      <c r="D80" s="114">
        <v>0</v>
      </c>
      <c r="E80" s="113"/>
      <c r="F80" s="112"/>
      <c r="G80" s="114">
        <f>'10'!K46</f>
        <v>0</v>
      </c>
      <c r="H80" s="114"/>
      <c r="I80" s="112"/>
      <c r="J80" s="113"/>
      <c r="K80" s="115"/>
    </row>
    <row r="81" spans="2:11" s="101" customFormat="1" ht="18" customHeight="1" x14ac:dyDescent="0.25">
      <c r="B81" s="111" t="s">
        <v>713</v>
      </c>
      <c r="C81" s="112" t="s">
        <v>714</v>
      </c>
      <c r="D81" s="114">
        <v>0</v>
      </c>
      <c r="E81" s="113"/>
      <c r="F81" s="112"/>
      <c r="G81" s="114">
        <f>'10'!K53</f>
        <v>0</v>
      </c>
      <c r="H81" s="114"/>
      <c r="I81" s="112"/>
      <c r="J81" s="113"/>
      <c r="K81" s="115"/>
    </row>
    <row r="82" spans="2:11" s="101" customFormat="1" ht="18" customHeight="1" thickBot="1" x14ac:dyDescent="0.3">
      <c r="B82" s="116" t="s">
        <v>322</v>
      </c>
      <c r="C82" s="117" t="s">
        <v>323</v>
      </c>
      <c r="D82" s="119">
        <v>0</v>
      </c>
      <c r="E82" s="118"/>
      <c r="F82" s="117"/>
      <c r="G82" s="119">
        <f>'10'!K65</f>
        <v>0</v>
      </c>
      <c r="H82" s="119"/>
      <c r="I82" s="117"/>
      <c r="J82" s="118"/>
      <c r="K82" s="120"/>
    </row>
    <row r="83" spans="2:11" ht="6.9" customHeight="1" thickBot="1" x14ac:dyDescent="0.35">
      <c r="B83" s="82"/>
      <c r="C83" s="83"/>
      <c r="D83" s="80"/>
      <c r="E83" s="80"/>
      <c r="F83" s="77"/>
      <c r="G83" s="76"/>
      <c r="H83" s="76"/>
      <c r="I83" s="77"/>
      <c r="J83" s="78"/>
      <c r="K83" s="76"/>
    </row>
    <row r="84" spans="2:11" ht="15" customHeight="1" x14ac:dyDescent="0.3">
      <c r="B84" s="84"/>
      <c r="C84" s="79"/>
      <c r="D84" s="79"/>
      <c r="E84" s="79"/>
      <c r="F84" s="69"/>
      <c r="G84" s="69"/>
      <c r="H84" s="69"/>
      <c r="I84" s="69"/>
      <c r="J84" s="68"/>
      <c r="K84" s="69"/>
    </row>
    <row r="85" spans="2:11" ht="15" customHeight="1" thickBot="1" x14ac:dyDescent="0.35">
      <c r="B85" s="84"/>
      <c r="C85" s="79"/>
      <c r="D85" s="79"/>
      <c r="E85" s="79"/>
      <c r="F85" s="69"/>
      <c r="G85" s="69"/>
      <c r="H85" s="69"/>
      <c r="I85" s="69"/>
      <c r="J85" s="68"/>
      <c r="K85" s="69"/>
    </row>
    <row r="86" spans="2:11" s="101" customFormat="1" ht="21.6" customHeight="1" x14ac:dyDescent="0.25">
      <c r="B86" s="95" t="s">
        <v>330</v>
      </c>
      <c r="C86" s="96" t="s">
        <v>70</v>
      </c>
      <c r="D86" s="98"/>
      <c r="E86" s="98">
        <f>SUM(D87:D90)</f>
        <v>0</v>
      </c>
      <c r="F86" s="97"/>
      <c r="G86" s="102"/>
      <c r="H86" s="102">
        <f>SUM(G87:G90)</f>
        <v>0</v>
      </c>
      <c r="I86" s="97"/>
      <c r="J86" s="98"/>
      <c r="K86" s="103"/>
    </row>
    <row r="87" spans="2:11" s="101" customFormat="1" ht="18" customHeight="1" x14ac:dyDescent="0.25">
      <c r="B87" s="111" t="s">
        <v>716</v>
      </c>
      <c r="C87" s="112" t="s">
        <v>715</v>
      </c>
      <c r="D87" s="121">
        <v>0</v>
      </c>
      <c r="E87" s="121"/>
      <c r="F87" s="122"/>
      <c r="G87" s="123">
        <f>'11'!K24+'11'!K35</f>
        <v>0</v>
      </c>
      <c r="H87" s="123"/>
      <c r="I87" s="122"/>
      <c r="J87" s="121"/>
      <c r="K87" s="124"/>
    </row>
    <row r="88" spans="2:11" s="101" customFormat="1" ht="18" customHeight="1" x14ac:dyDescent="0.25">
      <c r="B88" s="111" t="s">
        <v>335</v>
      </c>
      <c r="C88" s="112" t="s">
        <v>336</v>
      </c>
      <c r="D88" s="113">
        <v>0</v>
      </c>
      <c r="E88" s="113"/>
      <c r="F88" s="114"/>
      <c r="G88" s="114">
        <f>'11'!K43</f>
        <v>0</v>
      </c>
      <c r="H88" s="113"/>
      <c r="I88" s="112"/>
      <c r="J88" s="125" t="str">
        <f>IF(H88&gt;E88,"Increase","Decrease or No Change")</f>
        <v>Decrease or No Change</v>
      </c>
      <c r="K88" s="126">
        <f>H88-E88</f>
        <v>0</v>
      </c>
    </row>
    <row r="89" spans="2:11" s="101" customFormat="1" ht="18" customHeight="1" x14ac:dyDescent="0.25">
      <c r="B89" s="111" t="s">
        <v>717</v>
      </c>
      <c r="C89" s="112" t="s">
        <v>71</v>
      </c>
      <c r="D89" s="113">
        <v>0</v>
      </c>
      <c r="E89" s="113"/>
      <c r="F89" s="112"/>
      <c r="G89" s="114">
        <f>'11'!K52+'11'!K63</f>
        <v>0</v>
      </c>
      <c r="H89" s="114"/>
      <c r="I89" s="112"/>
      <c r="J89" s="113"/>
      <c r="K89" s="115"/>
    </row>
    <row r="90" spans="2:11" s="101" customFormat="1" ht="18" customHeight="1" thickBot="1" x14ac:dyDescent="0.3">
      <c r="B90" s="116" t="s">
        <v>718</v>
      </c>
      <c r="C90" s="117" t="s">
        <v>719</v>
      </c>
      <c r="D90" s="118">
        <v>0</v>
      </c>
      <c r="E90" s="118"/>
      <c r="F90" s="117"/>
      <c r="G90" s="119">
        <f>'11'!K72+'11'!K79</f>
        <v>0</v>
      </c>
      <c r="H90" s="119"/>
      <c r="I90" s="117"/>
      <c r="J90" s="118"/>
      <c r="K90" s="120"/>
    </row>
    <row r="91" spans="2:11" ht="6.9" customHeight="1" thickBot="1" x14ac:dyDescent="0.35">
      <c r="B91" s="86"/>
      <c r="C91" s="87"/>
      <c r="D91" s="80"/>
      <c r="E91" s="80"/>
      <c r="F91" s="77"/>
      <c r="G91" s="85"/>
      <c r="H91" s="85"/>
      <c r="I91" s="77"/>
      <c r="J91" s="78"/>
      <c r="K91" s="76"/>
    </row>
    <row r="92" spans="2:11" s="101" customFormat="1" ht="21.6" customHeight="1" x14ac:dyDescent="0.25">
      <c r="B92" s="95" t="s">
        <v>351</v>
      </c>
      <c r="C92" s="96" t="s">
        <v>75</v>
      </c>
      <c r="D92" s="98"/>
      <c r="E92" s="98">
        <f>SUM(D93:D94)</f>
        <v>0</v>
      </c>
      <c r="F92" s="97"/>
      <c r="G92" s="102"/>
      <c r="H92" s="98">
        <f>SUM(G93:G94)</f>
        <v>0</v>
      </c>
      <c r="I92" s="97"/>
      <c r="J92" s="99" t="str">
        <f>IF(H92&gt;E92,"Increase","Decrease or No Change")</f>
        <v>Decrease or No Change</v>
      </c>
      <c r="K92" s="100">
        <f>H92-E92</f>
        <v>0</v>
      </c>
    </row>
    <row r="93" spans="2:11" s="101" customFormat="1" ht="18" customHeight="1" x14ac:dyDescent="0.25">
      <c r="B93" s="111" t="s">
        <v>352</v>
      </c>
      <c r="C93" s="112" t="s">
        <v>353</v>
      </c>
      <c r="D93" s="113">
        <v>0</v>
      </c>
      <c r="E93" s="113"/>
      <c r="F93" s="112"/>
      <c r="G93" s="114">
        <f>'12'!K24+'12'!K35</f>
        <v>0</v>
      </c>
      <c r="H93" s="114"/>
      <c r="I93" s="112"/>
      <c r="J93" s="113"/>
      <c r="K93" s="115"/>
    </row>
    <row r="94" spans="2:11" s="101" customFormat="1" ht="18" customHeight="1" thickBot="1" x14ac:dyDescent="0.3">
      <c r="B94" s="116" t="s">
        <v>356</v>
      </c>
      <c r="C94" s="117" t="s">
        <v>357</v>
      </c>
      <c r="D94" s="118">
        <v>0</v>
      </c>
      <c r="E94" s="118"/>
      <c r="F94" s="117"/>
      <c r="G94" s="119">
        <f>'12'!K43+'12'!K52+'12'!K63+'12'!K72</f>
        <v>0</v>
      </c>
      <c r="H94" s="119"/>
      <c r="I94" s="117"/>
      <c r="J94" s="118"/>
      <c r="K94" s="120"/>
    </row>
    <row r="95" spans="2:11" ht="6.9" customHeight="1" thickBot="1" x14ac:dyDescent="0.35">
      <c r="B95" s="74"/>
      <c r="C95" s="75"/>
      <c r="D95" s="78"/>
      <c r="E95" s="78"/>
      <c r="F95" s="76"/>
      <c r="G95" s="85"/>
      <c r="H95" s="85"/>
      <c r="I95" s="76"/>
      <c r="J95" s="78"/>
      <c r="K95" s="76"/>
    </row>
    <row r="96" spans="2:11" s="101" customFormat="1" ht="21.6" customHeight="1" thickBot="1" x14ac:dyDescent="0.3">
      <c r="B96" s="104" t="s">
        <v>364</v>
      </c>
      <c r="C96" s="105" t="s">
        <v>76</v>
      </c>
      <c r="D96" s="106"/>
      <c r="E96" s="106">
        <f>'Estimate Summary'!E39</f>
        <v>0</v>
      </c>
      <c r="F96" s="107"/>
      <c r="G96" s="107"/>
      <c r="H96" s="106">
        <f>'Estimate Summary'!H39</f>
        <v>0</v>
      </c>
      <c r="I96" s="108"/>
      <c r="J96" s="109" t="str">
        <f>IF(H96&gt;E96,"Increase","Decrease or No Change")</f>
        <v>Decrease or No Change</v>
      </c>
      <c r="K96" s="110">
        <f>H96-E96</f>
        <v>0</v>
      </c>
    </row>
    <row r="97" spans="2:11" ht="6.9" customHeight="1" thickBot="1" x14ac:dyDescent="0.35">
      <c r="B97" s="74"/>
      <c r="C97" s="75"/>
      <c r="D97" s="80"/>
      <c r="E97" s="80"/>
      <c r="F97" s="77"/>
      <c r="G97" s="85"/>
      <c r="H97" s="85"/>
      <c r="I97" s="77"/>
      <c r="J97" s="78"/>
      <c r="K97" s="76"/>
    </row>
    <row r="98" spans="2:11" s="101" customFormat="1" ht="21.6" customHeight="1" x14ac:dyDescent="0.25">
      <c r="B98" s="95" t="s">
        <v>365</v>
      </c>
      <c r="C98" s="96" t="s">
        <v>366</v>
      </c>
      <c r="D98" s="98"/>
      <c r="E98" s="98">
        <f>SUM(D99:D100)</f>
        <v>0</v>
      </c>
      <c r="F98" s="97"/>
      <c r="G98" s="102"/>
      <c r="H98" s="98">
        <f>SUM(G99:G100)</f>
        <v>0</v>
      </c>
      <c r="I98" s="97"/>
      <c r="J98" s="99" t="str">
        <f>IF(H98&gt;E98,"Increase","Decrease or No Change")</f>
        <v>Decrease or No Change</v>
      </c>
      <c r="K98" s="100">
        <f>H98-E98</f>
        <v>0</v>
      </c>
    </row>
    <row r="99" spans="2:11" s="101" customFormat="1" ht="18" customHeight="1" x14ac:dyDescent="0.25">
      <c r="B99" s="111" t="s">
        <v>367</v>
      </c>
      <c r="C99" s="112" t="s">
        <v>68</v>
      </c>
      <c r="D99" s="113">
        <v>0</v>
      </c>
      <c r="E99" s="113"/>
      <c r="F99" s="112"/>
      <c r="G99" s="114">
        <f>'14'!K24</f>
        <v>0</v>
      </c>
      <c r="H99" s="114"/>
      <c r="I99" s="112"/>
      <c r="J99" s="113"/>
      <c r="K99" s="115"/>
    </row>
    <row r="100" spans="2:11" s="101" customFormat="1" ht="18" customHeight="1" thickBot="1" x14ac:dyDescent="0.3">
      <c r="B100" s="116" t="s">
        <v>368</v>
      </c>
      <c r="C100" s="117" t="s">
        <v>69</v>
      </c>
      <c r="D100" s="118">
        <v>0</v>
      </c>
      <c r="E100" s="118"/>
      <c r="F100" s="117"/>
      <c r="G100" s="119">
        <f>'14'!K35+'14'!K43</f>
        <v>0</v>
      </c>
      <c r="H100" s="119"/>
      <c r="I100" s="117"/>
      <c r="J100" s="118"/>
      <c r="K100" s="120"/>
    </row>
    <row r="101" spans="2:11" ht="6.9" customHeight="1" thickBot="1" x14ac:dyDescent="0.35">
      <c r="B101" s="74"/>
      <c r="C101" s="75"/>
      <c r="D101" s="78"/>
      <c r="E101" s="78"/>
      <c r="F101" s="76"/>
      <c r="G101" s="85"/>
      <c r="H101" s="85"/>
      <c r="I101" s="76"/>
      <c r="J101" s="78"/>
      <c r="K101" s="76"/>
    </row>
    <row r="102" spans="2:11" s="101" customFormat="1" ht="21.6" customHeight="1" x14ac:dyDescent="0.25">
      <c r="B102" s="95" t="s">
        <v>371</v>
      </c>
      <c r="C102" s="96" t="s">
        <v>151</v>
      </c>
      <c r="D102" s="98"/>
      <c r="E102" s="98">
        <f>D103</f>
        <v>0</v>
      </c>
      <c r="F102" s="102"/>
      <c r="G102" s="102"/>
      <c r="H102" s="98">
        <f>G103</f>
        <v>0</v>
      </c>
      <c r="I102" s="97"/>
      <c r="J102" s="99" t="str">
        <f>IF(H103&gt;E102,"Increase","Decrease or No Change")</f>
        <v>Decrease or No Change</v>
      </c>
      <c r="K102" s="100">
        <f>H103-E102</f>
        <v>0</v>
      </c>
    </row>
    <row r="103" spans="2:11" s="101" customFormat="1" ht="18" customHeight="1" thickBot="1" x14ac:dyDescent="0.3">
      <c r="B103" s="116" t="s">
        <v>372</v>
      </c>
      <c r="C103" s="117" t="s">
        <v>373</v>
      </c>
      <c r="D103" s="118">
        <v>0</v>
      </c>
      <c r="E103" s="118"/>
      <c r="F103" s="117"/>
      <c r="G103" s="119">
        <f>'21'!K24</f>
        <v>0</v>
      </c>
      <c r="H103" s="119"/>
      <c r="I103" s="117"/>
      <c r="J103" s="118"/>
      <c r="K103" s="120"/>
    </row>
    <row r="104" spans="2:11" ht="6.9" customHeight="1" thickBot="1" x14ac:dyDescent="0.35">
      <c r="B104" s="74"/>
      <c r="C104" s="75"/>
      <c r="D104" s="80"/>
      <c r="E104" s="80"/>
      <c r="F104" s="77"/>
      <c r="G104" s="85"/>
      <c r="H104" s="85"/>
      <c r="I104" s="77"/>
      <c r="J104" s="78"/>
      <c r="K104" s="76"/>
    </row>
    <row r="105" spans="2:11" s="101" customFormat="1" ht="21.6" customHeight="1" x14ac:dyDescent="0.25">
      <c r="B105" s="95" t="s">
        <v>374</v>
      </c>
      <c r="C105" s="96" t="s">
        <v>41</v>
      </c>
      <c r="D105" s="98"/>
      <c r="E105" s="98">
        <f>SUM(D106:D108)</f>
        <v>0</v>
      </c>
      <c r="F105" s="102"/>
      <c r="G105" s="102"/>
      <c r="H105" s="98">
        <f>SUM(G106:G108)</f>
        <v>112350</v>
      </c>
      <c r="I105" s="97"/>
      <c r="J105" s="99" t="str">
        <f>IF(H106&gt;E105,"Increase","Decrease or No Change")</f>
        <v>Decrease or No Change</v>
      </c>
      <c r="K105" s="100">
        <f>H106-E105</f>
        <v>0</v>
      </c>
    </row>
    <row r="106" spans="2:11" s="101" customFormat="1" ht="18" customHeight="1" x14ac:dyDescent="0.25">
      <c r="B106" s="111" t="s">
        <v>375</v>
      </c>
      <c r="C106" s="112" t="s">
        <v>376</v>
      </c>
      <c r="D106" s="113">
        <v>0</v>
      </c>
      <c r="E106" s="113"/>
      <c r="F106" s="112"/>
      <c r="G106" s="114">
        <f>'22'!K24</f>
        <v>112350</v>
      </c>
      <c r="H106" s="114"/>
      <c r="I106" s="112"/>
      <c r="J106" s="113"/>
      <c r="K106" s="115"/>
    </row>
    <row r="107" spans="2:11" s="101" customFormat="1" ht="18" customHeight="1" x14ac:dyDescent="0.25">
      <c r="B107" s="111" t="s">
        <v>377</v>
      </c>
      <c r="C107" s="112" t="s">
        <v>378</v>
      </c>
      <c r="D107" s="113">
        <v>0</v>
      </c>
      <c r="E107" s="113"/>
      <c r="F107" s="112"/>
      <c r="G107" s="114">
        <f>'22'!K35</f>
        <v>0</v>
      </c>
      <c r="H107" s="114"/>
      <c r="I107" s="112"/>
      <c r="J107" s="113"/>
      <c r="K107" s="115"/>
    </row>
    <row r="108" spans="2:11" s="101" customFormat="1" ht="18" customHeight="1" thickBot="1" x14ac:dyDescent="0.3">
      <c r="B108" s="116" t="s">
        <v>383</v>
      </c>
      <c r="C108" s="117" t="s">
        <v>384</v>
      </c>
      <c r="D108" s="118">
        <v>0</v>
      </c>
      <c r="E108" s="118"/>
      <c r="F108" s="117"/>
      <c r="G108" s="119">
        <f>'22'!K46+'22'!K67+'22'!K74</f>
        <v>0</v>
      </c>
      <c r="H108" s="119"/>
      <c r="I108" s="117"/>
      <c r="J108" s="118"/>
      <c r="K108" s="120"/>
    </row>
    <row r="109" spans="2:11" ht="6.9" customHeight="1" thickBot="1" x14ac:dyDescent="0.35">
      <c r="B109" s="74"/>
      <c r="C109" s="75"/>
      <c r="D109" s="80"/>
      <c r="E109" s="80"/>
      <c r="F109" s="77"/>
      <c r="G109" s="85"/>
      <c r="H109" s="85"/>
      <c r="I109" s="77"/>
      <c r="J109" s="78"/>
      <c r="K109" s="76"/>
    </row>
    <row r="110" spans="2:11" s="101" customFormat="1" ht="21.6" customHeight="1" x14ac:dyDescent="0.25">
      <c r="B110" s="95" t="s">
        <v>422</v>
      </c>
      <c r="C110" s="96" t="s">
        <v>42</v>
      </c>
      <c r="D110" s="98"/>
      <c r="E110" s="98">
        <f>SUM(D111:D118)</f>
        <v>0</v>
      </c>
      <c r="F110" s="102"/>
      <c r="G110" s="102"/>
      <c r="H110" s="98">
        <f>SUM(G111:G118)</f>
        <v>132800</v>
      </c>
      <c r="I110" s="97"/>
      <c r="J110" s="99" t="str">
        <f>IF(H111&gt;E110,"Increase","Decrease or No Change")</f>
        <v>Decrease or No Change</v>
      </c>
      <c r="K110" s="100">
        <f>H111-E110</f>
        <v>0</v>
      </c>
    </row>
    <row r="111" spans="2:11" s="101" customFormat="1" ht="18" customHeight="1" x14ac:dyDescent="0.25">
      <c r="B111" s="111" t="s">
        <v>424</v>
      </c>
      <c r="C111" s="112" t="s">
        <v>425</v>
      </c>
      <c r="D111" s="113">
        <v>0</v>
      </c>
      <c r="E111" s="113"/>
      <c r="F111" s="112"/>
      <c r="G111" s="114">
        <f>'23'!K18</f>
        <v>132800</v>
      </c>
      <c r="H111" s="114"/>
      <c r="I111" s="112"/>
      <c r="J111" s="113"/>
      <c r="K111" s="115"/>
    </row>
    <row r="112" spans="2:11" s="101" customFormat="1" ht="18" customHeight="1" x14ac:dyDescent="0.25">
      <c r="B112" s="111" t="s">
        <v>426</v>
      </c>
      <c r="C112" s="112" t="s">
        <v>427</v>
      </c>
      <c r="D112" s="113">
        <v>0</v>
      </c>
      <c r="E112" s="113"/>
      <c r="F112" s="112"/>
      <c r="G112" s="114">
        <f>'23'!K25</f>
        <v>0</v>
      </c>
      <c r="H112" s="114"/>
      <c r="I112" s="112"/>
      <c r="J112" s="113"/>
      <c r="K112" s="115"/>
    </row>
    <row r="113" spans="2:11" s="101" customFormat="1" ht="18" customHeight="1" x14ac:dyDescent="0.25">
      <c r="B113" s="111" t="s">
        <v>428</v>
      </c>
      <c r="C113" s="112" t="s">
        <v>429</v>
      </c>
      <c r="D113" s="113">
        <v>0</v>
      </c>
      <c r="E113" s="113"/>
      <c r="F113" s="112"/>
      <c r="G113" s="114">
        <f>'23'!K31</f>
        <v>0</v>
      </c>
      <c r="H113" s="114"/>
      <c r="I113" s="112"/>
      <c r="J113" s="113"/>
      <c r="K113" s="115"/>
    </row>
    <row r="114" spans="2:11" s="101" customFormat="1" ht="18" customHeight="1" x14ac:dyDescent="0.25">
      <c r="B114" s="111" t="s">
        <v>430</v>
      </c>
      <c r="C114" s="112" t="s">
        <v>431</v>
      </c>
      <c r="D114" s="113">
        <v>0</v>
      </c>
      <c r="E114" s="113"/>
      <c r="F114" s="112"/>
      <c r="G114" s="114">
        <f>'23'!K38+'23'!K46</f>
        <v>0</v>
      </c>
      <c r="H114" s="114"/>
      <c r="I114" s="112"/>
      <c r="J114" s="113"/>
      <c r="K114" s="115"/>
    </row>
    <row r="115" spans="2:11" s="101" customFormat="1" ht="18" customHeight="1" x14ac:dyDescent="0.25">
      <c r="B115" s="111" t="s">
        <v>436</v>
      </c>
      <c r="C115" s="112" t="s">
        <v>437</v>
      </c>
      <c r="D115" s="113">
        <v>0</v>
      </c>
      <c r="E115" s="113"/>
      <c r="F115" s="112"/>
      <c r="G115" s="114">
        <f>'23'!K53+'23'!K58</f>
        <v>0</v>
      </c>
      <c r="H115" s="114"/>
      <c r="I115" s="112"/>
      <c r="J115" s="113"/>
      <c r="K115" s="115"/>
    </row>
    <row r="116" spans="2:11" s="101" customFormat="1" ht="18" customHeight="1" x14ac:dyDescent="0.25">
      <c r="B116" s="111" t="s">
        <v>440</v>
      </c>
      <c r="C116" s="112" t="s">
        <v>441</v>
      </c>
      <c r="D116" s="113">
        <v>0</v>
      </c>
      <c r="E116" s="113"/>
      <c r="F116" s="112"/>
      <c r="G116" s="114">
        <f>'23'!K73</f>
        <v>0</v>
      </c>
      <c r="H116" s="114"/>
      <c r="I116" s="112"/>
      <c r="J116" s="113"/>
      <c r="K116" s="115"/>
    </row>
    <row r="117" spans="2:11" s="101" customFormat="1" ht="18" customHeight="1" x14ac:dyDescent="0.25">
      <c r="B117" s="111" t="s">
        <v>458</v>
      </c>
      <c r="C117" s="112" t="s">
        <v>459</v>
      </c>
      <c r="D117" s="113">
        <v>0</v>
      </c>
      <c r="E117" s="113"/>
      <c r="F117" s="112"/>
      <c r="G117" s="114">
        <f>'23'!K79</f>
        <v>0</v>
      </c>
      <c r="H117" s="114"/>
      <c r="I117" s="112"/>
      <c r="J117" s="113"/>
      <c r="K117" s="115"/>
    </row>
    <row r="118" spans="2:11" s="101" customFormat="1" ht="18" customHeight="1" thickBot="1" x14ac:dyDescent="0.3">
      <c r="B118" s="116" t="s">
        <v>720</v>
      </c>
      <c r="C118" s="117" t="s">
        <v>721</v>
      </c>
      <c r="D118" s="118">
        <v>0</v>
      </c>
      <c r="E118" s="118"/>
      <c r="F118" s="117"/>
      <c r="G118" s="119">
        <f>'23'!K85+'23'!K91</f>
        <v>0</v>
      </c>
      <c r="H118" s="119"/>
      <c r="I118" s="117"/>
      <c r="J118" s="118"/>
      <c r="K118" s="120"/>
    </row>
    <row r="119" spans="2:11" ht="6.9" customHeight="1" thickBot="1" x14ac:dyDescent="0.35">
      <c r="B119" s="74"/>
      <c r="C119" s="75"/>
      <c r="D119" s="78"/>
      <c r="E119" s="78"/>
      <c r="F119" s="76"/>
      <c r="G119" s="85"/>
      <c r="H119" s="85"/>
      <c r="I119" s="76"/>
      <c r="J119" s="78"/>
      <c r="K119" s="76"/>
    </row>
    <row r="120" spans="2:11" s="101" customFormat="1" ht="21.6" customHeight="1" thickBot="1" x14ac:dyDescent="0.3">
      <c r="B120" s="104" t="s">
        <v>466</v>
      </c>
      <c r="C120" s="105" t="s">
        <v>467</v>
      </c>
      <c r="D120" s="106"/>
      <c r="E120" s="106">
        <f>'Estimate Summary'!E49</f>
        <v>0</v>
      </c>
      <c r="F120" s="108"/>
      <c r="G120" s="107"/>
      <c r="H120" s="106">
        <f>'Estimate Summary'!H49</f>
        <v>0</v>
      </c>
      <c r="I120" s="108"/>
      <c r="J120" s="109" t="str">
        <f>IF(H120&gt;E120,"Increase","Decrease or No Change")</f>
        <v>Decrease or No Change</v>
      </c>
      <c r="K120" s="110">
        <f>H120-E120</f>
        <v>0</v>
      </c>
    </row>
    <row r="121" spans="2:11" ht="6.9" customHeight="1" thickBot="1" x14ac:dyDescent="0.35">
      <c r="B121" s="74"/>
      <c r="C121" s="75"/>
      <c r="D121" s="80"/>
      <c r="E121" s="80"/>
      <c r="F121" s="77"/>
      <c r="G121" s="85"/>
      <c r="H121" s="85"/>
      <c r="I121" s="77"/>
      <c r="J121" s="78"/>
      <c r="K121" s="76"/>
    </row>
    <row r="122" spans="2:11" s="101" customFormat="1" ht="21.6" customHeight="1" x14ac:dyDescent="0.25">
      <c r="B122" s="95" t="s">
        <v>468</v>
      </c>
      <c r="C122" s="96" t="s">
        <v>10</v>
      </c>
      <c r="D122" s="98"/>
      <c r="E122" s="98">
        <f>SUM(D123:D125)</f>
        <v>0</v>
      </c>
      <c r="F122" s="102"/>
      <c r="G122" s="102"/>
      <c r="H122" s="98">
        <f>SUM(G123:G125)</f>
        <v>236981.55</v>
      </c>
      <c r="I122" s="97"/>
      <c r="J122" s="99" t="str">
        <f>IF(H123&gt;E122,"Increase","Decrease or No Change")</f>
        <v>Decrease or No Change</v>
      </c>
      <c r="K122" s="100">
        <f>H123-E122</f>
        <v>0</v>
      </c>
    </row>
    <row r="123" spans="2:11" s="101" customFormat="1" ht="18" customHeight="1" x14ac:dyDescent="0.25">
      <c r="B123" s="111" t="s">
        <v>469</v>
      </c>
      <c r="C123" s="112" t="s">
        <v>785</v>
      </c>
      <c r="D123" s="113">
        <v>0</v>
      </c>
      <c r="E123" s="113"/>
      <c r="F123" s="112"/>
      <c r="G123" s="114">
        <f>'26'!K26</f>
        <v>236981.55</v>
      </c>
      <c r="H123" s="114"/>
      <c r="I123" s="112"/>
      <c r="J123" s="113"/>
      <c r="K123" s="115"/>
    </row>
    <row r="124" spans="2:11" s="101" customFormat="1" ht="18" customHeight="1" x14ac:dyDescent="0.25">
      <c r="B124" s="111" t="s">
        <v>471</v>
      </c>
      <c r="C124" s="112" t="s">
        <v>722</v>
      </c>
      <c r="D124" s="113">
        <v>0</v>
      </c>
      <c r="E124" s="113"/>
      <c r="F124" s="112"/>
      <c r="G124" s="114">
        <f>'26'!K37</f>
        <v>0</v>
      </c>
      <c r="H124" s="114"/>
      <c r="I124" s="112"/>
      <c r="J124" s="113"/>
      <c r="K124" s="115"/>
    </row>
    <row r="125" spans="2:11" s="101" customFormat="1" ht="18" customHeight="1" thickBot="1" x14ac:dyDescent="0.3">
      <c r="B125" s="116" t="s">
        <v>483</v>
      </c>
      <c r="C125" s="117" t="s">
        <v>81</v>
      </c>
      <c r="D125" s="118">
        <v>0</v>
      </c>
      <c r="E125" s="118"/>
      <c r="F125" s="117"/>
      <c r="G125" s="119">
        <f>'26'!K45</f>
        <v>0</v>
      </c>
      <c r="H125" s="119"/>
      <c r="I125" s="117"/>
      <c r="J125" s="118"/>
      <c r="K125" s="120"/>
    </row>
    <row r="126" spans="2:11" ht="6.9" customHeight="1" thickBot="1" x14ac:dyDescent="0.35">
      <c r="B126" s="74"/>
      <c r="C126" s="75"/>
      <c r="D126" s="80"/>
      <c r="E126" s="80"/>
      <c r="F126" s="77"/>
      <c r="G126" s="85"/>
      <c r="H126" s="85"/>
      <c r="I126" s="77"/>
      <c r="J126" s="78"/>
      <c r="K126" s="76"/>
    </row>
    <row r="127" spans="2:11" s="101" customFormat="1" ht="21.6" customHeight="1" x14ac:dyDescent="0.25">
      <c r="B127" s="95" t="s">
        <v>490</v>
      </c>
      <c r="C127" s="96" t="s">
        <v>491</v>
      </c>
      <c r="D127" s="98"/>
      <c r="E127" s="98">
        <f>SUM(D128:D132)</f>
        <v>0</v>
      </c>
      <c r="F127" s="97"/>
      <c r="G127" s="102"/>
      <c r="H127" s="98">
        <f>SUM(G128:G132)</f>
        <v>0</v>
      </c>
      <c r="I127" s="97"/>
      <c r="J127" s="99" t="str">
        <f>IF(H127&gt;E127,"Increase","Decrease or No Change")</f>
        <v>Decrease or No Change</v>
      </c>
      <c r="K127" s="100">
        <f>H127-E127</f>
        <v>0</v>
      </c>
    </row>
    <row r="128" spans="2:11" s="101" customFormat="1" ht="18" customHeight="1" x14ac:dyDescent="0.25">
      <c r="B128" s="111" t="s">
        <v>492</v>
      </c>
      <c r="C128" s="112" t="s">
        <v>493</v>
      </c>
      <c r="D128" s="113">
        <v>0</v>
      </c>
      <c r="E128" s="113"/>
      <c r="F128" s="112"/>
      <c r="G128" s="114">
        <f>'27'!K24</f>
        <v>0</v>
      </c>
      <c r="H128" s="114"/>
      <c r="I128" s="112"/>
      <c r="J128" s="113"/>
      <c r="K128" s="115"/>
    </row>
    <row r="129" spans="2:11" s="101" customFormat="1" ht="18" customHeight="1" x14ac:dyDescent="0.25">
      <c r="B129" s="111" t="s">
        <v>494</v>
      </c>
      <c r="C129" s="112" t="s">
        <v>495</v>
      </c>
      <c r="D129" s="113">
        <v>0</v>
      </c>
      <c r="E129" s="113"/>
      <c r="F129" s="112"/>
      <c r="G129" s="114">
        <f>'27'!K35</f>
        <v>0</v>
      </c>
      <c r="H129" s="114"/>
      <c r="I129" s="112"/>
      <c r="J129" s="113"/>
      <c r="K129" s="115"/>
    </row>
    <row r="130" spans="2:11" s="101" customFormat="1" ht="18" customHeight="1" x14ac:dyDescent="0.25">
      <c r="B130" s="111" t="s">
        <v>500</v>
      </c>
      <c r="C130" s="112" t="s">
        <v>501</v>
      </c>
      <c r="D130" s="113">
        <v>0</v>
      </c>
      <c r="E130" s="113"/>
      <c r="F130" s="112"/>
      <c r="G130" s="114">
        <f>'27'!K43</f>
        <v>0</v>
      </c>
      <c r="H130" s="114"/>
      <c r="I130" s="112"/>
      <c r="J130" s="113"/>
      <c r="K130" s="115"/>
    </row>
    <row r="131" spans="2:11" s="101" customFormat="1" ht="18" customHeight="1" x14ac:dyDescent="0.25">
      <c r="B131" s="111" t="s">
        <v>502</v>
      </c>
      <c r="C131" s="112" t="s">
        <v>503</v>
      </c>
      <c r="D131" s="113">
        <v>0</v>
      </c>
      <c r="E131" s="113"/>
      <c r="F131" s="112"/>
      <c r="G131" s="114">
        <f>'27'!K52</f>
        <v>0</v>
      </c>
      <c r="H131" s="114"/>
      <c r="I131" s="112"/>
      <c r="J131" s="113"/>
      <c r="K131" s="115"/>
    </row>
    <row r="132" spans="2:11" s="101" customFormat="1" ht="18" customHeight="1" thickBot="1" x14ac:dyDescent="0.3">
      <c r="B132" s="116" t="s">
        <v>504</v>
      </c>
      <c r="C132" s="117" t="s">
        <v>505</v>
      </c>
      <c r="D132" s="118">
        <v>0</v>
      </c>
      <c r="E132" s="118"/>
      <c r="F132" s="117"/>
      <c r="G132" s="119">
        <f>'27'!K63</f>
        <v>0</v>
      </c>
      <c r="H132" s="119"/>
      <c r="I132" s="117"/>
      <c r="J132" s="118"/>
      <c r="K132" s="120"/>
    </row>
    <row r="133" spans="2:11" ht="6.9" customHeight="1" thickBot="1" x14ac:dyDescent="0.35">
      <c r="B133" s="74"/>
      <c r="C133" s="75"/>
      <c r="D133" s="78"/>
      <c r="E133" s="78"/>
      <c r="F133" s="76"/>
      <c r="G133" s="85"/>
      <c r="H133" s="85"/>
      <c r="I133" s="76"/>
      <c r="J133" s="78"/>
      <c r="K133" s="76"/>
    </row>
    <row r="134" spans="2:11" s="101" customFormat="1" ht="21.6" customHeight="1" x14ac:dyDescent="0.25">
      <c r="B134" s="95" t="s">
        <v>506</v>
      </c>
      <c r="C134" s="96" t="s">
        <v>507</v>
      </c>
      <c r="D134" s="98"/>
      <c r="E134" s="98">
        <f>SUM(D135:D138)</f>
        <v>0</v>
      </c>
      <c r="F134" s="102"/>
      <c r="G134" s="102"/>
      <c r="H134" s="98">
        <f>SUM(G135:G138)</f>
        <v>0</v>
      </c>
      <c r="I134" s="97"/>
      <c r="J134" s="99" t="str">
        <f>IF(H134&gt;E134,"Increase","Decrease or No Change")</f>
        <v>Decrease or No Change</v>
      </c>
      <c r="K134" s="100">
        <f>H134-E134</f>
        <v>0</v>
      </c>
    </row>
    <row r="135" spans="2:11" s="101" customFormat="1" ht="18" customHeight="1" x14ac:dyDescent="0.25">
      <c r="B135" s="111" t="s">
        <v>508</v>
      </c>
      <c r="C135" s="112" t="s">
        <v>509</v>
      </c>
      <c r="D135" s="113">
        <v>0</v>
      </c>
      <c r="E135" s="113"/>
      <c r="F135" s="112"/>
      <c r="G135" s="114">
        <f>'28'!K24</f>
        <v>0</v>
      </c>
      <c r="H135" s="114"/>
      <c r="I135" s="112"/>
      <c r="J135" s="88"/>
      <c r="K135" s="115"/>
    </row>
    <row r="136" spans="2:11" s="101" customFormat="1" ht="18" customHeight="1" x14ac:dyDescent="0.25">
      <c r="B136" s="111" t="s">
        <v>512</v>
      </c>
      <c r="C136" s="112" t="s">
        <v>513</v>
      </c>
      <c r="D136" s="113">
        <v>0</v>
      </c>
      <c r="E136" s="113"/>
      <c r="F136" s="112"/>
      <c r="G136" s="114">
        <f>'28'!K35</f>
        <v>0</v>
      </c>
      <c r="H136" s="114"/>
      <c r="I136" s="112"/>
      <c r="J136" s="113"/>
      <c r="K136" s="115"/>
    </row>
    <row r="137" spans="2:11" s="101" customFormat="1" ht="18" customHeight="1" x14ac:dyDescent="0.25">
      <c r="B137" s="111" t="s">
        <v>514</v>
      </c>
      <c r="C137" s="112" t="s">
        <v>515</v>
      </c>
      <c r="D137" s="113">
        <v>0</v>
      </c>
      <c r="E137" s="113"/>
      <c r="F137" s="112"/>
      <c r="G137" s="114">
        <f>'28'!K43</f>
        <v>0</v>
      </c>
      <c r="H137" s="114"/>
      <c r="I137" s="112"/>
      <c r="J137" s="113"/>
      <c r="K137" s="115"/>
    </row>
    <row r="138" spans="2:11" s="101" customFormat="1" ht="18" customHeight="1" thickBot="1" x14ac:dyDescent="0.3">
      <c r="B138" s="116" t="s">
        <v>516</v>
      </c>
      <c r="C138" s="117" t="s">
        <v>518</v>
      </c>
      <c r="D138" s="118">
        <v>0</v>
      </c>
      <c r="E138" s="118"/>
      <c r="F138" s="117"/>
      <c r="G138" s="119">
        <f>'28'!K52</f>
        <v>0</v>
      </c>
      <c r="H138" s="119"/>
      <c r="I138" s="117"/>
      <c r="J138" s="118"/>
      <c r="K138" s="120"/>
    </row>
    <row r="139" spans="2:11" ht="6.9" customHeight="1" thickBot="1" x14ac:dyDescent="0.35">
      <c r="B139" s="74"/>
      <c r="C139" s="75"/>
      <c r="D139" s="78"/>
      <c r="E139" s="78"/>
      <c r="F139" s="76"/>
      <c r="G139" s="85"/>
      <c r="H139" s="85"/>
      <c r="I139" s="76"/>
      <c r="J139" s="78"/>
      <c r="K139" s="76"/>
    </row>
    <row r="140" spans="2:11" s="101" customFormat="1" ht="21.6" customHeight="1" x14ac:dyDescent="0.25">
      <c r="B140" s="95" t="s">
        <v>520</v>
      </c>
      <c r="C140" s="96" t="s">
        <v>521</v>
      </c>
      <c r="D140" s="98"/>
      <c r="E140" s="98">
        <f>SUM(D141:D144)</f>
        <v>0</v>
      </c>
      <c r="F140" s="97"/>
      <c r="G140" s="102"/>
      <c r="H140" s="98">
        <f>SUM(G141:G144)</f>
        <v>279224.83</v>
      </c>
      <c r="I140" s="97"/>
      <c r="J140" s="99" t="str">
        <f>IF(H140&gt;E140,"Increase","Decrease or No Change")</f>
        <v>Increase</v>
      </c>
      <c r="K140" s="100">
        <f>H140-E140</f>
        <v>279224.83</v>
      </c>
    </row>
    <row r="141" spans="2:11" s="101" customFormat="1" ht="18" customHeight="1" x14ac:dyDescent="0.25">
      <c r="B141" s="111" t="s">
        <v>522</v>
      </c>
      <c r="C141" s="112" t="s">
        <v>523</v>
      </c>
      <c r="D141" s="113">
        <v>0</v>
      </c>
      <c r="E141" s="113"/>
      <c r="F141" s="112"/>
      <c r="G141" s="114">
        <f>'31'!K26</f>
        <v>0</v>
      </c>
      <c r="H141" s="114"/>
      <c r="I141" s="112"/>
      <c r="J141" s="113"/>
      <c r="K141" s="115"/>
    </row>
    <row r="142" spans="2:11" s="101" customFormat="1" ht="18" customHeight="1" x14ac:dyDescent="0.25">
      <c r="B142" s="111" t="s">
        <v>526</v>
      </c>
      <c r="C142" s="112" t="s">
        <v>527</v>
      </c>
      <c r="D142" s="113">
        <v>0</v>
      </c>
      <c r="E142" s="113"/>
      <c r="F142" s="112"/>
      <c r="G142" s="114">
        <f>'31'!K69</f>
        <v>279224.83</v>
      </c>
      <c r="H142" s="114"/>
      <c r="I142" s="112"/>
      <c r="J142" s="113"/>
      <c r="K142" s="115"/>
    </row>
    <row r="143" spans="2:11" s="101" customFormat="1" ht="18" customHeight="1" x14ac:dyDescent="0.25">
      <c r="B143" s="111" t="s">
        <v>723</v>
      </c>
      <c r="C143" s="112" t="s">
        <v>724</v>
      </c>
      <c r="D143" s="113">
        <v>0</v>
      </c>
      <c r="E143" s="113"/>
      <c r="F143" s="112"/>
      <c r="G143" s="114">
        <f>'31'!K77</f>
        <v>0</v>
      </c>
      <c r="H143" s="114"/>
      <c r="I143" s="112"/>
      <c r="J143" s="113"/>
      <c r="K143" s="115"/>
    </row>
    <row r="144" spans="2:11" s="101" customFormat="1" ht="18" customHeight="1" thickBot="1" x14ac:dyDescent="0.3">
      <c r="B144" s="116" t="s">
        <v>562</v>
      </c>
      <c r="C144" s="117" t="s">
        <v>563</v>
      </c>
      <c r="D144" s="118">
        <v>0</v>
      </c>
      <c r="E144" s="118"/>
      <c r="F144" s="117"/>
      <c r="G144" s="119">
        <f>'31'!K86</f>
        <v>0</v>
      </c>
      <c r="H144" s="119"/>
      <c r="I144" s="117"/>
      <c r="J144" s="118"/>
      <c r="K144" s="120"/>
    </row>
    <row r="145" spans="2:11" ht="6.9" customHeight="1" thickBot="1" x14ac:dyDescent="0.35">
      <c r="B145" s="74"/>
      <c r="C145" s="75"/>
      <c r="D145" s="78"/>
      <c r="E145" s="78"/>
      <c r="F145" s="76"/>
      <c r="G145" s="85"/>
      <c r="H145" s="85"/>
      <c r="I145" s="76"/>
      <c r="J145" s="78"/>
      <c r="K145" s="76"/>
    </row>
    <row r="146" spans="2:11" s="101" customFormat="1" ht="21.6" customHeight="1" x14ac:dyDescent="0.25">
      <c r="B146" s="95" t="s">
        <v>564</v>
      </c>
      <c r="C146" s="96" t="s">
        <v>565</v>
      </c>
      <c r="D146" s="98"/>
      <c r="E146" s="98">
        <f>SUM(D147:D149)</f>
        <v>0</v>
      </c>
      <c r="F146" s="97"/>
      <c r="G146" s="102"/>
      <c r="H146" s="98">
        <f>SUM(G147:G149)</f>
        <v>197504</v>
      </c>
      <c r="I146" s="97"/>
      <c r="J146" s="99" t="str">
        <f>IF(H146&gt;E146,"Increase","Decrease or No Change")</f>
        <v>Increase</v>
      </c>
      <c r="K146" s="100">
        <f>H146-E146</f>
        <v>197504</v>
      </c>
    </row>
    <row r="147" spans="2:11" s="101" customFormat="1" ht="18" customHeight="1" x14ac:dyDescent="0.25">
      <c r="B147" s="111" t="s">
        <v>566</v>
      </c>
      <c r="C147" s="112" t="s">
        <v>567</v>
      </c>
      <c r="D147" s="113">
        <v>0</v>
      </c>
      <c r="E147" s="113"/>
      <c r="F147" s="112"/>
      <c r="G147" s="114">
        <f>'32'!K22+'32'!K37+'32'!K48</f>
        <v>129250</v>
      </c>
      <c r="H147" s="114"/>
      <c r="I147" s="112"/>
      <c r="J147" s="113"/>
      <c r="K147" s="115"/>
    </row>
    <row r="148" spans="2:11" s="101" customFormat="1" ht="18" customHeight="1" x14ac:dyDescent="0.25">
      <c r="B148" s="111" t="s">
        <v>596</v>
      </c>
      <c r="C148" s="112" t="s">
        <v>597</v>
      </c>
      <c r="D148" s="113">
        <v>0</v>
      </c>
      <c r="E148" s="113"/>
      <c r="F148" s="112"/>
      <c r="G148" s="114">
        <f>'32'!K58</f>
        <v>41666</v>
      </c>
      <c r="H148" s="114"/>
      <c r="I148" s="112"/>
      <c r="J148" s="113"/>
      <c r="K148" s="115"/>
    </row>
    <row r="149" spans="2:11" s="101" customFormat="1" ht="18" customHeight="1" thickBot="1" x14ac:dyDescent="0.3">
      <c r="B149" s="116" t="s">
        <v>605</v>
      </c>
      <c r="C149" s="117" t="s">
        <v>606</v>
      </c>
      <c r="D149" s="118">
        <v>0</v>
      </c>
      <c r="E149" s="118"/>
      <c r="F149" s="117"/>
      <c r="G149" s="119">
        <f>'32'!K69</f>
        <v>26588</v>
      </c>
      <c r="H149" s="119"/>
      <c r="I149" s="117"/>
      <c r="J149" s="118"/>
      <c r="K149" s="120"/>
    </row>
    <row r="150" spans="2:11" ht="6.9" customHeight="1" thickBot="1" x14ac:dyDescent="0.35">
      <c r="B150" s="74"/>
      <c r="C150" s="75"/>
      <c r="D150" s="78"/>
      <c r="E150" s="78"/>
      <c r="F150" s="76"/>
      <c r="G150" s="85"/>
      <c r="H150" s="85"/>
      <c r="I150" s="76"/>
      <c r="J150" s="78"/>
      <c r="K150" s="76"/>
    </row>
    <row r="151" spans="2:11" s="101" customFormat="1" ht="21.6" customHeight="1" x14ac:dyDescent="0.25">
      <c r="B151" s="95" t="s">
        <v>612</v>
      </c>
      <c r="C151" s="96" t="s">
        <v>613</v>
      </c>
      <c r="D151" s="98"/>
      <c r="E151" s="98">
        <f>SUM(D152:D155)</f>
        <v>0</v>
      </c>
      <c r="F151" s="97"/>
      <c r="G151" s="102"/>
      <c r="H151" s="98">
        <f>SUM(G152:G155)</f>
        <v>0</v>
      </c>
      <c r="I151" s="97"/>
      <c r="J151" s="99" t="str">
        <f>IF(H151&gt;E151,"Increase","Decrease or No Change")</f>
        <v>Decrease or No Change</v>
      </c>
      <c r="K151" s="100">
        <f>H151-E151</f>
        <v>0</v>
      </c>
    </row>
    <row r="152" spans="2:11" s="101" customFormat="1" ht="18" customHeight="1" x14ac:dyDescent="0.25">
      <c r="B152" s="111" t="s">
        <v>614</v>
      </c>
      <c r="C152" s="112" t="s">
        <v>615</v>
      </c>
      <c r="D152" s="113">
        <v>0</v>
      </c>
      <c r="E152" s="113"/>
      <c r="F152" s="112"/>
      <c r="G152" s="114">
        <f>'33'!K26</f>
        <v>0</v>
      </c>
      <c r="H152" s="114"/>
      <c r="I152" s="112"/>
      <c r="J152" s="113"/>
      <c r="K152" s="115"/>
    </row>
    <row r="153" spans="2:11" s="101" customFormat="1" ht="18" customHeight="1" x14ac:dyDescent="0.25">
      <c r="B153" s="111" t="s">
        <v>620</v>
      </c>
      <c r="C153" s="112" t="s">
        <v>621</v>
      </c>
      <c r="D153" s="113">
        <v>0</v>
      </c>
      <c r="E153" s="113"/>
      <c r="F153" s="112"/>
      <c r="G153" s="114">
        <f>'33'!K37</f>
        <v>0</v>
      </c>
      <c r="H153" s="114"/>
      <c r="I153" s="112"/>
      <c r="J153" s="113"/>
      <c r="K153" s="115"/>
    </row>
    <row r="154" spans="2:11" s="101" customFormat="1" ht="18" customHeight="1" x14ac:dyDescent="0.25">
      <c r="B154" s="111" t="s">
        <v>626</v>
      </c>
      <c r="C154" s="112" t="s">
        <v>627</v>
      </c>
      <c r="D154" s="113">
        <v>0</v>
      </c>
      <c r="E154" s="113"/>
      <c r="F154" s="112"/>
      <c r="G154" s="114">
        <f>'33'!K45</f>
        <v>0</v>
      </c>
      <c r="H154" s="114"/>
      <c r="I154" s="112"/>
      <c r="J154" s="113"/>
      <c r="K154" s="115"/>
    </row>
    <row r="155" spans="2:11" ht="15" customHeight="1" thickBot="1" x14ac:dyDescent="0.35">
      <c r="B155" s="81" t="s">
        <v>636</v>
      </c>
      <c r="C155" s="72" t="s">
        <v>637</v>
      </c>
      <c r="D155" s="71">
        <v>0</v>
      </c>
      <c r="E155" s="71"/>
      <c r="F155" s="72"/>
      <c r="G155" s="70">
        <f>'33'!K54</f>
        <v>0</v>
      </c>
      <c r="H155" s="70"/>
      <c r="I155" s="72"/>
      <c r="J155" s="71"/>
      <c r="K155" s="73"/>
    </row>
    <row r="156" spans="2:11" ht="6.9" customHeight="1" x14ac:dyDescent="0.3">
      <c r="B156" s="74"/>
      <c r="C156" s="75"/>
      <c r="D156" s="78"/>
      <c r="E156" s="78"/>
      <c r="F156" s="76"/>
      <c r="G156" s="76"/>
      <c r="H156" s="76"/>
      <c r="I156" s="76"/>
      <c r="J156" s="78"/>
      <c r="K156" s="89"/>
    </row>
    <row r="157" spans="2:11" ht="15" customHeight="1" x14ac:dyDescent="0.25">
      <c r="B157" s="17"/>
      <c r="C157" s="993" t="s">
        <v>687</v>
      </c>
      <c r="D157" s="995"/>
      <c r="E157" s="995"/>
      <c r="F157" s="24"/>
      <c r="G157" s="996">
        <f>'Estimate Summary'!D68</f>
        <v>90911.588529745</v>
      </c>
      <c r="H157" s="996"/>
      <c r="J157" s="982" t="str">
        <f>IF(G157&gt;D157,"Increase","Decrease or No Change")</f>
        <v>Increase</v>
      </c>
      <c r="K157" s="994">
        <f>G157-D157</f>
        <v>90911.588529745</v>
      </c>
    </row>
    <row r="158" spans="2:11" ht="15" customHeight="1" x14ac:dyDescent="0.25">
      <c r="B158" s="17"/>
      <c r="C158" s="993"/>
      <c r="D158" s="995"/>
      <c r="E158" s="995"/>
      <c r="F158" s="24"/>
      <c r="G158" s="996"/>
      <c r="H158" s="996"/>
      <c r="J158" s="982"/>
      <c r="K158" s="994"/>
    </row>
    <row r="159" spans="2:11" ht="15" customHeight="1" x14ac:dyDescent="0.25">
      <c r="B159" s="17"/>
      <c r="C159" s="997" t="s">
        <v>92</v>
      </c>
      <c r="D159" s="1000">
        <f>SUM(E8:E155)+D157</f>
        <v>0</v>
      </c>
      <c r="E159" s="1000"/>
      <c r="F159" s="50"/>
      <c r="G159" s="1000">
        <f>SUM(H8:H155)+G157</f>
        <v>2289589.7840818204</v>
      </c>
      <c r="H159" s="1000"/>
      <c r="J159" s="982" t="str">
        <f>IF(G159&gt;D159,"Increase","Decrease or No Change")</f>
        <v>Increase</v>
      </c>
      <c r="K159" s="994">
        <f>G159-D159</f>
        <v>2289589.7840818204</v>
      </c>
    </row>
    <row r="160" spans="2:11" ht="15" customHeight="1" x14ac:dyDescent="0.25">
      <c r="B160" s="17"/>
      <c r="C160" s="997"/>
      <c r="D160" s="1000"/>
      <c r="E160" s="1000"/>
      <c r="F160" s="50"/>
      <c r="G160" s="1000"/>
      <c r="H160" s="1000"/>
      <c r="J160" s="982"/>
      <c r="K160" s="994"/>
    </row>
    <row r="161" spans="2:13" ht="15" customHeight="1" x14ac:dyDescent="0.25">
      <c r="B161" s="17"/>
      <c r="C161" s="25"/>
      <c r="D161" s="1001"/>
      <c r="E161" s="1001"/>
      <c r="F161" s="51"/>
      <c r="G161" s="26"/>
      <c r="H161" s="26"/>
      <c r="J161" s="65"/>
      <c r="K161" s="66"/>
    </row>
    <row r="162" spans="2:13" ht="15" customHeight="1" x14ac:dyDescent="0.25">
      <c r="B162" s="17"/>
      <c r="C162" s="25"/>
      <c r="D162" s="1001"/>
      <c r="E162" s="1001"/>
      <c r="F162" s="51"/>
      <c r="G162" s="26"/>
      <c r="H162" s="26"/>
      <c r="J162" s="65"/>
      <c r="K162" s="66"/>
    </row>
    <row r="163" spans="2:13" ht="15" customHeight="1" x14ac:dyDescent="0.25">
      <c r="B163" s="17"/>
      <c r="C163" s="25"/>
      <c r="D163" s="981"/>
      <c r="E163" s="981"/>
      <c r="F163" s="50"/>
      <c r="G163" s="26"/>
      <c r="H163" s="26"/>
      <c r="J163" s="65"/>
      <c r="K163" s="66"/>
    </row>
    <row r="164" spans="2:13" ht="15" customHeight="1" thickBot="1" x14ac:dyDescent="0.3">
      <c r="B164" s="18"/>
      <c r="C164" s="19"/>
      <c r="D164" s="27"/>
      <c r="E164" s="28"/>
      <c r="F164" s="28"/>
      <c r="G164" s="20"/>
      <c r="H164" s="20"/>
      <c r="I164" s="28"/>
      <c r="J164" s="27"/>
      <c r="K164" s="67"/>
    </row>
    <row r="165" spans="2:13" ht="13.8" thickTop="1" x14ac:dyDescent="0.25"/>
    <row r="167" spans="2:13" x14ac:dyDescent="0.25">
      <c r="C167" s="29"/>
      <c r="D167" s="29"/>
      <c r="E167" s="29"/>
      <c r="G167" s="29"/>
      <c r="J167" s="30"/>
      <c r="L167" s="31"/>
      <c r="M167" s="2"/>
    </row>
    <row r="168" spans="2:13" x14ac:dyDescent="0.25">
      <c r="C168"/>
      <c r="G168" s="32"/>
      <c r="H168" s="2"/>
      <c r="J168" s="30"/>
      <c r="L168" s="31"/>
      <c r="M168" s="2"/>
    </row>
    <row r="169" spans="2:13" x14ac:dyDescent="0.25">
      <c r="C169"/>
      <c r="G169" s="32"/>
      <c r="H169" s="2"/>
      <c r="J169" s="30"/>
      <c r="L169" s="31"/>
      <c r="M169" s="2"/>
    </row>
    <row r="170" spans="2:13" x14ac:dyDescent="0.25">
      <c r="C170"/>
      <c r="G170" s="32"/>
      <c r="H170" s="33"/>
      <c r="J170" s="30"/>
      <c r="L170" s="31"/>
      <c r="M170" s="2"/>
    </row>
    <row r="171" spans="2:13" x14ac:dyDescent="0.25">
      <c r="C171"/>
      <c r="G171" s="32"/>
      <c r="H171" s="33"/>
    </row>
    <row r="172" spans="2:13" x14ac:dyDescent="0.25">
      <c r="C172"/>
      <c r="D172" s="29"/>
      <c r="E172" s="29"/>
      <c r="G172" s="32"/>
      <c r="H172" s="2"/>
    </row>
  </sheetData>
  <mergeCells count="20">
    <mergeCell ref="D159:E160"/>
    <mergeCell ref="G159:H160"/>
    <mergeCell ref="D161:E161"/>
    <mergeCell ref="D162:E162"/>
    <mergeCell ref="D163:E163"/>
    <mergeCell ref="J159:J160"/>
    <mergeCell ref="B2:C2"/>
    <mergeCell ref="I2:K4"/>
    <mergeCell ref="B3:C3"/>
    <mergeCell ref="C157:C158"/>
    <mergeCell ref="K157:K158"/>
    <mergeCell ref="D157:E158"/>
    <mergeCell ref="G157:H158"/>
    <mergeCell ref="J157:J158"/>
    <mergeCell ref="K159:K160"/>
    <mergeCell ref="C159:C160"/>
    <mergeCell ref="D6:E6"/>
    <mergeCell ref="D7:E7"/>
    <mergeCell ref="G6:H6"/>
    <mergeCell ref="G7:H7"/>
  </mergeCells>
  <pageMargins left="0.7" right="1.2814814814814814" top="0.75" bottom="0.75" header="0.3" footer="0.3"/>
  <pageSetup scale="40" orientation="portrait" copies="3" r:id="rId1"/>
  <headerFooter>
    <oddHeader>&amp;L&amp;G</oddHeader>
    <oddFooter>&amp;L&amp;"Arial,Regular"&amp;12&amp;D&amp;R&amp;"Arial,Regular"&amp;12&amp;P/&amp;N</oddFooter>
  </headerFooter>
  <rowBreaks count="1" manualBreakCount="1">
    <brk id="83" max="10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59"/>
  <sheetViews>
    <sheetView view="pageLayout" topLeftCell="A133" zoomScale="90" zoomScaleNormal="100" zoomScaleSheetLayoutView="100" zoomScalePageLayoutView="90" workbookViewId="0">
      <selection activeCell="G20" sqref="G20"/>
    </sheetView>
  </sheetViews>
  <sheetFormatPr defaultColWidth="11.44140625" defaultRowHeight="13.2" x14ac:dyDescent="0.25"/>
  <cols>
    <col min="1" max="1" width="1.109375" style="157" customWidth="1"/>
    <col min="2" max="2" width="13.109375" style="158" bestFit="1" customWidth="1"/>
    <col min="3" max="3" width="58.109375" style="159" customWidth="1"/>
    <col min="4" max="4" width="14.44140625" style="159" hidden="1" customWidth="1"/>
    <col min="5" max="5" width="12.44140625" style="159" hidden="1" customWidth="1"/>
    <col min="6" max="6" width="12.88671875" style="157" hidden="1" customWidth="1"/>
    <col min="7" max="7" width="25.88671875" style="157" customWidth="1"/>
    <col min="8" max="8" width="23.109375" style="157" customWidth="1"/>
    <col min="9" max="9" width="6.88671875" style="157" customWidth="1"/>
    <col min="10" max="10" width="8.109375" style="157" customWidth="1"/>
    <col min="11" max="16384" width="11.44140625" style="157"/>
  </cols>
  <sheetData>
    <row r="1" spans="2:9" ht="6.9" customHeight="1" thickBot="1" x14ac:dyDescent="0.3">
      <c r="B1" s="138"/>
      <c r="C1" s="139"/>
      <c r="D1" s="139"/>
      <c r="E1" s="139"/>
      <c r="F1" s="156"/>
      <c r="G1" s="140"/>
      <c r="H1" s="141"/>
      <c r="I1" s="160"/>
    </row>
    <row r="2" spans="2:9" ht="6" customHeight="1" x14ac:dyDescent="0.25">
      <c r="B2" s="161"/>
      <c r="C2" s="162"/>
      <c r="D2" s="162"/>
      <c r="E2" s="162"/>
      <c r="F2" s="163"/>
      <c r="G2" s="164"/>
      <c r="H2" s="165"/>
      <c r="I2" s="160"/>
    </row>
    <row r="3" spans="2:9" ht="21" customHeight="1" x14ac:dyDescent="0.4">
      <c r="B3" s="1010" t="str">
        <f>'Estimate Summary'!D5</f>
        <v>St George YMCA Daycare</v>
      </c>
      <c r="C3" s="1011"/>
      <c r="D3" s="166"/>
      <c r="E3" s="166"/>
      <c r="F3" s="1006" t="s">
        <v>954</v>
      </c>
      <c r="G3" s="1006"/>
      <c r="H3" s="1007"/>
    </row>
    <row r="4" spans="2:9" ht="17.399999999999999" x14ac:dyDescent="0.3">
      <c r="B4" s="1004" t="str">
        <f>'Estimate Summary'!D6</f>
        <v>Eastern Chalotte/YMCA</v>
      </c>
      <c r="C4" s="1005"/>
      <c r="D4" s="167"/>
      <c r="E4" s="167"/>
      <c r="F4" s="1006"/>
      <c r="G4" s="1006"/>
      <c r="H4" s="1007"/>
    </row>
    <row r="5" spans="2:9" ht="18" customHeight="1" x14ac:dyDescent="0.25">
      <c r="B5" s="168" t="s">
        <v>777</v>
      </c>
      <c r="C5" s="169" t="str">
        <f>'Estimate Summary'!B3</f>
        <v>January 29th, 2026</v>
      </c>
      <c r="D5" s="170"/>
      <c r="E5" s="170"/>
      <c r="F5" s="1008"/>
      <c r="G5" s="1008"/>
      <c r="H5" s="1009"/>
    </row>
    <row r="6" spans="2:9" ht="9" customHeight="1" thickBot="1" x14ac:dyDescent="0.3">
      <c r="B6" s="171"/>
      <c r="C6" s="172"/>
      <c r="D6" s="172"/>
      <c r="E6" s="172"/>
      <c r="F6" s="173"/>
      <c r="G6" s="174"/>
      <c r="H6" s="175"/>
    </row>
    <row r="7" spans="2:9" ht="18" customHeight="1" x14ac:dyDescent="0.3">
      <c r="B7" s="176" t="s">
        <v>686</v>
      </c>
      <c r="C7" s="177" t="s">
        <v>3</v>
      </c>
      <c r="D7" s="177"/>
      <c r="E7" s="177"/>
      <c r="F7" s="178"/>
      <c r="G7" s="179"/>
      <c r="H7" s="180">
        <f>SUM(G8:G17)</f>
        <v>353890.15449362498</v>
      </c>
    </row>
    <row r="8" spans="2:9" ht="17.100000000000001" customHeight="1" x14ac:dyDescent="0.25">
      <c r="B8" s="181" t="s">
        <v>102</v>
      </c>
      <c r="C8" s="14" t="s">
        <v>101</v>
      </c>
      <c r="D8" s="14"/>
      <c r="E8" s="14"/>
      <c r="G8" s="182">
        <f>'1'!K24</f>
        <v>0</v>
      </c>
      <c r="H8" s="183"/>
    </row>
    <row r="9" spans="2:9" ht="17.100000000000001" customHeight="1" x14ac:dyDescent="0.25">
      <c r="B9" s="184" t="s">
        <v>103</v>
      </c>
      <c r="C9" s="15" t="s">
        <v>104</v>
      </c>
      <c r="D9" s="15"/>
      <c r="E9" s="15"/>
      <c r="G9" s="182">
        <f>'1'!K35</f>
        <v>183350</v>
      </c>
      <c r="H9" s="183"/>
    </row>
    <row r="10" spans="2:9" ht="17.100000000000001" customHeight="1" x14ac:dyDescent="0.25">
      <c r="B10" s="184" t="s">
        <v>808</v>
      </c>
      <c r="C10" s="15" t="s">
        <v>956</v>
      </c>
      <c r="D10" s="15"/>
      <c r="E10" s="15"/>
      <c r="G10" s="182">
        <f>'1'!K45+'1'!K56</f>
        <v>61946.517691549998</v>
      </c>
      <c r="H10" s="183"/>
    </row>
    <row r="11" spans="2:9" ht="17.100000000000001" customHeight="1" x14ac:dyDescent="0.25">
      <c r="B11" s="184" t="s">
        <v>105</v>
      </c>
      <c r="C11" s="15" t="s">
        <v>106</v>
      </c>
      <c r="D11" s="15"/>
      <c r="E11" s="15"/>
      <c r="G11" s="182">
        <f>'1'!K67</f>
        <v>17078.206072875</v>
      </c>
      <c r="H11" s="183"/>
    </row>
    <row r="12" spans="2:9" ht="17.100000000000001" customHeight="1" x14ac:dyDescent="0.25">
      <c r="B12" s="184" t="s">
        <v>144</v>
      </c>
      <c r="C12" s="15" t="s">
        <v>145</v>
      </c>
      <c r="D12" s="15"/>
      <c r="E12" s="15"/>
      <c r="G12" s="182">
        <f>'1'!K76</f>
        <v>8000</v>
      </c>
      <c r="H12" s="183"/>
    </row>
    <row r="13" spans="2:9" ht="17.100000000000001" customHeight="1" x14ac:dyDescent="0.25">
      <c r="B13" s="184" t="s">
        <v>107</v>
      </c>
      <c r="C13" s="15" t="s">
        <v>108</v>
      </c>
      <c r="D13" s="15"/>
      <c r="E13" s="15"/>
      <c r="G13" s="182">
        <f>'1'!K87</f>
        <v>5700</v>
      </c>
      <c r="H13" s="183"/>
    </row>
    <row r="14" spans="2:9" ht="17.100000000000001" customHeight="1" x14ac:dyDescent="0.25">
      <c r="B14" s="184" t="s">
        <v>110</v>
      </c>
      <c r="C14" s="15" t="s">
        <v>109</v>
      </c>
      <c r="D14" s="15"/>
      <c r="E14" s="15"/>
      <c r="G14" s="182">
        <f>'1'!K97</f>
        <v>14495.394757312501</v>
      </c>
      <c r="H14" s="183"/>
    </row>
    <row r="15" spans="2:9" ht="17.100000000000001" customHeight="1" x14ac:dyDescent="0.25">
      <c r="B15" s="184" t="s">
        <v>111</v>
      </c>
      <c r="C15" s="15" t="s">
        <v>957</v>
      </c>
      <c r="D15" s="15"/>
      <c r="E15" s="15"/>
      <c r="G15" s="182">
        <f>'1'!K105+'1'!K120</f>
        <v>21036.035971887501</v>
      </c>
      <c r="H15" s="183"/>
    </row>
    <row r="16" spans="2:9" ht="17.100000000000001" customHeight="1" x14ac:dyDescent="0.25">
      <c r="B16" s="184" t="s">
        <v>113</v>
      </c>
      <c r="C16" s="15" t="s">
        <v>114</v>
      </c>
      <c r="D16" s="15"/>
      <c r="E16" s="15"/>
      <c r="G16" s="182">
        <f>'1'!K128</f>
        <v>22425</v>
      </c>
      <c r="H16" s="183"/>
    </row>
    <row r="17" spans="2:8" ht="17.100000000000001" customHeight="1" x14ac:dyDescent="0.25">
      <c r="B17" s="184" t="s">
        <v>115</v>
      </c>
      <c r="C17" s="15" t="s">
        <v>116</v>
      </c>
      <c r="D17" s="15"/>
      <c r="E17" s="15"/>
      <c r="G17" s="182">
        <f>'1'!K136</f>
        <v>19859</v>
      </c>
      <c r="H17" s="183"/>
    </row>
    <row r="18" spans="2:8" ht="5.0999999999999996" customHeight="1" x14ac:dyDescent="0.25">
      <c r="B18" s="185"/>
      <c r="C18" s="186"/>
      <c r="D18" s="186"/>
      <c r="E18" s="186"/>
      <c r="F18" s="187"/>
      <c r="G18" s="188"/>
      <c r="H18" s="189"/>
    </row>
    <row r="19" spans="2:8" ht="18.899999999999999" customHeight="1" x14ac:dyDescent="0.3">
      <c r="B19" s="190" t="s">
        <v>153</v>
      </c>
      <c r="C19" s="191" t="s">
        <v>155</v>
      </c>
      <c r="D19" s="191"/>
      <c r="E19" s="191"/>
      <c r="G19" s="158"/>
      <c r="H19" s="192">
        <f>SUM(G20:G22)</f>
        <v>0</v>
      </c>
    </row>
    <row r="20" spans="2:8" ht="17.100000000000001" customHeight="1" x14ac:dyDescent="0.25">
      <c r="B20" s="193" t="s">
        <v>154</v>
      </c>
      <c r="C20" s="194" t="s">
        <v>77</v>
      </c>
      <c r="D20" s="194"/>
      <c r="E20" s="194"/>
      <c r="G20" s="182" t="s">
        <v>1351</v>
      </c>
      <c r="H20" s="183"/>
    </row>
    <row r="21" spans="2:8" ht="17.100000000000001" customHeight="1" x14ac:dyDescent="0.25">
      <c r="B21" s="193" t="s">
        <v>156</v>
      </c>
      <c r="C21" s="194" t="s">
        <v>157</v>
      </c>
      <c r="D21" s="194"/>
      <c r="E21" s="194"/>
      <c r="G21" s="182">
        <f>'2'!K37</f>
        <v>0</v>
      </c>
      <c r="H21" s="183"/>
    </row>
    <row r="22" spans="2:8" ht="17.100000000000001" customHeight="1" x14ac:dyDescent="0.25">
      <c r="B22" s="193" t="s">
        <v>158</v>
      </c>
      <c r="C22" s="194" t="s">
        <v>537</v>
      </c>
      <c r="D22" s="194"/>
      <c r="E22" s="194"/>
      <c r="G22" s="182">
        <f>'2'!K48</f>
        <v>0</v>
      </c>
      <c r="H22" s="183"/>
    </row>
    <row r="23" spans="2:8" ht="5.0999999999999996" customHeight="1" x14ac:dyDescent="0.25">
      <c r="B23" s="185"/>
      <c r="C23" s="186"/>
      <c r="D23" s="186"/>
      <c r="E23" s="186"/>
      <c r="F23" s="187"/>
      <c r="G23" s="188"/>
      <c r="H23" s="189"/>
    </row>
    <row r="24" spans="2:8" ht="18.899999999999999" customHeight="1" x14ac:dyDescent="0.3">
      <c r="B24" s="190" t="s">
        <v>159</v>
      </c>
      <c r="C24" s="191" t="s">
        <v>4</v>
      </c>
      <c r="D24" s="191"/>
      <c r="E24" s="191"/>
      <c r="G24" s="158"/>
      <c r="H24" s="192">
        <f>SUM(G25:G29)</f>
        <v>142525.61874999999</v>
      </c>
    </row>
    <row r="25" spans="2:8" ht="17.100000000000001" customHeight="1" x14ac:dyDescent="0.25">
      <c r="B25" s="193" t="s">
        <v>160</v>
      </c>
      <c r="C25" s="194" t="s">
        <v>161</v>
      </c>
      <c r="D25" s="194"/>
      <c r="E25" s="194"/>
      <c r="G25" s="182">
        <f>'3'!K26</f>
        <v>56820</v>
      </c>
      <c r="H25" s="183"/>
    </row>
    <row r="26" spans="2:8" ht="17.100000000000001" customHeight="1" x14ac:dyDescent="0.25">
      <c r="B26" s="193" t="s">
        <v>163</v>
      </c>
      <c r="C26" s="194" t="s">
        <v>162</v>
      </c>
      <c r="D26" s="194"/>
      <c r="E26" s="194"/>
      <c r="G26" s="182">
        <f>'3'!K37</f>
        <v>25280</v>
      </c>
      <c r="H26" s="183"/>
    </row>
    <row r="27" spans="2:8" ht="17.100000000000001" customHeight="1" x14ac:dyDescent="0.25">
      <c r="B27" s="193" t="s">
        <v>164</v>
      </c>
      <c r="C27" s="194" t="s">
        <v>168</v>
      </c>
      <c r="D27" s="194"/>
      <c r="E27" s="194"/>
      <c r="G27" s="182">
        <f>'3'!K52+'3'!K65</f>
        <v>37050.324999999997</v>
      </c>
      <c r="H27" s="183"/>
    </row>
    <row r="28" spans="2:8" ht="17.100000000000001" customHeight="1" x14ac:dyDescent="0.25">
      <c r="B28" s="193" t="s">
        <v>166</v>
      </c>
      <c r="C28" s="194" t="s">
        <v>170</v>
      </c>
      <c r="D28" s="194"/>
      <c r="E28" s="194"/>
      <c r="G28" s="182">
        <f>'3'!K76</f>
        <v>0</v>
      </c>
      <c r="H28" s="183"/>
    </row>
    <row r="29" spans="2:8" ht="17.100000000000001" customHeight="1" x14ac:dyDescent="0.25">
      <c r="B29" s="193" t="s">
        <v>167</v>
      </c>
      <c r="C29" s="194" t="s">
        <v>171</v>
      </c>
      <c r="D29" s="194"/>
      <c r="E29" s="194"/>
      <c r="G29" s="182">
        <f>'3'!K85</f>
        <v>23375.293750000001</v>
      </c>
      <c r="H29" s="183"/>
    </row>
    <row r="30" spans="2:8" ht="5.0999999999999996" customHeight="1" x14ac:dyDescent="0.25">
      <c r="B30" s="185"/>
      <c r="C30" s="186"/>
      <c r="D30" s="186"/>
      <c r="E30" s="186"/>
      <c r="F30" s="187"/>
      <c r="G30" s="188"/>
      <c r="H30" s="189"/>
    </row>
    <row r="31" spans="2:8" ht="17.100000000000001" customHeight="1" x14ac:dyDescent="0.3">
      <c r="B31" s="190" t="s">
        <v>172</v>
      </c>
      <c r="C31" s="191" t="s">
        <v>5</v>
      </c>
      <c r="D31" s="191"/>
      <c r="E31" s="191"/>
      <c r="G31" s="158"/>
      <c r="H31" s="192">
        <f>SUM(G32:G33)</f>
        <v>0</v>
      </c>
    </row>
    <row r="32" spans="2:8" ht="17.100000000000001" customHeight="1" x14ac:dyDescent="0.25">
      <c r="B32" s="193" t="s">
        <v>173</v>
      </c>
      <c r="C32" s="194" t="s">
        <v>175</v>
      </c>
      <c r="D32" s="194"/>
      <c r="E32" s="194"/>
      <c r="G32" s="182">
        <f>'4'!K26</f>
        <v>0</v>
      </c>
      <c r="H32" s="183"/>
    </row>
    <row r="33" spans="2:8" ht="17.100000000000001" customHeight="1" x14ac:dyDescent="0.25">
      <c r="B33" s="193" t="s">
        <v>688</v>
      </c>
      <c r="C33" s="194" t="s">
        <v>689</v>
      </c>
      <c r="D33" s="194"/>
      <c r="E33" s="194"/>
      <c r="G33" s="182">
        <f>'4'!K37</f>
        <v>0</v>
      </c>
      <c r="H33" s="183"/>
    </row>
    <row r="34" spans="2:8" ht="5.0999999999999996" customHeight="1" x14ac:dyDescent="0.25">
      <c r="B34" s="185"/>
      <c r="C34" s="186"/>
      <c r="D34" s="186"/>
      <c r="E34" s="186"/>
      <c r="F34" s="187"/>
      <c r="G34" s="188"/>
      <c r="H34" s="189"/>
    </row>
    <row r="35" spans="2:8" ht="18.899999999999999" customHeight="1" x14ac:dyDescent="0.3">
      <c r="B35" s="190" t="s">
        <v>178</v>
      </c>
      <c r="C35" s="191" t="s">
        <v>6</v>
      </c>
      <c r="D35" s="191"/>
      <c r="E35" s="191"/>
      <c r="G35" s="158"/>
      <c r="H35" s="192">
        <f>SUM(G36:G39)</f>
        <v>0</v>
      </c>
    </row>
    <row r="36" spans="2:8" ht="17.100000000000001" customHeight="1" x14ac:dyDescent="0.25">
      <c r="B36" s="195" t="s">
        <v>179</v>
      </c>
      <c r="C36" s="194" t="s">
        <v>185</v>
      </c>
      <c r="D36" s="194"/>
      <c r="E36" s="194"/>
      <c r="G36" s="182">
        <f>'5'!K26</f>
        <v>0</v>
      </c>
      <c r="H36" s="183"/>
    </row>
    <row r="37" spans="2:8" ht="17.100000000000001" customHeight="1" x14ac:dyDescent="0.25">
      <c r="B37" s="195" t="s">
        <v>180</v>
      </c>
      <c r="C37" s="194" t="s">
        <v>186</v>
      </c>
      <c r="D37" s="194"/>
      <c r="E37" s="194"/>
      <c r="G37" s="182">
        <f>'5'!K37</f>
        <v>0</v>
      </c>
      <c r="H37" s="183"/>
    </row>
    <row r="38" spans="2:8" ht="17.100000000000001" customHeight="1" x14ac:dyDescent="0.25">
      <c r="B38" s="195" t="s">
        <v>181</v>
      </c>
      <c r="C38" s="194" t="s">
        <v>187</v>
      </c>
      <c r="D38" s="194"/>
      <c r="E38" s="194"/>
      <c r="G38" s="182">
        <f>'5'!K45</f>
        <v>0</v>
      </c>
      <c r="H38" s="183"/>
    </row>
    <row r="39" spans="2:8" ht="17.100000000000001" customHeight="1" x14ac:dyDescent="0.25">
      <c r="B39" s="195" t="s">
        <v>690</v>
      </c>
      <c r="C39" s="194" t="s">
        <v>691</v>
      </c>
      <c r="D39" s="194"/>
      <c r="E39" s="194"/>
      <c r="G39" s="182">
        <f>'5'!K54+'5'!K65+'5'!K74</f>
        <v>0</v>
      </c>
      <c r="H39" s="183"/>
    </row>
    <row r="40" spans="2:8" ht="5.0999999999999996" customHeight="1" x14ac:dyDescent="0.25">
      <c r="B40" s="185"/>
      <c r="C40" s="186"/>
      <c r="D40" s="186"/>
      <c r="E40" s="186"/>
      <c r="F40" s="187"/>
      <c r="G40" s="188"/>
      <c r="H40" s="189"/>
    </row>
    <row r="41" spans="2:8" ht="18.899999999999999" customHeight="1" x14ac:dyDescent="0.3">
      <c r="B41" s="190" t="s">
        <v>191</v>
      </c>
      <c r="C41" s="191" t="s">
        <v>192</v>
      </c>
      <c r="D41" s="191"/>
      <c r="E41" s="191"/>
      <c r="G41" s="158"/>
      <c r="H41" s="192">
        <f>SUM(G42:G45)</f>
        <v>337170.18</v>
      </c>
    </row>
    <row r="42" spans="2:8" ht="17.100000000000001" customHeight="1" x14ac:dyDescent="0.25">
      <c r="B42" s="195" t="s">
        <v>725</v>
      </c>
      <c r="C42" s="196" t="s">
        <v>901</v>
      </c>
      <c r="D42" s="196"/>
      <c r="E42" s="196"/>
      <c r="G42" s="182">
        <f>'6'!K29</f>
        <v>120000</v>
      </c>
      <c r="H42" s="183"/>
    </row>
    <row r="43" spans="2:8" ht="17.100000000000001" customHeight="1" x14ac:dyDescent="0.25">
      <c r="B43" s="195" t="s">
        <v>725</v>
      </c>
      <c r="C43" s="196" t="s">
        <v>916</v>
      </c>
      <c r="D43" s="196"/>
      <c r="E43" s="196"/>
      <c r="G43" s="182">
        <f>'6'!K76</f>
        <v>92676.18</v>
      </c>
      <c r="H43" s="183"/>
    </row>
    <row r="44" spans="2:8" ht="17.100000000000001" customHeight="1" x14ac:dyDescent="0.25">
      <c r="B44" s="195" t="s">
        <v>194</v>
      </c>
      <c r="C44" s="196" t="s">
        <v>48</v>
      </c>
      <c r="D44" s="196"/>
      <c r="E44" s="196"/>
      <c r="G44" s="182">
        <f>'6'!K90</f>
        <v>124494</v>
      </c>
      <c r="H44" s="183"/>
    </row>
    <row r="45" spans="2:8" ht="17.100000000000001" customHeight="1" x14ac:dyDescent="0.25">
      <c r="B45" s="195" t="s">
        <v>692</v>
      </c>
      <c r="C45" s="196" t="s">
        <v>693</v>
      </c>
      <c r="D45" s="196"/>
      <c r="E45" s="196"/>
      <c r="G45" s="182">
        <f>'6'!K98+'6'!K107+'6'!K118+'6'!K127+'6'!K134</f>
        <v>0</v>
      </c>
      <c r="H45" s="183"/>
    </row>
    <row r="46" spans="2:8" ht="5.0999999999999996" customHeight="1" x14ac:dyDescent="0.25">
      <c r="B46" s="185"/>
      <c r="C46" s="186"/>
      <c r="D46" s="186"/>
      <c r="E46" s="186"/>
      <c r="F46" s="187"/>
      <c r="G46" s="188"/>
      <c r="H46" s="189"/>
    </row>
    <row r="47" spans="2:8" ht="18.899999999999999" customHeight="1" x14ac:dyDescent="0.3">
      <c r="B47" s="190" t="s">
        <v>205</v>
      </c>
      <c r="C47" s="191" t="s">
        <v>57</v>
      </c>
      <c r="D47" s="191"/>
      <c r="E47" s="191"/>
      <c r="G47" s="158"/>
      <c r="H47" s="192">
        <f>SUM(G48:G57)</f>
        <v>142026.53999999998</v>
      </c>
    </row>
    <row r="48" spans="2:8" ht="17.100000000000001" customHeight="1" x14ac:dyDescent="0.25">
      <c r="B48" s="195" t="s">
        <v>206</v>
      </c>
      <c r="C48" s="196" t="s">
        <v>207</v>
      </c>
      <c r="D48" s="196"/>
      <c r="E48" s="196"/>
      <c r="G48" s="182">
        <f>'7'!K32</f>
        <v>39041.340000000004</v>
      </c>
      <c r="H48" s="183"/>
    </row>
    <row r="49" spans="2:8" ht="17.100000000000001" customHeight="1" x14ac:dyDescent="0.25">
      <c r="B49" s="195" t="s">
        <v>214</v>
      </c>
      <c r="C49" s="196" t="s">
        <v>215</v>
      </c>
      <c r="D49" s="196"/>
      <c r="E49" s="196"/>
      <c r="G49" s="182">
        <f>'7'!K38</f>
        <v>0</v>
      </c>
      <c r="H49" s="183"/>
    </row>
    <row r="50" spans="2:8" ht="17.100000000000001" customHeight="1" x14ac:dyDescent="0.25">
      <c r="B50" s="195" t="s">
        <v>216</v>
      </c>
      <c r="C50" s="196" t="s">
        <v>217</v>
      </c>
      <c r="D50" s="196"/>
      <c r="E50" s="196"/>
      <c r="G50" s="182">
        <f>'7'!K57</f>
        <v>27863</v>
      </c>
      <c r="H50" s="183"/>
    </row>
    <row r="51" spans="2:8" ht="17.100000000000001" customHeight="1" x14ac:dyDescent="0.25">
      <c r="B51" s="195" t="s">
        <v>218</v>
      </c>
      <c r="C51" s="196" t="s">
        <v>219</v>
      </c>
      <c r="D51" s="196"/>
      <c r="E51" s="196"/>
      <c r="G51" s="182">
        <f>'7'!K63</f>
        <v>0</v>
      </c>
      <c r="H51" s="183"/>
    </row>
    <row r="52" spans="2:8" ht="17.100000000000001" customHeight="1" x14ac:dyDescent="0.25">
      <c r="B52" s="195" t="s">
        <v>220</v>
      </c>
      <c r="C52" s="196" t="s">
        <v>58</v>
      </c>
      <c r="D52" s="196"/>
      <c r="E52" s="196"/>
      <c r="G52" s="182">
        <f>'7'!K83</f>
        <v>70982.2</v>
      </c>
      <c r="H52" s="183"/>
    </row>
    <row r="53" spans="2:8" ht="17.100000000000001" customHeight="1" x14ac:dyDescent="0.25">
      <c r="B53" s="195" t="s">
        <v>694</v>
      </c>
      <c r="C53" s="196" t="s">
        <v>59</v>
      </c>
      <c r="D53" s="196"/>
      <c r="E53" s="196"/>
      <c r="G53" s="182">
        <f>'7'!K89+'7'!K94</f>
        <v>0</v>
      </c>
      <c r="H53" s="183"/>
    </row>
    <row r="54" spans="2:8" ht="17.100000000000001" customHeight="1" x14ac:dyDescent="0.25">
      <c r="B54" s="195" t="s">
        <v>696</v>
      </c>
      <c r="C54" s="196" t="s">
        <v>695</v>
      </c>
      <c r="D54" s="196"/>
      <c r="E54" s="196"/>
      <c r="G54" s="182">
        <f>'7'!K99+'7'!K104+'7'!K110</f>
        <v>0</v>
      </c>
      <c r="H54" s="183"/>
    </row>
    <row r="55" spans="2:8" ht="17.100000000000001" customHeight="1" x14ac:dyDescent="0.25">
      <c r="B55" s="195" t="s">
        <v>231</v>
      </c>
      <c r="C55" s="196" t="s">
        <v>232</v>
      </c>
      <c r="D55" s="196"/>
      <c r="E55" s="196"/>
      <c r="G55" s="182">
        <f>'7'!K116</f>
        <v>4140</v>
      </c>
      <c r="H55" s="183"/>
    </row>
    <row r="56" spans="2:8" ht="17.100000000000001" customHeight="1" x14ac:dyDescent="0.25">
      <c r="B56" s="195" t="s">
        <v>697</v>
      </c>
      <c r="C56" s="196" t="s">
        <v>698</v>
      </c>
      <c r="D56" s="196"/>
      <c r="E56" s="196"/>
      <c r="G56" s="182">
        <f>'7'!K122</f>
        <v>0</v>
      </c>
      <c r="H56" s="183"/>
    </row>
    <row r="57" spans="2:8" ht="17.100000000000001" customHeight="1" x14ac:dyDescent="0.25">
      <c r="B57" s="195" t="s">
        <v>240</v>
      </c>
      <c r="C57" s="196" t="s">
        <v>241</v>
      </c>
      <c r="D57" s="196"/>
      <c r="E57" s="196"/>
      <c r="G57" s="182">
        <f>'7'!K128</f>
        <v>0</v>
      </c>
      <c r="H57" s="183"/>
    </row>
    <row r="58" spans="2:8" ht="5.0999999999999996" customHeight="1" x14ac:dyDescent="0.25">
      <c r="B58" s="185"/>
      <c r="C58" s="186"/>
      <c r="D58" s="186"/>
      <c r="E58" s="186"/>
      <c r="F58" s="187"/>
      <c r="G58" s="188"/>
      <c r="H58" s="189"/>
    </row>
    <row r="59" spans="2:8" ht="18.899999999999999" customHeight="1" x14ac:dyDescent="0.3">
      <c r="B59" s="190" t="s">
        <v>242</v>
      </c>
      <c r="C59" s="191" t="s">
        <v>243</v>
      </c>
      <c r="D59" s="191"/>
      <c r="E59" s="191"/>
      <c r="G59" s="158"/>
      <c r="H59" s="192">
        <f>SUM(G60:G66)</f>
        <v>136167.21</v>
      </c>
    </row>
    <row r="60" spans="2:8" ht="17.100000000000001" customHeight="1" x14ac:dyDescent="0.25">
      <c r="B60" s="195" t="s">
        <v>699</v>
      </c>
      <c r="C60" s="196" t="s">
        <v>700</v>
      </c>
      <c r="D60" s="196"/>
      <c r="E60" s="196"/>
      <c r="G60" s="182">
        <f>'8'!K34+'8'!K40</f>
        <v>109127</v>
      </c>
      <c r="H60" s="183"/>
    </row>
    <row r="61" spans="2:8" ht="17.100000000000001" customHeight="1" x14ac:dyDescent="0.25">
      <c r="B61" s="195" t="s">
        <v>701</v>
      </c>
      <c r="C61" s="196" t="s">
        <v>702</v>
      </c>
      <c r="D61" s="196"/>
      <c r="E61" s="196"/>
      <c r="G61" s="182">
        <f>'8'!K45+'8'!K51+'8'!K57+'8'!K63+'8'!K68</f>
        <v>0</v>
      </c>
      <c r="H61" s="183"/>
    </row>
    <row r="62" spans="2:8" ht="17.100000000000001" customHeight="1" x14ac:dyDescent="0.25">
      <c r="B62" s="195" t="s">
        <v>703</v>
      </c>
      <c r="C62" s="196" t="s">
        <v>704</v>
      </c>
      <c r="D62" s="196"/>
      <c r="E62" s="196"/>
      <c r="G62" s="182">
        <f>'8'!K73+'8'!K78</f>
        <v>0</v>
      </c>
      <c r="H62" s="183"/>
    </row>
    <row r="63" spans="2:8" ht="17.100000000000001" customHeight="1" x14ac:dyDescent="0.25">
      <c r="B63" s="195" t="s">
        <v>262</v>
      </c>
      <c r="C63" s="196" t="s">
        <v>94</v>
      </c>
      <c r="D63" s="196"/>
      <c r="E63" s="196"/>
      <c r="G63" s="182">
        <f>'8'!K88</f>
        <v>21730.21</v>
      </c>
      <c r="H63" s="183"/>
    </row>
    <row r="64" spans="2:8" ht="17.100000000000001" customHeight="1" x14ac:dyDescent="0.25">
      <c r="B64" s="195" t="s">
        <v>268</v>
      </c>
      <c r="C64" s="196" t="s">
        <v>707</v>
      </c>
      <c r="D64" s="196"/>
      <c r="E64" s="196"/>
      <c r="G64" s="182">
        <f>'8'!K94</f>
        <v>0</v>
      </c>
      <c r="H64" s="183"/>
    </row>
    <row r="65" spans="2:8" ht="17.100000000000001" customHeight="1" x14ac:dyDescent="0.25">
      <c r="B65" s="195" t="s">
        <v>705</v>
      </c>
      <c r="C65" s="196" t="s">
        <v>62</v>
      </c>
      <c r="D65" s="196"/>
      <c r="E65" s="196"/>
      <c r="G65" s="182">
        <f>'8'!K101+'8'!K107+'8'!K113</f>
        <v>5310</v>
      </c>
      <c r="H65" s="183"/>
    </row>
    <row r="66" spans="2:8" ht="17.100000000000001" customHeight="1" thickBot="1" x14ac:dyDescent="0.3">
      <c r="B66" s="197" t="s">
        <v>706</v>
      </c>
      <c r="C66" s="198" t="s">
        <v>276</v>
      </c>
      <c r="D66" s="198"/>
      <c r="E66" s="198"/>
      <c r="F66" s="156"/>
      <c r="G66" s="199">
        <f>'8'!K119</f>
        <v>0</v>
      </c>
      <c r="H66" s="200"/>
    </row>
    <row r="67" spans="2:8" ht="5.0999999999999996" customHeight="1" thickBot="1" x14ac:dyDescent="0.3">
      <c r="B67" s="201"/>
      <c r="C67" s="202"/>
      <c r="D67" s="202"/>
      <c r="E67" s="202"/>
      <c r="F67" s="203"/>
      <c r="G67" s="204"/>
      <c r="H67" s="205"/>
    </row>
    <row r="68" spans="2:8" ht="18.899999999999999" customHeight="1" x14ac:dyDescent="0.3">
      <c r="B68" s="176" t="s">
        <v>277</v>
      </c>
      <c r="C68" s="177" t="s">
        <v>8</v>
      </c>
      <c r="D68" s="177"/>
      <c r="E68" s="177"/>
      <c r="F68" s="178"/>
      <c r="G68" s="179"/>
      <c r="H68" s="180">
        <f>SUM(G69:G74)</f>
        <v>187734.63</v>
      </c>
    </row>
    <row r="69" spans="2:8" ht="17.100000000000001" customHeight="1" x14ac:dyDescent="0.25">
      <c r="B69" s="195" t="s">
        <v>278</v>
      </c>
      <c r="C69" s="196" t="s">
        <v>279</v>
      </c>
      <c r="D69" s="196"/>
      <c r="E69" s="196"/>
      <c r="G69" s="182">
        <f>'9'!K20</f>
        <v>106922.63</v>
      </c>
      <c r="H69" s="183"/>
    </row>
    <row r="70" spans="2:8" ht="17.100000000000001" customHeight="1" x14ac:dyDescent="0.25">
      <c r="B70" s="195" t="s">
        <v>280</v>
      </c>
      <c r="C70" s="196" t="s">
        <v>281</v>
      </c>
      <c r="D70" s="196"/>
      <c r="E70" s="196"/>
      <c r="G70" s="182">
        <f>'9'!K28</f>
        <v>0</v>
      </c>
      <c r="H70" s="183"/>
    </row>
    <row r="71" spans="2:8" ht="17.100000000000001" customHeight="1" x14ac:dyDescent="0.25">
      <c r="B71" s="195" t="s">
        <v>282</v>
      </c>
      <c r="C71" s="196" t="s">
        <v>283</v>
      </c>
      <c r="D71" s="196"/>
      <c r="E71" s="196"/>
      <c r="G71" s="182">
        <f>'9'!K39</f>
        <v>0</v>
      </c>
      <c r="H71" s="183"/>
    </row>
    <row r="72" spans="2:8" ht="17.100000000000001" customHeight="1" x14ac:dyDescent="0.25">
      <c r="B72" s="195" t="s">
        <v>284</v>
      </c>
      <c r="C72" s="196" t="s">
        <v>79</v>
      </c>
      <c r="D72" s="196"/>
      <c r="E72" s="196"/>
      <c r="G72" s="182">
        <f>'9'!K59</f>
        <v>59372</v>
      </c>
      <c r="H72" s="183"/>
    </row>
    <row r="73" spans="2:8" ht="17.100000000000001" customHeight="1" x14ac:dyDescent="0.25">
      <c r="B73" s="195" t="s">
        <v>708</v>
      </c>
      <c r="C73" s="196" t="s">
        <v>709</v>
      </c>
      <c r="D73" s="196"/>
      <c r="E73" s="196"/>
      <c r="G73" s="182">
        <f>'9'!K65</f>
        <v>0</v>
      </c>
      <c r="H73" s="183"/>
    </row>
    <row r="74" spans="2:8" ht="17.100000000000001" customHeight="1" x14ac:dyDescent="0.25">
      <c r="B74" s="195" t="s">
        <v>710</v>
      </c>
      <c r="C74" s="196" t="s">
        <v>80</v>
      </c>
      <c r="D74" s="196"/>
      <c r="E74" s="196"/>
      <c r="G74" s="182">
        <f>'9'!K74</f>
        <v>21440</v>
      </c>
      <c r="H74" s="183"/>
    </row>
    <row r="75" spans="2:8" ht="5.0999999999999996" customHeight="1" x14ac:dyDescent="0.25">
      <c r="B75" s="185"/>
      <c r="C75" s="186"/>
      <c r="D75" s="186"/>
      <c r="E75" s="186"/>
      <c r="F75" s="187"/>
      <c r="G75" s="188"/>
      <c r="H75" s="189"/>
    </row>
    <row r="76" spans="2:8" ht="18.899999999999999" customHeight="1" x14ac:dyDescent="0.3">
      <c r="B76" s="190" t="s">
        <v>296</v>
      </c>
      <c r="C76" s="191" t="s">
        <v>9</v>
      </c>
      <c r="D76" s="191"/>
      <c r="E76" s="191"/>
      <c r="G76" s="158"/>
      <c r="H76" s="192">
        <f>SUM(G77:G82)</f>
        <v>10815</v>
      </c>
    </row>
    <row r="77" spans="2:8" ht="17.100000000000001" customHeight="1" x14ac:dyDescent="0.25">
      <c r="B77" s="195" t="s">
        <v>297</v>
      </c>
      <c r="C77" s="196" t="s">
        <v>298</v>
      </c>
      <c r="D77" s="196"/>
      <c r="E77" s="196"/>
      <c r="G77" s="182">
        <f>'10'!K17</f>
        <v>0</v>
      </c>
      <c r="H77" s="183"/>
    </row>
    <row r="78" spans="2:8" ht="17.100000000000001" customHeight="1" x14ac:dyDescent="0.25">
      <c r="B78" s="195" t="s">
        <v>299</v>
      </c>
      <c r="C78" s="196" t="s">
        <v>300</v>
      </c>
      <c r="D78" s="196"/>
      <c r="E78" s="196"/>
      <c r="G78" s="182">
        <f>'10'!K25</f>
        <v>0</v>
      </c>
      <c r="H78" s="183"/>
    </row>
    <row r="79" spans="2:8" ht="17.100000000000001" customHeight="1" x14ac:dyDescent="0.25">
      <c r="B79" s="195" t="s">
        <v>301</v>
      </c>
      <c r="C79" s="196" t="s">
        <v>302</v>
      </c>
      <c r="D79" s="196"/>
      <c r="E79" s="196"/>
      <c r="G79" s="182">
        <f>'10'!K40</f>
        <v>10815</v>
      </c>
      <c r="H79" s="183"/>
    </row>
    <row r="80" spans="2:8" ht="17.100000000000001" customHeight="1" x14ac:dyDescent="0.25">
      <c r="B80" s="195" t="s">
        <v>712</v>
      </c>
      <c r="C80" s="196" t="s">
        <v>711</v>
      </c>
      <c r="D80" s="196"/>
      <c r="E80" s="196"/>
      <c r="G80" s="182">
        <f>'10'!K46</f>
        <v>0</v>
      </c>
      <c r="H80" s="183"/>
    </row>
    <row r="81" spans="2:8" ht="17.100000000000001" customHeight="1" x14ac:dyDescent="0.25">
      <c r="B81" s="195" t="s">
        <v>713</v>
      </c>
      <c r="C81" s="196" t="s">
        <v>714</v>
      </c>
      <c r="D81" s="196"/>
      <c r="E81" s="196"/>
      <c r="G81" s="182">
        <f>'10'!K53</f>
        <v>0</v>
      </c>
      <c r="H81" s="183"/>
    </row>
    <row r="82" spans="2:8" ht="17.100000000000001" customHeight="1" thickBot="1" x14ac:dyDescent="0.3">
      <c r="B82" s="197" t="s">
        <v>322</v>
      </c>
      <c r="C82" s="198" t="s">
        <v>323</v>
      </c>
      <c r="D82" s="198"/>
      <c r="E82" s="198"/>
      <c r="F82" s="156"/>
      <c r="G82" s="199">
        <f>'10'!K65</f>
        <v>0</v>
      </c>
      <c r="H82" s="200"/>
    </row>
    <row r="83" spans="2:8" ht="6.9" customHeight="1" thickBot="1" x14ac:dyDescent="0.3">
      <c r="B83" s="206"/>
      <c r="C83" s="207"/>
      <c r="D83" s="207"/>
      <c r="E83" s="207"/>
      <c r="F83" s="208"/>
      <c r="G83" s="209"/>
      <c r="H83" s="210"/>
    </row>
    <row r="84" spans="2:8" ht="18.899999999999999" customHeight="1" x14ac:dyDescent="0.3">
      <c r="B84" s="176" t="s">
        <v>330</v>
      </c>
      <c r="C84" s="177" t="s">
        <v>70</v>
      </c>
      <c r="D84" s="177"/>
      <c r="E84" s="177"/>
      <c r="F84" s="178"/>
      <c r="G84" s="179"/>
      <c r="H84" s="180">
        <f>SUM(G85:G88)</f>
        <v>0</v>
      </c>
    </row>
    <row r="85" spans="2:8" ht="17.100000000000001" customHeight="1" x14ac:dyDescent="0.25">
      <c r="B85" s="195" t="s">
        <v>716</v>
      </c>
      <c r="C85" s="196" t="s">
        <v>715</v>
      </c>
      <c r="D85" s="196"/>
      <c r="E85" s="196"/>
      <c r="G85" s="182">
        <f>'11'!K24+'11'!K35</f>
        <v>0</v>
      </c>
      <c r="H85" s="183"/>
    </row>
    <row r="86" spans="2:8" ht="17.100000000000001" customHeight="1" x14ac:dyDescent="0.25">
      <c r="B86" s="195" t="s">
        <v>335</v>
      </c>
      <c r="C86" s="196" t="s">
        <v>336</v>
      </c>
      <c r="D86" s="196"/>
      <c r="E86" s="196"/>
      <c r="G86" s="182">
        <f>'11'!K43</f>
        <v>0</v>
      </c>
      <c r="H86" s="183"/>
    </row>
    <row r="87" spans="2:8" ht="17.100000000000001" customHeight="1" x14ac:dyDescent="0.25">
      <c r="B87" s="195" t="s">
        <v>717</v>
      </c>
      <c r="C87" s="196" t="s">
        <v>71</v>
      </c>
      <c r="D87" s="196"/>
      <c r="E87" s="196"/>
      <c r="G87" s="182">
        <f>'11'!K52+'11'!K63</f>
        <v>0</v>
      </c>
      <c r="H87" s="183"/>
    </row>
    <row r="88" spans="2:8" ht="17.100000000000001" customHeight="1" x14ac:dyDescent="0.25">
      <c r="B88" s="195" t="s">
        <v>718</v>
      </c>
      <c r="C88" s="196" t="s">
        <v>719</v>
      </c>
      <c r="D88" s="196"/>
      <c r="E88" s="196"/>
      <c r="G88" s="182">
        <f>'11'!K72+'11'!K79</f>
        <v>0</v>
      </c>
      <c r="H88" s="183"/>
    </row>
    <row r="89" spans="2:8" ht="5.0999999999999996" customHeight="1" x14ac:dyDescent="0.25">
      <c r="B89" s="185"/>
      <c r="C89" s="186"/>
      <c r="D89" s="186"/>
      <c r="E89" s="186"/>
      <c r="F89" s="187"/>
      <c r="G89" s="188"/>
      <c r="H89" s="189"/>
    </row>
    <row r="90" spans="2:8" ht="18.899999999999999" customHeight="1" x14ac:dyDescent="0.3">
      <c r="B90" s="190" t="s">
        <v>351</v>
      </c>
      <c r="C90" s="191" t="s">
        <v>75</v>
      </c>
      <c r="D90" s="191"/>
      <c r="E90" s="191"/>
      <c r="G90" s="158"/>
      <c r="H90" s="192">
        <f>SUM(G91:G92)</f>
        <v>0</v>
      </c>
    </row>
    <row r="91" spans="2:8" ht="17.100000000000001" customHeight="1" x14ac:dyDescent="0.25">
      <c r="B91" s="195" t="s">
        <v>352</v>
      </c>
      <c r="C91" s="196" t="s">
        <v>353</v>
      </c>
      <c r="D91" s="196"/>
      <c r="E91" s="196"/>
      <c r="G91" s="182">
        <f>'12'!K24+'12'!K35</f>
        <v>0</v>
      </c>
      <c r="H91" s="183"/>
    </row>
    <row r="92" spans="2:8" ht="17.100000000000001" customHeight="1" x14ac:dyDescent="0.25">
      <c r="B92" s="195" t="s">
        <v>356</v>
      </c>
      <c r="C92" s="196" t="s">
        <v>357</v>
      </c>
      <c r="D92" s="196"/>
      <c r="E92" s="196"/>
      <c r="G92" s="182">
        <f>'12'!K43+'12'!K52+'12'!K63+'12'!K72</f>
        <v>0</v>
      </c>
      <c r="H92" s="183"/>
    </row>
    <row r="93" spans="2:8" ht="5.0999999999999996" customHeight="1" x14ac:dyDescent="0.25">
      <c r="B93" s="185"/>
      <c r="C93" s="186"/>
      <c r="D93" s="186"/>
      <c r="E93" s="186"/>
      <c r="F93" s="187"/>
      <c r="G93" s="188"/>
      <c r="H93" s="189"/>
    </row>
    <row r="94" spans="2:8" ht="18.899999999999999" customHeight="1" x14ac:dyDescent="0.3">
      <c r="B94" s="190" t="s">
        <v>364</v>
      </c>
      <c r="C94" s="191" t="s">
        <v>76</v>
      </c>
      <c r="D94" s="191"/>
      <c r="E94" s="191"/>
      <c r="G94" s="158"/>
      <c r="H94" s="192">
        <f>'Estimate Summary'!H39</f>
        <v>0</v>
      </c>
    </row>
    <row r="95" spans="2:8" ht="5.0999999999999996" customHeight="1" x14ac:dyDescent="0.25">
      <c r="B95" s="185"/>
      <c r="C95" s="186"/>
      <c r="D95" s="186"/>
      <c r="E95" s="186"/>
      <c r="F95" s="187"/>
      <c r="G95" s="188"/>
      <c r="H95" s="189"/>
    </row>
    <row r="96" spans="2:8" ht="18.899999999999999" customHeight="1" x14ac:dyDescent="0.3">
      <c r="B96" s="190" t="s">
        <v>365</v>
      </c>
      <c r="C96" s="191" t="s">
        <v>366</v>
      </c>
      <c r="D96" s="191"/>
      <c r="E96" s="191"/>
      <c r="G96" s="158"/>
      <c r="H96" s="192">
        <f>SUM(G97:G98)</f>
        <v>0</v>
      </c>
    </row>
    <row r="97" spans="2:8" ht="17.100000000000001" customHeight="1" x14ac:dyDescent="0.25">
      <c r="B97" s="195" t="s">
        <v>367</v>
      </c>
      <c r="C97" s="196" t="s">
        <v>68</v>
      </c>
      <c r="D97" s="196"/>
      <c r="E97" s="196"/>
      <c r="G97" s="182">
        <f>'14'!K24</f>
        <v>0</v>
      </c>
      <c r="H97" s="183"/>
    </row>
    <row r="98" spans="2:8" ht="17.100000000000001" customHeight="1" x14ac:dyDescent="0.25">
      <c r="B98" s="195" t="s">
        <v>368</v>
      </c>
      <c r="C98" s="196" t="s">
        <v>69</v>
      </c>
      <c r="D98" s="196"/>
      <c r="E98" s="196"/>
      <c r="G98" s="182">
        <f>'14'!K35+'14'!K43</f>
        <v>0</v>
      </c>
      <c r="H98" s="183"/>
    </row>
    <row r="99" spans="2:8" ht="5.0999999999999996" customHeight="1" x14ac:dyDescent="0.25">
      <c r="B99" s="185"/>
      <c r="C99" s="186"/>
      <c r="D99" s="186"/>
      <c r="E99" s="186"/>
      <c r="F99" s="187"/>
      <c r="G99" s="188"/>
      <c r="H99" s="189"/>
    </row>
    <row r="100" spans="2:8" ht="18.899999999999999" customHeight="1" x14ac:dyDescent="0.3">
      <c r="B100" s="190" t="s">
        <v>371</v>
      </c>
      <c r="C100" s="191" t="s">
        <v>151</v>
      </c>
      <c r="D100" s="191"/>
      <c r="E100" s="191"/>
      <c r="G100" s="158"/>
      <c r="H100" s="192">
        <f>G101</f>
        <v>0</v>
      </c>
    </row>
    <row r="101" spans="2:8" ht="17.100000000000001" customHeight="1" x14ac:dyDescent="0.25">
      <c r="B101" s="195" t="s">
        <v>372</v>
      </c>
      <c r="C101" s="196" t="s">
        <v>373</v>
      </c>
      <c r="D101" s="196"/>
      <c r="E101" s="196"/>
      <c r="G101" s="182">
        <f>'21'!K24</f>
        <v>0</v>
      </c>
      <c r="H101" s="183"/>
    </row>
    <row r="102" spans="2:8" ht="5.0999999999999996" customHeight="1" x14ac:dyDescent="0.25">
      <c r="B102" s="185"/>
      <c r="C102" s="186"/>
      <c r="D102" s="186"/>
      <c r="E102" s="186"/>
      <c r="F102" s="187"/>
      <c r="G102" s="188"/>
      <c r="H102" s="189"/>
    </row>
    <row r="103" spans="2:8" ht="18.899999999999999" customHeight="1" x14ac:dyDescent="0.3">
      <c r="B103" s="190" t="s">
        <v>374</v>
      </c>
      <c r="C103" s="191" t="s">
        <v>41</v>
      </c>
      <c r="D103" s="191"/>
      <c r="E103" s="191"/>
      <c r="G103" s="158"/>
      <c r="H103" s="192">
        <f>SUM(G104:G106)</f>
        <v>112350</v>
      </c>
    </row>
    <row r="104" spans="2:8" ht="17.100000000000001" customHeight="1" x14ac:dyDescent="0.25">
      <c r="B104" s="195" t="s">
        <v>375</v>
      </c>
      <c r="C104" s="196" t="s">
        <v>376</v>
      </c>
      <c r="D104" s="196"/>
      <c r="E104" s="196"/>
      <c r="G104" s="182">
        <f>'22'!K24</f>
        <v>112350</v>
      </c>
      <c r="H104" s="183"/>
    </row>
    <row r="105" spans="2:8" ht="17.100000000000001" customHeight="1" x14ac:dyDescent="0.25">
      <c r="B105" s="195" t="s">
        <v>377</v>
      </c>
      <c r="C105" s="196" t="s">
        <v>378</v>
      </c>
      <c r="D105" s="196"/>
      <c r="E105" s="196"/>
      <c r="G105" s="182">
        <f>'22'!K35</f>
        <v>0</v>
      </c>
      <c r="H105" s="183"/>
    </row>
    <row r="106" spans="2:8" ht="17.100000000000001" customHeight="1" x14ac:dyDescent="0.25">
      <c r="B106" s="195" t="s">
        <v>383</v>
      </c>
      <c r="C106" s="196" t="s">
        <v>384</v>
      </c>
      <c r="D106" s="196"/>
      <c r="E106" s="196"/>
      <c r="G106" s="182">
        <f>'22'!K46+'22'!K67+'22'!K74</f>
        <v>0</v>
      </c>
      <c r="H106" s="183"/>
    </row>
    <row r="107" spans="2:8" ht="5.0999999999999996" customHeight="1" x14ac:dyDescent="0.25">
      <c r="B107" s="185"/>
      <c r="C107" s="186"/>
      <c r="D107" s="186"/>
      <c r="E107" s="186"/>
      <c r="F107" s="187"/>
      <c r="G107" s="188"/>
      <c r="H107" s="189"/>
    </row>
    <row r="108" spans="2:8" ht="18.899999999999999" customHeight="1" x14ac:dyDescent="0.3">
      <c r="B108" s="190" t="s">
        <v>422</v>
      </c>
      <c r="C108" s="191" t="s">
        <v>42</v>
      </c>
      <c r="D108" s="191"/>
      <c r="E108" s="191"/>
      <c r="G108" s="158"/>
      <c r="H108" s="192">
        <f>SUM(G109:G116)</f>
        <v>132800</v>
      </c>
    </row>
    <row r="109" spans="2:8" ht="17.100000000000001" customHeight="1" x14ac:dyDescent="0.25">
      <c r="B109" s="195" t="s">
        <v>424</v>
      </c>
      <c r="C109" s="196" t="s">
        <v>425</v>
      </c>
      <c r="D109" s="196"/>
      <c r="E109" s="196"/>
      <c r="G109" s="182">
        <f>'23'!K18</f>
        <v>132800</v>
      </c>
      <c r="H109" s="183"/>
    </row>
    <row r="110" spans="2:8" ht="17.100000000000001" customHeight="1" x14ac:dyDescent="0.25">
      <c r="B110" s="195" t="s">
        <v>426</v>
      </c>
      <c r="C110" s="196" t="s">
        <v>427</v>
      </c>
      <c r="D110" s="196"/>
      <c r="E110" s="196"/>
      <c r="G110" s="182">
        <f>'23'!K25</f>
        <v>0</v>
      </c>
      <c r="H110" s="183"/>
    </row>
    <row r="111" spans="2:8" ht="17.100000000000001" customHeight="1" x14ac:dyDescent="0.25">
      <c r="B111" s="195" t="s">
        <v>428</v>
      </c>
      <c r="C111" s="196" t="s">
        <v>429</v>
      </c>
      <c r="D111" s="196"/>
      <c r="E111" s="196"/>
      <c r="G111" s="182">
        <f>'23'!K31</f>
        <v>0</v>
      </c>
      <c r="H111" s="183"/>
    </row>
    <row r="112" spans="2:8" ht="17.100000000000001" customHeight="1" x14ac:dyDescent="0.25">
      <c r="B112" s="195" t="s">
        <v>430</v>
      </c>
      <c r="C112" s="196" t="s">
        <v>431</v>
      </c>
      <c r="D112" s="196"/>
      <c r="E112" s="196"/>
      <c r="G112" s="182">
        <f>'23'!K38+'23'!K46</f>
        <v>0</v>
      </c>
      <c r="H112" s="183"/>
    </row>
    <row r="113" spans="2:8" ht="17.100000000000001" customHeight="1" x14ac:dyDescent="0.25">
      <c r="B113" s="195" t="s">
        <v>436</v>
      </c>
      <c r="C113" s="196" t="s">
        <v>437</v>
      </c>
      <c r="D113" s="196"/>
      <c r="E113" s="196"/>
      <c r="G113" s="182">
        <f>'23'!K53+'23'!K58</f>
        <v>0</v>
      </c>
      <c r="H113" s="183"/>
    </row>
    <row r="114" spans="2:8" ht="17.100000000000001" customHeight="1" x14ac:dyDescent="0.25">
      <c r="B114" s="195" t="s">
        <v>440</v>
      </c>
      <c r="C114" s="196" t="s">
        <v>441</v>
      </c>
      <c r="D114" s="196"/>
      <c r="E114" s="196"/>
      <c r="G114" s="182">
        <f>'23'!K73</f>
        <v>0</v>
      </c>
      <c r="H114" s="183"/>
    </row>
    <row r="115" spans="2:8" ht="17.100000000000001" customHeight="1" x14ac:dyDescent="0.25">
      <c r="B115" s="195" t="s">
        <v>458</v>
      </c>
      <c r="C115" s="196" t="s">
        <v>459</v>
      </c>
      <c r="D115" s="196"/>
      <c r="E115" s="196"/>
      <c r="G115" s="182">
        <f>'23'!K79</f>
        <v>0</v>
      </c>
      <c r="H115" s="183"/>
    </row>
    <row r="116" spans="2:8" ht="17.100000000000001" customHeight="1" x14ac:dyDescent="0.25">
      <c r="B116" s="195" t="s">
        <v>720</v>
      </c>
      <c r="C116" s="196" t="s">
        <v>721</v>
      </c>
      <c r="D116" s="196"/>
      <c r="E116" s="196"/>
      <c r="G116" s="182">
        <f>'23'!K85+'23'!K91</f>
        <v>0</v>
      </c>
      <c r="H116" s="183"/>
    </row>
    <row r="117" spans="2:8" ht="5.0999999999999996" customHeight="1" x14ac:dyDescent="0.25">
      <c r="B117" s="185"/>
      <c r="C117" s="186"/>
      <c r="D117" s="186"/>
      <c r="E117" s="186"/>
      <c r="F117" s="187"/>
      <c r="G117" s="188"/>
      <c r="H117" s="189"/>
    </row>
    <row r="118" spans="2:8" ht="20.100000000000001" customHeight="1" x14ac:dyDescent="0.3">
      <c r="B118" s="190" t="s">
        <v>466</v>
      </c>
      <c r="C118" s="191" t="s">
        <v>467</v>
      </c>
      <c r="D118" s="191"/>
      <c r="E118" s="191"/>
      <c r="G118" s="158"/>
      <c r="H118" s="192">
        <f>'Estimate Summary'!H49</f>
        <v>0</v>
      </c>
    </row>
    <row r="119" spans="2:8" ht="6.9" customHeight="1" x14ac:dyDescent="0.25">
      <c r="B119" s="185"/>
      <c r="C119" s="186"/>
      <c r="D119" s="186"/>
      <c r="E119" s="186"/>
      <c r="F119" s="187"/>
      <c r="G119" s="188"/>
      <c r="H119" s="189"/>
    </row>
    <row r="120" spans="2:8" ht="18.899999999999999" customHeight="1" x14ac:dyDescent="0.3">
      <c r="B120" s="190" t="s">
        <v>468</v>
      </c>
      <c r="C120" s="191" t="s">
        <v>10</v>
      </c>
      <c r="D120" s="191"/>
      <c r="E120" s="191"/>
      <c r="G120" s="158"/>
      <c r="H120" s="192">
        <f>SUM(G121:G123)</f>
        <v>236981.55</v>
      </c>
    </row>
    <row r="121" spans="2:8" ht="17.100000000000001" customHeight="1" x14ac:dyDescent="0.25">
      <c r="B121" s="195" t="s">
        <v>469</v>
      </c>
      <c r="C121" s="196" t="s">
        <v>785</v>
      </c>
      <c r="D121" s="196"/>
      <c r="E121" s="196"/>
      <c r="G121" s="182">
        <f>'26'!K26</f>
        <v>236981.55</v>
      </c>
      <c r="H121" s="183"/>
    </row>
    <row r="122" spans="2:8" ht="17.100000000000001" customHeight="1" x14ac:dyDescent="0.25">
      <c r="B122" s="195" t="s">
        <v>471</v>
      </c>
      <c r="C122" s="196" t="s">
        <v>722</v>
      </c>
      <c r="D122" s="196"/>
      <c r="E122" s="196"/>
      <c r="G122" s="182">
        <f>'26'!K37</f>
        <v>0</v>
      </c>
      <c r="H122" s="183"/>
    </row>
    <row r="123" spans="2:8" ht="17.100000000000001" customHeight="1" x14ac:dyDescent="0.25">
      <c r="B123" s="195" t="s">
        <v>483</v>
      </c>
      <c r="C123" s="196" t="s">
        <v>81</v>
      </c>
      <c r="D123" s="196"/>
      <c r="E123" s="196"/>
      <c r="G123" s="182">
        <f>'26'!K45</f>
        <v>0</v>
      </c>
      <c r="H123" s="183"/>
    </row>
    <row r="124" spans="2:8" ht="5.0999999999999996" customHeight="1" x14ac:dyDescent="0.25">
      <c r="B124" s="185"/>
      <c r="C124" s="186"/>
      <c r="D124" s="186"/>
      <c r="E124" s="186"/>
      <c r="F124" s="187"/>
      <c r="G124" s="188"/>
      <c r="H124" s="189"/>
    </row>
    <row r="125" spans="2:8" ht="18.899999999999999" customHeight="1" x14ac:dyDescent="0.3">
      <c r="B125" s="190" t="s">
        <v>490</v>
      </c>
      <c r="C125" s="191" t="s">
        <v>491</v>
      </c>
      <c r="D125" s="191"/>
      <c r="E125" s="191"/>
      <c r="G125" s="158"/>
      <c r="H125" s="192">
        <f>SUM(G126:G130)</f>
        <v>0</v>
      </c>
    </row>
    <row r="126" spans="2:8" ht="17.100000000000001" customHeight="1" x14ac:dyDescent="0.25">
      <c r="B126" s="195" t="s">
        <v>492</v>
      </c>
      <c r="C126" s="196" t="s">
        <v>493</v>
      </c>
      <c r="D126" s="196"/>
      <c r="E126" s="196"/>
      <c r="G126" s="182">
        <f>'27'!K24</f>
        <v>0</v>
      </c>
      <c r="H126" s="183"/>
    </row>
    <row r="127" spans="2:8" ht="17.100000000000001" customHeight="1" x14ac:dyDescent="0.25">
      <c r="B127" s="195" t="s">
        <v>494</v>
      </c>
      <c r="C127" s="196" t="s">
        <v>495</v>
      </c>
      <c r="D127" s="196"/>
      <c r="E127" s="196"/>
      <c r="G127" s="182">
        <f>'27'!K35</f>
        <v>0</v>
      </c>
      <c r="H127" s="183"/>
    </row>
    <row r="128" spans="2:8" ht="17.100000000000001" customHeight="1" x14ac:dyDescent="0.25">
      <c r="B128" s="195" t="s">
        <v>500</v>
      </c>
      <c r="C128" s="196" t="s">
        <v>501</v>
      </c>
      <c r="D128" s="196"/>
      <c r="E128" s="196"/>
      <c r="G128" s="182">
        <f>'27'!K43</f>
        <v>0</v>
      </c>
      <c r="H128" s="183"/>
    </row>
    <row r="129" spans="2:8" ht="17.100000000000001" customHeight="1" x14ac:dyDescent="0.25">
      <c r="B129" s="195" t="s">
        <v>502</v>
      </c>
      <c r="C129" s="196" t="s">
        <v>503</v>
      </c>
      <c r="D129" s="196"/>
      <c r="E129" s="196"/>
      <c r="G129" s="182">
        <f>'27'!K52</f>
        <v>0</v>
      </c>
      <c r="H129" s="183"/>
    </row>
    <row r="130" spans="2:8" ht="17.100000000000001" customHeight="1" x14ac:dyDescent="0.25">
      <c r="B130" s="195" t="s">
        <v>504</v>
      </c>
      <c r="C130" s="196" t="s">
        <v>505</v>
      </c>
      <c r="D130" s="196"/>
      <c r="E130" s="196"/>
      <c r="G130" s="182">
        <f>'27'!K63</f>
        <v>0</v>
      </c>
      <c r="H130" s="183"/>
    </row>
    <row r="131" spans="2:8" ht="5.0999999999999996" customHeight="1" x14ac:dyDescent="0.25">
      <c r="B131" s="185"/>
      <c r="C131" s="186"/>
      <c r="D131" s="186"/>
      <c r="E131" s="186"/>
      <c r="F131" s="187"/>
      <c r="G131" s="188"/>
      <c r="H131" s="189"/>
    </row>
    <row r="132" spans="2:8" ht="18.899999999999999" customHeight="1" x14ac:dyDescent="0.3">
      <c r="B132" s="190" t="s">
        <v>506</v>
      </c>
      <c r="C132" s="191" t="s">
        <v>507</v>
      </c>
      <c r="D132" s="191"/>
      <c r="E132" s="191"/>
      <c r="G132" s="158"/>
      <c r="H132" s="192">
        <f>SUM(G133:G136)</f>
        <v>0</v>
      </c>
    </row>
    <row r="133" spans="2:8" ht="17.100000000000001" customHeight="1" x14ac:dyDescent="0.25">
      <c r="B133" s="195" t="s">
        <v>508</v>
      </c>
      <c r="C133" s="196" t="s">
        <v>509</v>
      </c>
      <c r="D133" s="196"/>
      <c r="E133" s="196"/>
      <c r="G133" s="182">
        <f>'28'!K24</f>
        <v>0</v>
      </c>
      <c r="H133" s="183"/>
    </row>
    <row r="134" spans="2:8" ht="17.100000000000001" customHeight="1" x14ac:dyDescent="0.25">
      <c r="B134" s="195" t="s">
        <v>512</v>
      </c>
      <c r="C134" s="196" t="s">
        <v>513</v>
      </c>
      <c r="D134" s="196"/>
      <c r="E134" s="196"/>
      <c r="G134" s="182">
        <f>'28'!K35</f>
        <v>0</v>
      </c>
      <c r="H134" s="183"/>
    </row>
    <row r="135" spans="2:8" ht="17.100000000000001" customHeight="1" x14ac:dyDescent="0.25">
      <c r="B135" s="195" t="s">
        <v>514</v>
      </c>
      <c r="C135" s="196" t="s">
        <v>515</v>
      </c>
      <c r="D135" s="196"/>
      <c r="E135" s="196"/>
      <c r="G135" s="182">
        <f>'28'!K43</f>
        <v>0</v>
      </c>
      <c r="H135" s="183"/>
    </row>
    <row r="136" spans="2:8" ht="17.100000000000001" customHeight="1" x14ac:dyDescent="0.25">
      <c r="B136" s="195" t="s">
        <v>516</v>
      </c>
      <c r="C136" s="196" t="s">
        <v>518</v>
      </c>
      <c r="D136" s="196"/>
      <c r="E136" s="196"/>
      <c r="G136" s="182">
        <f>'28'!K52</f>
        <v>0</v>
      </c>
      <c r="H136" s="183"/>
    </row>
    <row r="137" spans="2:8" ht="5.0999999999999996" customHeight="1" x14ac:dyDescent="0.25">
      <c r="B137" s="185"/>
      <c r="C137" s="186"/>
      <c r="D137" s="186"/>
      <c r="E137" s="186"/>
      <c r="F137" s="187"/>
      <c r="G137" s="188"/>
      <c r="H137" s="189"/>
    </row>
    <row r="138" spans="2:8" ht="17.100000000000001" customHeight="1" x14ac:dyDescent="0.3">
      <c r="B138" s="190" t="s">
        <v>520</v>
      </c>
      <c r="C138" s="191" t="s">
        <v>521</v>
      </c>
      <c r="D138" s="191"/>
      <c r="E138" s="191"/>
      <c r="G138" s="158"/>
      <c r="H138" s="192">
        <f>SUM(G139:G142)</f>
        <v>279224.83</v>
      </c>
    </row>
    <row r="139" spans="2:8" ht="17.100000000000001" customHeight="1" x14ac:dyDescent="0.25">
      <c r="B139" s="195" t="s">
        <v>522</v>
      </c>
      <c r="C139" s="196" t="s">
        <v>523</v>
      </c>
      <c r="D139" s="196"/>
      <c r="E139" s="196"/>
      <c r="G139" s="182">
        <f>'31'!K26</f>
        <v>0</v>
      </c>
      <c r="H139" s="183"/>
    </row>
    <row r="140" spans="2:8" ht="17.100000000000001" customHeight="1" x14ac:dyDescent="0.25">
      <c r="B140" s="195" t="s">
        <v>526</v>
      </c>
      <c r="C140" s="196" t="s">
        <v>527</v>
      </c>
      <c r="D140" s="196"/>
      <c r="E140" s="196"/>
      <c r="G140" s="182">
        <f>'31'!K69</f>
        <v>279224.83</v>
      </c>
      <c r="H140" s="183"/>
    </row>
    <row r="141" spans="2:8" ht="17.100000000000001" customHeight="1" x14ac:dyDescent="0.25">
      <c r="B141" s="195" t="s">
        <v>723</v>
      </c>
      <c r="C141" s="196" t="s">
        <v>724</v>
      </c>
      <c r="D141" s="196"/>
      <c r="E141" s="196"/>
      <c r="G141" s="182">
        <f>'31'!K77</f>
        <v>0</v>
      </c>
      <c r="H141" s="183"/>
    </row>
    <row r="142" spans="2:8" ht="17.100000000000001" customHeight="1" x14ac:dyDescent="0.25">
      <c r="B142" s="195" t="s">
        <v>562</v>
      </c>
      <c r="C142" s="196" t="s">
        <v>563</v>
      </c>
      <c r="D142" s="196"/>
      <c r="E142" s="196"/>
      <c r="G142" s="182">
        <f>'31'!K86</f>
        <v>0</v>
      </c>
      <c r="H142" s="183"/>
    </row>
    <row r="143" spans="2:8" ht="5.0999999999999996" customHeight="1" x14ac:dyDescent="0.25">
      <c r="B143" s="185"/>
      <c r="C143" s="186"/>
      <c r="D143" s="186"/>
      <c r="E143" s="186"/>
      <c r="F143" s="187"/>
      <c r="G143" s="188"/>
      <c r="H143" s="189"/>
    </row>
    <row r="144" spans="2:8" ht="18.899999999999999" customHeight="1" x14ac:dyDescent="0.3">
      <c r="B144" s="190" t="s">
        <v>564</v>
      </c>
      <c r="C144" s="191" t="s">
        <v>565</v>
      </c>
      <c r="D144" s="191"/>
      <c r="E144" s="191"/>
      <c r="G144" s="158"/>
      <c r="H144" s="192">
        <f>SUM(G145:G147)</f>
        <v>197504</v>
      </c>
    </row>
    <row r="145" spans="2:8" ht="17.100000000000001" customHeight="1" x14ac:dyDescent="0.25">
      <c r="B145" s="195" t="s">
        <v>566</v>
      </c>
      <c r="C145" s="196" t="s">
        <v>567</v>
      </c>
      <c r="D145" s="196"/>
      <c r="E145" s="196"/>
      <c r="G145" s="182">
        <f>'32'!K22+'32'!K37+'32'!K48</f>
        <v>129250</v>
      </c>
      <c r="H145" s="183"/>
    </row>
    <row r="146" spans="2:8" ht="17.100000000000001" customHeight="1" x14ac:dyDescent="0.25">
      <c r="B146" s="195" t="s">
        <v>596</v>
      </c>
      <c r="C146" s="196" t="s">
        <v>597</v>
      </c>
      <c r="D146" s="196"/>
      <c r="E146" s="196"/>
      <c r="G146" s="182">
        <f>'32'!K58</f>
        <v>41666</v>
      </c>
      <c r="H146" s="183"/>
    </row>
    <row r="147" spans="2:8" ht="17.100000000000001" customHeight="1" x14ac:dyDescent="0.25">
      <c r="B147" s="195" t="s">
        <v>605</v>
      </c>
      <c r="C147" s="196" t="s">
        <v>606</v>
      </c>
      <c r="D147" s="196"/>
      <c r="E147" s="196"/>
      <c r="G147" s="182">
        <f>'32'!K69</f>
        <v>26588</v>
      </c>
      <c r="H147" s="183"/>
    </row>
    <row r="148" spans="2:8" ht="5.0999999999999996" customHeight="1" x14ac:dyDescent="0.25">
      <c r="B148" s="185"/>
      <c r="C148" s="186"/>
      <c r="D148" s="186"/>
      <c r="E148" s="186"/>
      <c r="F148" s="187"/>
      <c r="G148" s="188"/>
      <c r="H148" s="189"/>
    </row>
    <row r="149" spans="2:8" ht="18.899999999999999" customHeight="1" x14ac:dyDescent="0.3">
      <c r="B149" s="190" t="s">
        <v>612</v>
      </c>
      <c r="C149" s="191" t="s">
        <v>613</v>
      </c>
      <c r="D149" s="191"/>
      <c r="E149" s="191"/>
      <c r="G149" s="158"/>
      <c r="H149" s="192">
        <f>SUM(G150:G153)</f>
        <v>0</v>
      </c>
    </row>
    <row r="150" spans="2:8" ht="17.100000000000001" customHeight="1" x14ac:dyDescent="0.25">
      <c r="B150" s="195" t="s">
        <v>614</v>
      </c>
      <c r="C150" s="196" t="s">
        <v>615</v>
      </c>
      <c r="D150" s="196"/>
      <c r="E150" s="196"/>
      <c r="G150" s="182">
        <f>'33'!K26</f>
        <v>0</v>
      </c>
      <c r="H150" s="183"/>
    </row>
    <row r="151" spans="2:8" ht="17.100000000000001" customHeight="1" x14ac:dyDescent="0.25">
      <c r="B151" s="195" t="s">
        <v>620</v>
      </c>
      <c r="C151" s="196" t="s">
        <v>621</v>
      </c>
      <c r="D151" s="196"/>
      <c r="E151" s="196"/>
      <c r="G151" s="182">
        <f>'33'!K37</f>
        <v>0</v>
      </c>
      <c r="H151" s="183"/>
    </row>
    <row r="152" spans="2:8" ht="17.100000000000001" customHeight="1" x14ac:dyDescent="0.25">
      <c r="B152" s="195" t="s">
        <v>626</v>
      </c>
      <c r="C152" s="196" t="s">
        <v>627</v>
      </c>
      <c r="D152" s="196"/>
      <c r="E152" s="196"/>
      <c r="G152" s="182">
        <f>'33'!K45</f>
        <v>0</v>
      </c>
      <c r="H152" s="183"/>
    </row>
    <row r="153" spans="2:8" ht="17.100000000000001" customHeight="1" x14ac:dyDescent="0.25">
      <c r="B153" s="195" t="s">
        <v>636</v>
      </c>
      <c r="C153" s="196" t="s">
        <v>637</v>
      </c>
      <c r="D153" s="196"/>
      <c r="E153" s="196"/>
      <c r="G153" s="182">
        <f>'33'!K54</f>
        <v>0</v>
      </c>
      <c r="H153" s="183"/>
    </row>
    <row r="154" spans="2:8" ht="5.0999999999999996" customHeight="1" x14ac:dyDescent="0.25">
      <c r="B154" s="185"/>
      <c r="C154" s="186"/>
      <c r="D154" s="186"/>
      <c r="E154" s="186"/>
      <c r="F154" s="187"/>
      <c r="G154" s="187"/>
      <c r="H154" s="211"/>
    </row>
    <row r="155" spans="2:8" ht="12.9" customHeight="1" x14ac:dyDescent="0.25">
      <c r="B155" s="212"/>
      <c r="C155" s="1002" t="s">
        <v>687</v>
      </c>
      <c r="D155" s="1002"/>
      <c r="E155" s="1002"/>
      <c r="F155" s="1002"/>
      <c r="G155" s="1016">
        <f>'Estimate Summary'!D68</f>
        <v>90911.588529745</v>
      </c>
      <c r="H155" s="1017"/>
    </row>
    <row r="156" spans="2:8" ht="11.1" customHeight="1" thickBot="1" x14ac:dyDescent="0.3">
      <c r="B156" s="212"/>
      <c r="C156" s="1002"/>
      <c r="D156" s="1002"/>
      <c r="E156" s="1002"/>
      <c r="F156" s="1002"/>
      <c r="G156" s="1016"/>
      <c r="H156" s="1017"/>
    </row>
    <row r="157" spans="2:8" ht="12.9" customHeight="1" thickTop="1" x14ac:dyDescent="0.25">
      <c r="B157" s="212"/>
      <c r="C157" s="1003" t="s">
        <v>92</v>
      </c>
      <c r="D157" s="1003"/>
      <c r="E157" s="1003"/>
      <c r="F157" s="1003"/>
      <c r="G157" s="1012">
        <f>SUM(H7:H153)+G155</f>
        <v>2360101.3017733702</v>
      </c>
      <c r="H157" s="1013"/>
    </row>
    <row r="158" spans="2:8" ht="9.9" customHeight="1" x14ac:dyDescent="0.25">
      <c r="B158" s="212"/>
      <c r="C158" s="1003"/>
      <c r="D158" s="1003"/>
      <c r="E158" s="1003"/>
      <c r="F158" s="1003"/>
      <c r="G158" s="1014"/>
      <c r="H158" s="1015"/>
    </row>
    <row r="159" spans="2:8" ht="12.9" customHeight="1" thickBot="1" x14ac:dyDescent="0.3">
      <c r="B159" s="213"/>
      <c r="C159" s="214"/>
      <c r="D159" s="214"/>
      <c r="E159" s="214"/>
      <c r="F159" s="215"/>
      <c r="G159" s="215"/>
      <c r="H159" s="216"/>
    </row>
  </sheetData>
  <mergeCells count="7">
    <mergeCell ref="C155:F156"/>
    <mergeCell ref="C157:F158"/>
    <mergeCell ref="B4:C4"/>
    <mergeCell ref="F3:H5"/>
    <mergeCell ref="B3:C3"/>
    <mergeCell ref="G157:H158"/>
    <mergeCell ref="G155:H156"/>
  </mergeCells>
  <printOptions horizontalCentered="1"/>
  <pageMargins left="0.75" right="1.5605555555555555" top="0.75" bottom="0.75" header="0.05" footer="0.3"/>
  <pageSetup scale="53" orientation="portrait" r:id="rId1"/>
  <headerFooter differentFirst="1">
    <oddFooter xml:space="preserve">&amp;L&amp;D&amp;C&amp;G&amp;R&amp;"Arial,Regular"&amp;12&amp;K000000&amp;P/&amp;N
</oddFooter>
    <firstHeader>&amp;L&amp;"Times,Regular"&amp;K000000&amp;G</firstHeader>
    <firstFooter xml:space="preserve">&amp;L&amp;D&amp;C&amp;"Times,Regular"&amp;K000000&amp;G&amp;R&amp;P/&amp;N
</first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M111"/>
  <sheetViews>
    <sheetView tabSelected="1" topLeftCell="A58" zoomScale="88" zoomScaleNormal="90" zoomScaleSheetLayoutView="90" zoomScalePageLayoutView="90" workbookViewId="0">
      <selection activeCell="F101" sqref="F101"/>
    </sheetView>
  </sheetViews>
  <sheetFormatPr defaultColWidth="9.109375" defaultRowHeight="13.2" x14ac:dyDescent="0.25"/>
  <cols>
    <col min="1" max="1" width="24.109375" style="157" customWidth="1"/>
    <col min="2" max="2" width="39.109375" style="157" customWidth="1"/>
    <col min="3" max="3" width="22.88671875" style="280" customWidth="1"/>
    <col min="4" max="4" width="18.5546875" style="320" customWidth="1"/>
    <col min="5" max="5" width="26.88671875" style="226" customWidth="1"/>
    <col min="6" max="6" width="26.5546875" style="320" customWidth="1"/>
    <col min="7" max="7" width="22.5546875" style="320" customWidth="1"/>
    <col min="8" max="8" width="23" style="157" customWidth="1"/>
    <col min="9" max="9" width="8.88671875" style="157" customWidth="1"/>
    <col min="10" max="10" width="1.5546875" style="157" customWidth="1"/>
    <col min="11" max="11" width="20.44140625" style="157" bestFit="1" customWidth="1"/>
    <col min="12" max="12" width="26.88671875" style="157" customWidth="1"/>
    <col min="13" max="13" width="20.33203125" style="157" customWidth="1"/>
    <col min="14" max="16384" width="9.109375" style="157"/>
  </cols>
  <sheetData>
    <row r="1" spans="1:13" ht="18.600000000000001" thickTop="1" thickBot="1" x14ac:dyDescent="0.35">
      <c r="A1" s="217"/>
      <c r="B1" s="218"/>
      <c r="C1" s="219"/>
      <c r="D1" s="220"/>
      <c r="E1" s="220"/>
      <c r="F1" s="220"/>
      <c r="G1" s="220"/>
      <c r="H1" s="220"/>
      <c r="I1" s="220"/>
      <c r="J1" s="292"/>
    </row>
    <row r="2" spans="1:13" ht="18" customHeight="1" thickBot="1" x14ac:dyDescent="0.35">
      <c r="A2" s="967" t="s">
        <v>745</v>
      </c>
      <c r="B2" s="968"/>
      <c r="C2" s="968"/>
      <c r="D2" s="968"/>
      <c r="E2" s="969"/>
      <c r="F2" s="969"/>
      <c r="G2" s="968"/>
      <c r="H2" s="970"/>
      <c r="I2" s="221"/>
      <c r="J2" s="293"/>
    </row>
    <row r="3" spans="1:13" ht="16.2" thickBot="1" x14ac:dyDescent="0.35">
      <c r="A3" s="222" t="s">
        <v>952</v>
      </c>
      <c r="B3" s="223" t="s">
        <v>982</v>
      </c>
      <c r="C3" s="224"/>
      <c r="D3" s="225"/>
      <c r="F3" s="294"/>
      <c r="G3" s="228"/>
      <c r="H3" s="229"/>
      <c r="I3" s="230"/>
      <c r="J3" s="293"/>
    </row>
    <row r="4" spans="1:13" ht="16.2" thickBot="1" x14ac:dyDescent="0.35">
      <c r="A4" s="222" t="s">
        <v>950</v>
      </c>
      <c r="B4" s="231">
        <v>3091</v>
      </c>
      <c r="C4" s="232" t="s">
        <v>643</v>
      </c>
      <c r="D4" s="233">
        <v>6190</v>
      </c>
      <c r="F4" s="294"/>
      <c r="G4" s="228"/>
      <c r="H4" s="229"/>
      <c r="I4" s="230"/>
      <c r="J4" s="293"/>
    </row>
    <row r="5" spans="1:13" ht="16.2" thickBot="1" x14ac:dyDescent="0.35">
      <c r="A5" s="222" t="s">
        <v>898</v>
      </c>
      <c r="B5" s="231" t="s">
        <v>928</v>
      </c>
      <c r="C5" s="232" t="s">
        <v>894</v>
      </c>
      <c r="D5" s="231" t="s">
        <v>984</v>
      </c>
      <c r="E5" s="234" t="s">
        <v>893</v>
      </c>
      <c r="F5" s="235"/>
      <c r="G5" s="232"/>
      <c r="H5" s="229"/>
      <c r="I5" s="230"/>
      <c r="J5" s="293"/>
    </row>
    <row r="6" spans="1:13" ht="16.2" thickBot="1" x14ac:dyDescent="0.35">
      <c r="A6" s="222" t="s">
        <v>899</v>
      </c>
      <c r="B6" s="231" t="s">
        <v>983</v>
      </c>
      <c r="C6" s="232" t="s">
        <v>895</v>
      </c>
      <c r="D6" s="231" t="s">
        <v>985</v>
      </c>
      <c r="E6" s="232" t="s">
        <v>892</v>
      </c>
      <c r="F6" s="231"/>
      <c r="G6" s="157"/>
      <c r="I6" s="236"/>
      <c r="J6" s="293"/>
      <c r="K6" s="157">
        <f>52-4</f>
        <v>48</v>
      </c>
    </row>
    <row r="7" spans="1:13" ht="16.2" thickBot="1" x14ac:dyDescent="0.35">
      <c r="A7" s="222" t="s">
        <v>891</v>
      </c>
      <c r="B7" s="231">
        <v>2026</v>
      </c>
      <c r="C7" s="237" t="s">
        <v>896</v>
      </c>
      <c r="D7" s="238" t="s">
        <v>929</v>
      </c>
      <c r="E7" s="232" t="s">
        <v>951</v>
      </c>
      <c r="F7" s="231"/>
      <c r="G7" s="237"/>
      <c r="H7" s="239"/>
      <c r="I7" s="240"/>
      <c r="J7" s="293"/>
    </row>
    <row r="8" spans="1:13" ht="16.2" thickBot="1" x14ac:dyDescent="0.35">
      <c r="A8" s="222" t="s">
        <v>949</v>
      </c>
      <c r="B8" s="231" t="s">
        <v>927</v>
      </c>
      <c r="C8" s="237" t="s">
        <v>897</v>
      </c>
      <c r="D8" s="238"/>
      <c r="E8" s="232"/>
      <c r="F8" s="231"/>
      <c r="G8" s="224"/>
      <c r="H8" s="241"/>
      <c r="I8" s="230"/>
      <c r="J8" s="293"/>
    </row>
    <row r="9" spans="1:13" ht="12.9" customHeight="1" thickBot="1" x14ac:dyDescent="0.3">
      <c r="A9" s="974"/>
      <c r="B9" s="975"/>
      <c r="C9" s="242"/>
      <c r="D9" s="243"/>
      <c r="E9" s="242"/>
      <c r="F9" s="973"/>
      <c r="G9" s="973"/>
      <c r="H9" s="295"/>
      <c r="I9" s="296"/>
      <c r="J9" s="293"/>
    </row>
    <row r="10" spans="1:13" ht="11.1" customHeight="1" thickBot="1" x14ac:dyDescent="0.3">
      <c r="A10" s="297"/>
      <c r="B10" s="242"/>
      <c r="C10" s="244"/>
      <c r="D10" s="242"/>
      <c r="E10" s="245"/>
      <c r="F10" s="973"/>
      <c r="G10" s="973"/>
      <c r="H10" s="295"/>
      <c r="I10" s="296"/>
      <c r="J10" s="293"/>
    </row>
    <row r="11" spans="1:13" ht="18" customHeight="1" thickBot="1" x14ac:dyDescent="0.3">
      <c r="A11" s="298"/>
      <c r="B11" s="299"/>
      <c r="C11" s="246" t="s">
        <v>643</v>
      </c>
      <c r="D11" s="247">
        <f>D4</f>
        <v>6190</v>
      </c>
      <c r="E11" s="248" t="s">
        <v>642</v>
      </c>
      <c r="F11" s="299"/>
      <c r="G11" s="249"/>
      <c r="H11" s="300"/>
      <c r="I11" s="301"/>
      <c r="J11" s="293"/>
      <c r="K11" s="157" t="s">
        <v>1252</v>
      </c>
      <c r="L11" s="157" t="s">
        <v>1255</v>
      </c>
      <c r="M11" s="157" t="s">
        <v>1270</v>
      </c>
    </row>
    <row r="12" spans="1:13" ht="9" customHeight="1" x14ac:dyDescent="0.25">
      <c r="A12" s="250"/>
      <c r="B12" s="251"/>
      <c r="C12" s="252"/>
      <c r="D12" s="253"/>
      <c r="E12" s="254"/>
      <c r="F12" s="302"/>
      <c r="G12" s="302"/>
      <c r="H12" s="303"/>
      <c r="I12" s="303"/>
      <c r="J12" s="304"/>
    </row>
    <row r="13" spans="1:13" ht="9.9" customHeight="1" x14ac:dyDescent="0.25">
      <c r="A13" s="972" t="s">
        <v>0</v>
      </c>
      <c r="B13" s="971" t="s">
        <v>1</v>
      </c>
      <c r="C13" s="255"/>
      <c r="D13" s="976" t="s">
        <v>13</v>
      </c>
      <c r="E13" s="977" t="s">
        <v>2</v>
      </c>
      <c r="F13" s="976" t="s">
        <v>12</v>
      </c>
      <c r="G13" s="976" t="s">
        <v>37</v>
      </c>
      <c r="H13" s="971" t="s">
        <v>38</v>
      </c>
      <c r="I13" s="305"/>
      <c r="J13" s="304"/>
      <c r="K13" s="979" t="s">
        <v>1251</v>
      </c>
      <c r="L13" s="980" t="s">
        <v>1253</v>
      </c>
      <c r="M13" s="980" t="s">
        <v>1269</v>
      </c>
    </row>
    <row r="14" spans="1:13" ht="8.1" customHeight="1" x14ac:dyDescent="0.25">
      <c r="A14" s="972"/>
      <c r="B14" s="971"/>
      <c r="C14" s="256" t="s">
        <v>683</v>
      </c>
      <c r="D14" s="976"/>
      <c r="E14" s="977"/>
      <c r="F14" s="976"/>
      <c r="G14" s="976"/>
      <c r="H14" s="971"/>
      <c r="I14" s="305" t="s">
        <v>955</v>
      </c>
      <c r="J14" s="304"/>
      <c r="K14" s="979"/>
      <c r="L14" s="980"/>
      <c r="M14" s="980"/>
    </row>
    <row r="15" spans="1:13" ht="15.6" x14ac:dyDescent="0.3">
      <c r="A15" s="306" t="s">
        <v>686</v>
      </c>
      <c r="B15" s="257" t="s">
        <v>3</v>
      </c>
      <c r="C15" s="258">
        <f>H15/D$66</f>
        <v>0.1557073900992664</v>
      </c>
      <c r="D15" s="259">
        <f>SUM('1'!F139:F140)</f>
        <v>114680.95449362499</v>
      </c>
      <c r="E15" s="260">
        <f>SUM('1'!G139:G140)</f>
        <v>205</v>
      </c>
      <c r="F15" s="307">
        <f>SUM('1'!I139:I140)</f>
        <v>193100</v>
      </c>
      <c r="G15" s="307">
        <f>SUM('1'!J139:J140)</f>
        <v>46109.2</v>
      </c>
      <c r="H15" s="308">
        <f>D15+F15+G15</f>
        <v>353890.15449362498</v>
      </c>
      <c r="I15" s="308" t="str">
        <f>ROUNDUP(H15/D$11,1)&amp;"$/SF"</f>
        <v>57.2$/SF</v>
      </c>
      <c r="J15" s="304"/>
      <c r="K15" s="157" t="s">
        <v>1235</v>
      </c>
      <c r="L15" s="157" t="s">
        <v>1256</v>
      </c>
      <c r="M15" s="910" t="s">
        <v>1271</v>
      </c>
    </row>
    <row r="16" spans="1:13" x14ac:dyDescent="0.25">
      <c r="A16" s="309"/>
      <c r="B16" s="262"/>
      <c r="C16" s="258"/>
      <c r="D16" s="259"/>
      <c r="E16" s="260"/>
      <c r="F16" s="307"/>
      <c r="G16" s="307"/>
      <c r="H16" s="308"/>
      <c r="I16" s="308"/>
      <c r="J16" s="304"/>
      <c r="M16" s="910"/>
    </row>
    <row r="17" spans="1:13" ht="15.6" x14ac:dyDescent="0.3">
      <c r="A17" s="306" t="s">
        <v>153</v>
      </c>
      <c r="B17" s="257" t="s">
        <v>155</v>
      </c>
      <c r="C17" s="258">
        <f>H17/D$66</f>
        <v>1.5839564826533111E-3</v>
      </c>
      <c r="D17" s="259">
        <f>SUM('2'!F51:F52)</f>
        <v>0</v>
      </c>
      <c r="E17" s="260">
        <f>SUM('2'!G51:G52)</f>
        <v>0</v>
      </c>
      <c r="F17" s="307">
        <f>SUM('2'!I51:I52)</f>
        <v>0</v>
      </c>
      <c r="G17" s="307">
        <f>SUM('2'!J51:J52)</f>
        <v>3600</v>
      </c>
      <c r="H17" s="308">
        <f>D17+F17+G17</f>
        <v>3600</v>
      </c>
      <c r="I17" s="308" t="str">
        <f>ROUNDUP(H17/D$11,1)&amp;"$/SF"</f>
        <v>0.6$/SF</v>
      </c>
      <c r="J17" s="304"/>
      <c r="K17" s="157" t="s">
        <v>1236</v>
      </c>
      <c r="L17" s="157" t="s">
        <v>1257</v>
      </c>
      <c r="M17" s="910" t="s">
        <v>1272</v>
      </c>
    </row>
    <row r="18" spans="1:13" x14ac:dyDescent="0.25">
      <c r="A18" s="309"/>
      <c r="B18" s="262"/>
      <c r="C18" s="258"/>
      <c r="D18" s="259"/>
      <c r="E18" s="260"/>
      <c r="F18" s="307"/>
      <c r="G18" s="307"/>
      <c r="H18" s="308"/>
      <c r="I18" s="308"/>
      <c r="J18" s="304"/>
      <c r="M18" s="910"/>
    </row>
    <row r="19" spans="1:13" ht="15.6" x14ac:dyDescent="0.3">
      <c r="A19" s="306" t="s">
        <v>159</v>
      </c>
      <c r="B19" s="257" t="s">
        <v>4</v>
      </c>
      <c r="C19" s="258">
        <f>H19/D$66</f>
        <v>6.2709549378676885E-2</v>
      </c>
      <c r="D19" s="259">
        <f>SUM('3'!F88:F89)</f>
        <v>48158.418749999997</v>
      </c>
      <c r="E19" s="260">
        <f>SUM('3'!G88:G89)</f>
        <v>28</v>
      </c>
      <c r="F19" s="307">
        <f>SUM('3'!I88:I89)</f>
        <v>1820</v>
      </c>
      <c r="G19" s="307">
        <f>SUM('3'!J88:J89)</f>
        <v>92547.199999999997</v>
      </c>
      <c r="H19" s="308">
        <f>D19+F19+G19</f>
        <v>142525.61874999999</v>
      </c>
      <c r="I19" s="308" t="str">
        <f>ROUNDUP(H19/D$11,1)&amp;"$/SF"</f>
        <v>23.1$/SF</v>
      </c>
      <c r="J19" s="304"/>
      <c r="K19" s="157" t="s">
        <v>1237</v>
      </c>
      <c r="L19" s="157" t="s">
        <v>1236</v>
      </c>
      <c r="M19" s="910" t="s">
        <v>1273</v>
      </c>
    </row>
    <row r="20" spans="1:13" x14ac:dyDescent="0.25">
      <c r="A20" s="309"/>
      <c r="B20" s="262"/>
      <c r="C20" s="258"/>
      <c r="D20" s="259"/>
      <c r="E20" s="260"/>
      <c r="F20" s="307"/>
      <c r="G20" s="307"/>
      <c r="H20" s="308"/>
      <c r="I20" s="308"/>
      <c r="J20" s="304"/>
      <c r="M20" s="910"/>
    </row>
    <row r="21" spans="1:13" ht="15.6" x14ac:dyDescent="0.3">
      <c r="A21" s="306" t="s">
        <v>172</v>
      </c>
      <c r="B21" s="257" t="s">
        <v>5</v>
      </c>
      <c r="C21" s="258">
        <f>H21/D$66</f>
        <v>0</v>
      </c>
      <c r="D21" s="259">
        <f>SUM('4'!F68:F69)</f>
        <v>0</v>
      </c>
      <c r="E21" s="260">
        <f>SUM('4'!G68:G69)</f>
        <v>0</v>
      </c>
      <c r="F21" s="307">
        <f>SUM('4'!I68:I69)</f>
        <v>0</v>
      </c>
      <c r="G21" s="307">
        <f>SUM('4'!J68:J69)</f>
        <v>0</v>
      </c>
      <c r="H21" s="308">
        <f>D21+F21+G21</f>
        <v>0</v>
      </c>
      <c r="I21" s="308" t="str">
        <f>ROUNDUP(H21/D$11,1)&amp;"$/SF"</f>
        <v>0$/SF</v>
      </c>
      <c r="J21" s="304"/>
      <c r="K21" s="157" t="s">
        <v>1238</v>
      </c>
      <c r="L21" s="157" t="s">
        <v>1236</v>
      </c>
      <c r="M21" s="910" t="s">
        <v>1236</v>
      </c>
    </row>
    <row r="22" spans="1:13" x14ac:dyDescent="0.25">
      <c r="A22" s="309"/>
      <c r="B22" s="262"/>
      <c r="C22" s="258"/>
      <c r="D22" s="259"/>
      <c r="E22" s="260"/>
      <c r="F22" s="307"/>
      <c r="G22" s="307"/>
      <c r="H22" s="308"/>
      <c r="I22" s="308"/>
      <c r="J22" s="304"/>
      <c r="M22" s="910"/>
    </row>
    <row r="23" spans="1:13" ht="15.6" x14ac:dyDescent="0.3">
      <c r="A23" s="306" t="s">
        <v>178</v>
      </c>
      <c r="B23" s="257" t="s">
        <v>6</v>
      </c>
      <c r="C23" s="258">
        <f>H23/D$66</f>
        <v>0</v>
      </c>
      <c r="D23" s="259">
        <f>SUM('5'!F77:F78)</f>
        <v>0</v>
      </c>
      <c r="E23" s="260">
        <f>SUM('5'!G77:G78)</f>
        <v>0</v>
      </c>
      <c r="F23" s="307">
        <f>SUM('5'!I77:I78)</f>
        <v>0</v>
      </c>
      <c r="G23" s="307">
        <f>SUM('5'!J77:J78)</f>
        <v>0</v>
      </c>
      <c r="H23" s="308">
        <f>D23+F23+G23</f>
        <v>0</v>
      </c>
      <c r="I23" s="308" t="str">
        <f>ROUNDUP(H23/D$11,1)&amp;"$/SF"</f>
        <v>0$/SF</v>
      </c>
      <c r="J23" s="304"/>
      <c r="K23" s="157" t="s">
        <v>1236</v>
      </c>
      <c r="L23" s="157" t="s">
        <v>1236</v>
      </c>
      <c r="M23" s="910" t="s">
        <v>1274</v>
      </c>
    </row>
    <row r="24" spans="1:13" x14ac:dyDescent="0.25">
      <c r="A24" s="309"/>
      <c r="B24" s="262"/>
      <c r="C24" s="258"/>
      <c r="D24" s="259"/>
      <c r="E24" s="260"/>
      <c r="F24" s="307"/>
      <c r="G24" s="307"/>
      <c r="H24" s="308"/>
      <c r="I24" s="308"/>
      <c r="J24" s="304"/>
      <c r="M24" s="910"/>
    </row>
    <row r="25" spans="1:13" ht="15.6" x14ac:dyDescent="0.3">
      <c r="A25" s="306" t="s">
        <v>191</v>
      </c>
      <c r="B25" s="257" t="s">
        <v>192</v>
      </c>
      <c r="C25" s="258">
        <f>H25/D$66</f>
        <v>0.14835080343566215</v>
      </c>
      <c r="D25" s="259">
        <f>SUM('6'!F137:F138)</f>
        <v>9500</v>
      </c>
      <c r="E25" s="260">
        <f>SUM('6'!G137:G138)</f>
        <v>0</v>
      </c>
      <c r="F25" s="307">
        <f>SUM('6'!I137:I138)</f>
        <v>0</v>
      </c>
      <c r="G25" s="307">
        <f>SUM('6'!J137:J138)</f>
        <v>327670.18</v>
      </c>
      <c r="H25" s="308">
        <f>D25+F25+G25</f>
        <v>337170.18</v>
      </c>
      <c r="I25" s="308" t="str">
        <f>ROUNDUP(H25/D$11,1)&amp;"$/SF"</f>
        <v>54.5$/SF</v>
      </c>
      <c r="J25" s="304"/>
      <c r="K25" s="157" t="s">
        <v>1239</v>
      </c>
      <c r="L25" s="157" t="s">
        <v>1258</v>
      </c>
      <c r="M25" s="910" t="s">
        <v>1275</v>
      </c>
    </row>
    <row r="26" spans="1:13" x14ac:dyDescent="0.25">
      <c r="A26" s="309"/>
      <c r="B26" s="262"/>
      <c r="C26" s="258"/>
      <c r="D26" s="259"/>
      <c r="E26" s="260"/>
      <c r="F26" s="307"/>
      <c r="G26" s="307"/>
      <c r="H26" s="308"/>
      <c r="I26" s="308"/>
      <c r="J26" s="304"/>
      <c r="M26" s="910"/>
    </row>
    <row r="27" spans="1:13" ht="15.6" x14ac:dyDescent="0.3">
      <c r="A27" s="306" t="s">
        <v>205</v>
      </c>
      <c r="B27" s="257" t="s">
        <v>57</v>
      </c>
      <c r="C27" s="258">
        <f>H27/D$66</f>
        <v>6.2489960761616614E-2</v>
      </c>
      <c r="D27" s="259">
        <f>SUM('7'!F137:F138)</f>
        <v>2140</v>
      </c>
      <c r="E27" s="260">
        <f>SUM('7'!G137:G138)</f>
        <v>0</v>
      </c>
      <c r="F27" s="307">
        <f>SUM('7'!I137:I138)</f>
        <v>0</v>
      </c>
      <c r="G27" s="307">
        <f>SUM('7'!J137:J138)</f>
        <v>139886.54</v>
      </c>
      <c r="H27" s="308">
        <f>D27+F27+G27</f>
        <v>142026.54</v>
      </c>
      <c r="I27" s="308" t="str">
        <f>ROUNDUP(H27/D$11,1)&amp;"$/SF"</f>
        <v>23$/SF</v>
      </c>
      <c r="J27" s="304"/>
      <c r="K27" s="157" t="s">
        <v>1240</v>
      </c>
      <c r="L27" s="157" t="s">
        <v>1259</v>
      </c>
      <c r="M27" s="910" t="s">
        <v>1276</v>
      </c>
    </row>
    <row r="28" spans="1:13" x14ac:dyDescent="0.25">
      <c r="A28" s="309"/>
      <c r="B28" s="262"/>
      <c r="C28" s="258"/>
      <c r="D28" s="259"/>
      <c r="E28" s="260"/>
      <c r="F28" s="307"/>
      <c r="G28" s="307"/>
      <c r="H28" s="308"/>
      <c r="I28" s="308"/>
      <c r="J28" s="304"/>
      <c r="M28" s="910"/>
    </row>
    <row r="29" spans="1:13" ht="15.6" x14ac:dyDescent="0.3">
      <c r="A29" s="306" t="s">
        <v>242</v>
      </c>
      <c r="B29" s="257" t="s">
        <v>243</v>
      </c>
      <c r="C29" s="258">
        <f>H29/D$66</f>
        <v>5.9911926390087432E-2</v>
      </c>
      <c r="D29" s="259">
        <f>SUM('8'!F128:F129)</f>
        <v>21730.21</v>
      </c>
      <c r="E29" s="260">
        <f>SUM('8'!G128:G129)</f>
        <v>56</v>
      </c>
      <c r="F29" s="307">
        <f>SUM('8'!I128:I129)</f>
        <v>3640</v>
      </c>
      <c r="G29" s="307">
        <f>SUM('8'!J128:J129)</f>
        <v>110797</v>
      </c>
      <c r="H29" s="308">
        <f>D29+F29+G29</f>
        <v>136167.21</v>
      </c>
      <c r="I29" s="308" t="str">
        <f>ROUNDUP(H29/D$11,1)&amp;"$/SF"</f>
        <v>22$/SF</v>
      </c>
      <c r="J29" s="304"/>
      <c r="K29" s="157" t="s">
        <v>1241</v>
      </c>
      <c r="L29" s="157" t="s">
        <v>1260</v>
      </c>
      <c r="M29" s="910" t="s">
        <v>1277</v>
      </c>
    </row>
    <row r="30" spans="1:13" x14ac:dyDescent="0.25">
      <c r="A30" s="309"/>
      <c r="B30" s="262"/>
      <c r="C30" s="258"/>
      <c r="D30" s="259"/>
      <c r="E30" s="260"/>
      <c r="F30" s="307"/>
      <c r="G30" s="307"/>
      <c r="H30" s="308"/>
      <c r="I30" s="308"/>
      <c r="J30" s="304"/>
      <c r="M30" s="910"/>
    </row>
    <row r="31" spans="1:13" ht="15.6" x14ac:dyDescent="0.3">
      <c r="A31" s="306" t="s">
        <v>277</v>
      </c>
      <c r="B31" s="257" t="s">
        <v>8</v>
      </c>
      <c r="C31" s="258">
        <f>H31/D$66</f>
        <v>8.2600967835283534E-2</v>
      </c>
      <c r="D31" s="259">
        <f>SUM('9'!F77:F78)</f>
        <v>0</v>
      </c>
      <c r="E31" s="260">
        <f>SUM('9'!G77:G78)</f>
        <v>0</v>
      </c>
      <c r="F31" s="307">
        <f>SUM('9'!I77:I78)</f>
        <v>0</v>
      </c>
      <c r="G31" s="307">
        <f>SUM('9'!J77:J78)</f>
        <v>187734.62999999998</v>
      </c>
      <c r="H31" s="308">
        <f>D31+F31+G31</f>
        <v>187734.62999999998</v>
      </c>
      <c r="I31" s="308" t="str">
        <f>ROUNDUP(H31/D$11,1)&amp;"$/SF"</f>
        <v>30.4$/SF</v>
      </c>
      <c r="J31" s="304"/>
      <c r="K31" s="157" t="s">
        <v>1242</v>
      </c>
      <c r="L31" s="157" t="s">
        <v>1261</v>
      </c>
      <c r="M31" s="910" t="s">
        <v>1278</v>
      </c>
    </row>
    <row r="32" spans="1:13" x14ac:dyDescent="0.25">
      <c r="A32" s="309"/>
      <c r="B32" s="262"/>
      <c r="C32" s="258"/>
      <c r="D32" s="259"/>
      <c r="E32" s="260"/>
      <c r="F32" s="307"/>
      <c r="G32" s="307"/>
      <c r="H32" s="308"/>
      <c r="I32" s="308"/>
      <c r="J32" s="304"/>
      <c r="M32" s="910"/>
    </row>
    <row r="33" spans="1:13" ht="15.6" x14ac:dyDescent="0.3">
      <c r="A33" s="306" t="s">
        <v>296</v>
      </c>
      <c r="B33" s="257" t="s">
        <v>9</v>
      </c>
      <c r="C33" s="258">
        <f>H33/D$66</f>
        <v>4.7584692666376551E-3</v>
      </c>
      <c r="D33" s="259">
        <f>SUM('10'!F76:F77)</f>
        <v>0</v>
      </c>
      <c r="E33" s="260">
        <f>SUM('10'!G76:G77)</f>
        <v>32</v>
      </c>
      <c r="F33" s="307">
        <f>SUM('10'!I76:I77)</f>
        <v>2080</v>
      </c>
      <c r="G33" s="307">
        <f>SUM('10'!J76:J77)</f>
        <v>8735</v>
      </c>
      <c r="H33" s="308">
        <f>D33+F33+G33</f>
        <v>10815</v>
      </c>
      <c r="I33" s="308" t="str">
        <f>ROUNDUP(H33/D$11,1)&amp;"$/SF"</f>
        <v>1.8$/SF</v>
      </c>
      <c r="J33" s="304"/>
      <c r="K33" s="157" t="s">
        <v>1243</v>
      </c>
      <c r="L33" s="157" t="s">
        <v>1243</v>
      </c>
      <c r="M33" s="910" t="s">
        <v>1279</v>
      </c>
    </row>
    <row r="34" spans="1:13" x14ac:dyDescent="0.25">
      <c r="A34" s="309"/>
      <c r="B34" s="262"/>
      <c r="C34" s="258"/>
      <c r="D34" s="259"/>
      <c r="E34" s="260"/>
      <c r="F34" s="307"/>
      <c r="G34" s="307"/>
      <c r="H34" s="308"/>
      <c r="I34" s="308"/>
      <c r="J34" s="304"/>
      <c r="M34" s="910"/>
    </row>
    <row r="35" spans="1:13" ht="15.6" x14ac:dyDescent="0.3">
      <c r="A35" s="306" t="s">
        <v>330</v>
      </c>
      <c r="B35" s="257" t="s">
        <v>70</v>
      </c>
      <c r="C35" s="258">
        <f>H35/D$66</f>
        <v>0</v>
      </c>
      <c r="D35" s="259">
        <f>SUM('11'!F99:F100)</f>
        <v>0</v>
      </c>
      <c r="E35" s="260">
        <f>SUM('11'!G99:G100)</f>
        <v>0</v>
      </c>
      <c r="F35" s="307">
        <f>SUM('11'!I99:I100)</f>
        <v>0</v>
      </c>
      <c r="G35" s="307">
        <f>SUM('11'!J99:J100)</f>
        <v>0</v>
      </c>
      <c r="H35" s="308">
        <f>D35+F35+G35</f>
        <v>0</v>
      </c>
      <c r="I35" s="308" t="str">
        <f>ROUNDUP(H35/D$11,1)&amp;"$/SF"</f>
        <v>0$/SF</v>
      </c>
      <c r="J35" s="304"/>
      <c r="K35" s="157" t="s">
        <v>1236</v>
      </c>
      <c r="L35" s="157" t="s">
        <v>1236</v>
      </c>
      <c r="M35" s="910" t="s">
        <v>1236</v>
      </c>
    </row>
    <row r="36" spans="1:13" x14ac:dyDescent="0.25">
      <c r="A36" s="309"/>
      <c r="B36" s="262"/>
      <c r="C36" s="258"/>
      <c r="D36" s="259"/>
      <c r="E36" s="260"/>
      <c r="F36" s="307"/>
      <c r="G36" s="307"/>
      <c r="H36" s="308"/>
      <c r="I36" s="308"/>
      <c r="J36" s="304"/>
      <c r="M36" s="910"/>
    </row>
    <row r="37" spans="1:13" ht="15.6" x14ac:dyDescent="0.3">
      <c r="A37" s="306" t="s">
        <v>351</v>
      </c>
      <c r="B37" s="257" t="s">
        <v>75</v>
      </c>
      <c r="C37" s="258">
        <f>H37/D$66</f>
        <v>0</v>
      </c>
      <c r="D37" s="259">
        <f>SUM('12'!F99:F100)</f>
        <v>0</v>
      </c>
      <c r="E37" s="260">
        <f>SUM('12'!G99:G100)</f>
        <v>0</v>
      </c>
      <c r="F37" s="307">
        <f>SUM('12'!I99:I100)</f>
        <v>0</v>
      </c>
      <c r="G37" s="307">
        <f>SUM('12'!J99:J100)</f>
        <v>0</v>
      </c>
      <c r="H37" s="308">
        <f>D37+F37+G37</f>
        <v>0</v>
      </c>
      <c r="I37" s="308" t="str">
        <f>ROUNDUP(H37/D$11,1)&amp;"$/SF"</f>
        <v>0$/SF</v>
      </c>
      <c r="J37" s="304"/>
      <c r="K37" s="157" t="s">
        <v>1244</v>
      </c>
      <c r="L37" s="157" t="s">
        <v>1262</v>
      </c>
      <c r="M37" s="910" t="s">
        <v>1280</v>
      </c>
    </row>
    <row r="38" spans="1:13" x14ac:dyDescent="0.25">
      <c r="A38" s="309"/>
      <c r="B38" s="262"/>
      <c r="C38" s="258"/>
      <c r="D38" s="259"/>
      <c r="E38" s="260"/>
      <c r="F38" s="307"/>
      <c r="G38" s="307"/>
      <c r="H38" s="308"/>
      <c r="I38" s="308"/>
      <c r="J38" s="304"/>
      <c r="M38" s="910"/>
    </row>
    <row r="39" spans="1:13" ht="15.6" x14ac:dyDescent="0.3">
      <c r="A39" s="306" t="s">
        <v>364</v>
      </c>
      <c r="B39" s="257" t="s">
        <v>76</v>
      </c>
      <c r="C39" s="258">
        <f>H39/D$66</f>
        <v>0</v>
      </c>
      <c r="D39" s="259">
        <f>+SUM('13'!F99:F100)</f>
        <v>0</v>
      </c>
      <c r="E39" s="260">
        <f>SUM('13'!G99:G100)</f>
        <v>0</v>
      </c>
      <c r="F39" s="307">
        <f>SUM('13'!I99:I100)</f>
        <v>0</v>
      </c>
      <c r="G39" s="307">
        <f>SUM('13'!J99:J100)</f>
        <v>0</v>
      </c>
      <c r="H39" s="308">
        <f>D39+F39+G39</f>
        <v>0</v>
      </c>
      <c r="I39" s="308" t="str">
        <f>ROUNDUP(H39/D$11,1)&amp;"$/SF"</f>
        <v>0$/SF</v>
      </c>
      <c r="J39" s="304"/>
      <c r="K39" s="157" t="s">
        <v>1236</v>
      </c>
      <c r="L39" s="157" t="s">
        <v>1236</v>
      </c>
      <c r="M39" s="910" t="s">
        <v>1236</v>
      </c>
    </row>
    <row r="40" spans="1:13" x14ac:dyDescent="0.25">
      <c r="A40" s="309"/>
      <c r="B40" s="262"/>
      <c r="C40" s="258"/>
      <c r="D40" s="259"/>
      <c r="E40" s="260"/>
      <c r="F40" s="307"/>
      <c r="G40" s="307"/>
      <c r="H40" s="308"/>
      <c r="I40" s="308"/>
      <c r="J40" s="304"/>
      <c r="M40" s="910"/>
    </row>
    <row r="41" spans="1:13" ht="15.6" x14ac:dyDescent="0.3">
      <c r="A41" s="306" t="s">
        <v>365</v>
      </c>
      <c r="B41" s="257" t="s">
        <v>366</v>
      </c>
      <c r="C41" s="258">
        <f>H41/D$66</f>
        <v>0</v>
      </c>
      <c r="D41" s="259">
        <f>SUM('14'!F99:F100)</f>
        <v>0</v>
      </c>
      <c r="E41" s="260">
        <f>SUM('14'!G99:G100)</f>
        <v>0</v>
      </c>
      <c r="F41" s="307">
        <f>SUM('14'!I99:I100)</f>
        <v>0</v>
      </c>
      <c r="G41" s="307">
        <f>SUM('14'!J99:J100)</f>
        <v>0</v>
      </c>
      <c r="H41" s="308">
        <f>D41+F41+G41</f>
        <v>0</v>
      </c>
      <c r="I41" s="308" t="str">
        <f>ROUNDUP(H41/D$11,1)&amp;"$/SF"</f>
        <v>0$/SF</v>
      </c>
      <c r="J41" s="304"/>
      <c r="K41" s="157" t="s">
        <v>1236</v>
      </c>
      <c r="L41" s="157" t="s">
        <v>1236</v>
      </c>
      <c r="M41" s="910" t="s">
        <v>1236</v>
      </c>
    </row>
    <row r="42" spans="1:13" x14ac:dyDescent="0.25">
      <c r="A42" s="309"/>
      <c r="B42" s="262"/>
      <c r="C42" s="258"/>
      <c r="D42" s="259"/>
      <c r="E42" s="260"/>
      <c r="F42" s="307"/>
      <c r="G42" s="307"/>
      <c r="H42" s="308"/>
      <c r="I42" s="308"/>
      <c r="J42" s="304"/>
      <c r="M42" s="910"/>
    </row>
    <row r="43" spans="1:13" ht="15.6" x14ac:dyDescent="0.3">
      <c r="A43" s="306" t="s">
        <v>371</v>
      </c>
      <c r="B43" s="257" t="s">
        <v>151</v>
      </c>
      <c r="C43" s="258">
        <f>H43/D$66</f>
        <v>0</v>
      </c>
      <c r="D43" s="259">
        <f>SUM('21'!F99:F100)</f>
        <v>0</v>
      </c>
      <c r="E43" s="260">
        <f>SUM('21'!G99:G100)</f>
        <v>0</v>
      </c>
      <c r="F43" s="307">
        <f>SUM('21'!I99:I100)</f>
        <v>0</v>
      </c>
      <c r="G43" s="307">
        <f>SUM('21'!J99:J100)</f>
        <v>0</v>
      </c>
      <c r="H43" s="308">
        <f>D43+F43+G43</f>
        <v>0</v>
      </c>
      <c r="I43" s="308" t="str">
        <f>ROUNDUP(H43/D$11,1)&amp;"$/SF"</f>
        <v>0$/SF</v>
      </c>
      <c r="J43" s="304"/>
      <c r="K43" s="157" t="s">
        <v>1236</v>
      </c>
      <c r="L43" s="157" t="s">
        <v>1263</v>
      </c>
      <c r="M43" s="910" t="s">
        <v>1236</v>
      </c>
    </row>
    <row r="44" spans="1:13" x14ac:dyDescent="0.25">
      <c r="A44" s="309"/>
      <c r="B44" s="262"/>
      <c r="C44" s="258"/>
      <c r="D44" s="259"/>
      <c r="E44" s="260"/>
      <c r="F44" s="307"/>
      <c r="G44" s="307"/>
      <c r="H44" s="308"/>
      <c r="I44" s="308"/>
      <c r="J44" s="304"/>
      <c r="M44" s="910"/>
    </row>
    <row r="45" spans="1:13" ht="15.6" x14ac:dyDescent="0.3">
      <c r="A45" s="306" t="s">
        <v>374</v>
      </c>
      <c r="B45" s="257" t="s">
        <v>41</v>
      </c>
      <c r="C45" s="258">
        <f>H45/D$66</f>
        <v>4.9432641896138753E-2</v>
      </c>
      <c r="D45" s="259">
        <f>SUM('22'!F94:F95)</f>
        <v>0</v>
      </c>
      <c r="E45" s="260">
        <f>SUM('22'!G94:G95)</f>
        <v>0</v>
      </c>
      <c r="F45" s="307">
        <f>SUM('22'!I94:I95)</f>
        <v>0</v>
      </c>
      <c r="G45" s="307">
        <f>SUM('22'!J94:J95)</f>
        <v>112350</v>
      </c>
      <c r="H45" s="308">
        <f>D45+F45+G45</f>
        <v>112350</v>
      </c>
      <c r="I45" s="308" t="str">
        <f>ROUNDUP(H45/D$11,1)&amp;"$/SF"</f>
        <v>18.2$/SF</v>
      </c>
      <c r="J45" s="304"/>
      <c r="K45" s="157" t="s">
        <v>1245</v>
      </c>
      <c r="L45" s="157" t="s">
        <v>1264</v>
      </c>
      <c r="M45" s="910" t="s">
        <v>1281</v>
      </c>
    </row>
    <row r="46" spans="1:13" x14ac:dyDescent="0.25">
      <c r="A46" s="309"/>
      <c r="B46" s="262"/>
      <c r="C46" s="258"/>
      <c r="D46" s="259"/>
      <c r="E46" s="260"/>
      <c r="F46" s="307"/>
      <c r="G46" s="307"/>
      <c r="H46" s="308"/>
      <c r="I46" s="308"/>
      <c r="J46" s="304"/>
      <c r="M46" s="910"/>
    </row>
    <row r="47" spans="1:13" ht="15.6" x14ac:dyDescent="0.3">
      <c r="A47" s="306" t="s">
        <v>422</v>
      </c>
      <c r="B47" s="257" t="s">
        <v>42</v>
      </c>
      <c r="C47" s="258">
        <f>H47/D$66</f>
        <v>5.8430394693433252E-2</v>
      </c>
      <c r="D47" s="259">
        <f>SUM('23'!F102:F103)</f>
        <v>0</v>
      </c>
      <c r="E47" s="260">
        <f>SUM('23'!G102:G103)</f>
        <v>0</v>
      </c>
      <c r="F47" s="307">
        <f>SUM('23'!I102:I103)</f>
        <v>0</v>
      </c>
      <c r="G47" s="307">
        <f>SUM('23'!J102:J103)</f>
        <v>132800</v>
      </c>
      <c r="H47" s="308">
        <f>D47+F47+G47</f>
        <v>132800</v>
      </c>
      <c r="I47" s="308" t="str">
        <f>ROUNDUP(H47/D$11,1)&amp;"$/SF"</f>
        <v>21.5$/SF</v>
      </c>
      <c r="J47" s="304"/>
      <c r="K47" s="157" t="s">
        <v>1246</v>
      </c>
      <c r="L47" s="157" t="s">
        <v>1265</v>
      </c>
      <c r="M47" s="910" t="s">
        <v>1282</v>
      </c>
    </row>
    <row r="48" spans="1:13" x14ac:dyDescent="0.25">
      <c r="A48" s="309"/>
      <c r="B48" s="262"/>
      <c r="C48" s="258"/>
      <c r="D48" s="259"/>
      <c r="E48" s="260"/>
      <c r="F48" s="307"/>
      <c r="G48" s="307"/>
      <c r="H48" s="308"/>
      <c r="I48" s="308"/>
      <c r="J48" s="304"/>
      <c r="M48" s="910"/>
    </row>
    <row r="49" spans="1:13" ht="15.6" x14ac:dyDescent="0.3">
      <c r="A49" s="306" t="s">
        <v>466</v>
      </c>
      <c r="B49" s="257" t="s">
        <v>467</v>
      </c>
      <c r="C49" s="258">
        <f>H49/D$66</f>
        <v>0</v>
      </c>
      <c r="D49" s="259">
        <f>SUM('25'!F54:F55)</f>
        <v>0</v>
      </c>
      <c r="E49" s="260">
        <f>SUM('25'!G54:G55)</f>
        <v>0</v>
      </c>
      <c r="F49" s="307">
        <f>SUM('25'!I54:I55)</f>
        <v>0</v>
      </c>
      <c r="G49" s="307">
        <f>SUM('25'!J54:J55)</f>
        <v>0</v>
      </c>
      <c r="H49" s="308">
        <f>D49+F49+G49</f>
        <v>0</v>
      </c>
      <c r="I49" s="308" t="str">
        <f>ROUNDUP(H49/D$11,1)&amp;"$/SF"</f>
        <v>0$/SF</v>
      </c>
      <c r="J49" s="304"/>
      <c r="K49" s="157" t="s">
        <v>1236</v>
      </c>
      <c r="L49" s="157" t="s">
        <v>1236</v>
      </c>
      <c r="M49" s="910" t="s">
        <v>1236</v>
      </c>
    </row>
    <row r="50" spans="1:13" x14ac:dyDescent="0.25">
      <c r="A50" s="309"/>
      <c r="B50" s="262"/>
      <c r="C50" s="258"/>
      <c r="D50" s="259"/>
      <c r="E50" s="260"/>
      <c r="F50" s="307"/>
      <c r="G50" s="307"/>
      <c r="H50" s="308"/>
      <c r="I50" s="308"/>
      <c r="J50" s="304"/>
      <c r="M50" s="910"/>
    </row>
    <row r="51" spans="1:13" ht="15.6" x14ac:dyDescent="0.3">
      <c r="A51" s="306" t="s">
        <v>468</v>
      </c>
      <c r="B51" s="257" t="s">
        <v>10</v>
      </c>
      <c r="C51" s="258">
        <f>H51/D$66</f>
        <v>0.10426901733103604</v>
      </c>
      <c r="D51" s="259">
        <f>SUM('26'!F57:F58)</f>
        <v>0</v>
      </c>
      <c r="E51" s="260">
        <f>SUM('26'!G57:G58)</f>
        <v>0</v>
      </c>
      <c r="F51" s="307">
        <f>SUM('26'!I57:I58)</f>
        <v>0</v>
      </c>
      <c r="G51" s="307">
        <f>SUM('26'!J57:J58)</f>
        <v>236981.55</v>
      </c>
      <c r="H51" s="308">
        <f>D51+F51+G51</f>
        <v>236981.55</v>
      </c>
      <c r="I51" s="308" t="str">
        <f>ROUNDUP(H51/D$11,1)&amp;"$/SF"</f>
        <v>38.3$/SF</v>
      </c>
      <c r="J51" s="304"/>
      <c r="K51" s="157" t="s">
        <v>1247</v>
      </c>
      <c r="L51" s="157" t="s">
        <v>1266</v>
      </c>
      <c r="M51" s="910" t="s">
        <v>1283</v>
      </c>
    </row>
    <row r="52" spans="1:13" x14ac:dyDescent="0.25">
      <c r="A52" s="309"/>
      <c r="B52" s="262"/>
      <c r="C52" s="258"/>
      <c r="D52" s="259"/>
      <c r="E52" s="260"/>
      <c r="F52" s="307"/>
      <c r="G52" s="307"/>
      <c r="H52" s="308"/>
      <c r="I52" s="308"/>
      <c r="J52" s="304"/>
      <c r="M52" s="910"/>
    </row>
    <row r="53" spans="1:13" ht="15.6" x14ac:dyDescent="0.3">
      <c r="A53" s="306" t="s">
        <v>490</v>
      </c>
      <c r="B53" s="257" t="s">
        <v>491</v>
      </c>
      <c r="C53" s="258">
        <f>H53/D$66</f>
        <v>0</v>
      </c>
      <c r="D53" s="259">
        <f>SUM('27'!F99:F100)</f>
        <v>0</v>
      </c>
      <c r="E53" s="260">
        <f>SUM('27'!G99:G100)</f>
        <v>0</v>
      </c>
      <c r="F53" s="307">
        <f>SUM('27'!I99:I100)</f>
        <v>0</v>
      </c>
      <c r="G53" s="307">
        <f>SUM('27'!J99:J100)</f>
        <v>0</v>
      </c>
      <c r="H53" s="308">
        <f>D53+F53+G53</f>
        <v>0</v>
      </c>
      <c r="I53" s="308" t="str">
        <f>ROUNDUP(H53/D$11,1)&amp;"$/SF"</f>
        <v>0$/SF</v>
      </c>
      <c r="J53" s="304"/>
      <c r="K53" s="157" t="s">
        <v>1236</v>
      </c>
      <c r="L53" s="157" t="s">
        <v>1236</v>
      </c>
      <c r="M53" s="910" t="s">
        <v>1236</v>
      </c>
    </row>
    <row r="54" spans="1:13" x14ac:dyDescent="0.25">
      <c r="A54" s="309"/>
      <c r="B54" s="262"/>
      <c r="C54" s="258"/>
      <c r="D54" s="259"/>
      <c r="E54" s="260"/>
      <c r="F54" s="307"/>
      <c r="G54" s="307"/>
      <c r="H54" s="308"/>
      <c r="I54" s="308"/>
      <c r="J54" s="304"/>
      <c r="M54" s="910"/>
    </row>
    <row r="55" spans="1:13" ht="15.6" x14ac:dyDescent="0.3">
      <c r="A55" s="306" t="s">
        <v>506</v>
      </c>
      <c r="B55" s="257" t="s">
        <v>507</v>
      </c>
      <c r="C55" s="258">
        <f>H55/D$66</f>
        <v>0</v>
      </c>
      <c r="D55" s="259">
        <f>SUM('28'!F55:F56)</f>
        <v>0</v>
      </c>
      <c r="E55" s="260">
        <f>SUM('28'!G55:G56)</f>
        <v>0</v>
      </c>
      <c r="F55" s="307">
        <f>SUM('28'!I55:I56)</f>
        <v>0</v>
      </c>
      <c r="G55" s="307">
        <f>SUM('28'!J55:J56)</f>
        <v>0</v>
      </c>
      <c r="H55" s="308">
        <f>D55+F55+G55</f>
        <v>0</v>
      </c>
      <c r="I55" s="308" t="str">
        <f>ROUNDUP(H55/D$11,1)&amp;"$/SF"</f>
        <v>0$/SF</v>
      </c>
      <c r="J55" s="304"/>
      <c r="K55" s="157" t="s">
        <v>1236</v>
      </c>
      <c r="L55" s="157" t="s">
        <v>1236</v>
      </c>
      <c r="M55" s="910" t="s">
        <v>1236</v>
      </c>
    </row>
    <row r="56" spans="1:13" x14ac:dyDescent="0.25">
      <c r="A56" s="309"/>
      <c r="B56" s="262"/>
      <c r="C56" s="258"/>
      <c r="D56" s="259"/>
      <c r="E56" s="260"/>
      <c r="F56" s="307"/>
      <c r="G56" s="307"/>
      <c r="H56" s="308"/>
      <c r="I56" s="308"/>
      <c r="J56" s="304"/>
      <c r="M56" s="910"/>
    </row>
    <row r="57" spans="1:13" ht="15.6" x14ac:dyDescent="0.3">
      <c r="A57" s="306" t="s">
        <v>520</v>
      </c>
      <c r="B57" s="257" t="s">
        <v>521</v>
      </c>
      <c r="C57" s="258">
        <f>H57/D$66</f>
        <v>0.12285554988785244</v>
      </c>
      <c r="D57" s="259">
        <f>SUM('31'!F89:F90)</f>
        <v>0</v>
      </c>
      <c r="E57" s="260">
        <f>SUM('31'!G89:G90)</f>
        <v>0</v>
      </c>
      <c r="F57" s="307">
        <f>SUM('31'!I89:I90)</f>
        <v>0</v>
      </c>
      <c r="G57" s="307">
        <f>SUM('31'!J89:J90)</f>
        <v>279224.83</v>
      </c>
      <c r="H57" s="308">
        <f>D57+F57+G57</f>
        <v>279224.83</v>
      </c>
      <c r="I57" s="308" t="str">
        <f>ROUNDUP(H57/D$11,1)&amp;"$/SF"</f>
        <v>45.2$/SF</v>
      </c>
      <c r="J57" s="304"/>
      <c r="K57" s="157" t="s">
        <v>1248</v>
      </c>
      <c r="L57" s="157" t="s">
        <v>1267</v>
      </c>
      <c r="M57" s="910" t="s">
        <v>1284</v>
      </c>
    </row>
    <row r="58" spans="1:13" x14ac:dyDescent="0.25">
      <c r="A58" s="309"/>
      <c r="B58" s="262"/>
      <c r="C58" s="258"/>
      <c r="D58" s="259"/>
      <c r="E58" s="260"/>
      <c r="F58" s="307"/>
      <c r="G58" s="307"/>
      <c r="H58" s="308"/>
      <c r="I58" s="308"/>
      <c r="J58" s="304"/>
      <c r="M58" s="910"/>
    </row>
    <row r="59" spans="1:13" ht="15.6" x14ac:dyDescent="0.3">
      <c r="A59" s="306" t="s">
        <v>564</v>
      </c>
      <c r="B59" s="257" t="s">
        <v>565</v>
      </c>
      <c r="C59" s="258">
        <f>H59/D$66</f>
        <v>8.6899372541655431E-2</v>
      </c>
      <c r="D59" s="259">
        <f>SUM('32'!F105:F106)</f>
        <v>0</v>
      </c>
      <c r="E59" s="260">
        <f>SUM('32'!G105:G106)</f>
        <v>0</v>
      </c>
      <c r="F59" s="307">
        <f>SUM('32'!I105:I106)</f>
        <v>0</v>
      </c>
      <c r="G59" s="307">
        <f>SUM('32'!J105:J106)</f>
        <v>197504</v>
      </c>
      <c r="H59" s="308">
        <f>D59+F59+G59</f>
        <v>197504</v>
      </c>
      <c r="I59" s="308" t="str">
        <f>ROUNDUP(H59/D$11,1)&amp;"$/SF"</f>
        <v>32$/SF</v>
      </c>
      <c r="J59" s="304"/>
      <c r="K59" s="157" t="s">
        <v>1249</v>
      </c>
      <c r="L59" s="157" t="s">
        <v>1236</v>
      </c>
      <c r="M59" s="910" t="s">
        <v>1285</v>
      </c>
    </row>
    <row r="60" spans="1:13" x14ac:dyDescent="0.25">
      <c r="A60" s="309"/>
      <c r="B60" s="262"/>
      <c r="C60" s="258"/>
      <c r="D60" s="259"/>
      <c r="E60" s="260"/>
      <c r="F60" s="307"/>
      <c r="G60" s="307"/>
      <c r="H60" s="308"/>
      <c r="I60" s="308"/>
      <c r="J60" s="304"/>
      <c r="M60" s="910"/>
    </row>
    <row r="61" spans="1:13" ht="15.6" x14ac:dyDescent="0.3">
      <c r="A61" s="306" t="s">
        <v>612</v>
      </c>
      <c r="B61" s="257" t="s">
        <v>613</v>
      </c>
      <c r="C61" s="258">
        <f>H61/D$66</f>
        <v>0</v>
      </c>
      <c r="D61" s="259">
        <f>SUM('33'!F57:F58)</f>
        <v>0</v>
      </c>
      <c r="E61" s="260">
        <f>SUM('33'!G57:G58)</f>
        <v>0</v>
      </c>
      <c r="F61" s="307">
        <f>SUM('33'!I57:I58)</f>
        <v>0</v>
      </c>
      <c r="G61" s="307">
        <f>SUM('33'!J57:J58)</f>
        <v>0</v>
      </c>
      <c r="H61" s="308">
        <f>D61+F61+G61</f>
        <v>0</v>
      </c>
      <c r="I61" s="308" t="str">
        <f>ROUNDUP(H61/D$11,1)&amp;"$/SF"</f>
        <v>0$/SF</v>
      </c>
      <c r="J61" s="304"/>
      <c r="K61" s="157" t="s">
        <v>1236</v>
      </c>
      <c r="L61" s="157" t="s">
        <v>1236</v>
      </c>
      <c r="M61" s="910" t="s">
        <v>1236</v>
      </c>
    </row>
    <row r="62" spans="1:13" x14ac:dyDescent="0.25">
      <c r="A62" s="309"/>
      <c r="B62" s="262"/>
      <c r="C62" s="258"/>
      <c r="D62" s="259"/>
      <c r="E62" s="260"/>
      <c r="F62" s="307"/>
      <c r="G62" s="307"/>
      <c r="H62" s="308"/>
      <c r="I62" s="308"/>
      <c r="J62" s="304"/>
      <c r="M62" s="910"/>
    </row>
    <row r="63" spans="1:13" ht="13.8" thickBot="1" x14ac:dyDescent="0.3">
      <c r="A63" s="309"/>
      <c r="C63" s="263"/>
      <c r="D63" s="310"/>
      <c r="E63" s="264"/>
      <c r="F63" s="310"/>
      <c r="G63" s="310"/>
      <c r="H63" s="311"/>
      <c r="I63" s="308"/>
      <c r="J63" s="304"/>
      <c r="M63" s="910"/>
    </row>
    <row r="64" spans="1:13" ht="13.8" thickTop="1" x14ac:dyDescent="0.25">
      <c r="A64" s="309"/>
      <c r="B64" s="265" t="s">
        <v>11</v>
      </c>
      <c r="C64" s="266">
        <f t="shared" ref="C64:E64" si="0">SUM(C15:C63)</f>
        <v>0.99999999999999989</v>
      </c>
      <c r="D64" s="263">
        <f>SUM(D15:D63)</f>
        <v>196209.58324362498</v>
      </c>
      <c r="E64" s="260">
        <f t="shared" si="0"/>
        <v>321</v>
      </c>
      <c r="F64" s="263">
        <f>SUM(F15:F63)</f>
        <v>200640</v>
      </c>
      <c r="G64" s="263">
        <f>SUM(G15:G63)</f>
        <v>1875940.1300000001</v>
      </c>
      <c r="H64" s="308">
        <f>SUM(H15:H63)</f>
        <v>2272789.7132436251</v>
      </c>
      <c r="I64" s="308" t="str">
        <f>ROUNDUP(H64/D$11,1)&amp;"$/SF"</f>
        <v>367.2$/SF</v>
      </c>
      <c r="J64" s="312"/>
      <c r="K64" s="157" t="s">
        <v>1250</v>
      </c>
      <c r="L64" s="157" t="s">
        <v>1268</v>
      </c>
      <c r="M64" s="910" t="s">
        <v>1286</v>
      </c>
    </row>
    <row r="65" spans="1:13" x14ac:dyDescent="0.25">
      <c r="A65" s="309"/>
      <c r="B65" s="265"/>
      <c r="C65" s="267"/>
      <c r="D65" s="263"/>
      <c r="F65" s="263"/>
      <c r="G65" s="263"/>
      <c r="J65" s="304"/>
      <c r="K65" s="268"/>
    </row>
    <row r="66" spans="1:13" x14ac:dyDescent="0.25">
      <c r="A66" s="309"/>
      <c r="B66" s="265" t="s">
        <v>15</v>
      </c>
      <c r="C66" s="269"/>
      <c r="D66" s="263">
        <f>D64+F64+G64</f>
        <v>2272789.7132436251</v>
      </c>
      <c r="F66" s="294"/>
      <c r="G66" s="294"/>
      <c r="J66" s="304"/>
      <c r="K66" s="918">
        <v>1476573.927644067</v>
      </c>
      <c r="L66" s="282">
        <v>1201723.8083200001</v>
      </c>
      <c r="M66" s="282">
        <v>4275638.2004116001</v>
      </c>
    </row>
    <row r="67" spans="1:13" x14ac:dyDescent="0.25">
      <c r="A67" s="309"/>
      <c r="B67" s="270"/>
      <c r="C67" s="269"/>
      <c r="D67" s="294"/>
      <c r="F67" s="294"/>
      <c r="G67" s="271"/>
      <c r="J67" s="304"/>
      <c r="K67" s="918"/>
      <c r="L67" s="282"/>
      <c r="M67" s="282"/>
    </row>
    <row r="68" spans="1:13" x14ac:dyDescent="0.25">
      <c r="A68" s="309"/>
      <c r="B68" s="265" t="s">
        <v>16</v>
      </c>
      <c r="C68" s="269"/>
      <c r="D68" s="263">
        <f>(D66*E68)</f>
        <v>90911.588529745</v>
      </c>
      <c r="E68" s="272">
        <v>0.04</v>
      </c>
      <c r="F68" s="294"/>
      <c r="G68" s="294"/>
      <c r="J68" s="304"/>
      <c r="K68" s="918">
        <v>66445.826743983009</v>
      </c>
      <c r="L68" s="282">
        <v>60086.190416000005</v>
      </c>
      <c r="M68" s="282">
        <v>342051.056032928</v>
      </c>
    </row>
    <row r="69" spans="1:13" x14ac:dyDescent="0.25">
      <c r="A69" s="309"/>
      <c r="B69" s="276" t="s">
        <v>1174</v>
      </c>
      <c r="C69" s="267"/>
      <c r="D69" s="294">
        <f>+D66/1000*10</f>
        <v>22727.89713243625</v>
      </c>
      <c r="F69" s="273" t="s">
        <v>39</v>
      </c>
      <c r="G69" s="273" t="s">
        <v>31</v>
      </c>
      <c r="J69" s="304"/>
      <c r="K69" s="918"/>
      <c r="L69" s="282"/>
      <c r="M69" s="282">
        <v>42756.382004116007</v>
      </c>
    </row>
    <row r="70" spans="1:13" x14ac:dyDescent="0.25">
      <c r="A70" s="309"/>
      <c r="C70" s="267"/>
      <c r="D70" s="294">
        <v>0.8</v>
      </c>
      <c r="F70" s="274">
        <v>0.15</v>
      </c>
      <c r="G70" s="275"/>
      <c r="J70" s="304"/>
      <c r="K70" s="918"/>
      <c r="L70" s="282"/>
      <c r="M70" s="282"/>
    </row>
    <row r="71" spans="1:13" x14ac:dyDescent="0.25">
      <c r="A71" s="309"/>
      <c r="B71" s="276" t="s">
        <v>17</v>
      </c>
      <c r="C71" s="277"/>
      <c r="D71" s="307">
        <f>D68+D66+D69+D70</f>
        <v>2386429.9989058063</v>
      </c>
      <c r="F71" s="313">
        <f>D71*F70</f>
        <v>357964.49983587093</v>
      </c>
      <c r="G71" s="313">
        <f>D71+F71</f>
        <v>2744394.498741677</v>
      </c>
      <c r="J71" s="304"/>
      <c r="K71" s="918">
        <v>1543019.7543880499</v>
      </c>
      <c r="L71" s="282">
        <v>1261809.9987360002</v>
      </c>
      <c r="M71" s="282">
        <v>4660445.6384486435</v>
      </c>
    </row>
    <row r="72" spans="1:13" x14ac:dyDescent="0.25">
      <c r="A72" s="309"/>
      <c r="B72" s="276"/>
      <c r="C72" s="277"/>
      <c r="D72" s="307"/>
      <c r="F72" s="294"/>
      <c r="G72" s="294"/>
      <c r="J72" s="304"/>
      <c r="K72" s="918"/>
      <c r="L72" s="282"/>
      <c r="M72" s="282">
        <v>-745.64</v>
      </c>
    </row>
    <row r="73" spans="1:13" x14ac:dyDescent="0.25">
      <c r="A73" s="309"/>
      <c r="B73" s="276"/>
      <c r="C73" s="277"/>
      <c r="D73" s="307"/>
      <c r="F73" s="294"/>
      <c r="G73" s="294"/>
      <c r="J73" s="304"/>
      <c r="K73" s="918"/>
      <c r="L73" s="282"/>
      <c r="M73" s="282"/>
    </row>
    <row r="74" spans="1:13" x14ac:dyDescent="0.25">
      <c r="A74" s="309"/>
      <c r="B74" s="276"/>
      <c r="C74" s="277"/>
      <c r="D74" s="307"/>
      <c r="F74" s="273" t="s">
        <v>39</v>
      </c>
      <c r="G74" s="273" t="s">
        <v>31</v>
      </c>
      <c r="J74" s="304"/>
      <c r="K74" s="918"/>
      <c r="L74" s="282"/>
      <c r="M74" s="282"/>
    </row>
    <row r="75" spans="1:13" x14ac:dyDescent="0.25">
      <c r="A75" s="309"/>
      <c r="B75" s="276" t="s">
        <v>83</v>
      </c>
      <c r="C75" s="277"/>
      <c r="D75" s="314">
        <f>D71+D73</f>
        <v>2386429.9989058063</v>
      </c>
      <c r="F75" s="313">
        <f>D75*F70</f>
        <v>357964.49983587093</v>
      </c>
      <c r="G75" s="313">
        <f>D75+F75</f>
        <v>2744394.498741677</v>
      </c>
      <c r="J75" s="304"/>
      <c r="K75" s="918">
        <v>1543019.7543880499</v>
      </c>
      <c r="L75" s="282">
        <v>1261809.9987360002</v>
      </c>
      <c r="M75" s="282">
        <v>4659699.9984486438</v>
      </c>
    </row>
    <row r="76" spans="1:13" x14ac:dyDescent="0.25">
      <c r="A76" s="309"/>
      <c r="B76" s="276"/>
      <c r="C76" s="277"/>
      <c r="D76" s="307"/>
      <c r="F76" s="294"/>
      <c r="G76" s="294"/>
      <c r="J76" s="304"/>
      <c r="K76" s="918"/>
      <c r="L76" s="282"/>
    </row>
    <row r="77" spans="1:13" x14ac:dyDescent="0.25">
      <c r="A77" s="309"/>
      <c r="B77" s="276"/>
      <c r="C77" s="277"/>
      <c r="D77" s="315">
        <f>D71/D11</f>
        <v>385.52988673761007</v>
      </c>
      <c r="E77" s="278" t="s">
        <v>36</v>
      </c>
      <c r="F77" s="294"/>
      <c r="G77" s="294"/>
      <c r="J77" s="304"/>
      <c r="K77" s="918">
        <v>571.48879792150001</v>
      </c>
      <c r="L77" s="282">
        <v>104.90605243897573</v>
      </c>
      <c r="M77" s="157">
        <v>418.32</v>
      </c>
    </row>
    <row r="78" spans="1:13" ht="6" customHeight="1" thickBot="1" x14ac:dyDescent="0.3">
      <c r="A78" s="316"/>
      <c r="B78" s="317"/>
      <c r="C78" s="279"/>
      <c r="D78" s="317"/>
      <c r="E78" s="317"/>
      <c r="F78" s="318"/>
      <c r="G78" s="318"/>
      <c r="H78" s="317"/>
      <c r="I78" s="319"/>
      <c r="J78" s="304"/>
      <c r="K78" s="918"/>
    </row>
    <row r="79" spans="1:13" ht="13.8" thickTop="1" x14ac:dyDescent="0.25">
      <c r="D79" s="281"/>
      <c r="K79" s="919"/>
      <c r="L79" s="978"/>
      <c r="M79" s="978"/>
    </row>
    <row r="80" spans="1:13" x14ac:dyDescent="0.25">
      <c r="A80" s="321"/>
      <c r="B80" s="322"/>
      <c r="C80" s="283"/>
      <c r="D80" s="323"/>
      <c r="E80" s="284"/>
      <c r="F80" s="323"/>
      <c r="G80" s="323"/>
      <c r="H80" s="322"/>
      <c r="I80" s="322"/>
      <c r="K80" s="919"/>
      <c r="L80" s="978"/>
      <c r="M80" s="978"/>
    </row>
    <row r="81" spans="1:13" x14ac:dyDescent="0.25">
      <c r="A81" s="322"/>
      <c r="B81" s="322"/>
      <c r="C81" s="283" t="s">
        <v>72</v>
      </c>
      <c r="D81" s="324">
        <v>38</v>
      </c>
      <c r="E81" s="284" t="s">
        <v>73</v>
      </c>
      <c r="F81" s="323"/>
      <c r="G81" s="157" t="s">
        <v>85</v>
      </c>
      <c r="H81" s="157" t="s">
        <v>87</v>
      </c>
      <c r="K81" s="921">
        <v>22</v>
      </c>
      <c r="L81" s="157">
        <v>16</v>
      </c>
      <c r="M81" s="157">
        <v>56</v>
      </c>
    </row>
    <row r="82" spans="1:13" x14ac:dyDescent="0.25">
      <c r="A82" s="322"/>
      <c r="B82" s="322"/>
      <c r="C82" s="283" t="s">
        <v>84</v>
      </c>
      <c r="D82" s="323">
        <f>D68+'1'!K14+'1'!K93+'1'!K38+'1'!K103+'1'!K35+'1'!K11</f>
        <v>280996.92598095752</v>
      </c>
      <c r="E82" s="284">
        <f>D82/D81</f>
        <v>7394.6559468673031</v>
      </c>
      <c r="F82" s="323"/>
      <c r="G82" s="157" t="s">
        <v>88</v>
      </c>
      <c r="H82" s="285">
        <v>0.1</v>
      </c>
      <c r="I82" s="285"/>
      <c r="K82" s="835">
        <v>166062.4011258625</v>
      </c>
    </row>
    <row r="83" spans="1:13" x14ac:dyDescent="0.25">
      <c r="A83" s="322"/>
      <c r="B83" s="322"/>
      <c r="C83" s="283"/>
      <c r="D83" s="323"/>
      <c r="E83" s="284"/>
      <c r="F83" s="323"/>
      <c r="G83" s="157" t="s">
        <v>89</v>
      </c>
      <c r="H83" s="285">
        <v>0.15</v>
      </c>
      <c r="I83" s="285"/>
      <c r="K83" s="919"/>
    </row>
    <row r="84" spans="1:13" x14ac:dyDescent="0.25">
      <c r="A84" s="322"/>
      <c r="B84" s="322"/>
      <c r="C84" s="283" t="s">
        <v>86</v>
      </c>
      <c r="D84" s="326">
        <f>D82/D71</f>
        <v>0.11774781833525241</v>
      </c>
      <c r="E84" s="284"/>
      <c r="F84" s="323"/>
      <c r="G84" s="157" t="s">
        <v>90</v>
      </c>
      <c r="H84" s="285">
        <v>0.2</v>
      </c>
      <c r="I84" s="285"/>
      <c r="K84" s="920">
        <v>0.10762169483158794</v>
      </c>
    </row>
    <row r="85" spans="1:13" x14ac:dyDescent="0.25">
      <c r="A85" s="322"/>
      <c r="B85" s="322"/>
      <c r="C85" s="283" t="s">
        <v>743</v>
      </c>
      <c r="D85" s="323">
        <f>D75*E85</f>
        <v>23864.299989058065</v>
      </c>
      <c r="E85" s="286">
        <v>0.01</v>
      </c>
      <c r="F85" s="323"/>
      <c r="G85" s="157" t="s">
        <v>91</v>
      </c>
      <c r="H85" s="285">
        <v>0.25</v>
      </c>
      <c r="I85" s="285"/>
      <c r="K85" s="919"/>
    </row>
    <row r="86" spans="1:13" x14ac:dyDescent="0.25">
      <c r="B86" s="287"/>
      <c r="C86" s="283" t="s">
        <v>744</v>
      </c>
      <c r="D86" s="288">
        <f>D75*E86</f>
        <v>119321.49994529033</v>
      </c>
      <c r="E86" s="289">
        <v>0.05</v>
      </c>
      <c r="F86" s="287"/>
      <c r="G86" s="157"/>
      <c r="K86" s="320"/>
      <c r="M86" s="159"/>
    </row>
    <row r="87" spans="1:13" x14ac:dyDescent="0.25">
      <c r="A87" s="291" t="s">
        <v>100</v>
      </c>
      <c r="B87" s="157">
        <f>COUNTIF(A88:A96,"*")</f>
        <v>8</v>
      </c>
      <c r="C87" s="159"/>
      <c r="D87" s="157"/>
      <c r="E87" s="157"/>
      <c r="F87" s="157"/>
      <c r="G87" s="157"/>
      <c r="K87" s="290"/>
      <c r="M87" s="159"/>
    </row>
    <row r="88" spans="1:13" x14ac:dyDescent="0.25">
      <c r="C88" s="159"/>
      <c r="D88" s="157"/>
      <c r="E88" s="157"/>
      <c r="F88" s="157"/>
      <c r="G88" s="157"/>
      <c r="K88" s="290"/>
      <c r="M88" s="159"/>
    </row>
    <row r="89" spans="1:13" x14ac:dyDescent="0.25">
      <c r="A89" s="157" t="s">
        <v>1095</v>
      </c>
      <c r="C89" s="159"/>
      <c r="D89" s="157"/>
      <c r="E89" s="157"/>
      <c r="F89" s="157"/>
      <c r="G89" s="157"/>
      <c r="K89" s="290"/>
      <c r="M89" s="159"/>
    </row>
    <row r="90" spans="1:13" x14ac:dyDescent="0.25">
      <c r="A90" s="157" t="s">
        <v>1096</v>
      </c>
      <c r="C90" s="159"/>
      <c r="D90" s="157"/>
      <c r="E90" s="157"/>
      <c r="F90" s="157"/>
      <c r="G90" s="157"/>
      <c r="K90" s="290"/>
      <c r="M90" s="159"/>
    </row>
    <row r="91" spans="1:13" x14ac:dyDescent="0.25">
      <c r="A91" s="157" t="s">
        <v>1161</v>
      </c>
      <c r="C91" s="159"/>
      <c r="D91" s="157"/>
      <c r="E91" s="157"/>
      <c r="F91" s="157"/>
      <c r="G91" s="157"/>
      <c r="K91" s="290"/>
      <c r="M91" s="159"/>
    </row>
    <row r="92" spans="1:13" x14ac:dyDescent="0.25">
      <c r="A92" s="157" t="s">
        <v>1162</v>
      </c>
      <c r="C92" s="159"/>
      <c r="D92" s="157"/>
      <c r="E92" s="157"/>
      <c r="F92" s="157"/>
      <c r="G92" s="157"/>
      <c r="K92" s="290"/>
      <c r="M92" s="159"/>
    </row>
    <row r="93" spans="1:13" x14ac:dyDescent="0.25">
      <c r="A93" s="157" t="s">
        <v>1172</v>
      </c>
      <c r="C93" s="159"/>
      <c r="D93" s="157"/>
      <c r="E93" s="325" t="s">
        <v>989</v>
      </c>
      <c r="F93" s="325">
        <v>450</v>
      </c>
      <c r="G93" s="157" t="s">
        <v>732</v>
      </c>
      <c r="K93" s="290"/>
      <c r="M93" s="159"/>
    </row>
    <row r="94" spans="1:13" x14ac:dyDescent="0.25">
      <c r="A94" s="157" t="s">
        <v>1173</v>
      </c>
      <c r="C94" s="159"/>
      <c r="D94" s="157"/>
      <c r="E94" s="157"/>
      <c r="F94" s="835">
        <f>F93*D11</f>
        <v>2785500</v>
      </c>
      <c r="G94" s="157"/>
      <c r="K94" s="290"/>
      <c r="M94" s="159"/>
    </row>
    <row r="95" spans="1:13" x14ac:dyDescent="0.25">
      <c r="A95" s="157" t="s">
        <v>1381</v>
      </c>
      <c r="C95" s="159"/>
      <c r="D95" s="157"/>
      <c r="E95" s="157"/>
      <c r="F95" s="157"/>
      <c r="G95" s="157"/>
      <c r="K95" s="290"/>
      <c r="M95" s="159"/>
    </row>
    <row r="96" spans="1:13" x14ac:dyDescent="0.25">
      <c r="A96" s="157" t="s">
        <v>1382</v>
      </c>
      <c r="C96" s="159"/>
      <c r="D96" s="157"/>
      <c r="E96" s="157"/>
      <c r="F96" s="157"/>
      <c r="G96" s="157"/>
      <c r="K96" s="290"/>
      <c r="M96" s="159"/>
    </row>
    <row r="97" spans="3:13" x14ac:dyDescent="0.25">
      <c r="C97" s="159"/>
      <c r="D97" s="157"/>
      <c r="E97" s="157"/>
      <c r="F97" s="157"/>
      <c r="G97" s="157"/>
      <c r="K97" s="290"/>
      <c r="M97" s="159"/>
    </row>
    <row r="98" spans="3:13" x14ac:dyDescent="0.25">
      <c r="C98" s="159"/>
      <c r="D98" s="157"/>
      <c r="E98" s="157"/>
      <c r="F98" s="157"/>
      <c r="G98" s="157"/>
      <c r="K98" s="290"/>
      <c r="M98" s="159"/>
    </row>
    <row r="99" spans="3:13" x14ac:dyDescent="0.25">
      <c r="C99" s="159"/>
      <c r="D99" s="157"/>
      <c r="E99" s="157"/>
      <c r="F99" s="157"/>
      <c r="G99" s="157"/>
      <c r="K99" s="290"/>
      <c r="M99" s="159"/>
    </row>
    <row r="100" spans="3:13" x14ac:dyDescent="0.25">
      <c r="C100" s="159"/>
      <c r="D100" s="157"/>
      <c r="E100" s="157"/>
      <c r="F100" s="157"/>
      <c r="G100" s="157"/>
      <c r="K100" s="290"/>
      <c r="M100" s="159"/>
    </row>
    <row r="101" spans="3:13" x14ac:dyDescent="0.25">
      <c r="C101" s="159"/>
      <c r="D101" s="157"/>
      <c r="E101" s="157"/>
      <c r="F101" s="157"/>
      <c r="G101" s="157"/>
      <c r="K101" s="290"/>
      <c r="M101" s="159"/>
    </row>
    <row r="102" spans="3:13" x14ac:dyDescent="0.25">
      <c r="C102" s="159"/>
      <c r="D102" s="157"/>
      <c r="E102" s="157"/>
      <c r="F102" s="157"/>
      <c r="G102" s="157"/>
      <c r="K102" s="290"/>
      <c r="M102" s="159"/>
    </row>
    <row r="103" spans="3:13" x14ac:dyDescent="0.25">
      <c r="C103" s="159"/>
      <c r="D103" s="157"/>
      <c r="E103" s="157"/>
      <c r="F103" s="157"/>
      <c r="G103" s="157"/>
      <c r="K103" s="290"/>
      <c r="M103" s="159"/>
    </row>
    <row r="104" spans="3:13" x14ac:dyDescent="0.25">
      <c r="C104" s="159" t="s">
        <v>986</v>
      </c>
      <c r="D104" s="157">
        <v>429.13</v>
      </c>
      <c r="E104" s="834">
        <f>3842002.75/8415</f>
        <v>456.56598336304216</v>
      </c>
      <c r="F104" s="157"/>
      <c r="G104" s="157"/>
      <c r="K104" s="290"/>
      <c r="M104" s="159"/>
    </row>
    <row r="105" spans="3:13" x14ac:dyDescent="0.25">
      <c r="C105" s="159" t="s">
        <v>987</v>
      </c>
      <c r="D105" s="157">
        <v>418.12</v>
      </c>
      <c r="E105" s="157"/>
      <c r="F105" s="157"/>
      <c r="G105" s="157"/>
      <c r="K105" s="290"/>
      <c r="M105" s="159"/>
    </row>
    <row r="106" spans="3:13" x14ac:dyDescent="0.25">
      <c r="C106" s="159" t="s">
        <v>988</v>
      </c>
      <c r="D106" s="157">
        <v>378.13</v>
      </c>
      <c r="E106" s="834">
        <f>1376153.46/3370</f>
        <v>408.35414243323441</v>
      </c>
      <c r="F106" s="157"/>
      <c r="G106" s="157"/>
      <c r="K106" s="290"/>
      <c r="M106" s="159"/>
    </row>
    <row r="107" spans="3:13" x14ac:dyDescent="0.25">
      <c r="C107" s="159"/>
      <c r="D107" s="157"/>
      <c r="E107" s="157"/>
      <c r="F107" s="157"/>
      <c r="G107" s="157"/>
      <c r="K107" s="290"/>
      <c r="M107" s="159"/>
    </row>
    <row r="108" spans="3:13" x14ac:dyDescent="0.25">
      <c r="C108" s="159"/>
      <c r="D108" s="157"/>
      <c r="E108" s="157"/>
      <c r="F108" s="157"/>
      <c r="G108" s="157"/>
      <c r="K108" s="290"/>
      <c r="M108" s="159"/>
    </row>
    <row r="109" spans="3:13" x14ac:dyDescent="0.25">
      <c r="C109" s="159"/>
      <c r="D109" s="157"/>
      <c r="E109" s="157"/>
      <c r="F109" s="157"/>
      <c r="G109" s="157"/>
      <c r="K109" s="290"/>
      <c r="M109" s="159"/>
    </row>
    <row r="110" spans="3:13" x14ac:dyDescent="0.25">
      <c r="C110" s="159"/>
      <c r="D110" s="157"/>
      <c r="E110" s="157"/>
      <c r="F110" s="157"/>
      <c r="G110" s="157"/>
      <c r="K110" s="290"/>
      <c r="M110" s="159"/>
    </row>
    <row r="111" spans="3:13" x14ac:dyDescent="0.25">
      <c r="C111" s="159"/>
      <c r="D111" s="157"/>
      <c r="E111" s="157"/>
      <c r="F111" s="157"/>
      <c r="G111" s="157"/>
      <c r="K111" s="290"/>
      <c r="M111" s="159"/>
    </row>
  </sheetData>
  <mergeCells count="15">
    <mergeCell ref="L79:M79"/>
    <mergeCell ref="H13:H14"/>
    <mergeCell ref="L80:M80"/>
    <mergeCell ref="K13:K14"/>
    <mergeCell ref="L13:L14"/>
    <mergeCell ref="M13:M14"/>
    <mergeCell ref="A2:H2"/>
    <mergeCell ref="B13:B14"/>
    <mergeCell ref="A13:A14"/>
    <mergeCell ref="F9:G10"/>
    <mergeCell ref="A9:B9"/>
    <mergeCell ref="G13:G14"/>
    <mergeCell ref="F13:F14"/>
    <mergeCell ref="E13:E14"/>
    <mergeCell ref="D13:D14"/>
  </mergeCells>
  <phoneticPr fontId="5" type="noConversion"/>
  <printOptions horizontalCentered="1"/>
  <pageMargins left="0.7" right="0.7" top="0.75" bottom="0.75" header="0.5" footer="0.5"/>
  <pageSetup scale="49" orientation="portrait" horizontalDpi="36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 promptTitle="Province" prompt="Please Select From List" xr:uid="{00000000-0002-0000-0500-000000000000}">
          <x14:formula1>
            <xm:f>DATA!$D$3:$D$6</xm:f>
          </x14:formula1>
          <xm:sqref>B5</xm:sqref>
        </x14:dataValidation>
        <x14:dataValidation type="list" showInputMessage="1" showErrorMessage="1" promptTitle="Select Quarter" prompt="Please Select From List" xr:uid="{00000000-0002-0000-0500-000001000000}">
          <x14:formula1>
            <xm:f>DATA!$B$3:$B$6</xm:f>
          </x14:formula1>
          <xm:sqref>B8</xm:sqref>
        </x14:dataValidation>
        <x14:dataValidation type="list" allowBlank="1" showInputMessage="1" showErrorMessage="1" promptTitle="Satus" prompt="Please Select From List" xr:uid="{00000000-0002-0000-0500-000005000000}">
          <x14:formula1>
            <xm:f>DATA!$R$5:$R$7</xm:f>
          </x14:formula1>
          <xm:sqref>F6</xm:sqref>
        </x14:dataValidation>
        <x14:dataValidation type="list" allowBlank="1" showInputMessage="1" showErrorMessage="1" promptTitle="Result" prompt="Please Select From LIst" xr:uid="{00000000-0002-0000-0500-000006000000}">
          <x14:formula1>
            <xm:f>DATA!$T$5:$T$6</xm:f>
          </x14:formula1>
          <xm:sqref>F7</xm:sqref>
        </x14:dataValidation>
        <x14:dataValidation type="list" allowBlank="1" showInputMessage="1" showErrorMessage="1" promptTitle="Client Definition" prompt="Please Select From List" xr:uid="{00000000-0002-0000-0500-000008000000}">
          <x14:formula1>
            <xm:f>DATA!$P$3:$P$5</xm:f>
          </x14:formula1>
          <xm:sqref>I6</xm:sqref>
        </x14:dataValidation>
        <x14:dataValidation type="list" allowBlank="1" showInputMessage="1" showErrorMessage="1" promptTitle="Project Definition" prompt="Please Select From List" xr:uid="{00000000-0002-0000-0500-000009000000}">
          <x14:formula1>
            <xm:f>DATA!#REF!</xm:f>
          </x14:formula1>
          <xm:sqref>F8</xm:sqref>
        </x14:dataValidation>
        <x14:dataValidation type="list" allowBlank="1" showInputMessage="1" showErrorMessage="1" promptTitle="Lead" prompt="Please Select From List" xr:uid="{00000000-0002-0000-0500-00000A000000}">
          <x14:formula1>
            <xm:f>DATA!#REF!</xm:f>
          </x14:formula1>
          <xm:sqref>H7:I7</xm:sqref>
        </x14:dataValidation>
        <x14:dataValidation type="list" allowBlank="1" showInputMessage="1" showErrorMessage="1" promptTitle="F / H / P" prompt="Please Select From List" xr:uid="{00000000-0002-0000-0500-00000B000000}">
          <x14:formula1>
            <xm:f>DATA!#REF!</xm:f>
          </x14:formula1>
          <xm:sqref>I8</xm:sqref>
        </x14:dataValidation>
        <x14:dataValidation type="list" allowBlank="1" showInputMessage="1" showErrorMessage="1" promptTitle="Client Definition" prompt="Please Select From List" xr:uid="{00000000-0002-0000-0500-00000C000000}">
          <x14:formula1>
            <xm:f>DATA!#REF!</xm:f>
          </x14:formula1>
          <xm:sqref>H8</xm:sqref>
        </x14:dataValidation>
        <x14:dataValidation type="list" allowBlank="1" showInputMessage="1" showErrorMessage="1" promptTitle="Contract Type" prompt="Please Select From List" xr:uid="{00000000-0002-0000-0500-000003000000}">
          <x14:formula1>
            <xm:f>DATA!$J$3:$J$6</xm:f>
          </x14:formula1>
          <xm:sqref>D7</xm:sqref>
        </x14:dataValidation>
        <x14:dataValidation type="list" allowBlank="1" showInputMessage="1" showErrorMessage="1" promptTitle="Payment Method" prompt="Please Select From List" xr:uid="{00000000-0002-0000-0500-000004000000}">
          <x14:formula1>
            <xm:f>DATA!$K$3:$K$4</xm:f>
          </x14:formula1>
          <xm:sqref>D8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rgb="FF00B050"/>
    <pageSetUpPr fitToPage="1"/>
  </sheetPr>
  <dimension ref="A1:AA184"/>
  <sheetViews>
    <sheetView topLeftCell="A112" zoomScaleNormal="75" zoomScaleSheetLayoutView="90" zoomScalePageLayoutView="75" workbookViewId="0">
      <selection activeCell="D43" sqref="D43"/>
    </sheetView>
  </sheetViews>
  <sheetFormatPr defaultColWidth="9.109375" defaultRowHeight="13.2" x14ac:dyDescent="0.25"/>
  <cols>
    <col min="1" max="1" width="12.109375" style="157" customWidth="1"/>
    <col min="2" max="2" width="48.88671875" style="157" customWidth="1"/>
    <col min="3" max="3" width="13" style="445" customWidth="1"/>
    <col min="4" max="4" width="9" style="445" customWidth="1"/>
    <col min="5" max="5" width="12" style="157" customWidth="1"/>
    <col min="6" max="6" width="12.5546875" style="157" customWidth="1"/>
    <col min="7" max="7" width="11.109375" style="157" customWidth="1"/>
    <col min="8" max="8" width="11.44140625" style="157" customWidth="1"/>
    <col min="9" max="9" width="14.5546875" style="157" customWidth="1"/>
    <col min="10" max="10" width="16.109375" style="157" customWidth="1"/>
    <col min="11" max="11" width="14.44140625" style="157" customWidth="1"/>
    <col min="12" max="12" width="26.88671875" style="159" customWidth="1"/>
    <col min="13" max="13" width="17.44140625" style="282" customWidth="1"/>
    <col min="14" max="14" width="25.109375" style="157" customWidth="1"/>
    <col min="15" max="15" width="23.88671875" style="308" customWidth="1"/>
    <col min="16" max="16" width="27.44140625" style="308" customWidth="1"/>
    <col min="17" max="17" width="30.88671875" style="157" customWidth="1"/>
    <col min="18" max="16384" width="9.109375" style="157"/>
  </cols>
  <sheetData>
    <row r="1" spans="1:2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27" ht="13.8" thickBot="1" x14ac:dyDescent="0.3">
      <c r="A2" s="329"/>
      <c r="B2" s="330"/>
      <c r="C2" s="331"/>
      <c r="D2" s="1063"/>
      <c r="E2" s="1063"/>
      <c r="F2" s="1063"/>
      <c r="G2" s="331"/>
      <c r="H2" s="332"/>
      <c r="I2" s="333"/>
      <c r="J2" s="334"/>
      <c r="K2" s="335"/>
    </row>
    <row r="3" spans="1:27" ht="16.2" thickBot="1" x14ac:dyDescent="0.35">
      <c r="A3" s="1052"/>
      <c r="B3" s="1053"/>
      <c r="C3" s="331"/>
      <c r="D3" s="1063"/>
      <c r="E3" s="1063"/>
      <c r="F3" s="1063"/>
      <c r="G3" s="336"/>
      <c r="H3" s="337"/>
      <c r="I3" s="338"/>
      <c r="J3" s="338"/>
      <c r="K3" s="339"/>
      <c r="L3" s="1054"/>
      <c r="M3" s="1054"/>
      <c r="N3" s="1064"/>
      <c r="O3" s="1064"/>
      <c r="P3" s="978"/>
    </row>
    <row r="4" spans="1:27" ht="12.9" customHeight="1" thickBot="1" x14ac:dyDescent="0.3">
      <c r="A4" s="1052"/>
      <c r="B4" s="1053"/>
      <c r="C4" s="331"/>
      <c r="D4" s="1063"/>
      <c r="E4" s="1063"/>
      <c r="F4" s="1063"/>
      <c r="G4" s="340"/>
      <c r="H4" s="341"/>
      <c r="I4" s="333"/>
      <c r="J4" s="334"/>
      <c r="K4" s="335"/>
      <c r="L4" s="1054"/>
      <c r="M4" s="1054"/>
      <c r="N4" s="1064"/>
      <c r="O4" s="1064"/>
      <c r="P4" s="978"/>
    </row>
    <row r="5" spans="1:27" ht="21.6" thickBot="1" x14ac:dyDescent="0.35">
      <c r="A5" s="342"/>
      <c r="B5" s="343"/>
      <c r="C5" s="344"/>
      <c r="D5" s="345"/>
      <c r="E5" s="346"/>
      <c r="F5" s="341"/>
      <c r="G5" s="1062" t="s">
        <v>3</v>
      </c>
      <c r="H5" s="1062"/>
      <c r="I5" s="1062"/>
      <c r="J5" s="1060" t="s">
        <v>72</v>
      </c>
      <c r="K5" s="1061"/>
      <c r="L5" s="1054"/>
      <c r="M5" s="1054"/>
      <c r="N5" s="1064"/>
      <c r="O5" s="1064"/>
      <c r="P5" s="978"/>
    </row>
    <row r="6" spans="1:27" ht="21.6" thickBot="1" x14ac:dyDescent="0.3">
      <c r="A6" s="342"/>
      <c r="B6" s="343"/>
      <c r="C6" s="347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'Estimate Summary'!D81</f>
        <v>38</v>
      </c>
      <c r="K6" s="335" t="s">
        <v>73</v>
      </c>
      <c r="L6" s="1054"/>
      <c r="M6" s="1054"/>
      <c r="N6" s="1064"/>
      <c r="O6" s="1064"/>
      <c r="P6" s="978"/>
    </row>
    <row r="7" spans="1:2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2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M8" s="355"/>
      <c r="N8" s="356"/>
      <c r="O8" s="357"/>
      <c r="P8" s="357"/>
    </row>
    <row r="9" spans="1:2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361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27" ht="15.6" x14ac:dyDescent="0.3">
      <c r="A10" s="362" t="s">
        <v>102</v>
      </c>
      <c r="B10" s="363" t="s">
        <v>101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368" t="s">
        <v>14</v>
      </c>
      <c r="H10" s="366" t="s">
        <v>35</v>
      </c>
      <c r="I10" s="367" t="s">
        <v>30</v>
      </c>
      <c r="J10" s="369" t="s">
        <v>659</v>
      </c>
      <c r="K10" s="370" t="s">
        <v>38</v>
      </c>
      <c r="L10" s="1022"/>
      <c r="M10" s="1024"/>
      <c r="N10" s="1026"/>
      <c r="O10" s="1028"/>
      <c r="P10" s="1030"/>
      <c r="Q10" s="1020"/>
      <c r="S10" s="371"/>
      <c r="T10" s="371"/>
      <c r="U10" s="372"/>
      <c r="V10" s="372"/>
      <c r="W10" s="373"/>
      <c r="X10" s="372"/>
      <c r="Y10" s="372"/>
      <c r="Z10" s="372"/>
      <c r="AA10" s="374"/>
    </row>
    <row r="11" spans="1:27" x14ac:dyDescent="0.25">
      <c r="A11" s="375" t="s">
        <v>644</v>
      </c>
      <c r="B11" s="5" t="s">
        <v>124</v>
      </c>
      <c r="C11" s="376"/>
      <c r="D11" s="377" t="s">
        <v>21</v>
      </c>
      <c r="E11" s="259">
        <v>0</v>
      </c>
      <c r="F11" s="378">
        <f>C11*E11</f>
        <v>0</v>
      </c>
      <c r="G11" s="379"/>
      <c r="H11" s="380">
        <v>0</v>
      </c>
      <c r="I11" s="378">
        <f>G11*H11</f>
        <v>0</v>
      </c>
      <c r="J11" s="381"/>
      <c r="K11" s="382">
        <f>F11+I11+J11</f>
        <v>0</v>
      </c>
      <c r="L11" s="383"/>
      <c r="M11" s="384"/>
      <c r="N11" s="385"/>
      <c r="O11" s="386"/>
      <c r="P11" s="387"/>
      <c r="Q11" s="388"/>
      <c r="S11" s="371"/>
      <c r="T11" s="371"/>
      <c r="U11" s="372"/>
      <c r="V11" s="372"/>
      <c r="W11" s="373"/>
      <c r="X11" s="372"/>
      <c r="Y11" s="372"/>
      <c r="Z11" s="372"/>
      <c r="AA11" s="374"/>
    </row>
    <row r="12" spans="1:27" x14ac:dyDescent="0.25">
      <c r="A12" s="375" t="s">
        <v>645</v>
      </c>
      <c r="B12" s="5" t="s">
        <v>117</v>
      </c>
      <c r="C12" s="376"/>
      <c r="D12" s="377" t="s">
        <v>21</v>
      </c>
      <c r="E12" s="259">
        <v>0</v>
      </c>
      <c r="F12" s="378">
        <f t="shared" ref="F12:F22" si="0">C12*E12</f>
        <v>0</v>
      </c>
      <c r="G12" s="379"/>
      <c r="H12" s="380">
        <v>0</v>
      </c>
      <c r="I12" s="378">
        <f t="shared" ref="I12:I22" si="1">G12*H12</f>
        <v>0</v>
      </c>
      <c r="J12" s="381"/>
      <c r="K12" s="382">
        <f t="shared" ref="K12:K22" si="2">F12+I12+J12</f>
        <v>0</v>
      </c>
      <c r="L12" s="383"/>
      <c r="M12" s="384"/>
      <c r="N12" s="385"/>
      <c r="O12" s="386"/>
      <c r="P12" s="387"/>
      <c r="Q12" s="388"/>
    </row>
    <row r="13" spans="1:27" x14ac:dyDescent="0.25">
      <c r="A13" s="375" t="s">
        <v>648</v>
      </c>
      <c r="B13" s="5" t="s">
        <v>118</v>
      </c>
      <c r="C13" s="376"/>
      <c r="D13" s="377" t="s">
        <v>21</v>
      </c>
      <c r="E13" s="259">
        <v>0</v>
      </c>
      <c r="F13" s="378">
        <f t="shared" si="0"/>
        <v>0</v>
      </c>
      <c r="G13" s="379"/>
      <c r="H13" s="380">
        <v>0</v>
      </c>
      <c r="I13" s="378">
        <f t="shared" si="1"/>
        <v>0</v>
      </c>
      <c r="J13" s="381"/>
      <c r="K13" s="382">
        <f t="shared" si="2"/>
        <v>0</v>
      </c>
      <c r="L13" s="383"/>
      <c r="M13" s="384"/>
      <c r="N13" s="385"/>
      <c r="O13" s="386"/>
      <c r="P13" s="387"/>
      <c r="Q13" s="388"/>
    </row>
    <row r="14" spans="1:27" x14ac:dyDescent="0.25">
      <c r="A14" s="375" t="s">
        <v>646</v>
      </c>
      <c r="B14" s="5" t="s">
        <v>93</v>
      </c>
      <c r="C14" s="376"/>
      <c r="D14" s="377" t="s">
        <v>21</v>
      </c>
      <c r="E14" s="259">
        <v>0</v>
      </c>
      <c r="F14" s="378">
        <f t="shared" si="0"/>
        <v>0</v>
      </c>
      <c r="G14" s="379"/>
      <c r="H14" s="380">
        <v>0</v>
      </c>
      <c r="I14" s="378">
        <f t="shared" si="1"/>
        <v>0</v>
      </c>
      <c r="J14" s="381"/>
      <c r="K14" s="382">
        <f t="shared" si="2"/>
        <v>0</v>
      </c>
      <c r="L14" s="383"/>
      <c r="M14" s="384"/>
      <c r="N14" s="385"/>
      <c r="O14" s="386"/>
      <c r="P14" s="387"/>
      <c r="Q14" s="388"/>
    </row>
    <row r="15" spans="1:27" x14ac:dyDescent="0.25">
      <c r="A15" s="375" t="s">
        <v>647</v>
      </c>
      <c r="B15" s="6" t="s">
        <v>119</v>
      </c>
      <c r="C15" s="376"/>
      <c r="D15" s="377" t="s">
        <v>21</v>
      </c>
      <c r="E15" s="259">
        <v>0</v>
      </c>
      <c r="F15" s="378">
        <f t="shared" si="0"/>
        <v>0</v>
      </c>
      <c r="G15" s="379"/>
      <c r="H15" s="380">
        <v>0</v>
      </c>
      <c r="I15" s="378">
        <f t="shared" si="1"/>
        <v>0</v>
      </c>
      <c r="J15" s="381"/>
      <c r="K15" s="382">
        <f t="shared" si="2"/>
        <v>0</v>
      </c>
      <c r="L15" s="383"/>
      <c r="M15" s="384"/>
      <c r="N15" s="385"/>
      <c r="O15" s="386"/>
      <c r="P15" s="387"/>
      <c r="Q15" s="388"/>
    </row>
    <row r="16" spans="1:27" x14ac:dyDescent="0.25">
      <c r="A16" s="389" t="s">
        <v>649</v>
      </c>
      <c r="B16" s="5" t="s">
        <v>120</v>
      </c>
      <c r="C16" s="376"/>
      <c r="D16" s="377" t="s">
        <v>21</v>
      </c>
      <c r="E16" s="259">
        <v>0</v>
      </c>
      <c r="F16" s="378">
        <f t="shared" si="0"/>
        <v>0</v>
      </c>
      <c r="G16" s="379"/>
      <c r="H16" s="380">
        <v>0</v>
      </c>
      <c r="I16" s="378">
        <f t="shared" si="1"/>
        <v>0</v>
      </c>
      <c r="J16" s="381"/>
      <c r="K16" s="382">
        <f t="shared" si="2"/>
        <v>0</v>
      </c>
      <c r="L16" s="383"/>
      <c r="M16" s="384"/>
      <c r="N16" s="385"/>
      <c r="O16" s="386"/>
      <c r="P16" s="387"/>
      <c r="Q16" s="388"/>
    </row>
    <row r="17" spans="1:26" x14ac:dyDescent="0.25">
      <c r="A17" s="389" t="s">
        <v>650</v>
      </c>
      <c r="B17" s="5" t="s">
        <v>121</v>
      </c>
      <c r="C17" s="376"/>
      <c r="D17" s="377" t="s">
        <v>21</v>
      </c>
      <c r="E17" s="259">
        <v>0</v>
      </c>
      <c r="F17" s="378">
        <f t="shared" si="0"/>
        <v>0</v>
      </c>
      <c r="G17" s="379"/>
      <c r="H17" s="380">
        <v>0</v>
      </c>
      <c r="I17" s="378">
        <f t="shared" si="1"/>
        <v>0</v>
      </c>
      <c r="J17" s="381"/>
      <c r="K17" s="382">
        <f t="shared" si="2"/>
        <v>0</v>
      </c>
      <c r="L17" s="383"/>
      <c r="M17" s="384"/>
      <c r="N17" s="385"/>
      <c r="O17" s="386"/>
      <c r="P17" s="387"/>
      <c r="Q17" s="388"/>
    </row>
    <row r="18" spans="1:26" x14ac:dyDescent="0.25">
      <c r="A18" s="389" t="s">
        <v>651</v>
      </c>
      <c r="B18" s="5" t="s">
        <v>122</v>
      </c>
      <c r="C18" s="376"/>
      <c r="D18" s="377" t="s">
        <v>21</v>
      </c>
      <c r="E18" s="259">
        <v>0</v>
      </c>
      <c r="F18" s="378">
        <f t="shared" si="0"/>
        <v>0</v>
      </c>
      <c r="G18" s="379"/>
      <c r="H18" s="380">
        <v>0</v>
      </c>
      <c r="I18" s="378">
        <f t="shared" si="1"/>
        <v>0</v>
      </c>
      <c r="J18" s="381"/>
      <c r="K18" s="382">
        <f t="shared" si="2"/>
        <v>0</v>
      </c>
      <c r="L18" s="383"/>
      <c r="M18" s="384"/>
      <c r="N18" s="385"/>
      <c r="O18" s="386"/>
      <c r="P18" s="387"/>
      <c r="Q18" s="388"/>
    </row>
    <row r="19" spans="1:26" ht="15.6" x14ac:dyDescent="0.3">
      <c r="A19" s="389" t="s">
        <v>652</v>
      </c>
      <c r="B19" s="5" t="s">
        <v>42</v>
      </c>
      <c r="C19" s="376"/>
      <c r="D19" s="377" t="s">
        <v>21</v>
      </c>
      <c r="E19" s="259">
        <v>0</v>
      </c>
      <c r="F19" s="378">
        <f t="shared" si="0"/>
        <v>0</v>
      </c>
      <c r="G19" s="379"/>
      <c r="H19" s="380">
        <v>0</v>
      </c>
      <c r="I19" s="378">
        <f t="shared" si="1"/>
        <v>0</v>
      </c>
      <c r="J19" s="381"/>
      <c r="K19" s="382">
        <f t="shared" si="2"/>
        <v>0</v>
      </c>
      <c r="L19" s="383"/>
      <c r="M19" s="384"/>
      <c r="N19" s="385"/>
      <c r="O19" s="386"/>
      <c r="P19" s="387"/>
      <c r="Q19" s="388"/>
      <c r="Y19" s="34"/>
      <c r="Z19" s="35"/>
    </row>
    <row r="20" spans="1:26" ht="15.6" x14ac:dyDescent="0.3">
      <c r="A20" s="389" t="s">
        <v>653</v>
      </c>
      <c r="B20" s="5" t="s">
        <v>41</v>
      </c>
      <c r="C20" s="376"/>
      <c r="D20" s="377" t="s">
        <v>21</v>
      </c>
      <c r="E20" s="259">
        <v>0</v>
      </c>
      <c r="F20" s="378">
        <f t="shared" si="0"/>
        <v>0</v>
      </c>
      <c r="G20" s="379"/>
      <c r="H20" s="380">
        <v>0</v>
      </c>
      <c r="I20" s="378">
        <f t="shared" si="1"/>
        <v>0</v>
      </c>
      <c r="J20" s="381"/>
      <c r="K20" s="382">
        <f t="shared" si="2"/>
        <v>0</v>
      </c>
      <c r="L20" s="383"/>
      <c r="M20" s="384"/>
      <c r="N20" s="385"/>
      <c r="O20" s="386"/>
      <c r="P20" s="387"/>
      <c r="Q20" s="388"/>
      <c r="Y20" s="390"/>
      <c r="Z20" s="391"/>
    </row>
    <row r="21" spans="1:26" ht="15.6" x14ac:dyDescent="0.3">
      <c r="A21" s="389" t="s">
        <v>654</v>
      </c>
      <c r="B21" s="5" t="s">
        <v>10</v>
      </c>
      <c r="C21" s="376"/>
      <c r="D21" s="377" t="s">
        <v>21</v>
      </c>
      <c r="E21" s="259">
        <v>0</v>
      </c>
      <c r="F21" s="378">
        <f t="shared" si="0"/>
        <v>0</v>
      </c>
      <c r="G21" s="379"/>
      <c r="H21" s="380">
        <v>0</v>
      </c>
      <c r="I21" s="378">
        <f t="shared" si="1"/>
        <v>0</v>
      </c>
      <c r="J21" s="381"/>
      <c r="K21" s="382">
        <f t="shared" si="2"/>
        <v>0</v>
      </c>
      <c r="L21" s="383"/>
      <c r="M21" s="384"/>
      <c r="N21" s="385"/>
      <c r="O21" s="386"/>
      <c r="P21" s="387"/>
      <c r="Q21" s="388"/>
      <c r="Y21" s="390"/>
      <c r="Z21" s="391"/>
    </row>
    <row r="22" spans="1:26" ht="15.6" x14ac:dyDescent="0.3">
      <c r="A22" s="389" t="s">
        <v>655</v>
      </c>
      <c r="B22" s="5" t="s">
        <v>123</v>
      </c>
      <c r="C22" s="376"/>
      <c r="D22" s="377" t="s">
        <v>21</v>
      </c>
      <c r="E22" s="259">
        <v>0</v>
      </c>
      <c r="F22" s="378">
        <f t="shared" si="0"/>
        <v>0</v>
      </c>
      <c r="G22" s="379"/>
      <c r="H22" s="380">
        <v>0</v>
      </c>
      <c r="I22" s="378">
        <f t="shared" si="1"/>
        <v>0</v>
      </c>
      <c r="J22" s="381"/>
      <c r="K22" s="382">
        <f t="shared" si="2"/>
        <v>0</v>
      </c>
      <c r="L22" s="383"/>
      <c r="M22" s="384"/>
      <c r="N22" s="385"/>
      <c r="O22" s="386"/>
      <c r="P22" s="387"/>
      <c r="Q22" s="388"/>
      <c r="Y22" s="390"/>
      <c r="Z22" s="391"/>
    </row>
    <row r="23" spans="1:26" ht="16.2" thickBot="1" x14ac:dyDescent="0.35">
      <c r="A23" s="392"/>
      <c r="B23" s="7"/>
      <c r="C23" s="393"/>
      <c r="D23" s="377"/>
      <c r="E23" s="259"/>
      <c r="F23" s="378"/>
      <c r="G23" s="379"/>
      <c r="H23" s="380"/>
      <c r="I23" s="378"/>
      <c r="J23" s="381"/>
      <c r="K23" s="382"/>
      <c r="L23" s="383"/>
      <c r="M23" s="384"/>
      <c r="N23" s="385"/>
      <c r="O23" s="386"/>
      <c r="P23" s="387"/>
      <c r="Q23" s="388"/>
      <c r="Y23" s="390"/>
      <c r="Z23" s="391"/>
    </row>
    <row r="24" spans="1:26" ht="16.2" thickTop="1" x14ac:dyDescent="0.3">
      <c r="A24" s="392"/>
      <c r="B24" s="7"/>
      <c r="C24" s="393"/>
      <c r="D24" s="377"/>
      <c r="E24" s="259"/>
      <c r="F24" s="378"/>
      <c r="G24" s="379"/>
      <c r="H24" s="380"/>
      <c r="I24" s="378"/>
      <c r="J24" s="394" t="s">
        <v>30</v>
      </c>
      <c r="K24" s="395">
        <f>SUM(K11:K23)</f>
        <v>0</v>
      </c>
      <c r="L24" s="383"/>
      <c r="M24" s="384"/>
      <c r="N24" s="385"/>
      <c r="O24" s="386"/>
      <c r="P24" s="387"/>
      <c r="Q24" s="388"/>
      <c r="Y24" s="390"/>
      <c r="Z24" s="391"/>
    </row>
    <row r="25" spans="1:26" ht="16.2" thickBot="1" x14ac:dyDescent="0.35">
      <c r="A25" s="358" t="s">
        <v>0</v>
      </c>
      <c r="B25" s="359" t="s">
        <v>1</v>
      </c>
      <c r="C25" s="1018" t="s">
        <v>656</v>
      </c>
      <c r="D25" s="1018"/>
      <c r="E25" s="1018"/>
      <c r="F25" s="1018"/>
      <c r="G25" s="1018" t="s">
        <v>34</v>
      </c>
      <c r="H25" s="1018"/>
      <c r="I25" s="1018"/>
      <c r="J25" s="360"/>
      <c r="K25" s="361"/>
      <c r="L25" s="396"/>
      <c r="M25" s="397"/>
      <c r="N25" s="398"/>
      <c r="O25" s="386"/>
      <c r="P25" s="387"/>
      <c r="Q25" s="388"/>
      <c r="Y25" s="390"/>
      <c r="Z25" s="391"/>
    </row>
    <row r="26" spans="1:26" ht="16.2" thickBot="1" x14ac:dyDescent="0.35">
      <c r="A26" s="399" t="s">
        <v>103</v>
      </c>
      <c r="B26" s="400" t="s">
        <v>104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405" t="s">
        <v>14</v>
      </c>
      <c r="H26" s="403" t="s">
        <v>35</v>
      </c>
      <c r="I26" s="404" t="s">
        <v>30</v>
      </c>
      <c r="J26" s="369" t="s">
        <v>659</v>
      </c>
      <c r="K26" s="406" t="s">
        <v>38</v>
      </c>
      <c r="L26" s="407"/>
      <c r="M26" s="408"/>
      <c r="N26" s="409"/>
      <c r="O26" s="386"/>
      <c r="P26" s="387"/>
      <c r="Q26" s="388"/>
      <c r="Y26" s="390"/>
      <c r="Z26" s="391"/>
    </row>
    <row r="27" spans="1:26" ht="15.6" x14ac:dyDescent="0.3">
      <c r="A27" s="410" t="s">
        <v>802</v>
      </c>
      <c r="B27" s="411" t="s">
        <v>124</v>
      </c>
      <c r="C27" s="376"/>
      <c r="D27" s="377" t="s">
        <v>21</v>
      </c>
      <c r="E27" s="259">
        <v>0</v>
      </c>
      <c r="F27" s="378">
        <f>C27*E27</f>
        <v>0</v>
      </c>
      <c r="G27" s="379"/>
      <c r="H27" s="380">
        <v>0</v>
      </c>
      <c r="I27" s="378">
        <f>G27*H27</f>
        <v>0</v>
      </c>
      <c r="J27" s="381"/>
      <c r="K27" s="382">
        <f>F27+I27+J27</f>
        <v>0</v>
      </c>
      <c r="L27" s="383"/>
      <c r="M27" s="384"/>
      <c r="N27" s="385"/>
      <c r="O27" s="386"/>
      <c r="P27" s="387"/>
      <c r="Q27" s="388"/>
      <c r="Y27" s="390"/>
      <c r="Z27" s="391"/>
    </row>
    <row r="28" spans="1:26" x14ac:dyDescent="0.25">
      <c r="A28" s="375" t="s">
        <v>803</v>
      </c>
      <c r="B28" s="5" t="s">
        <v>125</v>
      </c>
      <c r="C28" s="376"/>
      <c r="D28" s="377" t="s">
        <v>21</v>
      </c>
      <c r="E28" s="259">
        <v>0</v>
      </c>
      <c r="F28" s="378">
        <f t="shared" ref="F28:F33" si="3">C28*E28</f>
        <v>0</v>
      </c>
      <c r="G28" s="379"/>
      <c r="H28" s="380">
        <v>0</v>
      </c>
      <c r="I28" s="378">
        <f t="shared" ref="I28:I33" si="4">G28*H28</f>
        <v>0</v>
      </c>
      <c r="J28" s="381"/>
      <c r="K28" s="382">
        <f t="shared" ref="K28:K34" si="5">F28+I28+J28</f>
        <v>0</v>
      </c>
      <c r="L28" s="383"/>
      <c r="M28" s="384"/>
      <c r="N28" s="385"/>
      <c r="O28" s="386"/>
      <c r="P28" s="387"/>
      <c r="Q28" s="388"/>
    </row>
    <row r="29" spans="1:26" x14ac:dyDescent="0.25">
      <c r="A29" s="375" t="s">
        <v>804</v>
      </c>
      <c r="B29" s="5" t="s">
        <v>126</v>
      </c>
      <c r="C29" s="376">
        <f>J6</f>
        <v>38</v>
      </c>
      <c r="D29" s="377" t="s">
        <v>21</v>
      </c>
      <c r="E29" s="259">
        <v>0</v>
      </c>
      <c r="F29" s="378">
        <f t="shared" si="3"/>
        <v>0</v>
      </c>
      <c r="G29" s="379">
        <v>10</v>
      </c>
      <c r="H29" s="380">
        <v>100</v>
      </c>
      <c r="I29" s="378">
        <f>H29*G29*C29</f>
        <v>38000</v>
      </c>
      <c r="J29" s="381"/>
      <c r="K29" s="382">
        <f t="shared" si="5"/>
        <v>38000</v>
      </c>
      <c r="L29" s="383"/>
      <c r="M29" s="384"/>
      <c r="N29" s="385"/>
      <c r="O29" s="386"/>
      <c r="P29" s="387"/>
      <c r="Q29" s="388"/>
    </row>
    <row r="30" spans="1:26" x14ac:dyDescent="0.25">
      <c r="A30" s="375" t="s">
        <v>806</v>
      </c>
      <c r="B30" s="5" t="s">
        <v>748</v>
      </c>
      <c r="C30" s="376">
        <f>J6</f>
        <v>38</v>
      </c>
      <c r="D30" s="377" t="s">
        <v>21</v>
      </c>
      <c r="E30" s="259">
        <v>0</v>
      </c>
      <c r="F30" s="378">
        <f t="shared" si="3"/>
        <v>0</v>
      </c>
      <c r="G30" s="379"/>
      <c r="H30" s="380">
        <v>75</v>
      </c>
      <c r="I30" s="378">
        <f>H30*G30*C30</f>
        <v>0</v>
      </c>
      <c r="J30" s="381"/>
      <c r="K30" s="382">
        <f t="shared" si="5"/>
        <v>0</v>
      </c>
      <c r="L30" s="383"/>
      <c r="M30" s="384"/>
      <c r="N30" s="385"/>
      <c r="O30" s="386"/>
      <c r="P30" s="387"/>
      <c r="Q30" s="388"/>
    </row>
    <row r="31" spans="1:26" x14ac:dyDescent="0.25">
      <c r="A31" s="375" t="s">
        <v>805</v>
      </c>
      <c r="B31" s="5" t="s">
        <v>127</v>
      </c>
      <c r="C31" s="376">
        <f>J6</f>
        <v>38</v>
      </c>
      <c r="D31" s="377" t="s">
        <v>21</v>
      </c>
      <c r="E31" s="259">
        <v>0</v>
      </c>
      <c r="F31" s="378">
        <f t="shared" si="3"/>
        <v>0</v>
      </c>
      <c r="G31" s="379">
        <v>45</v>
      </c>
      <c r="H31" s="380">
        <v>85</v>
      </c>
      <c r="I31" s="378">
        <f>H31*G31*C31</f>
        <v>145350</v>
      </c>
      <c r="J31" s="381"/>
      <c r="K31" s="382">
        <f t="shared" si="5"/>
        <v>145350</v>
      </c>
      <c r="L31" s="383"/>
      <c r="M31" s="384"/>
      <c r="N31" s="385"/>
      <c r="O31" s="386"/>
      <c r="P31" s="387"/>
      <c r="Q31" s="388"/>
    </row>
    <row r="32" spans="1:26" x14ac:dyDescent="0.25">
      <c r="A32" s="375" t="s">
        <v>807</v>
      </c>
      <c r="B32" s="5" t="s">
        <v>128</v>
      </c>
      <c r="C32" s="376"/>
      <c r="D32" s="377" t="s">
        <v>21</v>
      </c>
      <c r="E32" s="259">
        <v>0</v>
      </c>
      <c r="F32" s="378">
        <f t="shared" si="3"/>
        <v>0</v>
      </c>
      <c r="G32" s="379"/>
      <c r="H32" s="380">
        <v>0</v>
      </c>
      <c r="I32" s="378">
        <f t="shared" si="4"/>
        <v>0</v>
      </c>
      <c r="J32" s="381"/>
      <c r="K32" s="382">
        <f t="shared" si="5"/>
        <v>0</v>
      </c>
      <c r="L32" s="383"/>
      <c r="M32" s="384"/>
      <c r="N32" s="385"/>
      <c r="O32" s="386"/>
      <c r="P32" s="387"/>
      <c r="Q32" s="388"/>
    </row>
    <row r="33" spans="1:24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379"/>
      <c r="H33" s="380">
        <v>0</v>
      </c>
      <c r="I33" s="378">
        <f t="shared" si="4"/>
        <v>0</v>
      </c>
      <c r="J33" s="381"/>
      <c r="K33" s="382">
        <f t="shared" si="5"/>
        <v>0</v>
      </c>
      <c r="L33" s="383"/>
      <c r="M33" s="384"/>
      <c r="N33" s="385"/>
      <c r="O33" s="386"/>
      <c r="P33" s="387"/>
      <c r="Q33" s="388"/>
    </row>
    <row r="34" spans="1:24" ht="13.8" thickBot="1" x14ac:dyDescent="0.3">
      <c r="A34" s="375"/>
      <c r="B34" s="5"/>
      <c r="C34" s="376"/>
      <c r="D34" s="377"/>
      <c r="E34" s="259"/>
      <c r="F34" s="378"/>
      <c r="G34" s="379"/>
      <c r="H34" s="380"/>
      <c r="I34" s="378"/>
      <c r="J34" s="381"/>
      <c r="K34" s="382">
        <f t="shared" si="5"/>
        <v>0</v>
      </c>
      <c r="L34" s="383"/>
      <c r="M34" s="384"/>
      <c r="N34" s="385"/>
      <c r="O34" s="386"/>
      <c r="P34" s="387"/>
      <c r="Q34" s="388"/>
    </row>
    <row r="35" spans="1:24" ht="13.8" thickTop="1" x14ac:dyDescent="0.25">
      <c r="A35" s="392"/>
      <c r="B35" s="5"/>
      <c r="C35" s="393"/>
      <c r="D35" s="377"/>
      <c r="E35" s="259"/>
      <c r="F35" s="378"/>
      <c r="G35" s="379"/>
      <c r="H35" s="380"/>
      <c r="I35" s="378"/>
      <c r="J35" s="394" t="s">
        <v>30</v>
      </c>
      <c r="K35" s="395">
        <f>SUM(K27:K34)</f>
        <v>183350</v>
      </c>
      <c r="L35" s="383"/>
      <c r="M35" s="384"/>
      <c r="N35" s="385"/>
      <c r="O35" s="386"/>
      <c r="P35" s="387"/>
      <c r="Q35" s="388"/>
    </row>
    <row r="36" spans="1:24" ht="13.8" thickBot="1" x14ac:dyDescent="0.3">
      <c r="A36" s="358" t="s">
        <v>0</v>
      </c>
      <c r="B36" s="359" t="s">
        <v>1</v>
      </c>
      <c r="C36" s="1018"/>
      <c r="D36" s="1018"/>
      <c r="E36" s="1018"/>
      <c r="F36" s="1018"/>
      <c r="G36" s="1018"/>
      <c r="H36" s="1018"/>
      <c r="I36" s="1018"/>
      <c r="J36" s="360"/>
      <c r="K36" s="361"/>
      <c r="L36" s="396"/>
      <c r="M36" s="397"/>
      <c r="N36" s="398"/>
      <c r="O36" s="386"/>
      <c r="P36" s="387"/>
      <c r="Q36" s="388"/>
    </row>
    <row r="37" spans="1:24" ht="16.2" thickBot="1" x14ac:dyDescent="0.35">
      <c r="A37" s="399" t="s">
        <v>808</v>
      </c>
      <c r="B37" s="400" t="s">
        <v>923</v>
      </c>
      <c r="C37" s="401"/>
      <c r="D37" s="402" t="s">
        <v>841</v>
      </c>
      <c r="E37" s="412" t="s">
        <v>774</v>
      </c>
      <c r="F37" s="404" t="s">
        <v>751</v>
      </c>
      <c r="G37" s="403" t="s">
        <v>813</v>
      </c>
      <c r="H37" s="404" t="s">
        <v>811</v>
      </c>
      <c r="I37" s="203"/>
      <c r="J37" s="405" t="s">
        <v>30</v>
      </c>
      <c r="K37" s="406" t="s">
        <v>38</v>
      </c>
      <c r="L37" s="407"/>
      <c r="M37" s="413"/>
      <c r="N37" s="414"/>
      <c r="O37" s="415"/>
      <c r="P37" s="416"/>
      <c r="Q37" s="388"/>
      <c r="U37" s="417"/>
      <c r="V37" s="418"/>
      <c r="W37" s="419"/>
      <c r="X37" s="419"/>
    </row>
    <row r="38" spans="1:24" x14ac:dyDescent="0.25">
      <c r="A38" s="410" t="s">
        <v>974</v>
      </c>
      <c r="B38" s="411" t="s">
        <v>979</v>
      </c>
      <c r="C38" s="420">
        <f>SUM('Estimate Summary'!H17:H61)/1000</f>
        <v>1918.8995587500001</v>
      </c>
      <c r="D38" s="421" t="s">
        <v>841</v>
      </c>
      <c r="E38" s="422">
        <v>0.63</v>
      </c>
      <c r="F38" s="423">
        <f>C38*E38</f>
        <v>1208.9067220125</v>
      </c>
      <c r="G38" s="380"/>
      <c r="H38" s="424"/>
      <c r="J38" s="425"/>
      <c r="K38" s="382">
        <f>F38</f>
        <v>1208.9067220125</v>
      </c>
      <c r="L38" s="383"/>
      <c r="M38" s="261"/>
      <c r="N38" s="426"/>
      <c r="O38" s="415"/>
      <c r="P38" s="416"/>
      <c r="Q38" s="388"/>
      <c r="U38" s="417"/>
      <c r="V38" s="418"/>
      <c r="W38" s="419"/>
      <c r="X38" s="419"/>
    </row>
    <row r="39" spans="1:24" x14ac:dyDescent="0.25">
      <c r="A39" s="375"/>
      <c r="B39" s="5" t="s">
        <v>981</v>
      </c>
      <c r="C39" s="420">
        <f>SUM('Estimate Summary'!H17:H61)/1000</f>
        <v>1918.8995587500001</v>
      </c>
      <c r="D39" s="421" t="s">
        <v>841</v>
      </c>
      <c r="E39" s="422">
        <v>1.29</v>
      </c>
      <c r="F39" s="423">
        <f>C39*E39</f>
        <v>2475.3804307875002</v>
      </c>
      <c r="G39" s="380"/>
      <c r="H39" s="424"/>
      <c r="J39" s="425"/>
      <c r="K39" s="382">
        <f>F39</f>
        <v>2475.3804307875002</v>
      </c>
      <c r="L39" s="383"/>
      <c r="M39" s="261"/>
      <c r="N39" s="426"/>
      <c r="O39" s="415"/>
      <c r="P39" s="416"/>
      <c r="Q39" s="388"/>
      <c r="U39" s="417"/>
      <c r="V39" s="418"/>
      <c r="W39" s="419"/>
      <c r="X39" s="419"/>
    </row>
    <row r="40" spans="1:24" x14ac:dyDescent="0.25">
      <c r="A40" s="375"/>
      <c r="B40" s="5" t="s">
        <v>975</v>
      </c>
      <c r="C40" s="825">
        <f>+J6/4.5</f>
        <v>8.4444444444444446</v>
      </c>
      <c r="D40" s="377" t="s">
        <v>980</v>
      </c>
      <c r="E40" s="259">
        <v>0.75</v>
      </c>
      <c r="F40" s="423">
        <f>C40*E40*C41</f>
        <v>12153.030538750001</v>
      </c>
      <c r="H40" s="380"/>
      <c r="I40" s="378"/>
      <c r="J40" s="428"/>
      <c r="K40" s="382">
        <f>F40</f>
        <v>12153.030538750001</v>
      </c>
      <c r="L40" s="383"/>
      <c r="M40" s="261"/>
      <c r="N40" s="426"/>
      <c r="O40" s="415"/>
      <c r="P40" s="416"/>
      <c r="Q40" s="388"/>
      <c r="U40" s="417"/>
      <c r="V40" s="418"/>
      <c r="W40" s="419"/>
      <c r="X40" s="419"/>
    </row>
    <row r="41" spans="1:24" x14ac:dyDescent="0.25">
      <c r="A41" s="392"/>
      <c r="B41" s="417" t="s">
        <v>976</v>
      </c>
      <c r="C41" s="444">
        <f>SUM('Estimate Summary'!H17:H61)/1000</f>
        <v>1918.8995587500001</v>
      </c>
      <c r="D41" s="377" t="s">
        <v>841</v>
      </c>
      <c r="E41" s="259"/>
      <c r="F41" s="423">
        <f>C41*E41</f>
        <v>0</v>
      </c>
      <c r="H41" s="380"/>
      <c r="I41" s="378"/>
      <c r="J41" s="379"/>
      <c r="K41" s="382">
        <f>F41</f>
        <v>0</v>
      </c>
      <c r="L41" s="383"/>
      <c r="M41" s="261"/>
      <c r="N41" s="426"/>
      <c r="O41" s="415"/>
      <c r="P41" s="416"/>
      <c r="Q41" s="388"/>
      <c r="U41" s="417"/>
      <c r="V41" s="418"/>
      <c r="W41" s="419"/>
      <c r="X41" s="419"/>
    </row>
    <row r="42" spans="1:24" x14ac:dyDescent="0.25">
      <c r="A42" s="392"/>
      <c r="B42" s="262"/>
      <c r="C42" s="393"/>
      <c r="D42" s="377"/>
      <c r="E42" s="259"/>
      <c r="F42" s="378"/>
      <c r="H42" s="380"/>
      <c r="I42" s="378"/>
      <c r="J42" s="428"/>
      <c r="K42" s="382"/>
      <c r="L42" s="383"/>
      <c r="M42" s="261"/>
      <c r="N42" s="426"/>
      <c r="O42" s="415"/>
      <c r="P42" s="416"/>
      <c r="Q42" s="388"/>
      <c r="U42" s="417"/>
      <c r="V42" s="418"/>
      <c r="W42" s="419"/>
      <c r="X42" s="419"/>
    </row>
    <row r="43" spans="1:24" x14ac:dyDescent="0.25">
      <c r="A43" s="392"/>
      <c r="B43" s="262"/>
      <c r="C43" s="393"/>
      <c r="D43" s="377"/>
      <c r="E43" s="259"/>
      <c r="F43" s="378"/>
      <c r="H43" s="380"/>
      <c r="I43" s="378"/>
      <c r="J43" s="428"/>
      <c r="K43" s="382"/>
      <c r="L43" s="383"/>
      <c r="M43" s="261"/>
      <c r="N43" s="426"/>
      <c r="O43" s="415"/>
      <c r="P43" s="416"/>
      <c r="Q43" s="388"/>
      <c r="U43" s="417"/>
      <c r="V43" s="418"/>
      <c r="W43" s="419"/>
      <c r="X43" s="419"/>
    </row>
    <row r="44" spans="1:24" ht="13.8" thickBot="1" x14ac:dyDescent="0.3">
      <c r="A44" s="392"/>
      <c r="B44" s="262"/>
      <c r="C44" s="393"/>
      <c r="D44" s="377"/>
      <c r="E44" s="259"/>
      <c r="F44" s="378"/>
      <c r="H44" s="380"/>
      <c r="I44" s="378"/>
      <c r="J44" s="428"/>
      <c r="K44" s="382"/>
      <c r="L44" s="383"/>
      <c r="M44" s="261"/>
      <c r="N44" s="426"/>
      <c r="O44" s="415"/>
      <c r="P44" s="416"/>
      <c r="Q44" s="388"/>
      <c r="U44" s="417"/>
      <c r="V44" s="418"/>
      <c r="W44" s="419"/>
      <c r="X44" s="419"/>
    </row>
    <row r="45" spans="1:24" ht="13.8" thickTop="1" x14ac:dyDescent="0.25">
      <c r="A45" s="392" t="s">
        <v>808</v>
      </c>
      <c r="B45" s="417"/>
      <c r="C45" s="393"/>
      <c r="D45" s="377"/>
      <c r="E45" s="259"/>
      <c r="F45" s="378"/>
      <c r="G45" s="379"/>
      <c r="H45" s="380"/>
      <c r="I45" s="378"/>
      <c r="J45" s="394" t="s">
        <v>30</v>
      </c>
      <c r="K45" s="395">
        <f>SUM(K38:K44)</f>
        <v>15837.317691550001</v>
      </c>
      <c r="L45" s="383"/>
      <c r="M45" s="261"/>
      <c r="N45" s="385"/>
      <c r="O45" s="386"/>
      <c r="P45" s="387"/>
      <c r="Q45" s="388"/>
    </row>
    <row r="46" spans="1:24" ht="13.8" thickBot="1" x14ac:dyDescent="0.3">
      <c r="A46" s="358" t="s">
        <v>0</v>
      </c>
      <c r="B46" s="359" t="s">
        <v>1</v>
      </c>
      <c r="C46" s="1018" t="s">
        <v>656</v>
      </c>
      <c r="D46" s="1018"/>
      <c r="E46" s="1018"/>
      <c r="F46" s="1018"/>
      <c r="G46" s="1018" t="s">
        <v>34</v>
      </c>
      <c r="H46" s="1018"/>
      <c r="I46" s="1018"/>
      <c r="J46" s="360"/>
      <c r="K46" s="361"/>
      <c r="L46" s="396"/>
      <c r="M46" s="397"/>
      <c r="N46" s="398"/>
      <c r="O46" s="386"/>
      <c r="P46" s="387"/>
      <c r="Q46" s="388"/>
    </row>
    <row r="47" spans="1:24" ht="13.8" thickBot="1" x14ac:dyDescent="0.3">
      <c r="A47" s="358" t="s">
        <v>0</v>
      </c>
      <c r="B47" s="359" t="s">
        <v>1</v>
      </c>
      <c r="C47" s="1018"/>
      <c r="D47" s="1018"/>
      <c r="E47" s="1018"/>
      <c r="F47" s="1018"/>
      <c r="G47" s="1018"/>
      <c r="H47" s="1018"/>
      <c r="I47" s="1018"/>
      <c r="J47" s="360"/>
      <c r="K47" s="361"/>
      <c r="L47" s="407"/>
      <c r="M47" s="413"/>
      <c r="N47" s="414"/>
      <c r="O47" s="415"/>
      <c r="P47" s="416"/>
      <c r="Q47" s="388"/>
      <c r="U47" s="417"/>
      <c r="V47" s="418"/>
      <c r="W47" s="419"/>
      <c r="X47" s="419"/>
    </row>
    <row r="48" spans="1:24" ht="21.9" customHeight="1" thickBot="1" x14ac:dyDescent="0.35">
      <c r="A48" s="399" t="s">
        <v>808</v>
      </c>
      <c r="B48" s="400" t="s">
        <v>727</v>
      </c>
      <c r="C48" s="401" t="s">
        <v>811</v>
      </c>
      <c r="D48" s="402" t="s">
        <v>73</v>
      </c>
      <c r="E48" s="412" t="s">
        <v>812</v>
      </c>
      <c r="F48" s="404" t="s">
        <v>751</v>
      </c>
      <c r="G48" s="403" t="s">
        <v>813</v>
      </c>
      <c r="H48" s="404" t="s">
        <v>811</v>
      </c>
      <c r="I48" s="203"/>
      <c r="J48" s="405" t="s">
        <v>30</v>
      </c>
      <c r="K48" s="406" t="s">
        <v>38</v>
      </c>
      <c r="L48" s="383"/>
      <c r="M48" s="261"/>
      <c r="N48" s="426"/>
      <c r="O48" s="415"/>
      <c r="P48" s="416"/>
      <c r="Q48" s="388"/>
      <c r="U48" s="417"/>
      <c r="V48" s="418"/>
      <c r="W48" s="419"/>
      <c r="X48" s="419"/>
    </row>
    <row r="49" spans="1:24" ht="27" customHeight="1" x14ac:dyDescent="0.25">
      <c r="A49" s="410"/>
      <c r="B49" s="411" t="s">
        <v>809</v>
      </c>
      <c r="C49" s="865">
        <v>1</v>
      </c>
      <c r="D49" s="377">
        <f>J6</f>
        <v>38</v>
      </c>
      <c r="E49" s="869">
        <f>228*2</f>
        <v>456</v>
      </c>
      <c r="F49" s="378">
        <v>0.45</v>
      </c>
      <c r="G49" s="380"/>
      <c r="H49" s="424">
        <f>C49*D49</f>
        <v>38</v>
      </c>
      <c r="J49" s="425">
        <f>C49*D49*E49*F49+G49*H49</f>
        <v>7797.6</v>
      </c>
      <c r="K49" s="382">
        <f>J49+(G49*H49)</f>
        <v>7797.6</v>
      </c>
      <c r="L49" s="383"/>
      <c r="M49" s="261"/>
      <c r="N49" s="426"/>
      <c r="O49" s="415"/>
      <c r="P49" s="416"/>
      <c r="Q49" s="388"/>
      <c r="U49" s="417"/>
      <c r="V49" s="418"/>
      <c r="W49" s="419"/>
      <c r="X49" s="419"/>
    </row>
    <row r="50" spans="1:24" x14ac:dyDescent="0.25">
      <c r="A50" s="375"/>
      <c r="B50" s="5" t="s">
        <v>810</v>
      </c>
      <c r="C50" s="865">
        <v>1</v>
      </c>
      <c r="D50" s="377">
        <f>J6</f>
        <v>38</v>
      </c>
      <c r="E50" s="427">
        <v>456</v>
      </c>
      <c r="F50" s="378">
        <v>0.45</v>
      </c>
      <c r="G50" s="380"/>
      <c r="H50" s="424">
        <f>C50*D50</f>
        <v>38</v>
      </c>
      <c r="J50" s="425">
        <f>C50*D50*E50*F50+G50*H50</f>
        <v>7797.6</v>
      </c>
      <c r="K50" s="382">
        <f>J50+(G50*H50)</f>
        <v>7797.6</v>
      </c>
      <c r="L50" s="383"/>
      <c r="M50" s="261"/>
      <c r="N50" s="426"/>
      <c r="O50" s="415"/>
      <c r="P50" s="416"/>
      <c r="Q50" s="388"/>
      <c r="U50" s="417"/>
      <c r="V50" s="418"/>
      <c r="W50" s="419"/>
      <c r="X50" s="419"/>
    </row>
    <row r="51" spans="1:24" x14ac:dyDescent="0.25">
      <c r="A51" s="375"/>
      <c r="B51" s="5" t="s">
        <v>728</v>
      </c>
      <c r="C51" s="865">
        <v>4</v>
      </c>
      <c r="D51" s="377">
        <f>J6</f>
        <v>38</v>
      </c>
      <c r="E51" s="259"/>
      <c r="F51" s="378">
        <v>150</v>
      </c>
      <c r="H51" s="380"/>
      <c r="I51" s="378"/>
      <c r="J51" s="428">
        <f>C51*D51*F51</f>
        <v>22800</v>
      </c>
      <c r="K51" s="382">
        <f>J51</f>
        <v>22800</v>
      </c>
      <c r="L51" s="383"/>
      <c r="M51" s="261"/>
      <c r="N51" s="426"/>
      <c r="O51" s="415"/>
      <c r="P51" s="416"/>
      <c r="Q51" s="388"/>
      <c r="U51" s="417"/>
      <c r="V51" s="418"/>
      <c r="W51" s="419"/>
      <c r="X51" s="419"/>
    </row>
    <row r="52" spans="1:24" x14ac:dyDescent="0.25">
      <c r="A52" s="392"/>
      <c r="B52" s="417" t="s">
        <v>814</v>
      </c>
      <c r="C52" s="873"/>
      <c r="D52" s="377"/>
      <c r="E52" s="259"/>
      <c r="F52" s="378"/>
      <c r="H52" s="380"/>
      <c r="I52" s="378"/>
      <c r="J52" s="379"/>
      <c r="K52" s="308"/>
      <c r="L52" s="383"/>
      <c r="M52" s="261"/>
      <c r="N52" s="426"/>
      <c r="O52" s="415"/>
      <c r="P52" s="416"/>
      <c r="Q52" s="388"/>
      <c r="U52" s="417"/>
      <c r="V52" s="418"/>
      <c r="W52" s="419"/>
      <c r="X52" s="419"/>
    </row>
    <row r="53" spans="1:24" x14ac:dyDescent="0.25">
      <c r="A53" s="392"/>
      <c r="B53" s="262" t="s">
        <v>729</v>
      </c>
      <c r="C53" s="873">
        <v>1</v>
      </c>
      <c r="D53" s="377">
        <f>J$6</f>
        <v>38</v>
      </c>
      <c r="E53" s="259"/>
      <c r="F53" s="378">
        <v>40</v>
      </c>
      <c r="H53" s="380"/>
      <c r="I53" s="378"/>
      <c r="J53" s="428">
        <f>C53*D53*F53</f>
        <v>1520</v>
      </c>
      <c r="K53" s="382">
        <f>J53</f>
        <v>1520</v>
      </c>
      <c r="L53" s="383"/>
      <c r="M53" s="261"/>
      <c r="N53" s="426"/>
      <c r="O53" s="415"/>
      <c r="P53" s="416"/>
      <c r="Q53" s="388"/>
      <c r="U53" s="417"/>
      <c r="V53" s="418"/>
      <c r="W53" s="419"/>
      <c r="X53" s="419"/>
    </row>
    <row r="54" spans="1:24" x14ac:dyDescent="0.25">
      <c r="A54" s="392"/>
      <c r="B54" s="262" t="s">
        <v>730</v>
      </c>
      <c r="C54" s="873">
        <v>3</v>
      </c>
      <c r="D54" s="377">
        <f>J$6</f>
        <v>38</v>
      </c>
      <c r="E54" s="259"/>
      <c r="F54" s="378">
        <v>47</v>
      </c>
      <c r="H54" s="380"/>
      <c r="I54" s="378"/>
      <c r="J54" s="428">
        <f>C54*D54*F54</f>
        <v>5358</v>
      </c>
      <c r="K54" s="382">
        <f>J54</f>
        <v>5358</v>
      </c>
      <c r="L54" s="383"/>
      <c r="M54" s="261"/>
      <c r="N54" s="426"/>
      <c r="O54" s="415"/>
      <c r="P54" s="416"/>
      <c r="Q54" s="388"/>
      <c r="U54" s="417"/>
      <c r="V54" s="418"/>
      <c r="W54" s="419"/>
      <c r="X54" s="419"/>
    </row>
    <row r="55" spans="1:24" ht="13.8" thickBot="1" x14ac:dyDescent="0.3">
      <c r="A55" s="392"/>
      <c r="B55" s="262" t="s">
        <v>731</v>
      </c>
      <c r="C55" s="873">
        <v>1</v>
      </c>
      <c r="D55" s="377">
        <f>J$6</f>
        <v>38</v>
      </c>
      <c r="E55" s="259"/>
      <c r="F55" s="378">
        <v>22</v>
      </c>
      <c r="H55" s="380"/>
      <c r="I55" s="378"/>
      <c r="J55" s="428">
        <f>C55*D55*F55</f>
        <v>836</v>
      </c>
      <c r="K55" s="382">
        <f>J55</f>
        <v>836</v>
      </c>
      <c r="L55" s="383"/>
      <c r="M55" s="261"/>
      <c r="N55" s="426"/>
      <c r="O55" s="415"/>
      <c r="P55" s="416"/>
      <c r="Q55" s="388"/>
      <c r="U55" s="417"/>
      <c r="V55" s="418"/>
      <c r="W55" s="419"/>
      <c r="X55" s="419"/>
    </row>
    <row r="56" spans="1:24" ht="13.8" thickTop="1" x14ac:dyDescent="0.25">
      <c r="A56" s="392" t="s">
        <v>808</v>
      </c>
      <c r="B56" s="417"/>
      <c r="C56" s="393"/>
      <c r="D56" s="377"/>
      <c r="E56" s="259"/>
      <c r="F56" s="378"/>
      <c r="G56" s="379"/>
      <c r="H56" s="380"/>
      <c r="I56" s="378"/>
      <c r="J56" s="394" t="s">
        <v>30</v>
      </c>
      <c r="K56" s="872">
        <f>SUM(K49:K55)</f>
        <v>46109.2</v>
      </c>
      <c r="L56" s="383"/>
      <c r="M56" s="261"/>
      <c r="N56" s="385"/>
      <c r="O56" s="386"/>
      <c r="P56" s="387"/>
      <c r="Q56" s="388"/>
    </row>
    <row r="57" spans="1:24" ht="13.8" thickBot="1" x14ac:dyDescent="0.3">
      <c r="A57" s="358" t="s">
        <v>0</v>
      </c>
      <c r="B57" s="359" t="s">
        <v>1</v>
      </c>
      <c r="C57" s="1018" t="s">
        <v>656</v>
      </c>
      <c r="D57" s="1018"/>
      <c r="E57" s="1018"/>
      <c r="F57" s="1018"/>
      <c r="G57" s="1018" t="s">
        <v>34</v>
      </c>
      <c r="H57" s="1018"/>
      <c r="I57" s="1018"/>
      <c r="J57" s="360"/>
      <c r="K57" s="361"/>
      <c r="L57" s="396"/>
      <c r="M57" s="360"/>
      <c r="N57" s="398"/>
      <c r="O57" s="386"/>
      <c r="P57" s="387"/>
      <c r="Q57" s="388"/>
    </row>
    <row r="58" spans="1:24" ht="16.2" thickBot="1" x14ac:dyDescent="0.35">
      <c r="A58" s="399" t="s">
        <v>105</v>
      </c>
      <c r="B58" s="400" t="s">
        <v>106</v>
      </c>
      <c r="C58" s="401" t="s">
        <v>19</v>
      </c>
      <c r="D58" s="402" t="s">
        <v>33</v>
      </c>
      <c r="E58" s="403" t="s">
        <v>35</v>
      </c>
      <c r="F58" s="404" t="s">
        <v>30</v>
      </c>
      <c r="G58" s="405" t="s">
        <v>14</v>
      </c>
      <c r="H58" s="403" t="s">
        <v>35</v>
      </c>
      <c r="I58" s="404" t="s">
        <v>30</v>
      </c>
      <c r="J58" s="369" t="s">
        <v>659</v>
      </c>
      <c r="K58" s="406" t="s">
        <v>38</v>
      </c>
      <c r="L58" s="407"/>
      <c r="M58" s="413"/>
      <c r="N58" s="409"/>
      <c r="O58" s="386"/>
      <c r="P58" s="416"/>
      <c r="Q58" s="388"/>
    </row>
    <row r="59" spans="1:24" ht="13.8" thickBot="1" x14ac:dyDescent="0.3">
      <c r="A59" s="429" t="s">
        <v>874</v>
      </c>
      <c r="B59" s="430" t="s">
        <v>150</v>
      </c>
      <c r="C59" s="420">
        <f>SUM('Estimate Summary'!H17:H61)/1000</f>
        <v>1918.8995587500001</v>
      </c>
      <c r="D59" s="421" t="s">
        <v>841</v>
      </c>
      <c r="E59" s="422">
        <v>8.9</v>
      </c>
      <c r="F59" s="423">
        <f>C59*E59</f>
        <v>17078.206072875</v>
      </c>
      <c r="G59" s="431"/>
      <c r="H59" s="432"/>
      <c r="I59" s="423"/>
      <c r="J59" s="433"/>
      <c r="K59" s="434">
        <f>F59+I59+J59</f>
        <v>17078.206072875</v>
      </c>
      <c r="L59" s="383"/>
      <c r="M59" s="261"/>
      <c r="N59" s="385"/>
      <c r="O59" s="386"/>
      <c r="P59" s="387"/>
      <c r="Q59" s="388"/>
    </row>
    <row r="60" spans="1:24" x14ac:dyDescent="0.25">
      <c r="A60" s="375"/>
      <c r="B60" s="435" t="s">
        <v>837</v>
      </c>
      <c r="C60" s="436">
        <v>8</v>
      </c>
      <c r="D60" s="437" t="s">
        <v>841</v>
      </c>
      <c r="E60" s="1065" t="s">
        <v>914</v>
      </c>
      <c r="F60" s="1066"/>
      <c r="G60" s="1069" t="s">
        <v>915</v>
      </c>
      <c r="H60" s="1070"/>
      <c r="I60" s="1070"/>
      <c r="J60" s="261"/>
      <c r="K60" s="308"/>
      <c r="L60" s="383"/>
      <c r="M60" s="261"/>
      <c r="N60" s="385"/>
      <c r="O60" s="386"/>
      <c r="P60" s="387"/>
      <c r="Q60" s="388"/>
    </row>
    <row r="61" spans="1:24" x14ac:dyDescent="0.25">
      <c r="A61" s="375"/>
      <c r="B61" s="438" t="s">
        <v>842</v>
      </c>
      <c r="C61" s="439">
        <v>7.5</v>
      </c>
      <c r="D61" s="377" t="s">
        <v>841</v>
      </c>
      <c r="E61" s="1067"/>
      <c r="F61" s="1067"/>
      <c r="G61" s="262"/>
      <c r="H61" s="380"/>
      <c r="I61" s="259"/>
      <c r="J61" s="261"/>
      <c r="K61" s="308"/>
      <c r="L61" s="383"/>
      <c r="M61" s="261"/>
      <c r="N61" s="385"/>
      <c r="O61" s="386"/>
      <c r="P61" s="387"/>
      <c r="Q61" s="388"/>
    </row>
    <row r="62" spans="1:24" x14ac:dyDescent="0.25">
      <c r="A62" s="375"/>
      <c r="B62" s="438" t="s">
        <v>838</v>
      </c>
      <c r="C62" s="439">
        <v>8.9</v>
      </c>
      <c r="D62" s="377" t="s">
        <v>841</v>
      </c>
      <c r="E62" s="1067" t="s">
        <v>960</v>
      </c>
      <c r="F62" s="1067"/>
      <c r="G62" s="262"/>
      <c r="H62" s="380"/>
      <c r="I62" s="259"/>
      <c r="J62" s="261"/>
      <c r="K62" s="308"/>
      <c r="L62" s="383"/>
      <c r="M62" s="261"/>
      <c r="N62" s="385"/>
      <c r="O62" s="386"/>
      <c r="P62" s="387"/>
      <c r="Q62" s="388"/>
    </row>
    <row r="63" spans="1:24" x14ac:dyDescent="0.25">
      <c r="A63" s="375"/>
      <c r="B63" s="438" t="s">
        <v>839</v>
      </c>
      <c r="C63" s="439">
        <v>8</v>
      </c>
      <c r="D63" s="377" t="s">
        <v>841</v>
      </c>
      <c r="E63" s="1067"/>
      <c r="F63" s="1067"/>
      <c r="G63" s="262"/>
      <c r="H63" s="380"/>
      <c r="I63" s="259"/>
      <c r="J63" s="261"/>
      <c r="K63" s="308"/>
      <c r="L63" s="383"/>
      <c r="M63" s="261"/>
      <c r="N63" s="385"/>
      <c r="O63" s="386"/>
      <c r="P63" s="387"/>
      <c r="Q63" s="388"/>
    </row>
    <row r="64" spans="1:24" x14ac:dyDescent="0.25">
      <c r="A64" s="375"/>
      <c r="B64" s="438" t="s">
        <v>840</v>
      </c>
      <c r="C64" s="439">
        <v>5.5</v>
      </c>
      <c r="D64" s="377" t="s">
        <v>841</v>
      </c>
      <c r="E64" s="1067"/>
      <c r="F64" s="1067"/>
      <c r="L64" s="383"/>
      <c r="M64" s="261"/>
      <c r="N64" s="385"/>
      <c r="O64" s="386"/>
      <c r="P64" s="387"/>
      <c r="Q64" s="388"/>
    </row>
    <row r="65" spans="1:17" ht="13.8" thickBot="1" x14ac:dyDescent="0.3">
      <c r="A65" s="375"/>
      <c r="B65" s="440"/>
      <c r="C65" s="156"/>
      <c r="D65" s="156"/>
      <c r="E65" s="1068"/>
      <c r="F65" s="1068"/>
      <c r="L65" s="383"/>
      <c r="M65" s="261"/>
      <c r="N65" s="426"/>
      <c r="O65" s="441"/>
      <c r="P65" s="442"/>
      <c r="Q65" s="388"/>
    </row>
    <row r="66" spans="1:17" ht="13.8" thickBot="1" x14ac:dyDescent="0.3">
      <c r="A66" s="392"/>
      <c r="B66" s="5"/>
      <c r="C66" s="376"/>
      <c r="D66" s="377"/>
      <c r="E66" s="259"/>
      <c r="F66" s="378"/>
      <c r="G66" s="379"/>
      <c r="H66" s="380"/>
      <c r="I66" s="378"/>
      <c r="J66" s="381"/>
      <c r="K66" s="814"/>
      <c r="L66" s="157"/>
      <c r="M66" s="157"/>
      <c r="O66" s="441"/>
      <c r="P66" s="442"/>
      <c r="Q66" s="388"/>
    </row>
    <row r="67" spans="1:17" ht="13.8" thickTop="1" x14ac:dyDescent="0.25">
      <c r="A67" s="392"/>
      <c r="B67" s="417"/>
      <c r="C67" s="393"/>
      <c r="D67" s="377"/>
      <c r="E67" s="259"/>
      <c r="F67" s="378"/>
      <c r="G67" s="379"/>
      <c r="H67" s="380"/>
      <c r="I67" s="378"/>
      <c r="J67" s="394" t="s">
        <v>30</v>
      </c>
      <c r="K67" s="813">
        <f>SUM(K59:K66)</f>
        <v>17078.206072875</v>
      </c>
      <c r="L67" s="157"/>
      <c r="M67" s="157"/>
      <c r="O67" s="415"/>
      <c r="P67" s="416"/>
      <c r="Q67" s="388"/>
    </row>
    <row r="68" spans="1:17" ht="13.8" thickBot="1" x14ac:dyDescent="0.3">
      <c r="A68" s="358" t="s">
        <v>0</v>
      </c>
      <c r="B68" s="359" t="s">
        <v>1</v>
      </c>
      <c r="C68" s="1018" t="s">
        <v>656</v>
      </c>
      <c r="D68" s="1018"/>
      <c r="E68" s="1018"/>
      <c r="F68" s="1018"/>
      <c r="G68" s="1018" t="s">
        <v>34</v>
      </c>
      <c r="H68" s="1018"/>
      <c r="I68" s="1018"/>
      <c r="J68" s="360"/>
      <c r="K68" s="361"/>
      <c r="L68" s="396"/>
      <c r="M68" s="360"/>
      <c r="N68" s="443"/>
      <c r="O68" s="386"/>
      <c r="P68" s="387"/>
      <c r="Q68" s="388"/>
    </row>
    <row r="69" spans="1:17" ht="16.2" thickBot="1" x14ac:dyDescent="0.35">
      <c r="A69" s="399" t="s">
        <v>144</v>
      </c>
      <c r="B69" s="400" t="s">
        <v>145</v>
      </c>
      <c r="C69" s="401" t="s">
        <v>19</v>
      </c>
      <c r="D69" s="402" t="s">
        <v>33</v>
      </c>
      <c r="E69" s="403" t="s">
        <v>35</v>
      </c>
      <c r="F69" s="404" t="s">
        <v>30</v>
      </c>
      <c r="G69" s="405" t="s">
        <v>14</v>
      </c>
      <c r="H69" s="403" t="s">
        <v>35</v>
      </c>
      <c r="I69" s="404" t="s">
        <v>30</v>
      </c>
      <c r="J69" s="369" t="s">
        <v>659</v>
      </c>
      <c r="K69" s="406" t="s">
        <v>38</v>
      </c>
      <c r="L69" s="407"/>
      <c r="M69" s="413"/>
      <c r="N69" s="414"/>
      <c r="O69" s="386"/>
      <c r="P69" s="387"/>
      <c r="Q69" s="388"/>
    </row>
    <row r="70" spans="1:17" x14ac:dyDescent="0.25">
      <c r="A70" s="410" t="s">
        <v>869</v>
      </c>
      <c r="B70" s="411" t="s">
        <v>49</v>
      </c>
      <c r="C70" s="376">
        <v>1</v>
      </c>
      <c r="D70" s="377" t="s">
        <v>21</v>
      </c>
      <c r="E70" s="259">
        <v>2500</v>
      </c>
      <c r="F70" s="378">
        <f>C70*E70</f>
        <v>2500</v>
      </c>
      <c r="G70" s="379"/>
      <c r="H70" s="380">
        <v>0</v>
      </c>
      <c r="I70" s="378">
        <f>G70*H70</f>
        <v>0</v>
      </c>
      <c r="J70" s="381"/>
      <c r="K70" s="382">
        <f>F70+I70+J70</f>
        <v>2500</v>
      </c>
      <c r="L70" s="383"/>
      <c r="M70" s="384"/>
      <c r="N70" s="385"/>
      <c r="O70" s="386"/>
      <c r="P70" s="387"/>
      <c r="Q70" s="388"/>
    </row>
    <row r="71" spans="1:17" x14ac:dyDescent="0.25">
      <c r="A71" s="375" t="s">
        <v>870</v>
      </c>
      <c r="B71" s="5" t="s">
        <v>50</v>
      </c>
      <c r="C71" s="376">
        <v>1</v>
      </c>
      <c r="D71" s="377" t="s">
        <v>21</v>
      </c>
      <c r="E71" s="259">
        <v>2500</v>
      </c>
      <c r="F71" s="378">
        <f>C71*E71</f>
        <v>2500</v>
      </c>
      <c r="G71" s="379"/>
      <c r="H71" s="380">
        <v>0</v>
      </c>
      <c r="I71" s="378">
        <f>G71*H71</f>
        <v>0</v>
      </c>
      <c r="J71" s="381"/>
      <c r="K71" s="382">
        <f>F71+I71+J71</f>
        <v>2500</v>
      </c>
      <c r="L71" s="383"/>
      <c r="M71" s="384"/>
      <c r="N71" s="385"/>
      <c r="O71" s="386"/>
      <c r="P71" s="387"/>
      <c r="Q71" s="388"/>
    </row>
    <row r="72" spans="1:17" x14ac:dyDescent="0.25">
      <c r="A72" s="375" t="s">
        <v>871</v>
      </c>
      <c r="B72" s="5" t="s">
        <v>51</v>
      </c>
      <c r="C72" s="376">
        <v>1</v>
      </c>
      <c r="D72" s="377" t="s">
        <v>21</v>
      </c>
      <c r="E72" s="259">
        <v>3000</v>
      </c>
      <c r="F72" s="378">
        <f>C72*E72</f>
        <v>3000</v>
      </c>
      <c r="G72" s="379"/>
      <c r="H72" s="380">
        <v>0</v>
      </c>
      <c r="I72" s="378">
        <f>G72*H72</f>
        <v>0</v>
      </c>
      <c r="J72" s="381"/>
      <c r="K72" s="382">
        <f>F72+I72+J72</f>
        <v>3000</v>
      </c>
      <c r="L72" s="383"/>
      <c r="M72" s="384"/>
      <c r="N72" s="385"/>
      <c r="O72" s="386"/>
      <c r="P72" s="387"/>
      <c r="Q72" s="388"/>
    </row>
    <row r="73" spans="1:17" x14ac:dyDescent="0.25">
      <c r="A73" s="375" t="s">
        <v>872</v>
      </c>
      <c r="B73" s="5" t="s">
        <v>146</v>
      </c>
      <c r="C73" s="376"/>
      <c r="D73" s="377" t="s">
        <v>21</v>
      </c>
      <c r="E73" s="259">
        <v>0</v>
      </c>
      <c r="F73" s="378">
        <f>C73*E73</f>
        <v>0</v>
      </c>
      <c r="G73" s="379"/>
      <c r="H73" s="380">
        <v>0</v>
      </c>
      <c r="I73" s="378">
        <f>G73*H73</f>
        <v>0</v>
      </c>
      <c r="J73" s="381"/>
      <c r="K73" s="382">
        <f>F73+I73+J73</f>
        <v>0</v>
      </c>
      <c r="L73" s="383"/>
      <c r="M73" s="384"/>
      <c r="N73" s="385"/>
      <c r="O73" s="386"/>
      <c r="P73" s="387"/>
      <c r="Q73" s="388"/>
    </row>
    <row r="74" spans="1:17" x14ac:dyDescent="0.25">
      <c r="A74" s="375" t="s">
        <v>873</v>
      </c>
      <c r="B74" s="5" t="s">
        <v>82</v>
      </c>
      <c r="C74" s="376"/>
      <c r="D74" s="377" t="s">
        <v>21</v>
      </c>
      <c r="E74" s="259">
        <v>0</v>
      </c>
      <c r="F74" s="378">
        <f>C74*E74</f>
        <v>0</v>
      </c>
      <c r="G74" s="379"/>
      <c r="H74" s="380">
        <v>0</v>
      </c>
      <c r="I74" s="378">
        <f>G74*H74</f>
        <v>0</v>
      </c>
      <c r="J74" s="381"/>
      <c r="K74" s="382">
        <f>F74+I74+J74</f>
        <v>0</v>
      </c>
      <c r="L74" s="383"/>
      <c r="M74" s="384"/>
      <c r="N74" s="385"/>
      <c r="O74" s="386"/>
      <c r="P74" s="387"/>
      <c r="Q74" s="388"/>
    </row>
    <row r="75" spans="1:17" ht="13.8" thickBot="1" x14ac:dyDescent="0.3">
      <c r="A75" s="392"/>
      <c r="B75" s="417"/>
      <c r="C75" s="393"/>
      <c r="D75" s="377"/>
      <c r="E75" s="259"/>
      <c r="F75" s="378"/>
      <c r="G75" s="379"/>
      <c r="H75" s="380"/>
      <c r="I75" s="378"/>
      <c r="J75" s="381"/>
      <c r="K75" s="308"/>
      <c r="L75" s="383"/>
      <c r="M75" s="384"/>
      <c r="N75" s="385"/>
      <c r="O75" s="386"/>
      <c r="P75" s="387"/>
      <c r="Q75" s="388"/>
    </row>
    <row r="76" spans="1:17" ht="13.8" thickTop="1" x14ac:dyDescent="0.25">
      <c r="A76" s="392"/>
      <c r="B76" s="417"/>
      <c r="C76" s="393"/>
      <c r="D76" s="377"/>
      <c r="E76" s="259"/>
      <c r="F76" s="378"/>
      <c r="G76" s="379"/>
      <c r="H76" s="380"/>
      <c r="I76" s="378"/>
      <c r="J76" s="394" t="s">
        <v>30</v>
      </c>
      <c r="K76" s="395">
        <f>SUM(K70:K75)</f>
        <v>8000</v>
      </c>
      <c r="L76" s="383"/>
      <c r="M76" s="384"/>
      <c r="N76" s="385"/>
      <c r="O76" s="386"/>
      <c r="P76" s="387"/>
      <c r="Q76" s="388"/>
    </row>
    <row r="77" spans="1:17" ht="13.8" thickBot="1" x14ac:dyDescent="0.3">
      <c r="A77" s="358" t="s">
        <v>0</v>
      </c>
      <c r="B77" s="359" t="s">
        <v>1</v>
      </c>
      <c r="C77" s="1018" t="s">
        <v>656</v>
      </c>
      <c r="D77" s="1018"/>
      <c r="E77" s="1018"/>
      <c r="F77" s="1018"/>
      <c r="G77" s="1018" t="s">
        <v>34</v>
      </c>
      <c r="H77" s="1018"/>
      <c r="I77" s="1018"/>
      <c r="J77" s="360"/>
      <c r="K77" s="361"/>
      <c r="L77" s="396"/>
      <c r="M77" s="397"/>
      <c r="N77" s="398"/>
      <c r="O77" s="386"/>
      <c r="P77" s="387"/>
      <c r="Q77" s="388"/>
    </row>
    <row r="78" spans="1:17" ht="16.2" thickBot="1" x14ac:dyDescent="0.35">
      <c r="A78" s="399" t="s">
        <v>107</v>
      </c>
      <c r="B78" s="400" t="s">
        <v>108</v>
      </c>
      <c r="C78" s="401" t="s">
        <v>19</v>
      </c>
      <c r="D78" s="402" t="s">
        <v>33</v>
      </c>
      <c r="E78" s="403" t="s">
        <v>35</v>
      </c>
      <c r="F78" s="404" t="s">
        <v>30</v>
      </c>
      <c r="G78" s="405" t="s">
        <v>14</v>
      </c>
      <c r="H78" s="403" t="s">
        <v>35</v>
      </c>
      <c r="I78" s="404" t="s">
        <v>30</v>
      </c>
      <c r="J78" s="369" t="s">
        <v>659</v>
      </c>
      <c r="K78" s="406" t="s">
        <v>38</v>
      </c>
      <c r="L78" s="407"/>
      <c r="M78" s="408"/>
      <c r="N78" s="409"/>
      <c r="O78" s="386"/>
      <c r="P78" s="387"/>
      <c r="Q78" s="388"/>
    </row>
    <row r="79" spans="1:17" x14ac:dyDescent="0.25">
      <c r="A79" s="410" t="s">
        <v>862</v>
      </c>
      <c r="B79" s="411" t="s">
        <v>134</v>
      </c>
      <c r="C79" s="376"/>
      <c r="D79" s="377" t="s">
        <v>733</v>
      </c>
      <c r="E79" s="259">
        <v>0</v>
      </c>
      <c r="F79" s="378">
        <f t="shared" ref="F79:F85" si="6">C79*E79</f>
        <v>0</v>
      </c>
      <c r="G79" s="379"/>
      <c r="H79" s="380">
        <v>0</v>
      </c>
      <c r="I79" s="378">
        <f t="shared" ref="I79:I85" si="7">G79*H79</f>
        <v>0</v>
      </c>
      <c r="J79" s="381"/>
      <c r="K79" s="382">
        <f t="shared" ref="K79:K85" si="8">F79+I79+J79</f>
        <v>0</v>
      </c>
      <c r="L79" s="383"/>
      <c r="M79" s="384"/>
      <c r="N79" s="385"/>
      <c r="O79" s="386"/>
      <c r="P79" s="387"/>
      <c r="Q79" s="388"/>
    </row>
    <row r="80" spans="1:17" x14ac:dyDescent="0.25">
      <c r="A80" s="375" t="s">
        <v>863</v>
      </c>
      <c r="B80" s="5" t="s">
        <v>129</v>
      </c>
      <c r="C80" s="376">
        <f>J6</f>
        <v>38</v>
      </c>
      <c r="D80" s="377" t="s">
        <v>733</v>
      </c>
      <c r="E80" s="259">
        <v>150</v>
      </c>
      <c r="F80" s="378">
        <f t="shared" si="6"/>
        <v>5700</v>
      </c>
      <c r="G80" s="379"/>
      <c r="H80" s="380">
        <v>0</v>
      </c>
      <c r="I80" s="378">
        <f t="shared" si="7"/>
        <v>0</v>
      </c>
      <c r="J80" s="381"/>
      <c r="K80" s="382">
        <f t="shared" si="8"/>
        <v>5700</v>
      </c>
      <c r="L80" s="383"/>
      <c r="M80" s="384"/>
      <c r="N80" s="385"/>
      <c r="O80" s="386"/>
      <c r="P80" s="387"/>
      <c r="Q80" s="388"/>
    </row>
    <row r="81" spans="1:17" x14ac:dyDescent="0.25">
      <c r="A81" s="375" t="s">
        <v>864</v>
      </c>
      <c r="B81" s="5" t="s">
        <v>52</v>
      </c>
      <c r="C81" s="376"/>
      <c r="D81" s="377" t="s">
        <v>733</v>
      </c>
      <c r="E81" s="259">
        <v>0</v>
      </c>
      <c r="F81" s="378">
        <f t="shared" si="6"/>
        <v>0</v>
      </c>
      <c r="G81" s="379"/>
      <c r="H81" s="380">
        <v>0</v>
      </c>
      <c r="I81" s="378">
        <f t="shared" si="7"/>
        <v>0</v>
      </c>
      <c r="J81" s="381"/>
      <c r="K81" s="382">
        <f t="shared" si="8"/>
        <v>0</v>
      </c>
      <c r="L81" s="383"/>
      <c r="M81" s="384"/>
      <c r="N81" s="385"/>
      <c r="O81" s="386"/>
      <c r="P81" s="387"/>
      <c r="Q81" s="388"/>
    </row>
    <row r="82" spans="1:17" x14ac:dyDescent="0.25">
      <c r="A82" s="375" t="s">
        <v>865</v>
      </c>
      <c r="B82" s="5" t="s">
        <v>130</v>
      </c>
      <c r="C82" s="376"/>
      <c r="D82" s="377" t="s">
        <v>733</v>
      </c>
      <c r="E82" s="259">
        <v>0</v>
      </c>
      <c r="F82" s="378">
        <f t="shared" si="6"/>
        <v>0</v>
      </c>
      <c r="G82" s="379"/>
      <c r="H82" s="380">
        <v>0</v>
      </c>
      <c r="I82" s="378">
        <f t="shared" si="7"/>
        <v>0</v>
      </c>
      <c r="J82" s="381"/>
      <c r="K82" s="382">
        <f t="shared" si="8"/>
        <v>0</v>
      </c>
      <c r="L82" s="383"/>
      <c r="M82" s="384"/>
      <c r="N82" s="385"/>
      <c r="O82" s="386"/>
      <c r="P82" s="387"/>
      <c r="Q82" s="388"/>
    </row>
    <row r="83" spans="1:17" x14ac:dyDescent="0.25">
      <c r="A83" s="375" t="s">
        <v>866</v>
      </c>
      <c r="B83" s="5" t="s">
        <v>131</v>
      </c>
      <c r="C83" s="376"/>
      <c r="D83" s="377" t="s">
        <v>733</v>
      </c>
      <c r="E83" s="259">
        <v>0</v>
      </c>
      <c r="F83" s="378">
        <f t="shared" si="6"/>
        <v>0</v>
      </c>
      <c r="G83" s="379"/>
      <c r="H83" s="380">
        <v>0</v>
      </c>
      <c r="I83" s="378">
        <f t="shared" si="7"/>
        <v>0</v>
      </c>
      <c r="J83" s="381"/>
      <c r="K83" s="382">
        <f t="shared" si="8"/>
        <v>0</v>
      </c>
      <c r="L83" s="383"/>
      <c r="M83" s="384"/>
      <c r="N83" s="385"/>
      <c r="O83" s="386"/>
      <c r="P83" s="387"/>
      <c r="Q83" s="388"/>
    </row>
    <row r="84" spans="1:17" x14ac:dyDescent="0.25">
      <c r="A84" s="375" t="s">
        <v>867</v>
      </c>
      <c r="B84" s="5" t="s">
        <v>132</v>
      </c>
      <c r="C84" s="376"/>
      <c r="D84" s="377" t="s">
        <v>733</v>
      </c>
      <c r="E84" s="259">
        <v>0</v>
      </c>
      <c r="F84" s="378">
        <f t="shared" si="6"/>
        <v>0</v>
      </c>
      <c r="G84" s="379"/>
      <c r="H84" s="380">
        <v>0</v>
      </c>
      <c r="I84" s="378">
        <f t="shared" si="7"/>
        <v>0</v>
      </c>
      <c r="J84" s="381"/>
      <c r="K84" s="382">
        <f t="shared" si="8"/>
        <v>0</v>
      </c>
      <c r="L84" s="383"/>
      <c r="M84" s="384"/>
      <c r="N84" s="385"/>
      <c r="O84" s="386"/>
      <c r="P84" s="387"/>
      <c r="Q84" s="388"/>
    </row>
    <row r="85" spans="1:17" x14ac:dyDescent="0.25">
      <c r="A85" s="375" t="s">
        <v>868</v>
      </c>
      <c r="B85" s="5" t="s">
        <v>133</v>
      </c>
      <c r="C85" s="376"/>
      <c r="D85" s="377" t="s">
        <v>733</v>
      </c>
      <c r="E85" s="259">
        <v>0</v>
      </c>
      <c r="F85" s="378">
        <f t="shared" si="6"/>
        <v>0</v>
      </c>
      <c r="G85" s="379"/>
      <c r="H85" s="380">
        <v>0</v>
      </c>
      <c r="I85" s="378">
        <f t="shared" si="7"/>
        <v>0</v>
      </c>
      <c r="J85" s="381"/>
      <c r="K85" s="382">
        <f t="shared" si="8"/>
        <v>0</v>
      </c>
      <c r="L85" s="383"/>
      <c r="M85" s="384"/>
      <c r="N85" s="385"/>
      <c r="O85" s="386"/>
      <c r="P85" s="387"/>
      <c r="Q85" s="388"/>
    </row>
    <row r="86" spans="1:17" ht="13.8" thickBot="1" x14ac:dyDescent="0.3">
      <c r="A86" s="392"/>
      <c r="B86" s="5"/>
      <c r="C86" s="393"/>
      <c r="D86" s="377"/>
      <c r="E86" s="259"/>
      <c r="F86" s="378"/>
      <c r="G86" s="379"/>
      <c r="H86" s="380"/>
      <c r="I86" s="378"/>
      <c r="J86" s="381"/>
      <c r="K86" s="812"/>
      <c r="L86" s="157"/>
      <c r="M86" s="157"/>
      <c r="O86" s="386"/>
      <c r="P86" s="387"/>
      <c r="Q86" s="388"/>
    </row>
    <row r="87" spans="1:17" ht="13.8" thickTop="1" x14ac:dyDescent="0.25">
      <c r="A87" s="392"/>
      <c r="B87" s="417"/>
      <c r="C87" s="393"/>
      <c r="D87" s="377"/>
      <c r="E87" s="259"/>
      <c r="F87" s="378"/>
      <c r="G87" s="379"/>
      <c r="H87" s="380"/>
      <c r="I87" s="378"/>
      <c r="J87" s="394" t="s">
        <v>30</v>
      </c>
      <c r="K87" s="813">
        <f>SUM(K79:K86)</f>
        <v>5700</v>
      </c>
      <c r="L87" s="157"/>
      <c r="M87" s="157"/>
      <c r="O87" s="386"/>
      <c r="P87" s="387"/>
      <c r="Q87" s="388"/>
    </row>
    <row r="88" spans="1:17" ht="13.8" thickBot="1" x14ac:dyDescent="0.3">
      <c r="A88" s="358" t="s">
        <v>0</v>
      </c>
      <c r="B88" s="359" t="s">
        <v>1</v>
      </c>
      <c r="C88" s="1018" t="s">
        <v>656</v>
      </c>
      <c r="D88" s="1018"/>
      <c r="E88" s="1018"/>
      <c r="F88" s="1018"/>
      <c r="G88" s="1018" t="s">
        <v>34</v>
      </c>
      <c r="H88" s="1018"/>
      <c r="I88" s="1018"/>
      <c r="J88" s="360"/>
      <c r="K88" s="361"/>
      <c r="L88" s="396"/>
      <c r="M88" s="397"/>
      <c r="N88" s="398"/>
      <c r="O88" s="386"/>
      <c r="P88" s="387"/>
      <c r="Q88" s="388"/>
    </row>
    <row r="89" spans="1:17" ht="16.2" thickBot="1" x14ac:dyDescent="0.35">
      <c r="A89" s="399" t="s">
        <v>110</v>
      </c>
      <c r="B89" s="400" t="s">
        <v>109</v>
      </c>
      <c r="C89" s="401" t="s">
        <v>19</v>
      </c>
      <c r="D89" s="402" t="s">
        <v>33</v>
      </c>
      <c r="E89" s="403" t="s">
        <v>35</v>
      </c>
      <c r="F89" s="404" t="s">
        <v>30</v>
      </c>
      <c r="G89" s="405" t="s">
        <v>14</v>
      </c>
      <c r="H89" s="403" t="s">
        <v>35</v>
      </c>
      <c r="I89" s="404" t="s">
        <v>30</v>
      </c>
      <c r="J89" s="369" t="s">
        <v>659</v>
      </c>
      <c r="K89" s="406" t="s">
        <v>38</v>
      </c>
      <c r="L89" s="407"/>
      <c r="M89" s="408"/>
      <c r="N89" s="409"/>
      <c r="O89" s="386"/>
      <c r="P89" s="387"/>
      <c r="Q89" s="388"/>
    </row>
    <row r="90" spans="1:17" ht="13.8" thickBot="1" x14ac:dyDescent="0.3">
      <c r="A90" s="410" t="s">
        <v>857</v>
      </c>
      <c r="B90" s="411" t="s">
        <v>147</v>
      </c>
      <c r="C90" s="865">
        <f>J6/4</f>
        <v>9.5</v>
      </c>
      <c r="D90" s="377" t="s">
        <v>736</v>
      </c>
      <c r="E90" s="259">
        <v>750</v>
      </c>
      <c r="F90" s="378">
        <f t="shared" ref="F90:F95" si="9">C90*E90</f>
        <v>7125</v>
      </c>
      <c r="G90" s="379"/>
      <c r="H90" s="380">
        <v>0</v>
      </c>
      <c r="I90" s="378">
        <f>G90*H90</f>
        <v>0</v>
      </c>
      <c r="J90" s="381"/>
      <c r="K90" s="382">
        <f t="shared" ref="K90:K95" si="10">F90+I90+J90</f>
        <v>7125</v>
      </c>
      <c r="L90" s="383"/>
      <c r="M90" s="384"/>
      <c r="N90" s="385"/>
      <c r="O90" s="386"/>
      <c r="P90" s="387"/>
      <c r="Q90" s="388"/>
    </row>
    <row r="91" spans="1:17" x14ac:dyDescent="0.25">
      <c r="A91" s="410" t="s">
        <v>857</v>
      </c>
      <c r="B91" s="5" t="s">
        <v>978</v>
      </c>
      <c r="C91" s="376">
        <v>1</v>
      </c>
      <c r="D91" s="377" t="s">
        <v>734</v>
      </c>
      <c r="E91" s="259">
        <v>1840</v>
      </c>
      <c r="F91" s="378">
        <f t="shared" si="9"/>
        <v>1840</v>
      </c>
      <c r="G91" s="379"/>
      <c r="H91" s="380"/>
      <c r="I91" s="378"/>
      <c r="J91" s="381"/>
      <c r="K91" s="382">
        <f t="shared" si="10"/>
        <v>1840</v>
      </c>
      <c r="L91" s="383"/>
      <c r="M91" s="384"/>
      <c r="N91" s="385"/>
      <c r="O91" s="386"/>
      <c r="P91" s="387"/>
      <c r="Q91" s="388"/>
    </row>
    <row r="92" spans="1:17" x14ac:dyDescent="0.25">
      <c r="A92" s="375" t="s">
        <v>858</v>
      </c>
      <c r="B92" s="5" t="s">
        <v>135</v>
      </c>
      <c r="C92" s="376">
        <f>J6</f>
        <v>38</v>
      </c>
      <c r="D92" s="377" t="s">
        <v>733</v>
      </c>
      <c r="E92" s="259">
        <v>50</v>
      </c>
      <c r="F92" s="378">
        <f t="shared" si="9"/>
        <v>1900</v>
      </c>
      <c r="G92" s="379"/>
      <c r="H92" s="380">
        <v>0</v>
      </c>
      <c r="I92" s="378">
        <f>G92*H92</f>
        <v>0</v>
      </c>
      <c r="J92" s="381"/>
      <c r="K92" s="382">
        <f t="shared" si="10"/>
        <v>1900</v>
      </c>
      <c r="L92" s="383"/>
      <c r="M92" s="384"/>
      <c r="N92" s="385"/>
      <c r="O92" s="386"/>
      <c r="P92" s="387"/>
      <c r="Q92" s="388"/>
    </row>
    <row r="93" spans="1:17" x14ac:dyDescent="0.25">
      <c r="A93" s="375" t="s">
        <v>859</v>
      </c>
      <c r="B93" s="5" t="s">
        <v>148</v>
      </c>
      <c r="C93" s="444">
        <f>SUM('Estimate Summary'!H17:H61)/1000</f>
        <v>1918.8995587500001</v>
      </c>
      <c r="D93" s="377" t="s">
        <v>20</v>
      </c>
      <c r="E93" s="259">
        <v>0.55000000000000004</v>
      </c>
      <c r="F93" s="378">
        <f t="shared" si="9"/>
        <v>1055.3947573125001</v>
      </c>
      <c r="G93" s="379"/>
      <c r="H93" s="380">
        <v>0</v>
      </c>
      <c r="I93" s="378">
        <f>G93*H93</f>
        <v>0</v>
      </c>
      <c r="J93" s="381"/>
      <c r="K93" s="382">
        <f t="shared" si="10"/>
        <v>1055.3947573125001</v>
      </c>
      <c r="L93" s="383"/>
      <c r="M93" s="384"/>
      <c r="N93" s="385"/>
      <c r="O93" s="386"/>
      <c r="P93" s="387"/>
      <c r="Q93" s="388"/>
    </row>
    <row r="94" spans="1:17" x14ac:dyDescent="0.25">
      <c r="A94" s="375" t="s">
        <v>860</v>
      </c>
      <c r="B94" s="5" t="s">
        <v>149</v>
      </c>
      <c r="C94" s="376">
        <f>J6/2</f>
        <v>19</v>
      </c>
      <c r="D94" s="377" t="s">
        <v>733</v>
      </c>
      <c r="E94" s="259">
        <v>125</v>
      </c>
      <c r="F94" s="378">
        <f t="shared" si="9"/>
        <v>2375</v>
      </c>
      <c r="G94" s="379"/>
      <c r="H94" s="380">
        <v>0</v>
      </c>
      <c r="I94" s="378">
        <f>G94*H94</f>
        <v>0</v>
      </c>
      <c r="J94" s="381"/>
      <c r="K94" s="814">
        <f t="shared" si="10"/>
        <v>2375</v>
      </c>
      <c r="L94" s="157"/>
      <c r="M94" s="157"/>
      <c r="O94" s="386"/>
      <c r="P94" s="387"/>
      <c r="Q94" s="388"/>
    </row>
    <row r="95" spans="1:17" x14ac:dyDescent="0.25">
      <c r="A95" s="375" t="s">
        <v>861</v>
      </c>
      <c r="B95" s="5" t="s">
        <v>18</v>
      </c>
      <c r="C95" s="376">
        <v>1</v>
      </c>
      <c r="D95" s="377" t="s">
        <v>734</v>
      </c>
      <c r="E95" s="259">
        <v>200</v>
      </c>
      <c r="F95" s="378">
        <f t="shared" si="9"/>
        <v>200</v>
      </c>
      <c r="G95" s="379"/>
      <c r="H95" s="380">
        <v>0</v>
      </c>
      <c r="I95" s="378">
        <f>G95*H95</f>
        <v>0</v>
      </c>
      <c r="J95" s="381"/>
      <c r="K95" s="814">
        <f t="shared" si="10"/>
        <v>200</v>
      </c>
      <c r="L95" s="157"/>
      <c r="M95" s="157"/>
      <c r="O95" s="386"/>
      <c r="P95" s="387"/>
      <c r="Q95" s="388"/>
    </row>
    <row r="96" spans="1:17" ht="13.8" thickBot="1" x14ac:dyDescent="0.3">
      <c r="A96" s="392"/>
      <c r="B96" s="5"/>
      <c r="C96" s="393"/>
      <c r="D96" s="377"/>
      <c r="E96" s="259"/>
      <c r="F96" s="378"/>
      <c r="G96" s="379"/>
      <c r="H96" s="380"/>
      <c r="I96" s="378"/>
      <c r="J96" s="381"/>
      <c r="K96" s="815"/>
      <c r="L96" s="471"/>
      <c r="M96" s="384"/>
      <c r="N96" s="385"/>
      <c r="O96" s="386"/>
      <c r="P96" s="387"/>
      <c r="Q96" s="388"/>
    </row>
    <row r="97" spans="1:17" ht="13.8" thickTop="1" x14ac:dyDescent="0.25">
      <c r="A97" s="392"/>
      <c r="B97" s="417"/>
      <c r="C97" s="393"/>
      <c r="D97" s="377"/>
      <c r="E97" s="259"/>
      <c r="F97" s="378"/>
      <c r="G97" s="379"/>
      <c r="H97" s="380"/>
      <c r="I97" s="378"/>
      <c r="J97" s="394" t="s">
        <v>30</v>
      </c>
      <c r="K97" s="395">
        <f>SUM(K90:K96)</f>
        <v>14495.394757312501</v>
      </c>
      <c r="L97" s="383"/>
      <c r="M97" s="384"/>
      <c r="N97" s="385"/>
      <c r="O97" s="386"/>
      <c r="P97" s="387"/>
      <c r="Q97" s="388"/>
    </row>
    <row r="98" spans="1:17" ht="13.8" thickBot="1" x14ac:dyDescent="0.3">
      <c r="A98" s="358" t="s">
        <v>0</v>
      </c>
      <c r="B98" s="359" t="s">
        <v>1</v>
      </c>
      <c r="C98" s="1018" t="s">
        <v>656</v>
      </c>
      <c r="D98" s="1018"/>
      <c r="E98" s="1018"/>
      <c r="F98" s="1018"/>
      <c r="G98" s="1018" t="s">
        <v>34</v>
      </c>
      <c r="H98" s="1018"/>
      <c r="I98" s="1018"/>
      <c r="J98" s="360"/>
      <c r="K98" s="361"/>
      <c r="L98" s="396"/>
      <c r="M98" s="397"/>
      <c r="N98" s="398"/>
      <c r="O98" s="386"/>
      <c r="P98" s="387"/>
      <c r="Q98" s="388"/>
    </row>
    <row r="99" spans="1:17" ht="16.2" thickBot="1" x14ac:dyDescent="0.35">
      <c r="A99" s="399" t="s">
        <v>111</v>
      </c>
      <c r="B99" s="400" t="s">
        <v>112</v>
      </c>
      <c r="C99" s="401" t="s">
        <v>19</v>
      </c>
      <c r="D99" s="402" t="s">
        <v>33</v>
      </c>
      <c r="E99" s="403" t="s">
        <v>35</v>
      </c>
      <c r="F99" s="404" t="s">
        <v>30</v>
      </c>
      <c r="G99" s="405" t="s">
        <v>14</v>
      </c>
      <c r="H99" s="403" t="s">
        <v>35</v>
      </c>
      <c r="I99" s="404" t="s">
        <v>30</v>
      </c>
      <c r="J99" s="369" t="s">
        <v>659</v>
      </c>
      <c r="K99" s="406" t="s">
        <v>38</v>
      </c>
      <c r="L99" s="407"/>
      <c r="M99" s="408"/>
      <c r="N99" s="409"/>
      <c r="O99" s="386"/>
      <c r="P99" s="387"/>
      <c r="Q99" s="388"/>
    </row>
    <row r="100" spans="1:17" x14ac:dyDescent="0.25">
      <c r="A100" s="410" t="s">
        <v>854</v>
      </c>
      <c r="B100" s="411" t="s">
        <v>136</v>
      </c>
      <c r="C100" s="376"/>
      <c r="D100" s="377" t="s">
        <v>21</v>
      </c>
      <c r="E100" s="259">
        <v>0</v>
      </c>
      <c r="F100" s="378">
        <f>C100*E100</f>
        <v>0</v>
      </c>
      <c r="G100" s="379"/>
      <c r="H100" s="380">
        <v>0</v>
      </c>
      <c r="I100" s="378">
        <f>G100*H100</f>
        <v>0</v>
      </c>
      <c r="J100" s="381"/>
      <c r="K100" s="382">
        <f>F100+I100+J100</f>
        <v>0</v>
      </c>
      <c r="L100" s="383"/>
      <c r="M100" s="384"/>
      <c r="N100" s="385"/>
      <c r="O100" s="386"/>
      <c r="P100" s="387"/>
      <c r="Q100" s="388"/>
    </row>
    <row r="101" spans="1:17" x14ac:dyDescent="0.25">
      <c r="A101" s="375" t="s">
        <v>855</v>
      </c>
      <c r="B101" s="5" t="s">
        <v>922</v>
      </c>
      <c r="C101" s="376">
        <v>1</v>
      </c>
      <c r="D101" s="377" t="s">
        <v>21</v>
      </c>
      <c r="E101" s="259">
        <v>8000</v>
      </c>
      <c r="F101" s="378">
        <f>C101*E101</f>
        <v>8000</v>
      </c>
      <c r="G101" s="379"/>
      <c r="H101" s="380">
        <v>0</v>
      </c>
      <c r="I101" s="378">
        <f>G101*H101</f>
        <v>0</v>
      </c>
      <c r="J101" s="381"/>
      <c r="K101" s="382">
        <f>F101+I101+J101</f>
        <v>8000</v>
      </c>
      <c r="L101" s="383"/>
      <c r="M101" s="384"/>
      <c r="N101" s="385"/>
      <c r="O101" s="386"/>
      <c r="P101" s="387"/>
      <c r="Q101" s="388"/>
    </row>
    <row r="102" spans="1:17" x14ac:dyDescent="0.25">
      <c r="A102" s="375" t="s">
        <v>856</v>
      </c>
      <c r="B102" s="5" t="s">
        <v>53</v>
      </c>
      <c r="C102" s="376">
        <f>'Estimate Summary'!E62</f>
        <v>0</v>
      </c>
      <c r="D102" s="377" t="s">
        <v>735</v>
      </c>
      <c r="E102" s="259">
        <v>0</v>
      </c>
      <c r="F102" s="378">
        <f>C102*E102</f>
        <v>0</v>
      </c>
      <c r="G102" s="379"/>
      <c r="H102" s="380">
        <v>0</v>
      </c>
      <c r="I102" s="378">
        <f>G102*H102</f>
        <v>0</v>
      </c>
      <c r="J102" s="381"/>
      <c r="K102" s="382">
        <f>F102+I102+J102</f>
        <v>0</v>
      </c>
      <c r="L102" s="383"/>
      <c r="M102" s="384"/>
      <c r="N102" s="385"/>
      <c r="O102" s="386"/>
      <c r="P102" s="387"/>
      <c r="Q102" s="388"/>
    </row>
    <row r="103" spans="1:17" x14ac:dyDescent="0.25">
      <c r="A103" s="375" t="s">
        <v>972</v>
      </c>
      <c r="B103" s="5" t="s">
        <v>973</v>
      </c>
      <c r="C103" s="444">
        <f>SUM('Estimate Summary'!H17:H63)/1000</f>
        <v>1918.8995587500001</v>
      </c>
      <c r="D103" s="421" t="s">
        <v>841</v>
      </c>
      <c r="E103" s="259">
        <v>2.33</v>
      </c>
      <c r="F103" s="378">
        <f>C103*E103</f>
        <v>4471.0359718875006</v>
      </c>
      <c r="G103" s="379"/>
      <c r="H103" s="380">
        <v>0</v>
      </c>
      <c r="I103" s="378">
        <f>G103*H103</f>
        <v>0</v>
      </c>
      <c r="J103" s="381"/>
      <c r="K103" s="382">
        <f>F103+I103+J103</f>
        <v>4471.0359718875006</v>
      </c>
      <c r="L103" s="383"/>
      <c r="M103" s="384"/>
      <c r="N103" s="385"/>
      <c r="O103" s="386"/>
      <c r="P103" s="387"/>
      <c r="Q103" s="388"/>
    </row>
    <row r="104" spans="1:17" ht="13.8" thickBot="1" x14ac:dyDescent="0.3">
      <c r="A104" s="392"/>
      <c r="B104" s="5"/>
      <c r="C104" s="393"/>
      <c r="D104" s="377"/>
      <c r="E104" s="259"/>
      <c r="F104" s="378"/>
      <c r="G104" s="379"/>
      <c r="H104" s="380"/>
      <c r="I104" s="378"/>
      <c r="J104" s="381"/>
      <c r="K104" s="308"/>
      <c r="L104" s="383"/>
      <c r="M104" s="384"/>
      <c r="N104" s="385"/>
      <c r="O104" s="386"/>
      <c r="P104" s="387"/>
      <c r="Q104" s="388"/>
    </row>
    <row r="105" spans="1:17" ht="17.100000000000001" customHeight="1" thickTop="1" x14ac:dyDescent="0.25">
      <c r="A105" s="392"/>
      <c r="C105" s="393"/>
      <c r="D105" s="377"/>
      <c r="E105" s="259"/>
      <c r="F105" s="378"/>
      <c r="G105" s="379"/>
      <c r="H105" s="380"/>
      <c r="I105" s="378"/>
      <c r="J105" s="394" t="s">
        <v>30</v>
      </c>
      <c r="K105" s="395">
        <f>SUM(K100:K104)</f>
        <v>12471.035971887501</v>
      </c>
      <c r="L105" s="383"/>
      <c r="M105" s="384"/>
      <c r="N105" s="385"/>
      <c r="O105" s="386"/>
      <c r="P105" s="387"/>
      <c r="Q105" s="388"/>
    </row>
    <row r="106" spans="1:17" ht="13.8" thickBot="1" x14ac:dyDescent="0.3">
      <c r="A106" s="358" t="s">
        <v>0</v>
      </c>
      <c r="B106" s="359" t="s">
        <v>1</v>
      </c>
      <c r="C106" s="1018" t="s">
        <v>656</v>
      </c>
      <c r="D106" s="1018"/>
      <c r="E106" s="1018"/>
      <c r="F106" s="1018"/>
      <c r="G106" s="1018" t="s">
        <v>34</v>
      </c>
      <c r="H106" s="1018"/>
      <c r="I106" s="1018"/>
      <c r="J106" s="360"/>
      <c r="K106" s="361"/>
      <c r="L106" s="396"/>
      <c r="M106" s="397"/>
      <c r="N106" s="398"/>
      <c r="O106" s="386"/>
      <c r="P106" s="387"/>
      <c r="Q106" s="388"/>
    </row>
    <row r="107" spans="1:17" ht="16.2" thickBot="1" x14ac:dyDescent="0.35">
      <c r="A107" s="399" t="s">
        <v>815</v>
      </c>
      <c r="B107" s="400" t="s">
        <v>757</v>
      </c>
      <c r="C107" s="401" t="s">
        <v>19</v>
      </c>
      <c r="D107" s="402" t="s">
        <v>33</v>
      </c>
      <c r="E107" s="403" t="s">
        <v>35</v>
      </c>
      <c r="F107" s="404" t="s">
        <v>30</v>
      </c>
      <c r="G107" s="405" t="s">
        <v>14</v>
      </c>
      <c r="H107" s="403" t="s">
        <v>35</v>
      </c>
      <c r="I107" s="404" t="s">
        <v>30</v>
      </c>
      <c r="J107" s="369" t="s">
        <v>659</v>
      </c>
      <c r="K107" s="406" t="s">
        <v>38</v>
      </c>
      <c r="L107" s="407"/>
      <c r="M107" s="408"/>
      <c r="N107" s="409"/>
      <c r="O107" s="386"/>
      <c r="P107" s="387"/>
      <c r="Q107" s="388"/>
    </row>
    <row r="108" spans="1:17" x14ac:dyDescent="0.25">
      <c r="A108" s="410"/>
      <c r="B108" s="411"/>
      <c r="C108" s="376"/>
      <c r="D108" s="377"/>
      <c r="E108" s="259"/>
      <c r="F108" s="378"/>
      <c r="G108" s="379"/>
      <c r="H108" s="380"/>
      <c r="I108" s="378"/>
      <c r="J108" s="381"/>
      <c r="K108" s="382"/>
      <c r="L108" s="383"/>
      <c r="M108" s="384"/>
      <c r="N108" s="385"/>
      <c r="O108" s="386"/>
      <c r="P108" s="387"/>
      <c r="Q108" s="388"/>
    </row>
    <row r="109" spans="1:17" x14ac:dyDescent="0.25">
      <c r="A109" s="375" t="s">
        <v>847</v>
      </c>
      <c r="B109" s="157" t="s">
        <v>1348</v>
      </c>
      <c r="C109" s="376">
        <v>3</v>
      </c>
      <c r="D109" s="445" t="s">
        <v>762</v>
      </c>
      <c r="E109" s="446">
        <v>2500</v>
      </c>
      <c r="F109" s="378">
        <f t="shared" ref="F109:F114" si="11">C109*E109</f>
        <v>7500</v>
      </c>
      <c r="G109" s="379"/>
      <c r="H109" s="380"/>
      <c r="I109" s="378"/>
      <c r="J109" s="381"/>
      <c r="K109" s="382">
        <f>F109</f>
        <v>7500</v>
      </c>
      <c r="L109" s="383"/>
      <c r="M109" s="384"/>
      <c r="N109" s="385"/>
      <c r="O109" s="386"/>
      <c r="P109" s="387"/>
      <c r="Q109" s="388"/>
    </row>
    <row r="110" spans="1:17" x14ac:dyDescent="0.25">
      <c r="A110" s="375" t="s">
        <v>848</v>
      </c>
      <c r="B110" s="157" t="s">
        <v>764</v>
      </c>
      <c r="C110" s="376"/>
      <c r="D110" s="445" t="s">
        <v>753</v>
      </c>
      <c r="E110" s="446">
        <v>73</v>
      </c>
      <c r="F110" s="378">
        <f t="shared" si="11"/>
        <v>0</v>
      </c>
      <c r="G110" s="379"/>
      <c r="H110" s="380"/>
      <c r="I110" s="378"/>
      <c r="J110" s="381"/>
      <c r="K110" s="814">
        <f t="shared" ref="K110:K114" si="12">F110</f>
        <v>0</v>
      </c>
      <c r="L110" s="157"/>
      <c r="M110" s="157"/>
      <c r="O110" s="386"/>
      <c r="P110" s="387"/>
      <c r="Q110" s="388"/>
    </row>
    <row r="111" spans="1:17" x14ac:dyDescent="0.25">
      <c r="A111" s="375" t="s">
        <v>849</v>
      </c>
      <c r="B111" s="157" t="s">
        <v>765</v>
      </c>
      <c r="C111" s="376">
        <v>3</v>
      </c>
      <c r="D111" s="445" t="s">
        <v>762</v>
      </c>
      <c r="E111" s="446">
        <v>355</v>
      </c>
      <c r="F111" s="378">
        <f t="shared" si="11"/>
        <v>1065</v>
      </c>
      <c r="G111" s="379"/>
      <c r="H111" s="380"/>
      <c r="I111" s="378"/>
      <c r="J111" s="381"/>
      <c r="K111" s="814">
        <f t="shared" si="12"/>
        <v>1065</v>
      </c>
      <c r="L111" s="157"/>
      <c r="M111" s="157"/>
      <c r="O111" s="386"/>
      <c r="P111" s="387"/>
      <c r="Q111" s="388"/>
    </row>
    <row r="112" spans="1:17" x14ac:dyDescent="0.25">
      <c r="A112" s="375" t="s">
        <v>850</v>
      </c>
      <c r="B112" s="157" t="s">
        <v>766</v>
      </c>
      <c r="C112" s="376"/>
      <c r="D112" s="445" t="s">
        <v>762</v>
      </c>
      <c r="E112" s="446">
        <v>609</v>
      </c>
      <c r="F112" s="378">
        <f t="shared" si="11"/>
        <v>0</v>
      </c>
      <c r="G112" s="379"/>
      <c r="H112" s="380"/>
      <c r="I112" s="378"/>
      <c r="J112" s="381"/>
      <c r="K112" s="382">
        <f t="shared" si="12"/>
        <v>0</v>
      </c>
      <c r="L112" s="383"/>
      <c r="M112" s="384"/>
      <c r="N112" s="385"/>
      <c r="O112" s="386"/>
      <c r="P112" s="387"/>
      <c r="Q112" s="388"/>
    </row>
    <row r="113" spans="1:17" x14ac:dyDescent="0.25">
      <c r="A113" s="375" t="s">
        <v>851</v>
      </c>
      <c r="B113" s="157" t="s">
        <v>771</v>
      </c>
      <c r="C113" s="376"/>
      <c r="D113" s="377" t="s">
        <v>753</v>
      </c>
      <c r="E113" s="446">
        <v>98</v>
      </c>
      <c r="F113" s="378">
        <f t="shared" si="11"/>
        <v>0</v>
      </c>
      <c r="G113" s="379"/>
      <c r="H113" s="380"/>
      <c r="I113" s="378"/>
      <c r="J113" s="381"/>
      <c r="K113" s="382">
        <f t="shared" si="12"/>
        <v>0</v>
      </c>
      <c r="L113" s="383"/>
      <c r="M113" s="384"/>
      <c r="N113" s="385"/>
      <c r="O113" s="386"/>
      <c r="P113" s="387"/>
      <c r="Q113" s="388"/>
    </row>
    <row r="114" spans="1:17" ht="13.8" thickBot="1" x14ac:dyDescent="0.3">
      <c r="A114" s="375" t="s">
        <v>852</v>
      </c>
      <c r="B114" s="157" t="s">
        <v>772</v>
      </c>
      <c r="C114" s="376"/>
      <c r="D114" s="377" t="s">
        <v>753</v>
      </c>
      <c r="E114" s="446">
        <v>98</v>
      </c>
      <c r="F114" s="378">
        <f t="shared" si="11"/>
        <v>0</v>
      </c>
      <c r="G114" s="379"/>
      <c r="H114" s="380"/>
      <c r="I114" s="378"/>
      <c r="J114" s="381"/>
      <c r="K114" s="382">
        <f t="shared" si="12"/>
        <v>0</v>
      </c>
      <c r="L114" s="383"/>
      <c r="M114" s="384"/>
      <c r="N114" s="385"/>
      <c r="O114" s="386"/>
      <c r="P114" s="387"/>
      <c r="Q114" s="388"/>
    </row>
    <row r="115" spans="1:17" x14ac:dyDescent="0.25">
      <c r="A115" s="447"/>
      <c r="B115" s="448" t="s">
        <v>816</v>
      </c>
      <c r="C115" s="449"/>
      <c r="D115" s="449"/>
      <c r="E115" s="449"/>
      <c r="F115" s="450"/>
      <c r="G115" s="451"/>
      <c r="H115" s="380"/>
      <c r="I115" s="378"/>
      <c r="J115" s="381"/>
      <c r="K115" s="382"/>
      <c r="L115" s="383"/>
      <c r="M115" s="384"/>
      <c r="N115" s="385"/>
      <c r="O115" s="386"/>
      <c r="P115" s="387"/>
      <c r="Q115" s="388"/>
    </row>
    <row r="116" spans="1:17" ht="41.4" x14ac:dyDescent="0.25">
      <c r="A116" s="447"/>
      <c r="C116" s="157" t="s">
        <v>817</v>
      </c>
      <c r="D116" s="157" t="s">
        <v>818</v>
      </c>
      <c r="E116" s="452" t="s">
        <v>821</v>
      </c>
      <c r="F116" s="157" t="s">
        <v>819</v>
      </c>
      <c r="G116" s="453" t="s">
        <v>820</v>
      </c>
      <c r="H116" s="380"/>
      <c r="I116" s="378"/>
      <c r="J116" s="381"/>
      <c r="K116" s="382"/>
      <c r="L116" s="383"/>
      <c r="M116" s="384"/>
      <c r="N116" s="385"/>
      <c r="O116" s="386"/>
      <c r="P116" s="387"/>
      <c r="Q116" s="388"/>
    </row>
    <row r="117" spans="1:17" ht="13.8" x14ac:dyDescent="0.25">
      <c r="A117" s="447"/>
      <c r="C117" s="157">
        <v>90</v>
      </c>
      <c r="D117" s="157">
        <v>6</v>
      </c>
      <c r="E117" s="454">
        <v>24</v>
      </c>
      <c r="F117" s="157">
        <f>D117*E117</f>
        <v>144</v>
      </c>
      <c r="G117" s="455">
        <v>0</v>
      </c>
      <c r="H117" s="380"/>
      <c r="I117" s="378"/>
      <c r="J117" s="381"/>
      <c r="K117" s="382"/>
      <c r="L117" s="383"/>
      <c r="M117" s="384"/>
      <c r="N117" s="385"/>
      <c r="O117" s="386"/>
      <c r="P117" s="387"/>
      <c r="Q117" s="388"/>
    </row>
    <row r="118" spans="1:17" ht="14.4" thickBot="1" x14ac:dyDescent="0.3">
      <c r="A118" s="447" t="s">
        <v>853</v>
      </c>
      <c r="B118" s="456" t="s">
        <v>769</v>
      </c>
      <c r="C118" s="457">
        <f>F117*G117</f>
        <v>0</v>
      </c>
      <c r="D118" s="458" t="s">
        <v>758</v>
      </c>
      <c r="E118" s="459">
        <v>1.3</v>
      </c>
      <c r="F118" s="460">
        <f>C118*E118</f>
        <v>0</v>
      </c>
      <c r="G118" s="461"/>
      <c r="H118" s="380"/>
      <c r="I118" s="378"/>
      <c r="J118" s="381"/>
      <c r="K118" s="814">
        <f>F118</f>
        <v>0</v>
      </c>
      <c r="L118" s="157"/>
      <c r="M118" s="157"/>
      <c r="O118" s="386"/>
      <c r="P118" s="387"/>
      <c r="Q118" s="388"/>
    </row>
    <row r="119" spans="1:17" ht="13.8" thickBot="1" x14ac:dyDescent="0.3">
      <c r="A119" s="392"/>
      <c r="B119" s="5"/>
      <c r="C119" s="393"/>
      <c r="D119" s="377"/>
      <c r="E119" s="259"/>
      <c r="F119" s="378"/>
      <c r="G119" s="379"/>
      <c r="H119" s="380"/>
      <c r="I119" s="378"/>
      <c r="J119" s="381"/>
      <c r="K119" s="815"/>
      <c r="L119" s="157"/>
      <c r="M119" s="157"/>
      <c r="O119" s="386"/>
      <c r="P119" s="387"/>
      <c r="Q119" s="388"/>
    </row>
    <row r="120" spans="1:17" ht="13.8" thickTop="1" x14ac:dyDescent="0.25">
      <c r="A120" s="392"/>
      <c r="B120" s="417"/>
      <c r="C120" s="393"/>
      <c r="D120" s="377"/>
      <c r="E120" s="259"/>
      <c r="F120" s="378"/>
      <c r="G120" s="379"/>
      <c r="H120" s="380"/>
      <c r="I120" s="378"/>
      <c r="J120" s="394" t="s">
        <v>30</v>
      </c>
      <c r="K120" s="395">
        <f>SUM(K108:K119)</f>
        <v>8565</v>
      </c>
      <c r="L120" s="383"/>
      <c r="M120" s="384"/>
      <c r="N120" s="385"/>
      <c r="O120" s="386"/>
      <c r="P120" s="387"/>
      <c r="Q120" s="388"/>
    </row>
    <row r="121" spans="1:17" ht="13.8" thickBot="1" x14ac:dyDescent="0.3">
      <c r="A121" s="358" t="s">
        <v>0</v>
      </c>
      <c r="B121" s="359" t="s">
        <v>1</v>
      </c>
      <c r="C121" s="1018" t="s">
        <v>656</v>
      </c>
      <c r="D121" s="1018"/>
      <c r="E121" s="1018"/>
      <c r="F121" s="1018"/>
      <c r="G121" s="1018" t="s">
        <v>34</v>
      </c>
      <c r="H121" s="1018"/>
      <c r="I121" s="1018"/>
      <c r="J121" s="360"/>
      <c r="K121" s="361"/>
      <c r="L121" s="396"/>
      <c r="M121" s="397"/>
      <c r="N121" s="398"/>
      <c r="O121" s="386"/>
      <c r="P121" s="387"/>
      <c r="Q121" s="388"/>
    </row>
    <row r="122" spans="1:17" ht="16.2" thickBot="1" x14ac:dyDescent="0.35">
      <c r="A122" s="399" t="s">
        <v>113</v>
      </c>
      <c r="B122" s="400" t="s">
        <v>114</v>
      </c>
      <c r="C122" s="401" t="s">
        <v>19</v>
      </c>
      <c r="D122" s="402" t="s">
        <v>33</v>
      </c>
      <c r="E122" s="403" t="s">
        <v>35</v>
      </c>
      <c r="F122" s="404" t="s">
        <v>30</v>
      </c>
      <c r="G122" s="405" t="s">
        <v>14</v>
      </c>
      <c r="H122" s="403" t="s">
        <v>35</v>
      </c>
      <c r="I122" s="404" t="s">
        <v>30</v>
      </c>
      <c r="J122" s="369" t="s">
        <v>659</v>
      </c>
      <c r="K122" s="406" t="s">
        <v>38</v>
      </c>
      <c r="L122" s="407"/>
      <c r="M122" s="408"/>
      <c r="N122" s="409"/>
      <c r="O122" s="386"/>
      <c r="P122" s="387"/>
      <c r="Q122" s="388"/>
    </row>
    <row r="123" spans="1:17" x14ac:dyDescent="0.25">
      <c r="A123" s="410" t="s">
        <v>843</v>
      </c>
      <c r="B123" s="411" t="s">
        <v>137</v>
      </c>
      <c r="C123" s="376"/>
      <c r="D123" s="377" t="s">
        <v>21</v>
      </c>
      <c r="E123" s="259">
        <v>0</v>
      </c>
      <c r="F123" s="378">
        <f>C123*E123</f>
        <v>0</v>
      </c>
      <c r="G123" s="379"/>
      <c r="H123" s="380">
        <v>0</v>
      </c>
      <c r="I123" s="378">
        <f>G123*H123</f>
        <v>0</v>
      </c>
      <c r="J123" s="381"/>
      <c r="K123" s="382">
        <f>F123+I123+J123</f>
        <v>0</v>
      </c>
      <c r="L123" s="383"/>
      <c r="M123" s="384"/>
      <c r="N123" s="385"/>
      <c r="O123" s="386"/>
      <c r="P123" s="387"/>
      <c r="Q123" s="388"/>
    </row>
    <row r="124" spans="1:17" x14ac:dyDescent="0.25">
      <c r="A124" s="375" t="s">
        <v>844</v>
      </c>
      <c r="B124" s="5" t="s">
        <v>138</v>
      </c>
      <c r="C124" s="376"/>
      <c r="D124" s="377" t="s">
        <v>21</v>
      </c>
      <c r="E124" s="259">
        <v>0</v>
      </c>
      <c r="F124" s="378">
        <f>C124*E124</f>
        <v>0</v>
      </c>
      <c r="G124" s="379"/>
      <c r="H124" s="380">
        <v>0</v>
      </c>
      <c r="I124" s="378">
        <f>G124*H124</f>
        <v>0</v>
      </c>
      <c r="J124" s="381"/>
      <c r="K124" s="382">
        <f>F124+I124+J124</f>
        <v>0</v>
      </c>
      <c r="L124" s="383"/>
      <c r="M124" s="384"/>
      <c r="N124" s="821"/>
      <c r="O124" s="818"/>
      <c r="P124" s="387"/>
      <c r="Q124" s="388"/>
    </row>
    <row r="125" spans="1:17" x14ac:dyDescent="0.25">
      <c r="A125" s="375" t="s">
        <v>845</v>
      </c>
      <c r="B125" s="159" t="s">
        <v>139</v>
      </c>
      <c r="C125" s="865">
        <v>325</v>
      </c>
      <c r="D125" s="377" t="s">
        <v>1287</v>
      </c>
      <c r="E125" s="259">
        <v>69</v>
      </c>
      <c r="F125" s="378">
        <f>C125*E125</f>
        <v>22425</v>
      </c>
      <c r="G125" s="379"/>
      <c r="H125" s="380">
        <v>0</v>
      </c>
      <c r="I125" s="378">
        <f>G125*H125</f>
        <v>0</v>
      </c>
      <c r="J125" s="381"/>
      <c r="K125" s="814">
        <f>F125+I125+J125</f>
        <v>22425</v>
      </c>
      <c r="L125" s="157" t="s">
        <v>1288</v>
      </c>
      <c r="M125" s="157"/>
      <c r="N125" s="822"/>
      <c r="O125" s="157"/>
      <c r="P125" s="157"/>
    </row>
    <row r="126" spans="1:17" ht="14.1" customHeight="1" x14ac:dyDescent="0.25">
      <c r="A126" s="375" t="s">
        <v>846</v>
      </c>
      <c r="B126" s="5" t="s">
        <v>140</v>
      </c>
      <c r="C126" s="376"/>
      <c r="D126" s="377" t="s">
        <v>21</v>
      </c>
      <c r="E126" s="259">
        <v>0</v>
      </c>
      <c r="F126" s="378">
        <f>C126*E126</f>
        <v>0</v>
      </c>
      <c r="G126" s="379"/>
      <c r="H126" s="380">
        <v>0</v>
      </c>
      <c r="I126" s="378">
        <f>G126*H126</f>
        <v>0</v>
      </c>
      <c r="J126" s="381"/>
      <c r="K126" s="814">
        <f>F126+I126+J126</f>
        <v>0</v>
      </c>
      <c r="L126" s="468"/>
      <c r="M126" s="469"/>
      <c r="N126" s="823"/>
      <c r="O126" s="819"/>
      <c r="P126" s="470"/>
    </row>
    <row r="127" spans="1:17" ht="13.8" thickBot="1" x14ac:dyDescent="0.3">
      <c r="A127" s="392"/>
      <c r="B127" s="5"/>
      <c r="C127" s="393"/>
      <c r="D127" s="377"/>
      <c r="E127" s="259"/>
      <c r="F127" s="378"/>
      <c r="G127" s="379"/>
      <c r="H127" s="380"/>
      <c r="I127" s="378"/>
      <c r="J127" s="381"/>
      <c r="K127" s="812"/>
      <c r="L127" s="471"/>
      <c r="M127" s="384"/>
      <c r="N127" s="821"/>
      <c r="O127" s="820"/>
      <c r="P127" s="419"/>
    </row>
    <row r="128" spans="1:17" ht="13.8" thickTop="1" x14ac:dyDescent="0.25">
      <c r="A128" s="392"/>
      <c r="B128" s="417"/>
      <c r="C128" s="393"/>
      <c r="D128" s="377"/>
      <c r="E128" s="259"/>
      <c r="F128" s="378"/>
      <c r="G128" s="379"/>
      <c r="H128" s="380"/>
      <c r="I128" s="378"/>
      <c r="J128" s="394" t="s">
        <v>30</v>
      </c>
      <c r="K128" s="813">
        <f>SUM(K123:K127)</f>
        <v>22425</v>
      </c>
      <c r="L128" s="471"/>
      <c r="M128" s="384"/>
      <c r="N128" s="821"/>
      <c r="O128" s="820"/>
      <c r="P128" s="419"/>
    </row>
    <row r="129" spans="1:19" ht="13.8" thickBot="1" x14ac:dyDescent="0.3">
      <c r="A129" s="358" t="s">
        <v>0</v>
      </c>
      <c r="B129" s="359" t="s">
        <v>1</v>
      </c>
      <c r="C129" s="1018" t="s">
        <v>656</v>
      </c>
      <c r="D129" s="1018"/>
      <c r="E129" s="1018"/>
      <c r="F129" s="1018"/>
      <c r="G129" s="1018" t="s">
        <v>34</v>
      </c>
      <c r="H129" s="1018"/>
      <c r="I129" s="1018"/>
      <c r="J129" s="360"/>
      <c r="K129" s="816"/>
      <c r="L129" s="471"/>
      <c r="M129" s="384"/>
      <c r="N129" s="821"/>
      <c r="O129" s="820"/>
      <c r="P129" s="419"/>
    </row>
    <row r="130" spans="1:19" ht="16.2" thickBot="1" x14ac:dyDescent="0.35">
      <c r="A130" s="399" t="s">
        <v>115</v>
      </c>
      <c r="B130" s="400" t="s">
        <v>116</v>
      </c>
      <c r="C130" s="401" t="s">
        <v>19</v>
      </c>
      <c r="D130" s="402" t="s">
        <v>33</v>
      </c>
      <c r="E130" s="403" t="s">
        <v>35</v>
      </c>
      <c r="F130" s="404" t="s">
        <v>30</v>
      </c>
      <c r="G130" s="405" t="s">
        <v>14</v>
      </c>
      <c r="H130" s="403" t="s">
        <v>35</v>
      </c>
      <c r="I130" s="404" t="s">
        <v>30</v>
      </c>
      <c r="J130" s="369" t="s">
        <v>659</v>
      </c>
      <c r="K130" s="817" t="s">
        <v>38</v>
      </c>
      <c r="L130" s="471"/>
      <c r="M130" s="472"/>
      <c r="N130" s="821"/>
      <c r="O130" s="820"/>
      <c r="P130" s="419"/>
    </row>
    <row r="131" spans="1:19" x14ac:dyDescent="0.25">
      <c r="A131" s="410" t="s">
        <v>833</v>
      </c>
      <c r="B131" s="411" t="s">
        <v>141</v>
      </c>
      <c r="C131" s="376"/>
      <c r="D131" s="377" t="s">
        <v>21</v>
      </c>
      <c r="E131" s="259">
        <v>0</v>
      </c>
      <c r="F131" s="378">
        <f>C131*E131</f>
        <v>0</v>
      </c>
      <c r="G131" s="379"/>
      <c r="H131" s="380">
        <v>0</v>
      </c>
      <c r="I131" s="378">
        <f>G131*H131</f>
        <v>0</v>
      </c>
      <c r="J131" s="381"/>
      <c r="K131" s="814">
        <f>F131+I131+J131</f>
        <v>0</v>
      </c>
      <c r="L131" s="471"/>
      <c r="M131" s="472"/>
      <c r="N131" s="821"/>
      <c r="O131" s="820"/>
      <c r="P131" s="419"/>
    </row>
    <row r="132" spans="1:19" x14ac:dyDescent="0.25">
      <c r="A132" s="375" t="s">
        <v>834</v>
      </c>
      <c r="B132" s="5" t="s">
        <v>142</v>
      </c>
      <c r="C132" s="376"/>
      <c r="D132" s="377" t="s">
        <v>21</v>
      </c>
      <c r="E132" s="259">
        <v>0</v>
      </c>
      <c r="F132" s="378">
        <f>C132*E132</f>
        <v>0</v>
      </c>
      <c r="G132" s="379">
        <f>3*10*5</f>
        <v>150</v>
      </c>
      <c r="H132" s="380">
        <v>65</v>
      </c>
      <c r="I132" s="378">
        <f>G132*H132</f>
        <v>9750</v>
      </c>
      <c r="J132" s="381"/>
      <c r="K132" s="814">
        <f>F132+I132+J132</f>
        <v>9750</v>
      </c>
      <c r="N132" s="822"/>
    </row>
    <row r="133" spans="1:19" x14ac:dyDescent="0.25">
      <c r="A133" s="375" t="s">
        <v>835</v>
      </c>
      <c r="B133" s="5" t="s">
        <v>143</v>
      </c>
      <c r="C133" s="865">
        <v>6</v>
      </c>
      <c r="D133" s="377" t="s">
        <v>753</v>
      </c>
      <c r="E133" s="259">
        <v>550</v>
      </c>
      <c r="F133" s="378">
        <f>C133*E133</f>
        <v>3300</v>
      </c>
      <c r="G133" s="379"/>
      <c r="H133" s="380">
        <v>0</v>
      </c>
      <c r="I133" s="378">
        <f>G133*H133</f>
        <v>0</v>
      </c>
      <c r="J133" s="381"/>
      <c r="K133" s="814">
        <f>F133+I133+J133</f>
        <v>3300</v>
      </c>
      <c r="N133" s="822"/>
    </row>
    <row r="134" spans="1:19" x14ac:dyDescent="0.25">
      <c r="A134" s="375" t="s">
        <v>836</v>
      </c>
      <c r="B134" s="5" t="s">
        <v>54</v>
      </c>
      <c r="C134" s="376">
        <f>E6</f>
        <v>6190</v>
      </c>
      <c r="D134" s="377" t="s">
        <v>732</v>
      </c>
      <c r="E134" s="874">
        <v>1.1000000000000001</v>
      </c>
      <c r="F134" s="378">
        <f>C134*E134</f>
        <v>6809.0000000000009</v>
      </c>
      <c r="G134" s="379"/>
      <c r="H134" s="380">
        <v>0</v>
      </c>
      <c r="I134" s="378">
        <f>G134*H134</f>
        <v>0</v>
      </c>
      <c r="J134" s="381"/>
      <c r="K134" s="814">
        <f>F134+I134+J134</f>
        <v>6809.0000000000009</v>
      </c>
      <c r="N134" s="822"/>
    </row>
    <row r="135" spans="1:19" ht="13.8" thickBot="1" x14ac:dyDescent="0.3">
      <c r="A135" s="392"/>
      <c r="B135" s="417"/>
      <c r="C135" s="376"/>
      <c r="D135" s="377"/>
      <c r="E135" s="259"/>
      <c r="F135" s="378"/>
      <c r="G135" s="379"/>
      <c r="H135" s="380"/>
      <c r="I135" s="378"/>
      <c r="J135" s="381"/>
      <c r="K135" s="815"/>
      <c r="L135" s="157"/>
      <c r="M135" s="474"/>
      <c r="N135" s="824"/>
      <c r="O135" s="157"/>
      <c r="P135" s="157"/>
    </row>
    <row r="136" spans="1:19" ht="14.4" thickTop="1" thickBot="1" x14ac:dyDescent="0.3">
      <c r="A136" s="475"/>
      <c r="B136" s="156"/>
      <c r="C136" s="476"/>
      <c r="D136" s="477"/>
      <c r="E136" s="478"/>
      <c r="F136" s="479"/>
      <c r="G136" s="480"/>
      <c r="H136" s="478"/>
      <c r="I136" s="479"/>
      <c r="J136" s="481" t="s">
        <v>30</v>
      </c>
      <c r="K136" s="482">
        <f>SUM(K131:K135)</f>
        <v>19859</v>
      </c>
      <c r="L136" s="462"/>
      <c r="M136" s="463"/>
      <c r="N136" s="464"/>
      <c r="O136" s="465"/>
      <c r="P136" s="466"/>
      <c r="Q136" s="467"/>
    </row>
    <row r="137" spans="1:19" ht="13.8" x14ac:dyDescent="0.25">
      <c r="A137" s="483"/>
      <c r="B137" s="484"/>
      <c r="C137" s="485"/>
      <c r="D137" s="485"/>
      <c r="E137" s="486"/>
      <c r="F137" s="1048" t="s">
        <v>658</v>
      </c>
      <c r="G137" s="1044" t="s">
        <v>684</v>
      </c>
      <c r="H137" s="486"/>
      <c r="I137" s="1041" t="s">
        <v>657</v>
      </c>
      <c r="J137" s="1037" t="s">
        <v>685</v>
      </c>
      <c r="K137" s="1035" t="s">
        <v>31</v>
      </c>
      <c r="L137" s="157"/>
      <c r="M137" s="474"/>
      <c r="O137" s="157"/>
      <c r="P137" s="157"/>
    </row>
    <row r="138" spans="1:19" ht="13.8" x14ac:dyDescent="0.25">
      <c r="A138" s="487" t="s">
        <v>32</v>
      </c>
      <c r="B138" s="1043" t="s">
        <v>22</v>
      </c>
      <c r="C138" s="488"/>
      <c r="D138" s="489"/>
      <c r="E138" s="489"/>
      <c r="F138" s="1049"/>
      <c r="G138" s="1045"/>
      <c r="H138" s="490"/>
      <c r="I138" s="1042"/>
      <c r="J138" s="1038"/>
      <c r="K138" s="1036"/>
      <c r="L138" s="157"/>
      <c r="M138" s="474"/>
      <c r="O138" s="157"/>
      <c r="P138" s="157"/>
    </row>
    <row r="139" spans="1:19" ht="13.8" x14ac:dyDescent="0.25">
      <c r="A139" s="828">
        <f>+K139/E6</f>
        <v>57.171268900424067</v>
      </c>
      <c r="B139" s="1043"/>
      <c r="C139" s="489"/>
      <c r="D139" s="489"/>
      <c r="E139" s="489"/>
      <c r="F139" s="1039">
        <f>SUM(F131:F135,F123:F127,F100:F104,F90:F96,F79:F86,F70:F75,F59,F27:F34,F11:F23,F118:F118,F109:F114,F38,F40,F39)+F41</f>
        <v>114680.95449362499</v>
      </c>
      <c r="G139" s="1046">
        <f>SUM(G131:G136,G123:G127,G90:G96,G79:G86,G70:G75,G59:G66,G27:G34,G11:G22,,G100:G103)</f>
        <v>205</v>
      </c>
      <c r="H139" s="490"/>
      <c r="I139" s="1039">
        <f>SUM(I131:I135,I123:I127,I100:I104,I90:I96,I79:I86,I70:I75,I59:I66,I27:I34,I11:I23)</f>
        <v>193100</v>
      </c>
      <c r="J139" s="1031">
        <f>SUM(J131:J135,J123:J127,J100:J104,J90:J96,J79:J85,J70:J75,J59:J66,J27:J34,J11:J23,J49:J55)</f>
        <v>46109.2</v>
      </c>
      <c r="K139" s="1033">
        <f>SUM(K136,K128,K105,K97,K87,K76,K67,K35,K24,K56,K120,K45)</f>
        <v>353890.15449362498</v>
      </c>
      <c r="L139" s="157"/>
      <c r="M139" s="474"/>
      <c r="O139" s="157"/>
      <c r="P139" s="157"/>
    </row>
    <row r="140" spans="1:19" ht="14.4" thickBot="1" x14ac:dyDescent="0.3">
      <c r="A140" s="492"/>
      <c r="B140" s="493"/>
      <c r="C140" s="493"/>
      <c r="D140" s="493"/>
      <c r="E140" s="493"/>
      <c r="F140" s="1040"/>
      <c r="G140" s="1047"/>
      <c r="H140" s="493"/>
      <c r="I140" s="1040"/>
      <c r="J140" s="1032"/>
      <c r="K140" s="1034"/>
      <c r="L140" s="157"/>
      <c r="M140" s="474"/>
      <c r="O140" s="157"/>
      <c r="P140" s="157"/>
    </row>
    <row r="141" spans="1:19" ht="13.8" thickBot="1" x14ac:dyDescent="0.3">
      <c r="A141" s="494"/>
      <c r="B141" s="495"/>
      <c r="C141" s="495"/>
      <c r="D141" s="495"/>
      <c r="E141" s="495"/>
      <c r="F141" s="495"/>
      <c r="G141" s="495"/>
      <c r="H141" s="495"/>
      <c r="I141" s="495"/>
      <c r="J141" s="495"/>
      <c r="K141" s="496"/>
      <c r="L141" s="157"/>
      <c r="M141" s="474"/>
      <c r="O141" s="157"/>
      <c r="P141" s="157"/>
    </row>
    <row r="142" spans="1:19" x14ac:dyDescent="0.25">
      <c r="L142" s="497"/>
      <c r="M142" s="498"/>
      <c r="N142" s="499"/>
      <c r="O142" s="159"/>
      <c r="P142" s="474"/>
      <c r="Q142" s="500"/>
      <c r="R142" s="500"/>
      <c r="S142" s="501"/>
    </row>
    <row r="143" spans="1:19" x14ac:dyDescent="0.25">
      <c r="L143" s="497"/>
      <c r="M143" s="498"/>
      <c r="N143" s="499"/>
      <c r="O143" s="159"/>
      <c r="P143" s="474"/>
      <c r="Q143" s="500"/>
      <c r="R143" s="500"/>
      <c r="S143" s="501"/>
    </row>
    <row r="144" spans="1:19" x14ac:dyDescent="0.25">
      <c r="L144" s="497"/>
      <c r="M144" s="498"/>
      <c r="N144" s="499"/>
      <c r="O144" s="159"/>
      <c r="P144" s="500"/>
      <c r="Q144" s="500"/>
      <c r="R144" s="502"/>
      <c r="S144" s="501"/>
    </row>
    <row r="145" spans="1:19" x14ac:dyDescent="0.25">
      <c r="L145" s="497"/>
      <c r="M145" s="498"/>
      <c r="N145" s="499"/>
      <c r="O145" s="159"/>
      <c r="P145" s="474"/>
      <c r="Q145" s="503"/>
      <c r="R145" s="504"/>
      <c r="S145" s="505"/>
    </row>
    <row r="146" spans="1:19" x14ac:dyDescent="0.25">
      <c r="A146" s="506"/>
      <c r="C146" s="157"/>
      <c r="D146" s="157"/>
      <c r="L146" s="497"/>
      <c r="M146" s="498"/>
      <c r="N146" s="499"/>
      <c r="O146" s="159"/>
      <c r="P146" s="474"/>
      <c r="Q146" s="507"/>
      <c r="R146" s="261"/>
      <c r="S146" s="508"/>
    </row>
    <row r="147" spans="1:19" x14ac:dyDescent="0.25">
      <c r="A147" s="506"/>
      <c r="C147" s="157"/>
      <c r="D147" s="157"/>
      <c r="L147" s="497"/>
      <c r="M147" s="498"/>
      <c r="N147" s="499"/>
      <c r="O147" s="159"/>
      <c r="P147" s="474"/>
      <c r="Q147" s="509"/>
      <c r="R147" s="277"/>
      <c r="S147" s="510"/>
    </row>
    <row r="148" spans="1:19" x14ac:dyDescent="0.25">
      <c r="C148" s="157"/>
      <c r="D148" s="157"/>
      <c r="L148" s="497"/>
      <c r="M148" s="498"/>
      <c r="N148" s="499"/>
      <c r="O148" s="159"/>
      <c r="P148" s="474"/>
      <c r="Q148" s="509"/>
      <c r="R148" s="511"/>
      <c r="S148" s="510"/>
    </row>
    <row r="149" spans="1:19" x14ac:dyDescent="0.25">
      <c r="B149" s="325"/>
      <c r="C149" s="157"/>
      <c r="D149" s="157"/>
      <c r="L149" s="497"/>
      <c r="M149" s="498"/>
      <c r="N149" s="499"/>
      <c r="O149" s="159"/>
      <c r="P149" s="500"/>
      <c r="Q149" s="512"/>
      <c r="R149" s="513"/>
      <c r="S149" s="514"/>
    </row>
    <row r="150" spans="1:19" x14ac:dyDescent="0.25">
      <c r="C150" s="157"/>
      <c r="D150" s="157"/>
      <c r="L150" s="497"/>
      <c r="M150" s="498"/>
      <c r="N150" s="499"/>
      <c r="O150" s="159"/>
      <c r="P150" s="500"/>
      <c r="Q150" s="500"/>
      <c r="R150" s="261"/>
      <c r="S150" s="515"/>
    </row>
    <row r="151" spans="1:19" x14ac:dyDescent="0.25">
      <c r="C151" s="157"/>
      <c r="D151" s="157"/>
      <c r="L151" s="497"/>
      <c r="M151" s="498"/>
      <c r="N151" s="499"/>
      <c r="O151" s="159"/>
      <c r="P151" s="474"/>
      <c r="Q151" s="159"/>
      <c r="R151" s="159"/>
      <c r="S151" s="516"/>
    </row>
    <row r="152" spans="1:19" x14ac:dyDescent="0.25">
      <c r="C152" s="157"/>
      <c r="D152" s="157"/>
      <c r="L152" s="497"/>
      <c r="M152" s="498"/>
      <c r="N152" s="499"/>
      <c r="O152" s="159"/>
      <c r="P152" s="474"/>
      <c r="Q152" s="159"/>
      <c r="R152" s="159"/>
      <c r="S152" s="516"/>
    </row>
    <row r="153" spans="1:19" x14ac:dyDescent="0.25">
      <c r="B153" s="159"/>
      <c r="C153" s="159"/>
      <c r="D153" s="517"/>
      <c r="F153" s="159"/>
      <c r="G153" s="159"/>
      <c r="H153" s="159"/>
      <c r="I153" s="159"/>
      <c r="J153" s="159"/>
      <c r="K153" s="159"/>
      <c r="L153" s="497"/>
      <c r="M153" s="498"/>
      <c r="N153" s="499"/>
      <c r="O153" s="159"/>
      <c r="P153" s="474"/>
      <c r="Q153" s="159"/>
      <c r="R153" s="159"/>
      <c r="S153" s="516"/>
    </row>
    <row r="154" spans="1:19" x14ac:dyDescent="0.25">
      <c r="B154" s="159"/>
      <c r="C154" s="159"/>
      <c r="D154" s="517"/>
      <c r="F154" s="159"/>
      <c r="G154" s="159"/>
      <c r="H154" s="159"/>
      <c r="I154" s="159"/>
      <c r="J154" s="159"/>
      <c r="K154" s="159"/>
      <c r="L154" s="497"/>
      <c r="M154" s="498"/>
      <c r="N154" s="499"/>
      <c r="O154" s="159"/>
      <c r="P154" s="518"/>
      <c r="Q154" s="500"/>
      <c r="R154" s="500"/>
      <c r="S154" s="501"/>
    </row>
    <row r="155" spans="1:19" x14ac:dyDescent="0.25">
      <c r="B155" s="159"/>
      <c r="C155" s="159"/>
      <c r="D155" s="159"/>
      <c r="F155" s="159"/>
      <c r="G155" s="159"/>
      <c r="H155" s="159"/>
      <c r="I155" s="159"/>
      <c r="J155" s="159"/>
      <c r="K155" s="159"/>
      <c r="L155" s="157"/>
      <c r="M155" s="474"/>
      <c r="N155" s="159"/>
      <c r="O155" s="157"/>
      <c r="Q155" s="308"/>
      <c r="R155" s="308"/>
    </row>
    <row r="156" spans="1:19" x14ac:dyDescent="0.25">
      <c r="B156" s="159"/>
      <c r="C156" s="159"/>
      <c r="D156" s="159"/>
      <c r="F156" s="159"/>
      <c r="G156" s="159"/>
      <c r="H156" s="159"/>
      <c r="I156" s="499"/>
      <c r="J156" s="159"/>
      <c r="K156" s="159"/>
    </row>
    <row r="157" spans="1:19" x14ac:dyDescent="0.25">
      <c r="B157" s="159"/>
      <c r="C157" s="159"/>
      <c r="D157" s="159"/>
      <c r="F157" s="159"/>
      <c r="G157" s="159"/>
      <c r="H157" s="159"/>
      <c r="I157" s="499"/>
      <c r="J157" s="159"/>
      <c r="K157" s="159"/>
    </row>
    <row r="158" spans="1:19" x14ac:dyDescent="0.25">
      <c r="B158" s="159"/>
      <c r="C158" s="159"/>
      <c r="D158" s="159"/>
      <c r="F158" s="159"/>
      <c r="G158" s="159"/>
      <c r="H158" s="159"/>
      <c r="I158" s="499"/>
      <c r="J158" s="159"/>
      <c r="K158" s="159"/>
    </row>
    <row r="159" spans="1:19" x14ac:dyDescent="0.25">
      <c r="B159" s="159"/>
      <c r="C159" s="159"/>
      <c r="D159" s="159"/>
      <c r="F159" s="159"/>
      <c r="G159" s="159"/>
      <c r="H159" s="159"/>
      <c r="I159" s="499"/>
      <c r="J159" s="159"/>
      <c r="K159" s="159"/>
      <c r="L159" s="159" t="s">
        <v>756</v>
      </c>
    </row>
    <row r="160" spans="1:19" x14ac:dyDescent="0.25">
      <c r="B160" s="159"/>
      <c r="C160" s="159"/>
      <c r="D160" s="159"/>
      <c r="F160" s="159"/>
      <c r="G160" s="159"/>
      <c r="H160" s="159"/>
      <c r="I160" s="499"/>
      <c r="J160" s="159"/>
      <c r="K160" s="159"/>
      <c r="L160" s="159">
        <v>24</v>
      </c>
      <c r="M160" s="282">
        <f>K171*L160</f>
        <v>144</v>
      </c>
    </row>
    <row r="161" spans="1:11" x14ac:dyDescent="0.25">
      <c r="B161" s="159"/>
      <c r="C161" s="159"/>
      <c r="D161" s="159"/>
      <c r="F161" s="159"/>
      <c r="G161" s="159"/>
      <c r="H161" s="159"/>
      <c r="I161" s="499"/>
      <c r="J161" s="159"/>
      <c r="K161" s="159"/>
    </row>
    <row r="162" spans="1:11" x14ac:dyDescent="0.25">
      <c r="B162" s="159"/>
      <c r="C162" s="159"/>
      <c r="D162" s="159"/>
      <c r="F162" s="159"/>
      <c r="G162" s="159"/>
      <c r="H162" s="159"/>
      <c r="I162" s="499"/>
      <c r="J162" s="159"/>
      <c r="K162" s="159"/>
    </row>
    <row r="163" spans="1:11" x14ac:dyDescent="0.25">
      <c r="B163" s="159"/>
      <c r="C163" s="159"/>
      <c r="D163" s="159"/>
      <c r="F163" s="159"/>
      <c r="G163" s="159"/>
      <c r="H163" s="159"/>
      <c r="I163" s="499"/>
      <c r="J163" s="159"/>
      <c r="K163" s="159"/>
    </row>
    <row r="164" spans="1:11" x14ac:dyDescent="0.25">
      <c r="B164" s="159"/>
      <c r="C164" s="159"/>
      <c r="D164" s="159"/>
      <c r="F164" s="159"/>
      <c r="G164" s="159"/>
      <c r="H164" s="159"/>
      <c r="I164" s="159"/>
      <c r="J164" s="159"/>
      <c r="K164" s="159"/>
    </row>
    <row r="165" spans="1:11" x14ac:dyDescent="0.25">
      <c r="B165" s="159"/>
      <c r="C165" s="159"/>
      <c r="D165" s="517"/>
      <c r="F165" s="159"/>
      <c r="G165" s="159"/>
      <c r="H165" s="159"/>
      <c r="I165" s="159"/>
      <c r="J165" s="159"/>
      <c r="K165" s="159"/>
    </row>
    <row r="166" spans="1:11" x14ac:dyDescent="0.25">
      <c r="C166" s="157"/>
      <c r="F166" s="445"/>
    </row>
    <row r="170" spans="1:11" x14ac:dyDescent="0.25">
      <c r="K170" s="157" t="s">
        <v>755</v>
      </c>
    </row>
    <row r="171" spans="1:11" x14ac:dyDescent="0.25">
      <c r="A171" s="325" t="s">
        <v>757</v>
      </c>
      <c r="H171" s="157">
        <v>90</v>
      </c>
      <c r="I171" s="157" t="s">
        <v>758</v>
      </c>
      <c r="J171" s="157">
        <v>15</v>
      </c>
      <c r="K171" s="157">
        <f>H171/J171</f>
        <v>6</v>
      </c>
    </row>
    <row r="172" spans="1:11" x14ac:dyDescent="0.25">
      <c r="C172" s="445" t="s">
        <v>72</v>
      </c>
      <c r="D172" s="445">
        <f>J6/4</f>
        <v>9.5</v>
      </c>
      <c r="E172" s="157" t="s">
        <v>759</v>
      </c>
    </row>
    <row r="173" spans="1:11" x14ac:dyDescent="0.25">
      <c r="C173" s="445" t="s">
        <v>774</v>
      </c>
      <c r="F173" s="157" t="s">
        <v>775</v>
      </c>
      <c r="G173" s="157" t="s">
        <v>30</v>
      </c>
      <c r="H173" s="157" t="s">
        <v>38</v>
      </c>
    </row>
    <row r="174" spans="1:11" x14ac:dyDescent="0.25">
      <c r="A174" s="157" t="s">
        <v>760</v>
      </c>
      <c r="B174" s="157" t="s">
        <v>761</v>
      </c>
      <c r="C174" s="445">
        <v>602</v>
      </c>
      <c r="D174" s="445" t="s">
        <v>762</v>
      </c>
      <c r="E174" s="157" t="s">
        <v>763</v>
      </c>
      <c r="F174" s="157">
        <v>1</v>
      </c>
      <c r="G174" s="282">
        <f>F174*C174</f>
        <v>602</v>
      </c>
      <c r="H174" s="282">
        <f>G174*D$172</f>
        <v>5719</v>
      </c>
    </row>
    <row r="175" spans="1:11" x14ac:dyDescent="0.25">
      <c r="B175" s="157" t="s">
        <v>764</v>
      </c>
      <c r="C175" s="445">
        <v>73</v>
      </c>
      <c r="D175" s="445" t="s">
        <v>753</v>
      </c>
      <c r="F175" s="157">
        <v>1</v>
      </c>
      <c r="G175" s="282">
        <v>73</v>
      </c>
      <c r="H175" s="282">
        <f>G175*D$172</f>
        <v>693.5</v>
      </c>
    </row>
    <row r="176" spans="1:11" x14ac:dyDescent="0.25">
      <c r="B176" s="157" t="s">
        <v>765</v>
      </c>
      <c r="C176" s="445">
        <v>355</v>
      </c>
      <c r="D176" s="445" t="s">
        <v>762</v>
      </c>
      <c r="F176" s="157">
        <v>2</v>
      </c>
      <c r="G176" s="282">
        <f>F176*C176</f>
        <v>710</v>
      </c>
      <c r="H176" s="282">
        <f t="shared" ref="H176:H181" si="13">G176*D$172</f>
        <v>6745</v>
      </c>
    </row>
    <row r="177" spans="2:8" x14ac:dyDescent="0.25">
      <c r="B177" s="157" t="s">
        <v>766</v>
      </c>
      <c r="C177" s="445">
        <v>609</v>
      </c>
      <c r="D177" s="445" t="s">
        <v>762</v>
      </c>
      <c r="F177" s="157">
        <v>1</v>
      </c>
      <c r="G177" s="282">
        <f>F177*C177</f>
        <v>609</v>
      </c>
      <c r="H177" s="282">
        <f t="shared" si="13"/>
        <v>5785.5</v>
      </c>
    </row>
    <row r="178" spans="2:8" x14ac:dyDescent="0.25">
      <c r="E178" s="157" t="s">
        <v>767</v>
      </c>
      <c r="F178" s="157" t="s">
        <v>768</v>
      </c>
      <c r="G178" s="282"/>
      <c r="H178" s="282">
        <f t="shared" si="13"/>
        <v>0</v>
      </c>
    </row>
    <row r="179" spans="2:8" x14ac:dyDescent="0.25">
      <c r="B179" s="157" t="s">
        <v>769</v>
      </c>
      <c r="C179" s="445">
        <v>1.3</v>
      </c>
      <c r="D179" s="445" t="s">
        <v>770</v>
      </c>
      <c r="E179" s="157">
        <v>144</v>
      </c>
      <c r="F179" s="157">
        <f>J8*7</f>
        <v>0</v>
      </c>
      <c r="G179" s="282">
        <f>F179*E179*C179</f>
        <v>0</v>
      </c>
      <c r="H179" s="282">
        <f t="shared" si="13"/>
        <v>0</v>
      </c>
    </row>
    <row r="180" spans="2:8" x14ac:dyDescent="0.25">
      <c r="B180" s="157" t="s">
        <v>771</v>
      </c>
      <c r="C180" s="445">
        <v>98</v>
      </c>
      <c r="F180" s="157">
        <v>1</v>
      </c>
      <c r="G180" s="282">
        <f>F180*C180</f>
        <v>98</v>
      </c>
      <c r="H180" s="282">
        <f t="shared" si="13"/>
        <v>931</v>
      </c>
    </row>
    <row r="181" spans="2:8" x14ac:dyDescent="0.25">
      <c r="B181" s="157" t="s">
        <v>772</v>
      </c>
      <c r="C181" s="445">
        <v>98</v>
      </c>
      <c r="F181" s="157">
        <v>1</v>
      </c>
      <c r="G181" s="282">
        <f>F181*C181</f>
        <v>98</v>
      </c>
      <c r="H181" s="282">
        <f t="shared" si="13"/>
        <v>931</v>
      </c>
    </row>
    <row r="182" spans="2:8" x14ac:dyDescent="0.25">
      <c r="G182" s="282"/>
      <c r="H182" s="282"/>
    </row>
    <row r="183" spans="2:8" x14ac:dyDescent="0.25">
      <c r="B183" s="157" t="s">
        <v>773</v>
      </c>
    </row>
    <row r="184" spans="2:8" x14ac:dyDescent="0.25">
      <c r="G184" s="157" t="s">
        <v>38</v>
      </c>
      <c r="H184" s="308">
        <f>SUM(H174:H183)</f>
        <v>20805</v>
      </c>
    </row>
  </sheetData>
  <mergeCells count="69">
    <mergeCell ref="G57:I57"/>
    <mergeCell ref="C68:F68"/>
    <mergeCell ref="G68:I68"/>
    <mergeCell ref="C77:F77"/>
    <mergeCell ref="G77:I77"/>
    <mergeCell ref="E60:F60"/>
    <mergeCell ref="E61:F61"/>
    <mergeCell ref="E62:F62"/>
    <mergeCell ref="E63:F63"/>
    <mergeCell ref="E64:F64"/>
    <mergeCell ref="E65:F65"/>
    <mergeCell ref="G60:I60"/>
    <mergeCell ref="C57:F57"/>
    <mergeCell ref="N5:P5"/>
    <mergeCell ref="L6:M6"/>
    <mergeCell ref="N6:P6"/>
    <mergeCell ref="L3:M3"/>
    <mergeCell ref="L4:M4"/>
    <mergeCell ref="N3:P3"/>
    <mergeCell ref="N4:P4"/>
    <mergeCell ref="C1:K1"/>
    <mergeCell ref="A7:K7"/>
    <mergeCell ref="J5:K5"/>
    <mergeCell ref="G5:I6"/>
    <mergeCell ref="D2:F2"/>
    <mergeCell ref="D3:F3"/>
    <mergeCell ref="D4:F4"/>
    <mergeCell ref="G8:I8"/>
    <mergeCell ref="C8:F8"/>
    <mergeCell ref="A3:B3"/>
    <mergeCell ref="A4:B4"/>
    <mergeCell ref="L5:M5"/>
    <mergeCell ref="B138:B139"/>
    <mergeCell ref="C129:F129"/>
    <mergeCell ref="G129:I129"/>
    <mergeCell ref="C88:F88"/>
    <mergeCell ref="G88:I88"/>
    <mergeCell ref="C98:F98"/>
    <mergeCell ref="G98:I98"/>
    <mergeCell ref="C121:F121"/>
    <mergeCell ref="G121:I121"/>
    <mergeCell ref="G137:G138"/>
    <mergeCell ref="G139:G140"/>
    <mergeCell ref="F139:F140"/>
    <mergeCell ref="F137:F138"/>
    <mergeCell ref="C106:F106"/>
    <mergeCell ref="G106:I106"/>
    <mergeCell ref="J139:J140"/>
    <mergeCell ref="K139:K140"/>
    <mergeCell ref="K137:K138"/>
    <mergeCell ref="J137:J138"/>
    <mergeCell ref="I139:I140"/>
    <mergeCell ref="I137:I138"/>
    <mergeCell ref="Q9:Q10"/>
    <mergeCell ref="L9:L10"/>
    <mergeCell ref="M9:M10"/>
    <mergeCell ref="N9:N10"/>
    <mergeCell ref="O9:O10"/>
    <mergeCell ref="P9:P10"/>
    <mergeCell ref="C9:F9"/>
    <mergeCell ref="G9:I9"/>
    <mergeCell ref="C25:F25"/>
    <mergeCell ref="G25:I25"/>
    <mergeCell ref="C47:F47"/>
    <mergeCell ref="G47:I47"/>
    <mergeCell ref="C36:F36"/>
    <mergeCell ref="G36:I36"/>
    <mergeCell ref="C46:F46"/>
    <mergeCell ref="G46:I46"/>
  </mergeCells>
  <phoneticPr fontId="5" type="noConversion"/>
  <printOptions horizontalCentered="1"/>
  <pageMargins left="0.7" right="0.7" top="0.75" bottom="0.75" header="0.5" footer="0.5"/>
  <pageSetup scale="60" fitToHeight="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tabColor rgb="FF00B050"/>
    <pageSetUpPr fitToPage="1"/>
  </sheetPr>
  <dimension ref="A1:Q98"/>
  <sheetViews>
    <sheetView topLeftCell="A5" zoomScale="90" zoomScaleNormal="75" zoomScaleSheetLayoutView="90" zoomScalePageLayoutView="75" workbookViewId="0">
      <selection activeCell="M19" sqref="M19"/>
    </sheetView>
  </sheetViews>
  <sheetFormatPr defaultColWidth="9.109375" defaultRowHeight="13.2" x14ac:dyDescent="0.25"/>
  <cols>
    <col min="1" max="1" width="12" style="157" customWidth="1"/>
    <col min="2" max="2" width="44.5546875" style="157" customWidth="1"/>
    <col min="3" max="4" width="4.88671875" style="445" customWidth="1"/>
    <col min="5" max="5" width="11.109375" style="282" customWidth="1"/>
    <col min="6" max="6" width="12.44140625" style="157" customWidth="1"/>
    <col min="7" max="7" width="7" style="157" customWidth="1"/>
    <col min="8" max="8" width="11.109375" style="157" customWidth="1"/>
    <col min="9" max="9" width="12.44140625" style="157" customWidth="1"/>
    <col min="10" max="10" width="15.88671875" style="157" customWidth="1"/>
    <col min="11" max="11" width="14.109375" style="157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2.9" customHeight="1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155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x14ac:dyDescent="0.25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x14ac:dyDescent="0.25">
      <c r="A9" s="526"/>
      <c r="B9" s="203"/>
      <c r="C9" s="1079"/>
      <c r="D9" s="1079"/>
      <c r="E9" s="1075"/>
      <c r="F9" s="1075"/>
      <c r="G9" s="1080"/>
      <c r="H9" s="1075"/>
      <c r="I9" s="1075"/>
      <c r="J9" s="1075"/>
      <c r="K9" s="1078"/>
      <c r="L9" s="473"/>
      <c r="M9" s="472"/>
      <c r="N9" s="418"/>
      <c r="O9" s="419"/>
      <c r="P9" s="419"/>
    </row>
    <row r="10" spans="1:17" ht="13.8" thickBot="1" x14ac:dyDescent="0.3">
      <c r="A10" s="406"/>
      <c r="B10" s="527"/>
      <c r="C10" s="1079"/>
      <c r="D10" s="1079"/>
      <c r="E10" s="1075"/>
      <c r="F10" s="1075"/>
      <c r="G10" s="1080"/>
      <c r="H10" s="1075"/>
      <c r="I10" s="1075"/>
      <c r="J10" s="1075"/>
      <c r="K10" s="1078"/>
      <c r="L10" s="473"/>
      <c r="M10" s="472"/>
      <c r="N10" s="418"/>
      <c r="O10" s="419"/>
      <c r="P10" s="419"/>
    </row>
    <row r="11" spans="1:17" ht="14.4" thickTop="1" thickBot="1" x14ac:dyDescent="0.3">
      <c r="A11" s="358" t="s">
        <v>0</v>
      </c>
      <c r="B11" s="359" t="s">
        <v>1</v>
      </c>
      <c r="C11" s="1018" t="s">
        <v>656</v>
      </c>
      <c r="D11" s="1018"/>
      <c r="E11" s="1018"/>
      <c r="F11" s="1018"/>
      <c r="G11" s="1018" t="s">
        <v>34</v>
      </c>
      <c r="H11" s="1018"/>
      <c r="I11" s="1018"/>
      <c r="J11" s="360"/>
      <c r="K11" s="528"/>
      <c r="L11" s="1021" t="s">
        <v>782</v>
      </c>
      <c r="M11" s="1023" t="s">
        <v>783</v>
      </c>
      <c r="N11" s="1025" t="s">
        <v>784</v>
      </c>
      <c r="O11" s="1027"/>
      <c r="P11" s="1029"/>
      <c r="Q11" s="1019"/>
    </row>
    <row r="12" spans="1:17" ht="15.6" x14ac:dyDescent="0.3">
      <c r="A12" s="529" t="s">
        <v>153</v>
      </c>
      <c r="B12" s="530" t="s">
        <v>155</v>
      </c>
      <c r="C12" s="364" t="s">
        <v>19</v>
      </c>
      <c r="D12" s="365" t="s">
        <v>33</v>
      </c>
      <c r="E12" s="366" t="s">
        <v>35</v>
      </c>
      <c r="F12" s="367" t="s">
        <v>30</v>
      </c>
      <c r="G12" s="531" t="s">
        <v>14</v>
      </c>
      <c r="H12" s="366" t="s">
        <v>35</v>
      </c>
      <c r="I12" s="367" t="s">
        <v>30</v>
      </c>
      <c r="J12" s="369" t="s">
        <v>659</v>
      </c>
      <c r="K12" s="532" t="s">
        <v>38</v>
      </c>
      <c r="L12" s="1022"/>
      <c r="M12" s="1024"/>
      <c r="N12" s="1026"/>
      <c r="O12" s="1028"/>
      <c r="P12" s="1030"/>
      <c r="Q12" s="1020"/>
    </row>
    <row r="13" spans="1:17" ht="15" x14ac:dyDescent="0.25">
      <c r="A13" s="533" t="s">
        <v>154</v>
      </c>
      <c r="B13" s="196" t="s">
        <v>77</v>
      </c>
      <c r="C13" s="376"/>
      <c r="D13" s="377" t="s">
        <v>21</v>
      </c>
      <c r="E13" s="259">
        <v>0</v>
      </c>
      <c r="F13" s="378">
        <f t="shared" ref="F13:F24" si="0">C13*E13</f>
        <v>0</v>
      </c>
      <c r="G13" s="534"/>
      <c r="H13" s="380">
        <v>0</v>
      </c>
      <c r="I13" s="378">
        <f t="shared" ref="I13:I24" si="1">G13*H13</f>
        <v>0</v>
      </c>
      <c r="J13" s="381"/>
      <c r="K13" s="535">
        <f t="shared" ref="K13:K24" si="2">F13+I13+J13</f>
        <v>0</v>
      </c>
      <c r="L13" s="383"/>
      <c r="M13" s="384"/>
      <c r="N13" s="385"/>
      <c r="O13" s="386"/>
      <c r="P13" s="387"/>
      <c r="Q13" s="388"/>
    </row>
    <row r="14" spans="1:17" ht="26.4" x14ac:dyDescent="0.25">
      <c r="A14" s="375"/>
      <c r="B14" s="862" t="s">
        <v>1168</v>
      </c>
      <c r="C14" s="838">
        <v>325</v>
      </c>
      <c r="D14" s="839" t="s">
        <v>997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>
        <f>M14</f>
        <v>3600</v>
      </c>
      <c r="K14" s="535">
        <f t="shared" si="2"/>
        <v>3600</v>
      </c>
      <c r="L14" s="383" t="s">
        <v>1169</v>
      </c>
      <c r="M14" s="384">
        <v>3600</v>
      </c>
      <c r="N14" s="385"/>
      <c r="O14" s="386"/>
      <c r="P14" s="387"/>
      <c r="Q14" s="388"/>
    </row>
    <row r="15" spans="1:17" x14ac:dyDescent="0.25">
      <c r="A15" s="375"/>
      <c r="B15" s="5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 t="s">
        <v>1350</v>
      </c>
      <c r="M15" s="384">
        <v>3900</v>
      </c>
      <c r="N15" s="385"/>
      <c r="O15" s="386"/>
      <c r="P15" s="387"/>
      <c r="Q15" s="388"/>
    </row>
    <row r="16" spans="1:17" ht="15" x14ac:dyDescent="0.25">
      <c r="A16" s="533"/>
      <c r="B16" s="196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75"/>
      <c r="B17" s="6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383"/>
      <c r="M17" s="384"/>
      <c r="N17" s="385"/>
      <c r="O17" s="386"/>
      <c r="P17" s="387"/>
      <c r="Q17" s="388"/>
    </row>
    <row r="18" spans="1:17" x14ac:dyDescent="0.25">
      <c r="A18" s="536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383"/>
      <c r="M18" s="384"/>
      <c r="N18" s="385"/>
      <c r="O18" s="386"/>
      <c r="P18" s="387"/>
      <c r="Q18" s="388"/>
    </row>
    <row r="19" spans="1:17" ht="15" x14ac:dyDescent="0.25">
      <c r="A19" s="533"/>
      <c r="B19" s="194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383"/>
      <c r="M19" s="384"/>
      <c r="N19" s="385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383"/>
      <c r="M20" s="384"/>
      <c r="N20" s="385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383"/>
      <c r="M21" s="384"/>
      <c r="N21" s="385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383"/>
      <c r="M22" s="384"/>
      <c r="N22" s="385"/>
      <c r="O22" s="386"/>
      <c r="P22" s="387"/>
      <c r="Q22" s="388"/>
    </row>
    <row r="23" spans="1:17" x14ac:dyDescent="0.25">
      <c r="A23" s="389"/>
      <c r="B23" s="5"/>
      <c r="C23" s="376"/>
      <c r="D23" s="377" t="s">
        <v>21</v>
      </c>
      <c r="E23" s="259">
        <v>0</v>
      </c>
      <c r="F23" s="378">
        <f t="shared" si="0"/>
        <v>0</v>
      </c>
      <c r="G23" s="534"/>
      <c r="H23" s="380">
        <v>0</v>
      </c>
      <c r="I23" s="378">
        <f t="shared" si="1"/>
        <v>0</v>
      </c>
      <c r="J23" s="381"/>
      <c r="K23" s="535">
        <f t="shared" si="2"/>
        <v>0</v>
      </c>
      <c r="L23" s="383"/>
      <c r="M23" s="384"/>
      <c r="N23" s="385"/>
      <c r="O23" s="386"/>
      <c r="P23" s="387"/>
      <c r="Q23" s="388"/>
    </row>
    <row r="24" spans="1:17" x14ac:dyDescent="0.25">
      <c r="A24" s="389"/>
      <c r="B24" s="5"/>
      <c r="C24" s="376"/>
      <c r="D24" s="377" t="s">
        <v>21</v>
      </c>
      <c r="E24" s="259">
        <v>0</v>
      </c>
      <c r="F24" s="378">
        <f t="shared" si="0"/>
        <v>0</v>
      </c>
      <c r="G24" s="534"/>
      <c r="H24" s="380">
        <v>0</v>
      </c>
      <c r="I24" s="378">
        <f t="shared" si="1"/>
        <v>0</v>
      </c>
      <c r="J24" s="381"/>
      <c r="K24" s="535">
        <f t="shared" si="2"/>
        <v>0</v>
      </c>
      <c r="L24" s="383"/>
      <c r="M24" s="384"/>
      <c r="N24" s="385"/>
      <c r="O24" s="386"/>
      <c r="P24" s="387"/>
      <c r="Q24" s="388"/>
    </row>
    <row r="25" spans="1:17" ht="13.8" thickBot="1" x14ac:dyDescent="0.3">
      <c r="A25" s="392"/>
      <c r="B25" s="7"/>
      <c r="C25" s="393"/>
      <c r="D25" s="377"/>
      <c r="E25" s="259"/>
      <c r="F25" s="378"/>
      <c r="G25" s="534"/>
      <c r="H25" s="380"/>
      <c r="I25" s="378"/>
      <c r="J25" s="381"/>
      <c r="K25" s="535"/>
      <c r="L25" s="383"/>
      <c r="M25" s="384"/>
      <c r="N25" s="385"/>
      <c r="O25" s="386"/>
      <c r="P25" s="387"/>
      <c r="Q25" s="388"/>
    </row>
    <row r="26" spans="1:17" ht="13.8" thickTop="1" x14ac:dyDescent="0.25">
      <c r="A26" s="392"/>
      <c r="B26" s="7"/>
      <c r="C26" s="393"/>
      <c r="D26" s="377"/>
      <c r="E26" s="259"/>
      <c r="F26" s="378"/>
      <c r="G26" s="534"/>
      <c r="H26" s="380"/>
      <c r="I26" s="378"/>
      <c r="J26" s="394" t="s">
        <v>30</v>
      </c>
      <c r="K26" s="537">
        <f>SUM(K13:K25)</f>
        <v>3600</v>
      </c>
      <c r="L26" s="383"/>
      <c r="M26" s="384"/>
      <c r="N26" s="385"/>
      <c r="O26" s="386"/>
      <c r="P26" s="387"/>
      <c r="Q26" s="388"/>
    </row>
    <row r="27" spans="1:17" ht="13.8" thickBot="1" x14ac:dyDescent="0.3">
      <c r="A27" s="358" t="s">
        <v>0</v>
      </c>
      <c r="B27" s="359" t="s">
        <v>1</v>
      </c>
      <c r="C27" s="1018" t="s">
        <v>656</v>
      </c>
      <c r="D27" s="1018"/>
      <c r="E27" s="1018"/>
      <c r="F27" s="1018"/>
      <c r="G27" s="1018" t="s">
        <v>34</v>
      </c>
      <c r="H27" s="1018"/>
      <c r="I27" s="1018"/>
      <c r="J27" s="360"/>
      <c r="K27" s="528"/>
      <c r="L27" s="396"/>
      <c r="M27" s="397"/>
      <c r="N27" s="398"/>
      <c r="O27" s="386"/>
      <c r="P27" s="387"/>
      <c r="Q27" s="388"/>
    </row>
    <row r="28" spans="1:17" ht="16.2" thickBot="1" x14ac:dyDescent="0.35">
      <c r="A28" s="399" t="s">
        <v>778</v>
      </c>
      <c r="B28" s="400" t="s">
        <v>779</v>
      </c>
      <c r="C28" s="401" t="s">
        <v>19</v>
      </c>
      <c r="D28" s="402" t="s">
        <v>33</v>
      </c>
      <c r="E28" s="403" t="s">
        <v>35</v>
      </c>
      <c r="F28" s="404" t="s">
        <v>30</v>
      </c>
      <c r="G28" s="538" t="s">
        <v>14</v>
      </c>
      <c r="H28" s="403" t="s">
        <v>35</v>
      </c>
      <c r="I28" s="404" t="s">
        <v>30</v>
      </c>
      <c r="J28" s="369" t="s">
        <v>659</v>
      </c>
      <c r="K28" s="539" t="s">
        <v>38</v>
      </c>
      <c r="L28" s="407"/>
      <c r="M28" s="408"/>
      <c r="N28" s="409"/>
      <c r="O28" s="386"/>
      <c r="P28" s="387"/>
      <c r="Q28" s="388"/>
    </row>
    <row r="29" spans="1:17" x14ac:dyDescent="0.25">
      <c r="A29" s="410"/>
      <c r="B29" s="411"/>
      <c r="C29" s="376"/>
      <c r="D29" s="377" t="s">
        <v>21</v>
      </c>
      <c r="E29" s="259">
        <v>0</v>
      </c>
      <c r="F29" s="378">
        <f t="shared" ref="F29:F35" si="3">C29*E29</f>
        <v>0</v>
      </c>
      <c r="G29" s="534"/>
      <c r="H29" s="380">
        <v>0</v>
      </c>
      <c r="I29" s="378">
        <f t="shared" ref="I29:I35" si="4">G29*H29</f>
        <v>0</v>
      </c>
      <c r="J29" s="381"/>
      <c r="K29" s="535">
        <f t="shared" ref="K29:K35" si="5">F29+I29+J29</f>
        <v>0</v>
      </c>
      <c r="L29" s="383"/>
      <c r="M29" s="384"/>
      <c r="N29" s="385"/>
      <c r="O29" s="386"/>
      <c r="P29" s="387"/>
      <c r="Q29" s="388"/>
    </row>
    <row r="30" spans="1:17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383"/>
      <c r="M31" s="384"/>
      <c r="N31" s="385"/>
      <c r="O31" s="386"/>
      <c r="P31" s="387"/>
      <c r="Q31" s="388"/>
    </row>
    <row r="32" spans="1:17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L32" s="383"/>
      <c r="M32" s="384"/>
      <c r="N32" s="385"/>
      <c r="O32" s="386"/>
      <c r="P32" s="387"/>
      <c r="Q32" s="388"/>
    </row>
    <row r="33" spans="1:17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383"/>
      <c r="M33" s="384"/>
      <c r="N33" s="385"/>
      <c r="O33" s="386"/>
      <c r="P33" s="387"/>
      <c r="Q33" s="388"/>
    </row>
    <row r="34" spans="1:17" x14ac:dyDescent="0.25">
      <c r="A34" s="375"/>
      <c r="B34" s="5"/>
      <c r="C34" s="376"/>
      <c r="D34" s="377" t="s">
        <v>21</v>
      </c>
      <c r="E34" s="259">
        <v>0</v>
      </c>
      <c r="F34" s="378">
        <f t="shared" si="3"/>
        <v>0</v>
      </c>
      <c r="G34" s="534"/>
      <c r="H34" s="380">
        <v>0</v>
      </c>
      <c r="I34" s="378">
        <f t="shared" si="4"/>
        <v>0</v>
      </c>
      <c r="J34" s="381"/>
      <c r="K34" s="535">
        <f t="shared" si="5"/>
        <v>0</v>
      </c>
      <c r="L34" s="383"/>
      <c r="M34" s="384"/>
      <c r="N34" s="385"/>
      <c r="O34" s="386"/>
      <c r="P34" s="387"/>
      <c r="Q34" s="388"/>
    </row>
    <row r="35" spans="1:17" x14ac:dyDescent="0.25">
      <c r="A35" s="375"/>
      <c r="B35" s="5"/>
      <c r="C35" s="376"/>
      <c r="D35" s="377" t="s">
        <v>21</v>
      </c>
      <c r="E35" s="259">
        <v>0</v>
      </c>
      <c r="F35" s="378">
        <f t="shared" si="3"/>
        <v>0</v>
      </c>
      <c r="G35" s="534"/>
      <c r="H35" s="380">
        <v>0</v>
      </c>
      <c r="I35" s="378">
        <f t="shared" si="4"/>
        <v>0</v>
      </c>
      <c r="J35" s="381"/>
      <c r="K35" s="535">
        <f t="shared" si="5"/>
        <v>0</v>
      </c>
      <c r="L35" s="383"/>
      <c r="M35" s="384"/>
      <c r="N35" s="385"/>
      <c r="O35" s="386"/>
      <c r="P35" s="387"/>
      <c r="Q35" s="388"/>
    </row>
    <row r="36" spans="1:17" ht="13.8" thickBot="1" x14ac:dyDescent="0.3">
      <c r="A36" s="392"/>
      <c r="B36" s="5"/>
      <c r="C36" s="393"/>
      <c r="D36" s="377"/>
      <c r="E36" s="259"/>
      <c r="F36" s="378"/>
      <c r="G36" s="534"/>
      <c r="H36" s="380"/>
      <c r="I36" s="378"/>
      <c r="J36" s="381"/>
      <c r="K36" s="540"/>
      <c r="L36" s="383"/>
      <c r="M36" s="384"/>
      <c r="N36" s="385"/>
      <c r="O36" s="386"/>
      <c r="P36" s="387"/>
      <c r="Q36" s="388"/>
    </row>
    <row r="37" spans="1:17" ht="13.8" thickTop="1" x14ac:dyDescent="0.25">
      <c r="A37" s="392"/>
      <c r="B37" s="417"/>
      <c r="C37" s="393"/>
      <c r="D37" s="377"/>
      <c r="E37" s="259"/>
      <c r="F37" s="378"/>
      <c r="G37" s="534"/>
      <c r="H37" s="380"/>
      <c r="I37" s="378"/>
      <c r="J37" s="394" t="s">
        <v>30</v>
      </c>
      <c r="K37" s="537">
        <f>SUM(K29:K36)</f>
        <v>0</v>
      </c>
      <c r="L37" s="383"/>
      <c r="M37" s="384"/>
      <c r="N37" s="385"/>
      <c r="O37" s="386"/>
      <c r="P37" s="387"/>
      <c r="Q37" s="388"/>
    </row>
    <row r="38" spans="1:17" ht="13.8" thickBot="1" x14ac:dyDescent="0.3">
      <c r="A38" s="358" t="s">
        <v>0</v>
      </c>
      <c r="B38" s="359" t="s">
        <v>1</v>
      </c>
      <c r="C38" s="1018" t="s">
        <v>656</v>
      </c>
      <c r="D38" s="1018"/>
      <c r="E38" s="1018"/>
      <c r="F38" s="1018"/>
      <c r="G38" s="1018" t="s">
        <v>34</v>
      </c>
      <c r="H38" s="1018"/>
      <c r="I38" s="1018"/>
      <c r="J38" s="360"/>
      <c r="K38" s="528"/>
      <c r="L38" s="396"/>
      <c r="M38" s="397"/>
      <c r="N38" s="398"/>
      <c r="O38" s="386"/>
      <c r="P38" s="387"/>
      <c r="Q38" s="388"/>
    </row>
    <row r="39" spans="1:17" ht="16.2" thickBot="1" x14ac:dyDescent="0.35">
      <c r="A39" s="399" t="s">
        <v>158</v>
      </c>
      <c r="B39" s="400" t="s">
        <v>537</v>
      </c>
      <c r="C39" s="401" t="s">
        <v>19</v>
      </c>
      <c r="D39" s="402" t="s">
        <v>33</v>
      </c>
      <c r="E39" s="403" t="s">
        <v>35</v>
      </c>
      <c r="F39" s="404" t="s">
        <v>30</v>
      </c>
      <c r="G39" s="538" t="s">
        <v>14</v>
      </c>
      <c r="H39" s="403" t="s">
        <v>35</v>
      </c>
      <c r="I39" s="404" t="s">
        <v>30</v>
      </c>
      <c r="J39" s="369" t="s">
        <v>659</v>
      </c>
      <c r="K39" s="539" t="s">
        <v>38</v>
      </c>
      <c r="L39" s="407"/>
      <c r="M39" s="413"/>
      <c r="N39" s="414"/>
      <c r="O39" s="415"/>
      <c r="P39" s="416"/>
      <c r="Q39" s="388"/>
    </row>
    <row r="40" spans="1:17" x14ac:dyDescent="0.25">
      <c r="A40" s="410"/>
      <c r="B40" s="411"/>
      <c r="C40" s="376"/>
      <c r="D40" s="377" t="s">
        <v>21</v>
      </c>
      <c r="E40" s="259">
        <v>0</v>
      </c>
      <c r="F40" s="378">
        <f t="shared" ref="F40:F46" si="6">C40*E40</f>
        <v>0</v>
      </c>
      <c r="G40" s="534"/>
      <c r="H40" s="380">
        <v>0</v>
      </c>
      <c r="I40" s="378">
        <f t="shared" ref="I40:I46" si="7">G40*H40</f>
        <v>0</v>
      </c>
      <c r="J40" s="381"/>
      <c r="K40" s="535">
        <f t="shared" ref="K40:K46" si="8">F40+I40+J40</f>
        <v>0</v>
      </c>
      <c r="L40" s="383"/>
      <c r="M40" s="261"/>
      <c r="N40" s="426"/>
      <c r="O40" s="415"/>
      <c r="P40" s="416"/>
      <c r="Q40" s="388"/>
    </row>
    <row r="41" spans="1:17" x14ac:dyDescent="0.25">
      <c r="A41" s="375"/>
      <c r="B41" s="5" t="s">
        <v>780</v>
      </c>
      <c r="C41" s="376"/>
      <c r="D41" s="377" t="s">
        <v>752</v>
      </c>
      <c r="E41" s="259">
        <v>65</v>
      </c>
      <c r="F41" s="378">
        <f t="shared" si="6"/>
        <v>0</v>
      </c>
      <c r="G41" s="534"/>
      <c r="H41" s="380">
        <v>0</v>
      </c>
      <c r="I41" s="378">
        <f t="shared" si="7"/>
        <v>0</v>
      </c>
      <c r="J41" s="381"/>
      <c r="K41" s="535">
        <f t="shared" si="8"/>
        <v>0</v>
      </c>
      <c r="L41" s="383"/>
      <c r="M41" s="261"/>
      <c r="N41" s="426"/>
      <c r="O41" s="415"/>
      <c r="P41" s="416"/>
      <c r="Q41" s="388"/>
    </row>
    <row r="42" spans="1:17" x14ac:dyDescent="0.25">
      <c r="A42" s="375"/>
      <c r="B42" s="5"/>
      <c r="C42" s="376"/>
      <c r="D42" s="377" t="s">
        <v>21</v>
      </c>
      <c r="E42" s="259">
        <v>0</v>
      </c>
      <c r="F42" s="378">
        <f t="shared" si="6"/>
        <v>0</v>
      </c>
      <c r="G42" s="534"/>
      <c r="H42" s="380">
        <v>0</v>
      </c>
      <c r="I42" s="378">
        <f t="shared" si="7"/>
        <v>0</v>
      </c>
      <c r="J42" s="381"/>
      <c r="K42" s="535">
        <f t="shared" si="8"/>
        <v>0</v>
      </c>
      <c r="L42" s="383"/>
      <c r="M42" s="261"/>
      <c r="N42" s="426"/>
      <c r="O42" s="415"/>
      <c r="P42" s="416"/>
      <c r="Q42" s="388"/>
    </row>
    <row r="43" spans="1:17" x14ac:dyDescent="0.25">
      <c r="A43" s="375"/>
      <c r="B43" s="5" t="s">
        <v>781</v>
      </c>
      <c r="C43" s="376"/>
      <c r="D43" s="377" t="s">
        <v>752</v>
      </c>
      <c r="E43" s="259">
        <v>35</v>
      </c>
      <c r="F43" s="378">
        <f t="shared" si="6"/>
        <v>0</v>
      </c>
      <c r="G43" s="534"/>
      <c r="H43" s="380">
        <v>0</v>
      </c>
      <c r="I43" s="378">
        <f t="shared" si="7"/>
        <v>0</v>
      </c>
      <c r="J43" s="381"/>
      <c r="K43" s="535">
        <f t="shared" si="8"/>
        <v>0</v>
      </c>
      <c r="L43" s="383"/>
      <c r="M43" s="261"/>
      <c r="N43" s="426"/>
      <c r="O43" s="415"/>
      <c r="P43" s="416"/>
      <c r="Q43" s="388"/>
    </row>
    <row r="44" spans="1:17" x14ac:dyDescent="0.25">
      <c r="A44" s="375"/>
      <c r="B44" s="5"/>
      <c r="C44" s="376"/>
      <c r="D44" s="377" t="s">
        <v>21</v>
      </c>
      <c r="E44" s="259">
        <v>0</v>
      </c>
      <c r="F44" s="378">
        <f t="shared" si="6"/>
        <v>0</v>
      </c>
      <c r="G44" s="534"/>
      <c r="H44" s="380">
        <v>0</v>
      </c>
      <c r="I44" s="378">
        <f t="shared" si="7"/>
        <v>0</v>
      </c>
      <c r="J44" s="381"/>
      <c r="K44" s="535">
        <f t="shared" si="8"/>
        <v>0</v>
      </c>
      <c r="L44" s="383"/>
      <c r="M44" s="261"/>
      <c r="N44" s="426"/>
      <c r="O44" s="415"/>
      <c r="P44" s="416"/>
      <c r="Q44" s="388"/>
    </row>
    <row r="45" spans="1:17" x14ac:dyDescent="0.25">
      <c r="A45" s="375"/>
      <c r="B45" s="5"/>
      <c r="C45" s="376"/>
      <c r="D45" s="377" t="s">
        <v>21</v>
      </c>
      <c r="E45" s="259">
        <v>0</v>
      </c>
      <c r="F45" s="378">
        <f t="shared" si="6"/>
        <v>0</v>
      </c>
      <c r="G45" s="534"/>
      <c r="H45" s="380">
        <v>0</v>
      </c>
      <c r="I45" s="378">
        <f t="shared" si="7"/>
        <v>0</v>
      </c>
      <c r="J45" s="381"/>
      <c r="K45" s="535">
        <f t="shared" si="8"/>
        <v>0</v>
      </c>
      <c r="L45" s="383"/>
      <c r="M45" s="261"/>
      <c r="N45" s="385"/>
      <c r="O45" s="386"/>
      <c r="P45" s="387"/>
      <c r="Q45" s="388"/>
    </row>
    <row r="46" spans="1:17" x14ac:dyDescent="0.25">
      <c r="A46" s="375"/>
      <c r="B46" s="5"/>
      <c r="C46" s="376"/>
      <c r="D46" s="377" t="s">
        <v>21</v>
      </c>
      <c r="E46" s="259">
        <v>0</v>
      </c>
      <c r="F46" s="378">
        <f t="shared" si="6"/>
        <v>0</v>
      </c>
      <c r="G46" s="534"/>
      <c r="H46" s="380">
        <v>0</v>
      </c>
      <c r="I46" s="378">
        <f t="shared" si="7"/>
        <v>0</v>
      </c>
      <c r="J46" s="381"/>
      <c r="K46" s="535">
        <f t="shared" si="8"/>
        <v>0</v>
      </c>
      <c r="L46" s="541"/>
      <c r="M46" s="261"/>
      <c r="N46" s="542"/>
      <c r="O46" s="386"/>
      <c r="P46" s="387"/>
      <c r="Q46" s="388"/>
    </row>
    <row r="47" spans="1:17" ht="13.8" thickBot="1" x14ac:dyDescent="0.3">
      <c r="A47" s="392"/>
      <c r="B47" s="5"/>
      <c r="C47" s="393"/>
      <c r="D47" s="377"/>
      <c r="E47" s="259"/>
      <c r="F47" s="378"/>
      <c r="G47" s="534"/>
      <c r="H47" s="380"/>
      <c r="I47" s="378"/>
      <c r="J47" s="381"/>
      <c r="K47" s="540"/>
      <c r="L47" s="543"/>
      <c r="M47" s="261"/>
      <c r="N47" s="544"/>
      <c r="O47" s="386"/>
      <c r="P47" s="416"/>
      <c r="Q47" s="388"/>
    </row>
    <row r="48" spans="1:17" ht="14.4" thickTop="1" thickBot="1" x14ac:dyDescent="0.3">
      <c r="A48" s="392"/>
      <c r="B48" s="417"/>
      <c r="C48" s="393"/>
      <c r="D48" s="377"/>
      <c r="E48" s="259"/>
      <c r="F48" s="378"/>
      <c r="G48" s="534"/>
      <c r="H48" s="380"/>
      <c r="I48" s="378"/>
      <c r="J48" s="394" t="s">
        <v>30</v>
      </c>
      <c r="K48" s="537">
        <f>SUM(K40:K47)</f>
        <v>0</v>
      </c>
      <c r="L48" s="541"/>
      <c r="M48" s="261"/>
      <c r="N48" s="542"/>
      <c r="O48" s="545"/>
      <c r="P48" s="546"/>
      <c r="Q48" s="388"/>
    </row>
    <row r="49" spans="1:17" ht="14.1" customHeight="1" thickTop="1" x14ac:dyDescent="0.25">
      <c r="A49" s="483"/>
      <c r="B49" s="484"/>
      <c r="C49" s="485"/>
      <c r="D49" s="485"/>
      <c r="E49" s="486"/>
      <c r="F49" s="1048" t="s">
        <v>658</v>
      </c>
      <c r="G49" s="1071" t="s">
        <v>684</v>
      </c>
      <c r="H49" s="486"/>
      <c r="I49" s="1041" t="s">
        <v>657</v>
      </c>
      <c r="J49" s="1037" t="s">
        <v>685</v>
      </c>
      <c r="K49" s="1073" t="s">
        <v>31</v>
      </c>
      <c r="L49" s="547"/>
      <c r="M49" s="548"/>
      <c r="N49" s="549"/>
      <c r="O49" s="550"/>
      <c r="P49" s="550"/>
      <c r="Q49" s="551"/>
    </row>
    <row r="50" spans="1:17" ht="13.8" x14ac:dyDescent="0.25">
      <c r="A50" s="487" t="s">
        <v>32</v>
      </c>
      <c r="B50" s="1043" t="s">
        <v>23</v>
      </c>
      <c r="C50" s="488"/>
      <c r="D50" s="489"/>
      <c r="E50" s="489"/>
      <c r="F50" s="1049"/>
      <c r="G50" s="1072"/>
      <c r="H50" s="490"/>
      <c r="I50" s="1042"/>
      <c r="J50" s="1038"/>
      <c r="K50" s="1074"/>
      <c r="L50" s="552"/>
      <c r="M50" s="261"/>
      <c r="O50" s="553"/>
      <c r="P50" s="553"/>
      <c r="Q50" s="554"/>
    </row>
    <row r="51" spans="1:17" ht="13.8" x14ac:dyDescent="0.25">
      <c r="A51" s="828">
        <f>K51/E6</f>
        <v>0.5815831987075929</v>
      </c>
      <c r="B51" s="1043"/>
      <c r="C51" s="489"/>
      <c r="D51" s="489"/>
      <c r="E51" s="489"/>
      <c r="F51" s="1031">
        <f>SUM(F13:F25,F40:F47,F29:F35)</f>
        <v>0</v>
      </c>
      <c r="G51" s="1076">
        <f>SUM(G13:G25,G40:G47,G29:G35)</f>
        <v>0</v>
      </c>
      <c r="H51" s="490"/>
      <c r="I51" s="1031">
        <f>SUM(I13:I25,I40:I47,I29:I35)</f>
        <v>0</v>
      </c>
      <c r="J51" s="1031">
        <f>SUM(J13:J25,J40:J47,J29:J35)</f>
        <v>3600</v>
      </c>
      <c r="K51" s="1039">
        <f>SUM(K48,K26,K37)</f>
        <v>3600</v>
      </c>
      <c r="L51" s="552"/>
      <c r="M51" s="261"/>
      <c r="O51" s="553"/>
      <c r="P51" s="553"/>
      <c r="Q51" s="554"/>
    </row>
    <row r="52" spans="1:17" ht="14.4" thickBot="1" x14ac:dyDescent="0.3">
      <c r="A52" s="487"/>
      <c r="B52" s="555"/>
      <c r="C52" s="493"/>
      <c r="D52" s="493"/>
      <c r="E52" s="493"/>
      <c r="F52" s="1032"/>
      <c r="G52" s="1077"/>
      <c r="H52" s="493"/>
      <c r="I52" s="1032"/>
      <c r="J52" s="1032"/>
      <c r="K52" s="1040"/>
      <c r="L52" s="552"/>
      <c r="M52" s="261"/>
      <c r="O52" s="553"/>
      <c r="P52" s="553"/>
      <c r="Q52" s="554"/>
    </row>
    <row r="53" spans="1:17" ht="13.8" thickBot="1" x14ac:dyDescent="0.3">
      <c r="A53" s="494"/>
      <c r="B53" s="495"/>
      <c r="C53" s="495"/>
      <c r="D53" s="495"/>
      <c r="E53" s="495"/>
      <c r="F53" s="495"/>
      <c r="G53" s="495"/>
      <c r="H53" s="495"/>
      <c r="I53" s="495"/>
      <c r="J53" s="495"/>
      <c r="K53" s="495"/>
      <c r="L53" s="552"/>
      <c r="M53" s="261"/>
      <c r="O53" s="553"/>
      <c r="P53" s="553"/>
      <c r="Q53" s="554"/>
    </row>
    <row r="54" spans="1:17" x14ac:dyDescent="0.25">
      <c r="M54" s="261"/>
      <c r="O54" s="553"/>
      <c r="P54" s="553"/>
      <c r="Q54" s="554"/>
    </row>
    <row r="55" spans="1:17" x14ac:dyDescent="0.25">
      <c r="M55" s="261"/>
      <c r="O55" s="553"/>
      <c r="P55" s="553"/>
      <c r="Q55" s="554"/>
    </row>
    <row r="56" spans="1:17" x14ac:dyDescent="0.25">
      <c r="M56" s="261"/>
      <c r="O56" s="554"/>
      <c r="P56" s="554"/>
      <c r="Q56" s="554"/>
    </row>
    <row r="57" spans="1:17" x14ac:dyDescent="0.25">
      <c r="M57" s="261"/>
      <c r="O57" s="553"/>
      <c r="P57" s="553"/>
      <c r="Q57" s="554"/>
    </row>
    <row r="58" spans="1:17" x14ac:dyDescent="0.25">
      <c r="M58" s="261"/>
      <c r="O58" s="553"/>
      <c r="P58" s="553"/>
      <c r="Q58" s="554"/>
    </row>
    <row r="59" spans="1:17" x14ac:dyDescent="0.25">
      <c r="M59" s="261"/>
      <c r="O59" s="553"/>
      <c r="P59" s="553"/>
      <c r="Q59" s="554"/>
    </row>
    <row r="60" spans="1:17" x14ac:dyDescent="0.25">
      <c r="M60" s="261"/>
      <c r="O60" s="553"/>
      <c r="P60" s="553"/>
      <c r="Q60" s="554"/>
    </row>
    <row r="61" spans="1:17" x14ac:dyDescent="0.25">
      <c r="M61" s="261"/>
      <c r="O61" s="553"/>
      <c r="P61" s="553"/>
      <c r="Q61" s="554"/>
    </row>
    <row r="62" spans="1:17" x14ac:dyDescent="0.25">
      <c r="M62" s="261"/>
      <c r="O62" s="553"/>
      <c r="P62" s="553"/>
      <c r="Q62" s="554"/>
    </row>
    <row r="63" spans="1:17" x14ac:dyDescent="0.25">
      <c r="M63" s="261"/>
      <c r="O63" s="553"/>
      <c r="P63" s="553"/>
      <c r="Q63" s="554"/>
    </row>
    <row r="64" spans="1:17" x14ac:dyDescent="0.25">
      <c r="M64" s="261"/>
      <c r="O64" s="553"/>
      <c r="P64" s="553"/>
      <c r="Q64" s="554"/>
    </row>
    <row r="65" spans="13:17" x14ac:dyDescent="0.25">
      <c r="M65" s="261"/>
      <c r="O65" s="553"/>
      <c r="P65" s="553"/>
      <c r="Q65" s="554"/>
    </row>
    <row r="66" spans="13:17" x14ac:dyDescent="0.25">
      <c r="M66" s="261"/>
      <c r="O66" s="553"/>
      <c r="P66" s="553"/>
      <c r="Q66" s="554"/>
    </row>
    <row r="67" spans="13:17" x14ac:dyDescent="0.25">
      <c r="M67" s="261"/>
      <c r="O67" s="553"/>
      <c r="P67" s="553"/>
      <c r="Q67" s="554"/>
    </row>
    <row r="68" spans="13:17" x14ac:dyDescent="0.25">
      <c r="M68" s="261"/>
      <c r="O68" s="553"/>
      <c r="P68" s="553"/>
      <c r="Q68" s="554"/>
    </row>
    <row r="69" spans="13:17" x14ac:dyDescent="0.25">
      <c r="M69" s="261"/>
      <c r="O69" s="553"/>
      <c r="P69" s="553"/>
      <c r="Q69" s="554"/>
    </row>
    <row r="70" spans="13:17" x14ac:dyDescent="0.25">
      <c r="M70" s="261"/>
      <c r="O70" s="553"/>
      <c r="P70" s="553"/>
      <c r="Q70" s="554"/>
    </row>
    <row r="71" spans="13:17" x14ac:dyDescent="0.25">
      <c r="M71" s="261"/>
      <c r="O71" s="553"/>
      <c r="P71" s="553"/>
      <c r="Q71" s="554"/>
    </row>
    <row r="72" spans="13:17" x14ac:dyDescent="0.25">
      <c r="M72" s="261"/>
      <c r="O72" s="553"/>
      <c r="P72" s="553"/>
      <c r="Q72" s="554"/>
    </row>
    <row r="73" spans="13:17" x14ac:dyDescent="0.25">
      <c r="M73" s="261"/>
      <c r="O73" s="553"/>
      <c r="P73" s="553"/>
      <c r="Q73" s="554"/>
    </row>
    <row r="74" spans="13:17" x14ac:dyDescent="0.25">
      <c r="M74" s="261"/>
      <c r="O74" s="553"/>
      <c r="P74" s="553"/>
      <c r="Q74" s="554"/>
    </row>
    <row r="75" spans="13:17" x14ac:dyDescent="0.25">
      <c r="M75" s="261"/>
      <c r="O75" s="553"/>
      <c r="P75" s="553"/>
      <c r="Q75" s="554"/>
    </row>
    <row r="76" spans="13:17" x14ac:dyDescent="0.25">
      <c r="M76" s="261"/>
      <c r="O76" s="553"/>
      <c r="P76" s="553"/>
      <c r="Q76" s="554"/>
    </row>
    <row r="77" spans="13:17" x14ac:dyDescent="0.25">
      <c r="M77" s="261"/>
      <c r="O77" s="553"/>
      <c r="P77" s="553"/>
      <c r="Q77" s="554"/>
    </row>
    <row r="78" spans="13:17" x14ac:dyDescent="0.25">
      <c r="M78" s="261"/>
      <c r="O78" s="553"/>
      <c r="P78" s="553"/>
      <c r="Q78" s="554"/>
    </row>
    <row r="79" spans="13:17" x14ac:dyDescent="0.25">
      <c r="M79" s="261"/>
      <c r="O79" s="553"/>
      <c r="P79" s="553"/>
      <c r="Q79" s="554"/>
    </row>
    <row r="80" spans="13:17" x14ac:dyDescent="0.25">
      <c r="M80" s="261"/>
      <c r="O80" s="553"/>
      <c r="P80" s="553"/>
      <c r="Q80" s="554"/>
    </row>
    <row r="81" spans="13:17" x14ac:dyDescent="0.25">
      <c r="M81" s="261"/>
      <c r="O81" s="553"/>
      <c r="P81" s="553"/>
      <c r="Q81" s="554"/>
    </row>
    <row r="82" spans="13:17" x14ac:dyDescent="0.25">
      <c r="M82" s="261"/>
      <c r="O82" s="553"/>
      <c r="P82" s="553"/>
      <c r="Q82" s="554"/>
    </row>
    <row r="83" spans="13:17" x14ac:dyDescent="0.25">
      <c r="M83" s="261"/>
      <c r="O83" s="553"/>
      <c r="P83" s="553"/>
      <c r="Q83" s="554"/>
    </row>
    <row r="84" spans="13:17" x14ac:dyDescent="0.25">
      <c r="M84" s="261"/>
      <c r="O84" s="553"/>
      <c r="P84" s="553"/>
      <c r="Q84" s="554"/>
    </row>
    <row r="85" spans="13:17" x14ac:dyDescent="0.25">
      <c r="M85" s="261"/>
      <c r="O85" s="553"/>
      <c r="P85" s="553"/>
      <c r="Q85" s="554"/>
    </row>
    <row r="86" spans="13:17" x14ac:dyDescent="0.25">
      <c r="M86" s="261"/>
      <c r="O86" s="553"/>
      <c r="P86" s="553"/>
      <c r="Q86" s="554"/>
    </row>
    <row r="87" spans="13:17" x14ac:dyDescent="0.25">
      <c r="M87" s="261"/>
      <c r="O87" s="553"/>
      <c r="P87" s="553"/>
      <c r="Q87" s="554"/>
    </row>
    <row r="88" spans="13:17" x14ac:dyDescent="0.25">
      <c r="M88" s="261"/>
      <c r="O88" s="553"/>
      <c r="P88" s="553"/>
      <c r="Q88" s="554"/>
    </row>
    <row r="89" spans="13:17" x14ac:dyDescent="0.25">
      <c r="M89" s="261"/>
      <c r="O89" s="553"/>
      <c r="P89" s="553"/>
      <c r="Q89" s="554"/>
    </row>
    <row r="90" spans="13:17" x14ac:dyDescent="0.25">
      <c r="M90" s="261"/>
      <c r="O90" s="553"/>
      <c r="P90" s="553"/>
      <c r="Q90" s="554"/>
    </row>
    <row r="91" spans="13:17" x14ac:dyDescent="0.25">
      <c r="M91" s="261"/>
      <c r="O91" s="553"/>
      <c r="P91" s="553"/>
      <c r="Q91" s="554"/>
    </row>
    <row r="92" spans="13:17" x14ac:dyDescent="0.25">
      <c r="M92" s="261"/>
      <c r="O92" s="553"/>
      <c r="P92" s="553"/>
      <c r="Q92" s="554"/>
    </row>
    <row r="93" spans="13:17" x14ac:dyDescent="0.25">
      <c r="M93" s="261"/>
      <c r="O93" s="553"/>
      <c r="P93" s="553"/>
      <c r="Q93" s="554"/>
    </row>
    <row r="94" spans="13:17" x14ac:dyDescent="0.25">
      <c r="M94" s="261"/>
      <c r="O94" s="553"/>
      <c r="P94" s="553"/>
      <c r="Q94" s="554"/>
    </row>
    <row r="95" spans="13:17" x14ac:dyDescent="0.25">
      <c r="M95" s="261"/>
      <c r="O95" s="553"/>
      <c r="P95" s="553"/>
      <c r="Q95" s="554"/>
    </row>
    <row r="96" spans="13:17" x14ac:dyDescent="0.25">
      <c r="M96" s="261"/>
      <c r="O96" s="553"/>
      <c r="P96" s="553"/>
      <c r="Q96" s="554"/>
    </row>
    <row r="97" spans="13:17" x14ac:dyDescent="0.25">
      <c r="M97" s="261"/>
      <c r="O97" s="553"/>
      <c r="P97" s="553"/>
      <c r="Q97" s="554"/>
    </row>
    <row r="98" spans="13:17" x14ac:dyDescent="0.25">
      <c r="M98" s="261"/>
      <c r="O98" s="553"/>
      <c r="P98" s="553"/>
      <c r="Q98" s="554"/>
    </row>
  </sheetData>
  <mergeCells count="51">
    <mergeCell ref="C8:F8"/>
    <mergeCell ref="G8:I8"/>
    <mergeCell ref="A3:B3"/>
    <mergeCell ref="A4:B4"/>
    <mergeCell ref="L6:M6"/>
    <mergeCell ref="A7:K7"/>
    <mergeCell ref="N6:P6"/>
    <mergeCell ref="L3:M3"/>
    <mergeCell ref="N3:P3"/>
    <mergeCell ref="L4:M4"/>
    <mergeCell ref="N4:P4"/>
    <mergeCell ref="L5:M5"/>
    <mergeCell ref="N5:P5"/>
    <mergeCell ref="C1:K1"/>
    <mergeCell ref="D2:F2"/>
    <mergeCell ref="D3:F3"/>
    <mergeCell ref="D4:F4"/>
    <mergeCell ref="G5:I6"/>
    <mergeCell ref="J5:K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B50:B51"/>
    <mergeCell ref="C38:F38"/>
    <mergeCell ref="G38:I38"/>
    <mergeCell ref="H9:H10"/>
    <mergeCell ref="I9:I10"/>
    <mergeCell ref="F51:F52"/>
    <mergeCell ref="G51:G52"/>
    <mergeCell ref="I51:I52"/>
    <mergeCell ref="C27:F27"/>
    <mergeCell ref="G27:I27"/>
    <mergeCell ref="J51:J52"/>
    <mergeCell ref="K51:K52"/>
    <mergeCell ref="F49:F50"/>
    <mergeCell ref="G49:G50"/>
    <mergeCell ref="I49:I50"/>
    <mergeCell ref="J49:J50"/>
    <mergeCell ref="K49:K50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8" fitToHeight="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tabColor rgb="FF00B050"/>
    <pageSetUpPr fitToPage="1"/>
  </sheetPr>
  <dimension ref="A1:AA97"/>
  <sheetViews>
    <sheetView topLeftCell="A58" zoomScale="90" zoomScaleNormal="90" zoomScaleSheetLayoutView="90" zoomScalePageLayoutView="75" workbookViewId="0">
      <selection activeCell="M49" sqref="M49"/>
    </sheetView>
  </sheetViews>
  <sheetFormatPr defaultColWidth="9.109375" defaultRowHeight="13.2" x14ac:dyDescent="0.25"/>
  <cols>
    <col min="1" max="1" width="12.109375" style="157" customWidth="1"/>
    <col min="2" max="2" width="45.44140625" style="157" customWidth="1"/>
    <col min="3" max="3" width="8.44140625" style="581" customWidth="1"/>
    <col min="4" max="4" width="5" style="377" customWidth="1"/>
    <col min="5" max="5" width="11.44140625" style="157" customWidth="1"/>
    <col min="6" max="6" width="12.5546875" style="157" customWidth="1"/>
    <col min="7" max="7" width="7" style="582" customWidth="1"/>
    <col min="8" max="8" width="11.44140625" style="157" customWidth="1"/>
    <col min="9" max="9" width="12.5546875" style="157" customWidth="1"/>
    <col min="10" max="10" width="16.109375" style="157" customWidth="1"/>
    <col min="11" max="11" width="14.44140625" style="157" customWidth="1"/>
    <col min="12" max="12" width="16.33203125" style="159" bestFit="1" customWidth="1"/>
    <col min="13" max="13" width="13.6640625" style="282" bestFit="1" customWidth="1"/>
    <col min="14" max="14" width="28.5546875" style="157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8" width="11.44140625" style="157" customWidth="1"/>
    <col min="19" max="19" width="13.5546875" style="157" customWidth="1"/>
    <col min="20" max="20" width="11.33203125" style="157" bestFit="1" customWidth="1"/>
    <col min="21" max="21" width="13.44140625" style="157" customWidth="1"/>
    <col min="22" max="22" width="12.5546875" style="157" customWidth="1"/>
    <col min="23" max="23" width="29" style="157" bestFit="1" customWidth="1"/>
    <col min="24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4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x14ac:dyDescent="0.25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x14ac:dyDescent="0.25">
      <c r="A9" s="526"/>
      <c r="B9" s="203"/>
      <c r="C9" s="1079"/>
      <c r="D9" s="1079"/>
      <c r="E9" s="1075"/>
      <c r="F9" s="1075"/>
      <c r="G9" s="1080"/>
      <c r="H9" s="1075"/>
      <c r="I9" s="1075"/>
      <c r="J9" s="1075"/>
      <c r="K9" s="1078"/>
      <c r="L9" s="473"/>
      <c r="M9" s="472"/>
      <c r="N9" s="418"/>
      <c r="O9" s="419"/>
      <c r="P9" s="419"/>
    </row>
    <row r="10" spans="1:17" ht="13.8" thickBot="1" x14ac:dyDescent="0.3">
      <c r="A10" s="406"/>
      <c r="B10" s="527"/>
      <c r="C10" s="1079"/>
      <c r="D10" s="1079"/>
      <c r="E10" s="1075"/>
      <c r="F10" s="1075"/>
      <c r="G10" s="1080"/>
      <c r="H10" s="1075"/>
      <c r="I10" s="1075"/>
      <c r="J10" s="1075"/>
      <c r="K10" s="1078"/>
      <c r="L10" s="473"/>
      <c r="M10" s="472"/>
      <c r="N10" s="418"/>
      <c r="O10" s="419"/>
      <c r="P10" s="419"/>
    </row>
    <row r="11" spans="1:17" ht="14.4" thickTop="1" thickBot="1" x14ac:dyDescent="0.3">
      <c r="A11" s="358" t="s">
        <v>0</v>
      </c>
      <c r="B11" s="359" t="s">
        <v>1</v>
      </c>
      <c r="C11" s="1018" t="s">
        <v>656</v>
      </c>
      <c r="D11" s="1018"/>
      <c r="E11" s="1018"/>
      <c r="F11" s="1018"/>
      <c r="G11" s="1018" t="s">
        <v>34</v>
      </c>
      <c r="H11" s="1018"/>
      <c r="I11" s="1018"/>
      <c r="J11" s="360"/>
      <c r="K11" s="528"/>
      <c r="L11" s="1021" t="s">
        <v>782</v>
      </c>
      <c r="M11" s="1023" t="s">
        <v>783</v>
      </c>
      <c r="N11" s="1025" t="s">
        <v>784</v>
      </c>
      <c r="O11" s="1027"/>
      <c r="P11" s="1029"/>
      <c r="Q11" s="1019"/>
    </row>
    <row r="12" spans="1:17" ht="15.6" x14ac:dyDescent="0.3">
      <c r="A12" s="530" t="s">
        <v>160</v>
      </c>
      <c r="B12" s="530" t="s">
        <v>161</v>
      </c>
      <c r="C12" s="364" t="s">
        <v>19</v>
      </c>
      <c r="D12" s="365" t="s">
        <v>33</v>
      </c>
      <c r="E12" s="366" t="s">
        <v>35</v>
      </c>
      <c r="F12" s="367" t="s">
        <v>30</v>
      </c>
      <c r="G12" s="531" t="s">
        <v>14</v>
      </c>
      <c r="H12" s="366" t="s">
        <v>35</v>
      </c>
      <c r="I12" s="367" t="s">
        <v>30</v>
      </c>
      <c r="J12" s="369" t="s">
        <v>659</v>
      </c>
      <c r="K12" s="532" t="s">
        <v>38</v>
      </c>
      <c r="L12" s="1022"/>
      <c r="M12" s="1024"/>
      <c r="N12" s="1026"/>
      <c r="O12" s="1028"/>
      <c r="P12" s="1030"/>
      <c r="Q12" s="1020"/>
    </row>
    <row r="13" spans="1:17" x14ac:dyDescent="0.25">
      <c r="A13" s="375" t="s">
        <v>879</v>
      </c>
      <c r="B13" s="10" t="s">
        <v>878</v>
      </c>
      <c r="C13" s="376"/>
      <c r="E13" s="259"/>
      <c r="F13" s="378"/>
      <c r="G13" s="534"/>
      <c r="H13" s="380"/>
      <c r="I13" s="378"/>
      <c r="J13" s="381"/>
      <c r="K13" s="535">
        <f t="shared" ref="K13:K20" si="0">F13+I13+J13</f>
        <v>0</v>
      </c>
      <c r="L13" s="383"/>
      <c r="M13" s="384"/>
      <c r="N13" s="385"/>
      <c r="O13" s="386"/>
      <c r="P13" s="387"/>
      <c r="Q13" s="388"/>
    </row>
    <row r="14" spans="1:17" ht="26.4" x14ac:dyDescent="0.25">
      <c r="A14" s="375" t="s">
        <v>880</v>
      </c>
      <c r="B14" s="849" t="s">
        <v>1026</v>
      </c>
      <c r="C14" s="838">
        <f>349*2</f>
        <v>698</v>
      </c>
      <c r="D14" s="839" t="s">
        <v>997</v>
      </c>
      <c r="E14" s="259">
        <v>0</v>
      </c>
      <c r="F14" s="378">
        <f t="shared" ref="F14:F20" si="1">C14*E14</f>
        <v>0</v>
      </c>
      <c r="G14" s="534"/>
      <c r="H14" s="380">
        <v>0</v>
      </c>
      <c r="I14" s="378">
        <f t="shared" ref="I14:I20" si="2">G14*H14</f>
        <v>0</v>
      </c>
      <c r="J14" s="381">
        <v>56820</v>
      </c>
      <c r="K14" s="535">
        <f t="shared" si="0"/>
        <v>56820</v>
      </c>
      <c r="L14" s="959" t="s">
        <v>1151</v>
      </c>
      <c r="M14" s="908">
        <v>56820</v>
      </c>
      <c r="N14" s="878" t="s">
        <v>1186</v>
      </c>
      <c r="O14" s="386"/>
      <c r="P14" s="387"/>
      <c r="Q14" s="388"/>
    </row>
    <row r="15" spans="1:17" x14ac:dyDescent="0.25">
      <c r="A15" s="375" t="s">
        <v>881</v>
      </c>
      <c r="B15" s="849" t="s">
        <v>791</v>
      </c>
      <c r="C15" s="838">
        <v>3417</v>
      </c>
      <c r="D15" s="839" t="s">
        <v>732</v>
      </c>
      <c r="E15" s="259">
        <v>0</v>
      </c>
      <c r="F15" s="378">
        <f t="shared" si="1"/>
        <v>0</v>
      </c>
      <c r="G15" s="534"/>
      <c r="H15" s="380">
        <v>0</v>
      </c>
      <c r="I15" s="378">
        <f t="shared" si="2"/>
        <v>0</v>
      </c>
      <c r="J15" s="381"/>
      <c r="K15" s="535">
        <f t="shared" si="0"/>
        <v>0</v>
      </c>
      <c r="L15" s="383" t="s">
        <v>1151</v>
      </c>
      <c r="M15" s="384">
        <v>38580</v>
      </c>
      <c r="N15" s="878" t="s">
        <v>1188</v>
      </c>
      <c r="O15" s="916" t="s">
        <v>1225</v>
      </c>
      <c r="P15" s="917">
        <f>+M14-M15</f>
        <v>18240</v>
      </c>
      <c r="Q15" s="388"/>
    </row>
    <row r="16" spans="1:17" x14ac:dyDescent="0.25">
      <c r="A16" s="375" t="s">
        <v>882</v>
      </c>
      <c r="B16" s="849" t="s">
        <v>1027</v>
      </c>
      <c r="C16" s="838">
        <v>5</v>
      </c>
      <c r="D16" s="839" t="s">
        <v>907</v>
      </c>
      <c r="E16" s="259">
        <v>0</v>
      </c>
      <c r="F16" s="378">
        <f t="shared" si="1"/>
        <v>0</v>
      </c>
      <c r="G16" s="534"/>
      <c r="H16" s="380">
        <v>0</v>
      </c>
      <c r="I16" s="378">
        <f t="shared" si="2"/>
        <v>0</v>
      </c>
      <c r="J16" s="381"/>
      <c r="K16" s="535">
        <f t="shared" si="0"/>
        <v>0</v>
      </c>
      <c r="L16" s="383" t="s">
        <v>1152</v>
      </c>
      <c r="M16" s="384"/>
      <c r="N16" s="385"/>
      <c r="O16" s="386"/>
      <c r="P16" s="387"/>
      <c r="Q16" s="388"/>
    </row>
    <row r="17" spans="1:27" x14ac:dyDescent="0.25">
      <c r="A17" s="375"/>
      <c r="B17" s="858" t="s">
        <v>1029</v>
      </c>
      <c r="C17" s="838"/>
      <c r="D17" s="839" t="s">
        <v>21</v>
      </c>
      <c r="E17" s="259">
        <v>0</v>
      </c>
      <c r="F17" s="378">
        <f t="shared" si="1"/>
        <v>0</v>
      </c>
      <c r="G17" s="534"/>
      <c r="H17" s="380">
        <v>0</v>
      </c>
      <c r="I17" s="378">
        <f t="shared" si="2"/>
        <v>0</v>
      </c>
      <c r="J17" s="381"/>
      <c r="K17" s="535">
        <f t="shared" si="0"/>
        <v>0</v>
      </c>
      <c r="L17" s="383"/>
      <c r="M17" s="384"/>
      <c r="N17" s="385"/>
      <c r="O17" s="386"/>
      <c r="P17" s="387"/>
      <c r="Q17" s="388"/>
    </row>
    <row r="18" spans="1:27" x14ac:dyDescent="0.25">
      <c r="A18" s="389"/>
      <c r="B18" s="5"/>
      <c r="C18" s="376"/>
      <c r="D18" s="377" t="s">
        <v>21</v>
      </c>
      <c r="E18" s="259">
        <v>0</v>
      </c>
      <c r="F18" s="378">
        <f t="shared" si="1"/>
        <v>0</v>
      </c>
      <c r="G18" s="534"/>
      <c r="H18" s="380">
        <v>0</v>
      </c>
      <c r="I18" s="378">
        <f t="shared" si="2"/>
        <v>0</v>
      </c>
      <c r="J18" s="381"/>
      <c r="K18" s="535">
        <f t="shared" si="0"/>
        <v>0</v>
      </c>
      <c r="L18" s="383"/>
      <c r="M18" s="384"/>
      <c r="N18" s="385"/>
      <c r="O18" s="386"/>
      <c r="P18" s="387"/>
      <c r="Q18" s="388"/>
    </row>
    <row r="19" spans="1:27" x14ac:dyDescent="0.25">
      <c r="A19" s="389"/>
      <c r="B19" s="5"/>
      <c r="C19" s="376"/>
      <c r="D19" s="377" t="s">
        <v>21</v>
      </c>
      <c r="E19" s="259">
        <v>0</v>
      </c>
      <c r="F19" s="378">
        <f t="shared" si="1"/>
        <v>0</v>
      </c>
      <c r="G19" s="534"/>
      <c r="H19" s="380">
        <v>0</v>
      </c>
      <c r="I19" s="378">
        <f t="shared" si="2"/>
        <v>0</v>
      </c>
      <c r="J19" s="381"/>
      <c r="K19" s="535">
        <f t="shared" si="0"/>
        <v>0</v>
      </c>
      <c r="L19" s="383"/>
      <c r="M19" s="384"/>
      <c r="N19" s="385"/>
      <c r="O19" s="386"/>
      <c r="P19" s="387"/>
      <c r="Q19" s="388"/>
    </row>
    <row r="20" spans="1:27" x14ac:dyDescent="0.25">
      <c r="A20" s="389"/>
      <c r="B20" s="5"/>
      <c r="C20" s="376"/>
      <c r="D20" s="377" t="s">
        <v>21</v>
      </c>
      <c r="E20" s="259">
        <v>0</v>
      </c>
      <c r="F20" s="378">
        <f t="shared" si="1"/>
        <v>0</v>
      </c>
      <c r="G20" s="534"/>
      <c r="H20" s="380">
        <v>0</v>
      </c>
      <c r="I20" s="378">
        <f t="shared" si="2"/>
        <v>0</v>
      </c>
      <c r="J20" s="381"/>
      <c r="K20" s="535">
        <f t="shared" si="0"/>
        <v>0</v>
      </c>
      <c r="L20" s="383"/>
      <c r="M20" s="384"/>
      <c r="N20" s="385"/>
      <c r="O20" s="386"/>
      <c r="P20" s="387"/>
      <c r="Q20" s="388"/>
    </row>
    <row r="21" spans="1:27" x14ac:dyDescent="0.25">
      <c r="C21" s="157"/>
      <c r="D21" s="157"/>
      <c r="G21" s="157"/>
      <c r="L21" s="383"/>
      <c r="M21" s="384"/>
      <c r="N21" s="385"/>
      <c r="O21" s="386"/>
      <c r="P21" s="387"/>
      <c r="Q21" s="388"/>
    </row>
    <row r="22" spans="1:27" x14ac:dyDescent="0.25">
      <c r="C22" s="157"/>
      <c r="D22" s="157"/>
      <c r="G22" s="157"/>
      <c r="L22" s="383"/>
      <c r="M22" s="384"/>
      <c r="N22" s="385"/>
      <c r="O22" s="386"/>
      <c r="P22" s="387"/>
      <c r="Q22" s="388"/>
    </row>
    <row r="23" spans="1:27" x14ac:dyDescent="0.25">
      <c r="A23" s="389"/>
      <c r="B23" s="5"/>
      <c r="C23" s="376"/>
      <c r="E23" s="259"/>
      <c r="F23" s="378"/>
      <c r="G23" s="534"/>
      <c r="H23" s="380"/>
      <c r="I23" s="378"/>
      <c r="J23" s="381"/>
      <c r="K23" s="535"/>
      <c r="L23" s="383"/>
      <c r="M23" s="384"/>
      <c r="N23" s="385"/>
      <c r="O23" s="386"/>
      <c r="P23" s="387"/>
      <c r="Q23" s="388"/>
    </row>
    <row r="24" spans="1:27" x14ac:dyDescent="0.25">
      <c r="A24" s="389"/>
      <c r="B24" s="5"/>
      <c r="C24" s="376"/>
      <c r="E24" s="259"/>
      <c r="F24" s="378"/>
      <c r="G24" s="534"/>
      <c r="H24" s="380"/>
      <c r="I24" s="378"/>
      <c r="J24" s="381"/>
      <c r="K24" s="535"/>
      <c r="L24" s="383"/>
      <c r="M24" s="384"/>
      <c r="N24" s="385"/>
      <c r="O24" s="386"/>
      <c r="P24" s="387"/>
      <c r="Q24" s="388"/>
    </row>
    <row r="25" spans="1:27" ht="13.8" thickBot="1" x14ac:dyDescent="0.3">
      <c r="A25" s="392"/>
      <c r="B25" s="7"/>
      <c r="C25" s="393"/>
      <c r="E25" s="259"/>
      <c r="F25" s="378"/>
      <c r="G25" s="534"/>
      <c r="H25" s="380"/>
      <c r="I25" s="378"/>
      <c r="J25" s="381"/>
      <c r="K25" s="535"/>
      <c r="L25" s="383"/>
      <c r="M25" s="384"/>
      <c r="N25" s="385"/>
      <c r="O25" s="386"/>
      <c r="P25" s="387"/>
      <c r="Q25" s="388"/>
    </row>
    <row r="26" spans="1:27" ht="13.8" thickTop="1" x14ac:dyDescent="0.25">
      <c r="A26" s="392"/>
      <c r="B26" s="7"/>
      <c r="C26" s="393"/>
      <c r="E26" s="259"/>
      <c r="F26" s="378"/>
      <c r="G26" s="534"/>
      <c r="H26" s="380"/>
      <c r="I26" s="378"/>
      <c r="J26" s="394" t="s">
        <v>30</v>
      </c>
      <c r="K26" s="537">
        <f>SUM(K13:K25)</f>
        <v>56820</v>
      </c>
      <c r="L26" s="383"/>
      <c r="M26" s="384"/>
      <c r="N26" s="385"/>
      <c r="O26" s="386"/>
      <c r="P26" s="387"/>
      <c r="Q26" s="388"/>
    </row>
    <row r="27" spans="1:27" ht="13.8" thickBot="1" x14ac:dyDescent="0.3">
      <c r="A27" s="358" t="s">
        <v>0</v>
      </c>
      <c r="B27" s="359" t="s">
        <v>1</v>
      </c>
      <c r="C27" s="1018" t="s">
        <v>656</v>
      </c>
      <c r="D27" s="1018"/>
      <c r="E27" s="1018"/>
      <c r="F27" s="1018"/>
      <c r="G27" s="1018" t="s">
        <v>34</v>
      </c>
      <c r="H27" s="1018"/>
      <c r="I27" s="1018"/>
      <c r="J27" s="360"/>
      <c r="K27" s="528"/>
      <c r="L27" s="396"/>
      <c r="M27" s="397"/>
      <c r="N27" s="398"/>
      <c r="O27" s="386"/>
      <c r="P27" s="387"/>
      <c r="Q27" s="388"/>
    </row>
    <row r="28" spans="1:27" ht="16.2" thickBot="1" x14ac:dyDescent="0.35">
      <c r="A28" s="530" t="s">
        <v>163</v>
      </c>
      <c r="B28" s="530" t="s">
        <v>162</v>
      </c>
      <c r="C28" s="401" t="s">
        <v>19</v>
      </c>
      <c r="D28" s="402" t="s">
        <v>33</v>
      </c>
      <c r="E28" s="403" t="s">
        <v>35</v>
      </c>
      <c r="F28" s="404" t="s">
        <v>30</v>
      </c>
      <c r="G28" s="538" t="s">
        <v>14</v>
      </c>
      <c r="H28" s="403" t="s">
        <v>35</v>
      </c>
      <c r="I28" s="404" t="s">
        <v>30</v>
      </c>
      <c r="J28" s="369" t="s">
        <v>659</v>
      </c>
      <c r="K28" s="539" t="s">
        <v>38</v>
      </c>
      <c r="L28" s="407"/>
      <c r="M28" s="408"/>
      <c r="N28" s="409"/>
      <c r="O28" s="386"/>
      <c r="P28" s="387"/>
      <c r="Q28" s="388"/>
    </row>
    <row r="29" spans="1:27" ht="13.8" thickTop="1" x14ac:dyDescent="0.25">
      <c r="A29" s="410" t="s">
        <v>884</v>
      </c>
      <c r="B29" s="556" t="s">
        <v>878</v>
      </c>
      <c r="C29" s="376"/>
      <c r="E29" s="259"/>
      <c r="F29" s="378"/>
      <c r="G29" s="534"/>
      <c r="H29" s="380"/>
      <c r="I29" s="378"/>
      <c r="J29" s="381"/>
      <c r="K29" s="535">
        <f t="shared" ref="K29:K35" si="3">F29+I29+J29</f>
        <v>0</v>
      </c>
      <c r="L29" s="383"/>
      <c r="M29" s="384"/>
      <c r="N29" s="385"/>
      <c r="O29" s="386"/>
      <c r="P29" s="387"/>
      <c r="Q29" s="388"/>
      <c r="S29" s="557"/>
      <c r="T29" s="558" t="s">
        <v>825</v>
      </c>
      <c r="U29" s="1083" t="s">
        <v>823</v>
      </c>
      <c r="V29" s="1084"/>
      <c r="W29" s="559" t="s">
        <v>826</v>
      </c>
      <c r="X29" s="558"/>
      <c r="Y29" s="558"/>
      <c r="Z29" s="560"/>
    </row>
    <row r="30" spans="1:27" ht="15.6" x14ac:dyDescent="0.3">
      <c r="A30" s="375" t="s">
        <v>883</v>
      </c>
      <c r="B30" s="5" t="s">
        <v>799</v>
      </c>
      <c r="C30" s="376"/>
      <c r="D30" s="377" t="s">
        <v>21</v>
      </c>
      <c r="E30" s="259">
        <v>0</v>
      </c>
      <c r="F30" s="378">
        <f t="shared" ref="F30:F35" si="4">C30*E30</f>
        <v>0</v>
      </c>
      <c r="G30" s="534"/>
      <c r="H30" s="380">
        <v>0</v>
      </c>
      <c r="I30" s="378">
        <f t="shared" ref="I30:I35" si="5">G30*H30</f>
        <v>0</v>
      </c>
      <c r="J30" s="381">
        <f>+M33</f>
        <v>16430</v>
      </c>
      <c r="K30" s="535">
        <f t="shared" si="3"/>
        <v>16430</v>
      </c>
      <c r="L30" s="383" t="s">
        <v>1153</v>
      </c>
      <c r="M30" s="384"/>
      <c r="N30" s="385"/>
      <c r="O30" s="386"/>
      <c r="P30" s="387"/>
      <c r="Q30" s="388"/>
      <c r="S30" s="561"/>
      <c r="T30" s="562"/>
      <c r="U30" s="563" t="s">
        <v>788</v>
      </c>
      <c r="V30" s="563" t="s">
        <v>789</v>
      </c>
      <c r="W30" s="563" t="s">
        <v>824</v>
      </c>
      <c r="X30" s="562" t="s">
        <v>775</v>
      </c>
      <c r="Y30" s="562" t="s">
        <v>786</v>
      </c>
      <c r="Z30" s="564"/>
      <c r="AA30" s="565"/>
    </row>
    <row r="31" spans="1:27" ht="13.8" x14ac:dyDescent="0.25">
      <c r="A31" s="375" t="s">
        <v>885</v>
      </c>
      <c r="B31" s="5" t="s">
        <v>800</v>
      </c>
      <c r="C31" s="376"/>
      <c r="D31" s="377" t="s">
        <v>21</v>
      </c>
      <c r="E31" s="259">
        <v>0</v>
      </c>
      <c r="F31" s="378">
        <f t="shared" si="4"/>
        <v>0</v>
      </c>
      <c r="G31" s="534"/>
      <c r="H31" s="380">
        <v>0</v>
      </c>
      <c r="I31" s="378">
        <f t="shared" si="5"/>
        <v>0</v>
      </c>
      <c r="J31" s="381">
        <f>+M34</f>
        <v>8850</v>
      </c>
      <c r="K31" s="535">
        <f t="shared" si="3"/>
        <v>8850</v>
      </c>
      <c r="L31" s="383" t="s">
        <v>1154</v>
      </c>
      <c r="M31" s="384"/>
      <c r="N31" s="385"/>
      <c r="O31" s="386"/>
      <c r="P31" s="387"/>
      <c r="Q31" s="388"/>
      <c r="S31" s="566" t="s">
        <v>787</v>
      </c>
      <c r="T31" s="562">
        <v>1</v>
      </c>
      <c r="U31" s="562"/>
      <c r="V31" s="562"/>
      <c r="W31" s="562"/>
      <c r="X31" s="562"/>
      <c r="Y31" s="562">
        <f>U31*V31*W31*0.0000163871*X31</f>
        <v>0</v>
      </c>
      <c r="Z31" s="564"/>
    </row>
    <row r="32" spans="1:27" ht="13.8" x14ac:dyDescent="0.25">
      <c r="A32" s="375"/>
      <c r="B32" s="5"/>
      <c r="C32" s="376"/>
      <c r="D32" s="377" t="s">
        <v>21</v>
      </c>
      <c r="E32" s="259">
        <v>0</v>
      </c>
      <c r="F32" s="378">
        <f t="shared" si="4"/>
        <v>0</v>
      </c>
      <c r="G32" s="534"/>
      <c r="H32" s="380">
        <v>0</v>
      </c>
      <c r="I32" s="378">
        <f t="shared" si="5"/>
        <v>0</v>
      </c>
      <c r="J32" s="381"/>
      <c r="K32" s="535">
        <f t="shared" si="3"/>
        <v>0</v>
      </c>
      <c r="L32" s="1213" t="s">
        <v>1175</v>
      </c>
      <c r="M32" s="384"/>
      <c r="N32" s="385"/>
      <c r="O32" s="386"/>
      <c r="P32" s="387"/>
      <c r="Q32" s="388"/>
      <c r="S32" s="566"/>
      <c r="T32" s="562">
        <v>2</v>
      </c>
      <c r="U32" s="562"/>
      <c r="V32" s="562"/>
      <c r="W32" s="562"/>
      <c r="X32" s="562"/>
      <c r="Y32" s="562">
        <f>U32*V32*W32*0.0000163871*X32</f>
        <v>0</v>
      </c>
      <c r="Z32" s="564"/>
    </row>
    <row r="33" spans="1:26" ht="13.8" x14ac:dyDescent="0.25">
      <c r="A33" s="375"/>
      <c r="B33" s="5"/>
      <c r="C33" s="376"/>
      <c r="D33" s="377" t="s">
        <v>21</v>
      </c>
      <c r="E33" s="259">
        <v>0</v>
      </c>
      <c r="F33" s="378">
        <f t="shared" si="4"/>
        <v>0</v>
      </c>
      <c r="G33" s="534"/>
      <c r="H33" s="380">
        <v>0</v>
      </c>
      <c r="I33" s="378">
        <f t="shared" si="5"/>
        <v>0</v>
      </c>
      <c r="J33" s="381"/>
      <c r="K33" s="535">
        <f t="shared" si="3"/>
        <v>0</v>
      </c>
      <c r="L33" s="383" t="s">
        <v>799</v>
      </c>
      <c r="M33" s="384">
        <v>16430</v>
      </c>
      <c r="N33" s="385"/>
      <c r="O33" s="386"/>
      <c r="P33" s="387"/>
      <c r="Q33" s="388"/>
      <c r="S33" s="566"/>
      <c r="T33" s="562"/>
      <c r="U33" s="562" t="s">
        <v>829</v>
      </c>
      <c r="V33" s="562" t="s">
        <v>830</v>
      </c>
      <c r="W33" s="562" t="s">
        <v>831</v>
      </c>
      <c r="X33" s="562"/>
      <c r="Y33" s="562"/>
      <c r="Z33" s="564"/>
    </row>
    <row r="34" spans="1:26" ht="13.8" x14ac:dyDescent="0.25">
      <c r="A34" s="375"/>
      <c r="B34" s="5"/>
      <c r="C34" s="376"/>
      <c r="D34" s="377" t="s">
        <v>21</v>
      </c>
      <c r="E34" s="259">
        <v>0</v>
      </c>
      <c r="F34" s="378">
        <f t="shared" si="4"/>
        <v>0</v>
      </c>
      <c r="G34" s="534"/>
      <c r="H34" s="380">
        <v>0</v>
      </c>
      <c r="I34" s="378">
        <f t="shared" si="5"/>
        <v>0</v>
      </c>
      <c r="J34" s="381"/>
      <c r="K34" s="535">
        <f t="shared" si="3"/>
        <v>0</v>
      </c>
      <c r="L34" s="383" t="s">
        <v>1176</v>
      </c>
      <c r="M34" s="384">
        <v>8850</v>
      </c>
      <c r="N34" s="385"/>
      <c r="O34" s="386"/>
      <c r="P34" s="387"/>
      <c r="Q34" s="388"/>
      <c r="S34" s="566" t="s">
        <v>790</v>
      </c>
      <c r="T34" s="562"/>
      <c r="U34" s="562"/>
      <c r="V34" s="562"/>
      <c r="W34" s="562"/>
      <c r="X34" s="562"/>
      <c r="Y34" s="562">
        <f>U34*V34*W34*0.028</f>
        <v>0</v>
      </c>
      <c r="Z34" s="564"/>
    </row>
    <row r="35" spans="1:26" ht="13.8" x14ac:dyDescent="0.25">
      <c r="A35" s="375"/>
      <c r="B35" s="5"/>
      <c r="C35" s="376"/>
      <c r="D35" s="377" t="s">
        <v>21</v>
      </c>
      <c r="E35" s="259">
        <v>0</v>
      </c>
      <c r="F35" s="378">
        <f t="shared" si="4"/>
        <v>0</v>
      </c>
      <c r="G35" s="534"/>
      <c r="H35" s="380">
        <v>0</v>
      </c>
      <c r="I35" s="378">
        <f t="shared" si="5"/>
        <v>0</v>
      </c>
      <c r="J35" s="381"/>
      <c r="K35" s="535">
        <f t="shared" si="3"/>
        <v>0</v>
      </c>
      <c r="L35" s="383"/>
      <c r="M35" s="384"/>
      <c r="N35" s="385"/>
      <c r="O35" s="386"/>
      <c r="P35" s="387"/>
      <c r="Q35" s="388"/>
      <c r="S35" s="566" t="s">
        <v>791</v>
      </c>
      <c r="T35" s="562"/>
      <c r="U35" s="562"/>
      <c r="V35" s="562"/>
      <c r="W35" s="562"/>
      <c r="X35" s="562"/>
      <c r="Y35" s="562">
        <f>U35*V35*W35*0.028</f>
        <v>0</v>
      </c>
      <c r="Z35" s="564"/>
    </row>
    <row r="36" spans="1:26" ht="14.4" thickBot="1" x14ac:dyDescent="0.3">
      <c r="A36" s="375"/>
      <c r="B36" s="5"/>
      <c r="C36" s="393"/>
      <c r="E36" s="259"/>
      <c r="F36" s="378"/>
      <c r="G36" s="534"/>
      <c r="H36" s="380"/>
      <c r="I36" s="378"/>
      <c r="J36" s="381"/>
      <c r="K36" s="540"/>
      <c r="L36" s="383"/>
      <c r="M36" s="384"/>
      <c r="N36" s="385"/>
      <c r="O36" s="386"/>
      <c r="P36" s="387"/>
      <c r="Q36" s="388"/>
      <c r="S36" s="566" t="s">
        <v>792</v>
      </c>
      <c r="T36" s="562"/>
      <c r="U36" s="562"/>
      <c r="V36" s="562"/>
      <c r="W36" s="562"/>
      <c r="X36" s="562"/>
      <c r="Y36" s="562">
        <f>U36*V36*W36*0.028*X36</f>
        <v>0</v>
      </c>
      <c r="Z36" s="564"/>
    </row>
    <row r="37" spans="1:26" ht="14.4" thickTop="1" x14ac:dyDescent="0.25">
      <c r="A37" s="392"/>
      <c r="B37" s="5"/>
      <c r="C37" s="393"/>
      <c r="E37" s="259"/>
      <c r="F37" s="378"/>
      <c r="G37" s="534"/>
      <c r="H37" s="380"/>
      <c r="I37" s="378"/>
      <c r="J37" s="394" t="s">
        <v>30</v>
      </c>
      <c r="K37" s="537">
        <f>SUM(K29:K36)</f>
        <v>25280</v>
      </c>
      <c r="L37" s="383"/>
      <c r="M37" s="384"/>
      <c r="N37" s="385"/>
      <c r="O37" s="386"/>
      <c r="P37" s="387"/>
      <c r="Q37" s="388"/>
      <c r="S37" s="566"/>
      <c r="T37" s="562"/>
      <c r="U37" s="562" t="s">
        <v>828</v>
      </c>
      <c r="V37" s="562"/>
      <c r="W37" s="562" t="s">
        <v>827</v>
      </c>
      <c r="X37" s="562"/>
      <c r="Y37" s="562"/>
      <c r="Z37" s="564"/>
    </row>
    <row r="38" spans="1:26" ht="14.4" thickBot="1" x14ac:dyDescent="0.3">
      <c r="A38" s="358" t="s">
        <v>0</v>
      </c>
      <c r="B38" s="359" t="s">
        <v>1</v>
      </c>
      <c r="C38" s="1018" t="s">
        <v>656</v>
      </c>
      <c r="D38" s="1018"/>
      <c r="E38" s="1018"/>
      <c r="F38" s="1018"/>
      <c r="G38" s="1018" t="s">
        <v>34</v>
      </c>
      <c r="H38" s="1018"/>
      <c r="I38" s="1018"/>
      <c r="J38" s="360"/>
      <c r="K38" s="528"/>
      <c r="L38" s="396"/>
      <c r="M38" s="397"/>
      <c r="N38" s="398"/>
      <c r="O38" s="386"/>
      <c r="P38" s="387"/>
      <c r="Q38" s="388"/>
      <c r="S38" s="566" t="s">
        <v>793</v>
      </c>
      <c r="T38" s="562"/>
      <c r="U38" s="567"/>
      <c r="V38" s="562"/>
      <c r="W38" s="568"/>
      <c r="X38" s="562"/>
      <c r="Y38" s="562">
        <f>U38*W38*0.028</f>
        <v>0</v>
      </c>
      <c r="Z38" s="564"/>
    </row>
    <row r="39" spans="1:26" ht="16.2" thickBot="1" x14ac:dyDescent="0.35">
      <c r="A39" s="530" t="s">
        <v>164</v>
      </c>
      <c r="B39" s="530" t="s">
        <v>168</v>
      </c>
      <c r="C39" s="401" t="s">
        <v>19</v>
      </c>
      <c r="D39" s="402" t="s">
        <v>33</v>
      </c>
      <c r="E39" s="403" t="s">
        <v>35</v>
      </c>
      <c r="F39" s="404" t="s">
        <v>30</v>
      </c>
      <c r="G39" s="538" t="s">
        <v>14</v>
      </c>
      <c r="H39" s="403" t="s">
        <v>35</v>
      </c>
      <c r="I39" s="404" t="s">
        <v>30</v>
      </c>
      <c r="J39" s="369" t="s">
        <v>659</v>
      </c>
      <c r="K39" s="539" t="s">
        <v>38</v>
      </c>
      <c r="L39" s="407"/>
      <c r="M39" s="413"/>
      <c r="N39" s="414"/>
      <c r="O39" s="415"/>
      <c r="P39" s="416"/>
      <c r="Q39" s="388"/>
      <c r="S39" s="566" t="s">
        <v>794</v>
      </c>
      <c r="T39" s="562"/>
      <c r="U39" s="562"/>
      <c r="V39" s="562"/>
      <c r="W39" s="562"/>
      <c r="X39" s="562"/>
      <c r="Y39" s="562">
        <f>U39*W39*0.028</f>
        <v>0</v>
      </c>
      <c r="Z39" s="564"/>
    </row>
    <row r="40" spans="1:26" x14ac:dyDescent="0.25">
      <c r="A40" s="410" t="s">
        <v>886</v>
      </c>
      <c r="B40" s="859" t="s">
        <v>1024</v>
      </c>
      <c r="C40" s="860">
        <v>75</v>
      </c>
      <c r="D40" s="839" t="s">
        <v>822</v>
      </c>
      <c r="E40" s="259">
        <f>+N41</f>
        <v>287</v>
      </c>
      <c r="F40" s="378">
        <f t="shared" ref="F40" si="6">C40*E40</f>
        <v>21525</v>
      </c>
      <c r="G40" s="534"/>
      <c r="H40" s="380">
        <v>0</v>
      </c>
      <c r="I40" s="378">
        <f t="shared" ref="I40:I51" si="7">G40*H40</f>
        <v>0</v>
      </c>
      <c r="J40" s="381"/>
      <c r="K40" s="535">
        <f t="shared" ref="K40:K51" si="8">F40+I40+J40</f>
        <v>21525</v>
      </c>
      <c r="L40" s="383"/>
      <c r="M40" s="259" t="s">
        <v>1222</v>
      </c>
      <c r="N40" s="915" t="s">
        <v>1223</v>
      </c>
      <c r="O40" s="914" t="s">
        <v>1224</v>
      </c>
      <c r="P40" s="416"/>
      <c r="Q40" s="388"/>
      <c r="S40" s="561"/>
      <c r="T40" s="562"/>
      <c r="U40" s="562"/>
      <c r="V40" s="562"/>
      <c r="W40" s="562"/>
      <c r="X40" s="562"/>
      <c r="Y40" s="562"/>
      <c r="Z40" s="564"/>
    </row>
    <row r="41" spans="1:26" x14ac:dyDescent="0.25">
      <c r="A41" s="375" t="s">
        <v>887</v>
      </c>
      <c r="B41" s="849" t="s">
        <v>1023</v>
      </c>
      <c r="C41" s="860">
        <v>23</v>
      </c>
      <c r="D41" s="839" t="s">
        <v>822</v>
      </c>
      <c r="E41" s="259">
        <f>+M41</f>
        <v>267</v>
      </c>
      <c r="F41" s="378"/>
      <c r="G41" s="534"/>
      <c r="H41" s="380">
        <v>0</v>
      </c>
      <c r="I41" s="378">
        <f t="shared" si="7"/>
        <v>0</v>
      </c>
      <c r="J41" s="381"/>
      <c r="K41" s="535">
        <f t="shared" si="8"/>
        <v>0</v>
      </c>
      <c r="L41" s="383" t="s">
        <v>1155</v>
      </c>
      <c r="M41" s="261">
        <v>267</v>
      </c>
      <c r="N41" s="912">
        <v>287</v>
      </c>
      <c r="O41" s="913">
        <v>303</v>
      </c>
      <c r="P41" s="416"/>
      <c r="Q41" s="388"/>
      <c r="S41" s="569" t="s">
        <v>890</v>
      </c>
      <c r="T41" s="562"/>
      <c r="U41" s="562"/>
      <c r="V41" s="562"/>
      <c r="W41" s="562"/>
      <c r="X41" s="562"/>
      <c r="Y41" s="562">
        <f>U41*W41*0.028</f>
        <v>0</v>
      </c>
      <c r="Z41" s="564"/>
    </row>
    <row r="42" spans="1:26" x14ac:dyDescent="0.25">
      <c r="A42" s="375" t="s">
        <v>888</v>
      </c>
      <c r="B42" s="849" t="s">
        <v>1022</v>
      </c>
      <c r="C42" s="860">
        <v>33</v>
      </c>
      <c r="D42" s="839" t="s">
        <v>822</v>
      </c>
      <c r="E42" s="259">
        <f>E41</f>
        <v>267</v>
      </c>
      <c r="F42" s="378"/>
      <c r="G42" s="534"/>
      <c r="H42" s="380">
        <v>0</v>
      </c>
      <c r="I42" s="378">
        <f t="shared" si="7"/>
        <v>0</v>
      </c>
      <c r="J42" s="381"/>
      <c r="K42" s="535">
        <f t="shared" si="8"/>
        <v>0</v>
      </c>
      <c r="L42" s="383" t="s">
        <v>1101</v>
      </c>
      <c r="M42" s="261"/>
      <c r="N42" s="426"/>
      <c r="O42" s="415"/>
      <c r="P42" s="416"/>
      <c r="Q42" s="388"/>
      <c r="S42" s="561"/>
      <c r="T42" s="562"/>
      <c r="U42" s="562"/>
      <c r="V42" s="562"/>
      <c r="W42" s="562"/>
      <c r="X42" s="562"/>
      <c r="Y42" s="562"/>
      <c r="Z42" s="564"/>
    </row>
    <row r="43" spans="1:26" x14ac:dyDescent="0.25">
      <c r="A43" s="375" t="s">
        <v>889</v>
      </c>
      <c r="B43" s="864" t="s">
        <v>1164</v>
      </c>
      <c r="C43" s="860"/>
      <c r="D43" s="839" t="s">
        <v>822</v>
      </c>
      <c r="E43" s="259">
        <f>E40</f>
        <v>287</v>
      </c>
      <c r="F43" s="378">
        <f t="shared" ref="F43:F51" si="9">C43*E43</f>
        <v>0</v>
      </c>
      <c r="G43" s="534"/>
      <c r="H43" s="380">
        <v>0</v>
      </c>
      <c r="I43" s="378">
        <f t="shared" si="7"/>
        <v>0</v>
      </c>
      <c r="J43" s="381"/>
      <c r="K43" s="535">
        <f t="shared" si="8"/>
        <v>0</v>
      </c>
      <c r="L43" s="383" t="s">
        <v>1156</v>
      </c>
      <c r="M43" s="261"/>
      <c r="N43" s="426"/>
      <c r="O43" s="415"/>
      <c r="P43" s="416"/>
      <c r="Q43" s="388"/>
      <c r="S43" s="561"/>
      <c r="T43" s="562"/>
      <c r="U43" s="562"/>
      <c r="V43" s="562"/>
      <c r="W43" s="562"/>
      <c r="X43" s="562"/>
      <c r="Y43" s="562"/>
      <c r="Z43" s="564"/>
    </row>
    <row r="44" spans="1:26" x14ac:dyDescent="0.25">
      <c r="A44" s="375" t="s">
        <v>889</v>
      </c>
      <c r="B44" s="849" t="s">
        <v>1025</v>
      </c>
      <c r="C44" s="860">
        <v>5</v>
      </c>
      <c r="D44" s="839" t="s">
        <v>822</v>
      </c>
      <c r="E44" s="259">
        <f>E43</f>
        <v>287</v>
      </c>
      <c r="F44" s="378">
        <f t="shared" ref="F44:F48" si="10">C44*E44</f>
        <v>1435</v>
      </c>
      <c r="G44" s="534"/>
      <c r="H44" s="380">
        <v>0</v>
      </c>
      <c r="I44" s="378">
        <f t="shared" ref="I44:I45" si="11">G44*H44</f>
        <v>0</v>
      </c>
      <c r="J44" s="381"/>
      <c r="K44" s="535">
        <f t="shared" ref="K44:K45" si="12">F44+I44+J44</f>
        <v>1435</v>
      </c>
      <c r="L44" s="383"/>
      <c r="M44" s="261"/>
      <c r="N44" s="426"/>
      <c r="O44" s="415"/>
      <c r="P44" s="416"/>
      <c r="Q44" s="388"/>
      <c r="S44" s="561"/>
      <c r="T44" s="562"/>
      <c r="U44" s="562"/>
      <c r="V44" s="562"/>
      <c r="W44" s="562"/>
      <c r="X44" s="562"/>
      <c r="Y44" s="562"/>
      <c r="Z44" s="564"/>
    </row>
    <row r="45" spans="1:26" x14ac:dyDescent="0.25">
      <c r="A45" s="375" t="s">
        <v>889</v>
      </c>
      <c r="B45" s="849" t="s">
        <v>1018</v>
      </c>
      <c r="C45" s="860">
        <f>(C40)*10%</f>
        <v>7.5</v>
      </c>
      <c r="D45" s="839" t="s">
        <v>822</v>
      </c>
      <c r="E45" s="259">
        <f>E44</f>
        <v>287</v>
      </c>
      <c r="F45" s="378">
        <f t="shared" si="10"/>
        <v>2152.5</v>
      </c>
      <c r="G45" s="534"/>
      <c r="H45" s="380">
        <v>0</v>
      </c>
      <c r="I45" s="378">
        <f t="shared" si="11"/>
        <v>0</v>
      </c>
      <c r="J45" s="381"/>
      <c r="K45" s="535">
        <f t="shared" si="12"/>
        <v>2152.5</v>
      </c>
      <c r="L45" s="383"/>
      <c r="M45" s="261"/>
      <c r="N45" s="426"/>
      <c r="O45" s="415"/>
      <c r="P45" s="416"/>
      <c r="Q45" s="388"/>
      <c r="S45" s="561"/>
      <c r="T45" s="562"/>
      <c r="U45" s="562"/>
      <c r="V45" s="562"/>
      <c r="W45" s="562"/>
      <c r="X45" s="562"/>
      <c r="Y45" s="562"/>
      <c r="Z45" s="564"/>
    </row>
    <row r="46" spans="1:26" x14ac:dyDescent="0.25">
      <c r="A46" s="375" t="s">
        <v>889</v>
      </c>
      <c r="B46" s="849" t="s">
        <v>1019</v>
      </c>
      <c r="C46" s="860">
        <f>(C41+C42)*10%</f>
        <v>5.6000000000000005</v>
      </c>
      <c r="D46" s="839" t="s">
        <v>822</v>
      </c>
      <c r="E46" s="259">
        <f>E40</f>
        <v>287</v>
      </c>
      <c r="F46" s="378"/>
      <c r="G46" s="534"/>
      <c r="H46" s="380">
        <v>0</v>
      </c>
      <c r="I46" s="378">
        <f t="shared" ref="I46:I48" si="13">G46*H46</f>
        <v>0</v>
      </c>
      <c r="J46" s="381"/>
      <c r="K46" s="535">
        <f t="shared" ref="K46:K48" si="14">F46+I46+J46</f>
        <v>0</v>
      </c>
      <c r="L46" s="383"/>
      <c r="M46" s="261"/>
      <c r="N46" s="426"/>
      <c r="O46" s="415"/>
      <c r="P46" s="416"/>
      <c r="Q46" s="388"/>
      <c r="S46" s="561"/>
      <c r="T46" s="562"/>
      <c r="U46" s="562"/>
      <c r="V46" s="562"/>
      <c r="W46" s="562"/>
      <c r="X46" s="562"/>
      <c r="Y46" s="562"/>
      <c r="Z46" s="564"/>
    </row>
    <row r="47" spans="1:26" x14ac:dyDescent="0.25">
      <c r="A47" s="375" t="s">
        <v>889</v>
      </c>
      <c r="B47" s="849" t="s">
        <v>798</v>
      </c>
      <c r="C47" s="860">
        <f>+C40</f>
        <v>75</v>
      </c>
      <c r="D47" s="839" t="s">
        <v>822</v>
      </c>
      <c r="E47" s="259">
        <v>3</v>
      </c>
      <c r="F47" s="378">
        <f t="shared" si="10"/>
        <v>225</v>
      </c>
      <c r="G47" s="534"/>
      <c r="H47" s="380">
        <v>0</v>
      </c>
      <c r="I47" s="378">
        <f t="shared" si="13"/>
        <v>0</v>
      </c>
      <c r="J47" s="381"/>
      <c r="K47" s="535">
        <f t="shared" si="14"/>
        <v>225</v>
      </c>
      <c r="L47" s="383"/>
      <c r="M47" s="261"/>
      <c r="N47" s="426"/>
      <c r="O47" s="415"/>
      <c r="P47" s="416"/>
      <c r="Q47" s="388"/>
      <c r="S47" s="561"/>
      <c r="T47" s="562"/>
      <c r="U47" s="562"/>
      <c r="V47" s="562"/>
      <c r="W47" s="562"/>
      <c r="X47" s="562"/>
      <c r="Y47" s="562"/>
      <c r="Z47" s="564"/>
    </row>
    <row r="48" spans="1:26" x14ac:dyDescent="0.25">
      <c r="A48" s="375" t="s">
        <v>889</v>
      </c>
      <c r="B48" s="849" t="s">
        <v>1020</v>
      </c>
      <c r="C48" s="860">
        <f>C47/16</f>
        <v>4.6875</v>
      </c>
      <c r="D48" s="839" t="s">
        <v>822</v>
      </c>
      <c r="E48" s="259">
        <v>270</v>
      </c>
      <c r="F48" s="378">
        <f t="shared" si="10"/>
        <v>1265.625</v>
      </c>
      <c r="G48" s="534"/>
      <c r="H48" s="380">
        <v>0</v>
      </c>
      <c r="I48" s="378">
        <f t="shared" si="13"/>
        <v>0</v>
      </c>
      <c r="J48" s="381"/>
      <c r="K48" s="535">
        <f t="shared" si="14"/>
        <v>1265.625</v>
      </c>
      <c r="L48" s="383"/>
      <c r="M48" s="261"/>
      <c r="N48" s="426"/>
      <c r="O48" s="415"/>
      <c r="P48" s="416"/>
      <c r="Q48" s="958"/>
      <c r="S48" s="561"/>
      <c r="T48" s="562"/>
      <c r="U48" s="562"/>
      <c r="V48" s="562"/>
      <c r="W48" s="562"/>
      <c r="X48" s="562"/>
      <c r="Y48" s="562"/>
      <c r="Z48" s="564"/>
    </row>
    <row r="49" spans="1:26" x14ac:dyDescent="0.25">
      <c r="A49" s="375" t="s">
        <v>889</v>
      </c>
      <c r="B49" s="849" t="s">
        <v>1021</v>
      </c>
      <c r="C49" s="860">
        <f>C47</f>
        <v>75</v>
      </c>
      <c r="D49" s="839" t="s">
        <v>822</v>
      </c>
      <c r="E49" s="259"/>
      <c r="F49" s="378">
        <f t="shared" ref="F49" si="15">C49*E49</f>
        <v>0</v>
      </c>
      <c r="G49" s="534"/>
      <c r="H49" s="380">
        <v>0</v>
      </c>
      <c r="I49" s="378">
        <f t="shared" ref="I49" si="16">G49*H49</f>
        <v>0</v>
      </c>
      <c r="J49" s="381"/>
      <c r="K49" s="535">
        <f t="shared" ref="K49" si="17">F49+I49+J49</f>
        <v>0</v>
      </c>
      <c r="L49" s="383"/>
      <c r="M49" s="261"/>
      <c r="N49" s="426"/>
      <c r="O49" s="415"/>
      <c r="P49" s="416"/>
      <c r="Q49" s="388"/>
      <c r="S49" s="561"/>
      <c r="T49" s="562"/>
      <c r="U49" s="562"/>
      <c r="V49" s="562"/>
      <c r="W49" s="562"/>
      <c r="X49" s="562"/>
      <c r="Y49" s="562"/>
      <c r="Z49" s="564"/>
    </row>
    <row r="50" spans="1:26" ht="15.6" x14ac:dyDescent="0.3">
      <c r="A50" s="375"/>
      <c r="B50" s="5"/>
      <c r="C50" s="376"/>
      <c r="D50" s="377" t="s">
        <v>21</v>
      </c>
      <c r="E50" s="259">
        <v>0</v>
      </c>
      <c r="F50" s="378">
        <f t="shared" si="9"/>
        <v>0</v>
      </c>
      <c r="G50" s="534"/>
      <c r="H50" s="380">
        <v>0</v>
      </c>
      <c r="I50" s="378">
        <f t="shared" si="7"/>
        <v>0</v>
      </c>
      <c r="J50" s="381"/>
      <c r="K50" s="535">
        <f t="shared" si="8"/>
        <v>0</v>
      </c>
      <c r="L50" s="383"/>
      <c r="M50" s="261"/>
      <c r="N50" s="426"/>
      <c r="O50" s="415"/>
      <c r="P50" s="416"/>
      <c r="Q50" s="388"/>
      <c r="S50" s="561"/>
      <c r="T50" s="562"/>
      <c r="U50" s="562"/>
      <c r="V50" s="562"/>
      <c r="W50" s="570" t="s">
        <v>795</v>
      </c>
      <c r="X50" s="570"/>
      <c r="Y50" s="571">
        <f>Y38+Y39</f>
        <v>0</v>
      </c>
      <c r="Z50" s="564"/>
    </row>
    <row r="51" spans="1:26" ht="16.2" thickBot="1" x14ac:dyDescent="0.35">
      <c r="A51" s="392" t="s">
        <v>889</v>
      </c>
      <c r="B51" s="417" t="s">
        <v>798</v>
      </c>
      <c r="C51" s="572"/>
      <c r="D51" s="377" t="s">
        <v>822</v>
      </c>
      <c r="E51" s="259">
        <v>3</v>
      </c>
      <c r="F51" s="378">
        <f t="shared" si="9"/>
        <v>0</v>
      </c>
      <c r="G51" s="534"/>
      <c r="H51" s="380">
        <v>0</v>
      </c>
      <c r="I51" s="378">
        <f t="shared" si="7"/>
        <v>0</v>
      </c>
      <c r="J51" s="381"/>
      <c r="K51" s="535">
        <f t="shared" si="8"/>
        <v>0</v>
      </c>
      <c r="L51" s="383"/>
      <c r="M51" s="261"/>
      <c r="N51" s="426"/>
      <c r="O51" s="415"/>
      <c r="P51" s="416"/>
      <c r="Q51" s="388"/>
      <c r="S51" s="561"/>
      <c r="T51" s="562"/>
      <c r="U51" s="562"/>
      <c r="V51" s="562"/>
      <c r="W51" s="570" t="s">
        <v>796</v>
      </c>
      <c r="X51" s="570"/>
      <c r="Y51" s="571">
        <f>Y31+Y32+Y34</f>
        <v>0</v>
      </c>
      <c r="Z51" s="564"/>
    </row>
    <row r="52" spans="1:26" ht="16.2" thickTop="1" x14ac:dyDescent="0.3">
      <c r="A52" s="392"/>
      <c r="B52" s="417"/>
      <c r="C52" s="393"/>
      <c r="E52" s="259"/>
      <c r="F52" s="378"/>
      <c r="G52" s="534"/>
      <c r="H52" s="380"/>
      <c r="I52" s="378"/>
      <c r="J52" s="394" t="s">
        <v>30</v>
      </c>
      <c r="K52" s="537">
        <f>SUM(K40:K51)</f>
        <v>26603.125</v>
      </c>
      <c r="L52" s="383"/>
      <c r="M52" s="261"/>
      <c r="N52" s="385"/>
      <c r="O52" s="386"/>
      <c r="P52" s="387"/>
      <c r="Q52" s="388"/>
      <c r="S52" s="561"/>
      <c r="T52" s="562"/>
      <c r="U52" s="562"/>
      <c r="V52" s="562"/>
      <c r="W52" s="570" t="s">
        <v>797</v>
      </c>
      <c r="X52" s="570"/>
      <c r="Y52" s="571">
        <f>Y35+Y36</f>
        <v>0</v>
      </c>
      <c r="Z52" s="564"/>
    </row>
    <row r="53" spans="1:26" ht="16.2" thickBot="1" x14ac:dyDescent="0.35">
      <c r="A53" s="358" t="s">
        <v>0</v>
      </c>
      <c r="B53" s="359" t="s">
        <v>1</v>
      </c>
      <c r="C53" s="1018" t="s">
        <v>656</v>
      </c>
      <c r="D53" s="1018"/>
      <c r="E53" s="1018"/>
      <c r="F53" s="1018"/>
      <c r="G53" s="1018" t="s">
        <v>34</v>
      </c>
      <c r="H53" s="1018"/>
      <c r="I53" s="1018"/>
      <c r="J53" s="360"/>
      <c r="K53" s="528"/>
      <c r="L53" s="396"/>
      <c r="M53" s="360"/>
      <c r="N53" s="398"/>
      <c r="O53" s="386"/>
      <c r="P53" s="387"/>
      <c r="Q53" s="388"/>
      <c r="S53" s="573"/>
      <c r="T53" s="574"/>
      <c r="U53" s="574"/>
      <c r="V53" s="574"/>
      <c r="W53" s="575" t="s">
        <v>832</v>
      </c>
      <c r="X53" s="574"/>
      <c r="Y53" s="576">
        <f>Y41</f>
        <v>0</v>
      </c>
      <c r="Z53" s="577"/>
    </row>
    <row r="54" spans="1:26" ht="16.2" thickBot="1" x14ac:dyDescent="0.35">
      <c r="A54" s="530" t="s">
        <v>165</v>
      </c>
      <c r="B54" s="530" t="s">
        <v>169</v>
      </c>
      <c r="C54" s="401" t="s">
        <v>19</v>
      </c>
      <c r="D54" s="402" t="s">
        <v>33</v>
      </c>
      <c r="E54" s="403" t="s">
        <v>35</v>
      </c>
      <c r="F54" s="404" t="s">
        <v>30</v>
      </c>
      <c r="G54" s="538" t="s">
        <v>14</v>
      </c>
      <c r="H54" s="403" t="s">
        <v>35</v>
      </c>
      <c r="I54" s="404" t="s">
        <v>30</v>
      </c>
      <c r="J54" s="369" t="s">
        <v>659</v>
      </c>
      <c r="K54" s="539" t="s">
        <v>38</v>
      </c>
      <c r="L54" s="407"/>
      <c r="M54" s="413"/>
      <c r="N54" s="409"/>
      <c r="O54" s="386"/>
      <c r="P54" s="416"/>
      <c r="Q54" s="388"/>
    </row>
    <row r="55" spans="1:26" x14ac:dyDescent="0.25">
      <c r="A55" s="410"/>
      <c r="B55" s="411"/>
      <c r="C55" s="376"/>
      <c r="D55" s="377" t="s">
        <v>21</v>
      </c>
      <c r="E55" s="259">
        <v>0</v>
      </c>
      <c r="F55" s="378">
        <f t="shared" ref="F55:F63" si="18">C55*E55</f>
        <v>0</v>
      </c>
      <c r="G55" s="534"/>
      <c r="H55" s="380">
        <v>0</v>
      </c>
      <c r="I55" s="378">
        <f t="shared" ref="I55:I63" si="19">G55*H55</f>
        <v>0</v>
      </c>
      <c r="J55" s="381"/>
      <c r="K55" s="535">
        <f t="shared" ref="K55:K63" si="20">F55+I55+J55</f>
        <v>0</v>
      </c>
      <c r="L55" s="383"/>
      <c r="M55" s="261"/>
      <c r="N55" s="385"/>
      <c r="O55" s="386"/>
      <c r="P55" s="387"/>
      <c r="Q55" s="388"/>
    </row>
    <row r="56" spans="1:26" x14ac:dyDescent="0.25">
      <c r="A56" s="375"/>
      <c r="B56" s="849" t="s">
        <v>875</v>
      </c>
      <c r="C56" s="861">
        <v>6395</v>
      </c>
      <c r="D56" s="377" t="s">
        <v>732</v>
      </c>
      <c r="E56" s="259">
        <v>0</v>
      </c>
      <c r="F56" s="378">
        <f t="shared" si="18"/>
        <v>0</v>
      </c>
      <c r="G56" s="534"/>
      <c r="H56" s="380">
        <v>0</v>
      </c>
      <c r="I56" s="378">
        <f t="shared" si="19"/>
        <v>0</v>
      </c>
      <c r="J56" s="381">
        <f>+M57</f>
        <v>10447.200000000001</v>
      </c>
      <c r="K56" s="535">
        <f t="shared" si="20"/>
        <v>10447.200000000001</v>
      </c>
      <c r="L56" s="383" t="s">
        <v>1100</v>
      </c>
      <c r="M56" s="261"/>
      <c r="N56" s="385"/>
      <c r="O56" s="386"/>
      <c r="P56" s="387"/>
      <c r="Q56" s="388"/>
    </row>
    <row r="57" spans="1:26" x14ac:dyDescent="0.25">
      <c r="A57" s="375"/>
      <c r="B57" s="849" t="s">
        <v>1034</v>
      </c>
      <c r="C57" s="838">
        <v>438</v>
      </c>
      <c r="D57" s="377" t="s">
        <v>732</v>
      </c>
      <c r="E57" s="259">
        <v>0</v>
      </c>
      <c r="F57" s="378">
        <f t="shared" si="18"/>
        <v>0</v>
      </c>
      <c r="G57" s="534"/>
      <c r="H57" s="380">
        <v>0</v>
      </c>
      <c r="I57" s="378">
        <f t="shared" si="19"/>
        <v>0</v>
      </c>
      <c r="J57" s="381"/>
      <c r="K57" s="535">
        <f t="shared" si="20"/>
        <v>0</v>
      </c>
      <c r="L57" s="383" t="s">
        <v>1157</v>
      </c>
      <c r="M57" s="261">
        <v>10447.200000000001</v>
      </c>
      <c r="N57" s="385" t="s">
        <v>1221</v>
      </c>
      <c r="O57" s="386"/>
      <c r="P57" s="387"/>
      <c r="Q57" s="388"/>
      <c r="R57" s="325" t="s">
        <v>1160</v>
      </c>
      <c r="S57" s="325"/>
      <c r="T57" s="325" t="s">
        <v>1233</v>
      </c>
      <c r="U57" s="325" t="s">
        <v>1234</v>
      </c>
    </row>
    <row r="58" spans="1:26" x14ac:dyDescent="0.25">
      <c r="A58" s="375"/>
      <c r="B58" s="849" t="s">
        <v>1028</v>
      </c>
      <c r="C58" s="838">
        <v>2143</v>
      </c>
      <c r="D58" s="377" t="s">
        <v>732</v>
      </c>
      <c r="E58" s="259">
        <v>0</v>
      </c>
      <c r="F58" s="378">
        <f t="shared" si="18"/>
        <v>0</v>
      </c>
      <c r="G58" s="534"/>
      <c r="H58" s="380">
        <v>0</v>
      </c>
      <c r="I58" s="378">
        <f t="shared" si="19"/>
        <v>0</v>
      </c>
      <c r="J58" s="381"/>
      <c r="K58" s="535">
        <f t="shared" si="20"/>
        <v>0</v>
      </c>
      <c r="L58" s="383" t="s">
        <v>1158</v>
      </c>
      <c r="M58" s="261"/>
      <c r="N58" s="385"/>
      <c r="O58" s="386"/>
      <c r="P58" s="387"/>
      <c r="Q58" s="388"/>
      <c r="R58" s="157" t="s">
        <v>1226</v>
      </c>
      <c r="S58" s="282">
        <v>118105.35</v>
      </c>
    </row>
    <row r="59" spans="1:26" x14ac:dyDescent="0.25">
      <c r="A59" s="375"/>
      <c r="B59" s="849" t="s">
        <v>1033</v>
      </c>
      <c r="C59" s="861">
        <f>C56+C57</f>
        <v>6833</v>
      </c>
      <c r="D59" s="377" t="s">
        <v>732</v>
      </c>
      <c r="E59" s="259">
        <v>0</v>
      </c>
      <c r="F59" s="378">
        <f t="shared" si="18"/>
        <v>0</v>
      </c>
      <c r="G59" s="534"/>
      <c r="H59" s="380">
        <v>0</v>
      </c>
      <c r="I59" s="378">
        <f t="shared" si="19"/>
        <v>0</v>
      </c>
      <c r="J59" s="381"/>
      <c r="K59" s="535">
        <f t="shared" si="20"/>
        <v>0</v>
      </c>
      <c r="L59" s="383" t="s">
        <v>1101</v>
      </c>
      <c r="M59" s="261"/>
      <c r="N59" s="385"/>
      <c r="O59" s="386"/>
      <c r="P59" s="387"/>
      <c r="Q59" s="388"/>
      <c r="R59" s="157" t="s">
        <v>1231</v>
      </c>
      <c r="S59" s="910">
        <f>+C40*E40*1.1</f>
        <v>23677.500000000004</v>
      </c>
      <c r="T59" s="910"/>
      <c r="U59" s="910">
        <f>+S59</f>
        <v>23677.500000000004</v>
      </c>
    </row>
    <row r="60" spans="1:26" ht="26.4" x14ac:dyDescent="0.25">
      <c r="A60" s="375"/>
      <c r="B60" s="5"/>
      <c r="C60" s="376"/>
      <c r="D60" s="377" t="s">
        <v>732</v>
      </c>
      <c r="E60" s="259">
        <v>0</v>
      </c>
      <c r="F60" s="378">
        <f t="shared" ref="F60:F61" si="21">C60*E60</f>
        <v>0</v>
      </c>
      <c r="G60" s="534"/>
      <c r="H60" s="380">
        <v>0</v>
      </c>
      <c r="I60" s="378">
        <f t="shared" ref="I60:I61" si="22">G60*H60</f>
        <v>0</v>
      </c>
      <c r="J60" s="381"/>
      <c r="K60" s="535">
        <f t="shared" ref="K60:K61" si="23">F60+I60+J60</f>
        <v>0</v>
      </c>
      <c r="L60" s="383" t="s">
        <v>1160</v>
      </c>
      <c r="M60" s="261">
        <v>118105.35</v>
      </c>
      <c r="N60" s="878" t="s">
        <v>1220</v>
      </c>
      <c r="O60" s="386"/>
      <c r="P60" s="387"/>
      <c r="Q60" s="388"/>
      <c r="R60" s="157" t="s">
        <v>1232</v>
      </c>
      <c r="S60" s="910">
        <f>+C43*E43*1.1+C44*E44*1.1</f>
        <v>1578.5000000000002</v>
      </c>
      <c r="T60" s="157" t="s">
        <v>1230</v>
      </c>
    </row>
    <row r="61" spans="1:26" x14ac:dyDescent="0.25">
      <c r="A61" s="375"/>
      <c r="B61" s="5"/>
      <c r="C61" s="376"/>
      <c r="D61" s="377" t="s">
        <v>21</v>
      </c>
      <c r="E61" s="259">
        <v>0</v>
      </c>
      <c r="F61" s="378">
        <f t="shared" si="21"/>
        <v>0</v>
      </c>
      <c r="G61" s="534"/>
      <c r="H61" s="380">
        <v>0</v>
      </c>
      <c r="I61" s="378">
        <f t="shared" si="22"/>
        <v>0</v>
      </c>
      <c r="J61" s="381"/>
      <c r="K61" s="535">
        <f t="shared" si="23"/>
        <v>0</v>
      </c>
      <c r="L61" s="868" t="s">
        <v>1311</v>
      </c>
      <c r="M61" s="261"/>
      <c r="N61" s="385"/>
      <c r="O61" s="386"/>
      <c r="P61" s="387"/>
      <c r="Q61" s="388"/>
      <c r="R61" s="157" t="s">
        <v>754</v>
      </c>
      <c r="S61" s="157" t="s">
        <v>1230</v>
      </c>
      <c r="T61" s="308"/>
      <c r="U61" s="308">
        <f>+K79</f>
        <v>14977.625</v>
      </c>
    </row>
    <row r="62" spans="1:26" x14ac:dyDescent="0.25">
      <c r="A62" s="375"/>
      <c r="B62" s="5"/>
      <c r="C62" s="376"/>
      <c r="D62" s="377" t="s">
        <v>732</v>
      </c>
      <c r="E62" s="259">
        <v>0</v>
      </c>
      <c r="F62" s="378">
        <f t="shared" si="18"/>
        <v>0</v>
      </c>
      <c r="G62" s="534"/>
      <c r="H62" s="380">
        <v>0</v>
      </c>
      <c r="I62" s="378">
        <f t="shared" si="19"/>
        <v>0</v>
      </c>
      <c r="J62" s="381"/>
      <c r="K62" s="535">
        <f t="shared" si="20"/>
        <v>0</v>
      </c>
      <c r="L62" s="383" t="s">
        <v>1312</v>
      </c>
      <c r="M62" s="261">
        <v>24405</v>
      </c>
      <c r="N62" s="385"/>
      <c r="O62" s="386"/>
      <c r="P62" s="387"/>
      <c r="Q62" s="388"/>
      <c r="R62" s="157" t="s">
        <v>56</v>
      </c>
      <c r="S62" s="157" t="s">
        <v>1230</v>
      </c>
      <c r="T62" s="308"/>
      <c r="U62" s="308">
        <f>+K80</f>
        <v>8397.6687500000007</v>
      </c>
    </row>
    <row r="63" spans="1:26" x14ac:dyDescent="0.25">
      <c r="A63" s="375"/>
      <c r="B63" s="5"/>
      <c r="C63" s="376"/>
      <c r="D63" s="377" t="s">
        <v>21</v>
      </c>
      <c r="E63" s="259">
        <v>0</v>
      </c>
      <c r="F63" s="378">
        <f t="shared" si="18"/>
        <v>0</v>
      </c>
      <c r="G63" s="534"/>
      <c r="H63" s="380">
        <v>0</v>
      </c>
      <c r="I63" s="378">
        <f t="shared" si="19"/>
        <v>0</v>
      </c>
      <c r="J63" s="381"/>
      <c r="K63" s="535">
        <f t="shared" si="20"/>
        <v>0</v>
      </c>
      <c r="L63" s="383" t="s">
        <v>1313</v>
      </c>
      <c r="M63" s="261">
        <v>3700</v>
      </c>
      <c r="N63" s="385"/>
      <c r="O63" s="386"/>
      <c r="P63" s="387"/>
      <c r="Q63" s="388"/>
      <c r="R63" s="157" t="s">
        <v>1227</v>
      </c>
      <c r="S63" s="157" t="s">
        <v>1230</v>
      </c>
      <c r="U63" s="308">
        <f>+M57</f>
        <v>10447.200000000001</v>
      </c>
    </row>
    <row r="64" spans="1:26" ht="13.8" thickBot="1" x14ac:dyDescent="0.3">
      <c r="A64" s="392"/>
      <c r="B64" s="417"/>
      <c r="C64" s="393"/>
      <c r="E64" s="259"/>
      <c r="F64" s="378"/>
      <c r="G64" s="534"/>
      <c r="H64" s="380"/>
      <c r="I64" s="378"/>
      <c r="J64" s="381"/>
      <c r="K64" s="540"/>
      <c r="L64" s="383"/>
      <c r="M64" s="941">
        <f>SUM(M62:M63)</f>
        <v>28105</v>
      </c>
      <c r="N64" s="385"/>
      <c r="O64" s="386"/>
      <c r="P64" s="387"/>
      <c r="Q64" s="388"/>
      <c r="R64" s="157" t="s">
        <v>1228</v>
      </c>
      <c r="S64" s="157" t="s">
        <v>1230</v>
      </c>
    </row>
    <row r="65" spans="1:21" ht="13.8" thickTop="1" x14ac:dyDescent="0.25">
      <c r="A65" s="392"/>
      <c r="B65" s="417"/>
      <c r="C65" s="393"/>
      <c r="E65" s="259"/>
      <c r="F65" s="378"/>
      <c r="G65" s="534"/>
      <c r="H65" s="380"/>
      <c r="I65" s="378"/>
      <c r="J65" s="394" t="s">
        <v>30</v>
      </c>
      <c r="K65" s="537">
        <f>SUM(K55:K64)</f>
        <v>10447.200000000001</v>
      </c>
      <c r="L65" s="383"/>
      <c r="M65" s="261"/>
      <c r="N65" s="426"/>
      <c r="O65" s="441"/>
      <c r="P65" s="442"/>
      <c r="Q65" s="388"/>
      <c r="R65" s="157" t="s">
        <v>55</v>
      </c>
      <c r="S65" s="157" t="s">
        <v>1230</v>
      </c>
      <c r="T65" s="282">
        <v>41050</v>
      </c>
      <c r="U65" s="282"/>
    </row>
    <row r="66" spans="1:21" ht="13.8" thickBot="1" x14ac:dyDescent="0.3">
      <c r="A66" s="358" t="s">
        <v>0</v>
      </c>
      <c r="B66" s="359" t="s">
        <v>1</v>
      </c>
      <c r="C66" s="1018" t="s">
        <v>656</v>
      </c>
      <c r="D66" s="1018"/>
      <c r="E66" s="1018"/>
      <c r="F66" s="1018"/>
      <c r="G66" s="1018" t="s">
        <v>34</v>
      </c>
      <c r="H66" s="1018"/>
      <c r="I66" s="1018"/>
      <c r="J66" s="360"/>
      <c r="K66" s="528"/>
      <c r="L66" s="396"/>
      <c r="M66" s="360"/>
      <c r="N66" s="443"/>
      <c r="O66" s="441"/>
      <c r="P66" s="442"/>
      <c r="Q66" s="388"/>
      <c r="R66" s="157" t="s">
        <v>1229</v>
      </c>
      <c r="S66" s="157" t="s">
        <v>1230</v>
      </c>
      <c r="T66" s="282">
        <v>8850</v>
      </c>
      <c r="U66" s="282"/>
    </row>
    <row r="67" spans="1:21" ht="16.2" thickBot="1" x14ac:dyDescent="0.35">
      <c r="A67" s="530" t="s">
        <v>166</v>
      </c>
      <c r="B67" s="530" t="s">
        <v>170</v>
      </c>
      <c r="C67" s="401" t="s">
        <v>19</v>
      </c>
      <c r="D67" s="402" t="s">
        <v>33</v>
      </c>
      <c r="E67" s="403" t="s">
        <v>35</v>
      </c>
      <c r="F67" s="404" t="s">
        <v>30</v>
      </c>
      <c r="G67" s="538" t="s">
        <v>14</v>
      </c>
      <c r="H67" s="403" t="s">
        <v>35</v>
      </c>
      <c r="I67" s="404" t="s">
        <v>30</v>
      </c>
      <c r="J67" s="369" t="s">
        <v>659</v>
      </c>
      <c r="K67" s="539" t="s">
        <v>38</v>
      </c>
      <c r="L67" s="407"/>
      <c r="M67" s="413"/>
      <c r="N67" s="414"/>
      <c r="O67" s="415"/>
      <c r="P67" s="416"/>
      <c r="Q67" s="388"/>
      <c r="R67" s="157" t="s">
        <v>798</v>
      </c>
      <c r="T67" s="282"/>
      <c r="U67" s="282">
        <v>1400</v>
      </c>
    </row>
    <row r="68" spans="1:21" x14ac:dyDescent="0.25">
      <c r="A68" s="410"/>
      <c r="B68" s="411"/>
      <c r="C68" s="376"/>
      <c r="D68" s="377" t="s">
        <v>21</v>
      </c>
      <c r="E68" s="259">
        <v>0</v>
      </c>
      <c r="F68" s="378">
        <f t="shared" ref="F68:F74" si="24">C68*E68</f>
        <v>0</v>
      </c>
      <c r="G68" s="534"/>
      <c r="H68" s="380">
        <v>0</v>
      </c>
      <c r="I68" s="378">
        <f t="shared" ref="I68:I74" si="25">G68*H68</f>
        <v>0</v>
      </c>
      <c r="J68" s="381"/>
      <c r="K68" s="535">
        <f t="shared" ref="K68:K74" si="26">F68+I68+J68</f>
        <v>0</v>
      </c>
      <c r="L68" s="383"/>
      <c r="M68" s="261"/>
      <c r="N68" s="385"/>
      <c r="O68" s="386"/>
      <c r="P68" s="387"/>
      <c r="Q68" s="388"/>
      <c r="T68" s="157">
        <f>SUM(T58:T66)</f>
        <v>49900</v>
      </c>
      <c r="U68" s="308">
        <f>SUM(U58:U67)</f>
        <v>58899.993749999994</v>
      </c>
    </row>
    <row r="69" spans="1:21" x14ac:dyDescent="0.25">
      <c r="A69" s="375"/>
      <c r="B69" s="5"/>
      <c r="C69" s="376"/>
      <c r="D69" s="377" t="s">
        <v>21</v>
      </c>
      <c r="E69" s="259">
        <v>0</v>
      </c>
      <c r="F69" s="378">
        <f t="shared" si="24"/>
        <v>0</v>
      </c>
      <c r="G69" s="534"/>
      <c r="H69" s="380">
        <v>0</v>
      </c>
      <c r="I69" s="378">
        <f t="shared" si="25"/>
        <v>0</v>
      </c>
      <c r="J69" s="381"/>
      <c r="K69" s="535">
        <f t="shared" si="26"/>
        <v>0</v>
      </c>
      <c r="L69" s="383" t="s">
        <v>1160</v>
      </c>
      <c r="M69" s="384">
        <v>92241.600000000006</v>
      </c>
      <c r="N69" s="385" t="s">
        <v>1341</v>
      </c>
      <c r="O69" s="386"/>
      <c r="P69" s="387"/>
      <c r="Q69" s="388"/>
      <c r="S69" s="308">
        <f>SUM(S58:S68)</f>
        <v>143361.35</v>
      </c>
      <c r="U69" s="910">
        <f>+T68+U68</f>
        <v>108799.99374999999</v>
      </c>
    </row>
    <row r="70" spans="1:21" x14ac:dyDescent="0.25">
      <c r="A70" s="375"/>
      <c r="B70" s="5"/>
      <c r="C70" s="376"/>
      <c r="D70" s="377" t="s">
        <v>21</v>
      </c>
      <c r="E70" s="259">
        <v>0</v>
      </c>
      <c r="F70" s="378">
        <f t="shared" si="24"/>
        <v>0</v>
      </c>
      <c r="G70" s="534"/>
      <c r="H70" s="380">
        <v>0</v>
      </c>
      <c r="I70" s="378">
        <f t="shared" si="25"/>
        <v>0</v>
      </c>
      <c r="J70" s="381"/>
      <c r="K70" s="535">
        <f t="shared" si="26"/>
        <v>0</v>
      </c>
      <c r="L70" s="383"/>
      <c r="M70" s="384"/>
      <c r="N70" s="385"/>
      <c r="O70" s="386"/>
      <c r="P70" s="387"/>
      <c r="Q70" s="388"/>
    </row>
    <row r="71" spans="1:21" x14ac:dyDescent="0.25">
      <c r="A71" s="375"/>
      <c r="B71" s="5"/>
      <c r="C71" s="376"/>
      <c r="D71" s="377" t="s">
        <v>21</v>
      </c>
      <c r="E71" s="259">
        <v>0</v>
      </c>
      <c r="F71" s="378">
        <f t="shared" si="24"/>
        <v>0</v>
      </c>
      <c r="G71" s="534"/>
      <c r="H71" s="380">
        <v>0</v>
      </c>
      <c r="I71" s="378">
        <f t="shared" si="25"/>
        <v>0</v>
      </c>
      <c r="J71" s="381"/>
      <c r="K71" s="535">
        <f t="shared" si="26"/>
        <v>0</v>
      </c>
      <c r="L71" s="383" t="s">
        <v>1349</v>
      </c>
      <c r="M71" s="384"/>
      <c r="N71" s="385"/>
      <c r="O71" s="386"/>
      <c r="P71" s="387"/>
      <c r="Q71" s="388"/>
    </row>
    <row r="72" spans="1:21" x14ac:dyDescent="0.25">
      <c r="A72" s="375"/>
      <c r="B72" s="5"/>
      <c r="C72" s="376"/>
      <c r="D72" s="377" t="s">
        <v>21</v>
      </c>
      <c r="E72" s="259">
        <v>0</v>
      </c>
      <c r="F72" s="378">
        <f t="shared" si="24"/>
        <v>0</v>
      </c>
      <c r="G72" s="534"/>
      <c r="H72" s="380">
        <v>0</v>
      </c>
      <c r="I72" s="378">
        <f t="shared" si="25"/>
        <v>0</v>
      </c>
      <c r="J72" s="381"/>
      <c r="K72" s="535">
        <f t="shared" si="26"/>
        <v>0</v>
      </c>
      <c r="L72" s="383"/>
      <c r="M72" s="384"/>
      <c r="N72" s="385"/>
      <c r="O72" s="386"/>
      <c r="P72" s="387"/>
      <c r="Q72" s="388"/>
    </row>
    <row r="73" spans="1:21" x14ac:dyDescent="0.25">
      <c r="A73" s="375"/>
      <c r="B73" s="5"/>
      <c r="C73" s="376"/>
      <c r="D73" s="377" t="s">
        <v>21</v>
      </c>
      <c r="E73" s="259">
        <v>0</v>
      </c>
      <c r="F73" s="378">
        <f t="shared" si="24"/>
        <v>0</v>
      </c>
      <c r="G73" s="534"/>
      <c r="H73" s="380">
        <v>0</v>
      </c>
      <c r="I73" s="378">
        <f t="shared" si="25"/>
        <v>0</v>
      </c>
      <c r="J73" s="381"/>
      <c r="K73" s="535">
        <f t="shared" si="26"/>
        <v>0</v>
      </c>
      <c r="L73" s="383"/>
      <c r="M73" s="384"/>
      <c r="N73" s="385"/>
      <c r="O73" s="386"/>
      <c r="P73" s="387"/>
      <c r="Q73" s="388"/>
    </row>
    <row r="74" spans="1:21" x14ac:dyDescent="0.25">
      <c r="A74" s="375"/>
      <c r="B74" s="5"/>
      <c r="C74" s="376"/>
      <c r="D74" s="377" t="s">
        <v>21</v>
      </c>
      <c r="E74" s="259">
        <v>0</v>
      </c>
      <c r="F74" s="378">
        <f t="shared" si="24"/>
        <v>0</v>
      </c>
      <c r="G74" s="534"/>
      <c r="H74" s="380">
        <v>0</v>
      </c>
      <c r="I74" s="378">
        <f t="shared" si="25"/>
        <v>0</v>
      </c>
      <c r="J74" s="381"/>
      <c r="K74" s="535">
        <f t="shared" si="26"/>
        <v>0</v>
      </c>
      <c r="L74" s="383"/>
      <c r="M74" s="384"/>
      <c r="N74" s="385"/>
      <c r="O74" s="386"/>
      <c r="P74" s="387"/>
      <c r="Q74" s="388"/>
    </row>
    <row r="75" spans="1:21" ht="13.8" thickBot="1" x14ac:dyDescent="0.3">
      <c r="A75" s="392"/>
      <c r="B75" s="5"/>
      <c r="C75" s="393"/>
      <c r="E75" s="259"/>
      <c r="F75" s="378"/>
      <c r="G75" s="534"/>
      <c r="H75" s="380"/>
      <c r="I75" s="378"/>
      <c r="J75" s="381"/>
      <c r="K75" s="540"/>
      <c r="L75" s="383"/>
      <c r="M75" s="384"/>
      <c r="N75" s="385"/>
      <c r="O75" s="386"/>
      <c r="P75" s="387"/>
      <c r="Q75" s="388"/>
    </row>
    <row r="76" spans="1:21" ht="13.8" thickTop="1" x14ac:dyDescent="0.25">
      <c r="A76" s="392"/>
      <c r="B76" s="417"/>
      <c r="C76" s="393"/>
      <c r="E76" s="259"/>
      <c r="F76" s="378"/>
      <c r="G76" s="534"/>
      <c r="H76" s="380"/>
      <c r="I76" s="378"/>
      <c r="J76" s="394" t="s">
        <v>30</v>
      </c>
      <c r="K76" s="537">
        <f>SUM(K68:K75)</f>
        <v>0</v>
      </c>
      <c r="L76" s="383"/>
      <c r="M76" s="384"/>
      <c r="N76" s="385"/>
      <c r="O76" s="386"/>
      <c r="P76" s="387"/>
      <c r="Q76" s="388"/>
    </row>
    <row r="77" spans="1:21" ht="13.8" thickBot="1" x14ac:dyDescent="0.3">
      <c r="A77" s="358" t="s">
        <v>0</v>
      </c>
      <c r="B77" s="359" t="s">
        <v>1</v>
      </c>
      <c r="C77" s="1018" t="s">
        <v>656</v>
      </c>
      <c r="D77" s="1018"/>
      <c r="E77" s="1018"/>
      <c r="F77" s="1018"/>
      <c r="G77" s="1018" t="s">
        <v>34</v>
      </c>
      <c r="H77" s="1018"/>
      <c r="I77" s="1018"/>
      <c r="J77" s="360"/>
      <c r="K77" s="528"/>
      <c r="L77" s="396"/>
      <c r="M77" s="397"/>
      <c r="N77" s="398"/>
      <c r="O77" s="386"/>
      <c r="P77" s="387"/>
      <c r="Q77" s="388"/>
    </row>
    <row r="78" spans="1:21" ht="15.6" x14ac:dyDescent="0.3">
      <c r="A78" s="530" t="s">
        <v>167</v>
      </c>
      <c r="B78" s="530" t="s">
        <v>917</v>
      </c>
      <c r="C78" s="401" t="s">
        <v>19</v>
      </c>
      <c r="D78" s="402" t="s">
        <v>33</v>
      </c>
      <c r="E78" s="403" t="s">
        <v>35</v>
      </c>
      <c r="F78" s="404" t="s">
        <v>30</v>
      </c>
      <c r="G78" s="538" t="s">
        <v>14</v>
      </c>
      <c r="H78" s="403" t="s">
        <v>35</v>
      </c>
      <c r="I78" s="404" t="s">
        <v>30</v>
      </c>
      <c r="J78" s="369" t="s">
        <v>659</v>
      </c>
      <c r="K78" s="539" t="s">
        <v>38</v>
      </c>
      <c r="L78" s="407"/>
      <c r="M78" s="408"/>
      <c r="N78" s="409"/>
      <c r="O78" s="386"/>
      <c r="P78" s="387"/>
      <c r="Q78" s="388"/>
    </row>
    <row r="79" spans="1:21" ht="26.4" x14ac:dyDescent="0.25">
      <c r="A79" s="389" t="s">
        <v>918</v>
      </c>
      <c r="B79" s="862" t="s">
        <v>1030</v>
      </c>
      <c r="C79" s="861">
        <f>(1024+6395+998)/16</f>
        <v>526.0625</v>
      </c>
      <c r="D79" s="839" t="s">
        <v>877</v>
      </c>
      <c r="E79" s="259">
        <v>26</v>
      </c>
      <c r="F79" s="378">
        <f>C79*E79</f>
        <v>13677.625</v>
      </c>
      <c r="G79" s="534">
        <v>20</v>
      </c>
      <c r="H79" s="380">
        <v>65</v>
      </c>
      <c r="I79" s="378">
        <f>G79*H79</f>
        <v>1300</v>
      </c>
      <c r="J79" s="381"/>
      <c r="K79" s="535">
        <f>F79+I79+J79</f>
        <v>14977.625</v>
      </c>
      <c r="L79" s="383"/>
      <c r="M79" s="384"/>
      <c r="N79" s="385"/>
      <c r="O79" s="386"/>
      <c r="P79" s="387"/>
      <c r="Q79" s="388"/>
    </row>
    <row r="80" spans="1:21" ht="26.4" x14ac:dyDescent="0.25">
      <c r="A80" s="389" t="s">
        <v>919</v>
      </c>
      <c r="B80" s="862" t="s">
        <v>1031</v>
      </c>
      <c r="C80" s="861">
        <f>(710+6395)/400</f>
        <v>17.762499999999999</v>
      </c>
      <c r="D80" s="839" t="s">
        <v>876</v>
      </c>
      <c r="E80" s="259">
        <v>443.5</v>
      </c>
      <c r="F80" s="378">
        <f>C80*E80</f>
        <v>7877.6687499999998</v>
      </c>
      <c r="G80" s="534">
        <v>8</v>
      </c>
      <c r="H80" s="380">
        <v>65</v>
      </c>
      <c r="I80" s="378">
        <f>G80*H80</f>
        <v>520</v>
      </c>
      <c r="J80" s="381"/>
      <c r="K80" s="535">
        <f>F80+I80+J80</f>
        <v>8397.6687500000007</v>
      </c>
      <c r="L80" s="383"/>
      <c r="M80" s="384"/>
      <c r="N80" s="385"/>
      <c r="O80" s="386"/>
      <c r="P80" s="387"/>
      <c r="Q80" s="388"/>
    </row>
    <row r="81" spans="1:17" x14ac:dyDescent="0.25">
      <c r="A81" s="375"/>
      <c r="B81" s="849" t="s">
        <v>1032</v>
      </c>
      <c r="C81" s="838">
        <v>350</v>
      </c>
      <c r="D81" s="839" t="s">
        <v>997</v>
      </c>
      <c r="E81" s="259">
        <v>0</v>
      </c>
      <c r="F81" s="378">
        <f>C81*E81</f>
        <v>0</v>
      </c>
      <c r="G81" s="534"/>
      <c r="H81" s="380">
        <v>0</v>
      </c>
      <c r="I81" s="378">
        <f>G81*H81</f>
        <v>0</v>
      </c>
      <c r="J81" s="381"/>
      <c r="K81" s="535">
        <f>F81+I81+J81</f>
        <v>0</v>
      </c>
      <c r="L81" s="383">
        <f>201+71+438</f>
        <v>710</v>
      </c>
      <c r="M81" s="384"/>
      <c r="N81" s="385"/>
      <c r="O81" s="386"/>
      <c r="P81" s="387"/>
      <c r="Q81" s="388"/>
    </row>
    <row r="82" spans="1:17" x14ac:dyDescent="0.25">
      <c r="A82" s="375"/>
      <c r="B82" s="5"/>
      <c r="C82" s="376"/>
      <c r="D82" s="377" t="s">
        <v>21</v>
      </c>
      <c r="E82" s="259">
        <v>0</v>
      </c>
      <c r="F82" s="378">
        <f>C82*E82</f>
        <v>0</v>
      </c>
      <c r="G82" s="534"/>
      <c r="H82" s="380">
        <v>0</v>
      </c>
      <c r="I82" s="378">
        <f>G82*H82</f>
        <v>0</v>
      </c>
      <c r="J82" s="381"/>
      <c r="K82" s="535">
        <f>F82+I82+J82</f>
        <v>0</v>
      </c>
      <c r="L82" s="383"/>
      <c r="M82" s="384"/>
      <c r="N82" s="385"/>
      <c r="O82" s="386"/>
      <c r="P82" s="387"/>
      <c r="Q82" s="388"/>
    </row>
    <row r="83" spans="1:17" x14ac:dyDescent="0.25">
      <c r="A83" s="375"/>
      <c r="B83" s="5"/>
      <c r="C83" s="376"/>
      <c r="D83" s="377" t="s">
        <v>21</v>
      </c>
      <c r="E83" s="259">
        <v>0</v>
      </c>
      <c r="F83" s="378">
        <f>C83*E83</f>
        <v>0</v>
      </c>
      <c r="G83" s="534"/>
      <c r="H83" s="380">
        <v>0</v>
      </c>
      <c r="I83" s="378">
        <f>G83*H83</f>
        <v>0</v>
      </c>
      <c r="J83" s="381"/>
      <c r="K83" s="535">
        <f>F83+I83+J83</f>
        <v>0</v>
      </c>
      <c r="L83" s="383"/>
      <c r="M83" s="384"/>
      <c r="N83" s="385"/>
      <c r="O83" s="386"/>
      <c r="P83" s="387"/>
      <c r="Q83" s="388"/>
    </row>
    <row r="84" spans="1:17" ht="13.8" thickBot="1" x14ac:dyDescent="0.3">
      <c r="A84" s="392"/>
      <c r="B84" s="5"/>
      <c r="C84" s="393"/>
      <c r="E84" s="259"/>
      <c r="F84" s="378"/>
      <c r="G84" s="534"/>
      <c r="H84" s="380"/>
      <c r="I84" s="378"/>
      <c r="J84" s="381"/>
      <c r="K84" s="540"/>
      <c r="L84" s="383"/>
      <c r="M84" s="384"/>
      <c r="N84" s="385"/>
      <c r="O84" s="386"/>
      <c r="P84" s="387"/>
      <c r="Q84" s="388"/>
    </row>
    <row r="85" spans="1:17" ht="14.4" thickTop="1" thickBot="1" x14ac:dyDescent="0.3">
      <c r="A85" s="392"/>
      <c r="B85" s="417"/>
      <c r="C85" s="393"/>
      <c r="E85" s="259"/>
      <c r="F85" s="378"/>
      <c r="G85" s="534"/>
      <c r="H85" s="380"/>
      <c r="I85" s="378"/>
      <c r="J85" s="394" t="s">
        <v>30</v>
      </c>
      <c r="K85" s="537">
        <f>SUM(K79:K84)</f>
        <v>23375.293750000001</v>
      </c>
      <c r="L85" s="541"/>
      <c r="M85" s="578"/>
      <c r="N85" s="542"/>
      <c r="O85" s="545"/>
      <c r="P85" s="546"/>
      <c r="Q85" s="388"/>
    </row>
    <row r="86" spans="1:17" ht="14.1" customHeight="1" thickTop="1" x14ac:dyDescent="0.25">
      <c r="A86" s="483"/>
      <c r="B86" s="484"/>
      <c r="C86" s="485"/>
      <c r="D86" s="485"/>
      <c r="E86" s="486"/>
      <c r="F86" s="1048" t="s">
        <v>658</v>
      </c>
      <c r="G86" s="1071" t="s">
        <v>684</v>
      </c>
      <c r="H86" s="486"/>
      <c r="I86" s="1041" t="s">
        <v>657</v>
      </c>
      <c r="J86" s="1037" t="s">
        <v>685</v>
      </c>
      <c r="K86" s="1035" t="s">
        <v>31</v>
      </c>
      <c r="L86" s="547"/>
      <c r="M86" s="579"/>
      <c r="N86" s="549"/>
      <c r="O86" s="580"/>
      <c r="P86" s="580"/>
      <c r="Q86" s="549"/>
    </row>
    <row r="87" spans="1:17" ht="13.8" x14ac:dyDescent="0.25">
      <c r="A87" s="487" t="s">
        <v>32</v>
      </c>
      <c r="B87" s="1043" t="s">
        <v>24</v>
      </c>
      <c r="C87" s="488"/>
      <c r="D87" s="489"/>
      <c r="E87" s="489"/>
      <c r="F87" s="1049"/>
      <c r="G87" s="1072"/>
      <c r="H87" s="490"/>
      <c r="I87" s="1042"/>
      <c r="J87" s="1038"/>
      <c r="K87" s="1036"/>
    </row>
    <row r="88" spans="1:17" ht="13.8" x14ac:dyDescent="0.25">
      <c r="A88" s="828">
        <f>K88/E6</f>
        <v>23.025140347334411</v>
      </c>
      <c r="B88" s="1043"/>
      <c r="C88" s="489"/>
      <c r="D88" s="489"/>
      <c r="E88" s="489"/>
      <c r="F88" s="1039">
        <f>SUM(F79:F84,F68:F75,F55:F64,F40:F51,F29:F36,F13:F25)</f>
        <v>48158.418749999997</v>
      </c>
      <c r="G88" s="1085">
        <f>SUM(G79:G84,G68:G75,G55:G64,G40:G51,G29:G36,G13:G24)</f>
        <v>28</v>
      </c>
      <c r="H88" s="490"/>
      <c r="I88" s="1039">
        <f>SUM(I79:I84,I68:I75,I55:I64,I40:I51,I29:I36,I13:I25)</f>
        <v>1820</v>
      </c>
      <c r="J88" s="1031">
        <f>SUM(J79:J84,J68:J74,J55:J64,J40:J51,J29:J36,J13:J25)</f>
        <v>92547.199999999997</v>
      </c>
      <c r="K88" s="1033">
        <f>SUM(K85,K76,K65,K52,K37,K26)</f>
        <v>142525.61874999999</v>
      </c>
    </row>
    <row r="89" spans="1:17" ht="14.4" thickBot="1" x14ac:dyDescent="0.3">
      <c r="A89" s="487"/>
      <c r="B89" s="555"/>
      <c r="C89" s="493"/>
      <c r="D89" s="493"/>
      <c r="E89" s="493"/>
      <c r="F89" s="1040"/>
      <c r="G89" s="1086"/>
      <c r="H89" s="493"/>
      <c r="I89" s="1040"/>
      <c r="J89" s="1032"/>
      <c r="K89" s="1034"/>
    </row>
    <row r="90" spans="1:17" ht="13.8" thickBot="1" x14ac:dyDescent="0.3">
      <c r="A90" s="494"/>
      <c r="B90" s="495"/>
      <c r="C90" s="495"/>
      <c r="D90" s="495"/>
      <c r="E90" s="495"/>
      <c r="F90" s="495"/>
      <c r="G90" s="495"/>
      <c r="H90" s="495"/>
      <c r="I90" s="495"/>
      <c r="J90" s="495"/>
      <c r="K90" s="496"/>
    </row>
    <row r="95" spans="1:17" x14ac:dyDescent="0.25">
      <c r="N95" s="157">
        <f>13300/20</f>
        <v>665</v>
      </c>
    </row>
    <row r="97" spans="12:12" x14ac:dyDescent="0.25">
      <c r="L97" s="159">
        <f>L96/210/14</f>
        <v>0</v>
      </c>
    </row>
  </sheetData>
  <mergeCells count="58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C27:F27"/>
    <mergeCell ref="G27:I27"/>
    <mergeCell ref="C38:F38"/>
    <mergeCell ref="G38:I38"/>
    <mergeCell ref="C53:F53"/>
    <mergeCell ref="G53:I53"/>
    <mergeCell ref="B87:B88"/>
    <mergeCell ref="C66:F66"/>
    <mergeCell ref="G66:I66"/>
    <mergeCell ref="C77:F77"/>
    <mergeCell ref="G77:I77"/>
    <mergeCell ref="J86:J87"/>
    <mergeCell ref="K86:K87"/>
    <mergeCell ref="F88:F89"/>
    <mergeCell ref="G88:G89"/>
    <mergeCell ref="I88:I89"/>
    <mergeCell ref="J88:J89"/>
    <mergeCell ref="K88:K89"/>
    <mergeCell ref="F86:F87"/>
    <mergeCell ref="G86:G87"/>
    <mergeCell ref="I86:I87"/>
    <mergeCell ref="U29:V29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Q98"/>
  <sheetViews>
    <sheetView zoomScale="90" zoomScaleNormal="75" zoomScaleSheetLayoutView="90" zoomScalePageLayoutView="75" workbookViewId="0">
      <selection activeCell="J60" sqref="J60"/>
    </sheetView>
  </sheetViews>
  <sheetFormatPr defaultColWidth="9.109375" defaultRowHeight="13.2" x14ac:dyDescent="0.25"/>
  <cols>
    <col min="1" max="1" width="12.109375" style="157" bestFit="1" customWidth="1"/>
    <col min="2" max="2" width="44" style="157" customWidth="1"/>
    <col min="3" max="4" width="4.88671875" style="445" customWidth="1"/>
    <col min="5" max="5" width="11" style="157" customWidth="1"/>
    <col min="6" max="6" width="12.44140625" style="157" customWidth="1"/>
    <col min="7" max="7" width="6.88671875" style="157" customWidth="1"/>
    <col min="8" max="8" width="11" style="157" customWidth="1"/>
    <col min="9" max="9" width="12.44140625" style="157" customWidth="1"/>
    <col min="10" max="10" width="15.5546875" style="157" customWidth="1"/>
    <col min="11" max="11" width="14" style="157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5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x14ac:dyDescent="0.25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x14ac:dyDescent="0.25">
      <c r="A9" s="526"/>
      <c r="B9" s="203"/>
      <c r="C9" s="1079"/>
      <c r="D9" s="1079"/>
      <c r="E9" s="1075"/>
      <c r="F9" s="1075"/>
      <c r="G9" s="1080"/>
      <c r="H9" s="1075"/>
      <c r="I9" s="1075"/>
      <c r="J9" s="1075"/>
      <c r="K9" s="1078"/>
      <c r="L9" s="473"/>
      <c r="M9" s="472"/>
      <c r="N9" s="418"/>
      <c r="O9" s="419"/>
      <c r="P9" s="419"/>
    </row>
    <row r="10" spans="1:17" ht="13.8" thickBot="1" x14ac:dyDescent="0.3">
      <c r="A10" s="406"/>
      <c r="B10" s="527"/>
      <c r="C10" s="1079"/>
      <c r="D10" s="1079"/>
      <c r="E10" s="1075"/>
      <c r="F10" s="1075"/>
      <c r="G10" s="1080"/>
      <c r="H10" s="1075"/>
      <c r="I10" s="1075"/>
      <c r="J10" s="1075"/>
      <c r="K10" s="1078"/>
      <c r="L10" s="473"/>
      <c r="M10" s="472"/>
      <c r="N10" s="418"/>
      <c r="O10" s="419"/>
      <c r="P10" s="419"/>
    </row>
    <row r="11" spans="1:17" ht="14.4" thickTop="1" thickBot="1" x14ac:dyDescent="0.3">
      <c r="A11" s="358" t="s">
        <v>0</v>
      </c>
      <c r="B11" s="359" t="s">
        <v>1</v>
      </c>
      <c r="C11" s="1018" t="s">
        <v>656</v>
      </c>
      <c r="D11" s="1018"/>
      <c r="E11" s="1018"/>
      <c r="F11" s="1018"/>
      <c r="G11" s="1018" t="s">
        <v>34</v>
      </c>
      <c r="H11" s="1018"/>
      <c r="I11" s="1018"/>
      <c r="J11" s="360"/>
      <c r="K11" s="528"/>
      <c r="L11" s="1021" t="s">
        <v>782</v>
      </c>
      <c r="M11" s="1023" t="s">
        <v>783</v>
      </c>
      <c r="N11" s="1025" t="s">
        <v>784</v>
      </c>
      <c r="O11" s="1027"/>
      <c r="P11" s="1029"/>
      <c r="Q11" s="1019"/>
    </row>
    <row r="12" spans="1:17" ht="15.6" x14ac:dyDescent="0.3">
      <c r="A12" s="530" t="s">
        <v>173</v>
      </c>
      <c r="B12" s="530" t="s">
        <v>175</v>
      </c>
      <c r="C12" s="364" t="s">
        <v>19</v>
      </c>
      <c r="D12" s="365" t="s">
        <v>33</v>
      </c>
      <c r="E12" s="366" t="s">
        <v>35</v>
      </c>
      <c r="F12" s="367" t="s">
        <v>30</v>
      </c>
      <c r="G12" s="531" t="s">
        <v>14</v>
      </c>
      <c r="H12" s="366" t="s">
        <v>35</v>
      </c>
      <c r="I12" s="367" t="s">
        <v>30</v>
      </c>
      <c r="J12" s="369" t="s">
        <v>659</v>
      </c>
      <c r="K12" s="532" t="s">
        <v>38</v>
      </c>
      <c r="L12" s="1022"/>
      <c r="M12" s="1024"/>
      <c r="N12" s="1026"/>
      <c r="O12" s="1028"/>
      <c r="P12" s="1030"/>
      <c r="Q12" s="1020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ref="F13:F24" si="0">C13*E13</f>
        <v>0</v>
      </c>
      <c r="G13" s="534"/>
      <c r="H13" s="380">
        <v>0</v>
      </c>
      <c r="I13" s="378">
        <f t="shared" ref="I13:I24" si="1">G13*H13</f>
        <v>0</v>
      </c>
      <c r="J13" s="381"/>
      <c r="K13" s="535">
        <f t="shared" ref="K13:K24" si="2">F13+I13+J13</f>
        <v>0</v>
      </c>
      <c r="L13" s="383"/>
      <c r="M13" s="384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5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75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75"/>
      <c r="B17" s="6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383"/>
      <c r="M17" s="384"/>
      <c r="N17" s="385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383"/>
      <c r="M18" s="384"/>
      <c r="N18" s="385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383"/>
      <c r="M19" s="384"/>
      <c r="N19" s="385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383"/>
      <c r="M20" s="384"/>
      <c r="N20" s="385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383"/>
      <c r="M21" s="384"/>
      <c r="N21" s="385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383"/>
      <c r="M22" s="384"/>
      <c r="N22" s="385"/>
      <c r="O22" s="386"/>
      <c r="P22" s="387"/>
      <c r="Q22" s="388"/>
    </row>
    <row r="23" spans="1:17" x14ac:dyDescent="0.25">
      <c r="A23" s="389"/>
      <c r="B23" s="5"/>
      <c r="C23" s="376"/>
      <c r="D23" s="377" t="s">
        <v>21</v>
      </c>
      <c r="E23" s="259">
        <v>0</v>
      </c>
      <c r="F23" s="378">
        <f t="shared" si="0"/>
        <v>0</v>
      </c>
      <c r="G23" s="534"/>
      <c r="H23" s="380">
        <v>0</v>
      </c>
      <c r="I23" s="378">
        <f t="shared" si="1"/>
        <v>0</v>
      </c>
      <c r="J23" s="381"/>
      <c r="K23" s="535">
        <f t="shared" si="2"/>
        <v>0</v>
      </c>
      <c r="L23" s="383"/>
      <c r="M23" s="384"/>
      <c r="N23" s="385"/>
      <c r="O23" s="386"/>
      <c r="P23" s="387"/>
      <c r="Q23" s="388"/>
    </row>
    <row r="24" spans="1:17" x14ac:dyDescent="0.25">
      <c r="A24" s="389"/>
      <c r="B24" s="5"/>
      <c r="C24" s="376"/>
      <c r="D24" s="377" t="s">
        <v>21</v>
      </c>
      <c r="E24" s="259">
        <v>0</v>
      </c>
      <c r="F24" s="378">
        <f t="shared" si="0"/>
        <v>0</v>
      </c>
      <c r="G24" s="534"/>
      <c r="H24" s="380">
        <v>0</v>
      </c>
      <c r="I24" s="378">
        <f t="shared" si="1"/>
        <v>0</v>
      </c>
      <c r="J24" s="381"/>
      <c r="K24" s="535">
        <f t="shared" si="2"/>
        <v>0</v>
      </c>
      <c r="L24" s="383"/>
      <c r="M24" s="384"/>
      <c r="N24" s="385"/>
      <c r="O24" s="386"/>
      <c r="P24" s="387"/>
      <c r="Q24" s="388"/>
    </row>
    <row r="25" spans="1:17" ht="13.8" thickBot="1" x14ac:dyDescent="0.3">
      <c r="A25" s="392"/>
      <c r="B25" s="7"/>
      <c r="C25" s="393"/>
      <c r="D25" s="377"/>
      <c r="E25" s="259"/>
      <c r="F25" s="378"/>
      <c r="G25" s="534"/>
      <c r="H25" s="380"/>
      <c r="I25" s="378"/>
      <c r="J25" s="381"/>
      <c r="K25" s="535"/>
      <c r="L25" s="383"/>
      <c r="M25" s="384"/>
      <c r="N25" s="385"/>
      <c r="O25" s="386"/>
      <c r="P25" s="387"/>
      <c r="Q25" s="388"/>
    </row>
    <row r="26" spans="1:17" ht="13.8" thickTop="1" x14ac:dyDescent="0.25">
      <c r="A26" s="392"/>
      <c r="B26" s="7"/>
      <c r="C26" s="393"/>
      <c r="D26" s="377"/>
      <c r="E26" s="259"/>
      <c r="F26" s="378"/>
      <c r="G26" s="534"/>
      <c r="H26" s="380"/>
      <c r="I26" s="378"/>
      <c r="J26" s="394" t="s">
        <v>30</v>
      </c>
      <c r="K26" s="537">
        <f>SUM(K13:K25)</f>
        <v>0</v>
      </c>
      <c r="L26" s="383"/>
      <c r="M26" s="384"/>
      <c r="N26" s="385"/>
      <c r="O26" s="386"/>
      <c r="P26" s="387"/>
      <c r="Q26" s="388"/>
    </row>
    <row r="27" spans="1:17" ht="13.8" thickBot="1" x14ac:dyDescent="0.3">
      <c r="A27" s="358" t="s">
        <v>0</v>
      </c>
      <c r="B27" s="359" t="s">
        <v>1</v>
      </c>
      <c r="C27" s="1018" t="s">
        <v>656</v>
      </c>
      <c r="D27" s="1018"/>
      <c r="E27" s="1018"/>
      <c r="F27" s="1018"/>
      <c r="G27" s="1018" t="s">
        <v>34</v>
      </c>
      <c r="H27" s="1018"/>
      <c r="I27" s="1018"/>
      <c r="J27" s="360"/>
      <c r="K27" s="528"/>
      <c r="L27" s="396"/>
      <c r="M27" s="397"/>
      <c r="N27" s="398"/>
      <c r="O27" s="386"/>
      <c r="P27" s="387"/>
      <c r="Q27" s="388"/>
    </row>
    <row r="28" spans="1:17" ht="16.2" thickBot="1" x14ac:dyDescent="0.35">
      <c r="A28" s="530" t="s">
        <v>174</v>
      </c>
      <c r="B28" s="530" t="s">
        <v>176</v>
      </c>
      <c r="C28" s="401" t="s">
        <v>19</v>
      </c>
      <c r="D28" s="402" t="s">
        <v>33</v>
      </c>
      <c r="E28" s="403" t="s">
        <v>35</v>
      </c>
      <c r="F28" s="404" t="s">
        <v>30</v>
      </c>
      <c r="G28" s="538" t="s">
        <v>14</v>
      </c>
      <c r="H28" s="403" t="s">
        <v>35</v>
      </c>
      <c r="I28" s="404" t="s">
        <v>30</v>
      </c>
      <c r="J28" s="369" t="s">
        <v>659</v>
      </c>
      <c r="K28" s="539" t="s">
        <v>38</v>
      </c>
      <c r="L28" s="407"/>
      <c r="M28" s="408"/>
      <c r="N28" s="409"/>
      <c r="O28" s="386"/>
      <c r="P28" s="387"/>
      <c r="Q28" s="388"/>
    </row>
    <row r="29" spans="1:17" x14ac:dyDescent="0.25">
      <c r="A29" s="410"/>
      <c r="B29" s="411"/>
      <c r="C29" s="376"/>
      <c r="D29" s="377" t="s">
        <v>21</v>
      </c>
      <c r="E29" s="259">
        <v>0</v>
      </c>
      <c r="F29" s="378">
        <f t="shared" ref="F29:F35" si="3">C29*E29</f>
        <v>0</v>
      </c>
      <c r="G29" s="534"/>
      <c r="H29" s="380">
        <v>0</v>
      </c>
      <c r="I29" s="378">
        <f t="shared" ref="I29:I35" si="4">G29*H29</f>
        <v>0</v>
      </c>
      <c r="J29" s="381"/>
      <c r="K29" s="535">
        <f t="shared" ref="K29:K35" si="5">F29+I29+J29</f>
        <v>0</v>
      </c>
      <c r="L29" s="383"/>
      <c r="M29" s="384"/>
      <c r="N29" s="385"/>
      <c r="O29" s="386"/>
      <c r="P29" s="387"/>
      <c r="Q29" s="388"/>
    </row>
    <row r="30" spans="1:17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383"/>
      <c r="M31" s="384"/>
      <c r="N31" s="385"/>
      <c r="O31" s="386"/>
      <c r="P31" s="387"/>
      <c r="Q31" s="388"/>
    </row>
    <row r="32" spans="1:17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L32" s="383"/>
      <c r="M32" s="384"/>
      <c r="N32" s="385"/>
      <c r="O32" s="386"/>
      <c r="P32" s="387"/>
      <c r="Q32" s="388"/>
    </row>
    <row r="33" spans="1:17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383"/>
      <c r="M33" s="384"/>
      <c r="N33" s="385"/>
      <c r="O33" s="386"/>
      <c r="P33" s="387"/>
      <c r="Q33" s="388"/>
    </row>
    <row r="34" spans="1:17" x14ac:dyDescent="0.25">
      <c r="A34" s="375"/>
      <c r="B34" s="5"/>
      <c r="C34" s="376"/>
      <c r="D34" s="377" t="s">
        <v>21</v>
      </c>
      <c r="E34" s="259">
        <v>0</v>
      </c>
      <c r="F34" s="378">
        <f t="shared" si="3"/>
        <v>0</v>
      </c>
      <c r="G34" s="534"/>
      <c r="H34" s="380">
        <v>0</v>
      </c>
      <c r="I34" s="378">
        <f t="shared" si="4"/>
        <v>0</v>
      </c>
      <c r="J34" s="381"/>
      <c r="K34" s="535">
        <f t="shared" si="5"/>
        <v>0</v>
      </c>
      <c r="L34" s="383"/>
      <c r="M34" s="384"/>
      <c r="N34" s="385"/>
      <c r="O34" s="386"/>
      <c r="P34" s="387"/>
      <c r="Q34" s="388"/>
    </row>
    <row r="35" spans="1:17" x14ac:dyDescent="0.25">
      <c r="A35" s="375"/>
      <c r="B35" s="5"/>
      <c r="C35" s="376"/>
      <c r="D35" s="377" t="s">
        <v>21</v>
      </c>
      <c r="E35" s="259">
        <v>0</v>
      </c>
      <c r="F35" s="378">
        <f t="shared" si="3"/>
        <v>0</v>
      </c>
      <c r="G35" s="534"/>
      <c r="H35" s="380">
        <v>0</v>
      </c>
      <c r="I35" s="378">
        <f t="shared" si="4"/>
        <v>0</v>
      </c>
      <c r="J35" s="381"/>
      <c r="K35" s="535">
        <f t="shared" si="5"/>
        <v>0</v>
      </c>
      <c r="L35" s="383"/>
      <c r="M35" s="384"/>
      <c r="N35" s="385"/>
      <c r="O35" s="386"/>
      <c r="P35" s="387"/>
      <c r="Q35" s="388"/>
    </row>
    <row r="36" spans="1:17" ht="13.8" thickBot="1" x14ac:dyDescent="0.3">
      <c r="A36" s="375"/>
      <c r="B36" s="5"/>
      <c r="C36" s="393"/>
      <c r="D36" s="377"/>
      <c r="E36" s="259"/>
      <c r="F36" s="378"/>
      <c r="G36" s="534"/>
      <c r="H36" s="380"/>
      <c r="I36" s="378"/>
      <c r="J36" s="381"/>
      <c r="K36" s="540"/>
      <c r="L36" s="383"/>
      <c r="M36" s="384"/>
      <c r="N36" s="385"/>
      <c r="O36" s="386"/>
      <c r="P36" s="387"/>
      <c r="Q36" s="388"/>
    </row>
    <row r="37" spans="1:17" ht="13.8" thickTop="1" x14ac:dyDescent="0.25">
      <c r="A37" s="392"/>
      <c r="B37" s="5"/>
      <c r="C37" s="393"/>
      <c r="D37" s="377"/>
      <c r="E37" s="259"/>
      <c r="F37" s="378"/>
      <c r="G37" s="534"/>
      <c r="H37" s="380"/>
      <c r="I37" s="378"/>
      <c r="J37" s="394" t="s">
        <v>30</v>
      </c>
      <c r="K37" s="537">
        <f>SUM(K29:K36)</f>
        <v>0</v>
      </c>
      <c r="L37" s="383"/>
      <c r="M37" s="384"/>
      <c r="N37" s="385"/>
      <c r="O37" s="386"/>
      <c r="P37" s="387"/>
      <c r="Q37" s="388"/>
    </row>
    <row r="38" spans="1:17" ht="13.8" thickBot="1" x14ac:dyDescent="0.3">
      <c r="A38" s="358" t="s">
        <v>0</v>
      </c>
      <c r="B38" s="359" t="s">
        <v>1</v>
      </c>
      <c r="C38" s="1018" t="s">
        <v>656</v>
      </c>
      <c r="D38" s="1018"/>
      <c r="E38" s="1018"/>
      <c r="F38" s="1018"/>
      <c r="G38" s="1018" t="s">
        <v>34</v>
      </c>
      <c r="H38" s="1018"/>
      <c r="I38" s="1018"/>
      <c r="J38" s="360"/>
      <c r="K38" s="528"/>
      <c r="L38" s="396"/>
      <c r="M38" s="397"/>
      <c r="N38" s="398"/>
      <c r="O38" s="386"/>
      <c r="P38" s="387"/>
      <c r="Q38" s="388"/>
    </row>
    <row r="39" spans="1:17" ht="16.2" thickBot="1" x14ac:dyDescent="0.35">
      <c r="A39" s="399"/>
      <c r="B39" s="400"/>
      <c r="C39" s="401" t="s">
        <v>19</v>
      </c>
      <c r="D39" s="402" t="s">
        <v>33</v>
      </c>
      <c r="E39" s="403" t="s">
        <v>35</v>
      </c>
      <c r="F39" s="404" t="s">
        <v>30</v>
      </c>
      <c r="G39" s="538" t="s">
        <v>14</v>
      </c>
      <c r="H39" s="403" t="s">
        <v>35</v>
      </c>
      <c r="I39" s="404" t="s">
        <v>30</v>
      </c>
      <c r="J39" s="369" t="s">
        <v>659</v>
      </c>
      <c r="K39" s="539" t="s">
        <v>38</v>
      </c>
      <c r="L39" s="407"/>
      <c r="M39" s="413"/>
      <c r="N39" s="414"/>
      <c r="O39" s="415"/>
      <c r="P39" s="416"/>
      <c r="Q39" s="388"/>
    </row>
    <row r="40" spans="1:17" x14ac:dyDescent="0.25">
      <c r="A40" s="410"/>
      <c r="B40" s="411"/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L40" s="383"/>
      <c r="M40" s="261"/>
      <c r="N40" s="426"/>
      <c r="O40" s="415"/>
      <c r="P40" s="416"/>
      <c r="Q40" s="388"/>
    </row>
    <row r="41" spans="1:17" x14ac:dyDescent="0.25">
      <c r="A41" s="375"/>
      <c r="B41" s="5"/>
      <c r="C41" s="376"/>
      <c r="D41" s="377" t="s">
        <v>21</v>
      </c>
      <c r="E41" s="259">
        <v>0</v>
      </c>
      <c r="F41" s="378">
        <f>C41*E41</f>
        <v>0</v>
      </c>
      <c r="G41" s="534"/>
      <c r="H41" s="380">
        <v>0</v>
      </c>
      <c r="I41" s="378">
        <f>G41*H41</f>
        <v>0</v>
      </c>
      <c r="J41" s="381"/>
      <c r="K41" s="535">
        <f>F41+I41+J41</f>
        <v>0</v>
      </c>
      <c r="L41" s="383"/>
      <c r="M41" s="261"/>
      <c r="N41" s="426"/>
      <c r="O41" s="415"/>
      <c r="P41" s="416"/>
      <c r="Q41" s="388"/>
    </row>
    <row r="42" spans="1:17" x14ac:dyDescent="0.25">
      <c r="A42" s="375"/>
      <c r="B42" s="5"/>
      <c r="C42" s="376"/>
      <c r="D42" s="377" t="s">
        <v>21</v>
      </c>
      <c r="E42" s="259">
        <v>0</v>
      </c>
      <c r="F42" s="378">
        <f>C42*E42</f>
        <v>0</v>
      </c>
      <c r="G42" s="534"/>
      <c r="H42" s="380">
        <v>0</v>
      </c>
      <c r="I42" s="378">
        <f>G42*H42</f>
        <v>0</v>
      </c>
      <c r="J42" s="381"/>
      <c r="K42" s="535">
        <f>F42+I42+J42</f>
        <v>0</v>
      </c>
      <c r="L42" s="383"/>
      <c r="M42" s="261"/>
      <c r="N42" s="426"/>
      <c r="O42" s="415"/>
      <c r="P42" s="416"/>
      <c r="Q42" s="388"/>
    </row>
    <row r="43" spans="1:17" x14ac:dyDescent="0.25">
      <c r="A43" s="392"/>
      <c r="B43" s="417"/>
      <c r="C43" s="393"/>
      <c r="D43" s="377"/>
      <c r="E43" s="259"/>
      <c r="F43" s="378"/>
      <c r="G43" s="534"/>
      <c r="H43" s="380"/>
      <c r="I43" s="378"/>
      <c r="J43" s="381"/>
      <c r="K43" s="540"/>
      <c r="L43" s="383"/>
      <c r="M43" s="261"/>
      <c r="N43" s="426"/>
      <c r="O43" s="415"/>
      <c r="P43" s="416"/>
      <c r="Q43" s="388"/>
    </row>
    <row r="44" spans="1:17" ht="13.8" thickBot="1" x14ac:dyDescent="0.3">
      <c r="A44" s="392"/>
      <c r="B44" s="417"/>
      <c r="C44" s="393"/>
      <c r="D44" s="377"/>
      <c r="E44" s="259"/>
      <c r="F44" s="378"/>
      <c r="G44" s="534"/>
      <c r="H44" s="380"/>
      <c r="I44" s="378"/>
      <c r="J44" s="381"/>
      <c r="K44" s="540"/>
      <c r="L44" s="383"/>
      <c r="M44" s="261"/>
      <c r="N44" s="426"/>
      <c r="O44" s="415"/>
      <c r="P44" s="416"/>
      <c r="Q44" s="388"/>
    </row>
    <row r="45" spans="1:17" ht="13.8" thickTop="1" x14ac:dyDescent="0.25">
      <c r="A45" s="392"/>
      <c r="B45" s="417"/>
      <c r="C45" s="393"/>
      <c r="D45" s="377"/>
      <c r="E45" s="259"/>
      <c r="F45" s="378"/>
      <c r="G45" s="534"/>
      <c r="H45" s="380"/>
      <c r="I45" s="378"/>
      <c r="J45" s="394" t="s">
        <v>30</v>
      </c>
      <c r="K45" s="537">
        <f>SUM(K40:K44)</f>
        <v>0</v>
      </c>
      <c r="L45" s="383"/>
      <c r="M45" s="261"/>
      <c r="N45" s="385"/>
      <c r="O45" s="386"/>
      <c r="P45" s="387"/>
      <c r="Q45" s="388"/>
    </row>
    <row r="46" spans="1:17" ht="13.8" thickBot="1" x14ac:dyDescent="0.3">
      <c r="A46" s="358" t="s">
        <v>0</v>
      </c>
      <c r="B46" s="359" t="s">
        <v>1</v>
      </c>
      <c r="C46" s="1018" t="s">
        <v>656</v>
      </c>
      <c r="D46" s="1018"/>
      <c r="E46" s="1018"/>
      <c r="F46" s="1018"/>
      <c r="G46" s="1018" t="s">
        <v>34</v>
      </c>
      <c r="H46" s="1018"/>
      <c r="I46" s="1018"/>
      <c r="J46" s="360"/>
      <c r="K46" s="528"/>
      <c r="L46" s="396"/>
      <c r="M46" s="360"/>
      <c r="N46" s="398"/>
      <c r="O46" s="386"/>
      <c r="P46" s="387"/>
      <c r="Q46" s="388"/>
    </row>
    <row r="47" spans="1:17" ht="16.2" thickBot="1" x14ac:dyDescent="0.35">
      <c r="A47" s="399"/>
      <c r="B47" s="400"/>
      <c r="C47" s="401" t="s">
        <v>19</v>
      </c>
      <c r="D47" s="402" t="s">
        <v>33</v>
      </c>
      <c r="E47" s="403" t="s">
        <v>35</v>
      </c>
      <c r="F47" s="404" t="s">
        <v>30</v>
      </c>
      <c r="G47" s="538" t="s">
        <v>14</v>
      </c>
      <c r="H47" s="403" t="s">
        <v>35</v>
      </c>
      <c r="I47" s="404" t="s">
        <v>30</v>
      </c>
      <c r="J47" s="369" t="s">
        <v>659</v>
      </c>
      <c r="K47" s="539" t="s">
        <v>38</v>
      </c>
      <c r="L47" s="407"/>
      <c r="M47" s="413"/>
      <c r="N47" s="409"/>
      <c r="O47" s="386"/>
      <c r="P47" s="416"/>
      <c r="Q47" s="388"/>
    </row>
    <row r="48" spans="1:17" x14ac:dyDescent="0.25">
      <c r="A48" s="410"/>
      <c r="B48" s="411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383"/>
      <c r="M48" s="261"/>
      <c r="N48" s="385"/>
      <c r="O48" s="386"/>
      <c r="P48" s="387"/>
      <c r="Q48" s="388"/>
    </row>
    <row r="49" spans="1:17" x14ac:dyDescent="0.25">
      <c r="A49" s="375"/>
      <c r="B49" s="5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383"/>
      <c r="M49" s="261"/>
      <c r="N49" s="385"/>
      <c r="O49" s="386"/>
      <c r="P49" s="387"/>
      <c r="Q49" s="388"/>
    </row>
    <row r="50" spans="1:17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385"/>
      <c r="O50" s="386"/>
      <c r="P50" s="387"/>
      <c r="Q50" s="388"/>
    </row>
    <row r="51" spans="1:17" x14ac:dyDescent="0.25">
      <c r="A51" s="375"/>
      <c r="B51" s="5"/>
      <c r="C51" s="376"/>
      <c r="D51" s="377" t="s">
        <v>21</v>
      </c>
      <c r="E51" s="259">
        <v>0</v>
      </c>
      <c r="F51" s="378">
        <f>C51*E51</f>
        <v>0</v>
      </c>
      <c r="G51" s="534"/>
      <c r="H51" s="380">
        <v>0</v>
      </c>
      <c r="I51" s="378">
        <f>G51*H51</f>
        <v>0</v>
      </c>
      <c r="J51" s="381"/>
      <c r="K51" s="535">
        <f>F51+I51+J51</f>
        <v>0</v>
      </c>
      <c r="L51" s="383"/>
      <c r="M51" s="261"/>
      <c r="N51" s="385"/>
      <c r="O51" s="386"/>
      <c r="P51" s="387"/>
      <c r="Q51" s="388"/>
    </row>
    <row r="52" spans="1:17" x14ac:dyDescent="0.25">
      <c r="A52" s="375"/>
      <c r="B52" s="5"/>
      <c r="C52" s="376"/>
      <c r="D52" s="377" t="s">
        <v>21</v>
      </c>
      <c r="E52" s="259">
        <v>0</v>
      </c>
      <c r="F52" s="378">
        <f>C52*E52</f>
        <v>0</v>
      </c>
      <c r="G52" s="534"/>
      <c r="H52" s="380">
        <v>0</v>
      </c>
      <c r="I52" s="378">
        <f>G52*H52</f>
        <v>0</v>
      </c>
      <c r="J52" s="381"/>
      <c r="K52" s="535">
        <f>F52+I52+J52</f>
        <v>0</v>
      </c>
      <c r="L52" s="383"/>
      <c r="M52" s="261"/>
      <c r="N52" s="385"/>
      <c r="O52" s="386"/>
      <c r="P52" s="387"/>
      <c r="Q52" s="388"/>
    </row>
    <row r="53" spans="1:17" ht="13.8" thickBot="1" x14ac:dyDescent="0.3">
      <c r="A53" s="392"/>
      <c r="B53" s="417"/>
      <c r="C53" s="393"/>
      <c r="D53" s="377"/>
      <c r="E53" s="259"/>
      <c r="F53" s="378"/>
      <c r="G53" s="534"/>
      <c r="H53" s="380"/>
      <c r="I53" s="378"/>
      <c r="J53" s="381"/>
      <c r="K53" s="540"/>
      <c r="L53" s="383"/>
      <c r="M53" s="261"/>
      <c r="N53" s="385"/>
      <c r="O53" s="386"/>
      <c r="P53" s="387"/>
      <c r="Q53" s="388"/>
    </row>
    <row r="54" spans="1:17" ht="13.8" thickTop="1" x14ac:dyDescent="0.25">
      <c r="A54" s="392"/>
      <c r="B54" s="417"/>
      <c r="C54" s="393"/>
      <c r="D54" s="377"/>
      <c r="E54" s="259"/>
      <c r="F54" s="378"/>
      <c r="G54" s="534"/>
      <c r="H54" s="380"/>
      <c r="I54" s="378"/>
      <c r="J54" s="394" t="s">
        <v>30</v>
      </c>
      <c r="K54" s="537">
        <f>SUM(K48:K53)</f>
        <v>0</v>
      </c>
      <c r="L54" s="383"/>
      <c r="M54" s="261"/>
      <c r="N54" s="426"/>
      <c r="O54" s="441"/>
      <c r="P54" s="442"/>
      <c r="Q54" s="388"/>
    </row>
    <row r="55" spans="1:17" ht="13.8" thickBot="1" x14ac:dyDescent="0.3">
      <c r="A55" s="358" t="s">
        <v>0</v>
      </c>
      <c r="B55" s="359" t="s">
        <v>1</v>
      </c>
      <c r="C55" s="1018" t="s">
        <v>656</v>
      </c>
      <c r="D55" s="1018"/>
      <c r="E55" s="1018"/>
      <c r="F55" s="1018"/>
      <c r="G55" s="1018" t="s">
        <v>34</v>
      </c>
      <c r="H55" s="1018"/>
      <c r="I55" s="1018"/>
      <c r="J55" s="360"/>
      <c r="K55" s="528"/>
      <c r="L55" s="396"/>
      <c r="M55" s="360"/>
      <c r="N55" s="443"/>
      <c r="O55" s="441"/>
      <c r="P55" s="442"/>
      <c r="Q55" s="388"/>
    </row>
    <row r="56" spans="1:17" ht="16.2" thickBot="1" x14ac:dyDescent="0.35">
      <c r="A56" s="399"/>
      <c r="B56" s="400"/>
      <c r="C56" s="401" t="s">
        <v>19</v>
      </c>
      <c r="D56" s="402" t="s">
        <v>33</v>
      </c>
      <c r="E56" s="403" t="s">
        <v>35</v>
      </c>
      <c r="F56" s="404" t="s">
        <v>30</v>
      </c>
      <c r="G56" s="538" t="s">
        <v>14</v>
      </c>
      <c r="H56" s="403" t="s">
        <v>35</v>
      </c>
      <c r="I56" s="404" t="s">
        <v>30</v>
      </c>
      <c r="J56" s="369" t="s">
        <v>659</v>
      </c>
      <c r="K56" s="539" t="s">
        <v>38</v>
      </c>
      <c r="L56" s="407"/>
      <c r="M56" s="413"/>
      <c r="N56" s="414"/>
      <c r="O56" s="415"/>
      <c r="P56" s="416"/>
      <c r="Q56" s="388"/>
    </row>
    <row r="57" spans="1:17" x14ac:dyDescent="0.25">
      <c r="A57" s="410"/>
      <c r="B57" s="411"/>
      <c r="C57" s="376"/>
      <c r="D57" s="377" t="s">
        <v>21</v>
      </c>
      <c r="E57" s="259">
        <v>0</v>
      </c>
      <c r="F57" s="378">
        <f t="shared" ref="F57:F63" si="6">C57*E57</f>
        <v>0</v>
      </c>
      <c r="G57" s="534"/>
      <c r="H57" s="380">
        <v>0</v>
      </c>
      <c r="I57" s="378">
        <f t="shared" ref="I57:I63" si="7">G57*H57</f>
        <v>0</v>
      </c>
      <c r="J57" s="381"/>
      <c r="K57" s="535">
        <f t="shared" ref="K57:K63" si="8">F57+I57+J57</f>
        <v>0</v>
      </c>
      <c r="L57" s="383"/>
      <c r="M57" s="261"/>
      <c r="N57" s="385"/>
      <c r="O57" s="386"/>
      <c r="P57" s="387"/>
      <c r="Q57" s="388"/>
    </row>
    <row r="58" spans="1:17" x14ac:dyDescent="0.25">
      <c r="A58" s="375"/>
      <c r="B58" s="5"/>
      <c r="C58" s="376"/>
      <c r="D58" s="377" t="s">
        <v>21</v>
      </c>
      <c r="E58" s="259">
        <v>0</v>
      </c>
      <c r="F58" s="378">
        <f t="shared" si="6"/>
        <v>0</v>
      </c>
      <c r="G58" s="534"/>
      <c r="H58" s="380">
        <v>0</v>
      </c>
      <c r="I58" s="378">
        <f t="shared" si="7"/>
        <v>0</v>
      </c>
      <c r="J58" s="381"/>
      <c r="K58" s="535">
        <f t="shared" si="8"/>
        <v>0</v>
      </c>
      <c r="L58" s="383"/>
      <c r="M58" s="384"/>
      <c r="N58" s="385"/>
      <c r="O58" s="386"/>
      <c r="P58" s="387"/>
      <c r="Q58" s="388"/>
    </row>
    <row r="59" spans="1:17" x14ac:dyDescent="0.25">
      <c r="A59" s="375"/>
      <c r="B59" s="5"/>
      <c r="C59" s="376"/>
      <c r="D59" s="377" t="s">
        <v>21</v>
      </c>
      <c r="E59" s="259">
        <v>0</v>
      </c>
      <c r="F59" s="378">
        <f t="shared" si="6"/>
        <v>0</v>
      </c>
      <c r="G59" s="534"/>
      <c r="H59" s="380">
        <v>0</v>
      </c>
      <c r="I59" s="378">
        <f t="shared" si="7"/>
        <v>0</v>
      </c>
      <c r="J59" s="381"/>
      <c r="K59" s="535">
        <f t="shared" si="8"/>
        <v>0</v>
      </c>
      <c r="L59" s="383"/>
      <c r="M59" s="384"/>
      <c r="N59" s="385"/>
      <c r="O59" s="386"/>
      <c r="P59" s="387"/>
      <c r="Q59" s="388"/>
    </row>
    <row r="60" spans="1:17" x14ac:dyDescent="0.25">
      <c r="A60" s="375"/>
      <c r="B60" s="5"/>
      <c r="C60" s="376"/>
      <c r="D60" s="377" t="s">
        <v>21</v>
      </c>
      <c r="E60" s="259">
        <v>0</v>
      </c>
      <c r="F60" s="378">
        <f t="shared" si="6"/>
        <v>0</v>
      </c>
      <c r="G60" s="534"/>
      <c r="H60" s="380">
        <v>0</v>
      </c>
      <c r="I60" s="378">
        <f t="shared" si="7"/>
        <v>0</v>
      </c>
      <c r="J60" s="381"/>
      <c r="K60" s="535">
        <f t="shared" si="8"/>
        <v>0</v>
      </c>
      <c r="L60" s="383"/>
      <c r="M60" s="384"/>
      <c r="N60" s="385"/>
      <c r="O60" s="386"/>
      <c r="P60" s="387"/>
      <c r="Q60" s="388"/>
    </row>
    <row r="61" spans="1:17" x14ac:dyDescent="0.25">
      <c r="A61" s="375"/>
      <c r="B61" s="5"/>
      <c r="C61" s="376"/>
      <c r="D61" s="377" t="s">
        <v>21</v>
      </c>
      <c r="E61" s="259">
        <v>0</v>
      </c>
      <c r="F61" s="378">
        <f t="shared" si="6"/>
        <v>0</v>
      </c>
      <c r="G61" s="534"/>
      <c r="H61" s="380">
        <v>0</v>
      </c>
      <c r="I61" s="378">
        <f t="shared" si="7"/>
        <v>0</v>
      </c>
      <c r="J61" s="381"/>
      <c r="K61" s="535">
        <f t="shared" si="8"/>
        <v>0</v>
      </c>
      <c r="L61" s="383"/>
      <c r="M61" s="384"/>
      <c r="N61" s="385"/>
      <c r="O61" s="386"/>
      <c r="P61" s="387"/>
      <c r="Q61" s="388"/>
    </row>
    <row r="62" spans="1:17" x14ac:dyDescent="0.25">
      <c r="A62" s="375"/>
      <c r="B62" s="5"/>
      <c r="C62" s="376"/>
      <c r="D62" s="377" t="s">
        <v>21</v>
      </c>
      <c r="E62" s="259">
        <v>0</v>
      </c>
      <c r="F62" s="378">
        <f t="shared" si="6"/>
        <v>0</v>
      </c>
      <c r="G62" s="534"/>
      <c r="H62" s="380">
        <v>0</v>
      </c>
      <c r="I62" s="378">
        <f t="shared" si="7"/>
        <v>0</v>
      </c>
      <c r="J62" s="381"/>
      <c r="K62" s="535">
        <f t="shared" si="8"/>
        <v>0</v>
      </c>
      <c r="L62" s="383"/>
      <c r="M62" s="384"/>
      <c r="N62" s="385"/>
      <c r="O62" s="386"/>
      <c r="P62" s="387"/>
      <c r="Q62" s="388"/>
    </row>
    <row r="63" spans="1:17" x14ac:dyDescent="0.25">
      <c r="A63" s="375"/>
      <c r="B63" s="5"/>
      <c r="C63" s="376"/>
      <c r="D63" s="377" t="s">
        <v>21</v>
      </c>
      <c r="E63" s="259">
        <v>0</v>
      </c>
      <c r="F63" s="378">
        <f t="shared" si="6"/>
        <v>0</v>
      </c>
      <c r="G63" s="534"/>
      <c r="H63" s="380">
        <v>0</v>
      </c>
      <c r="I63" s="378">
        <f t="shared" si="7"/>
        <v>0</v>
      </c>
      <c r="J63" s="381"/>
      <c r="K63" s="535">
        <f t="shared" si="8"/>
        <v>0</v>
      </c>
      <c r="L63" s="383"/>
      <c r="M63" s="384"/>
      <c r="N63" s="385"/>
      <c r="O63" s="386"/>
      <c r="P63" s="387"/>
      <c r="Q63" s="388"/>
    </row>
    <row r="64" spans="1:17" ht="13.8" thickBot="1" x14ac:dyDescent="0.3">
      <c r="A64" s="392"/>
      <c r="B64" s="5"/>
      <c r="C64" s="393"/>
      <c r="D64" s="377"/>
      <c r="E64" s="259"/>
      <c r="F64" s="378"/>
      <c r="G64" s="534"/>
      <c r="H64" s="380"/>
      <c r="I64" s="378"/>
      <c r="J64" s="381"/>
      <c r="K64" s="540"/>
      <c r="L64" s="383"/>
      <c r="M64" s="384"/>
      <c r="N64" s="385"/>
      <c r="O64" s="386"/>
      <c r="P64" s="387"/>
      <c r="Q64" s="388"/>
    </row>
    <row r="65" spans="1:17" ht="14.4" thickTop="1" thickBot="1" x14ac:dyDescent="0.3">
      <c r="A65" s="392"/>
      <c r="B65" s="417"/>
      <c r="C65" s="393"/>
      <c r="D65" s="377"/>
      <c r="E65" s="259"/>
      <c r="F65" s="378"/>
      <c r="G65" s="534"/>
      <c r="H65" s="380"/>
      <c r="I65" s="378"/>
      <c r="J65" s="394" t="s">
        <v>30</v>
      </c>
      <c r="K65" s="537">
        <f>SUM(K57:K64)</f>
        <v>0</v>
      </c>
      <c r="L65" s="541"/>
      <c r="M65" s="578"/>
      <c r="N65" s="542"/>
      <c r="O65" s="545"/>
      <c r="P65" s="546"/>
      <c r="Q65" s="388"/>
    </row>
    <row r="66" spans="1:17" ht="14.1" customHeight="1" thickTop="1" x14ac:dyDescent="0.25">
      <c r="A66" s="483"/>
      <c r="B66" s="484"/>
      <c r="C66" s="485"/>
      <c r="D66" s="485"/>
      <c r="E66" s="486"/>
      <c r="F66" s="1048" t="s">
        <v>658</v>
      </c>
      <c r="G66" s="1071" t="s">
        <v>684</v>
      </c>
      <c r="H66" s="486"/>
      <c r="I66" s="1041" t="s">
        <v>657</v>
      </c>
      <c r="J66" s="1037" t="s">
        <v>685</v>
      </c>
      <c r="K66" s="1073" t="s">
        <v>31</v>
      </c>
      <c r="L66" s="547"/>
      <c r="M66" s="548"/>
      <c r="N66" s="549"/>
      <c r="O66" s="550"/>
      <c r="P66" s="550"/>
      <c r="Q66" s="551"/>
    </row>
    <row r="67" spans="1:17" ht="13.8" x14ac:dyDescent="0.25">
      <c r="A67" s="487" t="s">
        <v>32</v>
      </c>
      <c r="B67" s="1043" t="s">
        <v>43</v>
      </c>
      <c r="C67" s="488"/>
      <c r="D67" s="489"/>
      <c r="E67" s="489"/>
      <c r="F67" s="1049"/>
      <c r="G67" s="1072"/>
      <c r="H67" s="490"/>
      <c r="I67" s="1042"/>
      <c r="J67" s="1038"/>
      <c r="K67" s="1074"/>
      <c r="L67" s="552"/>
      <c r="M67" s="261"/>
      <c r="O67" s="553"/>
      <c r="P67" s="553"/>
      <c r="Q67" s="554"/>
    </row>
    <row r="68" spans="1:17" ht="13.8" x14ac:dyDescent="0.25">
      <c r="A68" s="491">
        <f>K68/E6</f>
        <v>0</v>
      </c>
      <c r="B68" s="1043"/>
      <c r="C68" s="489"/>
      <c r="D68" s="489"/>
      <c r="E68" s="489"/>
      <c r="F68" s="1031">
        <f>SUM(F57:F64,F48:F53,F40:F44,F29:F36,F13:F25)</f>
        <v>0</v>
      </c>
      <c r="G68" s="1076">
        <f>SUM(G57:G64,G48:G53,G40:G44,G29:G36,G13:G25)</f>
        <v>0</v>
      </c>
      <c r="H68" s="490"/>
      <c r="I68" s="1031">
        <f>SUM(I57:I64,I48:I53,I40:I44,I29:I36,I13:I25)</f>
        <v>0</v>
      </c>
      <c r="J68" s="1031">
        <f>SUM(J57:J64,J48:J53,J40:J44,J29:J36,J13:J25)</f>
        <v>0</v>
      </c>
      <c r="K68" s="1039">
        <f>K65+K54+K45+K37+K26</f>
        <v>0</v>
      </c>
      <c r="L68" s="552"/>
      <c r="M68" s="261"/>
      <c r="O68" s="553"/>
      <c r="P68" s="553"/>
      <c r="Q68" s="554"/>
    </row>
    <row r="69" spans="1:17" ht="14.4" thickBot="1" x14ac:dyDescent="0.3">
      <c r="A69" s="487"/>
      <c r="B69" s="555"/>
      <c r="C69" s="493"/>
      <c r="D69" s="493"/>
      <c r="E69" s="493"/>
      <c r="F69" s="1032"/>
      <c r="G69" s="1077"/>
      <c r="H69" s="493"/>
      <c r="I69" s="1032"/>
      <c r="J69" s="1032"/>
      <c r="K69" s="1040"/>
      <c r="L69" s="552"/>
      <c r="M69" s="261"/>
      <c r="O69" s="553"/>
      <c r="P69" s="553"/>
      <c r="Q69" s="554"/>
    </row>
    <row r="70" spans="1:17" ht="13.8" thickBot="1" x14ac:dyDescent="0.3">
      <c r="A70" s="494"/>
      <c r="B70" s="495"/>
      <c r="C70" s="495"/>
      <c r="D70" s="495"/>
      <c r="E70" s="495"/>
      <c r="F70" s="495"/>
      <c r="G70" s="495"/>
      <c r="H70" s="495"/>
      <c r="I70" s="495"/>
      <c r="J70" s="495"/>
      <c r="K70" s="495"/>
      <c r="L70" s="552"/>
      <c r="M70" s="261"/>
      <c r="O70" s="553"/>
      <c r="P70" s="553"/>
      <c r="Q70" s="554"/>
    </row>
    <row r="71" spans="1:17" x14ac:dyDescent="0.25">
      <c r="M71" s="261"/>
      <c r="O71" s="553"/>
      <c r="P71" s="553"/>
      <c r="Q71" s="554"/>
    </row>
    <row r="72" spans="1:17" x14ac:dyDescent="0.25">
      <c r="M72" s="261"/>
      <c r="O72" s="553"/>
      <c r="P72" s="553"/>
      <c r="Q72" s="554"/>
    </row>
    <row r="73" spans="1:17" x14ac:dyDescent="0.25">
      <c r="M73" s="261"/>
      <c r="O73" s="553"/>
      <c r="P73" s="553"/>
      <c r="Q73" s="554"/>
    </row>
    <row r="74" spans="1:17" x14ac:dyDescent="0.25">
      <c r="M74" s="261"/>
      <c r="O74" s="553"/>
      <c r="P74" s="553"/>
      <c r="Q74" s="554"/>
    </row>
    <row r="75" spans="1:17" x14ac:dyDescent="0.25">
      <c r="M75" s="261"/>
      <c r="O75" s="553"/>
      <c r="P75" s="553"/>
      <c r="Q75" s="554"/>
    </row>
    <row r="76" spans="1:17" x14ac:dyDescent="0.25">
      <c r="M76" s="261"/>
      <c r="O76" s="553"/>
      <c r="P76" s="553"/>
      <c r="Q76" s="554"/>
    </row>
    <row r="77" spans="1:17" x14ac:dyDescent="0.25">
      <c r="M77" s="261"/>
      <c r="O77" s="553"/>
      <c r="P77" s="553"/>
      <c r="Q77" s="554"/>
    </row>
    <row r="78" spans="1:17" x14ac:dyDescent="0.25">
      <c r="M78" s="261"/>
      <c r="O78" s="553"/>
      <c r="P78" s="553"/>
      <c r="Q78" s="554"/>
    </row>
    <row r="79" spans="1:17" x14ac:dyDescent="0.25">
      <c r="M79" s="261"/>
      <c r="O79" s="553"/>
      <c r="P79" s="553"/>
      <c r="Q79" s="554"/>
    </row>
    <row r="80" spans="1:17" x14ac:dyDescent="0.25">
      <c r="M80" s="261"/>
      <c r="O80" s="553"/>
      <c r="P80" s="553"/>
      <c r="Q80" s="554"/>
    </row>
    <row r="81" spans="13:17" x14ac:dyDescent="0.25">
      <c r="M81" s="261"/>
      <c r="O81" s="553"/>
      <c r="P81" s="553"/>
      <c r="Q81" s="554"/>
    </row>
    <row r="82" spans="13:17" x14ac:dyDescent="0.25">
      <c r="M82" s="261"/>
      <c r="O82" s="553"/>
      <c r="P82" s="553"/>
      <c r="Q82" s="554"/>
    </row>
    <row r="83" spans="13:17" x14ac:dyDescent="0.25">
      <c r="M83" s="261"/>
      <c r="O83" s="553"/>
      <c r="P83" s="553"/>
      <c r="Q83" s="554"/>
    </row>
    <row r="84" spans="13:17" x14ac:dyDescent="0.25">
      <c r="M84" s="261"/>
      <c r="O84" s="553"/>
      <c r="P84" s="553"/>
      <c r="Q84" s="554"/>
    </row>
    <row r="85" spans="13:17" x14ac:dyDescent="0.25">
      <c r="M85" s="261"/>
      <c r="O85" s="553"/>
      <c r="P85" s="553"/>
      <c r="Q85" s="554"/>
    </row>
    <row r="86" spans="13:17" x14ac:dyDescent="0.25">
      <c r="M86" s="261"/>
      <c r="O86" s="553"/>
      <c r="P86" s="553"/>
      <c r="Q86" s="554"/>
    </row>
    <row r="87" spans="13:17" x14ac:dyDescent="0.25">
      <c r="M87" s="261"/>
      <c r="O87" s="553"/>
      <c r="P87" s="553"/>
      <c r="Q87" s="554"/>
    </row>
    <row r="88" spans="13:17" x14ac:dyDescent="0.25">
      <c r="M88" s="261"/>
      <c r="O88" s="553"/>
      <c r="P88" s="553"/>
      <c r="Q88" s="554"/>
    </row>
    <row r="89" spans="13:17" x14ac:dyDescent="0.25">
      <c r="M89" s="261"/>
      <c r="O89" s="553"/>
      <c r="P89" s="553"/>
      <c r="Q89" s="554"/>
    </row>
    <row r="90" spans="13:17" x14ac:dyDescent="0.25">
      <c r="M90" s="261"/>
      <c r="O90" s="553"/>
      <c r="P90" s="553"/>
      <c r="Q90" s="554"/>
    </row>
    <row r="91" spans="13:17" x14ac:dyDescent="0.25">
      <c r="M91" s="261"/>
      <c r="O91" s="553"/>
      <c r="P91" s="553"/>
      <c r="Q91" s="554"/>
    </row>
    <row r="92" spans="13:17" x14ac:dyDescent="0.25">
      <c r="M92" s="261"/>
      <c r="O92" s="553"/>
      <c r="P92" s="553"/>
      <c r="Q92" s="554"/>
    </row>
    <row r="93" spans="13:17" x14ac:dyDescent="0.25">
      <c r="M93" s="261"/>
      <c r="O93" s="553"/>
      <c r="P93" s="553"/>
      <c r="Q93" s="554"/>
    </row>
    <row r="94" spans="13:17" x14ac:dyDescent="0.25">
      <c r="M94" s="261"/>
      <c r="O94" s="553"/>
      <c r="P94" s="553"/>
      <c r="Q94" s="554"/>
    </row>
    <row r="95" spans="13:17" x14ac:dyDescent="0.25">
      <c r="M95" s="261"/>
      <c r="O95" s="553"/>
      <c r="P95" s="553"/>
      <c r="Q95" s="554"/>
    </row>
    <row r="96" spans="13:17" x14ac:dyDescent="0.25">
      <c r="M96" s="261"/>
      <c r="O96" s="553"/>
      <c r="P96" s="553"/>
      <c r="Q96" s="554"/>
    </row>
    <row r="97" spans="13:17" x14ac:dyDescent="0.25">
      <c r="M97" s="261"/>
      <c r="O97" s="553"/>
      <c r="P97" s="553"/>
      <c r="Q97" s="554"/>
    </row>
    <row r="98" spans="13:17" x14ac:dyDescent="0.25">
      <c r="M98" s="261"/>
      <c r="O98" s="553"/>
      <c r="P98" s="553"/>
      <c r="Q98" s="554"/>
    </row>
  </sheetData>
  <mergeCells count="55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B67:B68"/>
    <mergeCell ref="C55:F55"/>
    <mergeCell ref="G55:I55"/>
    <mergeCell ref="C27:F27"/>
    <mergeCell ref="G27:I27"/>
    <mergeCell ref="C38:F38"/>
    <mergeCell ref="G38:I38"/>
    <mergeCell ref="C46:F46"/>
    <mergeCell ref="G46:I46"/>
    <mergeCell ref="F68:F69"/>
    <mergeCell ref="G68:G69"/>
    <mergeCell ref="I68:I69"/>
    <mergeCell ref="J68:J69"/>
    <mergeCell ref="K68:K69"/>
    <mergeCell ref="F66:F67"/>
    <mergeCell ref="G66:G67"/>
    <mergeCell ref="I66:I67"/>
    <mergeCell ref="J66:J67"/>
    <mergeCell ref="K66:K67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8" fitToHeight="3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A1:Q79"/>
  <sheetViews>
    <sheetView zoomScale="90" zoomScaleNormal="75" zoomScaleSheetLayoutView="90" zoomScalePageLayoutView="75" workbookViewId="0">
      <selection activeCell="J70" sqref="J70"/>
    </sheetView>
  </sheetViews>
  <sheetFormatPr defaultColWidth="9.109375" defaultRowHeight="13.2" x14ac:dyDescent="0.25"/>
  <cols>
    <col min="1" max="1" width="12.109375" style="157" bestFit="1" customWidth="1"/>
    <col min="2" max="2" width="44.5546875" style="157" customWidth="1"/>
    <col min="3" max="4" width="4.88671875" style="445" customWidth="1"/>
    <col min="5" max="5" width="11.109375" style="157" customWidth="1"/>
    <col min="6" max="6" width="12.44140625" style="157" customWidth="1"/>
    <col min="7" max="7" width="7" style="157" customWidth="1"/>
    <col min="8" max="8" width="11.109375" style="157" customWidth="1"/>
    <col min="9" max="9" width="12.44140625" style="157" customWidth="1"/>
    <col min="10" max="10" width="15.88671875" style="157" customWidth="1"/>
    <col min="11" max="11" width="14.109375" style="157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6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x14ac:dyDescent="0.25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x14ac:dyDescent="0.25">
      <c r="A9" s="526"/>
      <c r="B9" s="203"/>
      <c r="C9" s="1079"/>
      <c r="D9" s="1079"/>
      <c r="E9" s="1075"/>
      <c r="F9" s="1075"/>
      <c r="G9" s="1080"/>
      <c r="H9" s="1075"/>
      <c r="I9" s="1075"/>
      <c r="J9" s="1075"/>
      <c r="K9" s="1078"/>
      <c r="L9" s="473"/>
      <c r="M9" s="472"/>
      <c r="N9" s="418"/>
      <c r="O9" s="419"/>
      <c r="P9" s="419"/>
    </row>
    <row r="10" spans="1:17" ht="13.8" thickBot="1" x14ac:dyDescent="0.3">
      <c r="A10" s="406"/>
      <c r="B10" s="527"/>
      <c r="C10" s="1079"/>
      <c r="D10" s="1079"/>
      <c r="E10" s="1075"/>
      <c r="F10" s="1075"/>
      <c r="G10" s="1080"/>
      <c r="H10" s="1075"/>
      <c r="I10" s="1075"/>
      <c r="J10" s="1075"/>
      <c r="K10" s="1078"/>
      <c r="L10" s="473"/>
      <c r="M10" s="472"/>
      <c r="N10" s="418"/>
      <c r="O10" s="419"/>
      <c r="P10" s="419"/>
    </row>
    <row r="11" spans="1:17" ht="14.4" thickTop="1" thickBot="1" x14ac:dyDescent="0.3">
      <c r="A11" s="358" t="s">
        <v>0</v>
      </c>
      <c r="B11" s="359" t="s">
        <v>1</v>
      </c>
      <c r="C11" s="1018" t="s">
        <v>656</v>
      </c>
      <c r="D11" s="1018"/>
      <c r="E11" s="1018"/>
      <c r="F11" s="1018"/>
      <c r="G11" s="1018" t="s">
        <v>34</v>
      </c>
      <c r="H11" s="1018"/>
      <c r="I11" s="1018"/>
      <c r="J11" s="360"/>
      <c r="K11" s="528"/>
      <c r="L11" s="1021" t="s">
        <v>782</v>
      </c>
      <c r="M11" s="1023" t="s">
        <v>783</v>
      </c>
      <c r="N11" s="1025" t="s">
        <v>784</v>
      </c>
      <c r="O11" s="1027"/>
      <c r="P11" s="1029"/>
      <c r="Q11" s="1019"/>
    </row>
    <row r="12" spans="1:17" ht="16.2" thickBot="1" x14ac:dyDescent="0.35">
      <c r="A12" s="583" t="s">
        <v>179</v>
      </c>
      <c r="B12" s="584" t="s">
        <v>185</v>
      </c>
      <c r="C12" s="365" t="s">
        <v>19</v>
      </c>
      <c r="D12" s="365" t="s">
        <v>33</v>
      </c>
      <c r="E12" s="366" t="s">
        <v>35</v>
      </c>
      <c r="F12" s="367" t="s">
        <v>30</v>
      </c>
      <c r="G12" s="531" t="s">
        <v>14</v>
      </c>
      <c r="H12" s="366" t="s">
        <v>35</v>
      </c>
      <c r="I12" s="367" t="s">
        <v>30</v>
      </c>
      <c r="J12" s="369" t="s">
        <v>659</v>
      </c>
      <c r="K12" s="532" t="s">
        <v>38</v>
      </c>
      <c r="L12" s="1022"/>
      <c r="M12" s="1024"/>
      <c r="N12" s="1026"/>
      <c r="O12" s="1028"/>
      <c r="P12" s="1030"/>
      <c r="Q12" s="1020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ref="F13:F24" si="0">C13*E13</f>
        <v>0</v>
      </c>
      <c r="G13" s="534"/>
      <c r="H13" s="380">
        <v>0</v>
      </c>
      <c r="I13" s="378">
        <f t="shared" ref="I13:I24" si="1">G13*H13</f>
        <v>0</v>
      </c>
      <c r="J13" s="381"/>
      <c r="K13" s="535">
        <f t="shared" ref="K13:K24" si="2">F13+I13+J13</f>
        <v>0</v>
      </c>
      <c r="L13" s="383"/>
      <c r="M13" s="384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5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75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75"/>
      <c r="B17" s="6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383"/>
      <c r="M17" s="384"/>
      <c r="N17" s="385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383"/>
      <c r="M18" s="384"/>
      <c r="N18" s="385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383"/>
      <c r="M19" s="384"/>
      <c r="N19" s="385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383"/>
      <c r="M20" s="384"/>
      <c r="N20" s="385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383"/>
      <c r="M21" s="384"/>
      <c r="N21" s="385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383"/>
      <c r="M22" s="384"/>
      <c r="N22" s="385"/>
      <c r="O22" s="386"/>
      <c r="P22" s="387"/>
      <c r="Q22" s="388"/>
    </row>
    <row r="23" spans="1:17" x14ac:dyDescent="0.25">
      <c r="A23" s="389"/>
      <c r="B23" s="5"/>
      <c r="C23" s="376"/>
      <c r="D23" s="377" t="s">
        <v>21</v>
      </c>
      <c r="E23" s="259">
        <v>0</v>
      </c>
      <c r="F23" s="378">
        <f t="shared" si="0"/>
        <v>0</v>
      </c>
      <c r="G23" s="534"/>
      <c r="H23" s="380">
        <v>0</v>
      </c>
      <c r="I23" s="378">
        <f t="shared" si="1"/>
        <v>0</v>
      </c>
      <c r="J23" s="381"/>
      <c r="K23" s="535">
        <f t="shared" si="2"/>
        <v>0</v>
      </c>
      <c r="L23" s="383"/>
      <c r="M23" s="384"/>
      <c r="N23" s="385"/>
      <c r="O23" s="386"/>
      <c r="P23" s="387"/>
      <c r="Q23" s="388"/>
    </row>
    <row r="24" spans="1:17" x14ac:dyDescent="0.25">
      <c r="A24" s="389"/>
      <c r="B24" s="5"/>
      <c r="C24" s="376"/>
      <c r="D24" s="377" t="s">
        <v>21</v>
      </c>
      <c r="E24" s="259">
        <v>0</v>
      </c>
      <c r="F24" s="378">
        <f t="shared" si="0"/>
        <v>0</v>
      </c>
      <c r="G24" s="534"/>
      <c r="H24" s="380">
        <v>0</v>
      </c>
      <c r="I24" s="378">
        <f t="shared" si="1"/>
        <v>0</v>
      </c>
      <c r="J24" s="381"/>
      <c r="K24" s="535">
        <f t="shared" si="2"/>
        <v>0</v>
      </c>
      <c r="L24" s="383"/>
      <c r="M24" s="384"/>
      <c r="N24" s="385"/>
      <c r="O24" s="386"/>
      <c r="P24" s="387"/>
      <c r="Q24" s="388"/>
    </row>
    <row r="25" spans="1:17" ht="13.8" thickBot="1" x14ac:dyDescent="0.3">
      <c r="A25" s="392"/>
      <c r="B25" s="7"/>
      <c r="C25" s="393"/>
      <c r="D25" s="377"/>
      <c r="E25" s="259"/>
      <c r="F25" s="378"/>
      <c r="G25" s="534"/>
      <c r="H25" s="380"/>
      <c r="I25" s="378"/>
      <c r="J25" s="381"/>
      <c r="K25" s="535"/>
      <c r="L25" s="383"/>
      <c r="M25" s="384"/>
      <c r="N25" s="385"/>
      <c r="O25" s="386"/>
      <c r="P25" s="387"/>
      <c r="Q25" s="388"/>
    </row>
    <row r="26" spans="1:17" ht="13.8" thickTop="1" x14ac:dyDescent="0.25">
      <c r="A26" s="392"/>
      <c r="B26" s="7"/>
      <c r="C26" s="393"/>
      <c r="D26" s="377"/>
      <c r="E26" s="259"/>
      <c r="F26" s="378"/>
      <c r="G26" s="534"/>
      <c r="H26" s="380"/>
      <c r="I26" s="378"/>
      <c r="J26" s="394" t="s">
        <v>30</v>
      </c>
      <c r="K26" s="537">
        <f>SUM(K13:K25)</f>
        <v>0</v>
      </c>
      <c r="L26" s="383"/>
      <c r="M26" s="384"/>
      <c r="N26" s="385"/>
      <c r="O26" s="386"/>
      <c r="P26" s="387"/>
      <c r="Q26" s="388"/>
    </row>
    <row r="27" spans="1:17" s="159" customFormat="1" ht="13.8" thickBot="1" x14ac:dyDescent="0.3">
      <c r="A27" s="358" t="s">
        <v>0</v>
      </c>
      <c r="B27" s="359" t="s">
        <v>1</v>
      </c>
      <c r="C27" s="1018" t="s">
        <v>656</v>
      </c>
      <c r="D27" s="1018"/>
      <c r="E27" s="1018"/>
      <c r="F27" s="1018"/>
      <c r="G27" s="1018" t="s">
        <v>34</v>
      </c>
      <c r="H27" s="1018"/>
      <c r="I27" s="1018"/>
      <c r="J27" s="360"/>
      <c r="K27" s="528"/>
      <c r="L27" s="396"/>
      <c r="M27" s="397"/>
      <c r="N27" s="398"/>
      <c r="O27" s="386"/>
      <c r="P27" s="387"/>
      <c r="Q27" s="388"/>
    </row>
    <row r="28" spans="1:17" s="159" customFormat="1" ht="16.2" thickBot="1" x14ac:dyDescent="0.35">
      <c r="A28" s="583" t="s">
        <v>180</v>
      </c>
      <c r="B28" s="584" t="s">
        <v>186</v>
      </c>
      <c r="C28" s="402" t="s">
        <v>19</v>
      </c>
      <c r="D28" s="402" t="s">
        <v>33</v>
      </c>
      <c r="E28" s="403" t="s">
        <v>35</v>
      </c>
      <c r="F28" s="404" t="s">
        <v>30</v>
      </c>
      <c r="G28" s="538" t="s">
        <v>14</v>
      </c>
      <c r="H28" s="403" t="s">
        <v>35</v>
      </c>
      <c r="I28" s="404" t="s">
        <v>30</v>
      </c>
      <c r="J28" s="369" t="s">
        <v>659</v>
      </c>
      <c r="K28" s="539" t="s">
        <v>38</v>
      </c>
      <c r="L28" s="407"/>
      <c r="M28" s="408"/>
      <c r="N28" s="409"/>
      <c r="O28" s="386"/>
      <c r="P28" s="387"/>
      <c r="Q28" s="388"/>
    </row>
    <row r="29" spans="1:17" s="159" customFormat="1" x14ac:dyDescent="0.25">
      <c r="A29" s="375"/>
      <c r="B29" s="5"/>
      <c r="C29" s="376"/>
      <c r="D29" s="377" t="s">
        <v>21</v>
      </c>
      <c r="E29" s="259">
        <v>0</v>
      </c>
      <c r="F29" s="378">
        <f t="shared" ref="F29:F35" si="3">C29*E29</f>
        <v>0</v>
      </c>
      <c r="G29" s="534"/>
      <c r="H29" s="380">
        <v>0</v>
      </c>
      <c r="I29" s="378">
        <f t="shared" ref="I29:I35" si="4">G29*H29</f>
        <v>0</v>
      </c>
      <c r="J29" s="381"/>
      <c r="K29" s="535">
        <f t="shared" ref="K29:K35" si="5">F29+I29+J29</f>
        <v>0</v>
      </c>
      <c r="L29" s="383"/>
      <c r="M29" s="384"/>
      <c r="N29" s="385"/>
      <c r="O29" s="386"/>
      <c r="P29" s="387"/>
      <c r="Q29" s="388"/>
    </row>
    <row r="30" spans="1:17" s="159" customFormat="1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s="159" customFormat="1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383"/>
      <c r="M31" s="384"/>
      <c r="N31" s="385"/>
      <c r="O31" s="386"/>
      <c r="P31" s="387"/>
      <c r="Q31" s="388"/>
    </row>
    <row r="32" spans="1:17" s="159" customFormat="1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L32" s="383"/>
      <c r="M32" s="384"/>
      <c r="N32" s="385"/>
      <c r="O32" s="386"/>
      <c r="P32" s="387"/>
      <c r="Q32" s="388"/>
    </row>
    <row r="33" spans="1:17" s="159" customFormat="1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383"/>
      <c r="M33" s="384"/>
      <c r="N33" s="385"/>
      <c r="O33" s="386"/>
      <c r="P33" s="387"/>
      <c r="Q33" s="388"/>
    </row>
    <row r="34" spans="1:17" s="159" customFormat="1" x14ac:dyDescent="0.25">
      <c r="A34" s="375"/>
      <c r="B34" s="5"/>
      <c r="C34" s="376"/>
      <c r="D34" s="377" t="s">
        <v>21</v>
      </c>
      <c r="E34" s="259">
        <v>0</v>
      </c>
      <c r="F34" s="378">
        <f t="shared" si="3"/>
        <v>0</v>
      </c>
      <c r="G34" s="534"/>
      <c r="H34" s="380">
        <v>0</v>
      </c>
      <c r="I34" s="378">
        <f t="shared" si="4"/>
        <v>0</v>
      </c>
      <c r="J34" s="381"/>
      <c r="K34" s="535">
        <f t="shared" si="5"/>
        <v>0</v>
      </c>
      <c r="L34" s="383"/>
      <c r="M34" s="384"/>
      <c r="N34" s="385"/>
      <c r="O34" s="386"/>
      <c r="P34" s="387"/>
      <c r="Q34" s="388"/>
    </row>
    <row r="35" spans="1:17" s="159" customFormat="1" x14ac:dyDescent="0.25">
      <c r="A35" s="375"/>
      <c r="B35" s="5"/>
      <c r="C35" s="376"/>
      <c r="D35" s="377" t="s">
        <v>21</v>
      </c>
      <c r="E35" s="259">
        <v>0</v>
      </c>
      <c r="F35" s="378">
        <f t="shared" si="3"/>
        <v>0</v>
      </c>
      <c r="G35" s="534"/>
      <c r="H35" s="380">
        <v>0</v>
      </c>
      <c r="I35" s="378">
        <f t="shared" si="4"/>
        <v>0</v>
      </c>
      <c r="J35" s="381"/>
      <c r="K35" s="535">
        <f t="shared" si="5"/>
        <v>0</v>
      </c>
      <c r="L35" s="383"/>
      <c r="M35" s="384"/>
      <c r="N35" s="385"/>
      <c r="O35" s="386"/>
      <c r="P35" s="387"/>
      <c r="Q35" s="388"/>
    </row>
    <row r="36" spans="1:17" s="159" customFormat="1" ht="13.8" thickBot="1" x14ac:dyDescent="0.3">
      <c r="A36" s="375"/>
      <c r="B36" s="5"/>
      <c r="C36" s="393"/>
      <c r="D36" s="377"/>
      <c r="E36" s="259"/>
      <c r="F36" s="378"/>
      <c r="G36" s="534"/>
      <c r="H36" s="380"/>
      <c r="I36" s="378"/>
      <c r="J36" s="381"/>
      <c r="K36" s="540"/>
      <c r="L36" s="383"/>
      <c r="M36" s="384"/>
      <c r="N36" s="385"/>
      <c r="O36" s="386"/>
      <c r="P36" s="387"/>
      <c r="Q36" s="388"/>
    </row>
    <row r="37" spans="1:17" s="159" customFormat="1" ht="13.8" thickTop="1" x14ac:dyDescent="0.25">
      <c r="A37" s="392"/>
      <c r="B37" s="5"/>
      <c r="C37" s="393"/>
      <c r="D37" s="377"/>
      <c r="E37" s="259"/>
      <c r="F37" s="378"/>
      <c r="G37" s="534"/>
      <c r="H37" s="380"/>
      <c r="I37" s="378"/>
      <c r="J37" s="394" t="s">
        <v>30</v>
      </c>
      <c r="K37" s="537">
        <f>SUM(K29:K36)</f>
        <v>0</v>
      </c>
      <c r="L37" s="383"/>
      <c r="M37" s="384"/>
      <c r="N37" s="385"/>
      <c r="O37" s="386"/>
      <c r="P37" s="387"/>
      <c r="Q37" s="388"/>
    </row>
    <row r="38" spans="1:17" s="159" customFormat="1" ht="13.8" thickBot="1" x14ac:dyDescent="0.3">
      <c r="A38" s="358" t="s">
        <v>0</v>
      </c>
      <c r="B38" s="359" t="s">
        <v>1</v>
      </c>
      <c r="C38" s="1018" t="s">
        <v>656</v>
      </c>
      <c r="D38" s="1018"/>
      <c r="E38" s="1018"/>
      <c r="F38" s="1018"/>
      <c r="G38" s="1018" t="s">
        <v>34</v>
      </c>
      <c r="H38" s="1018"/>
      <c r="I38" s="1018"/>
      <c r="J38" s="360"/>
      <c r="K38" s="528"/>
      <c r="L38" s="396"/>
      <c r="M38" s="397"/>
      <c r="N38" s="398"/>
      <c r="O38" s="386"/>
      <c r="P38" s="387"/>
      <c r="Q38" s="388"/>
    </row>
    <row r="39" spans="1:17" s="159" customFormat="1" ht="16.2" thickBot="1" x14ac:dyDescent="0.35">
      <c r="A39" s="583" t="s">
        <v>181</v>
      </c>
      <c r="B39" s="584" t="s">
        <v>187</v>
      </c>
      <c r="C39" s="402" t="s">
        <v>19</v>
      </c>
      <c r="D39" s="402" t="s">
        <v>33</v>
      </c>
      <c r="E39" s="403" t="s">
        <v>35</v>
      </c>
      <c r="F39" s="404" t="s">
        <v>30</v>
      </c>
      <c r="G39" s="538" t="s">
        <v>14</v>
      </c>
      <c r="H39" s="403" t="s">
        <v>35</v>
      </c>
      <c r="I39" s="404" t="s">
        <v>30</v>
      </c>
      <c r="J39" s="369" t="s">
        <v>659</v>
      </c>
      <c r="K39" s="539" t="s">
        <v>38</v>
      </c>
      <c r="L39" s="407"/>
      <c r="M39" s="413"/>
      <c r="N39" s="414"/>
      <c r="O39" s="415"/>
      <c r="P39" s="416"/>
      <c r="Q39" s="388"/>
    </row>
    <row r="40" spans="1:17" s="159" customFormat="1" x14ac:dyDescent="0.25">
      <c r="A40" s="375"/>
      <c r="B40" s="5"/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L40" s="383"/>
      <c r="M40" s="261"/>
      <c r="N40" s="426"/>
      <c r="O40" s="415"/>
      <c r="P40" s="416"/>
      <c r="Q40" s="388"/>
    </row>
    <row r="41" spans="1:17" s="159" customFormat="1" x14ac:dyDescent="0.25">
      <c r="A41" s="375"/>
      <c r="B41" s="5"/>
      <c r="C41" s="376"/>
      <c r="D41" s="377" t="s">
        <v>21</v>
      </c>
      <c r="E41" s="259">
        <v>0</v>
      </c>
      <c r="F41" s="378">
        <f>C41*E41</f>
        <v>0</v>
      </c>
      <c r="G41" s="534"/>
      <c r="H41" s="380">
        <v>0</v>
      </c>
      <c r="I41" s="378">
        <f>G41*H41</f>
        <v>0</v>
      </c>
      <c r="J41" s="381"/>
      <c r="K41" s="535">
        <f>F41+I41+J41</f>
        <v>0</v>
      </c>
      <c r="L41" s="383"/>
      <c r="M41" s="261"/>
      <c r="N41" s="426"/>
      <c r="O41" s="415"/>
      <c r="P41" s="416"/>
      <c r="Q41" s="388"/>
    </row>
    <row r="42" spans="1:17" s="159" customFormat="1" x14ac:dyDescent="0.25">
      <c r="A42" s="375"/>
      <c r="B42" s="5"/>
      <c r="C42" s="376"/>
      <c r="D42" s="377" t="s">
        <v>21</v>
      </c>
      <c r="E42" s="259">
        <v>0</v>
      </c>
      <c r="F42" s="378">
        <f>C42*E42</f>
        <v>0</v>
      </c>
      <c r="G42" s="534"/>
      <c r="H42" s="380">
        <v>0</v>
      </c>
      <c r="I42" s="378">
        <f>G42*H42</f>
        <v>0</v>
      </c>
      <c r="J42" s="381"/>
      <c r="K42" s="535">
        <f>F42+I42+J42</f>
        <v>0</v>
      </c>
      <c r="L42" s="383"/>
      <c r="M42" s="261"/>
      <c r="N42" s="426"/>
      <c r="O42" s="415"/>
      <c r="P42" s="416"/>
      <c r="Q42" s="388"/>
    </row>
    <row r="43" spans="1:17" s="159" customFormat="1" x14ac:dyDescent="0.25">
      <c r="A43" s="392"/>
      <c r="B43" s="417"/>
      <c r="C43" s="393"/>
      <c r="D43" s="377"/>
      <c r="E43" s="259"/>
      <c r="F43" s="378"/>
      <c r="G43" s="534"/>
      <c r="H43" s="380"/>
      <c r="I43" s="378"/>
      <c r="J43" s="381"/>
      <c r="K43" s="540"/>
      <c r="L43" s="383"/>
      <c r="M43" s="261"/>
      <c r="N43" s="426"/>
      <c r="O43" s="415"/>
      <c r="P43" s="416"/>
      <c r="Q43" s="388"/>
    </row>
    <row r="44" spans="1:17" s="159" customFormat="1" ht="13.8" thickBot="1" x14ac:dyDescent="0.3">
      <c r="A44" s="392"/>
      <c r="B44" s="417"/>
      <c r="C44" s="393"/>
      <c r="D44" s="377"/>
      <c r="E44" s="259"/>
      <c r="F44" s="378"/>
      <c r="G44" s="534"/>
      <c r="H44" s="380"/>
      <c r="I44" s="378"/>
      <c r="J44" s="381"/>
      <c r="K44" s="540"/>
      <c r="L44" s="383"/>
      <c r="M44" s="261"/>
      <c r="N44" s="426"/>
      <c r="O44" s="415"/>
      <c r="P44" s="416"/>
      <c r="Q44" s="388"/>
    </row>
    <row r="45" spans="1:17" s="159" customFormat="1" ht="13.8" thickTop="1" x14ac:dyDescent="0.25">
      <c r="A45" s="392"/>
      <c r="B45" s="417"/>
      <c r="C45" s="393"/>
      <c r="D45" s="377"/>
      <c r="E45" s="259"/>
      <c r="F45" s="378"/>
      <c r="G45" s="534"/>
      <c r="H45" s="380"/>
      <c r="I45" s="378"/>
      <c r="J45" s="394" t="s">
        <v>30</v>
      </c>
      <c r="K45" s="537">
        <f>SUM(K40:K44)</f>
        <v>0</v>
      </c>
      <c r="L45" s="383"/>
      <c r="M45" s="261"/>
      <c r="N45" s="385"/>
      <c r="O45" s="386"/>
      <c r="P45" s="387"/>
      <c r="Q45" s="388"/>
    </row>
    <row r="46" spans="1:17" s="159" customFormat="1" ht="13.8" thickBot="1" x14ac:dyDescent="0.3">
      <c r="A46" s="358" t="s">
        <v>0</v>
      </c>
      <c r="B46" s="359" t="s">
        <v>1</v>
      </c>
      <c r="C46" s="1018" t="s">
        <v>656</v>
      </c>
      <c r="D46" s="1018"/>
      <c r="E46" s="1018"/>
      <c r="F46" s="1018"/>
      <c r="G46" s="1018" t="s">
        <v>34</v>
      </c>
      <c r="H46" s="1018"/>
      <c r="I46" s="1018"/>
      <c r="J46" s="360"/>
      <c r="K46" s="528"/>
      <c r="L46" s="396"/>
      <c r="M46" s="360"/>
      <c r="N46" s="398"/>
      <c r="O46" s="386"/>
      <c r="P46" s="387"/>
      <c r="Q46" s="388"/>
    </row>
    <row r="47" spans="1:17" s="159" customFormat="1" ht="16.2" thickBot="1" x14ac:dyDescent="0.35">
      <c r="A47" s="583" t="s">
        <v>182</v>
      </c>
      <c r="B47" s="584" t="s">
        <v>188</v>
      </c>
      <c r="C47" s="402" t="s">
        <v>19</v>
      </c>
      <c r="D47" s="402" t="s">
        <v>33</v>
      </c>
      <c r="E47" s="403" t="s">
        <v>35</v>
      </c>
      <c r="F47" s="404" t="s">
        <v>30</v>
      </c>
      <c r="G47" s="538" t="s">
        <v>14</v>
      </c>
      <c r="H47" s="403" t="s">
        <v>35</v>
      </c>
      <c r="I47" s="404" t="s">
        <v>30</v>
      </c>
      <c r="J47" s="369" t="s">
        <v>659</v>
      </c>
      <c r="K47" s="539" t="s">
        <v>38</v>
      </c>
      <c r="L47" s="407"/>
      <c r="M47" s="413"/>
      <c r="N47" s="409"/>
      <c r="O47" s="386"/>
      <c r="P47" s="416"/>
      <c r="Q47" s="388"/>
    </row>
    <row r="48" spans="1:17" s="159" customFormat="1" x14ac:dyDescent="0.25">
      <c r="A48" s="375"/>
      <c r="B48" s="5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383"/>
      <c r="M48" s="261"/>
      <c r="N48" s="385"/>
      <c r="O48" s="386"/>
      <c r="P48" s="387"/>
      <c r="Q48" s="388"/>
    </row>
    <row r="49" spans="1:17" s="159" customFormat="1" x14ac:dyDescent="0.25">
      <c r="A49" s="375"/>
      <c r="B49" s="5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383"/>
      <c r="M49" s="261"/>
      <c r="N49" s="385"/>
      <c r="O49" s="386"/>
      <c r="P49" s="387"/>
      <c r="Q49" s="388"/>
    </row>
    <row r="50" spans="1:17" s="159" customFormat="1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385"/>
      <c r="O50" s="386"/>
      <c r="P50" s="387"/>
      <c r="Q50" s="388"/>
    </row>
    <row r="51" spans="1:17" s="159" customFormat="1" x14ac:dyDescent="0.25">
      <c r="A51" s="375"/>
      <c r="B51" s="5"/>
      <c r="C51" s="376"/>
      <c r="D51" s="377" t="s">
        <v>21</v>
      </c>
      <c r="E51" s="259">
        <v>0</v>
      </c>
      <c r="F51" s="378">
        <f>C51*E51</f>
        <v>0</v>
      </c>
      <c r="G51" s="534"/>
      <c r="H51" s="380">
        <v>0</v>
      </c>
      <c r="I51" s="378">
        <f>G51*H51</f>
        <v>0</v>
      </c>
      <c r="J51" s="381"/>
      <c r="K51" s="535">
        <f>F51+I51+J51</f>
        <v>0</v>
      </c>
      <c r="L51" s="383"/>
      <c r="M51" s="261"/>
      <c r="N51" s="385"/>
      <c r="O51" s="386"/>
      <c r="P51" s="387"/>
      <c r="Q51" s="388"/>
    </row>
    <row r="52" spans="1:17" s="159" customFormat="1" x14ac:dyDescent="0.25">
      <c r="A52" s="375"/>
      <c r="B52" s="5"/>
      <c r="C52" s="376"/>
      <c r="D52" s="377" t="s">
        <v>21</v>
      </c>
      <c r="E52" s="259">
        <v>0</v>
      </c>
      <c r="F52" s="378">
        <f>C52*E52</f>
        <v>0</v>
      </c>
      <c r="G52" s="534"/>
      <c r="H52" s="380">
        <v>0</v>
      </c>
      <c r="I52" s="378">
        <f>G52*H52</f>
        <v>0</v>
      </c>
      <c r="J52" s="381"/>
      <c r="K52" s="535">
        <f>F52+I52+J52</f>
        <v>0</v>
      </c>
      <c r="L52" s="383"/>
      <c r="M52" s="261"/>
      <c r="N52" s="385"/>
      <c r="O52" s="386"/>
      <c r="P52" s="387"/>
      <c r="Q52" s="388"/>
    </row>
    <row r="53" spans="1:17" s="159" customFormat="1" ht="13.8" thickBot="1" x14ac:dyDescent="0.3">
      <c r="A53" s="392"/>
      <c r="B53" s="417"/>
      <c r="C53" s="393"/>
      <c r="D53" s="377"/>
      <c r="E53" s="259"/>
      <c r="F53" s="378"/>
      <c r="G53" s="534"/>
      <c r="H53" s="380"/>
      <c r="I53" s="378"/>
      <c r="J53" s="381"/>
      <c r="K53" s="540"/>
      <c r="L53" s="383"/>
      <c r="M53" s="261"/>
      <c r="N53" s="385"/>
      <c r="O53" s="386"/>
      <c r="P53" s="387"/>
      <c r="Q53" s="388"/>
    </row>
    <row r="54" spans="1:17" s="159" customFormat="1" ht="13.8" thickTop="1" x14ac:dyDescent="0.25">
      <c r="A54" s="392"/>
      <c r="B54" s="417"/>
      <c r="C54" s="393"/>
      <c r="D54" s="377"/>
      <c r="E54" s="259"/>
      <c r="F54" s="378"/>
      <c r="G54" s="534"/>
      <c r="H54" s="380"/>
      <c r="I54" s="378"/>
      <c r="J54" s="394" t="s">
        <v>30</v>
      </c>
      <c r="K54" s="537">
        <f>SUM(K48:K53)</f>
        <v>0</v>
      </c>
      <c r="L54" s="383"/>
      <c r="M54" s="261"/>
      <c r="N54" s="426"/>
      <c r="O54" s="441"/>
      <c r="P54" s="442"/>
      <c r="Q54" s="388"/>
    </row>
    <row r="55" spans="1:17" s="159" customFormat="1" ht="13.8" thickBot="1" x14ac:dyDescent="0.3">
      <c r="A55" s="358" t="s">
        <v>0</v>
      </c>
      <c r="B55" s="359" t="s">
        <v>1</v>
      </c>
      <c r="C55" s="1018" t="s">
        <v>656</v>
      </c>
      <c r="D55" s="1018"/>
      <c r="E55" s="1018"/>
      <c r="F55" s="1018"/>
      <c r="G55" s="1018" t="s">
        <v>34</v>
      </c>
      <c r="H55" s="1018"/>
      <c r="I55" s="1018"/>
      <c r="J55" s="360"/>
      <c r="K55" s="528"/>
      <c r="L55" s="396"/>
      <c r="M55" s="360"/>
      <c r="N55" s="443"/>
      <c r="O55" s="441"/>
      <c r="P55" s="442"/>
      <c r="Q55" s="388"/>
    </row>
    <row r="56" spans="1:17" s="159" customFormat="1" ht="16.2" thickBot="1" x14ac:dyDescent="0.35">
      <c r="A56" s="583" t="s">
        <v>183</v>
      </c>
      <c r="B56" s="584" t="s">
        <v>189</v>
      </c>
      <c r="C56" s="402" t="s">
        <v>19</v>
      </c>
      <c r="D56" s="402" t="s">
        <v>33</v>
      </c>
      <c r="E56" s="403" t="s">
        <v>35</v>
      </c>
      <c r="F56" s="404" t="s">
        <v>30</v>
      </c>
      <c r="G56" s="538" t="s">
        <v>14</v>
      </c>
      <c r="H56" s="403" t="s">
        <v>35</v>
      </c>
      <c r="I56" s="404" t="s">
        <v>30</v>
      </c>
      <c r="J56" s="369" t="s">
        <v>659</v>
      </c>
      <c r="K56" s="539" t="s">
        <v>38</v>
      </c>
      <c r="L56" s="407"/>
      <c r="M56" s="413"/>
      <c r="N56" s="414"/>
      <c r="O56" s="415"/>
      <c r="P56" s="416"/>
      <c r="Q56" s="388"/>
    </row>
    <row r="57" spans="1:17" x14ac:dyDescent="0.25">
      <c r="A57" s="375"/>
      <c r="B57" s="5"/>
      <c r="C57" s="376"/>
      <c r="D57" s="377" t="s">
        <v>21</v>
      </c>
      <c r="E57" s="259">
        <v>0</v>
      </c>
      <c r="F57" s="378">
        <f t="shared" ref="F57:F63" si="6">C57*E57</f>
        <v>0</v>
      </c>
      <c r="G57" s="534"/>
      <c r="H57" s="380">
        <v>0</v>
      </c>
      <c r="I57" s="378">
        <f t="shared" ref="I57:I63" si="7">G57*H57</f>
        <v>0</v>
      </c>
      <c r="J57" s="381"/>
      <c r="K57" s="535">
        <f t="shared" ref="K57:K63" si="8">F57+I57+J57</f>
        <v>0</v>
      </c>
      <c r="L57" s="383"/>
      <c r="M57" s="261"/>
      <c r="N57" s="385"/>
      <c r="O57" s="386"/>
      <c r="P57" s="387"/>
      <c r="Q57" s="388"/>
    </row>
    <row r="58" spans="1:17" x14ac:dyDescent="0.25">
      <c r="A58" s="375"/>
      <c r="B58" s="5"/>
      <c r="C58" s="376"/>
      <c r="D58" s="377" t="s">
        <v>21</v>
      </c>
      <c r="E58" s="259">
        <v>0</v>
      </c>
      <c r="F58" s="378">
        <f t="shared" si="6"/>
        <v>0</v>
      </c>
      <c r="G58" s="534"/>
      <c r="H58" s="380">
        <v>0</v>
      </c>
      <c r="I58" s="378">
        <f t="shared" si="7"/>
        <v>0</v>
      </c>
      <c r="J58" s="381"/>
      <c r="K58" s="535">
        <f t="shared" si="8"/>
        <v>0</v>
      </c>
      <c r="L58" s="383"/>
      <c r="M58" s="384"/>
      <c r="N58" s="385"/>
      <c r="O58" s="386"/>
      <c r="P58" s="387"/>
      <c r="Q58" s="388"/>
    </row>
    <row r="59" spans="1:17" x14ac:dyDescent="0.25">
      <c r="A59" s="375"/>
      <c r="B59" s="5"/>
      <c r="C59" s="376"/>
      <c r="D59" s="377" t="s">
        <v>21</v>
      </c>
      <c r="E59" s="259">
        <v>0</v>
      </c>
      <c r="F59" s="378">
        <f t="shared" si="6"/>
        <v>0</v>
      </c>
      <c r="G59" s="534"/>
      <c r="H59" s="380">
        <v>0</v>
      </c>
      <c r="I59" s="378">
        <f t="shared" si="7"/>
        <v>0</v>
      </c>
      <c r="J59" s="381"/>
      <c r="K59" s="535">
        <f t="shared" si="8"/>
        <v>0</v>
      </c>
      <c r="L59" s="383"/>
      <c r="M59" s="384"/>
      <c r="N59" s="385"/>
      <c r="O59" s="386"/>
      <c r="P59" s="387"/>
      <c r="Q59" s="388"/>
    </row>
    <row r="60" spans="1:17" x14ac:dyDescent="0.25">
      <c r="A60" s="375"/>
      <c r="B60" s="5"/>
      <c r="C60" s="376"/>
      <c r="D60" s="377" t="s">
        <v>21</v>
      </c>
      <c r="E60" s="259">
        <v>0</v>
      </c>
      <c r="F60" s="378">
        <f t="shared" si="6"/>
        <v>0</v>
      </c>
      <c r="G60" s="534"/>
      <c r="H60" s="380">
        <v>0</v>
      </c>
      <c r="I60" s="378">
        <f t="shared" si="7"/>
        <v>0</v>
      </c>
      <c r="J60" s="381"/>
      <c r="K60" s="535">
        <f t="shared" si="8"/>
        <v>0</v>
      </c>
      <c r="L60" s="383"/>
      <c r="M60" s="384"/>
      <c r="N60" s="385"/>
      <c r="O60" s="386"/>
      <c r="P60" s="387"/>
      <c r="Q60" s="388"/>
    </row>
    <row r="61" spans="1:17" x14ac:dyDescent="0.25">
      <c r="A61" s="375"/>
      <c r="B61" s="5"/>
      <c r="C61" s="376"/>
      <c r="D61" s="377" t="s">
        <v>21</v>
      </c>
      <c r="E61" s="259">
        <v>0</v>
      </c>
      <c r="F61" s="378">
        <f t="shared" si="6"/>
        <v>0</v>
      </c>
      <c r="G61" s="534"/>
      <c r="H61" s="380">
        <v>0</v>
      </c>
      <c r="I61" s="378">
        <f t="shared" si="7"/>
        <v>0</v>
      </c>
      <c r="J61" s="381"/>
      <c r="K61" s="535">
        <f t="shared" si="8"/>
        <v>0</v>
      </c>
      <c r="L61" s="383"/>
      <c r="M61" s="384"/>
      <c r="N61" s="385"/>
      <c r="O61" s="386"/>
      <c r="P61" s="387"/>
      <c r="Q61" s="388"/>
    </row>
    <row r="62" spans="1:17" x14ac:dyDescent="0.25">
      <c r="A62" s="375"/>
      <c r="B62" s="5"/>
      <c r="C62" s="376"/>
      <c r="D62" s="377" t="s">
        <v>21</v>
      </c>
      <c r="E62" s="259">
        <v>0</v>
      </c>
      <c r="F62" s="378">
        <f t="shared" si="6"/>
        <v>0</v>
      </c>
      <c r="G62" s="534"/>
      <c r="H62" s="380">
        <v>0</v>
      </c>
      <c r="I62" s="378">
        <f t="shared" si="7"/>
        <v>0</v>
      </c>
      <c r="J62" s="381"/>
      <c r="K62" s="535">
        <f t="shared" si="8"/>
        <v>0</v>
      </c>
      <c r="L62" s="383"/>
      <c r="M62" s="384"/>
      <c r="N62" s="385"/>
      <c r="O62" s="386"/>
      <c r="P62" s="387"/>
      <c r="Q62" s="388"/>
    </row>
    <row r="63" spans="1:17" x14ac:dyDescent="0.25">
      <c r="A63" s="375"/>
      <c r="B63" s="5"/>
      <c r="C63" s="376"/>
      <c r="D63" s="377" t="s">
        <v>21</v>
      </c>
      <c r="E63" s="259">
        <v>0</v>
      </c>
      <c r="F63" s="378">
        <f t="shared" si="6"/>
        <v>0</v>
      </c>
      <c r="G63" s="534"/>
      <c r="H63" s="380">
        <v>0</v>
      </c>
      <c r="I63" s="378">
        <f t="shared" si="7"/>
        <v>0</v>
      </c>
      <c r="J63" s="381"/>
      <c r="K63" s="535">
        <f t="shared" si="8"/>
        <v>0</v>
      </c>
      <c r="L63" s="383"/>
      <c r="M63" s="384"/>
      <c r="N63" s="385"/>
      <c r="O63" s="386"/>
      <c r="P63" s="387"/>
      <c r="Q63" s="388"/>
    </row>
    <row r="64" spans="1:17" ht="13.8" thickBot="1" x14ac:dyDescent="0.3">
      <c r="A64" s="392"/>
      <c r="B64" s="5"/>
      <c r="C64" s="393"/>
      <c r="D64" s="377"/>
      <c r="E64" s="259"/>
      <c r="F64" s="378"/>
      <c r="G64" s="534"/>
      <c r="H64" s="380"/>
      <c r="I64" s="378"/>
      <c r="J64" s="381"/>
      <c r="K64" s="540"/>
      <c r="L64" s="383"/>
      <c r="M64" s="384"/>
      <c r="N64" s="385"/>
      <c r="O64" s="386"/>
      <c r="P64" s="387"/>
      <c r="Q64" s="388"/>
    </row>
    <row r="65" spans="1:17" ht="13.8" thickTop="1" x14ac:dyDescent="0.25">
      <c r="A65" s="392"/>
      <c r="B65" s="417"/>
      <c r="C65" s="393"/>
      <c r="D65" s="377"/>
      <c r="E65" s="259"/>
      <c r="F65" s="378"/>
      <c r="G65" s="534"/>
      <c r="H65" s="380"/>
      <c r="I65" s="378"/>
      <c r="J65" s="394" t="s">
        <v>30</v>
      </c>
      <c r="K65" s="537">
        <f>SUM(K57:K64)</f>
        <v>0</v>
      </c>
      <c r="L65" s="383"/>
      <c r="M65" s="384"/>
      <c r="N65" s="385"/>
      <c r="O65" s="386"/>
      <c r="P65" s="387"/>
      <c r="Q65" s="388"/>
    </row>
    <row r="66" spans="1:17" ht="13.8" thickBot="1" x14ac:dyDescent="0.3">
      <c r="A66" s="358" t="s">
        <v>0</v>
      </c>
      <c r="B66" s="359" t="s">
        <v>1</v>
      </c>
      <c r="C66" s="1018" t="s">
        <v>656</v>
      </c>
      <c r="D66" s="1018"/>
      <c r="E66" s="1018"/>
      <c r="F66" s="1018"/>
      <c r="G66" s="1018" t="s">
        <v>34</v>
      </c>
      <c r="H66" s="1018"/>
      <c r="I66" s="1018"/>
      <c r="J66" s="360"/>
      <c r="K66" s="528"/>
      <c r="L66" s="396"/>
      <c r="M66" s="397"/>
      <c r="N66" s="398"/>
      <c r="O66" s="386"/>
      <c r="P66" s="387"/>
      <c r="Q66" s="388"/>
    </row>
    <row r="67" spans="1:17" ht="16.2" thickBot="1" x14ac:dyDescent="0.35">
      <c r="A67" s="583" t="s">
        <v>184</v>
      </c>
      <c r="B67" s="584" t="s">
        <v>190</v>
      </c>
      <c r="C67" s="402" t="s">
        <v>19</v>
      </c>
      <c r="D67" s="402" t="s">
        <v>33</v>
      </c>
      <c r="E67" s="403" t="s">
        <v>35</v>
      </c>
      <c r="F67" s="404" t="s">
        <v>30</v>
      </c>
      <c r="G67" s="538" t="s">
        <v>14</v>
      </c>
      <c r="H67" s="403" t="s">
        <v>35</v>
      </c>
      <c r="I67" s="404" t="s">
        <v>30</v>
      </c>
      <c r="J67" s="369" t="s">
        <v>659</v>
      </c>
      <c r="K67" s="539" t="s">
        <v>38</v>
      </c>
      <c r="L67" s="407"/>
      <c r="M67" s="408"/>
      <c r="N67" s="409"/>
      <c r="O67" s="386"/>
      <c r="P67" s="387"/>
      <c r="Q67" s="388"/>
    </row>
    <row r="68" spans="1:17" x14ac:dyDescent="0.25">
      <c r="A68" s="375"/>
      <c r="B68" s="5"/>
      <c r="C68" s="376"/>
      <c r="D68" s="377" t="s">
        <v>21</v>
      </c>
      <c r="E68" s="259">
        <v>0</v>
      </c>
      <c r="F68" s="378">
        <f>C68*E68</f>
        <v>0</v>
      </c>
      <c r="G68" s="534"/>
      <c r="H68" s="380">
        <v>0</v>
      </c>
      <c r="I68" s="378">
        <f>G68*H68</f>
        <v>0</v>
      </c>
      <c r="J68" s="381"/>
      <c r="K68" s="535">
        <f>F68+I68+J68</f>
        <v>0</v>
      </c>
      <c r="L68" s="383"/>
      <c r="M68" s="384"/>
      <c r="N68" s="385"/>
      <c r="O68" s="386"/>
      <c r="P68" s="387"/>
      <c r="Q68" s="388"/>
    </row>
    <row r="69" spans="1:17" x14ac:dyDescent="0.25">
      <c r="A69" s="375"/>
      <c r="B69" s="5"/>
      <c r="C69" s="376"/>
      <c r="D69" s="377" t="s">
        <v>21</v>
      </c>
      <c r="E69" s="259">
        <v>0</v>
      </c>
      <c r="F69" s="378">
        <f>C69*E69</f>
        <v>0</v>
      </c>
      <c r="G69" s="534"/>
      <c r="H69" s="380">
        <v>0</v>
      </c>
      <c r="I69" s="378">
        <f>G69*H69</f>
        <v>0</v>
      </c>
      <c r="J69" s="381"/>
      <c r="K69" s="535">
        <f>F69+I69+J69</f>
        <v>0</v>
      </c>
      <c r="L69" s="383"/>
      <c r="M69" s="384"/>
      <c r="N69" s="385"/>
      <c r="O69" s="386"/>
      <c r="P69" s="387"/>
      <c r="Q69" s="388"/>
    </row>
    <row r="70" spans="1:17" x14ac:dyDescent="0.25">
      <c r="A70" s="375"/>
      <c r="B70" s="5"/>
      <c r="C70" s="376"/>
      <c r="D70" s="377" t="s">
        <v>21</v>
      </c>
      <c r="E70" s="259">
        <v>0</v>
      </c>
      <c r="F70" s="378">
        <f>C70*E70</f>
        <v>0</v>
      </c>
      <c r="G70" s="534"/>
      <c r="H70" s="380">
        <v>0</v>
      </c>
      <c r="I70" s="378">
        <f>G70*H70</f>
        <v>0</v>
      </c>
      <c r="J70" s="381"/>
      <c r="K70" s="535">
        <f>F70+I70+J70</f>
        <v>0</v>
      </c>
      <c r="L70" s="383"/>
      <c r="M70" s="384"/>
      <c r="N70" s="385"/>
      <c r="O70" s="386"/>
      <c r="P70" s="387"/>
      <c r="Q70" s="388"/>
    </row>
    <row r="71" spans="1:17" x14ac:dyDescent="0.25">
      <c r="A71" s="375"/>
      <c r="B71" s="5"/>
      <c r="C71" s="376"/>
      <c r="D71" s="377" t="s">
        <v>21</v>
      </c>
      <c r="E71" s="259">
        <v>0</v>
      </c>
      <c r="F71" s="378">
        <f>C71*E71</f>
        <v>0</v>
      </c>
      <c r="G71" s="534"/>
      <c r="H71" s="380">
        <v>0</v>
      </c>
      <c r="I71" s="378">
        <f>G71*H71</f>
        <v>0</v>
      </c>
      <c r="J71" s="381"/>
      <c r="K71" s="535">
        <f>F71+I71+J71</f>
        <v>0</v>
      </c>
      <c r="L71" s="383"/>
      <c r="M71" s="384"/>
      <c r="N71" s="385"/>
      <c r="O71" s="386"/>
      <c r="P71" s="387"/>
      <c r="Q71" s="388"/>
    </row>
    <row r="72" spans="1:17" x14ac:dyDescent="0.25">
      <c r="A72" s="375"/>
      <c r="B72" s="5"/>
      <c r="C72" s="376"/>
      <c r="D72" s="377" t="s">
        <v>21</v>
      </c>
      <c r="E72" s="259">
        <v>0</v>
      </c>
      <c r="F72" s="378">
        <f>C72*E72</f>
        <v>0</v>
      </c>
      <c r="G72" s="534"/>
      <c r="H72" s="380">
        <v>0</v>
      </c>
      <c r="I72" s="378">
        <f>G72*H72</f>
        <v>0</v>
      </c>
      <c r="J72" s="381"/>
      <c r="K72" s="535">
        <f>F72+I72+J72</f>
        <v>0</v>
      </c>
      <c r="L72" s="383"/>
      <c r="M72" s="384"/>
      <c r="N72" s="385"/>
      <c r="O72" s="386"/>
      <c r="P72" s="387"/>
      <c r="Q72" s="388"/>
    </row>
    <row r="73" spans="1:17" ht="13.8" thickBot="1" x14ac:dyDescent="0.3">
      <c r="A73" s="392"/>
      <c r="B73" s="5"/>
      <c r="C73" s="393"/>
      <c r="D73" s="377"/>
      <c r="E73" s="259"/>
      <c r="F73" s="378"/>
      <c r="G73" s="534"/>
      <c r="H73" s="380"/>
      <c r="I73" s="378"/>
      <c r="J73" s="381"/>
      <c r="K73" s="540"/>
      <c r="L73" s="383"/>
      <c r="M73" s="384"/>
      <c r="N73" s="385"/>
      <c r="O73" s="386"/>
      <c r="P73" s="387"/>
      <c r="Q73" s="388"/>
    </row>
    <row r="74" spans="1:17" ht="14.4" thickTop="1" thickBot="1" x14ac:dyDescent="0.3">
      <c r="A74" s="392"/>
      <c r="B74" s="417"/>
      <c r="C74" s="393"/>
      <c r="D74" s="377"/>
      <c r="E74" s="259"/>
      <c r="F74" s="378"/>
      <c r="G74" s="534"/>
      <c r="H74" s="380"/>
      <c r="I74" s="378"/>
      <c r="J74" s="394" t="s">
        <v>30</v>
      </c>
      <c r="K74" s="537">
        <f>SUM(K68:K73)</f>
        <v>0</v>
      </c>
      <c r="L74" s="462"/>
      <c r="M74" s="463"/>
      <c r="N74" s="464"/>
      <c r="O74" s="465"/>
      <c r="P74" s="466"/>
      <c r="Q74" s="467"/>
    </row>
    <row r="75" spans="1:17" ht="14.1" customHeight="1" thickTop="1" x14ac:dyDescent="0.25">
      <c r="A75" s="483"/>
      <c r="B75" s="484"/>
      <c r="C75" s="485"/>
      <c r="D75" s="485"/>
      <c r="E75" s="486"/>
      <c r="F75" s="1048" t="s">
        <v>658</v>
      </c>
      <c r="G75" s="1071" t="s">
        <v>684</v>
      </c>
      <c r="H75" s="486"/>
      <c r="I75" s="1041" t="s">
        <v>657</v>
      </c>
      <c r="J75" s="1037" t="s">
        <v>685</v>
      </c>
      <c r="K75" s="1035" t="s">
        <v>31</v>
      </c>
    </row>
    <row r="76" spans="1:17" ht="13.8" x14ac:dyDescent="0.25">
      <c r="A76" s="487" t="s">
        <v>32</v>
      </c>
      <c r="B76" s="1043" t="s">
        <v>25</v>
      </c>
      <c r="C76" s="488"/>
      <c r="D76" s="489"/>
      <c r="E76" s="489"/>
      <c r="F76" s="1049"/>
      <c r="G76" s="1072"/>
      <c r="H76" s="490"/>
      <c r="I76" s="1042"/>
      <c r="J76" s="1038"/>
      <c r="K76" s="1036"/>
    </row>
    <row r="77" spans="1:17" ht="13.8" x14ac:dyDescent="0.25">
      <c r="A77" s="828">
        <f>K77/E6</f>
        <v>0</v>
      </c>
      <c r="B77" s="1043"/>
      <c r="C77" s="489"/>
      <c r="D77" s="489"/>
      <c r="E77" s="489"/>
      <c r="F77" s="1039">
        <f>SUM(F68:F73,F57:F64,F48:F53,F40:F44,F29:F36,F13:F25)</f>
        <v>0</v>
      </c>
      <c r="G77" s="1085">
        <f>SUM(G68:G73,G57:G64,G48:G53,G40:G44,G29:G36,G13:G24)</f>
        <v>0</v>
      </c>
      <c r="H77" s="490"/>
      <c r="I77" s="1039">
        <f>SUM(I68:I73,I57:I64,I48:I53,I40:I44,I29:I36,I13:I25)</f>
        <v>0</v>
      </c>
      <c r="J77" s="1031">
        <f>SUM(J68:J73,J57:J63,J48:J53,J40:J44,J29:J36,J13:J25)</f>
        <v>0</v>
      </c>
      <c r="K77" s="1033">
        <f>SUM(,K74,K65,K54,K45,K37,K26)</f>
        <v>0</v>
      </c>
    </row>
    <row r="78" spans="1:17" ht="14.4" thickBot="1" x14ac:dyDescent="0.3">
      <c r="A78" s="487"/>
      <c r="B78" s="555"/>
      <c r="C78" s="493"/>
      <c r="D78" s="493"/>
      <c r="E78" s="493"/>
      <c r="F78" s="1040"/>
      <c r="G78" s="1086"/>
      <c r="H78" s="493"/>
      <c r="I78" s="1040"/>
      <c r="J78" s="1032"/>
      <c r="K78" s="1034"/>
    </row>
    <row r="79" spans="1:17" ht="13.8" thickBot="1" x14ac:dyDescent="0.3">
      <c r="A79" s="494"/>
      <c r="B79" s="495"/>
      <c r="C79" s="495"/>
      <c r="D79" s="495"/>
      <c r="E79" s="495"/>
      <c r="F79" s="495"/>
      <c r="G79" s="495"/>
      <c r="H79" s="495"/>
      <c r="I79" s="495"/>
      <c r="J79" s="495"/>
      <c r="K79" s="496"/>
    </row>
  </sheetData>
  <mergeCells count="57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H9:H10"/>
    <mergeCell ref="I9:I10"/>
    <mergeCell ref="C27:F27"/>
    <mergeCell ref="G27:I27"/>
    <mergeCell ref="C38:F38"/>
    <mergeCell ref="G38:I38"/>
    <mergeCell ref="C46:F46"/>
    <mergeCell ref="G46:I46"/>
    <mergeCell ref="B76:B77"/>
    <mergeCell ref="F77:F78"/>
    <mergeCell ref="G77:G78"/>
    <mergeCell ref="I77:I78"/>
    <mergeCell ref="C55:F55"/>
    <mergeCell ref="G55:I55"/>
    <mergeCell ref="C66:F66"/>
    <mergeCell ref="G66:I66"/>
    <mergeCell ref="J77:J78"/>
    <mergeCell ref="K77:K78"/>
    <mergeCell ref="F75:F76"/>
    <mergeCell ref="G75:G76"/>
    <mergeCell ref="I75:I76"/>
    <mergeCell ref="J75:J76"/>
    <mergeCell ref="K75:K76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7" fitToHeight="2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tabColor rgb="FF00B050"/>
    <pageSetUpPr fitToPage="1"/>
  </sheetPr>
  <dimension ref="A1:W283"/>
  <sheetViews>
    <sheetView topLeftCell="A66" zoomScale="90" zoomScaleNormal="90" zoomScaleSheetLayoutView="90" zoomScalePageLayoutView="75" workbookViewId="0">
      <selection activeCell="M88" sqref="M88"/>
    </sheetView>
  </sheetViews>
  <sheetFormatPr defaultColWidth="9.109375" defaultRowHeight="13.2" x14ac:dyDescent="0.25"/>
  <cols>
    <col min="1" max="1" width="12.109375" style="157" bestFit="1" customWidth="1"/>
    <col min="2" max="2" width="44.5546875" style="325" customWidth="1"/>
    <col min="3" max="4" width="5" style="445" customWidth="1"/>
    <col min="5" max="5" width="12.4414062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88671875" style="157" bestFit="1" customWidth="1"/>
    <col min="10" max="10" width="16.109375" style="157" bestFit="1" customWidth="1"/>
    <col min="11" max="11" width="14.109375" style="157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8" width="9.109375" style="157"/>
    <col min="19" max="19" width="11.44140625" style="157" customWidth="1"/>
    <col min="20" max="20" width="12.5546875" style="157" customWidth="1"/>
    <col min="21" max="21" width="6.44140625" style="157" customWidth="1"/>
    <col min="22" max="22" width="13.44140625" style="157" customWidth="1"/>
    <col min="23" max="23" width="12.44140625" style="157" customWidth="1"/>
    <col min="24" max="16384" width="9.109375" style="157"/>
  </cols>
  <sheetData>
    <row r="1" spans="1:19" ht="13.8" thickBot="1" x14ac:dyDescent="0.3">
      <c r="A1" s="590"/>
      <c r="B1" s="591"/>
      <c r="C1" s="1118">
        <f>'Estimate Summary'!C1:H1</f>
        <v>0</v>
      </c>
      <c r="D1" s="1118"/>
      <c r="E1" s="1118"/>
      <c r="F1" s="1118"/>
      <c r="G1" s="1118"/>
      <c r="H1" s="1118"/>
      <c r="I1" s="1118"/>
      <c r="J1" s="1118"/>
      <c r="K1" s="1119"/>
    </row>
    <row r="2" spans="1:19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9" ht="13.8" thickBot="1" x14ac:dyDescent="0.3">
      <c r="A3" s="1052"/>
      <c r="B3" s="1053"/>
      <c r="C3" s="519"/>
      <c r="D3" s="1063"/>
      <c r="E3" s="1063"/>
      <c r="F3" s="1063"/>
      <c r="G3" s="592"/>
      <c r="H3" s="337"/>
      <c r="I3" s="593"/>
      <c r="J3" s="593"/>
      <c r="K3" s="594"/>
      <c r="L3" s="1116"/>
      <c r="M3" s="1117"/>
      <c r="N3" s="1064"/>
      <c r="O3" s="1064"/>
      <c r="P3" s="978"/>
    </row>
    <row r="4" spans="1:19" ht="13.8" thickBot="1" x14ac:dyDescent="0.3">
      <c r="A4" s="1052"/>
      <c r="B4" s="1053"/>
      <c r="C4" s="519"/>
      <c r="D4" s="1063"/>
      <c r="E4" s="1063"/>
      <c r="F4" s="1063"/>
      <c r="G4" s="595"/>
      <c r="H4" s="595"/>
      <c r="I4" s="333"/>
      <c r="J4" s="334"/>
      <c r="K4" s="335"/>
      <c r="L4" s="1116"/>
      <c r="M4" s="1117"/>
      <c r="N4" s="1064"/>
      <c r="O4" s="1064"/>
      <c r="P4" s="978"/>
    </row>
    <row r="5" spans="1:19" ht="13.8" thickBot="1" x14ac:dyDescent="0.3">
      <c r="A5" s="596"/>
      <c r="B5" s="597"/>
      <c r="C5" s="519"/>
      <c r="D5" s="345"/>
      <c r="E5" s="346"/>
      <c r="F5" s="595"/>
      <c r="G5" s="1120" t="s">
        <v>7</v>
      </c>
      <c r="H5" s="1120"/>
      <c r="I5" s="1120"/>
      <c r="J5" s="1121" t="s">
        <v>72</v>
      </c>
      <c r="K5" s="1122"/>
      <c r="L5" s="1116"/>
      <c r="M5" s="1117"/>
      <c r="N5" s="1064"/>
      <c r="O5" s="1064"/>
      <c r="P5" s="978"/>
    </row>
    <row r="6" spans="1:19" ht="13.8" thickBot="1" x14ac:dyDescent="0.3">
      <c r="A6" s="596"/>
      <c r="B6" s="597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120"/>
      <c r="H6" s="1120"/>
      <c r="I6" s="1120"/>
      <c r="J6" s="350">
        <f>'1'!J6</f>
        <v>38</v>
      </c>
      <c r="K6" s="335" t="s">
        <v>73</v>
      </c>
      <c r="L6" s="1116"/>
      <c r="M6" s="1117"/>
      <c r="N6" s="1064"/>
      <c r="O6" s="1064"/>
      <c r="P6" s="978"/>
    </row>
    <row r="7" spans="1:19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9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98"/>
      <c r="M8" s="599"/>
      <c r="N8" s="598"/>
      <c r="O8" s="600"/>
      <c r="P8" s="600"/>
    </row>
    <row r="9" spans="1:19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89" t="s">
        <v>782</v>
      </c>
      <c r="M9" s="1091" t="s">
        <v>783</v>
      </c>
      <c r="N9" s="1093" t="s">
        <v>784</v>
      </c>
      <c r="O9" s="1095"/>
      <c r="P9" s="1097"/>
      <c r="Q9" s="1087"/>
      <c r="S9" s="585"/>
    </row>
    <row r="10" spans="1:19" ht="13.8" thickBot="1" x14ac:dyDescent="0.3">
      <c r="A10" s="601" t="s">
        <v>725</v>
      </c>
      <c r="B10" s="602" t="s">
        <v>901</v>
      </c>
      <c r="C10" s="402" t="s">
        <v>19</v>
      </c>
      <c r="D10" s="402" t="s">
        <v>33</v>
      </c>
      <c r="E10" s="403" t="s">
        <v>35</v>
      </c>
      <c r="F10" s="404" t="s">
        <v>30</v>
      </c>
      <c r="G10" s="538" t="s">
        <v>14</v>
      </c>
      <c r="H10" s="403" t="s">
        <v>35</v>
      </c>
      <c r="I10" s="404" t="s">
        <v>30</v>
      </c>
      <c r="J10" s="369" t="s">
        <v>659</v>
      </c>
      <c r="K10" s="539" t="s">
        <v>38</v>
      </c>
      <c r="L10" s="1090"/>
      <c r="M10" s="1092"/>
      <c r="N10" s="1094"/>
      <c r="O10" s="1096"/>
      <c r="P10" s="1098"/>
      <c r="Q10" s="1088"/>
    </row>
    <row r="11" spans="1:19" x14ac:dyDescent="0.25">
      <c r="A11" s="375"/>
      <c r="B11" s="5"/>
      <c r="C11" s="376"/>
      <c r="D11" s="377"/>
      <c r="E11" s="259"/>
      <c r="F11" s="378"/>
      <c r="G11" s="534"/>
      <c r="H11" s="380">
        <v>0</v>
      </c>
      <c r="I11" s="378">
        <f t="shared" ref="I11:I27" si="0">G11*H11</f>
        <v>0</v>
      </c>
      <c r="J11" s="381">
        <f>M11</f>
        <v>120000</v>
      </c>
      <c r="K11" s="535">
        <f t="shared" ref="K11:K27" si="1">F11+I11+J11</f>
        <v>120000</v>
      </c>
      <c r="L11" s="959" t="s">
        <v>1143</v>
      </c>
      <c r="M11" s="908">
        <v>120000</v>
      </c>
      <c r="N11" s="385"/>
      <c r="O11" s="386"/>
      <c r="P11" s="387"/>
      <c r="Q11" s="388"/>
    </row>
    <row r="12" spans="1:19" x14ac:dyDescent="0.25">
      <c r="A12" s="375"/>
      <c r="B12" s="849" t="s">
        <v>1036</v>
      </c>
      <c r="C12" s="376"/>
      <c r="D12" s="377"/>
      <c r="E12" s="259"/>
      <c r="F12" s="378"/>
      <c r="G12" s="534"/>
      <c r="H12" s="380">
        <v>0</v>
      </c>
      <c r="I12" s="378">
        <f t="shared" si="0"/>
        <v>0</v>
      </c>
      <c r="J12" s="381"/>
      <c r="K12" s="535">
        <f t="shared" si="1"/>
        <v>0</v>
      </c>
      <c r="L12" s="383" t="s">
        <v>1140</v>
      </c>
      <c r="M12" s="384"/>
      <c r="N12" s="385"/>
      <c r="O12" s="386"/>
      <c r="P12" s="387"/>
      <c r="Q12" s="388"/>
    </row>
    <row r="13" spans="1:19" x14ac:dyDescent="0.25">
      <c r="A13" s="375"/>
      <c r="B13" s="849" t="s">
        <v>1037</v>
      </c>
      <c r="C13" s="376"/>
      <c r="D13" s="377"/>
      <c r="E13" s="259"/>
      <c r="F13" s="378"/>
      <c r="G13" s="534"/>
      <c r="H13" s="380">
        <v>0</v>
      </c>
      <c r="I13" s="378">
        <f t="shared" si="0"/>
        <v>0</v>
      </c>
      <c r="J13" s="381"/>
      <c r="K13" s="535">
        <f t="shared" si="1"/>
        <v>0</v>
      </c>
      <c r="L13" s="383" t="s">
        <v>1139</v>
      </c>
      <c r="M13" s="384"/>
      <c r="N13" s="385"/>
      <c r="O13" s="386"/>
      <c r="P13" s="387"/>
      <c r="Q13" s="388"/>
    </row>
    <row r="14" spans="1:19" x14ac:dyDescent="0.25">
      <c r="A14" s="375"/>
      <c r="B14" s="898" t="s">
        <v>1056</v>
      </c>
      <c r="C14" s="376"/>
      <c r="D14" s="377"/>
      <c r="E14" s="259"/>
      <c r="F14" s="378"/>
      <c r="G14" s="534"/>
      <c r="H14" s="380">
        <v>0</v>
      </c>
      <c r="I14" s="378">
        <f t="shared" si="0"/>
        <v>0</v>
      </c>
      <c r="J14" s="905">
        <f>M19</f>
        <v>0</v>
      </c>
      <c r="K14" s="535">
        <f t="shared" si="1"/>
        <v>0</v>
      </c>
      <c r="L14" s="383" t="s">
        <v>1145</v>
      </c>
      <c r="M14" s="384"/>
      <c r="N14" s="385"/>
      <c r="O14" s="386"/>
      <c r="P14" s="387"/>
      <c r="Q14" s="388"/>
    </row>
    <row r="15" spans="1:19" x14ac:dyDescent="0.25">
      <c r="A15" s="375"/>
      <c r="B15" s="5"/>
      <c r="C15" s="376"/>
      <c r="D15" s="377"/>
      <c r="E15" s="259"/>
      <c r="F15" s="378"/>
      <c r="G15" s="534"/>
      <c r="H15" s="380">
        <v>0</v>
      </c>
      <c r="I15" s="378">
        <f t="shared" ref="I15:I16" si="2">G15*H15</f>
        <v>0</v>
      </c>
      <c r="J15" s="381"/>
      <c r="K15" s="535">
        <f t="shared" ref="K15:K16" si="3">F15+I15+J15</f>
        <v>0</v>
      </c>
      <c r="L15" s="868" t="s">
        <v>1320</v>
      </c>
      <c r="M15" s="384">
        <v>189277.02</v>
      </c>
      <c r="N15" s="385" t="s">
        <v>1321</v>
      </c>
      <c r="O15" s="386"/>
      <c r="P15" s="387"/>
      <c r="Q15" s="388"/>
    </row>
    <row r="16" spans="1:19" x14ac:dyDescent="0.25">
      <c r="A16" s="375"/>
      <c r="B16" s="5"/>
      <c r="C16" s="376"/>
      <c r="D16" s="377"/>
      <c r="E16" s="259"/>
      <c r="F16" s="378"/>
      <c r="G16" s="534"/>
      <c r="H16" s="380">
        <v>0</v>
      </c>
      <c r="I16" s="378">
        <f t="shared" si="2"/>
        <v>0</v>
      </c>
      <c r="J16" s="381"/>
      <c r="K16" s="535">
        <f t="shared" si="3"/>
        <v>0</v>
      </c>
      <c r="L16" s="868"/>
      <c r="M16" s="384"/>
      <c r="N16" s="385"/>
      <c r="O16" s="386"/>
      <c r="P16" s="387"/>
      <c r="Q16" s="388"/>
    </row>
    <row r="17" spans="1:22" x14ac:dyDescent="0.25">
      <c r="A17" s="375"/>
      <c r="B17" s="5"/>
      <c r="C17" s="376"/>
      <c r="D17" s="377"/>
      <c r="E17" s="259"/>
      <c r="F17" s="378"/>
      <c r="G17" s="534"/>
      <c r="H17" s="380">
        <v>0</v>
      </c>
      <c r="I17" s="378">
        <f t="shared" si="0"/>
        <v>0</v>
      </c>
      <c r="J17" s="381"/>
      <c r="K17" s="535">
        <f t="shared" si="1"/>
        <v>0</v>
      </c>
      <c r="L17" s="383"/>
      <c r="M17" s="384"/>
      <c r="N17" s="385"/>
      <c r="O17" s="386"/>
      <c r="P17" s="387"/>
      <c r="Q17" s="388"/>
    </row>
    <row r="18" spans="1:22" x14ac:dyDescent="0.25">
      <c r="A18" s="375"/>
      <c r="B18" s="5"/>
      <c r="C18" s="376"/>
      <c r="D18" s="377"/>
      <c r="E18" s="259"/>
      <c r="F18" s="378"/>
      <c r="G18" s="534"/>
      <c r="H18" s="380">
        <v>0</v>
      </c>
      <c r="I18" s="378">
        <f t="shared" si="0"/>
        <v>0</v>
      </c>
      <c r="J18" s="381"/>
      <c r="K18" s="535">
        <f t="shared" si="1"/>
        <v>0</v>
      </c>
      <c r="L18" s="894" t="s">
        <v>1054</v>
      </c>
      <c r="M18" s="384"/>
      <c r="N18" s="385"/>
      <c r="O18" s="386"/>
      <c r="P18" s="387"/>
      <c r="Q18" s="388"/>
    </row>
    <row r="19" spans="1:22" x14ac:dyDescent="0.25">
      <c r="A19" s="375"/>
      <c r="B19" s="5"/>
      <c r="C19" s="376"/>
      <c r="D19" s="377"/>
      <c r="E19" s="259"/>
      <c r="F19" s="378"/>
      <c r="G19" s="534"/>
      <c r="H19" s="380">
        <v>0</v>
      </c>
      <c r="I19" s="378">
        <f t="shared" si="0"/>
        <v>0</v>
      </c>
      <c r="J19" s="381"/>
      <c r="K19" s="535">
        <f t="shared" si="1"/>
        <v>0</v>
      </c>
      <c r="L19" s="383" t="s">
        <v>1139</v>
      </c>
      <c r="M19" s="908"/>
      <c r="N19" s="385" t="s">
        <v>1217</v>
      </c>
      <c r="O19" s="386"/>
      <c r="P19" s="387"/>
      <c r="Q19" s="388"/>
    </row>
    <row r="20" spans="1:22" x14ac:dyDescent="0.25">
      <c r="A20" s="375"/>
      <c r="B20" s="5"/>
      <c r="C20" s="376"/>
      <c r="D20" s="377"/>
      <c r="E20" s="259"/>
      <c r="F20" s="378"/>
      <c r="G20" s="534"/>
      <c r="H20" s="380">
        <v>0</v>
      </c>
      <c r="I20" s="378">
        <f t="shared" si="0"/>
        <v>0</v>
      </c>
      <c r="J20" s="381"/>
      <c r="K20" s="535">
        <f t="shared" si="1"/>
        <v>0</v>
      </c>
      <c r="L20" s="383"/>
      <c r="M20" s="384"/>
      <c r="N20" s="385"/>
      <c r="O20" s="386"/>
      <c r="P20" s="387"/>
      <c r="Q20" s="388"/>
    </row>
    <row r="21" spans="1:22" x14ac:dyDescent="0.25">
      <c r="A21" s="375"/>
      <c r="B21" s="5"/>
      <c r="C21" s="376"/>
      <c r="D21" s="377"/>
      <c r="E21" s="259"/>
      <c r="F21" s="378"/>
      <c r="G21" s="534"/>
      <c r="H21" s="380">
        <v>0</v>
      </c>
      <c r="I21" s="378">
        <f t="shared" ref="I21:I26" si="4">G21*H21</f>
        <v>0</v>
      </c>
      <c r="J21" s="381"/>
      <c r="K21" s="535">
        <f t="shared" ref="K21:K26" si="5">F21+I21+J21</f>
        <v>0</v>
      </c>
      <c r="L21" s="383"/>
      <c r="M21" s="384"/>
      <c r="N21" s="385"/>
      <c r="O21" s="386"/>
      <c r="P21" s="387"/>
      <c r="Q21" s="388"/>
    </row>
    <row r="22" spans="1:22" x14ac:dyDescent="0.25">
      <c r="A22" s="375"/>
      <c r="B22" s="5"/>
      <c r="C22" s="376"/>
      <c r="D22" s="377"/>
      <c r="E22" s="259"/>
      <c r="F22" s="378"/>
      <c r="G22" s="534"/>
      <c r="H22" s="380">
        <v>0</v>
      </c>
      <c r="I22" s="378">
        <f t="shared" si="4"/>
        <v>0</v>
      </c>
      <c r="J22" s="381"/>
      <c r="K22" s="535">
        <f t="shared" si="5"/>
        <v>0</v>
      </c>
      <c r="L22" s="383"/>
      <c r="M22" s="384"/>
      <c r="N22" s="385"/>
      <c r="O22" s="386"/>
      <c r="P22" s="387"/>
      <c r="Q22" s="388"/>
    </row>
    <row r="23" spans="1:22" x14ac:dyDescent="0.25">
      <c r="A23" s="375"/>
      <c r="B23" s="5"/>
      <c r="C23" s="376"/>
      <c r="D23" s="377"/>
      <c r="E23" s="259"/>
      <c r="F23" s="378"/>
      <c r="G23" s="534"/>
      <c r="H23" s="380">
        <v>0</v>
      </c>
      <c r="I23" s="378">
        <f t="shared" si="4"/>
        <v>0</v>
      </c>
      <c r="J23" s="381"/>
      <c r="K23" s="535">
        <f t="shared" si="5"/>
        <v>0</v>
      </c>
      <c r="L23" s="383"/>
      <c r="M23" s="384"/>
      <c r="N23" s="385"/>
      <c r="O23" s="386"/>
      <c r="P23" s="387"/>
      <c r="Q23" s="388"/>
    </row>
    <row r="24" spans="1:22" x14ac:dyDescent="0.25">
      <c r="A24" s="375"/>
      <c r="B24" s="5"/>
      <c r="C24" s="376"/>
      <c r="D24" s="377"/>
      <c r="E24" s="259"/>
      <c r="F24" s="378"/>
      <c r="G24" s="534"/>
      <c r="H24" s="380">
        <v>0</v>
      </c>
      <c r="I24" s="378">
        <f t="shared" si="4"/>
        <v>0</v>
      </c>
      <c r="J24" s="381"/>
      <c r="K24" s="535">
        <f t="shared" si="5"/>
        <v>0</v>
      </c>
      <c r="L24" s="383"/>
      <c r="M24" s="384"/>
      <c r="N24" s="385"/>
      <c r="O24" s="386"/>
      <c r="P24" s="387"/>
      <c r="Q24" s="388"/>
    </row>
    <row r="25" spans="1:22" x14ac:dyDescent="0.25">
      <c r="A25" s="375"/>
      <c r="B25" s="5"/>
      <c r="C25" s="376"/>
      <c r="D25" s="377"/>
      <c r="E25" s="259"/>
      <c r="F25" s="378"/>
      <c r="G25" s="534"/>
      <c r="H25" s="380">
        <v>0</v>
      </c>
      <c r="I25" s="378">
        <f t="shared" ref="I25" si="6">G25*H25</f>
        <v>0</v>
      </c>
      <c r="J25" s="381"/>
      <c r="K25" s="535">
        <f t="shared" ref="K25" si="7">F25+I25+J25</f>
        <v>0</v>
      </c>
      <c r="L25" s="383"/>
      <c r="M25" s="384"/>
      <c r="N25" s="385"/>
      <c r="O25" s="386"/>
      <c r="P25" s="387"/>
      <c r="Q25" s="388"/>
    </row>
    <row r="26" spans="1:22" x14ac:dyDescent="0.25">
      <c r="A26" s="375"/>
      <c r="B26" s="5"/>
      <c r="C26" s="376"/>
      <c r="D26" s="377"/>
      <c r="E26" s="259"/>
      <c r="F26" s="378"/>
      <c r="G26" s="534"/>
      <c r="H26" s="380">
        <v>0</v>
      </c>
      <c r="I26" s="378">
        <f t="shared" si="4"/>
        <v>0</v>
      </c>
      <c r="J26" s="381"/>
      <c r="K26" s="535">
        <f t="shared" si="5"/>
        <v>0</v>
      </c>
      <c r="L26" s="931">
        <f>K29+J32</f>
        <v>160299.54999999999</v>
      </c>
      <c r="M26" s="384"/>
      <c r="N26" s="385" t="s">
        <v>1359</v>
      </c>
      <c r="O26" s="386">
        <f>K29+K32</f>
        <v>160299.54999999999</v>
      </c>
      <c r="P26" s="387"/>
      <c r="Q26" s="388"/>
    </row>
    <row r="27" spans="1:22" x14ac:dyDescent="0.25">
      <c r="A27" s="375"/>
      <c r="B27" s="5"/>
      <c r="C27" s="376"/>
      <c r="D27" s="377"/>
      <c r="E27" s="259"/>
      <c r="F27" s="378"/>
      <c r="G27" s="534"/>
      <c r="H27" s="380">
        <v>0</v>
      </c>
      <c r="I27" s="378">
        <f t="shared" si="0"/>
        <v>0</v>
      </c>
      <c r="J27" s="381"/>
      <c r="K27" s="535">
        <f t="shared" si="1"/>
        <v>0</v>
      </c>
      <c r="L27" s="383"/>
      <c r="M27" s="384"/>
      <c r="N27" s="385"/>
      <c r="O27" s="386"/>
      <c r="P27" s="387"/>
      <c r="Q27" s="388"/>
    </row>
    <row r="28" spans="1:22" ht="13.8" thickBot="1" x14ac:dyDescent="0.3">
      <c r="A28" s="375"/>
      <c r="B28" s="5"/>
      <c r="C28" s="393"/>
      <c r="D28" s="377"/>
      <c r="E28" s="259"/>
      <c r="F28" s="378"/>
      <c r="G28" s="534"/>
      <c r="H28" s="380"/>
      <c r="I28" s="378"/>
      <c r="J28" s="381"/>
      <c r="K28" s="540"/>
      <c r="L28" s="383"/>
      <c r="M28" s="384"/>
      <c r="N28" s="385"/>
      <c r="O28" s="386"/>
      <c r="P28" s="387"/>
      <c r="Q28" s="388"/>
    </row>
    <row r="29" spans="1:22" ht="14.4" thickTop="1" thickBot="1" x14ac:dyDescent="0.3">
      <c r="A29" s="392"/>
      <c r="B29" s="5"/>
      <c r="C29" s="393"/>
      <c r="D29" s="377"/>
      <c r="E29" s="259"/>
      <c r="F29" s="378"/>
      <c r="G29" s="534"/>
      <c r="H29" s="380"/>
      <c r="I29" s="378"/>
      <c r="J29" s="394" t="s">
        <v>30</v>
      </c>
      <c r="K29" s="537">
        <f>SUM(K11:K28)</f>
        <v>120000</v>
      </c>
      <c r="L29" s="396"/>
      <c r="M29" s="397"/>
      <c r="N29" s="398"/>
      <c r="O29" s="386"/>
      <c r="P29" s="387"/>
      <c r="Q29" s="388"/>
    </row>
    <row r="30" spans="1:22" ht="13.8" thickBot="1" x14ac:dyDescent="0.3">
      <c r="A30" s="601" t="s">
        <v>193</v>
      </c>
      <c r="B30" s="602" t="s">
        <v>900</v>
      </c>
      <c r="C30" s="365" t="s">
        <v>19</v>
      </c>
      <c r="D30" s="365" t="s">
        <v>33</v>
      </c>
      <c r="E30" s="366" t="s">
        <v>35</v>
      </c>
      <c r="F30" s="367" t="s">
        <v>30</v>
      </c>
      <c r="G30" s="531"/>
      <c r="H30" s="366"/>
      <c r="I30" s="367"/>
      <c r="J30" s="369" t="s">
        <v>659</v>
      </c>
      <c r="K30" s="532" t="s">
        <v>38</v>
      </c>
      <c r="L30" s="407"/>
      <c r="M30" s="408"/>
      <c r="N30" s="409"/>
      <c r="O30" s="386"/>
      <c r="P30" s="387"/>
      <c r="Q30" s="388"/>
      <c r="V30" s="261"/>
    </row>
    <row r="31" spans="1:22" x14ac:dyDescent="0.25">
      <c r="A31" s="375"/>
      <c r="B31" s="5"/>
      <c r="C31" s="376"/>
      <c r="D31" s="377"/>
      <c r="E31" s="259"/>
      <c r="F31" s="378"/>
      <c r="G31" s="534"/>
      <c r="H31" s="380"/>
      <c r="I31" s="378"/>
      <c r="J31" s="381"/>
      <c r="K31" s="535"/>
      <c r="L31" s="868" t="s">
        <v>1214</v>
      </c>
      <c r="M31" s="384"/>
      <c r="N31" s="385"/>
      <c r="O31" s="386"/>
      <c r="P31" s="387"/>
      <c r="Q31" s="388"/>
    </row>
    <row r="32" spans="1:22" x14ac:dyDescent="0.25">
      <c r="A32" s="375"/>
      <c r="B32" s="849" t="s">
        <v>1035</v>
      </c>
      <c r="C32" s="838">
        <v>4408</v>
      </c>
      <c r="D32" s="839" t="s">
        <v>752</v>
      </c>
      <c r="E32" s="259">
        <v>0.61</v>
      </c>
      <c r="F32" s="378"/>
      <c r="G32" s="534"/>
      <c r="H32" s="380"/>
      <c r="I32" s="378"/>
      <c r="J32" s="381">
        <f>M32</f>
        <v>40299.550000000003</v>
      </c>
      <c r="K32" s="535">
        <f t="shared" ref="K32:K73" si="8">F32+I32+J32</f>
        <v>40299.550000000003</v>
      </c>
      <c r="L32" s="383" t="s">
        <v>1132</v>
      </c>
      <c r="M32" s="384">
        <v>40299.550000000003</v>
      </c>
      <c r="N32" s="385"/>
      <c r="O32" s="386"/>
      <c r="P32" s="387"/>
      <c r="Q32" s="388"/>
    </row>
    <row r="33" spans="1:22" x14ac:dyDescent="0.25">
      <c r="A33" s="375"/>
      <c r="B33" s="849" t="s">
        <v>902</v>
      </c>
      <c r="C33" s="838">
        <f>9936+344</f>
        <v>10280</v>
      </c>
      <c r="D33" s="839" t="s">
        <v>752</v>
      </c>
      <c r="E33" s="259">
        <v>1.05</v>
      </c>
      <c r="F33" s="378"/>
      <c r="G33" s="534"/>
      <c r="H33" s="380"/>
      <c r="I33" s="378"/>
      <c r="J33" s="381"/>
      <c r="K33" s="535">
        <f t="shared" si="8"/>
        <v>0</v>
      </c>
      <c r="L33" s="383"/>
      <c r="M33" s="384"/>
      <c r="N33" s="385"/>
      <c r="O33" s="386"/>
      <c r="P33" s="387"/>
      <c r="Q33" s="388"/>
    </row>
    <row r="34" spans="1:22" x14ac:dyDescent="0.25">
      <c r="A34" s="375"/>
      <c r="B34" s="849" t="s">
        <v>1041</v>
      </c>
      <c r="C34" s="838">
        <v>669</v>
      </c>
      <c r="D34" s="839" t="s">
        <v>752</v>
      </c>
      <c r="E34" s="259">
        <v>2.25</v>
      </c>
      <c r="F34" s="378"/>
      <c r="G34" s="534"/>
      <c r="H34" s="380"/>
      <c r="I34" s="378"/>
      <c r="J34" s="381"/>
      <c r="K34" s="535">
        <f t="shared" si="8"/>
        <v>0</v>
      </c>
      <c r="L34" s="383"/>
      <c r="M34" s="384"/>
      <c r="N34" s="385"/>
      <c r="O34" s="386"/>
      <c r="P34" s="387"/>
      <c r="Q34" s="388"/>
      <c r="V34" s="261"/>
    </row>
    <row r="35" spans="1:22" x14ac:dyDescent="0.25">
      <c r="A35" s="375"/>
      <c r="B35" s="849" t="s">
        <v>1038</v>
      </c>
      <c r="C35" s="838">
        <v>446</v>
      </c>
      <c r="D35" s="839" t="s">
        <v>752</v>
      </c>
      <c r="E35" s="259">
        <v>0.61</v>
      </c>
      <c r="F35" s="378"/>
      <c r="G35" s="534"/>
      <c r="H35" s="380"/>
      <c r="I35" s="378"/>
      <c r="J35" s="381"/>
      <c r="K35" s="535">
        <f t="shared" ref="K35" si="9">F35+I35+J35</f>
        <v>0</v>
      </c>
      <c r="O35" s="386"/>
      <c r="P35" s="387"/>
      <c r="Q35" s="388"/>
    </row>
    <row r="36" spans="1:22" x14ac:dyDescent="0.25">
      <c r="A36" s="375"/>
      <c r="B36" s="849" t="s">
        <v>1039</v>
      </c>
      <c r="C36" s="838">
        <v>1041</v>
      </c>
      <c r="D36" s="839" t="s">
        <v>752</v>
      </c>
      <c r="E36" s="259">
        <v>0.61</v>
      </c>
      <c r="F36" s="378"/>
      <c r="G36" s="534"/>
      <c r="H36" s="380"/>
      <c r="I36" s="378"/>
      <c r="J36" s="381"/>
      <c r="K36" s="535">
        <f t="shared" ref="K36" si="10">F36+I36+J36</f>
        <v>0</v>
      </c>
      <c r="O36" s="386"/>
      <c r="P36" s="387"/>
      <c r="Q36" s="388"/>
    </row>
    <row r="37" spans="1:22" x14ac:dyDescent="0.25">
      <c r="A37" s="375"/>
      <c r="B37" s="864" t="s">
        <v>1094</v>
      </c>
      <c r="C37" s="865">
        <f>12*5</f>
        <v>60</v>
      </c>
      <c r="D37" s="866" t="s">
        <v>752</v>
      </c>
      <c r="E37" s="259">
        <v>5.85</v>
      </c>
      <c r="F37" s="378"/>
      <c r="G37" s="534"/>
      <c r="H37" s="380"/>
      <c r="I37" s="378"/>
      <c r="J37" s="381"/>
      <c r="K37" s="535">
        <f t="shared" si="8"/>
        <v>0</v>
      </c>
      <c r="O37" s="386"/>
      <c r="P37" s="387"/>
      <c r="Q37" s="388"/>
      <c r="V37" s="261"/>
    </row>
    <row r="38" spans="1:22" x14ac:dyDescent="0.25">
      <c r="A38" s="603"/>
      <c r="B38" s="5" t="s">
        <v>904</v>
      </c>
      <c r="C38" s="376"/>
      <c r="D38" s="377" t="s">
        <v>752</v>
      </c>
      <c r="E38" s="259">
        <v>0.25</v>
      </c>
      <c r="F38" s="378"/>
      <c r="G38" s="534"/>
      <c r="H38" s="380"/>
      <c r="I38" s="378"/>
      <c r="J38" s="381"/>
      <c r="K38" s="535">
        <f t="shared" si="8"/>
        <v>0</v>
      </c>
      <c r="O38" s="386"/>
      <c r="P38" s="387"/>
      <c r="Q38" s="388"/>
      <c r="V38" s="261"/>
    </row>
    <row r="39" spans="1:22" x14ac:dyDescent="0.25">
      <c r="A39" s="603"/>
      <c r="B39" s="849" t="s">
        <v>1046</v>
      </c>
      <c r="C39" s="838">
        <v>3530</v>
      </c>
      <c r="D39" s="839" t="s">
        <v>752</v>
      </c>
      <c r="E39" s="259">
        <v>0.46</v>
      </c>
      <c r="F39" s="378"/>
      <c r="G39" s="534"/>
      <c r="H39" s="380"/>
      <c r="I39" s="378"/>
      <c r="J39" s="381"/>
      <c r="K39" s="535">
        <f t="shared" si="8"/>
        <v>0</v>
      </c>
      <c r="O39" s="386"/>
      <c r="P39" s="387"/>
      <c r="Q39" s="388"/>
      <c r="V39" s="261"/>
    </row>
    <row r="40" spans="1:22" x14ac:dyDescent="0.25">
      <c r="A40" s="603"/>
      <c r="B40" s="849" t="s">
        <v>1047</v>
      </c>
      <c r="C40" s="838">
        <v>6190</v>
      </c>
      <c r="D40" s="839" t="s">
        <v>752</v>
      </c>
      <c r="E40" s="259">
        <v>0.46</v>
      </c>
      <c r="F40" s="378"/>
      <c r="G40" s="534"/>
      <c r="H40" s="380"/>
      <c r="I40" s="378"/>
      <c r="J40" s="381"/>
      <c r="K40" s="535">
        <f t="shared" ref="K40:K42" si="11">F40+I40+J40</f>
        <v>0</v>
      </c>
      <c r="L40" s="383"/>
      <c r="O40" s="386"/>
      <c r="P40" s="387"/>
      <c r="Q40" s="388"/>
      <c r="V40" s="261"/>
    </row>
    <row r="41" spans="1:22" x14ac:dyDescent="0.25">
      <c r="A41" s="375"/>
      <c r="B41" s="5" t="s">
        <v>903</v>
      </c>
      <c r="C41" s="376"/>
      <c r="D41" s="377" t="s">
        <v>752</v>
      </c>
      <c r="E41" s="259">
        <v>1.61</v>
      </c>
      <c r="F41" s="378"/>
      <c r="G41" s="534"/>
      <c r="H41" s="380"/>
      <c r="I41" s="378"/>
      <c r="J41" s="381"/>
      <c r="K41" s="535">
        <f t="shared" si="11"/>
        <v>0</v>
      </c>
      <c r="O41" s="386"/>
      <c r="P41" s="387"/>
      <c r="Q41" s="388"/>
      <c r="V41" s="261"/>
    </row>
    <row r="42" spans="1:22" x14ac:dyDescent="0.25">
      <c r="A42" s="603"/>
      <c r="B42" s="5" t="s">
        <v>904</v>
      </c>
      <c r="C42" s="376"/>
      <c r="D42" s="377" t="s">
        <v>752</v>
      </c>
      <c r="E42" s="259">
        <v>0.25</v>
      </c>
      <c r="F42" s="378"/>
      <c r="G42" s="534"/>
      <c r="H42" s="380"/>
      <c r="I42" s="378"/>
      <c r="J42" s="381"/>
      <c r="K42" s="535">
        <f t="shared" si="11"/>
        <v>0</v>
      </c>
      <c r="O42" s="386"/>
      <c r="P42" s="387"/>
      <c r="Q42" s="388"/>
      <c r="V42" s="261"/>
    </row>
    <row r="43" spans="1:22" x14ac:dyDescent="0.25">
      <c r="A43" s="603"/>
      <c r="B43" s="6" t="s">
        <v>905</v>
      </c>
      <c r="C43" s="376"/>
      <c r="D43" s="377"/>
      <c r="E43" s="259"/>
      <c r="F43" s="378"/>
      <c r="G43" s="534"/>
      <c r="H43" s="380"/>
      <c r="I43" s="378"/>
      <c r="J43" s="381"/>
      <c r="K43" s="535">
        <f t="shared" si="8"/>
        <v>0</v>
      </c>
      <c r="O43" s="386"/>
      <c r="P43" s="387"/>
      <c r="Q43" s="388"/>
      <c r="V43" s="261"/>
    </row>
    <row r="44" spans="1:22" x14ac:dyDescent="0.25">
      <c r="A44" s="603"/>
      <c r="B44" s="5" t="s">
        <v>906</v>
      </c>
      <c r="C44" s="376"/>
      <c r="D44" s="377" t="s">
        <v>907</v>
      </c>
      <c r="E44" s="259">
        <v>30.65</v>
      </c>
      <c r="F44" s="378"/>
      <c r="G44" s="534"/>
      <c r="H44" s="380"/>
      <c r="I44" s="378"/>
      <c r="J44" s="381"/>
      <c r="K44" s="535">
        <f t="shared" si="8"/>
        <v>0</v>
      </c>
      <c r="O44" s="386"/>
      <c r="P44" s="387"/>
      <c r="Q44" s="388"/>
      <c r="V44" s="261"/>
    </row>
    <row r="45" spans="1:22" x14ac:dyDescent="0.25">
      <c r="A45" s="603"/>
      <c r="B45" s="849" t="s">
        <v>1043</v>
      </c>
      <c r="C45" s="861">
        <f>3530/32</f>
        <v>110.3125</v>
      </c>
      <c r="D45" s="839" t="s">
        <v>907</v>
      </c>
      <c r="E45" s="259">
        <v>23.98</v>
      </c>
      <c r="F45" s="378"/>
      <c r="G45" s="534"/>
      <c r="H45" s="380"/>
      <c r="I45" s="378"/>
      <c r="J45" s="381"/>
      <c r="K45" s="535">
        <f t="shared" si="8"/>
        <v>0</v>
      </c>
      <c r="O45" s="892" t="s">
        <v>1210</v>
      </c>
      <c r="P45" s="387"/>
      <c r="Q45" s="388"/>
      <c r="V45" s="261"/>
    </row>
    <row r="46" spans="1:22" x14ac:dyDescent="0.25">
      <c r="A46" s="603"/>
      <c r="B46" s="849" t="s">
        <v>1042</v>
      </c>
      <c r="C46" s="861">
        <f>104/32</f>
        <v>3.25</v>
      </c>
      <c r="D46" s="839" t="s">
        <v>907</v>
      </c>
      <c r="E46" s="259">
        <f>E45</f>
        <v>23.98</v>
      </c>
      <c r="F46" s="378"/>
      <c r="G46" s="534"/>
      <c r="H46" s="380"/>
      <c r="I46" s="378"/>
      <c r="J46" s="381"/>
      <c r="K46" s="535">
        <f t="shared" ref="K46" si="12">F46+I46+J46</f>
        <v>0</v>
      </c>
      <c r="O46" s="386"/>
      <c r="P46" s="387"/>
      <c r="Q46" s="388"/>
      <c r="V46" s="261"/>
    </row>
    <row r="47" spans="1:22" x14ac:dyDescent="0.25">
      <c r="A47" s="603"/>
      <c r="B47" s="849" t="s">
        <v>1044</v>
      </c>
      <c r="C47" s="861">
        <f>6755/32</f>
        <v>211.09375</v>
      </c>
      <c r="D47" s="839" t="s">
        <v>907</v>
      </c>
      <c r="E47" s="259">
        <v>56.08</v>
      </c>
      <c r="F47" s="378"/>
      <c r="G47" s="534"/>
      <c r="H47" s="380"/>
      <c r="I47" s="378"/>
      <c r="J47" s="381"/>
      <c r="K47" s="535">
        <f t="shared" ref="K47" si="13">F47+I47+J47</f>
        <v>0</v>
      </c>
      <c r="L47" s="868" t="s">
        <v>1142</v>
      </c>
      <c r="M47" s="474"/>
      <c r="O47" s="386"/>
      <c r="P47" s="387"/>
      <c r="Q47" s="388"/>
      <c r="V47" s="261"/>
    </row>
    <row r="48" spans="1:22" x14ac:dyDescent="0.25">
      <c r="A48" s="603"/>
      <c r="B48" s="864" t="s">
        <v>1040</v>
      </c>
      <c r="C48" s="867">
        <v>6190</v>
      </c>
      <c r="D48" s="866" t="s">
        <v>732</v>
      </c>
      <c r="E48" s="259"/>
      <c r="F48" s="378"/>
      <c r="G48" s="534"/>
      <c r="H48" s="380"/>
      <c r="I48" s="378"/>
      <c r="J48" s="895">
        <f>M50</f>
        <v>52376.63</v>
      </c>
      <c r="K48" s="535">
        <f t="shared" ref="K48" si="14">F48+I48+J48</f>
        <v>52376.63</v>
      </c>
      <c r="L48" s="383" t="s">
        <v>1203</v>
      </c>
      <c r="M48" s="384">
        <v>47881.21</v>
      </c>
      <c r="N48" s="883" t="s">
        <v>1211</v>
      </c>
      <c r="O48" s="386"/>
      <c r="P48" s="387"/>
      <c r="Q48" s="388"/>
      <c r="V48" s="261"/>
    </row>
    <row r="49" spans="1:23" x14ac:dyDescent="0.25">
      <c r="A49" s="603"/>
      <c r="B49" s="5" t="s">
        <v>908</v>
      </c>
      <c r="C49" s="376"/>
      <c r="D49" s="377" t="s">
        <v>907</v>
      </c>
      <c r="E49" s="259">
        <v>47.47</v>
      </c>
      <c r="F49" s="378"/>
      <c r="G49" s="534"/>
      <c r="H49" s="380"/>
      <c r="I49" s="378"/>
      <c r="J49" s="381"/>
      <c r="K49" s="535">
        <f t="shared" si="8"/>
        <v>0</v>
      </c>
      <c r="L49" s="383" t="s">
        <v>1207</v>
      </c>
      <c r="M49" s="384">
        <v>4495.42</v>
      </c>
      <c r="N49" s="385"/>
      <c r="O49" s="386"/>
      <c r="P49" s="387"/>
      <c r="Q49" s="388"/>
      <c r="V49" s="261"/>
    </row>
    <row r="50" spans="1:23" ht="13.8" thickBot="1" x14ac:dyDescent="0.3">
      <c r="A50" s="603"/>
      <c r="B50" s="849" t="s">
        <v>1045</v>
      </c>
      <c r="C50" s="861">
        <f>6755/32</f>
        <v>211.09375</v>
      </c>
      <c r="D50" s="839" t="s">
        <v>907</v>
      </c>
      <c r="E50" s="259">
        <v>12.98</v>
      </c>
      <c r="F50" s="378"/>
      <c r="G50" s="534"/>
      <c r="H50" s="380"/>
      <c r="I50" s="378"/>
      <c r="J50" s="381"/>
      <c r="K50" s="535">
        <f t="shared" ref="K50:K56" si="15">F50+I50+J50</f>
        <v>0</v>
      </c>
      <c r="L50" s="383"/>
      <c r="M50" s="907">
        <f>SUM(M48:M49)</f>
        <v>52376.63</v>
      </c>
      <c r="N50" s="385"/>
      <c r="O50" s="386"/>
      <c r="P50" s="387"/>
      <c r="Q50" s="388"/>
      <c r="V50" s="325"/>
      <c r="W50" s="325"/>
    </row>
    <row r="51" spans="1:23" ht="13.8" thickTop="1" x14ac:dyDescent="0.25">
      <c r="A51" s="603"/>
      <c r="B51" s="5" t="s">
        <v>909</v>
      </c>
      <c r="C51" s="376"/>
      <c r="D51" s="377" t="s">
        <v>907</v>
      </c>
      <c r="E51" s="259">
        <v>0</v>
      </c>
      <c r="F51" s="378">
        <f t="shared" ref="F51:F54" si="16">C51*E51</f>
        <v>0</v>
      </c>
      <c r="G51" s="534"/>
      <c r="H51" s="380"/>
      <c r="I51" s="378"/>
      <c r="J51" s="381"/>
      <c r="K51" s="535">
        <f t="shared" ref="K51:K54" si="17">F51+I51+J51</f>
        <v>0</v>
      </c>
      <c r="L51" s="383"/>
      <c r="M51" s="384"/>
      <c r="N51" s="385"/>
      <c r="O51" s="386"/>
      <c r="P51" s="387"/>
      <c r="Q51" s="388"/>
      <c r="V51" s="325"/>
      <c r="W51" s="325"/>
    </row>
    <row r="52" spans="1:23" x14ac:dyDescent="0.25">
      <c r="A52" s="603"/>
      <c r="B52" s="5"/>
      <c r="C52" s="376"/>
      <c r="D52" s="377" t="s">
        <v>907</v>
      </c>
      <c r="E52" s="259">
        <v>0</v>
      </c>
      <c r="F52" s="378">
        <f t="shared" si="16"/>
        <v>0</v>
      </c>
      <c r="G52" s="534"/>
      <c r="H52" s="380"/>
      <c r="I52" s="378"/>
      <c r="J52" s="381"/>
      <c r="K52" s="535">
        <f t="shared" si="17"/>
        <v>0</v>
      </c>
      <c r="L52" s="868" t="s">
        <v>1146</v>
      </c>
      <c r="M52" s="384"/>
      <c r="N52" s="385"/>
      <c r="O52" s="386"/>
      <c r="P52" s="387"/>
      <c r="Q52" s="388"/>
      <c r="V52" s="325"/>
      <c r="W52" s="325"/>
    </row>
    <row r="53" spans="1:23" x14ac:dyDescent="0.25">
      <c r="A53" s="603"/>
      <c r="B53" s="898" t="s">
        <v>1213</v>
      </c>
      <c r="C53" s="899"/>
      <c r="D53" s="900" t="s">
        <v>907</v>
      </c>
      <c r="E53" s="901">
        <v>0</v>
      </c>
      <c r="F53" s="902">
        <f t="shared" si="16"/>
        <v>0</v>
      </c>
      <c r="G53" s="903"/>
      <c r="H53" s="904"/>
      <c r="I53" s="902"/>
      <c r="J53" s="905"/>
      <c r="K53" s="535">
        <f t="shared" si="17"/>
        <v>0</v>
      </c>
      <c r="L53" s="383" t="s">
        <v>1203</v>
      </c>
      <c r="M53" s="384">
        <v>71162.09</v>
      </c>
      <c r="N53" s="385"/>
      <c r="O53" s="892"/>
      <c r="P53" s="387"/>
      <c r="Q53" s="388"/>
      <c r="V53" s="325"/>
      <c r="W53" s="325"/>
    </row>
    <row r="54" spans="1:23" x14ac:dyDescent="0.25">
      <c r="A54" s="603"/>
      <c r="B54" s="5"/>
      <c r="C54" s="376"/>
      <c r="D54" s="377" t="s">
        <v>907</v>
      </c>
      <c r="E54" s="259">
        <v>0</v>
      </c>
      <c r="F54" s="378">
        <f t="shared" si="16"/>
        <v>0</v>
      </c>
      <c r="G54" s="534"/>
      <c r="H54" s="380"/>
      <c r="I54" s="378"/>
      <c r="J54" s="381"/>
      <c r="K54" s="535">
        <f t="shared" si="17"/>
        <v>0</v>
      </c>
      <c r="L54" s="383" t="s">
        <v>1208</v>
      </c>
      <c r="M54" s="578">
        <v>4362.91</v>
      </c>
      <c r="N54" s="385"/>
      <c r="O54" s="386"/>
      <c r="P54" s="387"/>
      <c r="Q54" s="388"/>
      <c r="V54" s="325"/>
      <c r="W54" s="325"/>
    </row>
    <row r="55" spans="1:23" ht="13.8" thickBot="1" x14ac:dyDescent="0.3">
      <c r="A55" s="603"/>
      <c r="B55" s="5"/>
      <c r="C55" s="376"/>
      <c r="D55" s="377" t="s">
        <v>907</v>
      </c>
      <c r="E55" s="259">
        <v>0</v>
      </c>
      <c r="F55" s="378">
        <f t="shared" ref="F55:F56" si="18">C55*E55</f>
        <v>0</v>
      </c>
      <c r="G55" s="534"/>
      <c r="H55" s="380"/>
      <c r="I55" s="378"/>
      <c r="J55" s="381"/>
      <c r="K55" s="535">
        <f t="shared" si="15"/>
        <v>0</v>
      </c>
      <c r="L55" s="383"/>
      <c r="M55" s="891">
        <f>SUM(M53:M54)</f>
        <v>75525</v>
      </c>
      <c r="N55" s="385"/>
      <c r="O55" s="386"/>
      <c r="P55" s="387"/>
      <c r="Q55" s="388"/>
      <c r="V55" s="325"/>
      <c r="W55" s="325"/>
    </row>
    <row r="56" spans="1:23" ht="13.8" thickTop="1" x14ac:dyDescent="0.25">
      <c r="A56" s="603"/>
      <c r="B56" s="5"/>
      <c r="C56" s="376"/>
      <c r="D56" s="377" t="s">
        <v>907</v>
      </c>
      <c r="E56" s="259">
        <v>0</v>
      </c>
      <c r="F56" s="378">
        <f t="shared" si="18"/>
        <v>0</v>
      </c>
      <c r="G56" s="534"/>
      <c r="H56" s="380"/>
      <c r="I56" s="378"/>
      <c r="J56" s="381"/>
      <c r="K56" s="535">
        <f t="shared" si="15"/>
        <v>0</v>
      </c>
      <c r="L56" s="383"/>
      <c r="M56" s="469"/>
      <c r="N56" s="385"/>
      <c r="O56" s="386"/>
      <c r="P56" s="387"/>
      <c r="Q56" s="388"/>
      <c r="V56" s="325"/>
      <c r="W56" s="325"/>
    </row>
    <row r="57" spans="1:23" x14ac:dyDescent="0.25">
      <c r="A57" s="603"/>
      <c r="B57" s="5"/>
      <c r="C57" s="376"/>
      <c r="D57" s="377" t="s">
        <v>907</v>
      </c>
      <c r="E57" s="259">
        <v>0</v>
      </c>
      <c r="F57" s="378">
        <f t="shared" ref="F57:F71" si="19">C57*E57</f>
        <v>0</v>
      </c>
      <c r="G57" s="534"/>
      <c r="H57" s="380"/>
      <c r="I57" s="378"/>
      <c r="J57" s="381"/>
      <c r="K57" s="535">
        <f t="shared" ref="K57:K71" si="20">F57+I57+J57</f>
        <v>0</v>
      </c>
      <c r="L57" s="868" t="s">
        <v>1144</v>
      </c>
      <c r="M57" s="384"/>
      <c r="N57" s="385"/>
      <c r="O57" s="892"/>
      <c r="P57" s="387"/>
      <c r="Q57" s="388"/>
      <c r="V57" s="325"/>
      <c r="W57" s="325"/>
    </row>
    <row r="58" spans="1:23" x14ac:dyDescent="0.25">
      <c r="A58" s="603"/>
      <c r="B58" s="5"/>
      <c r="C58" s="376"/>
      <c r="D58" s="377" t="s">
        <v>907</v>
      </c>
      <c r="E58" s="259">
        <v>0</v>
      </c>
      <c r="F58" s="378">
        <f t="shared" si="19"/>
        <v>0</v>
      </c>
      <c r="G58" s="534"/>
      <c r="H58" s="380"/>
      <c r="I58" s="378"/>
      <c r="J58" s="381"/>
      <c r="K58" s="535">
        <f t="shared" si="20"/>
        <v>0</v>
      </c>
      <c r="L58" s="383" t="s">
        <v>1203</v>
      </c>
      <c r="M58" s="384">
        <v>69400</v>
      </c>
      <c r="N58" s="385" t="s">
        <v>1209</v>
      </c>
      <c r="O58" s="386"/>
      <c r="P58" s="387"/>
      <c r="Q58" s="388"/>
      <c r="V58" s="325"/>
      <c r="W58" s="325"/>
    </row>
    <row r="59" spans="1:23" x14ac:dyDescent="0.25">
      <c r="A59" s="603"/>
      <c r="B59" s="5"/>
      <c r="C59" s="376"/>
      <c r="D59" s="377" t="s">
        <v>907</v>
      </c>
      <c r="E59" s="259">
        <v>0</v>
      </c>
      <c r="F59" s="378">
        <f t="shared" si="19"/>
        <v>0</v>
      </c>
      <c r="G59" s="534"/>
      <c r="H59" s="380"/>
      <c r="I59" s="378"/>
      <c r="J59" s="381"/>
      <c r="K59" s="535">
        <f t="shared" si="20"/>
        <v>0</v>
      </c>
      <c r="L59" s="383" t="s">
        <v>1203</v>
      </c>
      <c r="M59" s="384">
        <f>69400-4000</f>
        <v>65400</v>
      </c>
      <c r="N59" s="385" t="s">
        <v>1206</v>
      </c>
      <c r="O59" s="892"/>
      <c r="P59" s="387"/>
      <c r="Q59" s="388"/>
      <c r="V59" s="325"/>
      <c r="W59" s="325"/>
    </row>
    <row r="60" spans="1:23" x14ac:dyDescent="0.25">
      <c r="A60" s="603"/>
      <c r="B60" s="5"/>
      <c r="C60" s="376"/>
      <c r="D60" s="377" t="s">
        <v>907</v>
      </c>
      <c r="E60" s="259">
        <v>0</v>
      </c>
      <c r="F60" s="378">
        <f t="shared" si="19"/>
        <v>0</v>
      </c>
      <c r="G60" s="534"/>
      <c r="H60" s="380"/>
      <c r="I60" s="378"/>
      <c r="J60" s="381"/>
      <c r="K60" s="535">
        <f t="shared" si="20"/>
        <v>0</v>
      </c>
      <c r="L60" s="383" t="s">
        <v>1204</v>
      </c>
      <c r="M60" s="384">
        <v>38900</v>
      </c>
      <c r="N60" s="385"/>
      <c r="O60" s="386"/>
      <c r="P60" s="387"/>
      <c r="Q60" s="388"/>
      <c r="V60" s="325"/>
      <c r="W60" s="325"/>
    </row>
    <row r="61" spans="1:23" x14ac:dyDescent="0.25">
      <c r="A61" s="603"/>
      <c r="B61" s="5"/>
      <c r="C61" s="376"/>
      <c r="D61" s="377" t="s">
        <v>907</v>
      </c>
      <c r="E61" s="259">
        <v>0</v>
      </c>
      <c r="F61" s="378">
        <f t="shared" si="19"/>
        <v>0</v>
      </c>
      <c r="G61" s="534"/>
      <c r="H61" s="380"/>
      <c r="I61" s="378"/>
      <c r="J61" s="381"/>
      <c r="K61" s="535">
        <f t="shared" si="20"/>
        <v>0</v>
      </c>
      <c r="L61" s="383" t="s">
        <v>1205</v>
      </c>
      <c r="M61" s="384">
        <v>12600</v>
      </c>
      <c r="N61" s="385"/>
      <c r="O61" s="386"/>
      <c r="P61" s="387"/>
      <c r="Q61" s="388"/>
      <c r="V61" s="325"/>
      <c r="W61" s="325"/>
    </row>
    <row r="62" spans="1:23" x14ac:dyDescent="0.25">
      <c r="A62" s="603"/>
      <c r="B62" s="5"/>
      <c r="C62" s="376"/>
      <c r="D62" s="377" t="s">
        <v>907</v>
      </c>
      <c r="E62" s="259">
        <v>0</v>
      </c>
      <c r="F62" s="378">
        <f t="shared" si="19"/>
        <v>0</v>
      </c>
      <c r="G62" s="534"/>
      <c r="H62" s="380"/>
      <c r="I62" s="378"/>
      <c r="J62" s="381"/>
      <c r="K62" s="535">
        <f t="shared" si="20"/>
        <v>0</v>
      </c>
      <c r="N62" s="910">
        <f>M60+M61</f>
        <v>51500</v>
      </c>
      <c r="O62" s="892"/>
      <c r="P62" s="387"/>
      <c r="Q62" s="388"/>
      <c r="V62" s="325"/>
      <c r="W62" s="325"/>
    </row>
    <row r="63" spans="1:23" x14ac:dyDescent="0.25">
      <c r="A63" s="603"/>
      <c r="B63" s="5"/>
      <c r="C63" s="376"/>
      <c r="D63" s="377" t="s">
        <v>907</v>
      </c>
      <c r="E63" s="259">
        <v>0</v>
      </c>
      <c r="F63" s="378">
        <f t="shared" si="19"/>
        <v>0</v>
      </c>
      <c r="G63" s="534"/>
      <c r="H63" s="380"/>
      <c r="I63" s="378"/>
      <c r="J63" s="381"/>
      <c r="K63" s="535">
        <f t="shared" si="20"/>
        <v>0</v>
      </c>
      <c r="O63" s="386"/>
      <c r="P63" s="387"/>
      <c r="Q63" s="388"/>
      <c r="V63" s="325"/>
      <c r="W63" s="325"/>
    </row>
    <row r="64" spans="1:23" x14ac:dyDescent="0.25">
      <c r="A64" s="603"/>
      <c r="B64" s="5"/>
      <c r="C64" s="376"/>
      <c r="D64" s="377" t="s">
        <v>907</v>
      </c>
      <c r="E64" s="259">
        <v>0</v>
      </c>
      <c r="F64" s="378">
        <f t="shared" si="19"/>
        <v>0</v>
      </c>
      <c r="G64" s="534"/>
      <c r="H64" s="380"/>
      <c r="I64" s="378"/>
      <c r="J64" s="381"/>
      <c r="K64" s="535">
        <f t="shared" si="20"/>
        <v>0</v>
      </c>
      <c r="L64" s="893" t="s">
        <v>1212</v>
      </c>
      <c r="O64" s="386"/>
      <c r="P64" s="387"/>
      <c r="Q64" s="388"/>
      <c r="V64" s="325"/>
      <c r="W64" s="325"/>
    </row>
    <row r="65" spans="1:23" x14ac:dyDescent="0.25">
      <c r="A65" s="603"/>
      <c r="B65" s="5"/>
      <c r="C65" s="376"/>
      <c r="D65" s="377" t="s">
        <v>907</v>
      </c>
      <c r="E65" s="259">
        <v>0</v>
      </c>
      <c r="F65" s="378">
        <f t="shared" si="19"/>
        <v>0</v>
      </c>
      <c r="G65" s="534"/>
      <c r="H65" s="380"/>
      <c r="I65" s="378"/>
      <c r="J65" s="381"/>
      <c r="K65" s="535">
        <f t="shared" si="20"/>
        <v>0</v>
      </c>
      <c r="L65" s="383" t="s">
        <v>1132</v>
      </c>
      <c r="M65" s="906">
        <v>32454.01</v>
      </c>
      <c r="O65" s="386"/>
      <c r="P65" s="387"/>
      <c r="Q65" s="388"/>
      <c r="V65" s="325"/>
      <c r="W65" s="325"/>
    </row>
    <row r="66" spans="1:23" x14ac:dyDescent="0.25">
      <c r="A66" s="603"/>
      <c r="B66" s="5"/>
      <c r="C66" s="376"/>
      <c r="D66" s="377" t="s">
        <v>907</v>
      </c>
      <c r="E66" s="259">
        <v>0</v>
      </c>
      <c r="F66" s="378">
        <f t="shared" ref="F66:F70" si="21">C66*E66</f>
        <v>0</v>
      </c>
      <c r="G66" s="534"/>
      <c r="H66" s="380"/>
      <c r="I66" s="378"/>
      <c r="J66" s="381"/>
      <c r="K66" s="535">
        <f t="shared" ref="K66:K70" si="22">F66+I66+J66</f>
        <v>0</v>
      </c>
      <c r="L66" s="383" t="s">
        <v>1139</v>
      </c>
      <c r="M66" s="282">
        <v>36630.199999999997</v>
      </c>
      <c r="N66" s="157" t="s">
        <v>1352</v>
      </c>
      <c r="O66" s="892"/>
      <c r="P66" s="387"/>
      <c r="Q66" s="388"/>
      <c r="V66" s="325"/>
      <c r="W66" s="325"/>
    </row>
    <row r="67" spans="1:23" x14ac:dyDescent="0.25">
      <c r="A67" s="603"/>
      <c r="B67" s="5"/>
      <c r="C67" s="376"/>
      <c r="D67" s="377" t="s">
        <v>907</v>
      </c>
      <c r="E67" s="259">
        <v>0</v>
      </c>
      <c r="F67" s="378">
        <f t="shared" si="21"/>
        <v>0</v>
      </c>
      <c r="G67" s="534"/>
      <c r="H67" s="380"/>
      <c r="I67" s="378"/>
      <c r="J67" s="381"/>
      <c r="K67" s="535">
        <f t="shared" si="22"/>
        <v>0</v>
      </c>
      <c r="O67" s="386"/>
      <c r="P67" s="387"/>
      <c r="Q67" s="388"/>
      <c r="V67" s="325"/>
      <c r="W67" s="325"/>
    </row>
    <row r="68" spans="1:23" x14ac:dyDescent="0.25">
      <c r="A68" s="603"/>
      <c r="B68" s="5"/>
      <c r="C68" s="376"/>
      <c r="D68" s="377" t="s">
        <v>907</v>
      </c>
      <c r="E68" s="259">
        <v>0</v>
      </c>
      <c r="F68" s="378">
        <f t="shared" si="21"/>
        <v>0</v>
      </c>
      <c r="G68" s="534"/>
      <c r="H68" s="380"/>
      <c r="I68" s="378"/>
      <c r="J68" s="381"/>
      <c r="K68" s="535">
        <f t="shared" si="22"/>
        <v>0</v>
      </c>
      <c r="M68" s="896"/>
      <c r="O68" s="892"/>
      <c r="P68" s="387"/>
      <c r="Q68" s="388"/>
      <c r="V68" s="325"/>
      <c r="W68" s="325"/>
    </row>
    <row r="69" spans="1:23" x14ac:dyDescent="0.25">
      <c r="A69" s="603"/>
      <c r="B69" s="5"/>
      <c r="C69" s="376"/>
      <c r="D69" s="377" t="s">
        <v>907</v>
      </c>
      <c r="E69" s="259">
        <v>0</v>
      </c>
      <c r="F69" s="378">
        <f t="shared" si="21"/>
        <v>0</v>
      </c>
      <c r="G69" s="534"/>
      <c r="H69" s="380"/>
      <c r="I69" s="378"/>
      <c r="J69" s="381"/>
      <c r="K69" s="535">
        <f t="shared" si="22"/>
        <v>0</v>
      </c>
      <c r="M69" s="896"/>
      <c r="O69" s="386"/>
      <c r="P69" s="387"/>
      <c r="Q69" s="388"/>
      <c r="V69" s="325"/>
      <c r="W69" s="325"/>
    </row>
    <row r="70" spans="1:23" x14ac:dyDescent="0.25">
      <c r="A70" s="603"/>
      <c r="B70" s="5"/>
      <c r="C70" s="376"/>
      <c r="D70" s="377" t="s">
        <v>907</v>
      </c>
      <c r="E70" s="259">
        <v>0</v>
      </c>
      <c r="F70" s="378">
        <f t="shared" si="21"/>
        <v>0</v>
      </c>
      <c r="G70" s="534"/>
      <c r="H70" s="380"/>
      <c r="I70" s="378"/>
      <c r="J70" s="381"/>
      <c r="K70" s="535">
        <f t="shared" si="22"/>
        <v>0</v>
      </c>
      <c r="O70" s="386"/>
      <c r="P70" s="387"/>
      <c r="Q70" s="388"/>
      <c r="V70" s="325"/>
      <c r="W70" s="325"/>
    </row>
    <row r="71" spans="1:23" x14ac:dyDescent="0.25">
      <c r="A71" s="603"/>
      <c r="B71" s="5"/>
      <c r="C71" s="376"/>
      <c r="D71" s="377" t="s">
        <v>907</v>
      </c>
      <c r="E71" s="259">
        <v>0</v>
      </c>
      <c r="F71" s="378">
        <f t="shared" si="19"/>
        <v>0</v>
      </c>
      <c r="G71" s="534"/>
      <c r="H71" s="380"/>
      <c r="I71" s="378"/>
      <c r="J71" s="381"/>
      <c r="K71" s="535">
        <f t="shared" si="20"/>
        <v>0</v>
      </c>
      <c r="O71" s="386"/>
      <c r="P71" s="387"/>
      <c r="Q71" s="388"/>
      <c r="V71" s="325"/>
      <c r="W71" s="325"/>
    </row>
    <row r="72" spans="1:23" x14ac:dyDescent="0.25">
      <c r="A72" s="603"/>
      <c r="B72" s="5"/>
      <c r="C72" s="376"/>
      <c r="D72" s="377" t="s">
        <v>907</v>
      </c>
      <c r="E72" s="259">
        <v>0</v>
      </c>
      <c r="F72" s="378">
        <f t="shared" ref="F72" si="23">C72*E72</f>
        <v>0</v>
      </c>
      <c r="G72" s="534"/>
      <c r="H72" s="380"/>
      <c r="I72" s="378"/>
      <c r="J72" s="381"/>
      <c r="K72" s="535">
        <f t="shared" ref="K72" si="24">F72+I72+J72</f>
        <v>0</v>
      </c>
      <c r="O72" s="892"/>
      <c r="P72" s="387"/>
      <c r="Q72" s="388"/>
      <c r="V72" s="325"/>
      <c r="W72" s="325"/>
    </row>
    <row r="73" spans="1:23" x14ac:dyDescent="0.25">
      <c r="A73" s="603"/>
      <c r="B73" s="5"/>
      <c r="C73" s="376"/>
      <c r="D73" s="377" t="s">
        <v>907</v>
      </c>
      <c r="E73" s="259">
        <v>0</v>
      </c>
      <c r="F73" s="378">
        <f t="shared" ref="F73" si="25">C73*E73</f>
        <v>0</v>
      </c>
      <c r="G73" s="534"/>
      <c r="H73" s="380"/>
      <c r="I73" s="378"/>
      <c r="J73" s="381"/>
      <c r="K73" s="535">
        <f t="shared" si="8"/>
        <v>0</v>
      </c>
      <c r="O73" s="386"/>
      <c r="P73" s="387"/>
      <c r="Q73" s="388"/>
      <c r="V73" s="325"/>
      <c r="W73" s="325"/>
    </row>
    <row r="74" spans="1:23" x14ac:dyDescent="0.25">
      <c r="A74" s="603"/>
      <c r="B74" s="5"/>
      <c r="C74" s="376"/>
      <c r="D74" s="377"/>
      <c r="E74" s="259"/>
      <c r="F74" s="378"/>
      <c r="G74" s="534"/>
      <c r="H74" s="380"/>
      <c r="I74" s="378"/>
      <c r="J74" s="381"/>
      <c r="K74" s="535"/>
      <c r="O74" s="386"/>
      <c r="P74" s="387"/>
      <c r="Q74" s="388"/>
      <c r="V74" s="325"/>
      <c r="W74" s="325"/>
    </row>
    <row r="75" spans="1:23" ht="13.8" thickBot="1" x14ac:dyDescent="0.3">
      <c r="A75" s="392"/>
      <c r="B75" s="7"/>
      <c r="C75" s="393"/>
      <c r="D75" s="377"/>
      <c r="E75" s="259"/>
      <c r="F75" s="378"/>
      <c r="G75" s="534"/>
      <c r="H75" s="380"/>
      <c r="I75" s="378"/>
      <c r="J75" s="381"/>
      <c r="K75" s="535"/>
      <c r="O75" s="386"/>
      <c r="P75" s="387"/>
      <c r="Q75" s="388"/>
    </row>
    <row r="76" spans="1:23" ht="13.8" thickTop="1" x14ac:dyDescent="0.25">
      <c r="A76" s="392"/>
      <c r="B76" s="7"/>
      <c r="C76" s="393"/>
      <c r="D76" s="377"/>
      <c r="E76" s="259"/>
      <c r="F76" s="378"/>
      <c r="G76" s="534"/>
      <c r="H76" s="380"/>
      <c r="I76" s="378"/>
      <c r="J76" s="394" t="s">
        <v>30</v>
      </c>
      <c r="K76" s="537">
        <f>SUM(K31:K75)</f>
        <v>92676.18</v>
      </c>
      <c r="L76" s="931">
        <f>K76-J48-J53</f>
        <v>40299.549999999996</v>
      </c>
      <c r="M76" s="384"/>
      <c r="N76" s="385"/>
      <c r="O76" s="386"/>
      <c r="P76" s="387"/>
      <c r="Q76" s="388"/>
    </row>
    <row r="77" spans="1:23" ht="13.8" thickBot="1" x14ac:dyDescent="0.3">
      <c r="A77" s="358" t="s">
        <v>0</v>
      </c>
      <c r="B77" s="359" t="s">
        <v>1</v>
      </c>
      <c r="C77" s="1018" t="s">
        <v>656</v>
      </c>
      <c r="D77" s="1018"/>
      <c r="E77" s="1018"/>
      <c r="F77" s="1018"/>
      <c r="G77" s="1018" t="s">
        <v>34</v>
      </c>
      <c r="H77" s="1018"/>
      <c r="I77" s="1018"/>
      <c r="J77" s="360"/>
      <c r="K77" s="528"/>
      <c r="L77" s="396"/>
      <c r="M77" s="397"/>
      <c r="N77" s="398"/>
      <c r="O77" s="386"/>
      <c r="P77" s="387"/>
      <c r="Q77" s="388"/>
      <c r="S77" s="585"/>
    </row>
    <row r="78" spans="1:23" ht="13.8" thickBot="1" x14ac:dyDescent="0.3">
      <c r="A78" s="601" t="s">
        <v>194</v>
      </c>
      <c r="B78" s="602" t="s">
        <v>48</v>
      </c>
      <c r="C78" s="402" t="s">
        <v>19</v>
      </c>
      <c r="D78" s="402" t="s">
        <v>33</v>
      </c>
      <c r="E78" s="403" t="s">
        <v>35</v>
      </c>
      <c r="F78" s="404" t="s">
        <v>30</v>
      </c>
      <c r="G78" s="538" t="s">
        <v>14</v>
      </c>
      <c r="H78" s="403" t="s">
        <v>35</v>
      </c>
      <c r="I78" s="404" t="s">
        <v>30</v>
      </c>
      <c r="J78" s="369" t="s">
        <v>659</v>
      </c>
      <c r="K78" s="539" t="s">
        <v>38</v>
      </c>
      <c r="L78" s="407"/>
      <c r="M78" s="413"/>
      <c r="N78" s="414"/>
      <c r="O78" s="386"/>
      <c r="P78" s="387"/>
      <c r="Q78" s="388"/>
    </row>
    <row r="79" spans="1:23" x14ac:dyDescent="0.25">
      <c r="A79" s="375"/>
      <c r="B79" s="849" t="s">
        <v>1077</v>
      </c>
      <c r="C79" s="838">
        <v>1</v>
      </c>
      <c r="D79" s="839" t="s">
        <v>907</v>
      </c>
      <c r="E79" s="259">
        <v>0</v>
      </c>
      <c r="F79" s="378">
        <f t="shared" ref="F79:F88" si="26">C79*E79</f>
        <v>0</v>
      </c>
      <c r="G79" s="534"/>
      <c r="H79" s="380">
        <v>0</v>
      </c>
      <c r="I79" s="378">
        <f t="shared" ref="I79:I88" si="27">G79*H79</f>
        <v>0</v>
      </c>
      <c r="J79" s="895">
        <f>M83</f>
        <v>114994</v>
      </c>
      <c r="K79" s="535">
        <f t="shared" ref="K79:K88" si="28">F79+I79+J79</f>
        <v>114994</v>
      </c>
      <c r="L79" s="383" t="s">
        <v>1159</v>
      </c>
      <c r="M79" s="474">
        <v>165000</v>
      </c>
      <c r="O79" s="415"/>
      <c r="P79" s="416"/>
      <c r="Q79" s="388"/>
    </row>
    <row r="80" spans="1:23" x14ac:dyDescent="0.25">
      <c r="A80" s="375"/>
      <c r="B80" s="849" t="s">
        <v>1078</v>
      </c>
      <c r="C80" s="838">
        <v>1</v>
      </c>
      <c r="D80" s="839" t="s">
        <v>907</v>
      </c>
      <c r="E80" s="259">
        <v>0</v>
      </c>
      <c r="F80" s="378">
        <f t="shared" si="26"/>
        <v>0</v>
      </c>
      <c r="G80" s="534"/>
      <c r="H80" s="380">
        <v>0</v>
      </c>
      <c r="I80" s="378">
        <f t="shared" si="27"/>
        <v>0</v>
      </c>
      <c r="J80" s="381"/>
      <c r="K80" s="535">
        <f t="shared" si="28"/>
        <v>0</v>
      </c>
      <c r="L80" s="383" t="s">
        <v>1147</v>
      </c>
      <c r="M80" s="261">
        <v>173375</v>
      </c>
      <c r="N80" s="426"/>
      <c r="O80" s="415"/>
      <c r="P80" s="416"/>
      <c r="Q80" s="388"/>
    </row>
    <row r="81" spans="1:17" x14ac:dyDescent="0.25">
      <c r="A81" s="375"/>
      <c r="B81" s="849" t="s">
        <v>1079</v>
      </c>
      <c r="C81" s="838">
        <v>1</v>
      </c>
      <c r="D81" s="839" t="s">
        <v>907</v>
      </c>
      <c r="E81" s="259">
        <v>0</v>
      </c>
      <c r="F81" s="378">
        <f t="shared" si="26"/>
        <v>0</v>
      </c>
      <c r="G81" s="534"/>
      <c r="H81" s="380">
        <v>0</v>
      </c>
      <c r="I81" s="378">
        <f t="shared" si="27"/>
        <v>0</v>
      </c>
      <c r="J81" s="381"/>
      <c r="K81" s="535">
        <f t="shared" si="28"/>
        <v>0</v>
      </c>
      <c r="L81" s="383" t="s">
        <v>1148</v>
      </c>
      <c r="M81" s="261">
        <v>153450</v>
      </c>
      <c r="N81" s="426"/>
      <c r="O81" s="415"/>
      <c r="P81" s="416"/>
      <c r="Q81" s="388"/>
    </row>
    <row r="82" spans="1:17" x14ac:dyDescent="0.25">
      <c r="A82" s="375"/>
      <c r="B82" s="849" t="s">
        <v>1080</v>
      </c>
      <c r="C82" s="838">
        <v>1</v>
      </c>
      <c r="D82" s="839" t="s">
        <v>907</v>
      </c>
      <c r="E82" s="259">
        <v>0</v>
      </c>
      <c r="F82" s="378">
        <f t="shared" si="26"/>
        <v>0</v>
      </c>
      <c r="G82" s="534"/>
      <c r="H82" s="380">
        <v>0</v>
      </c>
      <c r="I82" s="378">
        <f t="shared" si="27"/>
        <v>0</v>
      </c>
      <c r="J82" s="381"/>
      <c r="K82" s="535">
        <f t="shared" si="28"/>
        <v>0</v>
      </c>
      <c r="L82" s="383" t="s">
        <v>1149</v>
      </c>
      <c r="M82" s="261"/>
      <c r="N82" s="426"/>
      <c r="O82" s="415"/>
      <c r="P82" s="416"/>
      <c r="Q82" s="388"/>
    </row>
    <row r="83" spans="1:17" x14ac:dyDescent="0.25">
      <c r="A83" s="375"/>
      <c r="B83" s="849" t="s">
        <v>1081</v>
      </c>
      <c r="C83" s="838">
        <v>1</v>
      </c>
      <c r="D83" s="839" t="s">
        <v>907</v>
      </c>
      <c r="E83" s="259">
        <v>0</v>
      </c>
      <c r="F83" s="378">
        <f t="shared" ref="F83" si="29">C83*E83</f>
        <v>0</v>
      </c>
      <c r="G83" s="534"/>
      <c r="H83" s="380">
        <v>0</v>
      </c>
      <c r="I83" s="378">
        <f t="shared" ref="I83" si="30">G83*H83</f>
        <v>0</v>
      </c>
      <c r="J83" s="381"/>
      <c r="K83" s="535">
        <f t="shared" ref="K83" si="31">F83+I83+J83</f>
        <v>0</v>
      </c>
      <c r="L83" s="959" t="s">
        <v>1150</v>
      </c>
      <c r="M83" s="1217">
        <v>114994</v>
      </c>
      <c r="N83" s="426"/>
      <c r="O83" s="415"/>
      <c r="P83" s="416"/>
      <c r="Q83" s="388"/>
    </row>
    <row r="84" spans="1:17" x14ac:dyDescent="0.25">
      <c r="A84" s="375"/>
      <c r="B84" s="849" t="s">
        <v>1082</v>
      </c>
      <c r="C84" s="838">
        <v>4</v>
      </c>
      <c r="D84" s="839" t="s">
        <v>907</v>
      </c>
      <c r="E84" s="259">
        <v>0</v>
      </c>
      <c r="F84" s="378">
        <f t="shared" si="26"/>
        <v>0</v>
      </c>
      <c r="G84" s="534"/>
      <c r="H84" s="380">
        <v>0</v>
      </c>
      <c r="I84" s="378">
        <f t="shared" si="27"/>
        <v>0</v>
      </c>
      <c r="J84" s="381"/>
      <c r="K84" s="535">
        <f t="shared" si="28"/>
        <v>0</v>
      </c>
      <c r="L84" s="383" t="s">
        <v>1140</v>
      </c>
      <c r="M84" s="261"/>
      <c r="N84" s="426"/>
      <c r="O84" s="415"/>
      <c r="P84" s="416"/>
      <c r="Q84" s="388"/>
    </row>
    <row r="85" spans="1:17" x14ac:dyDescent="0.25">
      <c r="A85" s="375"/>
      <c r="B85" s="849" t="s">
        <v>1083</v>
      </c>
      <c r="C85" s="838">
        <v>1</v>
      </c>
      <c r="D85" s="839" t="s">
        <v>907</v>
      </c>
      <c r="E85" s="259">
        <v>0</v>
      </c>
      <c r="F85" s="378">
        <f t="shared" ref="F85" si="32">C85*E85</f>
        <v>0</v>
      </c>
      <c r="G85" s="534"/>
      <c r="H85" s="380">
        <v>0</v>
      </c>
      <c r="I85" s="378">
        <f t="shared" ref="I85" si="33">G85*H85</f>
        <v>0</v>
      </c>
      <c r="J85" s="381"/>
      <c r="K85" s="535">
        <f t="shared" ref="K85" si="34">F85+I85+J85</f>
        <v>0</v>
      </c>
      <c r="L85" s="383" t="s">
        <v>1294</v>
      </c>
      <c r="M85" s="261">
        <v>165875.37</v>
      </c>
      <c r="N85" s="426"/>
      <c r="O85" s="415"/>
      <c r="P85" s="416"/>
      <c r="Q85" s="388"/>
    </row>
    <row r="86" spans="1:17" x14ac:dyDescent="0.25">
      <c r="A86" s="375"/>
      <c r="B86" s="849" t="s">
        <v>1084</v>
      </c>
      <c r="C86" s="838">
        <v>3</v>
      </c>
      <c r="D86" s="839" t="s">
        <v>907</v>
      </c>
      <c r="E86" s="259">
        <v>0</v>
      </c>
      <c r="F86" s="378">
        <f t="shared" ref="F86" si="35">C86*E86</f>
        <v>0</v>
      </c>
      <c r="G86" s="534"/>
      <c r="H86" s="380">
        <v>0</v>
      </c>
      <c r="I86" s="378">
        <f t="shared" ref="I86" si="36">G86*H86</f>
        <v>0</v>
      </c>
      <c r="J86" s="381"/>
      <c r="K86" s="535">
        <f t="shared" ref="K86" si="37">F86+I86+J86</f>
        <v>0</v>
      </c>
      <c r="L86" s="383"/>
      <c r="M86" s="261"/>
      <c r="N86" s="426"/>
      <c r="O86" s="415"/>
      <c r="P86" s="416"/>
      <c r="Q86" s="388"/>
    </row>
    <row r="87" spans="1:17" x14ac:dyDescent="0.25">
      <c r="A87" s="375"/>
      <c r="B87" s="849" t="s">
        <v>1085</v>
      </c>
      <c r="C87" s="838">
        <v>1</v>
      </c>
      <c r="D87" s="839" t="s">
        <v>907</v>
      </c>
      <c r="E87" s="259">
        <v>0</v>
      </c>
      <c r="F87" s="378">
        <f t="shared" si="26"/>
        <v>0</v>
      </c>
      <c r="G87" s="534"/>
      <c r="H87" s="380">
        <v>0</v>
      </c>
      <c r="I87" s="378">
        <f t="shared" si="27"/>
        <v>0</v>
      </c>
      <c r="J87" s="381"/>
      <c r="K87" s="535">
        <f t="shared" si="28"/>
        <v>0</v>
      </c>
      <c r="L87" s="383"/>
      <c r="M87" s="261"/>
      <c r="N87" s="426"/>
      <c r="O87" s="415"/>
      <c r="P87" s="416"/>
      <c r="Q87" s="388"/>
    </row>
    <row r="88" spans="1:17" x14ac:dyDescent="0.25">
      <c r="A88" s="375"/>
      <c r="B88" s="898" t="s">
        <v>1379</v>
      </c>
      <c r="C88" s="376">
        <v>19</v>
      </c>
      <c r="D88" s="377" t="s">
        <v>907</v>
      </c>
      <c r="E88" s="259">
        <v>500</v>
      </c>
      <c r="F88" s="378">
        <f t="shared" si="26"/>
        <v>9500</v>
      </c>
      <c r="G88" s="534"/>
      <c r="H88" s="380">
        <v>0</v>
      </c>
      <c r="I88" s="378">
        <f t="shared" si="27"/>
        <v>0</v>
      </c>
      <c r="J88" s="381"/>
      <c r="K88" s="535">
        <f t="shared" si="28"/>
        <v>9500</v>
      </c>
      <c r="L88" s="959" t="s">
        <v>1347</v>
      </c>
      <c r="M88" s="261"/>
      <c r="N88" s="385"/>
      <c r="O88" s="386"/>
      <c r="P88" s="387"/>
      <c r="Q88" s="388"/>
    </row>
    <row r="89" spans="1:17" ht="13.8" thickBot="1" x14ac:dyDescent="0.3">
      <c r="A89" s="375"/>
      <c r="B89" s="5"/>
      <c r="C89" s="393"/>
      <c r="D89" s="377"/>
      <c r="E89" s="259"/>
      <c r="F89" s="378"/>
      <c r="G89" s="534"/>
      <c r="H89" s="380"/>
      <c r="I89" s="378"/>
      <c r="J89" s="381"/>
      <c r="K89" s="540"/>
      <c r="L89" s="157"/>
      <c r="M89" s="474"/>
      <c r="O89" s="386"/>
      <c r="P89" s="387"/>
      <c r="Q89" s="388"/>
    </row>
    <row r="90" spans="1:17" ht="14.4" thickTop="1" thickBot="1" x14ac:dyDescent="0.3">
      <c r="A90" s="392"/>
      <c r="B90" s="5"/>
      <c r="C90" s="393"/>
      <c r="D90" s="377"/>
      <c r="E90" s="259"/>
      <c r="F90" s="378"/>
      <c r="G90" s="534"/>
      <c r="H90" s="380"/>
      <c r="I90" s="378"/>
      <c r="J90" s="394" t="s">
        <v>30</v>
      </c>
      <c r="K90" s="537">
        <f>SUM(K79:K89)</f>
        <v>124494</v>
      </c>
      <c r="L90" s="396"/>
      <c r="M90" s="360"/>
      <c r="N90" s="398"/>
      <c r="O90" s="386"/>
      <c r="P90" s="416"/>
      <c r="Q90" s="388"/>
    </row>
    <row r="91" spans="1:17" ht="13.8" thickBot="1" x14ac:dyDescent="0.3">
      <c r="A91" s="358" t="s">
        <v>0</v>
      </c>
      <c r="B91" s="359" t="s">
        <v>1</v>
      </c>
      <c r="C91" s="1018" t="s">
        <v>656</v>
      </c>
      <c r="D91" s="1018"/>
      <c r="E91" s="1018"/>
      <c r="F91" s="1018"/>
      <c r="G91" s="1018" t="s">
        <v>34</v>
      </c>
      <c r="H91" s="1018"/>
      <c r="I91" s="1018"/>
      <c r="J91" s="360"/>
      <c r="K91" s="528"/>
      <c r="L91" s="407"/>
      <c r="M91" s="413"/>
      <c r="N91" s="409"/>
      <c r="O91" s="386"/>
      <c r="P91" s="387"/>
      <c r="Q91" s="388"/>
    </row>
    <row r="92" spans="1:17" ht="13.8" thickBot="1" x14ac:dyDescent="0.3">
      <c r="A92" s="601" t="s">
        <v>195</v>
      </c>
      <c r="B92" s="602" t="s">
        <v>196</v>
      </c>
      <c r="C92" s="402" t="s">
        <v>19</v>
      </c>
      <c r="D92" s="402" t="s">
        <v>33</v>
      </c>
      <c r="E92" s="403" t="s">
        <v>35</v>
      </c>
      <c r="F92" s="404" t="s">
        <v>30</v>
      </c>
      <c r="G92" s="538" t="s">
        <v>14</v>
      </c>
      <c r="H92" s="403" t="s">
        <v>35</v>
      </c>
      <c r="I92" s="404" t="s">
        <v>30</v>
      </c>
      <c r="J92" s="369" t="s">
        <v>659</v>
      </c>
      <c r="K92" s="539" t="s">
        <v>38</v>
      </c>
      <c r="L92" s="383"/>
      <c r="M92" s="261"/>
      <c r="N92" s="385"/>
      <c r="O92" s="386"/>
      <c r="P92" s="387"/>
      <c r="Q92" s="388"/>
    </row>
    <row r="93" spans="1:17" x14ac:dyDescent="0.25">
      <c r="A93" s="375"/>
      <c r="B93" s="5"/>
      <c r="C93" s="376"/>
      <c r="D93" s="377" t="s">
        <v>21</v>
      </c>
      <c r="E93" s="259">
        <v>0</v>
      </c>
      <c r="F93" s="378">
        <f>C93*E93</f>
        <v>0</v>
      </c>
      <c r="G93" s="534"/>
      <c r="H93" s="380">
        <v>0</v>
      </c>
      <c r="I93" s="378">
        <f>G93*H93</f>
        <v>0</v>
      </c>
      <c r="J93" s="381"/>
      <c r="K93" s="535">
        <f>F93+I93+J93</f>
        <v>0</v>
      </c>
      <c r="L93" s="383"/>
      <c r="M93" s="261"/>
      <c r="N93" s="385"/>
      <c r="O93" s="386"/>
      <c r="P93" s="387"/>
      <c r="Q93" s="388"/>
    </row>
    <row r="94" spans="1:17" x14ac:dyDescent="0.25">
      <c r="A94" s="375"/>
      <c r="B94" s="5"/>
      <c r="C94" s="376"/>
      <c r="D94" s="377" t="s">
        <v>21</v>
      </c>
      <c r="E94" s="259">
        <v>0</v>
      </c>
      <c r="F94" s="378">
        <f>C94*E94</f>
        <v>0</v>
      </c>
      <c r="G94" s="534"/>
      <c r="H94" s="380">
        <v>0</v>
      </c>
      <c r="I94" s="378">
        <f>G94*H94</f>
        <v>0</v>
      </c>
      <c r="J94" s="381"/>
      <c r="K94" s="535">
        <f>F94+I94+J94</f>
        <v>0</v>
      </c>
      <c r="L94" s="383"/>
      <c r="M94" s="261"/>
      <c r="N94" s="385"/>
      <c r="O94" s="386"/>
      <c r="P94" s="387"/>
      <c r="Q94" s="388"/>
    </row>
    <row r="95" spans="1:17" x14ac:dyDescent="0.25">
      <c r="A95" s="375"/>
      <c r="B95" s="5"/>
      <c r="C95" s="376"/>
      <c r="D95" s="377" t="s">
        <v>21</v>
      </c>
      <c r="E95" s="259">
        <v>0</v>
      </c>
      <c r="F95" s="378">
        <f>C95*E95</f>
        <v>0</v>
      </c>
      <c r="G95" s="534"/>
      <c r="H95" s="380">
        <v>0</v>
      </c>
      <c r="I95" s="378">
        <f>G95*H95</f>
        <v>0</v>
      </c>
      <c r="J95" s="381"/>
      <c r="K95" s="535">
        <f>F95+I95+J95</f>
        <v>0</v>
      </c>
      <c r="L95" s="383"/>
      <c r="M95" s="261"/>
      <c r="N95" s="385"/>
      <c r="O95" s="386"/>
      <c r="P95" s="387"/>
      <c r="Q95" s="388"/>
    </row>
    <row r="96" spans="1:17" x14ac:dyDescent="0.25">
      <c r="A96" s="392"/>
      <c r="B96" s="417"/>
      <c r="C96" s="393"/>
      <c r="D96" s="377"/>
      <c r="E96" s="259"/>
      <c r="F96" s="378"/>
      <c r="G96" s="534"/>
      <c r="H96" s="380"/>
      <c r="I96" s="378"/>
      <c r="J96" s="381"/>
      <c r="K96" s="540"/>
      <c r="L96" s="383"/>
      <c r="M96" s="261"/>
      <c r="N96" s="385"/>
      <c r="O96" s="386"/>
      <c r="P96" s="387"/>
      <c r="Q96" s="388"/>
    </row>
    <row r="97" spans="1:17" ht="13.8" thickBot="1" x14ac:dyDescent="0.3">
      <c r="A97" s="392"/>
      <c r="B97" s="417"/>
      <c r="C97" s="393"/>
      <c r="D97" s="377"/>
      <c r="E97" s="259"/>
      <c r="F97" s="378"/>
      <c r="G97" s="534"/>
      <c r="H97" s="380"/>
      <c r="I97" s="378"/>
      <c r="J97" s="381"/>
      <c r="K97" s="540"/>
      <c r="L97" s="383"/>
      <c r="M97" s="261"/>
      <c r="N97" s="385"/>
      <c r="O97" s="441"/>
      <c r="P97" s="442"/>
      <c r="Q97" s="388"/>
    </row>
    <row r="98" spans="1:17" ht="13.8" thickTop="1" x14ac:dyDescent="0.25">
      <c r="A98" s="392"/>
      <c r="B98" s="417"/>
      <c r="C98" s="393"/>
      <c r="D98" s="377"/>
      <c r="E98" s="259"/>
      <c r="F98" s="378"/>
      <c r="G98" s="534"/>
      <c r="H98" s="380"/>
      <c r="I98" s="378"/>
      <c r="J98" s="394" t="s">
        <v>30</v>
      </c>
      <c r="K98" s="537">
        <f>SUM(K93:K97)</f>
        <v>0</v>
      </c>
      <c r="L98" s="383"/>
      <c r="M98" s="261"/>
      <c r="N98" s="426"/>
      <c r="O98" s="441"/>
      <c r="P98" s="442"/>
      <c r="Q98" s="388"/>
    </row>
    <row r="99" spans="1:17" ht="13.8" thickBot="1" x14ac:dyDescent="0.3">
      <c r="A99" s="358" t="s">
        <v>0</v>
      </c>
      <c r="B99" s="359" t="s">
        <v>1</v>
      </c>
      <c r="C99" s="1018" t="s">
        <v>656</v>
      </c>
      <c r="D99" s="1018"/>
      <c r="E99" s="1018"/>
      <c r="F99" s="1018"/>
      <c r="G99" s="1018" t="s">
        <v>34</v>
      </c>
      <c r="H99" s="1018"/>
      <c r="I99" s="1018"/>
      <c r="J99" s="360"/>
      <c r="K99" s="528"/>
      <c r="L99" s="396"/>
      <c r="M99" s="360"/>
      <c r="N99" s="443"/>
      <c r="O99" s="415"/>
      <c r="P99" s="416"/>
      <c r="Q99" s="388"/>
    </row>
    <row r="100" spans="1:17" ht="13.8" thickBot="1" x14ac:dyDescent="0.3">
      <c r="A100" s="601" t="s">
        <v>198</v>
      </c>
      <c r="B100" s="602" t="s">
        <v>197</v>
      </c>
      <c r="C100" s="402" t="s">
        <v>19</v>
      </c>
      <c r="D100" s="402" t="s">
        <v>33</v>
      </c>
      <c r="E100" s="403" t="s">
        <v>35</v>
      </c>
      <c r="F100" s="404" t="s">
        <v>30</v>
      </c>
      <c r="G100" s="538" t="s">
        <v>14</v>
      </c>
      <c r="H100" s="403" t="s">
        <v>35</v>
      </c>
      <c r="I100" s="404" t="s">
        <v>30</v>
      </c>
      <c r="J100" s="369" t="s">
        <v>659</v>
      </c>
      <c r="K100" s="539" t="s">
        <v>38</v>
      </c>
      <c r="L100" s="407"/>
      <c r="M100" s="413"/>
      <c r="N100" s="414"/>
      <c r="O100" s="386"/>
      <c r="P100" s="387"/>
      <c r="Q100" s="388"/>
    </row>
    <row r="101" spans="1:17" x14ac:dyDescent="0.25">
      <c r="A101" s="375"/>
      <c r="B101" s="5"/>
      <c r="C101" s="376"/>
      <c r="D101" s="377" t="s">
        <v>21</v>
      </c>
      <c r="E101" s="259">
        <v>0</v>
      </c>
      <c r="F101" s="378">
        <f>C101*E101</f>
        <v>0</v>
      </c>
      <c r="G101" s="534"/>
      <c r="H101" s="380">
        <v>0</v>
      </c>
      <c r="I101" s="378">
        <f>G101*H101</f>
        <v>0</v>
      </c>
      <c r="J101" s="381"/>
      <c r="K101" s="535">
        <f>F101+I101+J101</f>
        <v>0</v>
      </c>
      <c r="L101" s="383"/>
      <c r="M101" s="384"/>
      <c r="N101" s="385"/>
      <c r="O101" s="386"/>
      <c r="P101" s="387"/>
      <c r="Q101" s="388"/>
    </row>
    <row r="102" spans="1:17" x14ac:dyDescent="0.25">
      <c r="A102" s="375"/>
      <c r="B102" s="5"/>
      <c r="C102" s="376"/>
      <c r="D102" s="377" t="s">
        <v>21</v>
      </c>
      <c r="E102" s="259">
        <v>0</v>
      </c>
      <c r="F102" s="378">
        <f>C102*E102</f>
        <v>0</v>
      </c>
      <c r="G102" s="534"/>
      <c r="H102" s="380">
        <v>0</v>
      </c>
      <c r="I102" s="378">
        <f>G102*H102</f>
        <v>0</v>
      </c>
      <c r="J102" s="381"/>
      <c r="K102" s="535">
        <f>F102+I102+J102</f>
        <v>0</v>
      </c>
      <c r="L102" s="383"/>
      <c r="M102" s="384"/>
      <c r="N102" s="385"/>
      <c r="O102" s="386"/>
      <c r="P102" s="387"/>
      <c r="Q102" s="388"/>
    </row>
    <row r="103" spans="1:17" x14ac:dyDescent="0.25">
      <c r="A103" s="375"/>
      <c r="B103" s="5"/>
      <c r="C103" s="376"/>
      <c r="D103" s="377" t="s">
        <v>21</v>
      </c>
      <c r="E103" s="259">
        <v>0</v>
      </c>
      <c r="F103" s="378">
        <f>C103*E103</f>
        <v>0</v>
      </c>
      <c r="G103" s="534"/>
      <c r="H103" s="380">
        <v>0</v>
      </c>
      <c r="I103" s="378">
        <f>G103*H103</f>
        <v>0</v>
      </c>
      <c r="J103" s="381"/>
      <c r="K103" s="535">
        <f>F103+I103+J103</f>
        <v>0</v>
      </c>
      <c r="L103" s="383"/>
      <c r="M103" s="384"/>
      <c r="N103" s="385"/>
      <c r="O103" s="386"/>
      <c r="P103" s="387"/>
      <c r="Q103" s="388"/>
    </row>
    <row r="104" spans="1:17" x14ac:dyDescent="0.25">
      <c r="A104" s="375"/>
      <c r="B104" s="5"/>
      <c r="C104" s="376"/>
      <c r="D104" s="377" t="s">
        <v>21</v>
      </c>
      <c r="E104" s="259">
        <v>0</v>
      </c>
      <c r="F104" s="378">
        <f>C104*E104</f>
        <v>0</v>
      </c>
      <c r="G104" s="534"/>
      <c r="H104" s="380">
        <v>0</v>
      </c>
      <c r="I104" s="378">
        <f>G104*H104</f>
        <v>0</v>
      </c>
      <c r="J104" s="381"/>
      <c r="K104" s="535">
        <f>F104+I104+J104</f>
        <v>0</v>
      </c>
      <c r="L104" s="383"/>
      <c r="M104" s="384"/>
      <c r="N104" s="385"/>
      <c r="O104" s="386"/>
      <c r="P104" s="387"/>
      <c r="Q104" s="388"/>
    </row>
    <row r="105" spans="1:17" x14ac:dyDescent="0.25">
      <c r="A105" s="375"/>
      <c r="B105" s="5"/>
      <c r="C105" s="376"/>
      <c r="D105" s="377" t="s">
        <v>21</v>
      </c>
      <c r="E105" s="259">
        <v>0</v>
      </c>
      <c r="F105" s="378">
        <f>C105*E105</f>
        <v>0</v>
      </c>
      <c r="G105" s="534"/>
      <c r="H105" s="380">
        <v>0</v>
      </c>
      <c r="I105" s="378">
        <f>G105*H105</f>
        <v>0</v>
      </c>
      <c r="J105" s="381"/>
      <c r="K105" s="535">
        <f>F105+I105+J105</f>
        <v>0</v>
      </c>
      <c r="L105" s="383"/>
      <c r="M105" s="384"/>
      <c r="N105" s="385"/>
      <c r="O105" s="386"/>
      <c r="P105" s="387"/>
      <c r="Q105" s="388"/>
    </row>
    <row r="106" spans="1:17" ht="13.8" thickBot="1" x14ac:dyDescent="0.3">
      <c r="A106" s="392"/>
      <c r="B106" s="417"/>
      <c r="C106" s="393"/>
      <c r="D106" s="377"/>
      <c r="E106" s="259"/>
      <c r="F106" s="378"/>
      <c r="G106" s="534"/>
      <c r="H106" s="380"/>
      <c r="I106" s="378"/>
      <c r="J106" s="381"/>
      <c r="K106" s="540"/>
      <c r="L106" s="383"/>
      <c r="M106" s="384"/>
      <c r="N106" s="385"/>
      <c r="O106" s="386"/>
      <c r="P106" s="387"/>
      <c r="Q106" s="388"/>
    </row>
    <row r="107" spans="1:17" ht="13.8" thickTop="1" x14ac:dyDescent="0.25">
      <c r="A107" s="392"/>
      <c r="B107" s="417"/>
      <c r="C107" s="393"/>
      <c r="D107" s="377"/>
      <c r="E107" s="259"/>
      <c r="F107" s="378"/>
      <c r="G107" s="534"/>
      <c r="H107" s="380"/>
      <c r="I107" s="378"/>
      <c r="J107" s="394" t="s">
        <v>30</v>
      </c>
      <c r="K107" s="537">
        <f>SUM(K101:K106)</f>
        <v>0</v>
      </c>
      <c r="L107" s="383"/>
      <c r="M107" s="384"/>
      <c r="N107" s="385"/>
      <c r="O107" s="386"/>
      <c r="P107" s="387"/>
      <c r="Q107" s="388"/>
    </row>
    <row r="108" spans="1:17" ht="13.8" thickBot="1" x14ac:dyDescent="0.3">
      <c r="A108" s="358" t="s">
        <v>0</v>
      </c>
      <c r="B108" s="359" t="s">
        <v>1</v>
      </c>
      <c r="C108" s="1018" t="s">
        <v>656</v>
      </c>
      <c r="D108" s="1018"/>
      <c r="E108" s="1018"/>
      <c r="F108" s="1018"/>
      <c r="G108" s="1018" t="s">
        <v>34</v>
      </c>
      <c r="H108" s="1018"/>
      <c r="I108" s="1018"/>
      <c r="J108" s="360"/>
      <c r="K108" s="528"/>
      <c r="L108" s="396"/>
      <c r="M108" s="397"/>
      <c r="N108" s="398"/>
      <c r="O108" s="386"/>
      <c r="P108" s="387"/>
      <c r="Q108" s="388"/>
    </row>
    <row r="109" spans="1:17" ht="13.8" thickBot="1" x14ac:dyDescent="0.3">
      <c r="A109" s="601" t="s">
        <v>199</v>
      </c>
      <c r="B109" s="602" t="s">
        <v>200</v>
      </c>
      <c r="C109" s="402" t="s">
        <v>19</v>
      </c>
      <c r="D109" s="402" t="s">
        <v>33</v>
      </c>
      <c r="E109" s="403" t="s">
        <v>35</v>
      </c>
      <c r="F109" s="404" t="s">
        <v>30</v>
      </c>
      <c r="G109" s="538" t="s">
        <v>14</v>
      </c>
      <c r="H109" s="403" t="s">
        <v>35</v>
      </c>
      <c r="I109" s="404" t="s">
        <v>30</v>
      </c>
      <c r="J109" s="369" t="s">
        <v>659</v>
      </c>
      <c r="K109" s="539" t="s">
        <v>38</v>
      </c>
      <c r="L109" s="407"/>
      <c r="M109" s="408"/>
      <c r="N109" s="409"/>
      <c r="O109" s="386"/>
      <c r="P109" s="387"/>
      <c r="Q109" s="388"/>
    </row>
    <row r="110" spans="1:17" x14ac:dyDescent="0.25">
      <c r="A110" s="375"/>
      <c r="B110" s="5"/>
      <c r="C110" s="376"/>
      <c r="D110" s="377" t="s">
        <v>21</v>
      </c>
      <c r="E110" s="259">
        <v>0</v>
      </c>
      <c r="F110" s="378">
        <f t="shared" ref="F110:F116" si="38">C110*E110</f>
        <v>0</v>
      </c>
      <c r="G110" s="534"/>
      <c r="H110" s="380">
        <v>0</v>
      </c>
      <c r="I110" s="378">
        <f t="shared" ref="I110:I116" si="39">G110*H110</f>
        <v>0</v>
      </c>
      <c r="J110" s="381"/>
      <c r="K110" s="535">
        <f t="shared" ref="K110:K116" si="40">F110+I110+J110</f>
        <v>0</v>
      </c>
      <c r="O110" s="386"/>
      <c r="P110" s="387"/>
      <c r="Q110" s="388"/>
    </row>
    <row r="111" spans="1:17" x14ac:dyDescent="0.25">
      <c r="A111" s="375"/>
      <c r="B111" s="5"/>
      <c r="C111" s="376"/>
      <c r="D111" s="377" t="s">
        <v>21</v>
      </c>
      <c r="E111" s="259">
        <v>0</v>
      </c>
      <c r="F111" s="378">
        <f t="shared" si="38"/>
        <v>0</v>
      </c>
      <c r="G111" s="534"/>
      <c r="H111" s="380">
        <v>0</v>
      </c>
      <c r="I111" s="378">
        <f t="shared" si="39"/>
        <v>0</v>
      </c>
      <c r="J111" s="381"/>
      <c r="K111" s="535">
        <f t="shared" si="40"/>
        <v>0</v>
      </c>
      <c r="L111" s="383"/>
      <c r="M111" s="384"/>
      <c r="N111" s="385"/>
      <c r="O111" s="386"/>
      <c r="P111" s="387"/>
      <c r="Q111" s="388"/>
    </row>
    <row r="112" spans="1:17" x14ac:dyDescent="0.25">
      <c r="A112" s="375"/>
      <c r="B112" s="5"/>
      <c r="C112" s="376"/>
      <c r="D112" s="377" t="s">
        <v>21</v>
      </c>
      <c r="E112" s="259">
        <v>0</v>
      </c>
      <c r="F112" s="378">
        <f t="shared" si="38"/>
        <v>0</v>
      </c>
      <c r="G112" s="534"/>
      <c r="H112" s="380">
        <v>0</v>
      </c>
      <c r="I112" s="378">
        <f t="shared" si="39"/>
        <v>0</v>
      </c>
      <c r="J112" s="381"/>
      <c r="K112" s="535">
        <f t="shared" si="40"/>
        <v>0</v>
      </c>
      <c r="L112" s="383"/>
      <c r="M112" s="384"/>
      <c r="N112" s="385"/>
      <c r="O112" s="386"/>
      <c r="P112" s="387"/>
      <c r="Q112" s="388"/>
    </row>
    <row r="113" spans="1:17" x14ac:dyDescent="0.25">
      <c r="A113" s="375"/>
      <c r="B113" s="5"/>
      <c r="C113" s="376"/>
      <c r="D113" s="377" t="s">
        <v>21</v>
      </c>
      <c r="E113" s="259">
        <v>0</v>
      </c>
      <c r="F113" s="378">
        <f t="shared" si="38"/>
        <v>0</v>
      </c>
      <c r="G113" s="534"/>
      <c r="H113" s="380">
        <v>0</v>
      </c>
      <c r="I113" s="378">
        <f t="shared" si="39"/>
        <v>0</v>
      </c>
      <c r="J113" s="381"/>
      <c r="K113" s="535">
        <f t="shared" si="40"/>
        <v>0</v>
      </c>
      <c r="L113" s="383"/>
      <c r="M113" s="384"/>
      <c r="N113" s="385"/>
      <c r="O113" s="386"/>
      <c r="P113" s="387"/>
      <c r="Q113" s="388"/>
    </row>
    <row r="114" spans="1:17" x14ac:dyDescent="0.25">
      <c r="A114" s="375"/>
      <c r="B114" s="5"/>
      <c r="C114" s="376"/>
      <c r="D114" s="377" t="s">
        <v>21</v>
      </c>
      <c r="E114" s="259">
        <v>0</v>
      </c>
      <c r="F114" s="378">
        <f t="shared" si="38"/>
        <v>0</v>
      </c>
      <c r="G114" s="534"/>
      <c r="H114" s="380">
        <v>0</v>
      </c>
      <c r="I114" s="378">
        <f t="shared" si="39"/>
        <v>0</v>
      </c>
      <c r="J114" s="381"/>
      <c r="K114" s="535">
        <f t="shared" si="40"/>
        <v>0</v>
      </c>
      <c r="L114" s="383"/>
      <c r="M114" s="384"/>
      <c r="N114" s="385"/>
      <c r="O114" s="386"/>
      <c r="P114" s="387"/>
      <c r="Q114" s="388"/>
    </row>
    <row r="115" spans="1:17" x14ac:dyDescent="0.25">
      <c r="A115" s="375"/>
      <c r="B115" s="5"/>
      <c r="C115" s="376"/>
      <c r="D115" s="377" t="s">
        <v>21</v>
      </c>
      <c r="E115" s="259">
        <v>0</v>
      </c>
      <c r="F115" s="378">
        <f t="shared" si="38"/>
        <v>0</v>
      </c>
      <c r="G115" s="534"/>
      <c r="H115" s="380">
        <v>0</v>
      </c>
      <c r="I115" s="378">
        <f t="shared" si="39"/>
        <v>0</v>
      </c>
      <c r="J115" s="381"/>
      <c r="K115" s="535">
        <f t="shared" si="40"/>
        <v>0</v>
      </c>
      <c r="L115" s="383"/>
      <c r="M115" s="384"/>
      <c r="N115" s="385"/>
      <c r="O115" s="386"/>
      <c r="P115" s="387"/>
      <c r="Q115" s="388"/>
    </row>
    <row r="116" spans="1:17" x14ac:dyDescent="0.25">
      <c r="A116" s="375"/>
      <c r="B116" s="5"/>
      <c r="C116" s="376"/>
      <c r="D116" s="377" t="s">
        <v>21</v>
      </c>
      <c r="E116" s="259">
        <v>0</v>
      </c>
      <c r="F116" s="378">
        <f t="shared" si="38"/>
        <v>0</v>
      </c>
      <c r="G116" s="534"/>
      <c r="H116" s="380">
        <v>0</v>
      </c>
      <c r="I116" s="378">
        <f t="shared" si="39"/>
        <v>0</v>
      </c>
      <c r="J116" s="381"/>
      <c r="K116" s="535">
        <f t="shared" si="40"/>
        <v>0</v>
      </c>
      <c r="L116" s="383"/>
      <c r="M116" s="384"/>
      <c r="N116" s="385"/>
      <c r="O116" s="386"/>
      <c r="P116" s="387"/>
      <c r="Q116" s="388"/>
    </row>
    <row r="117" spans="1:17" ht="13.8" thickBot="1" x14ac:dyDescent="0.3">
      <c r="A117" s="392"/>
      <c r="B117" s="5"/>
      <c r="C117" s="393"/>
      <c r="D117" s="377"/>
      <c r="E117" s="259"/>
      <c r="F117" s="378"/>
      <c r="G117" s="534"/>
      <c r="H117" s="380"/>
      <c r="I117" s="378"/>
      <c r="J117" s="381"/>
      <c r="K117" s="540"/>
      <c r="L117" s="383"/>
      <c r="M117" s="384"/>
      <c r="N117" s="385"/>
      <c r="O117" s="386"/>
      <c r="P117" s="387"/>
      <c r="Q117" s="388"/>
    </row>
    <row r="118" spans="1:17" ht="13.8" thickTop="1" x14ac:dyDescent="0.25">
      <c r="A118" s="392"/>
      <c r="B118" s="417"/>
      <c r="C118" s="393"/>
      <c r="D118" s="377"/>
      <c r="E118" s="259"/>
      <c r="F118" s="378"/>
      <c r="G118" s="534"/>
      <c r="H118" s="380"/>
      <c r="I118" s="378"/>
      <c r="J118" s="394" t="s">
        <v>30</v>
      </c>
      <c r="K118" s="537">
        <f>SUM(K110:K117)</f>
        <v>0</v>
      </c>
      <c r="O118" s="386"/>
      <c r="P118" s="387"/>
      <c r="Q118" s="388"/>
    </row>
    <row r="119" spans="1:17" ht="13.8" thickBot="1" x14ac:dyDescent="0.3">
      <c r="A119" s="358" t="s">
        <v>0</v>
      </c>
      <c r="B119" s="359" t="s">
        <v>1</v>
      </c>
      <c r="C119" s="1018" t="s">
        <v>656</v>
      </c>
      <c r="D119" s="1018"/>
      <c r="E119" s="1018"/>
      <c r="F119" s="1018"/>
      <c r="G119" s="1018" t="s">
        <v>34</v>
      </c>
      <c r="H119" s="1018"/>
      <c r="I119" s="1018"/>
      <c r="J119" s="360"/>
      <c r="K119" s="528"/>
      <c r="L119" s="396"/>
      <c r="M119" s="397"/>
      <c r="N119" s="398"/>
      <c r="O119" s="386"/>
      <c r="P119" s="387"/>
      <c r="Q119" s="388"/>
    </row>
    <row r="120" spans="1:17" ht="13.8" thickBot="1" x14ac:dyDescent="0.3">
      <c r="A120" s="601" t="s">
        <v>201</v>
      </c>
      <c r="B120" s="602" t="s">
        <v>202</v>
      </c>
      <c r="C120" s="402" t="s">
        <v>19</v>
      </c>
      <c r="D120" s="402" t="s">
        <v>33</v>
      </c>
      <c r="E120" s="403" t="s">
        <v>35</v>
      </c>
      <c r="F120" s="404" t="s">
        <v>30</v>
      </c>
      <c r="G120" s="538" t="s">
        <v>14</v>
      </c>
      <c r="H120" s="403" t="s">
        <v>35</v>
      </c>
      <c r="I120" s="404" t="s">
        <v>30</v>
      </c>
      <c r="J120" s="369" t="s">
        <v>659</v>
      </c>
      <c r="K120" s="539" t="s">
        <v>38</v>
      </c>
      <c r="L120" s="407"/>
      <c r="M120" s="408"/>
      <c r="N120" s="409"/>
      <c r="O120" s="386"/>
      <c r="P120" s="387"/>
      <c r="Q120" s="388"/>
    </row>
    <row r="121" spans="1:17" x14ac:dyDescent="0.25">
      <c r="A121" s="375"/>
      <c r="B121" s="5"/>
      <c r="C121" s="376"/>
      <c r="D121" s="377" t="s">
        <v>21</v>
      </c>
      <c r="E121" s="259">
        <v>0</v>
      </c>
      <c r="F121" s="378">
        <f>C121*E121</f>
        <v>0</v>
      </c>
      <c r="G121" s="534"/>
      <c r="H121" s="380">
        <v>0</v>
      </c>
      <c r="I121" s="378">
        <f>G121*H121</f>
        <v>0</v>
      </c>
      <c r="J121" s="381"/>
      <c r="K121" s="535">
        <f>F121+I121+J121</f>
        <v>0</v>
      </c>
      <c r="L121" s="383"/>
      <c r="M121" s="384"/>
      <c r="N121" s="385"/>
      <c r="O121" s="386"/>
      <c r="P121" s="387"/>
      <c r="Q121" s="388"/>
    </row>
    <row r="122" spans="1:17" x14ac:dyDescent="0.25">
      <c r="A122" s="375"/>
      <c r="B122" s="5"/>
      <c r="C122" s="376"/>
      <c r="D122" s="377" t="s">
        <v>21</v>
      </c>
      <c r="E122" s="259">
        <v>0</v>
      </c>
      <c r="F122" s="378">
        <f>C122*E122</f>
        <v>0</v>
      </c>
      <c r="G122" s="534"/>
      <c r="H122" s="380">
        <v>0</v>
      </c>
      <c r="I122" s="378">
        <f>G122*H122</f>
        <v>0</v>
      </c>
      <c r="J122" s="381"/>
      <c r="K122" s="535">
        <f>F122+I122+J122</f>
        <v>0</v>
      </c>
      <c r="L122" s="383"/>
      <c r="M122" s="384"/>
      <c r="N122" s="385"/>
      <c r="O122" s="386"/>
      <c r="P122" s="387"/>
      <c r="Q122" s="388"/>
    </row>
    <row r="123" spans="1:17" x14ac:dyDescent="0.25">
      <c r="A123" s="375"/>
      <c r="B123" s="5"/>
      <c r="C123" s="376"/>
      <c r="D123" s="377" t="s">
        <v>21</v>
      </c>
      <c r="E123" s="259">
        <v>0</v>
      </c>
      <c r="F123" s="378">
        <f>C123*E123</f>
        <v>0</v>
      </c>
      <c r="G123" s="534"/>
      <c r="H123" s="380">
        <v>0</v>
      </c>
      <c r="I123" s="378">
        <f>G123*H123</f>
        <v>0</v>
      </c>
      <c r="J123" s="381"/>
      <c r="K123" s="535">
        <f>F123+I123+J123</f>
        <v>0</v>
      </c>
      <c r="L123" s="383"/>
      <c r="M123" s="384"/>
      <c r="N123" s="385"/>
      <c r="O123" s="386"/>
      <c r="P123" s="387"/>
      <c r="Q123" s="388"/>
    </row>
    <row r="124" spans="1:17" x14ac:dyDescent="0.25">
      <c r="A124" s="375"/>
      <c r="B124" s="5"/>
      <c r="C124" s="376"/>
      <c r="D124" s="377" t="s">
        <v>21</v>
      </c>
      <c r="E124" s="259">
        <v>0</v>
      </c>
      <c r="F124" s="378">
        <f>C124*E124</f>
        <v>0</v>
      </c>
      <c r="G124" s="534"/>
      <c r="H124" s="380">
        <v>0</v>
      </c>
      <c r="I124" s="378">
        <f>G124*H124</f>
        <v>0</v>
      </c>
      <c r="J124" s="381"/>
      <c r="K124" s="535">
        <f>F124+I124+J124</f>
        <v>0</v>
      </c>
      <c r="L124" s="383"/>
      <c r="M124" s="384"/>
      <c r="N124" s="385"/>
      <c r="O124" s="386"/>
      <c r="P124" s="387"/>
      <c r="Q124" s="388"/>
    </row>
    <row r="125" spans="1:17" x14ac:dyDescent="0.25">
      <c r="A125" s="375"/>
      <c r="B125" s="5"/>
      <c r="C125" s="376"/>
      <c r="D125" s="377" t="s">
        <v>21</v>
      </c>
      <c r="E125" s="259">
        <v>0</v>
      </c>
      <c r="F125" s="378">
        <f>C125*E125</f>
        <v>0</v>
      </c>
      <c r="G125" s="534"/>
      <c r="H125" s="380">
        <v>0</v>
      </c>
      <c r="I125" s="378">
        <f>G125*H125</f>
        <v>0</v>
      </c>
      <c r="J125" s="381"/>
      <c r="K125" s="535">
        <f>F125+I125+J125</f>
        <v>0</v>
      </c>
      <c r="O125" s="386"/>
      <c r="P125" s="387"/>
      <c r="Q125" s="388"/>
    </row>
    <row r="126" spans="1:17" ht="13.8" thickBot="1" x14ac:dyDescent="0.3">
      <c r="A126" s="392"/>
      <c r="B126" s="5"/>
      <c r="C126" s="393"/>
      <c r="D126" s="377"/>
      <c r="E126" s="259"/>
      <c r="F126" s="378"/>
      <c r="G126" s="534"/>
      <c r="H126" s="380"/>
      <c r="I126" s="378"/>
      <c r="J126" s="381"/>
      <c r="K126" s="540"/>
      <c r="O126" s="386"/>
      <c r="P126" s="387"/>
      <c r="Q126" s="388"/>
    </row>
    <row r="127" spans="1:17" ht="13.8" thickTop="1" x14ac:dyDescent="0.25">
      <c r="A127" s="392"/>
      <c r="B127" s="417"/>
      <c r="C127" s="586"/>
      <c r="D127" s="377"/>
      <c r="E127" s="259"/>
      <c r="F127" s="378"/>
      <c r="G127" s="534"/>
      <c r="H127" s="380"/>
      <c r="I127" s="378"/>
      <c r="J127" s="394" t="s">
        <v>30</v>
      </c>
      <c r="K127" s="537">
        <f>SUM(K121:K126)</f>
        <v>0</v>
      </c>
      <c r="L127" s="383"/>
      <c r="M127" s="384"/>
      <c r="N127" s="385"/>
      <c r="O127" s="386"/>
      <c r="P127" s="387"/>
      <c r="Q127" s="388"/>
    </row>
    <row r="128" spans="1:17" ht="13.8" thickBot="1" x14ac:dyDescent="0.3">
      <c r="A128" s="358" t="s">
        <v>0</v>
      </c>
      <c r="B128" s="359" t="s">
        <v>1</v>
      </c>
      <c r="C128" s="1018" t="s">
        <v>656</v>
      </c>
      <c r="D128" s="1018"/>
      <c r="E128" s="1018"/>
      <c r="F128" s="1018"/>
      <c r="G128" s="1018" t="s">
        <v>34</v>
      </c>
      <c r="H128" s="1018"/>
      <c r="I128" s="1018"/>
      <c r="J128" s="360"/>
      <c r="K128" s="528"/>
      <c r="L128" s="396"/>
      <c r="M128" s="397"/>
      <c r="N128" s="398"/>
      <c r="O128" s="386"/>
      <c r="P128" s="387"/>
      <c r="Q128" s="388"/>
    </row>
    <row r="129" spans="1:17" ht="13.8" thickBot="1" x14ac:dyDescent="0.3">
      <c r="A129" s="601" t="s">
        <v>204</v>
      </c>
      <c r="B129" s="602" t="s">
        <v>203</v>
      </c>
      <c r="C129" s="402" t="s">
        <v>19</v>
      </c>
      <c r="D129" s="402" t="s">
        <v>33</v>
      </c>
      <c r="E129" s="403" t="s">
        <v>35</v>
      </c>
      <c r="F129" s="404" t="s">
        <v>30</v>
      </c>
      <c r="G129" s="538" t="s">
        <v>14</v>
      </c>
      <c r="H129" s="403" t="s">
        <v>35</v>
      </c>
      <c r="I129" s="404" t="s">
        <v>30</v>
      </c>
      <c r="J129" s="369" t="s">
        <v>659</v>
      </c>
      <c r="K129" s="539" t="s">
        <v>38</v>
      </c>
      <c r="L129" s="407"/>
      <c r="M129" s="408"/>
      <c r="N129" s="409"/>
      <c r="O129" s="386"/>
      <c r="P129" s="387"/>
      <c r="Q129" s="388"/>
    </row>
    <row r="130" spans="1:17" x14ac:dyDescent="0.25">
      <c r="A130" s="375"/>
      <c r="B130" s="5"/>
      <c r="C130" s="376"/>
      <c r="D130" s="377" t="s">
        <v>21</v>
      </c>
      <c r="E130" s="259">
        <v>0</v>
      </c>
      <c r="F130" s="378">
        <f>C130*E130</f>
        <v>0</v>
      </c>
      <c r="G130" s="534"/>
      <c r="H130" s="380">
        <v>0</v>
      </c>
      <c r="I130" s="378">
        <f>G130*H130</f>
        <v>0</v>
      </c>
      <c r="J130" s="381"/>
      <c r="K130" s="535">
        <f>F130+I130+J130</f>
        <v>0</v>
      </c>
      <c r="L130" s="383"/>
      <c r="M130" s="384"/>
      <c r="N130" s="385"/>
      <c r="O130" s="386"/>
      <c r="P130" s="387"/>
      <c r="Q130" s="388"/>
    </row>
    <row r="131" spans="1:17" x14ac:dyDescent="0.25">
      <c r="A131" s="375"/>
      <c r="B131" s="5"/>
      <c r="C131" s="376"/>
      <c r="D131" s="377" t="s">
        <v>21</v>
      </c>
      <c r="E131" s="259">
        <v>0</v>
      </c>
      <c r="F131" s="378">
        <f>C131*E131</f>
        <v>0</v>
      </c>
      <c r="G131" s="534"/>
      <c r="H131" s="380">
        <v>0</v>
      </c>
      <c r="I131" s="378">
        <f>G131*H131</f>
        <v>0</v>
      </c>
      <c r="J131" s="381"/>
      <c r="K131" s="535">
        <f>F131+I131+J131</f>
        <v>0</v>
      </c>
      <c r="L131" s="383"/>
      <c r="M131" s="384"/>
      <c r="N131" s="385"/>
      <c r="O131" s="386"/>
      <c r="P131" s="387"/>
      <c r="Q131" s="388"/>
    </row>
    <row r="132" spans="1:17" x14ac:dyDescent="0.25">
      <c r="A132" s="375"/>
      <c r="B132" s="5"/>
      <c r="C132" s="376"/>
      <c r="D132" s="377" t="s">
        <v>21</v>
      </c>
      <c r="E132" s="259">
        <v>0</v>
      </c>
      <c r="F132" s="378">
        <f>C132*E132</f>
        <v>0</v>
      </c>
      <c r="G132" s="534"/>
      <c r="H132" s="380">
        <v>0</v>
      </c>
      <c r="I132" s="378">
        <f>G132*H132</f>
        <v>0</v>
      </c>
      <c r="J132" s="381"/>
      <c r="K132" s="535">
        <f>F132+I132+J132</f>
        <v>0</v>
      </c>
      <c r="L132" s="383"/>
      <c r="M132" s="384"/>
      <c r="N132" s="385"/>
      <c r="O132" s="386"/>
      <c r="P132" s="387"/>
      <c r="Q132" s="388"/>
    </row>
    <row r="133" spans="1:17" ht="13.8" thickBot="1" x14ac:dyDescent="0.3">
      <c r="A133" s="392"/>
      <c r="B133" s="5"/>
      <c r="C133" s="393"/>
      <c r="D133" s="377"/>
      <c r="E133" s="259"/>
      <c r="F133" s="378"/>
      <c r="G133" s="534"/>
      <c r="H133" s="380"/>
      <c r="I133" s="378"/>
      <c r="J133" s="381"/>
      <c r="K133" s="540"/>
      <c r="L133" s="383"/>
      <c r="M133" s="384"/>
      <c r="N133" s="385"/>
      <c r="O133" s="386"/>
      <c r="P133" s="387"/>
      <c r="Q133" s="388"/>
    </row>
    <row r="134" spans="1:17" ht="14.4" thickTop="1" thickBot="1" x14ac:dyDescent="0.3">
      <c r="A134" s="392"/>
      <c r="B134" s="157"/>
      <c r="C134" s="393"/>
      <c r="D134" s="377"/>
      <c r="E134" s="259"/>
      <c r="F134" s="378"/>
      <c r="G134" s="534"/>
      <c r="H134" s="380"/>
      <c r="I134" s="378"/>
      <c r="J134" s="394" t="s">
        <v>30</v>
      </c>
      <c r="K134" s="537">
        <f>SUM(K130:K133)</f>
        <v>0</v>
      </c>
      <c r="L134" s="587"/>
      <c r="M134" s="588"/>
      <c r="N134" s="589"/>
      <c r="O134" s="465"/>
      <c r="P134" s="466"/>
      <c r="Q134" s="467"/>
    </row>
    <row r="135" spans="1:17" ht="14.1" customHeight="1" thickTop="1" x14ac:dyDescent="0.25">
      <c r="A135" s="604"/>
      <c r="B135" s="605"/>
      <c r="C135" s="606"/>
      <c r="D135" s="606"/>
      <c r="E135" s="607"/>
      <c r="F135" s="1103" t="s">
        <v>658</v>
      </c>
      <c r="G135" s="1105" t="s">
        <v>684</v>
      </c>
      <c r="H135" s="607"/>
      <c r="I135" s="1107" t="s">
        <v>657</v>
      </c>
      <c r="J135" s="1109" t="s">
        <v>685</v>
      </c>
      <c r="K135" s="1111" t="s">
        <v>31</v>
      </c>
    </row>
    <row r="136" spans="1:17" x14ac:dyDescent="0.25">
      <c r="A136" s="608" t="s">
        <v>32</v>
      </c>
      <c r="B136" s="1113" t="s">
        <v>26</v>
      </c>
      <c r="C136" s="488"/>
      <c r="D136" s="609"/>
      <c r="E136" s="609"/>
      <c r="F136" s="1104"/>
      <c r="G136" s="1106"/>
      <c r="H136" s="610"/>
      <c r="I136" s="1108"/>
      <c r="J136" s="1110"/>
      <c r="K136" s="1112"/>
    </row>
    <row r="137" spans="1:17" x14ac:dyDescent="0.25">
      <c r="A137" s="830">
        <f>K137/E6</f>
        <v>54.470142164781905</v>
      </c>
      <c r="B137" s="1113"/>
      <c r="C137" s="609"/>
      <c r="D137" s="609"/>
      <c r="E137" s="609"/>
      <c r="F137" s="1099">
        <f>SUM(F130:F133,F121:F126,F110:F116,F101:F106,F93:F97,F79:F89,F31:F75,F11:F27)</f>
        <v>9500</v>
      </c>
      <c r="G137" s="1114">
        <f>SUM(G130:G133,G121:G126,G110:G116,G101:G106,G93:G97,G79:G89,G31:G75,G11:G27)</f>
        <v>0</v>
      </c>
      <c r="H137" s="610"/>
      <c r="I137" s="1099">
        <f>SUM(I130:I133,I121:I126,I110:I116,I101:I106,I93:I97,I79:I89,I31:I75,I11:I27)</f>
        <v>0</v>
      </c>
      <c r="J137" s="1099">
        <f>SUM(J130:J133,J121:J126,J110:J116,J101:J106,J93:J97,J79:J89,J31:J75,J11:J27)</f>
        <v>327670.18</v>
      </c>
      <c r="K137" s="1101">
        <f>SUM(K134,K127,K118,K107,K98,K90,K76,K29)</f>
        <v>337170.18</v>
      </c>
    </row>
    <row r="138" spans="1:17" ht="13.8" thickBot="1" x14ac:dyDescent="0.3">
      <c r="A138" s="608"/>
      <c r="B138" s="611"/>
      <c r="C138" s="612"/>
      <c r="D138" s="612"/>
      <c r="E138" s="612"/>
      <c r="F138" s="1100"/>
      <c r="G138" s="1115"/>
      <c r="H138" s="612"/>
      <c r="I138" s="1100"/>
      <c r="J138" s="1100"/>
      <c r="K138" s="1102"/>
    </row>
    <row r="139" spans="1:17" ht="13.8" thickBot="1" x14ac:dyDescent="0.3">
      <c r="A139" s="494"/>
      <c r="B139" s="495"/>
      <c r="C139" s="495"/>
      <c r="D139" s="495"/>
      <c r="E139" s="495"/>
      <c r="F139" s="495"/>
      <c r="G139" s="495"/>
      <c r="H139" s="495"/>
      <c r="I139" s="495"/>
      <c r="J139" s="495"/>
      <c r="K139" s="496"/>
    </row>
    <row r="140" spans="1:17" x14ac:dyDescent="0.25">
      <c r="B140" s="157"/>
    </row>
    <row r="141" spans="1:17" x14ac:dyDescent="0.25">
      <c r="B141" s="157"/>
    </row>
    <row r="142" spans="1:17" x14ac:dyDescent="0.25">
      <c r="B142" s="157"/>
    </row>
    <row r="143" spans="1:17" x14ac:dyDescent="0.25">
      <c r="B143" s="157"/>
    </row>
    <row r="144" spans="1:17" x14ac:dyDescent="0.25">
      <c r="B144" s="157"/>
    </row>
    <row r="145" spans="2:2" x14ac:dyDescent="0.25">
      <c r="B145" s="157"/>
    </row>
    <row r="146" spans="2:2" x14ac:dyDescent="0.25">
      <c r="B146" s="157"/>
    </row>
    <row r="147" spans="2:2" x14ac:dyDescent="0.25">
      <c r="B147" s="157"/>
    </row>
    <row r="148" spans="2:2" x14ac:dyDescent="0.25">
      <c r="B148" s="157"/>
    </row>
    <row r="149" spans="2:2" x14ac:dyDescent="0.25">
      <c r="B149" s="157"/>
    </row>
    <row r="150" spans="2:2" x14ac:dyDescent="0.25">
      <c r="B150" s="157"/>
    </row>
    <row r="151" spans="2:2" x14ac:dyDescent="0.25">
      <c r="B151" s="157"/>
    </row>
    <row r="152" spans="2:2" x14ac:dyDescent="0.25">
      <c r="B152" s="157"/>
    </row>
    <row r="153" spans="2:2" x14ac:dyDescent="0.25">
      <c r="B153" s="157"/>
    </row>
    <row r="154" spans="2:2" x14ac:dyDescent="0.25">
      <c r="B154" s="157"/>
    </row>
    <row r="155" spans="2:2" x14ac:dyDescent="0.25">
      <c r="B155" s="157"/>
    </row>
    <row r="156" spans="2:2" x14ac:dyDescent="0.25">
      <c r="B156" s="157"/>
    </row>
    <row r="157" spans="2:2" x14ac:dyDescent="0.25">
      <c r="B157" s="157"/>
    </row>
    <row r="158" spans="2:2" x14ac:dyDescent="0.25">
      <c r="B158" s="157"/>
    </row>
    <row r="159" spans="2:2" x14ac:dyDescent="0.25">
      <c r="B159" s="157"/>
    </row>
    <row r="160" spans="2:2" x14ac:dyDescent="0.25">
      <c r="B160" s="157"/>
    </row>
    <row r="161" spans="2:2" x14ac:dyDescent="0.25">
      <c r="B161" s="157"/>
    </row>
    <row r="162" spans="2:2" x14ac:dyDescent="0.25">
      <c r="B162" s="157"/>
    </row>
    <row r="163" spans="2:2" x14ac:dyDescent="0.25">
      <c r="B163" s="157"/>
    </row>
    <row r="164" spans="2:2" x14ac:dyDescent="0.25">
      <c r="B164" s="157"/>
    </row>
    <row r="165" spans="2:2" x14ac:dyDescent="0.25">
      <c r="B165" s="157"/>
    </row>
    <row r="166" spans="2:2" x14ac:dyDescent="0.25">
      <c r="B166" s="157"/>
    </row>
    <row r="167" spans="2:2" x14ac:dyDescent="0.25">
      <c r="B167" s="157"/>
    </row>
    <row r="168" spans="2:2" x14ac:dyDescent="0.25">
      <c r="B168" s="157"/>
    </row>
    <row r="169" spans="2:2" x14ac:dyDescent="0.25">
      <c r="B169" s="157"/>
    </row>
    <row r="170" spans="2:2" x14ac:dyDescent="0.25">
      <c r="B170" s="157"/>
    </row>
    <row r="171" spans="2:2" x14ac:dyDescent="0.25">
      <c r="B171" s="157"/>
    </row>
    <row r="172" spans="2:2" x14ac:dyDescent="0.25">
      <c r="B172" s="157"/>
    </row>
    <row r="173" spans="2:2" x14ac:dyDescent="0.25">
      <c r="B173" s="157"/>
    </row>
    <row r="174" spans="2:2" x14ac:dyDescent="0.25">
      <c r="B174" s="157"/>
    </row>
    <row r="175" spans="2:2" x14ac:dyDescent="0.25">
      <c r="B175" s="157"/>
    </row>
    <row r="176" spans="2:2" x14ac:dyDescent="0.25">
      <c r="B176" s="157"/>
    </row>
    <row r="177" spans="2:2" x14ac:dyDescent="0.25">
      <c r="B177" s="157"/>
    </row>
    <row r="178" spans="2:2" x14ac:dyDescent="0.25">
      <c r="B178" s="157"/>
    </row>
    <row r="179" spans="2:2" x14ac:dyDescent="0.25">
      <c r="B179" s="157"/>
    </row>
    <row r="180" spans="2:2" x14ac:dyDescent="0.25">
      <c r="B180" s="157"/>
    </row>
    <row r="181" spans="2:2" x14ac:dyDescent="0.25">
      <c r="B181" s="157"/>
    </row>
    <row r="182" spans="2:2" x14ac:dyDescent="0.25">
      <c r="B182" s="157"/>
    </row>
    <row r="183" spans="2:2" x14ac:dyDescent="0.25">
      <c r="B183" s="157"/>
    </row>
    <row r="184" spans="2:2" x14ac:dyDescent="0.25">
      <c r="B184" s="157"/>
    </row>
    <row r="185" spans="2:2" x14ac:dyDescent="0.25">
      <c r="B185" s="157"/>
    </row>
    <row r="186" spans="2:2" x14ac:dyDescent="0.25">
      <c r="B186" s="157"/>
    </row>
    <row r="187" spans="2:2" x14ac:dyDescent="0.25">
      <c r="B187" s="157"/>
    </row>
    <row r="188" spans="2:2" x14ac:dyDescent="0.25">
      <c r="B188" s="157"/>
    </row>
    <row r="189" spans="2:2" x14ac:dyDescent="0.25">
      <c r="B189" s="157"/>
    </row>
    <row r="190" spans="2:2" x14ac:dyDescent="0.25">
      <c r="B190" s="157"/>
    </row>
    <row r="191" spans="2:2" x14ac:dyDescent="0.25">
      <c r="B191" s="157"/>
    </row>
    <row r="192" spans="2:2" x14ac:dyDescent="0.25">
      <c r="B192" s="157"/>
    </row>
    <row r="193" spans="2:2" x14ac:dyDescent="0.25">
      <c r="B193" s="157"/>
    </row>
    <row r="194" spans="2:2" x14ac:dyDescent="0.25">
      <c r="B194" s="157"/>
    </row>
    <row r="195" spans="2:2" x14ac:dyDescent="0.25">
      <c r="B195" s="157"/>
    </row>
    <row r="196" spans="2:2" x14ac:dyDescent="0.25">
      <c r="B196" s="157"/>
    </row>
    <row r="197" spans="2:2" x14ac:dyDescent="0.25">
      <c r="B197" s="157"/>
    </row>
    <row r="198" spans="2:2" x14ac:dyDescent="0.25">
      <c r="B198" s="157"/>
    </row>
    <row r="199" spans="2:2" x14ac:dyDescent="0.25">
      <c r="B199" s="157"/>
    </row>
    <row r="200" spans="2:2" x14ac:dyDescent="0.25">
      <c r="B200" s="157"/>
    </row>
    <row r="201" spans="2:2" x14ac:dyDescent="0.25">
      <c r="B201" s="157"/>
    </row>
    <row r="202" spans="2:2" x14ac:dyDescent="0.25">
      <c r="B202" s="157"/>
    </row>
    <row r="203" spans="2:2" x14ac:dyDescent="0.25">
      <c r="B203" s="157"/>
    </row>
    <row r="204" spans="2:2" x14ac:dyDescent="0.25">
      <c r="B204" s="157"/>
    </row>
    <row r="205" spans="2:2" x14ac:dyDescent="0.25">
      <c r="B205" s="157"/>
    </row>
    <row r="206" spans="2:2" x14ac:dyDescent="0.25">
      <c r="B206" s="157"/>
    </row>
    <row r="207" spans="2:2" x14ac:dyDescent="0.25">
      <c r="B207" s="157"/>
    </row>
    <row r="208" spans="2:2" x14ac:dyDescent="0.25">
      <c r="B208" s="157"/>
    </row>
    <row r="209" spans="2:2" x14ac:dyDescent="0.25">
      <c r="B209" s="157"/>
    </row>
    <row r="210" spans="2:2" x14ac:dyDescent="0.25">
      <c r="B210" s="157"/>
    </row>
    <row r="211" spans="2:2" x14ac:dyDescent="0.25">
      <c r="B211" s="157"/>
    </row>
    <row r="212" spans="2:2" x14ac:dyDescent="0.25">
      <c r="B212" s="157"/>
    </row>
    <row r="213" spans="2:2" x14ac:dyDescent="0.25">
      <c r="B213" s="157"/>
    </row>
    <row r="214" spans="2:2" x14ac:dyDescent="0.25">
      <c r="B214" s="157"/>
    </row>
    <row r="215" spans="2:2" x14ac:dyDescent="0.25">
      <c r="B215" s="157"/>
    </row>
    <row r="216" spans="2:2" x14ac:dyDescent="0.25">
      <c r="B216" s="157"/>
    </row>
    <row r="217" spans="2:2" x14ac:dyDescent="0.25">
      <c r="B217" s="157"/>
    </row>
    <row r="218" spans="2:2" x14ac:dyDescent="0.25">
      <c r="B218" s="157"/>
    </row>
    <row r="219" spans="2:2" x14ac:dyDescent="0.25">
      <c r="B219" s="157"/>
    </row>
    <row r="220" spans="2:2" x14ac:dyDescent="0.25">
      <c r="B220" s="157"/>
    </row>
    <row r="221" spans="2:2" x14ac:dyDescent="0.25">
      <c r="B221" s="157"/>
    </row>
    <row r="222" spans="2:2" x14ac:dyDescent="0.25">
      <c r="B222" s="157"/>
    </row>
    <row r="223" spans="2:2" x14ac:dyDescent="0.25">
      <c r="B223" s="157"/>
    </row>
    <row r="224" spans="2:2" x14ac:dyDescent="0.25">
      <c r="B224" s="157"/>
    </row>
    <row r="225" spans="2:2" x14ac:dyDescent="0.25">
      <c r="B225" s="157"/>
    </row>
    <row r="226" spans="2:2" x14ac:dyDescent="0.25">
      <c r="B226" s="157"/>
    </row>
    <row r="227" spans="2:2" x14ac:dyDescent="0.25">
      <c r="B227" s="157"/>
    </row>
    <row r="228" spans="2:2" x14ac:dyDescent="0.25">
      <c r="B228" s="157"/>
    </row>
    <row r="229" spans="2:2" x14ac:dyDescent="0.25">
      <c r="B229" s="157"/>
    </row>
    <row r="230" spans="2:2" x14ac:dyDescent="0.25">
      <c r="B230" s="157"/>
    </row>
    <row r="231" spans="2:2" x14ac:dyDescent="0.25">
      <c r="B231" s="157"/>
    </row>
    <row r="232" spans="2:2" x14ac:dyDescent="0.25">
      <c r="B232" s="157"/>
    </row>
    <row r="233" spans="2:2" x14ac:dyDescent="0.25">
      <c r="B233" s="157"/>
    </row>
    <row r="234" spans="2:2" x14ac:dyDescent="0.25">
      <c r="B234" s="157"/>
    </row>
    <row r="235" spans="2:2" x14ac:dyDescent="0.25">
      <c r="B235" s="157"/>
    </row>
    <row r="236" spans="2:2" x14ac:dyDescent="0.25">
      <c r="B236" s="157"/>
    </row>
    <row r="237" spans="2:2" x14ac:dyDescent="0.25">
      <c r="B237" s="157"/>
    </row>
    <row r="238" spans="2:2" x14ac:dyDescent="0.25">
      <c r="B238" s="157"/>
    </row>
    <row r="239" spans="2:2" x14ac:dyDescent="0.25">
      <c r="B239" s="157"/>
    </row>
    <row r="240" spans="2:2" x14ac:dyDescent="0.25">
      <c r="B240" s="157"/>
    </row>
    <row r="241" spans="2:2" x14ac:dyDescent="0.25">
      <c r="B241" s="157"/>
    </row>
    <row r="242" spans="2:2" x14ac:dyDescent="0.25">
      <c r="B242" s="157"/>
    </row>
    <row r="243" spans="2:2" x14ac:dyDescent="0.25">
      <c r="B243" s="157"/>
    </row>
    <row r="244" spans="2:2" x14ac:dyDescent="0.25">
      <c r="B244" s="157"/>
    </row>
    <row r="245" spans="2:2" x14ac:dyDescent="0.25">
      <c r="B245" s="157"/>
    </row>
    <row r="246" spans="2:2" x14ac:dyDescent="0.25">
      <c r="B246" s="157"/>
    </row>
    <row r="247" spans="2:2" x14ac:dyDescent="0.25">
      <c r="B247" s="157"/>
    </row>
    <row r="248" spans="2:2" x14ac:dyDescent="0.25">
      <c r="B248" s="157"/>
    </row>
    <row r="249" spans="2:2" x14ac:dyDescent="0.25">
      <c r="B249" s="157"/>
    </row>
    <row r="250" spans="2:2" x14ac:dyDescent="0.25">
      <c r="B250" s="157"/>
    </row>
    <row r="251" spans="2:2" x14ac:dyDescent="0.25">
      <c r="B251" s="157"/>
    </row>
    <row r="252" spans="2:2" x14ac:dyDescent="0.25">
      <c r="B252" s="157"/>
    </row>
    <row r="253" spans="2:2" x14ac:dyDescent="0.25">
      <c r="B253" s="157"/>
    </row>
    <row r="254" spans="2:2" x14ac:dyDescent="0.25">
      <c r="B254" s="157"/>
    </row>
    <row r="255" spans="2:2" x14ac:dyDescent="0.25">
      <c r="B255" s="157"/>
    </row>
    <row r="256" spans="2:2" x14ac:dyDescent="0.25">
      <c r="B256" s="157"/>
    </row>
    <row r="257" spans="2:2" x14ac:dyDescent="0.25">
      <c r="B257" s="157"/>
    </row>
    <row r="258" spans="2:2" x14ac:dyDescent="0.25">
      <c r="B258" s="157"/>
    </row>
    <row r="259" spans="2:2" x14ac:dyDescent="0.25">
      <c r="B259" s="157"/>
    </row>
    <row r="260" spans="2:2" x14ac:dyDescent="0.25">
      <c r="B260" s="157"/>
    </row>
    <row r="261" spans="2:2" x14ac:dyDescent="0.25">
      <c r="B261" s="157"/>
    </row>
    <row r="262" spans="2:2" x14ac:dyDescent="0.25">
      <c r="B262" s="157"/>
    </row>
    <row r="263" spans="2:2" x14ac:dyDescent="0.25">
      <c r="B263" s="157"/>
    </row>
    <row r="264" spans="2:2" x14ac:dyDescent="0.25">
      <c r="B264" s="157"/>
    </row>
    <row r="265" spans="2:2" x14ac:dyDescent="0.25">
      <c r="B265" s="157"/>
    </row>
    <row r="266" spans="2:2" x14ac:dyDescent="0.25">
      <c r="B266" s="157"/>
    </row>
    <row r="267" spans="2:2" x14ac:dyDescent="0.25">
      <c r="B267" s="157"/>
    </row>
    <row r="268" spans="2:2" x14ac:dyDescent="0.25">
      <c r="B268" s="157"/>
    </row>
    <row r="269" spans="2:2" x14ac:dyDescent="0.25">
      <c r="B269" s="157"/>
    </row>
    <row r="270" spans="2:2" x14ac:dyDescent="0.25">
      <c r="B270" s="157"/>
    </row>
    <row r="271" spans="2:2" x14ac:dyDescent="0.25">
      <c r="B271" s="157"/>
    </row>
    <row r="272" spans="2:2" x14ac:dyDescent="0.25">
      <c r="B272" s="157"/>
    </row>
    <row r="273" spans="2:2" x14ac:dyDescent="0.25">
      <c r="B273" s="157"/>
    </row>
    <row r="274" spans="2:2" x14ac:dyDescent="0.25">
      <c r="B274" s="157"/>
    </row>
    <row r="275" spans="2:2" x14ac:dyDescent="0.25">
      <c r="B275" s="157"/>
    </row>
    <row r="276" spans="2:2" x14ac:dyDescent="0.25">
      <c r="B276" s="157"/>
    </row>
    <row r="277" spans="2:2" x14ac:dyDescent="0.25">
      <c r="B277" s="157"/>
    </row>
    <row r="278" spans="2:2" x14ac:dyDescent="0.25">
      <c r="B278" s="157"/>
    </row>
    <row r="279" spans="2:2" x14ac:dyDescent="0.25">
      <c r="B279" s="157"/>
    </row>
    <row r="280" spans="2:2" x14ac:dyDescent="0.25">
      <c r="B280" s="157"/>
    </row>
    <row r="281" spans="2:2" x14ac:dyDescent="0.25">
      <c r="B281" s="157"/>
    </row>
    <row r="282" spans="2:2" x14ac:dyDescent="0.25">
      <c r="B282" s="157"/>
    </row>
    <row r="283" spans="2:2" x14ac:dyDescent="0.25">
      <c r="B283" s="157"/>
    </row>
  </sheetData>
  <mergeCells count="50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77:F77"/>
    <mergeCell ref="G77:I77"/>
    <mergeCell ref="B136:B137"/>
    <mergeCell ref="F137:F138"/>
    <mergeCell ref="G137:G138"/>
    <mergeCell ref="I137:I138"/>
    <mergeCell ref="C108:F108"/>
    <mergeCell ref="G108:I108"/>
    <mergeCell ref="C119:F119"/>
    <mergeCell ref="G119:I119"/>
    <mergeCell ref="C91:F91"/>
    <mergeCell ref="G91:I91"/>
    <mergeCell ref="C99:F99"/>
    <mergeCell ref="C128:F128"/>
    <mergeCell ref="G128:I128"/>
    <mergeCell ref="G99:I99"/>
    <mergeCell ref="J137:J138"/>
    <mergeCell ref="K137:K138"/>
    <mergeCell ref="F135:F136"/>
    <mergeCell ref="G135:G136"/>
    <mergeCell ref="I135:I136"/>
    <mergeCell ref="J135:J136"/>
    <mergeCell ref="K135:K136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00B050"/>
    <pageSetUpPr fitToPage="1"/>
  </sheetPr>
  <dimension ref="A1:W139"/>
  <sheetViews>
    <sheetView topLeftCell="A13" zoomScale="90" zoomScaleNormal="75" zoomScaleSheetLayoutView="90" zoomScalePageLayoutView="75" workbookViewId="0">
      <selection activeCell="A69" sqref="A69"/>
    </sheetView>
  </sheetViews>
  <sheetFormatPr defaultColWidth="9.109375" defaultRowHeight="13.2" x14ac:dyDescent="0.25"/>
  <cols>
    <col min="1" max="1" width="12.88671875" style="157" bestFit="1" customWidth="1"/>
    <col min="2" max="2" width="46" style="157" customWidth="1"/>
    <col min="3" max="4" width="5" style="445" customWidth="1"/>
    <col min="5" max="5" width="11.44140625" style="157" bestFit="1" customWidth="1"/>
    <col min="6" max="6" width="12.5546875" style="157" bestFit="1" customWidth="1"/>
    <col min="7" max="7" width="8.5546875" style="157" bestFit="1" customWidth="1"/>
    <col min="8" max="8" width="10.88671875" style="157" bestFit="1" customWidth="1"/>
    <col min="9" max="9" width="14.44140625" style="157" bestFit="1" customWidth="1"/>
    <col min="10" max="10" width="16.109375" style="157" bestFit="1" customWidth="1"/>
    <col min="11" max="11" width="14.44140625" style="157" customWidth="1"/>
    <col min="12" max="12" width="17.88671875" style="159" bestFit="1" customWidth="1"/>
    <col min="13" max="13" width="14" style="320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8" width="9.109375" style="157" customWidth="1"/>
    <col min="19" max="19" width="10.21875" style="157" bestFit="1" customWidth="1"/>
    <col min="20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61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5">
      <c r="A4" s="1052"/>
      <c r="B4" s="1053"/>
      <c r="C4" s="519"/>
      <c r="D4" s="1063"/>
      <c r="E4" s="1063"/>
      <c r="F4" s="1063"/>
      <c r="G4" s="614"/>
      <c r="H4" s="614"/>
      <c r="I4" s="613"/>
      <c r="J4" s="334"/>
      <c r="K4" s="335"/>
      <c r="L4" s="1081"/>
      <c r="M4" s="1082"/>
      <c r="N4" s="1064"/>
      <c r="O4" s="1064"/>
      <c r="P4" s="978"/>
    </row>
    <row r="5" spans="1:17" ht="21.6" thickBot="1" x14ac:dyDescent="0.45">
      <c r="A5" s="615"/>
      <c r="B5" s="616"/>
      <c r="C5" s="521"/>
      <c r="D5" s="617"/>
      <c r="E5" s="346"/>
      <c r="F5" s="614"/>
      <c r="G5" s="1149" t="s">
        <v>660</v>
      </c>
      <c r="H5" s="1150"/>
      <c r="I5" s="1151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45">
      <c r="A6" s="615"/>
      <c r="B6" s="616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152"/>
      <c r="H6" s="1153"/>
      <c r="I6" s="1154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618" t="s">
        <v>0</v>
      </c>
      <c r="B9" s="61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620"/>
      <c r="K9" s="528"/>
      <c r="L9" s="1125" t="s">
        <v>782</v>
      </c>
      <c r="M9" s="1127" t="s">
        <v>783</v>
      </c>
      <c r="N9" s="1129" t="s">
        <v>784</v>
      </c>
      <c r="O9" s="1131"/>
      <c r="P9" s="1133"/>
      <c r="Q9" s="1123"/>
    </row>
    <row r="10" spans="1:17" ht="16.2" thickBot="1" x14ac:dyDescent="0.35">
      <c r="A10" s="583" t="s">
        <v>206</v>
      </c>
      <c r="B10" s="584" t="s">
        <v>207</v>
      </c>
      <c r="C10" s="621" t="s">
        <v>19</v>
      </c>
      <c r="D10" s="621" t="s">
        <v>33</v>
      </c>
      <c r="E10" s="450" t="s">
        <v>35</v>
      </c>
      <c r="F10" s="622" t="s">
        <v>30</v>
      </c>
      <c r="G10" s="623" t="s">
        <v>14</v>
      </c>
      <c r="H10" s="450" t="s">
        <v>35</v>
      </c>
      <c r="I10" s="622" t="s">
        <v>30</v>
      </c>
      <c r="J10" s="624" t="s">
        <v>659</v>
      </c>
      <c r="K10" s="625" t="s">
        <v>38</v>
      </c>
      <c r="L10" s="1126"/>
      <c r="M10" s="1128"/>
      <c r="N10" s="1130"/>
      <c r="O10" s="1132"/>
      <c r="P10" s="1134"/>
      <c r="Q10" s="1124"/>
    </row>
    <row r="11" spans="1:17" x14ac:dyDescent="0.25">
      <c r="A11" s="262" t="s">
        <v>208</v>
      </c>
      <c r="B11" s="262" t="s">
        <v>211</v>
      </c>
      <c r="C11" s="444"/>
      <c r="D11" s="377" t="s">
        <v>21</v>
      </c>
      <c r="E11" s="259">
        <v>0</v>
      </c>
      <c r="F11" s="378">
        <f t="shared" ref="F11:F30" si="0">C11*E11</f>
        <v>0</v>
      </c>
      <c r="G11" s="534"/>
      <c r="H11" s="380">
        <v>0</v>
      </c>
      <c r="I11" s="378">
        <f t="shared" ref="I11:I30" si="1">G11*H11</f>
        <v>0</v>
      </c>
      <c r="J11" s="626"/>
      <c r="K11" s="535">
        <f t="shared" ref="K11:K30" si="2">F11+I11+J11</f>
        <v>0</v>
      </c>
      <c r="L11" s="383"/>
      <c r="M11" s="627"/>
      <c r="N11" s="385"/>
      <c r="O11" s="386"/>
      <c r="P11" s="387"/>
      <c r="Q11" s="388"/>
    </row>
    <row r="12" spans="1:17" x14ac:dyDescent="0.25">
      <c r="A12" s="848" t="s">
        <v>209</v>
      </c>
      <c r="B12" s="846" t="s">
        <v>1048</v>
      </c>
      <c r="C12" s="838">
        <v>3530</v>
      </c>
      <c r="D12" s="839" t="s">
        <v>732</v>
      </c>
      <c r="E12" s="259"/>
      <c r="F12" s="378">
        <f t="shared" si="0"/>
        <v>0</v>
      </c>
      <c r="G12" s="534"/>
      <c r="H12" s="380">
        <v>0</v>
      </c>
      <c r="I12" s="378">
        <f t="shared" si="1"/>
        <v>0</v>
      </c>
      <c r="J12" s="626">
        <f>M15</f>
        <v>37853.11</v>
      </c>
      <c r="K12" s="535">
        <f t="shared" si="2"/>
        <v>37853.11</v>
      </c>
      <c r="L12" s="383" t="s">
        <v>1133</v>
      </c>
      <c r="M12" s="627">
        <v>47789</v>
      </c>
      <c r="N12" s="385" t="s">
        <v>1325</v>
      </c>
      <c r="O12" s="386"/>
      <c r="P12" s="387"/>
      <c r="Q12" s="388"/>
    </row>
    <row r="13" spans="1:17" x14ac:dyDescent="0.25">
      <c r="A13" s="848" t="s">
        <v>209</v>
      </c>
      <c r="B13" s="846" t="s">
        <v>1049</v>
      </c>
      <c r="C13" s="838">
        <v>5074</v>
      </c>
      <c r="D13" s="839" t="s">
        <v>732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626"/>
      <c r="K13" s="535">
        <f t="shared" si="2"/>
        <v>0</v>
      </c>
      <c r="L13" s="383" t="s">
        <v>1135</v>
      </c>
      <c r="M13" s="627"/>
      <c r="N13" s="385"/>
      <c r="O13" s="386"/>
      <c r="P13" s="387"/>
      <c r="Q13" s="388"/>
    </row>
    <row r="14" spans="1:17" x14ac:dyDescent="0.25">
      <c r="A14" s="848" t="s">
        <v>209</v>
      </c>
      <c r="B14" s="846" t="s">
        <v>1050</v>
      </c>
      <c r="C14" s="838">
        <v>1010</v>
      </c>
      <c r="D14" s="839" t="s">
        <v>732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626"/>
      <c r="K14" s="535">
        <f t="shared" si="2"/>
        <v>0</v>
      </c>
      <c r="L14" s="383"/>
      <c r="M14" s="627"/>
      <c r="N14" s="385"/>
      <c r="O14" s="386"/>
      <c r="P14" s="387"/>
      <c r="Q14" s="388"/>
    </row>
    <row r="15" spans="1:17" x14ac:dyDescent="0.25">
      <c r="A15" s="848" t="s">
        <v>209</v>
      </c>
      <c r="B15" s="846" t="s">
        <v>1051</v>
      </c>
      <c r="C15" s="838">
        <v>6190</v>
      </c>
      <c r="D15" s="839" t="s">
        <v>732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626"/>
      <c r="K15" s="535">
        <f t="shared" si="2"/>
        <v>0</v>
      </c>
      <c r="L15" s="959" t="s">
        <v>1134</v>
      </c>
      <c r="M15" s="1214">
        <v>37853.11</v>
      </c>
      <c r="N15" s="385" t="s">
        <v>1216</v>
      </c>
      <c r="O15" s="386"/>
      <c r="P15" s="387"/>
      <c r="Q15" s="388"/>
    </row>
    <row r="16" spans="1:17" x14ac:dyDescent="0.25">
      <c r="A16" s="262" t="s">
        <v>209</v>
      </c>
      <c r="B16" s="159" t="s">
        <v>212</v>
      </c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626"/>
      <c r="K16" s="535">
        <f t="shared" si="2"/>
        <v>0</v>
      </c>
      <c r="L16" s="959" t="s">
        <v>1134</v>
      </c>
      <c r="M16" s="911">
        <v>1188.23</v>
      </c>
      <c r="N16" s="385" t="s">
        <v>1198</v>
      </c>
      <c r="O16" s="386"/>
      <c r="P16" s="387"/>
      <c r="Q16" s="388"/>
    </row>
    <row r="17" spans="1:17" x14ac:dyDescent="0.25">
      <c r="A17" s="262" t="s">
        <v>209</v>
      </c>
      <c r="B17" s="846" t="s">
        <v>1052</v>
      </c>
      <c r="C17" s="838">
        <v>9614</v>
      </c>
      <c r="D17" s="839" t="s">
        <v>732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626"/>
      <c r="K17" s="535">
        <f t="shared" si="2"/>
        <v>0</v>
      </c>
      <c r="N17" s="385"/>
      <c r="O17" s="386"/>
      <c r="P17" s="387"/>
      <c r="Q17" s="388"/>
    </row>
    <row r="18" spans="1:17" x14ac:dyDescent="0.25">
      <c r="A18" s="262" t="s">
        <v>209</v>
      </c>
      <c r="B18" s="846" t="s">
        <v>1053</v>
      </c>
      <c r="C18" s="838">
        <v>3530</v>
      </c>
      <c r="D18" s="839" t="s">
        <v>732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626"/>
      <c r="K18" s="535">
        <f t="shared" si="2"/>
        <v>0</v>
      </c>
      <c r="L18" s="868" t="s">
        <v>1136</v>
      </c>
      <c r="M18" s="627"/>
      <c r="N18" s="385"/>
      <c r="O18" s="386"/>
      <c r="P18" s="387"/>
      <c r="Q18" s="388"/>
    </row>
    <row r="19" spans="1:17" x14ac:dyDescent="0.25">
      <c r="A19" s="262" t="s">
        <v>210</v>
      </c>
      <c r="B19" s="159" t="s">
        <v>213</v>
      </c>
      <c r="C19" s="376"/>
      <c r="D19" s="377" t="s">
        <v>21</v>
      </c>
      <c r="E19" s="259">
        <v>0</v>
      </c>
      <c r="F19" s="378">
        <f t="shared" ref="F19:F23" si="3">C19*E19</f>
        <v>0</v>
      </c>
      <c r="G19" s="534"/>
      <c r="H19" s="380">
        <v>0</v>
      </c>
      <c r="I19" s="378">
        <f t="shared" ref="I19:I23" si="4">G19*H19</f>
        <v>0</v>
      </c>
      <c r="J19" s="626"/>
      <c r="K19" s="535">
        <f t="shared" ref="K19:K23" si="5">F19+I19+J19</f>
        <v>0</v>
      </c>
      <c r="L19" s="383" t="s">
        <v>1198</v>
      </c>
      <c r="M19" s="627">
        <v>3500</v>
      </c>
      <c r="N19" s="385"/>
      <c r="O19" s="386"/>
      <c r="P19" s="387"/>
      <c r="Q19" s="388"/>
    </row>
    <row r="20" spans="1:17" x14ac:dyDescent="0.25">
      <c r="A20" s="375"/>
      <c r="B20" s="5"/>
      <c r="C20" s="376"/>
      <c r="D20" s="377" t="s">
        <v>21</v>
      </c>
      <c r="E20" s="259">
        <v>0</v>
      </c>
      <c r="F20" s="378">
        <f t="shared" ref="F20:F22" si="6">C20*E20</f>
        <v>0</v>
      </c>
      <c r="G20" s="534"/>
      <c r="H20" s="380">
        <v>0</v>
      </c>
      <c r="I20" s="378">
        <f t="shared" ref="I20:I22" si="7">G20*H20</f>
        <v>0</v>
      </c>
      <c r="J20" s="626"/>
      <c r="K20" s="535">
        <f t="shared" ref="K20:K22" si="8">F20+I20+J20</f>
        <v>0</v>
      </c>
      <c r="L20" s="383" t="s">
        <v>1215</v>
      </c>
      <c r="M20" s="627">
        <v>21148.26</v>
      </c>
      <c r="N20" s="385"/>
      <c r="O20" s="386"/>
      <c r="P20" s="387"/>
      <c r="Q20" s="388"/>
    </row>
    <row r="21" spans="1:17" x14ac:dyDescent="0.25">
      <c r="A21" s="262"/>
      <c r="B21" s="897" t="s">
        <v>1198</v>
      </c>
      <c r="C21" s="376"/>
      <c r="D21" s="377" t="s">
        <v>21</v>
      </c>
      <c r="E21" s="259">
        <v>0</v>
      </c>
      <c r="F21" s="378">
        <f t="shared" si="6"/>
        <v>0</v>
      </c>
      <c r="G21" s="534"/>
      <c r="H21" s="380">
        <v>0</v>
      </c>
      <c r="I21" s="378">
        <f t="shared" si="7"/>
        <v>0</v>
      </c>
      <c r="J21" s="626">
        <f>M16</f>
        <v>1188.23</v>
      </c>
      <c r="K21" s="535">
        <f t="shared" si="8"/>
        <v>1188.23</v>
      </c>
      <c r="L21" s="383" t="s">
        <v>1199</v>
      </c>
      <c r="M21" s="627">
        <v>9199</v>
      </c>
      <c r="N21" s="385"/>
      <c r="O21" s="386"/>
      <c r="P21" s="387"/>
      <c r="Q21" s="388"/>
    </row>
    <row r="22" spans="1:17" x14ac:dyDescent="0.25">
      <c r="A22" s="375"/>
      <c r="B22" s="5"/>
      <c r="C22" s="376"/>
      <c r="D22" s="377" t="s">
        <v>21</v>
      </c>
      <c r="E22" s="259">
        <v>0</v>
      </c>
      <c r="F22" s="378">
        <f t="shared" si="6"/>
        <v>0</v>
      </c>
      <c r="G22" s="534"/>
      <c r="H22" s="380">
        <v>0</v>
      </c>
      <c r="I22" s="378">
        <f t="shared" si="7"/>
        <v>0</v>
      </c>
      <c r="J22" s="626"/>
      <c r="K22" s="535">
        <f t="shared" si="8"/>
        <v>0</v>
      </c>
      <c r="L22" s="383" t="s">
        <v>1200</v>
      </c>
      <c r="M22" s="627">
        <v>8446</v>
      </c>
      <c r="N22" s="385"/>
      <c r="O22" s="386">
        <v>46847.199999999997</v>
      </c>
      <c r="P22" s="387"/>
      <c r="Q22" s="388"/>
    </row>
    <row r="23" spans="1:17" x14ac:dyDescent="0.25">
      <c r="A23" s="375"/>
      <c r="B23" s="5"/>
      <c r="C23" s="376"/>
      <c r="D23" s="377" t="s">
        <v>21</v>
      </c>
      <c r="E23" s="259">
        <v>0</v>
      </c>
      <c r="F23" s="378">
        <f t="shared" si="3"/>
        <v>0</v>
      </c>
      <c r="G23" s="534"/>
      <c r="H23" s="380">
        <v>0</v>
      </c>
      <c r="I23" s="378">
        <f t="shared" si="4"/>
        <v>0</v>
      </c>
      <c r="J23" s="626"/>
      <c r="K23" s="535">
        <f t="shared" si="5"/>
        <v>0</v>
      </c>
      <c r="L23" s="383" t="s">
        <v>1201</v>
      </c>
      <c r="M23" s="627">
        <v>7184</v>
      </c>
      <c r="N23" s="385"/>
      <c r="O23" s="386">
        <f>J67</f>
        <v>36630.199999999997</v>
      </c>
      <c r="P23" s="387"/>
      <c r="Q23" s="388"/>
    </row>
    <row r="24" spans="1:17" ht="13.8" thickBot="1" x14ac:dyDescent="0.3">
      <c r="A24" s="262"/>
      <c r="B24" s="159"/>
      <c r="C24" s="376"/>
      <c r="D24" s="377" t="s">
        <v>21</v>
      </c>
      <c r="E24" s="259">
        <v>0</v>
      </c>
      <c r="F24" s="378">
        <f t="shared" si="0"/>
        <v>0</v>
      </c>
      <c r="G24" s="534"/>
      <c r="H24" s="380">
        <v>0</v>
      </c>
      <c r="I24" s="378">
        <f t="shared" si="1"/>
        <v>0</v>
      </c>
      <c r="J24" s="626"/>
      <c r="K24" s="535">
        <f t="shared" si="2"/>
        <v>0</v>
      </c>
      <c r="L24" s="383" t="s">
        <v>1202</v>
      </c>
      <c r="M24" s="890">
        <v>4342</v>
      </c>
      <c r="N24" s="385"/>
      <c r="O24" s="386">
        <f>O22-O23</f>
        <v>10217</v>
      </c>
      <c r="P24" s="387"/>
      <c r="Q24" s="388"/>
    </row>
    <row r="25" spans="1:17" x14ac:dyDescent="0.25">
      <c r="A25" s="375"/>
      <c r="B25" s="5"/>
      <c r="C25" s="376"/>
      <c r="D25" s="377" t="s">
        <v>21</v>
      </c>
      <c r="E25" s="259">
        <v>0</v>
      </c>
      <c r="F25" s="378">
        <f t="shared" si="0"/>
        <v>0</v>
      </c>
      <c r="G25" s="534"/>
      <c r="H25" s="380">
        <v>0</v>
      </c>
      <c r="I25" s="378">
        <f t="shared" si="1"/>
        <v>0</v>
      </c>
      <c r="J25" s="626"/>
      <c r="K25" s="535">
        <f t="shared" si="2"/>
        <v>0</v>
      </c>
      <c r="L25" s="383"/>
      <c r="M25" s="889">
        <f>SUM(M19:M24)</f>
        <v>53819.259999999995</v>
      </c>
      <c r="N25" s="385"/>
      <c r="O25" s="386"/>
      <c r="P25" s="387"/>
      <c r="Q25" s="388"/>
    </row>
    <row r="26" spans="1:17" x14ac:dyDescent="0.25">
      <c r="A26" s="262"/>
      <c r="B26" s="159"/>
      <c r="C26" s="376"/>
      <c r="D26" s="377" t="s">
        <v>21</v>
      </c>
      <c r="E26" s="259">
        <v>0</v>
      </c>
      <c r="F26" s="378">
        <f t="shared" ref="F26:F28" si="9">C26*E26</f>
        <v>0</v>
      </c>
      <c r="G26" s="534"/>
      <c r="H26" s="380">
        <v>0</v>
      </c>
      <c r="I26" s="378">
        <f t="shared" ref="I26:I28" si="10">G26*H26</f>
        <v>0</v>
      </c>
      <c r="J26" s="626"/>
      <c r="K26" s="535">
        <f t="shared" ref="K26:K28" si="11">F26+I26+J26</f>
        <v>0</v>
      </c>
      <c r="L26" s="383"/>
      <c r="M26" s="627"/>
      <c r="N26" s="385"/>
      <c r="O26" s="386"/>
      <c r="P26" s="387"/>
      <c r="Q26" s="388"/>
    </row>
    <row r="27" spans="1:17" x14ac:dyDescent="0.25">
      <c r="A27" s="262"/>
      <c r="B27" s="159"/>
      <c r="C27" s="376"/>
      <c r="D27" s="377" t="s">
        <v>21</v>
      </c>
      <c r="E27" s="259">
        <v>0</v>
      </c>
      <c r="F27" s="378">
        <f t="shared" si="9"/>
        <v>0</v>
      </c>
      <c r="G27" s="534"/>
      <c r="H27" s="380">
        <v>0</v>
      </c>
      <c r="I27" s="378">
        <f t="shared" si="10"/>
        <v>0</v>
      </c>
      <c r="J27" s="626"/>
      <c r="K27" s="535">
        <f t="shared" si="11"/>
        <v>0</v>
      </c>
      <c r="L27" s="383"/>
      <c r="M27" s="627"/>
      <c r="N27" s="385"/>
      <c r="O27" s="386"/>
      <c r="P27" s="387"/>
      <c r="Q27" s="388"/>
    </row>
    <row r="28" spans="1:17" x14ac:dyDescent="0.25">
      <c r="A28" s="375"/>
      <c r="B28" s="5"/>
      <c r="C28" s="376"/>
      <c r="D28" s="377" t="s">
        <v>21</v>
      </c>
      <c r="E28" s="259">
        <v>0</v>
      </c>
      <c r="F28" s="378">
        <f t="shared" si="9"/>
        <v>0</v>
      </c>
      <c r="G28" s="534"/>
      <c r="H28" s="380">
        <v>0</v>
      </c>
      <c r="I28" s="378">
        <f t="shared" si="10"/>
        <v>0</v>
      </c>
      <c r="J28" s="626"/>
      <c r="K28" s="535">
        <f t="shared" si="11"/>
        <v>0</v>
      </c>
      <c r="L28" s="383" t="s">
        <v>1332</v>
      </c>
      <c r="M28" s="627">
        <v>252990</v>
      </c>
      <c r="N28" s="385" t="s">
        <v>1333</v>
      </c>
      <c r="O28" s="386"/>
      <c r="P28" s="387"/>
      <c r="Q28" s="388"/>
    </row>
    <row r="29" spans="1:17" x14ac:dyDescent="0.25">
      <c r="A29" s="262"/>
      <c r="B29" s="159"/>
      <c r="C29" s="376"/>
      <c r="D29" s="377" t="s">
        <v>21</v>
      </c>
      <c r="E29" s="259">
        <v>0</v>
      </c>
      <c r="F29" s="378">
        <f t="shared" ref="F29" si="12">C29*E29</f>
        <v>0</v>
      </c>
      <c r="G29" s="534"/>
      <c r="H29" s="380">
        <v>0</v>
      </c>
      <c r="I29" s="378">
        <f t="shared" ref="I29" si="13">G29*H29</f>
        <v>0</v>
      </c>
      <c r="J29" s="626"/>
      <c r="K29" s="535">
        <f t="shared" ref="K29" si="14">F29+I29+J29</f>
        <v>0</v>
      </c>
      <c r="L29" s="383"/>
      <c r="M29" s="627"/>
      <c r="N29" s="385"/>
      <c r="O29" s="386"/>
      <c r="P29" s="387"/>
      <c r="Q29" s="388"/>
    </row>
    <row r="30" spans="1:17" x14ac:dyDescent="0.25">
      <c r="A30" s="375"/>
      <c r="B30" s="5"/>
      <c r="C30" s="376"/>
      <c r="D30" s="377" t="s">
        <v>21</v>
      </c>
      <c r="E30" s="259">
        <v>0</v>
      </c>
      <c r="F30" s="378">
        <f t="shared" si="0"/>
        <v>0</v>
      </c>
      <c r="G30" s="534"/>
      <c r="H30" s="380">
        <v>0</v>
      </c>
      <c r="I30" s="378">
        <f t="shared" si="1"/>
        <v>0</v>
      </c>
      <c r="J30" s="626"/>
      <c r="K30" s="535">
        <f t="shared" si="2"/>
        <v>0</v>
      </c>
      <c r="L30" s="383"/>
      <c r="M30" s="627"/>
      <c r="N30" s="385"/>
      <c r="O30" s="386"/>
      <c r="P30" s="387"/>
      <c r="Q30" s="388"/>
    </row>
    <row r="31" spans="1:17" ht="13.8" thickBot="1" x14ac:dyDescent="0.3">
      <c r="A31" s="392"/>
      <c r="B31" s="7"/>
      <c r="C31" s="393"/>
      <c r="D31" s="377"/>
      <c r="E31" s="259"/>
      <c r="F31" s="378"/>
      <c r="G31" s="534"/>
      <c r="H31" s="380"/>
      <c r="I31" s="378"/>
      <c r="J31" s="626"/>
      <c r="K31" s="535"/>
      <c r="L31" s="383"/>
      <c r="M31" s="627"/>
      <c r="N31" s="385"/>
      <c r="O31" s="386"/>
      <c r="P31" s="387"/>
      <c r="Q31" s="388"/>
    </row>
    <row r="32" spans="1:17" ht="13.8" thickTop="1" x14ac:dyDescent="0.25">
      <c r="A32" s="392"/>
      <c r="B32" s="7"/>
      <c r="C32" s="393"/>
      <c r="D32" s="377"/>
      <c r="E32" s="259"/>
      <c r="F32" s="378"/>
      <c r="G32" s="534"/>
      <c r="H32" s="380"/>
      <c r="I32" s="378"/>
      <c r="J32" s="394" t="s">
        <v>30</v>
      </c>
      <c r="K32" s="537">
        <f>SUM(K11:K31)</f>
        <v>39041.340000000004</v>
      </c>
      <c r="L32" s="383"/>
      <c r="M32" s="627"/>
      <c r="N32" s="385"/>
      <c r="O32" s="386"/>
      <c r="P32" s="387"/>
      <c r="Q32" s="388"/>
    </row>
    <row r="33" spans="1:23" ht="13.8" thickBot="1" x14ac:dyDescent="0.3">
      <c r="A33" s="618" t="s">
        <v>0</v>
      </c>
      <c r="B33" s="619" t="s">
        <v>1</v>
      </c>
      <c r="C33" s="1135" t="s">
        <v>656</v>
      </c>
      <c r="D33" s="1018"/>
      <c r="E33" s="1018"/>
      <c r="F33" s="1018"/>
      <c r="G33" s="1018" t="s">
        <v>34</v>
      </c>
      <c r="H33" s="1018"/>
      <c r="I33" s="1018"/>
      <c r="J33" s="620"/>
      <c r="K33" s="528"/>
      <c r="L33" s="396"/>
      <c r="M33" s="628"/>
      <c r="N33" s="398"/>
      <c r="O33" s="386"/>
      <c r="P33" s="387"/>
      <c r="Q33" s="388"/>
    </row>
    <row r="34" spans="1:23" ht="16.2" thickBot="1" x14ac:dyDescent="0.35">
      <c r="A34" s="583" t="s">
        <v>214</v>
      </c>
      <c r="B34" s="584" t="s">
        <v>215</v>
      </c>
      <c r="C34" s="629" t="s">
        <v>19</v>
      </c>
      <c r="D34" s="629" t="s">
        <v>33</v>
      </c>
      <c r="E34" s="630" t="s">
        <v>35</v>
      </c>
      <c r="F34" s="631" t="s">
        <v>30</v>
      </c>
      <c r="G34" s="632" t="s">
        <v>14</v>
      </c>
      <c r="H34" s="630" t="s">
        <v>35</v>
      </c>
      <c r="I34" s="631" t="s">
        <v>30</v>
      </c>
      <c r="J34" s="624" t="s">
        <v>659</v>
      </c>
      <c r="K34" s="633" t="s">
        <v>38</v>
      </c>
      <c r="L34" s="407"/>
      <c r="M34" s="634"/>
      <c r="N34" s="409"/>
      <c r="O34" s="386"/>
      <c r="P34" s="387"/>
      <c r="Q34" s="388"/>
    </row>
    <row r="35" spans="1:23" x14ac:dyDescent="0.25">
      <c r="A35" s="392"/>
      <c r="B35" s="7"/>
      <c r="C35" s="376"/>
      <c r="D35" s="377" t="s">
        <v>21</v>
      </c>
      <c r="E35" s="259">
        <v>0</v>
      </c>
      <c r="F35" s="378">
        <f>C35*E35</f>
        <v>0</v>
      </c>
      <c r="G35" s="534"/>
      <c r="H35" s="380">
        <v>0</v>
      </c>
      <c r="I35" s="378">
        <f>G35*H35</f>
        <v>0</v>
      </c>
      <c r="J35" s="626"/>
      <c r="K35" s="535">
        <f>F35+I35+J35</f>
        <v>0</v>
      </c>
      <c r="L35" s="157"/>
      <c r="M35" s="635"/>
      <c r="O35" s="386"/>
      <c r="P35" s="387"/>
      <c r="Q35" s="388"/>
    </row>
    <row r="36" spans="1:23" x14ac:dyDescent="0.25">
      <c r="A36" s="392"/>
      <c r="B36" s="7"/>
      <c r="C36" s="376"/>
      <c r="D36" s="377" t="s">
        <v>21</v>
      </c>
      <c r="E36" s="259">
        <v>0</v>
      </c>
      <c r="F36" s="378">
        <f>C36*E36</f>
        <v>0</v>
      </c>
      <c r="G36" s="534"/>
      <c r="H36" s="380">
        <v>0</v>
      </c>
      <c r="I36" s="378">
        <f>G36*H36</f>
        <v>0</v>
      </c>
      <c r="J36" s="626"/>
      <c r="K36" s="535">
        <f>F36+I36+J36</f>
        <v>0</v>
      </c>
      <c r="O36" s="386"/>
      <c r="P36" s="387"/>
      <c r="Q36" s="388"/>
    </row>
    <row r="37" spans="1:23" ht="13.8" thickBot="1" x14ac:dyDescent="0.3">
      <c r="A37" s="392"/>
      <c r="B37" s="7"/>
      <c r="C37" s="444"/>
      <c r="D37" s="377" t="s">
        <v>21</v>
      </c>
      <c r="E37" s="259">
        <v>0</v>
      </c>
      <c r="F37" s="378">
        <f>C37*E37</f>
        <v>0</v>
      </c>
      <c r="G37" s="534"/>
      <c r="H37" s="380">
        <v>0</v>
      </c>
      <c r="I37" s="378">
        <f>G37*H37</f>
        <v>0</v>
      </c>
      <c r="J37" s="626"/>
      <c r="K37" s="535">
        <f>F37+I37+J37</f>
        <v>0</v>
      </c>
      <c r="L37" s="383" t="s">
        <v>1139</v>
      </c>
      <c r="M37" s="951">
        <v>46940</v>
      </c>
      <c r="N37" s="385" t="s">
        <v>1353</v>
      </c>
      <c r="O37" s="386"/>
      <c r="P37" s="387"/>
      <c r="Q37" s="388"/>
    </row>
    <row r="38" spans="1:23" s="159" customFormat="1" ht="13.8" thickTop="1" x14ac:dyDescent="0.25">
      <c r="A38" s="392"/>
      <c r="B38" s="5"/>
      <c r="C38" s="393"/>
      <c r="D38" s="377"/>
      <c r="E38" s="259"/>
      <c r="F38" s="378"/>
      <c r="G38" s="534"/>
      <c r="H38" s="380"/>
      <c r="I38" s="378"/>
      <c r="J38" s="394" t="s">
        <v>30</v>
      </c>
      <c r="K38" s="537">
        <f>SUM(K35:K37)</f>
        <v>0</v>
      </c>
      <c r="L38" s="383"/>
      <c r="M38" s="627"/>
      <c r="N38" s="385"/>
      <c r="O38" s="386"/>
      <c r="P38" s="387"/>
      <c r="Q38" s="388"/>
      <c r="W38" s="157"/>
    </row>
    <row r="39" spans="1:23" s="159" customFormat="1" ht="13.8" thickBot="1" x14ac:dyDescent="0.3">
      <c r="A39" s="618" t="s">
        <v>0</v>
      </c>
      <c r="B39" s="619" t="s">
        <v>1</v>
      </c>
      <c r="C39" s="1135" t="s">
        <v>656</v>
      </c>
      <c r="D39" s="1018"/>
      <c r="E39" s="1018"/>
      <c r="F39" s="1018"/>
      <c r="G39" s="1018" t="s">
        <v>34</v>
      </c>
      <c r="H39" s="1018"/>
      <c r="I39" s="1018"/>
      <c r="J39" s="620"/>
      <c r="K39" s="528"/>
      <c r="L39" s="396"/>
      <c r="M39" s="628"/>
      <c r="N39" s="398"/>
      <c r="O39" s="386"/>
      <c r="P39" s="387"/>
      <c r="Q39" s="388"/>
      <c r="W39" s="157"/>
    </row>
    <row r="40" spans="1:23" s="159" customFormat="1" ht="16.2" thickBot="1" x14ac:dyDescent="0.35">
      <c r="A40" s="583" t="s">
        <v>216</v>
      </c>
      <c r="B40" s="584" t="s">
        <v>217</v>
      </c>
      <c r="C40" s="629" t="s">
        <v>19</v>
      </c>
      <c r="D40" s="629" t="s">
        <v>33</v>
      </c>
      <c r="E40" s="630" t="s">
        <v>35</v>
      </c>
      <c r="F40" s="631" t="s">
        <v>30</v>
      </c>
      <c r="G40" s="632" t="s">
        <v>14</v>
      </c>
      <c r="H40" s="630" t="s">
        <v>35</v>
      </c>
      <c r="I40" s="631" t="s">
        <v>30</v>
      </c>
      <c r="J40" s="624" t="s">
        <v>659</v>
      </c>
      <c r="K40" s="633" t="s">
        <v>38</v>
      </c>
      <c r="L40" s="407"/>
      <c r="M40" s="636"/>
      <c r="N40" s="414"/>
      <c r="O40" s="386"/>
      <c r="P40" s="387"/>
      <c r="Q40" s="388"/>
      <c r="S40" s="811">
        <v>1254.54</v>
      </c>
      <c r="W40" s="157"/>
    </row>
    <row r="41" spans="1:23" s="159" customFormat="1" x14ac:dyDescent="0.25">
      <c r="A41" s="392"/>
      <c r="B41" s="849" t="s">
        <v>1055</v>
      </c>
      <c r="C41" s="838">
        <v>6190</v>
      </c>
      <c r="D41" s="839" t="s">
        <v>21</v>
      </c>
      <c r="E41" s="259">
        <v>0</v>
      </c>
      <c r="F41" s="378">
        <f t="shared" ref="F41:F56" si="15">C41*E41</f>
        <v>0</v>
      </c>
      <c r="G41" s="534"/>
      <c r="H41" s="380">
        <v>0</v>
      </c>
      <c r="I41" s="378">
        <f t="shared" ref="I41:I56" si="16">G41*H41</f>
        <v>0</v>
      </c>
      <c r="J41" s="626"/>
      <c r="K41" s="535">
        <f t="shared" ref="K41:K56" si="17">F41+I41+J41</f>
        <v>0</v>
      </c>
      <c r="L41" s="157" t="s">
        <v>1137</v>
      </c>
      <c r="M41" s="635">
        <v>44398.12</v>
      </c>
      <c r="N41" s="157" t="s">
        <v>1219</v>
      </c>
      <c r="O41" s="386"/>
      <c r="P41" s="387"/>
      <c r="Q41" s="388"/>
      <c r="S41" s="811">
        <v>504.7</v>
      </c>
      <c r="W41" s="157"/>
    </row>
    <row r="42" spans="1:23" s="159" customFormat="1" x14ac:dyDescent="0.25">
      <c r="A42" s="392"/>
      <c r="B42" s="7" t="s">
        <v>1218</v>
      </c>
      <c r="C42" s="376"/>
      <c r="D42" s="377" t="s">
        <v>21</v>
      </c>
      <c r="E42" s="259">
        <v>0</v>
      </c>
      <c r="F42" s="378">
        <f t="shared" si="15"/>
        <v>0</v>
      </c>
      <c r="G42" s="534"/>
      <c r="H42" s="380">
        <v>0</v>
      </c>
      <c r="I42" s="378">
        <f t="shared" si="16"/>
        <v>0</v>
      </c>
      <c r="J42" s="626">
        <f>+M49</f>
        <v>15275</v>
      </c>
      <c r="K42" s="535">
        <f t="shared" si="17"/>
        <v>15275</v>
      </c>
      <c r="L42" s="157" t="s">
        <v>1138</v>
      </c>
      <c r="M42" s="635"/>
      <c r="N42" s="157"/>
      <c r="O42" s="386"/>
      <c r="P42" s="387"/>
      <c r="Q42" s="388"/>
      <c r="S42" s="811">
        <v>343.2</v>
      </c>
      <c r="W42" s="157"/>
    </row>
    <row r="43" spans="1:23" s="159" customFormat="1" x14ac:dyDescent="0.25">
      <c r="A43" s="392"/>
      <c r="B43" s="7" t="s">
        <v>1217</v>
      </c>
      <c r="C43" s="376"/>
      <c r="D43" s="377" t="s">
        <v>21</v>
      </c>
      <c r="E43" s="259">
        <v>0</v>
      </c>
      <c r="F43" s="378">
        <f t="shared" si="15"/>
        <v>0</v>
      </c>
      <c r="G43" s="534"/>
      <c r="H43" s="380">
        <v>0</v>
      </c>
      <c r="I43" s="378">
        <f t="shared" si="16"/>
        <v>0</v>
      </c>
      <c r="J43" s="626">
        <f>M53</f>
        <v>12538</v>
      </c>
      <c r="K43" s="535">
        <f t="shared" si="17"/>
        <v>12538</v>
      </c>
      <c r="L43" s="157" t="s">
        <v>1139</v>
      </c>
      <c r="M43" s="635"/>
      <c r="N43" s="157"/>
      <c r="O43" s="386"/>
      <c r="P43" s="387"/>
      <c r="Q43" s="388"/>
      <c r="S43" s="811">
        <v>738</v>
      </c>
      <c r="W43" s="157"/>
    </row>
    <row r="44" spans="1:23" s="159" customFormat="1" x14ac:dyDescent="0.25">
      <c r="A44" s="392"/>
      <c r="B44" s="7" t="s">
        <v>1375</v>
      </c>
      <c r="C44" s="376"/>
      <c r="D44" s="377" t="s">
        <v>21</v>
      </c>
      <c r="E44" s="259">
        <v>0</v>
      </c>
      <c r="F44" s="378">
        <f t="shared" si="15"/>
        <v>0</v>
      </c>
      <c r="G44" s="534"/>
      <c r="H44" s="380">
        <v>0</v>
      </c>
      <c r="I44" s="378">
        <f t="shared" si="16"/>
        <v>0</v>
      </c>
      <c r="J44" s="626">
        <v>50</v>
      </c>
      <c r="K44" s="535">
        <f t="shared" si="17"/>
        <v>50</v>
      </c>
      <c r="L44" s="157"/>
      <c r="M44" s="635"/>
      <c r="N44" s="157"/>
      <c r="O44" s="386"/>
      <c r="P44" s="387"/>
      <c r="Q44" s="388"/>
      <c r="S44" s="811">
        <v>1107</v>
      </c>
      <c r="W44" s="157"/>
    </row>
    <row r="45" spans="1:23" s="159" customFormat="1" x14ac:dyDescent="0.25">
      <c r="A45" s="392"/>
      <c r="B45" s="7"/>
      <c r="C45" s="376"/>
      <c r="D45" s="377" t="s">
        <v>21</v>
      </c>
      <c r="E45" s="259">
        <v>0</v>
      </c>
      <c r="F45" s="378">
        <f t="shared" si="15"/>
        <v>0</v>
      </c>
      <c r="G45" s="534"/>
      <c r="H45" s="380">
        <v>0</v>
      </c>
      <c r="I45" s="378">
        <f t="shared" si="16"/>
        <v>0</v>
      </c>
      <c r="J45" s="626"/>
      <c r="K45" s="535">
        <f t="shared" si="17"/>
        <v>0</v>
      </c>
      <c r="L45" s="157"/>
      <c r="M45" s="635"/>
      <c r="N45" s="157"/>
      <c r="O45" s="386"/>
      <c r="P45" s="387"/>
      <c r="Q45" s="388"/>
      <c r="S45" s="811">
        <v>56.45</v>
      </c>
      <c r="W45" s="157"/>
    </row>
    <row r="46" spans="1:23" s="159" customFormat="1" x14ac:dyDescent="0.25">
      <c r="A46" s="392"/>
      <c r="B46" s="7"/>
      <c r="C46" s="376"/>
      <c r="D46" s="377" t="s">
        <v>21</v>
      </c>
      <c r="E46" s="259">
        <v>0</v>
      </c>
      <c r="F46" s="378">
        <f t="shared" si="15"/>
        <v>0</v>
      </c>
      <c r="G46" s="534"/>
      <c r="H46" s="380">
        <v>0</v>
      </c>
      <c r="I46" s="378">
        <f t="shared" si="16"/>
        <v>0</v>
      </c>
      <c r="J46" s="626"/>
      <c r="K46" s="535">
        <f t="shared" si="17"/>
        <v>0</v>
      </c>
      <c r="L46" s="157" t="s">
        <v>1132</v>
      </c>
      <c r="M46" s="635">
        <v>13924.85</v>
      </c>
      <c r="N46" s="157" t="s">
        <v>1218</v>
      </c>
      <c r="O46" s="386"/>
      <c r="P46" s="387"/>
      <c r="Q46" s="388"/>
      <c r="S46" s="956">
        <f>SUM(S40:S45)</f>
        <v>4003.89</v>
      </c>
      <c r="W46" s="157"/>
    </row>
    <row r="47" spans="1:23" s="159" customFormat="1" x14ac:dyDescent="0.25">
      <c r="A47" s="392"/>
      <c r="B47" s="7"/>
      <c r="C47" s="376"/>
      <c r="D47" s="377" t="s">
        <v>21</v>
      </c>
      <c r="E47" s="259">
        <v>0</v>
      </c>
      <c r="F47" s="378">
        <f t="shared" si="15"/>
        <v>0</v>
      </c>
      <c r="G47" s="534"/>
      <c r="H47" s="380">
        <v>0</v>
      </c>
      <c r="I47" s="378">
        <f t="shared" si="16"/>
        <v>0</v>
      </c>
      <c r="J47" s="626"/>
      <c r="K47" s="535">
        <f t="shared" si="17"/>
        <v>0</v>
      </c>
      <c r="L47" s="157"/>
      <c r="M47" s="635"/>
      <c r="N47" s="910"/>
      <c r="O47" s="386"/>
      <c r="P47" s="387"/>
      <c r="Q47" s="388"/>
      <c r="W47" s="157"/>
    </row>
    <row r="48" spans="1:23" s="159" customFormat="1" x14ac:dyDescent="0.25">
      <c r="A48" s="392"/>
      <c r="B48" s="7"/>
      <c r="C48" s="376"/>
      <c r="D48" s="377" t="s">
        <v>21</v>
      </c>
      <c r="E48" s="259">
        <v>0</v>
      </c>
      <c r="F48" s="378">
        <f t="shared" si="15"/>
        <v>0</v>
      </c>
      <c r="G48" s="534"/>
      <c r="H48" s="380">
        <v>0</v>
      </c>
      <c r="I48" s="378">
        <f t="shared" si="16"/>
        <v>0</v>
      </c>
      <c r="J48" s="626"/>
      <c r="K48" s="535">
        <f t="shared" si="17"/>
        <v>0</v>
      </c>
      <c r="L48" s="585" t="s">
        <v>1139</v>
      </c>
      <c r="M48" s="635"/>
      <c r="N48" s="910"/>
      <c r="O48" s="386"/>
      <c r="P48" s="387"/>
      <c r="Q48" s="388"/>
      <c r="W48" s="157"/>
    </row>
    <row r="49" spans="1:23" s="159" customFormat="1" x14ac:dyDescent="0.25">
      <c r="A49" s="392"/>
      <c r="B49" s="7"/>
      <c r="C49" s="376"/>
      <c r="D49" s="377" t="s">
        <v>21</v>
      </c>
      <c r="E49" s="259">
        <v>0</v>
      </c>
      <c r="F49" s="378">
        <f t="shared" si="15"/>
        <v>0</v>
      </c>
      <c r="G49" s="534"/>
      <c r="H49" s="380">
        <v>0</v>
      </c>
      <c r="I49" s="378">
        <f t="shared" si="16"/>
        <v>0</v>
      </c>
      <c r="J49" s="626"/>
      <c r="K49" s="535">
        <f t="shared" si="17"/>
        <v>0</v>
      </c>
      <c r="L49" s="157" t="s">
        <v>1218</v>
      </c>
      <c r="M49" s="635">
        <v>15275</v>
      </c>
      <c r="N49" s="157"/>
      <c r="O49" s="386"/>
      <c r="P49" s="387"/>
      <c r="Q49" s="388"/>
      <c r="W49" s="157"/>
    </row>
    <row r="50" spans="1:23" s="159" customFormat="1" x14ac:dyDescent="0.25">
      <c r="A50" s="392"/>
      <c r="B50" s="7"/>
      <c r="C50" s="376"/>
      <c r="D50" s="377" t="s">
        <v>21</v>
      </c>
      <c r="E50" s="259">
        <v>0</v>
      </c>
      <c r="F50" s="378">
        <f t="shared" si="15"/>
        <v>0</v>
      </c>
      <c r="G50" s="534"/>
      <c r="H50" s="380">
        <v>0</v>
      </c>
      <c r="I50" s="378">
        <f t="shared" si="16"/>
        <v>0</v>
      </c>
      <c r="J50" s="626"/>
      <c r="K50" s="535">
        <f t="shared" si="17"/>
        <v>0</v>
      </c>
      <c r="L50" s="585" t="s">
        <v>1217</v>
      </c>
      <c r="M50" s="635"/>
      <c r="N50" s="157"/>
      <c r="O50" s="386"/>
      <c r="P50" s="387"/>
      <c r="Q50" s="388"/>
      <c r="W50" s="157"/>
    </row>
    <row r="51" spans="1:23" s="159" customFormat="1" x14ac:dyDescent="0.25">
      <c r="A51" s="392"/>
      <c r="B51" s="7"/>
      <c r="C51" s="376"/>
      <c r="D51" s="377" t="s">
        <v>21</v>
      </c>
      <c r="E51" s="259">
        <v>0</v>
      </c>
      <c r="F51" s="378">
        <f t="shared" ref="F51" si="18">C51*E51</f>
        <v>0</v>
      </c>
      <c r="G51" s="534"/>
      <c r="H51" s="380">
        <v>0</v>
      </c>
      <c r="I51" s="378">
        <f t="shared" ref="I51" si="19">G51*H51</f>
        <v>0</v>
      </c>
      <c r="J51" s="626"/>
      <c r="K51" s="535">
        <f t="shared" ref="K51" si="20">F51+I51+J51</f>
        <v>0</v>
      </c>
      <c r="L51" s="157" t="s">
        <v>1217</v>
      </c>
      <c r="M51" s="911">
        <v>10100</v>
      </c>
      <c r="N51" s="157"/>
      <c r="O51" s="386"/>
      <c r="P51" s="387"/>
      <c r="Q51" s="388"/>
      <c r="W51" s="157"/>
    </row>
    <row r="52" spans="1:23" s="159" customFormat="1" x14ac:dyDescent="0.25">
      <c r="A52" s="392"/>
      <c r="B52" s="7"/>
      <c r="C52" s="376"/>
      <c r="D52" s="377" t="s">
        <v>21</v>
      </c>
      <c r="E52" s="259">
        <v>0</v>
      </c>
      <c r="F52" s="378">
        <f t="shared" si="15"/>
        <v>0</v>
      </c>
      <c r="G52" s="534"/>
      <c r="H52" s="380">
        <v>0</v>
      </c>
      <c r="I52" s="378">
        <f t="shared" si="16"/>
        <v>0</v>
      </c>
      <c r="J52" s="626"/>
      <c r="K52" s="535">
        <f t="shared" si="17"/>
        <v>0</v>
      </c>
      <c r="L52" s="157" t="s">
        <v>1357</v>
      </c>
      <c r="M52" s="635">
        <v>2438</v>
      </c>
      <c r="O52" s="386"/>
      <c r="P52" s="387"/>
      <c r="Q52" s="388"/>
      <c r="W52" s="157"/>
    </row>
    <row r="53" spans="1:23" s="159" customFormat="1" ht="13.8" thickBot="1" x14ac:dyDescent="0.3">
      <c r="A53" s="392"/>
      <c r="B53" s="7"/>
      <c r="C53" s="376"/>
      <c r="D53" s="377" t="s">
        <v>21</v>
      </c>
      <c r="E53" s="259">
        <v>0</v>
      </c>
      <c r="F53" s="378">
        <f t="shared" ref="F53:F54" si="21">C53*E53</f>
        <v>0</v>
      </c>
      <c r="G53" s="534"/>
      <c r="H53" s="380">
        <v>0</v>
      </c>
      <c r="I53" s="378">
        <f t="shared" ref="I53:I54" si="22">G53*H53</f>
        <v>0</v>
      </c>
      <c r="J53" s="626"/>
      <c r="K53" s="535">
        <f t="shared" ref="K53:K54" si="23">F53+I53+J53</f>
        <v>0</v>
      </c>
      <c r="L53" s="157"/>
      <c r="M53" s="909">
        <f>SUM(M51:M52)</f>
        <v>12538</v>
      </c>
      <c r="N53" s="157"/>
      <c r="O53" s="386"/>
      <c r="P53" s="387"/>
      <c r="Q53" s="388"/>
      <c r="W53" s="157"/>
    </row>
    <row r="54" spans="1:23" s="159" customFormat="1" ht="13.8" thickTop="1" x14ac:dyDescent="0.25">
      <c r="A54" s="392"/>
      <c r="B54" s="7"/>
      <c r="C54" s="376"/>
      <c r="D54" s="377" t="s">
        <v>21</v>
      </c>
      <c r="E54" s="259">
        <v>0</v>
      </c>
      <c r="F54" s="378">
        <f t="shared" si="21"/>
        <v>0</v>
      </c>
      <c r="G54" s="534"/>
      <c r="H54" s="380">
        <v>0</v>
      </c>
      <c r="I54" s="378">
        <f t="shared" si="22"/>
        <v>0</v>
      </c>
      <c r="J54" s="626"/>
      <c r="K54" s="535">
        <f t="shared" si="23"/>
        <v>0</v>
      </c>
      <c r="L54" s="910"/>
      <c r="M54" s="635"/>
      <c r="N54" s="157"/>
      <c r="O54" s="386"/>
      <c r="P54" s="387"/>
      <c r="Q54" s="388"/>
      <c r="W54" s="157"/>
    </row>
    <row r="55" spans="1:23" s="159" customFormat="1" x14ac:dyDescent="0.25">
      <c r="A55" s="392"/>
      <c r="B55" s="7"/>
      <c r="C55" s="376"/>
      <c r="D55" s="377" t="s">
        <v>21</v>
      </c>
      <c r="E55" s="259">
        <v>0</v>
      </c>
      <c r="F55" s="378">
        <f t="shared" si="15"/>
        <v>0</v>
      </c>
      <c r="G55" s="534"/>
      <c r="H55" s="380">
        <v>0</v>
      </c>
      <c r="I55" s="378">
        <f t="shared" si="16"/>
        <v>0</v>
      </c>
      <c r="J55" s="626"/>
      <c r="K55" s="535">
        <f t="shared" si="17"/>
        <v>0</v>
      </c>
      <c r="L55" s="157"/>
      <c r="M55" s="635"/>
      <c r="N55" s="910">
        <f>J43+J44+J68+J69+J70+J71</f>
        <v>46940</v>
      </c>
      <c r="O55" s="386"/>
      <c r="P55" s="387"/>
      <c r="Q55" s="388"/>
      <c r="W55" s="157"/>
    </row>
    <row r="56" spans="1:23" s="159" customFormat="1" ht="13.8" thickBot="1" x14ac:dyDescent="0.3">
      <c r="A56" s="392"/>
      <c r="B56" s="7"/>
      <c r="C56" s="376"/>
      <c r="D56" s="377" t="s">
        <v>21</v>
      </c>
      <c r="E56" s="259">
        <v>0</v>
      </c>
      <c r="F56" s="378">
        <f t="shared" si="15"/>
        <v>0</v>
      </c>
      <c r="G56" s="534"/>
      <c r="H56" s="380">
        <v>0</v>
      </c>
      <c r="I56" s="378">
        <f t="shared" si="16"/>
        <v>0</v>
      </c>
      <c r="J56" s="626"/>
      <c r="K56" s="535">
        <f t="shared" si="17"/>
        <v>0</v>
      </c>
      <c r="L56" s="910"/>
      <c r="M56" s="635"/>
      <c r="N56" s="157"/>
      <c r="O56" s="386"/>
      <c r="P56" s="387"/>
      <c r="Q56" s="388"/>
      <c r="W56" s="157"/>
    </row>
    <row r="57" spans="1:23" ht="13.8" thickTop="1" x14ac:dyDescent="0.25">
      <c r="A57" s="392"/>
      <c r="B57" s="417"/>
      <c r="C57" s="393"/>
      <c r="D57" s="377"/>
      <c r="E57" s="259"/>
      <c r="F57" s="378"/>
      <c r="G57" s="534"/>
      <c r="H57" s="380"/>
      <c r="I57" s="378"/>
      <c r="J57" s="394" t="s">
        <v>30</v>
      </c>
      <c r="K57" s="537">
        <f>SUM(K41:K56)</f>
        <v>27863</v>
      </c>
      <c r="L57" s="383"/>
      <c r="M57" s="627"/>
      <c r="N57" s="385"/>
      <c r="O57" s="386"/>
      <c r="P57" s="387"/>
      <c r="Q57" s="388"/>
    </row>
    <row r="58" spans="1:23" ht="13.8" thickBot="1" x14ac:dyDescent="0.3">
      <c r="A58" s="618" t="s">
        <v>0</v>
      </c>
      <c r="B58" s="619" t="s">
        <v>1</v>
      </c>
      <c r="C58" s="1135" t="s">
        <v>656</v>
      </c>
      <c r="D58" s="1018"/>
      <c r="E58" s="1018"/>
      <c r="F58" s="1018"/>
      <c r="G58" s="1018" t="s">
        <v>34</v>
      </c>
      <c r="H58" s="1018"/>
      <c r="I58" s="1018"/>
      <c r="J58" s="620"/>
      <c r="K58" s="528"/>
      <c r="L58" s="396"/>
      <c r="M58" s="628"/>
      <c r="N58" s="398"/>
      <c r="O58" s="386"/>
      <c r="P58" s="387"/>
      <c r="Q58" s="388"/>
    </row>
    <row r="59" spans="1:23" ht="16.2" thickBot="1" x14ac:dyDescent="0.35">
      <c r="A59" s="583" t="s">
        <v>218</v>
      </c>
      <c r="B59" s="584" t="s">
        <v>219</v>
      </c>
      <c r="C59" s="629" t="s">
        <v>19</v>
      </c>
      <c r="D59" s="629" t="s">
        <v>33</v>
      </c>
      <c r="E59" s="630" t="s">
        <v>35</v>
      </c>
      <c r="F59" s="631" t="s">
        <v>30</v>
      </c>
      <c r="G59" s="632" t="s">
        <v>14</v>
      </c>
      <c r="H59" s="630" t="s">
        <v>35</v>
      </c>
      <c r="I59" s="631" t="s">
        <v>30</v>
      </c>
      <c r="J59" s="624" t="s">
        <v>659</v>
      </c>
      <c r="K59" s="633" t="s">
        <v>38</v>
      </c>
      <c r="L59" s="407"/>
      <c r="M59" s="636"/>
      <c r="N59" s="414"/>
      <c r="O59" s="386"/>
      <c r="P59" s="387"/>
      <c r="Q59" s="388"/>
    </row>
    <row r="60" spans="1:23" x14ac:dyDescent="0.25">
      <c r="A60" s="392"/>
      <c r="B60" s="7"/>
      <c r="C60" s="376"/>
      <c r="D60" s="377" t="s">
        <v>21</v>
      </c>
      <c r="E60" s="259">
        <v>0</v>
      </c>
      <c r="F60" s="378">
        <f>C60*E60</f>
        <v>0</v>
      </c>
      <c r="G60" s="534"/>
      <c r="H60" s="380">
        <v>0</v>
      </c>
      <c r="I60" s="378">
        <f>G60*H60</f>
        <v>0</v>
      </c>
      <c r="J60" s="626"/>
      <c r="K60" s="535">
        <f>F60+I60+J60</f>
        <v>0</v>
      </c>
      <c r="L60" s="383"/>
      <c r="M60" s="627"/>
      <c r="N60" s="385"/>
      <c r="O60" s="386"/>
      <c r="P60" s="387"/>
      <c r="Q60" s="388"/>
    </row>
    <row r="61" spans="1:23" x14ac:dyDescent="0.25">
      <c r="A61" s="392"/>
      <c r="B61" s="7"/>
      <c r="C61" s="376"/>
      <c r="D61" s="377" t="s">
        <v>21</v>
      </c>
      <c r="E61" s="259">
        <v>0</v>
      </c>
      <c r="F61" s="378">
        <f>C61*E61</f>
        <v>0</v>
      </c>
      <c r="G61" s="534"/>
      <c r="H61" s="380">
        <v>0</v>
      </c>
      <c r="I61" s="378">
        <f>G61*H61</f>
        <v>0</v>
      </c>
      <c r="J61" s="626"/>
      <c r="K61" s="535">
        <f>F61+I61+J61</f>
        <v>0</v>
      </c>
      <c r="L61" s="157" t="s">
        <v>1357</v>
      </c>
      <c r="M61" s="635">
        <v>2438</v>
      </c>
      <c r="N61" s="385"/>
      <c r="O61" s="386"/>
      <c r="P61" s="387"/>
      <c r="Q61" s="388"/>
    </row>
    <row r="62" spans="1:23" ht="13.8" thickBot="1" x14ac:dyDescent="0.3">
      <c r="A62" s="392"/>
      <c r="B62" s="7"/>
      <c r="C62" s="376"/>
      <c r="D62" s="377" t="s">
        <v>21</v>
      </c>
      <c r="E62" s="259">
        <v>0</v>
      </c>
      <c r="F62" s="378">
        <f>C62*E62</f>
        <v>0</v>
      </c>
      <c r="G62" s="534"/>
      <c r="H62" s="380">
        <v>0</v>
      </c>
      <c r="I62" s="378">
        <f>G62*H62</f>
        <v>0</v>
      </c>
      <c r="J62" s="626"/>
      <c r="K62" s="535">
        <f>F62+I62+J62</f>
        <v>0</v>
      </c>
      <c r="L62" s="383"/>
      <c r="M62" s="627"/>
      <c r="N62" s="385"/>
      <c r="O62" s="386"/>
      <c r="P62" s="387"/>
      <c r="Q62" s="388"/>
    </row>
    <row r="63" spans="1:23" ht="13.8" thickTop="1" x14ac:dyDescent="0.25">
      <c r="A63" s="392"/>
      <c r="B63" s="417"/>
      <c r="C63" s="393"/>
      <c r="D63" s="377"/>
      <c r="E63" s="259"/>
      <c r="F63" s="378"/>
      <c r="G63" s="534"/>
      <c r="H63" s="380"/>
      <c r="I63" s="378"/>
      <c r="J63" s="394" t="s">
        <v>30</v>
      </c>
      <c r="K63" s="537">
        <f>SUM(K60:K62)</f>
        <v>0</v>
      </c>
      <c r="L63" s="383"/>
      <c r="M63" s="627"/>
      <c r="N63" s="385"/>
      <c r="O63" s="386"/>
      <c r="P63" s="387"/>
      <c r="Q63" s="388"/>
    </row>
    <row r="64" spans="1:23" ht="13.8" thickBot="1" x14ac:dyDescent="0.3">
      <c r="A64" s="618" t="s">
        <v>0</v>
      </c>
      <c r="B64" s="619" t="s">
        <v>1</v>
      </c>
      <c r="C64" s="1135" t="s">
        <v>656</v>
      </c>
      <c r="D64" s="1018"/>
      <c r="E64" s="1018"/>
      <c r="F64" s="1018"/>
      <c r="G64" s="1018" t="s">
        <v>34</v>
      </c>
      <c r="H64" s="1018"/>
      <c r="I64" s="1018"/>
      <c r="J64" s="620"/>
      <c r="K64" s="528"/>
      <c r="L64" s="396"/>
      <c r="M64" s="628"/>
      <c r="N64" s="398"/>
      <c r="O64" s="386"/>
      <c r="P64" s="387"/>
      <c r="Q64" s="388"/>
    </row>
    <row r="65" spans="1:17" ht="16.2" thickBot="1" x14ac:dyDescent="0.35">
      <c r="A65" s="583" t="s">
        <v>220</v>
      </c>
      <c r="B65" s="584" t="s">
        <v>58</v>
      </c>
      <c r="C65" s="629" t="s">
        <v>19</v>
      </c>
      <c r="D65" s="629" t="s">
        <v>33</v>
      </c>
      <c r="E65" s="630" t="s">
        <v>35</v>
      </c>
      <c r="F65" s="631" t="s">
        <v>30</v>
      </c>
      <c r="G65" s="632" t="s">
        <v>14</v>
      </c>
      <c r="H65" s="630" t="s">
        <v>35</v>
      </c>
      <c r="I65" s="631" t="s">
        <v>30</v>
      </c>
      <c r="J65" s="624" t="s">
        <v>659</v>
      </c>
      <c r="K65" s="633" t="s">
        <v>38</v>
      </c>
      <c r="L65" s="407"/>
      <c r="M65" s="636"/>
      <c r="N65" s="414"/>
      <c r="O65" s="386"/>
      <c r="P65" s="387"/>
      <c r="Q65" s="388"/>
    </row>
    <row r="66" spans="1:17" x14ac:dyDescent="0.25">
      <c r="A66" s="392"/>
      <c r="B66" s="849" t="s">
        <v>1054</v>
      </c>
      <c r="C66" s="838">
        <v>3530</v>
      </c>
      <c r="D66" s="839" t="s">
        <v>21</v>
      </c>
      <c r="E66" s="259">
        <v>0</v>
      </c>
      <c r="F66" s="378">
        <f t="shared" ref="F66:F82" si="24">C66*E66</f>
        <v>0</v>
      </c>
      <c r="G66" s="534"/>
      <c r="H66" s="380">
        <v>0</v>
      </c>
      <c r="I66" s="378">
        <f t="shared" ref="I66:I82" si="25">G66*H66</f>
        <v>0</v>
      </c>
      <c r="J66" s="626"/>
      <c r="K66" s="535">
        <f t="shared" ref="K66:K82" si="26">F66+I66+J66</f>
        <v>0</v>
      </c>
      <c r="L66" s="893" t="s">
        <v>1212</v>
      </c>
      <c r="M66" s="282"/>
      <c r="O66" s="386"/>
      <c r="P66" s="387"/>
      <c r="Q66" s="388"/>
    </row>
    <row r="67" spans="1:17" x14ac:dyDescent="0.25">
      <c r="A67" s="392"/>
      <c r="B67" s="7" t="s">
        <v>1218</v>
      </c>
      <c r="C67" s="376"/>
      <c r="D67" s="377" t="s">
        <v>21</v>
      </c>
      <c r="E67" s="259">
        <v>0</v>
      </c>
      <c r="F67" s="378">
        <f t="shared" si="24"/>
        <v>0</v>
      </c>
      <c r="G67" s="534"/>
      <c r="H67" s="380">
        <v>0</v>
      </c>
      <c r="I67" s="378">
        <f t="shared" si="25"/>
        <v>0</v>
      </c>
      <c r="J67" s="626">
        <f>M68</f>
        <v>36630.199999999997</v>
      </c>
      <c r="K67" s="535">
        <f t="shared" si="26"/>
        <v>36630.199999999997</v>
      </c>
      <c r="L67" s="383" t="s">
        <v>1132</v>
      </c>
      <c r="M67" s="474">
        <v>32454.01</v>
      </c>
      <c r="O67" s="1215">
        <v>46847.199999999997</v>
      </c>
      <c r="P67" s="416"/>
      <c r="Q67" s="388"/>
    </row>
    <row r="68" spans="1:17" x14ac:dyDescent="0.25">
      <c r="A68" s="392"/>
      <c r="B68" s="7" t="s">
        <v>1217</v>
      </c>
      <c r="C68" s="376"/>
      <c r="D68" s="377" t="s">
        <v>21</v>
      </c>
      <c r="E68" s="259">
        <v>0</v>
      </c>
      <c r="F68" s="378">
        <f t="shared" si="24"/>
        <v>0</v>
      </c>
      <c r="G68" s="534"/>
      <c r="H68" s="380">
        <v>0</v>
      </c>
      <c r="I68" s="378">
        <f t="shared" si="25"/>
        <v>0</v>
      </c>
      <c r="J68" s="626">
        <f>M71</f>
        <v>26500</v>
      </c>
      <c r="K68" s="535">
        <f t="shared" si="26"/>
        <v>26500</v>
      </c>
      <c r="L68" s="383" t="s">
        <v>1139</v>
      </c>
      <c r="M68" s="906">
        <v>36630.199999999997</v>
      </c>
      <c r="N68" s="426"/>
      <c r="O68" s="1216">
        <f>O67-J67</f>
        <v>10217</v>
      </c>
      <c r="P68" s="416"/>
      <c r="Q68" s="388"/>
    </row>
    <row r="69" spans="1:17" x14ac:dyDescent="0.25">
      <c r="A69" s="392"/>
      <c r="B69" s="954" t="s">
        <v>1376</v>
      </c>
      <c r="C69" s="376"/>
      <c r="D69" s="377" t="s">
        <v>21</v>
      </c>
      <c r="E69" s="259">
        <v>0</v>
      </c>
      <c r="F69" s="378">
        <f t="shared" si="24"/>
        <v>0</v>
      </c>
      <c r="G69" s="534"/>
      <c r="H69" s="380">
        <v>0</v>
      </c>
      <c r="I69" s="378">
        <f t="shared" si="25"/>
        <v>0</v>
      </c>
      <c r="J69" s="626">
        <f>M72</f>
        <v>1745</v>
      </c>
      <c r="K69" s="535">
        <f t="shared" si="26"/>
        <v>1745</v>
      </c>
      <c r="L69" s="157"/>
      <c r="M69" s="635"/>
      <c r="O69" s="415"/>
      <c r="P69" s="416"/>
      <c r="Q69" s="388"/>
    </row>
    <row r="70" spans="1:17" x14ac:dyDescent="0.25">
      <c r="A70" s="392"/>
      <c r="B70" s="954" t="s">
        <v>1377</v>
      </c>
      <c r="C70" s="376"/>
      <c r="D70" s="377" t="s">
        <v>21</v>
      </c>
      <c r="E70" s="259">
        <v>0</v>
      </c>
      <c r="F70" s="378">
        <f t="shared" si="24"/>
        <v>0</v>
      </c>
      <c r="G70" s="534"/>
      <c r="H70" s="380">
        <v>0</v>
      </c>
      <c r="I70" s="378">
        <f t="shared" si="25"/>
        <v>0</v>
      </c>
      <c r="J70" s="626">
        <f>M73</f>
        <v>3490</v>
      </c>
      <c r="K70" s="535">
        <f t="shared" si="26"/>
        <v>3490</v>
      </c>
      <c r="L70" s="893" t="s">
        <v>1354</v>
      </c>
      <c r="M70" s="307"/>
      <c r="N70" s="426"/>
      <c r="O70" s="415"/>
      <c r="P70" s="416"/>
      <c r="Q70" s="388"/>
    </row>
    <row r="71" spans="1:17" x14ac:dyDescent="0.25">
      <c r="A71" s="392"/>
      <c r="B71" s="954" t="s">
        <v>1378</v>
      </c>
      <c r="C71" s="376"/>
      <c r="D71" s="377" t="s">
        <v>21</v>
      </c>
      <c r="E71" s="259">
        <v>0</v>
      </c>
      <c r="F71" s="378">
        <f t="shared" si="24"/>
        <v>0</v>
      </c>
      <c r="G71" s="534"/>
      <c r="H71" s="380">
        <v>0</v>
      </c>
      <c r="I71" s="378">
        <f t="shared" si="25"/>
        <v>0</v>
      </c>
      <c r="J71" s="626">
        <f>M74</f>
        <v>2617</v>
      </c>
      <c r="K71" s="535">
        <f t="shared" si="26"/>
        <v>2617</v>
      </c>
      <c r="L71" s="383" t="s">
        <v>1139</v>
      </c>
      <c r="M71" s="635">
        <v>26500</v>
      </c>
      <c r="O71" s="415"/>
      <c r="P71" s="416"/>
      <c r="Q71" s="388"/>
    </row>
    <row r="72" spans="1:17" x14ac:dyDescent="0.25">
      <c r="A72" s="392"/>
      <c r="B72" s="7"/>
      <c r="C72" s="376"/>
      <c r="D72" s="377" t="s">
        <v>21</v>
      </c>
      <c r="E72" s="259">
        <v>0</v>
      </c>
      <c r="F72" s="378">
        <f t="shared" si="24"/>
        <v>0</v>
      </c>
      <c r="G72" s="534"/>
      <c r="H72" s="380">
        <v>0</v>
      </c>
      <c r="I72" s="378">
        <f t="shared" si="25"/>
        <v>0</v>
      </c>
      <c r="J72" s="626"/>
      <c r="K72" s="535">
        <f t="shared" si="26"/>
        <v>0</v>
      </c>
      <c r="L72" s="383" t="s">
        <v>1355</v>
      </c>
      <c r="M72" s="307">
        <v>1745</v>
      </c>
      <c r="N72" s="426"/>
      <c r="O72" s="415"/>
      <c r="P72" s="416"/>
      <c r="Q72" s="388"/>
    </row>
    <row r="73" spans="1:17" x14ac:dyDescent="0.25">
      <c r="A73" s="392"/>
      <c r="B73" s="7"/>
      <c r="C73" s="376"/>
      <c r="D73" s="377" t="s">
        <v>21</v>
      </c>
      <c r="E73" s="259">
        <v>0</v>
      </c>
      <c r="F73" s="378">
        <f t="shared" si="24"/>
        <v>0</v>
      </c>
      <c r="G73" s="534"/>
      <c r="H73" s="380">
        <v>0</v>
      </c>
      <c r="I73" s="378">
        <f t="shared" si="25"/>
        <v>0</v>
      </c>
      <c r="J73" s="626"/>
      <c r="K73" s="535">
        <f t="shared" si="26"/>
        <v>0</v>
      </c>
      <c r="L73" s="383" t="s">
        <v>1358</v>
      </c>
      <c r="M73" s="307">
        <v>3490</v>
      </c>
      <c r="O73" s="415"/>
      <c r="P73" s="416"/>
      <c r="Q73" s="388"/>
    </row>
    <row r="74" spans="1:17" x14ac:dyDescent="0.25">
      <c r="A74" s="392"/>
      <c r="B74" s="7"/>
      <c r="C74" s="376"/>
      <c r="D74" s="377" t="s">
        <v>21</v>
      </c>
      <c r="E74" s="259">
        <v>0</v>
      </c>
      <c r="F74" s="378">
        <f t="shared" si="24"/>
        <v>0</v>
      </c>
      <c r="G74" s="534"/>
      <c r="H74" s="380">
        <v>0</v>
      </c>
      <c r="I74" s="378">
        <f t="shared" si="25"/>
        <v>0</v>
      </c>
      <c r="J74" s="626"/>
      <c r="K74" s="535">
        <f t="shared" si="26"/>
        <v>0</v>
      </c>
      <c r="L74" s="383" t="s">
        <v>754</v>
      </c>
      <c r="M74" s="307">
        <v>2617</v>
      </c>
      <c r="O74" s="415"/>
      <c r="P74" s="416"/>
      <c r="Q74" s="388"/>
    </row>
    <row r="75" spans="1:17" ht="13.8" thickBot="1" x14ac:dyDescent="0.3">
      <c r="A75" s="392"/>
      <c r="B75" s="7"/>
      <c r="C75" s="376"/>
      <c r="D75" s="377" t="s">
        <v>21</v>
      </c>
      <c r="E75" s="259">
        <v>0</v>
      </c>
      <c r="F75" s="378">
        <f t="shared" si="24"/>
        <v>0</v>
      </c>
      <c r="G75" s="534"/>
      <c r="H75" s="380">
        <v>0</v>
      </c>
      <c r="I75" s="378">
        <f t="shared" si="25"/>
        <v>0</v>
      </c>
      <c r="J75" s="626"/>
      <c r="K75" s="535">
        <f t="shared" si="26"/>
        <v>0</v>
      </c>
      <c r="L75" s="383"/>
      <c r="M75" s="953">
        <f>SUM(M71:M74)</f>
        <v>34352</v>
      </c>
      <c r="N75" s="426"/>
      <c r="O75" s="415"/>
      <c r="P75" s="416"/>
      <c r="Q75" s="388"/>
    </row>
    <row r="76" spans="1:17" ht="13.8" thickTop="1" x14ac:dyDescent="0.25">
      <c r="A76" s="392"/>
      <c r="B76" s="7"/>
      <c r="C76" s="376"/>
      <c r="D76" s="377" t="s">
        <v>21</v>
      </c>
      <c r="E76" s="259">
        <v>0</v>
      </c>
      <c r="F76" s="378">
        <f t="shared" si="24"/>
        <v>0</v>
      </c>
      <c r="G76" s="534"/>
      <c r="H76" s="380">
        <v>0</v>
      </c>
      <c r="I76" s="378">
        <f t="shared" si="25"/>
        <v>0</v>
      </c>
      <c r="J76" s="626"/>
      <c r="K76" s="535">
        <f t="shared" si="26"/>
        <v>0</v>
      </c>
      <c r="L76" s="383"/>
      <c r="M76" s="307"/>
      <c r="N76" s="426"/>
      <c r="O76" s="415"/>
      <c r="P76" s="416"/>
      <c r="Q76" s="388"/>
    </row>
    <row r="77" spans="1:17" x14ac:dyDescent="0.25">
      <c r="A77" s="392"/>
      <c r="B77" s="7"/>
      <c r="C77" s="376"/>
      <c r="D77" s="377" t="s">
        <v>21</v>
      </c>
      <c r="E77" s="259">
        <v>0</v>
      </c>
      <c r="F77" s="378">
        <f t="shared" si="24"/>
        <v>0</v>
      </c>
      <c r="G77" s="534"/>
      <c r="H77" s="380">
        <v>0</v>
      </c>
      <c r="I77" s="378">
        <f t="shared" si="25"/>
        <v>0</v>
      </c>
      <c r="J77" s="626"/>
      <c r="K77" s="535">
        <f t="shared" si="26"/>
        <v>0</v>
      </c>
      <c r="L77" s="383"/>
      <c r="M77" s="307"/>
      <c r="N77" s="426"/>
      <c r="O77" s="415"/>
      <c r="P77" s="416"/>
      <c r="Q77" s="388"/>
    </row>
    <row r="78" spans="1:17" x14ac:dyDescent="0.25">
      <c r="A78" s="392"/>
      <c r="B78" s="7"/>
      <c r="C78" s="376"/>
      <c r="D78" s="377" t="s">
        <v>21</v>
      </c>
      <c r="E78" s="259">
        <v>0</v>
      </c>
      <c r="F78" s="378">
        <f t="shared" si="24"/>
        <v>0</v>
      </c>
      <c r="G78" s="534"/>
      <c r="H78" s="380">
        <v>0</v>
      </c>
      <c r="I78" s="378">
        <f t="shared" si="25"/>
        <v>0</v>
      </c>
      <c r="J78" s="626"/>
      <c r="K78" s="535">
        <f t="shared" si="26"/>
        <v>0</v>
      </c>
      <c r="L78" s="383" t="s">
        <v>1356</v>
      </c>
      <c r="M78" s="307">
        <v>50</v>
      </c>
      <c r="O78" s="415"/>
      <c r="P78" s="416"/>
      <c r="Q78" s="388"/>
    </row>
    <row r="79" spans="1:17" x14ac:dyDescent="0.25">
      <c r="A79" s="392"/>
      <c r="B79" s="7"/>
      <c r="C79" s="376"/>
      <c r="D79" s="377" t="s">
        <v>21</v>
      </c>
      <c r="E79" s="259">
        <v>0</v>
      </c>
      <c r="F79" s="378">
        <f t="shared" si="24"/>
        <v>0</v>
      </c>
      <c r="G79" s="534"/>
      <c r="H79" s="380">
        <v>0</v>
      </c>
      <c r="I79" s="378">
        <f t="shared" si="25"/>
        <v>0</v>
      </c>
      <c r="J79" s="626"/>
      <c r="K79" s="535">
        <f t="shared" si="26"/>
        <v>0</v>
      </c>
      <c r="L79" s="383"/>
      <c r="M79" s="307"/>
      <c r="N79" s="426"/>
      <c r="O79" s="415"/>
      <c r="P79" s="416"/>
      <c r="Q79" s="388"/>
    </row>
    <row r="80" spans="1:17" x14ac:dyDescent="0.25">
      <c r="A80" s="392"/>
      <c r="B80" s="7"/>
      <c r="C80" s="376"/>
      <c r="D80" s="377" t="s">
        <v>21</v>
      </c>
      <c r="E80" s="259">
        <v>0</v>
      </c>
      <c r="F80" s="378">
        <f t="shared" si="24"/>
        <v>0</v>
      </c>
      <c r="G80" s="534"/>
      <c r="H80" s="380">
        <v>0</v>
      </c>
      <c r="I80" s="378">
        <f t="shared" si="25"/>
        <v>0</v>
      </c>
      <c r="J80" s="626"/>
      <c r="K80" s="535">
        <f t="shared" si="26"/>
        <v>0</v>
      </c>
      <c r="L80" s="383" t="s">
        <v>1356</v>
      </c>
      <c r="M80" s="307">
        <v>50</v>
      </c>
      <c r="N80" s="426"/>
      <c r="O80" s="415"/>
      <c r="P80" s="416"/>
      <c r="Q80" s="388"/>
    </row>
    <row r="81" spans="1:17" x14ac:dyDescent="0.25">
      <c r="A81" s="392"/>
      <c r="B81" s="7"/>
      <c r="C81" s="376"/>
      <c r="D81" s="377" t="s">
        <v>21</v>
      </c>
      <c r="E81" s="259">
        <v>0</v>
      </c>
      <c r="F81" s="378">
        <f t="shared" si="24"/>
        <v>0</v>
      </c>
      <c r="G81" s="534"/>
      <c r="H81" s="380">
        <v>0</v>
      </c>
      <c r="I81" s="378">
        <f t="shared" si="25"/>
        <v>0</v>
      </c>
      <c r="J81" s="626"/>
      <c r="K81" s="535">
        <f t="shared" si="26"/>
        <v>0</v>
      </c>
      <c r="L81" s="383"/>
      <c r="M81" s="307"/>
      <c r="O81" s="415"/>
      <c r="P81" s="416"/>
      <c r="Q81" s="388"/>
    </row>
    <row r="82" spans="1:17" ht="13.8" thickBot="1" x14ac:dyDescent="0.3">
      <c r="A82" s="392"/>
      <c r="B82" s="7"/>
      <c r="C82" s="376"/>
      <c r="D82" s="377" t="s">
        <v>21</v>
      </c>
      <c r="E82" s="259">
        <v>0</v>
      </c>
      <c r="F82" s="378">
        <f t="shared" si="24"/>
        <v>0</v>
      </c>
      <c r="G82" s="534"/>
      <c r="H82" s="380">
        <v>0</v>
      </c>
      <c r="I82" s="378">
        <f t="shared" si="25"/>
        <v>0</v>
      </c>
      <c r="J82" s="626"/>
      <c r="K82" s="535">
        <f t="shared" si="26"/>
        <v>0</v>
      </c>
      <c r="L82" s="383"/>
      <c r="M82" s="307"/>
      <c r="N82" s="426"/>
      <c r="O82" s="415"/>
      <c r="P82" s="416"/>
      <c r="Q82" s="388"/>
    </row>
    <row r="83" spans="1:17" ht="13.8" thickTop="1" x14ac:dyDescent="0.25">
      <c r="A83" s="392"/>
      <c r="B83" s="417"/>
      <c r="C83" s="393"/>
      <c r="D83" s="377"/>
      <c r="E83" s="259"/>
      <c r="F83" s="378"/>
      <c r="G83" s="534"/>
      <c r="H83" s="380"/>
      <c r="I83" s="378"/>
      <c r="J83" s="394" t="s">
        <v>30</v>
      </c>
      <c r="K83" s="537">
        <f>SUM(K66:K82)</f>
        <v>70982.2</v>
      </c>
      <c r="L83" s="383"/>
      <c r="M83" s="307"/>
      <c r="N83" s="426"/>
      <c r="O83" s="415"/>
      <c r="P83" s="416"/>
      <c r="Q83" s="388"/>
    </row>
    <row r="84" spans="1:17" ht="13.8" thickBot="1" x14ac:dyDescent="0.3">
      <c r="A84" s="618" t="s">
        <v>0</v>
      </c>
      <c r="B84" s="619" t="s">
        <v>1</v>
      </c>
      <c r="C84" s="1135" t="s">
        <v>656</v>
      </c>
      <c r="D84" s="1018"/>
      <c r="E84" s="1018"/>
      <c r="F84" s="1018"/>
      <c r="G84" s="1018" t="s">
        <v>34</v>
      </c>
      <c r="H84" s="1018"/>
      <c r="I84" s="1018"/>
      <c r="J84" s="620"/>
      <c r="K84" s="528"/>
      <c r="L84" s="396"/>
      <c r="M84" s="628"/>
      <c r="N84" s="398"/>
      <c r="O84" s="415"/>
      <c r="P84" s="416"/>
      <c r="Q84" s="388"/>
    </row>
    <row r="85" spans="1:17" ht="16.2" thickBot="1" x14ac:dyDescent="0.35">
      <c r="A85" s="583" t="s">
        <v>221</v>
      </c>
      <c r="B85" s="584" t="s">
        <v>222</v>
      </c>
      <c r="C85" s="629" t="s">
        <v>19</v>
      </c>
      <c r="D85" s="629" t="s">
        <v>33</v>
      </c>
      <c r="E85" s="630" t="s">
        <v>35</v>
      </c>
      <c r="F85" s="631" t="s">
        <v>30</v>
      </c>
      <c r="G85" s="632" t="s">
        <v>14</v>
      </c>
      <c r="H85" s="630" t="s">
        <v>35</v>
      </c>
      <c r="I85" s="631" t="s">
        <v>30</v>
      </c>
      <c r="J85" s="624" t="s">
        <v>659</v>
      </c>
      <c r="K85" s="633" t="s">
        <v>38</v>
      </c>
      <c r="L85" s="407"/>
      <c r="M85" s="636"/>
      <c r="N85" s="414"/>
      <c r="O85" s="415"/>
      <c r="P85" s="416"/>
      <c r="Q85" s="388"/>
    </row>
    <row r="86" spans="1:17" x14ac:dyDescent="0.25">
      <c r="A86" s="392"/>
      <c r="B86" s="7"/>
      <c r="C86" s="376"/>
      <c r="D86" s="377" t="s">
        <v>21</v>
      </c>
      <c r="E86" s="259">
        <v>0</v>
      </c>
      <c r="F86" s="378">
        <f>C86*E86</f>
        <v>0</v>
      </c>
      <c r="G86" s="534"/>
      <c r="H86" s="380">
        <v>0</v>
      </c>
      <c r="I86" s="378">
        <f>G86*H86</f>
        <v>0</v>
      </c>
      <c r="J86" s="626"/>
      <c r="K86" s="535">
        <f>F86+I86+J86</f>
        <v>0</v>
      </c>
      <c r="L86" s="383"/>
      <c r="M86" s="307"/>
      <c r="N86" s="426"/>
      <c r="O86" s="415"/>
      <c r="P86" s="416"/>
      <c r="Q86" s="388"/>
    </row>
    <row r="87" spans="1:17" x14ac:dyDescent="0.25">
      <c r="A87" s="392"/>
      <c r="B87" s="7"/>
      <c r="C87" s="376"/>
      <c r="D87" s="377" t="s">
        <v>21</v>
      </c>
      <c r="E87" s="259">
        <v>0</v>
      </c>
      <c r="F87" s="378">
        <f>C87*E87</f>
        <v>0</v>
      </c>
      <c r="G87" s="534"/>
      <c r="H87" s="380">
        <v>0</v>
      </c>
      <c r="I87" s="378">
        <f>G87*H87</f>
        <v>0</v>
      </c>
      <c r="J87" s="626"/>
      <c r="K87" s="535">
        <f>F87+I87+J87</f>
        <v>0</v>
      </c>
      <c r="L87" s="383"/>
      <c r="M87" s="307"/>
      <c r="N87" s="385"/>
      <c r="O87" s="386"/>
      <c r="P87" s="387"/>
      <c r="Q87" s="388"/>
    </row>
    <row r="88" spans="1:17" ht="13.8" thickBot="1" x14ac:dyDescent="0.3">
      <c r="A88" s="392"/>
      <c r="B88" s="7"/>
      <c r="C88" s="376"/>
      <c r="D88" s="377" t="s">
        <v>21</v>
      </c>
      <c r="E88" s="259">
        <v>0</v>
      </c>
      <c r="F88" s="378">
        <f>C88*E88</f>
        <v>0</v>
      </c>
      <c r="G88" s="534"/>
      <c r="H88" s="380">
        <v>0</v>
      </c>
      <c r="I88" s="378">
        <f>G88*H88</f>
        <v>0</v>
      </c>
      <c r="J88" s="626"/>
      <c r="K88" s="535">
        <f>F88+I88+J88</f>
        <v>0</v>
      </c>
      <c r="L88" s="157"/>
      <c r="M88" s="635"/>
      <c r="O88" s="386"/>
      <c r="P88" s="387"/>
      <c r="Q88" s="388"/>
    </row>
    <row r="89" spans="1:17" ht="13.8" thickTop="1" x14ac:dyDescent="0.25">
      <c r="A89" s="392"/>
      <c r="B89" s="417"/>
      <c r="C89" s="393"/>
      <c r="D89" s="377"/>
      <c r="E89" s="259"/>
      <c r="F89" s="378"/>
      <c r="G89" s="534"/>
      <c r="H89" s="380"/>
      <c r="I89" s="378"/>
      <c r="J89" s="394" t="s">
        <v>30</v>
      </c>
      <c r="K89" s="537">
        <f>SUM(K86:K88)</f>
        <v>0</v>
      </c>
      <c r="O89" s="386"/>
      <c r="P89" s="416"/>
      <c r="Q89" s="388"/>
    </row>
    <row r="90" spans="1:17" ht="13.8" thickBot="1" x14ac:dyDescent="0.3">
      <c r="A90" s="618" t="s">
        <v>0</v>
      </c>
      <c r="B90" s="619" t="s">
        <v>1</v>
      </c>
      <c r="C90" s="1135" t="s">
        <v>656</v>
      </c>
      <c r="D90" s="1018"/>
      <c r="E90" s="1018"/>
      <c r="F90" s="1018"/>
      <c r="G90" s="1018" t="s">
        <v>34</v>
      </c>
      <c r="H90" s="1018"/>
      <c r="I90" s="1018"/>
      <c r="J90" s="620"/>
      <c r="K90" s="528"/>
      <c r="L90" s="396"/>
      <c r="M90" s="620"/>
      <c r="N90" s="398"/>
      <c r="O90" s="386"/>
      <c r="P90" s="387"/>
      <c r="Q90" s="388"/>
    </row>
    <row r="91" spans="1:17" ht="16.2" thickBot="1" x14ac:dyDescent="0.35">
      <c r="A91" s="583" t="s">
        <v>223</v>
      </c>
      <c r="B91" s="584" t="s">
        <v>224</v>
      </c>
      <c r="C91" s="629" t="s">
        <v>19</v>
      </c>
      <c r="D91" s="629" t="s">
        <v>33</v>
      </c>
      <c r="E91" s="630" t="s">
        <v>35</v>
      </c>
      <c r="F91" s="631" t="s">
        <v>30</v>
      </c>
      <c r="G91" s="632" t="s">
        <v>14</v>
      </c>
      <c r="H91" s="630" t="s">
        <v>35</v>
      </c>
      <c r="I91" s="631" t="s">
        <v>30</v>
      </c>
      <c r="J91" s="624" t="s">
        <v>659</v>
      </c>
      <c r="K91" s="633" t="s">
        <v>38</v>
      </c>
      <c r="L91" s="407"/>
      <c r="M91" s="636"/>
      <c r="N91" s="409"/>
      <c r="O91" s="386"/>
      <c r="P91" s="387"/>
      <c r="Q91" s="388"/>
    </row>
    <row r="92" spans="1:17" x14ac:dyDescent="0.25">
      <c r="A92" s="392"/>
      <c r="B92" s="7"/>
      <c r="C92" s="444"/>
      <c r="D92" s="377" t="s">
        <v>21</v>
      </c>
      <c r="E92" s="259">
        <v>0</v>
      </c>
      <c r="F92" s="378">
        <f>C92*E92</f>
        <v>0</v>
      </c>
      <c r="G92" s="534"/>
      <c r="H92" s="380">
        <v>0</v>
      </c>
      <c r="I92" s="378">
        <f>G92*H92</f>
        <v>0</v>
      </c>
      <c r="J92" s="626"/>
      <c r="K92" s="535">
        <f>F92+I92+J92</f>
        <v>0</v>
      </c>
      <c r="L92" s="383"/>
      <c r="M92" s="307"/>
      <c r="N92" s="385"/>
      <c r="O92" s="386"/>
      <c r="P92" s="387"/>
      <c r="Q92" s="388"/>
    </row>
    <row r="93" spans="1:17" ht="13.8" thickBot="1" x14ac:dyDescent="0.3">
      <c r="A93" s="392"/>
      <c r="B93" s="7"/>
      <c r="C93" s="376"/>
      <c r="D93" s="377" t="s">
        <v>21</v>
      </c>
      <c r="E93" s="259">
        <v>0</v>
      </c>
      <c r="F93" s="378">
        <f>C93*E93</f>
        <v>0</v>
      </c>
      <c r="G93" s="534"/>
      <c r="H93" s="380">
        <v>0</v>
      </c>
      <c r="I93" s="378">
        <f>G93*H93</f>
        <v>0</v>
      </c>
      <c r="J93" s="626"/>
      <c r="K93" s="535">
        <f>F93+I93+J93</f>
        <v>0</v>
      </c>
      <c r="L93" s="383"/>
      <c r="M93" s="307"/>
      <c r="N93" s="385"/>
      <c r="O93" s="386"/>
      <c r="P93" s="387"/>
      <c r="Q93" s="388"/>
    </row>
    <row r="94" spans="1:17" ht="13.8" thickTop="1" x14ac:dyDescent="0.25">
      <c r="A94" s="392"/>
      <c r="C94" s="393"/>
      <c r="D94" s="377"/>
      <c r="E94" s="259"/>
      <c r="F94" s="378"/>
      <c r="G94" s="534"/>
      <c r="H94" s="380"/>
      <c r="I94" s="378"/>
      <c r="J94" s="394" t="s">
        <v>30</v>
      </c>
      <c r="K94" s="537">
        <f>SUM(K92:K93)</f>
        <v>0</v>
      </c>
      <c r="L94" s="383"/>
      <c r="M94" s="307"/>
      <c r="N94" s="385"/>
      <c r="O94" s="386"/>
      <c r="P94" s="387"/>
      <c r="Q94" s="388"/>
    </row>
    <row r="95" spans="1:17" ht="13.8" thickBot="1" x14ac:dyDescent="0.3">
      <c r="A95" s="618" t="s">
        <v>0</v>
      </c>
      <c r="B95" s="619" t="s">
        <v>1</v>
      </c>
      <c r="C95" s="1135" t="s">
        <v>656</v>
      </c>
      <c r="D95" s="1018"/>
      <c r="E95" s="1018"/>
      <c r="F95" s="1018"/>
      <c r="G95" s="1018" t="s">
        <v>34</v>
      </c>
      <c r="H95" s="1018"/>
      <c r="I95" s="1018"/>
      <c r="J95" s="620"/>
      <c r="K95" s="528"/>
      <c r="L95" s="396"/>
      <c r="M95" s="620"/>
      <c r="N95" s="398"/>
      <c r="O95" s="386"/>
      <c r="P95" s="387"/>
      <c r="Q95" s="388"/>
    </row>
    <row r="96" spans="1:17" ht="16.2" thickBot="1" x14ac:dyDescent="0.35">
      <c r="A96" s="583" t="s">
        <v>225</v>
      </c>
      <c r="B96" s="584" t="s">
        <v>226</v>
      </c>
      <c r="C96" s="629" t="s">
        <v>19</v>
      </c>
      <c r="D96" s="629" t="s">
        <v>33</v>
      </c>
      <c r="E96" s="630" t="s">
        <v>35</v>
      </c>
      <c r="F96" s="631" t="s">
        <v>30</v>
      </c>
      <c r="G96" s="632" t="s">
        <v>14</v>
      </c>
      <c r="H96" s="630" t="s">
        <v>35</v>
      </c>
      <c r="I96" s="631" t="s">
        <v>30</v>
      </c>
      <c r="J96" s="624" t="s">
        <v>659</v>
      </c>
      <c r="K96" s="633" t="s">
        <v>38</v>
      </c>
      <c r="L96" s="407"/>
      <c r="M96" s="636"/>
      <c r="N96" s="409"/>
      <c r="O96" s="441"/>
      <c r="P96" s="442"/>
      <c r="Q96" s="388"/>
    </row>
    <row r="97" spans="1:17" x14ac:dyDescent="0.25">
      <c r="A97" s="392"/>
      <c r="B97" s="7"/>
      <c r="C97" s="376"/>
      <c r="D97" s="377" t="s">
        <v>21</v>
      </c>
      <c r="E97" s="259">
        <v>0</v>
      </c>
      <c r="F97" s="378">
        <f>C97*E97</f>
        <v>0</v>
      </c>
      <c r="G97" s="534"/>
      <c r="H97" s="380">
        <v>0</v>
      </c>
      <c r="I97" s="378">
        <f>G97*H97</f>
        <v>0</v>
      </c>
      <c r="J97" s="626"/>
      <c r="K97" s="535">
        <f>F97+I97+J97</f>
        <v>0</v>
      </c>
      <c r="L97" s="383"/>
      <c r="M97" s="307"/>
      <c r="N97" s="426"/>
      <c r="O97" s="441"/>
      <c r="P97" s="442"/>
      <c r="Q97" s="388"/>
    </row>
    <row r="98" spans="1:17" ht="13.8" thickBot="1" x14ac:dyDescent="0.3">
      <c r="A98" s="392"/>
      <c r="B98" s="7"/>
      <c r="C98" s="376"/>
      <c r="D98" s="377" t="s">
        <v>21</v>
      </c>
      <c r="E98" s="259">
        <v>0</v>
      </c>
      <c r="F98" s="378">
        <f>C98*E98</f>
        <v>0</v>
      </c>
      <c r="G98" s="534"/>
      <c r="H98" s="380">
        <v>0</v>
      </c>
      <c r="I98" s="378">
        <f>G98*H98</f>
        <v>0</v>
      </c>
      <c r="J98" s="626"/>
      <c r="K98" s="535">
        <f>F98+I98+J98</f>
        <v>0</v>
      </c>
      <c r="O98" s="415"/>
      <c r="P98" s="416"/>
      <c r="Q98" s="388"/>
    </row>
    <row r="99" spans="1:17" ht="13.8" thickTop="1" x14ac:dyDescent="0.25">
      <c r="A99" s="392"/>
      <c r="B99" s="417"/>
      <c r="C99" s="586"/>
      <c r="D99" s="377"/>
      <c r="E99" s="259"/>
      <c r="F99" s="378"/>
      <c r="G99" s="534"/>
      <c r="H99" s="380"/>
      <c r="I99" s="378"/>
      <c r="J99" s="394" t="s">
        <v>30</v>
      </c>
      <c r="K99" s="537">
        <f>SUM(K97:K98)</f>
        <v>0</v>
      </c>
      <c r="O99" s="386"/>
      <c r="P99" s="387"/>
      <c r="Q99" s="388"/>
    </row>
    <row r="100" spans="1:17" ht="13.8" thickBot="1" x14ac:dyDescent="0.3">
      <c r="A100" s="618" t="s">
        <v>0</v>
      </c>
      <c r="B100" s="619" t="s">
        <v>1</v>
      </c>
      <c r="C100" s="1018" t="s">
        <v>656</v>
      </c>
      <c r="D100" s="1018"/>
      <c r="E100" s="1018"/>
      <c r="F100" s="1018"/>
      <c r="G100" s="1018" t="s">
        <v>34</v>
      </c>
      <c r="H100" s="1018"/>
      <c r="I100" s="1018"/>
      <c r="J100" s="620"/>
      <c r="K100" s="528"/>
      <c r="L100" s="396"/>
      <c r="M100" s="620"/>
      <c r="N100" s="443"/>
      <c r="O100" s="386"/>
      <c r="P100" s="387"/>
      <c r="Q100" s="388"/>
    </row>
    <row r="101" spans="1:17" ht="16.2" thickBot="1" x14ac:dyDescent="0.35">
      <c r="A101" s="583" t="s">
        <v>229</v>
      </c>
      <c r="B101" s="584" t="s">
        <v>227</v>
      </c>
      <c r="C101" s="629" t="s">
        <v>19</v>
      </c>
      <c r="D101" s="629" t="s">
        <v>33</v>
      </c>
      <c r="E101" s="630" t="s">
        <v>35</v>
      </c>
      <c r="F101" s="631" t="s">
        <v>30</v>
      </c>
      <c r="G101" s="632" t="s">
        <v>14</v>
      </c>
      <c r="H101" s="630" t="s">
        <v>35</v>
      </c>
      <c r="I101" s="631" t="s">
        <v>30</v>
      </c>
      <c r="J101" s="624" t="s">
        <v>659</v>
      </c>
      <c r="K101" s="633" t="s">
        <v>38</v>
      </c>
      <c r="L101" s="407"/>
      <c r="M101" s="636"/>
      <c r="N101" s="414"/>
      <c r="O101" s="386"/>
      <c r="P101" s="387"/>
      <c r="Q101" s="388"/>
    </row>
    <row r="102" spans="1:17" x14ac:dyDescent="0.25">
      <c r="A102" s="392"/>
      <c r="B102" s="7"/>
      <c r="C102" s="376"/>
      <c r="D102" s="377" t="s">
        <v>21</v>
      </c>
      <c r="E102" s="259">
        <v>0</v>
      </c>
      <c r="F102" s="378">
        <f>C102*E102</f>
        <v>0</v>
      </c>
      <c r="G102" s="534"/>
      <c r="H102" s="380">
        <v>0</v>
      </c>
      <c r="I102" s="378">
        <f>G102*H102</f>
        <v>0</v>
      </c>
      <c r="J102" s="626"/>
      <c r="K102" s="535">
        <f>F102+I102+J102</f>
        <v>0</v>
      </c>
      <c r="L102" s="383"/>
      <c r="M102" s="627"/>
      <c r="N102" s="385"/>
      <c r="O102" s="386"/>
      <c r="P102" s="387"/>
      <c r="Q102" s="388"/>
    </row>
    <row r="103" spans="1:17" ht="13.8" thickBot="1" x14ac:dyDescent="0.3">
      <c r="A103" s="392"/>
      <c r="B103" s="7"/>
      <c r="C103" s="376"/>
      <c r="D103" s="377" t="s">
        <v>21</v>
      </c>
      <c r="E103" s="259">
        <v>0</v>
      </c>
      <c r="F103" s="378">
        <f>C103*E103</f>
        <v>0</v>
      </c>
      <c r="G103" s="534"/>
      <c r="H103" s="380">
        <v>0</v>
      </c>
      <c r="I103" s="378">
        <f>G103*H103</f>
        <v>0</v>
      </c>
      <c r="J103" s="626"/>
      <c r="K103" s="535">
        <f>F103+I103+J103</f>
        <v>0</v>
      </c>
      <c r="L103" s="383"/>
      <c r="M103" s="627"/>
      <c r="N103" s="385"/>
      <c r="O103" s="386"/>
      <c r="P103" s="387"/>
      <c r="Q103" s="388"/>
    </row>
    <row r="104" spans="1:17" ht="14.4" thickTop="1" thickBot="1" x14ac:dyDescent="0.3">
      <c r="A104" s="475"/>
      <c r="B104" s="156"/>
      <c r="C104" s="476"/>
      <c r="D104" s="477"/>
      <c r="E104" s="637"/>
      <c r="F104" s="479"/>
      <c r="G104" s="638"/>
      <c r="H104" s="637"/>
      <c r="I104" s="479"/>
      <c r="J104" s="481" t="s">
        <v>30</v>
      </c>
      <c r="K104" s="639">
        <f>SUM(K102:K103)</f>
        <v>0</v>
      </c>
      <c r="L104" s="383"/>
      <c r="M104" s="627"/>
      <c r="N104" s="385"/>
      <c r="O104" s="386"/>
      <c r="P104" s="387"/>
      <c r="Q104" s="388"/>
    </row>
    <row r="105" spans="1:17" ht="13.8" thickBot="1" x14ac:dyDescent="0.3">
      <c r="A105" s="618" t="s">
        <v>0</v>
      </c>
      <c r="B105" s="619" t="s">
        <v>1</v>
      </c>
      <c r="C105" s="1135" t="s">
        <v>656</v>
      </c>
      <c r="D105" s="1018"/>
      <c r="E105" s="1018"/>
      <c r="F105" s="1018"/>
      <c r="G105" s="1018" t="s">
        <v>34</v>
      </c>
      <c r="H105" s="1018"/>
      <c r="I105" s="1018"/>
      <c r="J105" s="620"/>
      <c r="K105" s="528"/>
      <c r="L105" s="396"/>
      <c r="M105" s="628"/>
      <c r="N105" s="398"/>
      <c r="O105" s="386"/>
      <c r="P105" s="387"/>
      <c r="Q105" s="388"/>
    </row>
    <row r="106" spans="1:17" ht="16.2" thickBot="1" x14ac:dyDescent="0.35">
      <c r="A106" s="583" t="s">
        <v>230</v>
      </c>
      <c r="B106" s="584" t="s">
        <v>228</v>
      </c>
      <c r="C106" s="629" t="s">
        <v>19</v>
      </c>
      <c r="D106" s="629" t="s">
        <v>33</v>
      </c>
      <c r="E106" s="630" t="s">
        <v>35</v>
      </c>
      <c r="F106" s="631" t="s">
        <v>30</v>
      </c>
      <c r="G106" s="632" t="s">
        <v>14</v>
      </c>
      <c r="H106" s="630" t="s">
        <v>35</v>
      </c>
      <c r="I106" s="631" t="s">
        <v>30</v>
      </c>
      <c r="J106" s="624" t="s">
        <v>659</v>
      </c>
      <c r="K106" s="633" t="s">
        <v>38</v>
      </c>
      <c r="L106" s="407"/>
      <c r="M106" s="634"/>
      <c r="N106" s="409"/>
      <c r="O106" s="386"/>
      <c r="P106" s="387"/>
      <c r="Q106" s="388"/>
    </row>
    <row r="107" spans="1:17" x14ac:dyDescent="0.25">
      <c r="A107" s="392"/>
      <c r="B107" s="7"/>
      <c r="C107" s="376"/>
      <c r="D107" s="377" t="s">
        <v>21</v>
      </c>
      <c r="E107" s="259">
        <v>0</v>
      </c>
      <c r="F107" s="378">
        <f>C107*E107</f>
        <v>0</v>
      </c>
      <c r="G107" s="534"/>
      <c r="H107" s="380">
        <v>0</v>
      </c>
      <c r="I107" s="378">
        <f>G107*H107</f>
        <v>0</v>
      </c>
      <c r="J107" s="626"/>
      <c r="K107" s="535">
        <f>F107+I107+J107</f>
        <v>0</v>
      </c>
      <c r="O107" s="386"/>
      <c r="P107" s="387"/>
      <c r="Q107" s="388"/>
    </row>
    <row r="108" spans="1:17" x14ac:dyDescent="0.25">
      <c r="A108" s="392"/>
      <c r="B108" s="7"/>
      <c r="C108" s="444"/>
      <c r="D108" s="377" t="s">
        <v>21</v>
      </c>
      <c r="E108" s="259">
        <v>0</v>
      </c>
      <c r="F108" s="378">
        <f>C108*E108</f>
        <v>0</v>
      </c>
      <c r="G108" s="534"/>
      <c r="H108" s="380">
        <v>0</v>
      </c>
      <c r="I108" s="378">
        <f>G108*H108</f>
        <v>0</v>
      </c>
      <c r="J108" s="626"/>
      <c r="K108" s="535">
        <f>F108+I108+J108</f>
        <v>0</v>
      </c>
      <c r="O108" s="386"/>
      <c r="P108" s="387"/>
      <c r="Q108" s="388"/>
    </row>
    <row r="109" spans="1:17" ht="13.8" thickBot="1" x14ac:dyDescent="0.3">
      <c r="A109" s="392"/>
      <c r="B109" s="7"/>
      <c r="C109" s="444"/>
      <c r="D109" s="377" t="s">
        <v>21</v>
      </c>
      <c r="E109" s="259">
        <v>0</v>
      </c>
      <c r="F109" s="378">
        <f>C109*E109</f>
        <v>0</v>
      </c>
      <c r="G109" s="534"/>
      <c r="H109" s="380">
        <v>0</v>
      </c>
      <c r="I109" s="378">
        <f>G109*H109</f>
        <v>0</v>
      </c>
      <c r="J109" s="626"/>
      <c r="K109" s="535">
        <f>F109+I109+J109</f>
        <v>0</v>
      </c>
      <c r="M109" s="320">
        <f>(17.1+36.05)*2</f>
        <v>106.3</v>
      </c>
      <c r="O109" s="386"/>
      <c r="P109" s="387"/>
      <c r="Q109" s="388"/>
    </row>
    <row r="110" spans="1:17" ht="14.4" thickTop="1" thickBot="1" x14ac:dyDescent="0.3">
      <c r="A110" s="475"/>
      <c r="B110" s="156"/>
      <c r="C110" s="476"/>
      <c r="D110" s="477"/>
      <c r="E110" s="637"/>
      <c r="F110" s="479"/>
      <c r="G110" s="638"/>
      <c r="H110" s="637"/>
      <c r="I110" s="479"/>
      <c r="J110" s="481" t="s">
        <v>30</v>
      </c>
      <c r="K110" s="639">
        <f>SUM(K107:K109)</f>
        <v>0</v>
      </c>
      <c r="L110" s="383"/>
      <c r="M110" s="627"/>
      <c r="N110" s="385"/>
      <c r="O110" s="386"/>
      <c r="P110" s="387"/>
      <c r="Q110" s="388"/>
    </row>
    <row r="111" spans="1:17" ht="13.8" thickBot="1" x14ac:dyDescent="0.3">
      <c r="A111" s="618" t="s">
        <v>0</v>
      </c>
      <c r="B111" s="619" t="s">
        <v>1</v>
      </c>
      <c r="C111" s="1135" t="s">
        <v>656</v>
      </c>
      <c r="D111" s="1018"/>
      <c r="E111" s="1018"/>
      <c r="F111" s="1018"/>
      <c r="G111" s="1018" t="s">
        <v>34</v>
      </c>
      <c r="H111" s="1018"/>
      <c r="I111" s="1018"/>
      <c r="J111" s="620"/>
      <c r="K111" s="528"/>
      <c r="L111" s="396"/>
      <c r="M111" s="628"/>
      <c r="N111" s="398"/>
      <c r="O111" s="386"/>
      <c r="P111" s="387"/>
      <c r="Q111" s="388"/>
    </row>
    <row r="112" spans="1:17" ht="16.2" thickBot="1" x14ac:dyDescent="0.35">
      <c r="A112" s="583" t="s">
        <v>231</v>
      </c>
      <c r="B112" s="584" t="s">
        <v>232</v>
      </c>
      <c r="C112" s="629" t="s">
        <v>19</v>
      </c>
      <c r="D112" s="629" t="s">
        <v>33</v>
      </c>
      <c r="E112" s="630" t="s">
        <v>35</v>
      </c>
      <c r="F112" s="631" t="s">
        <v>30</v>
      </c>
      <c r="G112" s="632" t="s">
        <v>14</v>
      </c>
      <c r="H112" s="630" t="s">
        <v>35</v>
      </c>
      <c r="I112" s="631" t="s">
        <v>30</v>
      </c>
      <c r="J112" s="624" t="s">
        <v>659</v>
      </c>
      <c r="K112" s="633" t="s">
        <v>38</v>
      </c>
      <c r="L112" s="407"/>
      <c r="M112" s="634"/>
      <c r="N112" s="409"/>
      <c r="O112" s="386"/>
      <c r="P112" s="387"/>
      <c r="Q112" s="388"/>
    </row>
    <row r="113" spans="1:17" x14ac:dyDescent="0.25">
      <c r="A113" s="262" t="s">
        <v>233</v>
      </c>
      <c r="B113" s="159" t="s">
        <v>1322</v>
      </c>
      <c r="C113" s="376">
        <v>107</v>
      </c>
      <c r="D113" s="377" t="s">
        <v>997</v>
      </c>
      <c r="E113" s="259">
        <v>20</v>
      </c>
      <c r="F113" s="378">
        <f>C113*E113</f>
        <v>2140</v>
      </c>
      <c r="G113" s="534"/>
      <c r="H113" s="380">
        <v>0</v>
      </c>
      <c r="I113" s="378">
        <f>G113*H113</f>
        <v>0</v>
      </c>
      <c r="J113" s="626"/>
      <c r="K113" s="535">
        <f>F113+I113+J113</f>
        <v>2140</v>
      </c>
      <c r="L113" s="383" t="s">
        <v>1320</v>
      </c>
      <c r="M113" s="943">
        <v>14315.52</v>
      </c>
      <c r="N113" s="385"/>
      <c r="O113" s="386"/>
      <c r="P113" s="387"/>
      <c r="Q113" s="388"/>
    </row>
    <row r="114" spans="1:17" x14ac:dyDescent="0.25">
      <c r="A114" s="262" t="s">
        <v>234</v>
      </c>
      <c r="B114" s="262" t="s">
        <v>235</v>
      </c>
      <c r="C114" s="376"/>
      <c r="D114" s="377" t="s">
        <v>21</v>
      </c>
      <c r="E114" s="259">
        <v>0</v>
      </c>
      <c r="F114" s="378">
        <f>C114*E114</f>
        <v>0</v>
      </c>
      <c r="G114" s="534"/>
      <c r="H114" s="380">
        <v>0</v>
      </c>
      <c r="I114" s="378">
        <f>G114*H114</f>
        <v>0</v>
      </c>
      <c r="J114" s="626">
        <v>2000</v>
      </c>
      <c r="K114" s="535">
        <f>F114+I114+J114</f>
        <v>2000</v>
      </c>
      <c r="L114" s="383" t="s">
        <v>1347</v>
      </c>
      <c r="M114" s="627"/>
      <c r="N114" s="385"/>
      <c r="O114" s="386"/>
      <c r="P114" s="387"/>
      <c r="Q114" s="388"/>
    </row>
    <row r="115" spans="1:17" ht="13.8" thickBot="1" x14ac:dyDescent="0.3">
      <c r="A115" s="392"/>
      <c r="B115" s="7"/>
      <c r="C115" s="376"/>
      <c r="D115" s="377" t="s">
        <v>21</v>
      </c>
      <c r="E115" s="259">
        <v>0</v>
      </c>
      <c r="F115" s="378">
        <f>C115*E115</f>
        <v>0</v>
      </c>
      <c r="G115" s="534"/>
      <c r="H115" s="380">
        <v>0</v>
      </c>
      <c r="I115" s="378">
        <f>G115*H115</f>
        <v>0</v>
      </c>
      <c r="J115" s="626"/>
      <c r="K115" s="535">
        <f>F115+I115+J115</f>
        <v>0</v>
      </c>
      <c r="L115" s="383"/>
      <c r="M115" s="627"/>
      <c r="N115" s="385"/>
      <c r="O115" s="386"/>
      <c r="P115" s="387"/>
      <c r="Q115" s="388"/>
    </row>
    <row r="116" spans="1:17" ht="14.4" thickTop="1" thickBot="1" x14ac:dyDescent="0.3">
      <c r="A116" s="475"/>
      <c r="B116" s="156"/>
      <c r="C116" s="476"/>
      <c r="D116" s="477"/>
      <c r="E116" s="637"/>
      <c r="F116" s="479"/>
      <c r="G116" s="638"/>
      <c r="H116" s="637"/>
      <c r="I116" s="479"/>
      <c r="J116" s="481" t="s">
        <v>30</v>
      </c>
      <c r="K116" s="639">
        <f>SUM(K113:K115)</f>
        <v>4140</v>
      </c>
      <c r="L116" s="383"/>
      <c r="M116" s="627"/>
      <c r="N116" s="385"/>
      <c r="O116" s="386"/>
      <c r="P116" s="387"/>
      <c r="Q116" s="388"/>
    </row>
    <row r="117" spans="1:17" ht="13.8" thickBot="1" x14ac:dyDescent="0.3">
      <c r="A117" s="618" t="s">
        <v>0</v>
      </c>
      <c r="B117" s="619" t="s">
        <v>1</v>
      </c>
      <c r="C117" s="1135" t="s">
        <v>656</v>
      </c>
      <c r="D117" s="1018"/>
      <c r="E117" s="1018"/>
      <c r="F117" s="1018"/>
      <c r="G117" s="1018" t="s">
        <v>34</v>
      </c>
      <c r="H117" s="1018"/>
      <c r="I117" s="1018"/>
      <c r="J117" s="620"/>
      <c r="K117" s="528"/>
      <c r="L117" s="396"/>
      <c r="M117" s="628"/>
      <c r="N117" s="398"/>
      <c r="O117" s="386"/>
      <c r="P117" s="387"/>
      <c r="Q117" s="388"/>
    </row>
    <row r="118" spans="1:17" ht="16.2" thickBot="1" x14ac:dyDescent="0.35">
      <c r="A118" s="583" t="s">
        <v>236</v>
      </c>
      <c r="B118" s="584" t="s">
        <v>237</v>
      </c>
      <c r="C118" s="629" t="s">
        <v>19</v>
      </c>
      <c r="D118" s="629" t="s">
        <v>33</v>
      </c>
      <c r="E118" s="630" t="s">
        <v>35</v>
      </c>
      <c r="F118" s="631" t="s">
        <v>30</v>
      </c>
      <c r="G118" s="632" t="s">
        <v>14</v>
      </c>
      <c r="H118" s="630" t="s">
        <v>35</v>
      </c>
      <c r="I118" s="631" t="s">
        <v>30</v>
      </c>
      <c r="J118" s="624" t="s">
        <v>659</v>
      </c>
      <c r="K118" s="633" t="s">
        <v>38</v>
      </c>
      <c r="L118" s="407"/>
      <c r="M118" s="634"/>
      <c r="N118" s="409"/>
      <c r="O118" s="386"/>
      <c r="P118" s="387"/>
      <c r="Q118" s="388"/>
    </row>
    <row r="119" spans="1:17" ht="15" x14ac:dyDescent="0.25">
      <c r="A119" s="640" t="s">
        <v>238</v>
      </c>
      <c r="B119" s="851" t="s">
        <v>239</v>
      </c>
      <c r="C119" s="863"/>
      <c r="D119" s="839" t="s">
        <v>21</v>
      </c>
      <c r="E119" s="259">
        <v>0</v>
      </c>
      <c r="F119" s="378">
        <f>C119*E119</f>
        <v>0</v>
      </c>
      <c r="G119" s="534"/>
      <c r="H119" s="380">
        <v>0</v>
      </c>
      <c r="I119" s="378">
        <f>G119*H119</f>
        <v>0</v>
      </c>
      <c r="J119" s="626"/>
      <c r="K119" s="535">
        <f>F119+I119+J119</f>
        <v>0</v>
      </c>
      <c r="L119" s="159" t="s">
        <v>1136</v>
      </c>
      <c r="O119" s="386"/>
      <c r="P119" s="387"/>
      <c r="Q119" s="388"/>
    </row>
    <row r="120" spans="1:17" x14ac:dyDescent="0.25">
      <c r="A120" s="392"/>
      <c r="B120" s="7"/>
      <c r="C120" s="444"/>
      <c r="D120" s="377" t="s">
        <v>21</v>
      </c>
      <c r="E120" s="259">
        <v>0</v>
      </c>
      <c r="F120" s="378">
        <f>C120*E120</f>
        <v>0</v>
      </c>
      <c r="G120" s="534"/>
      <c r="H120" s="380">
        <v>0</v>
      </c>
      <c r="I120" s="378">
        <f>G120*H120</f>
        <v>0</v>
      </c>
      <c r="J120" s="626"/>
      <c r="K120" s="535">
        <f>F120+I120+J120</f>
        <v>0</v>
      </c>
      <c r="L120" s="383" t="s">
        <v>1326</v>
      </c>
      <c r="M120" s="627">
        <v>6361</v>
      </c>
      <c r="N120" s="385" t="s">
        <v>1327</v>
      </c>
      <c r="O120" s="386"/>
      <c r="P120" s="387"/>
      <c r="Q120" s="388"/>
    </row>
    <row r="121" spans="1:17" ht="13.8" thickBot="1" x14ac:dyDescent="0.3">
      <c r="A121" s="392"/>
      <c r="B121" s="7"/>
      <c r="C121" s="376"/>
      <c r="D121" s="377"/>
      <c r="E121" s="259"/>
      <c r="F121" s="378"/>
      <c r="G121" s="534"/>
      <c r="H121" s="380"/>
      <c r="I121" s="378"/>
      <c r="J121" s="626"/>
      <c r="K121" s="535"/>
      <c r="L121" s="383"/>
      <c r="M121" s="627">
        <v>5637</v>
      </c>
      <c r="N121" s="385" t="s">
        <v>1328</v>
      </c>
      <c r="O121" s="386"/>
      <c r="P121" s="387"/>
      <c r="Q121" s="388"/>
    </row>
    <row r="122" spans="1:17" ht="14.4" thickTop="1" thickBot="1" x14ac:dyDescent="0.3">
      <c r="A122" s="475"/>
      <c r="B122" s="156"/>
      <c r="C122" s="476"/>
      <c r="D122" s="477"/>
      <c r="E122" s="637"/>
      <c r="F122" s="479"/>
      <c r="G122" s="638"/>
      <c r="H122" s="637"/>
      <c r="I122" s="479"/>
      <c r="J122" s="481" t="s">
        <v>30</v>
      </c>
      <c r="K122" s="639">
        <f>SUM(K119:K121)</f>
        <v>0</v>
      </c>
      <c r="L122" s="383"/>
      <c r="M122" s="627">
        <v>6798</v>
      </c>
      <c r="N122" s="385" t="s">
        <v>1329</v>
      </c>
      <c r="O122" s="386"/>
      <c r="P122" s="387"/>
      <c r="Q122" s="388"/>
    </row>
    <row r="123" spans="1:17" ht="13.8" thickBot="1" x14ac:dyDescent="0.3">
      <c r="A123" s="618" t="s">
        <v>0</v>
      </c>
      <c r="B123" s="619" t="s">
        <v>1</v>
      </c>
      <c r="C123" s="1135" t="s">
        <v>656</v>
      </c>
      <c r="D123" s="1018"/>
      <c r="E123" s="1018"/>
      <c r="F123" s="1018"/>
      <c r="G123" s="1018" t="s">
        <v>34</v>
      </c>
      <c r="H123" s="1018"/>
      <c r="I123" s="1018"/>
      <c r="J123" s="620"/>
      <c r="K123" s="528"/>
      <c r="L123" s="396"/>
      <c r="M123" s="628"/>
      <c r="N123" s="398"/>
      <c r="O123" s="386"/>
      <c r="P123" s="387"/>
      <c r="Q123" s="388"/>
    </row>
    <row r="124" spans="1:17" ht="16.2" thickBot="1" x14ac:dyDescent="0.35">
      <c r="A124" s="583" t="s">
        <v>240</v>
      </c>
      <c r="B124" s="584" t="s">
        <v>241</v>
      </c>
      <c r="C124" s="629" t="s">
        <v>19</v>
      </c>
      <c r="D124" s="629" t="s">
        <v>33</v>
      </c>
      <c r="E124" s="630" t="s">
        <v>35</v>
      </c>
      <c r="F124" s="631" t="s">
        <v>30</v>
      </c>
      <c r="G124" s="632" t="s">
        <v>14</v>
      </c>
      <c r="H124" s="630" t="s">
        <v>35</v>
      </c>
      <c r="I124" s="631" t="s">
        <v>30</v>
      </c>
      <c r="J124" s="624" t="s">
        <v>659</v>
      </c>
      <c r="K124" s="633" t="s">
        <v>38</v>
      </c>
      <c r="L124" s="407"/>
      <c r="M124" s="634"/>
      <c r="N124" s="409"/>
      <c r="O124" s="386"/>
      <c r="P124" s="387"/>
      <c r="Q124" s="388"/>
    </row>
    <row r="125" spans="1:17" x14ac:dyDescent="0.25">
      <c r="A125" s="392"/>
      <c r="B125" s="7"/>
      <c r="C125" s="376"/>
      <c r="D125" s="377" t="s">
        <v>21</v>
      </c>
      <c r="E125" s="259">
        <v>0</v>
      </c>
      <c r="F125" s="378">
        <f>C125*E125</f>
        <v>0</v>
      </c>
      <c r="G125" s="534"/>
      <c r="H125" s="380">
        <v>0</v>
      </c>
      <c r="I125" s="378">
        <f>G125*H125</f>
        <v>0</v>
      </c>
      <c r="J125" s="626"/>
      <c r="K125" s="535">
        <f>F125+I125+J125</f>
        <v>0</v>
      </c>
      <c r="O125" s="386"/>
      <c r="P125" s="387"/>
      <c r="Q125" s="388"/>
    </row>
    <row r="126" spans="1:17" x14ac:dyDescent="0.25">
      <c r="A126" s="392"/>
      <c r="B126" s="7"/>
      <c r="C126" s="376"/>
      <c r="D126" s="377" t="s">
        <v>21</v>
      </c>
      <c r="E126" s="259">
        <v>0</v>
      </c>
      <c r="F126" s="378">
        <f>C126*E126</f>
        <v>0</v>
      </c>
      <c r="G126" s="534"/>
      <c r="H126" s="380">
        <v>0</v>
      </c>
      <c r="I126" s="378">
        <f>G126*H126</f>
        <v>0</v>
      </c>
      <c r="J126" s="626"/>
      <c r="K126" s="535">
        <f>F126+I126+J126</f>
        <v>0</v>
      </c>
      <c r="L126" s="383"/>
      <c r="M126" s="627"/>
      <c r="N126" s="385"/>
      <c r="O126" s="386"/>
      <c r="P126" s="387"/>
      <c r="Q126" s="388"/>
    </row>
    <row r="127" spans="1:17" ht="13.8" thickBot="1" x14ac:dyDescent="0.3">
      <c r="A127" s="392"/>
      <c r="B127" s="7"/>
      <c r="C127" s="444"/>
      <c r="D127" s="377"/>
      <c r="E127" s="259"/>
      <c r="F127" s="378"/>
      <c r="G127" s="534"/>
      <c r="H127" s="380"/>
      <c r="I127" s="378"/>
      <c r="J127" s="626"/>
      <c r="K127" s="535"/>
      <c r="O127" s="386"/>
      <c r="P127" s="387"/>
      <c r="Q127" s="388"/>
    </row>
    <row r="128" spans="1:17" ht="14.4" thickTop="1" thickBot="1" x14ac:dyDescent="0.3">
      <c r="A128" s="475"/>
      <c r="B128" s="156"/>
      <c r="C128" s="476"/>
      <c r="D128" s="477"/>
      <c r="E128" s="637"/>
      <c r="F128" s="479"/>
      <c r="G128" s="638"/>
      <c r="H128" s="637"/>
      <c r="I128" s="479"/>
      <c r="J128" s="481" t="s">
        <v>30</v>
      </c>
      <c r="K128" s="639">
        <f>SUM(K125:K127)</f>
        <v>0</v>
      </c>
      <c r="O128" s="386"/>
      <c r="P128" s="387"/>
      <c r="Q128" s="388"/>
    </row>
    <row r="129" spans="1:17" ht="13.8" thickBot="1" x14ac:dyDescent="0.3">
      <c r="A129" s="618" t="s">
        <v>0</v>
      </c>
      <c r="B129" s="619" t="s">
        <v>1</v>
      </c>
      <c r="C129" s="1018" t="s">
        <v>656</v>
      </c>
      <c r="D129" s="1018"/>
      <c r="E129" s="1018"/>
      <c r="F129" s="1018"/>
      <c r="G129" s="1018" t="s">
        <v>34</v>
      </c>
      <c r="H129" s="1018"/>
      <c r="I129" s="1018"/>
      <c r="J129" s="620"/>
      <c r="K129" s="528"/>
      <c r="L129" s="396"/>
      <c r="M129" s="628"/>
      <c r="N129" s="398"/>
      <c r="O129" s="386"/>
      <c r="P129" s="387"/>
      <c r="Q129" s="388"/>
    </row>
    <row r="130" spans="1:17" ht="16.2" thickBot="1" x14ac:dyDescent="0.35">
      <c r="A130" s="399"/>
      <c r="B130" s="400"/>
      <c r="C130" s="642" t="s">
        <v>19</v>
      </c>
      <c r="D130" s="629" t="s">
        <v>33</v>
      </c>
      <c r="E130" s="630" t="s">
        <v>35</v>
      </c>
      <c r="F130" s="631" t="s">
        <v>30</v>
      </c>
      <c r="G130" s="632" t="s">
        <v>14</v>
      </c>
      <c r="H130" s="630" t="s">
        <v>35</v>
      </c>
      <c r="I130" s="631" t="s">
        <v>30</v>
      </c>
      <c r="J130" s="624" t="s">
        <v>659</v>
      </c>
      <c r="K130" s="633" t="s">
        <v>38</v>
      </c>
      <c r="L130" s="407"/>
      <c r="M130" s="634"/>
      <c r="N130" s="409"/>
      <c r="O130" s="386"/>
      <c r="P130" s="387"/>
      <c r="Q130" s="388"/>
    </row>
    <row r="131" spans="1:17" x14ac:dyDescent="0.25">
      <c r="A131" s="643"/>
      <c r="B131" s="644"/>
      <c r="C131" s="376"/>
      <c r="D131" s="377" t="s">
        <v>21</v>
      </c>
      <c r="E131" s="259">
        <v>0</v>
      </c>
      <c r="F131" s="378">
        <f>C131*E131</f>
        <v>0</v>
      </c>
      <c r="G131" s="534"/>
      <c r="H131" s="380">
        <v>0</v>
      </c>
      <c r="I131" s="378">
        <f>G131*H131</f>
        <v>0</v>
      </c>
      <c r="J131" s="626"/>
      <c r="K131" s="535">
        <f>F131+I131+J131</f>
        <v>0</v>
      </c>
      <c r="L131" s="383"/>
      <c r="M131" s="627"/>
      <c r="N131" s="385"/>
      <c r="O131" s="386"/>
      <c r="P131" s="387"/>
      <c r="Q131" s="388"/>
    </row>
    <row r="132" spans="1:17" x14ac:dyDescent="0.25">
      <c r="A132" s="392"/>
      <c r="B132" s="7"/>
      <c r="C132" s="376"/>
      <c r="D132" s="377" t="s">
        <v>21</v>
      </c>
      <c r="E132" s="259">
        <v>0</v>
      </c>
      <c r="F132" s="378">
        <f>C132*E132</f>
        <v>0</v>
      </c>
      <c r="G132" s="534"/>
      <c r="H132" s="380">
        <v>0</v>
      </c>
      <c r="I132" s="378">
        <f>G132*H132</f>
        <v>0</v>
      </c>
      <c r="J132" s="626"/>
      <c r="K132" s="535">
        <f>F132+I132+J132</f>
        <v>0</v>
      </c>
      <c r="L132" s="383"/>
      <c r="M132" s="627"/>
      <c r="N132" s="385"/>
      <c r="O132" s="386"/>
      <c r="P132" s="387"/>
      <c r="Q132" s="388"/>
    </row>
    <row r="133" spans="1:17" ht="13.8" thickBot="1" x14ac:dyDescent="0.3">
      <c r="A133" s="392"/>
      <c r="B133" s="7"/>
      <c r="C133" s="376"/>
      <c r="D133" s="377"/>
      <c r="E133" s="259"/>
      <c r="F133" s="378"/>
      <c r="G133" s="534"/>
      <c r="H133" s="380"/>
      <c r="I133" s="378"/>
      <c r="J133" s="626"/>
      <c r="K133" s="535"/>
      <c r="L133" s="383"/>
      <c r="M133" s="627"/>
      <c r="N133" s="385"/>
      <c r="O133" s="386"/>
      <c r="P133" s="387"/>
      <c r="Q133" s="388"/>
    </row>
    <row r="134" spans="1:17" ht="14.4" thickTop="1" thickBot="1" x14ac:dyDescent="0.3">
      <c r="A134" s="475"/>
      <c r="B134" s="156"/>
      <c r="C134" s="476"/>
      <c r="D134" s="477"/>
      <c r="E134" s="637"/>
      <c r="F134" s="479"/>
      <c r="G134" s="638"/>
      <c r="H134" s="637"/>
      <c r="I134" s="479"/>
      <c r="J134" s="481" t="s">
        <v>30</v>
      </c>
      <c r="K134" s="639">
        <f>SUM(K131:K133)</f>
        <v>0</v>
      </c>
      <c r="L134" s="587"/>
      <c r="M134" s="645"/>
      <c r="N134" s="589"/>
      <c r="O134" s="465"/>
      <c r="P134" s="466"/>
      <c r="Q134" s="467"/>
    </row>
    <row r="135" spans="1:17" ht="14.1" customHeight="1" x14ac:dyDescent="0.25">
      <c r="A135" s="483"/>
      <c r="B135" s="484"/>
      <c r="C135" s="485"/>
      <c r="D135" s="485"/>
      <c r="E135" s="646"/>
      <c r="F135" s="1147" t="s">
        <v>658</v>
      </c>
      <c r="G135" s="1071" t="s">
        <v>684</v>
      </c>
      <c r="H135" s="646"/>
      <c r="I135" s="1144" t="s">
        <v>657</v>
      </c>
      <c r="J135" s="1037" t="s">
        <v>685</v>
      </c>
      <c r="K135" s="1136" t="s">
        <v>31</v>
      </c>
    </row>
    <row r="136" spans="1:17" ht="13.8" x14ac:dyDescent="0.25">
      <c r="A136" s="487" t="s">
        <v>32</v>
      </c>
      <c r="B136" s="1146" t="s">
        <v>27</v>
      </c>
      <c r="C136" s="488"/>
      <c r="D136" s="647"/>
      <c r="E136" s="647"/>
      <c r="F136" s="1148"/>
      <c r="G136" s="1072"/>
      <c r="H136" s="648"/>
      <c r="I136" s="1145"/>
      <c r="J136" s="1038"/>
      <c r="K136" s="1137"/>
    </row>
    <row r="137" spans="1:17" ht="13.8" x14ac:dyDescent="0.25">
      <c r="A137" s="831">
        <f>K138/E6</f>
        <v>0</v>
      </c>
      <c r="B137" s="1146"/>
      <c r="C137" s="647"/>
      <c r="D137" s="647"/>
      <c r="E137" s="647"/>
      <c r="F137" s="1138">
        <f>SUM(F131:F133,F125:F127,F119:F121,F113:F115,F107:F109,F102:F103,F97:F98,F92:F93,F86:F88,F66:F82,F60:F62,F41:F56,F35:F37,F11:F31)</f>
        <v>2140</v>
      </c>
      <c r="G137" s="1140">
        <f>SUM(G131:G133,G125:G127,G119:G121,G113:G115,G107:G109,G102:G103,G97:G98,G92:G93,G86:G88,G66:G82,G60:G62,G41:G56,G35:G37,G11:G31)</f>
        <v>0</v>
      </c>
      <c r="H137" s="648"/>
      <c r="I137" s="1138">
        <f>SUM(I131:I133,I125:I127,I119:I121,I113:I115,I107:I109,I102:I103,I97:I98,I92:I93,I86:I88,I66:I82,I60:I62,I41:I56,I35:I37,I11:I31)</f>
        <v>0</v>
      </c>
      <c r="J137" s="1138">
        <f>SUM(J131:J133,J125:J127,J119:J121,J113:J115,J107:J109,J102:J103,J97:J98,J92:J93,J86:J88,J66:J82,J60:J62,J41:J56,J35:J37,J11:J31)</f>
        <v>139886.54</v>
      </c>
      <c r="K137" s="1142">
        <f>K134+K128+K122+K116+K110+K104+K99+K94+K89+K83+K63+K57+K38+K32</f>
        <v>142026.54</v>
      </c>
    </row>
    <row r="138" spans="1:17" ht="14.4" thickBot="1" x14ac:dyDescent="0.3">
      <c r="A138" s="487"/>
      <c r="B138" s="555"/>
      <c r="C138" s="493"/>
      <c r="D138" s="493"/>
      <c r="E138" s="493"/>
      <c r="F138" s="1139"/>
      <c r="G138" s="1141"/>
      <c r="H138" s="493"/>
      <c r="I138" s="1139"/>
      <c r="J138" s="1139"/>
      <c r="K138" s="1143"/>
    </row>
    <row r="139" spans="1:17" ht="13.8" thickBot="1" x14ac:dyDescent="0.3">
      <c r="A139" s="494"/>
      <c r="B139" s="495"/>
      <c r="C139" s="495"/>
      <c r="D139" s="495"/>
      <c r="E139" s="495"/>
      <c r="F139" s="495"/>
      <c r="G139" s="495"/>
      <c r="H139" s="495"/>
      <c r="I139" s="495"/>
      <c r="J139" s="495"/>
      <c r="K139" s="496"/>
    </row>
  </sheetData>
  <mergeCells count="6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33:F33"/>
    <mergeCell ref="G33:I33"/>
    <mergeCell ref="C39:F39"/>
    <mergeCell ref="G39:I39"/>
    <mergeCell ref="C58:F58"/>
    <mergeCell ref="G58:I58"/>
    <mergeCell ref="C64:F64"/>
    <mergeCell ref="G64:I64"/>
    <mergeCell ref="C84:F84"/>
    <mergeCell ref="G84:I84"/>
    <mergeCell ref="C90:F90"/>
    <mergeCell ref="G90:I90"/>
    <mergeCell ref="B136:B137"/>
    <mergeCell ref="C95:F95"/>
    <mergeCell ref="G95:I95"/>
    <mergeCell ref="C100:F100"/>
    <mergeCell ref="G100:I100"/>
    <mergeCell ref="C123:F123"/>
    <mergeCell ref="G123:I123"/>
    <mergeCell ref="C129:F129"/>
    <mergeCell ref="G129:I129"/>
    <mergeCell ref="F135:F136"/>
    <mergeCell ref="C105:F105"/>
    <mergeCell ref="G105:I105"/>
    <mergeCell ref="C111:F111"/>
    <mergeCell ref="G111:I111"/>
    <mergeCell ref="C117:F117"/>
    <mergeCell ref="G117:I117"/>
    <mergeCell ref="K135:K136"/>
    <mergeCell ref="F137:F138"/>
    <mergeCell ref="G137:G138"/>
    <mergeCell ref="I137:I138"/>
    <mergeCell ref="J137:J138"/>
    <mergeCell ref="K137:K138"/>
    <mergeCell ref="J135:J136"/>
    <mergeCell ref="G135:G136"/>
    <mergeCell ref="I135:I136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7" top="0.75" bottom="0.75" header="0.5" footer="0.5"/>
  <pageSetup scale="65" fitToHeight="2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W130"/>
  <sheetViews>
    <sheetView topLeftCell="A5" zoomScale="90" zoomScaleNormal="75" zoomScaleSheetLayoutView="90" zoomScalePageLayoutView="75" workbookViewId="0">
      <selection activeCell="N23" sqref="N23"/>
    </sheetView>
  </sheetViews>
  <sheetFormatPr defaultColWidth="9.109375" defaultRowHeight="13.2" x14ac:dyDescent="0.25"/>
  <cols>
    <col min="1" max="1" width="12.88671875" style="157" bestFit="1" customWidth="1"/>
    <col min="2" max="2" width="46" style="157" customWidth="1"/>
    <col min="3" max="4" width="5" style="445" customWidth="1"/>
    <col min="5" max="5" width="11.44140625" style="157" bestFit="1" customWidth="1"/>
    <col min="6" max="6" width="12.5546875" style="157" bestFit="1" customWidth="1"/>
    <col min="7" max="7" width="8.5546875" style="157" bestFit="1" customWidth="1"/>
    <col min="8" max="8" width="10.88671875" style="157" bestFit="1" customWidth="1"/>
    <col min="9" max="9" width="14.44140625" style="157" bestFit="1" customWidth="1"/>
    <col min="10" max="10" width="16.109375" style="157" bestFit="1" customWidth="1"/>
    <col min="11" max="11" width="14.44140625" style="157" customWidth="1"/>
    <col min="12" max="12" width="17.88671875" style="159" bestFit="1" customWidth="1"/>
    <col min="13" max="13" width="14" style="320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61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5">
      <c r="A4" s="1052"/>
      <c r="B4" s="1053"/>
      <c r="C4" s="519"/>
      <c r="D4" s="1063"/>
      <c r="E4" s="1063"/>
      <c r="F4" s="1063"/>
      <c r="G4" s="614"/>
      <c r="H4" s="614"/>
      <c r="I4" s="613"/>
      <c r="J4" s="334"/>
      <c r="K4" s="335"/>
      <c r="L4" s="1081"/>
      <c r="M4" s="1082"/>
      <c r="N4" s="1064"/>
      <c r="O4" s="1064"/>
      <c r="P4" s="978"/>
    </row>
    <row r="5" spans="1:17" ht="21.6" thickBot="1" x14ac:dyDescent="0.45">
      <c r="A5" s="615"/>
      <c r="B5" s="616"/>
      <c r="C5" s="521"/>
      <c r="D5" s="617"/>
      <c r="E5" s="346"/>
      <c r="F5" s="614"/>
      <c r="G5" s="1149" t="s">
        <v>243</v>
      </c>
      <c r="H5" s="1150"/>
      <c r="I5" s="1151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45">
      <c r="A6" s="615"/>
      <c r="B6" s="616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152"/>
      <c r="H6" s="1153"/>
      <c r="I6" s="1154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x14ac:dyDescent="0.25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x14ac:dyDescent="0.25">
      <c r="A9" s="526"/>
      <c r="B9" s="203"/>
      <c r="C9" s="1155"/>
      <c r="D9" s="1155"/>
      <c r="E9" s="1156"/>
      <c r="F9" s="1156"/>
      <c r="G9" s="1157"/>
      <c r="H9" s="1156"/>
      <c r="I9" s="1156"/>
      <c r="J9" s="1156"/>
      <c r="K9" s="1158"/>
      <c r="L9" s="473"/>
      <c r="M9" s="651"/>
      <c r="N9" s="418"/>
      <c r="O9" s="419"/>
      <c r="P9" s="419"/>
    </row>
    <row r="10" spans="1:17" ht="13.8" thickBot="1" x14ac:dyDescent="0.3">
      <c r="A10" s="652"/>
      <c r="B10" s="653"/>
      <c r="C10" s="1155"/>
      <c r="D10" s="1155"/>
      <c r="E10" s="1156"/>
      <c r="F10" s="1156"/>
      <c r="G10" s="1157"/>
      <c r="H10" s="1156"/>
      <c r="I10" s="1156"/>
      <c r="J10" s="1156"/>
      <c r="K10" s="1158"/>
      <c r="L10" s="473"/>
      <c r="M10" s="651"/>
      <c r="N10" s="418"/>
      <c r="O10" s="419"/>
      <c r="P10" s="419"/>
    </row>
    <row r="11" spans="1:17" ht="14.4" thickTop="1" thickBot="1" x14ac:dyDescent="0.3">
      <c r="A11" s="618" t="s">
        <v>0</v>
      </c>
      <c r="B11" s="619" t="s">
        <v>1</v>
      </c>
      <c r="C11" s="1018" t="s">
        <v>656</v>
      </c>
      <c r="D11" s="1018"/>
      <c r="E11" s="1018"/>
      <c r="F11" s="1018"/>
      <c r="G11" s="1018" t="s">
        <v>34</v>
      </c>
      <c r="H11" s="1018"/>
      <c r="I11" s="1018"/>
      <c r="J11" s="620"/>
      <c r="K11" s="528"/>
      <c r="L11" s="1125" t="s">
        <v>782</v>
      </c>
      <c r="M11" s="1127" t="s">
        <v>783</v>
      </c>
      <c r="N11" s="1129" t="s">
        <v>784</v>
      </c>
      <c r="O11" s="1131"/>
      <c r="P11" s="1133"/>
      <c r="Q11" s="1123"/>
    </row>
    <row r="12" spans="1:17" ht="16.2" thickBot="1" x14ac:dyDescent="0.35">
      <c r="A12" s="583" t="s">
        <v>244</v>
      </c>
      <c r="B12" s="584" t="s">
        <v>245</v>
      </c>
      <c r="C12" s="621" t="s">
        <v>19</v>
      </c>
      <c r="D12" s="621" t="s">
        <v>33</v>
      </c>
      <c r="E12" s="450" t="s">
        <v>35</v>
      </c>
      <c r="F12" s="622" t="s">
        <v>30</v>
      </c>
      <c r="G12" s="623" t="s">
        <v>14</v>
      </c>
      <c r="H12" s="450" t="s">
        <v>35</v>
      </c>
      <c r="I12" s="622" t="s">
        <v>30</v>
      </c>
      <c r="J12" s="624" t="s">
        <v>659</v>
      </c>
      <c r="K12" s="625" t="s">
        <v>38</v>
      </c>
      <c r="L12" s="1126"/>
      <c r="M12" s="1128"/>
      <c r="N12" s="1130"/>
      <c r="O12" s="1132"/>
      <c r="P12" s="1134"/>
      <c r="Q12" s="1124"/>
    </row>
    <row r="13" spans="1:17" x14ac:dyDescent="0.25">
      <c r="A13" s="157" t="s">
        <v>246</v>
      </c>
      <c r="B13" s="854" t="s">
        <v>1060</v>
      </c>
      <c r="C13" s="838"/>
      <c r="D13" s="839" t="s">
        <v>21</v>
      </c>
      <c r="E13" s="259">
        <v>0</v>
      </c>
      <c r="F13" s="378">
        <f t="shared" ref="F13:F32" si="0">C13*E13</f>
        <v>0</v>
      </c>
      <c r="G13" s="534"/>
      <c r="H13" s="380">
        <v>0</v>
      </c>
      <c r="I13" s="378">
        <f t="shared" ref="I13:I32" si="1">G13*H13</f>
        <v>0</v>
      </c>
      <c r="J13" s="947">
        <f>M26</f>
        <v>105487</v>
      </c>
      <c r="K13" s="535">
        <f t="shared" ref="K13:K32" si="2">F13+I13+J13</f>
        <v>105487</v>
      </c>
      <c r="L13" s="383"/>
      <c r="M13" s="627"/>
      <c r="N13" s="385"/>
      <c r="O13" s="386"/>
      <c r="P13" s="387"/>
      <c r="Q13" s="388"/>
    </row>
    <row r="14" spans="1:17" x14ac:dyDescent="0.25">
      <c r="A14" s="157" t="s">
        <v>246</v>
      </c>
      <c r="B14" s="855" t="s">
        <v>1063</v>
      </c>
      <c r="C14" s="838"/>
      <c r="D14" s="839" t="s">
        <v>907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626"/>
      <c r="K14" s="535">
        <f t="shared" si="2"/>
        <v>0</v>
      </c>
      <c r="L14" s="383" t="s">
        <v>1128</v>
      </c>
      <c r="M14" s="943">
        <v>149410</v>
      </c>
      <c r="N14" s="385" t="s">
        <v>1334</v>
      </c>
      <c r="O14" s="386"/>
      <c r="P14" s="387"/>
      <c r="Q14" s="388"/>
    </row>
    <row r="15" spans="1:17" x14ac:dyDescent="0.25">
      <c r="A15" s="157" t="s">
        <v>246</v>
      </c>
      <c r="B15" s="842" t="s">
        <v>1061</v>
      </c>
      <c r="C15" s="838">
        <v>1</v>
      </c>
      <c r="D15" s="839" t="s">
        <v>907</v>
      </c>
      <c r="E15" s="259">
        <v>0</v>
      </c>
      <c r="F15" s="378">
        <f t="shared" si="0"/>
        <v>0</v>
      </c>
      <c r="G15" s="534">
        <f>C15*2</f>
        <v>2</v>
      </c>
      <c r="H15" s="380">
        <v>65</v>
      </c>
      <c r="I15" s="378">
        <f t="shared" si="1"/>
        <v>130</v>
      </c>
      <c r="J15" s="626"/>
      <c r="K15" s="535">
        <f t="shared" si="2"/>
        <v>130</v>
      </c>
      <c r="L15" s="383" t="s">
        <v>1129</v>
      </c>
      <c r="M15" s="627">
        <v>112415</v>
      </c>
      <c r="N15" s="385"/>
      <c r="O15" s="386"/>
      <c r="P15" s="387"/>
      <c r="Q15" s="388"/>
    </row>
    <row r="16" spans="1:17" x14ac:dyDescent="0.25">
      <c r="A16" s="157" t="s">
        <v>246</v>
      </c>
      <c r="B16" s="842" t="s">
        <v>1062</v>
      </c>
      <c r="C16" s="838">
        <v>2</v>
      </c>
      <c r="D16" s="839" t="s">
        <v>907</v>
      </c>
      <c r="E16" s="259">
        <v>0</v>
      </c>
      <c r="F16" s="378">
        <f t="shared" si="0"/>
        <v>0</v>
      </c>
      <c r="G16" s="534">
        <f>C16*2</f>
        <v>4</v>
      </c>
      <c r="H16" s="380">
        <v>65</v>
      </c>
      <c r="I16" s="378">
        <f t="shared" si="1"/>
        <v>260</v>
      </c>
      <c r="J16" s="626"/>
      <c r="K16" s="535">
        <f t="shared" si="2"/>
        <v>260</v>
      </c>
      <c r="L16" s="383" t="s">
        <v>1130</v>
      </c>
      <c r="M16" s="627"/>
      <c r="N16" s="883" t="s">
        <v>1335</v>
      </c>
      <c r="O16" s="386"/>
      <c r="P16" s="387"/>
      <c r="Q16" s="388"/>
    </row>
    <row r="17" spans="1:17" x14ac:dyDescent="0.25">
      <c r="A17" s="157" t="s">
        <v>246</v>
      </c>
      <c r="B17" s="855" t="s">
        <v>1065</v>
      </c>
      <c r="C17" s="838"/>
      <c r="D17" s="839" t="s">
        <v>907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626"/>
      <c r="K17" s="535">
        <f t="shared" si="2"/>
        <v>0</v>
      </c>
      <c r="L17" s="383" t="s">
        <v>1140</v>
      </c>
      <c r="M17" s="627"/>
      <c r="N17" s="385"/>
      <c r="O17" s="386"/>
      <c r="P17" s="387"/>
      <c r="Q17" s="388"/>
    </row>
    <row r="18" spans="1:17" x14ac:dyDescent="0.25">
      <c r="A18" s="157" t="s">
        <v>246</v>
      </c>
      <c r="B18" s="842" t="s">
        <v>1061</v>
      </c>
      <c r="C18" s="838">
        <v>1</v>
      </c>
      <c r="D18" s="839" t="s">
        <v>907</v>
      </c>
      <c r="E18" s="259">
        <v>0</v>
      </c>
      <c r="F18" s="378">
        <f t="shared" si="0"/>
        <v>0</v>
      </c>
      <c r="G18" s="534">
        <f>C18*2</f>
        <v>2</v>
      </c>
      <c r="H18" s="380">
        <v>65</v>
      </c>
      <c r="I18" s="378">
        <f t="shared" si="1"/>
        <v>130</v>
      </c>
      <c r="J18" s="626"/>
      <c r="K18" s="535">
        <f t="shared" si="2"/>
        <v>130</v>
      </c>
      <c r="L18" s="383"/>
      <c r="M18" s="627"/>
      <c r="N18" s="385"/>
      <c r="O18" s="386"/>
      <c r="P18" s="387"/>
      <c r="Q18" s="388"/>
    </row>
    <row r="19" spans="1:17" x14ac:dyDescent="0.25">
      <c r="A19" s="157" t="s">
        <v>246</v>
      </c>
      <c r="B19" s="842" t="s">
        <v>1062</v>
      </c>
      <c r="C19" s="838">
        <v>1</v>
      </c>
      <c r="D19" s="839" t="s">
        <v>907</v>
      </c>
      <c r="E19" s="259">
        <v>0</v>
      </c>
      <c r="F19" s="378">
        <f t="shared" si="0"/>
        <v>0</v>
      </c>
      <c r="G19" s="534">
        <f t="shared" ref="G19:G20" si="3">C19*2</f>
        <v>2</v>
      </c>
      <c r="H19" s="380">
        <v>65</v>
      </c>
      <c r="I19" s="378">
        <f t="shared" si="1"/>
        <v>130</v>
      </c>
      <c r="J19" s="626"/>
      <c r="K19" s="535">
        <f t="shared" si="2"/>
        <v>130</v>
      </c>
      <c r="L19" s="868" t="s">
        <v>1130</v>
      </c>
      <c r="M19" s="627"/>
      <c r="N19" s="385"/>
      <c r="O19" s="386"/>
      <c r="P19" s="387"/>
      <c r="Q19" s="388"/>
    </row>
    <row r="20" spans="1:17" x14ac:dyDescent="0.25">
      <c r="A20" s="157" t="s">
        <v>246</v>
      </c>
      <c r="B20" s="842" t="s">
        <v>1064</v>
      </c>
      <c r="C20" s="838">
        <v>1</v>
      </c>
      <c r="D20" s="839" t="s">
        <v>907</v>
      </c>
      <c r="E20" s="259">
        <v>0</v>
      </c>
      <c r="F20" s="378">
        <f t="shared" si="0"/>
        <v>0</v>
      </c>
      <c r="G20" s="534">
        <f t="shared" si="3"/>
        <v>2</v>
      </c>
      <c r="H20" s="380">
        <v>65</v>
      </c>
      <c r="I20" s="378">
        <f t="shared" si="1"/>
        <v>130</v>
      </c>
      <c r="J20" s="626"/>
      <c r="K20" s="535">
        <f t="shared" si="2"/>
        <v>130</v>
      </c>
      <c r="L20" s="383" t="s">
        <v>1336</v>
      </c>
      <c r="M20" s="627">
        <v>29270</v>
      </c>
      <c r="N20" s="385"/>
      <c r="O20" s="386"/>
      <c r="P20" s="387"/>
      <c r="Q20" s="388"/>
    </row>
    <row r="21" spans="1:17" x14ac:dyDescent="0.25">
      <c r="A21" s="157" t="s">
        <v>246</v>
      </c>
      <c r="B21" s="855" t="s">
        <v>1066</v>
      </c>
      <c r="C21" s="838"/>
      <c r="D21" s="839" t="s">
        <v>907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626"/>
      <c r="K21" s="535">
        <f t="shared" si="2"/>
        <v>0</v>
      </c>
      <c r="L21" s="383" t="s">
        <v>1337</v>
      </c>
      <c r="M21" s="1218">
        <v>5430</v>
      </c>
      <c r="N21" s="1219" t="s">
        <v>1380</v>
      </c>
      <c r="O21" s="386"/>
      <c r="P21" s="387"/>
      <c r="Q21" s="388"/>
    </row>
    <row r="22" spans="1:17" x14ac:dyDescent="0.25">
      <c r="A22" s="157" t="s">
        <v>246</v>
      </c>
      <c r="B22" s="842" t="s">
        <v>1062</v>
      </c>
      <c r="C22" s="838">
        <v>2</v>
      </c>
      <c r="D22" s="839" t="s">
        <v>907</v>
      </c>
      <c r="E22" s="259">
        <v>0</v>
      </c>
      <c r="F22" s="378">
        <f t="shared" si="0"/>
        <v>0</v>
      </c>
      <c r="G22" s="534">
        <f>C22*2</f>
        <v>4</v>
      </c>
      <c r="H22" s="380">
        <v>65</v>
      </c>
      <c r="I22" s="378">
        <f t="shared" si="1"/>
        <v>260</v>
      </c>
      <c r="J22" s="626"/>
      <c r="K22" s="535">
        <f t="shared" si="2"/>
        <v>260</v>
      </c>
      <c r="L22" s="383" t="s">
        <v>1338</v>
      </c>
      <c r="M22" s="627">
        <v>310</v>
      </c>
      <c r="N22" s="385"/>
      <c r="O22" s="386"/>
      <c r="P22" s="387"/>
      <c r="Q22" s="388"/>
    </row>
    <row r="23" spans="1:17" x14ac:dyDescent="0.25">
      <c r="A23" s="157" t="s">
        <v>246</v>
      </c>
      <c r="B23" s="855" t="s">
        <v>1067</v>
      </c>
      <c r="C23" s="838"/>
      <c r="D23" s="839" t="s">
        <v>907</v>
      </c>
      <c r="E23" s="259">
        <v>0</v>
      </c>
      <c r="F23" s="378">
        <f t="shared" si="0"/>
        <v>0</v>
      </c>
      <c r="G23" s="534"/>
      <c r="H23" s="380">
        <v>0</v>
      </c>
      <c r="I23" s="378">
        <f t="shared" si="1"/>
        <v>0</v>
      </c>
      <c r="J23" s="626"/>
      <c r="K23" s="535">
        <f t="shared" si="2"/>
        <v>0</v>
      </c>
      <c r="L23" s="383"/>
      <c r="M23" s="627">
        <v>520</v>
      </c>
      <c r="N23" s="385"/>
      <c r="O23" s="386"/>
      <c r="P23" s="387"/>
      <c r="Q23" s="388"/>
    </row>
    <row r="24" spans="1:17" x14ac:dyDescent="0.25">
      <c r="A24" s="157" t="s">
        <v>246</v>
      </c>
      <c r="B24" s="856" t="s">
        <v>1062</v>
      </c>
      <c r="C24" s="838">
        <v>3</v>
      </c>
      <c r="D24" s="839" t="s">
        <v>907</v>
      </c>
      <c r="E24" s="259">
        <v>0</v>
      </c>
      <c r="F24" s="378">
        <f t="shared" si="0"/>
        <v>0</v>
      </c>
      <c r="G24" s="534">
        <f>C24*2</f>
        <v>6</v>
      </c>
      <c r="H24" s="380">
        <v>65</v>
      </c>
      <c r="I24" s="378">
        <f t="shared" si="1"/>
        <v>390</v>
      </c>
      <c r="J24" s="626"/>
      <c r="K24" s="535">
        <f t="shared" si="2"/>
        <v>390</v>
      </c>
      <c r="L24" s="383"/>
      <c r="M24" s="627">
        <v>67</v>
      </c>
      <c r="N24" s="385"/>
      <c r="O24" s="386"/>
      <c r="P24" s="387"/>
      <c r="Q24" s="388"/>
    </row>
    <row r="25" spans="1:17" x14ac:dyDescent="0.25">
      <c r="A25" s="157" t="s">
        <v>246</v>
      </c>
      <c r="B25" s="856" t="s">
        <v>1068</v>
      </c>
      <c r="C25" s="838">
        <v>4</v>
      </c>
      <c r="D25" s="839" t="s">
        <v>907</v>
      </c>
      <c r="E25" s="259">
        <v>0</v>
      </c>
      <c r="F25" s="378">
        <f t="shared" si="0"/>
        <v>0</v>
      </c>
      <c r="G25" s="534">
        <f>C25*2</f>
        <v>8</v>
      </c>
      <c r="H25" s="380">
        <v>65</v>
      </c>
      <c r="I25" s="378">
        <f t="shared" si="1"/>
        <v>520</v>
      </c>
      <c r="J25" s="626"/>
      <c r="K25" s="535">
        <f t="shared" si="2"/>
        <v>520</v>
      </c>
      <c r="L25" s="383" t="s">
        <v>1339</v>
      </c>
      <c r="M25" s="945">
        <v>69890</v>
      </c>
      <c r="N25" s="385"/>
      <c r="O25" s="386"/>
      <c r="P25" s="387"/>
      <c r="Q25" s="388"/>
    </row>
    <row r="26" spans="1:17" ht="13.8" thickBot="1" x14ac:dyDescent="0.3">
      <c r="A26" s="157" t="s">
        <v>246</v>
      </c>
      <c r="B26" s="855" t="s">
        <v>1069</v>
      </c>
      <c r="C26" s="838"/>
      <c r="D26" s="839" t="s">
        <v>907</v>
      </c>
      <c r="E26" s="259">
        <v>0</v>
      </c>
      <c r="F26" s="378">
        <f t="shared" si="0"/>
        <v>0</v>
      </c>
      <c r="G26" s="534"/>
      <c r="H26" s="380">
        <v>0</v>
      </c>
      <c r="I26" s="378">
        <f t="shared" si="1"/>
        <v>0</v>
      </c>
      <c r="J26" s="626"/>
      <c r="K26" s="535">
        <f t="shared" si="2"/>
        <v>0</v>
      </c>
      <c r="L26" s="383"/>
      <c r="M26" s="948">
        <f>SUM(M20:M25)</f>
        <v>105487</v>
      </c>
      <c r="N26" s="385"/>
      <c r="O26" s="386"/>
      <c r="P26" s="387"/>
      <c r="Q26" s="388"/>
    </row>
    <row r="27" spans="1:17" ht="13.8" thickTop="1" x14ac:dyDescent="0.25">
      <c r="A27" s="157" t="s">
        <v>246</v>
      </c>
      <c r="B27" s="842" t="s">
        <v>1072</v>
      </c>
      <c r="C27" s="838">
        <v>2</v>
      </c>
      <c r="D27" s="839" t="s">
        <v>907</v>
      </c>
      <c r="E27" s="259">
        <v>0</v>
      </c>
      <c r="F27" s="378">
        <f t="shared" si="0"/>
        <v>0</v>
      </c>
      <c r="G27" s="534">
        <f>C27*2</f>
        <v>4</v>
      </c>
      <c r="H27" s="380">
        <v>65</v>
      </c>
      <c r="I27" s="378">
        <f t="shared" si="1"/>
        <v>260</v>
      </c>
      <c r="J27" s="626"/>
      <c r="K27" s="535">
        <f t="shared" si="2"/>
        <v>260</v>
      </c>
      <c r="L27" s="383"/>
      <c r="M27" s="946"/>
      <c r="N27" s="385"/>
      <c r="O27" s="386"/>
      <c r="P27" s="387"/>
      <c r="Q27" s="388"/>
    </row>
    <row r="28" spans="1:17" x14ac:dyDescent="0.25">
      <c r="A28" s="157" t="s">
        <v>246</v>
      </c>
      <c r="B28" s="842" t="s">
        <v>1070</v>
      </c>
      <c r="C28" s="838">
        <v>10</v>
      </c>
      <c r="D28" s="839" t="s">
        <v>907</v>
      </c>
      <c r="E28" s="259">
        <v>0</v>
      </c>
      <c r="F28" s="378">
        <f t="shared" si="0"/>
        <v>0</v>
      </c>
      <c r="G28" s="534">
        <f>C28*2</f>
        <v>20</v>
      </c>
      <c r="H28" s="380">
        <v>65</v>
      </c>
      <c r="I28" s="378">
        <f t="shared" si="1"/>
        <v>1300</v>
      </c>
      <c r="J28" s="626"/>
      <c r="K28" s="535">
        <f t="shared" si="2"/>
        <v>1300</v>
      </c>
      <c r="L28" s="383" t="s">
        <v>1344</v>
      </c>
      <c r="M28" s="627">
        <v>110000</v>
      </c>
      <c r="N28" s="385"/>
      <c r="O28" s="386"/>
      <c r="P28" s="387"/>
      <c r="Q28" s="388"/>
    </row>
    <row r="29" spans="1:17" x14ac:dyDescent="0.25">
      <c r="A29" s="157" t="s">
        <v>246</v>
      </c>
      <c r="B29" s="842" t="s">
        <v>1071</v>
      </c>
      <c r="C29" s="838">
        <v>1</v>
      </c>
      <c r="D29" s="839" t="s">
        <v>907</v>
      </c>
      <c r="E29" s="259">
        <v>0</v>
      </c>
      <c r="F29" s="378">
        <f t="shared" si="0"/>
        <v>0</v>
      </c>
      <c r="G29" s="534">
        <f>C29*2</f>
        <v>2</v>
      </c>
      <c r="H29" s="380">
        <v>65</v>
      </c>
      <c r="I29" s="378">
        <f t="shared" si="1"/>
        <v>130</v>
      </c>
      <c r="J29" s="626"/>
      <c r="K29" s="535">
        <f t="shared" si="2"/>
        <v>130</v>
      </c>
      <c r="L29" s="383"/>
      <c r="M29" s="627"/>
      <c r="N29" s="385"/>
      <c r="O29" s="386"/>
      <c r="P29" s="387"/>
      <c r="Q29" s="388"/>
    </row>
    <row r="30" spans="1:17" x14ac:dyDescent="0.25">
      <c r="A30" s="157" t="s">
        <v>247</v>
      </c>
      <c r="B30" s="157" t="s">
        <v>46</v>
      </c>
      <c r="C30" s="376"/>
      <c r="D30" s="377" t="s">
        <v>21</v>
      </c>
      <c r="E30" s="259">
        <v>0</v>
      </c>
      <c r="F30" s="378">
        <f t="shared" si="0"/>
        <v>0</v>
      </c>
      <c r="G30" s="534"/>
      <c r="H30" s="380">
        <v>0</v>
      </c>
      <c r="I30" s="378">
        <f t="shared" si="1"/>
        <v>0</v>
      </c>
      <c r="J30" s="626"/>
      <c r="K30" s="535">
        <f t="shared" si="2"/>
        <v>0</v>
      </c>
      <c r="L30" s="383"/>
      <c r="M30" s="627"/>
      <c r="N30" s="385"/>
      <c r="O30" s="386"/>
      <c r="P30" s="387"/>
      <c r="Q30" s="388"/>
    </row>
    <row r="31" spans="1:17" x14ac:dyDescent="0.25">
      <c r="A31" s="262"/>
      <c r="B31" s="262"/>
      <c r="C31" s="376"/>
      <c r="D31" s="377" t="s">
        <v>21</v>
      </c>
      <c r="E31" s="259">
        <v>0</v>
      </c>
      <c r="F31" s="378">
        <f t="shared" si="0"/>
        <v>0</v>
      </c>
      <c r="G31" s="534"/>
      <c r="H31" s="380">
        <v>0</v>
      </c>
      <c r="I31" s="378">
        <f t="shared" si="1"/>
        <v>0</v>
      </c>
      <c r="J31" s="626"/>
      <c r="K31" s="535">
        <f t="shared" si="2"/>
        <v>0</v>
      </c>
      <c r="L31" s="383"/>
      <c r="M31" s="627"/>
      <c r="N31" s="385"/>
      <c r="O31" s="386"/>
      <c r="P31" s="387"/>
      <c r="Q31" s="388"/>
    </row>
    <row r="32" spans="1:17" x14ac:dyDescent="0.25">
      <c r="A32" s="375"/>
      <c r="B32" s="5"/>
      <c r="C32" s="376"/>
      <c r="D32" s="377" t="s">
        <v>21</v>
      </c>
      <c r="E32" s="259">
        <v>0</v>
      </c>
      <c r="F32" s="378">
        <f t="shared" si="0"/>
        <v>0</v>
      </c>
      <c r="G32" s="534"/>
      <c r="H32" s="380">
        <v>0</v>
      </c>
      <c r="I32" s="378">
        <f t="shared" si="1"/>
        <v>0</v>
      </c>
      <c r="J32" s="626"/>
      <c r="K32" s="535">
        <f t="shared" si="2"/>
        <v>0</v>
      </c>
      <c r="L32" s="383"/>
      <c r="M32" s="627"/>
      <c r="N32" s="385"/>
      <c r="O32" s="386"/>
      <c r="P32" s="387"/>
      <c r="Q32" s="388"/>
    </row>
    <row r="33" spans="1:23" ht="13.8" thickBot="1" x14ac:dyDescent="0.3">
      <c r="A33" s="392"/>
      <c r="B33" s="7"/>
      <c r="C33" s="393"/>
      <c r="D33" s="377"/>
      <c r="E33" s="259"/>
      <c r="F33" s="378"/>
      <c r="G33" s="534"/>
      <c r="H33" s="380"/>
      <c r="I33" s="378"/>
      <c r="J33" s="626"/>
      <c r="K33" s="535"/>
      <c r="L33" s="383"/>
      <c r="M33" s="627">
        <f>K34+K101</f>
        <v>114437</v>
      </c>
      <c r="N33" s="385" t="s">
        <v>1360</v>
      </c>
      <c r="O33" s="386"/>
      <c r="P33" s="387"/>
      <c r="Q33" s="388"/>
    </row>
    <row r="34" spans="1:23" ht="13.8" thickTop="1" x14ac:dyDescent="0.25">
      <c r="A34" s="392"/>
      <c r="B34" s="7"/>
      <c r="C34" s="393"/>
      <c r="D34" s="377"/>
      <c r="E34" s="259"/>
      <c r="F34" s="378"/>
      <c r="G34" s="534"/>
      <c r="H34" s="380"/>
      <c r="I34" s="378"/>
      <c r="J34" s="394" t="s">
        <v>30</v>
      </c>
      <c r="K34" s="537">
        <f>SUM(K13:K33)</f>
        <v>109127</v>
      </c>
      <c r="L34" s="383"/>
      <c r="M34" s="627"/>
      <c r="N34" s="385"/>
      <c r="O34" s="386"/>
      <c r="P34" s="387"/>
      <c r="Q34" s="388"/>
    </row>
    <row r="35" spans="1:23" ht="13.8" thickBot="1" x14ac:dyDescent="0.3">
      <c r="A35" s="618" t="s">
        <v>0</v>
      </c>
      <c r="B35" s="619" t="s">
        <v>1</v>
      </c>
      <c r="C35" s="1018" t="s">
        <v>656</v>
      </c>
      <c r="D35" s="1018"/>
      <c r="E35" s="1018"/>
      <c r="F35" s="1018"/>
      <c r="G35" s="1018" t="s">
        <v>34</v>
      </c>
      <c r="H35" s="1018"/>
      <c r="I35" s="1018"/>
      <c r="J35" s="620"/>
      <c r="K35" s="528"/>
      <c r="L35" s="396"/>
      <c r="M35" s="628"/>
      <c r="N35" s="398"/>
      <c r="O35" s="386"/>
      <c r="P35" s="387"/>
      <c r="Q35" s="388"/>
    </row>
    <row r="36" spans="1:23" ht="16.2" thickBot="1" x14ac:dyDescent="0.35">
      <c r="A36" s="583" t="s">
        <v>248</v>
      </c>
      <c r="B36" s="584" t="s">
        <v>249</v>
      </c>
      <c r="C36" s="629" t="s">
        <v>19</v>
      </c>
      <c r="D36" s="629" t="s">
        <v>33</v>
      </c>
      <c r="E36" s="630" t="s">
        <v>35</v>
      </c>
      <c r="F36" s="631" t="s">
        <v>30</v>
      </c>
      <c r="G36" s="632" t="s">
        <v>14</v>
      </c>
      <c r="H36" s="630" t="s">
        <v>35</v>
      </c>
      <c r="I36" s="631" t="s">
        <v>30</v>
      </c>
      <c r="J36" s="624" t="s">
        <v>659</v>
      </c>
      <c r="K36" s="633" t="s">
        <v>38</v>
      </c>
      <c r="L36" s="407"/>
      <c r="M36" s="634"/>
      <c r="N36" s="409"/>
      <c r="O36" s="386"/>
      <c r="P36" s="387"/>
      <c r="Q36" s="388"/>
    </row>
    <row r="37" spans="1:23" x14ac:dyDescent="0.25">
      <c r="A37" s="392"/>
      <c r="B37" s="7"/>
      <c r="C37" s="376"/>
      <c r="D37" s="377" t="s">
        <v>21</v>
      </c>
      <c r="E37" s="259">
        <v>0</v>
      </c>
      <c r="F37" s="378">
        <f>C37*E37</f>
        <v>0</v>
      </c>
      <c r="G37" s="534"/>
      <c r="H37" s="380">
        <v>0</v>
      </c>
      <c r="I37" s="378">
        <f>G37*H37</f>
        <v>0</v>
      </c>
      <c r="J37" s="626"/>
      <c r="K37" s="535">
        <f>F37+I37+J37</f>
        <v>0</v>
      </c>
      <c r="L37" s="157"/>
      <c r="M37" s="635"/>
      <c r="O37" s="386"/>
      <c r="P37" s="387"/>
      <c r="Q37" s="388"/>
    </row>
    <row r="38" spans="1:23" x14ac:dyDescent="0.25">
      <c r="A38" s="392"/>
      <c r="B38" s="7"/>
      <c r="C38" s="376"/>
      <c r="D38" s="377" t="s">
        <v>21</v>
      </c>
      <c r="E38" s="259">
        <v>0</v>
      </c>
      <c r="F38" s="378">
        <f>C38*E38</f>
        <v>0</v>
      </c>
      <c r="G38" s="534"/>
      <c r="H38" s="380">
        <v>0</v>
      </c>
      <c r="I38" s="378">
        <f>G38*H38</f>
        <v>0</v>
      </c>
      <c r="J38" s="626"/>
      <c r="K38" s="535">
        <f>F38+I38+J38</f>
        <v>0</v>
      </c>
      <c r="O38" s="386"/>
      <c r="P38" s="387"/>
      <c r="Q38" s="388"/>
    </row>
    <row r="39" spans="1:23" ht="13.8" thickBot="1" x14ac:dyDescent="0.3">
      <c r="A39" s="392"/>
      <c r="B39" s="7"/>
      <c r="C39" s="376"/>
      <c r="D39" s="377" t="s">
        <v>21</v>
      </c>
      <c r="E39" s="259">
        <v>0</v>
      </c>
      <c r="F39" s="378">
        <f>C39*E39</f>
        <v>0</v>
      </c>
      <c r="G39" s="534"/>
      <c r="H39" s="380">
        <v>0</v>
      </c>
      <c r="I39" s="378">
        <f>G39*H39</f>
        <v>0</v>
      </c>
      <c r="J39" s="626"/>
      <c r="K39" s="535">
        <f>F39+I39+J39</f>
        <v>0</v>
      </c>
      <c r="L39" s="383"/>
      <c r="M39" s="627"/>
      <c r="N39" s="385"/>
      <c r="O39" s="386"/>
      <c r="P39" s="387"/>
      <c r="Q39" s="388"/>
    </row>
    <row r="40" spans="1:23" s="159" customFormat="1" ht="13.8" thickTop="1" x14ac:dyDescent="0.25">
      <c r="A40" s="392"/>
      <c r="B40" s="5"/>
      <c r="C40" s="393"/>
      <c r="D40" s="377"/>
      <c r="E40" s="259"/>
      <c r="F40" s="378"/>
      <c r="G40" s="534"/>
      <c r="H40" s="380"/>
      <c r="I40" s="378"/>
      <c r="J40" s="394" t="s">
        <v>30</v>
      </c>
      <c r="K40" s="537">
        <f>SUM(K37:K39)</f>
        <v>0</v>
      </c>
      <c r="L40" s="383"/>
      <c r="M40" s="627"/>
      <c r="N40" s="385"/>
      <c r="O40" s="386"/>
      <c r="P40" s="387"/>
      <c r="Q40" s="388"/>
      <c r="W40" s="157"/>
    </row>
    <row r="41" spans="1:23" s="159" customFormat="1" ht="13.8" thickBot="1" x14ac:dyDescent="0.3">
      <c r="A41" s="618" t="s">
        <v>0</v>
      </c>
      <c r="B41" s="619" t="s">
        <v>1</v>
      </c>
      <c r="C41" s="1018" t="s">
        <v>656</v>
      </c>
      <c r="D41" s="1018"/>
      <c r="E41" s="1018"/>
      <c r="F41" s="1018"/>
      <c r="G41" s="1018" t="s">
        <v>34</v>
      </c>
      <c r="H41" s="1018"/>
      <c r="I41" s="1018"/>
      <c r="J41" s="620"/>
      <c r="K41" s="528"/>
      <c r="L41" s="396"/>
      <c r="M41" s="628"/>
      <c r="N41" s="398"/>
      <c r="O41" s="386"/>
      <c r="P41" s="387"/>
      <c r="Q41" s="388"/>
      <c r="W41" s="157"/>
    </row>
    <row r="42" spans="1:23" s="159" customFormat="1" ht="16.2" thickBot="1" x14ac:dyDescent="0.35">
      <c r="A42" s="583" t="s">
        <v>250</v>
      </c>
      <c r="B42" s="584" t="s">
        <v>251</v>
      </c>
      <c r="C42" s="629" t="s">
        <v>19</v>
      </c>
      <c r="D42" s="629" t="s">
        <v>33</v>
      </c>
      <c r="E42" s="630" t="s">
        <v>35</v>
      </c>
      <c r="F42" s="631" t="s">
        <v>30</v>
      </c>
      <c r="G42" s="632" t="s">
        <v>14</v>
      </c>
      <c r="H42" s="630" t="s">
        <v>35</v>
      </c>
      <c r="I42" s="631" t="s">
        <v>30</v>
      </c>
      <c r="J42" s="624" t="s">
        <v>659</v>
      </c>
      <c r="K42" s="633" t="s">
        <v>38</v>
      </c>
      <c r="L42" s="407"/>
      <c r="M42" s="636"/>
      <c r="N42" s="414"/>
      <c r="O42" s="386"/>
      <c r="P42" s="387"/>
      <c r="Q42" s="388"/>
      <c r="W42" s="157"/>
    </row>
    <row r="43" spans="1:23" s="159" customFormat="1" x14ac:dyDescent="0.25">
      <c r="A43" s="392"/>
      <c r="B43" s="7"/>
      <c r="C43" s="376"/>
      <c r="D43" s="377" t="s">
        <v>21</v>
      </c>
      <c r="E43" s="259">
        <v>0</v>
      </c>
      <c r="F43" s="378">
        <f>C43*E43</f>
        <v>0</v>
      </c>
      <c r="G43" s="534"/>
      <c r="H43" s="380">
        <v>0</v>
      </c>
      <c r="I43" s="378">
        <f>G43*H43</f>
        <v>0</v>
      </c>
      <c r="J43" s="626"/>
      <c r="K43" s="535">
        <f>F43+I43+J43</f>
        <v>0</v>
      </c>
      <c r="L43" s="157"/>
      <c r="M43" s="635"/>
      <c r="N43" s="157"/>
      <c r="O43" s="386"/>
      <c r="P43" s="387"/>
      <c r="Q43" s="388"/>
      <c r="W43" s="157"/>
    </row>
    <row r="44" spans="1:23" s="159" customFormat="1" ht="13.8" thickBot="1" x14ac:dyDescent="0.3">
      <c r="A44" s="392"/>
      <c r="B44" s="7"/>
      <c r="C44" s="376"/>
      <c r="D44" s="377" t="s">
        <v>21</v>
      </c>
      <c r="E44" s="259">
        <v>0</v>
      </c>
      <c r="F44" s="378">
        <f>C44*E44</f>
        <v>0</v>
      </c>
      <c r="G44" s="534"/>
      <c r="H44" s="380">
        <v>0</v>
      </c>
      <c r="I44" s="378">
        <f>G44*H44</f>
        <v>0</v>
      </c>
      <c r="J44" s="626"/>
      <c r="K44" s="535">
        <f>F44+I44+J44</f>
        <v>0</v>
      </c>
      <c r="L44" s="157"/>
      <c r="M44" s="635"/>
      <c r="N44" s="157"/>
      <c r="O44" s="386"/>
      <c r="P44" s="387"/>
      <c r="Q44" s="388"/>
      <c r="W44" s="157"/>
    </row>
    <row r="45" spans="1:23" ht="13.8" thickTop="1" x14ac:dyDescent="0.25">
      <c r="A45" s="392"/>
      <c r="B45" s="417"/>
      <c r="C45" s="393"/>
      <c r="D45" s="377"/>
      <c r="E45" s="259"/>
      <c r="F45" s="378"/>
      <c r="G45" s="534"/>
      <c r="H45" s="380"/>
      <c r="I45" s="378"/>
      <c r="J45" s="394" t="s">
        <v>30</v>
      </c>
      <c r="K45" s="537">
        <f>SUM(K43:K44)</f>
        <v>0</v>
      </c>
      <c r="L45" s="383"/>
      <c r="M45" s="627"/>
      <c r="N45" s="385"/>
      <c r="O45" s="386"/>
      <c r="P45" s="387"/>
      <c r="Q45" s="388"/>
    </row>
    <row r="46" spans="1:23" ht="13.8" thickBot="1" x14ac:dyDescent="0.3">
      <c r="A46" s="618" t="s">
        <v>0</v>
      </c>
      <c r="B46" s="619" t="s">
        <v>1</v>
      </c>
      <c r="C46" s="1018" t="s">
        <v>656</v>
      </c>
      <c r="D46" s="1018"/>
      <c r="E46" s="1018"/>
      <c r="F46" s="1018"/>
      <c r="G46" s="1018" t="s">
        <v>34</v>
      </c>
      <c r="H46" s="1018"/>
      <c r="I46" s="1018"/>
      <c r="J46" s="620"/>
      <c r="K46" s="528"/>
      <c r="L46" s="396"/>
      <c r="M46" s="628"/>
      <c r="N46" s="398"/>
      <c r="O46" s="386"/>
      <c r="P46" s="387"/>
      <c r="Q46" s="388"/>
    </row>
    <row r="47" spans="1:23" ht="16.2" thickBot="1" x14ac:dyDescent="0.35">
      <c r="A47" s="583" t="s">
        <v>252</v>
      </c>
      <c r="B47" s="584" t="s">
        <v>253</v>
      </c>
      <c r="C47" s="629" t="s">
        <v>19</v>
      </c>
      <c r="D47" s="629" t="s">
        <v>33</v>
      </c>
      <c r="E47" s="630" t="s">
        <v>35</v>
      </c>
      <c r="F47" s="631" t="s">
        <v>30</v>
      </c>
      <c r="G47" s="632" t="s">
        <v>14</v>
      </c>
      <c r="H47" s="630" t="s">
        <v>35</v>
      </c>
      <c r="I47" s="631" t="s">
        <v>30</v>
      </c>
      <c r="J47" s="624" t="s">
        <v>659</v>
      </c>
      <c r="K47" s="633" t="s">
        <v>38</v>
      </c>
      <c r="L47" s="407"/>
      <c r="M47" s="636"/>
      <c r="N47" s="414"/>
      <c r="O47" s="386"/>
      <c r="P47" s="387"/>
      <c r="Q47" s="388"/>
    </row>
    <row r="48" spans="1:23" x14ac:dyDescent="0.25">
      <c r="A48" s="392"/>
      <c r="B48" s="7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626"/>
      <c r="K48" s="535">
        <f>F48+I48+J48</f>
        <v>0</v>
      </c>
      <c r="L48" s="383"/>
      <c r="M48" s="627"/>
      <c r="N48" s="385"/>
      <c r="O48" s="386"/>
      <c r="P48" s="387"/>
      <c r="Q48" s="388"/>
    </row>
    <row r="49" spans="1:17" x14ac:dyDescent="0.25">
      <c r="A49" s="392"/>
      <c r="B49" s="7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626"/>
      <c r="K49" s="535">
        <f>F49+I49+J49</f>
        <v>0</v>
      </c>
      <c r="L49" s="383"/>
      <c r="M49" s="627"/>
      <c r="N49" s="385"/>
      <c r="O49" s="386"/>
      <c r="P49" s="387"/>
      <c r="Q49" s="388"/>
    </row>
    <row r="50" spans="1:17" ht="13.8" thickBot="1" x14ac:dyDescent="0.3">
      <c r="A50" s="392"/>
      <c r="B50" s="7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626"/>
      <c r="K50" s="535">
        <f>F50+I50+J50</f>
        <v>0</v>
      </c>
      <c r="L50" s="383"/>
      <c r="M50" s="627"/>
      <c r="N50" s="385"/>
      <c r="O50" s="386"/>
      <c r="P50" s="387"/>
      <c r="Q50" s="388"/>
    </row>
    <row r="51" spans="1:17" ht="13.8" thickTop="1" x14ac:dyDescent="0.25">
      <c r="A51" s="392"/>
      <c r="B51" s="417"/>
      <c r="C51" s="393"/>
      <c r="D51" s="377"/>
      <c r="E51" s="259"/>
      <c r="F51" s="378"/>
      <c r="G51" s="534"/>
      <c r="H51" s="380"/>
      <c r="I51" s="378"/>
      <c r="J51" s="394" t="s">
        <v>30</v>
      </c>
      <c r="K51" s="537">
        <f>SUM(K48:K50)</f>
        <v>0</v>
      </c>
      <c r="L51" s="383"/>
      <c r="M51" s="627"/>
      <c r="N51" s="385"/>
      <c r="O51" s="386"/>
      <c r="P51" s="387"/>
      <c r="Q51" s="388"/>
    </row>
    <row r="52" spans="1:17" ht="13.8" thickBot="1" x14ac:dyDescent="0.3">
      <c r="A52" s="618" t="s">
        <v>0</v>
      </c>
      <c r="B52" s="619" t="s">
        <v>1</v>
      </c>
      <c r="C52" s="1018" t="s">
        <v>656</v>
      </c>
      <c r="D52" s="1018"/>
      <c r="E52" s="1018"/>
      <c r="F52" s="1018"/>
      <c r="G52" s="1018" t="s">
        <v>34</v>
      </c>
      <c r="H52" s="1018"/>
      <c r="I52" s="1018"/>
      <c r="J52" s="620"/>
      <c r="K52" s="528"/>
      <c r="L52" s="396"/>
      <c r="M52" s="628"/>
      <c r="N52" s="398"/>
      <c r="O52" s="386"/>
      <c r="P52" s="387"/>
      <c r="Q52" s="388"/>
    </row>
    <row r="53" spans="1:17" ht="16.2" thickBot="1" x14ac:dyDescent="0.35">
      <c r="A53" s="583" t="s">
        <v>254</v>
      </c>
      <c r="B53" s="584" t="s">
        <v>255</v>
      </c>
      <c r="C53" s="629" t="s">
        <v>19</v>
      </c>
      <c r="D53" s="629" t="s">
        <v>33</v>
      </c>
      <c r="E53" s="630" t="s">
        <v>35</v>
      </c>
      <c r="F53" s="631" t="s">
        <v>30</v>
      </c>
      <c r="G53" s="632" t="s">
        <v>14</v>
      </c>
      <c r="H53" s="630" t="s">
        <v>35</v>
      </c>
      <c r="I53" s="631" t="s">
        <v>30</v>
      </c>
      <c r="J53" s="624" t="s">
        <v>659</v>
      </c>
      <c r="K53" s="633" t="s">
        <v>38</v>
      </c>
      <c r="L53" s="407"/>
      <c r="M53" s="636"/>
      <c r="N53" s="414"/>
      <c r="O53" s="386"/>
      <c r="P53" s="387"/>
      <c r="Q53" s="388"/>
    </row>
    <row r="54" spans="1:17" x14ac:dyDescent="0.25">
      <c r="A54" s="392"/>
      <c r="B54" s="7"/>
      <c r="C54" s="376"/>
      <c r="D54" s="377" t="s">
        <v>21</v>
      </c>
      <c r="E54" s="259">
        <v>0</v>
      </c>
      <c r="F54" s="378">
        <f>C54*E54</f>
        <v>0</v>
      </c>
      <c r="G54" s="534"/>
      <c r="H54" s="380">
        <v>0</v>
      </c>
      <c r="I54" s="378">
        <f>G54*H54</f>
        <v>0</v>
      </c>
      <c r="J54" s="626"/>
      <c r="K54" s="535">
        <f>F54+I54+J54</f>
        <v>0</v>
      </c>
      <c r="O54" s="386"/>
      <c r="P54" s="387"/>
      <c r="Q54" s="388"/>
    </row>
    <row r="55" spans="1:17" x14ac:dyDescent="0.25">
      <c r="A55" s="392"/>
      <c r="B55" s="7"/>
      <c r="C55" s="376"/>
      <c r="D55" s="377" t="s">
        <v>21</v>
      </c>
      <c r="E55" s="259">
        <v>0</v>
      </c>
      <c r="F55" s="378">
        <f>C55*E55</f>
        <v>0</v>
      </c>
      <c r="G55" s="534"/>
      <c r="H55" s="380">
        <v>0</v>
      </c>
      <c r="I55" s="378">
        <f>G55*H55</f>
        <v>0</v>
      </c>
      <c r="J55" s="626"/>
      <c r="K55" s="535">
        <f>F55+I55+J55</f>
        <v>0</v>
      </c>
      <c r="L55" s="157"/>
      <c r="M55" s="635"/>
      <c r="O55" s="415"/>
      <c r="P55" s="416"/>
      <c r="Q55" s="388"/>
    </row>
    <row r="56" spans="1:17" ht="13.8" thickBot="1" x14ac:dyDescent="0.3">
      <c r="A56" s="392"/>
      <c r="B56" s="7"/>
      <c r="C56" s="376"/>
      <c r="D56" s="377" t="s">
        <v>21</v>
      </c>
      <c r="E56" s="259">
        <v>0</v>
      </c>
      <c r="F56" s="378">
        <f>C56*E56</f>
        <v>0</v>
      </c>
      <c r="G56" s="534"/>
      <c r="H56" s="380">
        <v>0</v>
      </c>
      <c r="I56" s="378">
        <f>G56*H56</f>
        <v>0</v>
      </c>
      <c r="J56" s="626"/>
      <c r="K56" s="535">
        <f>F56+I56+J56</f>
        <v>0</v>
      </c>
      <c r="L56" s="383"/>
      <c r="M56" s="307"/>
      <c r="N56" s="426"/>
      <c r="O56" s="415"/>
      <c r="P56" s="416"/>
      <c r="Q56" s="388"/>
    </row>
    <row r="57" spans="1:17" ht="13.8" thickTop="1" x14ac:dyDescent="0.25">
      <c r="A57" s="392"/>
      <c r="B57" s="417"/>
      <c r="C57" s="393"/>
      <c r="D57" s="377"/>
      <c r="E57" s="259"/>
      <c r="F57" s="378"/>
      <c r="G57" s="534"/>
      <c r="H57" s="380"/>
      <c r="I57" s="378"/>
      <c r="J57" s="394" t="s">
        <v>30</v>
      </c>
      <c r="K57" s="537">
        <f>SUM(K54:K56)</f>
        <v>0</v>
      </c>
      <c r="L57" s="383"/>
      <c r="M57" s="307"/>
      <c r="N57" s="426"/>
      <c r="O57" s="415"/>
      <c r="P57" s="416"/>
      <c r="Q57" s="388"/>
    </row>
    <row r="58" spans="1:17" ht="13.8" thickBot="1" x14ac:dyDescent="0.3">
      <c r="A58" s="618" t="s">
        <v>0</v>
      </c>
      <c r="B58" s="619" t="s">
        <v>1</v>
      </c>
      <c r="C58" s="1018" t="s">
        <v>656</v>
      </c>
      <c r="D58" s="1018"/>
      <c r="E58" s="1018"/>
      <c r="F58" s="1018"/>
      <c r="G58" s="1018" t="s">
        <v>34</v>
      </c>
      <c r="H58" s="1018"/>
      <c r="I58" s="1018"/>
      <c r="J58" s="620"/>
      <c r="K58" s="528"/>
      <c r="L58" s="396"/>
      <c r="M58" s="628"/>
      <c r="N58" s="398"/>
      <c r="O58" s="415"/>
      <c r="P58" s="416"/>
      <c r="Q58" s="388"/>
    </row>
    <row r="59" spans="1:17" ht="16.2" thickBot="1" x14ac:dyDescent="0.35">
      <c r="A59" s="583" t="s">
        <v>256</v>
      </c>
      <c r="B59" s="584" t="s">
        <v>257</v>
      </c>
      <c r="C59" s="629" t="s">
        <v>19</v>
      </c>
      <c r="D59" s="629" t="s">
        <v>33</v>
      </c>
      <c r="E59" s="630" t="s">
        <v>35</v>
      </c>
      <c r="F59" s="631" t="s">
        <v>30</v>
      </c>
      <c r="G59" s="632" t="s">
        <v>14</v>
      </c>
      <c r="H59" s="630" t="s">
        <v>35</v>
      </c>
      <c r="I59" s="631" t="s">
        <v>30</v>
      </c>
      <c r="J59" s="624" t="s">
        <v>659</v>
      </c>
      <c r="K59" s="633" t="s">
        <v>38</v>
      </c>
      <c r="L59" s="407"/>
      <c r="M59" s="636"/>
      <c r="N59" s="414"/>
      <c r="O59" s="415"/>
      <c r="P59" s="416"/>
      <c r="Q59" s="388"/>
    </row>
    <row r="60" spans="1:17" x14ac:dyDescent="0.25">
      <c r="A60" s="392"/>
      <c r="B60" s="7"/>
      <c r="C60" s="376"/>
      <c r="D60" s="377" t="s">
        <v>21</v>
      </c>
      <c r="E60" s="259">
        <v>0</v>
      </c>
      <c r="F60" s="378">
        <f>C60*E60</f>
        <v>0</v>
      </c>
      <c r="G60" s="534"/>
      <c r="H60" s="380">
        <v>0</v>
      </c>
      <c r="I60" s="378">
        <f>G60*H60</f>
        <v>0</v>
      </c>
      <c r="J60" s="626"/>
      <c r="K60" s="535">
        <f>F60+I60+J60</f>
        <v>0</v>
      </c>
      <c r="L60" s="383"/>
      <c r="M60" s="307"/>
      <c r="N60" s="426"/>
      <c r="O60" s="415"/>
      <c r="P60" s="416"/>
      <c r="Q60" s="388"/>
    </row>
    <row r="61" spans="1:17" x14ac:dyDescent="0.25">
      <c r="A61" s="392"/>
      <c r="B61" s="7"/>
      <c r="C61" s="376"/>
      <c r="D61" s="377" t="s">
        <v>21</v>
      </c>
      <c r="E61" s="259">
        <v>0</v>
      </c>
      <c r="F61" s="378">
        <f>C61*E61</f>
        <v>0</v>
      </c>
      <c r="G61" s="534"/>
      <c r="H61" s="380">
        <v>0</v>
      </c>
      <c r="I61" s="378">
        <f>G61*H61</f>
        <v>0</v>
      </c>
      <c r="J61" s="626"/>
      <c r="K61" s="535">
        <f>F61+I61+J61</f>
        <v>0</v>
      </c>
      <c r="L61" s="383"/>
      <c r="M61" s="307"/>
      <c r="N61" s="385"/>
      <c r="O61" s="386"/>
      <c r="P61" s="387"/>
      <c r="Q61" s="388"/>
    </row>
    <row r="62" spans="1:17" ht="13.8" thickBot="1" x14ac:dyDescent="0.3">
      <c r="A62" s="392"/>
      <c r="B62" s="7"/>
      <c r="C62" s="376"/>
      <c r="D62" s="377" t="s">
        <v>21</v>
      </c>
      <c r="E62" s="259">
        <v>0</v>
      </c>
      <c r="F62" s="378">
        <f>C62*E62</f>
        <v>0</v>
      </c>
      <c r="G62" s="534"/>
      <c r="H62" s="380">
        <v>0</v>
      </c>
      <c r="I62" s="378">
        <f>G62*H62</f>
        <v>0</v>
      </c>
      <c r="J62" s="626"/>
      <c r="K62" s="535">
        <f>F62+I62+J62</f>
        <v>0</v>
      </c>
      <c r="L62" s="157"/>
      <c r="M62" s="635"/>
      <c r="O62" s="386"/>
      <c r="P62" s="387"/>
      <c r="Q62" s="388"/>
    </row>
    <row r="63" spans="1:17" ht="13.8" thickTop="1" x14ac:dyDescent="0.25">
      <c r="A63" s="392"/>
      <c r="B63" s="417"/>
      <c r="C63" s="393"/>
      <c r="D63" s="377"/>
      <c r="E63" s="259"/>
      <c r="F63" s="378"/>
      <c r="G63" s="534"/>
      <c r="H63" s="380"/>
      <c r="I63" s="378"/>
      <c r="J63" s="394" t="s">
        <v>30</v>
      </c>
      <c r="K63" s="537">
        <f>SUM(K60:K62)</f>
        <v>0</v>
      </c>
      <c r="O63" s="386"/>
      <c r="P63" s="416"/>
      <c r="Q63" s="388"/>
    </row>
    <row r="64" spans="1:17" ht="13.8" thickBot="1" x14ac:dyDescent="0.3">
      <c r="A64" s="618" t="s">
        <v>0</v>
      </c>
      <c r="B64" s="619" t="s">
        <v>1</v>
      </c>
      <c r="C64" s="1018" t="s">
        <v>656</v>
      </c>
      <c r="D64" s="1018"/>
      <c r="E64" s="1018"/>
      <c r="F64" s="1018"/>
      <c r="G64" s="1018" t="s">
        <v>34</v>
      </c>
      <c r="H64" s="1018"/>
      <c r="I64" s="1018"/>
      <c r="J64" s="620"/>
      <c r="K64" s="528"/>
      <c r="L64" s="396"/>
      <c r="M64" s="620"/>
      <c r="N64" s="398"/>
      <c r="O64" s="386"/>
      <c r="P64" s="387"/>
      <c r="Q64" s="388"/>
    </row>
    <row r="65" spans="1:17" ht="16.2" thickBot="1" x14ac:dyDescent="0.35">
      <c r="A65" s="583" t="s">
        <v>258</v>
      </c>
      <c r="B65" s="584" t="s">
        <v>60</v>
      </c>
      <c r="C65" s="629" t="s">
        <v>19</v>
      </c>
      <c r="D65" s="629" t="s">
        <v>33</v>
      </c>
      <c r="E65" s="630" t="s">
        <v>35</v>
      </c>
      <c r="F65" s="631" t="s">
        <v>30</v>
      </c>
      <c r="G65" s="632" t="s">
        <v>14</v>
      </c>
      <c r="H65" s="630" t="s">
        <v>35</v>
      </c>
      <c r="I65" s="631" t="s">
        <v>30</v>
      </c>
      <c r="J65" s="624" t="s">
        <v>659</v>
      </c>
      <c r="K65" s="633" t="s">
        <v>38</v>
      </c>
      <c r="L65" s="407"/>
      <c r="M65" s="636"/>
      <c r="N65" s="409"/>
      <c r="O65" s="386"/>
      <c r="P65" s="387"/>
      <c r="Q65" s="388"/>
    </row>
    <row r="66" spans="1:17" x14ac:dyDescent="0.25">
      <c r="A66" s="392"/>
      <c r="B66" s="7"/>
      <c r="C66" s="376"/>
      <c r="D66" s="377" t="s">
        <v>21</v>
      </c>
      <c r="E66" s="259">
        <v>0</v>
      </c>
      <c r="F66" s="378">
        <f>C66*E66</f>
        <v>0</v>
      </c>
      <c r="G66" s="534"/>
      <c r="H66" s="380">
        <v>0</v>
      </c>
      <c r="I66" s="378">
        <f>G66*H66</f>
        <v>0</v>
      </c>
      <c r="J66" s="626"/>
      <c r="K66" s="535">
        <f>F66+I66+J66</f>
        <v>0</v>
      </c>
      <c r="L66" s="383"/>
      <c r="M66" s="307"/>
      <c r="N66" s="385"/>
      <c r="O66" s="386"/>
      <c r="P66" s="387"/>
      <c r="Q66" s="388"/>
    </row>
    <row r="67" spans="1:17" ht="13.8" thickBot="1" x14ac:dyDescent="0.3">
      <c r="A67" s="392"/>
      <c r="B67" s="7"/>
      <c r="C67" s="376"/>
      <c r="D67" s="377" t="s">
        <v>21</v>
      </c>
      <c r="E67" s="259">
        <v>0</v>
      </c>
      <c r="F67" s="378">
        <f>C67*E67</f>
        <v>0</v>
      </c>
      <c r="G67" s="534"/>
      <c r="H67" s="380">
        <v>0</v>
      </c>
      <c r="I67" s="378">
        <f>G67*H67</f>
        <v>0</v>
      </c>
      <c r="J67" s="626"/>
      <c r="K67" s="535">
        <f>F67+I67+J67</f>
        <v>0</v>
      </c>
      <c r="L67" s="383"/>
      <c r="M67" s="307"/>
      <c r="N67" s="385"/>
      <c r="O67" s="386"/>
      <c r="P67" s="387"/>
      <c r="Q67" s="388"/>
    </row>
    <row r="68" spans="1:17" ht="13.8" thickTop="1" x14ac:dyDescent="0.25">
      <c r="A68" s="392"/>
      <c r="C68" s="393"/>
      <c r="D68" s="377"/>
      <c r="E68" s="259"/>
      <c r="F68" s="378"/>
      <c r="G68" s="534"/>
      <c r="H68" s="380"/>
      <c r="I68" s="378"/>
      <c r="J68" s="394" t="s">
        <v>30</v>
      </c>
      <c r="K68" s="537">
        <f>SUM(K66:K67)</f>
        <v>0</v>
      </c>
      <c r="L68" s="383"/>
      <c r="M68" s="307"/>
      <c r="N68" s="385"/>
      <c r="O68" s="386"/>
      <c r="P68" s="387"/>
      <c r="Q68" s="388"/>
    </row>
    <row r="69" spans="1:17" ht="13.8" thickBot="1" x14ac:dyDescent="0.3">
      <c r="A69" s="618" t="s">
        <v>0</v>
      </c>
      <c r="B69" s="619" t="s">
        <v>1</v>
      </c>
      <c r="C69" s="1018" t="s">
        <v>656</v>
      </c>
      <c r="D69" s="1018"/>
      <c r="E69" s="1018"/>
      <c r="F69" s="1018"/>
      <c r="G69" s="1018" t="s">
        <v>34</v>
      </c>
      <c r="H69" s="1018"/>
      <c r="I69" s="1018"/>
      <c r="J69" s="620"/>
      <c r="K69" s="528"/>
      <c r="L69" s="396"/>
      <c r="M69" s="620"/>
      <c r="N69" s="398"/>
      <c r="O69" s="386"/>
      <c r="P69" s="387"/>
      <c r="Q69" s="388"/>
    </row>
    <row r="70" spans="1:17" ht="16.2" thickBot="1" x14ac:dyDescent="0.35">
      <c r="A70" s="583" t="s">
        <v>259</v>
      </c>
      <c r="B70" s="584" t="s">
        <v>47</v>
      </c>
      <c r="C70" s="629" t="s">
        <v>19</v>
      </c>
      <c r="D70" s="629" t="s">
        <v>33</v>
      </c>
      <c r="E70" s="630" t="s">
        <v>35</v>
      </c>
      <c r="F70" s="631" t="s">
        <v>30</v>
      </c>
      <c r="G70" s="632" t="s">
        <v>14</v>
      </c>
      <c r="H70" s="630" t="s">
        <v>35</v>
      </c>
      <c r="I70" s="631" t="s">
        <v>30</v>
      </c>
      <c r="J70" s="624" t="s">
        <v>659</v>
      </c>
      <c r="K70" s="633" t="s">
        <v>38</v>
      </c>
      <c r="L70" s="407"/>
      <c r="M70" s="636"/>
      <c r="N70" s="409"/>
      <c r="O70" s="441"/>
      <c r="P70" s="442"/>
      <c r="Q70" s="388"/>
    </row>
    <row r="71" spans="1:17" x14ac:dyDescent="0.25">
      <c r="A71" s="392"/>
      <c r="B71" s="7"/>
      <c r="C71" s="376"/>
      <c r="D71" s="377" t="s">
        <v>21</v>
      </c>
      <c r="E71" s="259">
        <v>0</v>
      </c>
      <c r="F71" s="378">
        <f>C71*E71</f>
        <v>0</v>
      </c>
      <c r="G71" s="534"/>
      <c r="H71" s="380">
        <v>0</v>
      </c>
      <c r="I71" s="378">
        <f>G71*H71</f>
        <v>0</v>
      </c>
      <c r="J71" s="626"/>
      <c r="K71" s="535">
        <f>F71+I71+J71</f>
        <v>0</v>
      </c>
      <c r="L71" s="383"/>
      <c r="M71" s="307"/>
      <c r="N71" s="426"/>
      <c r="O71" s="441"/>
      <c r="P71" s="442"/>
      <c r="Q71" s="388"/>
    </row>
    <row r="72" spans="1:17" ht="13.8" thickBot="1" x14ac:dyDescent="0.3">
      <c r="A72" s="392"/>
      <c r="B72" s="7"/>
      <c r="C72" s="376"/>
      <c r="D72" s="377" t="s">
        <v>21</v>
      </c>
      <c r="E72" s="259">
        <v>0</v>
      </c>
      <c r="F72" s="378">
        <f>C72*E72</f>
        <v>0</v>
      </c>
      <c r="G72" s="534"/>
      <c r="H72" s="380">
        <v>0</v>
      </c>
      <c r="I72" s="378">
        <f>G72*H72</f>
        <v>0</v>
      </c>
      <c r="J72" s="626"/>
      <c r="K72" s="535">
        <f>F72+I72+J72</f>
        <v>0</v>
      </c>
      <c r="O72" s="415"/>
      <c r="P72" s="416"/>
      <c r="Q72" s="388"/>
    </row>
    <row r="73" spans="1:17" ht="13.8" thickTop="1" x14ac:dyDescent="0.25">
      <c r="A73" s="392"/>
      <c r="B73" s="417"/>
      <c r="C73" s="393"/>
      <c r="D73" s="377"/>
      <c r="E73" s="259"/>
      <c r="F73" s="378"/>
      <c r="G73" s="534"/>
      <c r="H73" s="380"/>
      <c r="I73" s="378"/>
      <c r="J73" s="394" t="s">
        <v>30</v>
      </c>
      <c r="K73" s="537">
        <f>SUM(K71:K72)</f>
        <v>0</v>
      </c>
      <c r="O73" s="386"/>
      <c r="P73" s="387"/>
      <c r="Q73" s="388"/>
    </row>
    <row r="74" spans="1:17" ht="13.8" thickBot="1" x14ac:dyDescent="0.3">
      <c r="A74" s="618" t="s">
        <v>0</v>
      </c>
      <c r="B74" s="619" t="s">
        <v>1</v>
      </c>
      <c r="C74" s="1018" t="s">
        <v>656</v>
      </c>
      <c r="D74" s="1018"/>
      <c r="E74" s="1018"/>
      <c r="F74" s="1018"/>
      <c r="G74" s="1018" t="s">
        <v>34</v>
      </c>
      <c r="H74" s="1018"/>
      <c r="I74" s="1018"/>
      <c r="J74" s="620"/>
      <c r="K74" s="528"/>
      <c r="L74" s="396"/>
      <c r="M74" s="620"/>
      <c r="N74" s="443"/>
      <c r="O74" s="386"/>
      <c r="P74" s="387"/>
      <c r="Q74" s="388"/>
    </row>
    <row r="75" spans="1:17" ht="16.2" thickBot="1" x14ac:dyDescent="0.35">
      <c r="A75" s="583" t="s">
        <v>260</v>
      </c>
      <c r="B75" s="584" t="s">
        <v>261</v>
      </c>
      <c r="C75" s="629" t="s">
        <v>19</v>
      </c>
      <c r="D75" s="629" t="s">
        <v>33</v>
      </c>
      <c r="E75" s="630" t="s">
        <v>35</v>
      </c>
      <c r="F75" s="631" t="s">
        <v>30</v>
      </c>
      <c r="G75" s="632" t="s">
        <v>14</v>
      </c>
      <c r="H75" s="630" t="s">
        <v>35</v>
      </c>
      <c r="I75" s="631" t="s">
        <v>30</v>
      </c>
      <c r="J75" s="624" t="s">
        <v>659</v>
      </c>
      <c r="K75" s="633" t="s">
        <v>38</v>
      </c>
      <c r="L75" s="407"/>
      <c r="M75" s="636"/>
      <c r="N75" s="414"/>
      <c r="O75" s="386"/>
      <c r="P75" s="387"/>
      <c r="Q75" s="388"/>
    </row>
    <row r="76" spans="1:17" x14ac:dyDescent="0.25">
      <c r="A76" s="392"/>
      <c r="B76" s="7"/>
      <c r="C76" s="376"/>
      <c r="D76" s="377" t="s">
        <v>21</v>
      </c>
      <c r="E76" s="259">
        <v>0</v>
      </c>
      <c r="F76" s="378">
        <f>C76*E76</f>
        <v>0</v>
      </c>
      <c r="G76" s="534"/>
      <c r="H76" s="380">
        <v>0</v>
      </c>
      <c r="I76" s="378">
        <f>G76*H76</f>
        <v>0</v>
      </c>
      <c r="J76" s="626"/>
      <c r="K76" s="535">
        <f>F76+I76+J76</f>
        <v>0</v>
      </c>
      <c r="L76" s="383"/>
      <c r="M76" s="627"/>
      <c r="N76" s="385"/>
      <c r="O76" s="386"/>
      <c r="P76" s="387"/>
      <c r="Q76" s="388"/>
    </row>
    <row r="77" spans="1:17" ht="13.8" thickBot="1" x14ac:dyDescent="0.3">
      <c r="A77" s="392"/>
      <c r="B77" s="7"/>
      <c r="C77" s="376"/>
      <c r="D77" s="377" t="s">
        <v>21</v>
      </c>
      <c r="E77" s="259">
        <v>0</v>
      </c>
      <c r="F77" s="378">
        <f>C77*E77</f>
        <v>0</v>
      </c>
      <c r="G77" s="534"/>
      <c r="H77" s="380">
        <v>0</v>
      </c>
      <c r="I77" s="378">
        <f>G77*H77</f>
        <v>0</v>
      </c>
      <c r="J77" s="626"/>
      <c r="K77" s="535">
        <f>F77+I77+J77</f>
        <v>0</v>
      </c>
      <c r="L77" s="383"/>
      <c r="M77" s="627"/>
      <c r="N77" s="385"/>
      <c r="O77" s="386"/>
      <c r="P77" s="387"/>
      <c r="Q77" s="388"/>
    </row>
    <row r="78" spans="1:17" ht="14.4" thickTop="1" thickBot="1" x14ac:dyDescent="0.3">
      <c r="A78" s="475"/>
      <c r="B78" s="156"/>
      <c r="C78" s="476"/>
      <c r="D78" s="477"/>
      <c r="E78" s="637"/>
      <c r="F78" s="479"/>
      <c r="G78" s="638"/>
      <c r="H78" s="637"/>
      <c r="I78" s="479"/>
      <c r="J78" s="481" t="s">
        <v>30</v>
      </c>
      <c r="K78" s="639">
        <f>SUM(K76:K77)</f>
        <v>0</v>
      </c>
      <c r="L78" s="383"/>
      <c r="M78" s="627"/>
      <c r="N78" s="385"/>
      <c r="O78" s="386"/>
      <c r="P78" s="387"/>
      <c r="Q78" s="388"/>
    </row>
    <row r="79" spans="1:17" ht="13.8" thickBot="1" x14ac:dyDescent="0.3">
      <c r="A79" s="618" t="s">
        <v>0</v>
      </c>
      <c r="B79" s="619" t="s">
        <v>1</v>
      </c>
      <c r="C79" s="1018" t="s">
        <v>656</v>
      </c>
      <c r="D79" s="1018"/>
      <c r="E79" s="1018"/>
      <c r="F79" s="1018"/>
      <c r="G79" s="1018" t="s">
        <v>34</v>
      </c>
      <c r="H79" s="1018"/>
      <c r="I79" s="1018"/>
      <c r="J79" s="620"/>
      <c r="K79" s="528"/>
      <c r="L79" s="396"/>
      <c r="M79" s="628"/>
      <c r="N79" s="398"/>
      <c r="O79" s="386"/>
      <c r="P79" s="387"/>
      <c r="Q79" s="388"/>
    </row>
    <row r="80" spans="1:17" ht="16.2" thickBot="1" x14ac:dyDescent="0.35">
      <c r="A80" s="583" t="s">
        <v>262</v>
      </c>
      <c r="B80" s="584" t="s">
        <v>94</v>
      </c>
      <c r="C80" s="629" t="s">
        <v>19</v>
      </c>
      <c r="D80" s="629" t="s">
        <v>33</v>
      </c>
      <c r="E80" s="630" t="s">
        <v>35</v>
      </c>
      <c r="F80" s="631" t="s">
        <v>30</v>
      </c>
      <c r="G80" s="632" t="s">
        <v>14</v>
      </c>
      <c r="H80" s="630" t="s">
        <v>35</v>
      </c>
      <c r="I80" s="631" t="s">
        <v>30</v>
      </c>
      <c r="J80" s="624" t="s">
        <v>659</v>
      </c>
      <c r="K80" s="633" t="s">
        <v>38</v>
      </c>
      <c r="L80" s="407"/>
      <c r="M80" s="634"/>
      <c r="N80" s="409"/>
      <c r="O80" s="386"/>
      <c r="P80" s="387"/>
      <c r="Q80" s="388"/>
    </row>
    <row r="81" spans="1:17" ht="15.6" thickBot="1" x14ac:dyDescent="0.3">
      <c r="A81" s="850" t="s">
        <v>265</v>
      </c>
      <c r="B81" s="851" t="s">
        <v>1057</v>
      </c>
      <c r="C81" s="852">
        <v>13</v>
      </c>
      <c r="D81" s="839" t="s">
        <v>907</v>
      </c>
      <c r="E81" s="259">
        <f>M82</f>
        <v>1539.15</v>
      </c>
      <c r="F81" s="378">
        <f t="shared" ref="F81:F87" si="4">C81*E81</f>
        <v>20008.95</v>
      </c>
      <c r="G81" s="534"/>
      <c r="H81" s="380">
        <v>0</v>
      </c>
      <c r="I81" s="378">
        <f t="shared" ref="I81:I87" si="5">G81*H81</f>
        <v>0</v>
      </c>
      <c r="J81" s="626"/>
      <c r="K81" s="535">
        <f t="shared" ref="K81:K87" si="6">F81+I81+J81</f>
        <v>20008.95</v>
      </c>
      <c r="L81" s="870" t="s">
        <v>1132</v>
      </c>
      <c r="O81" s="386"/>
      <c r="P81" s="387"/>
      <c r="Q81" s="388"/>
    </row>
    <row r="82" spans="1:17" ht="15.6" thickBot="1" x14ac:dyDescent="0.3">
      <c r="A82" s="853" t="s">
        <v>266</v>
      </c>
      <c r="B82" s="851" t="s">
        <v>1058</v>
      </c>
      <c r="C82" s="852">
        <v>1</v>
      </c>
      <c r="D82" s="839" t="s">
        <v>907</v>
      </c>
      <c r="E82" s="259">
        <f>M83</f>
        <v>815.82</v>
      </c>
      <c r="F82" s="378">
        <f t="shared" si="4"/>
        <v>815.82</v>
      </c>
      <c r="G82" s="534"/>
      <c r="H82" s="380">
        <v>0</v>
      </c>
      <c r="I82" s="378">
        <f t="shared" si="5"/>
        <v>0</v>
      </c>
      <c r="J82" s="626"/>
      <c r="K82" s="535">
        <f t="shared" si="6"/>
        <v>815.82</v>
      </c>
      <c r="L82" s="383" t="s">
        <v>1193</v>
      </c>
      <c r="M82" s="320">
        <v>1539.15</v>
      </c>
      <c r="O82" s="386"/>
      <c r="P82" s="387"/>
      <c r="Q82" s="388"/>
    </row>
    <row r="83" spans="1:17" ht="15" x14ac:dyDescent="0.25">
      <c r="A83" s="853" t="s">
        <v>267</v>
      </c>
      <c r="B83" s="851" t="s">
        <v>1059</v>
      </c>
      <c r="C83" s="852">
        <v>1</v>
      </c>
      <c r="D83" s="839" t="s">
        <v>907</v>
      </c>
      <c r="E83" s="259">
        <f>M84</f>
        <v>905.44</v>
      </c>
      <c r="F83" s="378">
        <f t="shared" si="4"/>
        <v>905.44</v>
      </c>
      <c r="G83" s="534"/>
      <c r="H83" s="380">
        <v>0</v>
      </c>
      <c r="I83" s="378">
        <f t="shared" si="5"/>
        <v>0</v>
      </c>
      <c r="J83" s="626"/>
      <c r="K83" s="535">
        <f t="shared" si="6"/>
        <v>905.44</v>
      </c>
      <c r="L83" s="159" t="s">
        <v>1194</v>
      </c>
      <c r="M83" s="320">
        <v>815.82</v>
      </c>
      <c r="O83" s="386"/>
      <c r="P83" s="387"/>
      <c r="Q83" s="388"/>
    </row>
    <row r="84" spans="1:17" ht="15" x14ac:dyDescent="0.25">
      <c r="A84" s="533" t="s">
        <v>264</v>
      </c>
      <c r="B84" s="650" t="s">
        <v>263</v>
      </c>
      <c r="C84" s="649"/>
      <c r="D84" s="377" t="s">
        <v>21</v>
      </c>
      <c r="E84" s="259">
        <v>0</v>
      </c>
      <c r="F84" s="378">
        <f t="shared" si="4"/>
        <v>0</v>
      </c>
      <c r="G84" s="534"/>
      <c r="H84" s="380">
        <v>0</v>
      </c>
      <c r="I84" s="378">
        <f t="shared" si="5"/>
        <v>0</v>
      </c>
      <c r="J84" s="626"/>
      <c r="K84" s="535">
        <f t="shared" si="6"/>
        <v>0</v>
      </c>
      <c r="L84" s="383" t="s">
        <v>1195</v>
      </c>
      <c r="M84" s="627">
        <v>905.44</v>
      </c>
      <c r="N84" s="385"/>
      <c r="O84" s="386"/>
      <c r="P84" s="387"/>
      <c r="Q84" s="388"/>
    </row>
    <row r="85" spans="1:17" ht="15" x14ac:dyDescent="0.25">
      <c r="A85" s="533" t="s">
        <v>264</v>
      </c>
      <c r="B85" s="650" t="s">
        <v>263</v>
      </c>
      <c r="C85" s="649"/>
      <c r="D85" s="377" t="s">
        <v>21</v>
      </c>
      <c r="E85" s="259">
        <v>0</v>
      </c>
      <c r="F85" s="378">
        <f t="shared" si="4"/>
        <v>0</v>
      </c>
      <c r="G85" s="534"/>
      <c r="H85" s="380">
        <v>0</v>
      </c>
      <c r="I85" s="378">
        <f t="shared" si="5"/>
        <v>0</v>
      </c>
      <c r="J85" s="626"/>
      <c r="K85" s="535">
        <f t="shared" si="6"/>
        <v>0</v>
      </c>
      <c r="L85" s="383"/>
      <c r="M85" s="627"/>
      <c r="N85" s="385"/>
      <c r="O85" s="386"/>
      <c r="P85" s="387"/>
      <c r="Q85" s="388"/>
    </row>
    <row r="86" spans="1:17" ht="15" x14ac:dyDescent="0.25">
      <c r="A86" s="533" t="s">
        <v>264</v>
      </c>
      <c r="B86" s="650" t="s">
        <v>263</v>
      </c>
      <c r="C86" s="649"/>
      <c r="D86" s="377" t="s">
        <v>21</v>
      </c>
      <c r="E86" s="259">
        <v>0</v>
      </c>
      <c r="F86" s="378">
        <f t="shared" si="4"/>
        <v>0</v>
      </c>
      <c r="G86" s="534"/>
      <c r="H86" s="380">
        <v>0</v>
      </c>
      <c r="I86" s="378">
        <f t="shared" si="5"/>
        <v>0</v>
      </c>
      <c r="J86" s="626"/>
      <c r="K86" s="535">
        <f t="shared" si="6"/>
        <v>0</v>
      </c>
      <c r="L86" s="383"/>
      <c r="M86" s="627"/>
      <c r="N86" s="385"/>
      <c r="O86" s="386"/>
      <c r="P86" s="387"/>
      <c r="Q86" s="388"/>
    </row>
    <row r="87" spans="1:17" ht="15.6" thickBot="1" x14ac:dyDescent="0.3">
      <c r="A87" s="533" t="s">
        <v>264</v>
      </c>
      <c r="B87" s="650" t="s">
        <v>263</v>
      </c>
      <c r="C87" s="649"/>
      <c r="D87" s="377" t="s">
        <v>21</v>
      </c>
      <c r="E87" s="259">
        <v>0</v>
      </c>
      <c r="F87" s="378">
        <f t="shared" si="4"/>
        <v>0</v>
      </c>
      <c r="G87" s="534"/>
      <c r="H87" s="380">
        <v>0</v>
      </c>
      <c r="I87" s="378">
        <f t="shared" si="5"/>
        <v>0</v>
      </c>
      <c r="J87" s="626"/>
      <c r="K87" s="535">
        <f t="shared" si="6"/>
        <v>0</v>
      </c>
      <c r="L87" s="383"/>
      <c r="M87" s="627"/>
      <c r="N87" s="385"/>
      <c r="O87" s="386"/>
      <c r="P87" s="387"/>
      <c r="Q87" s="388"/>
    </row>
    <row r="88" spans="1:17" ht="14.4" thickTop="1" thickBot="1" x14ac:dyDescent="0.3">
      <c r="A88" s="475"/>
      <c r="B88" s="156"/>
      <c r="C88" s="476"/>
      <c r="D88" s="477"/>
      <c r="E88" s="637"/>
      <c r="F88" s="479"/>
      <c r="G88" s="638"/>
      <c r="H88" s="637"/>
      <c r="I88" s="479"/>
      <c r="J88" s="481" t="s">
        <v>30</v>
      </c>
      <c r="K88" s="639">
        <f>SUM(K81:K87)</f>
        <v>21730.21</v>
      </c>
      <c r="L88" s="383"/>
      <c r="M88" s="627"/>
      <c r="N88" s="385"/>
      <c r="O88" s="386"/>
      <c r="P88" s="387"/>
      <c r="Q88" s="388"/>
    </row>
    <row r="89" spans="1:17" ht="13.8" thickBot="1" x14ac:dyDescent="0.3">
      <c r="A89" s="618" t="s">
        <v>0</v>
      </c>
      <c r="B89" s="619" t="s">
        <v>1</v>
      </c>
      <c r="C89" s="1018" t="s">
        <v>656</v>
      </c>
      <c r="D89" s="1018"/>
      <c r="E89" s="1018"/>
      <c r="F89" s="1018"/>
      <c r="G89" s="1018" t="s">
        <v>34</v>
      </c>
      <c r="H89" s="1018"/>
      <c r="I89" s="1018"/>
      <c r="J89" s="620"/>
      <c r="K89" s="528"/>
      <c r="L89" s="396"/>
      <c r="M89" s="628"/>
      <c r="N89" s="398"/>
      <c r="O89" s="386"/>
      <c r="P89" s="387"/>
      <c r="Q89" s="388"/>
    </row>
    <row r="90" spans="1:17" ht="16.2" thickBot="1" x14ac:dyDescent="0.35">
      <c r="A90" s="583" t="s">
        <v>268</v>
      </c>
      <c r="B90" s="584" t="s">
        <v>61</v>
      </c>
      <c r="C90" s="629" t="s">
        <v>19</v>
      </c>
      <c r="D90" s="629" t="s">
        <v>33</v>
      </c>
      <c r="E90" s="630" t="s">
        <v>35</v>
      </c>
      <c r="F90" s="631" t="s">
        <v>30</v>
      </c>
      <c r="G90" s="632" t="s">
        <v>14</v>
      </c>
      <c r="H90" s="630" t="s">
        <v>35</v>
      </c>
      <c r="I90" s="631" t="s">
        <v>30</v>
      </c>
      <c r="J90" s="624" t="s">
        <v>659</v>
      </c>
      <c r="K90" s="633" t="s">
        <v>38</v>
      </c>
      <c r="L90" s="407"/>
      <c r="M90" s="634"/>
      <c r="N90" s="409"/>
      <c r="O90" s="386"/>
      <c r="P90" s="387"/>
      <c r="Q90" s="388"/>
    </row>
    <row r="91" spans="1:17" x14ac:dyDescent="0.25">
      <c r="A91" s="392"/>
      <c r="B91" s="7"/>
      <c r="C91" s="376"/>
      <c r="D91" s="377" t="s">
        <v>21</v>
      </c>
      <c r="E91" s="259">
        <v>0</v>
      </c>
      <c r="F91" s="378">
        <f>C91*E91</f>
        <v>0</v>
      </c>
      <c r="G91" s="534"/>
      <c r="H91" s="380">
        <v>0</v>
      </c>
      <c r="I91" s="378">
        <f>G91*H91</f>
        <v>0</v>
      </c>
      <c r="J91" s="626"/>
      <c r="K91" s="535">
        <f>F91+I91+J91</f>
        <v>0</v>
      </c>
      <c r="L91" s="383"/>
      <c r="M91" s="627"/>
      <c r="N91" s="385"/>
      <c r="O91" s="386"/>
      <c r="P91" s="387"/>
      <c r="Q91" s="388"/>
    </row>
    <row r="92" spans="1:17" x14ac:dyDescent="0.25">
      <c r="A92" s="392"/>
      <c r="B92" s="7"/>
      <c r="C92" s="376"/>
      <c r="D92" s="377" t="s">
        <v>21</v>
      </c>
      <c r="E92" s="259">
        <v>0</v>
      </c>
      <c r="F92" s="378">
        <f>C92*E92</f>
        <v>0</v>
      </c>
      <c r="G92" s="534"/>
      <c r="H92" s="380">
        <v>0</v>
      </c>
      <c r="I92" s="378">
        <f>G92*H92</f>
        <v>0</v>
      </c>
      <c r="J92" s="626"/>
      <c r="K92" s="535">
        <f>F92+I92+J92</f>
        <v>0</v>
      </c>
      <c r="L92" s="383"/>
      <c r="M92" s="627"/>
      <c r="N92" s="385"/>
      <c r="O92" s="386"/>
      <c r="P92" s="387"/>
      <c r="Q92" s="388"/>
    </row>
    <row r="93" spans="1:17" ht="13.8" thickBot="1" x14ac:dyDescent="0.3">
      <c r="A93" s="392"/>
      <c r="B93" s="7"/>
      <c r="C93" s="376"/>
      <c r="D93" s="377"/>
      <c r="E93" s="259"/>
      <c r="F93" s="378"/>
      <c r="G93" s="534"/>
      <c r="H93" s="380"/>
      <c r="I93" s="378"/>
      <c r="J93" s="626"/>
      <c r="K93" s="535"/>
      <c r="L93" s="383"/>
      <c r="M93" s="627"/>
      <c r="N93" s="385"/>
      <c r="O93" s="386"/>
      <c r="P93" s="387"/>
      <c r="Q93" s="388"/>
    </row>
    <row r="94" spans="1:17" ht="14.4" thickTop="1" thickBot="1" x14ac:dyDescent="0.3">
      <c r="A94" s="475"/>
      <c r="B94" s="156"/>
      <c r="C94" s="476"/>
      <c r="D94" s="477"/>
      <c r="E94" s="637"/>
      <c r="F94" s="479"/>
      <c r="G94" s="638"/>
      <c r="H94" s="637"/>
      <c r="I94" s="479"/>
      <c r="J94" s="481" t="s">
        <v>30</v>
      </c>
      <c r="K94" s="639">
        <f>SUM(K91:K93)</f>
        <v>0</v>
      </c>
      <c r="L94" s="383"/>
      <c r="M94" s="627"/>
      <c r="N94" s="385"/>
      <c r="O94" s="386"/>
      <c r="P94" s="387"/>
      <c r="Q94" s="388"/>
    </row>
    <row r="95" spans="1:17" ht="13.8" thickBot="1" x14ac:dyDescent="0.3">
      <c r="A95" s="618" t="s">
        <v>0</v>
      </c>
      <c r="B95" s="619" t="s">
        <v>1</v>
      </c>
      <c r="C95" s="1018" t="s">
        <v>656</v>
      </c>
      <c r="D95" s="1018"/>
      <c r="E95" s="1018"/>
      <c r="F95" s="1018"/>
      <c r="G95" s="1018" t="s">
        <v>34</v>
      </c>
      <c r="H95" s="1018"/>
      <c r="I95" s="1018"/>
      <c r="J95" s="620"/>
      <c r="K95" s="528"/>
      <c r="L95" s="396"/>
      <c r="M95" s="628"/>
      <c r="N95" s="398"/>
      <c r="O95" s="386"/>
      <c r="P95" s="387"/>
      <c r="Q95" s="388"/>
    </row>
    <row r="96" spans="1:17" ht="16.2" thickBot="1" x14ac:dyDescent="0.35">
      <c r="A96" s="583" t="s">
        <v>269</v>
      </c>
      <c r="B96" s="584" t="s">
        <v>270</v>
      </c>
      <c r="C96" s="629" t="s">
        <v>19</v>
      </c>
      <c r="D96" s="629" t="s">
        <v>33</v>
      </c>
      <c r="E96" s="630" t="s">
        <v>35</v>
      </c>
      <c r="F96" s="631" t="s">
        <v>30</v>
      </c>
      <c r="G96" s="632" t="s">
        <v>14</v>
      </c>
      <c r="H96" s="630" t="s">
        <v>35</v>
      </c>
      <c r="I96" s="631" t="s">
        <v>30</v>
      </c>
      <c r="J96" s="624" t="s">
        <v>659</v>
      </c>
      <c r="K96" s="633" t="s">
        <v>38</v>
      </c>
      <c r="L96" s="407"/>
      <c r="M96" s="634"/>
      <c r="N96" s="409"/>
      <c r="O96" s="386"/>
      <c r="P96" s="387"/>
      <c r="Q96" s="388"/>
    </row>
    <row r="97" spans="1:17" x14ac:dyDescent="0.25">
      <c r="A97" s="392"/>
      <c r="B97" s="849" t="s">
        <v>1073</v>
      </c>
      <c r="C97" s="838">
        <v>4</v>
      </c>
      <c r="D97" s="839" t="s">
        <v>907</v>
      </c>
      <c r="E97" s="259">
        <v>0</v>
      </c>
      <c r="F97" s="378">
        <f>C97*E97</f>
        <v>0</v>
      </c>
      <c r="G97" s="534"/>
      <c r="H97" s="380">
        <v>0</v>
      </c>
      <c r="I97" s="378">
        <f>G97*H97</f>
        <v>0</v>
      </c>
      <c r="J97" s="626">
        <f>M98</f>
        <v>5310</v>
      </c>
      <c r="K97" s="535">
        <f>F97+I97+J97</f>
        <v>5310</v>
      </c>
      <c r="L97" s="159" t="s">
        <v>1196</v>
      </c>
      <c r="M97" s="320">
        <v>31213</v>
      </c>
      <c r="N97" s="157" t="s">
        <v>1197</v>
      </c>
      <c r="O97" s="386"/>
      <c r="P97" s="387"/>
      <c r="Q97" s="388"/>
    </row>
    <row r="98" spans="1:17" x14ac:dyDescent="0.25">
      <c r="A98" s="392"/>
      <c r="B98" s="849" t="s">
        <v>1074</v>
      </c>
      <c r="C98" s="838">
        <f>28-4-13</f>
        <v>11</v>
      </c>
      <c r="D98" s="839" t="s">
        <v>907</v>
      </c>
      <c r="E98" s="259">
        <v>0</v>
      </c>
      <c r="F98" s="378">
        <f>C98*E98</f>
        <v>0</v>
      </c>
      <c r="G98" s="534"/>
      <c r="H98" s="380">
        <v>0</v>
      </c>
      <c r="I98" s="378">
        <f>G98*H98</f>
        <v>0</v>
      </c>
      <c r="J98" s="626"/>
      <c r="K98" s="535">
        <f>F98+I98+J98</f>
        <v>0</v>
      </c>
      <c r="L98" s="959" t="s">
        <v>1167</v>
      </c>
      <c r="M98" s="911">
        <v>5310</v>
      </c>
      <c r="O98" s="386"/>
      <c r="P98" s="387"/>
      <c r="Q98" s="388"/>
    </row>
    <row r="99" spans="1:17" x14ac:dyDescent="0.25">
      <c r="A99" s="392"/>
      <c r="B99" s="7"/>
      <c r="C99" s="376"/>
      <c r="D99" s="377" t="s">
        <v>21</v>
      </c>
      <c r="E99" s="259">
        <v>0</v>
      </c>
      <c r="F99" s="378">
        <f>C99*E99</f>
        <v>0</v>
      </c>
      <c r="G99" s="534"/>
      <c r="H99" s="380">
        <v>0</v>
      </c>
      <c r="I99" s="378">
        <f>G99*H99</f>
        <v>0</v>
      </c>
      <c r="J99" s="626"/>
      <c r="K99" s="535">
        <f>F99+I99+J99</f>
        <v>0</v>
      </c>
      <c r="L99" s="383" t="s">
        <v>1314</v>
      </c>
      <c r="M99" s="627">
        <v>5800</v>
      </c>
      <c r="N99" s="385" t="s">
        <v>1315</v>
      </c>
      <c r="O99" s="386"/>
      <c r="P99" s="387"/>
      <c r="Q99" s="388"/>
    </row>
    <row r="100" spans="1:17" ht="13.8" thickBot="1" x14ac:dyDescent="0.3">
      <c r="A100" s="392"/>
      <c r="B100" s="7"/>
      <c r="C100" s="376"/>
      <c r="D100" s="377"/>
      <c r="E100" s="259"/>
      <c r="F100" s="378"/>
      <c r="G100" s="534"/>
      <c r="H100" s="380"/>
      <c r="I100" s="378"/>
      <c r="J100" s="626"/>
      <c r="K100" s="535"/>
      <c r="L100" s="383" t="s">
        <v>1318</v>
      </c>
      <c r="M100" s="627">
        <v>7850</v>
      </c>
      <c r="N100" s="385" t="s">
        <v>1315</v>
      </c>
      <c r="O100" s="386"/>
      <c r="P100" s="387"/>
      <c r="Q100" s="388"/>
    </row>
    <row r="101" spans="1:17" ht="14.4" thickTop="1" thickBot="1" x14ac:dyDescent="0.3">
      <c r="A101" s="475"/>
      <c r="B101" s="156"/>
      <c r="C101" s="476"/>
      <c r="D101" s="477"/>
      <c r="E101" s="637"/>
      <c r="F101" s="479"/>
      <c r="G101" s="638"/>
      <c r="H101" s="637"/>
      <c r="I101" s="479"/>
      <c r="J101" s="481" t="s">
        <v>30</v>
      </c>
      <c r="K101" s="639">
        <f>SUM(K97:K100)</f>
        <v>5310</v>
      </c>
      <c r="L101" s="383" t="s">
        <v>1331</v>
      </c>
      <c r="M101" s="627">
        <v>27995</v>
      </c>
      <c r="N101" s="157" t="s">
        <v>1197</v>
      </c>
      <c r="O101" s="386"/>
      <c r="P101" s="387"/>
      <c r="Q101" s="388"/>
    </row>
    <row r="102" spans="1:17" ht="13.8" thickBot="1" x14ac:dyDescent="0.3">
      <c r="A102" s="618" t="s">
        <v>0</v>
      </c>
      <c r="B102" s="619" t="s">
        <v>1</v>
      </c>
      <c r="C102" s="1018" t="s">
        <v>656</v>
      </c>
      <c r="D102" s="1018"/>
      <c r="E102" s="1018"/>
      <c r="F102" s="1018"/>
      <c r="G102" s="1018" t="s">
        <v>34</v>
      </c>
      <c r="H102" s="1018"/>
      <c r="I102" s="1018"/>
      <c r="J102" s="620"/>
      <c r="K102" s="528"/>
      <c r="L102" s="396"/>
      <c r="M102" s="628"/>
      <c r="N102" s="398"/>
      <c r="O102" s="386"/>
      <c r="P102" s="387"/>
      <c r="Q102" s="388"/>
    </row>
    <row r="103" spans="1:17" ht="16.2" thickBot="1" x14ac:dyDescent="0.35">
      <c r="A103" s="583" t="s">
        <v>271</v>
      </c>
      <c r="B103" s="584" t="s">
        <v>272</v>
      </c>
      <c r="C103" s="629" t="s">
        <v>19</v>
      </c>
      <c r="D103" s="629" t="s">
        <v>33</v>
      </c>
      <c r="E103" s="630" t="s">
        <v>35</v>
      </c>
      <c r="F103" s="631" t="s">
        <v>30</v>
      </c>
      <c r="G103" s="632" t="s">
        <v>14</v>
      </c>
      <c r="H103" s="630" t="s">
        <v>35</v>
      </c>
      <c r="I103" s="631" t="s">
        <v>30</v>
      </c>
      <c r="J103" s="624" t="s">
        <v>659</v>
      </c>
      <c r="K103" s="633" t="s">
        <v>38</v>
      </c>
      <c r="L103" s="407"/>
      <c r="M103" s="634"/>
      <c r="N103" s="409"/>
      <c r="O103" s="386"/>
      <c r="P103" s="387"/>
      <c r="Q103" s="388"/>
    </row>
    <row r="104" spans="1:17" x14ac:dyDescent="0.25">
      <c r="A104" s="392"/>
      <c r="B104" s="7"/>
      <c r="C104" s="376"/>
      <c r="D104" s="377" t="s">
        <v>21</v>
      </c>
      <c r="E104" s="259">
        <v>0</v>
      </c>
      <c r="F104" s="378">
        <f>C104*E104</f>
        <v>0</v>
      </c>
      <c r="G104" s="534"/>
      <c r="H104" s="380">
        <v>0</v>
      </c>
      <c r="I104" s="378">
        <f>G104*H104</f>
        <v>0</v>
      </c>
      <c r="J104" s="626"/>
      <c r="K104" s="535">
        <f>F104+I104+J104</f>
        <v>0</v>
      </c>
      <c r="L104" s="383" t="s">
        <v>1331</v>
      </c>
      <c r="M104" s="320">
        <v>21340</v>
      </c>
      <c r="N104" s="157" t="s">
        <v>1345</v>
      </c>
      <c r="O104" s="386"/>
      <c r="P104" s="387"/>
      <c r="Q104" s="388"/>
    </row>
    <row r="105" spans="1:17" x14ac:dyDescent="0.25">
      <c r="A105" s="392"/>
      <c r="B105" s="7"/>
      <c r="C105" s="376"/>
      <c r="D105" s="377" t="s">
        <v>21</v>
      </c>
      <c r="E105" s="259">
        <v>0</v>
      </c>
      <c r="F105" s="378">
        <f>C105*E105</f>
        <v>0</v>
      </c>
      <c r="G105" s="534"/>
      <c r="H105" s="380">
        <v>0</v>
      </c>
      <c r="I105" s="378">
        <f>G105*H105</f>
        <v>0</v>
      </c>
      <c r="J105" s="626"/>
      <c r="K105" s="535">
        <f>F105+I105+J105</f>
        <v>0</v>
      </c>
      <c r="L105" s="383"/>
      <c r="M105" s="627">
        <v>6655</v>
      </c>
      <c r="N105" s="385" t="s">
        <v>1315</v>
      </c>
      <c r="O105" s="386"/>
      <c r="P105" s="387"/>
      <c r="Q105" s="388"/>
    </row>
    <row r="106" spans="1:17" ht="13.8" thickBot="1" x14ac:dyDescent="0.3">
      <c r="A106" s="392"/>
      <c r="B106" s="7"/>
      <c r="C106" s="376"/>
      <c r="D106" s="377"/>
      <c r="E106" s="259"/>
      <c r="F106" s="378"/>
      <c r="G106" s="534"/>
      <c r="H106" s="380"/>
      <c r="I106" s="378"/>
      <c r="J106" s="626"/>
      <c r="K106" s="535"/>
      <c r="O106" s="386"/>
      <c r="P106" s="387"/>
      <c r="Q106" s="388"/>
    </row>
    <row r="107" spans="1:17" ht="14.4" thickTop="1" thickBot="1" x14ac:dyDescent="0.3">
      <c r="A107" s="475"/>
      <c r="B107" s="156"/>
      <c r="C107" s="476"/>
      <c r="D107" s="477"/>
      <c r="E107" s="637"/>
      <c r="F107" s="479"/>
      <c r="G107" s="638"/>
      <c r="H107" s="637"/>
      <c r="I107" s="479"/>
      <c r="J107" s="481" t="s">
        <v>30</v>
      </c>
      <c r="K107" s="639">
        <f>SUM(K104:K106)</f>
        <v>0</v>
      </c>
      <c r="O107" s="386"/>
      <c r="P107" s="387"/>
      <c r="Q107" s="388"/>
    </row>
    <row r="108" spans="1:17" ht="13.8" thickBot="1" x14ac:dyDescent="0.3">
      <c r="A108" s="618" t="s">
        <v>0</v>
      </c>
      <c r="B108" s="619" t="s">
        <v>1</v>
      </c>
      <c r="C108" s="1018" t="s">
        <v>656</v>
      </c>
      <c r="D108" s="1018"/>
      <c r="E108" s="1018"/>
      <c r="F108" s="1018"/>
      <c r="G108" s="1018" t="s">
        <v>34</v>
      </c>
      <c r="H108" s="1018"/>
      <c r="I108" s="1018"/>
      <c r="J108" s="620"/>
      <c r="K108" s="528"/>
      <c r="L108" s="396"/>
      <c r="M108" s="628"/>
      <c r="N108" s="398"/>
      <c r="O108" s="386"/>
      <c r="P108" s="387"/>
      <c r="Q108" s="388"/>
    </row>
    <row r="109" spans="1:17" ht="16.2" thickBot="1" x14ac:dyDescent="0.35">
      <c r="A109" s="583" t="s">
        <v>273</v>
      </c>
      <c r="B109" s="584" t="s">
        <v>274</v>
      </c>
      <c r="C109" s="629" t="s">
        <v>19</v>
      </c>
      <c r="D109" s="629" t="s">
        <v>33</v>
      </c>
      <c r="E109" s="630" t="s">
        <v>35</v>
      </c>
      <c r="F109" s="631" t="s">
        <v>30</v>
      </c>
      <c r="G109" s="632" t="s">
        <v>14</v>
      </c>
      <c r="H109" s="630" t="s">
        <v>35</v>
      </c>
      <c r="I109" s="631" t="s">
        <v>30</v>
      </c>
      <c r="J109" s="624" t="s">
        <v>659</v>
      </c>
      <c r="K109" s="633" t="s">
        <v>38</v>
      </c>
      <c r="L109" s="407"/>
      <c r="M109" s="634"/>
      <c r="N109" s="409"/>
      <c r="O109" s="386"/>
      <c r="P109" s="387"/>
      <c r="Q109" s="388"/>
    </row>
    <row r="110" spans="1:17" x14ac:dyDescent="0.25">
      <c r="A110" s="392"/>
      <c r="B110" s="857"/>
      <c r="C110" s="838"/>
      <c r="D110" s="839" t="s">
        <v>21</v>
      </c>
      <c r="E110" s="259">
        <v>0</v>
      </c>
      <c r="F110" s="378">
        <f>C110*E110</f>
        <v>0</v>
      </c>
      <c r="G110" s="534"/>
      <c r="H110" s="380">
        <v>0</v>
      </c>
      <c r="I110" s="378">
        <f>G110*H110</f>
        <v>0</v>
      </c>
      <c r="J110" s="626"/>
      <c r="K110" s="535">
        <f>F110+I110+J110</f>
        <v>0</v>
      </c>
      <c r="O110" s="386"/>
      <c r="P110" s="387"/>
      <c r="Q110" s="388"/>
    </row>
    <row r="111" spans="1:17" x14ac:dyDescent="0.25">
      <c r="A111" s="392"/>
      <c r="B111" s="7"/>
      <c r="C111" s="376"/>
      <c r="D111" s="377" t="s">
        <v>21</v>
      </c>
      <c r="E111" s="259">
        <v>0</v>
      </c>
      <c r="F111" s="378">
        <f>C111*E111</f>
        <v>0</v>
      </c>
      <c r="G111" s="534"/>
      <c r="H111" s="380">
        <v>0</v>
      </c>
      <c r="I111" s="378">
        <f>G111*H111</f>
        <v>0</v>
      </c>
      <c r="J111" s="626"/>
      <c r="K111" s="535">
        <f>F111+I111+J111</f>
        <v>0</v>
      </c>
      <c r="L111" s="383"/>
      <c r="M111" s="627"/>
      <c r="N111" s="385"/>
      <c r="O111" s="386"/>
      <c r="P111" s="387"/>
      <c r="Q111" s="388"/>
    </row>
    <row r="112" spans="1:17" ht="13.8" thickBot="1" x14ac:dyDescent="0.3">
      <c r="A112" s="392"/>
      <c r="B112" s="7"/>
      <c r="C112" s="376"/>
      <c r="D112" s="377"/>
      <c r="E112" s="259"/>
      <c r="F112" s="378"/>
      <c r="G112" s="534"/>
      <c r="H112" s="380"/>
      <c r="I112" s="378"/>
      <c r="J112" s="626"/>
      <c r="K112" s="535"/>
      <c r="O112" s="386"/>
      <c r="P112" s="387"/>
      <c r="Q112" s="388"/>
    </row>
    <row r="113" spans="1:17" ht="14.4" thickTop="1" thickBot="1" x14ac:dyDescent="0.3">
      <c r="A113" s="475"/>
      <c r="B113" s="156"/>
      <c r="C113" s="476"/>
      <c r="D113" s="477"/>
      <c r="E113" s="637"/>
      <c r="F113" s="479"/>
      <c r="G113" s="638"/>
      <c r="H113" s="637"/>
      <c r="I113" s="479"/>
      <c r="J113" s="481" t="s">
        <v>30</v>
      </c>
      <c r="K113" s="639">
        <f>SUM(K110:K112)</f>
        <v>0</v>
      </c>
      <c r="O113" s="386"/>
      <c r="P113" s="387"/>
      <c r="Q113" s="388"/>
    </row>
    <row r="114" spans="1:17" ht="13.8" thickBot="1" x14ac:dyDescent="0.3">
      <c r="A114" s="618" t="s">
        <v>0</v>
      </c>
      <c r="B114" s="619" t="s">
        <v>1</v>
      </c>
      <c r="C114" s="1018" t="s">
        <v>656</v>
      </c>
      <c r="D114" s="1018"/>
      <c r="E114" s="1018"/>
      <c r="F114" s="1018"/>
      <c r="G114" s="1018" t="s">
        <v>34</v>
      </c>
      <c r="H114" s="1018"/>
      <c r="I114" s="1018"/>
      <c r="J114" s="620"/>
      <c r="K114" s="528"/>
      <c r="L114" s="396"/>
      <c r="M114" s="628"/>
      <c r="N114" s="398"/>
      <c r="O114" s="386"/>
      <c r="P114" s="387"/>
      <c r="Q114" s="388"/>
    </row>
    <row r="115" spans="1:17" ht="16.2" thickBot="1" x14ac:dyDescent="0.35">
      <c r="A115" s="583" t="s">
        <v>275</v>
      </c>
      <c r="B115" s="584" t="s">
        <v>276</v>
      </c>
      <c r="C115" s="629" t="s">
        <v>19</v>
      </c>
      <c r="D115" s="629" t="s">
        <v>33</v>
      </c>
      <c r="E115" s="630" t="s">
        <v>35</v>
      </c>
      <c r="F115" s="631" t="s">
        <v>30</v>
      </c>
      <c r="G115" s="632" t="s">
        <v>14</v>
      </c>
      <c r="H115" s="630" t="s">
        <v>35</v>
      </c>
      <c r="I115" s="631" t="s">
        <v>30</v>
      </c>
      <c r="J115" s="624" t="s">
        <v>659</v>
      </c>
      <c r="K115" s="633" t="s">
        <v>38</v>
      </c>
      <c r="L115" s="407"/>
      <c r="M115" s="634"/>
      <c r="N115" s="409"/>
      <c r="O115" s="386"/>
      <c r="P115" s="387"/>
      <c r="Q115" s="388"/>
    </row>
    <row r="116" spans="1:17" x14ac:dyDescent="0.25">
      <c r="A116" s="392"/>
      <c r="B116" s="7"/>
      <c r="C116" s="376"/>
      <c r="D116" s="377" t="s">
        <v>21</v>
      </c>
      <c r="E116" s="259">
        <v>0</v>
      </c>
      <c r="F116" s="378">
        <f>C116*E116</f>
        <v>0</v>
      </c>
      <c r="G116" s="534"/>
      <c r="H116" s="380">
        <v>0</v>
      </c>
      <c r="I116" s="378">
        <f>G116*H116</f>
        <v>0</v>
      </c>
      <c r="J116" s="626"/>
      <c r="K116" s="535">
        <f>F116+I116+J116</f>
        <v>0</v>
      </c>
      <c r="O116" s="386"/>
      <c r="P116" s="387"/>
      <c r="Q116" s="388"/>
    </row>
    <row r="117" spans="1:17" x14ac:dyDescent="0.25">
      <c r="A117" s="392"/>
      <c r="B117" s="7"/>
      <c r="C117" s="376"/>
      <c r="D117" s="377" t="s">
        <v>21</v>
      </c>
      <c r="E117" s="259">
        <v>0</v>
      </c>
      <c r="F117" s="378">
        <f>C117*E117</f>
        <v>0</v>
      </c>
      <c r="G117" s="534"/>
      <c r="H117" s="380">
        <v>0</v>
      </c>
      <c r="I117" s="378">
        <f>G117*H117</f>
        <v>0</v>
      </c>
      <c r="J117" s="626"/>
      <c r="K117" s="535">
        <f>F117+I117+J117</f>
        <v>0</v>
      </c>
      <c r="L117" s="383"/>
      <c r="M117" s="627"/>
      <c r="N117" s="385"/>
      <c r="O117" s="386"/>
      <c r="P117" s="387"/>
      <c r="Q117" s="388"/>
    </row>
    <row r="118" spans="1:17" ht="13.8" thickBot="1" x14ac:dyDescent="0.3">
      <c r="A118" s="392"/>
      <c r="B118" s="7"/>
      <c r="C118" s="376"/>
      <c r="D118" s="377"/>
      <c r="E118" s="259"/>
      <c r="F118" s="378"/>
      <c r="G118" s="534"/>
      <c r="H118" s="380"/>
      <c r="I118" s="378"/>
      <c r="J118" s="626"/>
      <c r="K118" s="535"/>
      <c r="O118" s="386"/>
      <c r="P118" s="387"/>
      <c r="Q118" s="388"/>
    </row>
    <row r="119" spans="1:17" ht="14.4" thickTop="1" thickBot="1" x14ac:dyDescent="0.3">
      <c r="A119" s="475"/>
      <c r="B119" s="156"/>
      <c r="C119" s="476"/>
      <c r="D119" s="477"/>
      <c r="E119" s="637"/>
      <c r="F119" s="479"/>
      <c r="G119" s="638"/>
      <c r="H119" s="637"/>
      <c r="I119" s="479"/>
      <c r="J119" s="481" t="s">
        <v>30</v>
      </c>
      <c r="K119" s="639">
        <f>SUM(K116:K118)</f>
        <v>0</v>
      </c>
      <c r="O119" s="386"/>
      <c r="P119" s="387"/>
      <c r="Q119" s="388"/>
    </row>
    <row r="120" spans="1:17" ht="13.8" thickBot="1" x14ac:dyDescent="0.3">
      <c r="A120" s="618" t="s">
        <v>0</v>
      </c>
      <c r="B120" s="619" t="s">
        <v>1</v>
      </c>
      <c r="C120" s="1018" t="s">
        <v>656</v>
      </c>
      <c r="D120" s="1018"/>
      <c r="E120" s="1018"/>
      <c r="F120" s="1018"/>
      <c r="G120" s="1018" t="s">
        <v>34</v>
      </c>
      <c r="H120" s="1018"/>
      <c r="I120" s="1018"/>
      <c r="J120" s="620"/>
      <c r="K120" s="528"/>
      <c r="L120" s="396"/>
      <c r="M120" s="628"/>
      <c r="N120" s="398"/>
      <c r="O120" s="386"/>
      <c r="P120" s="387"/>
      <c r="Q120" s="388"/>
    </row>
    <row r="121" spans="1:17" ht="16.2" thickBot="1" x14ac:dyDescent="0.35">
      <c r="A121" s="399"/>
      <c r="B121" s="400"/>
      <c r="C121" s="642" t="s">
        <v>19</v>
      </c>
      <c r="D121" s="629" t="s">
        <v>33</v>
      </c>
      <c r="E121" s="630" t="s">
        <v>35</v>
      </c>
      <c r="F121" s="631" t="s">
        <v>30</v>
      </c>
      <c r="G121" s="632" t="s">
        <v>14</v>
      </c>
      <c r="H121" s="630" t="s">
        <v>35</v>
      </c>
      <c r="I121" s="631" t="s">
        <v>30</v>
      </c>
      <c r="J121" s="624" t="s">
        <v>659</v>
      </c>
      <c r="K121" s="633" t="s">
        <v>38</v>
      </c>
      <c r="L121" s="407"/>
      <c r="M121" s="634"/>
      <c r="N121" s="409"/>
      <c r="O121" s="386"/>
      <c r="P121" s="387"/>
      <c r="Q121" s="388"/>
    </row>
    <row r="122" spans="1:17" x14ac:dyDescent="0.25">
      <c r="A122" s="643"/>
      <c r="B122" s="644"/>
      <c r="C122" s="376"/>
      <c r="D122" s="377" t="s">
        <v>21</v>
      </c>
      <c r="E122" s="259">
        <v>0</v>
      </c>
      <c r="F122" s="378">
        <f>C122*E122</f>
        <v>0</v>
      </c>
      <c r="G122" s="534"/>
      <c r="H122" s="380">
        <v>0</v>
      </c>
      <c r="I122" s="378">
        <f>G122*H122</f>
        <v>0</v>
      </c>
      <c r="J122" s="626"/>
      <c r="K122" s="535">
        <f>F122+I122+J122</f>
        <v>0</v>
      </c>
      <c r="L122" s="383"/>
      <c r="M122" s="627"/>
      <c r="N122" s="385"/>
      <c r="O122" s="386"/>
      <c r="P122" s="387"/>
      <c r="Q122" s="388"/>
    </row>
    <row r="123" spans="1:17" x14ac:dyDescent="0.25">
      <c r="A123" s="392"/>
      <c r="B123" s="7"/>
      <c r="C123" s="376"/>
      <c r="D123" s="377" t="s">
        <v>21</v>
      </c>
      <c r="E123" s="259">
        <v>0</v>
      </c>
      <c r="F123" s="378">
        <f>C123*E123</f>
        <v>0</v>
      </c>
      <c r="G123" s="534"/>
      <c r="H123" s="380">
        <v>0</v>
      </c>
      <c r="I123" s="378">
        <f>G123*H123</f>
        <v>0</v>
      </c>
      <c r="J123" s="626"/>
      <c r="K123" s="535">
        <f>F123+I123+J123</f>
        <v>0</v>
      </c>
      <c r="L123" s="383"/>
      <c r="M123" s="627"/>
      <c r="N123" s="385"/>
      <c r="O123" s="386"/>
      <c r="P123" s="387"/>
      <c r="Q123" s="388"/>
    </row>
    <row r="124" spans="1:17" ht="13.8" thickBot="1" x14ac:dyDescent="0.3">
      <c r="A124" s="392"/>
      <c r="B124" s="7"/>
      <c r="C124" s="376"/>
      <c r="D124" s="377"/>
      <c r="E124" s="259"/>
      <c r="F124" s="378"/>
      <c r="G124" s="534"/>
      <c r="H124" s="380"/>
      <c r="I124" s="378"/>
      <c r="J124" s="626"/>
      <c r="K124" s="535"/>
      <c r="L124" s="383"/>
      <c r="M124" s="627"/>
      <c r="N124" s="385"/>
      <c r="O124" s="386"/>
      <c r="P124" s="387"/>
      <c r="Q124" s="388"/>
    </row>
    <row r="125" spans="1:17" ht="14.4" thickTop="1" thickBot="1" x14ac:dyDescent="0.3">
      <c r="A125" s="475"/>
      <c r="B125" s="156"/>
      <c r="C125" s="476"/>
      <c r="D125" s="477"/>
      <c r="E125" s="637"/>
      <c r="F125" s="479"/>
      <c r="G125" s="638"/>
      <c r="H125" s="637"/>
      <c r="I125" s="479"/>
      <c r="J125" s="481" t="s">
        <v>30</v>
      </c>
      <c r="K125" s="639">
        <f>SUM(K122:K124)</f>
        <v>0</v>
      </c>
      <c r="L125" s="587"/>
      <c r="M125" s="645"/>
      <c r="N125" s="589"/>
      <c r="O125" s="465"/>
      <c r="P125" s="466"/>
      <c r="Q125" s="467"/>
    </row>
    <row r="126" spans="1:17" ht="14.1" customHeight="1" x14ac:dyDescent="0.25">
      <c r="A126" s="483"/>
      <c r="B126" s="484"/>
      <c r="C126" s="485"/>
      <c r="D126" s="485"/>
      <c r="E126" s="646"/>
      <c r="F126" s="1147" t="s">
        <v>658</v>
      </c>
      <c r="G126" s="1071" t="s">
        <v>684</v>
      </c>
      <c r="H126" s="646"/>
      <c r="I126" s="1144" t="s">
        <v>657</v>
      </c>
      <c r="J126" s="1037" t="s">
        <v>685</v>
      </c>
      <c r="K126" s="1136" t="s">
        <v>31</v>
      </c>
    </row>
    <row r="127" spans="1:17" ht="13.8" x14ac:dyDescent="0.25">
      <c r="A127" s="487" t="s">
        <v>32</v>
      </c>
      <c r="B127" s="1146" t="s">
        <v>28</v>
      </c>
      <c r="C127" s="488"/>
      <c r="D127" s="647"/>
      <c r="E127" s="647"/>
      <c r="F127" s="1148"/>
      <c r="G127" s="1072"/>
      <c r="H127" s="648"/>
      <c r="I127" s="1145"/>
      <c r="J127" s="1038"/>
      <c r="K127" s="1137"/>
    </row>
    <row r="128" spans="1:17" ht="13.8" x14ac:dyDescent="0.25">
      <c r="A128" s="831">
        <f>K129/E6</f>
        <v>0</v>
      </c>
      <c r="B128" s="1146"/>
      <c r="C128" s="647"/>
      <c r="D128" s="647"/>
      <c r="E128" s="647"/>
      <c r="F128" s="1138">
        <f>SUM(F122:F124,F116:F118,F110:F112,F104:F106,F97:F100,F91:F93,F81:F87,F76:F77,F71:F72,F66:F67,F60:F62,F54:F56,F48:F50,F43:F44,F37:F39,F13:F33)</f>
        <v>21730.21</v>
      </c>
      <c r="G128" s="1140">
        <f>SUM(G122:G124,G116:G118,G110:G112,G104:G106,G97:G100,G91:G93,G81:G87,G76:G77,G71:G72,G66:G67,G60:G62,G54:G56,G48:G50,G43:G44,G37:G39,G13:G33)</f>
        <v>56</v>
      </c>
      <c r="H128" s="648"/>
      <c r="I128" s="1138">
        <f>SUM(I122:I124,I116:I118,I110:I112,I104:I106,I97:I100,I91:I93,I81:I87,I76:I77,I71:I72,I66:I67,I60:I62,I54:I56,I48:I50,I43:I44,I37:I39,I13:I33)</f>
        <v>3640</v>
      </c>
      <c r="J128" s="1138">
        <f>SUM(J122:J124,J116:J118,J110:J112,J104:J106,J97:J100,J91:J93,J81:J87,J76:J77,J71:J72,J66:J67,J60:J62,J54:J56,J48:J50,J43:J44,J37:J39,J13:J33)</f>
        <v>110797</v>
      </c>
      <c r="K128" s="1142">
        <f>SUM(K125,K119,K113,K107,K101,K94,K88,K34,K40,K45,K51,K57,K63,K68,K73,K78)</f>
        <v>136167.21</v>
      </c>
    </row>
    <row r="129" spans="1:11" ht="14.4" thickBot="1" x14ac:dyDescent="0.3">
      <c r="A129" s="487"/>
      <c r="B129" s="555"/>
      <c r="C129" s="493"/>
      <c r="D129" s="493"/>
      <c r="E129" s="493"/>
      <c r="F129" s="1139"/>
      <c r="G129" s="1141"/>
      <c r="H129" s="493"/>
      <c r="I129" s="1139"/>
      <c r="J129" s="1139"/>
      <c r="K129" s="1143"/>
    </row>
    <row r="130" spans="1:11" ht="13.8" thickBot="1" x14ac:dyDescent="0.3">
      <c r="A130" s="494"/>
      <c r="B130" s="495"/>
      <c r="C130" s="495"/>
      <c r="D130" s="495"/>
      <c r="E130" s="495"/>
      <c r="F130" s="495"/>
      <c r="G130" s="495"/>
      <c r="H130" s="495"/>
      <c r="I130" s="495"/>
      <c r="J130" s="495"/>
      <c r="K130" s="496"/>
    </row>
  </sheetData>
  <mergeCells count="77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C11:F11"/>
    <mergeCell ref="G11:I11"/>
    <mergeCell ref="C35:F35"/>
    <mergeCell ref="G35:I35"/>
    <mergeCell ref="C41:F41"/>
    <mergeCell ref="G41:I41"/>
    <mergeCell ref="C46:F46"/>
    <mergeCell ref="G46:I46"/>
    <mergeCell ref="C52:F52"/>
    <mergeCell ref="G52:I52"/>
    <mergeCell ref="C58:F58"/>
    <mergeCell ref="G58:I58"/>
    <mergeCell ref="C64:F64"/>
    <mergeCell ref="G64:I64"/>
    <mergeCell ref="C69:F69"/>
    <mergeCell ref="G69:I69"/>
    <mergeCell ref="B127:B128"/>
    <mergeCell ref="G120:I120"/>
    <mergeCell ref="F126:F127"/>
    <mergeCell ref="C74:F74"/>
    <mergeCell ref="G74:I74"/>
    <mergeCell ref="C79:F79"/>
    <mergeCell ref="G79:I79"/>
    <mergeCell ref="C114:F114"/>
    <mergeCell ref="G114:I114"/>
    <mergeCell ref="C120:F120"/>
    <mergeCell ref="F128:F129"/>
    <mergeCell ref="G128:G129"/>
    <mergeCell ref="C89:F89"/>
    <mergeCell ref="G89:I89"/>
    <mergeCell ref="C95:F95"/>
    <mergeCell ref="G95:I95"/>
    <mergeCell ref="C102:F102"/>
    <mergeCell ref="G102:I102"/>
    <mergeCell ref="I128:I129"/>
    <mergeCell ref="J128:J129"/>
    <mergeCell ref="K128:K129"/>
    <mergeCell ref="C108:F108"/>
    <mergeCell ref="G108:I108"/>
    <mergeCell ref="G126:G127"/>
    <mergeCell ref="I126:I127"/>
    <mergeCell ref="J126:J127"/>
    <mergeCell ref="K126:K127"/>
    <mergeCell ref="Q11:Q12"/>
    <mergeCell ref="L11:L12"/>
    <mergeCell ref="M11:M12"/>
    <mergeCell ref="N11:N12"/>
    <mergeCell ref="O11:O12"/>
    <mergeCell ref="P11:P12"/>
  </mergeCells>
  <pageMargins left="0.7" right="0.7" top="0.75" bottom="0.75" header="0.5" footer="0.5"/>
  <pageSetup scale="65" fitToHeight="2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00B050"/>
    <pageSetUpPr fitToPage="1"/>
  </sheetPr>
  <dimension ref="A1:Q254"/>
  <sheetViews>
    <sheetView topLeftCell="A44" zoomScale="90" zoomScaleNormal="75" zoomScaleSheetLayoutView="90" zoomScalePageLayoutView="75" workbookViewId="0">
      <selection activeCell="N71" sqref="N71"/>
    </sheetView>
  </sheetViews>
  <sheetFormatPr defaultColWidth="9.109375" defaultRowHeight="13.2" x14ac:dyDescent="0.25"/>
  <cols>
    <col min="1" max="1" width="12.109375" style="157" bestFit="1" customWidth="1"/>
    <col min="2" max="2" width="45.44140625" style="157" customWidth="1"/>
    <col min="3" max="3" width="6" style="445" bestFit="1" customWidth="1"/>
    <col min="4" max="4" width="5" style="445" customWidth="1"/>
    <col min="5" max="5" width="11.4414062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157" bestFit="1" customWidth="1"/>
    <col min="11" max="11" width="14.44140625" style="157" bestFit="1" customWidth="1"/>
    <col min="12" max="12" width="17.88671875" style="159" bestFit="1" customWidth="1"/>
    <col min="13" max="13" width="14" style="320" bestFit="1" customWidth="1"/>
    <col min="14" max="14" width="27.5546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61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5">
      <c r="A4" s="1052"/>
      <c r="B4" s="1053"/>
      <c r="C4" s="519"/>
      <c r="D4" s="1063"/>
      <c r="E4" s="1063"/>
      <c r="F4" s="1063"/>
      <c r="G4" s="614"/>
      <c r="H4" s="614"/>
      <c r="I4" s="613"/>
      <c r="J4" s="334"/>
      <c r="K4" s="335"/>
      <c r="L4" s="1081"/>
      <c r="M4" s="1082"/>
      <c r="N4" s="1064"/>
      <c r="O4" s="1064"/>
      <c r="P4" s="978"/>
    </row>
    <row r="5" spans="1:17" ht="21.6" thickBot="1" x14ac:dyDescent="0.45">
      <c r="A5" s="615"/>
      <c r="B5" s="616"/>
      <c r="C5" s="521"/>
      <c r="D5" s="617"/>
      <c r="E5" s="346"/>
      <c r="F5" s="614"/>
      <c r="G5" s="1160" t="s">
        <v>8</v>
      </c>
      <c r="H5" s="1160"/>
      <c r="I5" s="1160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45">
      <c r="A6" s="615"/>
      <c r="B6" s="616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160"/>
      <c r="H6" s="1160"/>
      <c r="I6" s="1160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5" customHeight="1" thickTop="1" thickBot="1" x14ac:dyDescent="0.3">
      <c r="A9" s="618" t="s">
        <v>0</v>
      </c>
      <c r="B9" s="61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620"/>
      <c r="K9" s="528"/>
      <c r="L9" s="1125" t="s">
        <v>782</v>
      </c>
      <c r="M9" s="1127" t="s">
        <v>783</v>
      </c>
      <c r="N9" s="1129" t="s">
        <v>784</v>
      </c>
      <c r="O9" s="1131"/>
      <c r="P9" s="1133"/>
      <c r="Q9" s="1123"/>
    </row>
    <row r="10" spans="1:17" ht="16.2" thickBot="1" x14ac:dyDescent="0.35">
      <c r="A10" s="583" t="s">
        <v>278</v>
      </c>
      <c r="B10" s="584" t="s">
        <v>279</v>
      </c>
      <c r="C10" s="621" t="s">
        <v>19</v>
      </c>
      <c r="D10" s="621" t="s">
        <v>33</v>
      </c>
      <c r="E10" s="450" t="s">
        <v>35</v>
      </c>
      <c r="F10" s="622" t="s">
        <v>30</v>
      </c>
      <c r="G10" s="623" t="s">
        <v>14</v>
      </c>
      <c r="H10" s="450" t="s">
        <v>35</v>
      </c>
      <c r="I10" s="622" t="s">
        <v>30</v>
      </c>
      <c r="J10" s="624" t="s">
        <v>659</v>
      </c>
      <c r="K10" s="625" t="s">
        <v>38</v>
      </c>
      <c r="L10" s="1126"/>
      <c r="M10" s="1128"/>
      <c r="N10" s="1130"/>
      <c r="O10" s="1132"/>
      <c r="P10" s="1134"/>
      <c r="Q10" s="1124"/>
    </row>
    <row r="11" spans="1:17" x14ac:dyDescent="0.25">
      <c r="A11" s="375"/>
      <c r="B11" s="849" t="s">
        <v>1075</v>
      </c>
      <c r="C11" s="838">
        <v>3530</v>
      </c>
      <c r="D11" s="839" t="s">
        <v>732</v>
      </c>
      <c r="E11" s="259">
        <v>0</v>
      </c>
      <c r="F11" s="378">
        <f t="shared" ref="F11:F18" si="0">C11*E11</f>
        <v>0</v>
      </c>
      <c r="G11" s="534"/>
      <c r="H11" s="380">
        <v>0</v>
      </c>
      <c r="I11" s="378">
        <f t="shared" ref="I11:I18" si="1">G11*H11</f>
        <v>0</v>
      </c>
      <c r="J11" s="626">
        <f>M12</f>
        <v>99233.36</v>
      </c>
      <c r="K11" s="535">
        <f t="shared" ref="K11:K18" si="2">F11+I11+J11</f>
        <v>99233.36</v>
      </c>
      <c r="L11" s="383"/>
      <c r="M11" s="627"/>
      <c r="N11" s="385"/>
      <c r="O11" s="386"/>
      <c r="P11" s="387"/>
      <c r="Q11" s="388"/>
    </row>
    <row r="12" spans="1:17" x14ac:dyDescent="0.25">
      <c r="A12" s="375"/>
      <c r="B12" s="849" t="s">
        <v>1076</v>
      </c>
      <c r="C12" s="838">
        <v>12168</v>
      </c>
      <c r="D12" s="839" t="s">
        <v>732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626"/>
      <c r="K12" s="535">
        <f t="shared" si="2"/>
        <v>0</v>
      </c>
      <c r="L12" s="383" t="s">
        <v>1134</v>
      </c>
      <c r="M12" s="627">
        <v>99233.36</v>
      </c>
      <c r="N12" s="883" t="s">
        <v>1191</v>
      </c>
      <c r="O12" s="386"/>
      <c r="P12" s="387"/>
      <c r="Q12" s="388"/>
    </row>
    <row r="13" spans="1:17" x14ac:dyDescent="0.25">
      <c r="A13" s="375"/>
      <c r="B13" s="5"/>
      <c r="C13" s="376"/>
      <c r="D13" s="377" t="s">
        <v>732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626">
        <f>M13</f>
        <v>7689.27</v>
      </c>
      <c r="K13" s="535">
        <f t="shared" si="2"/>
        <v>7689.27</v>
      </c>
      <c r="L13" s="383" t="s">
        <v>1134</v>
      </c>
      <c r="M13" s="627">
        <v>7689.27</v>
      </c>
      <c r="N13" s="385" t="s">
        <v>1289</v>
      </c>
      <c r="O13" s="386"/>
      <c r="P13" s="387"/>
      <c r="Q13" s="388"/>
    </row>
    <row r="14" spans="1:17" x14ac:dyDescent="0.25">
      <c r="A14" s="375"/>
      <c r="B14" s="5"/>
      <c r="C14" s="376"/>
      <c r="D14" s="377" t="s">
        <v>732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626"/>
      <c r="K14" s="535">
        <f t="shared" si="2"/>
        <v>0</v>
      </c>
      <c r="L14" s="383"/>
      <c r="M14" s="627"/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732</v>
      </c>
      <c r="E15" s="259">
        <v>0</v>
      </c>
      <c r="F15" s="378">
        <f t="shared" ref="F15:F16" si="3">C15*E15</f>
        <v>0</v>
      </c>
      <c r="G15" s="534"/>
      <c r="H15" s="380">
        <v>0</v>
      </c>
      <c r="I15" s="378">
        <f t="shared" ref="I15:I16" si="4">G15*H15</f>
        <v>0</v>
      </c>
      <c r="J15" s="626"/>
      <c r="K15" s="535">
        <f t="shared" ref="K15:K16" si="5">F15+I15+J15</f>
        <v>0</v>
      </c>
      <c r="L15" s="383" t="s">
        <v>1126</v>
      </c>
      <c r="M15" s="627"/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732</v>
      </c>
      <c r="E16" s="259">
        <v>0</v>
      </c>
      <c r="F16" s="378">
        <f t="shared" si="3"/>
        <v>0</v>
      </c>
      <c r="G16" s="534"/>
      <c r="H16" s="380">
        <v>0</v>
      </c>
      <c r="I16" s="378">
        <f t="shared" si="4"/>
        <v>0</v>
      </c>
      <c r="J16" s="626"/>
      <c r="K16" s="535">
        <f t="shared" si="5"/>
        <v>0</v>
      </c>
      <c r="L16" s="383" t="s">
        <v>1127</v>
      </c>
      <c r="M16" s="627">
        <v>171840</v>
      </c>
      <c r="N16" s="385" t="s">
        <v>1190</v>
      </c>
      <c r="O16" s="386"/>
      <c r="P16" s="387"/>
      <c r="Q16" s="388"/>
    </row>
    <row r="17" spans="1:17" x14ac:dyDescent="0.25">
      <c r="A17" s="375"/>
      <c r="B17" s="6"/>
      <c r="C17" s="376"/>
      <c r="D17" s="377" t="s">
        <v>732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626"/>
      <c r="K17" s="535">
        <f t="shared" si="2"/>
        <v>0</v>
      </c>
      <c r="L17" s="383" t="s">
        <v>1131</v>
      </c>
      <c r="M17" s="627"/>
      <c r="N17" s="385"/>
      <c r="O17" s="386"/>
      <c r="P17" s="387"/>
      <c r="Q17" s="388"/>
    </row>
    <row r="18" spans="1:17" x14ac:dyDescent="0.25">
      <c r="A18" s="389"/>
      <c r="B18" s="5"/>
      <c r="C18" s="376"/>
      <c r="D18" s="377" t="s">
        <v>732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626"/>
      <c r="K18" s="535">
        <f t="shared" si="2"/>
        <v>0</v>
      </c>
      <c r="L18" s="383"/>
      <c r="M18" s="627"/>
      <c r="N18" s="385"/>
      <c r="O18" s="386"/>
      <c r="P18" s="387"/>
      <c r="Q18" s="388"/>
    </row>
    <row r="19" spans="1:17" ht="13.8" thickBot="1" x14ac:dyDescent="0.3">
      <c r="A19" s="392"/>
      <c r="B19" s="7"/>
      <c r="C19" s="393"/>
      <c r="D19" s="377"/>
      <c r="E19" s="259"/>
      <c r="F19" s="378"/>
      <c r="G19" s="534"/>
      <c r="H19" s="380"/>
      <c r="I19" s="378"/>
      <c r="J19" s="626"/>
      <c r="K19" s="535"/>
      <c r="L19" s="383"/>
      <c r="M19" s="627"/>
      <c r="N19" s="385"/>
      <c r="O19" s="386"/>
      <c r="P19" s="387"/>
      <c r="Q19" s="388"/>
    </row>
    <row r="20" spans="1:17" ht="13.8" thickTop="1" x14ac:dyDescent="0.25">
      <c r="A20" s="392"/>
      <c r="B20" s="7"/>
      <c r="C20" s="393"/>
      <c r="D20" s="377"/>
      <c r="E20" s="259"/>
      <c r="F20" s="378"/>
      <c r="G20" s="534"/>
      <c r="H20" s="380"/>
      <c r="I20" s="378"/>
      <c r="J20" s="394" t="s">
        <v>30</v>
      </c>
      <c r="K20" s="537">
        <f>SUM(K11:K19)</f>
        <v>106922.63</v>
      </c>
      <c r="L20" s="383"/>
      <c r="M20" s="627"/>
      <c r="N20" s="385"/>
      <c r="O20" s="386"/>
      <c r="P20" s="387"/>
      <c r="Q20" s="388"/>
    </row>
    <row r="21" spans="1:17" ht="13.8" thickBot="1" x14ac:dyDescent="0.3">
      <c r="A21" s="618" t="s">
        <v>0</v>
      </c>
      <c r="B21" s="619" t="s">
        <v>1</v>
      </c>
      <c r="C21" s="1018" t="s">
        <v>656</v>
      </c>
      <c r="D21" s="1018"/>
      <c r="E21" s="1018"/>
      <c r="F21" s="1018"/>
      <c r="G21" s="1018" t="s">
        <v>34</v>
      </c>
      <c r="H21" s="1018"/>
      <c r="I21" s="1018"/>
      <c r="J21" s="620"/>
      <c r="K21" s="528"/>
      <c r="L21" s="396"/>
      <c r="M21" s="628"/>
      <c r="N21" s="398"/>
      <c r="O21" s="386"/>
      <c r="P21" s="387"/>
      <c r="Q21" s="388"/>
    </row>
    <row r="22" spans="1:17" ht="16.2" thickBot="1" x14ac:dyDescent="0.35">
      <c r="A22" s="583" t="s">
        <v>280</v>
      </c>
      <c r="B22" s="584" t="s">
        <v>281</v>
      </c>
      <c r="C22" s="629" t="s">
        <v>19</v>
      </c>
      <c r="D22" s="629" t="s">
        <v>33</v>
      </c>
      <c r="E22" s="630" t="s">
        <v>35</v>
      </c>
      <c r="F22" s="631" t="s">
        <v>30</v>
      </c>
      <c r="G22" s="632" t="s">
        <v>14</v>
      </c>
      <c r="H22" s="630" t="s">
        <v>35</v>
      </c>
      <c r="I22" s="631" t="s">
        <v>30</v>
      </c>
      <c r="J22" s="624" t="s">
        <v>659</v>
      </c>
      <c r="K22" s="633" t="s">
        <v>38</v>
      </c>
      <c r="L22" s="407"/>
      <c r="M22" s="634"/>
      <c r="N22" s="409"/>
      <c r="O22" s="386"/>
      <c r="P22" s="387"/>
      <c r="Q22" s="388"/>
    </row>
    <row r="23" spans="1:17" x14ac:dyDescent="0.25">
      <c r="A23" s="375"/>
      <c r="B23" s="5"/>
      <c r="C23" s="376"/>
      <c r="D23" s="377" t="s">
        <v>732</v>
      </c>
      <c r="E23" s="259">
        <v>0</v>
      </c>
      <c r="F23" s="378">
        <f>C23*E23</f>
        <v>0</v>
      </c>
      <c r="G23" s="534"/>
      <c r="H23" s="380">
        <v>0</v>
      </c>
      <c r="I23" s="378">
        <f>G23*H23</f>
        <v>0</v>
      </c>
      <c r="J23" s="626"/>
      <c r="K23" s="535">
        <f>F23+I23+J23</f>
        <v>0</v>
      </c>
      <c r="L23" s="383"/>
      <c r="M23" s="627"/>
      <c r="N23" s="385"/>
      <c r="O23" s="386"/>
      <c r="P23" s="387"/>
      <c r="Q23" s="388"/>
    </row>
    <row r="24" spans="1:17" x14ac:dyDescent="0.25">
      <c r="A24" s="375"/>
      <c r="B24" s="5"/>
      <c r="C24" s="376"/>
      <c r="D24" s="377" t="s">
        <v>732</v>
      </c>
      <c r="E24" s="259">
        <v>0</v>
      </c>
      <c r="F24" s="378">
        <f>C24*E24</f>
        <v>0</v>
      </c>
      <c r="G24" s="534"/>
      <c r="H24" s="380">
        <v>0</v>
      </c>
      <c r="I24" s="378">
        <f>G24*H24</f>
        <v>0</v>
      </c>
      <c r="J24" s="626"/>
      <c r="K24" s="535">
        <f>F24+I24+J24</f>
        <v>0</v>
      </c>
      <c r="L24" s="383"/>
      <c r="M24" s="627"/>
      <c r="N24" s="385"/>
      <c r="O24" s="386"/>
      <c r="P24" s="387"/>
      <c r="Q24" s="388"/>
    </row>
    <row r="25" spans="1:17" x14ac:dyDescent="0.25">
      <c r="A25" s="375"/>
      <c r="B25" s="5"/>
      <c r="C25" s="376"/>
      <c r="D25" s="377" t="s">
        <v>732</v>
      </c>
      <c r="E25" s="259">
        <v>0</v>
      </c>
      <c r="F25" s="378">
        <f>C25*E25</f>
        <v>0</v>
      </c>
      <c r="G25" s="534"/>
      <c r="H25" s="380">
        <v>0</v>
      </c>
      <c r="I25" s="378">
        <f>G25*H25</f>
        <v>0</v>
      </c>
      <c r="J25" s="626"/>
      <c r="K25" s="535">
        <f>F25+I25+J25</f>
        <v>0</v>
      </c>
      <c r="L25" s="383"/>
      <c r="M25" s="627"/>
      <c r="N25" s="385"/>
      <c r="O25" s="386"/>
      <c r="P25" s="387"/>
      <c r="Q25" s="388"/>
    </row>
    <row r="26" spans="1:17" x14ac:dyDescent="0.25">
      <c r="A26" s="375"/>
      <c r="B26" s="5"/>
      <c r="C26" s="376"/>
      <c r="D26" s="377" t="s">
        <v>732</v>
      </c>
      <c r="E26" s="259">
        <v>0</v>
      </c>
      <c r="F26" s="378">
        <f>C26*E26</f>
        <v>0</v>
      </c>
      <c r="G26" s="534"/>
      <c r="H26" s="380">
        <v>0</v>
      </c>
      <c r="I26" s="378">
        <f>G26*H26</f>
        <v>0</v>
      </c>
      <c r="J26" s="626"/>
      <c r="K26" s="535">
        <f>F26+I26+J26</f>
        <v>0</v>
      </c>
      <c r="L26" s="383"/>
      <c r="M26" s="627"/>
      <c r="N26" s="385"/>
      <c r="O26" s="386"/>
      <c r="P26" s="387"/>
      <c r="Q26" s="388"/>
    </row>
    <row r="27" spans="1:17" ht="13.8" thickBot="1" x14ac:dyDescent="0.3">
      <c r="A27" s="375"/>
      <c r="B27" s="5"/>
      <c r="C27" s="393"/>
      <c r="D27" s="377"/>
      <c r="E27" s="259"/>
      <c r="F27" s="378"/>
      <c r="G27" s="534"/>
      <c r="H27" s="380"/>
      <c r="I27" s="378"/>
      <c r="J27" s="626"/>
      <c r="K27" s="540"/>
      <c r="L27" s="157"/>
      <c r="M27" s="635"/>
      <c r="O27" s="386"/>
      <c r="P27" s="387"/>
      <c r="Q27" s="388"/>
    </row>
    <row r="28" spans="1:17" ht="13.8" thickTop="1" x14ac:dyDescent="0.25">
      <c r="A28" s="392"/>
      <c r="B28" s="5"/>
      <c r="C28" s="393"/>
      <c r="D28" s="377"/>
      <c r="E28" s="259"/>
      <c r="F28" s="378"/>
      <c r="G28" s="534"/>
      <c r="H28" s="380"/>
      <c r="I28" s="378"/>
      <c r="J28" s="394" t="s">
        <v>30</v>
      </c>
      <c r="K28" s="537">
        <f>SUM(K23:K27)</f>
        <v>0</v>
      </c>
      <c r="L28" s="157"/>
      <c r="M28" s="635"/>
      <c r="O28" s="386"/>
      <c r="P28" s="387"/>
      <c r="Q28" s="388"/>
    </row>
    <row r="29" spans="1:17" ht="13.8" thickBot="1" x14ac:dyDescent="0.3">
      <c r="A29" s="618" t="s">
        <v>0</v>
      </c>
      <c r="B29" s="619" t="s">
        <v>1</v>
      </c>
      <c r="C29" s="1018" t="s">
        <v>656</v>
      </c>
      <c r="D29" s="1018"/>
      <c r="E29" s="1018"/>
      <c r="F29" s="1018"/>
      <c r="G29" s="1018" t="s">
        <v>34</v>
      </c>
      <c r="H29" s="1018"/>
      <c r="I29" s="1018"/>
      <c r="J29" s="620"/>
      <c r="K29" s="528"/>
      <c r="L29" s="396"/>
      <c r="M29" s="628"/>
      <c r="N29" s="398"/>
      <c r="O29" s="386"/>
      <c r="P29" s="387"/>
      <c r="Q29" s="388"/>
    </row>
    <row r="30" spans="1:17" ht="16.2" thickBot="1" x14ac:dyDescent="0.35">
      <c r="A30" s="583" t="s">
        <v>282</v>
      </c>
      <c r="B30" s="584" t="s">
        <v>283</v>
      </c>
      <c r="C30" s="629" t="s">
        <v>19</v>
      </c>
      <c r="D30" s="629" t="s">
        <v>33</v>
      </c>
      <c r="E30" s="630" t="s">
        <v>35</v>
      </c>
      <c r="F30" s="631" t="s">
        <v>30</v>
      </c>
      <c r="G30" s="632" t="s">
        <v>14</v>
      </c>
      <c r="H30" s="630" t="s">
        <v>35</v>
      </c>
      <c r="I30" s="631" t="s">
        <v>30</v>
      </c>
      <c r="J30" s="624" t="s">
        <v>659</v>
      </c>
      <c r="K30" s="633" t="s">
        <v>38</v>
      </c>
      <c r="L30" s="407"/>
      <c r="M30" s="634"/>
      <c r="N30" s="409"/>
      <c r="O30" s="386"/>
      <c r="P30" s="387"/>
      <c r="Q30" s="388"/>
    </row>
    <row r="31" spans="1:17" ht="26.4" x14ac:dyDescent="0.25">
      <c r="A31" s="375"/>
      <c r="B31" s="862" t="s">
        <v>1088</v>
      </c>
      <c r="C31" s="838">
        <v>6190</v>
      </c>
      <c r="D31" s="839" t="s">
        <v>732</v>
      </c>
      <c r="E31" s="259">
        <v>0</v>
      </c>
      <c r="F31" s="378">
        <f t="shared" ref="F31:F37" si="6">C31*E31</f>
        <v>0</v>
      </c>
      <c r="G31" s="534"/>
      <c r="H31" s="380">
        <v>0</v>
      </c>
      <c r="I31" s="378">
        <f t="shared" ref="I31:I37" si="7">G31*H31</f>
        <v>0</v>
      </c>
      <c r="J31" s="626"/>
      <c r="K31" s="535">
        <f t="shared" ref="K31:K37" si="8">F31+I31+J31</f>
        <v>0</v>
      </c>
      <c r="L31" s="383"/>
      <c r="M31" s="627"/>
      <c r="N31" s="385"/>
      <c r="O31" s="386"/>
      <c r="P31" s="387"/>
      <c r="Q31" s="388"/>
    </row>
    <row r="32" spans="1:17" x14ac:dyDescent="0.25">
      <c r="A32" s="375"/>
      <c r="B32" s="5"/>
      <c r="C32" s="376"/>
      <c r="D32" s="377" t="s">
        <v>732</v>
      </c>
      <c r="E32" s="259">
        <v>0</v>
      </c>
      <c r="F32" s="378">
        <f t="shared" si="6"/>
        <v>0</v>
      </c>
      <c r="G32" s="534"/>
      <c r="H32" s="380">
        <v>0</v>
      </c>
      <c r="I32" s="378">
        <f t="shared" si="7"/>
        <v>0</v>
      </c>
      <c r="J32" s="626"/>
      <c r="K32" s="535">
        <f t="shared" si="8"/>
        <v>0</v>
      </c>
      <c r="L32" s="383"/>
      <c r="M32" s="627"/>
      <c r="N32" s="385"/>
      <c r="O32" s="386"/>
      <c r="P32" s="387"/>
      <c r="Q32" s="388"/>
    </row>
    <row r="33" spans="1:17" x14ac:dyDescent="0.25">
      <c r="A33" s="375"/>
      <c r="B33" s="849" t="s">
        <v>1086</v>
      </c>
      <c r="C33" s="838">
        <v>438</v>
      </c>
      <c r="D33" s="839" t="s">
        <v>732</v>
      </c>
      <c r="E33" s="259">
        <v>0</v>
      </c>
      <c r="F33" s="378">
        <f t="shared" si="6"/>
        <v>0</v>
      </c>
      <c r="G33" s="534"/>
      <c r="H33" s="380">
        <v>0</v>
      </c>
      <c r="I33" s="378">
        <f t="shared" si="7"/>
        <v>0</v>
      </c>
      <c r="J33" s="626"/>
      <c r="K33" s="535">
        <f t="shared" si="8"/>
        <v>0</v>
      </c>
      <c r="L33" s="383"/>
      <c r="M33" s="627"/>
      <c r="N33" s="385"/>
      <c r="O33" s="386"/>
      <c r="P33" s="387"/>
      <c r="Q33" s="388"/>
    </row>
    <row r="34" spans="1:17" x14ac:dyDescent="0.25">
      <c r="A34" s="375"/>
      <c r="B34" s="849" t="s">
        <v>1087</v>
      </c>
      <c r="C34" s="838">
        <v>5156</v>
      </c>
      <c r="D34" s="839" t="s">
        <v>732</v>
      </c>
      <c r="E34" s="259">
        <v>0</v>
      </c>
      <c r="F34" s="378">
        <f t="shared" si="6"/>
        <v>0</v>
      </c>
      <c r="G34" s="534"/>
      <c r="H34" s="380">
        <v>0</v>
      </c>
      <c r="I34" s="378">
        <f t="shared" si="7"/>
        <v>0</v>
      </c>
      <c r="J34" s="626"/>
      <c r="K34" s="535">
        <f t="shared" si="8"/>
        <v>0</v>
      </c>
      <c r="L34" s="383"/>
      <c r="M34" s="627"/>
      <c r="N34" s="385"/>
      <c r="O34" s="386"/>
      <c r="P34" s="387"/>
      <c r="Q34" s="388"/>
    </row>
    <row r="35" spans="1:17" x14ac:dyDescent="0.25">
      <c r="A35" s="375"/>
      <c r="B35" s="864" t="s">
        <v>1089</v>
      </c>
      <c r="C35" s="865">
        <v>450</v>
      </c>
      <c r="D35" s="866" t="s">
        <v>732</v>
      </c>
      <c r="E35" s="259">
        <v>0</v>
      </c>
      <c r="F35" s="378">
        <f t="shared" si="6"/>
        <v>0</v>
      </c>
      <c r="G35" s="534"/>
      <c r="H35" s="380">
        <v>0</v>
      </c>
      <c r="I35" s="378">
        <f t="shared" si="7"/>
        <v>0</v>
      </c>
      <c r="J35" s="626"/>
      <c r="K35" s="535">
        <f t="shared" si="8"/>
        <v>0</v>
      </c>
      <c r="L35" s="383"/>
      <c r="M35" s="627"/>
      <c r="N35" s="385"/>
      <c r="O35" s="386"/>
      <c r="P35" s="387"/>
      <c r="Q35" s="388"/>
    </row>
    <row r="36" spans="1:17" x14ac:dyDescent="0.25">
      <c r="A36" s="375"/>
      <c r="B36" s="5"/>
      <c r="C36" s="376"/>
      <c r="D36" s="377" t="s">
        <v>732</v>
      </c>
      <c r="E36" s="259">
        <v>0</v>
      </c>
      <c r="F36" s="378">
        <f t="shared" si="6"/>
        <v>0</v>
      </c>
      <c r="G36" s="534"/>
      <c r="H36" s="380">
        <v>0</v>
      </c>
      <c r="I36" s="378">
        <f t="shared" si="7"/>
        <v>0</v>
      </c>
      <c r="J36" s="626"/>
      <c r="K36" s="535">
        <f t="shared" si="8"/>
        <v>0</v>
      </c>
      <c r="L36" s="383"/>
      <c r="M36" s="627"/>
      <c r="N36" s="385"/>
      <c r="O36" s="386"/>
      <c r="P36" s="387"/>
      <c r="Q36" s="388"/>
    </row>
    <row r="37" spans="1:17" x14ac:dyDescent="0.25">
      <c r="A37" s="375"/>
      <c r="B37" s="5"/>
      <c r="C37" s="376"/>
      <c r="D37" s="377" t="s">
        <v>732</v>
      </c>
      <c r="E37" s="259">
        <v>0</v>
      </c>
      <c r="F37" s="378">
        <f t="shared" si="6"/>
        <v>0</v>
      </c>
      <c r="G37" s="534"/>
      <c r="H37" s="380">
        <v>0</v>
      </c>
      <c r="I37" s="378">
        <f t="shared" si="7"/>
        <v>0</v>
      </c>
      <c r="J37" s="626"/>
      <c r="K37" s="535">
        <f t="shared" si="8"/>
        <v>0</v>
      </c>
      <c r="L37" s="383"/>
      <c r="M37" s="627"/>
      <c r="N37" s="385"/>
      <c r="O37" s="386"/>
      <c r="P37" s="387"/>
      <c r="Q37" s="388"/>
    </row>
    <row r="38" spans="1:17" s="159" customFormat="1" ht="13.8" thickBot="1" x14ac:dyDescent="0.3">
      <c r="A38" s="392"/>
      <c r="B38" s="417"/>
      <c r="C38" s="393"/>
      <c r="D38" s="377"/>
      <c r="E38" s="259"/>
      <c r="F38" s="378"/>
      <c r="G38" s="534"/>
      <c r="H38" s="380"/>
      <c r="I38" s="378"/>
      <c r="J38" s="626"/>
      <c r="K38" s="540"/>
      <c r="L38" s="383"/>
      <c r="M38" s="627"/>
      <c r="N38" s="385"/>
      <c r="O38" s="386"/>
      <c r="P38" s="387"/>
      <c r="Q38" s="388"/>
    </row>
    <row r="39" spans="1:17" s="159" customFormat="1" ht="13.8" thickTop="1" x14ac:dyDescent="0.25">
      <c r="A39" s="392"/>
      <c r="B39" s="417"/>
      <c r="C39" s="393"/>
      <c r="D39" s="377"/>
      <c r="E39" s="259"/>
      <c r="F39" s="378"/>
      <c r="G39" s="534"/>
      <c r="H39" s="380"/>
      <c r="I39" s="378"/>
      <c r="J39" s="394" t="s">
        <v>30</v>
      </c>
      <c r="K39" s="537">
        <f>SUM(K33:K38)</f>
        <v>0</v>
      </c>
      <c r="L39" s="383"/>
      <c r="M39" s="627"/>
      <c r="N39" s="385"/>
      <c r="O39" s="386"/>
      <c r="P39" s="387"/>
      <c r="Q39" s="388"/>
    </row>
    <row r="40" spans="1:17" s="159" customFormat="1" ht="13.8" thickBot="1" x14ac:dyDescent="0.3">
      <c r="A40" s="618" t="s">
        <v>0</v>
      </c>
      <c r="B40" s="619" t="s">
        <v>1</v>
      </c>
      <c r="C40" s="1018" t="s">
        <v>656</v>
      </c>
      <c r="D40" s="1018"/>
      <c r="E40" s="1018"/>
      <c r="F40" s="1018"/>
      <c r="G40" s="1018" t="s">
        <v>34</v>
      </c>
      <c r="H40" s="1018"/>
      <c r="I40" s="1018"/>
      <c r="J40" s="620"/>
      <c r="K40" s="528"/>
      <c r="L40" s="396"/>
      <c r="M40" s="628"/>
      <c r="N40" s="398"/>
      <c r="O40" s="386"/>
      <c r="P40" s="387"/>
      <c r="Q40" s="388"/>
    </row>
    <row r="41" spans="1:17" s="159" customFormat="1" ht="16.2" thickBot="1" x14ac:dyDescent="0.35">
      <c r="A41" s="583" t="s">
        <v>284</v>
      </c>
      <c r="B41" s="584" t="s">
        <v>79</v>
      </c>
      <c r="C41" s="629" t="s">
        <v>19</v>
      </c>
      <c r="D41" s="629" t="s">
        <v>33</v>
      </c>
      <c r="E41" s="630" t="s">
        <v>35</v>
      </c>
      <c r="F41" s="631" t="s">
        <v>30</v>
      </c>
      <c r="G41" s="632" t="s">
        <v>14</v>
      </c>
      <c r="H41" s="630" t="s">
        <v>35</v>
      </c>
      <c r="I41" s="631" t="s">
        <v>30</v>
      </c>
      <c r="J41" s="624" t="s">
        <v>659</v>
      </c>
      <c r="K41" s="633" t="s">
        <v>38</v>
      </c>
      <c r="L41" s="407"/>
      <c r="M41" s="636"/>
      <c r="N41" s="414"/>
      <c r="O41" s="386"/>
      <c r="P41" s="387"/>
      <c r="Q41" s="388"/>
    </row>
    <row r="42" spans="1:17" s="159" customFormat="1" ht="15" x14ac:dyDescent="0.25">
      <c r="A42" s="640" t="s">
        <v>285</v>
      </c>
      <c r="B42" s="851" t="s">
        <v>1090</v>
      </c>
      <c r="C42" s="852">
        <v>442</v>
      </c>
      <c r="D42" s="839" t="s">
        <v>732</v>
      </c>
      <c r="E42" s="259">
        <v>0</v>
      </c>
      <c r="F42" s="378">
        <f>C42*E42</f>
        <v>0</v>
      </c>
      <c r="G42" s="534"/>
      <c r="H42" s="380">
        <v>0</v>
      </c>
      <c r="I42" s="378">
        <f>G42*H42</f>
        <v>0</v>
      </c>
      <c r="J42" s="626"/>
      <c r="K42" s="535">
        <f>F42+I42+J42</f>
        <v>0</v>
      </c>
      <c r="L42" s="383"/>
      <c r="M42" s="627"/>
      <c r="N42" s="385"/>
      <c r="O42" s="386"/>
      <c r="P42" s="387"/>
      <c r="Q42" s="388"/>
    </row>
    <row r="43" spans="1:17" s="159" customFormat="1" ht="15" x14ac:dyDescent="0.25">
      <c r="A43" s="195" t="s">
        <v>286</v>
      </c>
      <c r="B43" s="886" t="s">
        <v>1091</v>
      </c>
      <c r="C43" s="887">
        <v>5351</v>
      </c>
      <c r="D43" s="888" t="s">
        <v>732</v>
      </c>
      <c r="E43" s="259">
        <v>0</v>
      </c>
      <c r="F43" s="378">
        <f>C43*E43</f>
        <v>0</v>
      </c>
      <c r="G43" s="534"/>
      <c r="H43" s="380">
        <v>0</v>
      </c>
      <c r="I43" s="378">
        <f>G43*H43</f>
        <v>0</v>
      </c>
      <c r="J43" s="626">
        <f>N49</f>
        <v>45560</v>
      </c>
      <c r="K43" s="535">
        <f>F43+I43+J43</f>
        <v>45560</v>
      </c>
      <c r="L43" s="960" t="s">
        <v>1114</v>
      </c>
      <c r="M43" s="961">
        <v>13812</v>
      </c>
      <c r="N43" s="960" t="s">
        <v>1189</v>
      </c>
      <c r="O43" s="415"/>
      <c r="P43" s="416"/>
      <c r="Q43" s="388"/>
    </row>
    <row r="44" spans="1:17" s="159" customFormat="1" ht="15" x14ac:dyDescent="0.25">
      <c r="A44" s="195" t="s">
        <v>288</v>
      </c>
      <c r="B44" s="879" t="s">
        <v>1092</v>
      </c>
      <c r="C44" s="880">
        <v>318</v>
      </c>
      <c r="D44" s="881" t="s">
        <v>732</v>
      </c>
      <c r="E44" s="259">
        <v>0</v>
      </c>
      <c r="F44" s="378">
        <f t="shared" ref="F44:F47" si="9">C44*E44</f>
        <v>0</v>
      </c>
      <c r="G44" s="534"/>
      <c r="H44" s="380">
        <v>0</v>
      </c>
      <c r="I44" s="378">
        <f t="shared" ref="I44:I47" si="10">G44*H44</f>
        <v>0</v>
      </c>
      <c r="J44" s="882">
        <f>M43</f>
        <v>13812</v>
      </c>
      <c r="K44" s="535">
        <f t="shared" ref="K44:K47" si="11">F44+I44+J44</f>
        <v>13812</v>
      </c>
      <c r="L44" s="383" t="s">
        <v>1115</v>
      </c>
      <c r="M44" s="307">
        <v>16528</v>
      </c>
      <c r="N44" s="426" t="s">
        <v>1189</v>
      </c>
      <c r="O44" s="415"/>
      <c r="P44" s="416"/>
      <c r="Q44" s="388"/>
    </row>
    <row r="45" spans="1:17" s="159" customFormat="1" ht="15" x14ac:dyDescent="0.25">
      <c r="A45" s="195" t="s">
        <v>289</v>
      </c>
      <c r="B45" s="886" t="s">
        <v>1093</v>
      </c>
      <c r="C45" s="887">
        <v>161</v>
      </c>
      <c r="D45" s="888" t="s">
        <v>732</v>
      </c>
      <c r="E45" s="259">
        <v>0</v>
      </c>
      <c r="F45" s="378">
        <f t="shared" si="9"/>
        <v>0</v>
      </c>
      <c r="G45" s="534"/>
      <c r="H45" s="380">
        <v>0</v>
      </c>
      <c r="I45" s="378">
        <f t="shared" si="10"/>
        <v>0</v>
      </c>
      <c r="J45" s="626"/>
      <c r="K45" s="535">
        <f t="shared" si="11"/>
        <v>0</v>
      </c>
      <c r="L45" s="383" t="s">
        <v>1119</v>
      </c>
      <c r="M45" s="307"/>
      <c r="N45" s="426"/>
      <c r="O45" s="415"/>
      <c r="P45" s="416"/>
      <c r="Q45" s="388"/>
    </row>
    <row r="46" spans="1:17" s="159" customFormat="1" ht="15" x14ac:dyDescent="0.25">
      <c r="A46" s="195" t="s">
        <v>290</v>
      </c>
      <c r="B46" s="650" t="s">
        <v>912</v>
      </c>
      <c r="C46" s="649"/>
      <c r="D46" s="377" t="s">
        <v>732</v>
      </c>
      <c r="E46" s="259">
        <v>0</v>
      </c>
      <c r="F46" s="378">
        <f t="shared" si="9"/>
        <v>0</v>
      </c>
      <c r="G46" s="534"/>
      <c r="H46" s="380">
        <v>0</v>
      </c>
      <c r="I46" s="378">
        <f t="shared" si="10"/>
        <v>0</v>
      </c>
      <c r="J46" s="626"/>
      <c r="K46" s="535">
        <f t="shared" si="11"/>
        <v>0</v>
      </c>
      <c r="L46" s="383" t="s">
        <v>1120</v>
      </c>
      <c r="M46" s="307"/>
      <c r="N46" s="426"/>
      <c r="O46" s="415"/>
      <c r="P46" s="416"/>
      <c r="Q46" s="388"/>
    </row>
    <row r="47" spans="1:17" s="159" customFormat="1" ht="15" x14ac:dyDescent="0.25">
      <c r="A47" s="195" t="s">
        <v>291</v>
      </c>
      <c r="B47" s="650"/>
      <c r="C47" s="649"/>
      <c r="D47" s="377" t="s">
        <v>732</v>
      </c>
      <c r="E47" s="259">
        <v>0</v>
      </c>
      <c r="F47" s="378">
        <f t="shared" si="9"/>
        <v>0</v>
      </c>
      <c r="G47" s="534"/>
      <c r="H47" s="380">
        <v>0</v>
      </c>
      <c r="I47" s="378">
        <f t="shared" si="10"/>
        <v>0</v>
      </c>
      <c r="J47" s="626"/>
      <c r="K47" s="535">
        <f t="shared" si="11"/>
        <v>0</v>
      </c>
      <c r="L47" s="868" t="s">
        <v>1311</v>
      </c>
      <c r="M47" s="307"/>
      <c r="N47" s="1213" t="s">
        <v>1121</v>
      </c>
      <c r="O47" s="415"/>
      <c r="P47" s="416"/>
      <c r="Q47" s="388"/>
    </row>
    <row r="48" spans="1:17" s="159" customFormat="1" ht="15" x14ac:dyDescent="0.25">
      <c r="A48" s="195" t="s">
        <v>291</v>
      </c>
      <c r="B48" s="650"/>
      <c r="C48" s="649"/>
      <c r="D48" s="377" t="s">
        <v>732</v>
      </c>
      <c r="E48" s="259">
        <v>0</v>
      </c>
      <c r="F48" s="378">
        <f t="shared" ref="F48:F50" si="12">C48*E48</f>
        <v>0</v>
      </c>
      <c r="G48" s="534"/>
      <c r="H48" s="380">
        <v>0</v>
      </c>
      <c r="I48" s="378">
        <f t="shared" ref="I48:I50" si="13">G48*H48</f>
        <v>0</v>
      </c>
      <c r="J48" s="626"/>
      <c r="K48" s="535">
        <f t="shared" ref="K48:K50" si="14">F48+I48+J48</f>
        <v>0</v>
      </c>
      <c r="L48" s="383" t="s">
        <v>1092</v>
      </c>
      <c r="M48" s="307">
        <v>17900</v>
      </c>
      <c r="N48" s="426"/>
      <c r="O48" s="415"/>
      <c r="P48" s="416"/>
      <c r="Q48" s="388"/>
    </row>
    <row r="49" spans="1:17" s="159" customFormat="1" ht="15" x14ac:dyDescent="0.25">
      <c r="A49" s="195" t="s">
        <v>291</v>
      </c>
      <c r="B49" s="650"/>
      <c r="C49" s="649"/>
      <c r="D49" s="377" t="s">
        <v>732</v>
      </c>
      <c r="E49" s="259">
        <v>0</v>
      </c>
      <c r="F49" s="378">
        <f t="shared" si="12"/>
        <v>0</v>
      </c>
      <c r="G49" s="534"/>
      <c r="H49" s="380">
        <v>0</v>
      </c>
      <c r="I49" s="378">
        <f t="shared" si="13"/>
        <v>0</v>
      </c>
      <c r="J49" s="626"/>
      <c r="K49" s="535">
        <f t="shared" si="14"/>
        <v>0</v>
      </c>
      <c r="L49" s="383" t="s">
        <v>1192</v>
      </c>
      <c r="M49" s="307">
        <v>87755</v>
      </c>
      <c r="N49" s="950">
        <v>45560</v>
      </c>
      <c r="O49" s="415"/>
      <c r="P49" s="416"/>
      <c r="Q49" s="388"/>
    </row>
    <row r="50" spans="1:17" s="159" customFormat="1" ht="15" x14ac:dyDescent="0.25">
      <c r="A50" s="195" t="s">
        <v>291</v>
      </c>
      <c r="B50" s="650"/>
      <c r="C50" s="649"/>
      <c r="D50" s="377" t="s">
        <v>732</v>
      </c>
      <c r="E50" s="259">
        <v>0</v>
      </c>
      <c r="F50" s="378">
        <f t="shared" si="12"/>
        <v>0</v>
      </c>
      <c r="G50" s="534"/>
      <c r="H50" s="380">
        <v>0</v>
      </c>
      <c r="I50" s="378">
        <f t="shared" si="13"/>
        <v>0</v>
      </c>
      <c r="J50" s="626"/>
      <c r="K50" s="535">
        <f t="shared" si="14"/>
        <v>0</v>
      </c>
      <c r="L50" s="383"/>
      <c r="M50" s="307"/>
      <c r="N50" s="426"/>
      <c r="O50" s="415"/>
      <c r="P50" s="416"/>
      <c r="Q50" s="388"/>
    </row>
    <row r="51" spans="1:17" s="159" customFormat="1" x14ac:dyDescent="0.25">
      <c r="A51" s="375"/>
      <c r="B51" s="5"/>
      <c r="C51" s="649"/>
      <c r="D51" s="377"/>
      <c r="E51" s="259"/>
      <c r="F51" s="378"/>
      <c r="G51" s="534"/>
      <c r="H51" s="380"/>
      <c r="I51" s="378"/>
      <c r="J51" s="626"/>
      <c r="K51" s="535"/>
      <c r="L51" s="868" t="s">
        <v>1123</v>
      </c>
      <c r="M51" s="307"/>
      <c r="N51" s="870" t="s">
        <v>1124</v>
      </c>
      <c r="O51" s="415"/>
      <c r="P51" s="416"/>
      <c r="Q51" s="388"/>
    </row>
    <row r="52" spans="1:17" s="159" customFormat="1" x14ac:dyDescent="0.25">
      <c r="A52" s="375"/>
      <c r="B52" s="5"/>
      <c r="C52" s="649"/>
      <c r="D52" s="377"/>
      <c r="E52" s="259"/>
      <c r="F52" s="378"/>
      <c r="G52" s="534"/>
      <c r="H52" s="380"/>
      <c r="I52" s="378"/>
      <c r="J52" s="626"/>
      <c r="K52" s="535"/>
      <c r="L52" s="383" t="s">
        <v>1317</v>
      </c>
      <c r="M52" s="307">
        <v>88410</v>
      </c>
      <c r="N52" s="949">
        <v>59500</v>
      </c>
      <c r="O52" s="386"/>
      <c r="P52" s="387"/>
      <c r="Q52" s="388"/>
    </row>
    <row r="53" spans="1:17" s="159" customFormat="1" ht="15" x14ac:dyDescent="0.25">
      <c r="A53" s="195"/>
      <c r="B53" s="650"/>
      <c r="C53" s="649"/>
      <c r="D53" s="377"/>
      <c r="E53" s="259"/>
      <c r="F53" s="378"/>
      <c r="G53" s="534"/>
      <c r="H53" s="380"/>
      <c r="I53" s="378"/>
      <c r="J53" s="626"/>
      <c r="K53" s="535"/>
      <c r="L53" s="383" t="s">
        <v>1316</v>
      </c>
      <c r="M53" s="307">
        <v>173609</v>
      </c>
      <c r="N53" s="912">
        <v>110000</v>
      </c>
      <c r="O53" s="415"/>
      <c r="P53" s="416"/>
      <c r="Q53" s="388"/>
    </row>
    <row r="54" spans="1:17" s="159" customFormat="1" x14ac:dyDescent="0.25">
      <c r="A54" s="375"/>
      <c r="B54" s="5"/>
      <c r="C54" s="649"/>
      <c r="D54" s="377"/>
      <c r="E54" s="259"/>
      <c r="F54" s="378"/>
      <c r="G54" s="534"/>
      <c r="H54" s="380"/>
      <c r="I54" s="378"/>
      <c r="J54" s="626"/>
      <c r="K54" s="535"/>
      <c r="L54" s="383"/>
      <c r="M54" s="307"/>
      <c r="N54" s="426"/>
      <c r="O54" s="415"/>
      <c r="P54" s="416"/>
      <c r="Q54" s="388"/>
    </row>
    <row r="55" spans="1:17" s="159" customFormat="1" x14ac:dyDescent="0.25">
      <c r="A55" s="375"/>
      <c r="B55" s="5"/>
      <c r="C55" s="649"/>
      <c r="D55" s="377"/>
      <c r="E55" s="259"/>
      <c r="F55" s="378"/>
      <c r="G55" s="534"/>
      <c r="H55" s="380"/>
      <c r="I55" s="378"/>
      <c r="J55" s="626"/>
      <c r="K55" s="535"/>
      <c r="L55" s="383" t="s">
        <v>1122</v>
      </c>
      <c r="M55" s="307"/>
      <c r="N55" s="385"/>
      <c r="O55" s="386"/>
      <c r="P55" s="387"/>
      <c r="Q55" s="388"/>
    </row>
    <row r="56" spans="1:17" s="159" customFormat="1" x14ac:dyDescent="0.25">
      <c r="A56" s="375"/>
      <c r="B56" s="5"/>
      <c r="C56" s="649"/>
      <c r="D56" s="377"/>
      <c r="E56" s="259"/>
      <c r="F56" s="378"/>
      <c r="G56" s="534"/>
      <c r="H56" s="380"/>
      <c r="I56" s="378"/>
      <c r="J56" s="626"/>
      <c r="K56" s="535"/>
      <c r="L56" s="159" t="s">
        <v>1124</v>
      </c>
      <c r="M56" s="280"/>
      <c r="O56" s="386"/>
      <c r="P56" s="387"/>
      <c r="Q56" s="388"/>
    </row>
    <row r="57" spans="1:17" s="159" customFormat="1" x14ac:dyDescent="0.25">
      <c r="A57" s="375"/>
      <c r="B57" s="5"/>
      <c r="C57" s="649"/>
      <c r="D57" s="377"/>
      <c r="E57" s="259"/>
      <c r="F57" s="378"/>
      <c r="G57" s="534"/>
      <c r="H57" s="380"/>
      <c r="I57" s="378"/>
      <c r="J57" s="626"/>
      <c r="K57" s="535"/>
      <c r="L57" s="884" t="s">
        <v>1125</v>
      </c>
      <c r="M57" s="885">
        <v>96880</v>
      </c>
      <c r="N57" s="884" t="s">
        <v>1192</v>
      </c>
      <c r="O57" s="386"/>
      <c r="P57" s="416"/>
      <c r="Q57" s="388"/>
    </row>
    <row r="58" spans="1:17" s="159" customFormat="1" ht="13.8" thickBot="1" x14ac:dyDescent="0.3">
      <c r="A58" s="392"/>
      <c r="B58" s="417"/>
      <c r="C58" s="393"/>
      <c r="D58" s="377"/>
      <c r="E58" s="259"/>
      <c r="F58" s="378"/>
      <c r="G58" s="534"/>
      <c r="H58" s="380"/>
      <c r="I58" s="378"/>
      <c r="J58" s="626"/>
      <c r="K58" s="540"/>
      <c r="L58" s="383"/>
      <c r="M58" s="307"/>
      <c r="N58" s="385"/>
      <c r="O58" s="386"/>
      <c r="P58" s="387"/>
      <c r="Q58" s="388"/>
    </row>
    <row r="59" spans="1:17" s="159" customFormat="1" ht="13.8" thickTop="1" x14ac:dyDescent="0.25">
      <c r="A59" s="392"/>
      <c r="B59" s="417"/>
      <c r="C59" s="393"/>
      <c r="D59" s="377"/>
      <c r="E59" s="259"/>
      <c r="F59" s="378"/>
      <c r="G59" s="534"/>
      <c r="H59" s="380"/>
      <c r="I59" s="378"/>
      <c r="J59" s="394" t="s">
        <v>30</v>
      </c>
      <c r="K59" s="537">
        <f>SUM(K42:K58)</f>
        <v>59372</v>
      </c>
      <c r="L59" s="383"/>
      <c r="M59" s="307"/>
      <c r="N59" s="385"/>
      <c r="O59" s="386"/>
      <c r="P59" s="387"/>
      <c r="Q59" s="388"/>
    </row>
    <row r="60" spans="1:17" s="159" customFormat="1" ht="13.8" thickBot="1" x14ac:dyDescent="0.3">
      <c r="A60" s="618" t="s">
        <v>0</v>
      </c>
      <c r="B60" s="619" t="s">
        <v>1</v>
      </c>
      <c r="C60" s="1018" t="s">
        <v>656</v>
      </c>
      <c r="D60" s="1018"/>
      <c r="E60" s="1018"/>
      <c r="F60" s="1018"/>
      <c r="G60" s="1018" t="s">
        <v>34</v>
      </c>
      <c r="H60" s="1018"/>
      <c r="I60" s="1018"/>
      <c r="J60" s="620"/>
      <c r="K60" s="528"/>
      <c r="L60" s="396"/>
      <c r="M60" s="620"/>
      <c r="N60" s="398"/>
      <c r="O60" s="386"/>
      <c r="P60" s="387"/>
      <c r="Q60" s="388"/>
    </row>
    <row r="61" spans="1:17" s="159" customFormat="1" ht="16.2" thickBot="1" x14ac:dyDescent="0.35">
      <c r="A61" s="583" t="s">
        <v>292</v>
      </c>
      <c r="B61" s="584" t="s">
        <v>66</v>
      </c>
      <c r="C61" s="629" t="s">
        <v>19</v>
      </c>
      <c r="D61" s="629" t="s">
        <v>33</v>
      </c>
      <c r="E61" s="630" t="s">
        <v>35</v>
      </c>
      <c r="F61" s="631" t="s">
        <v>30</v>
      </c>
      <c r="G61" s="632" t="s">
        <v>14</v>
      </c>
      <c r="H61" s="630" t="s">
        <v>35</v>
      </c>
      <c r="I61" s="631" t="s">
        <v>30</v>
      </c>
      <c r="J61" s="624" t="s">
        <v>659</v>
      </c>
      <c r="K61" s="633" t="s">
        <v>38</v>
      </c>
      <c r="L61" s="407"/>
      <c r="M61" s="636"/>
      <c r="N61" s="409"/>
      <c r="O61" s="386"/>
      <c r="P61" s="387"/>
      <c r="Q61" s="388"/>
    </row>
    <row r="62" spans="1:17" s="159" customFormat="1" x14ac:dyDescent="0.25">
      <c r="A62" s="375"/>
      <c r="B62" s="5"/>
      <c r="C62" s="376"/>
      <c r="D62" s="377" t="s">
        <v>732</v>
      </c>
      <c r="E62" s="259">
        <v>0</v>
      </c>
      <c r="F62" s="378">
        <f>C62*E62</f>
        <v>0</v>
      </c>
      <c r="G62" s="534"/>
      <c r="H62" s="380">
        <v>0</v>
      </c>
      <c r="I62" s="378">
        <f>G62*H62</f>
        <v>0</v>
      </c>
      <c r="J62" s="626"/>
      <c r="K62" s="535">
        <f>F62+I62+J62</f>
        <v>0</v>
      </c>
      <c r="L62" s="383"/>
      <c r="M62" s="307"/>
      <c r="N62" s="385"/>
      <c r="O62" s="386"/>
      <c r="P62" s="387"/>
      <c r="Q62" s="388"/>
    </row>
    <row r="63" spans="1:17" s="159" customFormat="1" x14ac:dyDescent="0.25">
      <c r="A63" s="375"/>
      <c r="B63" s="5"/>
      <c r="C63" s="376"/>
      <c r="D63" s="377" t="s">
        <v>732</v>
      </c>
      <c r="E63" s="259">
        <v>0</v>
      </c>
      <c r="F63" s="378">
        <f>C63*E63</f>
        <v>0</v>
      </c>
      <c r="G63" s="534"/>
      <c r="H63" s="380">
        <v>0</v>
      </c>
      <c r="I63" s="378">
        <f>G63*H63</f>
        <v>0</v>
      </c>
      <c r="J63" s="626"/>
      <c r="K63" s="535">
        <f>F63+I63+J63</f>
        <v>0</v>
      </c>
      <c r="L63" s="383"/>
      <c r="M63" s="307"/>
      <c r="N63" s="385"/>
      <c r="O63" s="386"/>
      <c r="P63" s="387"/>
      <c r="Q63" s="388"/>
    </row>
    <row r="64" spans="1:17" s="159" customFormat="1" ht="13.8" thickBot="1" x14ac:dyDescent="0.3">
      <c r="A64" s="392"/>
      <c r="B64" s="417"/>
      <c r="C64" s="376"/>
      <c r="D64" s="377"/>
      <c r="E64" s="259"/>
      <c r="F64" s="378"/>
      <c r="G64" s="534"/>
      <c r="H64" s="380"/>
      <c r="I64" s="378"/>
      <c r="J64" s="626"/>
      <c r="K64" s="535"/>
      <c r="L64" s="383"/>
      <c r="M64" s="307"/>
      <c r="N64" s="426"/>
      <c r="O64" s="441"/>
      <c r="P64" s="442"/>
      <c r="Q64" s="388"/>
    </row>
    <row r="65" spans="1:17" s="159" customFormat="1" ht="14.4" thickTop="1" thickBot="1" x14ac:dyDescent="0.3">
      <c r="A65" s="475"/>
      <c r="B65" s="156"/>
      <c r="C65" s="476"/>
      <c r="D65" s="477"/>
      <c r="E65" s="637"/>
      <c r="F65" s="479"/>
      <c r="G65" s="638"/>
      <c r="H65" s="637"/>
      <c r="I65" s="479"/>
      <c r="J65" s="481" t="s">
        <v>30</v>
      </c>
      <c r="K65" s="639">
        <f>SUM(K62:K64)</f>
        <v>0</v>
      </c>
      <c r="M65" s="280"/>
      <c r="O65" s="441"/>
      <c r="P65" s="442"/>
      <c r="Q65" s="388"/>
    </row>
    <row r="66" spans="1:17" s="159" customFormat="1" ht="13.8" thickBot="1" x14ac:dyDescent="0.3">
      <c r="A66" s="618" t="s">
        <v>0</v>
      </c>
      <c r="B66" s="619" t="s">
        <v>1</v>
      </c>
      <c r="C66" s="1018" t="s">
        <v>656</v>
      </c>
      <c r="D66" s="1018"/>
      <c r="E66" s="1018"/>
      <c r="F66" s="1018"/>
      <c r="G66" s="1018" t="s">
        <v>34</v>
      </c>
      <c r="H66" s="1018"/>
      <c r="I66" s="1018"/>
      <c r="J66" s="620"/>
      <c r="K66" s="528"/>
      <c r="L66" s="396"/>
      <c r="M66" s="620"/>
      <c r="N66" s="443"/>
      <c r="O66" s="415"/>
      <c r="P66" s="416"/>
      <c r="Q66" s="388"/>
    </row>
    <row r="67" spans="1:17" s="159" customFormat="1" ht="16.2" thickBot="1" x14ac:dyDescent="0.35">
      <c r="A67" s="583" t="s">
        <v>293</v>
      </c>
      <c r="B67" s="584" t="s">
        <v>80</v>
      </c>
      <c r="C67" s="629" t="s">
        <v>19</v>
      </c>
      <c r="D67" s="629" t="s">
        <v>33</v>
      </c>
      <c r="E67" s="630" t="s">
        <v>35</v>
      </c>
      <c r="F67" s="631" t="s">
        <v>30</v>
      </c>
      <c r="G67" s="632" t="s">
        <v>14</v>
      </c>
      <c r="H67" s="630" t="s">
        <v>35</v>
      </c>
      <c r="I67" s="631" t="s">
        <v>30</v>
      </c>
      <c r="J67" s="624" t="s">
        <v>659</v>
      </c>
      <c r="K67" s="633" t="s">
        <v>38</v>
      </c>
      <c r="L67" s="407"/>
      <c r="M67" s="636"/>
      <c r="N67" s="414"/>
      <c r="O67" s="386"/>
      <c r="P67" s="387"/>
      <c r="Q67" s="388"/>
    </row>
    <row r="68" spans="1:17" s="159" customFormat="1" x14ac:dyDescent="0.25">
      <c r="A68" s="158" t="s">
        <v>294</v>
      </c>
      <c r="B68" s="159" t="s">
        <v>64</v>
      </c>
      <c r="C68" s="376"/>
      <c r="D68" s="377" t="s">
        <v>732</v>
      </c>
      <c r="E68" s="259">
        <v>0</v>
      </c>
      <c r="F68" s="378">
        <f>C68*E68</f>
        <v>0</v>
      </c>
      <c r="G68" s="534"/>
      <c r="H68" s="380">
        <v>0</v>
      </c>
      <c r="I68" s="378">
        <f>G68*H68</f>
        <v>0</v>
      </c>
      <c r="J68" s="626">
        <f>M72</f>
        <v>21440</v>
      </c>
      <c r="K68" s="535">
        <f>F68+I68+J68</f>
        <v>21440</v>
      </c>
      <c r="L68" s="383"/>
      <c r="M68" s="627"/>
      <c r="N68" s="385"/>
      <c r="O68" s="386"/>
      <c r="P68" s="387"/>
      <c r="Q68" s="388"/>
    </row>
    <row r="69" spans="1:17" s="159" customFormat="1" x14ac:dyDescent="0.25">
      <c r="A69" s="158" t="s">
        <v>295</v>
      </c>
      <c r="B69" s="846" t="s">
        <v>65</v>
      </c>
      <c r="C69" s="838">
        <f>(2258+2816+695+315)*2</f>
        <v>12168</v>
      </c>
      <c r="D69" s="839" t="s">
        <v>732</v>
      </c>
      <c r="E69" s="259">
        <v>0</v>
      </c>
      <c r="F69" s="378">
        <f>C69*E69</f>
        <v>0</v>
      </c>
      <c r="G69" s="534"/>
      <c r="H69" s="380">
        <v>0</v>
      </c>
      <c r="I69" s="378">
        <f>G69*H69</f>
        <v>0</v>
      </c>
      <c r="J69" s="626"/>
      <c r="K69" s="535">
        <f>F69+I69+J69</f>
        <v>0</v>
      </c>
      <c r="L69" s="383" t="s">
        <v>1116</v>
      </c>
      <c r="M69" s="627">
        <v>25500</v>
      </c>
      <c r="N69" s="385"/>
      <c r="O69" s="386"/>
      <c r="P69" s="387"/>
      <c r="Q69" s="388"/>
    </row>
    <row r="70" spans="1:17" s="159" customFormat="1" ht="15" x14ac:dyDescent="0.25">
      <c r="A70" s="195"/>
      <c r="B70" s="650"/>
      <c r="C70" s="649"/>
      <c r="D70" s="377"/>
      <c r="E70" s="259"/>
      <c r="F70" s="378"/>
      <c r="G70" s="534"/>
      <c r="H70" s="380"/>
      <c r="I70" s="378"/>
      <c r="J70" s="626"/>
      <c r="K70" s="535"/>
      <c r="L70" s="383" t="s">
        <v>1117</v>
      </c>
      <c r="M70" s="627">
        <v>28312</v>
      </c>
      <c r="N70" s="385"/>
      <c r="O70" s="386"/>
      <c r="P70" s="387"/>
      <c r="Q70" s="388"/>
    </row>
    <row r="71" spans="1:17" s="159" customFormat="1" ht="15" x14ac:dyDescent="0.25">
      <c r="A71" s="195"/>
      <c r="B71" s="650"/>
      <c r="C71" s="649"/>
      <c r="D71" s="377"/>
      <c r="E71" s="259"/>
      <c r="F71" s="378"/>
      <c r="G71" s="534"/>
      <c r="H71" s="380"/>
      <c r="I71" s="378"/>
      <c r="J71" s="626"/>
      <c r="K71" s="535"/>
      <c r="L71" s="383" t="s">
        <v>1118</v>
      </c>
      <c r="M71" s="627"/>
      <c r="N71" s="385"/>
      <c r="O71" s="386"/>
      <c r="P71" s="387"/>
      <c r="Q71" s="388"/>
    </row>
    <row r="72" spans="1:17" s="159" customFormat="1" ht="15" x14ac:dyDescent="0.25">
      <c r="A72" s="195"/>
      <c r="B72" s="650"/>
      <c r="C72" s="649"/>
      <c r="D72" s="377"/>
      <c r="E72" s="259"/>
      <c r="F72" s="378"/>
      <c r="G72" s="534"/>
      <c r="H72" s="380"/>
      <c r="I72" s="378"/>
      <c r="J72" s="626"/>
      <c r="K72" s="535"/>
      <c r="L72" s="959" t="s">
        <v>1295</v>
      </c>
      <c r="M72" s="1214">
        <v>21440</v>
      </c>
      <c r="N72" s="385"/>
      <c r="O72" s="386"/>
      <c r="P72" s="387"/>
      <c r="Q72" s="388"/>
    </row>
    <row r="73" spans="1:17" s="159" customFormat="1" ht="15.6" thickBot="1" x14ac:dyDescent="0.3">
      <c r="A73" s="195"/>
      <c r="B73" s="650"/>
      <c r="C73" s="649"/>
      <c r="D73" s="377"/>
      <c r="E73" s="259"/>
      <c r="F73" s="378"/>
      <c r="G73" s="534"/>
      <c r="H73" s="380"/>
      <c r="I73" s="378"/>
      <c r="J73" s="307"/>
      <c r="K73" s="540"/>
      <c r="L73" s="383"/>
      <c r="M73" s="627"/>
      <c r="N73" s="385"/>
      <c r="O73" s="386"/>
      <c r="P73" s="387"/>
      <c r="Q73" s="388"/>
    </row>
    <row r="74" spans="1:17" s="159" customFormat="1" ht="14.4" thickTop="1" thickBot="1" x14ac:dyDescent="0.3">
      <c r="A74" s="475"/>
      <c r="B74" s="156"/>
      <c r="C74" s="476"/>
      <c r="D74" s="477"/>
      <c r="E74" s="637"/>
      <c r="F74" s="479"/>
      <c r="G74" s="638"/>
      <c r="H74" s="637"/>
      <c r="I74" s="479"/>
      <c r="J74" s="481" t="s">
        <v>30</v>
      </c>
      <c r="K74" s="639">
        <f>SUM(K68:K73)</f>
        <v>21440</v>
      </c>
      <c r="L74" s="383"/>
      <c r="M74" s="627"/>
      <c r="N74" s="385"/>
      <c r="O74" s="386"/>
      <c r="P74" s="387"/>
      <c r="Q74" s="388"/>
    </row>
    <row r="75" spans="1:17" s="159" customFormat="1" ht="14.1" customHeight="1" thickTop="1" x14ac:dyDescent="0.25">
      <c r="A75" s="483"/>
      <c r="B75" s="484"/>
      <c r="C75" s="485"/>
      <c r="D75" s="485"/>
      <c r="E75" s="646"/>
      <c r="F75" s="1147" t="s">
        <v>658</v>
      </c>
      <c r="G75" s="1071" t="s">
        <v>684</v>
      </c>
      <c r="H75" s="646"/>
      <c r="I75" s="1144" t="s">
        <v>657</v>
      </c>
      <c r="J75" s="1037" t="s">
        <v>685</v>
      </c>
      <c r="K75" s="1136" t="s">
        <v>31</v>
      </c>
      <c r="L75" s="547"/>
      <c r="M75" s="655"/>
      <c r="N75" s="656"/>
      <c r="O75" s="657"/>
      <c r="P75" s="657"/>
      <c r="Q75" s="656"/>
    </row>
    <row r="76" spans="1:17" s="159" customFormat="1" ht="13.8" x14ac:dyDescent="0.25">
      <c r="A76" s="487" t="s">
        <v>32</v>
      </c>
      <c r="B76" s="1146" t="s">
        <v>29</v>
      </c>
      <c r="C76" s="488"/>
      <c r="D76" s="647"/>
      <c r="E76" s="647"/>
      <c r="F76" s="1148"/>
      <c r="G76" s="1072"/>
      <c r="H76" s="648"/>
      <c r="I76" s="1145"/>
      <c r="J76" s="1038"/>
      <c r="K76" s="1137"/>
      <c r="M76" s="280"/>
      <c r="O76" s="499"/>
      <c r="P76" s="499"/>
    </row>
    <row r="77" spans="1:17" s="159" customFormat="1" ht="13.8" x14ac:dyDescent="0.25">
      <c r="A77" s="833" t="e">
        <f>K78/'Estimate Summary'!E6</f>
        <v>#VALUE!</v>
      </c>
      <c r="B77" s="1146"/>
      <c r="C77" s="647"/>
      <c r="D77" s="647"/>
      <c r="E77" s="647"/>
      <c r="F77" s="1138">
        <f>SUM(F68:F73,F42:F58,F33:F38,F23:F27,F11:F19,F62:F64)</f>
        <v>0</v>
      </c>
      <c r="G77" s="1159">
        <f>SUM(G68:G73,G42:G58,G33:G38,G23:G27,G11:G19)</f>
        <v>0</v>
      </c>
      <c r="H77" s="648"/>
      <c r="I77" s="1138">
        <f>SUM(I68:I73,I42:I58,I33:I38,I23:I27,I11:I19,I62:I64)</f>
        <v>0</v>
      </c>
      <c r="J77" s="1138">
        <f>SUM(J68:J73,J42:J58,J33:J38,J23:J27,J11:J19,J62:J64)</f>
        <v>187734.62999999998</v>
      </c>
      <c r="K77" s="1142">
        <f>K74+K65+K59+K39+K28+K20</f>
        <v>187734.63</v>
      </c>
      <c r="M77" s="280"/>
      <c r="O77" s="499"/>
      <c r="P77" s="499"/>
    </row>
    <row r="78" spans="1:17" s="159" customFormat="1" ht="14.4" thickBot="1" x14ac:dyDescent="0.3">
      <c r="A78" s="487"/>
      <c r="B78" s="555"/>
      <c r="C78" s="493"/>
      <c r="D78" s="493"/>
      <c r="E78" s="493"/>
      <c r="F78" s="1139"/>
      <c r="G78" s="1141"/>
      <c r="H78" s="493"/>
      <c r="I78" s="1139"/>
      <c r="J78" s="1139"/>
      <c r="K78" s="1143"/>
      <c r="M78" s="280"/>
      <c r="O78" s="499"/>
      <c r="P78" s="499"/>
    </row>
    <row r="79" spans="1:17" s="159" customFormat="1" ht="13.8" thickBot="1" x14ac:dyDescent="0.3">
      <c r="A79" s="494"/>
      <c r="B79" s="495"/>
      <c r="C79" s="495"/>
      <c r="D79" s="495"/>
      <c r="E79" s="495"/>
      <c r="F79" s="495"/>
      <c r="G79" s="495"/>
      <c r="H79" s="495"/>
      <c r="I79" s="495"/>
      <c r="J79" s="495"/>
      <c r="K79" s="496"/>
      <c r="M79" s="280"/>
      <c r="O79" s="499"/>
      <c r="P79" s="499"/>
    </row>
    <row r="80" spans="1:17" s="159" customFormat="1" x14ac:dyDescent="0.25">
      <c r="C80" s="658"/>
      <c r="D80" s="658"/>
      <c r="M80" s="280"/>
      <c r="O80" s="499"/>
      <c r="P80" s="499"/>
    </row>
    <row r="81" spans="3:16" s="159" customFormat="1" x14ac:dyDescent="0.25">
      <c r="C81" s="658"/>
      <c r="D81" s="658"/>
      <c r="M81" s="280"/>
      <c r="O81" s="499"/>
      <c r="P81" s="499"/>
    </row>
    <row r="82" spans="3:16" s="159" customFormat="1" x14ac:dyDescent="0.25">
      <c r="C82" s="658"/>
      <c r="D82" s="658"/>
      <c r="M82" s="280"/>
      <c r="O82" s="499"/>
      <c r="P82" s="499"/>
    </row>
    <row r="83" spans="3:16" s="159" customFormat="1" x14ac:dyDescent="0.25">
      <c r="C83" s="658"/>
      <c r="D83" s="658"/>
      <c r="M83" s="280"/>
      <c r="O83" s="499"/>
      <c r="P83" s="499"/>
    </row>
    <row r="84" spans="3:16" s="159" customFormat="1" x14ac:dyDescent="0.25">
      <c r="C84" s="658"/>
      <c r="D84" s="658"/>
      <c r="M84" s="280"/>
      <c r="O84" s="499"/>
      <c r="P84" s="499"/>
    </row>
    <row r="85" spans="3:16" s="159" customFormat="1" x14ac:dyDescent="0.25">
      <c r="C85" s="658"/>
      <c r="D85" s="658"/>
      <c r="M85" s="280"/>
      <c r="O85" s="499"/>
      <c r="P85" s="499"/>
    </row>
    <row r="86" spans="3:16" s="159" customFormat="1" x14ac:dyDescent="0.25">
      <c r="C86" s="658"/>
      <c r="D86" s="658"/>
      <c r="M86" s="280"/>
      <c r="O86" s="499"/>
      <c r="P86" s="499"/>
    </row>
    <row r="87" spans="3:16" s="159" customFormat="1" x14ac:dyDescent="0.25">
      <c r="C87" s="658"/>
      <c r="D87" s="658"/>
      <c r="M87" s="280"/>
      <c r="O87" s="499"/>
      <c r="P87" s="499"/>
    </row>
    <row r="88" spans="3:16" s="159" customFormat="1" x14ac:dyDescent="0.25">
      <c r="C88" s="658"/>
      <c r="D88" s="658"/>
      <c r="M88" s="280"/>
      <c r="O88" s="499"/>
      <c r="P88" s="499"/>
    </row>
    <row r="89" spans="3:16" s="159" customFormat="1" x14ac:dyDescent="0.25">
      <c r="C89" s="658"/>
      <c r="D89" s="658"/>
      <c r="M89" s="280"/>
      <c r="O89" s="499"/>
      <c r="P89" s="499"/>
    </row>
    <row r="90" spans="3:16" s="159" customFormat="1" x14ac:dyDescent="0.25">
      <c r="C90" s="658"/>
      <c r="D90" s="658"/>
      <c r="M90" s="280"/>
      <c r="O90" s="499"/>
      <c r="P90" s="499"/>
    </row>
    <row r="91" spans="3:16" s="159" customFormat="1" x14ac:dyDescent="0.25">
      <c r="C91" s="658"/>
      <c r="D91" s="658"/>
      <c r="M91" s="280"/>
      <c r="O91" s="499"/>
      <c r="P91" s="499"/>
    </row>
    <row r="92" spans="3:16" s="159" customFormat="1" x14ac:dyDescent="0.25">
      <c r="C92" s="658"/>
      <c r="D92" s="658"/>
      <c r="M92" s="280"/>
      <c r="O92" s="499"/>
      <c r="P92" s="499"/>
    </row>
    <row r="93" spans="3:16" s="159" customFormat="1" x14ac:dyDescent="0.25">
      <c r="C93" s="658"/>
      <c r="D93" s="658"/>
      <c r="M93" s="280"/>
      <c r="O93" s="499"/>
      <c r="P93" s="499"/>
    </row>
    <row r="94" spans="3:16" s="159" customFormat="1" x14ac:dyDescent="0.25">
      <c r="C94" s="658"/>
      <c r="D94" s="658"/>
      <c r="M94" s="280"/>
      <c r="O94" s="499"/>
      <c r="P94" s="499"/>
    </row>
    <row r="95" spans="3:16" s="159" customFormat="1" x14ac:dyDescent="0.25">
      <c r="C95" s="658"/>
      <c r="D95" s="658"/>
      <c r="M95" s="280"/>
      <c r="O95" s="499"/>
      <c r="P95" s="499"/>
    </row>
    <row r="96" spans="3:16" s="159" customFormat="1" x14ac:dyDescent="0.25">
      <c r="C96" s="658"/>
      <c r="D96" s="658"/>
      <c r="M96" s="280"/>
      <c r="O96" s="499"/>
      <c r="P96" s="499"/>
    </row>
    <row r="97" spans="3:16" s="159" customFormat="1" x14ac:dyDescent="0.25">
      <c r="C97" s="658"/>
      <c r="D97" s="658"/>
      <c r="M97" s="280"/>
      <c r="O97" s="499"/>
      <c r="P97" s="499"/>
    </row>
    <row r="98" spans="3:16" s="159" customFormat="1" x14ac:dyDescent="0.25">
      <c r="C98" s="658"/>
      <c r="D98" s="658"/>
      <c r="M98" s="280"/>
      <c r="O98" s="499"/>
      <c r="P98" s="499"/>
    </row>
    <row r="99" spans="3:16" s="159" customFormat="1" x14ac:dyDescent="0.25">
      <c r="C99" s="658"/>
      <c r="D99" s="658"/>
      <c r="M99" s="280"/>
      <c r="O99" s="499"/>
      <c r="P99" s="499"/>
    </row>
    <row r="100" spans="3:16" s="159" customFormat="1" x14ac:dyDescent="0.25">
      <c r="C100" s="658"/>
      <c r="D100" s="658"/>
      <c r="M100" s="280"/>
      <c r="O100" s="499"/>
      <c r="P100" s="499"/>
    </row>
    <row r="101" spans="3:16" s="159" customFormat="1" x14ac:dyDescent="0.25">
      <c r="C101" s="658"/>
      <c r="D101" s="658"/>
      <c r="M101" s="280"/>
      <c r="O101" s="499"/>
      <c r="P101" s="499"/>
    </row>
    <row r="102" spans="3:16" s="159" customFormat="1" x14ac:dyDescent="0.25">
      <c r="C102" s="658"/>
      <c r="D102" s="658"/>
      <c r="M102" s="280"/>
      <c r="O102" s="499"/>
      <c r="P102" s="499"/>
    </row>
    <row r="103" spans="3:16" s="159" customFormat="1" x14ac:dyDescent="0.25">
      <c r="C103" s="658"/>
      <c r="D103" s="658"/>
      <c r="M103" s="280"/>
      <c r="O103" s="499"/>
      <c r="P103" s="499"/>
    </row>
    <row r="104" spans="3:16" s="159" customFormat="1" x14ac:dyDescent="0.25">
      <c r="C104" s="658"/>
      <c r="D104" s="658"/>
      <c r="M104" s="280"/>
      <c r="O104" s="499"/>
      <c r="P104" s="499"/>
    </row>
    <row r="105" spans="3:16" s="159" customFormat="1" x14ac:dyDescent="0.25">
      <c r="C105" s="658"/>
      <c r="D105" s="658"/>
      <c r="M105" s="280"/>
      <c r="O105" s="499"/>
      <c r="P105" s="499"/>
    </row>
    <row r="106" spans="3:16" s="159" customFormat="1" x14ac:dyDescent="0.25">
      <c r="C106" s="658"/>
      <c r="D106" s="658"/>
      <c r="M106" s="280"/>
      <c r="O106" s="499"/>
      <c r="P106" s="499"/>
    </row>
    <row r="107" spans="3:16" s="159" customFormat="1" x14ac:dyDescent="0.25">
      <c r="C107" s="658"/>
      <c r="D107" s="658"/>
      <c r="M107" s="280"/>
      <c r="O107" s="499"/>
      <c r="P107" s="499"/>
    </row>
    <row r="108" spans="3:16" s="159" customFormat="1" x14ac:dyDescent="0.25">
      <c r="C108" s="658"/>
      <c r="D108" s="658"/>
      <c r="M108" s="280"/>
      <c r="O108" s="499"/>
      <c r="P108" s="499"/>
    </row>
    <row r="109" spans="3:16" s="159" customFormat="1" x14ac:dyDescent="0.25">
      <c r="C109" s="658"/>
      <c r="D109" s="658"/>
      <c r="M109" s="280"/>
      <c r="O109" s="499"/>
      <c r="P109" s="499"/>
    </row>
    <row r="110" spans="3:16" s="159" customFormat="1" x14ac:dyDescent="0.25">
      <c r="C110" s="658"/>
      <c r="D110" s="658"/>
      <c r="M110" s="280"/>
      <c r="O110" s="499"/>
      <c r="P110" s="499"/>
    </row>
    <row r="111" spans="3:16" s="159" customFormat="1" x14ac:dyDescent="0.25">
      <c r="C111" s="658"/>
      <c r="D111" s="658"/>
      <c r="M111" s="280"/>
      <c r="O111" s="499"/>
      <c r="P111" s="499"/>
    </row>
    <row r="112" spans="3:16" s="159" customFormat="1" x14ac:dyDescent="0.25">
      <c r="C112" s="658"/>
      <c r="D112" s="658"/>
      <c r="M112" s="280"/>
      <c r="O112" s="499"/>
      <c r="P112" s="499"/>
    </row>
    <row r="113" spans="3:16" s="159" customFormat="1" x14ac:dyDescent="0.25">
      <c r="C113" s="658"/>
      <c r="D113" s="658"/>
      <c r="M113" s="280"/>
      <c r="O113" s="499"/>
      <c r="P113" s="499"/>
    </row>
    <row r="114" spans="3:16" s="159" customFormat="1" x14ac:dyDescent="0.25">
      <c r="C114" s="658"/>
      <c r="D114" s="658"/>
      <c r="M114" s="280"/>
      <c r="O114" s="499"/>
      <c r="P114" s="499"/>
    </row>
    <row r="115" spans="3:16" s="159" customFormat="1" x14ac:dyDescent="0.25">
      <c r="C115" s="658"/>
      <c r="D115" s="658"/>
      <c r="M115" s="280"/>
      <c r="O115" s="499"/>
      <c r="P115" s="499"/>
    </row>
    <row r="116" spans="3:16" s="159" customFormat="1" x14ac:dyDescent="0.25">
      <c r="C116" s="658"/>
      <c r="D116" s="658"/>
      <c r="M116" s="280"/>
      <c r="O116" s="499"/>
      <c r="P116" s="499"/>
    </row>
    <row r="117" spans="3:16" s="159" customFormat="1" x14ac:dyDescent="0.25">
      <c r="C117" s="658"/>
      <c r="D117" s="658"/>
      <c r="M117" s="280"/>
      <c r="O117" s="499"/>
      <c r="P117" s="499"/>
    </row>
    <row r="118" spans="3:16" s="159" customFormat="1" x14ac:dyDescent="0.25">
      <c r="C118" s="658"/>
      <c r="D118" s="658"/>
      <c r="M118" s="280"/>
      <c r="O118" s="499"/>
      <c r="P118" s="499"/>
    </row>
    <row r="119" spans="3:16" s="159" customFormat="1" x14ac:dyDescent="0.25">
      <c r="C119" s="658"/>
      <c r="D119" s="658"/>
      <c r="M119" s="280"/>
      <c r="O119" s="499"/>
      <c r="P119" s="499"/>
    </row>
    <row r="120" spans="3:16" s="159" customFormat="1" x14ac:dyDescent="0.25">
      <c r="C120" s="658"/>
      <c r="D120" s="658"/>
      <c r="M120" s="280"/>
      <c r="O120" s="499"/>
      <c r="P120" s="499"/>
    </row>
    <row r="121" spans="3:16" s="159" customFormat="1" x14ac:dyDescent="0.25">
      <c r="C121" s="658"/>
      <c r="D121" s="658"/>
      <c r="M121" s="280"/>
      <c r="O121" s="499"/>
      <c r="P121" s="499"/>
    </row>
    <row r="122" spans="3:16" s="159" customFormat="1" x14ac:dyDescent="0.25">
      <c r="C122" s="658"/>
      <c r="D122" s="658"/>
      <c r="M122" s="280"/>
      <c r="O122" s="499"/>
      <c r="P122" s="499"/>
    </row>
    <row r="123" spans="3:16" s="159" customFormat="1" x14ac:dyDescent="0.25">
      <c r="C123" s="658"/>
      <c r="D123" s="658"/>
      <c r="M123" s="280"/>
      <c r="O123" s="499"/>
      <c r="P123" s="499"/>
    </row>
    <row r="124" spans="3:16" s="159" customFormat="1" x14ac:dyDescent="0.25">
      <c r="C124" s="658"/>
      <c r="D124" s="658"/>
      <c r="M124" s="280"/>
      <c r="O124" s="499"/>
      <c r="P124" s="499"/>
    </row>
    <row r="125" spans="3:16" s="159" customFormat="1" x14ac:dyDescent="0.25">
      <c r="C125" s="658"/>
      <c r="D125" s="658"/>
      <c r="M125" s="280"/>
      <c r="O125" s="499"/>
      <c r="P125" s="499"/>
    </row>
    <row r="126" spans="3:16" s="159" customFormat="1" x14ac:dyDescent="0.25">
      <c r="C126" s="658"/>
      <c r="D126" s="658"/>
      <c r="M126" s="280"/>
      <c r="O126" s="499"/>
      <c r="P126" s="499"/>
    </row>
    <row r="127" spans="3:16" s="159" customFormat="1" x14ac:dyDescent="0.25">
      <c r="C127" s="658"/>
      <c r="D127" s="658"/>
      <c r="M127" s="280"/>
      <c r="O127" s="499"/>
      <c r="P127" s="499"/>
    </row>
    <row r="128" spans="3:16" s="159" customFormat="1" x14ac:dyDescent="0.25">
      <c r="C128" s="658"/>
      <c r="D128" s="658"/>
      <c r="M128" s="280"/>
      <c r="O128" s="499"/>
      <c r="P128" s="499"/>
    </row>
    <row r="129" spans="3:16" s="159" customFormat="1" x14ac:dyDescent="0.25">
      <c r="C129" s="658"/>
      <c r="D129" s="658"/>
      <c r="M129" s="280"/>
      <c r="O129" s="499"/>
      <c r="P129" s="499"/>
    </row>
    <row r="130" spans="3:16" s="159" customFormat="1" x14ac:dyDescent="0.25">
      <c r="C130" s="658"/>
      <c r="D130" s="658"/>
      <c r="M130" s="280"/>
      <c r="O130" s="499"/>
      <c r="P130" s="499"/>
    </row>
    <row r="131" spans="3:16" s="159" customFormat="1" x14ac:dyDescent="0.25">
      <c r="C131" s="658"/>
      <c r="D131" s="658"/>
      <c r="M131" s="280"/>
      <c r="O131" s="499"/>
      <c r="P131" s="499"/>
    </row>
    <row r="132" spans="3:16" s="159" customFormat="1" x14ac:dyDescent="0.25">
      <c r="C132" s="658"/>
      <c r="D132" s="658"/>
      <c r="M132" s="280"/>
      <c r="O132" s="499"/>
      <c r="P132" s="499"/>
    </row>
    <row r="133" spans="3:16" s="159" customFormat="1" x14ac:dyDescent="0.25">
      <c r="C133" s="658"/>
      <c r="D133" s="658"/>
      <c r="M133" s="280"/>
      <c r="O133" s="499"/>
      <c r="P133" s="499"/>
    </row>
    <row r="134" spans="3:16" s="159" customFormat="1" x14ac:dyDescent="0.25">
      <c r="C134" s="658"/>
      <c r="D134" s="658"/>
      <c r="M134" s="280"/>
      <c r="O134" s="499"/>
      <c r="P134" s="499"/>
    </row>
    <row r="135" spans="3:16" s="159" customFormat="1" x14ac:dyDescent="0.25">
      <c r="C135" s="658"/>
      <c r="D135" s="658"/>
      <c r="M135" s="280"/>
      <c r="O135" s="499"/>
      <c r="P135" s="499"/>
    </row>
    <row r="136" spans="3:16" s="159" customFormat="1" x14ac:dyDescent="0.25">
      <c r="C136" s="658"/>
      <c r="D136" s="658"/>
      <c r="M136" s="280"/>
      <c r="O136" s="499"/>
      <c r="P136" s="499"/>
    </row>
    <row r="137" spans="3:16" s="159" customFormat="1" x14ac:dyDescent="0.25">
      <c r="C137" s="658"/>
      <c r="D137" s="658"/>
      <c r="M137" s="280"/>
      <c r="O137" s="499"/>
      <c r="P137" s="499"/>
    </row>
    <row r="138" spans="3:16" s="159" customFormat="1" x14ac:dyDescent="0.25">
      <c r="C138" s="658"/>
      <c r="D138" s="658"/>
      <c r="M138" s="280"/>
      <c r="O138" s="499"/>
      <c r="P138" s="499"/>
    </row>
    <row r="139" spans="3:16" s="159" customFormat="1" x14ac:dyDescent="0.25">
      <c r="C139" s="658"/>
      <c r="D139" s="658"/>
      <c r="M139" s="280"/>
      <c r="O139" s="499"/>
      <c r="P139" s="499"/>
    </row>
    <row r="140" spans="3:16" s="159" customFormat="1" x14ac:dyDescent="0.25">
      <c r="C140" s="658"/>
      <c r="D140" s="658"/>
      <c r="M140" s="280"/>
      <c r="O140" s="499"/>
      <c r="P140" s="499"/>
    </row>
    <row r="141" spans="3:16" s="159" customFormat="1" x14ac:dyDescent="0.25">
      <c r="C141" s="658"/>
      <c r="D141" s="658"/>
      <c r="M141" s="280"/>
      <c r="O141" s="499"/>
      <c r="P141" s="499"/>
    </row>
    <row r="142" spans="3:16" s="159" customFormat="1" x14ac:dyDescent="0.25">
      <c r="C142" s="658"/>
      <c r="D142" s="658"/>
      <c r="M142" s="280"/>
      <c r="O142" s="499"/>
      <c r="P142" s="499"/>
    </row>
    <row r="143" spans="3:16" s="159" customFormat="1" x14ac:dyDescent="0.25">
      <c r="C143" s="658"/>
      <c r="D143" s="658"/>
      <c r="M143" s="280"/>
      <c r="O143" s="499"/>
      <c r="P143" s="499"/>
    </row>
    <row r="144" spans="3:16" s="159" customFormat="1" x14ac:dyDescent="0.25">
      <c r="C144" s="658"/>
      <c r="D144" s="658"/>
      <c r="M144" s="280"/>
      <c r="O144" s="499"/>
      <c r="P144" s="499"/>
    </row>
    <row r="145" spans="3:16" s="159" customFormat="1" x14ac:dyDescent="0.25">
      <c r="C145" s="658"/>
      <c r="D145" s="658"/>
      <c r="M145" s="280"/>
      <c r="O145" s="499"/>
      <c r="P145" s="499"/>
    </row>
    <row r="146" spans="3:16" s="159" customFormat="1" x14ac:dyDescent="0.25">
      <c r="C146" s="658"/>
      <c r="D146" s="658"/>
      <c r="M146" s="280"/>
      <c r="O146" s="499"/>
      <c r="P146" s="499"/>
    </row>
    <row r="147" spans="3:16" s="159" customFormat="1" x14ac:dyDescent="0.25">
      <c r="C147" s="658"/>
      <c r="D147" s="658"/>
      <c r="M147" s="280"/>
      <c r="O147" s="499"/>
      <c r="P147" s="499"/>
    </row>
    <row r="148" spans="3:16" s="159" customFormat="1" x14ac:dyDescent="0.25">
      <c r="C148" s="658"/>
      <c r="D148" s="658"/>
      <c r="M148" s="280"/>
      <c r="O148" s="499"/>
      <c r="P148" s="499"/>
    </row>
    <row r="149" spans="3:16" s="159" customFormat="1" x14ac:dyDescent="0.25">
      <c r="C149" s="658"/>
      <c r="D149" s="658"/>
      <c r="M149" s="280"/>
      <c r="O149" s="499"/>
      <c r="P149" s="499"/>
    </row>
    <row r="150" spans="3:16" s="159" customFormat="1" x14ac:dyDescent="0.25">
      <c r="C150" s="658"/>
      <c r="D150" s="658"/>
      <c r="M150" s="280"/>
      <c r="O150" s="499"/>
      <c r="P150" s="499"/>
    </row>
    <row r="151" spans="3:16" s="159" customFormat="1" x14ac:dyDescent="0.25">
      <c r="C151" s="658"/>
      <c r="D151" s="658"/>
      <c r="M151" s="280"/>
      <c r="O151" s="499"/>
      <c r="P151" s="499"/>
    </row>
    <row r="152" spans="3:16" s="159" customFormat="1" x14ac:dyDescent="0.25">
      <c r="C152" s="658"/>
      <c r="D152" s="658"/>
      <c r="M152" s="280"/>
      <c r="O152" s="499"/>
      <c r="P152" s="499"/>
    </row>
    <row r="153" spans="3:16" s="159" customFormat="1" x14ac:dyDescent="0.25">
      <c r="C153" s="658"/>
      <c r="D153" s="658"/>
      <c r="M153" s="280"/>
      <c r="O153" s="499"/>
      <c r="P153" s="499"/>
    </row>
    <row r="154" spans="3:16" s="159" customFormat="1" x14ac:dyDescent="0.25">
      <c r="C154" s="658"/>
      <c r="D154" s="658"/>
      <c r="M154" s="280"/>
      <c r="O154" s="499"/>
      <c r="P154" s="499"/>
    </row>
    <row r="155" spans="3:16" s="159" customFormat="1" x14ac:dyDescent="0.25">
      <c r="C155" s="658"/>
      <c r="D155" s="658"/>
      <c r="M155" s="280"/>
      <c r="O155" s="499"/>
      <c r="P155" s="499"/>
    </row>
    <row r="156" spans="3:16" s="159" customFormat="1" x14ac:dyDescent="0.25">
      <c r="C156" s="658"/>
      <c r="D156" s="658"/>
      <c r="M156" s="280"/>
      <c r="O156" s="499"/>
      <c r="P156" s="499"/>
    </row>
    <row r="157" spans="3:16" s="159" customFormat="1" x14ac:dyDescent="0.25">
      <c r="C157" s="658"/>
      <c r="D157" s="658"/>
      <c r="M157" s="280"/>
      <c r="O157" s="499"/>
      <c r="P157" s="499"/>
    </row>
    <row r="158" spans="3:16" s="159" customFormat="1" x14ac:dyDescent="0.25">
      <c r="C158" s="658"/>
      <c r="D158" s="658"/>
      <c r="M158" s="280"/>
      <c r="O158" s="499"/>
      <c r="P158" s="499"/>
    </row>
    <row r="159" spans="3:16" s="159" customFormat="1" x14ac:dyDescent="0.25">
      <c r="C159" s="658"/>
      <c r="D159" s="658"/>
      <c r="M159" s="280"/>
      <c r="O159" s="499"/>
      <c r="P159" s="499"/>
    </row>
    <row r="160" spans="3:16" s="159" customFormat="1" x14ac:dyDescent="0.25">
      <c r="C160" s="658"/>
      <c r="D160" s="658"/>
      <c r="M160" s="280"/>
      <c r="O160" s="499"/>
      <c r="P160" s="499"/>
    </row>
    <row r="161" spans="3:16" s="159" customFormat="1" x14ac:dyDescent="0.25">
      <c r="C161" s="658"/>
      <c r="D161" s="658"/>
      <c r="M161" s="280"/>
      <c r="O161" s="499"/>
      <c r="P161" s="499"/>
    </row>
    <row r="162" spans="3:16" s="159" customFormat="1" x14ac:dyDescent="0.25">
      <c r="C162" s="658"/>
      <c r="D162" s="658"/>
      <c r="M162" s="280"/>
      <c r="O162" s="499"/>
      <c r="P162" s="499"/>
    </row>
    <row r="163" spans="3:16" s="159" customFormat="1" x14ac:dyDescent="0.25">
      <c r="C163" s="658"/>
      <c r="D163" s="658"/>
      <c r="M163" s="280"/>
      <c r="O163" s="499"/>
      <c r="P163" s="499"/>
    </row>
    <row r="164" spans="3:16" s="159" customFormat="1" x14ac:dyDescent="0.25">
      <c r="C164" s="658"/>
      <c r="D164" s="658"/>
      <c r="M164" s="280"/>
      <c r="O164" s="499"/>
      <c r="P164" s="499"/>
    </row>
    <row r="165" spans="3:16" s="159" customFormat="1" x14ac:dyDescent="0.25">
      <c r="C165" s="658"/>
      <c r="D165" s="658"/>
      <c r="M165" s="280"/>
      <c r="O165" s="499"/>
      <c r="P165" s="499"/>
    </row>
    <row r="166" spans="3:16" s="159" customFormat="1" x14ac:dyDescent="0.25">
      <c r="C166" s="658"/>
      <c r="D166" s="658"/>
      <c r="M166" s="280"/>
      <c r="O166" s="499"/>
      <c r="P166" s="499"/>
    </row>
    <row r="167" spans="3:16" s="159" customFormat="1" x14ac:dyDescent="0.25">
      <c r="C167" s="658"/>
      <c r="D167" s="658"/>
      <c r="M167" s="280"/>
      <c r="O167" s="499"/>
      <c r="P167" s="499"/>
    </row>
    <row r="168" spans="3:16" s="159" customFormat="1" x14ac:dyDescent="0.25">
      <c r="C168" s="658"/>
      <c r="D168" s="658"/>
      <c r="M168" s="280"/>
      <c r="O168" s="499"/>
      <c r="P168" s="499"/>
    </row>
    <row r="169" spans="3:16" s="159" customFormat="1" x14ac:dyDescent="0.25">
      <c r="C169" s="658"/>
      <c r="D169" s="658"/>
      <c r="M169" s="280"/>
      <c r="O169" s="499"/>
      <c r="P169" s="499"/>
    </row>
    <row r="170" spans="3:16" s="159" customFormat="1" x14ac:dyDescent="0.25">
      <c r="C170" s="658"/>
      <c r="D170" s="658"/>
      <c r="M170" s="280"/>
      <c r="O170" s="499"/>
      <c r="P170" s="499"/>
    </row>
    <row r="171" spans="3:16" s="159" customFormat="1" x14ac:dyDescent="0.25">
      <c r="C171" s="658"/>
      <c r="D171" s="658"/>
      <c r="M171" s="280"/>
      <c r="O171" s="499"/>
      <c r="P171" s="499"/>
    </row>
    <row r="172" spans="3:16" s="159" customFormat="1" x14ac:dyDescent="0.25">
      <c r="C172" s="658"/>
      <c r="D172" s="658"/>
      <c r="M172" s="280"/>
      <c r="O172" s="499"/>
      <c r="P172" s="499"/>
    </row>
    <row r="173" spans="3:16" s="159" customFormat="1" x14ac:dyDescent="0.25">
      <c r="C173" s="658"/>
      <c r="D173" s="658"/>
      <c r="M173" s="280"/>
      <c r="O173" s="499"/>
      <c r="P173" s="499"/>
    </row>
    <row r="174" spans="3:16" s="159" customFormat="1" x14ac:dyDescent="0.25">
      <c r="C174" s="658"/>
      <c r="D174" s="658"/>
      <c r="M174" s="280"/>
      <c r="O174" s="499"/>
      <c r="P174" s="499"/>
    </row>
    <row r="175" spans="3:16" s="159" customFormat="1" x14ac:dyDescent="0.25">
      <c r="C175" s="658"/>
      <c r="D175" s="658"/>
      <c r="M175" s="280"/>
      <c r="O175" s="499"/>
      <c r="P175" s="499"/>
    </row>
    <row r="176" spans="3:16" s="159" customFormat="1" x14ac:dyDescent="0.25">
      <c r="C176" s="658"/>
      <c r="D176" s="658"/>
      <c r="M176" s="280"/>
      <c r="O176" s="499"/>
      <c r="P176" s="499"/>
    </row>
    <row r="177" spans="3:16" s="159" customFormat="1" x14ac:dyDescent="0.25">
      <c r="C177" s="658"/>
      <c r="D177" s="658"/>
      <c r="M177" s="280"/>
      <c r="O177" s="499"/>
      <c r="P177" s="499"/>
    </row>
    <row r="178" spans="3:16" s="159" customFormat="1" x14ac:dyDescent="0.25">
      <c r="C178" s="658"/>
      <c r="D178" s="658"/>
      <c r="M178" s="280"/>
      <c r="O178" s="499"/>
      <c r="P178" s="499"/>
    </row>
    <row r="179" spans="3:16" s="159" customFormat="1" x14ac:dyDescent="0.25">
      <c r="C179" s="658"/>
      <c r="D179" s="658"/>
      <c r="M179" s="280"/>
      <c r="O179" s="499"/>
      <c r="P179" s="499"/>
    </row>
    <row r="180" spans="3:16" s="159" customFormat="1" x14ac:dyDescent="0.25">
      <c r="C180" s="658"/>
      <c r="D180" s="658"/>
      <c r="M180" s="280"/>
      <c r="O180" s="499"/>
      <c r="P180" s="499"/>
    </row>
    <row r="181" spans="3:16" s="159" customFormat="1" x14ac:dyDescent="0.25">
      <c r="C181" s="658"/>
      <c r="D181" s="658"/>
      <c r="M181" s="280"/>
      <c r="O181" s="499"/>
      <c r="P181" s="499"/>
    </row>
    <row r="182" spans="3:16" s="159" customFormat="1" x14ac:dyDescent="0.25">
      <c r="C182" s="658"/>
      <c r="D182" s="658"/>
      <c r="M182" s="280"/>
      <c r="O182" s="499"/>
      <c r="P182" s="499"/>
    </row>
    <row r="183" spans="3:16" s="159" customFormat="1" x14ac:dyDescent="0.25">
      <c r="C183" s="658"/>
      <c r="D183" s="658"/>
      <c r="M183" s="280"/>
      <c r="O183" s="499"/>
      <c r="P183" s="499"/>
    </row>
    <row r="184" spans="3:16" s="159" customFormat="1" x14ac:dyDescent="0.25">
      <c r="C184" s="658"/>
      <c r="D184" s="658"/>
      <c r="M184" s="280"/>
      <c r="O184" s="499"/>
      <c r="P184" s="499"/>
    </row>
    <row r="185" spans="3:16" s="159" customFormat="1" x14ac:dyDescent="0.25">
      <c r="C185" s="658"/>
      <c r="D185" s="658"/>
      <c r="M185" s="280"/>
      <c r="O185" s="499"/>
      <c r="P185" s="499"/>
    </row>
    <row r="186" spans="3:16" s="159" customFormat="1" x14ac:dyDescent="0.25">
      <c r="C186" s="658"/>
      <c r="D186" s="658"/>
      <c r="M186" s="280"/>
      <c r="O186" s="499"/>
      <c r="P186" s="499"/>
    </row>
    <row r="187" spans="3:16" s="159" customFormat="1" x14ac:dyDescent="0.25">
      <c r="C187" s="658"/>
      <c r="D187" s="658"/>
      <c r="M187" s="280"/>
      <c r="O187" s="499"/>
      <c r="P187" s="499"/>
    </row>
    <row r="188" spans="3:16" s="159" customFormat="1" x14ac:dyDescent="0.25">
      <c r="C188" s="658"/>
      <c r="D188" s="658"/>
      <c r="M188" s="280"/>
      <c r="O188" s="499"/>
      <c r="P188" s="499"/>
    </row>
    <row r="189" spans="3:16" s="159" customFormat="1" x14ac:dyDescent="0.25">
      <c r="C189" s="658"/>
      <c r="D189" s="658"/>
      <c r="M189" s="280"/>
      <c r="O189" s="499"/>
      <c r="P189" s="499"/>
    </row>
    <row r="190" spans="3:16" s="159" customFormat="1" x14ac:dyDescent="0.25">
      <c r="C190" s="658"/>
      <c r="D190" s="658"/>
      <c r="M190" s="280"/>
      <c r="O190" s="499"/>
      <c r="P190" s="499"/>
    </row>
    <row r="191" spans="3:16" s="159" customFormat="1" x14ac:dyDescent="0.25">
      <c r="C191" s="658"/>
      <c r="D191" s="658"/>
      <c r="M191" s="280"/>
      <c r="O191" s="499"/>
      <c r="P191" s="499"/>
    </row>
    <row r="192" spans="3:16" s="159" customFormat="1" x14ac:dyDescent="0.25">
      <c r="C192" s="658"/>
      <c r="D192" s="658"/>
      <c r="M192" s="280"/>
      <c r="O192" s="499"/>
      <c r="P192" s="499"/>
    </row>
    <row r="193" spans="3:16" s="159" customFormat="1" x14ac:dyDescent="0.25">
      <c r="C193" s="658"/>
      <c r="D193" s="658"/>
      <c r="M193" s="280"/>
      <c r="O193" s="499"/>
      <c r="P193" s="499"/>
    </row>
    <row r="194" spans="3:16" s="159" customFormat="1" x14ac:dyDescent="0.25">
      <c r="C194" s="658"/>
      <c r="D194" s="658"/>
      <c r="M194" s="280"/>
      <c r="O194" s="499"/>
      <c r="P194" s="499"/>
    </row>
    <row r="195" spans="3:16" s="159" customFormat="1" x14ac:dyDescent="0.25">
      <c r="C195" s="658"/>
      <c r="D195" s="658"/>
      <c r="M195" s="280"/>
      <c r="O195" s="499"/>
      <c r="P195" s="499"/>
    </row>
    <row r="196" spans="3:16" s="159" customFormat="1" x14ac:dyDescent="0.25">
      <c r="C196" s="658"/>
      <c r="D196" s="658"/>
      <c r="M196" s="280"/>
      <c r="O196" s="499"/>
      <c r="P196" s="499"/>
    </row>
    <row r="197" spans="3:16" s="159" customFormat="1" x14ac:dyDescent="0.25">
      <c r="C197" s="658"/>
      <c r="D197" s="658"/>
      <c r="M197" s="280"/>
      <c r="O197" s="499"/>
      <c r="P197" s="499"/>
    </row>
    <row r="198" spans="3:16" s="159" customFormat="1" x14ac:dyDescent="0.25">
      <c r="C198" s="658"/>
      <c r="D198" s="658"/>
      <c r="M198" s="280"/>
      <c r="O198" s="499"/>
      <c r="P198" s="499"/>
    </row>
    <row r="199" spans="3:16" s="159" customFormat="1" x14ac:dyDescent="0.25">
      <c r="C199" s="658"/>
      <c r="D199" s="658"/>
      <c r="M199" s="280"/>
      <c r="O199" s="499"/>
      <c r="P199" s="499"/>
    </row>
    <row r="200" spans="3:16" s="159" customFormat="1" x14ac:dyDescent="0.25">
      <c r="C200" s="658"/>
      <c r="D200" s="658"/>
      <c r="M200" s="280"/>
      <c r="O200" s="499"/>
      <c r="P200" s="499"/>
    </row>
    <row r="201" spans="3:16" s="159" customFormat="1" x14ac:dyDescent="0.25">
      <c r="C201" s="658"/>
      <c r="D201" s="658"/>
      <c r="M201" s="280"/>
      <c r="O201" s="499"/>
      <c r="P201" s="499"/>
    </row>
    <row r="202" spans="3:16" s="159" customFormat="1" x14ac:dyDescent="0.25">
      <c r="C202" s="658"/>
      <c r="D202" s="658"/>
      <c r="M202" s="280"/>
      <c r="O202" s="499"/>
      <c r="P202" s="499"/>
    </row>
    <row r="203" spans="3:16" s="159" customFormat="1" x14ac:dyDescent="0.25">
      <c r="C203" s="658"/>
      <c r="D203" s="658"/>
      <c r="M203" s="280"/>
      <c r="O203" s="499"/>
      <c r="P203" s="499"/>
    </row>
    <row r="204" spans="3:16" s="159" customFormat="1" x14ac:dyDescent="0.25">
      <c r="C204" s="658"/>
      <c r="D204" s="658"/>
      <c r="M204" s="280"/>
      <c r="O204" s="499"/>
      <c r="P204" s="499"/>
    </row>
    <row r="205" spans="3:16" s="159" customFormat="1" x14ac:dyDescent="0.25">
      <c r="C205" s="658"/>
      <c r="D205" s="658"/>
      <c r="M205" s="280"/>
      <c r="O205" s="499"/>
      <c r="P205" s="499"/>
    </row>
    <row r="206" spans="3:16" s="159" customFormat="1" x14ac:dyDescent="0.25">
      <c r="C206" s="658"/>
      <c r="D206" s="658"/>
      <c r="M206" s="280"/>
      <c r="O206" s="499"/>
      <c r="P206" s="499"/>
    </row>
    <row r="207" spans="3:16" s="159" customFormat="1" x14ac:dyDescent="0.25">
      <c r="C207" s="658"/>
      <c r="D207" s="658"/>
      <c r="M207" s="280"/>
      <c r="O207" s="499"/>
      <c r="P207" s="499"/>
    </row>
    <row r="208" spans="3:16" s="159" customFormat="1" x14ac:dyDescent="0.25">
      <c r="C208" s="658"/>
      <c r="D208" s="658"/>
      <c r="M208" s="280"/>
      <c r="O208" s="499"/>
      <c r="P208" s="499"/>
    </row>
    <row r="209" spans="3:16" s="159" customFormat="1" x14ac:dyDescent="0.25">
      <c r="C209" s="658"/>
      <c r="D209" s="658"/>
      <c r="M209" s="280"/>
      <c r="O209" s="499"/>
      <c r="P209" s="499"/>
    </row>
    <row r="210" spans="3:16" s="159" customFormat="1" x14ac:dyDescent="0.25">
      <c r="C210" s="658"/>
      <c r="D210" s="658"/>
      <c r="M210" s="280"/>
      <c r="O210" s="499"/>
      <c r="P210" s="499"/>
    </row>
    <row r="211" spans="3:16" s="159" customFormat="1" x14ac:dyDescent="0.25">
      <c r="C211" s="658"/>
      <c r="D211" s="658"/>
      <c r="M211" s="280"/>
      <c r="O211" s="499"/>
      <c r="P211" s="499"/>
    </row>
    <row r="212" spans="3:16" s="159" customFormat="1" x14ac:dyDescent="0.25">
      <c r="C212" s="658"/>
      <c r="D212" s="658"/>
      <c r="M212" s="280"/>
      <c r="O212" s="499"/>
      <c r="P212" s="499"/>
    </row>
    <row r="213" spans="3:16" s="159" customFormat="1" x14ac:dyDescent="0.25">
      <c r="C213" s="658"/>
      <c r="D213" s="658"/>
      <c r="M213" s="280"/>
      <c r="O213" s="499"/>
      <c r="P213" s="499"/>
    </row>
    <row r="214" spans="3:16" s="159" customFormat="1" x14ac:dyDescent="0.25">
      <c r="C214" s="658"/>
      <c r="D214" s="658"/>
      <c r="M214" s="280"/>
      <c r="O214" s="499"/>
      <c r="P214" s="499"/>
    </row>
    <row r="215" spans="3:16" s="159" customFormat="1" x14ac:dyDescent="0.25">
      <c r="C215" s="658"/>
      <c r="D215" s="658"/>
      <c r="M215" s="280"/>
      <c r="O215" s="499"/>
      <c r="P215" s="499"/>
    </row>
    <row r="216" spans="3:16" s="159" customFormat="1" x14ac:dyDescent="0.25">
      <c r="C216" s="658"/>
      <c r="D216" s="658"/>
      <c r="M216" s="280"/>
      <c r="O216" s="499"/>
      <c r="P216" s="499"/>
    </row>
    <row r="217" spans="3:16" s="159" customFormat="1" x14ac:dyDescent="0.25">
      <c r="C217" s="658"/>
      <c r="D217" s="658"/>
      <c r="M217" s="280"/>
      <c r="O217" s="499"/>
      <c r="P217" s="499"/>
    </row>
    <row r="218" spans="3:16" s="159" customFormat="1" x14ac:dyDescent="0.25">
      <c r="C218" s="658"/>
      <c r="D218" s="658"/>
      <c r="M218" s="280"/>
      <c r="O218" s="499"/>
      <c r="P218" s="499"/>
    </row>
    <row r="219" spans="3:16" s="159" customFormat="1" x14ac:dyDescent="0.25">
      <c r="C219" s="658"/>
      <c r="D219" s="658"/>
      <c r="M219" s="280"/>
      <c r="O219" s="499"/>
      <c r="P219" s="499"/>
    </row>
    <row r="220" spans="3:16" s="159" customFormat="1" x14ac:dyDescent="0.25">
      <c r="C220" s="658"/>
      <c r="D220" s="658"/>
      <c r="M220" s="280"/>
      <c r="O220" s="499"/>
      <c r="P220" s="499"/>
    </row>
    <row r="221" spans="3:16" s="159" customFormat="1" x14ac:dyDescent="0.25">
      <c r="C221" s="658"/>
      <c r="D221" s="658"/>
      <c r="M221" s="280"/>
      <c r="O221" s="499"/>
      <c r="P221" s="499"/>
    </row>
    <row r="222" spans="3:16" s="159" customFormat="1" x14ac:dyDescent="0.25">
      <c r="C222" s="658"/>
      <c r="D222" s="658"/>
      <c r="M222" s="280"/>
      <c r="O222" s="499"/>
      <c r="P222" s="499"/>
    </row>
    <row r="223" spans="3:16" s="159" customFormat="1" x14ac:dyDescent="0.25">
      <c r="C223" s="658"/>
      <c r="D223" s="658"/>
      <c r="M223" s="280"/>
      <c r="O223" s="499"/>
      <c r="P223" s="499"/>
    </row>
    <row r="224" spans="3:16" s="159" customFormat="1" x14ac:dyDescent="0.25">
      <c r="C224" s="658"/>
      <c r="D224" s="658"/>
      <c r="M224" s="280"/>
      <c r="O224" s="499"/>
      <c r="P224" s="499"/>
    </row>
    <row r="225" spans="3:16" s="159" customFormat="1" x14ac:dyDescent="0.25">
      <c r="C225" s="658"/>
      <c r="D225" s="658"/>
      <c r="M225" s="280"/>
      <c r="O225" s="499"/>
      <c r="P225" s="499"/>
    </row>
    <row r="226" spans="3:16" s="159" customFormat="1" x14ac:dyDescent="0.25">
      <c r="C226" s="658"/>
      <c r="D226" s="658"/>
      <c r="M226" s="280"/>
      <c r="O226" s="499"/>
      <c r="P226" s="499"/>
    </row>
    <row r="227" spans="3:16" s="159" customFormat="1" x14ac:dyDescent="0.25">
      <c r="C227" s="658"/>
      <c r="D227" s="658"/>
      <c r="M227" s="280"/>
      <c r="O227" s="499"/>
      <c r="P227" s="499"/>
    </row>
    <row r="228" spans="3:16" s="159" customFormat="1" x14ac:dyDescent="0.25">
      <c r="C228" s="658"/>
      <c r="D228" s="658"/>
      <c r="M228" s="280"/>
      <c r="O228" s="499"/>
      <c r="P228" s="499"/>
    </row>
    <row r="229" spans="3:16" s="159" customFormat="1" x14ac:dyDescent="0.25">
      <c r="C229" s="658"/>
      <c r="D229" s="658"/>
      <c r="M229" s="280"/>
      <c r="O229" s="499"/>
      <c r="P229" s="499"/>
    </row>
    <row r="230" spans="3:16" s="159" customFormat="1" x14ac:dyDescent="0.25">
      <c r="C230" s="658"/>
      <c r="D230" s="658"/>
      <c r="M230" s="280"/>
      <c r="O230" s="499"/>
      <c r="P230" s="499"/>
    </row>
    <row r="231" spans="3:16" s="159" customFormat="1" x14ac:dyDescent="0.25">
      <c r="C231" s="658"/>
      <c r="D231" s="658"/>
      <c r="M231" s="280"/>
      <c r="O231" s="499"/>
      <c r="P231" s="499"/>
    </row>
    <row r="232" spans="3:16" s="159" customFormat="1" x14ac:dyDescent="0.25">
      <c r="C232" s="658"/>
      <c r="D232" s="658"/>
      <c r="M232" s="280"/>
      <c r="O232" s="499"/>
      <c r="P232" s="499"/>
    </row>
    <row r="233" spans="3:16" s="159" customFormat="1" x14ac:dyDescent="0.25">
      <c r="C233" s="658"/>
      <c r="D233" s="658"/>
      <c r="M233" s="280"/>
      <c r="O233" s="499"/>
      <c r="P233" s="499"/>
    </row>
    <row r="234" spans="3:16" s="159" customFormat="1" x14ac:dyDescent="0.25">
      <c r="C234" s="658"/>
      <c r="D234" s="658"/>
      <c r="M234" s="280"/>
      <c r="O234" s="499"/>
      <c r="P234" s="499"/>
    </row>
    <row r="235" spans="3:16" s="159" customFormat="1" x14ac:dyDescent="0.25">
      <c r="C235" s="658"/>
      <c r="D235" s="658"/>
      <c r="M235" s="280"/>
      <c r="O235" s="499"/>
      <c r="P235" s="499"/>
    </row>
    <row r="236" spans="3:16" s="159" customFormat="1" x14ac:dyDescent="0.25">
      <c r="C236" s="658"/>
      <c r="D236" s="658"/>
      <c r="M236" s="280"/>
      <c r="O236" s="499"/>
      <c r="P236" s="499"/>
    </row>
    <row r="237" spans="3:16" s="159" customFormat="1" x14ac:dyDescent="0.25">
      <c r="C237" s="658"/>
      <c r="D237" s="658"/>
      <c r="M237" s="280"/>
      <c r="O237" s="499"/>
      <c r="P237" s="499"/>
    </row>
    <row r="238" spans="3:16" s="159" customFormat="1" x14ac:dyDescent="0.25">
      <c r="C238" s="658"/>
      <c r="D238" s="658"/>
      <c r="M238" s="280"/>
      <c r="O238" s="499"/>
      <c r="P238" s="499"/>
    </row>
    <row r="239" spans="3:16" s="159" customFormat="1" x14ac:dyDescent="0.25">
      <c r="C239" s="658"/>
      <c r="D239" s="658"/>
      <c r="M239" s="280"/>
      <c r="O239" s="499"/>
      <c r="P239" s="499"/>
    </row>
    <row r="240" spans="3:16" s="159" customFormat="1" x14ac:dyDescent="0.25">
      <c r="C240" s="658"/>
      <c r="D240" s="658"/>
      <c r="M240" s="280"/>
      <c r="O240" s="499"/>
      <c r="P240" s="499"/>
    </row>
    <row r="241" spans="3:16" s="159" customFormat="1" x14ac:dyDescent="0.25">
      <c r="C241" s="658"/>
      <c r="D241" s="658"/>
      <c r="M241" s="280"/>
      <c r="O241" s="499"/>
      <c r="P241" s="499"/>
    </row>
    <row r="242" spans="3:16" s="159" customFormat="1" x14ac:dyDescent="0.25">
      <c r="C242" s="658"/>
      <c r="D242" s="658"/>
      <c r="M242" s="280"/>
      <c r="O242" s="499"/>
      <c r="P242" s="499"/>
    </row>
    <row r="243" spans="3:16" s="159" customFormat="1" x14ac:dyDescent="0.25">
      <c r="C243" s="658"/>
      <c r="D243" s="658"/>
      <c r="M243" s="280"/>
      <c r="O243" s="499"/>
      <c r="P243" s="499"/>
    </row>
    <row r="244" spans="3:16" s="159" customFormat="1" x14ac:dyDescent="0.25">
      <c r="C244" s="658"/>
      <c r="D244" s="658"/>
      <c r="M244" s="280"/>
      <c r="O244" s="499"/>
      <c r="P244" s="499"/>
    </row>
    <row r="245" spans="3:16" s="159" customFormat="1" x14ac:dyDescent="0.25">
      <c r="C245" s="658"/>
      <c r="D245" s="658"/>
      <c r="M245" s="280"/>
      <c r="O245" s="499"/>
      <c r="P245" s="499"/>
    </row>
    <row r="246" spans="3:16" s="159" customFormat="1" x14ac:dyDescent="0.25">
      <c r="C246" s="658"/>
      <c r="D246" s="658"/>
      <c r="M246" s="280"/>
      <c r="O246" s="499"/>
      <c r="P246" s="499"/>
    </row>
    <row r="247" spans="3:16" s="159" customFormat="1" x14ac:dyDescent="0.25">
      <c r="C247" s="658"/>
      <c r="D247" s="658"/>
      <c r="M247" s="280"/>
      <c r="O247" s="499"/>
      <c r="P247" s="499"/>
    </row>
    <row r="248" spans="3:16" s="159" customFormat="1" x14ac:dyDescent="0.25">
      <c r="C248" s="658"/>
      <c r="D248" s="658"/>
      <c r="M248" s="280"/>
      <c r="O248" s="499"/>
      <c r="P248" s="499"/>
    </row>
    <row r="249" spans="3:16" s="159" customFormat="1" x14ac:dyDescent="0.25">
      <c r="C249" s="658"/>
      <c r="D249" s="658"/>
      <c r="M249" s="280"/>
      <c r="O249" s="499"/>
      <c r="P249" s="499"/>
    </row>
    <row r="250" spans="3:16" s="159" customFormat="1" x14ac:dyDescent="0.25">
      <c r="C250" s="658"/>
      <c r="D250" s="658"/>
      <c r="M250" s="280"/>
      <c r="O250" s="499"/>
      <c r="P250" s="499"/>
    </row>
    <row r="251" spans="3:16" s="159" customFormat="1" x14ac:dyDescent="0.25">
      <c r="C251" s="658"/>
      <c r="D251" s="658"/>
      <c r="M251" s="280"/>
      <c r="O251" s="499"/>
      <c r="P251" s="499"/>
    </row>
    <row r="252" spans="3:16" s="159" customFormat="1" x14ac:dyDescent="0.25">
      <c r="C252" s="658"/>
      <c r="D252" s="658"/>
      <c r="M252" s="280"/>
      <c r="O252" s="499"/>
      <c r="P252" s="499"/>
    </row>
    <row r="253" spans="3:16" s="159" customFormat="1" x14ac:dyDescent="0.25">
      <c r="C253" s="658"/>
      <c r="D253" s="658"/>
      <c r="M253" s="280"/>
      <c r="O253" s="499"/>
      <c r="P253" s="499"/>
    </row>
    <row r="254" spans="3:16" s="159" customFormat="1" x14ac:dyDescent="0.25">
      <c r="C254" s="658"/>
      <c r="D254" s="658"/>
      <c r="M254" s="280"/>
      <c r="O254" s="499"/>
      <c r="P254" s="499"/>
    </row>
  </sheetData>
  <mergeCells count="48">
    <mergeCell ref="C1:K1"/>
    <mergeCell ref="D2:F2"/>
    <mergeCell ref="A3:B3"/>
    <mergeCell ref="D3:F3"/>
    <mergeCell ref="A4:B4"/>
    <mergeCell ref="D4:F4"/>
    <mergeCell ref="L3:M3"/>
    <mergeCell ref="N3:P3"/>
    <mergeCell ref="L4:M4"/>
    <mergeCell ref="N4:P4"/>
    <mergeCell ref="L5:M5"/>
    <mergeCell ref="N5:P5"/>
    <mergeCell ref="B76:B77"/>
    <mergeCell ref="G75:G76"/>
    <mergeCell ref="I75:I76"/>
    <mergeCell ref="L6:M6"/>
    <mergeCell ref="N6:P6"/>
    <mergeCell ref="G8:I8"/>
    <mergeCell ref="C8:F8"/>
    <mergeCell ref="G5:I6"/>
    <mergeCell ref="J5:K5"/>
    <mergeCell ref="A7:K7"/>
    <mergeCell ref="C60:F60"/>
    <mergeCell ref="G60:I60"/>
    <mergeCell ref="C66:F66"/>
    <mergeCell ref="G66:I66"/>
    <mergeCell ref="C9:F9"/>
    <mergeCell ref="G9:I9"/>
    <mergeCell ref="C21:F21"/>
    <mergeCell ref="G21:I21"/>
    <mergeCell ref="C29:F29"/>
    <mergeCell ref="G29:I29"/>
    <mergeCell ref="C40:F40"/>
    <mergeCell ref="G40:I40"/>
    <mergeCell ref="K75:K76"/>
    <mergeCell ref="F77:F78"/>
    <mergeCell ref="G77:G78"/>
    <mergeCell ref="I77:I78"/>
    <mergeCell ref="J77:J78"/>
    <mergeCell ref="K77:K78"/>
    <mergeCell ref="F75:F76"/>
    <mergeCell ref="J75:J76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6" fitToHeight="2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>
    <tabColor rgb="FF00B050"/>
    <pageSetUpPr fitToPage="1"/>
  </sheetPr>
  <dimension ref="A1:Q78"/>
  <sheetViews>
    <sheetView topLeftCell="A10" zoomScale="92" zoomScaleNormal="75" zoomScaleSheetLayoutView="90" zoomScalePageLayoutView="75" workbookViewId="0">
      <selection activeCell="M38" sqref="M38"/>
    </sheetView>
  </sheetViews>
  <sheetFormatPr defaultColWidth="9.109375" defaultRowHeight="13.2" x14ac:dyDescent="0.25"/>
  <cols>
    <col min="1" max="1" width="12.5546875" style="157" bestFit="1" customWidth="1"/>
    <col min="2" max="2" width="47" style="157" bestFit="1" customWidth="1"/>
    <col min="3" max="3" width="5" style="445" customWidth="1"/>
    <col min="4" max="4" width="5" style="662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109375" style="157" bestFit="1" customWidth="1"/>
    <col min="10" max="10" width="16.109375" style="157" bestFit="1" customWidth="1"/>
    <col min="11" max="11" width="14.109375" style="157" bestFit="1" customWidth="1"/>
    <col min="12" max="12" width="17.88671875" style="159" bestFit="1" customWidth="1"/>
    <col min="13" max="13" width="14" style="320" bestFit="1" customWidth="1"/>
    <col min="14" max="14" width="24.88671875" style="157" bestFit="1" customWidth="1"/>
    <col min="15" max="15" width="21.88671875" style="308" bestFit="1" customWidth="1"/>
    <col min="16" max="16" width="22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61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5">
      <c r="A4" s="1052"/>
      <c r="B4" s="1053"/>
      <c r="C4" s="519"/>
      <c r="D4" s="1063"/>
      <c r="E4" s="1063"/>
      <c r="F4" s="1063"/>
      <c r="G4" s="614"/>
      <c r="H4" s="614"/>
      <c r="I4" s="613"/>
      <c r="J4" s="334"/>
      <c r="K4" s="335"/>
      <c r="L4" s="1081"/>
      <c r="M4" s="1082"/>
      <c r="N4" s="1064"/>
      <c r="O4" s="1064"/>
      <c r="P4" s="978"/>
    </row>
    <row r="5" spans="1:17" ht="21.6" thickBot="1" x14ac:dyDescent="0.45">
      <c r="A5" s="615"/>
      <c r="B5" s="616"/>
      <c r="C5" s="521"/>
      <c r="D5" s="617"/>
      <c r="E5" s="346"/>
      <c r="F5" s="614"/>
      <c r="G5" s="1160" t="s">
        <v>661</v>
      </c>
      <c r="H5" s="1160"/>
      <c r="I5" s="1160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45">
      <c r="A6" s="615"/>
      <c r="B6" s="616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160"/>
      <c r="H6" s="1160"/>
      <c r="I6" s="1160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618" t="s">
        <v>0</v>
      </c>
      <c r="B9" s="61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620"/>
      <c r="K9" s="528"/>
      <c r="L9" s="1125" t="s">
        <v>782</v>
      </c>
      <c r="M9" s="1127" t="s">
        <v>783</v>
      </c>
      <c r="N9" s="1129" t="s">
        <v>784</v>
      </c>
      <c r="O9" s="1131"/>
      <c r="P9" s="1133"/>
      <c r="Q9" s="1123"/>
    </row>
    <row r="10" spans="1:17" ht="15.6" x14ac:dyDescent="0.3">
      <c r="A10" s="530" t="s">
        <v>297</v>
      </c>
      <c r="B10" s="530" t="s">
        <v>298</v>
      </c>
      <c r="C10" s="663" t="s">
        <v>19</v>
      </c>
      <c r="D10" s="621" t="s">
        <v>33</v>
      </c>
      <c r="E10" s="450" t="s">
        <v>35</v>
      </c>
      <c r="F10" s="622" t="s">
        <v>30</v>
      </c>
      <c r="G10" s="623" t="s">
        <v>14</v>
      </c>
      <c r="H10" s="450" t="s">
        <v>35</v>
      </c>
      <c r="I10" s="622" t="s">
        <v>30</v>
      </c>
      <c r="J10" s="624" t="s">
        <v>659</v>
      </c>
      <c r="K10" s="625" t="s">
        <v>38</v>
      </c>
      <c r="L10" s="1126"/>
      <c r="M10" s="1128"/>
      <c r="N10" s="1130"/>
      <c r="O10" s="1132"/>
      <c r="P10" s="1134"/>
      <c r="Q10" s="1124"/>
    </row>
    <row r="11" spans="1:17" x14ac:dyDescent="0.25">
      <c r="A11" s="375"/>
      <c r="B11" s="5"/>
      <c r="C11" s="376"/>
      <c r="D11" s="377" t="s">
        <v>21</v>
      </c>
      <c r="E11" s="259">
        <v>0</v>
      </c>
      <c r="F11" s="378">
        <f>C11*E11</f>
        <v>0</v>
      </c>
      <c r="G11" s="534"/>
      <c r="H11" s="380">
        <v>0</v>
      </c>
      <c r="I11" s="378">
        <f>G11*H11</f>
        <v>0</v>
      </c>
      <c r="J11" s="626"/>
      <c r="K11" s="535">
        <f>F11+I11+J11</f>
        <v>0</v>
      </c>
      <c r="L11" s="383"/>
      <c r="M11" s="627"/>
      <c r="N11" s="385"/>
      <c r="O11" s="386"/>
      <c r="P11" s="387"/>
      <c r="Q11" s="388"/>
    </row>
    <row r="12" spans="1:17" x14ac:dyDescent="0.25">
      <c r="A12" s="375"/>
      <c r="B12" s="5"/>
      <c r="C12" s="376"/>
      <c r="D12" s="377" t="s">
        <v>21</v>
      </c>
      <c r="E12" s="259">
        <v>0</v>
      </c>
      <c r="F12" s="378">
        <f>C12*E12</f>
        <v>0</v>
      </c>
      <c r="G12" s="534"/>
      <c r="H12" s="380">
        <v>0</v>
      </c>
      <c r="I12" s="378">
        <f>G12*H12</f>
        <v>0</v>
      </c>
      <c r="J12" s="626"/>
      <c r="K12" s="535">
        <f>F12+I12+J12</f>
        <v>0</v>
      </c>
      <c r="L12" s="383"/>
      <c r="M12" s="627"/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>C13*E13</f>
        <v>0</v>
      </c>
      <c r="G13" s="534"/>
      <c r="H13" s="380">
        <v>0</v>
      </c>
      <c r="I13" s="378">
        <f>G13*H13</f>
        <v>0</v>
      </c>
      <c r="J13" s="626"/>
      <c r="K13" s="535">
        <f>F13+I13+J13</f>
        <v>0</v>
      </c>
      <c r="L13" s="383"/>
      <c r="M13" s="627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>C14*E14</f>
        <v>0</v>
      </c>
      <c r="G14" s="534"/>
      <c r="H14" s="380">
        <v>0</v>
      </c>
      <c r="I14" s="378">
        <f>G14*H14</f>
        <v>0</v>
      </c>
      <c r="J14" s="626"/>
      <c r="K14" s="535">
        <f>F14+I14+J14</f>
        <v>0</v>
      </c>
      <c r="L14" s="383"/>
      <c r="M14" s="627"/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21</v>
      </c>
      <c r="E15" s="259">
        <v>0</v>
      </c>
      <c r="F15" s="378">
        <f>C15*E15</f>
        <v>0</v>
      </c>
      <c r="G15" s="534"/>
      <c r="H15" s="380">
        <v>0</v>
      </c>
      <c r="I15" s="378">
        <f>G15*H15</f>
        <v>0</v>
      </c>
      <c r="J15" s="626"/>
      <c r="K15" s="535">
        <f>F15+I15+J15</f>
        <v>0</v>
      </c>
      <c r="L15" s="383"/>
      <c r="M15" s="627"/>
      <c r="N15" s="385"/>
      <c r="O15" s="386"/>
      <c r="P15" s="387"/>
      <c r="Q15" s="388"/>
    </row>
    <row r="16" spans="1:17" ht="13.8" thickBot="1" x14ac:dyDescent="0.3">
      <c r="A16" s="392"/>
      <c r="B16" s="7"/>
      <c r="C16" s="393"/>
      <c r="D16" s="377"/>
      <c r="E16" s="259"/>
      <c r="F16" s="378"/>
      <c r="G16" s="534"/>
      <c r="H16" s="380"/>
      <c r="I16" s="378"/>
      <c r="J16" s="626"/>
      <c r="K16" s="535"/>
      <c r="L16" s="383"/>
      <c r="M16" s="627"/>
      <c r="N16" s="385"/>
      <c r="O16" s="386"/>
      <c r="P16" s="387"/>
      <c r="Q16" s="388"/>
    </row>
    <row r="17" spans="1:17" ht="13.8" thickTop="1" x14ac:dyDescent="0.25">
      <c r="A17" s="392"/>
      <c r="B17" s="7"/>
      <c r="C17" s="393"/>
      <c r="D17" s="377"/>
      <c r="E17" s="259"/>
      <c r="F17" s="378"/>
      <c r="G17" s="534"/>
      <c r="H17" s="380"/>
      <c r="I17" s="378"/>
      <c r="J17" s="394" t="s">
        <v>30</v>
      </c>
      <c r="K17" s="537">
        <f>SUM(K11:K16)</f>
        <v>0</v>
      </c>
      <c r="L17" s="383"/>
      <c r="M17" s="627"/>
      <c r="N17" s="385"/>
      <c r="O17" s="386"/>
      <c r="P17" s="387"/>
      <c r="Q17" s="388"/>
    </row>
    <row r="18" spans="1:17" ht="13.8" thickBot="1" x14ac:dyDescent="0.3">
      <c r="A18" s="618" t="s">
        <v>0</v>
      </c>
      <c r="B18" s="619" t="s">
        <v>1</v>
      </c>
      <c r="C18" s="1018" t="s">
        <v>656</v>
      </c>
      <c r="D18" s="1018"/>
      <c r="E18" s="1018"/>
      <c r="F18" s="1018"/>
      <c r="G18" s="1018" t="s">
        <v>34</v>
      </c>
      <c r="H18" s="1018"/>
      <c r="I18" s="1018"/>
      <c r="J18" s="620"/>
      <c r="K18" s="528"/>
      <c r="L18" s="396"/>
      <c r="M18" s="628"/>
      <c r="N18" s="398"/>
      <c r="O18" s="386"/>
      <c r="P18" s="387"/>
      <c r="Q18" s="388"/>
    </row>
    <row r="19" spans="1:17" ht="16.2" thickBot="1" x14ac:dyDescent="0.35">
      <c r="A19" s="530" t="s">
        <v>299</v>
      </c>
      <c r="B19" s="530" t="s">
        <v>300</v>
      </c>
      <c r="C19" s="642" t="s">
        <v>19</v>
      </c>
      <c r="D19" s="629" t="s">
        <v>33</v>
      </c>
      <c r="E19" s="630" t="s">
        <v>35</v>
      </c>
      <c r="F19" s="631" t="s">
        <v>30</v>
      </c>
      <c r="G19" s="632" t="s">
        <v>14</v>
      </c>
      <c r="H19" s="630" t="s">
        <v>35</v>
      </c>
      <c r="I19" s="631" t="s">
        <v>30</v>
      </c>
      <c r="J19" s="624" t="s">
        <v>659</v>
      </c>
      <c r="K19" s="633" t="s">
        <v>38</v>
      </c>
      <c r="L19" s="407"/>
      <c r="M19" s="634"/>
      <c r="N19" s="409"/>
      <c r="O19" s="386"/>
      <c r="P19" s="387"/>
      <c r="Q19" s="388"/>
    </row>
    <row r="20" spans="1:17" x14ac:dyDescent="0.25">
      <c r="A20" s="410"/>
      <c r="B20" s="411"/>
      <c r="C20" s="376"/>
      <c r="D20" s="377" t="s">
        <v>21</v>
      </c>
      <c r="E20" s="259">
        <v>0</v>
      </c>
      <c r="F20" s="378">
        <f>C20*E20</f>
        <v>0</v>
      </c>
      <c r="G20" s="534"/>
      <c r="H20" s="380">
        <v>0</v>
      </c>
      <c r="I20" s="378">
        <f>G20*H20</f>
        <v>0</v>
      </c>
      <c r="J20" s="626"/>
      <c r="K20" s="535">
        <f>F20+I20+J20</f>
        <v>0</v>
      </c>
      <c r="L20" s="383"/>
      <c r="M20" s="627"/>
      <c r="N20" s="385"/>
      <c r="O20" s="386"/>
      <c r="P20" s="387"/>
      <c r="Q20" s="388"/>
    </row>
    <row r="21" spans="1:17" x14ac:dyDescent="0.25">
      <c r="A21" s="375"/>
      <c r="B21" s="5"/>
      <c r="C21" s="376"/>
      <c r="D21" s="377" t="s">
        <v>21</v>
      </c>
      <c r="E21" s="259">
        <v>0</v>
      </c>
      <c r="F21" s="378">
        <f>C21*E21</f>
        <v>0</v>
      </c>
      <c r="G21" s="534"/>
      <c r="H21" s="380">
        <v>0</v>
      </c>
      <c r="I21" s="378">
        <f>G21*H21</f>
        <v>0</v>
      </c>
      <c r="J21" s="626"/>
      <c r="K21" s="535">
        <f>F21+I21+J21</f>
        <v>0</v>
      </c>
      <c r="L21" s="383"/>
      <c r="M21" s="627"/>
      <c r="N21" s="385"/>
      <c r="O21" s="386"/>
      <c r="P21" s="387"/>
      <c r="Q21" s="388"/>
    </row>
    <row r="22" spans="1:17" x14ac:dyDescent="0.25">
      <c r="A22" s="375"/>
      <c r="B22" s="5"/>
      <c r="C22" s="376"/>
      <c r="D22" s="377" t="s">
        <v>21</v>
      </c>
      <c r="E22" s="259">
        <v>0</v>
      </c>
      <c r="F22" s="378">
        <f>C22*E22</f>
        <v>0</v>
      </c>
      <c r="G22" s="534"/>
      <c r="H22" s="380">
        <v>0</v>
      </c>
      <c r="I22" s="378">
        <f>G22*H22</f>
        <v>0</v>
      </c>
      <c r="J22" s="626"/>
      <c r="K22" s="535">
        <f>F22+I22+J22</f>
        <v>0</v>
      </c>
      <c r="L22" s="383"/>
      <c r="M22" s="627"/>
      <c r="N22" s="385"/>
      <c r="O22" s="386"/>
      <c r="P22" s="387"/>
      <c r="Q22" s="388"/>
    </row>
    <row r="23" spans="1:17" x14ac:dyDescent="0.25">
      <c r="A23" s="375"/>
      <c r="B23" s="5"/>
      <c r="C23" s="376"/>
      <c r="D23" s="377" t="s">
        <v>21</v>
      </c>
      <c r="E23" s="259">
        <v>0</v>
      </c>
      <c r="F23" s="378">
        <f>C23*E23</f>
        <v>0</v>
      </c>
      <c r="G23" s="534"/>
      <c r="H23" s="380">
        <v>0</v>
      </c>
      <c r="I23" s="378">
        <f>G23*H23</f>
        <v>0</v>
      </c>
      <c r="J23" s="626"/>
      <c r="K23" s="535">
        <f>F23+I23+J23</f>
        <v>0</v>
      </c>
      <c r="L23" s="383"/>
      <c r="M23" s="627"/>
      <c r="N23" s="385"/>
      <c r="O23" s="386"/>
      <c r="P23" s="387"/>
      <c r="Q23" s="388"/>
    </row>
    <row r="24" spans="1:17" ht="13.8" thickBot="1" x14ac:dyDescent="0.3">
      <c r="A24" s="375"/>
      <c r="B24" s="5"/>
      <c r="C24" s="393"/>
      <c r="D24" s="377"/>
      <c r="E24" s="259"/>
      <c r="F24" s="378"/>
      <c r="G24" s="534"/>
      <c r="H24" s="380"/>
      <c r="I24" s="378"/>
      <c r="J24" s="626"/>
      <c r="K24" s="540"/>
      <c r="L24" s="157"/>
      <c r="M24" s="635"/>
      <c r="O24" s="386"/>
      <c r="P24" s="387"/>
      <c r="Q24" s="388"/>
    </row>
    <row r="25" spans="1:17" ht="13.8" thickTop="1" x14ac:dyDescent="0.25">
      <c r="A25" s="392"/>
      <c r="B25" s="5"/>
      <c r="C25" s="393"/>
      <c r="D25" s="377"/>
      <c r="E25" s="259"/>
      <c r="F25" s="378"/>
      <c r="G25" s="534"/>
      <c r="H25" s="380"/>
      <c r="I25" s="378"/>
      <c r="J25" s="394" t="s">
        <v>30</v>
      </c>
      <c r="K25" s="537">
        <f>SUM(K20:K24)</f>
        <v>0</v>
      </c>
      <c r="L25" s="157"/>
      <c r="M25" s="635"/>
      <c r="O25" s="386"/>
      <c r="P25" s="387"/>
      <c r="Q25" s="388"/>
    </row>
    <row r="26" spans="1:17" ht="13.8" thickBot="1" x14ac:dyDescent="0.3">
      <c r="A26" s="618" t="s">
        <v>0</v>
      </c>
      <c r="B26" s="619" t="s">
        <v>1</v>
      </c>
      <c r="C26" s="1018" t="s">
        <v>656</v>
      </c>
      <c r="D26" s="1018"/>
      <c r="E26" s="1018"/>
      <c r="F26" s="1018"/>
      <c r="G26" s="1018" t="s">
        <v>34</v>
      </c>
      <c r="H26" s="1018"/>
      <c r="I26" s="1018"/>
      <c r="J26" s="620"/>
      <c r="K26" s="528"/>
      <c r="L26" s="396"/>
      <c r="M26" s="628"/>
      <c r="N26" s="398"/>
      <c r="O26" s="386"/>
      <c r="P26" s="387"/>
      <c r="Q26" s="388"/>
    </row>
    <row r="27" spans="1:17" ht="16.2" thickBot="1" x14ac:dyDescent="0.35">
      <c r="A27" s="530" t="s">
        <v>301</v>
      </c>
      <c r="B27" s="530" t="s">
        <v>302</v>
      </c>
      <c r="C27" s="642" t="s">
        <v>19</v>
      </c>
      <c r="D27" s="629" t="s">
        <v>33</v>
      </c>
      <c r="E27" s="630" t="s">
        <v>35</v>
      </c>
      <c r="F27" s="631" t="s">
        <v>30</v>
      </c>
      <c r="G27" s="632" t="s">
        <v>14</v>
      </c>
      <c r="H27" s="630" t="s">
        <v>35</v>
      </c>
      <c r="I27" s="631" t="s">
        <v>30</v>
      </c>
      <c r="J27" s="624" t="s">
        <v>659</v>
      </c>
      <c r="K27" s="633" t="s">
        <v>38</v>
      </c>
      <c r="L27" s="407"/>
      <c r="M27" s="634"/>
      <c r="N27" s="409"/>
      <c r="O27" s="386"/>
      <c r="P27" s="387"/>
      <c r="Q27" s="388"/>
    </row>
    <row r="28" spans="1:17" ht="15" x14ac:dyDescent="0.25">
      <c r="A28" s="659" t="s">
        <v>303</v>
      </c>
      <c r="B28" s="641" t="s">
        <v>677</v>
      </c>
      <c r="C28" s="376"/>
      <c r="D28" s="377" t="s">
        <v>21</v>
      </c>
      <c r="E28" s="259">
        <v>0</v>
      </c>
      <c r="F28" s="378">
        <f t="shared" ref="F28:F34" si="0">C28*E28</f>
        <v>0</v>
      </c>
      <c r="G28" s="534"/>
      <c r="H28" s="380">
        <v>0</v>
      </c>
      <c r="I28" s="378">
        <f t="shared" ref="I28:I34" si="1">G28*H28</f>
        <v>0</v>
      </c>
      <c r="J28" s="626"/>
      <c r="K28" s="535">
        <f t="shared" ref="K28:K34" si="2">F28+I28+J28</f>
        <v>0</v>
      </c>
      <c r="O28" s="386"/>
      <c r="P28" s="387"/>
      <c r="Q28" s="388"/>
    </row>
    <row r="29" spans="1:17" x14ac:dyDescent="0.25">
      <c r="A29" s="158" t="s">
        <v>304</v>
      </c>
      <c r="B29" s="654" t="s">
        <v>305</v>
      </c>
      <c r="C29" s="376"/>
      <c r="D29" s="377" t="s">
        <v>21</v>
      </c>
      <c r="E29" s="259">
        <v>0</v>
      </c>
      <c r="F29" s="378">
        <f t="shared" si="0"/>
        <v>0</v>
      </c>
      <c r="G29" s="534"/>
      <c r="H29" s="380">
        <v>0</v>
      </c>
      <c r="I29" s="378">
        <f t="shared" si="1"/>
        <v>0</v>
      </c>
      <c r="J29" s="626"/>
      <c r="K29" s="535">
        <f t="shared" si="2"/>
        <v>0</v>
      </c>
      <c r="L29" s="868" t="s">
        <v>1111</v>
      </c>
      <c r="M29" s="627"/>
      <c r="N29" s="385"/>
      <c r="O29" s="386"/>
      <c r="P29" s="387"/>
      <c r="Q29" s="388"/>
    </row>
    <row r="30" spans="1:17" ht="15" x14ac:dyDescent="0.25">
      <c r="A30" s="196" t="s">
        <v>306</v>
      </c>
      <c r="B30" s="650" t="s">
        <v>307</v>
      </c>
      <c r="C30" s="376"/>
      <c r="D30" s="377" t="s">
        <v>21</v>
      </c>
      <c r="E30" s="259">
        <v>0</v>
      </c>
      <c r="F30" s="378">
        <f t="shared" si="0"/>
        <v>0</v>
      </c>
      <c r="G30" s="534"/>
      <c r="H30" s="380">
        <v>0</v>
      </c>
      <c r="I30" s="378">
        <f t="shared" si="1"/>
        <v>0</v>
      </c>
      <c r="J30" s="626"/>
      <c r="K30" s="535">
        <f t="shared" si="2"/>
        <v>0</v>
      </c>
      <c r="L30" s="159" t="s">
        <v>1306</v>
      </c>
      <c r="M30" s="320">
        <v>2100</v>
      </c>
      <c r="N30" s="385"/>
      <c r="O30" s="386"/>
      <c r="P30" s="387"/>
      <c r="Q30" s="388"/>
    </row>
    <row r="31" spans="1:17" x14ac:dyDescent="0.25">
      <c r="A31" s="158" t="s">
        <v>308</v>
      </c>
      <c r="B31" s="654" t="s">
        <v>309</v>
      </c>
      <c r="C31" s="376"/>
      <c r="D31" s="377" t="s">
        <v>21</v>
      </c>
      <c r="E31" s="259">
        <v>0</v>
      </c>
      <c r="F31" s="378">
        <f t="shared" si="0"/>
        <v>0</v>
      </c>
      <c r="G31" s="534"/>
      <c r="H31" s="380">
        <v>0</v>
      </c>
      <c r="I31" s="378">
        <f t="shared" si="1"/>
        <v>0</v>
      </c>
      <c r="J31" s="626"/>
      <c r="K31" s="535">
        <f t="shared" si="2"/>
        <v>0</v>
      </c>
      <c r="L31" s="159" t="s">
        <v>307</v>
      </c>
      <c r="M31" s="320">
        <v>7400</v>
      </c>
      <c r="N31" s="385"/>
      <c r="O31" s="386"/>
      <c r="P31" s="387"/>
      <c r="Q31" s="388"/>
    </row>
    <row r="32" spans="1:17" ht="13.8" thickBot="1" x14ac:dyDescent="0.3">
      <c r="A32" s="158" t="s">
        <v>310</v>
      </c>
      <c r="B32" s="654" t="s">
        <v>311</v>
      </c>
      <c r="C32" s="376"/>
      <c r="D32" s="377" t="s">
        <v>21</v>
      </c>
      <c r="E32" s="259">
        <v>0</v>
      </c>
      <c r="F32" s="378">
        <f t="shared" si="0"/>
        <v>0</v>
      </c>
      <c r="G32" s="534"/>
      <c r="H32" s="380">
        <v>0</v>
      </c>
      <c r="I32" s="378">
        <f t="shared" si="1"/>
        <v>0</v>
      </c>
      <c r="J32" s="626"/>
      <c r="K32" s="535">
        <f t="shared" si="2"/>
        <v>0</v>
      </c>
      <c r="L32" s="383"/>
      <c r="M32" s="939">
        <f>SUM(M30:M31)</f>
        <v>9500</v>
      </c>
      <c r="N32" s="385"/>
      <c r="O32" s="386"/>
      <c r="P32" s="387"/>
      <c r="Q32" s="388"/>
    </row>
    <row r="33" spans="1:17" ht="13.8" thickTop="1" x14ac:dyDescent="0.25">
      <c r="A33" s="158" t="s">
        <v>313</v>
      </c>
      <c r="B33" s="654" t="s">
        <v>312</v>
      </c>
      <c r="C33" s="376"/>
      <c r="D33" s="377" t="s">
        <v>21</v>
      </c>
      <c r="E33" s="259">
        <v>0</v>
      </c>
      <c r="F33" s="378">
        <f t="shared" si="0"/>
        <v>0</v>
      </c>
      <c r="G33" s="534"/>
      <c r="H33" s="380">
        <v>0</v>
      </c>
      <c r="I33" s="378">
        <f t="shared" si="1"/>
        <v>0</v>
      </c>
      <c r="J33" s="626"/>
      <c r="K33" s="535">
        <f t="shared" si="2"/>
        <v>0</v>
      </c>
      <c r="O33" s="386"/>
      <c r="P33" s="387"/>
      <c r="Q33" s="388"/>
    </row>
    <row r="34" spans="1:17" ht="15" x14ac:dyDescent="0.25">
      <c r="A34" s="196" t="s">
        <v>314</v>
      </c>
      <c r="B34" s="650" t="s">
        <v>315</v>
      </c>
      <c r="C34" s="376"/>
      <c r="D34" s="377" t="s">
        <v>21</v>
      </c>
      <c r="E34" s="259">
        <v>0</v>
      </c>
      <c r="F34" s="378">
        <f t="shared" si="0"/>
        <v>0</v>
      </c>
      <c r="G34" s="871">
        <v>32</v>
      </c>
      <c r="H34" s="380">
        <v>65</v>
      </c>
      <c r="I34" s="378">
        <f t="shared" si="1"/>
        <v>2080</v>
      </c>
      <c r="J34" s="626">
        <f>+M34</f>
        <v>8735</v>
      </c>
      <c r="K34" s="535">
        <f t="shared" si="2"/>
        <v>10815</v>
      </c>
      <c r="L34" s="959" t="s">
        <v>1112</v>
      </c>
      <c r="M34" s="1214">
        <v>8735</v>
      </c>
      <c r="O34" s="386"/>
      <c r="P34" s="387"/>
      <c r="Q34" s="388"/>
    </row>
    <row r="35" spans="1:17" x14ac:dyDescent="0.25">
      <c r="A35" s="375"/>
      <c r="B35" s="5"/>
      <c r="C35" s="376"/>
      <c r="D35" s="377"/>
      <c r="E35" s="259"/>
      <c r="F35" s="378"/>
      <c r="G35" s="534"/>
      <c r="H35" s="380"/>
      <c r="I35" s="378"/>
      <c r="J35" s="626"/>
      <c r="K35" s="540"/>
      <c r="L35" s="383" t="s">
        <v>1113</v>
      </c>
      <c r="M35" s="627"/>
      <c r="N35" s="385"/>
      <c r="O35" s="386"/>
      <c r="P35" s="387"/>
      <c r="Q35" s="388"/>
    </row>
    <row r="36" spans="1:17" x14ac:dyDescent="0.25">
      <c r="A36" s="375"/>
      <c r="B36" s="5"/>
      <c r="C36" s="376"/>
      <c r="D36" s="377"/>
      <c r="E36" s="259"/>
      <c r="F36" s="378"/>
      <c r="G36" s="534"/>
      <c r="H36" s="380"/>
      <c r="I36" s="378"/>
      <c r="J36" s="626"/>
      <c r="K36" s="540"/>
      <c r="M36" s="280"/>
      <c r="N36" s="159"/>
      <c r="O36" s="386"/>
      <c r="P36" s="387"/>
      <c r="Q36" s="388"/>
    </row>
    <row r="37" spans="1:17" x14ac:dyDescent="0.25">
      <c r="A37" s="375"/>
      <c r="B37" s="5"/>
      <c r="C37" s="376"/>
      <c r="D37" s="377"/>
      <c r="E37" s="259"/>
      <c r="F37" s="378"/>
      <c r="G37" s="534"/>
      <c r="H37" s="380"/>
      <c r="I37" s="378"/>
      <c r="J37" s="626"/>
      <c r="K37" s="540"/>
      <c r="L37" s="383"/>
      <c r="M37" s="627"/>
      <c r="N37" s="385"/>
      <c r="O37" s="386"/>
      <c r="P37" s="387"/>
      <c r="Q37" s="388"/>
    </row>
    <row r="38" spans="1:17" x14ac:dyDescent="0.25">
      <c r="A38" s="375"/>
      <c r="B38" s="5"/>
      <c r="C38" s="376"/>
      <c r="D38" s="377"/>
      <c r="E38" s="259"/>
      <c r="F38" s="378"/>
      <c r="G38" s="534"/>
      <c r="H38" s="380"/>
      <c r="I38" s="378"/>
      <c r="J38" s="626"/>
      <c r="K38" s="540"/>
      <c r="M38" s="280"/>
      <c r="N38" s="159"/>
      <c r="O38" s="386"/>
      <c r="P38" s="387"/>
      <c r="Q38" s="388"/>
    </row>
    <row r="39" spans="1:17" ht="13.8" thickBot="1" x14ac:dyDescent="0.3">
      <c r="A39" s="375"/>
      <c r="B39" s="5"/>
      <c r="C39" s="376"/>
      <c r="D39" s="377"/>
      <c r="E39" s="259"/>
      <c r="F39" s="378"/>
      <c r="G39" s="534"/>
      <c r="H39" s="380"/>
      <c r="I39" s="378"/>
      <c r="J39" s="626"/>
      <c r="K39" s="540"/>
      <c r="M39" s="280"/>
      <c r="N39" s="159"/>
      <c r="O39" s="415"/>
      <c r="P39" s="416"/>
      <c r="Q39" s="388"/>
    </row>
    <row r="40" spans="1:17" ht="13.8" thickTop="1" x14ac:dyDescent="0.25">
      <c r="A40" s="392"/>
      <c r="B40" s="417"/>
      <c r="C40" s="393"/>
      <c r="D40" s="377"/>
      <c r="E40" s="259"/>
      <c r="F40" s="378"/>
      <c r="G40" s="534"/>
      <c r="H40" s="380"/>
      <c r="I40" s="378"/>
      <c r="J40" s="394" t="s">
        <v>30</v>
      </c>
      <c r="K40" s="537">
        <f>SUM(K28:K39)</f>
        <v>10815</v>
      </c>
      <c r="L40" s="383"/>
      <c r="M40" s="307"/>
      <c r="N40" s="426"/>
      <c r="O40" s="415"/>
      <c r="P40" s="416"/>
      <c r="Q40" s="388"/>
    </row>
    <row r="41" spans="1:17" ht="13.8" thickBot="1" x14ac:dyDescent="0.3">
      <c r="A41" s="618" t="s">
        <v>0</v>
      </c>
      <c r="B41" s="619" t="s">
        <v>1</v>
      </c>
      <c r="C41" s="1018" t="s">
        <v>656</v>
      </c>
      <c r="D41" s="1018"/>
      <c r="E41" s="1018"/>
      <c r="F41" s="1018"/>
      <c r="G41" s="1018" t="s">
        <v>34</v>
      </c>
      <c r="H41" s="1018"/>
      <c r="I41" s="1018"/>
      <c r="J41" s="620"/>
      <c r="K41" s="528"/>
      <c r="L41" s="396"/>
      <c r="M41" s="628"/>
      <c r="N41" s="398"/>
      <c r="O41" s="415"/>
      <c r="P41" s="416"/>
      <c r="Q41" s="388"/>
    </row>
    <row r="42" spans="1:17" ht="15.6" x14ac:dyDescent="0.3">
      <c r="A42" s="530" t="s">
        <v>316</v>
      </c>
      <c r="B42" s="530" t="s">
        <v>317</v>
      </c>
      <c r="C42" s="642" t="s">
        <v>19</v>
      </c>
      <c r="D42" s="629" t="s">
        <v>33</v>
      </c>
      <c r="E42" s="630" t="s">
        <v>35</v>
      </c>
      <c r="F42" s="631" t="s">
        <v>30</v>
      </c>
      <c r="G42" s="632" t="s">
        <v>14</v>
      </c>
      <c r="H42" s="630" t="s">
        <v>35</v>
      </c>
      <c r="I42" s="631" t="s">
        <v>30</v>
      </c>
      <c r="J42" s="624" t="s">
        <v>659</v>
      </c>
      <c r="K42" s="633" t="s">
        <v>38</v>
      </c>
      <c r="L42" s="407"/>
      <c r="M42" s="634"/>
      <c r="N42" s="409"/>
      <c r="O42" s="415"/>
      <c r="P42" s="416"/>
      <c r="Q42" s="388"/>
    </row>
    <row r="43" spans="1:17" x14ac:dyDescent="0.25">
      <c r="A43" s="262" t="s">
        <v>318</v>
      </c>
      <c r="B43" s="262" t="s">
        <v>44</v>
      </c>
      <c r="C43" s="376"/>
      <c r="D43" s="377" t="s">
        <v>21</v>
      </c>
      <c r="E43" s="259">
        <v>0</v>
      </c>
      <c r="F43" s="378">
        <f>C43*E43</f>
        <v>0</v>
      </c>
      <c r="G43" s="534"/>
      <c r="H43" s="380">
        <v>0</v>
      </c>
      <c r="I43" s="378">
        <f>G43*H43</f>
        <v>0</v>
      </c>
      <c r="J43" s="626"/>
      <c r="K43" s="535">
        <f>F43+I43+J43</f>
        <v>0</v>
      </c>
      <c r="L43" s="383"/>
      <c r="M43" s="307"/>
      <c r="N43" s="426"/>
      <c r="O43" s="415"/>
      <c r="P43" s="416"/>
      <c r="Q43" s="388"/>
    </row>
    <row r="44" spans="1:17" x14ac:dyDescent="0.25">
      <c r="A44" s="375"/>
      <c r="B44" s="5"/>
      <c r="C44" s="376"/>
      <c r="D44" s="377" t="s">
        <v>21</v>
      </c>
      <c r="E44" s="259">
        <v>0</v>
      </c>
      <c r="F44" s="378">
        <f>C44*E44</f>
        <v>0</v>
      </c>
      <c r="G44" s="534"/>
      <c r="H44" s="380">
        <v>0</v>
      </c>
      <c r="I44" s="378">
        <f>G44*H44</f>
        <v>0</v>
      </c>
      <c r="J44" s="626"/>
      <c r="K44" s="535">
        <f>F44+I44+J44</f>
        <v>0</v>
      </c>
      <c r="L44" s="383"/>
      <c r="M44" s="307"/>
      <c r="N44" s="426"/>
      <c r="O44" s="415"/>
      <c r="P44" s="416"/>
      <c r="Q44" s="388"/>
    </row>
    <row r="45" spans="1:17" ht="13.8" thickBot="1" x14ac:dyDescent="0.3">
      <c r="A45" s="392"/>
      <c r="B45" s="5"/>
      <c r="C45" s="393"/>
      <c r="D45" s="377"/>
      <c r="E45" s="259"/>
      <c r="F45" s="378"/>
      <c r="G45" s="534"/>
      <c r="H45" s="380"/>
      <c r="I45" s="378"/>
      <c r="J45" s="626"/>
      <c r="K45" s="540"/>
      <c r="L45" s="383"/>
      <c r="M45" s="307"/>
      <c r="N45" s="385"/>
      <c r="O45" s="386"/>
      <c r="P45" s="387"/>
      <c r="Q45" s="388"/>
    </row>
    <row r="46" spans="1:17" ht="13.8" thickTop="1" x14ac:dyDescent="0.25">
      <c r="A46" s="392"/>
      <c r="C46" s="393"/>
      <c r="D46" s="377"/>
      <c r="E46" s="259"/>
      <c r="F46" s="378"/>
      <c r="G46" s="534"/>
      <c r="H46" s="380"/>
      <c r="I46" s="378"/>
      <c r="J46" s="394" t="s">
        <v>30</v>
      </c>
      <c r="K46" s="537">
        <f>SUM(K43:K45)</f>
        <v>0</v>
      </c>
      <c r="M46" s="280"/>
      <c r="N46" s="159"/>
      <c r="O46" s="386"/>
      <c r="P46" s="387"/>
      <c r="Q46" s="388"/>
    </row>
    <row r="47" spans="1:17" ht="13.8" thickBot="1" x14ac:dyDescent="0.3">
      <c r="A47" s="618" t="s">
        <v>0</v>
      </c>
      <c r="B47" s="619" t="s">
        <v>1</v>
      </c>
      <c r="C47" s="1018" t="s">
        <v>656</v>
      </c>
      <c r="D47" s="1018"/>
      <c r="E47" s="1018"/>
      <c r="F47" s="1018"/>
      <c r="G47" s="1018" t="s">
        <v>34</v>
      </c>
      <c r="H47" s="1018"/>
      <c r="I47" s="1018"/>
      <c r="J47" s="620"/>
      <c r="K47" s="528"/>
      <c r="L47" s="396"/>
      <c r="M47" s="628"/>
      <c r="N47" s="398"/>
      <c r="O47" s="386"/>
      <c r="P47" s="416"/>
      <c r="Q47" s="388"/>
    </row>
    <row r="48" spans="1:17" ht="16.2" thickBot="1" x14ac:dyDescent="0.35">
      <c r="A48" s="530" t="s">
        <v>319</v>
      </c>
      <c r="B48" s="530" t="s">
        <v>67</v>
      </c>
      <c r="C48" s="642" t="s">
        <v>19</v>
      </c>
      <c r="D48" s="629" t="s">
        <v>33</v>
      </c>
      <c r="E48" s="630" t="s">
        <v>35</v>
      </c>
      <c r="F48" s="631" t="s">
        <v>30</v>
      </c>
      <c r="G48" s="632" t="s">
        <v>14</v>
      </c>
      <c r="H48" s="630" t="s">
        <v>35</v>
      </c>
      <c r="I48" s="631" t="s">
        <v>30</v>
      </c>
      <c r="J48" s="624" t="s">
        <v>659</v>
      </c>
      <c r="K48" s="633" t="s">
        <v>38</v>
      </c>
      <c r="L48" s="407"/>
      <c r="M48" s="636"/>
      <c r="N48" s="414"/>
      <c r="O48" s="386"/>
      <c r="P48" s="387"/>
      <c r="Q48" s="388"/>
    </row>
    <row r="49" spans="1:17" x14ac:dyDescent="0.25">
      <c r="A49" s="410"/>
      <c r="B49" s="411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626"/>
      <c r="K49" s="535">
        <f>F49+I49+J49</f>
        <v>0</v>
      </c>
      <c r="L49" s="383"/>
      <c r="M49" s="307"/>
      <c r="N49" s="385"/>
      <c r="O49" s="386"/>
      <c r="P49" s="387"/>
      <c r="Q49" s="388"/>
    </row>
    <row r="50" spans="1:17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626"/>
      <c r="K50" s="535">
        <f>F50+I50+J50</f>
        <v>0</v>
      </c>
      <c r="O50" s="386"/>
      <c r="P50" s="387"/>
      <c r="Q50" s="388"/>
    </row>
    <row r="51" spans="1:17" x14ac:dyDescent="0.25">
      <c r="A51" s="375"/>
      <c r="B51" s="159"/>
      <c r="C51" s="376"/>
      <c r="D51" s="377" t="s">
        <v>21</v>
      </c>
      <c r="E51" s="259">
        <v>0</v>
      </c>
      <c r="F51" s="378">
        <f>C51*E51</f>
        <v>0</v>
      </c>
      <c r="G51" s="534"/>
      <c r="H51" s="380">
        <v>0</v>
      </c>
      <c r="I51" s="378">
        <f>G51*H51</f>
        <v>0</v>
      </c>
      <c r="J51" s="626"/>
      <c r="K51" s="535">
        <f>F51+I51+J51</f>
        <v>0</v>
      </c>
      <c r="O51" s="386"/>
      <c r="P51" s="387"/>
      <c r="Q51" s="388"/>
    </row>
    <row r="52" spans="1:17" ht="13.8" thickBot="1" x14ac:dyDescent="0.3">
      <c r="A52" s="392"/>
      <c r="B52" s="5"/>
      <c r="C52" s="393"/>
      <c r="D52" s="377"/>
      <c r="E52" s="259"/>
      <c r="F52" s="378"/>
      <c r="G52" s="534"/>
      <c r="H52" s="380"/>
      <c r="I52" s="378"/>
      <c r="J52" s="626"/>
      <c r="K52" s="540"/>
      <c r="L52" s="383"/>
      <c r="M52" s="307"/>
      <c r="N52" s="385"/>
      <c r="O52" s="386"/>
      <c r="P52" s="387"/>
      <c r="Q52" s="388"/>
    </row>
    <row r="53" spans="1:17" ht="13.8" thickTop="1" x14ac:dyDescent="0.25">
      <c r="A53" s="392"/>
      <c r="B53" s="417"/>
      <c r="C53" s="393"/>
      <c r="D53" s="377"/>
      <c r="E53" s="259"/>
      <c r="F53" s="378"/>
      <c r="G53" s="534"/>
      <c r="H53" s="380"/>
      <c r="I53" s="378"/>
      <c r="J53" s="394" t="s">
        <v>30</v>
      </c>
      <c r="K53" s="537">
        <f>SUM(K49:K52)</f>
        <v>0</v>
      </c>
      <c r="L53" s="383"/>
      <c r="M53" s="307"/>
      <c r="N53" s="385"/>
      <c r="O53" s="386"/>
      <c r="P53" s="387"/>
      <c r="Q53" s="388"/>
    </row>
    <row r="54" spans="1:17" ht="13.8" thickBot="1" x14ac:dyDescent="0.3">
      <c r="A54" s="618" t="s">
        <v>0</v>
      </c>
      <c r="B54" s="619" t="s">
        <v>1</v>
      </c>
      <c r="C54" s="1018" t="s">
        <v>656</v>
      </c>
      <c r="D54" s="1018"/>
      <c r="E54" s="1018"/>
      <c r="F54" s="1018"/>
      <c r="G54" s="1018" t="s">
        <v>34</v>
      </c>
      <c r="H54" s="1018"/>
      <c r="I54" s="1018"/>
      <c r="J54" s="620"/>
      <c r="K54" s="528"/>
      <c r="L54" s="396"/>
      <c r="M54" s="620"/>
      <c r="N54" s="398"/>
      <c r="O54" s="441"/>
      <c r="P54" s="442"/>
      <c r="Q54" s="388"/>
    </row>
    <row r="55" spans="1:17" ht="16.2" thickBot="1" x14ac:dyDescent="0.35">
      <c r="A55" s="530" t="s">
        <v>320</v>
      </c>
      <c r="B55" s="530" t="s">
        <v>321</v>
      </c>
      <c r="C55" s="642" t="s">
        <v>19</v>
      </c>
      <c r="D55" s="629" t="s">
        <v>33</v>
      </c>
      <c r="E55" s="630" t="s">
        <v>35</v>
      </c>
      <c r="F55" s="631" t="s">
        <v>30</v>
      </c>
      <c r="G55" s="632" t="s">
        <v>14</v>
      </c>
      <c r="H55" s="630" t="s">
        <v>35</v>
      </c>
      <c r="I55" s="631" t="s">
        <v>30</v>
      </c>
      <c r="J55" s="624" t="s">
        <v>659</v>
      </c>
      <c r="K55" s="633" t="s">
        <v>38</v>
      </c>
      <c r="L55" s="407"/>
      <c r="M55" s="636"/>
      <c r="N55" s="409"/>
      <c r="O55" s="441"/>
      <c r="P55" s="442"/>
      <c r="Q55" s="388"/>
    </row>
    <row r="56" spans="1:17" x14ac:dyDescent="0.25">
      <c r="A56" s="410"/>
      <c r="B56" s="411"/>
      <c r="C56" s="376"/>
      <c r="D56" s="377" t="s">
        <v>21</v>
      </c>
      <c r="E56" s="259">
        <v>0</v>
      </c>
      <c r="F56" s="378">
        <f>C56*E56</f>
        <v>0</v>
      </c>
      <c r="G56" s="534"/>
      <c r="H56" s="380">
        <v>0</v>
      </c>
      <c r="I56" s="378">
        <f>G56*H56</f>
        <v>0</v>
      </c>
      <c r="J56" s="626"/>
      <c r="K56" s="535">
        <f>F56+I56+J56</f>
        <v>0</v>
      </c>
      <c r="O56" s="415"/>
      <c r="P56" s="416"/>
      <c r="Q56" s="388"/>
    </row>
    <row r="57" spans="1:17" x14ac:dyDescent="0.25">
      <c r="A57" s="375"/>
      <c r="B57" s="5"/>
      <c r="C57" s="376"/>
      <c r="D57" s="377" t="s">
        <v>21</v>
      </c>
      <c r="E57" s="259">
        <v>0</v>
      </c>
      <c r="F57" s="378">
        <f>C57*E57</f>
        <v>0</v>
      </c>
      <c r="G57" s="534"/>
      <c r="H57" s="380">
        <v>0</v>
      </c>
      <c r="I57" s="378">
        <f>G57*H57</f>
        <v>0</v>
      </c>
      <c r="J57" s="626"/>
      <c r="K57" s="535">
        <f>F57+I57+J57</f>
        <v>0</v>
      </c>
      <c r="O57" s="386"/>
      <c r="P57" s="387"/>
      <c r="Q57" s="388"/>
    </row>
    <row r="58" spans="1:17" ht="13.8" thickBot="1" x14ac:dyDescent="0.3">
      <c r="A58" s="392"/>
      <c r="B58" s="417"/>
      <c r="C58" s="376"/>
      <c r="D58" s="377"/>
      <c r="E58" s="259"/>
      <c r="F58" s="378"/>
      <c r="G58" s="534"/>
      <c r="H58" s="380"/>
      <c r="I58" s="378"/>
      <c r="J58" s="626"/>
      <c r="K58" s="535"/>
      <c r="L58" s="383"/>
      <c r="M58" s="627"/>
      <c r="N58" s="385"/>
      <c r="O58" s="386"/>
      <c r="P58" s="387"/>
      <c r="Q58" s="388"/>
    </row>
    <row r="59" spans="1:17" ht="14.4" thickTop="1" thickBot="1" x14ac:dyDescent="0.3">
      <c r="A59" s="475"/>
      <c r="B59" s="156"/>
      <c r="C59" s="476"/>
      <c r="D59" s="477"/>
      <c r="E59" s="637"/>
      <c r="F59" s="479"/>
      <c r="G59" s="638"/>
      <c r="H59" s="637"/>
      <c r="I59" s="479"/>
      <c r="J59" s="481" t="s">
        <v>30</v>
      </c>
      <c r="K59" s="639">
        <f>SUM(K56:K58)</f>
        <v>0</v>
      </c>
      <c r="L59" s="383"/>
      <c r="M59" s="627"/>
      <c r="N59" s="385"/>
      <c r="O59" s="386"/>
      <c r="P59" s="387"/>
      <c r="Q59" s="388"/>
    </row>
    <row r="60" spans="1:17" ht="13.8" thickBot="1" x14ac:dyDescent="0.3">
      <c r="A60" s="618" t="s">
        <v>0</v>
      </c>
      <c r="B60" s="619" t="s">
        <v>1</v>
      </c>
      <c r="C60" s="1018" t="s">
        <v>656</v>
      </c>
      <c r="D60" s="1018"/>
      <c r="E60" s="1018"/>
      <c r="F60" s="1018"/>
      <c r="G60" s="1018" t="s">
        <v>34</v>
      </c>
      <c r="H60" s="1018"/>
      <c r="I60" s="1018"/>
      <c r="J60" s="620"/>
      <c r="K60" s="528"/>
      <c r="L60" s="396"/>
      <c r="M60" s="620"/>
      <c r="N60" s="443"/>
      <c r="O60" s="386"/>
      <c r="P60" s="387"/>
      <c r="Q60" s="388"/>
    </row>
    <row r="61" spans="1:17" ht="15.6" x14ac:dyDescent="0.3">
      <c r="A61" s="530" t="s">
        <v>322</v>
      </c>
      <c r="B61" s="530" t="s">
        <v>323</v>
      </c>
      <c r="C61" s="642" t="s">
        <v>19</v>
      </c>
      <c r="D61" s="629" t="s">
        <v>33</v>
      </c>
      <c r="E61" s="630" t="s">
        <v>35</v>
      </c>
      <c r="F61" s="631" t="s">
        <v>30</v>
      </c>
      <c r="G61" s="632" t="s">
        <v>14</v>
      </c>
      <c r="H61" s="630" t="s">
        <v>35</v>
      </c>
      <c r="I61" s="631" t="s">
        <v>30</v>
      </c>
      <c r="J61" s="624" t="s">
        <v>659</v>
      </c>
      <c r="K61" s="633" t="s">
        <v>38</v>
      </c>
      <c r="L61" s="407"/>
      <c r="M61" s="636"/>
      <c r="N61" s="414"/>
      <c r="O61" s="386"/>
      <c r="P61" s="387"/>
      <c r="Q61" s="388"/>
    </row>
    <row r="62" spans="1:17" ht="15" x14ac:dyDescent="0.25">
      <c r="A62" s="196" t="s">
        <v>324</v>
      </c>
      <c r="B62" s="196" t="s">
        <v>325</v>
      </c>
      <c r="C62" s="376"/>
      <c r="D62" s="377" t="s">
        <v>21</v>
      </c>
      <c r="E62" s="259">
        <v>0</v>
      </c>
      <c r="F62" s="378">
        <f>C62*E62</f>
        <v>0</v>
      </c>
      <c r="G62" s="534"/>
      <c r="H62" s="380">
        <v>0</v>
      </c>
      <c r="I62" s="378">
        <f>G62*H62</f>
        <v>0</v>
      </c>
      <c r="J62" s="626"/>
      <c r="K62" s="535">
        <f>F62+I62+J62</f>
        <v>0</v>
      </c>
      <c r="L62" s="383"/>
      <c r="M62" s="627"/>
      <c r="N62" s="385"/>
      <c r="O62" s="386"/>
      <c r="P62" s="387"/>
      <c r="Q62" s="388"/>
    </row>
    <row r="63" spans="1:17" x14ac:dyDescent="0.25">
      <c r="A63" s="158" t="s">
        <v>326</v>
      </c>
      <c r="B63" s="159" t="s">
        <v>327</v>
      </c>
      <c r="C63" s="376"/>
      <c r="D63" s="377" t="s">
        <v>21</v>
      </c>
      <c r="E63" s="259">
        <v>0</v>
      </c>
      <c r="F63" s="378">
        <f>C63*E63</f>
        <v>0</v>
      </c>
      <c r="G63" s="534"/>
      <c r="H63" s="380">
        <v>0</v>
      </c>
      <c r="I63" s="378">
        <f>G63*H63</f>
        <v>0</v>
      </c>
      <c r="J63" s="626"/>
      <c r="K63" s="535">
        <f>F63+I63+J63</f>
        <v>0</v>
      </c>
      <c r="L63" s="383"/>
      <c r="M63" s="627"/>
      <c r="N63" s="385"/>
      <c r="O63" s="386"/>
      <c r="P63" s="387"/>
      <c r="Q63" s="388"/>
    </row>
    <row r="64" spans="1:17" ht="15.6" thickBot="1" x14ac:dyDescent="0.3">
      <c r="A64" s="196" t="s">
        <v>328</v>
      </c>
      <c r="B64" s="196" t="s">
        <v>329</v>
      </c>
      <c r="C64" s="376"/>
      <c r="D64" s="377"/>
      <c r="E64" s="259"/>
      <c r="F64" s="378"/>
      <c r="G64" s="534"/>
      <c r="H64" s="380"/>
      <c r="I64" s="378"/>
      <c r="J64" s="626"/>
      <c r="K64" s="535"/>
      <c r="L64" s="383"/>
      <c r="M64" s="627"/>
      <c r="N64" s="385"/>
      <c r="O64" s="386"/>
      <c r="P64" s="387"/>
      <c r="Q64" s="388"/>
    </row>
    <row r="65" spans="1:17" ht="14.4" thickTop="1" thickBot="1" x14ac:dyDescent="0.3">
      <c r="A65" s="475"/>
      <c r="B65" s="156"/>
      <c r="C65" s="476"/>
      <c r="D65" s="477"/>
      <c r="E65" s="637"/>
      <c r="F65" s="479"/>
      <c r="G65" s="638"/>
      <c r="H65" s="637"/>
      <c r="I65" s="479"/>
      <c r="J65" s="481" t="s">
        <v>30</v>
      </c>
      <c r="K65" s="639">
        <f>SUM(K62:K64)</f>
        <v>0</v>
      </c>
      <c r="O65" s="545"/>
      <c r="P65" s="546"/>
      <c r="Q65" s="388"/>
    </row>
    <row r="66" spans="1:17" ht="13.8" thickBot="1" x14ac:dyDescent="0.3">
      <c r="A66" s="618" t="s">
        <v>0</v>
      </c>
      <c r="B66" s="619" t="s">
        <v>1</v>
      </c>
      <c r="C66" s="1018" t="s">
        <v>656</v>
      </c>
      <c r="D66" s="1018"/>
      <c r="E66" s="1018"/>
      <c r="F66" s="1018"/>
      <c r="G66" s="1018" t="s">
        <v>34</v>
      </c>
      <c r="H66" s="1018"/>
      <c r="I66" s="1018"/>
      <c r="J66" s="620"/>
      <c r="K66" s="528"/>
      <c r="L66" s="396"/>
      <c r="M66" s="620"/>
      <c r="N66" s="443"/>
      <c r="O66" s="386"/>
      <c r="P66" s="387"/>
      <c r="Q66" s="388"/>
    </row>
    <row r="67" spans="1:17" ht="13.8" thickBot="1" x14ac:dyDescent="0.3">
      <c r="A67" s="203"/>
      <c r="B67" s="203"/>
      <c r="C67" s="642" t="s">
        <v>19</v>
      </c>
      <c r="D67" s="629" t="s">
        <v>33</v>
      </c>
      <c r="E67" s="630" t="s">
        <v>35</v>
      </c>
      <c r="F67" s="631" t="s">
        <v>30</v>
      </c>
      <c r="G67" s="632" t="s">
        <v>14</v>
      </c>
      <c r="H67" s="630" t="s">
        <v>35</v>
      </c>
      <c r="I67" s="631" t="s">
        <v>30</v>
      </c>
      <c r="J67" s="624" t="s">
        <v>659</v>
      </c>
      <c r="K67" s="633" t="s">
        <v>38</v>
      </c>
      <c r="L67" s="407"/>
      <c r="M67" s="636"/>
      <c r="N67" s="414"/>
      <c r="O67" s="386"/>
      <c r="P67" s="387"/>
      <c r="Q67" s="388"/>
    </row>
    <row r="68" spans="1:17" x14ac:dyDescent="0.25">
      <c r="A68" s="410"/>
      <c r="B68" s="411"/>
      <c r="C68" s="376"/>
      <c r="D68" s="377" t="s">
        <v>21</v>
      </c>
      <c r="E68" s="259">
        <v>0</v>
      </c>
      <c r="F68" s="378">
        <f>C68*E68</f>
        <v>0</v>
      </c>
      <c r="G68" s="534"/>
      <c r="H68" s="380">
        <v>0</v>
      </c>
      <c r="I68" s="378">
        <f>G68*H68</f>
        <v>0</v>
      </c>
      <c r="J68" s="626"/>
      <c r="K68" s="535">
        <f>F68+I68+J68</f>
        <v>0</v>
      </c>
      <c r="M68" s="280"/>
      <c r="N68" s="159"/>
      <c r="O68" s="386"/>
      <c r="P68" s="387"/>
      <c r="Q68" s="388"/>
    </row>
    <row r="69" spans="1:17" x14ac:dyDescent="0.25">
      <c r="A69" s="375"/>
      <c r="B69" s="5"/>
      <c r="C69" s="376"/>
      <c r="D69" s="377" t="s">
        <v>21</v>
      </c>
      <c r="E69" s="259">
        <v>0</v>
      </c>
      <c r="F69" s="378">
        <f>C69*E69</f>
        <v>0</v>
      </c>
      <c r="G69" s="534"/>
      <c r="H69" s="380">
        <v>0</v>
      </c>
      <c r="I69" s="378">
        <f>G69*H69</f>
        <v>0</v>
      </c>
      <c r="J69" s="626"/>
      <c r="K69" s="535">
        <f>F69+I69+J69</f>
        <v>0</v>
      </c>
      <c r="M69" s="280"/>
      <c r="N69" s="159"/>
      <c r="O69" s="386"/>
      <c r="P69" s="387"/>
      <c r="Q69" s="388"/>
    </row>
    <row r="70" spans="1:17" x14ac:dyDescent="0.25">
      <c r="A70" s="375"/>
      <c r="B70" s="5"/>
      <c r="C70" s="376"/>
      <c r="D70" s="377" t="s">
        <v>21</v>
      </c>
      <c r="E70" s="259">
        <v>0</v>
      </c>
      <c r="F70" s="378">
        <f>C70*E70</f>
        <v>0</v>
      </c>
      <c r="G70" s="534"/>
      <c r="H70" s="380">
        <v>0</v>
      </c>
      <c r="I70" s="378">
        <f>G70*H70</f>
        <v>0</v>
      </c>
      <c r="J70" s="626"/>
      <c r="K70" s="535">
        <f>F70+I70+J70</f>
        <v>0</v>
      </c>
      <c r="M70" s="280"/>
      <c r="N70" s="159"/>
      <c r="O70" s="545"/>
      <c r="P70" s="546"/>
      <c r="Q70" s="388"/>
    </row>
    <row r="71" spans="1:17" x14ac:dyDescent="0.25">
      <c r="A71" s="375"/>
      <c r="B71" s="5"/>
      <c r="C71" s="376"/>
      <c r="D71" s="377" t="s">
        <v>21</v>
      </c>
      <c r="E71" s="259">
        <v>0</v>
      </c>
      <c r="F71" s="378">
        <f>C71*E71</f>
        <v>0</v>
      </c>
      <c r="G71" s="534"/>
      <c r="H71" s="380">
        <v>0</v>
      </c>
      <c r="I71" s="378">
        <f>G71*H71</f>
        <v>0</v>
      </c>
      <c r="J71" s="626"/>
      <c r="K71" s="535">
        <f>F71+I71+J71</f>
        <v>0</v>
      </c>
      <c r="M71" s="280"/>
      <c r="N71" s="159"/>
      <c r="O71" s="386"/>
      <c r="P71" s="387"/>
      <c r="Q71" s="388"/>
    </row>
    <row r="72" spans="1:17" ht="13.8" thickBot="1" x14ac:dyDescent="0.3">
      <c r="A72" s="392"/>
      <c r="B72" s="417"/>
      <c r="C72" s="376"/>
      <c r="D72" s="377"/>
      <c r="E72" s="259"/>
      <c r="F72" s="378"/>
      <c r="G72" s="534"/>
      <c r="H72" s="380"/>
      <c r="I72" s="378"/>
      <c r="J72" s="626"/>
      <c r="K72" s="535"/>
      <c r="L72" s="552"/>
      <c r="M72" s="267"/>
      <c r="N72" s="159"/>
      <c r="O72" s="386"/>
      <c r="P72" s="387"/>
      <c r="Q72" s="388"/>
    </row>
    <row r="73" spans="1:17" ht="14.4" thickTop="1" thickBot="1" x14ac:dyDescent="0.3">
      <c r="A73" s="475"/>
      <c r="B73" s="156"/>
      <c r="C73" s="476"/>
      <c r="D73" s="477"/>
      <c r="E73" s="637"/>
      <c r="F73" s="479"/>
      <c r="G73" s="638"/>
      <c r="H73" s="637"/>
      <c r="I73" s="479"/>
      <c r="J73" s="481" t="s">
        <v>30</v>
      </c>
      <c r="K73" s="639">
        <f>SUM(K68:K72)</f>
        <v>0</v>
      </c>
      <c r="L73" s="587"/>
      <c r="M73" s="660"/>
      <c r="N73" s="661"/>
      <c r="O73" s="465"/>
      <c r="P73" s="466"/>
      <c r="Q73" s="467"/>
    </row>
    <row r="74" spans="1:17" ht="14.1" customHeight="1" x14ac:dyDescent="0.25">
      <c r="A74" s="483"/>
      <c r="B74" s="484"/>
      <c r="C74" s="485"/>
      <c r="D74" s="485"/>
      <c r="E74" s="646"/>
      <c r="F74" s="1147" t="s">
        <v>658</v>
      </c>
      <c r="G74" s="1071" t="s">
        <v>684</v>
      </c>
      <c r="H74" s="646"/>
      <c r="I74" s="1144" t="s">
        <v>657</v>
      </c>
      <c r="J74" s="1037" t="s">
        <v>685</v>
      </c>
      <c r="K74" s="1136" t="s">
        <v>31</v>
      </c>
    </row>
    <row r="75" spans="1:17" ht="13.8" x14ac:dyDescent="0.25">
      <c r="A75" s="487" t="s">
        <v>32</v>
      </c>
      <c r="B75" s="1146" t="s">
        <v>45</v>
      </c>
      <c r="C75" s="488"/>
      <c r="D75" s="647"/>
      <c r="E75" s="647"/>
      <c r="F75" s="1148"/>
      <c r="G75" s="1072"/>
      <c r="H75" s="648"/>
      <c r="I75" s="1145"/>
      <c r="J75" s="1038"/>
      <c r="K75" s="1137"/>
    </row>
    <row r="76" spans="1:17" ht="13.8" x14ac:dyDescent="0.25">
      <c r="A76" s="831">
        <f>K77/E6</f>
        <v>0</v>
      </c>
      <c r="B76" s="1146"/>
      <c r="C76" s="647"/>
      <c r="D76" s="647"/>
      <c r="E76" s="647"/>
      <c r="F76" s="1138">
        <f>SUM(F68:F72,F62:F64,F56:F58,F49:F52,F43:F45,F28:F39,F20:F24,F11:F16)</f>
        <v>0</v>
      </c>
      <c r="G76" s="1140">
        <f>SUM(G68:G72,G62:G64,G56:G58,G49:G52,G43:G45,G28:G39,G20:G24,G11:G16)</f>
        <v>32</v>
      </c>
      <c r="H76" s="648"/>
      <c r="I76" s="1138">
        <f>SUM(I68:I72,I62:I64,I56:I58,I49:I52,I43:I45,I28:I39,I20:I24,I11:I16)</f>
        <v>2080</v>
      </c>
      <c r="J76" s="1138">
        <f>SUM(J68:J72,J62:J64,J56:J58,J49:J52,J43:J45,J28:J39,J20:J24,J11:J16)</f>
        <v>8735</v>
      </c>
      <c r="K76" s="1142">
        <f>K73+K65+K59+K53+K46+K40+K25+K17</f>
        <v>10815</v>
      </c>
    </row>
    <row r="77" spans="1:17" ht="14.4" thickBot="1" x14ac:dyDescent="0.3">
      <c r="A77" s="487"/>
      <c r="B77" s="555"/>
      <c r="C77" s="493"/>
      <c r="D77" s="493"/>
      <c r="E77" s="493"/>
      <c r="F77" s="1139"/>
      <c r="G77" s="1141"/>
      <c r="H77" s="493"/>
      <c r="I77" s="1139"/>
      <c r="J77" s="1139"/>
      <c r="K77" s="1143"/>
    </row>
    <row r="78" spans="1:17" ht="13.8" thickBot="1" x14ac:dyDescent="0.3">
      <c r="A78" s="494"/>
      <c r="B78" s="495"/>
      <c r="C78" s="495"/>
      <c r="D78" s="495"/>
      <c r="E78" s="495"/>
      <c r="F78" s="495"/>
      <c r="G78" s="495"/>
      <c r="H78" s="495"/>
      <c r="I78" s="495"/>
      <c r="J78" s="495"/>
      <c r="K78" s="496"/>
    </row>
  </sheetData>
  <mergeCells count="52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41:F41"/>
    <mergeCell ref="G41:I41"/>
    <mergeCell ref="C18:F18"/>
    <mergeCell ref="G18:I18"/>
    <mergeCell ref="C26:F26"/>
    <mergeCell ref="G26:I26"/>
    <mergeCell ref="C47:F47"/>
    <mergeCell ref="G47:I47"/>
    <mergeCell ref="C54:F54"/>
    <mergeCell ref="G54:I54"/>
    <mergeCell ref="F76:F77"/>
    <mergeCell ref="G76:G77"/>
    <mergeCell ref="C60:F60"/>
    <mergeCell ref="G60:I60"/>
    <mergeCell ref="C66:F66"/>
    <mergeCell ref="G66:I66"/>
    <mergeCell ref="F74:F75"/>
    <mergeCell ref="G74:G75"/>
    <mergeCell ref="I74:I75"/>
    <mergeCell ref="J74:J75"/>
    <mergeCell ref="K74:K75"/>
    <mergeCell ref="B75:B76"/>
    <mergeCell ref="I76:I77"/>
    <mergeCell ref="J76:J77"/>
    <mergeCell ref="K76:K77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107"/>
  <sheetViews>
    <sheetView zoomScale="90" zoomScaleNormal="90" zoomScaleSheetLayoutView="90" zoomScalePageLayoutView="90" workbookViewId="0">
      <selection activeCell="J93" sqref="J93"/>
    </sheetView>
  </sheetViews>
  <sheetFormatPr defaultColWidth="9.109375" defaultRowHeight="13.2" x14ac:dyDescent="0.25"/>
  <cols>
    <col min="1" max="1" width="12.109375" style="157" bestFit="1" customWidth="1"/>
    <col min="2" max="2" width="43.44140625" style="157" customWidth="1"/>
    <col min="3" max="3" width="5" style="445" customWidth="1"/>
    <col min="4" max="4" width="5" style="662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109375" style="157" bestFit="1" customWidth="1"/>
    <col min="10" max="10" width="16.109375" style="157" bestFit="1" customWidth="1"/>
    <col min="11" max="11" width="14.10937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70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5" customHeight="1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530" t="s">
        <v>331</v>
      </c>
      <c r="B10" s="530" t="s">
        <v>332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x14ac:dyDescent="0.25">
      <c r="A11" s="375"/>
      <c r="B11" s="5"/>
      <c r="C11" s="376"/>
      <c r="D11" s="377" t="s">
        <v>21</v>
      </c>
      <c r="E11" s="259">
        <v>0</v>
      </c>
      <c r="F11" s="378">
        <f t="shared" ref="F11:F22" si="0">C11*E11</f>
        <v>0</v>
      </c>
      <c r="G11" s="534"/>
      <c r="H11" s="380">
        <v>0</v>
      </c>
      <c r="I11" s="378">
        <f t="shared" ref="I11:I22" si="1">G11*H11</f>
        <v>0</v>
      </c>
      <c r="J11" s="381"/>
      <c r="K11" s="535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x14ac:dyDescent="0.25">
      <c r="A12" s="375"/>
      <c r="B12" s="5"/>
      <c r="C12" s="376"/>
      <c r="D12" s="377" t="s">
        <v>21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381"/>
      <c r="K12" s="535">
        <f t="shared" si="2"/>
        <v>0</v>
      </c>
      <c r="L12" s="383"/>
      <c r="M12" s="384"/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383"/>
      <c r="M13" s="384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89"/>
      <c r="B17" s="5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157"/>
      <c r="M17" s="474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157"/>
      <c r="M18" s="474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157"/>
      <c r="M19" s="474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157"/>
      <c r="M20" s="474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157"/>
      <c r="M21" s="474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157"/>
      <c r="M22" s="474"/>
      <c r="O22" s="386"/>
      <c r="P22" s="387"/>
      <c r="Q22" s="388"/>
    </row>
    <row r="23" spans="1:17" ht="13.8" thickBot="1" x14ac:dyDescent="0.3">
      <c r="A23" s="392"/>
      <c r="B23" s="7"/>
      <c r="C23" s="393"/>
      <c r="D23" s="377"/>
      <c r="E23" s="259"/>
      <c r="F23" s="378"/>
      <c r="G23" s="534"/>
      <c r="H23" s="380"/>
      <c r="I23" s="378"/>
      <c r="J23" s="381"/>
      <c r="K23" s="535"/>
      <c r="L23" s="157"/>
      <c r="M23" s="474"/>
      <c r="O23" s="386"/>
      <c r="P23" s="387"/>
      <c r="Q23" s="388"/>
    </row>
    <row r="24" spans="1:17" ht="13.8" thickTop="1" x14ac:dyDescent="0.25">
      <c r="A24" s="392"/>
      <c r="B24" s="7"/>
      <c r="C24" s="393"/>
      <c r="D24" s="377"/>
      <c r="E24" s="259"/>
      <c r="F24" s="378"/>
      <c r="G24" s="534"/>
      <c r="H24" s="380"/>
      <c r="I24" s="378"/>
      <c r="J24" s="394" t="s">
        <v>30</v>
      </c>
      <c r="K24" s="537">
        <f>SUM(K11:K23)</f>
        <v>0</v>
      </c>
      <c r="L24" s="157"/>
      <c r="M24" s="474"/>
      <c r="O24" s="386"/>
      <c r="P24" s="387"/>
      <c r="Q24" s="388"/>
    </row>
    <row r="25" spans="1:17" ht="13.8" thickBot="1" x14ac:dyDescent="0.3">
      <c r="A25" s="358" t="s">
        <v>0</v>
      </c>
      <c r="B25" s="359" t="s">
        <v>1</v>
      </c>
      <c r="C25" s="1018" t="s">
        <v>656</v>
      </c>
      <c r="D25" s="1018"/>
      <c r="E25" s="1018"/>
      <c r="F25" s="1018"/>
      <c r="G25" s="1018" t="s">
        <v>34</v>
      </c>
      <c r="H25" s="1018"/>
      <c r="I25" s="1018"/>
      <c r="J25" s="360"/>
      <c r="K25" s="528"/>
      <c r="L25" s="396"/>
      <c r="M25" s="397"/>
      <c r="N25" s="398"/>
      <c r="O25" s="386"/>
      <c r="P25" s="387"/>
      <c r="Q25" s="388"/>
    </row>
    <row r="26" spans="1:17" ht="16.2" thickBot="1" x14ac:dyDescent="0.35">
      <c r="A26" s="530" t="s">
        <v>333</v>
      </c>
      <c r="B26" s="530" t="s">
        <v>334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8" t="s">
        <v>14</v>
      </c>
      <c r="H26" s="403" t="s">
        <v>35</v>
      </c>
      <c r="I26" s="404" t="s">
        <v>30</v>
      </c>
      <c r="J26" s="369" t="s">
        <v>659</v>
      </c>
      <c r="K26" s="539" t="s">
        <v>38</v>
      </c>
      <c r="L26" s="407"/>
      <c r="M26" s="408"/>
      <c r="N26" s="409"/>
      <c r="O26" s="386"/>
      <c r="P26" s="387"/>
      <c r="Q26" s="388"/>
    </row>
    <row r="27" spans="1:17" x14ac:dyDescent="0.25">
      <c r="A27" s="410"/>
      <c r="B27" s="411"/>
      <c r="C27" s="376"/>
      <c r="D27" s="377" t="s">
        <v>21</v>
      </c>
      <c r="E27" s="259">
        <v>0</v>
      </c>
      <c r="F27" s="378">
        <f t="shared" ref="F27:F33" si="3">C27*E27</f>
        <v>0</v>
      </c>
      <c r="G27" s="534"/>
      <c r="H27" s="380">
        <v>0</v>
      </c>
      <c r="I27" s="378">
        <f t="shared" ref="I27:I33" si="4">G27*H27</f>
        <v>0</v>
      </c>
      <c r="J27" s="381"/>
      <c r="K27" s="535">
        <f t="shared" ref="K27:K33" si="5">F27+I27+J27</f>
        <v>0</v>
      </c>
      <c r="L27" s="157"/>
      <c r="M27" s="474"/>
      <c r="O27" s="386"/>
      <c r="P27" s="387"/>
      <c r="Q27" s="388"/>
    </row>
    <row r="28" spans="1:17" x14ac:dyDescent="0.25">
      <c r="A28" s="375"/>
      <c r="B28" s="5"/>
      <c r="C28" s="376"/>
      <c r="D28" s="377" t="s">
        <v>21</v>
      </c>
      <c r="E28" s="259">
        <v>0</v>
      </c>
      <c r="F28" s="378">
        <f t="shared" si="3"/>
        <v>0</v>
      </c>
      <c r="G28" s="534"/>
      <c r="H28" s="380">
        <v>0</v>
      </c>
      <c r="I28" s="378">
        <f t="shared" si="4"/>
        <v>0</v>
      </c>
      <c r="J28" s="381"/>
      <c r="K28" s="535">
        <f t="shared" si="5"/>
        <v>0</v>
      </c>
      <c r="O28" s="386"/>
      <c r="P28" s="387"/>
      <c r="Q28" s="388"/>
    </row>
    <row r="29" spans="1:17" x14ac:dyDescent="0.25">
      <c r="A29" s="375"/>
      <c r="B29" s="5"/>
      <c r="C29" s="376"/>
      <c r="D29" s="377" t="s">
        <v>21</v>
      </c>
      <c r="E29" s="259">
        <v>0</v>
      </c>
      <c r="F29" s="378">
        <f t="shared" si="3"/>
        <v>0</v>
      </c>
      <c r="G29" s="534"/>
      <c r="H29" s="380">
        <v>0</v>
      </c>
      <c r="I29" s="378">
        <f t="shared" si="4"/>
        <v>0</v>
      </c>
      <c r="J29" s="381"/>
      <c r="K29" s="535">
        <f t="shared" si="5"/>
        <v>0</v>
      </c>
      <c r="L29" s="383"/>
      <c r="M29" s="384"/>
      <c r="N29" s="385"/>
      <c r="O29" s="386"/>
      <c r="P29" s="387"/>
      <c r="Q29" s="388"/>
    </row>
    <row r="30" spans="1:17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541"/>
      <c r="M31" s="578"/>
      <c r="N31" s="542"/>
      <c r="O31" s="386"/>
      <c r="P31" s="387"/>
      <c r="Q31" s="388"/>
    </row>
    <row r="32" spans="1:17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L32" s="543"/>
      <c r="M32" s="261"/>
      <c r="N32" s="426"/>
      <c r="O32" s="386"/>
      <c r="P32" s="387"/>
      <c r="Q32" s="388"/>
    </row>
    <row r="33" spans="1:17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157"/>
      <c r="M33" s="474"/>
      <c r="O33" s="386"/>
      <c r="P33" s="387"/>
      <c r="Q33" s="388"/>
    </row>
    <row r="34" spans="1:17" ht="13.8" thickBot="1" x14ac:dyDescent="0.3">
      <c r="A34" s="375"/>
      <c r="B34" s="5"/>
      <c r="C34" s="393"/>
      <c r="D34" s="377"/>
      <c r="E34" s="259"/>
      <c r="F34" s="378"/>
      <c r="G34" s="534"/>
      <c r="H34" s="380"/>
      <c r="I34" s="378"/>
      <c r="J34" s="381"/>
      <c r="K34" s="540"/>
      <c r="L34" s="157"/>
      <c r="M34" s="474"/>
      <c r="O34" s="386"/>
      <c r="P34" s="387"/>
      <c r="Q34" s="388"/>
    </row>
    <row r="35" spans="1:17" ht="13.8" thickTop="1" x14ac:dyDescent="0.25">
      <c r="A35" s="392"/>
      <c r="B35" s="5"/>
      <c r="C35" s="393"/>
      <c r="D35" s="377"/>
      <c r="E35" s="259"/>
      <c r="F35" s="378"/>
      <c r="G35" s="534"/>
      <c r="H35" s="380"/>
      <c r="I35" s="378"/>
      <c r="J35" s="394" t="s">
        <v>30</v>
      </c>
      <c r="K35" s="537">
        <f>SUM(K27:K34)</f>
        <v>0</v>
      </c>
      <c r="L35" s="383"/>
      <c r="M35" s="384"/>
      <c r="N35" s="385"/>
      <c r="O35" s="386"/>
      <c r="P35" s="387"/>
      <c r="Q35" s="388"/>
    </row>
    <row r="36" spans="1:17" ht="13.8" thickBot="1" x14ac:dyDescent="0.3">
      <c r="A36" s="358" t="s">
        <v>0</v>
      </c>
      <c r="B36" s="359" t="s">
        <v>1</v>
      </c>
      <c r="C36" s="1018" t="s">
        <v>656</v>
      </c>
      <c r="D36" s="1018"/>
      <c r="E36" s="1018"/>
      <c r="F36" s="1018"/>
      <c r="G36" s="1018" t="s">
        <v>34</v>
      </c>
      <c r="H36" s="1018"/>
      <c r="I36" s="1018"/>
      <c r="J36" s="360"/>
      <c r="K36" s="528"/>
      <c r="L36" s="396"/>
      <c r="M36" s="397"/>
      <c r="N36" s="398"/>
      <c r="O36" s="386"/>
      <c r="P36" s="387"/>
      <c r="Q36" s="388"/>
    </row>
    <row r="37" spans="1:17" ht="15.6" x14ac:dyDescent="0.3">
      <c r="A37" s="530" t="s">
        <v>335</v>
      </c>
      <c r="B37" s="530" t="s">
        <v>336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8" t="s">
        <v>14</v>
      </c>
      <c r="H37" s="403" t="s">
        <v>35</v>
      </c>
      <c r="I37" s="404" t="s">
        <v>30</v>
      </c>
      <c r="J37" s="369" t="s">
        <v>659</v>
      </c>
      <c r="K37" s="539" t="s">
        <v>38</v>
      </c>
      <c r="L37" s="407"/>
      <c r="M37" s="413"/>
      <c r="N37" s="414"/>
      <c r="O37" s="415"/>
      <c r="P37" s="416"/>
      <c r="Q37" s="388"/>
    </row>
    <row r="38" spans="1:17" x14ac:dyDescent="0.25">
      <c r="A38" s="262" t="s">
        <v>337</v>
      </c>
      <c r="B38" s="262" t="s">
        <v>338</v>
      </c>
      <c r="C38" s="376"/>
      <c r="D38" s="377" t="s">
        <v>21</v>
      </c>
      <c r="E38" s="259">
        <v>0</v>
      </c>
      <c r="F38" s="378">
        <f>C38*E38</f>
        <v>0</v>
      </c>
      <c r="G38" s="534"/>
      <c r="H38" s="380">
        <v>0</v>
      </c>
      <c r="I38" s="378">
        <f>G38*H38</f>
        <v>0</v>
      </c>
      <c r="J38" s="381"/>
      <c r="K38" s="535">
        <f>F38+I38+J38</f>
        <v>0</v>
      </c>
      <c r="L38" s="383"/>
      <c r="M38" s="384"/>
      <c r="N38" s="385"/>
      <c r="O38" s="415"/>
      <c r="P38" s="416"/>
      <c r="Q38" s="388"/>
    </row>
    <row r="39" spans="1:17" x14ac:dyDescent="0.25">
      <c r="A39" s="375"/>
      <c r="B39" s="5"/>
      <c r="C39" s="376"/>
      <c r="D39" s="377" t="s">
        <v>21</v>
      </c>
      <c r="E39" s="259">
        <v>0</v>
      </c>
      <c r="F39" s="378">
        <f>C39*E39</f>
        <v>0</v>
      </c>
      <c r="G39" s="534"/>
      <c r="H39" s="380">
        <v>0</v>
      </c>
      <c r="I39" s="378">
        <f>G39*H39</f>
        <v>0</v>
      </c>
      <c r="J39" s="381"/>
      <c r="K39" s="535">
        <f>F39+I39+J39</f>
        <v>0</v>
      </c>
      <c r="L39" s="383"/>
      <c r="M39" s="384"/>
      <c r="N39" s="385"/>
      <c r="O39" s="415"/>
      <c r="P39" s="416"/>
      <c r="Q39" s="388"/>
    </row>
    <row r="40" spans="1:17" x14ac:dyDescent="0.25">
      <c r="A40" s="375"/>
      <c r="B40" s="5"/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L40" s="383"/>
      <c r="M40" s="384"/>
      <c r="N40" s="385"/>
      <c r="O40" s="415"/>
      <c r="P40" s="416"/>
      <c r="Q40" s="388"/>
    </row>
    <row r="41" spans="1:17" x14ac:dyDescent="0.25">
      <c r="A41" s="392"/>
      <c r="B41" s="417"/>
      <c r="C41" s="393"/>
      <c r="D41" s="377"/>
      <c r="E41" s="259"/>
      <c r="F41" s="378"/>
      <c r="G41" s="534"/>
      <c r="H41" s="380"/>
      <c r="I41" s="378"/>
      <c r="J41" s="381"/>
      <c r="K41" s="540"/>
      <c r="L41" s="383"/>
      <c r="M41" s="384"/>
      <c r="N41" s="385"/>
      <c r="O41" s="415"/>
      <c r="P41" s="416"/>
      <c r="Q41" s="388"/>
    </row>
    <row r="42" spans="1:17" ht="13.8" thickBot="1" x14ac:dyDescent="0.3">
      <c r="A42" s="392"/>
      <c r="B42" s="417"/>
      <c r="C42" s="393"/>
      <c r="D42" s="377"/>
      <c r="E42" s="259"/>
      <c r="F42" s="378"/>
      <c r="G42" s="534"/>
      <c r="H42" s="380"/>
      <c r="I42" s="378"/>
      <c r="J42" s="381"/>
      <c r="K42" s="540"/>
      <c r="O42" s="415"/>
      <c r="P42" s="416"/>
      <c r="Q42" s="388"/>
    </row>
    <row r="43" spans="1:17" ht="13.8" thickTop="1" x14ac:dyDescent="0.25">
      <c r="A43" s="392"/>
      <c r="B43" s="417"/>
      <c r="C43" s="393"/>
      <c r="D43" s="377"/>
      <c r="E43" s="259"/>
      <c r="F43" s="378"/>
      <c r="G43" s="534"/>
      <c r="H43" s="380"/>
      <c r="I43" s="378"/>
      <c r="J43" s="394" t="s">
        <v>30</v>
      </c>
      <c r="K43" s="537">
        <f>SUM(K38:K42)</f>
        <v>0</v>
      </c>
      <c r="O43" s="386"/>
      <c r="P43" s="387"/>
      <c r="Q43" s="388"/>
    </row>
    <row r="44" spans="1:17" ht="13.8" thickBot="1" x14ac:dyDescent="0.3">
      <c r="A44" s="358" t="s">
        <v>0</v>
      </c>
      <c r="B44" s="359" t="s">
        <v>1</v>
      </c>
      <c r="C44" s="1018" t="s">
        <v>656</v>
      </c>
      <c r="D44" s="1018"/>
      <c r="E44" s="1018"/>
      <c r="F44" s="1018"/>
      <c r="G44" s="1018" t="s">
        <v>34</v>
      </c>
      <c r="H44" s="1018"/>
      <c r="I44" s="1018"/>
      <c r="J44" s="360"/>
      <c r="K44" s="528"/>
      <c r="L44" s="396"/>
      <c r="M44" s="397"/>
      <c r="N44" s="398"/>
      <c r="O44" s="386"/>
      <c r="P44" s="387"/>
      <c r="Q44" s="388"/>
    </row>
    <row r="45" spans="1:17" ht="15.6" x14ac:dyDescent="0.3">
      <c r="A45" s="530" t="s">
        <v>339</v>
      </c>
      <c r="B45" s="530" t="s">
        <v>340</v>
      </c>
      <c r="C45" s="401" t="s">
        <v>19</v>
      </c>
      <c r="D45" s="402" t="s">
        <v>33</v>
      </c>
      <c r="E45" s="403" t="s">
        <v>35</v>
      </c>
      <c r="F45" s="404" t="s">
        <v>30</v>
      </c>
      <c r="G45" s="538" t="s">
        <v>14</v>
      </c>
      <c r="H45" s="403" t="s">
        <v>35</v>
      </c>
      <c r="I45" s="404" t="s">
        <v>30</v>
      </c>
      <c r="J45" s="369" t="s">
        <v>659</v>
      </c>
      <c r="K45" s="539" t="s">
        <v>38</v>
      </c>
      <c r="L45" s="407"/>
      <c r="M45" s="413"/>
      <c r="N45" s="414"/>
      <c r="O45" s="386"/>
      <c r="P45" s="416"/>
      <c r="Q45" s="388"/>
    </row>
    <row r="46" spans="1:17" x14ac:dyDescent="0.25">
      <c r="A46" s="262" t="s">
        <v>341</v>
      </c>
      <c r="B46" s="262" t="s">
        <v>342</v>
      </c>
      <c r="C46" s="376"/>
      <c r="D46" s="377" t="s">
        <v>21</v>
      </c>
      <c r="E46" s="259">
        <v>0</v>
      </c>
      <c r="F46" s="378">
        <f>C46*E46</f>
        <v>0</v>
      </c>
      <c r="G46" s="534"/>
      <c r="H46" s="380">
        <v>0</v>
      </c>
      <c r="I46" s="378">
        <f>G46*H46</f>
        <v>0</v>
      </c>
      <c r="J46" s="381"/>
      <c r="K46" s="535">
        <f>F46+I46+J46</f>
        <v>0</v>
      </c>
      <c r="L46" s="383"/>
      <c r="M46" s="261"/>
      <c r="N46" s="426"/>
      <c r="O46" s="386"/>
      <c r="P46" s="387"/>
      <c r="Q46" s="388"/>
    </row>
    <row r="47" spans="1:17" x14ac:dyDescent="0.25">
      <c r="A47" s="375"/>
      <c r="B47" s="5"/>
      <c r="C47" s="376"/>
      <c r="D47" s="377" t="s">
        <v>21</v>
      </c>
      <c r="E47" s="259">
        <v>0</v>
      </c>
      <c r="F47" s="378">
        <f>C47*E47</f>
        <v>0</v>
      </c>
      <c r="G47" s="534"/>
      <c r="H47" s="380">
        <v>0</v>
      </c>
      <c r="I47" s="378">
        <f>G47*H47</f>
        <v>0</v>
      </c>
      <c r="J47" s="381"/>
      <c r="K47" s="535">
        <f>F47+I47+J47</f>
        <v>0</v>
      </c>
      <c r="L47" s="383"/>
      <c r="M47" s="261"/>
      <c r="N47" s="426"/>
      <c r="O47" s="386"/>
      <c r="P47" s="387"/>
      <c r="Q47" s="388"/>
    </row>
    <row r="48" spans="1:17" x14ac:dyDescent="0.25">
      <c r="A48" s="375"/>
      <c r="B48" s="5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664"/>
      <c r="M48" s="665"/>
      <c r="N48" s="666"/>
      <c r="O48" s="386"/>
      <c r="P48" s="387"/>
      <c r="Q48" s="388"/>
    </row>
    <row r="49" spans="1:17" x14ac:dyDescent="0.25">
      <c r="A49" s="375"/>
      <c r="B49" s="5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667"/>
      <c r="M49" s="261"/>
      <c r="N49" s="426"/>
      <c r="O49" s="386"/>
      <c r="P49" s="387"/>
      <c r="Q49" s="388"/>
    </row>
    <row r="50" spans="1:17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426"/>
      <c r="O50" s="386"/>
      <c r="P50" s="387"/>
      <c r="Q50" s="388"/>
    </row>
    <row r="51" spans="1:17" ht="13.8" thickBot="1" x14ac:dyDescent="0.3">
      <c r="A51" s="392"/>
      <c r="B51" s="417"/>
      <c r="C51" s="393"/>
      <c r="D51" s="377"/>
      <c r="E51" s="259"/>
      <c r="F51" s="378"/>
      <c r="G51" s="534"/>
      <c r="H51" s="380"/>
      <c r="I51" s="378"/>
      <c r="J51" s="381"/>
      <c r="K51" s="540"/>
      <c r="L51" s="383"/>
      <c r="M51" s="261"/>
      <c r="N51" s="385"/>
      <c r="O51" s="386"/>
      <c r="P51" s="387"/>
      <c r="Q51" s="388"/>
    </row>
    <row r="52" spans="1:17" ht="13.8" thickTop="1" x14ac:dyDescent="0.25">
      <c r="A52" s="392"/>
      <c r="B52" s="417"/>
      <c r="C52" s="393"/>
      <c r="D52" s="377"/>
      <c r="E52" s="259"/>
      <c r="F52" s="378"/>
      <c r="G52" s="534"/>
      <c r="H52" s="380"/>
      <c r="I52" s="378"/>
      <c r="J52" s="394" t="s">
        <v>30</v>
      </c>
      <c r="K52" s="537">
        <f>SUM(K46:K51)</f>
        <v>0</v>
      </c>
      <c r="L52" s="157"/>
      <c r="M52" s="474"/>
      <c r="O52" s="441"/>
      <c r="P52" s="442"/>
      <c r="Q52" s="388"/>
    </row>
    <row r="53" spans="1:17" ht="13.8" thickBot="1" x14ac:dyDescent="0.3">
      <c r="A53" s="358" t="s">
        <v>0</v>
      </c>
      <c r="B53" s="359" t="s">
        <v>1</v>
      </c>
      <c r="C53" s="1018" t="s">
        <v>656</v>
      </c>
      <c r="D53" s="1018"/>
      <c r="E53" s="1018"/>
      <c r="F53" s="1018"/>
      <c r="G53" s="1018" t="s">
        <v>34</v>
      </c>
      <c r="H53" s="1018"/>
      <c r="I53" s="1018"/>
      <c r="J53" s="360"/>
      <c r="K53" s="528"/>
      <c r="L53" s="396"/>
      <c r="M53" s="360"/>
      <c r="N53" s="398"/>
      <c r="O53" s="441"/>
      <c r="P53" s="442"/>
      <c r="Q53" s="388"/>
    </row>
    <row r="54" spans="1:17" ht="15.6" x14ac:dyDescent="0.3">
      <c r="A54" s="530" t="s">
        <v>343</v>
      </c>
      <c r="B54" s="530" t="s">
        <v>344</v>
      </c>
      <c r="C54" s="401" t="s">
        <v>19</v>
      </c>
      <c r="D54" s="402" t="s">
        <v>33</v>
      </c>
      <c r="E54" s="403" t="s">
        <v>35</v>
      </c>
      <c r="F54" s="404" t="s">
        <v>30</v>
      </c>
      <c r="G54" s="538" t="s">
        <v>14</v>
      </c>
      <c r="H54" s="403" t="s">
        <v>35</v>
      </c>
      <c r="I54" s="404" t="s">
        <v>30</v>
      </c>
      <c r="J54" s="369" t="s">
        <v>659</v>
      </c>
      <c r="K54" s="539" t="s">
        <v>38</v>
      </c>
      <c r="L54" s="407"/>
      <c r="M54" s="413"/>
      <c r="N54" s="409"/>
      <c r="O54" s="415"/>
      <c r="P54" s="416"/>
      <c r="Q54" s="388"/>
    </row>
    <row r="55" spans="1:17" x14ac:dyDescent="0.25">
      <c r="A55" s="262" t="s">
        <v>345</v>
      </c>
      <c r="B55" s="262" t="s">
        <v>346</v>
      </c>
      <c r="C55" s="376"/>
      <c r="D55" s="377" t="s">
        <v>21</v>
      </c>
      <c r="E55" s="259">
        <v>0</v>
      </c>
      <c r="F55" s="378">
        <f t="shared" ref="F55:F61" si="6">C55*E55</f>
        <v>0</v>
      </c>
      <c r="G55" s="534"/>
      <c r="H55" s="380">
        <v>0</v>
      </c>
      <c r="I55" s="378">
        <f t="shared" ref="I55:I61" si="7">G55*H55</f>
        <v>0</v>
      </c>
      <c r="J55" s="381"/>
      <c r="K55" s="535">
        <f t="shared" ref="K55:K61" si="8">F55+I55+J55</f>
        <v>0</v>
      </c>
      <c r="O55" s="386"/>
      <c r="P55" s="387"/>
      <c r="Q55" s="388"/>
    </row>
    <row r="56" spans="1:17" x14ac:dyDescent="0.25">
      <c r="A56" s="375"/>
      <c r="B56" s="5"/>
      <c r="C56" s="376"/>
      <c r="D56" s="377" t="s">
        <v>21</v>
      </c>
      <c r="E56" s="259">
        <v>0</v>
      </c>
      <c r="F56" s="378">
        <f t="shared" si="6"/>
        <v>0</v>
      </c>
      <c r="G56" s="534"/>
      <c r="H56" s="380">
        <v>0</v>
      </c>
      <c r="I56" s="378">
        <f t="shared" si="7"/>
        <v>0</v>
      </c>
      <c r="J56" s="381"/>
      <c r="K56" s="535">
        <f t="shared" si="8"/>
        <v>0</v>
      </c>
      <c r="L56" s="383"/>
      <c r="M56" s="261"/>
      <c r="N56" s="385"/>
      <c r="O56" s="386"/>
      <c r="P56" s="387"/>
      <c r="Q56" s="388"/>
    </row>
    <row r="57" spans="1:17" x14ac:dyDescent="0.25">
      <c r="A57" s="375"/>
      <c r="B57" s="5"/>
      <c r="C57" s="376"/>
      <c r="D57" s="377" t="s">
        <v>21</v>
      </c>
      <c r="E57" s="259">
        <v>0</v>
      </c>
      <c r="F57" s="378">
        <f t="shared" si="6"/>
        <v>0</v>
      </c>
      <c r="G57" s="534"/>
      <c r="H57" s="380">
        <v>0</v>
      </c>
      <c r="I57" s="378">
        <f t="shared" si="7"/>
        <v>0</v>
      </c>
      <c r="J57" s="381"/>
      <c r="K57" s="535">
        <f t="shared" si="8"/>
        <v>0</v>
      </c>
      <c r="L57" s="383"/>
      <c r="M57" s="261"/>
      <c r="N57" s="385"/>
      <c r="O57" s="386"/>
      <c r="P57" s="387"/>
      <c r="Q57" s="388"/>
    </row>
    <row r="58" spans="1:17" x14ac:dyDescent="0.25">
      <c r="A58" s="375"/>
      <c r="B58" s="5"/>
      <c r="C58" s="376"/>
      <c r="D58" s="377" t="s">
        <v>21</v>
      </c>
      <c r="E58" s="259">
        <v>0</v>
      </c>
      <c r="F58" s="378">
        <f t="shared" si="6"/>
        <v>0</v>
      </c>
      <c r="G58" s="534"/>
      <c r="H58" s="380">
        <v>0</v>
      </c>
      <c r="I58" s="378">
        <f t="shared" si="7"/>
        <v>0</v>
      </c>
      <c r="J58" s="381"/>
      <c r="K58" s="535">
        <f t="shared" si="8"/>
        <v>0</v>
      </c>
      <c r="L58" s="383"/>
      <c r="M58" s="261"/>
      <c r="N58" s="385"/>
      <c r="O58" s="386"/>
      <c r="P58" s="387"/>
      <c r="Q58" s="388"/>
    </row>
    <row r="59" spans="1:17" x14ac:dyDescent="0.25">
      <c r="A59" s="375"/>
      <c r="B59" s="5"/>
      <c r="C59" s="376"/>
      <c r="D59" s="377" t="s">
        <v>21</v>
      </c>
      <c r="E59" s="259">
        <v>0</v>
      </c>
      <c r="F59" s="378">
        <f t="shared" si="6"/>
        <v>0</v>
      </c>
      <c r="G59" s="534"/>
      <c r="H59" s="380">
        <v>0</v>
      </c>
      <c r="I59" s="378">
        <f t="shared" si="7"/>
        <v>0</v>
      </c>
      <c r="J59" s="381"/>
      <c r="K59" s="535">
        <f t="shared" si="8"/>
        <v>0</v>
      </c>
      <c r="L59" s="664"/>
      <c r="M59" s="261"/>
      <c r="N59" s="666"/>
      <c r="O59" s="386"/>
      <c r="P59" s="387"/>
      <c r="Q59" s="388"/>
    </row>
    <row r="60" spans="1:17" x14ac:dyDescent="0.25">
      <c r="A60" s="375"/>
      <c r="B60" s="5"/>
      <c r="C60" s="376"/>
      <c r="D60" s="377" t="s">
        <v>21</v>
      </c>
      <c r="E60" s="259">
        <v>0</v>
      </c>
      <c r="F60" s="378">
        <f t="shared" si="6"/>
        <v>0</v>
      </c>
      <c r="G60" s="534"/>
      <c r="H60" s="380">
        <v>0</v>
      </c>
      <c r="I60" s="378">
        <f t="shared" si="7"/>
        <v>0</v>
      </c>
      <c r="J60" s="381"/>
      <c r="K60" s="535">
        <f t="shared" si="8"/>
        <v>0</v>
      </c>
      <c r="L60" s="667"/>
      <c r="M60" s="261"/>
      <c r="N60" s="668"/>
      <c r="O60" s="386"/>
      <c r="P60" s="387"/>
      <c r="Q60" s="388"/>
    </row>
    <row r="61" spans="1:17" x14ac:dyDescent="0.25">
      <c r="A61" s="375"/>
      <c r="B61" s="5"/>
      <c r="C61" s="376"/>
      <c r="D61" s="377" t="s">
        <v>21</v>
      </c>
      <c r="E61" s="259">
        <v>0</v>
      </c>
      <c r="F61" s="378">
        <f t="shared" si="6"/>
        <v>0</v>
      </c>
      <c r="G61" s="534"/>
      <c r="H61" s="380">
        <v>0</v>
      </c>
      <c r="I61" s="378">
        <f t="shared" si="7"/>
        <v>0</v>
      </c>
      <c r="J61" s="381"/>
      <c r="K61" s="535">
        <f t="shared" si="8"/>
        <v>0</v>
      </c>
      <c r="L61" s="383"/>
      <c r="M61" s="261"/>
      <c r="N61" s="426"/>
      <c r="O61" s="386"/>
      <c r="P61" s="387"/>
      <c r="Q61" s="388"/>
    </row>
    <row r="62" spans="1:17" ht="13.8" thickBot="1" x14ac:dyDescent="0.3">
      <c r="A62" s="392"/>
      <c r="B62" s="5"/>
      <c r="C62" s="393"/>
      <c r="D62" s="377"/>
      <c r="E62" s="259"/>
      <c r="F62" s="378"/>
      <c r="G62" s="534"/>
      <c r="H62" s="380"/>
      <c r="I62" s="378"/>
      <c r="J62" s="381"/>
      <c r="K62" s="540"/>
      <c r="O62" s="386"/>
      <c r="P62" s="387"/>
      <c r="Q62" s="388"/>
    </row>
    <row r="63" spans="1:17" ht="13.8" thickTop="1" x14ac:dyDescent="0.25">
      <c r="A63" s="392"/>
      <c r="B63" s="417"/>
      <c r="C63" s="393"/>
      <c r="D63" s="377"/>
      <c r="E63" s="259"/>
      <c r="F63" s="378"/>
      <c r="G63" s="534"/>
      <c r="H63" s="380"/>
      <c r="I63" s="378"/>
      <c r="J63" s="394" t="s">
        <v>30</v>
      </c>
      <c r="K63" s="537">
        <f>SUM(K55:K62)</f>
        <v>0</v>
      </c>
      <c r="O63" s="386"/>
      <c r="P63" s="387"/>
      <c r="Q63" s="388"/>
    </row>
    <row r="64" spans="1:17" ht="13.8" thickBot="1" x14ac:dyDescent="0.3">
      <c r="A64" s="358" t="s">
        <v>0</v>
      </c>
      <c r="B64" s="359" t="s">
        <v>1</v>
      </c>
      <c r="C64" s="1018" t="s">
        <v>656</v>
      </c>
      <c r="D64" s="1018"/>
      <c r="E64" s="1018"/>
      <c r="F64" s="1018"/>
      <c r="G64" s="1018" t="s">
        <v>34</v>
      </c>
      <c r="H64" s="1018"/>
      <c r="I64" s="1018"/>
      <c r="J64" s="360"/>
      <c r="K64" s="528"/>
      <c r="L64" s="396"/>
      <c r="M64" s="360"/>
      <c r="N64" s="443"/>
      <c r="O64" s="386"/>
      <c r="P64" s="387"/>
      <c r="Q64" s="388"/>
    </row>
    <row r="65" spans="1:17" ht="16.2" thickBot="1" x14ac:dyDescent="0.35">
      <c r="A65" s="530" t="s">
        <v>347</v>
      </c>
      <c r="B65" s="530" t="s">
        <v>348</v>
      </c>
      <c r="C65" s="401" t="s">
        <v>19</v>
      </c>
      <c r="D65" s="402" t="s">
        <v>33</v>
      </c>
      <c r="E65" s="403" t="s">
        <v>35</v>
      </c>
      <c r="F65" s="404" t="s">
        <v>30</v>
      </c>
      <c r="G65" s="538" t="s">
        <v>14</v>
      </c>
      <c r="H65" s="403" t="s">
        <v>35</v>
      </c>
      <c r="I65" s="404" t="s">
        <v>30</v>
      </c>
      <c r="J65" s="369" t="s">
        <v>659</v>
      </c>
      <c r="K65" s="539" t="s">
        <v>38</v>
      </c>
      <c r="L65" s="407"/>
      <c r="M65" s="413"/>
      <c r="N65" s="414"/>
      <c r="O65" s="386"/>
      <c r="P65" s="387"/>
      <c r="Q65" s="388"/>
    </row>
    <row r="66" spans="1:17" x14ac:dyDescent="0.25">
      <c r="A66" s="410"/>
      <c r="B66" s="411"/>
      <c r="C66" s="376"/>
      <c r="D66" s="377" t="s">
        <v>21</v>
      </c>
      <c r="E66" s="259">
        <v>0</v>
      </c>
      <c r="F66" s="378">
        <f>C66*E66</f>
        <v>0</v>
      </c>
      <c r="G66" s="534"/>
      <c r="H66" s="380">
        <v>0</v>
      </c>
      <c r="I66" s="378">
        <f>G66*H66</f>
        <v>0</v>
      </c>
      <c r="J66" s="381"/>
      <c r="K66" s="535">
        <f>F66+I66+J66</f>
        <v>0</v>
      </c>
      <c r="L66" s="383"/>
      <c r="M66" s="384"/>
      <c r="N66" s="385"/>
      <c r="O66" s="386"/>
      <c r="P66" s="387"/>
      <c r="Q66" s="388"/>
    </row>
    <row r="67" spans="1:17" x14ac:dyDescent="0.25">
      <c r="A67" s="375"/>
      <c r="B67" s="5"/>
      <c r="C67" s="376"/>
      <c r="D67" s="377" t="s">
        <v>21</v>
      </c>
      <c r="E67" s="259">
        <v>0</v>
      </c>
      <c r="F67" s="378">
        <f>C67*E67</f>
        <v>0</v>
      </c>
      <c r="G67" s="534"/>
      <c r="H67" s="380">
        <v>0</v>
      </c>
      <c r="I67" s="378">
        <f>G67*H67</f>
        <v>0</v>
      </c>
      <c r="J67" s="381"/>
      <c r="K67" s="535">
        <f>F67+I67+J67</f>
        <v>0</v>
      </c>
      <c r="L67" s="383"/>
      <c r="M67" s="384"/>
      <c r="N67" s="385"/>
      <c r="O67" s="386"/>
      <c r="P67" s="387"/>
      <c r="Q67" s="388"/>
    </row>
    <row r="68" spans="1:17" x14ac:dyDescent="0.25">
      <c r="A68" s="375"/>
      <c r="B68" s="5"/>
      <c r="C68" s="376"/>
      <c r="D68" s="377" t="s">
        <v>21</v>
      </c>
      <c r="E68" s="259">
        <v>0</v>
      </c>
      <c r="F68" s="378">
        <f>C68*E68</f>
        <v>0</v>
      </c>
      <c r="G68" s="534"/>
      <c r="H68" s="380">
        <v>0</v>
      </c>
      <c r="I68" s="378">
        <f>G68*H68</f>
        <v>0</v>
      </c>
      <c r="J68" s="381"/>
      <c r="K68" s="535">
        <f>F68+I68+J68</f>
        <v>0</v>
      </c>
      <c r="L68" s="383"/>
      <c r="M68" s="384"/>
      <c r="N68" s="385"/>
      <c r="O68" s="386"/>
      <c r="P68" s="387"/>
      <c r="Q68" s="388"/>
    </row>
    <row r="69" spans="1:17" x14ac:dyDescent="0.25">
      <c r="A69" s="375"/>
      <c r="B69" s="5"/>
      <c r="C69" s="376"/>
      <c r="D69" s="377" t="s">
        <v>21</v>
      </c>
      <c r="E69" s="259">
        <v>0</v>
      </c>
      <c r="F69" s="378">
        <f>C69*E69</f>
        <v>0</v>
      </c>
      <c r="G69" s="534"/>
      <c r="H69" s="380">
        <v>0</v>
      </c>
      <c r="I69" s="378">
        <f>G69*H69</f>
        <v>0</v>
      </c>
      <c r="J69" s="381"/>
      <c r="K69" s="535">
        <f>F69+I69+J69</f>
        <v>0</v>
      </c>
      <c r="O69" s="386"/>
      <c r="P69" s="387"/>
      <c r="Q69" s="388"/>
    </row>
    <row r="70" spans="1:17" x14ac:dyDescent="0.25">
      <c r="A70" s="375"/>
      <c r="B70" s="5"/>
      <c r="C70" s="376"/>
      <c r="D70" s="377" t="s">
        <v>21</v>
      </c>
      <c r="E70" s="259">
        <v>0</v>
      </c>
      <c r="F70" s="378">
        <f>C70*E70</f>
        <v>0</v>
      </c>
      <c r="G70" s="534"/>
      <c r="H70" s="380">
        <v>0</v>
      </c>
      <c r="I70" s="378">
        <f>G70*H70</f>
        <v>0</v>
      </c>
      <c r="J70" s="381"/>
      <c r="K70" s="535">
        <f>F70+I70+J70</f>
        <v>0</v>
      </c>
      <c r="O70" s="386"/>
      <c r="P70" s="387"/>
      <c r="Q70" s="388"/>
    </row>
    <row r="71" spans="1:17" ht="13.8" thickBot="1" x14ac:dyDescent="0.3">
      <c r="A71" s="392"/>
      <c r="B71" s="5"/>
      <c r="C71" s="393"/>
      <c r="D71" s="377"/>
      <c r="E71" s="259"/>
      <c r="F71" s="378"/>
      <c r="G71" s="534"/>
      <c r="H71" s="380"/>
      <c r="I71" s="378"/>
      <c r="J71" s="381"/>
      <c r="K71" s="540"/>
      <c r="O71" s="386"/>
      <c r="P71" s="387"/>
      <c r="Q71" s="388"/>
    </row>
    <row r="72" spans="1:17" ht="13.8" thickTop="1" x14ac:dyDescent="0.25">
      <c r="A72" s="392"/>
      <c r="B72" s="417"/>
      <c r="C72" s="393"/>
      <c r="D72" s="377"/>
      <c r="E72" s="259"/>
      <c r="F72" s="378"/>
      <c r="G72" s="534"/>
      <c r="H72" s="380"/>
      <c r="I72" s="378"/>
      <c r="J72" s="394" t="s">
        <v>30</v>
      </c>
      <c r="K72" s="537">
        <f>SUM(K66:K71)</f>
        <v>0</v>
      </c>
      <c r="O72" s="386"/>
      <c r="P72" s="387"/>
      <c r="Q72" s="388"/>
    </row>
    <row r="73" spans="1:17" ht="13.8" thickBot="1" x14ac:dyDescent="0.3">
      <c r="A73" s="358" t="s">
        <v>0</v>
      </c>
      <c r="B73" s="359" t="s">
        <v>1</v>
      </c>
      <c r="C73" s="1018" t="s">
        <v>656</v>
      </c>
      <c r="D73" s="1018"/>
      <c r="E73" s="1018"/>
      <c r="F73" s="1018"/>
      <c r="G73" s="1018" t="s">
        <v>34</v>
      </c>
      <c r="H73" s="1018"/>
      <c r="I73" s="1018"/>
      <c r="J73" s="360"/>
      <c r="K73" s="528"/>
      <c r="L73" s="396"/>
      <c r="M73" s="397"/>
      <c r="N73" s="398"/>
      <c r="O73" s="386"/>
      <c r="P73" s="387"/>
      <c r="Q73" s="388"/>
    </row>
    <row r="74" spans="1:17" ht="16.2" thickBot="1" x14ac:dyDescent="0.35">
      <c r="A74" s="530" t="s">
        <v>349</v>
      </c>
      <c r="B74" s="530" t="s">
        <v>350</v>
      </c>
      <c r="C74" s="401" t="s">
        <v>19</v>
      </c>
      <c r="D74" s="402" t="s">
        <v>33</v>
      </c>
      <c r="E74" s="403" t="s">
        <v>35</v>
      </c>
      <c r="F74" s="404" t="s">
        <v>30</v>
      </c>
      <c r="G74" s="538" t="s">
        <v>14</v>
      </c>
      <c r="H74" s="403" t="s">
        <v>35</v>
      </c>
      <c r="I74" s="404" t="s">
        <v>30</v>
      </c>
      <c r="J74" s="369" t="s">
        <v>659</v>
      </c>
      <c r="K74" s="539" t="s">
        <v>38</v>
      </c>
      <c r="L74" s="407"/>
      <c r="M74" s="408"/>
      <c r="N74" s="409"/>
      <c r="O74" s="386"/>
      <c r="P74" s="387"/>
      <c r="Q74" s="388"/>
    </row>
    <row r="75" spans="1:17" x14ac:dyDescent="0.25">
      <c r="A75" s="410"/>
      <c r="B75" s="411"/>
      <c r="C75" s="376"/>
      <c r="D75" s="377" t="s">
        <v>21</v>
      </c>
      <c r="E75" s="259">
        <v>0</v>
      </c>
      <c r="F75" s="378">
        <f>C75*E75</f>
        <v>0</v>
      </c>
      <c r="G75" s="534"/>
      <c r="H75" s="380">
        <v>0</v>
      </c>
      <c r="I75" s="378">
        <f>G75*H75</f>
        <v>0</v>
      </c>
      <c r="J75" s="381"/>
      <c r="K75" s="535">
        <f>F75+I75+J75</f>
        <v>0</v>
      </c>
      <c r="L75" s="383"/>
      <c r="M75" s="384"/>
      <c r="N75" s="385"/>
      <c r="O75" s="386"/>
      <c r="P75" s="387"/>
      <c r="Q75" s="388"/>
    </row>
    <row r="76" spans="1:17" x14ac:dyDescent="0.25">
      <c r="A76" s="375"/>
      <c r="B76" s="5"/>
      <c r="C76" s="376"/>
      <c r="D76" s="377" t="s">
        <v>21</v>
      </c>
      <c r="E76" s="259">
        <v>0</v>
      </c>
      <c r="F76" s="378">
        <f>C76*E76</f>
        <v>0</v>
      </c>
      <c r="G76" s="534"/>
      <c r="H76" s="380">
        <v>0</v>
      </c>
      <c r="I76" s="378">
        <f>G76*H76</f>
        <v>0</v>
      </c>
      <c r="J76" s="381"/>
      <c r="K76" s="535">
        <f>F76+I76+J76</f>
        <v>0</v>
      </c>
      <c r="L76" s="664"/>
      <c r="M76" s="665"/>
      <c r="N76" s="666"/>
      <c r="O76" s="386"/>
      <c r="P76" s="387"/>
      <c r="Q76" s="388"/>
    </row>
    <row r="77" spans="1:17" x14ac:dyDescent="0.25">
      <c r="A77" s="375"/>
      <c r="B77" s="5"/>
      <c r="C77" s="376"/>
      <c r="D77" s="377" t="s">
        <v>21</v>
      </c>
      <c r="E77" s="259">
        <v>0</v>
      </c>
      <c r="F77" s="378">
        <f>C77*E77</f>
        <v>0</v>
      </c>
      <c r="G77" s="534"/>
      <c r="H77" s="380">
        <v>0</v>
      </c>
      <c r="I77" s="378">
        <f>G77*H77</f>
        <v>0</v>
      </c>
      <c r="J77" s="381"/>
      <c r="K77" s="535">
        <f>F77+I77+J77</f>
        <v>0</v>
      </c>
      <c r="L77" s="667"/>
      <c r="M77" s="669"/>
      <c r="N77" s="668"/>
      <c r="O77" s="386"/>
      <c r="P77" s="387"/>
      <c r="Q77" s="388"/>
    </row>
    <row r="78" spans="1:17" ht="13.8" thickBot="1" x14ac:dyDescent="0.3">
      <c r="A78" s="392"/>
      <c r="B78" s="5"/>
      <c r="C78" s="393"/>
      <c r="D78" s="377"/>
      <c r="E78" s="259"/>
      <c r="F78" s="378"/>
      <c r="G78" s="534"/>
      <c r="H78" s="380"/>
      <c r="I78" s="378"/>
      <c r="J78" s="381"/>
      <c r="K78" s="540"/>
      <c r="L78" s="383"/>
      <c r="M78" s="384"/>
      <c r="N78" s="385"/>
      <c r="O78" s="386"/>
      <c r="P78" s="387"/>
      <c r="Q78" s="388"/>
    </row>
    <row r="79" spans="1:17" ht="13.8" thickTop="1" x14ac:dyDescent="0.25">
      <c r="A79" s="392"/>
      <c r="C79" s="393"/>
      <c r="D79" s="377"/>
      <c r="E79" s="259"/>
      <c r="F79" s="378"/>
      <c r="G79" s="534"/>
      <c r="H79" s="380"/>
      <c r="I79" s="378"/>
      <c r="J79" s="394" t="s">
        <v>30</v>
      </c>
      <c r="K79" s="537">
        <f>SUM(K75:K78)</f>
        <v>0</v>
      </c>
      <c r="L79" s="383"/>
      <c r="M79" s="384"/>
      <c r="N79" s="385"/>
      <c r="O79" s="386"/>
      <c r="P79" s="387"/>
      <c r="Q79" s="388"/>
    </row>
    <row r="80" spans="1:17" ht="13.8" thickBot="1" x14ac:dyDescent="0.3">
      <c r="A80" s="358" t="s">
        <v>0</v>
      </c>
      <c r="B80" s="359" t="s">
        <v>1</v>
      </c>
      <c r="C80" s="1018" t="s">
        <v>656</v>
      </c>
      <c r="D80" s="1018"/>
      <c r="E80" s="1018"/>
      <c r="F80" s="1018"/>
      <c r="G80" s="1018" t="s">
        <v>34</v>
      </c>
      <c r="H80" s="1018"/>
      <c r="I80" s="1018"/>
      <c r="J80" s="360"/>
      <c r="K80" s="528"/>
      <c r="L80" s="396"/>
      <c r="M80" s="397"/>
      <c r="N80" s="398"/>
      <c r="O80" s="386"/>
      <c r="P80" s="387"/>
      <c r="Q80" s="388"/>
    </row>
    <row r="81" spans="1:17" ht="16.2" thickBot="1" x14ac:dyDescent="0.35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8" t="s">
        <v>14</v>
      </c>
      <c r="H81" s="403" t="s">
        <v>35</v>
      </c>
      <c r="I81" s="404" t="s">
        <v>30</v>
      </c>
      <c r="J81" s="369" t="s">
        <v>659</v>
      </c>
      <c r="K81" s="539" t="s">
        <v>38</v>
      </c>
      <c r="L81" s="407"/>
      <c r="M81" s="408"/>
      <c r="N81" s="409"/>
      <c r="O81" s="386"/>
      <c r="P81" s="387"/>
      <c r="Q81" s="388"/>
    </row>
    <row r="82" spans="1:17" x14ac:dyDescent="0.25">
      <c r="A82" s="410"/>
      <c r="B82" s="411"/>
      <c r="C82" s="376"/>
      <c r="D82" s="377" t="s">
        <v>21</v>
      </c>
      <c r="E82" s="259">
        <v>0</v>
      </c>
      <c r="F82" s="378">
        <f>C82*E82</f>
        <v>0</v>
      </c>
      <c r="G82" s="534"/>
      <c r="H82" s="380">
        <v>0</v>
      </c>
      <c r="I82" s="378">
        <f>G82*H82</f>
        <v>0</v>
      </c>
      <c r="J82" s="381"/>
      <c r="K82" s="535">
        <f>F82+I82+J82</f>
        <v>0</v>
      </c>
      <c r="O82" s="386"/>
      <c r="P82" s="387"/>
      <c r="Q82" s="388"/>
    </row>
    <row r="83" spans="1:17" x14ac:dyDescent="0.25">
      <c r="A83" s="375"/>
      <c r="B83" s="5"/>
      <c r="C83" s="376"/>
      <c r="D83" s="377" t="s">
        <v>21</v>
      </c>
      <c r="E83" s="259">
        <v>0</v>
      </c>
      <c r="F83" s="378">
        <f>C83*E83</f>
        <v>0</v>
      </c>
      <c r="G83" s="534"/>
      <c r="H83" s="380">
        <v>0</v>
      </c>
      <c r="I83" s="378">
        <f>G83*H83</f>
        <v>0</v>
      </c>
      <c r="J83" s="381"/>
      <c r="K83" s="535">
        <f>F83+I83+J83</f>
        <v>0</v>
      </c>
      <c r="O83" s="386"/>
      <c r="P83" s="387"/>
      <c r="Q83" s="388"/>
    </row>
    <row r="84" spans="1:17" x14ac:dyDescent="0.25">
      <c r="A84" s="375"/>
      <c r="B84" s="159"/>
      <c r="C84" s="376"/>
      <c r="D84" s="377" t="s">
        <v>21</v>
      </c>
      <c r="E84" s="259">
        <v>0</v>
      </c>
      <c r="F84" s="378">
        <f>C84*E84</f>
        <v>0</v>
      </c>
      <c r="G84" s="534"/>
      <c r="H84" s="380">
        <v>0</v>
      </c>
      <c r="I84" s="378">
        <f>G84*H84</f>
        <v>0</v>
      </c>
      <c r="J84" s="381"/>
      <c r="K84" s="535">
        <f>F84+I84+J84</f>
        <v>0</v>
      </c>
      <c r="O84" s="386"/>
      <c r="P84" s="387"/>
      <c r="Q84" s="388"/>
    </row>
    <row r="85" spans="1:17" x14ac:dyDescent="0.25">
      <c r="A85" s="375"/>
      <c r="B85" s="5"/>
      <c r="C85" s="376"/>
      <c r="D85" s="377" t="s">
        <v>21</v>
      </c>
      <c r="E85" s="259">
        <v>0</v>
      </c>
      <c r="F85" s="378">
        <f>C85*E85</f>
        <v>0</v>
      </c>
      <c r="G85" s="534"/>
      <c r="H85" s="380">
        <v>0</v>
      </c>
      <c r="I85" s="378">
        <f>G85*H85</f>
        <v>0</v>
      </c>
      <c r="J85" s="381"/>
      <c r="K85" s="535">
        <f>F85+I85+J85</f>
        <v>0</v>
      </c>
      <c r="L85" s="383"/>
      <c r="M85" s="384"/>
      <c r="N85" s="385"/>
      <c r="O85" s="386"/>
      <c r="P85" s="387"/>
      <c r="Q85" s="388"/>
    </row>
    <row r="86" spans="1:17" x14ac:dyDescent="0.25">
      <c r="A86" s="375"/>
      <c r="B86" s="5"/>
      <c r="C86" s="376"/>
      <c r="D86" s="377" t="s">
        <v>21</v>
      </c>
      <c r="E86" s="259">
        <v>0</v>
      </c>
      <c r="F86" s="378">
        <f>C86*E86</f>
        <v>0</v>
      </c>
      <c r="G86" s="534"/>
      <c r="H86" s="380">
        <v>0</v>
      </c>
      <c r="I86" s="378">
        <f>G86*H86</f>
        <v>0</v>
      </c>
      <c r="J86" s="381"/>
      <c r="K86" s="535">
        <f>F86+I86+J86</f>
        <v>0</v>
      </c>
      <c r="L86" s="383"/>
      <c r="M86" s="384"/>
      <c r="N86" s="385"/>
      <c r="O86" s="386"/>
      <c r="P86" s="387"/>
      <c r="Q86" s="388"/>
    </row>
    <row r="87" spans="1:17" ht="13.8" thickBot="1" x14ac:dyDescent="0.3">
      <c r="A87" s="392"/>
      <c r="B87" s="5"/>
      <c r="C87" s="393"/>
      <c r="D87" s="377"/>
      <c r="E87" s="259"/>
      <c r="F87" s="378"/>
      <c r="G87" s="534"/>
      <c r="H87" s="380"/>
      <c r="I87" s="378"/>
      <c r="J87" s="381"/>
      <c r="K87" s="540"/>
      <c r="L87" s="383"/>
      <c r="M87" s="384"/>
      <c r="N87" s="385"/>
      <c r="O87" s="386"/>
      <c r="P87" s="387"/>
      <c r="Q87" s="388"/>
    </row>
    <row r="88" spans="1:17" ht="13.8" thickTop="1" x14ac:dyDescent="0.25">
      <c r="A88" s="392"/>
      <c r="B88" s="417"/>
      <c r="C88" s="393"/>
      <c r="D88" s="377"/>
      <c r="E88" s="259"/>
      <c r="F88" s="378"/>
      <c r="G88" s="534"/>
      <c r="H88" s="380"/>
      <c r="I88" s="378"/>
      <c r="J88" s="394" t="s">
        <v>30</v>
      </c>
      <c r="K88" s="537">
        <f>SUM(K82:K87)</f>
        <v>0</v>
      </c>
      <c r="O88" s="386"/>
      <c r="P88" s="387"/>
      <c r="Q88" s="388"/>
    </row>
    <row r="89" spans="1:17" ht="13.8" thickBot="1" x14ac:dyDescent="0.3">
      <c r="A89" s="358" t="s">
        <v>0</v>
      </c>
      <c r="B89" s="359" t="s">
        <v>1</v>
      </c>
      <c r="C89" s="1018" t="s">
        <v>656</v>
      </c>
      <c r="D89" s="1018"/>
      <c r="E89" s="1018"/>
      <c r="F89" s="1018"/>
      <c r="G89" s="1018" t="s">
        <v>34</v>
      </c>
      <c r="H89" s="1018"/>
      <c r="I89" s="1018"/>
      <c r="J89" s="360"/>
      <c r="K89" s="528"/>
      <c r="L89" s="396"/>
      <c r="M89" s="397"/>
      <c r="N89" s="398"/>
      <c r="O89" s="386"/>
      <c r="P89" s="387"/>
      <c r="Q89" s="388"/>
    </row>
    <row r="90" spans="1:17" ht="16.2" thickBot="1" x14ac:dyDescent="0.35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8" t="s">
        <v>14</v>
      </c>
      <c r="H90" s="403" t="s">
        <v>35</v>
      </c>
      <c r="I90" s="404" t="s">
        <v>30</v>
      </c>
      <c r="J90" s="369" t="s">
        <v>659</v>
      </c>
      <c r="K90" s="539" t="s">
        <v>38</v>
      </c>
      <c r="L90" s="407"/>
      <c r="M90" s="408"/>
      <c r="N90" s="409"/>
      <c r="O90" s="386"/>
      <c r="P90" s="387"/>
      <c r="Q90" s="388"/>
    </row>
    <row r="91" spans="1:17" x14ac:dyDescent="0.25">
      <c r="A91" s="410"/>
      <c r="B91" s="411"/>
      <c r="C91" s="376"/>
      <c r="D91" s="377" t="s">
        <v>21</v>
      </c>
      <c r="E91" s="259">
        <v>0</v>
      </c>
      <c r="F91" s="378">
        <f>C91*E91</f>
        <v>0</v>
      </c>
      <c r="G91" s="534"/>
      <c r="H91" s="380">
        <v>0</v>
      </c>
      <c r="I91" s="378">
        <f>G91*H91</f>
        <v>0</v>
      </c>
      <c r="J91" s="381"/>
      <c r="K91" s="535">
        <f>F91+I91+J91</f>
        <v>0</v>
      </c>
      <c r="L91" s="383"/>
      <c r="M91" s="384"/>
      <c r="N91" s="385"/>
      <c r="O91" s="386"/>
      <c r="P91" s="387"/>
      <c r="Q91" s="388"/>
    </row>
    <row r="92" spans="1:17" x14ac:dyDescent="0.25">
      <c r="A92" s="375"/>
      <c r="B92" s="5"/>
      <c r="C92" s="376"/>
      <c r="D92" s="377" t="s">
        <v>21</v>
      </c>
      <c r="E92" s="259">
        <v>0</v>
      </c>
      <c r="F92" s="378">
        <f>C92*E92</f>
        <v>0</v>
      </c>
      <c r="G92" s="534"/>
      <c r="H92" s="380">
        <v>0</v>
      </c>
      <c r="I92" s="378">
        <f>G92*H92</f>
        <v>0</v>
      </c>
      <c r="J92" s="381"/>
      <c r="K92" s="535">
        <f>F92+I92+J92</f>
        <v>0</v>
      </c>
      <c r="L92" s="670"/>
      <c r="M92" s="671"/>
      <c r="N92" s="672"/>
      <c r="O92" s="386"/>
      <c r="P92" s="387"/>
      <c r="Q92" s="388"/>
    </row>
    <row r="93" spans="1:17" x14ac:dyDescent="0.25">
      <c r="A93" s="375"/>
      <c r="B93" s="5"/>
      <c r="C93" s="376"/>
      <c r="D93" s="377" t="s">
        <v>21</v>
      </c>
      <c r="E93" s="259">
        <v>0</v>
      </c>
      <c r="F93" s="378">
        <f>C93*E93</f>
        <v>0</v>
      </c>
      <c r="G93" s="534"/>
      <c r="H93" s="380">
        <v>0</v>
      </c>
      <c r="I93" s="378">
        <f>G93*H93</f>
        <v>0</v>
      </c>
      <c r="J93" s="381"/>
      <c r="K93" s="535">
        <f>F93+I93+J93</f>
        <v>0</v>
      </c>
      <c r="L93" s="670"/>
      <c r="M93" s="671"/>
      <c r="N93" s="673"/>
      <c r="O93" s="386"/>
      <c r="P93" s="387"/>
      <c r="Q93" s="388"/>
    </row>
    <row r="94" spans="1:17" x14ac:dyDescent="0.25">
      <c r="A94" s="375"/>
      <c r="B94" s="5"/>
      <c r="C94" s="376"/>
      <c r="D94" s="377" t="s">
        <v>21</v>
      </c>
      <c r="E94" s="259">
        <v>0</v>
      </c>
      <c r="F94" s="378">
        <f>C94*E94</f>
        <v>0</v>
      </c>
      <c r="G94" s="534"/>
      <c r="H94" s="380">
        <v>0</v>
      </c>
      <c r="I94" s="378">
        <f>G94*H94</f>
        <v>0</v>
      </c>
      <c r="J94" s="381"/>
      <c r="K94" s="535">
        <f>F94+I94+J94</f>
        <v>0</v>
      </c>
      <c r="L94" s="670"/>
      <c r="M94" s="671"/>
      <c r="N94" s="673"/>
      <c r="O94" s="386"/>
      <c r="P94" s="387"/>
      <c r="Q94" s="388"/>
    </row>
    <row r="95" spans="1:17" ht="13.8" thickBot="1" x14ac:dyDescent="0.3">
      <c r="A95" s="392"/>
      <c r="B95" s="417"/>
      <c r="C95" s="376"/>
      <c r="D95" s="377"/>
      <c r="E95" s="259"/>
      <c r="F95" s="378"/>
      <c r="G95" s="534"/>
      <c r="H95" s="380"/>
      <c r="I95" s="378"/>
      <c r="J95" s="381"/>
      <c r="K95" s="535"/>
      <c r="L95" s="670"/>
      <c r="M95" s="671"/>
      <c r="N95" s="673"/>
      <c r="O95" s="386"/>
      <c r="P95" s="387"/>
      <c r="Q95" s="388"/>
    </row>
    <row r="96" spans="1:17" ht="14.4" thickTop="1" thickBot="1" x14ac:dyDescent="0.3">
      <c r="A96" s="475"/>
      <c r="B96" s="156"/>
      <c r="C96" s="476"/>
      <c r="D96" s="477"/>
      <c r="E96" s="478"/>
      <c r="F96" s="479"/>
      <c r="G96" s="638"/>
      <c r="H96" s="478"/>
      <c r="I96" s="479"/>
      <c r="J96" s="481" t="s">
        <v>30</v>
      </c>
      <c r="K96" s="639">
        <f>SUM(K91:K95)</f>
        <v>0</v>
      </c>
      <c r="L96" s="670"/>
      <c r="M96" s="671"/>
      <c r="N96" s="673"/>
      <c r="O96" s="386"/>
      <c r="P96" s="387"/>
      <c r="Q96" s="388"/>
    </row>
    <row r="97" spans="1:17" ht="14.1" customHeight="1" thickBot="1" x14ac:dyDescent="0.3">
      <c r="A97" s="483"/>
      <c r="B97" s="484"/>
      <c r="C97" s="485"/>
      <c r="D97" s="485"/>
      <c r="E97" s="486"/>
      <c r="F97" s="1048" t="s">
        <v>658</v>
      </c>
      <c r="G97" s="1071" t="s">
        <v>684</v>
      </c>
      <c r="H97" s="486"/>
      <c r="I97" s="1041" t="s">
        <v>657</v>
      </c>
      <c r="J97" s="1037" t="s">
        <v>685</v>
      </c>
      <c r="K97" s="1035" t="s">
        <v>31</v>
      </c>
      <c r="L97" s="674"/>
      <c r="M97" s="675"/>
      <c r="N97" s="676"/>
      <c r="O97" s="465"/>
      <c r="P97" s="466"/>
      <c r="Q97" s="467"/>
    </row>
    <row r="98" spans="1:17" ht="14.4" thickTop="1" x14ac:dyDescent="0.25">
      <c r="A98" s="487" t="s">
        <v>32</v>
      </c>
      <c r="B98" s="1043" t="s">
        <v>663</v>
      </c>
      <c r="C98" s="488"/>
      <c r="D98" s="489"/>
      <c r="E98" s="489"/>
      <c r="F98" s="1049"/>
      <c r="G98" s="1072"/>
      <c r="H98" s="490"/>
      <c r="I98" s="1042"/>
      <c r="J98" s="1038"/>
      <c r="K98" s="1036"/>
      <c r="M98" s="261"/>
    </row>
    <row r="99" spans="1:17" ht="13.8" x14ac:dyDescent="0.25">
      <c r="A99" s="829">
        <f>K99/E6</f>
        <v>0</v>
      </c>
      <c r="B99" s="1043"/>
      <c r="C99" s="489"/>
      <c r="D99" s="489"/>
      <c r="E99" s="489"/>
      <c r="F99" s="1031">
        <f>SUM(F91:F95,F82:F87,F75:F78,F66:F71,F55:F61,F46:F51,F38:F42,F27:F34,F11:F23)</f>
        <v>0</v>
      </c>
      <c r="G99" s="1076">
        <f>SUM(G91:G95,G82:G87,G75:G78,G66:G71,G55:G61,G46:G51,G38:G42,G27:G34,G11:G23)</f>
        <v>0</v>
      </c>
      <c r="H99" s="490"/>
      <c r="I99" s="1031">
        <f>SUM(I91:I95,I82:I87,I75:I78,I66:I71,I55:I61,I46:I51,I38:I42,I27:I34,I11:I23)</f>
        <v>0</v>
      </c>
      <c r="J99" s="1031">
        <f>SUM(J91:J95,J82:J87,J75:J78,J66:J71,J55:J61,J46:J51,J38:J42,J27:J34,J11:J23)</f>
        <v>0</v>
      </c>
      <c r="K99" s="1033">
        <f>SUM(K96,K88,K79,K72,K63,K52,K43,K35,K24)</f>
        <v>0</v>
      </c>
      <c r="M99" s="261"/>
    </row>
    <row r="100" spans="1:17" ht="14.4" thickBot="1" x14ac:dyDescent="0.3">
      <c r="A100" s="487"/>
      <c r="B100" s="555"/>
      <c r="C100" s="493"/>
      <c r="D100" s="493"/>
      <c r="E100" s="493"/>
      <c r="F100" s="1032"/>
      <c r="G100" s="1077"/>
      <c r="H100" s="493"/>
      <c r="I100" s="1032"/>
      <c r="J100" s="1032"/>
      <c r="K100" s="1040"/>
      <c r="L100" s="552"/>
      <c r="M100" s="261"/>
    </row>
    <row r="101" spans="1:17" ht="13.8" thickBot="1" x14ac:dyDescent="0.3">
      <c r="A101" s="494"/>
      <c r="B101" s="495"/>
      <c r="C101" s="495"/>
      <c r="D101" s="495"/>
      <c r="E101" s="495"/>
      <c r="F101" s="495"/>
      <c r="G101" s="495"/>
      <c r="H101" s="495"/>
      <c r="I101" s="495"/>
      <c r="J101" s="495"/>
      <c r="K101" s="495"/>
      <c r="L101" s="552"/>
      <c r="M101" s="261"/>
    </row>
    <row r="102" spans="1:17" x14ac:dyDescent="0.25">
      <c r="M102" s="261"/>
    </row>
    <row r="103" spans="1:17" x14ac:dyDescent="0.25">
      <c r="M103" s="261"/>
    </row>
    <row r="104" spans="1:17" x14ac:dyDescent="0.25">
      <c r="M104" s="261"/>
    </row>
    <row r="105" spans="1:17" x14ac:dyDescent="0.25">
      <c r="M105" s="261"/>
    </row>
    <row r="106" spans="1:17" x14ac:dyDescent="0.25">
      <c r="M106" s="261"/>
    </row>
    <row r="107" spans="1:17" x14ac:dyDescent="0.25">
      <c r="M107" s="261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2"/>
  <sheetViews>
    <sheetView zoomScale="90" zoomScaleSheetLayoutView="90" workbookViewId="0">
      <selection activeCell="J93" sqref="J93"/>
    </sheetView>
  </sheetViews>
  <sheetFormatPr defaultColWidth="9.109375" defaultRowHeight="13.2" x14ac:dyDescent="0.25"/>
  <cols>
    <col min="1" max="1" width="12.88671875" style="157" bestFit="1" customWidth="1"/>
    <col min="2" max="2" width="41.5546875" style="157" customWidth="1"/>
    <col min="3" max="3" width="5" style="445" customWidth="1"/>
    <col min="4" max="4" width="5" style="662" customWidth="1"/>
    <col min="5" max="5" width="11" style="157" customWidth="1"/>
    <col min="6" max="6" width="12.5546875" style="157" bestFit="1" customWidth="1"/>
    <col min="7" max="7" width="7.109375" style="157" customWidth="1"/>
    <col min="8" max="8" width="11" style="157" bestFit="1" customWidth="1"/>
    <col min="9" max="9" width="12.5546875" style="157" bestFit="1" customWidth="1"/>
    <col min="10" max="10" width="16.44140625" style="157" customWidth="1"/>
    <col min="11" max="11" width="13.10937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662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530" t="s">
        <v>352</v>
      </c>
      <c r="B10" s="530" t="s">
        <v>353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x14ac:dyDescent="0.25">
      <c r="A11" s="375"/>
      <c r="B11" s="5"/>
      <c r="C11" s="376"/>
      <c r="D11" s="377" t="s">
        <v>21</v>
      </c>
      <c r="E11" s="259">
        <v>0</v>
      </c>
      <c r="F11" s="378">
        <f t="shared" ref="F11:F22" si="0">C11*E11</f>
        <v>0</v>
      </c>
      <c r="G11" s="534"/>
      <c r="H11" s="380">
        <v>0</v>
      </c>
      <c r="I11" s="378">
        <f t="shared" ref="I11:I22" si="1">G11*H11</f>
        <v>0</v>
      </c>
      <c r="J11" s="381"/>
      <c r="K11" s="535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x14ac:dyDescent="0.25">
      <c r="A12" s="375"/>
      <c r="B12" s="5"/>
      <c r="C12" s="376"/>
      <c r="D12" s="377" t="s">
        <v>21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381"/>
      <c r="K12" s="535">
        <f t="shared" si="2"/>
        <v>0</v>
      </c>
      <c r="L12" s="383"/>
      <c r="M12" s="384"/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383"/>
      <c r="M13" s="384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89"/>
      <c r="B17" s="5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157"/>
      <c r="M17" s="474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157"/>
      <c r="M18" s="474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157"/>
      <c r="M19" s="474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157"/>
      <c r="M20" s="474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157"/>
      <c r="M21" s="474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157"/>
      <c r="M22" s="474"/>
      <c r="O22" s="386"/>
      <c r="P22" s="387"/>
      <c r="Q22" s="388"/>
    </row>
    <row r="23" spans="1:17" s="677" customFormat="1" ht="13.8" thickBot="1" x14ac:dyDescent="0.3">
      <c r="A23" s="392"/>
      <c r="B23" s="7"/>
      <c r="C23" s="393"/>
      <c r="D23" s="377"/>
      <c r="E23" s="259"/>
      <c r="F23" s="378"/>
      <c r="G23" s="534"/>
      <c r="H23" s="380"/>
      <c r="I23" s="378"/>
      <c r="J23" s="381"/>
      <c r="K23" s="535"/>
      <c r="L23" s="157"/>
      <c r="M23" s="474"/>
      <c r="N23" s="157"/>
      <c r="O23" s="386"/>
      <c r="P23" s="387"/>
      <c r="Q23" s="388"/>
    </row>
    <row r="24" spans="1:17" s="677" customFormat="1" ht="13.8" thickTop="1" x14ac:dyDescent="0.25">
      <c r="A24" s="392"/>
      <c r="B24" s="7"/>
      <c r="C24" s="393"/>
      <c r="D24" s="377"/>
      <c r="E24" s="259"/>
      <c r="F24" s="378"/>
      <c r="G24" s="534"/>
      <c r="H24" s="380"/>
      <c r="I24" s="378"/>
      <c r="J24" s="394" t="s">
        <v>30</v>
      </c>
      <c r="K24" s="537">
        <f>SUM(K11:K23)</f>
        <v>0</v>
      </c>
      <c r="L24" s="157"/>
      <c r="M24" s="474"/>
      <c r="N24" s="157"/>
      <c r="O24" s="386"/>
      <c r="P24" s="387"/>
      <c r="Q24" s="388"/>
    </row>
    <row r="25" spans="1:17" s="677" customFormat="1" ht="13.8" thickBot="1" x14ac:dyDescent="0.3">
      <c r="A25" s="358" t="s">
        <v>0</v>
      </c>
      <c r="B25" s="359" t="s">
        <v>1</v>
      </c>
      <c r="C25" s="1018" t="s">
        <v>656</v>
      </c>
      <c r="D25" s="1018"/>
      <c r="E25" s="1018"/>
      <c r="F25" s="1018"/>
      <c r="G25" s="1018" t="s">
        <v>34</v>
      </c>
      <c r="H25" s="1018"/>
      <c r="I25" s="1018"/>
      <c r="J25" s="360"/>
      <c r="K25" s="528"/>
      <c r="L25" s="396"/>
      <c r="M25" s="397"/>
      <c r="N25" s="398"/>
      <c r="O25" s="386"/>
      <c r="P25" s="387"/>
      <c r="Q25" s="388"/>
    </row>
    <row r="26" spans="1:17" s="677" customFormat="1" ht="16.2" thickBot="1" x14ac:dyDescent="0.35">
      <c r="A26" s="530" t="s">
        <v>354</v>
      </c>
      <c r="B26" s="530" t="s">
        <v>355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8" t="s">
        <v>14</v>
      </c>
      <c r="H26" s="403" t="s">
        <v>35</v>
      </c>
      <c r="I26" s="404" t="s">
        <v>30</v>
      </c>
      <c r="J26" s="369" t="s">
        <v>659</v>
      </c>
      <c r="K26" s="539" t="s">
        <v>38</v>
      </c>
      <c r="L26" s="407"/>
      <c r="M26" s="408"/>
      <c r="N26" s="409"/>
      <c r="O26" s="386"/>
      <c r="P26" s="387"/>
      <c r="Q26" s="388"/>
    </row>
    <row r="27" spans="1:17" s="677" customFormat="1" x14ac:dyDescent="0.25">
      <c r="A27" s="410"/>
      <c r="B27" s="411"/>
      <c r="C27" s="376"/>
      <c r="D27" s="377" t="s">
        <v>21</v>
      </c>
      <c r="E27" s="259">
        <v>0</v>
      </c>
      <c r="F27" s="378">
        <f t="shared" ref="F27:F33" si="3">C27*E27</f>
        <v>0</v>
      </c>
      <c r="G27" s="534"/>
      <c r="H27" s="380">
        <v>0</v>
      </c>
      <c r="I27" s="378">
        <f t="shared" ref="I27:I33" si="4">G27*H27</f>
        <v>0</v>
      </c>
      <c r="J27" s="381"/>
      <c r="K27" s="535">
        <f t="shared" ref="K27:K33" si="5">F27+I27+J27</f>
        <v>0</v>
      </c>
      <c r="L27" s="157"/>
      <c r="M27" s="474"/>
      <c r="N27" s="157"/>
      <c r="O27" s="386"/>
      <c r="P27" s="387"/>
      <c r="Q27" s="388"/>
    </row>
    <row r="28" spans="1:17" s="677" customFormat="1" x14ac:dyDescent="0.25">
      <c r="A28" s="375"/>
      <c r="B28" s="5"/>
      <c r="C28" s="376"/>
      <c r="D28" s="377" t="s">
        <v>21</v>
      </c>
      <c r="E28" s="259">
        <v>0</v>
      </c>
      <c r="F28" s="378">
        <f t="shared" si="3"/>
        <v>0</v>
      </c>
      <c r="G28" s="534"/>
      <c r="H28" s="380">
        <v>0</v>
      </c>
      <c r="I28" s="378">
        <f t="shared" si="4"/>
        <v>0</v>
      </c>
      <c r="J28" s="381"/>
      <c r="K28" s="535">
        <f t="shared" si="5"/>
        <v>0</v>
      </c>
      <c r="L28" s="159"/>
      <c r="M28" s="282"/>
      <c r="N28" s="157"/>
      <c r="O28" s="386"/>
      <c r="P28" s="387"/>
      <c r="Q28" s="388"/>
    </row>
    <row r="29" spans="1:17" s="677" customFormat="1" x14ac:dyDescent="0.25">
      <c r="A29" s="375"/>
      <c r="B29" s="5"/>
      <c r="C29" s="376"/>
      <c r="D29" s="377" t="s">
        <v>21</v>
      </c>
      <c r="E29" s="259">
        <v>0</v>
      </c>
      <c r="F29" s="378">
        <f t="shared" si="3"/>
        <v>0</v>
      </c>
      <c r="G29" s="534"/>
      <c r="H29" s="380">
        <v>0</v>
      </c>
      <c r="I29" s="378">
        <f t="shared" si="4"/>
        <v>0</v>
      </c>
      <c r="J29" s="381"/>
      <c r="K29" s="535">
        <f t="shared" si="5"/>
        <v>0</v>
      </c>
      <c r="L29" s="383"/>
      <c r="M29" s="384"/>
      <c r="N29" s="385"/>
      <c r="O29" s="386"/>
      <c r="P29" s="387"/>
      <c r="Q29" s="388"/>
    </row>
    <row r="30" spans="1:17" s="677" customFormat="1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s="677" customFormat="1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541"/>
      <c r="M31" s="578"/>
      <c r="N31" s="542"/>
      <c r="O31" s="386"/>
      <c r="P31" s="387"/>
      <c r="Q31" s="388"/>
    </row>
    <row r="32" spans="1:17" s="677" customFormat="1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L32" s="543"/>
      <c r="M32" s="261"/>
      <c r="N32" s="426"/>
      <c r="O32" s="386"/>
      <c r="P32" s="387"/>
      <c r="Q32" s="388"/>
    </row>
    <row r="33" spans="1:17" s="677" customFormat="1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157"/>
      <c r="M33" s="474"/>
      <c r="N33" s="157"/>
      <c r="O33" s="386"/>
      <c r="P33" s="387"/>
      <c r="Q33" s="388"/>
    </row>
    <row r="34" spans="1:17" s="677" customFormat="1" ht="13.8" thickBot="1" x14ac:dyDescent="0.3">
      <c r="A34" s="375"/>
      <c r="B34" s="5"/>
      <c r="C34" s="393"/>
      <c r="D34" s="377"/>
      <c r="E34" s="259"/>
      <c r="F34" s="378"/>
      <c r="G34" s="534"/>
      <c r="H34" s="380"/>
      <c r="I34" s="378"/>
      <c r="J34" s="381"/>
      <c r="K34" s="540"/>
      <c r="L34" s="157"/>
      <c r="M34" s="474"/>
      <c r="N34" s="157"/>
      <c r="O34" s="386"/>
      <c r="P34" s="387"/>
      <c r="Q34" s="388"/>
    </row>
    <row r="35" spans="1:17" s="677" customFormat="1" ht="13.8" thickTop="1" x14ac:dyDescent="0.25">
      <c r="A35" s="392"/>
      <c r="B35" s="5"/>
      <c r="C35" s="393"/>
      <c r="D35" s="377"/>
      <c r="E35" s="259"/>
      <c r="F35" s="378"/>
      <c r="G35" s="534"/>
      <c r="H35" s="380"/>
      <c r="I35" s="378"/>
      <c r="J35" s="394" t="s">
        <v>30</v>
      </c>
      <c r="K35" s="537">
        <f>SUM(K27:K34)</f>
        <v>0</v>
      </c>
      <c r="L35" s="383"/>
      <c r="M35" s="384"/>
      <c r="N35" s="385"/>
      <c r="O35" s="386"/>
      <c r="P35" s="387"/>
      <c r="Q35" s="388"/>
    </row>
    <row r="36" spans="1:17" s="677" customFormat="1" ht="13.8" thickBot="1" x14ac:dyDescent="0.3">
      <c r="A36" s="358" t="s">
        <v>0</v>
      </c>
      <c r="B36" s="359" t="s">
        <v>1</v>
      </c>
      <c r="C36" s="1018" t="s">
        <v>656</v>
      </c>
      <c r="D36" s="1018"/>
      <c r="E36" s="1018"/>
      <c r="F36" s="1018"/>
      <c r="G36" s="1018" t="s">
        <v>34</v>
      </c>
      <c r="H36" s="1018"/>
      <c r="I36" s="1018"/>
      <c r="J36" s="360"/>
      <c r="K36" s="528"/>
      <c r="L36" s="396"/>
      <c r="M36" s="397"/>
      <c r="N36" s="398"/>
      <c r="O36" s="386"/>
      <c r="P36" s="387"/>
      <c r="Q36" s="388"/>
    </row>
    <row r="37" spans="1:17" s="677" customFormat="1" ht="16.2" thickBot="1" x14ac:dyDescent="0.35">
      <c r="A37" s="530" t="s">
        <v>356</v>
      </c>
      <c r="B37" s="530" t="s">
        <v>357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8" t="s">
        <v>14</v>
      </c>
      <c r="H37" s="403" t="s">
        <v>35</v>
      </c>
      <c r="I37" s="404" t="s">
        <v>30</v>
      </c>
      <c r="J37" s="369" t="s">
        <v>659</v>
      </c>
      <c r="K37" s="539" t="s">
        <v>38</v>
      </c>
      <c r="L37" s="407"/>
      <c r="M37" s="413"/>
      <c r="N37" s="414"/>
      <c r="O37" s="415"/>
      <c r="P37" s="416"/>
      <c r="Q37" s="388"/>
    </row>
    <row r="38" spans="1:17" s="677" customFormat="1" x14ac:dyDescent="0.25">
      <c r="A38" s="410"/>
      <c r="B38" s="411"/>
      <c r="C38" s="376"/>
      <c r="D38" s="377" t="s">
        <v>21</v>
      </c>
      <c r="E38" s="259">
        <v>0</v>
      </c>
      <c r="F38" s="378">
        <f>C38*E38</f>
        <v>0</v>
      </c>
      <c r="G38" s="534"/>
      <c r="H38" s="380">
        <v>0</v>
      </c>
      <c r="I38" s="378">
        <f>G38*H38</f>
        <v>0</v>
      </c>
      <c r="J38" s="381"/>
      <c r="K38" s="535">
        <f>F38+I38+J38</f>
        <v>0</v>
      </c>
      <c r="L38" s="383"/>
      <c r="M38" s="384"/>
      <c r="N38" s="385"/>
      <c r="O38" s="415"/>
      <c r="P38" s="416"/>
      <c r="Q38" s="388"/>
    </row>
    <row r="39" spans="1:17" s="677" customFormat="1" x14ac:dyDescent="0.25">
      <c r="A39" s="375"/>
      <c r="B39" s="5"/>
      <c r="C39" s="376"/>
      <c r="D39" s="377" t="s">
        <v>21</v>
      </c>
      <c r="E39" s="259">
        <v>0</v>
      </c>
      <c r="F39" s="378">
        <f>C39*E39</f>
        <v>0</v>
      </c>
      <c r="G39" s="534"/>
      <c r="H39" s="380">
        <v>0</v>
      </c>
      <c r="I39" s="378">
        <f>G39*H39</f>
        <v>0</v>
      </c>
      <c r="J39" s="381"/>
      <c r="K39" s="535">
        <f>F39+I39+J39</f>
        <v>0</v>
      </c>
      <c r="L39" s="383"/>
      <c r="M39" s="384"/>
      <c r="N39" s="385"/>
      <c r="O39" s="415"/>
      <c r="P39" s="416"/>
      <c r="Q39" s="388"/>
    </row>
    <row r="40" spans="1:17" s="677" customFormat="1" x14ac:dyDescent="0.25">
      <c r="A40" s="375"/>
      <c r="B40" s="5"/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L40" s="383"/>
      <c r="M40" s="384"/>
      <c r="N40" s="385"/>
      <c r="O40" s="415"/>
      <c r="P40" s="416"/>
      <c r="Q40" s="388"/>
    </row>
    <row r="41" spans="1:17" s="677" customFormat="1" x14ac:dyDescent="0.25">
      <c r="A41" s="392"/>
      <c r="B41" s="417"/>
      <c r="C41" s="393"/>
      <c r="D41" s="377"/>
      <c r="E41" s="259"/>
      <c r="F41" s="378"/>
      <c r="G41" s="534"/>
      <c r="H41" s="380"/>
      <c r="I41" s="378"/>
      <c r="J41" s="381"/>
      <c r="K41" s="540"/>
      <c r="L41" s="383"/>
      <c r="M41" s="384"/>
      <c r="N41" s="385"/>
      <c r="O41" s="415"/>
      <c r="P41" s="416"/>
      <c r="Q41" s="388"/>
    </row>
    <row r="42" spans="1:17" s="677" customFormat="1" ht="13.8" thickBot="1" x14ac:dyDescent="0.3">
      <c r="A42" s="392"/>
      <c r="B42" s="417"/>
      <c r="C42" s="393"/>
      <c r="D42" s="377"/>
      <c r="E42" s="259"/>
      <c r="F42" s="378"/>
      <c r="G42" s="534"/>
      <c r="H42" s="380"/>
      <c r="I42" s="378"/>
      <c r="J42" s="381"/>
      <c r="K42" s="540"/>
      <c r="L42" s="159"/>
      <c r="M42" s="282"/>
      <c r="N42" s="157"/>
      <c r="O42" s="415"/>
      <c r="P42" s="416"/>
      <c r="Q42" s="388"/>
    </row>
    <row r="43" spans="1:17" s="677" customFormat="1" ht="13.8" thickTop="1" x14ac:dyDescent="0.25">
      <c r="A43" s="392"/>
      <c r="B43" s="417"/>
      <c r="C43" s="393"/>
      <c r="D43" s="377"/>
      <c r="E43" s="259"/>
      <c r="F43" s="378"/>
      <c r="G43" s="534"/>
      <c r="H43" s="380"/>
      <c r="I43" s="378"/>
      <c r="J43" s="394" t="s">
        <v>30</v>
      </c>
      <c r="K43" s="537">
        <f>SUM(K38:K42)</f>
        <v>0</v>
      </c>
      <c r="L43" s="159"/>
      <c r="M43" s="282"/>
      <c r="N43" s="157"/>
      <c r="O43" s="386"/>
      <c r="P43" s="387"/>
      <c r="Q43" s="388"/>
    </row>
    <row r="44" spans="1:17" s="677" customFormat="1" ht="13.8" thickBot="1" x14ac:dyDescent="0.3">
      <c r="A44" s="358" t="s">
        <v>0</v>
      </c>
      <c r="B44" s="359" t="s">
        <v>1</v>
      </c>
      <c r="C44" s="1018" t="s">
        <v>656</v>
      </c>
      <c r="D44" s="1018"/>
      <c r="E44" s="1018"/>
      <c r="F44" s="1018"/>
      <c r="G44" s="1018" t="s">
        <v>34</v>
      </c>
      <c r="H44" s="1018"/>
      <c r="I44" s="1018"/>
      <c r="J44" s="360"/>
      <c r="K44" s="528"/>
      <c r="L44" s="396"/>
      <c r="M44" s="397"/>
      <c r="N44" s="398"/>
      <c r="O44" s="386"/>
      <c r="P44" s="387"/>
      <c r="Q44" s="388"/>
    </row>
    <row r="45" spans="1:17" s="677" customFormat="1" ht="16.2" thickBot="1" x14ac:dyDescent="0.35">
      <c r="A45" s="530" t="s">
        <v>358</v>
      </c>
      <c r="B45" s="530" t="s">
        <v>360</v>
      </c>
      <c r="C45" s="401" t="s">
        <v>19</v>
      </c>
      <c r="D45" s="402" t="s">
        <v>33</v>
      </c>
      <c r="E45" s="403" t="s">
        <v>35</v>
      </c>
      <c r="F45" s="404" t="s">
        <v>30</v>
      </c>
      <c r="G45" s="538" t="s">
        <v>14</v>
      </c>
      <c r="H45" s="403" t="s">
        <v>35</v>
      </c>
      <c r="I45" s="404" t="s">
        <v>30</v>
      </c>
      <c r="J45" s="369" t="s">
        <v>659</v>
      </c>
      <c r="K45" s="539" t="s">
        <v>38</v>
      </c>
      <c r="L45" s="407"/>
      <c r="M45" s="413"/>
      <c r="N45" s="414"/>
      <c r="O45" s="386"/>
      <c r="P45" s="416"/>
      <c r="Q45" s="388"/>
    </row>
    <row r="46" spans="1:17" s="677" customFormat="1" x14ac:dyDescent="0.25">
      <c r="A46" s="410"/>
      <c r="B46" s="411"/>
      <c r="C46" s="376"/>
      <c r="D46" s="377" t="s">
        <v>21</v>
      </c>
      <c r="E46" s="259">
        <v>0</v>
      </c>
      <c r="F46" s="378">
        <f>C46*E46</f>
        <v>0</v>
      </c>
      <c r="G46" s="534"/>
      <c r="H46" s="380">
        <v>0</v>
      </c>
      <c r="I46" s="378">
        <f>G46*H46</f>
        <v>0</v>
      </c>
      <c r="J46" s="381"/>
      <c r="K46" s="535">
        <f>F46+I46+J46</f>
        <v>0</v>
      </c>
      <c r="L46" s="383"/>
      <c r="M46" s="261"/>
      <c r="N46" s="426"/>
      <c r="O46" s="386"/>
      <c r="P46" s="387"/>
      <c r="Q46" s="388"/>
    </row>
    <row r="47" spans="1:17" s="677" customFormat="1" x14ac:dyDescent="0.25">
      <c r="A47" s="375"/>
      <c r="B47" s="5"/>
      <c r="C47" s="376"/>
      <c r="D47" s="377" t="s">
        <v>21</v>
      </c>
      <c r="E47" s="259">
        <v>0</v>
      </c>
      <c r="F47" s="378">
        <f>C47*E47</f>
        <v>0</v>
      </c>
      <c r="G47" s="534"/>
      <c r="H47" s="380">
        <v>0</v>
      </c>
      <c r="I47" s="378">
        <f>G47*H47</f>
        <v>0</v>
      </c>
      <c r="J47" s="381"/>
      <c r="K47" s="535">
        <f>F47+I47+J47</f>
        <v>0</v>
      </c>
      <c r="L47" s="383"/>
      <c r="M47" s="261"/>
      <c r="N47" s="426"/>
      <c r="O47" s="386"/>
      <c r="P47" s="387"/>
      <c r="Q47" s="388"/>
    </row>
    <row r="48" spans="1:17" s="677" customFormat="1" x14ac:dyDescent="0.25">
      <c r="A48" s="375"/>
      <c r="B48" s="5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664"/>
      <c r="M48" s="665"/>
      <c r="N48" s="666"/>
      <c r="O48" s="386"/>
      <c r="P48" s="387"/>
      <c r="Q48" s="388"/>
    </row>
    <row r="49" spans="1:17" s="677" customFormat="1" x14ac:dyDescent="0.25">
      <c r="A49" s="375"/>
      <c r="B49" s="5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667"/>
      <c r="M49" s="261"/>
      <c r="N49" s="426"/>
      <c r="O49" s="386"/>
      <c r="P49" s="387"/>
      <c r="Q49" s="388"/>
    </row>
    <row r="50" spans="1:17" s="677" customFormat="1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426"/>
      <c r="O50" s="386"/>
      <c r="P50" s="387"/>
      <c r="Q50" s="388"/>
    </row>
    <row r="51" spans="1:17" s="677" customFormat="1" ht="13.8" thickBot="1" x14ac:dyDescent="0.3">
      <c r="A51" s="392"/>
      <c r="B51" s="417"/>
      <c r="C51" s="393"/>
      <c r="D51" s="377"/>
      <c r="E51" s="259"/>
      <c r="F51" s="378"/>
      <c r="G51" s="534"/>
      <c r="H51" s="380"/>
      <c r="I51" s="378"/>
      <c r="J51" s="381"/>
      <c r="K51" s="540"/>
      <c r="L51" s="383"/>
      <c r="M51" s="261"/>
      <c r="N51" s="385"/>
      <c r="O51" s="386"/>
      <c r="P51" s="387"/>
      <c r="Q51" s="388"/>
    </row>
    <row r="52" spans="1:17" s="677" customFormat="1" ht="13.8" thickTop="1" x14ac:dyDescent="0.25">
      <c r="A52" s="392"/>
      <c r="B52" s="417"/>
      <c r="C52" s="393"/>
      <c r="D52" s="377"/>
      <c r="E52" s="259"/>
      <c r="F52" s="378"/>
      <c r="G52" s="534"/>
      <c r="H52" s="380"/>
      <c r="I52" s="378"/>
      <c r="J52" s="394" t="s">
        <v>30</v>
      </c>
      <c r="K52" s="537">
        <f>SUM(K46:K51)</f>
        <v>0</v>
      </c>
      <c r="L52" s="157"/>
      <c r="M52" s="474"/>
      <c r="N52" s="157"/>
      <c r="O52" s="441"/>
      <c r="P52" s="442"/>
      <c r="Q52" s="388"/>
    </row>
    <row r="53" spans="1:17" s="677" customFormat="1" ht="13.8" thickBot="1" x14ac:dyDescent="0.3">
      <c r="A53" s="358" t="s">
        <v>0</v>
      </c>
      <c r="B53" s="359" t="s">
        <v>1</v>
      </c>
      <c r="C53" s="1018" t="s">
        <v>656</v>
      </c>
      <c r="D53" s="1018"/>
      <c r="E53" s="1018"/>
      <c r="F53" s="1018"/>
      <c r="G53" s="1018" t="s">
        <v>34</v>
      </c>
      <c r="H53" s="1018"/>
      <c r="I53" s="1018"/>
      <c r="J53" s="360"/>
      <c r="K53" s="528"/>
      <c r="L53" s="396"/>
      <c r="M53" s="360"/>
      <c r="N53" s="398"/>
      <c r="O53" s="441"/>
      <c r="P53" s="442"/>
      <c r="Q53" s="388"/>
    </row>
    <row r="54" spans="1:17" s="677" customFormat="1" ht="16.2" thickBot="1" x14ac:dyDescent="0.35">
      <c r="A54" s="530" t="s">
        <v>359</v>
      </c>
      <c r="B54" s="530" t="s">
        <v>361</v>
      </c>
      <c r="C54" s="401" t="s">
        <v>19</v>
      </c>
      <c r="D54" s="402" t="s">
        <v>33</v>
      </c>
      <c r="E54" s="403" t="s">
        <v>35</v>
      </c>
      <c r="F54" s="404" t="s">
        <v>30</v>
      </c>
      <c r="G54" s="538" t="s">
        <v>14</v>
      </c>
      <c r="H54" s="403" t="s">
        <v>35</v>
      </c>
      <c r="I54" s="404" t="s">
        <v>30</v>
      </c>
      <c r="J54" s="369" t="s">
        <v>659</v>
      </c>
      <c r="K54" s="539" t="s">
        <v>38</v>
      </c>
      <c r="L54" s="407"/>
      <c r="M54" s="413"/>
      <c r="N54" s="409"/>
      <c r="O54" s="415"/>
      <c r="P54" s="416"/>
      <c r="Q54" s="388"/>
    </row>
    <row r="55" spans="1:17" s="677" customFormat="1" x14ac:dyDescent="0.25">
      <c r="A55" s="410"/>
      <c r="B55" s="411"/>
      <c r="C55" s="376"/>
      <c r="D55" s="377" t="s">
        <v>21</v>
      </c>
      <c r="E55" s="259">
        <v>0</v>
      </c>
      <c r="F55" s="378">
        <f t="shared" ref="F55:F61" si="6">C55*E55</f>
        <v>0</v>
      </c>
      <c r="G55" s="534"/>
      <c r="H55" s="380">
        <v>0</v>
      </c>
      <c r="I55" s="378">
        <f t="shared" ref="I55:I61" si="7">G55*H55</f>
        <v>0</v>
      </c>
      <c r="J55" s="381"/>
      <c r="K55" s="535">
        <f t="shared" ref="K55:K61" si="8">F55+I55+J55</f>
        <v>0</v>
      </c>
      <c r="L55" s="159"/>
      <c r="M55" s="282"/>
      <c r="N55" s="157"/>
      <c r="O55" s="386"/>
      <c r="P55" s="387"/>
      <c r="Q55" s="388"/>
    </row>
    <row r="56" spans="1:17" s="677" customFormat="1" x14ac:dyDescent="0.25">
      <c r="A56" s="375"/>
      <c r="B56" s="5"/>
      <c r="C56" s="376"/>
      <c r="D56" s="377" t="s">
        <v>21</v>
      </c>
      <c r="E56" s="259">
        <v>0</v>
      </c>
      <c r="F56" s="378">
        <f t="shared" si="6"/>
        <v>0</v>
      </c>
      <c r="G56" s="534"/>
      <c r="H56" s="380">
        <v>0</v>
      </c>
      <c r="I56" s="378">
        <f t="shared" si="7"/>
        <v>0</v>
      </c>
      <c r="J56" s="381"/>
      <c r="K56" s="535">
        <f t="shared" si="8"/>
        <v>0</v>
      </c>
      <c r="L56" s="383"/>
      <c r="M56" s="261"/>
      <c r="N56" s="385"/>
      <c r="O56" s="386"/>
      <c r="P56" s="387"/>
      <c r="Q56" s="388"/>
    </row>
    <row r="57" spans="1:17" s="677" customFormat="1" x14ac:dyDescent="0.25">
      <c r="A57" s="375"/>
      <c r="B57" s="5"/>
      <c r="C57" s="376"/>
      <c r="D57" s="377" t="s">
        <v>21</v>
      </c>
      <c r="E57" s="259">
        <v>0</v>
      </c>
      <c r="F57" s="378">
        <f t="shared" si="6"/>
        <v>0</v>
      </c>
      <c r="G57" s="534"/>
      <c r="H57" s="380">
        <v>0</v>
      </c>
      <c r="I57" s="378">
        <f t="shared" si="7"/>
        <v>0</v>
      </c>
      <c r="J57" s="381"/>
      <c r="K57" s="535">
        <f t="shared" si="8"/>
        <v>0</v>
      </c>
      <c r="L57" s="383"/>
      <c r="M57" s="261"/>
      <c r="N57" s="385"/>
      <c r="O57" s="386"/>
      <c r="P57" s="387"/>
      <c r="Q57" s="388"/>
    </row>
    <row r="58" spans="1:17" s="677" customFormat="1" x14ac:dyDescent="0.25">
      <c r="A58" s="375"/>
      <c r="B58" s="5"/>
      <c r="C58" s="376"/>
      <c r="D58" s="377" t="s">
        <v>21</v>
      </c>
      <c r="E58" s="259">
        <v>0</v>
      </c>
      <c r="F58" s="378">
        <f t="shared" si="6"/>
        <v>0</v>
      </c>
      <c r="G58" s="534"/>
      <c r="H58" s="380">
        <v>0</v>
      </c>
      <c r="I58" s="378">
        <f t="shared" si="7"/>
        <v>0</v>
      </c>
      <c r="J58" s="381"/>
      <c r="K58" s="535">
        <f t="shared" si="8"/>
        <v>0</v>
      </c>
      <c r="L58" s="383"/>
      <c r="M58" s="261"/>
      <c r="N58" s="385"/>
      <c r="O58" s="386"/>
      <c r="P58" s="387"/>
      <c r="Q58" s="388"/>
    </row>
    <row r="59" spans="1:17" s="677" customFormat="1" x14ac:dyDescent="0.25">
      <c r="A59" s="375"/>
      <c r="B59" s="5"/>
      <c r="C59" s="376"/>
      <c r="D59" s="377" t="s">
        <v>21</v>
      </c>
      <c r="E59" s="259">
        <v>0</v>
      </c>
      <c r="F59" s="378">
        <f t="shared" si="6"/>
        <v>0</v>
      </c>
      <c r="G59" s="534"/>
      <c r="H59" s="380">
        <v>0</v>
      </c>
      <c r="I59" s="378">
        <f t="shared" si="7"/>
        <v>0</v>
      </c>
      <c r="J59" s="381"/>
      <c r="K59" s="535">
        <f t="shared" si="8"/>
        <v>0</v>
      </c>
      <c r="L59" s="664"/>
      <c r="M59" s="261"/>
      <c r="N59" s="666"/>
      <c r="O59" s="386"/>
      <c r="P59" s="387"/>
      <c r="Q59" s="388"/>
    </row>
    <row r="60" spans="1:17" s="677" customFormat="1" x14ac:dyDescent="0.25">
      <c r="A60" s="375"/>
      <c r="B60" s="5"/>
      <c r="C60" s="376"/>
      <c r="D60" s="377" t="s">
        <v>21</v>
      </c>
      <c r="E60" s="259">
        <v>0</v>
      </c>
      <c r="F60" s="378">
        <f t="shared" si="6"/>
        <v>0</v>
      </c>
      <c r="G60" s="534"/>
      <c r="H60" s="380">
        <v>0</v>
      </c>
      <c r="I60" s="378">
        <f t="shared" si="7"/>
        <v>0</v>
      </c>
      <c r="J60" s="381"/>
      <c r="K60" s="535">
        <f t="shared" si="8"/>
        <v>0</v>
      </c>
      <c r="L60" s="667"/>
      <c r="M60" s="261"/>
      <c r="N60" s="668"/>
      <c r="O60" s="386"/>
      <c r="P60" s="387"/>
      <c r="Q60" s="388"/>
    </row>
    <row r="61" spans="1:17" s="677" customFormat="1" x14ac:dyDescent="0.25">
      <c r="A61" s="375"/>
      <c r="B61" s="5"/>
      <c r="C61" s="376"/>
      <c r="D61" s="377" t="s">
        <v>21</v>
      </c>
      <c r="E61" s="259">
        <v>0</v>
      </c>
      <c r="F61" s="378">
        <f t="shared" si="6"/>
        <v>0</v>
      </c>
      <c r="G61" s="534"/>
      <c r="H61" s="380">
        <v>0</v>
      </c>
      <c r="I61" s="378">
        <f t="shared" si="7"/>
        <v>0</v>
      </c>
      <c r="J61" s="381"/>
      <c r="K61" s="535">
        <f t="shared" si="8"/>
        <v>0</v>
      </c>
      <c r="L61" s="383"/>
      <c r="M61" s="261"/>
      <c r="N61" s="426"/>
      <c r="O61" s="386"/>
      <c r="P61" s="387"/>
      <c r="Q61" s="388"/>
    </row>
    <row r="62" spans="1:17" s="677" customFormat="1" ht="13.8" thickBot="1" x14ac:dyDescent="0.3">
      <c r="A62" s="392"/>
      <c r="B62" s="5"/>
      <c r="C62" s="393"/>
      <c r="D62" s="377"/>
      <c r="E62" s="259"/>
      <c r="F62" s="378"/>
      <c r="G62" s="534"/>
      <c r="H62" s="380"/>
      <c r="I62" s="378"/>
      <c r="J62" s="381"/>
      <c r="K62" s="540"/>
      <c r="L62" s="159"/>
      <c r="M62" s="282"/>
      <c r="N62" s="157"/>
      <c r="O62" s="386"/>
      <c r="P62" s="387"/>
      <c r="Q62" s="388"/>
    </row>
    <row r="63" spans="1:17" s="677" customFormat="1" ht="13.8" thickTop="1" x14ac:dyDescent="0.25">
      <c r="A63" s="392"/>
      <c r="B63" s="417"/>
      <c r="C63" s="393"/>
      <c r="D63" s="377"/>
      <c r="E63" s="259"/>
      <c r="F63" s="378"/>
      <c r="G63" s="534"/>
      <c r="H63" s="380"/>
      <c r="I63" s="378"/>
      <c r="J63" s="394" t="s">
        <v>30</v>
      </c>
      <c r="K63" s="537">
        <f>SUM(K55:K62)</f>
        <v>0</v>
      </c>
      <c r="L63" s="159"/>
      <c r="M63" s="282"/>
      <c r="N63" s="157"/>
      <c r="O63" s="386"/>
      <c r="P63" s="387"/>
      <c r="Q63" s="388"/>
    </row>
    <row r="64" spans="1:17" s="677" customFormat="1" ht="13.8" thickBot="1" x14ac:dyDescent="0.3">
      <c r="A64" s="358" t="s">
        <v>0</v>
      </c>
      <c r="B64" s="359" t="s">
        <v>1</v>
      </c>
      <c r="C64" s="1018" t="s">
        <v>656</v>
      </c>
      <c r="D64" s="1018"/>
      <c r="E64" s="1018"/>
      <c r="F64" s="1018"/>
      <c r="G64" s="1018" t="s">
        <v>34</v>
      </c>
      <c r="H64" s="1018"/>
      <c r="I64" s="1018"/>
      <c r="J64" s="360"/>
      <c r="K64" s="528"/>
      <c r="L64" s="396"/>
      <c r="M64" s="360"/>
      <c r="N64" s="443"/>
      <c r="O64" s="386"/>
      <c r="P64" s="387"/>
      <c r="Q64" s="388"/>
    </row>
    <row r="65" spans="1:17" s="677" customFormat="1" ht="16.2" thickBot="1" x14ac:dyDescent="0.35">
      <c r="A65" s="530" t="s">
        <v>363</v>
      </c>
      <c r="B65" s="530" t="s">
        <v>362</v>
      </c>
      <c r="C65" s="401" t="s">
        <v>19</v>
      </c>
      <c r="D65" s="402" t="s">
        <v>33</v>
      </c>
      <c r="E65" s="403" t="s">
        <v>35</v>
      </c>
      <c r="F65" s="404" t="s">
        <v>30</v>
      </c>
      <c r="G65" s="538" t="s">
        <v>14</v>
      </c>
      <c r="H65" s="403" t="s">
        <v>35</v>
      </c>
      <c r="I65" s="404" t="s">
        <v>30</v>
      </c>
      <c r="J65" s="369" t="s">
        <v>659</v>
      </c>
      <c r="K65" s="539" t="s">
        <v>38</v>
      </c>
      <c r="L65" s="407"/>
      <c r="M65" s="413"/>
      <c r="N65" s="414"/>
      <c r="O65" s="386"/>
      <c r="P65" s="387"/>
      <c r="Q65" s="388"/>
    </row>
    <row r="66" spans="1:17" s="677" customFormat="1" x14ac:dyDescent="0.25">
      <c r="A66" s="410"/>
      <c r="B66" s="411"/>
      <c r="C66" s="376"/>
      <c r="D66" s="377" t="s">
        <v>21</v>
      </c>
      <c r="E66" s="259">
        <v>0</v>
      </c>
      <c r="F66" s="378">
        <f>C66*E66</f>
        <v>0</v>
      </c>
      <c r="G66" s="534"/>
      <c r="H66" s="380">
        <v>0</v>
      </c>
      <c r="I66" s="378">
        <f>G66*H66</f>
        <v>0</v>
      </c>
      <c r="J66" s="381"/>
      <c r="K66" s="535">
        <f>F66+I66+J66</f>
        <v>0</v>
      </c>
      <c r="L66" s="383"/>
      <c r="M66" s="384"/>
      <c r="N66" s="385"/>
      <c r="O66" s="386"/>
      <c r="P66" s="387"/>
      <c r="Q66" s="388"/>
    </row>
    <row r="67" spans="1:17" s="677" customFormat="1" x14ac:dyDescent="0.25">
      <c r="A67" s="375"/>
      <c r="B67" s="5"/>
      <c r="C67" s="376"/>
      <c r="D67" s="377" t="s">
        <v>21</v>
      </c>
      <c r="E67" s="259">
        <v>0</v>
      </c>
      <c r="F67" s="378">
        <f>C67*E67</f>
        <v>0</v>
      </c>
      <c r="G67" s="534"/>
      <c r="H67" s="380">
        <v>0</v>
      </c>
      <c r="I67" s="378">
        <f>G67*H67</f>
        <v>0</v>
      </c>
      <c r="J67" s="381"/>
      <c r="K67" s="535">
        <f>F67+I67+J67</f>
        <v>0</v>
      </c>
      <c r="L67" s="383"/>
      <c r="M67" s="384"/>
      <c r="N67" s="385"/>
      <c r="O67" s="386"/>
      <c r="P67" s="387"/>
      <c r="Q67" s="388"/>
    </row>
    <row r="68" spans="1:17" s="677" customFormat="1" x14ac:dyDescent="0.25">
      <c r="A68" s="375"/>
      <c r="B68" s="5"/>
      <c r="C68" s="376"/>
      <c r="D68" s="377" t="s">
        <v>21</v>
      </c>
      <c r="E68" s="259">
        <v>0</v>
      </c>
      <c r="F68" s="378">
        <f>C68*E68</f>
        <v>0</v>
      </c>
      <c r="G68" s="534"/>
      <c r="H68" s="380">
        <v>0</v>
      </c>
      <c r="I68" s="378">
        <f>G68*H68</f>
        <v>0</v>
      </c>
      <c r="J68" s="381"/>
      <c r="K68" s="535">
        <f>F68+I68+J68</f>
        <v>0</v>
      </c>
      <c r="L68" s="383"/>
      <c r="M68" s="384"/>
      <c r="N68" s="385"/>
      <c r="O68" s="386"/>
      <c r="P68" s="387"/>
      <c r="Q68" s="388"/>
    </row>
    <row r="69" spans="1:17" s="677" customFormat="1" x14ac:dyDescent="0.25">
      <c r="A69" s="375"/>
      <c r="B69" s="5"/>
      <c r="C69" s="376"/>
      <c r="D69" s="377" t="s">
        <v>21</v>
      </c>
      <c r="E69" s="259">
        <v>0</v>
      </c>
      <c r="F69" s="378">
        <f>C69*E69</f>
        <v>0</v>
      </c>
      <c r="G69" s="534"/>
      <c r="H69" s="380">
        <v>0</v>
      </c>
      <c r="I69" s="378">
        <f>G69*H69</f>
        <v>0</v>
      </c>
      <c r="J69" s="381"/>
      <c r="K69" s="535">
        <f>F69+I69+J69</f>
        <v>0</v>
      </c>
      <c r="L69" s="159"/>
      <c r="M69" s="282"/>
      <c r="N69" s="157"/>
      <c r="O69" s="386"/>
      <c r="P69" s="387"/>
      <c r="Q69" s="388"/>
    </row>
    <row r="70" spans="1:17" s="677" customFormat="1" x14ac:dyDescent="0.25">
      <c r="A70" s="375"/>
      <c r="B70" s="5"/>
      <c r="C70" s="376"/>
      <c r="D70" s="377" t="s">
        <v>21</v>
      </c>
      <c r="E70" s="259">
        <v>0</v>
      </c>
      <c r="F70" s="378">
        <f>C70*E70</f>
        <v>0</v>
      </c>
      <c r="G70" s="534"/>
      <c r="H70" s="380">
        <v>0</v>
      </c>
      <c r="I70" s="378">
        <f>G70*H70</f>
        <v>0</v>
      </c>
      <c r="J70" s="381"/>
      <c r="K70" s="535">
        <f>F70+I70+J70</f>
        <v>0</v>
      </c>
      <c r="L70" s="159"/>
      <c r="M70" s="282"/>
      <c r="N70" s="157"/>
      <c r="O70" s="386"/>
      <c r="P70" s="387"/>
      <c r="Q70" s="388"/>
    </row>
    <row r="71" spans="1:17" s="677" customFormat="1" ht="13.8" thickBot="1" x14ac:dyDescent="0.3">
      <c r="A71" s="392"/>
      <c r="B71" s="5"/>
      <c r="C71" s="393"/>
      <c r="D71" s="377"/>
      <c r="E71" s="259"/>
      <c r="F71" s="378"/>
      <c r="G71" s="534"/>
      <c r="H71" s="380"/>
      <c r="I71" s="378"/>
      <c r="J71" s="381"/>
      <c r="K71" s="540"/>
      <c r="L71" s="159"/>
      <c r="M71" s="282"/>
      <c r="N71" s="157"/>
      <c r="O71" s="386"/>
      <c r="P71" s="387"/>
      <c r="Q71" s="388"/>
    </row>
    <row r="72" spans="1:17" s="677" customFormat="1" ht="13.8" thickTop="1" x14ac:dyDescent="0.25">
      <c r="A72" s="392"/>
      <c r="B72" s="417"/>
      <c r="C72" s="393"/>
      <c r="D72" s="377"/>
      <c r="E72" s="259"/>
      <c r="F72" s="378"/>
      <c r="G72" s="534"/>
      <c r="H72" s="380"/>
      <c r="I72" s="378"/>
      <c r="J72" s="394" t="s">
        <v>30</v>
      </c>
      <c r="K72" s="537">
        <f>SUM(K66:K71)</f>
        <v>0</v>
      </c>
      <c r="L72" s="159"/>
      <c r="M72" s="282"/>
      <c r="N72" s="157"/>
      <c r="O72" s="386"/>
      <c r="P72" s="387"/>
      <c r="Q72" s="388"/>
    </row>
    <row r="73" spans="1:17" s="677" customFormat="1" ht="13.8" thickBot="1" x14ac:dyDescent="0.3">
      <c r="A73" s="358" t="s">
        <v>0</v>
      </c>
      <c r="B73" s="359" t="s">
        <v>1</v>
      </c>
      <c r="C73" s="1018" t="s">
        <v>656</v>
      </c>
      <c r="D73" s="1018"/>
      <c r="E73" s="1018"/>
      <c r="F73" s="1018"/>
      <c r="G73" s="1018" t="s">
        <v>34</v>
      </c>
      <c r="H73" s="1018"/>
      <c r="I73" s="1018"/>
      <c r="J73" s="360"/>
      <c r="K73" s="528"/>
      <c r="L73" s="396"/>
      <c r="M73" s="397"/>
      <c r="N73" s="398"/>
      <c r="O73" s="386"/>
      <c r="P73" s="387"/>
      <c r="Q73" s="388"/>
    </row>
    <row r="74" spans="1:17" s="677" customFormat="1" ht="16.2" thickBot="1" x14ac:dyDescent="0.35">
      <c r="A74" s="399"/>
      <c r="B74" s="400"/>
      <c r="C74" s="401" t="s">
        <v>19</v>
      </c>
      <c r="D74" s="402" t="s">
        <v>33</v>
      </c>
      <c r="E74" s="403" t="s">
        <v>35</v>
      </c>
      <c r="F74" s="404" t="s">
        <v>30</v>
      </c>
      <c r="G74" s="538" t="s">
        <v>14</v>
      </c>
      <c r="H74" s="403" t="s">
        <v>35</v>
      </c>
      <c r="I74" s="404" t="s">
        <v>30</v>
      </c>
      <c r="J74" s="369" t="s">
        <v>659</v>
      </c>
      <c r="K74" s="539" t="s">
        <v>38</v>
      </c>
      <c r="L74" s="407"/>
      <c r="M74" s="408"/>
      <c r="N74" s="409"/>
      <c r="O74" s="386"/>
      <c r="P74" s="387"/>
      <c r="Q74" s="388"/>
    </row>
    <row r="75" spans="1:17" s="677" customFormat="1" x14ac:dyDescent="0.25">
      <c r="A75" s="410"/>
      <c r="B75" s="411"/>
      <c r="C75" s="376"/>
      <c r="D75" s="377" t="s">
        <v>21</v>
      </c>
      <c r="E75" s="259">
        <v>0</v>
      </c>
      <c r="F75" s="378">
        <f>C75*E75</f>
        <v>0</v>
      </c>
      <c r="G75" s="534"/>
      <c r="H75" s="380">
        <v>0</v>
      </c>
      <c r="I75" s="378">
        <f>G75*H75</f>
        <v>0</v>
      </c>
      <c r="J75" s="381"/>
      <c r="K75" s="535">
        <f>F75+I75+J75</f>
        <v>0</v>
      </c>
      <c r="L75" s="383"/>
      <c r="M75" s="384"/>
      <c r="N75" s="385"/>
      <c r="O75" s="386"/>
      <c r="P75" s="387"/>
      <c r="Q75" s="388"/>
    </row>
    <row r="76" spans="1:17" s="677" customFormat="1" x14ac:dyDescent="0.25">
      <c r="A76" s="375"/>
      <c r="B76" s="5"/>
      <c r="C76" s="376"/>
      <c r="D76" s="377" t="s">
        <v>21</v>
      </c>
      <c r="E76" s="259">
        <v>0</v>
      </c>
      <c r="F76" s="378">
        <f>C76*E76</f>
        <v>0</v>
      </c>
      <c r="G76" s="534"/>
      <c r="H76" s="380">
        <v>0</v>
      </c>
      <c r="I76" s="378">
        <f>G76*H76</f>
        <v>0</v>
      </c>
      <c r="J76" s="381"/>
      <c r="K76" s="535">
        <f>F76+I76+J76</f>
        <v>0</v>
      </c>
      <c r="L76" s="664"/>
      <c r="M76" s="665"/>
      <c r="N76" s="666"/>
      <c r="O76" s="386"/>
      <c r="P76" s="387"/>
      <c r="Q76" s="388"/>
    </row>
    <row r="77" spans="1:17" s="677" customFormat="1" x14ac:dyDescent="0.25">
      <c r="A77" s="375"/>
      <c r="B77" s="5"/>
      <c r="C77" s="376"/>
      <c r="D77" s="377" t="s">
        <v>21</v>
      </c>
      <c r="E77" s="259">
        <v>0</v>
      </c>
      <c r="F77" s="378">
        <f>C77*E77</f>
        <v>0</v>
      </c>
      <c r="G77" s="534"/>
      <c r="H77" s="380">
        <v>0</v>
      </c>
      <c r="I77" s="378">
        <f>G77*H77</f>
        <v>0</v>
      </c>
      <c r="J77" s="381"/>
      <c r="K77" s="535">
        <f>F77+I77+J77</f>
        <v>0</v>
      </c>
      <c r="L77" s="667"/>
      <c r="M77" s="669"/>
      <c r="N77" s="668"/>
      <c r="O77" s="386"/>
      <c r="P77" s="387"/>
      <c r="Q77" s="388"/>
    </row>
    <row r="78" spans="1:17" s="159" customFormat="1" ht="13.8" thickBot="1" x14ac:dyDescent="0.3">
      <c r="A78" s="392"/>
      <c r="B78" s="5"/>
      <c r="C78" s="393"/>
      <c r="D78" s="377"/>
      <c r="E78" s="259"/>
      <c r="F78" s="378"/>
      <c r="G78" s="534"/>
      <c r="H78" s="380"/>
      <c r="I78" s="378"/>
      <c r="J78" s="381"/>
      <c r="K78" s="540"/>
      <c r="L78" s="383"/>
      <c r="M78" s="384"/>
      <c r="N78" s="385"/>
      <c r="O78" s="386"/>
      <c r="P78" s="387"/>
      <c r="Q78" s="388"/>
    </row>
    <row r="79" spans="1:17" s="159" customFormat="1" ht="13.8" thickTop="1" x14ac:dyDescent="0.25">
      <c r="A79" s="392"/>
      <c r="B79" s="157"/>
      <c r="C79" s="393"/>
      <c r="D79" s="377"/>
      <c r="E79" s="259"/>
      <c r="F79" s="378"/>
      <c r="G79" s="534"/>
      <c r="H79" s="380"/>
      <c r="I79" s="378"/>
      <c r="J79" s="394" t="s">
        <v>30</v>
      </c>
      <c r="K79" s="537">
        <f>SUM(K75:K78)</f>
        <v>0</v>
      </c>
      <c r="L79" s="383"/>
      <c r="M79" s="384"/>
      <c r="N79" s="385"/>
      <c r="O79" s="386"/>
      <c r="P79" s="387"/>
      <c r="Q79" s="388"/>
    </row>
    <row r="80" spans="1:17" s="159" customFormat="1" ht="13.8" thickBot="1" x14ac:dyDescent="0.3">
      <c r="A80" s="358" t="s">
        <v>0</v>
      </c>
      <c r="B80" s="359" t="s">
        <v>1</v>
      </c>
      <c r="C80" s="1018" t="s">
        <v>656</v>
      </c>
      <c r="D80" s="1018"/>
      <c r="E80" s="1018"/>
      <c r="F80" s="1018"/>
      <c r="G80" s="1018" t="s">
        <v>34</v>
      </c>
      <c r="H80" s="1018"/>
      <c r="I80" s="1018"/>
      <c r="J80" s="360"/>
      <c r="K80" s="528"/>
      <c r="L80" s="396"/>
      <c r="M80" s="397"/>
      <c r="N80" s="398"/>
      <c r="O80" s="386"/>
      <c r="P80" s="387"/>
      <c r="Q80" s="388"/>
    </row>
    <row r="81" spans="1:17" s="159" customFormat="1" ht="16.2" thickBot="1" x14ac:dyDescent="0.35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8" t="s">
        <v>14</v>
      </c>
      <c r="H81" s="403" t="s">
        <v>35</v>
      </c>
      <c r="I81" s="404" t="s">
        <v>30</v>
      </c>
      <c r="J81" s="369" t="s">
        <v>659</v>
      </c>
      <c r="K81" s="539" t="s">
        <v>38</v>
      </c>
      <c r="L81" s="407"/>
      <c r="M81" s="408"/>
      <c r="N81" s="409"/>
      <c r="O81" s="386"/>
      <c r="P81" s="387"/>
      <c r="Q81" s="388"/>
    </row>
    <row r="82" spans="1:17" s="159" customFormat="1" x14ac:dyDescent="0.25">
      <c r="A82" s="410"/>
      <c r="B82" s="411"/>
      <c r="C82" s="376"/>
      <c r="D82" s="377" t="s">
        <v>21</v>
      </c>
      <c r="E82" s="259">
        <v>0</v>
      </c>
      <c r="F82" s="378">
        <f>C82*E82</f>
        <v>0</v>
      </c>
      <c r="G82" s="534"/>
      <c r="H82" s="380">
        <v>0</v>
      </c>
      <c r="I82" s="378">
        <f>G82*H82</f>
        <v>0</v>
      </c>
      <c r="J82" s="381"/>
      <c r="K82" s="535">
        <f>F82+I82+J82</f>
        <v>0</v>
      </c>
      <c r="M82" s="282"/>
      <c r="N82" s="157"/>
      <c r="O82" s="386"/>
      <c r="P82" s="387"/>
      <c r="Q82" s="388"/>
    </row>
    <row r="83" spans="1:17" s="159" customFormat="1" x14ac:dyDescent="0.25">
      <c r="A83" s="375"/>
      <c r="B83" s="5"/>
      <c r="C83" s="376"/>
      <c r="D83" s="377" t="s">
        <v>21</v>
      </c>
      <c r="E83" s="259">
        <v>0</v>
      </c>
      <c r="F83" s="378">
        <f>C83*E83</f>
        <v>0</v>
      </c>
      <c r="G83" s="534"/>
      <c r="H83" s="380">
        <v>0</v>
      </c>
      <c r="I83" s="378">
        <f>G83*H83</f>
        <v>0</v>
      </c>
      <c r="J83" s="381"/>
      <c r="K83" s="535">
        <f>F83+I83+J83</f>
        <v>0</v>
      </c>
      <c r="M83" s="282"/>
      <c r="N83" s="157"/>
      <c r="O83" s="386"/>
      <c r="P83" s="387"/>
      <c r="Q83" s="388"/>
    </row>
    <row r="84" spans="1:17" s="159" customFormat="1" x14ac:dyDescent="0.25">
      <c r="A84" s="375"/>
      <c r="C84" s="376"/>
      <c r="D84" s="377" t="s">
        <v>21</v>
      </c>
      <c r="E84" s="259">
        <v>0</v>
      </c>
      <c r="F84" s="378">
        <f>C84*E84</f>
        <v>0</v>
      </c>
      <c r="G84" s="534"/>
      <c r="H84" s="380">
        <v>0</v>
      </c>
      <c r="I84" s="378">
        <f>G84*H84</f>
        <v>0</v>
      </c>
      <c r="J84" s="381"/>
      <c r="K84" s="535">
        <f>F84+I84+J84</f>
        <v>0</v>
      </c>
      <c r="M84" s="282"/>
      <c r="N84" s="157"/>
      <c r="O84" s="386"/>
      <c r="P84" s="387"/>
      <c r="Q84" s="388"/>
    </row>
    <row r="85" spans="1:17" s="159" customFormat="1" x14ac:dyDescent="0.25">
      <c r="A85" s="375"/>
      <c r="B85" s="5"/>
      <c r="C85" s="376"/>
      <c r="D85" s="377" t="s">
        <v>21</v>
      </c>
      <c r="E85" s="259">
        <v>0</v>
      </c>
      <c r="F85" s="378">
        <f>C85*E85</f>
        <v>0</v>
      </c>
      <c r="G85" s="534"/>
      <c r="H85" s="380">
        <v>0</v>
      </c>
      <c r="I85" s="378">
        <f>G85*H85</f>
        <v>0</v>
      </c>
      <c r="J85" s="381"/>
      <c r="K85" s="535">
        <f>F85+I85+J85</f>
        <v>0</v>
      </c>
      <c r="L85" s="383"/>
      <c r="M85" s="384"/>
      <c r="N85" s="385"/>
      <c r="O85" s="386"/>
      <c r="P85" s="387"/>
      <c r="Q85" s="388"/>
    </row>
    <row r="86" spans="1:17" s="159" customFormat="1" x14ac:dyDescent="0.25">
      <c r="A86" s="375"/>
      <c r="B86" s="5"/>
      <c r="C86" s="376"/>
      <c r="D86" s="377" t="s">
        <v>21</v>
      </c>
      <c r="E86" s="259">
        <v>0</v>
      </c>
      <c r="F86" s="378">
        <f>C86*E86</f>
        <v>0</v>
      </c>
      <c r="G86" s="534"/>
      <c r="H86" s="380">
        <v>0</v>
      </c>
      <c r="I86" s="378">
        <f>G86*H86</f>
        <v>0</v>
      </c>
      <c r="J86" s="381"/>
      <c r="K86" s="535">
        <f>F86+I86+J86</f>
        <v>0</v>
      </c>
      <c r="L86" s="383"/>
      <c r="M86" s="384"/>
      <c r="N86" s="385"/>
      <c r="O86" s="386"/>
      <c r="P86" s="387"/>
      <c r="Q86" s="388"/>
    </row>
    <row r="87" spans="1:17" s="159" customFormat="1" ht="13.8" thickBot="1" x14ac:dyDescent="0.3">
      <c r="A87" s="392"/>
      <c r="B87" s="5"/>
      <c r="C87" s="393"/>
      <c r="D87" s="377"/>
      <c r="E87" s="259"/>
      <c r="F87" s="378"/>
      <c r="G87" s="534"/>
      <c r="H87" s="380"/>
      <c r="I87" s="378"/>
      <c r="J87" s="381"/>
      <c r="K87" s="540"/>
      <c r="L87" s="383"/>
      <c r="M87" s="384"/>
      <c r="N87" s="385"/>
      <c r="O87" s="386"/>
      <c r="P87" s="387"/>
      <c r="Q87" s="388"/>
    </row>
    <row r="88" spans="1:17" s="159" customFormat="1" ht="13.8" thickTop="1" x14ac:dyDescent="0.25">
      <c r="A88" s="392"/>
      <c r="B88" s="417"/>
      <c r="C88" s="393"/>
      <c r="D88" s="377"/>
      <c r="E88" s="259"/>
      <c r="F88" s="378"/>
      <c r="G88" s="534"/>
      <c r="H88" s="380"/>
      <c r="I88" s="378"/>
      <c r="J88" s="394" t="s">
        <v>30</v>
      </c>
      <c r="K88" s="537">
        <f>SUM(K82:K87)</f>
        <v>0</v>
      </c>
      <c r="M88" s="282"/>
      <c r="N88" s="157"/>
      <c r="O88" s="386"/>
      <c r="P88" s="387"/>
      <c r="Q88" s="388"/>
    </row>
    <row r="89" spans="1:17" s="159" customFormat="1" ht="13.8" thickBot="1" x14ac:dyDescent="0.3">
      <c r="A89" s="358" t="s">
        <v>0</v>
      </c>
      <c r="B89" s="359" t="s">
        <v>1</v>
      </c>
      <c r="C89" s="1018" t="s">
        <v>656</v>
      </c>
      <c r="D89" s="1018"/>
      <c r="E89" s="1018"/>
      <c r="F89" s="1018"/>
      <c r="G89" s="1018" t="s">
        <v>34</v>
      </c>
      <c r="H89" s="1018"/>
      <c r="I89" s="1018"/>
      <c r="J89" s="360"/>
      <c r="K89" s="528"/>
      <c r="L89" s="396"/>
      <c r="M89" s="397"/>
      <c r="N89" s="398"/>
      <c r="O89" s="386"/>
      <c r="P89" s="387"/>
      <c r="Q89" s="388"/>
    </row>
    <row r="90" spans="1:17" s="159" customFormat="1" ht="16.2" thickBot="1" x14ac:dyDescent="0.35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8" t="s">
        <v>14</v>
      </c>
      <c r="H90" s="403" t="s">
        <v>35</v>
      </c>
      <c r="I90" s="404" t="s">
        <v>30</v>
      </c>
      <c r="J90" s="369" t="s">
        <v>659</v>
      </c>
      <c r="K90" s="539" t="s">
        <v>38</v>
      </c>
      <c r="L90" s="407"/>
      <c r="M90" s="408"/>
      <c r="N90" s="409"/>
      <c r="O90" s="386"/>
      <c r="P90" s="387"/>
      <c r="Q90" s="388"/>
    </row>
    <row r="91" spans="1:17" s="159" customFormat="1" x14ac:dyDescent="0.25">
      <c r="A91" s="410"/>
      <c r="B91" s="411"/>
      <c r="C91" s="376"/>
      <c r="D91" s="377" t="s">
        <v>21</v>
      </c>
      <c r="E91" s="259">
        <v>0</v>
      </c>
      <c r="F91" s="378">
        <f>C91*E91</f>
        <v>0</v>
      </c>
      <c r="G91" s="534"/>
      <c r="H91" s="380">
        <v>0</v>
      </c>
      <c r="I91" s="378">
        <f>G91*H91</f>
        <v>0</v>
      </c>
      <c r="J91" s="381"/>
      <c r="K91" s="535">
        <f>F91+I91+J91</f>
        <v>0</v>
      </c>
      <c r="L91" s="383"/>
      <c r="M91" s="384"/>
      <c r="N91" s="385"/>
      <c r="O91" s="386"/>
      <c r="P91" s="387"/>
      <c r="Q91" s="388"/>
    </row>
    <row r="92" spans="1:17" s="159" customFormat="1" x14ac:dyDescent="0.25">
      <c r="A92" s="375"/>
      <c r="B92" s="5"/>
      <c r="C92" s="376"/>
      <c r="D92" s="377" t="s">
        <v>21</v>
      </c>
      <c r="E92" s="259">
        <v>0</v>
      </c>
      <c r="F92" s="378">
        <f>C92*E92</f>
        <v>0</v>
      </c>
      <c r="G92" s="534"/>
      <c r="H92" s="380">
        <v>0</v>
      </c>
      <c r="I92" s="378">
        <f>G92*H92</f>
        <v>0</v>
      </c>
      <c r="J92" s="381"/>
      <c r="K92" s="535">
        <f>F92+I92+J92</f>
        <v>0</v>
      </c>
      <c r="L92" s="670"/>
      <c r="M92" s="671"/>
      <c r="N92" s="672"/>
      <c r="O92" s="386"/>
      <c r="P92" s="387"/>
      <c r="Q92" s="388"/>
    </row>
    <row r="93" spans="1:17" s="159" customFormat="1" x14ac:dyDescent="0.25">
      <c r="A93" s="375"/>
      <c r="B93" s="5"/>
      <c r="C93" s="376"/>
      <c r="D93" s="377" t="s">
        <v>21</v>
      </c>
      <c r="E93" s="259">
        <v>0</v>
      </c>
      <c r="F93" s="378">
        <f>C93*E93</f>
        <v>0</v>
      </c>
      <c r="G93" s="534"/>
      <c r="H93" s="380">
        <v>0</v>
      </c>
      <c r="I93" s="378">
        <f>G93*H93</f>
        <v>0</v>
      </c>
      <c r="J93" s="381"/>
      <c r="K93" s="535">
        <f>F93+I93+J93</f>
        <v>0</v>
      </c>
      <c r="L93" s="670"/>
      <c r="M93" s="671"/>
      <c r="N93" s="673"/>
      <c r="O93" s="386"/>
      <c r="P93" s="387"/>
      <c r="Q93" s="388"/>
    </row>
    <row r="94" spans="1:17" s="159" customFormat="1" x14ac:dyDescent="0.25">
      <c r="A94" s="375"/>
      <c r="B94" s="5"/>
      <c r="C94" s="376"/>
      <c r="D94" s="377" t="s">
        <v>21</v>
      </c>
      <c r="E94" s="259">
        <v>0</v>
      </c>
      <c r="F94" s="378">
        <f>C94*E94</f>
        <v>0</v>
      </c>
      <c r="G94" s="534"/>
      <c r="H94" s="380">
        <v>0</v>
      </c>
      <c r="I94" s="378">
        <f>G94*H94</f>
        <v>0</v>
      </c>
      <c r="J94" s="381"/>
      <c r="K94" s="535">
        <f>F94+I94+J94</f>
        <v>0</v>
      </c>
      <c r="L94" s="670"/>
      <c r="M94" s="671"/>
      <c r="N94" s="673"/>
      <c r="O94" s="386"/>
      <c r="P94" s="387"/>
      <c r="Q94" s="388"/>
    </row>
    <row r="95" spans="1:17" s="159" customFormat="1" ht="13.8" thickBot="1" x14ac:dyDescent="0.3">
      <c r="A95" s="392"/>
      <c r="B95" s="417"/>
      <c r="C95" s="376"/>
      <c r="D95" s="377"/>
      <c r="E95" s="259"/>
      <c r="F95" s="378"/>
      <c r="G95" s="534"/>
      <c r="H95" s="380"/>
      <c r="I95" s="378"/>
      <c r="J95" s="381"/>
      <c r="K95" s="535"/>
      <c r="L95" s="670"/>
      <c r="M95" s="671"/>
      <c r="N95" s="673"/>
      <c r="O95" s="386"/>
      <c r="P95" s="387"/>
      <c r="Q95" s="388"/>
    </row>
    <row r="96" spans="1:17" s="159" customFormat="1" ht="14.4" thickTop="1" thickBot="1" x14ac:dyDescent="0.3">
      <c r="A96" s="475"/>
      <c r="B96" s="156"/>
      <c r="C96" s="476"/>
      <c r="D96" s="477"/>
      <c r="E96" s="478"/>
      <c r="F96" s="479"/>
      <c r="G96" s="638"/>
      <c r="H96" s="478"/>
      <c r="I96" s="479"/>
      <c r="J96" s="481" t="s">
        <v>30</v>
      </c>
      <c r="K96" s="639">
        <f>SUM(K91:K95)</f>
        <v>0</v>
      </c>
      <c r="L96" s="670"/>
      <c r="M96" s="671"/>
      <c r="N96" s="673"/>
      <c r="O96" s="386"/>
      <c r="P96" s="387"/>
      <c r="Q96" s="388"/>
    </row>
    <row r="97" spans="1:17" s="159" customFormat="1" ht="14.1" customHeight="1" thickBot="1" x14ac:dyDescent="0.3">
      <c r="A97" s="483"/>
      <c r="B97" s="484"/>
      <c r="C97" s="485"/>
      <c r="D97" s="485"/>
      <c r="E97" s="486"/>
      <c r="F97" s="1048" t="s">
        <v>658</v>
      </c>
      <c r="G97" s="1071" t="s">
        <v>684</v>
      </c>
      <c r="H97" s="486"/>
      <c r="I97" s="1041" t="s">
        <v>657</v>
      </c>
      <c r="J97" s="1037" t="s">
        <v>685</v>
      </c>
      <c r="K97" s="1035" t="s">
        <v>31</v>
      </c>
      <c r="L97" s="674"/>
      <c r="M97" s="675"/>
      <c r="N97" s="676"/>
      <c r="O97" s="465"/>
      <c r="P97" s="466"/>
      <c r="Q97" s="467"/>
    </row>
    <row r="98" spans="1:17" s="159" customFormat="1" ht="14.4" thickTop="1" x14ac:dyDescent="0.25">
      <c r="A98" s="487" t="s">
        <v>32</v>
      </c>
      <c r="B98" s="1043" t="s">
        <v>664</v>
      </c>
      <c r="C98" s="488"/>
      <c r="D98" s="489"/>
      <c r="E98" s="489"/>
      <c r="F98" s="1049"/>
      <c r="G98" s="1072"/>
      <c r="H98" s="490"/>
      <c r="I98" s="1042"/>
      <c r="J98" s="1038"/>
      <c r="K98" s="1036"/>
      <c r="M98" s="282"/>
      <c r="N98" s="157"/>
      <c r="O98" s="308"/>
      <c r="P98" s="308"/>
    </row>
    <row r="99" spans="1:17" s="159" customFormat="1" ht="13.8" x14ac:dyDescent="0.25">
      <c r="A99" s="829">
        <f>K99/E6</f>
        <v>0</v>
      </c>
      <c r="B99" s="1043"/>
      <c r="C99" s="489"/>
      <c r="D99" s="489"/>
      <c r="E99" s="489"/>
      <c r="F99" s="1031">
        <f>SUM(F91:F95,F82:F87,F75:F78,F66:F71,F55:F61,F46:F51,F38:F42,F27:F34,F11:F23)</f>
        <v>0</v>
      </c>
      <c r="G99" s="1076">
        <f>SUM(G91:G95,G82:G87,G75:G78,G66:G71,G55:G61,G46:G51,G38:G42,G27:G34,G11:G23)</f>
        <v>0</v>
      </c>
      <c r="H99" s="490"/>
      <c r="I99" s="1031">
        <f>SUM(I91:I95,I82:I87,I75:I78,I66:I71,I55:I61,I46:I51,I38:I42,I27:I34,I11:I23)</f>
        <v>0</v>
      </c>
      <c r="J99" s="1031">
        <f>SUM(J91:J95,J82:J87,J75:J78,J66:J71,J55:J61,J46:J51,J38:J42,J27:J34,J11:J23)</f>
        <v>0</v>
      </c>
      <c r="K99" s="1033">
        <f>SUM(K96,K88,K79,K72,K63,K52,K43,K35,K24)</f>
        <v>0</v>
      </c>
      <c r="M99" s="282"/>
      <c r="N99" s="157"/>
      <c r="O99" s="308"/>
      <c r="P99" s="308"/>
    </row>
    <row r="100" spans="1:17" s="159" customFormat="1" ht="14.4" thickBot="1" x14ac:dyDescent="0.3">
      <c r="A100" s="487"/>
      <c r="B100" s="555"/>
      <c r="C100" s="493"/>
      <c r="D100" s="493"/>
      <c r="E100" s="493"/>
      <c r="F100" s="1032"/>
      <c r="G100" s="1077"/>
      <c r="H100" s="493"/>
      <c r="I100" s="1032"/>
      <c r="J100" s="1032"/>
      <c r="K100" s="1034"/>
      <c r="M100" s="282"/>
      <c r="N100" s="157"/>
      <c r="O100" s="308"/>
      <c r="P100" s="308"/>
    </row>
    <row r="101" spans="1:17" s="159" customFormat="1" ht="13.8" thickBot="1" x14ac:dyDescent="0.3">
      <c r="A101" s="494"/>
      <c r="B101" s="495"/>
      <c r="C101" s="495"/>
      <c r="D101" s="495"/>
      <c r="E101" s="495"/>
      <c r="F101" s="495"/>
      <c r="G101" s="495"/>
      <c r="H101" s="495"/>
      <c r="I101" s="495"/>
      <c r="J101" s="495"/>
      <c r="K101" s="496"/>
      <c r="M101" s="282"/>
      <c r="N101" s="157"/>
      <c r="O101" s="308"/>
      <c r="P101" s="308"/>
    </row>
    <row r="102" spans="1:17" s="159" customFormat="1" x14ac:dyDescent="0.25">
      <c r="C102" s="658"/>
      <c r="D102" s="658"/>
      <c r="M102" s="282"/>
      <c r="N102" s="157"/>
      <c r="O102" s="308"/>
      <c r="P102" s="308"/>
    </row>
    <row r="103" spans="1:17" s="159" customFormat="1" x14ac:dyDescent="0.25">
      <c r="C103" s="658"/>
      <c r="D103" s="658"/>
      <c r="M103" s="282"/>
      <c r="N103" s="157"/>
      <c r="O103" s="308"/>
      <c r="P103" s="308"/>
    </row>
    <row r="104" spans="1:17" s="159" customFormat="1" x14ac:dyDescent="0.25">
      <c r="C104" s="658"/>
      <c r="D104" s="658"/>
      <c r="M104" s="282"/>
      <c r="N104" s="157"/>
      <c r="O104" s="308"/>
      <c r="P104" s="308"/>
    </row>
    <row r="105" spans="1:17" s="159" customFormat="1" x14ac:dyDescent="0.25">
      <c r="C105" s="658"/>
      <c r="D105" s="658"/>
      <c r="M105" s="282"/>
      <c r="N105" s="157"/>
      <c r="O105" s="308"/>
      <c r="P105" s="308"/>
    </row>
    <row r="106" spans="1:17" s="159" customFormat="1" x14ac:dyDescent="0.25">
      <c r="C106" s="658"/>
      <c r="D106" s="658"/>
      <c r="M106" s="282"/>
      <c r="N106" s="157"/>
      <c r="O106" s="308"/>
      <c r="P106" s="308"/>
    </row>
    <row r="107" spans="1:17" s="159" customFormat="1" x14ac:dyDescent="0.25">
      <c r="C107" s="658"/>
      <c r="D107" s="658"/>
      <c r="M107" s="282"/>
      <c r="N107" s="157"/>
      <c r="O107" s="308"/>
      <c r="P107" s="308"/>
    </row>
    <row r="108" spans="1:17" s="159" customFormat="1" x14ac:dyDescent="0.25">
      <c r="C108" s="658"/>
      <c r="D108" s="658"/>
      <c r="M108" s="282"/>
      <c r="N108" s="157"/>
      <c r="O108" s="308"/>
      <c r="P108" s="308"/>
    </row>
    <row r="109" spans="1:17" s="159" customFormat="1" x14ac:dyDescent="0.25">
      <c r="C109" s="658"/>
      <c r="D109" s="658"/>
      <c r="M109" s="282"/>
      <c r="N109" s="157"/>
      <c r="O109" s="308"/>
      <c r="P109" s="308"/>
    </row>
    <row r="110" spans="1:17" s="159" customFormat="1" x14ac:dyDescent="0.25">
      <c r="C110" s="658"/>
      <c r="D110" s="658"/>
      <c r="M110" s="282"/>
      <c r="N110" s="157"/>
      <c r="O110" s="308"/>
      <c r="P110" s="308"/>
    </row>
    <row r="111" spans="1:17" s="159" customFormat="1" x14ac:dyDescent="0.25">
      <c r="C111" s="658"/>
      <c r="D111" s="658"/>
      <c r="M111" s="282"/>
      <c r="N111" s="157"/>
      <c r="O111" s="308"/>
      <c r="P111" s="308"/>
    </row>
    <row r="112" spans="1:17" s="159" customFormat="1" x14ac:dyDescent="0.25">
      <c r="C112" s="658"/>
      <c r="D112" s="658"/>
      <c r="M112" s="282"/>
      <c r="N112" s="157"/>
      <c r="O112" s="308"/>
      <c r="P112" s="308"/>
    </row>
    <row r="113" spans="3:16" s="159" customFormat="1" x14ac:dyDescent="0.25">
      <c r="C113" s="658"/>
      <c r="D113" s="658"/>
      <c r="M113" s="282"/>
      <c r="N113" s="157"/>
      <c r="O113" s="308"/>
      <c r="P113" s="308"/>
    </row>
    <row r="114" spans="3:16" s="159" customFormat="1" x14ac:dyDescent="0.25">
      <c r="C114" s="658"/>
      <c r="D114" s="658"/>
      <c r="M114" s="282"/>
      <c r="N114" s="157"/>
      <c r="O114" s="308"/>
      <c r="P114" s="308"/>
    </row>
    <row r="115" spans="3:16" s="159" customFormat="1" x14ac:dyDescent="0.25">
      <c r="C115" s="658"/>
      <c r="D115" s="658"/>
      <c r="M115" s="282"/>
      <c r="N115" s="157"/>
      <c r="O115" s="308"/>
      <c r="P115" s="308"/>
    </row>
    <row r="116" spans="3:16" s="159" customFormat="1" x14ac:dyDescent="0.25">
      <c r="C116" s="658"/>
      <c r="D116" s="658"/>
      <c r="M116" s="282"/>
      <c r="N116" s="157"/>
      <c r="O116" s="308"/>
      <c r="P116" s="308"/>
    </row>
    <row r="117" spans="3:16" s="159" customFormat="1" x14ac:dyDescent="0.25">
      <c r="C117" s="658"/>
      <c r="D117" s="658"/>
      <c r="M117" s="282"/>
      <c r="N117" s="157"/>
      <c r="O117" s="308"/>
      <c r="P117" s="308"/>
    </row>
    <row r="118" spans="3:16" s="159" customFormat="1" x14ac:dyDescent="0.25">
      <c r="C118" s="658"/>
      <c r="D118" s="658"/>
      <c r="M118" s="282"/>
      <c r="N118" s="157"/>
      <c r="O118" s="308"/>
      <c r="P118" s="308"/>
    </row>
    <row r="119" spans="3:16" s="159" customFormat="1" x14ac:dyDescent="0.25">
      <c r="C119" s="658"/>
      <c r="D119" s="658"/>
      <c r="M119" s="282"/>
      <c r="N119" s="157"/>
      <c r="O119" s="308"/>
      <c r="P119" s="308"/>
    </row>
    <row r="120" spans="3:16" s="159" customFormat="1" x14ac:dyDescent="0.25">
      <c r="C120" s="658"/>
      <c r="D120" s="658"/>
      <c r="M120" s="282"/>
      <c r="N120" s="157"/>
      <c r="O120" s="308"/>
      <c r="P120" s="308"/>
    </row>
    <row r="121" spans="3:16" s="159" customFormat="1" x14ac:dyDescent="0.25">
      <c r="C121" s="658"/>
      <c r="D121" s="658"/>
      <c r="M121" s="282"/>
      <c r="N121" s="157"/>
      <c r="O121" s="308"/>
      <c r="P121" s="308"/>
    </row>
    <row r="122" spans="3:16" s="159" customFormat="1" x14ac:dyDescent="0.25">
      <c r="C122" s="658"/>
      <c r="D122" s="658"/>
      <c r="M122" s="282"/>
      <c r="N122" s="157"/>
      <c r="O122" s="308"/>
      <c r="P122" s="308"/>
    </row>
    <row r="123" spans="3:16" s="159" customFormat="1" x14ac:dyDescent="0.25">
      <c r="C123" s="658"/>
      <c r="D123" s="658"/>
      <c r="M123" s="282"/>
      <c r="N123" s="157"/>
      <c r="O123" s="308"/>
      <c r="P123" s="308"/>
    </row>
    <row r="124" spans="3:16" s="159" customFormat="1" x14ac:dyDescent="0.25">
      <c r="C124" s="658"/>
      <c r="D124" s="658"/>
      <c r="M124" s="282"/>
      <c r="N124" s="157"/>
      <c r="O124" s="308"/>
      <c r="P124" s="308"/>
    </row>
    <row r="125" spans="3:16" s="159" customFormat="1" x14ac:dyDescent="0.25">
      <c r="C125" s="658"/>
      <c r="D125" s="658"/>
      <c r="M125" s="282"/>
      <c r="N125" s="157"/>
      <c r="O125" s="308"/>
      <c r="P125" s="308"/>
    </row>
    <row r="126" spans="3:16" s="159" customFormat="1" x14ac:dyDescent="0.25">
      <c r="C126" s="658"/>
      <c r="D126" s="658"/>
      <c r="M126" s="282"/>
      <c r="N126" s="157"/>
      <c r="O126" s="308"/>
      <c r="P126" s="308"/>
    </row>
    <row r="127" spans="3:16" s="159" customFormat="1" x14ac:dyDescent="0.25">
      <c r="C127" s="658"/>
      <c r="D127" s="658"/>
      <c r="M127" s="282"/>
      <c r="N127" s="157"/>
      <c r="O127" s="308"/>
      <c r="P127" s="308"/>
    </row>
    <row r="128" spans="3:16" s="159" customFormat="1" x14ac:dyDescent="0.25">
      <c r="C128" s="658"/>
      <c r="D128" s="658"/>
      <c r="M128" s="282"/>
      <c r="N128" s="157"/>
      <c r="O128" s="308"/>
      <c r="P128" s="308"/>
    </row>
    <row r="129" spans="3:16" s="159" customFormat="1" x14ac:dyDescent="0.25">
      <c r="C129" s="658"/>
      <c r="D129" s="658"/>
      <c r="M129" s="282"/>
      <c r="N129" s="157"/>
      <c r="O129" s="308"/>
      <c r="P129" s="308"/>
    </row>
    <row r="130" spans="3:16" s="159" customFormat="1" x14ac:dyDescent="0.25">
      <c r="C130" s="658"/>
      <c r="D130" s="658"/>
      <c r="M130" s="282"/>
      <c r="N130" s="157"/>
      <c r="O130" s="308"/>
      <c r="P130" s="308"/>
    </row>
    <row r="131" spans="3:16" s="159" customFormat="1" x14ac:dyDescent="0.25">
      <c r="C131" s="658"/>
      <c r="D131" s="658"/>
      <c r="M131" s="282"/>
      <c r="N131" s="157"/>
      <c r="O131" s="308"/>
      <c r="P131" s="308"/>
    </row>
    <row r="132" spans="3:16" s="159" customFormat="1" x14ac:dyDescent="0.25">
      <c r="C132" s="658"/>
      <c r="D132" s="658"/>
      <c r="M132" s="282"/>
      <c r="N132" s="157"/>
      <c r="O132" s="308"/>
      <c r="P132" s="308"/>
    </row>
    <row r="133" spans="3:16" s="159" customFormat="1" x14ac:dyDescent="0.25">
      <c r="C133" s="658"/>
      <c r="D133" s="658"/>
      <c r="M133" s="282"/>
      <c r="N133" s="157"/>
      <c r="O133" s="308"/>
      <c r="P133" s="308"/>
    </row>
    <row r="134" spans="3:16" s="159" customFormat="1" x14ac:dyDescent="0.25">
      <c r="C134" s="658"/>
      <c r="D134" s="658"/>
      <c r="M134" s="282"/>
      <c r="N134" s="157"/>
      <c r="O134" s="308"/>
      <c r="P134" s="308"/>
    </row>
    <row r="135" spans="3:16" s="159" customFormat="1" x14ac:dyDescent="0.25">
      <c r="C135" s="658"/>
      <c r="D135" s="658"/>
      <c r="M135" s="282"/>
      <c r="N135" s="157"/>
      <c r="O135" s="308"/>
      <c r="P135" s="308"/>
    </row>
    <row r="136" spans="3:16" s="159" customFormat="1" x14ac:dyDescent="0.25">
      <c r="C136" s="658"/>
      <c r="D136" s="658"/>
      <c r="M136" s="282"/>
      <c r="N136" s="157"/>
      <c r="O136" s="308"/>
      <c r="P136" s="308"/>
    </row>
    <row r="137" spans="3:16" s="159" customFormat="1" x14ac:dyDescent="0.25">
      <c r="C137" s="658"/>
      <c r="D137" s="658"/>
      <c r="M137" s="282"/>
      <c r="N137" s="157"/>
      <c r="O137" s="308"/>
      <c r="P137" s="308"/>
    </row>
    <row r="138" spans="3:16" s="159" customFormat="1" x14ac:dyDescent="0.25">
      <c r="C138" s="658"/>
      <c r="D138" s="658"/>
      <c r="M138" s="282"/>
      <c r="N138" s="157"/>
      <c r="O138" s="308"/>
      <c r="P138" s="308"/>
    </row>
    <row r="139" spans="3:16" s="159" customFormat="1" x14ac:dyDescent="0.25">
      <c r="C139" s="658"/>
      <c r="D139" s="658"/>
      <c r="M139" s="282"/>
      <c r="N139" s="157"/>
      <c r="O139" s="308"/>
      <c r="P139" s="308"/>
    </row>
    <row r="140" spans="3:16" s="159" customFormat="1" x14ac:dyDescent="0.25">
      <c r="C140" s="658"/>
      <c r="D140" s="658"/>
      <c r="M140" s="282"/>
      <c r="N140" s="157"/>
      <c r="O140" s="308"/>
      <c r="P140" s="308"/>
    </row>
    <row r="141" spans="3:16" s="159" customFormat="1" x14ac:dyDescent="0.25">
      <c r="C141" s="658"/>
      <c r="D141" s="658"/>
      <c r="M141" s="282"/>
      <c r="N141" s="157"/>
      <c r="O141" s="308"/>
      <c r="P141" s="308"/>
    </row>
    <row r="142" spans="3:16" s="159" customFormat="1" x14ac:dyDescent="0.25">
      <c r="C142" s="658"/>
      <c r="D142" s="658"/>
      <c r="M142" s="282"/>
      <c r="N142" s="157"/>
      <c r="O142" s="308"/>
      <c r="P142" s="308"/>
    </row>
    <row r="143" spans="3:16" s="159" customFormat="1" x14ac:dyDescent="0.25">
      <c r="C143" s="658"/>
      <c r="D143" s="658"/>
      <c r="M143" s="282"/>
      <c r="N143" s="157"/>
      <c r="O143" s="308"/>
      <c r="P143" s="308"/>
    </row>
    <row r="144" spans="3:16" s="159" customFormat="1" x14ac:dyDescent="0.25">
      <c r="C144" s="658"/>
      <c r="D144" s="658"/>
      <c r="M144" s="282"/>
      <c r="N144" s="157"/>
      <c r="O144" s="308"/>
      <c r="P144" s="308"/>
    </row>
    <row r="145" spans="3:16" s="159" customFormat="1" x14ac:dyDescent="0.25">
      <c r="C145" s="658"/>
      <c r="D145" s="658"/>
      <c r="M145" s="282"/>
      <c r="N145" s="157"/>
      <c r="O145" s="308"/>
      <c r="P145" s="308"/>
    </row>
    <row r="146" spans="3:16" s="159" customFormat="1" x14ac:dyDescent="0.25">
      <c r="C146" s="658"/>
      <c r="D146" s="658"/>
      <c r="M146" s="282"/>
      <c r="N146" s="157"/>
      <c r="O146" s="308"/>
      <c r="P146" s="308"/>
    </row>
    <row r="147" spans="3:16" s="159" customFormat="1" x14ac:dyDescent="0.25">
      <c r="C147" s="658"/>
      <c r="D147" s="658"/>
      <c r="M147" s="282"/>
      <c r="N147" s="157"/>
      <c r="O147" s="308"/>
      <c r="P147" s="308"/>
    </row>
    <row r="148" spans="3:16" s="159" customFormat="1" x14ac:dyDescent="0.25">
      <c r="C148" s="658"/>
      <c r="D148" s="658"/>
      <c r="M148" s="282"/>
      <c r="N148" s="157"/>
      <c r="O148" s="308"/>
      <c r="P148" s="308"/>
    </row>
    <row r="149" spans="3:16" s="159" customFormat="1" x14ac:dyDescent="0.25">
      <c r="C149" s="658"/>
      <c r="D149" s="658"/>
      <c r="M149" s="282"/>
      <c r="N149" s="157"/>
      <c r="O149" s="308"/>
      <c r="P149" s="308"/>
    </row>
    <row r="150" spans="3:16" s="159" customFormat="1" x14ac:dyDescent="0.25">
      <c r="C150" s="658"/>
      <c r="D150" s="658"/>
      <c r="M150" s="282"/>
      <c r="N150" s="157"/>
      <c r="O150" s="308"/>
      <c r="P150" s="308"/>
    </row>
    <row r="151" spans="3:16" s="159" customFormat="1" x14ac:dyDescent="0.25">
      <c r="C151" s="658"/>
      <c r="D151" s="658"/>
      <c r="M151" s="282"/>
      <c r="N151" s="157"/>
      <c r="O151" s="308"/>
      <c r="P151" s="308"/>
    </row>
    <row r="152" spans="3:16" s="159" customFormat="1" x14ac:dyDescent="0.25">
      <c r="C152" s="658"/>
      <c r="D152" s="658"/>
      <c r="M152" s="282"/>
      <c r="N152" s="157"/>
      <c r="O152" s="308"/>
      <c r="P152" s="308"/>
    </row>
    <row r="153" spans="3:16" s="159" customFormat="1" x14ac:dyDescent="0.25">
      <c r="C153" s="658"/>
      <c r="D153" s="658"/>
      <c r="M153" s="282"/>
      <c r="N153" s="157"/>
      <c r="O153" s="308"/>
      <c r="P153" s="308"/>
    </row>
    <row r="154" spans="3:16" s="159" customFormat="1" x14ac:dyDescent="0.25">
      <c r="C154" s="658"/>
      <c r="D154" s="658"/>
      <c r="M154" s="282"/>
      <c r="N154" s="157"/>
      <c r="O154" s="308"/>
      <c r="P154" s="308"/>
    </row>
    <row r="155" spans="3:16" s="159" customFormat="1" x14ac:dyDescent="0.25">
      <c r="C155" s="658"/>
      <c r="D155" s="658"/>
      <c r="M155" s="282"/>
      <c r="N155" s="157"/>
      <c r="O155" s="308"/>
      <c r="P155" s="308"/>
    </row>
    <row r="156" spans="3:16" s="159" customFormat="1" x14ac:dyDescent="0.25">
      <c r="C156" s="658"/>
      <c r="D156" s="658"/>
      <c r="M156" s="282"/>
      <c r="N156" s="157"/>
      <c r="O156" s="308"/>
      <c r="P156" s="308"/>
    </row>
    <row r="157" spans="3:16" s="159" customFormat="1" x14ac:dyDescent="0.25">
      <c r="C157" s="658"/>
      <c r="D157" s="658"/>
      <c r="M157" s="282"/>
      <c r="N157" s="157"/>
      <c r="O157" s="308"/>
      <c r="P157" s="308"/>
    </row>
    <row r="158" spans="3:16" s="159" customFormat="1" x14ac:dyDescent="0.25">
      <c r="C158" s="658"/>
      <c r="D158" s="658"/>
      <c r="M158" s="282"/>
      <c r="N158" s="157"/>
      <c r="O158" s="308"/>
      <c r="P158" s="308"/>
    </row>
    <row r="159" spans="3:16" s="159" customFormat="1" x14ac:dyDescent="0.25">
      <c r="C159" s="658"/>
      <c r="D159" s="658"/>
      <c r="M159" s="282"/>
      <c r="N159" s="157"/>
      <c r="O159" s="308"/>
      <c r="P159" s="308"/>
    </row>
    <row r="160" spans="3:16" s="159" customFormat="1" x14ac:dyDescent="0.25">
      <c r="C160" s="658"/>
      <c r="D160" s="658"/>
      <c r="M160" s="282"/>
      <c r="N160" s="157"/>
      <c r="O160" s="308"/>
      <c r="P160" s="308"/>
    </row>
    <row r="161" spans="3:16" s="159" customFormat="1" x14ac:dyDescent="0.25">
      <c r="C161" s="658"/>
      <c r="D161" s="658"/>
      <c r="M161" s="282"/>
      <c r="N161" s="157"/>
      <c r="O161" s="308"/>
      <c r="P161" s="308"/>
    </row>
    <row r="162" spans="3:16" s="159" customFormat="1" x14ac:dyDescent="0.25">
      <c r="C162" s="658"/>
      <c r="D162" s="658"/>
      <c r="M162" s="282"/>
      <c r="N162" s="157"/>
      <c r="O162" s="308"/>
      <c r="P162" s="308"/>
    </row>
    <row r="163" spans="3:16" s="159" customFormat="1" x14ac:dyDescent="0.25">
      <c r="C163" s="658"/>
      <c r="D163" s="658"/>
      <c r="M163" s="282"/>
      <c r="N163" s="157"/>
      <c r="O163" s="308"/>
      <c r="P163" s="308"/>
    </row>
    <row r="164" spans="3:16" s="159" customFormat="1" x14ac:dyDescent="0.25">
      <c r="C164" s="658"/>
      <c r="D164" s="658"/>
      <c r="M164" s="282"/>
      <c r="N164" s="157"/>
      <c r="O164" s="308"/>
      <c r="P164" s="308"/>
    </row>
    <row r="165" spans="3:16" s="159" customFormat="1" x14ac:dyDescent="0.25">
      <c r="C165" s="658"/>
      <c r="D165" s="658"/>
      <c r="M165" s="282"/>
      <c r="N165" s="157"/>
      <c r="O165" s="308"/>
      <c r="P165" s="308"/>
    </row>
    <row r="166" spans="3:16" s="159" customFormat="1" x14ac:dyDescent="0.25">
      <c r="C166" s="658"/>
      <c r="D166" s="658"/>
      <c r="M166" s="282"/>
      <c r="N166" s="157"/>
      <c r="O166" s="308"/>
      <c r="P166" s="308"/>
    </row>
    <row r="167" spans="3:16" s="159" customFormat="1" x14ac:dyDescent="0.25">
      <c r="C167" s="658"/>
      <c r="D167" s="658"/>
      <c r="M167" s="282"/>
      <c r="N167" s="157"/>
      <c r="O167" s="308"/>
      <c r="P167" s="308"/>
    </row>
    <row r="168" spans="3:16" s="159" customFormat="1" x14ac:dyDescent="0.25">
      <c r="C168" s="658"/>
      <c r="D168" s="658"/>
      <c r="M168" s="282"/>
      <c r="N168" s="157"/>
      <c r="O168" s="308"/>
      <c r="P168" s="308"/>
    </row>
    <row r="169" spans="3:16" s="159" customFormat="1" x14ac:dyDescent="0.25">
      <c r="C169" s="658"/>
      <c r="D169" s="658"/>
      <c r="M169" s="282"/>
      <c r="N169" s="157"/>
      <c r="O169" s="308"/>
      <c r="P169" s="308"/>
    </row>
    <row r="170" spans="3:16" s="159" customFormat="1" x14ac:dyDescent="0.25">
      <c r="C170" s="658"/>
      <c r="D170" s="658"/>
      <c r="M170" s="282"/>
      <c r="N170" s="157"/>
      <c r="O170" s="308"/>
      <c r="P170" s="308"/>
    </row>
    <row r="171" spans="3:16" s="159" customFormat="1" x14ac:dyDescent="0.25">
      <c r="C171" s="658"/>
      <c r="D171" s="658"/>
      <c r="M171" s="282"/>
      <c r="N171" s="157"/>
      <c r="O171" s="308"/>
      <c r="P171" s="308"/>
    </row>
    <row r="172" spans="3:16" s="159" customFormat="1" x14ac:dyDescent="0.25">
      <c r="C172" s="658"/>
      <c r="D172" s="658"/>
      <c r="M172" s="282"/>
      <c r="N172" s="157"/>
      <c r="O172" s="308"/>
      <c r="P172" s="308"/>
    </row>
    <row r="173" spans="3:16" s="159" customFormat="1" x14ac:dyDescent="0.25">
      <c r="C173" s="658"/>
      <c r="D173" s="658"/>
      <c r="M173" s="282"/>
      <c r="N173" s="157"/>
      <c r="O173" s="308"/>
      <c r="P173" s="308"/>
    </row>
    <row r="174" spans="3:16" s="159" customFormat="1" x14ac:dyDescent="0.25">
      <c r="C174" s="658"/>
      <c r="D174" s="658"/>
      <c r="M174" s="282"/>
      <c r="N174" s="157"/>
      <c r="O174" s="308"/>
      <c r="P174" s="308"/>
    </row>
    <row r="175" spans="3:16" s="159" customFormat="1" x14ac:dyDescent="0.25">
      <c r="C175" s="658"/>
      <c r="D175" s="658"/>
      <c r="M175" s="282"/>
      <c r="N175" s="157"/>
      <c r="O175" s="308"/>
      <c r="P175" s="308"/>
    </row>
    <row r="176" spans="3:16" s="159" customFormat="1" x14ac:dyDescent="0.25">
      <c r="C176" s="658"/>
      <c r="D176" s="658"/>
      <c r="M176" s="282"/>
      <c r="N176" s="157"/>
      <c r="O176" s="308"/>
      <c r="P176" s="308"/>
    </row>
    <row r="177" spans="3:16" s="159" customFormat="1" x14ac:dyDescent="0.25">
      <c r="C177" s="658"/>
      <c r="D177" s="658"/>
      <c r="M177" s="282"/>
      <c r="N177" s="157"/>
      <c r="O177" s="308"/>
      <c r="P177" s="308"/>
    </row>
    <row r="178" spans="3:16" s="159" customFormat="1" x14ac:dyDescent="0.25">
      <c r="C178" s="658"/>
      <c r="D178" s="658"/>
      <c r="M178" s="282"/>
      <c r="N178" s="157"/>
      <c r="O178" s="308"/>
      <c r="P178" s="308"/>
    </row>
    <row r="179" spans="3:16" s="159" customFormat="1" x14ac:dyDescent="0.25">
      <c r="C179" s="658"/>
      <c r="D179" s="658"/>
      <c r="M179" s="282"/>
      <c r="N179" s="157"/>
      <c r="O179" s="308"/>
      <c r="P179" s="308"/>
    </row>
    <row r="180" spans="3:16" s="159" customFormat="1" x14ac:dyDescent="0.25">
      <c r="C180" s="658"/>
      <c r="D180" s="658"/>
      <c r="M180" s="282"/>
      <c r="N180" s="157"/>
      <c r="O180" s="308"/>
      <c r="P180" s="308"/>
    </row>
    <row r="181" spans="3:16" s="159" customFormat="1" x14ac:dyDescent="0.25">
      <c r="C181" s="658"/>
      <c r="D181" s="658"/>
      <c r="M181" s="282"/>
      <c r="N181" s="157"/>
      <c r="O181" s="308"/>
      <c r="P181" s="308"/>
    </row>
    <row r="182" spans="3:16" s="159" customFormat="1" x14ac:dyDescent="0.25">
      <c r="C182" s="658"/>
      <c r="D182" s="658"/>
      <c r="M182" s="282"/>
      <c r="N182" s="157"/>
      <c r="O182" s="308"/>
      <c r="P182" s="308"/>
    </row>
    <row r="183" spans="3:16" s="159" customFormat="1" x14ac:dyDescent="0.25">
      <c r="C183" s="658"/>
      <c r="D183" s="658"/>
      <c r="M183" s="282"/>
      <c r="N183" s="157"/>
      <c r="O183" s="308"/>
      <c r="P183" s="308"/>
    </row>
    <row r="184" spans="3:16" s="159" customFormat="1" x14ac:dyDescent="0.25">
      <c r="C184" s="658"/>
      <c r="D184" s="658"/>
      <c r="M184" s="282"/>
      <c r="N184" s="157"/>
      <c r="O184" s="308"/>
      <c r="P184" s="308"/>
    </row>
    <row r="185" spans="3:16" s="159" customFormat="1" x14ac:dyDescent="0.25">
      <c r="C185" s="658"/>
      <c r="D185" s="658"/>
      <c r="M185" s="282"/>
      <c r="N185" s="157"/>
      <c r="O185" s="308"/>
      <c r="P185" s="308"/>
    </row>
    <row r="186" spans="3:16" s="159" customFormat="1" x14ac:dyDescent="0.25">
      <c r="C186" s="658"/>
      <c r="D186" s="658"/>
      <c r="M186" s="282"/>
      <c r="N186" s="157"/>
      <c r="O186" s="308"/>
      <c r="P186" s="308"/>
    </row>
    <row r="187" spans="3:16" s="159" customFormat="1" x14ac:dyDescent="0.25">
      <c r="C187" s="658"/>
      <c r="D187" s="658"/>
      <c r="M187" s="282"/>
      <c r="N187" s="157"/>
      <c r="O187" s="308"/>
      <c r="P187" s="308"/>
    </row>
    <row r="188" spans="3:16" s="159" customFormat="1" x14ac:dyDescent="0.25">
      <c r="C188" s="658"/>
      <c r="D188" s="658"/>
      <c r="M188" s="282"/>
      <c r="N188" s="157"/>
      <c r="O188" s="308"/>
      <c r="P188" s="308"/>
    </row>
    <row r="189" spans="3:16" s="159" customFormat="1" x14ac:dyDescent="0.25">
      <c r="C189" s="658"/>
      <c r="D189" s="658"/>
      <c r="M189" s="282"/>
      <c r="N189" s="157"/>
      <c r="O189" s="308"/>
      <c r="P189" s="308"/>
    </row>
    <row r="190" spans="3:16" s="159" customFormat="1" x14ac:dyDescent="0.25">
      <c r="C190" s="658"/>
      <c r="D190" s="658"/>
      <c r="M190" s="282"/>
      <c r="N190" s="157"/>
      <c r="O190" s="308"/>
      <c r="P190" s="308"/>
    </row>
    <row r="191" spans="3:16" s="159" customFormat="1" x14ac:dyDescent="0.25">
      <c r="C191" s="658"/>
      <c r="D191" s="658"/>
      <c r="M191" s="282"/>
      <c r="N191" s="157"/>
      <c r="O191" s="308"/>
      <c r="P191" s="308"/>
    </row>
    <row r="192" spans="3:16" s="159" customFormat="1" x14ac:dyDescent="0.25">
      <c r="C192" s="658"/>
      <c r="D192" s="658"/>
      <c r="M192" s="282"/>
      <c r="N192" s="157"/>
      <c r="O192" s="308"/>
      <c r="P192" s="308"/>
    </row>
    <row r="193" spans="3:16" s="159" customFormat="1" x14ac:dyDescent="0.25">
      <c r="C193" s="658"/>
      <c r="D193" s="658"/>
      <c r="M193" s="282"/>
      <c r="N193" s="157"/>
      <c r="O193" s="308"/>
      <c r="P193" s="308"/>
    </row>
    <row r="194" spans="3:16" s="159" customFormat="1" x14ac:dyDescent="0.25">
      <c r="C194" s="658"/>
      <c r="D194" s="658"/>
      <c r="M194" s="282"/>
      <c r="N194" s="157"/>
      <c r="O194" s="308"/>
      <c r="P194" s="308"/>
    </row>
    <row r="195" spans="3:16" s="159" customFormat="1" x14ac:dyDescent="0.25">
      <c r="C195" s="658"/>
      <c r="D195" s="658"/>
      <c r="M195" s="282"/>
      <c r="N195" s="157"/>
      <c r="O195" s="308"/>
      <c r="P195" s="308"/>
    </row>
    <row r="196" spans="3:16" s="159" customFormat="1" x14ac:dyDescent="0.25">
      <c r="C196" s="658"/>
      <c r="D196" s="658"/>
      <c r="M196" s="282"/>
      <c r="N196" s="157"/>
      <c r="O196" s="308"/>
      <c r="P196" s="308"/>
    </row>
    <row r="197" spans="3:16" s="159" customFormat="1" x14ac:dyDescent="0.25">
      <c r="C197" s="658"/>
      <c r="D197" s="658"/>
      <c r="M197" s="282"/>
      <c r="N197" s="157"/>
      <c r="O197" s="308"/>
      <c r="P197" s="308"/>
    </row>
    <row r="198" spans="3:16" s="159" customFormat="1" x14ac:dyDescent="0.25">
      <c r="C198" s="658"/>
      <c r="D198" s="658"/>
      <c r="M198" s="282"/>
      <c r="N198" s="157"/>
      <c r="O198" s="308"/>
      <c r="P198" s="308"/>
    </row>
    <row r="199" spans="3:16" s="159" customFormat="1" x14ac:dyDescent="0.25">
      <c r="C199" s="658"/>
      <c r="D199" s="658"/>
      <c r="M199" s="282"/>
      <c r="N199" s="157"/>
      <c r="O199" s="308"/>
      <c r="P199" s="308"/>
    </row>
    <row r="200" spans="3:16" s="159" customFormat="1" x14ac:dyDescent="0.25">
      <c r="C200" s="658"/>
      <c r="D200" s="658"/>
      <c r="M200" s="282"/>
      <c r="N200" s="157"/>
      <c r="O200" s="308"/>
      <c r="P200" s="308"/>
    </row>
    <row r="201" spans="3:16" s="159" customFormat="1" x14ac:dyDescent="0.25">
      <c r="C201" s="658"/>
      <c r="D201" s="658"/>
      <c r="M201" s="282"/>
      <c r="N201" s="157"/>
      <c r="O201" s="308"/>
      <c r="P201" s="308"/>
    </row>
    <row r="202" spans="3:16" s="159" customFormat="1" x14ac:dyDescent="0.25">
      <c r="C202" s="658"/>
      <c r="D202" s="658"/>
      <c r="M202" s="282"/>
      <c r="N202" s="157"/>
      <c r="O202" s="308"/>
      <c r="P202" s="308"/>
    </row>
    <row r="203" spans="3:16" s="159" customFormat="1" x14ac:dyDescent="0.25">
      <c r="C203" s="658"/>
      <c r="D203" s="658"/>
      <c r="M203" s="282"/>
      <c r="N203" s="157"/>
      <c r="O203" s="308"/>
      <c r="P203" s="308"/>
    </row>
    <row r="204" spans="3:16" s="159" customFormat="1" x14ac:dyDescent="0.25">
      <c r="C204" s="658"/>
      <c r="D204" s="658"/>
      <c r="M204" s="282"/>
      <c r="N204" s="157"/>
      <c r="O204" s="308"/>
      <c r="P204" s="308"/>
    </row>
    <row r="205" spans="3:16" s="159" customFormat="1" x14ac:dyDescent="0.25">
      <c r="C205" s="658"/>
      <c r="D205" s="658"/>
      <c r="M205" s="282"/>
      <c r="N205" s="157"/>
      <c r="O205" s="308"/>
      <c r="P205" s="308"/>
    </row>
    <row r="206" spans="3:16" s="159" customFormat="1" x14ac:dyDescent="0.25">
      <c r="C206" s="658"/>
      <c r="D206" s="658"/>
      <c r="M206" s="282"/>
      <c r="N206" s="157"/>
      <c r="O206" s="308"/>
      <c r="P206" s="308"/>
    </row>
    <row r="207" spans="3:16" s="159" customFormat="1" x14ac:dyDescent="0.25">
      <c r="C207" s="658"/>
      <c r="D207" s="658"/>
      <c r="M207" s="282"/>
      <c r="N207" s="157"/>
      <c r="O207" s="308"/>
      <c r="P207" s="308"/>
    </row>
    <row r="208" spans="3:16" s="159" customFormat="1" x14ac:dyDescent="0.25">
      <c r="C208" s="658"/>
      <c r="D208" s="658"/>
      <c r="M208" s="282"/>
      <c r="N208" s="157"/>
      <c r="O208" s="308"/>
      <c r="P208" s="308"/>
    </row>
    <row r="209" spans="3:16" s="159" customFormat="1" x14ac:dyDescent="0.25">
      <c r="C209" s="658"/>
      <c r="D209" s="658"/>
      <c r="M209" s="282"/>
      <c r="N209" s="157"/>
      <c r="O209" s="308"/>
      <c r="P209" s="308"/>
    </row>
    <row r="210" spans="3:16" s="159" customFormat="1" x14ac:dyDescent="0.25">
      <c r="C210" s="658"/>
      <c r="D210" s="658"/>
      <c r="M210" s="282"/>
      <c r="N210" s="157"/>
      <c r="O210" s="308"/>
      <c r="P210" s="308"/>
    </row>
    <row r="211" spans="3:16" s="159" customFormat="1" x14ac:dyDescent="0.25">
      <c r="C211" s="658"/>
      <c r="D211" s="658"/>
      <c r="M211" s="282"/>
      <c r="N211" s="157"/>
      <c r="O211" s="308"/>
      <c r="P211" s="308"/>
    </row>
    <row r="212" spans="3:16" s="159" customFormat="1" x14ac:dyDescent="0.25">
      <c r="C212" s="658"/>
      <c r="D212" s="658"/>
      <c r="M212" s="282"/>
      <c r="N212" s="157"/>
      <c r="O212" s="308"/>
      <c r="P212" s="308"/>
    </row>
    <row r="213" spans="3:16" s="159" customFormat="1" x14ac:dyDescent="0.25">
      <c r="C213" s="658"/>
      <c r="D213" s="658"/>
      <c r="M213" s="282"/>
      <c r="N213" s="157"/>
      <c r="O213" s="308"/>
      <c r="P213" s="308"/>
    </row>
    <row r="214" spans="3:16" s="159" customFormat="1" x14ac:dyDescent="0.25">
      <c r="C214" s="658"/>
      <c r="D214" s="658"/>
      <c r="M214" s="282"/>
      <c r="N214" s="157"/>
      <c r="O214" s="308"/>
      <c r="P214" s="308"/>
    </row>
    <row r="215" spans="3:16" s="159" customFormat="1" x14ac:dyDescent="0.25">
      <c r="C215" s="658"/>
      <c r="D215" s="658"/>
      <c r="M215" s="282"/>
      <c r="N215" s="157"/>
      <c r="O215" s="308"/>
      <c r="P215" s="308"/>
    </row>
    <row r="216" spans="3:16" s="159" customFormat="1" x14ac:dyDescent="0.25">
      <c r="C216" s="658"/>
      <c r="D216" s="658"/>
      <c r="M216" s="282"/>
      <c r="N216" s="157"/>
      <c r="O216" s="308"/>
      <c r="P216" s="308"/>
    </row>
    <row r="217" spans="3:16" s="159" customFormat="1" x14ac:dyDescent="0.25">
      <c r="C217" s="658"/>
      <c r="D217" s="658"/>
      <c r="M217" s="282"/>
      <c r="N217" s="157"/>
      <c r="O217" s="308"/>
      <c r="P217" s="308"/>
    </row>
    <row r="218" spans="3:16" s="159" customFormat="1" x14ac:dyDescent="0.25">
      <c r="C218" s="658"/>
      <c r="D218" s="658"/>
      <c r="M218" s="282"/>
      <c r="N218" s="157"/>
      <c r="O218" s="308"/>
      <c r="P218" s="308"/>
    </row>
    <row r="219" spans="3:16" s="159" customFormat="1" x14ac:dyDescent="0.25">
      <c r="C219" s="658"/>
      <c r="D219" s="658"/>
      <c r="M219" s="282"/>
      <c r="N219" s="157"/>
      <c r="O219" s="308"/>
      <c r="P219" s="308"/>
    </row>
    <row r="220" spans="3:16" s="159" customFormat="1" x14ac:dyDescent="0.25">
      <c r="C220" s="658"/>
      <c r="D220" s="658"/>
      <c r="M220" s="282"/>
      <c r="N220" s="157"/>
      <c r="O220" s="308"/>
      <c r="P220" s="308"/>
    </row>
    <row r="221" spans="3:16" s="159" customFormat="1" x14ac:dyDescent="0.25">
      <c r="C221" s="658"/>
      <c r="D221" s="658"/>
      <c r="M221" s="282"/>
      <c r="N221" s="157"/>
      <c r="O221" s="308"/>
      <c r="P221" s="308"/>
    </row>
    <row r="222" spans="3:16" s="159" customFormat="1" x14ac:dyDescent="0.25">
      <c r="C222" s="658"/>
      <c r="D222" s="658"/>
      <c r="M222" s="282"/>
      <c r="N222" s="157"/>
      <c r="O222" s="308"/>
      <c r="P222" s="308"/>
    </row>
    <row r="223" spans="3:16" s="159" customFormat="1" x14ac:dyDescent="0.25">
      <c r="C223" s="658"/>
      <c r="D223" s="658"/>
      <c r="M223" s="282"/>
      <c r="N223" s="157"/>
      <c r="O223" s="308"/>
      <c r="P223" s="308"/>
    </row>
    <row r="224" spans="3:16" s="159" customFormat="1" x14ac:dyDescent="0.25">
      <c r="C224" s="658"/>
      <c r="D224" s="658"/>
      <c r="M224" s="282"/>
      <c r="N224" s="157"/>
      <c r="O224" s="308"/>
      <c r="P224" s="308"/>
    </row>
    <row r="225" spans="3:16" s="159" customFormat="1" x14ac:dyDescent="0.25">
      <c r="C225" s="658"/>
      <c r="D225" s="658"/>
      <c r="M225" s="282"/>
      <c r="N225" s="157"/>
      <c r="O225" s="308"/>
      <c r="P225" s="308"/>
    </row>
    <row r="226" spans="3:16" s="159" customFormat="1" x14ac:dyDescent="0.25">
      <c r="C226" s="658"/>
      <c r="D226" s="658"/>
      <c r="M226" s="282"/>
      <c r="N226" s="157"/>
      <c r="O226" s="308"/>
      <c r="P226" s="308"/>
    </row>
    <row r="227" spans="3:16" s="159" customFormat="1" x14ac:dyDescent="0.25">
      <c r="C227" s="658"/>
      <c r="D227" s="658"/>
      <c r="M227" s="282"/>
      <c r="N227" s="157"/>
      <c r="O227" s="308"/>
      <c r="P227" s="308"/>
    </row>
    <row r="228" spans="3:16" s="159" customFormat="1" x14ac:dyDescent="0.25">
      <c r="C228" s="658"/>
      <c r="D228" s="658"/>
      <c r="M228" s="282"/>
      <c r="N228" s="157"/>
      <c r="O228" s="308"/>
      <c r="P228" s="308"/>
    </row>
    <row r="229" spans="3:16" s="159" customFormat="1" x14ac:dyDescent="0.25">
      <c r="C229" s="658"/>
      <c r="D229" s="658"/>
      <c r="M229" s="282"/>
      <c r="N229" s="157"/>
      <c r="O229" s="308"/>
      <c r="P229" s="308"/>
    </row>
    <row r="230" spans="3:16" s="159" customFormat="1" x14ac:dyDescent="0.25">
      <c r="C230" s="658"/>
      <c r="D230" s="658"/>
      <c r="M230" s="282"/>
      <c r="N230" s="157"/>
      <c r="O230" s="308"/>
      <c r="P230" s="308"/>
    </row>
    <row r="231" spans="3:16" s="159" customFormat="1" x14ac:dyDescent="0.25">
      <c r="C231" s="658"/>
      <c r="D231" s="658"/>
      <c r="M231" s="282"/>
      <c r="N231" s="157"/>
      <c r="O231" s="308"/>
      <c r="P231" s="308"/>
    </row>
    <row r="232" spans="3:16" s="159" customFormat="1" x14ac:dyDescent="0.25">
      <c r="C232" s="658"/>
      <c r="D232" s="658"/>
      <c r="M232" s="282"/>
      <c r="N232" s="157"/>
      <c r="O232" s="308"/>
      <c r="P232" s="308"/>
    </row>
    <row r="233" spans="3:16" s="159" customFormat="1" x14ac:dyDescent="0.25">
      <c r="C233" s="658"/>
      <c r="D233" s="658"/>
      <c r="M233" s="282"/>
      <c r="N233" s="157"/>
      <c r="O233" s="308"/>
      <c r="P233" s="308"/>
    </row>
    <row r="234" spans="3:16" s="159" customFormat="1" x14ac:dyDescent="0.25">
      <c r="C234" s="658"/>
      <c r="D234" s="658"/>
      <c r="M234" s="282"/>
      <c r="N234" s="157"/>
      <c r="O234" s="308"/>
      <c r="P234" s="308"/>
    </row>
    <row r="235" spans="3:16" s="159" customFormat="1" x14ac:dyDescent="0.25">
      <c r="C235" s="658"/>
      <c r="D235" s="658"/>
      <c r="M235" s="282"/>
      <c r="N235" s="157"/>
      <c r="O235" s="308"/>
      <c r="P235" s="308"/>
    </row>
    <row r="236" spans="3:16" s="159" customFormat="1" x14ac:dyDescent="0.25">
      <c r="C236" s="658"/>
      <c r="D236" s="658"/>
      <c r="M236" s="282"/>
      <c r="N236" s="157"/>
      <c r="O236" s="308"/>
      <c r="P236" s="308"/>
    </row>
    <row r="237" spans="3:16" s="159" customFormat="1" x14ac:dyDescent="0.25">
      <c r="C237" s="658"/>
      <c r="D237" s="658"/>
      <c r="M237" s="282"/>
      <c r="N237" s="157"/>
      <c r="O237" s="308"/>
      <c r="P237" s="308"/>
    </row>
    <row r="238" spans="3:16" s="159" customFormat="1" x14ac:dyDescent="0.25">
      <c r="C238" s="658"/>
      <c r="D238" s="658"/>
      <c r="M238" s="282"/>
      <c r="N238" s="157"/>
      <c r="O238" s="308"/>
      <c r="P238" s="308"/>
    </row>
    <row r="239" spans="3:16" s="159" customFormat="1" x14ac:dyDescent="0.25">
      <c r="C239" s="658"/>
      <c r="D239" s="658"/>
      <c r="M239" s="282"/>
      <c r="N239" s="157"/>
      <c r="O239" s="308"/>
      <c r="P239" s="308"/>
    </row>
    <row r="240" spans="3:16" s="159" customFormat="1" x14ac:dyDescent="0.25">
      <c r="C240" s="658"/>
      <c r="D240" s="658"/>
      <c r="M240" s="282"/>
      <c r="N240" s="157"/>
      <c r="O240" s="308"/>
      <c r="P240" s="308"/>
    </row>
    <row r="241" spans="3:16" s="159" customFormat="1" x14ac:dyDescent="0.25">
      <c r="C241" s="658"/>
      <c r="D241" s="658"/>
      <c r="M241" s="282"/>
      <c r="N241" s="157"/>
      <c r="O241" s="308"/>
      <c r="P241" s="308"/>
    </row>
    <row r="242" spans="3:16" s="159" customFormat="1" x14ac:dyDescent="0.25">
      <c r="C242" s="658"/>
      <c r="D242" s="658"/>
      <c r="M242" s="282"/>
      <c r="N242" s="157"/>
      <c r="O242" s="308"/>
      <c r="P242" s="308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38" right="0.7" top="0.75" bottom="0.75" header="0.5" footer="0.5"/>
  <pageSetup scale="7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52"/>
  <sheetViews>
    <sheetView zoomScale="90" zoomScaleSheetLayoutView="90" workbookViewId="0">
      <selection activeCell="L103" sqref="L103"/>
    </sheetView>
  </sheetViews>
  <sheetFormatPr defaultColWidth="9.109375" defaultRowHeight="13.2" x14ac:dyDescent="0.25"/>
  <cols>
    <col min="1" max="1" width="10.44140625" style="157" customWidth="1"/>
    <col min="2" max="2" width="41.5546875" style="157" customWidth="1"/>
    <col min="3" max="3" width="5" style="445" customWidth="1"/>
    <col min="4" max="4" width="5" style="662" customWidth="1"/>
    <col min="5" max="5" width="11" style="157" bestFit="1" customWidth="1"/>
    <col min="6" max="6" width="12.5546875" style="157" bestFit="1" customWidth="1"/>
    <col min="7" max="7" width="7.109375" style="157" bestFit="1" customWidth="1"/>
    <col min="8" max="8" width="11" style="157" bestFit="1" customWidth="1"/>
    <col min="9" max="9" width="12.5546875" style="157" bestFit="1" customWidth="1"/>
    <col min="10" max="10" width="16.44140625" style="157" bestFit="1" customWidth="1"/>
    <col min="11" max="11" width="13.10937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76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362"/>
      <c r="B10" s="363"/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x14ac:dyDescent="0.25">
      <c r="A11" s="375"/>
      <c r="B11" s="5"/>
      <c r="C11" s="376"/>
      <c r="D11" s="377" t="s">
        <v>21</v>
      </c>
      <c r="E11" s="259">
        <v>0</v>
      </c>
      <c r="F11" s="378">
        <f t="shared" ref="F11:F22" si="0">C11*E11</f>
        <v>0</v>
      </c>
      <c r="G11" s="534"/>
      <c r="H11" s="380">
        <v>0</v>
      </c>
      <c r="I11" s="378">
        <f t="shared" ref="I11:I22" si="1">G11*H11</f>
        <v>0</v>
      </c>
      <c r="J11" s="381"/>
      <c r="K11" s="535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x14ac:dyDescent="0.25">
      <c r="A12" s="375"/>
      <c r="B12" s="5"/>
      <c r="C12" s="376"/>
      <c r="D12" s="377" t="s">
        <v>21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381"/>
      <c r="K12" s="535">
        <f t="shared" si="2"/>
        <v>0</v>
      </c>
      <c r="L12" s="383"/>
      <c r="M12" s="384"/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383"/>
      <c r="M13" s="384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89"/>
      <c r="B17" s="5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157"/>
      <c r="M17" s="474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157"/>
      <c r="M18" s="474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157"/>
      <c r="M19" s="474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157"/>
      <c r="M20" s="474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157"/>
      <c r="M21" s="474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157"/>
      <c r="M22" s="474"/>
      <c r="O22" s="386"/>
      <c r="P22" s="387"/>
      <c r="Q22" s="388"/>
    </row>
    <row r="23" spans="1:17" s="159" customFormat="1" ht="13.8" thickBot="1" x14ac:dyDescent="0.3">
      <c r="A23" s="392"/>
      <c r="B23" s="7"/>
      <c r="C23" s="393"/>
      <c r="D23" s="377"/>
      <c r="E23" s="259"/>
      <c r="F23" s="378"/>
      <c r="G23" s="534"/>
      <c r="H23" s="380"/>
      <c r="I23" s="378"/>
      <c r="J23" s="381"/>
      <c r="K23" s="535"/>
      <c r="L23" s="157"/>
      <c r="M23" s="474"/>
      <c r="N23" s="157"/>
      <c r="O23" s="386"/>
      <c r="P23" s="387"/>
      <c r="Q23" s="388"/>
    </row>
    <row r="24" spans="1:17" s="159" customFormat="1" ht="13.8" thickTop="1" x14ac:dyDescent="0.25">
      <c r="A24" s="392"/>
      <c r="B24" s="7"/>
      <c r="C24" s="393"/>
      <c r="D24" s="377"/>
      <c r="E24" s="259"/>
      <c r="F24" s="378"/>
      <c r="G24" s="534"/>
      <c r="H24" s="380"/>
      <c r="I24" s="378"/>
      <c r="J24" s="394" t="s">
        <v>30</v>
      </c>
      <c r="K24" s="537">
        <f>SUM(K11:K23)</f>
        <v>0</v>
      </c>
      <c r="L24" s="157"/>
      <c r="M24" s="474"/>
      <c r="N24" s="157"/>
      <c r="O24" s="386"/>
      <c r="P24" s="387"/>
      <c r="Q24" s="388"/>
    </row>
    <row r="25" spans="1:17" s="159" customFormat="1" ht="13.8" thickBot="1" x14ac:dyDescent="0.3">
      <c r="A25" s="358" t="s">
        <v>0</v>
      </c>
      <c r="B25" s="359" t="s">
        <v>1</v>
      </c>
      <c r="C25" s="1018" t="s">
        <v>656</v>
      </c>
      <c r="D25" s="1018"/>
      <c r="E25" s="1018"/>
      <c r="F25" s="1018"/>
      <c r="G25" s="1018" t="s">
        <v>34</v>
      </c>
      <c r="H25" s="1018"/>
      <c r="I25" s="1018"/>
      <c r="J25" s="360"/>
      <c r="K25" s="528"/>
      <c r="L25" s="396"/>
      <c r="M25" s="397"/>
      <c r="N25" s="398"/>
      <c r="O25" s="386"/>
      <c r="P25" s="387"/>
      <c r="Q25" s="388"/>
    </row>
    <row r="26" spans="1:17" s="159" customFormat="1" ht="16.2" thickBot="1" x14ac:dyDescent="0.35">
      <c r="A26" s="399"/>
      <c r="B26" s="400"/>
      <c r="C26" s="401" t="s">
        <v>19</v>
      </c>
      <c r="D26" s="402" t="s">
        <v>33</v>
      </c>
      <c r="E26" s="403" t="s">
        <v>35</v>
      </c>
      <c r="F26" s="404" t="s">
        <v>30</v>
      </c>
      <c r="G26" s="538" t="s">
        <v>14</v>
      </c>
      <c r="H26" s="403" t="s">
        <v>35</v>
      </c>
      <c r="I26" s="404" t="s">
        <v>30</v>
      </c>
      <c r="J26" s="369" t="s">
        <v>659</v>
      </c>
      <c r="K26" s="539" t="s">
        <v>38</v>
      </c>
      <c r="L26" s="407"/>
      <c r="M26" s="408"/>
      <c r="N26" s="409"/>
      <c r="O26" s="386"/>
      <c r="P26" s="387"/>
      <c r="Q26" s="388"/>
    </row>
    <row r="27" spans="1:17" s="159" customFormat="1" x14ac:dyDescent="0.25">
      <c r="A27" s="410"/>
      <c r="B27" s="411"/>
      <c r="C27" s="376"/>
      <c r="D27" s="377" t="s">
        <v>21</v>
      </c>
      <c r="E27" s="259">
        <v>0</v>
      </c>
      <c r="F27" s="378">
        <f t="shared" ref="F27:F33" si="3">C27*E27</f>
        <v>0</v>
      </c>
      <c r="G27" s="534"/>
      <c r="H27" s="380">
        <v>0</v>
      </c>
      <c r="I27" s="378">
        <f t="shared" ref="I27:I33" si="4">G27*H27</f>
        <v>0</v>
      </c>
      <c r="J27" s="381"/>
      <c r="K27" s="535">
        <f t="shared" ref="K27:K33" si="5">F27+I27+J27</f>
        <v>0</v>
      </c>
      <c r="L27" s="157"/>
      <c r="M27" s="474"/>
      <c r="N27" s="157"/>
      <c r="O27" s="386"/>
      <c r="P27" s="387"/>
      <c r="Q27" s="388"/>
    </row>
    <row r="28" spans="1:17" s="159" customFormat="1" x14ac:dyDescent="0.25">
      <c r="A28" s="375"/>
      <c r="B28" s="5"/>
      <c r="C28" s="376"/>
      <c r="D28" s="377" t="s">
        <v>21</v>
      </c>
      <c r="E28" s="259">
        <v>0</v>
      </c>
      <c r="F28" s="378">
        <f t="shared" si="3"/>
        <v>0</v>
      </c>
      <c r="G28" s="534"/>
      <c r="H28" s="380">
        <v>0</v>
      </c>
      <c r="I28" s="378">
        <f t="shared" si="4"/>
        <v>0</v>
      </c>
      <c r="J28" s="381"/>
      <c r="K28" s="535">
        <f t="shared" si="5"/>
        <v>0</v>
      </c>
      <c r="M28" s="282"/>
      <c r="N28" s="157"/>
      <c r="O28" s="386"/>
      <c r="P28" s="387"/>
      <c r="Q28" s="388"/>
    </row>
    <row r="29" spans="1:17" s="159" customFormat="1" x14ac:dyDescent="0.25">
      <c r="A29" s="375"/>
      <c r="B29" s="5"/>
      <c r="C29" s="376"/>
      <c r="D29" s="377" t="s">
        <v>21</v>
      </c>
      <c r="E29" s="259">
        <v>0</v>
      </c>
      <c r="F29" s="378">
        <f t="shared" si="3"/>
        <v>0</v>
      </c>
      <c r="G29" s="534"/>
      <c r="H29" s="380">
        <v>0</v>
      </c>
      <c r="I29" s="378">
        <f t="shared" si="4"/>
        <v>0</v>
      </c>
      <c r="J29" s="381"/>
      <c r="K29" s="535">
        <f t="shared" si="5"/>
        <v>0</v>
      </c>
      <c r="L29" s="383"/>
      <c r="M29" s="384"/>
      <c r="N29" s="385"/>
      <c r="O29" s="386"/>
      <c r="P29" s="387"/>
      <c r="Q29" s="388"/>
    </row>
    <row r="30" spans="1:17" s="159" customFormat="1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s="159" customFormat="1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541"/>
      <c r="M31" s="578"/>
      <c r="N31" s="542"/>
      <c r="O31" s="386"/>
      <c r="P31" s="387"/>
      <c r="Q31" s="388"/>
    </row>
    <row r="32" spans="1:17" s="159" customFormat="1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L32" s="543"/>
      <c r="M32" s="261"/>
      <c r="N32" s="426"/>
      <c r="O32" s="386"/>
      <c r="P32" s="387"/>
      <c r="Q32" s="388"/>
    </row>
    <row r="33" spans="1:17" s="159" customFormat="1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157"/>
      <c r="M33" s="474"/>
      <c r="N33" s="157"/>
      <c r="O33" s="386"/>
      <c r="P33" s="387"/>
      <c r="Q33" s="388"/>
    </row>
    <row r="34" spans="1:17" s="159" customFormat="1" ht="13.8" thickBot="1" x14ac:dyDescent="0.3">
      <c r="A34" s="375"/>
      <c r="B34" s="5"/>
      <c r="C34" s="393"/>
      <c r="D34" s="377"/>
      <c r="E34" s="259"/>
      <c r="F34" s="378"/>
      <c r="G34" s="534"/>
      <c r="H34" s="380"/>
      <c r="I34" s="378"/>
      <c r="J34" s="381"/>
      <c r="K34" s="540"/>
      <c r="L34" s="157"/>
      <c r="M34" s="474"/>
      <c r="N34" s="157"/>
      <c r="O34" s="386"/>
      <c r="P34" s="387"/>
      <c r="Q34" s="388"/>
    </row>
    <row r="35" spans="1:17" s="159" customFormat="1" ht="13.8" thickTop="1" x14ac:dyDescent="0.25">
      <c r="A35" s="392"/>
      <c r="B35" s="5"/>
      <c r="C35" s="393"/>
      <c r="D35" s="377"/>
      <c r="E35" s="259"/>
      <c r="F35" s="378"/>
      <c r="G35" s="534"/>
      <c r="H35" s="380"/>
      <c r="I35" s="378"/>
      <c r="J35" s="394" t="s">
        <v>30</v>
      </c>
      <c r="K35" s="537">
        <f>SUM(K27:K34)</f>
        <v>0</v>
      </c>
      <c r="L35" s="383"/>
      <c r="M35" s="384"/>
      <c r="N35" s="385"/>
      <c r="O35" s="386"/>
      <c r="P35" s="387"/>
      <c r="Q35" s="388"/>
    </row>
    <row r="36" spans="1:17" s="159" customFormat="1" ht="13.8" thickBot="1" x14ac:dyDescent="0.3">
      <c r="A36" s="358" t="s">
        <v>0</v>
      </c>
      <c r="B36" s="359" t="s">
        <v>1</v>
      </c>
      <c r="C36" s="1018" t="s">
        <v>656</v>
      </c>
      <c r="D36" s="1018"/>
      <c r="E36" s="1018"/>
      <c r="F36" s="1018"/>
      <c r="G36" s="1018" t="s">
        <v>34</v>
      </c>
      <c r="H36" s="1018"/>
      <c r="I36" s="1018"/>
      <c r="J36" s="360"/>
      <c r="K36" s="528"/>
      <c r="L36" s="396"/>
      <c r="M36" s="397"/>
      <c r="N36" s="398"/>
      <c r="O36" s="386"/>
      <c r="P36" s="387"/>
      <c r="Q36" s="388"/>
    </row>
    <row r="37" spans="1:17" s="159" customFormat="1" ht="16.2" thickBot="1" x14ac:dyDescent="0.35">
      <c r="A37" s="399"/>
      <c r="B37" s="400"/>
      <c r="C37" s="401" t="s">
        <v>19</v>
      </c>
      <c r="D37" s="402" t="s">
        <v>33</v>
      </c>
      <c r="E37" s="403" t="s">
        <v>35</v>
      </c>
      <c r="F37" s="404" t="s">
        <v>30</v>
      </c>
      <c r="G37" s="538" t="s">
        <v>14</v>
      </c>
      <c r="H37" s="403" t="s">
        <v>35</v>
      </c>
      <c r="I37" s="404" t="s">
        <v>30</v>
      </c>
      <c r="J37" s="369" t="s">
        <v>659</v>
      </c>
      <c r="K37" s="539" t="s">
        <v>38</v>
      </c>
      <c r="L37" s="407"/>
      <c r="M37" s="413"/>
      <c r="N37" s="414"/>
      <c r="O37" s="415"/>
      <c r="P37" s="416"/>
      <c r="Q37" s="388"/>
    </row>
    <row r="38" spans="1:17" s="159" customFormat="1" x14ac:dyDescent="0.25">
      <c r="A38" s="410"/>
      <c r="B38" s="411"/>
      <c r="C38" s="376"/>
      <c r="D38" s="377" t="s">
        <v>21</v>
      </c>
      <c r="E38" s="259">
        <v>0</v>
      </c>
      <c r="F38" s="378">
        <f>C38*E38</f>
        <v>0</v>
      </c>
      <c r="G38" s="534"/>
      <c r="H38" s="380">
        <v>0</v>
      </c>
      <c r="I38" s="378">
        <f>G38*H38</f>
        <v>0</v>
      </c>
      <c r="J38" s="381"/>
      <c r="K38" s="535">
        <f>F38+I38+J38</f>
        <v>0</v>
      </c>
      <c r="L38" s="383"/>
      <c r="M38" s="384"/>
      <c r="N38" s="385"/>
      <c r="O38" s="415"/>
      <c r="P38" s="416"/>
      <c r="Q38" s="388"/>
    </row>
    <row r="39" spans="1:17" s="159" customFormat="1" x14ac:dyDescent="0.25">
      <c r="A39" s="375"/>
      <c r="B39" s="5"/>
      <c r="C39" s="376"/>
      <c r="D39" s="377" t="s">
        <v>21</v>
      </c>
      <c r="E39" s="259">
        <v>0</v>
      </c>
      <c r="F39" s="378">
        <f>C39*E39</f>
        <v>0</v>
      </c>
      <c r="G39" s="534"/>
      <c r="H39" s="380">
        <v>0</v>
      </c>
      <c r="I39" s="378">
        <f>G39*H39</f>
        <v>0</v>
      </c>
      <c r="J39" s="381"/>
      <c r="K39" s="535">
        <f>F39+I39+J39</f>
        <v>0</v>
      </c>
      <c r="L39" s="383"/>
      <c r="M39" s="384"/>
      <c r="N39" s="385"/>
      <c r="O39" s="415"/>
      <c r="P39" s="416"/>
      <c r="Q39" s="388"/>
    </row>
    <row r="40" spans="1:17" s="159" customFormat="1" x14ac:dyDescent="0.25">
      <c r="A40" s="375"/>
      <c r="B40" s="5"/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L40" s="383"/>
      <c r="M40" s="384"/>
      <c r="N40" s="385"/>
      <c r="O40" s="415"/>
      <c r="P40" s="416"/>
      <c r="Q40" s="388"/>
    </row>
    <row r="41" spans="1:17" s="159" customFormat="1" x14ac:dyDescent="0.25">
      <c r="A41" s="392"/>
      <c r="B41" s="417"/>
      <c r="C41" s="393"/>
      <c r="D41" s="377"/>
      <c r="E41" s="259"/>
      <c r="F41" s="378"/>
      <c r="G41" s="534"/>
      <c r="H41" s="380"/>
      <c r="I41" s="378"/>
      <c r="J41" s="381"/>
      <c r="K41" s="540"/>
      <c r="L41" s="383"/>
      <c r="M41" s="384"/>
      <c r="N41" s="385"/>
      <c r="O41" s="415"/>
      <c r="P41" s="416"/>
      <c r="Q41" s="388"/>
    </row>
    <row r="42" spans="1:17" s="159" customFormat="1" ht="13.8" thickBot="1" x14ac:dyDescent="0.3">
      <c r="A42" s="392"/>
      <c r="B42" s="417"/>
      <c r="C42" s="393"/>
      <c r="D42" s="377"/>
      <c r="E42" s="259"/>
      <c r="F42" s="378"/>
      <c r="G42" s="534"/>
      <c r="H42" s="380"/>
      <c r="I42" s="378"/>
      <c r="J42" s="381"/>
      <c r="K42" s="540"/>
      <c r="M42" s="282"/>
      <c r="N42" s="157"/>
      <c r="O42" s="415"/>
      <c r="P42" s="416"/>
      <c r="Q42" s="388"/>
    </row>
    <row r="43" spans="1:17" s="159" customFormat="1" ht="13.8" thickTop="1" x14ac:dyDescent="0.25">
      <c r="A43" s="392"/>
      <c r="B43" s="417"/>
      <c r="C43" s="393"/>
      <c r="D43" s="377"/>
      <c r="E43" s="259"/>
      <c r="F43" s="378"/>
      <c r="G43" s="534"/>
      <c r="H43" s="380"/>
      <c r="I43" s="378"/>
      <c r="J43" s="394" t="s">
        <v>30</v>
      </c>
      <c r="K43" s="537">
        <f>SUM(K38:K42)</f>
        <v>0</v>
      </c>
      <c r="M43" s="282"/>
      <c r="N43" s="157"/>
      <c r="O43" s="386"/>
      <c r="P43" s="387"/>
      <c r="Q43" s="388"/>
    </row>
    <row r="44" spans="1:17" s="159" customFormat="1" ht="13.8" thickBot="1" x14ac:dyDescent="0.3">
      <c r="A44" s="358" t="s">
        <v>0</v>
      </c>
      <c r="B44" s="359" t="s">
        <v>1</v>
      </c>
      <c r="C44" s="1018" t="s">
        <v>656</v>
      </c>
      <c r="D44" s="1018"/>
      <c r="E44" s="1018"/>
      <c r="F44" s="1018"/>
      <c r="G44" s="1018" t="s">
        <v>34</v>
      </c>
      <c r="H44" s="1018"/>
      <c r="I44" s="1018"/>
      <c r="J44" s="360"/>
      <c r="K44" s="528"/>
      <c r="L44" s="396"/>
      <c r="M44" s="397"/>
      <c r="N44" s="398"/>
      <c r="O44" s="386"/>
      <c r="P44" s="387"/>
      <c r="Q44" s="388"/>
    </row>
    <row r="45" spans="1:17" s="159" customFormat="1" ht="16.2" thickBot="1" x14ac:dyDescent="0.35">
      <c r="A45" s="399"/>
      <c r="B45" s="400"/>
      <c r="C45" s="401" t="s">
        <v>19</v>
      </c>
      <c r="D45" s="402" t="s">
        <v>33</v>
      </c>
      <c r="E45" s="403" t="s">
        <v>35</v>
      </c>
      <c r="F45" s="404" t="s">
        <v>30</v>
      </c>
      <c r="G45" s="538" t="s">
        <v>14</v>
      </c>
      <c r="H45" s="403" t="s">
        <v>35</v>
      </c>
      <c r="I45" s="404" t="s">
        <v>30</v>
      </c>
      <c r="J45" s="369" t="s">
        <v>659</v>
      </c>
      <c r="K45" s="539" t="s">
        <v>38</v>
      </c>
      <c r="L45" s="407"/>
      <c r="M45" s="413"/>
      <c r="N45" s="414"/>
      <c r="O45" s="386"/>
      <c r="P45" s="416"/>
      <c r="Q45" s="388"/>
    </row>
    <row r="46" spans="1:17" s="159" customFormat="1" x14ac:dyDescent="0.25">
      <c r="A46" s="410"/>
      <c r="B46" s="411"/>
      <c r="C46" s="376"/>
      <c r="D46" s="377" t="s">
        <v>21</v>
      </c>
      <c r="E46" s="259">
        <v>0</v>
      </c>
      <c r="F46" s="378">
        <f>C46*E46</f>
        <v>0</v>
      </c>
      <c r="G46" s="534"/>
      <c r="H46" s="380">
        <v>0</v>
      </c>
      <c r="I46" s="378">
        <f>G46*H46</f>
        <v>0</v>
      </c>
      <c r="J46" s="381"/>
      <c r="K46" s="535">
        <f>F46+I46+J46</f>
        <v>0</v>
      </c>
      <c r="L46" s="383"/>
      <c r="M46" s="261"/>
      <c r="N46" s="426"/>
      <c r="O46" s="386"/>
      <c r="P46" s="387"/>
      <c r="Q46" s="388"/>
    </row>
    <row r="47" spans="1:17" s="159" customFormat="1" x14ac:dyDescent="0.25">
      <c r="A47" s="375"/>
      <c r="B47" s="5"/>
      <c r="C47" s="376"/>
      <c r="D47" s="377" t="s">
        <v>21</v>
      </c>
      <c r="E47" s="259">
        <v>0</v>
      </c>
      <c r="F47" s="378">
        <f>C47*E47</f>
        <v>0</v>
      </c>
      <c r="G47" s="534"/>
      <c r="H47" s="380">
        <v>0</v>
      </c>
      <c r="I47" s="378">
        <f>G47*H47</f>
        <v>0</v>
      </c>
      <c r="J47" s="381"/>
      <c r="K47" s="535">
        <f>F47+I47+J47</f>
        <v>0</v>
      </c>
      <c r="L47" s="383"/>
      <c r="M47" s="261"/>
      <c r="N47" s="426"/>
      <c r="O47" s="386"/>
      <c r="P47" s="387"/>
      <c r="Q47" s="388"/>
    </row>
    <row r="48" spans="1:17" s="159" customFormat="1" x14ac:dyDescent="0.25">
      <c r="A48" s="375"/>
      <c r="B48" s="5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664"/>
      <c r="M48" s="665"/>
      <c r="N48" s="666"/>
      <c r="O48" s="386"/>
      <c r="P48" s="387"/>
      <c r="Q48" s="388"/>
    </row>
    <row r="49" spans="1:17" s="159" customFormat="1" x14ac:dyDescent="0.25">
      <c r="A49" s="375"/>
      <c r="B49" s="5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667"/>
      <c r="M49" s="261"/>
      <c r="N49" s="426"/>
      <c r="O49" s="386"/>
      <c r="P49" s="387"/>
      <c r="Q49" s="388"/>
    </row>
    <row r="50" spans="1:17" s="159" customFormat="1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426"/>
      <c r="O50" s="386"/>
      <c r="P50" s="387"/>
      <c r="Q50" s="388"/>
    </row>
    <row r="51" spans="1:17" s="159" customFormat="1" ht="13.8" thickBot="1" x14ac:dyDescent="0.3">
      <c r="A51" s="392"/>
      <c r="B51" s="417"/>
      <c r="C51" s="393"/>
      <c r="D51" s="377"/>
      <c r="E51" s="259"/>
      <c r="F51" s="378"/>
      <c r="G51" s="534"/>
      <c r="H51" s="380"/>
      <c r="I51" s="378"/>
      <c r="J51" s="381"/>
      <c r="K51" s="540"/>
      <c r="L51" s="383"/>
      <c r="M51" s="261"/>
      <c r="N51" s="385"/>
      <c r="O51" s="386"/>
      <c r="P51" s="387"/>
      <c r="Q51" s="388"/>
    </row>
    <row r="52" spans="1:17" s="159" customFormat="1" ht="13.8" thickTop="1" x14ac:dyDescent="0.25">
      <c r="A52" s="392"/>
      <c r="B52" s="417"/>
      <c r="C52" s="393"/>
      <c r="D52" s="377"/>
      <c r="E52" s="259"/>
      <c r="F52" s="378"/>
      <c r="G52" s="534"/>
      <c r="H52" s="380"/>
      <c r="I52" s="378"/>
      <c r="J52" s="394" t="s">
        <v>30</v>
      </c>
      <c r="K52" s="537">
        <f>SUM(K46:K51)</f>
        <v>0</v>
      </c>
      <c r="L52" s="157"/>
      <c r="M52" s="474"/>
      <c r="N52" s="157"/>
      <c r="O52" s="441"/>
      <c r="P52" s="442"/>
      <c r="Q52" s="388"/>
    </row>
    <row r="53" spans="1:17" s="159" customFormat="1" ht="13.8" thickBot="1" x14ac:dyDescent="0.3">
      <c r="A53" s="358" t="s">
        <v>0</v>
      </c>
      <c r="B53" s="359" t="s">
        <v>1</v>
      </c>
      <c r="C53" s="1018" t="s">
        <v>656</v>
      </c>
      <c r="D53" s="1018"/>
      <c r="E53" s="1018"/>
      <c r="F53" s="1018"/>
      <c r="G53" s="1018" t="s">
        <v>34</v>
      </c>
      <c r="H53" s="1018"/>
      <c r="I53" s="1018"/>
      <c r="J53" s="360"/>
      <c r="K53" s="528"/>
      <c r="L53" s="396"/>
      <c r="M53" s="360"/>
      <c r="N53" s="398"/>
      <c r="O53" s="441"/>
      <c r="P53" s="442"/>
      <c r="Q53" s="388"/>
    </row>
    <row r="54" spans="1:17" s="159" customFormat="1" ht="16.2" thickBot="1" x14ac:dyDescent="0.35">
      <c r="A54" s="399"/>
      <c r="B54" s="400"/>
      <c r="C54" s="401" t="s">
        <v>19</v>
      </c>
      <c r="D54" s="402" t="s">
        <v>33</v>
      </c>
      <c r="E54" s="403" t="s">
        <v>35</v>
      </c>
      <c r="F54" s="404" t="s">
        <v>30</v>
      </c>
      <c r="G54" s="538" t="s">
        <v>14</v>
      </c>
      <c r="H54" s="403" t="s">
        <v>35</v>
      </c>
      <c r="I54" s="404" t="s">
        <v>30</v>
      </c>
      <c r="J54" s="369" t="s">
        <v>659</v>
      </c>
      <c r="K54" s="539" t="s">
        <v>38</v>
      </c>
      <c r="L54" s="407"/>
      <c r="M54" s="413"/>
      <c r="N54" s="409"/>
      <c r="O54" s="415"/>
      <c r="P54" s="416"/>
      <c r="Q54" s="388"/>
    </row>
    <row r="55" spans="1:17" s="159" customFormat="1" x14ac:dyDescent="0.25">
      <c r="A55" s="410"/>
      <c r="B55" s="411"/>
      <c r="C55" s="376"/>
      <c r="D55" s="377" t="s">
        <v>21</v>
      </c>
      <c r="E55" s="259">
        <v>0</v>
      </c>
      <c r="F55" s="378">
        <f t="shared" ref="F55:F61" si="6">C55*E55</f>
        <v>0</v>
      </c>
      <c r="G55" s="534"/>
      <c r="H55" s="380">
        <v>0</v>
      </c>
      <c r="I55" s="378">
        <f t="shared" ref="I55:I61" si="7">G55*H55</f>
        <v>0</v>
      </c>
      <c r="J55" s="381"/>
      <c r="K55" s="535">
        <f t="shared" ref="K55:K61" si="8">F55+I55+J55</f>
        <v>0</v>
      </c>
      <c r="M55" s="282"/>
      <c r="N55" s="157"/>
      <c r="O55" s="386"/>
      <c r="P55" s="387"/>
      <c r="Q55" s="388"/>
    </row>
    <row r="56" spans="1:17" s="159" customFormat="1" x14ac:dyDescent="0.25">
      <c r="A56" s="375"/>
      <c r="B56" s="5"/>
      <c r="C56" s="376"/>
      <c r="D56" s="377" t="s">
        <v>21</v>
      </c>
      <c r="E56" s="259">
        <v>0</v>
      </c>
      <c r="F56" s="378">
        <f t="shared" si="6"/>
        <v>0</v>
      </c>
      <c r="G56" s="534"/>
      <c r="H56" s="380">
        <v>0</v>
      </c>
      <c r="I56" s="378">
        <f t="shared" si="7"/>
        <v>0</v>
      </c>
      <c r="J56" s="381"/>
      <c r="K56" s="535">
        <f t="shared" si="8"/>
        <v>0</v>
      </c>
      <c r="L56" s="383"/>
      <c r="M56" s="261"/>
      <c r="N56" s="385"/>
      <c r="O56" s="386"/>
      <c r="P56" s="387"/>
      <c r="Q56" s="388"/>
    </row>
    <row r="57" spans="1:17" s="159" customFormat="1" x14ac:dyDescent="0.25">
      <c r="A57" s="375"/>
      <c r="B57" s="5"/>
      <c r="C57" s="376"/>
      <c r="D57" s="377" t="s">
        <v>21</v>
      </c>
      <c r="E57" s="259">
        <v>0</v>
      </c>
      <c r="F57" s="378">
        <f t="shared" si="6"/>
        <v>0</v>
      </c>
      <c r="G57" s="534"/>
      <c r="H57" s="380">
        <v>0</v>
      </c>
      <c r="I57" s="378">
        <f t="shared" si="7"/>
        <v>0</v>
      </c>
      <c r="J57" s="381"/>
      <c r="K57" s="535">
        <f t="shared" si="8"/>
        <v>0</v>
      </c>
      <c r="L57" s="383"/>
      <c r="M57" s="261"/>
      <c r="N57" s="385"/>
      <c r="O57" s="386"/>
      <c r="P57" s="387"/>
      <c r="Q57" s="388"/>
    </row>
    <row r="58" spans="1:17" s="159" customFormat="1" x14ac:dyDescent="0.25">
      <c r="A58" s="375"/>
      <c r="B58" s="5"/>
      <c r="C58" s="376"/>
      <c r="D58" s="377" t="s">
        <v>21</v>
      </c>
      <c r="E58" s="259">
        <v>0</v>
      </c>
      <c r="F58" s="378">
        <f t="shared" si="6"/>
        <v>0</v>
      </c>
      <c r="G58" s="534"/>
      <c r="H58" s="380">
        <v>0</v>
      </c>
      <c r="I58" s="378">
        <f t="shared" si="7"/>
        <v>0</v>
      </c>
      <c r="J58" s="381"/>
      <c r="K58" s="535">
        <f t="shared" si="8"/>
        <v>0</v>
      </c>
      <c r="L58" s="383"/>
      <c r="M58" s="261"/>
      <c r="N58" s="385"/>
      <c r="O58" s="386"/>
      <c r="P58" s="387"/>
      <c r="Q58" s="388"/>
    </row>
    <row r="59" spans="1:17" s="159" customFormat="1" x14ac:dyDescent="0.25">
      <c r="A59" s="375"/>
      <c r="B59" s="5"/>
      <c r="C59" s="376"/>
      <c r="D59" s="377" t="s">
        <v>21</v>
      </c>
      <c r="E59" s="259">
        <v>0</v>
      </c>
      <c r="F59" s="378">
        <f t="shared" si="6"/>
        <v>0</v>
      </c>
      <c r="G59" s="534"/>
      <c r="H59" s="380">
        <v>0</v>
      </c>
      <c r="I59" s="378">
        <f t="shared" si="7"/>
        <v>0</v>
      </c>
      <c r="J59" s="381"/>
      <c r="K59" s="535">
        <f t="shared" si="8"/>
        <v>0</v>
      </c>
      <c r="L59" s="664"/>
      <c r="M59" s="261"/>
      <c r="N59" s="666"/>
      <c r="O59" s="386"/>
      <c r="P59" s="387"/>
      <c r="Q59" s="388"/>
    </row>
    <row r="60" spans="1:17" s="159" customFormat="1" x14ac:dyDescent="0.25">
      <c r="A60" s="375"/>
      <c r="B60" s="5"/>
      <c r="C60" s="376"/>
      <c r="D60" s="377" t="s">
        <v>21</v>
      </c>
      <c r="E60" s="259">
        <v>0</v>
      </c>
      <c r="F60" s="378">
        <f t="shared" si="6"/>
        <v>0</v>
      </c>
      <c r="G60" s="534"/>
      <c r="H60" s="380">
        <v>0</v>
      </c>
      <c r="I60" s="378">
        <f t="shared" si="7"/>
        <v>0</v>
      </c>
      <c r="J60" s="381"/>
      <c r="K60" s="535">
        <f t="shared" si="8"/>
        <v>0</v>
      </c>
      <c r="L60" s="667"/>
      <c r="M60" s="261"/>
      <c r="N60" s="668"/>
      <c r="O60" s="386"/>
      <c r="P60" s="387"/>
      <c r="Q60" s="388"/>
    </row>
    <row r="61" spans="1:17" s="159" customFormat="1" x14ac:dyDescent="0.25">
      <c r="A61" s="375"/>
      <c r="B61" s="5"/>
      <c r="C61" s="376"/>
      <c r="D61" s="377" t="s">
        <v>21</v>
      </c>
      <c r="E61" s="259">
        <v>0</v>
      </c>
      <c r="F61" s="378">
        <f t="shared" si="6"/>
        <v>0</v>
      </c>
      <c r="G61" s="534"/>
      <c r="H61" s="380">
        <v>0</v>
      </c>
      <c r="I61" s="378">
        <f t="shared" si="7"/>
        <v>0</v>
      </c>
      <c r="J61" s="381"/>
      <c r="K61" s="535">
        <f t="shared" si="8"/>
        <v>0</v>
      </c>
      <c r="L61" s="383"/>
      <c r="M61" s="261"/>
      <c r="N61" s="426"/>
      <c r="O61" s="386"/>
      <c r="P61" s="387"/>
      <c r="Q61" s="388"/>
    </row>
    <row r="62" spans="1:17" s="159" customFormat="1" ht="13.8" thickBot="1" x14ac:dyDescent="0.3">
      <c r="A62" s="392"/>
      <c r="B62" s="5"/>
      <c r="C62" s="393"/>
      <c r="D62" s="377"/>
      <c r="E62" s="259"/>
      <c r="F62" s="378"/>
      <c r="G62" s="534"/>
      <c r="H62" s="380"/>
      <c r="I62" s="378"/>
      <c r="J62" s="381"/>
      <c r="K62" s="540"/>
      <c r="M62" s="282"/>
      <c r="N62" s="157"/>
      <c r="O62" s="386"/>
      <c r="P62" s="387"/>
      <c r="Q62" s="388"/>
    </row>
    <row r="63" spans="1:17" s="159" customFormat="1" ht="13.8" thickTop="1" x14ac:dyDescent="0.25">
      <c r="A63" s="392"/>
      <c r="B63" s="417"/>
      <c r="C63" s="393"/>
      <c r="D63" s="377"/>
      <c r="E63" s="259"/>
      <c r="F63" s="378"/>
      <c r="G63" s="534"/>
      <c r="H63" s="380"/>
      <c r="I63" s="378"/>
      <c r="J63" s="394" t="s">
        <v>30</v>
      </c>
      <c r="K63" s="537">
        <f>SUM(K55:K62)</f>
        <v>0</v>
      </c>
      <c r="M63" s="282"/>
      <c r="N63" s="157"/>
      <c r="O63" s="386"/>
      <c r="P63" s="387"/>
      <c r="Q63" s="388"/>
    </row>
    <row r="64" spans="1:17" s="159" customFormat="1" ht="13.8" thickBot="1" x14ac:dyDescent="0.3">
      <c r="A64" s="358" t="s">
        <v>0</v>
      </c>
      <c r="B64" s="359" t="s">
        <v>1</v>
      </c>
      <c r="C64" s="1018" t="s">
        <v>656</v>
      </c>
      <c r="D64" s="1018"/>
      <c r="E64" s="1018"/>
      <c r="F64" s="1018"/>
      <c r="G64" s="1018" t="s">
        <v>34</v>
      </c>
      <c r="H64" s="1018"/>
      <c r="I64" s="1018"/>
      <c r="J64" s="360"/>
      <c r="K64" s="528"/>
      <c r="L64" s="396"/>
      <c r="M64" s="360"/>
      <c r="N64" s="443"/>
      <c r="O64" s="386"/>
      <c r="P64" s="387"/>
      <c r="Q64" s="388"/>
    </row>
    <row r="65" spans="1:17" s="159" customFormat="1" ht="16.2" thickBot="1" x14ac:dyDescent="0.35">
      <c r="A65" s="399"/>
      <c r="B65" s="400"/>
      <c r="C65" s="401" t="s">
        <v>19</v>
      </c>
      <c r="D65" s="402" t="s">
        <v>33</v>
      </c>
      <c r="E65" s="403" t="s">
        <v>35</v>
      </c>
      <c r="F65" s="404" t="s">
        <v>30</v>
      </c>
      <c r="G65" s="538" t="s">
        <v>14</v>
      </c>
      <c r="H65" s="403" t="s">
        <v>35</v>
      </c>
      <c r="I65" s="404" t="s">
        <v>30</v>
      </c>
      <c r="J65" s="369" t="s">
        <v>659</v>
      </c>
      <c r="K65" s="539" t="s">
        <v>38</v>
      </c>
      <c r="L65" s="407"/>
      <c r="M65" s="413"/>
      <c r="N65" s="414"/>
      <c r="O65" s="386"/>
      <c r="P65" s="387"/>
      <c r="Q65" s="388"/>
    </row>
    <row r="66" spans="1:17" s="159" customFormat="1" x14ac:dyDescent="0.25">
      <c r="A66" s="410"/>
      <c r="B66" s="411"/>
      <c r="C66" s="376"/>
      <c r="D66" s="377" t="s">
        <v>21</v>
      </c>
      <c r="E66" s="259">
        <v>0</v>
      </c>
      <c r="F66" s="378">
        <f>C66*E66</f>
        <v>0</v>
      </c>
      <c r="G66" s="534"/>
      <c r="H66" s="380">
        <v>0</v>
      </c>
      <c r="I66" s="378">
        <f>G66*H66</f>
        <v>0</v>
      </c>
      <c r="J66" s="381"/>
      <c r="K66" s="535">
        <f>F66+I66+J66</f>
        <v>0</v>
      </c>
      <c r="L66" s="383"/>
      <c r="M66" s="384"/>
      <c r="N66" s="385"/>
      <c r="O66" s="386"/>
      <c r="P66" s="387"/>
      <c r="Q66" s="388"/>
    </row>
    <row r="67" spans="1:17" s="159" customFormat="1" x14ac:dyDescent="0.25">
      <c r="A67" s="375"/>
      <c r="B67" s="5"/>
      <c r="C67" s="376"/>
      <c r="D67" s="377" t="s">
        <v>21</v>
      </c>
      <c r="E67" s="259">
        <v>0</v>
      </c>
      <c r="F67" s="378">
        <f>C67*E67</f>
        <v>0</v>
      </c>
      <c r="G67" s="534"/>
      <c r="H67" s="380">
        <v>0</v>
      </c>
      <c r="I67" s="378">
        <f>G67*H67</f>
        <v>0</v>
      </c>
      <c r="J67" s="381"/>
      <c r="K67" s="535">
        <f>F67+I67+J67</f>
        <v>0</v>
      </c>
      <c r="L67" s="383"/>
      <c r="M67" s="384"/>
      <c r="N67" s="385"/>
      <c r="O67" s="386"/>
      <c r="P67" s="387"/>
      <c r="Q67" s="388"/>
    </row>
    <row r="68" spans="1:17" s="159" customFormat="1" x14ac:dyDescent="0.25">
      <c r="A68" s="375"/>
      <c r="B68" s="5"/>
      <c r="C68" s="376"/>
      <c r="D68" s="377" t="s">
        <v>21</v>
      </c>
      <c r="E68" s="259">
        <v>0</v>
      </c>
      <c r="F68" s="378">
        <f>C68*E68</f>
        <v>0</v>
      </c>
      <c r="G68" s="534"/>
      <c r="H68" s="380">
        <v>0</v>
      </c>
      <c r="I68" s="378">
        <f>G68*H68</f>
        <v>0</v>
      </c>
      <c r="J68" s="381"/>
      <c r="K68" s="535">
        <f>F68+I68+J68</f>
        <v>0</v>
      </c>
      <c r="L68" s="383"/>
      <c r="M68" s="384"/>
      <c r="N68" s="385"/>
      <c r="O68" s="386"/>
      <c r="P68" s="387"/>
      <c r="Q68" s="388"/>
    </row>
    <row r="69" spans="1:17" s="159" customFormat="1" x14ac:dyDescent="0.25">
      <c r="A69" s="375"/>
      <c r="B69" s="5"/>
      <c r="C69" s="376"/>
      <c r="D69" s="377" t="s">
        <v>21</v>
      </c>
      <c r="E69" s="259">
        <v>0</v>
      </c>
      <c r="F69" s="378">
        <f>C69*E69</f>
        <v>0</v>
      </c>
      <c r="G69" s="534"/>
      <c r="H69" s="380">
        <v>0</v>
      </c>
      <c r="I69" s="378">
        <f>G69*H69</f>
        <v>0</v>
      </c>
      <c r="J69" s="381"/>
      <c r="K69" s="535">
        <f>F69+I69+J69</f>
        <v>0</v>
      </c>
      <c r="M69" s="282"/>
      <c r="N69" s="157"/>
      <c r="O69" s="386"/>
      <c r="P69" s="387"/>
      <c r="Q69" s="388"/>
    </row>
    <row r="70" spans="1:17" s="159" customFormat="1" x14ac:dyDescent="0.25">
      <c r="A70" s="375"/>
      <c r="B70" s="5"/>
      <c r="C70" s="376"/>
      <c r="D70" s="377" t="s">
        <v>21</v>
      </c>
      <c r="E70" s="259">
        <v>0</v>
      </c>
      <c r="F70" s="378">
        <f>C70*E70</f>
        <v>0</v>
      </c>
      <c r="G70" s="534"/>
      <c r="H70" s="380">
        <v>0</v>
      </c>
      <c r="I70" s="378">
        <f>G70*H70</f>
        <v>0</v>
      </c>
      <c r="J70" s="381"/>
      <c r="K70" s="535">
        <f>F70+I70+J70</f>
        <v>0</v>
      </c>
      <c r="M70" s="282"/>
      <c r="N70" s="157"/>
      <c r="O70" s="386"/>
      <c r="P70" s="387"/>
      <c r="Q70" s="388"/>
    </row>
    <row r="71" spans="1:17" s="159" customFormat="1" ht="13.8" thickBot="1" x14ac:dyDescent="0.3">
      <c r="A71" s="392"/>
      <c r="B71" s="5"/>
      <c r="C71" s="393"/>
      <c r="D71" s="377"/>
      <c r="E71" s="259"/>
      <c r="F71" s="378"/>
      <c r="G71" s="534"/>
      <c r="H71" s="380"/>
      <c r="I71" s="378"/>
      <c r="J71" s="381"/>
      <c r="K71" s="540"/>
      <c r="M71" s="282"/>
      <c r="N71" s="157"/>
      <c r="O71" s="386"/>
      <c r="P71" s="387"/>
      <c r="Q71" s="388"/>
    </row>
    <row r="72" spans="1:17" s="159" customFormat="1" ht="13.8" thickTop="1" x14ac:dyDescent="0.25">
      <c r="A72" s="392"/>
      <c r="B72" s="417"/>
      <c r="C72" s="393"/>
      <c r="D72" s="377"/>
      <c r="E72" s="259"/>
      <c r="F72" s="378"/>
      <c r="G72" s="534"/>
      <c r="H72" s="380"/>
      <c r="I72" s="378"/>
      <c r="J72" s="394" t="s">
        <v>30</v>
      </c>
      <c r="K72" s="537">
        <f>SUM(K66:K71)</f>
        <v>0</v>
      </c>
      <c r="M72" s="282"/>
      <c r="N72" s="157"/>
      <c r="O72" s="386"/>
      <c r="P72" s="387"/>
      <c r="Q72" s="388"/>
    </row>
    <row r="73" spans="1:17" s="159" customFormat="1" ht="13.8" thickBot="1" x14ac:dyDescent="0.3">
      <c r="A73" s="358" t="s">
        <v>0</v>
      </c>
      <c r="B73" s="359" t="s">
        <v>1</v>
      </c>
      <c r="C73" s="1018" t="s">
        <v>656</v>
      </c>
      <c r="D73" s="1018"/>
      <c r="E73" s="1018"/>
      <c r="F73" s="1018"/>
      <c r="G73" s="1018" t="s">
        <v>34</v>
      </c>
      <c r="H73" s="1018"/>
      <c r="I73" s="1018"/>
      <c r="J73" s="360"/>
      <c r="K73" s="528"/>
      <c r="L73" s="396"/>
      <c r="M73" s="397"/>
      <c r="N73" s="398"/>
      <c r="O73" s="386"/>
      <c r="P73" s="387"/>
      <c r="Q73" s="388"/>
    </row>
    <row r="74" spans="1:17" s="159" customFormat="1" ht="16.2" thickBot="1" x14ac:dyDescent="0.35">
      <c r="A74" s="399"/>
      <c r="B74" s="400"/>
      <c r="C74" s="401" t="s">
        <v>19</v>
      </c>
      <c r="D74" s="402" t="s">
        <v>33</v>
      </c>
      <c r="E74" s="403" t="s">
        <v>35</v>
      </c>
      <c r="F74" s="404" t="s">
        <v>30</v>
      </c>
      <c r="G74" s="538" t="s">
        <v>14</v>
      </c>
      <c r="H74" s="403" t="s">
        <v>35</v>
      </c>
      <c r="I74" s="404" t="s">
        <v>30</v>
      </c>
      <c r="J74" s="369" t="s">
        <v>659</v>
      </c>
      <c r="K74" s="539" t="s">
        <v>38</v>
      </c>
      <c r="L74" s="407"/>
      <c r="M74" s="408"/>
      <c r="N74" s="409"/>
      <c r="O74" s="386"/>
      <c r="P74" s="387"/>
      <c r="Q74" s="388"/>
    </row>
    <row r="75" spans="1:17" s="159" customFormat="1" x14ac:dyDescent="0.25">
      <c r="A75" s="410"/>
      <c r="B75" s="411"/>
      <c r="C75" s="376"/>
      <c r="D75" s="377" t="s">
        <v>21</v>
      </c>
      <c r="E75" s="259">
        <v>0</v>
      </c>
      <c r="F75" s="378">
        <f>C75*E75</f>
        <v>0</v>
      </c>
      <c r="G75" s="534"/>
      <c r="H75" s="380">
        <v>0</v>
      </c>
      <c r="I75" s="378">
        <f>G75*H75</f>
        <v>0</v>
      </c>
      <c r="J75" s="381"/>
      <c r="K75" s="535">
        <f>F75+I75+J75</f>
        <v>0</v>
      </c>
      <c r="L75" s="383"/>
      <c r="M75" s="384"/>
      <c r="N75" s="385"/>
      <c r="O75" s="386"/>
      <c r="P75" s="387"/>
      <c r="Q75" s="388"/>
    </row>
    <row r="76" spans="1:17" s="159" customFormat="1" x14ac:dyDescent="0.25">
      <c r="A76" s="375"/>
      <c r="B76" s="5"/>
      <c r="C76" s="376"/>
      <c r="D76" s="377" t="s">
        <v>21</v>
      </c>
      <c r="E76" s="259">
        <v>0</v>
      </c>
      <c r="F76" s="378">
        <f>C76*E76</f>
        <v>0</v>
      </c>
      <c r="G76" s="534"/>
      <c r="H76" s="380">
        <v>0</v>
      </c>
      <c r="I76" s="378">
        <f>G76*H76</f>
        <v>0</v>
      </c>
      <c r="J76" s="381"/>
      <c r="K76" s="535">
        <f>F76+I76+J76</f>
        <v>0</v>
      </c>
      <c r="L76" s="664"/>
      <c r="M76" s="665"/>
      <c r="N76" s="666"/>
      <c r="O76" s="386"/>
      <c r="P76" s="387"/>
      <c r="Q76" s="388"/>
    </row>
    <row r="77" spans="1:17" s="159" customFormat="1" x14ac:dyDescent="0.25">
      <c r="A77" s="375"/>
      <c r="B77" s="5"/>
      <c r="C77" s="376"/>
      <c r="D77" s="377" t="s">
        <v>21</v>
      </c>
      <c r="E77" s="259">
        <v>0</v>
      </c>
      <c r="F77" s="378">
        <f>C77*E77</f>
        <v>0</v>
      </c>
      <c r="G77" s="534"/>
      <c r="H77" s="380">
        <v>0</v>
      </c>
      <c r="I77" s="378">
        <f>G77*H77</f>
        <v>0</v>
      </c>
      <c r="J77" s="381"/>
      <c r="K77" s="535">
        <f>F77+I77+J77</f>
        <v>0</v>
      </c>
      <c r="L77" s="667"/>
      <c r="M77" s="669"/>
      <c r="N77" s="668"/>
      <c r="O77" s="386"/>
      <c r="P77" s="387"/>
      <c r="Q77" s="388"/>
    </row>
    <row r="78" spans="1:17" s="159" customFormat="1" ht="13.8" thickBot="1" x14ac:dyDescent="0.3">
      <c r="A78" s="392"/>
      <c r="B78" s="5"/>
      <c r="C78" s="393"/>
      <c r="D78" s="377"/>
      <c r="E78" s="259"/>
      <c r="F78" s="378"/>
      <c r="G78" s="534"/>
      <c r="H78" s="380"/>
      <c r="I78" s="378"/>
      <c r="J78" s="381"/>
      <c r="K78" s="540"/>
      <c r="L78" s="383"/>
      <c r="M78" s="384"/>
      <c r="N78" s="385"/>
      <c r="O78" s="386"/>
      <c r="P78" s="387"/>
      <c r="Q78" s="388"/>
    </row>
    <row r="79" spans="1:17" s="159" customFormat="1" ht="13.8" thickTop="1" x14ac:dyDescent="0.25">
      <c r="A79" s="392"/>
      <c r="B79" s="157"/>
      <c r="C79" s="393"/>
      <c r="D79" s="377"/>
      <c r="E79" s="259"/>
      <c r="F79" s="378"/>
      <c r="G79" s="534"/>
      <c r="H79" s="380"/>
      <c r="I79" s="378"/>
      <c r="J79" s="394" t="s">
        <v>30</v>
      </c>
      <c r="K79" s="537">
        <f>SUM(K75:K78)</f>
        <v>0</v>
      </c>
      <c r="L79" s="383"/>
      <c r="M79" s="384"/>
      <c r="N79" s="385"/>
      <c r="O79" s="386"/>
      <c r="P79" s="387"/>
      <c r="Q79" s="388"/>
    </row>
    <row r="80" spans="1:17" s="159" customFormat="1" ht="13.8" thickBot="1" x14ac:dyDescent="0.3">
      <c r="A80" s="358" t="s">
        <v>0</v>
      </c>
      <c r="B80" s="359" t="s">
        <v>1</v>
      </c>
      <c r="C80" s="1018" t="s">
        <v>656</v>
      </c>
      <c r="D80" s="1018"/>
      <c r="E80" s="1018"/>
      <c r="F80" s="1018"/>
      <c r="G80" s="1018" t="s">
        <v>34</v>
      </c>
      <c r="H80" s="1018"/>
      <c r="I80" s="1018"/>
      <c r="J80" s="360"/>
      <c r="K80" s="528"/>
      <c r="L80" s="396"/>
      <c r="M80" s="397"/>
      <c r="N80" s="398"/>
      <c r="O80" s="386"/>
      <c r="P80" s="387"/>
      <c r="Q80" s="388"/>
    </row>
    <row r="81" spans="1:17" s="159" customFormat="1" ht="16.2" thickBot="1" x14ac:dyDescent="0.35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8" t="s">
        <v>14</v>
      </c>
      <c r="H81" s="403" t="s">
        <v>35</v>
      </c>
      <c r="I81" s="404" t="s">
        <v>30</v>
      </c>
      <c r="J81" s="369" t="s">
        <v>659</v>
      </c>
      <c r="K81" s="539" t="s">
        <v>38</v>
      </c>
      <c r="L81" s="407"/>
      <c r="M81" s="408"/>
      <c r="N81" s="409"/>
      <c r="O81" s="386"/>
      <c r="P81" s="387"/>
      <c r="Q81" s="388"/>
    </row>
    <row r="82" spans="1:17" s="159" customFormat="1" x14ac:dyDescent="0.25">
      <c r="A82" s="410"/>
      <c r="B82" s="411"/>
      <c r="C82" s="376"/>
      <c r="D82" s="377" t="s">
        <v>21</v>
      </c>
      <c r="E82" s="259">
        <v>0</v>
      </c>
      <c r="F82" s="378">
        <f>C82*E82</f>
        <v>0</v>
      </c>
      <c r="G82" s="534"/>
      <c r="H82" s="380">
        <v>0</v>
      </c>
      <c r="I82" s="378">
        <f>G82*H82</f>
        <v>0</v>
      </c>
      <c r="J82" s="381"/>
      <c r="K82" s="535">
        <f>F82+I82+J82</f>
        <v>0</v>
      </c>
      <c r="M82" s="282"/>
      <c r="N82" s="157"/>
      <c r="O82" s="386"/>
      <c r="P82" s="387"/>
      <c r="Q82" s="388"/>
    </row>
    <row r="83" spans="1:17" s="159" customFormat="1" x14ac:dyDescent="0.25">
      <c r="A83" s="375"/>
      <c r="B83" s="5"/>
      <c r="C83" s="376"/>
      <c r="D83" s="377" t="s">
        <v>21</v>
      </c>
      <c r="E83" s="259">
        <v>0</v>
      </c>
      <c r="F83" s="378">
        <f>C83*E83</f>
        <v>0</v>
      </c>
      <c r="G83" s="534"/>
      <c r="H83" s="380">
        <v>0</v>
      </c>
      <c r="I83" s="378">
        <f>G83*H83</f>
        <v>0</v>
      </c>
      <c r="J83" s="381"/>
      <c r="K83" s="535">
        <f>F83+I83+J83</f>
        <v>0</v>
      </c>
      <c r="M83" s="282"/>
      <c r="N83" s="157"/>
      <c r="O83" s="386"/>
      <c r="P83" s="387"/>
      <c r="Q83" s="388"/>
    </row>
    <row r="84" spans="1:17" s="159" customFormat="1" x14ac:dyDescent="0.25">
      <c r="A84" s="375"/>
      <c r="C84" s="376"/>
      <c r="D84" s="377" t="s">
        <v>21</v>
      </c>
      <c r="E84" s="259">
        <v>0</v>
      </c>
      <c r="F84" s="378">
        <f>C84*E84</f>
        <v>0</v>
      </c>
      <c r="G84" s="534"/>
      <c r="H84" s="380">
        <v>0</v>
      </c>
      <c r="I84" s="378">
        <f>G84*H84</f>
        <v>0</v>
      </c>
      <c r="J84" s="381"/>
      <c r="K84" s="535">
        <f>F84+I84+J84</f>
        <v>0</v>
      </c>
      <c r="M84" s="282"/>
      <c r="N84" s="157"/>
      <c r="O84" s="386"/>
      <c r="P84" s="387"/>
      <c r="Q84" s="388"/>
    </row>
    <row r="85" spans="1:17" s="159" customFormat="1" x14ac:dyDescent="0.25">
      <c r="A85" s="375"/>
      <c r="B85" s="5"/>
      <c r="C85" s="376"/>
      <c r="D85" s="377" t="s">
        <v>21</v>
      </c>
      <c r="E85" s="259">
        <v>0</v>
      </c>
      <c r="F85" s="378">
        <f>C85*E85</f>
        <v>0</v>
      </c>
      <c r="G85" s="534"/>
      <c r="H85" s="380">
        <v>0</v>
      </c>
      <c r="I85" s="378">
        <f>G85*H85</f>
        <v>0</v>
      </c>
      <c r="J85" s="381"/>
      <c r="K85" s="535">
        <f>F85+I85+J85</f>
        <v>0</v>
      </c>
      <c r="L85" s="383"/>
      <c r="M85" s="384"/>
      <c r="N85" s="385"/>
      <c r="O85" s="386"/>
      <c r="P85" s="387"/>
      <c r="Q85" s="388"/>
    </row>
    <row r="86" spans="1:17" s="159" customFormat="1" x14ac:dyDescent="0.25">
      <c r="A86" s="375"/>
      <c r="B86" s="5"/>
      <c r="C86" s="376"/>
      <c r="D86" s="377" t="s">
        <v>21</v>
      </c>
      <c r="E86" s="259">
        <v>0</v>
      </c>
      <c r="F86" s="378">
        <f>C86*E86</f>
        <v>0</v>
      </c>
      <c r="G86" s="534"/>
      <c r="H86" s="380">
        <v>0</v>
      </c>
      <c r="I86" s="378">
        <f>G86*H86</f>
        <v>0</v>
      </c>
      <c r="J86" s="381"/>
      <c r="K86" s="535">
        <f>F86+I86+J86</f>
        <v>0</v>
      </c>
      <c r="L86" s="383"/>
      <c r="M86" s="384"/>
      <c r="N86" s="385"/>
      <c r="O86" s="386"/>
      <c r="P86" s="387"/>
      <c r="Q86" s="388"/>
    </row>
    <row r="87" spans="1:17" s="159" customFormat="1" ht="13.8" thickBot="1" x14ac:dyDescent="0.3">
      <c r="A87" s="392"/>
      <c r="B87" s="5"/>
      <c r="C87" s="393"/>
      <c r="D87" s="377"/>
      <c r="E87" s="259"/>
      <c r="F87" s="378"/>
      <c r="G87" s="534"/>
      <c r="H87" s="380"/>
      <c r="I87" s="378"/>
      <c r="J87" s="381"/>
      <c r="K87" s="540"/>
      <c r="L87" s="383"/>
      <c r="M87" s="384"/>
      <c r="N87" s="385"/>
      <c r="O87" s="386"/>
      <c r="P87" s="387"/>
      <c r="Q87" s="388"/>
    </row>
    <row r="88" spans="1:17" s="159" customFormat="1" ht="13.8" thickTop="1" x14ac:dyDescent="0.25">
      <c r="A88" s="392"/>
      <c r="B88" s="417"/>
      <c r="C88" s="393"/>
      <c r="D88" s="377"/>
      <c r="E88" s="259"/>
      <c r="F88" s="378"/>
      <c r="G88" s="534"/>
      <c r="H88" s="380"/>
      <c r="I88" s="378"/>
      <c r="J88" s="394" t="s">
        <v>30</v>
      </c>
      <c r="K88" s="537">
        <f>SUM(K82:K87)</f>
        <v>0</v>
      </c>
      <c r="M88" s="282"/>
      <c r="N88" s="157"/>
      <c r="O88" s="386"/>
      <c r="P88" s="387"/>
      <c r="Q88" s="388"/>
    </row>
    <row r="89" spans="1:17" s="159" customFormat="1" ht="13.8" thickBot="1" x14ac:dyDescent="0.3">
      <c r="A89" s="358" t="s">
        <v>0</v>
      </c>
      <c r="B89" s="359" t="s">
        <v>1</v>
      </c>
      <c r="C89" s="1018" t="s">
        <v>656</v>
      </c>
      <c r="D89" s="1018"/>
      <c r="E89" s="1018"/>
      <c r="F89" s="1018"/>
      <c r="G89" s="1018" t="s">
        <v>34</v>
      </c>
      <c r="H89" s="1018"/>
      <c r="I89" s="1018"/>
      <c r="J89" s="360"/>
      <c r="K89" s="528"/>
      <c r="L89" s="396"/>
      <c r="M89" s="397"/>
      <c r="N89" s="398"/>
      <c r="O89" s="386"/>
      <c r="P89" s="387"/>
      <c r="Q89" s="388"/>
    </row>
    <row r="90" spans="1:17" s="159" customFormat="1" ht="16.2" thickBot="1" x14ac:dyDescent="0.35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8" t="s">
        <v>14</v>
      </c>
      <c r="H90" s="403" t="s">
        <v>35</v>
      </c>
      <c r="I90" s="404" t="s">
        <v>30</v>
      </c>
      <c r="J90" s="369" t="s">
        <v>659</v>
      </c>
      <c r="K90" s="539" t="s">
        <v>38</v>
      </c>
      <c r="L90" s="407"/>
      <c r="M90" s="408"/>
      <c r="N90" s="409"/>
      <c r="O90" s="386"/>
      <c r="P90" s="387"/>
      <c r="Q90" s="388"/>
    </row>
    <row r="91" spans="1:17" s="159" customFormat="1" x14ac:dyDescent="0.25">
      <c r="A91" s="410"/>
      <c r="B91" s="411"/>
      <c r="C91" s="376"/>
      <c r="D91" s="377" t="s">
        <v>21</v>
      </c>
      <c r="E91" s="259">
        <v>0</v>
      </c>
      <c r="F91" s="378">
        <f>C91*E91</f>
        <v>0</v>
      </c>
      <c r="G91" s="534"/>
      <c r="H91" s="380">
        <v>0</v>
      </c>
      <c r="I91" s="378">
        <f>G91*H91</f>
        <v>0</v>
      </c>
      <c r="J91" s="381"/>
      <c r="K91" s="535">
        <f>F91+I91+J91</f>
        <v>0</v>
      </c>
      <c r="L91" s="383"/>
      <c r="M91" s="384"/>
      <c r="N91" s="385"/>
      <c r="O91" s="386"/>
      <c r="P91" s="387"/>
      <c r="Q91" s="388"/>
    </row>
    <row r="92" spans="1:17" s="159" customFormat="1" x14ac:dyDescent="0.25">
      <c r="A92" s="375"/>
      <c r="B92" s="5"/>
      <c r="C92" s="376"/>
      <c r="D92" s="377" t="s">
        <v>21</v>
      </c>
      <c r="E92" s="259">
        <v>0</v>
      </c>
      <c r="F92" s="378">
        <f>C92*E92</f>
        <v>0</v>
      </c>
      <c r="G92" s="534"/>
      <c r="H92" s="380">
        <v>0</v>
      </c>
      <c r="I92" s="378">
        <f>G92*H92</f>
        <v>0</v>
      </c>
      <c r="J92" s="381"/>
      <c r="K92" s="535">
        <f>F92+I92+J92</f>
        <v>0</v>
      </c>
      <c r="L92" s="670"/>
      <c r="M92" s="671"/>
      <c r="N92" s="672"/>
      <c r="O92" s="386"/>
      <c r="P92" s="387"/>
      <c r="Q92" s="388"/>
    </row>
    <row r="93" spans="1:17" s="159" customFormat="1" x14ac:dyDescent="0.25">
      <c r="A93" s="375"/>
      <c r="B93" s="5"/>
      <c r="C93" s="376"/>
      <c r="D93" s="377" t="s">
        <v>21</v>
      </c>
      <c r="E93" s="259">
        <v>0</v>
      </c>
      <c r="F93" s="378">
        <f>C93*E93</f>
        <v>0</v>
      </c>
      <c r="G93" s="534"/>
      <c r="H93" s="380">
        <v>0</v>
      </c>
      <c r="I93" s="378">
        <f>G93*H93</f>
        <v>0</v>
      </c>
      <c r="J93" s="381"/>
      <c r="K93" s="535">
        <f>F93+I93+J93</f>
        <v>0</v>
      </c>
      <c r="L93" s="670"/>
      <c r="M93" s="671"/>
      <c r="N93" s="673"/>
      <c r="O93" s="386"/>
      <c r="P93" s="387"/>
      <c r="Q93" s="388"/>
    </row>
    <row r="94" spans="1:17" s="159" customFormat="1" x14ac:dyDescent="0.25">
      <c r="A94" s="375"/>
      <c r="B94" s="5"/>
      <c r="C94" s="376"/>
      <c r="D94" s="377" t="s">
        <v>21</v>
      </c>
      <c r="E94" s="259">
        <v>0</v>
      </c>
      <c r="F94" s="378">
        <f>C94*E94</f>
        <v>0</v>
      </c>
      <c r="G94" s="534"/>
      <c r="H94" s="380">
        <v>0</v>
      </c>
      <c r="I94" s="378">
        <f>G94*H94</f>
        <v>0</v>
      </c>
      <c r="J94" s="381"/>
      <c r="K94" s="535">
        <f>F94+I94+J94</f>
        <v>0</v>
      </c>
      <c r="L94" s="670"/>
      <c r="M94" s="671"/>
      <c r="N94" s="673"/>
      <c r="O94" s="386"/>
      <c r="P94" s="387"/>
      <c r="Q94" s="388"/>
    </row>
    <row r="95" spans="1:17" s="159" customFormat="1" ht="13.8" thickBot="1" x14ac:dyDescent="0.3">
      <c r="A95" s="392"/>
      <c r="B95" s="417"/>
      <c r="C95" s="376"/>
      <c r="D95" s="377"/>
      <c r="E95" s="259"/>
      <c r="F95" s="378"/>
      <c r="G95" s="534"/>
      <c r="H95" s="380"/>
      <c r="I95" s="378"/>
      <c r="J95" s="381"/>
      <c r="K95" s="535"/>
      <c r="L95" s="670"/>
      <c r="M95" s="671"/>
      <c r="N95" s="673"/>
      <c r="O95" s="386"/>
      <c r="P95" s="387"/>
      <c r="Q95" s="388"/>
    </row>
    <row r="96" spans="1:17" s="159" customFormat="1" ht="14.4" thickTop="1" thickBot="1" x14ac:dyDescent="0.3">
      <c r="A96" s="475"/>
      <c r="B96" s="156"/>
      <c r="C96" s="476"/>
      <c r="D96" s="477"/>
      <c r="E96" s="478"/>
      <c r="F96" s="479"/>
      <c r="G96" s="638"/>
      <c r="H96" s="478"/>
      <c r="I96" s="479"/>
      <c r="J96" s="481" t="s">
        <v>30</v>
      </c>
      <c r="K96" s="639">
        <f>SUM(K91:K95)</f>
        <v>0</v>
      </c>
      <c r="L96" s="670"/>
      <c r="M96" s="671"/>
      <c r="N96" s="673"/>
      <c r="O96" s="386"/>
      <c r="P96" s="387"/>
      <c r="Q96" s="388"/>
    </row>
    <row r="97" spans="1:17" s="159" customFormat="1" ht="14.1" customHeight="1" thickBot="1" x14ac:dyDescent="0.3">
      <c r="A97" s="483"/>
      <c r="B97" s="484"/>
      <c r="C97" s="485"/>
      <c r="D97" s="485"/>
      <c r="E97" s="486"/>
      <c r="F97" s="1048" t="s">
        <v>658</v>
      </c>
      <c r="G97" s="1071" t="s">
        <v>684</v>
      </c>
      <c r="H97" s="486"/>
      <c r="I97" s="1041" t="s">
        <v>657</v>
      </c>
      <c r="J97" s="1037" t="s">
        <v>685</v>
      </c>
      <c r="K97" s="1035" t="s">
        <v>31</v>
      </c>
      <c r="L97" s="674"/>
      <c r="M97" s="675"/>
      <c r="N97" s="676"/>
      <c r="O97" s="465"/>
      <c r="P97" s="466"/>
      <c r="Q97" s="467"/>
    </row>
    <row r="98" spans="1:17" s="159" customFormat="1" ht="14.4" thickTop="1" x14ac:dyDescent="0.25">
      <c r="A98" s="487" t="s">
        <v>32</v>
      </c>
      <c r="B98" s="1043" t="s">
        <v>666</v>
      </c>
      <c r="C98" s="488"/>
      <c r="D98" s="489"/>
      <c r="E98" s="489"/>
      <c r="F98" s="1049"/>
      <c r="G98" s="1072"/>
      <c r="H98" s="490"/>
      <c r="I98" s="1042"/>
      <c r="J98" s="1038"/>
      <c r="K98" s="1036"/>
      <c r="M98" s="282"/>
      <c r="N98" s="157"/>
      <c r="O98" s="308"/>
      <c r="P98" s="308"/>
    </row>
    <row r="99" spans="1:17" s="159" customFormat="1" ht="13.8" x14ac:dyDescent="0.25">
      <c r="A99" s="829">
        <f>K99/E6</f>
        <v>0</v>
      </c>
      <c r="B99" s="1043"/>
      <c r="C99" s="489"/>
      <c r="D99" s="489"/>
      <c r="E99" s="489"/>
      <c r="F99" s="1031">
        <f>SUM(F91:F95,F82:F87,F75:F78,F66:F71,F55:F61,F46:F51,F38:F42,F27:F34,F11:F23)</f>
        <v>0</v>
      </c>
      <c r="G99" s="1076">
        <f>SUM(G91:G95,G82:G87,G75:G78,G66:G71,G55:G61,G46:G51,G38:G42,G27:G34,G11:G23)</f>
        <v>0</v>
      </c>
      <c r="H99" s="490"/>
      <c r="I99" s="1031">
        <f>SUM(I91:I95,I82:I87,I75:I78,I66:I71,I55:I61,I46:I51,I38:I42,I27:I34,I11:I23)</f>
        <v>0</v>
      </c>
      <c r="J99" s="1031">
        <f>SUM(J91:J95,J82:J87,J75:J78,J66:J71,J55:J61,J46:J51,J38:J42,J27:J34,J11:J23)</f>
        <v>0</v>
      </c>
      <c r="K99" s="1033">
        <f>SUM(K96,K88,K79,K72,K63,K52,K43,K35,K24)</f>
        <v>0</v>
      </c>
      <c r="M99" s="282"/>
      <c r="N99" s="157"/>
      <c r="O99" s="308"/>
      <c r="P99" s="308"/>
    </row>
    <row r="100" spans="1:17" s="159" customFormat="1" ht="14.4" thickBot="1" x14ac:dyDescent="0.3">
      <c r="A100" s="487"/>
      <c r="B100" s="555"/>
      <c r="C100" s="493"/>
      <c r="D100" s="493"/>
      <c r="E100" s="493"/>
      <c r="F100" s="1032"/>
      <c r="G100" s="1077"/>
      <c r="H100" s="493"/>
      <c r="I100" s="1032"/>
      <c r="J100" s="1032"/>
      <c r="K100" s="1034"/>
      <c r="M100" s="282"/>
      <c r="N100" s="157"/>
      <c r="O100" s="308"/>
      <c r="P100" s="308"/>
    </row>
    <row r="101" spans="1:17" s="159" customFormat="1" ht="13.8" thickBot="1" x14ac:dyDescent="0.3">
      <c r="A101" s="494"/>
      <c r="B101" s="495"/>
      <c r="C101" s="495"/>
      <c r="D101" s="495"/>
      <c r="E101" s="495"/>
      <c r="F101" s="495"/>
      <c r="G101" s="495"/>
      <c r="H101" s="495"/>
      <c r="I101" s="495"/>
      <c r="J101" s="495"/>
      <c r="K101" s="496"/>
      <c r="M101" s="282"/>
      <c r="N101" s="157"/>
      <c r="O101" s="308"/>
      <c r="P101" s="308"/>
    </row>
    <row r="102" spans="1:17" s="159" customFormat="1" x14ac:dyDescent="0.25">
      <c r="C102" s="658"/>
      <c r="D102" s="658"/>
      <c r="M102" s="282"/>
      <c r="N102" s="157"/>
      <c r="O102" s="308"/>
      <c r="P102" s="308"/>
    </row>
    <row r="103" spans="1:17" s="159" customFormat="1" x14ac:dyDescent="0.25">
      <c r="C103" s="658"/>
      <c r="D103" s="658"/>
      <c r="M103" s="282"/>
      <c r="N103" s="157"/>
      <c r="O103" s="308"/>
      <c r="P103" s="308"/>
    </row>
    <row r="104" spans="1:17" s="159" customFormat="1" x14ac:dyDescent="0.25">
      <c r="C104" s="658"/>
      <c r="D104" s="658"/>
      <c r="M104" s="282"/>
      <c r="N104" s="157"/>
      <c r="O104" s="308"/>
      <c r="P104" s="308"/>
    </row>
    <row r="105" spans="1:17" s="159" customFormat="1" x14ac:dyDescent="0.25">
      <c r="C105" s="658"/>
      <c r="D105" s="658"/>
      <c r="M105" s="282"/>
      <c r="N105" s="157"/>
      <c r="O105" s="308"/>
      <c r="P105" s="308"/>
    </row>
    <row r="106" spans="1:17" s="159" customFormat="1" x14ac:dyDescent="0.25">
      <c r="C106" s="658"/>
      <c r="D106" s="658"/>
      <c r="M106" s="282"/>
      <c r="N106" s="157"/>
      <c r="O106" s="308"/>
      <c r="P106" s="308"/>
    </row>
    <row r="107" spans="1:17" s="159" customFormat="1" x14ac:dyDescent="0.25">
      <c r="C107" s="658"/>
      <c r="D107" s="658"/>
      <c r="M107" s="282"/>
      <c r="N107" s="157"/>
      <c r="O107" s="308"/>
      <c r="P107" s="308"/>
    </row>
    <row r="108" spans="1:17" s="159" customFormat="1" x14ac:dyDescent="0.25">
      <c r="C108" s="658"/>
      <c r="D108" s="658"/>
      <c r="M108" s="282"/>
      <c r="N108" s="157"/>
      <c r="O108" s="308"/>
      <c r="P108" s="308"/>
    </row>
    <row r="109" spans="1:17" s="159" customFormat="1" x14ac:dyDescent="0.25">
      <c r="C109" s="658"/>
      <c r="D109" s="658"/>
      <c r="M109" s="282"/>
      <c r="N109" s="157"/>
      <c r="O109" s="308"/>
      <c r="P109" s="308"/>
    </row>
    <row r="110" spans="1:17" s="159" customFormat="1" x14ac:dyDescent="0.25">
      <c r="C110" s="658"/>
      <c r="D110" s="658"/>
      <c r="M110" s="282"/>
      <c r="N110" s="157"/>
      <c r="O110" s="308"/>
      <c r="P110" s="308"/>
    </row>
    <row r="111" spans="1:17" s="159" customFormat="1" x14ac:dyDescent="0.25">
      <c r="C111" s="658"/>
      <c r="D111" s="658"/>
      <c r="M111" s="282"/>
      <c r="N111" s="157"/>
      <c r="O111" s="308"/>
      <c r="P111" s="308"/>
    </row>
    <row r="112" spans="1:17" s="159" customFormat="1" x14ac:dyDescent="0.25">
      <c r="C112" s="658"/>
      <c r="D112" s="658"/>
      <c r="M112" s="282"/>
      <c r="N112" s="157"/>
      <c r="O112" s="308"/>
      <c r="P112" s="308"/>
    </row>
    <row r="113" spans="3:16" s="159" customFormat="1" x14ac:dyDescent="0.25">
      <c r="C113" s="658"/>
      <c r="D113" s="658"/>
      <c r="M113" s="282"/>
      <c r="N113" s="157"/>
      <c r="O113" s="308"/>
      <c r="P113" s="308"/>
    </row>
    <row r="114" spans="3:16" s="159" customFormat="1" x14ac:dyDescent="0.25">
      <c r="C114" s="658"/>
      <c r="D114" s="658"/>
      <c r="M114" s="282"/>
      <c r="N114" s="157"/>
      <c r="O114" s="308"/>
      <c r="P114" s="308"/>
    </row>
    <row r="115" spans="3:16" s="159" customFormat="1" x14ac:dyDescent="0.25">
      <c r="C115" s="658"/>
      <c r="D115" s="658"/>
      <c r="M115" s="282"/>
      <c r="N115" s="157"/>
      <c r="O115" s="308"/>
      <c r="P115" s="308"/>
    </row>
    <row r="116" spans="3:16" s="159" customFormat="1" x14ac:dyDescent="0.25">
      <c r="C116" s="658"/>
      <c r="D116" s="658"/>
      <c r="M116" s="282"/>
      <c r="N116" s="157"/>
      <c r="O116" s="308"/>
      <c r="P116" s="308"/>
    </row>
    <row r="117" spans="3:16" s="159" customFormat="1" x14ac:dyDescent="0.25">
      <c r="C117" s="658"/>
      <c r="D117" s="658"/>
      <c r="M117" s="282"/>
      <c r="N117" s="157"/>
      <c r="O117" s="308"/>
      <c r="P117" s="308"/>
    </row>
    <row r="118" spans="3:16" s="159" customFormat="1" x14ac:dyDescent="0.25">
      <c r="C118" s="658"/>
      <c r="D118" s="658"/>
      <c r="M118" s="282"/>
      <c r="N118" s="157"/>
      <c r="O118" s="308"/>
      <c r="P118" s="308"/>
    </row>
    <row r="119" spans="3:16" s="159" customFormat="1" x14ac:dyDescent="0.25">
      <c r="C119" s="658"/>
      <c r="D119" s="658"/>
      <c r="M119" s="282"/>
      <c r="N119" s="157"/>
      <c r="O119" s="308"/>
      <c r="P119" s="308"/>
    </row>
    <row r="120" spans="3:16" s="159" customFormat="1" x14ac:dyDescent="0.25">
      <c r="C120" s="658"/>
      <c r="D120" s="658"/>
      <c r="M120" s="282"/>
      <c r="N120" s="157"/>
      <c r="O120" s="308"/>
      <c r="P120" s="308"/>
    </row>
    <row r="121" spans="3:16" s="159" customFormat="1" x14ac:dyDescent="0.25">
      <c r="C121" s="658"/>
      <c r="D121" s="658"/>
      <c r="M121" s="282"/>
      <c r="N121" s="157"/>
      <c r="O121" s="308"/>
      <c r="P121" s="308"/>
    </row>
    <row r="122" spans="3:16" s="159" customFormat="1" x14ac:dyDescent="0.25">
      <c r="C122" s="658"/>
      <c r="D122" s="658"/>
      <c r="M122" s="282"/>
      <c r="N122" s="157"/>
      <c r="O122" s="308"/>
      <c r="P122" s="308"/>
    </row>
    <row r="123" spans="3:16" s="159" customFormat="1" x14ac:dyDescent="0.25">
      <c r="C123" s="658"/>
      <c r="D123" s="658"/>
      <c r="M123" s="282"/>
      <c r="N123" s="157"/>
      <c r="O123" s="308"/>
      <c r="P123" s="308"/>
    </row>
    <row r="124" spans="3:16" s="159" customFormat="1" x14ac:dyDescent="0.25">
      <c r="C124" s="658"/>
      <c r="D124" s="658"/>
      <c r="M124" s="282"/>
      <c r="N124" s="157"/>
      <c r="O124" s="308"/>
      <c r="P124" s="308"/>
    </row>
    <row r="125" spans="3:16" s="159" customFormat="1" x14ac:dyDescent="0.25">
      <c r="C125" s="658"/>
      <c r="D125" s="658"/>
      <c r="M125" s="282"/>
      <c r="N125" s="157"/>
      <c r="O125" s="308"/>
      <c r="P125" s="308"/>
    </row>
    <row r="126" spans="3:16" s="159" customFormat="1" x14ac:dyDescent="0.25">
      <c r="C126" s="658"/>
      <c r="D126" s="658"/>
      <c r="M126" s="282"/>
      <c r="N126" s="157"/>
      <c r="O126" s="308"/>
      <c r="P126" s="308"/>
    </row>
    <row r="127" spans="3:16" s="159" customFormat="1" x14ac:dyDescent="0.25">
      <c r="C127" s="658"/>
      <c r="D127" s="658"/>
      <c r="M127" s="282"/>
      <c r="N127" s="157"/>
      <c r="O127" s="308"/>
      <c r="P127" s="308"/>
    </row>
    <row r="128" spans="3:16" s="159" customFormat="1" x14ac:dyDescent="0.25">
      <c r="C128" s="658"/>
      <c r="D128" s="658"/>
      <c r="M128" s="282"/>
      <c r="N128" s="157"/>
      <c r="O128" s="308"/>
      <c r="P128" s="308"/>
    </row>
    <row r="129" spans="3:16" s="159" customFormat="1" x14ac:dyDescent="0.25">
      <c r="C129" s="658"/>
      <c r="D129" s="658"/>
      <c r="M129" s="282"/>
      <c r="N129" s="157"/>
      <c r="O129" s="308"/>
      <c r="P129" s="308"/>
    </row>
    <row r="130" spans="3:16" s="159" customFormat="1" x14ac:dyDescent="0.25">
      <c r="C130" s="658"/>
      <c r="D130" s="658"/>
      <c r="M130" s="282"/>
      <c r="N130" s="157"/>
      <c r="O130" s="308"/>
      <c r="P130" s="308"/>
    </row>
    <row r="131" spans="3:16" s="159" customFormat="1" x14ac:dyDescent="0.25">
      <c r="C131" s="658"/>
      <c r="D131" s="658"/>
      <c r="M131" s="282"/>
      <c r="N131" s="157"/>
      <c r="O131" s="308"/>
      <c r="P131" s="308"/>
    </row>
    <row r="132" spans="3:16" s="159" customFormat="1" x14ac:dyDescent="0.25">
      <c r="C132" s="658"/>
      <c r="D132" s="658"/>
      <c r="M132" s="282"/>
      <c r="N132" s="157"/>
      <c r="O132" s="308"/>
      <c r="P132" s="308"/>
    </row>
    <row r="133" spans="3:16" s="159" customFormat="1" x14ac:dyDescent="0.25">
      <c r="C133" s="658"/>
      <c r="D133" s="658"/>
      <c r="M133" s="282"/>
      <c r="N133" s="157"/>
      <c r="O133" s="308"/>
      <c r="P133" s="308"/>
    </row>
    <row r="134" spans="3:16" s="159" customFormat="1" x14ac:dyDescent="0.25">
      <c r="C134" s="658"/>
      <c r="D134" s="658"/>
      <c r="M134" s="282"/>
      <c r="N134" s="157"/>
      <c r="O134" s="308"/>
      <c r="P134" s="308"/>
    </row>
    <row r="135" spans="3:16" s="159" customFormat="1" x14ac:dyDescent="0.25">
      <c r="C135" s="658"/>
      <c r="D135" s="658"/>
      <c r="M135" s="282"/>
      <c r="N135" s="157"/>
      <c r="O135" s="308"/>
      <c r="P135" s="308"/>
    </row>
    <row r="136" spans="3:16" s="159" customFormat="1" x14ac:dyDescent="0.25">
      <c r="C136" s="658"/>
      <c r="D136" s="658"/>
      <c r="M136" s="282"/>
      <c r="N136" s="157"/>
      <c r="O136" s="308"/>
      <c r="P136" s="308"/>
    </row>
    <row r="137" spans="3:16" s="159" customFormat="1" x14ac:dyDescent="0.25">
      <c r="C137" s="658"/>
      <c r="D137" s="658"/>
      <c r="M137" s="282"/>
      <c r="N137" s="157"/>
      <c r="O137" s="308"/>
      <c r="P137" s="308"/>
    </row>
    <row r="138" spans="3:16" s="159" customFormat="1" x14ac:dyDescent="0.25">
      <c r="C138" s="658"/>
      <c r="D138" s="658"/>
      <c r="M138" s="282"/>
      <c r="N138" s="157"/>
      <c r="O138" s="308"/>
      <c r="P138" s="308"/>
    </row>
    <row r="139" spans="3:16" s="159" customFormat="1" x14ac:dyDescent="0.25">
      <c r="C139" s="658"/>
      <c r="D139" s="658"/>
      <c r="M139" s="282"/>
      <c r="N139" s="157"/>
      <c r="O139" s="308"/>
      <c r="P139" s="308"/>
    </row>
    <row r="140" spans="3:16" s="159" customFormat="1" x14ac:dyDescent="0.25">
      <c r="C140" s="658"/>
      <c r="D140" s="658"/>
      <c r="M140" s="282"/>
      <c r="N140" s="157"/>
      <c r="O140" s="308"/>
      <c r="P140" s="308"/>
    </row>
    <row r="141" spans="3:16" s="159" customFormat="1" x14ac:dyDescent="0.25">
      <c r="C141" s="658"/>
      <c r="D141" s="658"/>
      <c r="M141" s="282"/>
      <c r="N141" s="157"/>
      <c r="O141" s="308"/>
      <c r="P141" s="308"/>
    </row>
    <row r="142" spans="3:16" s="159" customFormat="1" x14ac:dyDescent="0.25">
      <c r="C142" s="658"/>
      <c r="D142" s="658"/>
      <c r="M142" s="282"/>
      <c r="N142" s="157"/>
      <c r="O142" s="308"/>
      <c r="P142" s="308"/>
    </row>
    <row r="143" spans="3:16" s="159" customFormat="1" x14ac:dyDescent="0.25">
      <c r="C143" s="658"/>
      <c r="D143" s="658"/>
      <c r="M143" s="282"/>
      <c r="N143" s="157"/>
      <c r="O143" s="308"/>
      <c r="P143" s="308"/>
    </row>
    <row r="144" spans="3:16" s="159" customFormat="1" x14ac:dyDescent="0.25">
      <c r="C144" s="658"/>
      <c r="D144" s="658"/>
      <c r="M144" s="282"/>
      <c r="N144" s="157"/>
      <c r="O144" s="308"/>
      <c r="P144" s="308"/>
    </row>
    <row r="145" spans="3:16" s="159" customFormat="1" x14ac:dyDescent="0.25">
      <c r="C145" s="658"/>
      <c r="D145" s="658"/>
      <c r="M145" s="282"/>
      <c r="N145" s="157"/>
      <c r="O145" s="308"/>
      <c r="P145" s="308"/>
    </row>
    <row r="146" spans="3:16" s="159" customFormat="1" x14ac:dyDescent="0.25">
      <c r="C146" s="658"/>
      <c r="D146" s="658"/>
      <c r="M146" s="282"/>
      <c r="N146" s="157"/>
      <c r="O146" s="308"/>
      <c r="P146" s="308"/>
    </row>
    <row r="147" spans="3:16" s="159" customFormat="1" x14ac:dyDescent="0.25">
      <c r="C147" s="658"/>
      <c r="D147" s="658"/>
      <c r="M147" s="282"/>
      <c r="N147" s="157"/>
      <c r="O147" s="308"/>
      <c r="P147" s="308"/>
    </row>
    <row r="148" spans="3:16" s="159" customFormat="1" x14ac:dyDescent="0.25">
      <c r="C148" s="658"/>
      <c r="D148" s="658"/>
      <c r="M148" s="282"/>
      <c r="N148" s="157"/>
      <c r="O148" s="308"/>
      <c r="P148" s="308"/>
    </row>
    <row r="149" spans="3:16" s="159" customFormat="1" x14ac:dyDescent="0.25">
      <c r="C149" s="658"/>
      <c r="D149" s="658"/>
      <c r="M149" s="282"/>
      <c r="N149" s="157"/>
      <c r="O149" s="308"/>
      <c r="P149" s="308"/>
    </row>
    <row r="150" spans="3:16" s="159" customFormat="1" x14ac:dyDescent="0.25">
      <c r="C150" s="658"/>
      <c r="D150" s="658"/>
      <c r="M150" s="282"/>
      <c r="N150" s="157"/>
      <c r="O150" s="308"/>
      <c r="P150" s="308"/>
    </row>
    <row r="151" spans="3:16" s="159" customFormat="1" x14ac:dyDescent="0.25">
      <c r="C151" s="658"/>
      <c r="D151" s="658"/>
      <c r="M151" s="282"/>
      <c r="N151" s="157"/>
      <c r="O151" s="308"/>
      <c r="P151" s="308"/>
    </row>
    <row r="152" spans="3:16" s="159" customFormat="1" x14ac:dyDescent="0.25">
      <c r="C152" s="658"/>
      <c r="D152" s="658"/>
      <c r="M152" s="282"/>
      <c r="N152" s="157"/>
      <c r="O152" s="308"/>
      <c r="P152" s="308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35" top="0.75" bottom="0.75" header="0.5" footer="0.5"/>
  <pageSetup scale="73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42"/>
  <sheetViews>
    <sheetView zoomScale="90" zoomScaleSheetLayoutView="90" workbookViewId="0">
      <selection activeCell="K25" sqref="K25"/>
    </sheetView>
  </sheetViews>
  <sheetFormatPr defaultColWidth="9.109375" defaultRowHeight="13.2" x14ac:dyDescent="0.25"/>
  <cols>
    <col min="1" max="1" width="12.109375" style="157" bestFit="1" customWidth="1"/>
    <col min="2" max="2" width="42.109375" style="157" customWidth="1"/>
    <col min="3" max="3" width="5" style="445" customWidth="1"/>
    <col min="4" max="4" width="5" style="662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3.109375" style="157" bestFit="1" customWidth="1"/>
    <col min="10" max="10" width="16.109375" style="157" bestFit="1" customWidth="1"/>
    <col min="11" max="11" width="13.10937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366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530" t="s">
        <v>367</v>
      </c>
      <c r="B10" s="530" t="s">
        <v>68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x14ac:dyDescent="0.25">
      <c r="A11" s="375"/>
      <c r="B11" s="5"/>
      <c r="C11" s="376"/>
      <c r="D11" s="377" t="s">
        <v>21</v>
      </c>
      <c r="E11" s="259">
        <v>0</v>
      </c>
      <c r="F11" s="378">
        <f t="shared" ref="F11:F22" si="0">C11*E11</f>
        <v>0</v>
      </c>
      <c r="G11" s="534"/>
      <c r="H11" s="380">
        <v>0</v>
      </c>
      <c r="I11" s="378">
        <f t="shared" ref="I11:I22" si="1">G11*H11</f>
        <v>0</v>
      </c>
      <c r="J11" s="381"/>
      <c r="K11" s="535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x14ac:dyDescent="0.25">
      <c r="A12" s="375"/>
      <c r="B12" s="5"/>
      <c r="C12" s="376"/>
      <c r="D12" s="377" t="s">
        <v>21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381"/>
      <c r="K12" s="535">
        <f t="shared" si="2"/>
        <v>0</v>
      </c>
      <c r="L12" s="383"/>
      <c r="M12" s="384"/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383"/>
      <c r="M13" s="384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89"/>
      <c r="B17" s="5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157"/>
      <c r="M17" s="474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157"/>
      <c r="M18" s="474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157"/>
      <c r="M19" s="474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157"/>
      <c r="M20" s="474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157"/>
      <c r="M21" s="474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157"/>
      <c r="M22" s="474"/>
      <c r="O22" s="386"/>
      <c r="P22" s="387"/>
      <c r="Q22" s="388"/>
    </row>
    <row r="23" spans="1:17" s="159" customFormat="1" ht="13.8" thickBot="1" x14ac:dyDescent="0.3">
      <c r="A23" s="392"/>
      <c r="B23" s="7"/>
      <c r="C23" s="393"/>
      <c r="D23" s="377"/>
      <c r="E23" s="259"/>
      <c r="F23" s="378"/>
      <c r="G23" s="534"/>
      <c r="H23" s="380"/>
      <c r="I23" s="378"/>
      <c r="J23" s="381"/>
      <c r="K23" s="535"/>
      <c r="L23" s="157"/>
      <c r="M23" s="474"/>
      <c r="N23" s="157"/>
      <c r="O23" s="386"/>
      <c r="P23" s="387"/>
      <c r="Q23" s="388"/>
    </row>
    <row r="24" spans="1:17" s="159" customFormat="1" ht="13.8" thickTop="1" x14ac:dyDescent="0.25">
      <c r="A24" s="392"/>
      <c r="B24" s="7"/>
      <c r="C24" s="393"/>
      <c r="D24" s="377"/>
      <c r="E24" s="259"/>
      <c r="F24" s="378"/>
      <c r="G24" s="534"/>
      <c r="H24" s="380"/>
      <c r="I24" s="378"/>
      <c r="J24" s="394" t="s">
        <v>30</v>
      </c>
      <c r="K24" s="537">
        <f>SUM(K11:K23)</f>
        <v>0</v>
      </c>
      <c r="L24" s="157"/>
      <c r="M24" s="474"/>
      <c r="N24" s="157"/>
      <c r="O24" s="386"/>
      <c r="P24" s="387"/>
      <c r="Q24" s="388"/>
    </row>
    <row r="25" spans="1:17" s="159" customFormat="1" ht="13.8" thickBot="1" x14ac:dyDescent="0.3">
      <c r="A25" s="358" t="s">
        <v>0</v>
      </c>
      <c r="B25" s="359" t="s">
        <v>1</v>
      </c>
      <c r="C25" s="1018" t="s">
        <v>656</v>
      </c>
      <c r="D25" s="1018"/>
      <c r="E25" s="1018"/>
      <c r="F25" s="1018"/>
      <c r="G25" s="1018" t="s">
        <v>34</v>
      </c>
      <c r="H25" s="1018"/>
      <c r="I25" s="1018"/>
      <c r="J25" s="360"/>
      <c r="K25" s="528"/>
      <c r="L25" s="396"/>
      <c r="M25" s="397"/>
      <c r="N25" s="398"/>
      <c r="O25" s="386"/>
      <c r="P25" s="387"/>
      <c r="Q25" s="388"/>
    </row>
    <row r="26" spans="1:17" s="159" customFormat="1" ht="16.2" thickBot="1" x14ac:dyDescent="0.35">
      <c r="A26" s="530" t="s">
        <v>368</v>
      </c>
      <c r="B26" s="530" t="s">
        <v>69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8" t="s">
        <v>14</v>
      </c>
      <c r="H26" s="403" t="s">
        <v>35</v>
      </c>
      <c r="I26" s="404" t="s">
        <v>30</v>
      </c>
      <c r="J26" s="369" t="s">
        <v>659</v>
      </c>
      <c r="K26" s="539" t="s">
        <v>38</v>
      </c>
      <c r="L26" s="407"/>
      <c r="M26" s="408"/>
      <c r="N26" s="409"/>
      <c r="O26" s="386"/>
      <c r="P26" s="387"/>
      <c r="Q26" s="388"/>
    </row>
    <row r="27" spans="1:17" s="159" customFormat="1" x14ac:dyDescent="0.25">
      <c r="A27" s="410"/>
      <c r="B27" s="411"/>
      <c r="C27" s="376"/>
      <c r="D27" s="377" t="s">
        <v>21</v>
      </c>
      <c r="E27" s="259">
        <v>0</v>
      </c>
      <c r="F27" s="378">
        <f t="shared" ref="F27:F33" si="3">C27*E27</f>
        <v>0</v>
      </c>
      <c r="G27" s="534"/>
      <c r="H27" s="380">
        <v>0</v>
      </c>
      <c r="I27" s="378">
        <f t="shared" ref="I27:I33" si="4">G27*H27</f>
        <v>0</v>
      </c>
      <c r="J27" s="381"/>
      <c r="K27" s="535">
        <f t="shared" ref="K27:K33" si="5">F27+I27+J27</f>
        <v>0</v>
      </c>
      <c r="L27" s="157"/>
      <c r="M27" s="474"/>
      <c r="N27" s="157"/>
      <c r="O27" s="386"/>
      <c r="P27" s="387"/>
      <c r="Q27" s="388"/>
    </row>
    <row r="28" spans="1:17" s="159" customFormat="1" x14ac:dyDescent="0.25">
      <c r="A28" s="375"/>
      <c r="B28" s="5"/>
      <c r="C28" s="376"/>
      <c r="D28" s="377" t="s">
        <v>21</v>
      </c>
      <c r="E28" s="259">
        <v>0</v>
      </c>
      <c r="F28" s="378">
        <f t="shared" si="3"/>
        <v>0</v>
      </c>
      <c r="G28" s="534"/>
      <c r="H28" s="380">
        <v>0</v>
      </c>
      <c r="I28" s="378">
        <f t="shared" si="4"/>
        <v>0</v>
      </c>
      <c r="J28" s="381"/>
      <c r="K28" s="535">
        <f t="shared" si="5"/>
        <v>0</v>
      </c>
      <c r="M28" s="282"/>
      <c r="N28" s="157"/>
      <c r="O28" s="386"/>
      <c r="P28" s="387"/>
      <c r="Q28" s="388"/>
    </row>
    <row r="29" spans="1:17" s="159" customFormat="1" x14ac:dyDescent="0.25">
      <c r="A29" s="375"/>
      <c r="B29" s="5"/>
      <c r="C29" s="376"/>
      <c r="D29" s="377" t="s">
        <v>21</v>
      </c>
      <c r="E29" s="259">
        <v>0</v>
      </c>
      <c r="F29" s="378">
        <f t="shared" si="3"/>
        <v>0</v>
      </c>
      <c r="G29" s="534"/>
      <c r="H29" s="380">
        <v>0</v>
      </c>
      <c r="I29" s="378">
        <f t="shared" si="4"/>
        <v>0</v>
      </c>
      <c r="J29" s="381"/>
      <c r="K29" s="535">
        <f t="shared" si="5"/>
        <v>0</v>
      </c>
      <c r="L29" s="383"/>
      <c r="M29" s="384"/>
      <c r="N29" s="385"/>
      <c r="O29" s="386"/>
      <c r="P29" s="387"/>
      <c r="Q29" s="388"/>
    </row>
    <row r="30" spans="1:17" s="159" customFormat="1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s="159" customFormat="1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541"/>
      <c r="M31" s="578"/>
      <c r="N31" s="542"/>
      <c r="O31" s="386"/>
      <c r="P31" s="387"/>
      <c r="Q31" s="388"/>
    </row>
    <row r="32" spans="1:17" s="159" customFormat="1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L32" s="543"/>
      <c r="M32" s="261"/>
      <c r="N32" s="426"/>
      <c r="O32" s="386"/>
      <c r="P32" s="387"/>
      <c r="Q32" s="388"/>
    </row>
    <row r="33" spans="1:17" s="159" customFormat="1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157"/>
      <c r="M33" s="474"/>
      <c r="N33" s="157"/>
      <c r="O33" s="386"/>
      <c r="P33" s="387"/>
      <c r="Q33" s="388"/>
    </row>
    <row r="34" spans="1:17" s="159" customFormat="1" ht="13.8" thickBot="1" x14ac:dyDescent="0.3">
      <c r="A34" s="375"/>
      <c r="B34" s="5"/>
      <c r="C34" s="393"/>
      <c r="D34" s="377"/>
      <c r="E34" s="259"/>
      <c r="F34" s="378"/>
      <c r="G34" s="534"/>
      <c r="H34" s="380"/>
      <c r="I34" s="378"/>
      <c r="J34" s="381"/>
      <c r="K34" s="540"/>
      <c r="L34" s="157"/>
      <c r="M34" s="474"/>
      <c r="N34" s="157"/>
      <c r="O34" s="386"/>
      <c r="P34" s="387"/>
      <c r="Q34" s="388"/>
    </row>
    <row r="35" spans="1:17" s="159" customFormat="1" ht="13.8" thickTop="1" x14ac:dyDescent="0.25">
      <c r="A35" s="392"/>
      <c r="B35" s="5"/>
      <c r="C35" s="393"/>
      <c r="D35" s="377"/>
      <c r="E35" s="259"/>
      <c r="F35" s="378"/>
      <c r="G35" s="534"/>
      <c r="H35" s="380"/>
      <c r="I35" s="378"/>
      <c r="J35" s="394" t="s">
        <v>30</v>
      </c>
      <c r="K35" s="537">
        <f>SUM(K27:K34)</f>
        <v>0</v>
      </c>
      <c r="L35" s="383"/>
      <c r="M35" s="384"/>
      <c r="N35" s="385"/>
      <c r="O35" s="386"/>
      <c r="P35" s="387"/>
      <c r="Q35" s="388"/>
    </row>
    <row r="36" spans="1:17" s="159" customFormat="1" ht="13.8" thickBot="1" x14ac:dyDescent="0.3">
      <c r="A36" s="358" t="s">
        <v>0</v>
      </c>
      <c r="B36" s="359" t="s">
        <v>1</v>
      </c>
      <c r="C36" s="1018" t="s">
        <v>656</v>
      </c>
      <c r="D36" s="1018"/>
      <c r="E36" s="1018"/>
      <c r="F36" s="1018"/>
      <c r="G36" s="1018" t="s">
        <v>34</v>
      </c>
      <c r="H36" s="1018"/>
      <c r="I36" s="1018"/>
      <c r="J36" s="360"/>
      <c r="K36" s="528"/>
      <c r="L36" s="396"/>
      <c r="M36" s="397"/>
      <c r="N36" s="398"/>
      <c r="O36" s="386"/>
      <c r="P36" s="387"/>
      <c r="Q36" s="388"/>
    </row>
    <row r="37" spans="1:17" s="159" customFormat="1" ht="16.2" thickBot="1" x14ac:dyDescent="0.35">
      <c r="A37" s="530" t="s">
        <v>370</v>
      </c>
      <c r="B37" s="530" t="s">
        <v>369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8" t="s">
        <v>14</v>
      </c>
      <c r="H37" s="403" t="s">
        <v>35</v>
      </c>
      <c r="I37" s="404" t="s">
        <v>30</v>
      </c>
      <c r="J37" s="369" t="s">
        <v>659</v>
      </c>
      <c r="K37" s="539" t="s">
        <v>38</v>
      </c>
      <c r="L37" s="407"/>
      <c r="M37" s="413"/>
      <c r="N37" s="414"/>
      <c r="O37" s="415"/>
      <c r="P37" s="416"/>
      <c r="Q37" s="388"/>
    </row>
    <row r="38" spans="1:17" s="159" customFormat="1" x14ac:dyDescent="0.25">
      <c r="A38" s="410"/>
      <c r="B38" s="411"/>
      <c r="C38" s="376"/>
      <c r="D38" s="377" t="s">
        <v>21</v>
      </c>
      <c r="E38" s="259">
        <v>0</v>
      </c>
      <c r="F38" s="378">
        <f>C38*E38</f>
        <v>0</v>
      </c>
      <c r="G38" s="534"/>
      <c r="H38" s="380">
        <v>0</v>
      </c>
      <c r="I38" s="378">
        <f>G38*H38</f>
        <v>0</v>
      </c>
      <c r="J38" s="381"/>
      <c r="K38" s="535">
        <f>F38+I38+J38</f>
        <v>0</v>
      </c>
      <c r="L38" s="383"/>
      <c r="M38" s="384"/>
      <c r="N38" s="385"/>
      <c r="O38" s="415"/>
      <c r="P38" s="416"/>
      <c r="Q38" s="388"/>
    </row>
    <row r="39" spans="1:17" s="159" customFormat="1" x14ac:dyDescent="0.25">
      <c r="A39" s="375"/>
      <c r="B39" s="5"/>
      <c r="C39" s="376"/>
      <c r="D39" s="377" t="s">
        <v>21</v>
      </c>
      <c r="E39" s="259">
        <v>0</v>
      </c>
      <c r="F39" s="378">
        <f>C39*E39</f>
        <v>0</v>
      </c>
      <c r="G39" s="534"/>
      <c r="H39" s="380">
        <v>0</v>
      </c>
      <c r="I39" s="378">
        <f>G39*H39</f>
        <v>0</v>
      </c>
      <c r="J39" s="381"/>
      <c r="K39" s="535">
        <f>F39+I39+J39</f>
        <v>0</v>
      </c>
      <c r="L39" s="383"/>
      <c r="M39" s="384"/>
      <c r="N39" s="385"/>
      <c r="O39" s="415"/>
      <c r="P39" s="416"/>
      <c r="Q39" s="388"/>
    </row>
    <row r="40" spans="1:17" s="159" customFormat="1" x14ac:dyDescent="0.25">
      <c r="A40" s="375"/>
      <c r="B40" s="5"/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L40" s="383"/>
      <c r="M40" s="384"/>
      <c r="N40" s="385"/>
      <c r="O40" s="415"/>
      <c r="P40" s="416"/>
      <c r="Q40" s="388"/>
    </row>
    <row r="41" spans="1:17" s="159" customFormat="1" x14ac:dyDescent="0.25">
      <c r="A41" s="392"/>
      <c r="B41" s="417"/>
      <c r="C41" s="393"/>
      <c r="D41" s="377"/>
      <c r="E41" s="259"/>
      <c r="F41" s="378"/>
      <c r="G41" s="534"/>
      <c r="H41" s="380"/>
      <c r="I41" s="378"/>
      <c r="J41" s="381"/>
      <c r="K41" s="540"/>
      <c r="L41" s="383"/>
      <c r="M41" s="384"/>
      <c r="N41" s="385"/>
      <c r="O41" s="415"/>
      <c r="P41" s="416"/>
      <c r="Q41" s="388"/>
    </row>
    <row r="42" spans="1:17" s="159" customFormat="1" ht="13.8" thickBot="1" x14ac:dyDescent="0.3">
      <c r="A42" s="392"/>
      <c r="B42" s="417"/>
      <c r="C42" s="393"/>
      <c r="D42" s="377"/>
      <c r="E42" s="259"/>
      <c r="F42" s="378"/>
      <c r="G42" s="534"/>
      <c r="H42" s="380"/>
      <c r="I42" s="378"/>
      <c r="J42" s="381"/>
      <c r="K42" s="540"/>
      <c r="M42" s="282"/>
      <c r="N42" s="157"/>
      <c r="O42" s="415"/>
      <c r="P42" s="416"/>
      <c r="Q42" s="388"/>
    </row>
    <row r="43" spans="1:17" s="159" customFormat="1" ht="13.8" thickTop="1" x14ac:dyDescent="0.25">
      <c r="A43" s="392"/>
      <c r="B43" s="417"/>
      <c r="C43" s="393"/>
      <c r="D43" s="377"/>
      <c r="E43" s="259"/>
      <c r="F43" s="378"/>
      <c r="G43" s="534"/>
      <c r="H43" s="380"/>
      <c r="I43" s="378"/>
      <c r="J43" s="394" t="s">
        <v>30</v>
      </c>
      <c r="K43" s="537">
        <f>SUM(K38:K42)</f>
        <v>0</v>
      </c>
      <c r="M43" s="282"/>
      <c r="N43" s="157"/>
      <c r="O43" s="386"/>
      <c r="P43" s="387"/>
      <c r="Q43" s="388"/>
    </row>
    <row r="44" spans="1:17" s="159" customFormat="1" ht="13.8" thickBot="1" x14ac:dyDescent="0.3">
      <c r="A44" s="358" t="s">
        <v>0</v>
      </c>
      <c r="B44" s="359" t="s">
        <v>1</v>
      </c>
      <c r="C44" s="1018" t="s">
        <v>656</v>
      </c>
      <c r="D44" s="1018"/>
      <c r="E44" s="1018"/>
      <c r="F44" s="1018"/>
      <c r="G44" s="1018" t="s">
        <v>34</v>
      </c>
      <c r="H44" s="1018"/>
      <c r="I44" s="1018"/>
      <c r="J44" s="360"/>
      <c r="K44" s="528"/>
      <c r="L44" s="396"/>
      <c r="M44" s="397"/>
      <c r="N44" s="398"/>
      <c r="O44" s="386"/>
      <c r="P44" s="387"/>
      <c r="Q44" s="388"/>
    </row>
    <row r="45" spans="1:17" s="159" customFormat="1" ht="16.2" thickBot="1" x14ac:dyDescent="0.35">
      <c r="A45" s="399"/>
      <c r="B45" s="400"/>
      <c r="C45" s="401" t="s">
        <v>19</v>
      </c>
      <c r="D45" s="402" t="s">
        <v>33</v>
      </c>
      <c r="E45" s="403" t="s">
        <v>35</v>
      </c>
      <c r="F45" s="404" t="s">
        <v>30</v>
      </c>
      <c r="G45" s="538" t="s">
        <v>14</v>
      </c>
      <c r="H45" s="403" t="s">
        <v>35</v>
      </c>
      <c r="I45" s="404" t="s">
        <v>30</v>
      </c>
      <c r="J45" s="369" t="s">
        <v>659</v>
      </c>
      <c r="K45" s="539" t="s">
        <v>38</v>
      </c>
      <c r="L45" s="407"/>
      <c r="M45" s="413"/>
      <c r="N45" s="414"/>
      <c r="O45" s="386"/>
      <c r="P45" s="416"/>
      <c r="Q45" s="388"/>
    </row>
    <row r="46" spans="1:17" s="159" customFormat="1" x14ac:dyDescent="0.25">
      <c r="A46" s="410"/>
      <c r="B46" s="411"/>
      <c r="C46" s="376"/>
      <c r="D46" s="377" t="s">
        <v>21</v>
      </c>
      <c r="E46" s="259">
        <v>0</v>
      </c>
      <c r="F46" s="378">
        <f>C46*E46</f>
        <v>0</v>
      </c>
      <c r="G46" s="534"/>
      <c r="H46" s="380">
        <v>0</v>
      </c>
      <c r="I46" s="378">
        <f>G46*H46</f>
        <v>0</v>
      </c>
      <c r="J46" s="381"/>
      <c r="K46" s="535">
        <f>F46+I46+J46</f>
        <v>0</v>
      </c>
      <c r="L46" s="383"/>
      <c r="M46" s="261"/>
      <c r="N46" s="426"/>
      <c r="O46" s="386"/>
      <c r="P46" s="387"/>
      <c r="Q46" s="388"/>
    </row>
    <row r="47" spans="1:17" s="159" customFormat="1" x14ac:dyDescent="0.25">
      <c r="A47" s="375"/>
      <c r="B47" s="5"/>
      <c r="C47" s="376"/>
      <c r="D47" s="377" t="s">
        <v>21</v>
      </c>
      <c r="E47" s="259">
        <v>0</v>
      </c>
      <c r="F47" s="378">
        <f>C47*E47</f>
        <v>0</v>
      </c>
      <c r="G47" s="534"/>
      <c r="H47" s="380">
        <v>0</v>
      </c>
      <c r="I47" s="378">
        <f>G47*H47</f>
        <v>0</v>
      </c>
      <c r="J47" s="381"/>
      <c r="K47" s="535">
        <f>F47+I47+J47</f>
        <v>0</v>
      </c>
      <c r="L47" s="383"/>
      <c r="M47" s="261"/>
      <c r="N47" s="426"/>
      <c r="O47" s="386"/>
      <c r="P47" s="387"/>
      <c r="Q47" s="388"/>
    </row>
    <row r="48" spans="1:17" s="159" customFormat="1" x14ac:dyDescent="0.25">
      <c r="A48" s="375"/>
      <c r="B48" s="5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664"/>
      <c r="M48" s="665"/>
      <c r="N48" s="666"/>
      <c r="O48" s="386"/>
      <c r="P48" s="387"/>
      <c r="Q48" s="388"/>
    </row>
    <row r="49" spans="1:17" s="159" customFormat="1" x14ac:dyDescent="0.25">
      <c r="A49" s="375"/>
      <c r="B49" s="5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667"/>
      <c r="M49" s="261"/>
      <c r="N49" s="426"/>
      <c r="O49" s="386"/>
      <c r="P49" s="387"/>
      <c r="Q49" s="388"/>
    </row>
    <row r="50" spans="1:17" s="159" customFormat="1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426"/>
      <c r="O50" s="386"/>
      <c r="P50" s="387"/>
      <c r="Q50" s="388"/>
    </row>
    <row r="51" spans="1:17" s="159" customFormat="1" ht="13.8" thickBot="1" x14ac:dyDescent="0.3">
      <c r="A51" s="392"/>
      <c r="B51" s="417"/>
      <c r="C51" s="393"/>
      <c r="D51" s="377"/>
      <c r="E51" s="259"/>
      <c r="F51" s="378"/>
      <c r="G51" s="534"/>
      <c r="H51" s="380"/>
      <c r="I51" s="378"/>
      <c r="J51" s="381"/>
      <c r="K51" s="540"/>
      <c r="L51" s="383"/>
      <c r="M51" s="261"/>
      <c r="N51" s="385"/>
      <c r="O51" s="386"/>
      <c r="P51" s="387"/>
      <c r="Q51" s="388"/>
    </row>
    <row r="52" spans="1:17" s="159" customFormat="1" ht="13.8" thickTop="1" x14ac:dyDescent="0.25">
      <c r="A52" s="392"/>
      <c r="B52" s="417"/>
      <c r="C52" s="393"/>
      <c r="D52" s="377"/>
      <c r="E52" s="259"/>
      <c r="F52" s="378"/>
      <c r="G52" s="534"/>
      <c r="H52" s="380"/>
      <c r="I52" s="378"/>
      <c r="J52" s="394" t="s">
        <v>30</v>
      </c>
      <c r="K52" s="537">
        <f>SUM(K46:K51)</f>
        <v>0</v>
      </c>
      <c r="L52" s="157"/>
      <c r="M52" s="474"/>
      <c r="N52" s="157"/>
      <c r="O52" s="441"/>
      <c r="P52" s="442"/>
      <c r="Q52" s="388"/>
    </row>
    <row r="53" spans="1:17" s="159" customFormat="1" ht="13.8" thickBot="1" x14ac:dyDescent="0.3">
      <c r="A53" s="358" t="s">
        <v>0</v>
      </c>
      <c r="B53" s="359" t="s">
        <v>1</v>
      </c>
      <c r="C53" s="1018" t="s">
        <v>656</v>
      </c>
      <c r="D53" s="1018"/>
      <c r="E53" s="1018"/>
      <c r="F53" s="1018"/>
      <c r="G53" s="1018" t="s">
        <v>34</v>
      </c>
      <c r="H53" s="1018"/>
      <c r="I53" s="1018"/>
      <c r="J53" s="360"/>
      <c r="K53" s="528"/>
      <c r="L53" s="396"/>
      <c r="M53" s="360"/>
      <c r="N53" s="398"/>
      <c r="O53" s="441"/>
      <c r="P53" s="442"/>
      <c r="Q53" s="388"/>
    </row>
    <row r="54" spans="1:17" s="159" customFormat="1" ht="16.2" thickBot="1" x14ac:dyDescent="0.35">
      <c r="A54" s="399"/>
      <c r="B54" s="400"/>
      <c r="C54" s="401" t="s">
        <v>19</v>
      </c>
      <c r="D54" s="402" t="s">
        <v>33</v>
      </c>
      <c r="E54" s="403" t="s">
        <v>35</v>
      </c>
      <c r="F54" s="404" t="s">
        <v>30</v>
      </c>
      <c r="G54" s="538" t="s">
        <v>14</v>
      </c>
      <c r="H54" s="403" t="s">
        <v>35</v>
      </c>
      <c r="I54" s="404" t="s">
        <v>30</v>
      </c>
      <c r="J54" s="369" t="s">
        <v>659</v>
      </c>
      <c r="K54" s="539" t="s">
        <v>38</v>
      </c>
      <c r="L54" s="407"/>
      <c r="M54" s="413"/>
      <c r="N54" s="409"/>
      <c r="O54" s="415"/>
      <c r="P54" s="416"/>
      <c r="Q54" s="388"/>
    </row>
    <row r="55" spans="1:17" s="159" customFormat="1" x14ac:dyDescent="0.25">
      <c r="A55" s="410"/>
      <c r="B55" s="411"/>
      <c r="C55" s="376"/>
      <c r="D55" s="377" t="s">
        <v>21</v>
      </c>
      <c r="E55" s="259">
        <v>0</v>
      </c>
      <c r="F55" s="378">
        <f t="shared" ref="F55:F61" si="6">C55*E55</f>
        <v>0</v>
      </c>
      <c r="G55" s="534"/>
      <c r="H55" s="380">
        <v>0</v>
      </c>
      <c r="I55" s="378">
        <f t="shared" ref="I55:I61" si="7">G55*H55</f>
        <v>0</v>
      </c>
      <c r="J55" s="381"/>
      <c r="K55" s="535">
        <f t="shared" ref="K55:K61" si="8">F55+I55+J55</f>
        <v>0</v>
      </c>
      <c r="M55" s="282"/>
      <c r="N55" s="157"/>
      <c r="O55" s="386"/>
      <c r="P55" s="387"/>
      <c r="Q55" s="388"/>
    </row>
    <row r="56" spans="1:17" s="159" customFormat="1" x14ac:dyDescent="0.25">
      <c r="A56" s="375"/>
      <c r="B56" s="5"/>
      <c r="C56" s="376"/>
      <c r="D56" s="377" t="s">
        <v>21</v>
      </c>
      <c r="E56" s="259">
        <v>0</v>
      </c>
      <c r="F56" s="378">
        <f t="shared" si="6"/>
        <v>0</v>
      </c>
      <c r="G56" s="534"/>
      <c r="H56" s="380">
        <v>0</v>
      </c>
      <c r="I56" s="378">
        <f t="shared" si="7"/>
        <v>0</v>
      </c>
      <c r="J56" s="381"/>
      <c r="K56" s="535">
        <f t="shared" si="8"/>
        <v>0</v>
      </c>
      <c r="L56" s="383"/>
      <c r="M56" s="261"/>
      <c r="N56" s="385"/>
      <c r="O56" s="386"/>
      <c r="P56" s="387"/>
      <c r="Q56" s="388"/>
    </row>
    <row r="57" spans="1:17" s="159" customFormat="1" x14ac:dyDescent="0.25">
      <c r="A57" s="375"/>
      <c r="B57" s="5"/>
      <c r="C57" s="376"/>
      <c r="D57" s="377" t="s">
        <v>21</v>
      </c>
      <c r="E57" s="259">
        <v>0</v>
      </c>
      <c r="F57" s="378">
        <f t="shared" si="6"/>
        <v>0</v>
      </c>
      <c r="G57" s="534"/>
      <c r="H57" s="380">
        <v>0</v>
      </c>
      <c r="I57" s="378">
        <f t="shared" si="7"/>
        <v>0</v>
      </c>
      <c r="J57" s="381"/>
      <c r="K57" s="535">
        <f t="shared" si="8"/>
        <v>0</v>
      </c>
      <c r="L57" s="383"/>
      <c r="M57" s="261"/>
      <c r="N57" s="385"/>
      <c r="O57" s="386"/>
      <c r="P57" s="387"/>
      <c r="Q57" s="388"/>
    </row>
    <row r="58" spans="1:17" s="159" customFormat="1" x14ac:dyDescent="0.25">
      <c r="A58" s="375"/>
      <c r="B58" s="5"/>
      <c r="C58" s="376"/>
      <c r="D58" s="377" t="s">
        <v>21</v>
      </c>
      <c r="E58" s="259">
        <v>0</v>
      </c>
      <c r="F58" s="378">
        <f t="shared" si="6"/>
        <v>0</v>
      </c>
      <c r="G58" s="534"/>
      <c r="H58" s="380">
        <v>0</v>
      </c>
      <c r="I58" s="378">
        <f t="shared" si="7"/>
        <v>0</v>
      </c>
      <c r="J58" s="381"/>
      <c r="K58" s="535">
        <f t="shared" si="8"/>
        <v>0</v>
      </c>
      <c r="L58" s="383"/>
      <c r="M58" s="261"/>
      <c r="N58" s="385"/>
      <c r="O58" s="386"/>
      <c r="P58" s="387"/>
      <c r="Q58" s="388"/>
    </row>
    <row r="59" spans="1:17" s="159" customFormat="1" x14ac:dyDescent="0.25">
      <c r="A59" s="375"/>
      <c r="B59" s="5"/>
      <c r="C59" s="376"/>
      <c r="D59" s="377" t="s">
        <v>21</v>
      </c>
      <c r="E59" s="259">
        <v>0</v>
      </c>
      <c r="F59" s="378">
        <f t="shared" si="6"/>
        <v>0</v>
      </c>
      <c r="G59" s="534"/>
      <c r="H59" s="380">
        <v>0</v>
      </c>
      <c r="I59" s="378">
        <f t="shared" si="7"/>
        <v>0</v>
      </c>
      <c r="J59" s="381"/>
      <c r="K59" s="535">
        <f t="shared" si="8"/>
        <v>0</v>
      </c>
      <c r="L59" s="664"/>
      <c r="M59" s="261"/>
      <c r="N59" s="666"/>
      <c r="O59" s="386"/>
      <c r="P59" s="387"/>
      <c r="Q59" s="388"/>
    </row>
    <row r="60" spans="1:17" s="159" customFormat="1" x14ac:dyDescent="0.25">
      <c r="A60" s="375"/>
      <c r="B60" s="5"/>
      <c r="C60" s="376"/>
      <c r="D60" s="377" t="s">
        <v>21</v>
      </c>
      <c r="E60" s="259">
        <v>0</v>
      </c>
      <c r="F60" s="378">
        <f t="shared" si="6"/>
        <v>0</v>
      </c>
      <c r="G60" s="534"/>
      <c r="H60" s="380">
        <v>0</v>
      </c>
      <c r="I60" s="378">
        <f t="shared" si="7"/>
        <v>0</v>
      </c>
      <c r="J60" s="381"/>
      <c r="K60" s="535">
        <f t="shared" si="8"/>
        <v>0</v>
      </c>
      <c r="L60" s="667"/>
      <c r="M60" s="261"/>
      <c r="N60" s="668"/>
      <c r="O60" s="386"/>
      <c r="P60" s="387"/>
      <c r="Q60" s="388"/>
    </row>
    <row r="61" spans="1:17" s="159" customFormat="1" x14ac:dyDescent="0.25">
      <c r="A61" s="375"/>
      <c r="B61" s="5"/>
      <c r="C61" s="376"/>
      <c r="D61" s="377" t="s">
        <v>21</v>
      </c>
      <c r="E61" s="259">
        <v>0</v>
      </c>
      <c r="F61" s="378">
        <f t="shared" si="6"/>
        <v>0</v>
      </c>
      <c r="G61" s="534"/>
      <c r="H61" s="380">
        <v>0</v>
      </c>
      <c r="I61" s="378">
        <f t="shared" si="7"/>
        <v>0</v>
      </c>
      <c r="J61" s="381"/>
      <c r="K61" s="535">
        <f t="shared" si="8"/>
        <v>0</v>
      </c>
      <c r="L61" s="383"/>
      <c r="M61" s="261"/>
      <c r="N61" s="426"/>
      <c r="O61" s="386"/>
      <c r="P61" s="387"/>
      <c r="Q61" s="388"/>
    </row>
    <row r="62" spans="1:17" s="159" customFormat="1" ht="13.8" thickBot="1" x14ac:dyDescent="0.3">
      <c r="A62" s="392"/>
      <c r="B62" s="5"/>
      <c r="C62" s="393"/>
      <c r="D62" s="377"/>
      <c r="E62" s="259"/>
      <c r="F62" s="378"/>
      <c r="G62" s="534"/>
      <c r="H62" s="380"/>
      <c r="I62" s="378"/>
      <c r="J62" s="381"/>
      <c r="K62" s="540"/>
      <c r="M62" s="282"/>
      <c r="N62" s="157"/>
      <c r="O62" s="386"/>
      <c r="P62" s="387"/>
      <c r="Q62" s="388"/>
    </row>
    <row r="63" spans="1:17" s="159" customFormat="1" ht="13.8" thickTop="1" x14ac:dyDescent="0.25">
      <c r="A63" s="392"/>
      <c r="B63" s="417"/>
      <c r="C63" s="393"/>
      <c r="D63" s="377"/>
      <c r="E63" s="259"/>
      <c r="F63" s="378"/>
      <c r="G63" s="534"/>
      <c r="H63" s="380"/>
      <c r="I63" s="378"/>
      <c r="J63" s="394" t="s">
        <v>30</v>
      </c>
      <c r="K63" s="537">
        <f>SUM(K55:K62)</f>
        <v>0</v>
      </c>
      <c r="M63" s="282"/>
      <c r="N63" s="157"/>
      <c r="O63" s="386"/>
      <c r="P63" s="387"/>
      <c r="Q63" s="388"/>
    </row>
    <row r="64" spans="1:17" s="159" customFormat="1" ht="13.8" thickBot="1" x14ac:dyDescent="0.3">
      <c r="A64" s="358" t="s">
        <v>0</v>
      </c>
      <c r="B64" s="359" t="s">
        <v>1</v>
      </c>
      <c r="C64" s="1018" t="s">
        <v>656</v>
      </c>
      <c r="D64" s="1018"/>
      <c r="E64" s="1018"/>
      <c r="F64" s="1018"/>
      <c r="G64" s="1018" t="s">
        <v>34</v>
      </c>
      <c r="H64" s="1018"/>
      <c r="I64" s="1018"/>
      <c r="J64" s="360"/>
      <c r="K64" s="528"/>
      <c r="L64" s="396"/>
      <c r="M64" s="360"/>
      <c r="N64" s="443"/>
      <c r="O64" s="386"/>
      <c r="P64" s="387"/>
      <c r="Q64" s="388"/>
    </row>
    <row r="65" spans="1:17" s="159" customFormat="1" ht="16.2" thickBot="1" x14ac:dyDescent="0.35">
      <c r="A65" s="399"/>
      <c r="B65" s="400"/>
      <c r="C65" s="401" t="s">
        <v>19</v>
      </c>
      <c r="D65" s="402" t="s">
        <v>33</v>
      </c>
      <c r="E65" s="403" t="s">
        <v>35</v>
      </c>
      <c r="F65" s="404" t="s">
        <v>30</v>
      </c>
      <c r="G65" s="538" t="s">
        <v>14</v>
      </c>
      <c r="H65" s="403" t="s">
        <v>35</v>
      </c>
      <c r="I65" s="404" t="s">
        <v>30</v>
      </c>
      <c r="J65" s="369" t="s">
        <v>659</v>
      </c>
      <c r="K65" s="539" t="s">
        <v>38</v>
      </c>
      <c r="L65" s="407"/>
      <c r="M65" s="413"/>
      <c r="N65" s="414"/>
      <c r="O65" s="386"/>
      <c r="P65" s="387"/>
      <c r="Q65" s="388"/>
    </row>
    <row r="66" spans="1:17" s="159" customFormat="1" x14ac:dyDescent="0.25">
      <c r="A66" s="410"/>
      <c r="B66" s="411"/>
      <c r="C66" s="376"/>
      <c r="D66" s="377" t="s">
        <v>21</v>
      </c>
      <c r="E66" s="259">
        <v>0</v>
      </c>
      <c r="F66" s="378">
        <f>C66*E66</f>
        <v>0</v>
      </c>
      <c r="G66" s="534"/>
      <c r="H66" s="380">
        <v>0</v>
      </c>
      <c r="I66" s="378">
        <f>G66*H66</f>
        <v>0</v>
      </c>
      <c r="J66" s="381"/>
      <c r="K66" s="535">
        <f>F66+I66+J66</f>
        <v>0</v>
      </c>
      <c r="L66" s="383"/>
      <c r="M66" s="384"/>
      <c r="N66" s="385"/>
      <c r="O66" s="386"/>
      <c r="P66" s="387"/>
      <c r="Q66" s="388"/>
    </row>
    <row r="67" spans="1:17" s="159" customFormat="1" x14ac:dyDescent="0.25">
      <c r="A67" s="375"/>
      <c r="B67" s="5"/>
      <c r="C67" s="376"/>
      <c r="D67" s="377" t="s">
        <v>21</v>
      </c>
      <c r="E67" s="259">
        <v>0</v>
      </c>
      <c r="F67" s="378">
        <f>C67*E67</f>
        <v>0</v>
      </c>
      <c r="G67" s="534"/>
      <c r="H67" s="380">
        <v>0</v>
      </c>
      <c r="I67" s="378">
        <f>G67*H67</f>
        <v>0</v>
      </c>
      <c r="J67" s="381"/>
      <c r="K67" s="535">
        <f>F67+I67+J67</f>
        <v>0</v>
      </c>
      <c r="L67" s="383"/>
      <c r="M67" s="384"/>
      <c r="N67" s="385"/>
      <c r="O67" s="386"/>
      <c r="P67" s="387"/>
      <c r="Q67" s="388"/>
    </row>
    <row r="68" spans="1:17" s="159" customFormat="1" x14ac:dyDescent="0.25">
      <c r="A68" s="375"/>
      <c r="B68" s="5"/>
      <c r="C68" s="376"/>
      <c r="D68" s="377" t="s">
        <v>21</v>
      </c>
      <c r="E68" s="259">
        <v>0</v>
      </c>
      <c r="F68" s="378">
        <f>C68*E68</f>
        <v>0</v>
      </c>
      <c r="G68" s="534"/>
      <c r="H68" s="380">
        <v>0</v>
      </c>
      <c r="I68" s="378">
        <f>G68*H68</f>
        <v>0</v>
      </c>
      <c r="J68" s="381"/>
      <c r="K68" s="535">
        <f>F68+I68+J68</f>
        <v>0</v>
      </c>
      <c r="L68" s="383"/>
      <c r="M68" s="384"/>
      <c r="N68" s="385"/>
      <c r="O68" s="386"/>
      <c r="P68" s="387"/>
      <c r="Q68" s="388"/>
    </row>
    <row r="69" spans="1:17" s="159" customFormat="1" x14ac:dyDescent="0.25">
      <c r="A69" s="375"/>
      <c r="B69" s="5"/>
      <c r="C69" s="376"/>
      <c r="D69" s="377" t="s">
        <v>21</v>
      </c>
      <c r="E69" s="259">
        <v>0</v>
      </c>
      <c r="F69" s="378">
        <f>C69*E69</f>
        <v>0</v>
      </c>
      <c r="G69" s="534"/>
      <c r="H69" s="380">
        <v>0</v>
      </c>
      <c r="I69" s="378">
        <f>G69*H69</f>
        <v>0</v>
      </c>
      <c r="J69" s="381"/>
      <c r="K69" s="535">
        <f>F69+I69+J69</f>
        <v>0</v>
      </c>
      <c r="M69" s="282"/>
      <c r="N69" s="157"/>
      <c r="O69" s="386"/>
      <c r="P69" s="387"/>
      <c r="Q69" s="388"/>
    </row>
    <row r="70" spans="1:17" s="159" customFormat="1" x14ac:dyDescent="0.25">
      <c r="A70" s="375"/>
      <c r="B70" s="5"/>
      <c r="C70" s="376"/>
      <c r="D70" s="377" t="s">
        <v>21</v>
      </c>
      <c r="E70" s="259">
        <v>0</v>
      </c>
      <c r="F70" s="378">
        <f>C70*E70</f>
        <v>0</v>
      </c>
      <c r="G70" s="534"/>
      <c r="H70" s="380">
        <v>0</v>
      </c>
      <c r="I70" s="378">
        <f>G70*H70</f>
        <v>0</v>
      </c>
      <c r="J70" s="381"/>
      <c r="K70" s="535">
        <f>F70+I70+J70</f>
        <v>0</v>
      </c>
      <c r="M70" s="282"/>
      <c r="N70" s="157"/>
      <c r="O70" s="386"/>
      <c r="P70" s="387"/>
      <c r="Q70" s="388"/>
    </row>
    <row r="71" spans="1:17" s="159" customFormat="1" ht="13.8" thickBot="1" x14ac:dyDescent="0.3">
      <c r="A71" s="392"/>
      <c r="B71" s="5"/>
      <c r="C71" s="393"/>
      <c r="D71" s="377"/>
      <c r="E71" s="259"/>
      <c r="F71" s="378"/>
      <c r="G71" s="534"/>
      <c r="H71" s="380"/>
      <c r="I71" s="378"/>
      <c r="J71" s="381"/>
      <c r="K71" s="540"/>
      <c r="M71" s="282"/>
      <c r="N71" s="157"/>
      <c r="O71" s="386"/>
      <c r="P71" s="387"/>
      <c r="Q71" s="388"/>
    </row>
    <row r="72" spans="1:17" s="159" customFormat="1" ht="13.8" thickTop="1" x14ac:dyDescent="0.25">
      <c r="A72" s="392"/>
      <c r="B72" s="417"/>
      <c r="C72" s="393"/>
      <c r="D72" s="377"/>
      <c r="E72" s="259"/>
      <c r="F72" s="378"/>
      <c r="G72" s="534"/>
      <c r="H72" s="380"/>
      <c r="I72" s="378"/>
      <c r="J72" s="394" t="s">
        <v>30</v>
      </c>
      <c r="K72" s="537">
        <f>SUM(K66:K71)</f>
        <v>0</v>
      </c>
      <c r="M72" s="282"/>
      <c r="N72" s="157"/>
      <c r="O72" s="386"/>
      <c r="P72" s="387"/>
      <c r="Q72" s="388"/>
    </row>
    <row r="73" spans="1:17" s="159" customFormat="1" ht="13.8" thickBot="1" x14ac:dyDescent="0.3">
      <c r="A73" s="358" t="s">
        <v>0</v>
      </c>
      <c r="B73" s="359" t="s">
        <v>1</v>
      </c>
      <c r="C73" s="1018" t="s">
        <v>656</v>
      </c>
      <c r="D73" s="1018"/>
      <c r="E73" s="1018"/>
      <c r="F73" s="1018"/>
      <c r="G73" s="1018" t="s">
        <v>34</v>
      </c>
      <c r="H73" s="1018"/>
      <c r="I73" s="1018"/>
      <c r="J73" s="360"/>
      <c r="K73" s="528"/>
      <c r="L73" s="396"/>
      <c r="M73" s="397"/>
      <c r="N73" s="398"/>
      <c r="O73" s="386"/>
      <c r="P73" s="387"/>
      <c r="Q73" s="388"/>
    </row>
    <row r="74" spans="1:17" s="159" customFormat="1" ht="16.2" thickBot="1" x14ac:dyDescent="0.35">
      <c r="A74" s="399"/>
      <c r="B74" s="400"/>
      <c r="C74" s="401" t="s">
        <v>19</v>
      </c>
      <c r="D74" s="402" t="s">
        <v>33</v>
      </c>
      <c r="E74" s="403" t="s">
        <v>35</v>
      </c>
      <c r="F74" s="404" t="s">
        <v>30</v>
      </c>
      <c r="G74" s="538" t="s">
        <v>14</v>
      </c>
      <c r="H74" s="403" t="s">
        <v>35</v>
      </c>
      <c r="I74" s="404" t="s">
        <v>30</v>
      </c>
      <c r="J74" s="369" t="s">
        <v>659</v>
      </c>
      <c r="K74" s="539" t="s">
        <v>38</v>
      </c>
      <c r="L74" s="407"/>
      <c r="M74" s="408"/>
      <c r="N74" s="409"/>
      <c r="O74" s="386"/>
      <c r="P74" s="387"/>
      <c r="Q74" s="388"/>
    </row>
    <row r="75" spans="1:17" s="159" customFormat="1" x14ac:dyDescent="0.25">
      <c r="A75" s="410"/>
      <c r="B75" s="411"/>
      <c r="C75" s="376"/>
      <c r="D75" s="377" t="s">
        <v>21</v>
      </c>
      <c r="E75" s="259">
        <v>0</v>
      </c>
      <c r="F75" s="378">
        <f>C75*E75</f>
        <v>0</v>
      </c>
      <c r="G75" s="534"/>
      <c r="H75" s="380">
        <v>0</v>
      </c>
      <c r="I75" s="378">
        <f>G75*H75</f>
        <v>0</v>
      </c>
      <c r="J75" s="381"/>
      <c r="K75" s="535">
        <f>F75+I75+J75</f>
        <v>0</v>
      </c>
      <c r="L75" s="383"/>
      <c r="M75" s="384"/>
      <c r="N75" s="385"/>
      <c r="O75" s="386"/>
      <c r="P75" s="387"/>
      <c r="Q75" s="388"/>
    </row>
    <row r="76" spans="1:17" s="159" customFormat="1" x14ac:dyDescent="0.25">
      <c r="A76" s="375"/>
      <c r="B76" s="5"/>
      <c r="C76" s="376"/>
      <c r="D76" s="377" t="s">
        <v>21</v>
      </c>
      <c r="E76" s="259">
        <v>0</v>
      </c>
      <c r="F76" s="378">
        <f>C76*E76</f>
        <v>0</v>
      </c>
      <c r="G76" s="534"/>
      <c r="H76" s="380">
        <v>0</v>
      </c>
      <c r="I76" s="378">
        <f>G76*H76</f>
        <v>0</v>
      </c>
      <c r="J76" s="381"/>
      <c r="K76" s="535">
        <f>F76+I76+J76</f>
        <v>0</v>
      </c>
      <c r="L76" s="664"/>
      <c r="M76" s="665"/>
      <c r="N76" s="666"/>
      <c r="O76" s="386"/>
      <c r="P76" s="387"/>
      <c r="Q76" s="388"/>
    </row>
    <row r="77" spans="1:17" s="159" customFormat="1" x14ac:dyDescent="0.25">
      <c r="A77" s="375"/>
      <c r="B77" s="5"/>
      <c r="C77" s="376"/>
      <c r="D77" s="377" t="s">
        <v>21</v>
      </c>
      <c r="E77" s="259">
        <v>0</v>
      </c>
      <c r="F77" s="378">
        <f>C77*E77</f>
        <v>0</v>
      </c>
      <c r="G77" s="534"/>
      <c r="H77" s="380">
        <v>0</v>
      </c>
      <c r="I77" s="378">
        <f>G77*H77</f>
        <v>0</v>
      </c>
      <c r="J77" s="381"/>
      <c r="K77" s="535">
        <f>F77+I77+J77</f>
        <v>0</v>
      </c>
      <c r="L77" s="667"/>
      <c r="M77" s="669"/>
      <c r="N77" s="668"/>
      <c r="O77" s="386"/>
      <c r="P77" s="387"/>
      <c r="Q77" s="388"/>
    </row>
    <row r="78" spans="1:17" s="159" customFormat="1" ht="13.8" thickBot="1" x14ac:dyDescent="0.3">
      <c r="A78" s="392"/>
      <c r="B78" s="5"/>
      <c r="C78" s="393"/>
      <c r="D78" s="377"/>
      <c r="E78" s="259"/>
      <c r="F78" s="378"/>
      <c r="G78" s="534"/>
      <c r="H78" s="380"/>
      <c r="I78" s="378"/>
      <c r="J78" s="381"/>
      <c r="K78" s="540"/>
      <c r="L78" s="383"/>
      <c r="M78" s="384"/>
      <c r="N78" s="385"/>
      <c r="O78" s="386"/>
      <c r="P78" s="387"/>
      <c r="Q78" s="388"/>
    </row>
    <row r="79" spans="1:17" s="159" customFormat="1" ht="13.8" thickTop="1" x14ac:dyDescent="0.25">
      <c r="A79" s="392"/>
      <c r="B79" s="157"/>
      <c r="C79" s="393"/>
      <c r="D79" s="377"/>
      <c r="E79" s="259"/>
      <c r="F79" s="378"/>
      <c r="G79" s="534"/>
      <c r="H79" s="380"/>
      <c r="I79" s="378"/>
      <c r="J79" s="394" t="s">
        <v>30</v>
      </c>
      <c r="K79" s="537">
        <f>SUM(K75:K78)</f>
        <v>0</v>
      </c>
      <c r="L79" s="383"/>
      <c r="M79" s="384"/>
      <c r="N79" s="385"/>
      <c r="O79" s="386"/>
      <c r="P79" s="387"/>
      <c r="Q79" s="388"/>
    </row>
    <row r="80" spans="1:17" s="159" customFormat="1" ht="13.8" thickBot="1" x14ac:dyDescent="0.3">
      <c r="A80" s="358" t="s">
        <v>0</v>
      </c>
      <c r="B80" s="359" t="s">
        <v>1</v>
      </c>
      <c r="C80" s="1018" t="s">
        <v>656</v>
      </c>
      <c r="D80" s="1018"/>
      <c r="E80" s="1018"/>
      <c r="F80" s="1018"/>
      <c r="G80" s="1018" t="s">
        <v>34</v>
      </c>
      <c r="H80" s="1018"/>
      <c r="I80" s="1018"/>
      <c r="J80" s="360"/>
      <c r="K80" s="528"/>
      <c r="L80" s="396"/>
      <c r="M80" s="397"/>
      <c r="N80" s="398"/>
      <c r="O80" s="386"/>
      <c r="P80" s="387"/>
      <c r="Q80" s="388"/>
    </row>
    <row r="81" spans="1:17" s="159" customFormat="1" ht="16.2" thickBot="1" x14ac:dyDescent="0.35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8" t="s">
        <v>14</v>
      </c>
      <c r="H81" s="403" t="s">
        <v>35</v>
      </c>
      <c r="I81" s="404" t="s">
        <v>30</v>
      </c>
      <c r="J81" s="369" t="s">
        <v>659</v>
      </c>
      <c r="K81" s="539" t="s">
        <v>38</v>
      </c>
      <c r="L81" s="407"/>
      <c r="M81" s="408"/>
      <c r="N81" s="409"/>
      <c r="O81" s="386"/>
      <c r="P81" s="387"/>
      <c r="Q81" s="388"/>
    </row>
    <row r="82" spans="1:17" s="159" customFormat="1" x14ac:dyDescent="0.25">
      <c r="A82" s="410"/>
      <c r="B82" s="411"/>
      <c r="C82" s="376"/>
      <c r="D82" s="377" t="s">
        <v>21</v>
      </c>
      <c r="E82" s="259">
        <v>0</v>
      </c>
      <c r="F82" s="378">
        <f>C82*E82</f>
        <v>0</v>
      </c>
      <c r="G82" s="534"/>
      <c r="H82" s="380">
        <v>0</v>
      </c>
      <c r="I82" s="378">
        <f>G82*H82</f>
        <v>0</v>
      </c>
      <c r="J82" s="381"/>
      <c r="K82" s="535">
        <f>F82+I82+J82</f>
        <v>0</v>
      </c>
      <c r="M82" s="282"/>
      <c r="N82" s="157"/>
      <c r="O82" s="386"/>
      <c r="P82" s="387"/>
      <c r="Q82" s="388"/>
    </row>
    <row r="83" spans="1:17" s="159" customFormat="1" x14ac:dyDescent="0.25">
      <c r="A83" s="375"/>
      <c r="B83" s="5"/>
      <c r="C83" s="376"/>
      <c r="D83" s="377" t="s">
        <v>21</v>
      </c>
      <c r="E83" s="259">
        <v>0</v>
      </c>
      <c r="F83" s="378">
        <f>C83*E83</f>
        <v>0</v>
      </c>
      <c r="G83" s="534"/>
      <c r="H83" s="380">
        <v>0</v>
      </c>
      <c r="I83" s="378">
        <f>G83*H83</f>
        <v>0</v>
      </c>
      <c r="J83" s="381"/>
      <c r="K83" s="535">
        <f>F83+I83+J83</f>
        <v>0</v>
      </c>
      <c r="M83" s="282"/>
      <c r="N83" s="157"/>
      <c r="O83" s="386"/>
      <c r="P83" s="387"/>
      <c r="Q83" s="388"/>
    </row>
    <row r="84" spans="1:17" s="159" customFormat="1" x14ac:dyDescent="0.25">
      <c r="A84" s="375"/>
      <c r="C84" s="376"/>
      <c r="D84" s="377" t="s">
        <v>21</v>
      </c>
      <c r="E84" s="259">
        <v>0</v>
      </c>
      <c r="F84" s="378">
        <f>C84*E84</f>
        <v>0</v>
      </c>
      <c r="G84" s="534"/>
      <c r="H84" s="380">
        <v>0</v>
      </c>
      <c r="I84" s="378">
        <f>G84*H84</f>
        <v>0</v>
      </c>
      <c r="J84" s="381"/>
      <c r="K84" s="535">
        <f>F84+I84+J84</f>
        <v>0</v>
      </c>
      <c r="M84" s="282"/>
      <c r="N84" s="157"/>
      <c r="O84" s="386"/>
      <c r="P84" s="387"/>
      <c r="Q84" s="388"/>
    </row>
    <row r="85" spans="1:17" s="159" customFormat="1" x14ac:dyDescent="0.25">
      <c r="A85" s="375"/>
      <c r="B85" s="5"/>
      <c r="C85" s="376"/>
      <c r="D85" s="377" t="s">
        <v>21</v>
      </c>
      <c r="E85" s="259">
        <v>0</v>
      </c>
      <c r="F85" s="378">
        <f>C85*E85</f>
        <v>0</v>
      </c>
      <c r="G85" s="534"/>
      <c r="H85" s="380">
        <v>0</v>
      </c>
      <c r="I85" s="378">
        <f>G85*H85</f>
        <v>0</v>
      </c>
      <c r="J85" s="381"/>
      <c r="K85" s="535">
        <f>F85+I85+J85</f>
        <v>0</v>
      </c>
      <c r="L85" s="383"/>
      <c r="M85" s="384"/>
      <c r="N85" s="385"/>
      <c r="O85" s="386"/>
      <c r="P85" s="387"/>
      <c r="Q85" s="388"/>
    </row>
    <row r="86" spans="1:17" s="159" customFormat="1" x14ac:dyDescent="0.25">
      <c r="A86" s="375"/>
      <c r="B86" s="5"/>
      <c r="C86" s="376"/>
      <c r="D86" s="377" t="s">
        <v>21</v>
      </c>
      <c r="E86" s="259">
        <v>0</v>
      </c>
      <c r="F86" s="378">
        <f>C86*E86</f>
        <v>0</v>
      </c>
      <c r="G86" s="534"/>
      <c r="H86" s="380">
        <v>0</v>
      </c>
      <c r="I86" s="378">
        <f>G86*H86</f>
        <v>0</v>
      </c>
      <c r="J86" s="381"/>
      <c r="K86" s="535">
        <f>F86+I86+J86</f>
        <v>0</v>
      </c>
      <c r="L86" s="383"/>
      <c r="M86" s="384"/>
      <c r="N86" s="385"/>
      <c r="O86" s="386"/>
      <c r="P86" s="387"/>
      <c r="Q86" s="388"/>
    </row>
    <row r="87" spans="1:17" s="159" customFormat="1" ht="13.8" thickBot="1" x14ac:dyDescent="0.3">
      <c r="A87" s="392"/>
      <c r="B87" s="5"/>
      <c r="C87" s="393"/>
      <c r="D87" s="377"/>
      <c r="E87" s="259"/>
      <c r="F87" s="378"/>
      <c r="G87" s="534"/>
      <c r="H87" s="380"/>
      <c r="I87" s="378"/>
      <c r="J87" s="381"/>
      <c r="K87" s="540"/>
      <c r="L87" s="383"/>
      <c r="M87" s="384"/>
      <c r="N87" s="385"/>
      <c r="O87" s="386"/>
      <c r="P87" s="387"/>
      <c r="Q87" s="388"/>
    </row>
    <row r="88" spans="1:17" s="159" customFormat="1" ht="13.8" thickTop="1" x14ac:dyDescent="0.25">
      <c r="A88" s="392"/>
      <c r="B88" s="417"/>
      <c r="C88" s="393"/>
      <c r="D88" s="377"/>
      <c r="E88" s="259"/>
      <c r="F88" s="378"/>
      <c r="G88" s="534"/>
      <c r="H88" s="380"/>
      <c r="I88" s="378"/>
      <c r="J88" s="394" t="s">
        <v>30</v>
      </c>
      <c r="K88" s="537">
        <f>SUM(K82:K87)</f>
        <v>0</v>
      </c>
      <c r="M88" s="282"/>
      <c r="N88" s="157"/>
      <c r="O88" s="386"/>
      <c r="P88" s="387"/>
      <c r="Q88" s="388"/>
    </row>
    <row r="89" spans="1:17" s="159" customFormat="1" ht="13.8" thickBot="1" x14ac:dyDescent="0.3">
      <c r="A89" s="358" t="s">
        <v>0</v>
      </c>
      <c r="B89" s="359" t="s">
        <v>1</v>
      </c>
      <c r="C89" s="1018" t="s">
        <v>656</v>
      </c>
      <c r="D89" s="1018"/>
      <c r="E89" s="1018"/>
      <c r="F89" s="1018"/>
      <c r="G89" s="1018" t="s">
        <v>34</v>
      </c>
      <c r="H89" s="1018"/>
      <c r="I89" s="1018"/>
      <c r="J89" s="360"/>
      <c r="K89" s="528"/>
      <c r="L89" s="396"/>
      <c r="M89" s="397"/>
      <c r="N89" s="398"/>
      <c r="O89" s="386"/>
      <c r="P89" s="387"/>
      <c r="Q89" s="388"/>
    </row>
    <row r="90" spans="1:17" s="159" customFormat="1" ht="16.2" thickBot="1" x14ac:dyDescent="0.35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8" t="s">
        <v>14</v>
      </c>
      <c r="H90" s="403" t="s">
        <v>35</v>
      </c>
      <c r="I90" s="404" t="s">
        <v>30</v>
      </c>
      <c r="J90" s="369" t="s">
        <v>659</v>
      </c>
      <c r="K90" s="539" t="s">
        <v>38</v>
      </c>
      <c r="L90" s="407"/>
      <c r="M90" s="408"/>
      <c r="N90" s="409"/>
      <c r="O90" s="386"/>
      <c r="P90" s="387"/>
      <c r="Q90" s="388"/>
    </row>
    <row r="91" spans="1:17" s="159" customFormat="1" x14ac:dyDescent="0.25">
      <c r="A91" s="410"/>
      <c r="B91" s="411"/>
      <c r="C91" s="376"/>
      <c r="D91" s="377" t="s">
        <v>21</v>
      </c>
      <c r="E91" s="259">
        <v>0</v>
      </c>
      <c r="F91" s="378">
        <f>C91*E91</f>
        <v>0</v>
      </c>
      <c r="G91" s="534"/>
      <c r="H91" s="380">
        <v>0</v>
      </c>
      <c r="I91" s="378">
        <f>G91*H91</f>
        <v>0</v>
      </c>
      <c r="J91" s="381"/>
      <c r="K91" s="535">
        <f>F91+I91+J91</f>
        <v>0</v>
      </c>
      <c r="L91" s="383"/>
      <c r="M91" s="384"/>
      <c r="N91" s="385"/>
      <c r="O91" s="386"/>
      <c r="P91" s="387"/>
      <c r="Q91" s="388"/>
    </row>
    <row r="92" spans="1:17" s="159" customFormat="1" x14ac:dyDescent="0.25">
      <c r="A92" s="375"/>
      <c r="B92" s="5"/>
      <c r="C92" s="376"/>
      <c r="D92" s="377" t="s">
        <v>21</v>
      </c>
      <c r="E92" s="259">
        <v>0</v>
      </c>
      <c r="F92" s="378">
        <f>C92*E92</f>
        <v>0</v>
      </c>
      <c r="G92" s="534"/>
      <c r="H92" s="380">
        <v>0</v>
      </c>
      <c r="I92" s="378">
        <f>G92*H92</f>
        <v>0</v>
      </c>
      <c r="J92" s="381"/>
      <c r="K92" s="535">
        <f>F92+I92+J92</f>
        <v>0</v>
      </c>
      <c r="L92" s="670"/>
      <c r="M92" s="671"/>
      <c r="N92" s="672"/>
      <c r="O92" s="386"/>
      <c r="P92" s="387"/>
      <c r="Q92" s="388"/>
    </row>
    <row r="93" spans="1:17" s="159" customFormat="1" x14ac:dyDescent="0.25">
      <c r="A93" s="375"/>
      <c r="B93" s="5"/>
      <c r="C93" s="376"/>
      <c r="D93" s="377" t="s">
        <v>21</v>
      </c>
      <c r="E93" s="259">
        <v>0</v>
      </c>
      <c r="F93" s="378">
        <f>C93*E93</f>
        <v>0</v>
      </c>
      <c r="G93" s="534"/>
      <c r="H93" s="380">
        <v>0</v>
      </c>
      <c r="I93" s="378">
        <f>G93*H93</f>
        <v>0</v>
      </c>
      <c r="J93" s="381"/>
      <c r="K93" s="535">
        <f>F93+I93+J93</f>
        <v>0</v>
      </c>
      <c r="L93" s="670"/>
      <c r="M93" s="671"/>
      <c r="N93" s="673"/>
      <c r="O93" s="386"/>
      <c r="P93" s="387"/>
      <c r="Q93" s="388"/>
    </row>
    <row r="94" spans="1:17" s="159" customFormat="1" x14ac:dyDescent="0.25">
      <c r="A94" s="375"/>
      <c r="B94" s="5"/>
      <c r="C94" s="376"/>
      <c r="D94" s="377" t="s">
        <v>21</v>
      </c>
      <c r="E94" s="259">
        <v>0</v>
      </c>
      <c r="F94" s="378">
        <f>C94*E94</f>
        <v>0</v>
      </c>
      <c r="G94" s="534"/>
      <c r="H94" s="380">
        <v>0</v>
      </c>
      <c r="I94" s="378">
        <f>G94*H94</f>
        <v>0</v>
      </c>
      <c r="J94" s="381"/>
      <c r="K94" s="535">
        <f>F94+I94+J94</f>
        <v>0</v>
      </c>
      <c r="L94" s="670"/>
      <c r="M94" s="671"/>
      <c r="N94" s="673"/>
      <c r="O94" s="386"/>
      <c r="P94" s="387"/>
      <c r="Q94" s="388"/>
    </row>
    <row r="95" spans="1:17" s="159" customFormat="1" ht="13.8" thickBot="1" x14ac:dyDescent="0.3">
      <c r="A95" s="392"/>
      <c r="B95" s="417"/>
      <c r="C95" s="376"/>
      <c r="D95" s="377"/>
      <c r="E95" s="259"/>
      <c r="F95" s="378"/>
      <c r="G95" s="534"/>
      <c r="H95" s="380"/>
      <c r="I95" s="378"/>
      <c r="J95" s="381"/>
      <c r="K95" s="535"/>
      <c r="L95" s="670"/>
      <c r="M95" s="671"/>
      <c r="N95" s="673"/>
      <c r="O95" s="386"/>
      <c r="P95" s="387"/>
      <c r="Q95" s="388"/>
    </row>
    <row r="96" spans="1:17" s="159" customFormat="1" ht="14.4" thickTop="1" thickBot="1" x14ac:dyDescent="0.3">
      <c r="A96" s="475"/>
      <c r="B96" s="156"/>
      <c r="C96" s="476"/>
      <c r="D96" s="477"/>
      <c r="E96" s="478"/>
      <c r="F96" s="479"/>
      <c r="G96" s="638"/>
      <c r="H96" s="478"/>
      <c r="I96" s="479"/>
      <c r="J96" s="481" t="s">
        <v>30</v>
      </c>
      <c r="K96" s="639">
        <f>SUM(K91:K95)</f>
        <v>0</v>
      </c>
      <c r="L96" s="670"/>
      <c r="M96" s="671"/>
      <c r="N96" s="673"/>
      <c r="O96" s="386"/>
      <c r="P96" s="387"/>
      <c r="Q96" s="388"/>
    </row>
    <row r="97" spans="1:17" s="159" customFormat="1" ht="14.1" customHeight="1" thickBot="1" x14ac:dyDescent="0.3">
      <c r="A97" s="483"/>
      <c r="B97" s="484"/>
      <c r="C97" s="485"/>
      <c r="D97" s="485"/>
      <c r="E97" s="486"/>
      <c r="F97" s="1048" t="s">
        <v>658</v>
      </c>
      <c r="G97" s="1071" t="s">
        <v>684</v>
      </c>
      <c r="H97" s="486"/>
      <c r="I97" s="1041" t="s">
        <v>657</v>
      </c>
      <c r="J97" s="1037" t="s">
        <v>685</v>
      </c>
      <c r="K97" s="1035" t="s">
        <v>31</v>
      </c>
      <c r="L97" s="674"/>
      <c r="M97" s="675"/>
      <c r="N97" s="676"/>
      <c r="O97" s="465"/>
      <c r="P97" s="466"/>
      <c r="Q97" s="467"/>
    </row>
    <row r="98" spans="1:17" s="159" customFormat="1" ht="14.4" thickTop="1" x14ac:dyDescent="0.25">
      <c r="A98" s="487" t="s">
        <v>32</v>
      </c>
      <c r="B98" s="1043" t="s">
        <v>665</v>
      </c>
      <c r="C98" s="488"/>
      <c r="D98" s="489"/>
      <c r="E98" s="489"/>
      <c r="F98" s="1049"/>
      <c r="G98" s="1072"/>
      <c r="H98" s="490"/>
      <c r="I98" s="1042"/>
      <c r="J98" s="1038"/>
      <c r="K98" s="1036"/>
      <c r="M98" s="282"/>
      <c r="N98" s="157"/>
      <c r="O98" s="308"/>
      <c r="P98" s="308"/>
    </row>
    <row r="99" spans="1:17" s="159" customFormat="1" ht="13.8" x14ac:dyDescent="0.25">
      <c r="A99" s="829">
        <f>K99/E6</f>
        <v>0</v>
      </c>
      <c r="B99" s="1043"/>
      <c r="C99" s="489"/>
      <c r="D99" s="489"/>
      <c r="E99" s="489"/>
      <c r="F99" s="1031">
        <f>SUM(F91:F95,F82:F87,F75:F78,F66:F71,F55:F61,F46:F51,F38:F42,F27:F34,F11:F23)</f>
        <v>0</v>
      </c>
      <c r="G99" s="1076">
        <f>SUM(G91:G95,G82:G87,G75:G78,G66:G71,G55:G61,G46:G51,G38:G42,G27:G34,G11:G23)</f>
        <v>0</v>
      </c>
      <c r="H99" s="490"/>
      <c r="I99" s="1031">
        <f>SUM(I91:I95,I82:I87,I75:I78,I66:I71,I55:I61,I46:I51,I38:I42,I27:I34,I11:I23)</f>
        <v>0</v>
      </c>
      <c r="J99" s="1031">
        <f>SUM(J91:J95,J82:J87,J75:J78,J66:J71,J55:J61,J46:J51,J38:J42,J27:J34,J11:J23)</f>
        <v>0</v>
      </c>
      <c r="K99" s="1033">
        <f>SUM(K96,K88,K79,K72,K63,K52,K43,K35,K24)</f>
        <v>0</v>
      </c>
      <c r="M99" s="282"/>
      <c r="N99" s="157"/>
      <c r="O99" s="308"/>
      <c r="P99" s="308"/>
    </row>
    <row r="100" spans="1:17" s="159" customFormat="1" ht="14.4" thickBot="1" x14ac:dyDescent="0.3">
      <c r="A100" s="487"/>
      <c r="B100" s="555"/>
      <c r="C100" s="493"/>
      <c r="D100" s="493"/>
      <c r="E100" s="493"/>
      <c r="F100" s="1032"/>
      <c r="G100" s="1077"/>
      <c r="H100" s="493"/>
      <c r="I100" s="1032"/>
      <c r="J100" s="1032"/>
      <c r="K100" s="1034"/>
      <c r="M100" s="282"/>
      <c r="N100" s="157"/>
      <c r="O100" s="308"/>
      <c r="P100" s="308"/>
    </row>
    <row r="101" spans="1:17" s="159" customFormat="1" ht="13.8" thickBot="1" x14ac:dyDescent="0.3">
      <c r="A101" s="494"/>
      <c r="B101" s="495"/>
      <c r="C101" s="495"/>
      <c r="D101" s="495"/>
      <c r="E101" s="495"/>
      <c r="F101" s="495"/>
      <c r="G101" s="495"/>
      <c r="H101" s="495"/>
      <c r="I101" s="495"/>
      <c r="J101" s="495"/>
      <c r="K101" s="496"/>
      <c r="M101" s="282"/>
      <c r="N101" s="157"/>
      <c r="O101" s="308"/>
      <c r="P101" s="308"/>
    </row>
    <row r="102" spans="1:17" s="159" customFormat="1" x14ac:dyDescent="0.25">
      <c r="C102" s="658"/>
      <c r="D102" s="658"/>
      <c r="M102" s="282"/>
      <c r="N102" s="157"/>
      <c r="O102" s="308"/>
      <c r="P102" s="308"/>
    </row>
    <row r="103" spans="1:17" s="159" customFormat="1" x14ac:dyDescent="0.25">
      <c r="C103" s="658"/>
      <c r="D103" s="658"/>
      <c r="M103" s="282"/>
      <c r="N103" s="157"/>
      <c r="O103" s="308"/>
      <c r="P103" s="308"/>
    </row>
    <row r="104" spans="1:17" s="159" customFormat="1" x14ac:dyDescent="0.25">
      <c r="C104" s="658"/>
      <c r="D104" s="658"/>
      <c r="M104" s="282"/>
      <c r="N104" s="157"/>
      <c r="O104" s="308"/>
      <c r="P104" s="308"/>
    </row>
    <row r="105" spans="1:17" s="159" customFormat="1" x14ac:dyDescent="0.25">
      <c r="C105" s="658"/>
      <c r="D105" s="658"/>
      <c r="M105" s="282"/>
      <c r="N105" s="157"/>
      <c r="O105" s="308"/>
      <c r="P105" s="308"/>
    </row>
    <row r="106" spans="1:17" s="159" customFormat="1" x14ac:dyDescent="0.25">
      <c r="C106" s="658"/>
      <c r="D106" s="658"/>
      <c r="M106" s="282"/>
      <c r="N106" s="157"/>
      <c r="O106" s="308"/>
      <c r="P106" s="308"/>
    </row>
    <row r="107" spans="1:17" s="159" customFormat="1" x14ac:dyDescent="0.25">
      <c r="C107" s="658"/>
      <c r="D107" s="658"/>
      <c r="M107" s="282"/>
      <c r="N107" s="157"/>
      <c r="O107" s="308"/>
      <c r="P107" s="308"/>
    </row>
    <row r="108" spans="1:17" s="159" customFormat="1" x14ac:dyDescent="0.25">
      <c r="C108" s="658"/>
      <c r="D108" s="658"/>
      <c r="M108" s="282"/>
      <c r="N108" s="157"/>
      <c r="O108" s="308"/>
      <c r="P108" s="308"/>
    </row>
    <row r="109" spans="1:17" s="159" customFormat="1" x14ac:dyDescent="0.25">
      <c r="C109" s="658"/>
      <c r="D109" s="658"/>
      <c r="M109" s="282"/>
      <c r="N109" s="157"/>
      <c r="O109" s="308"/>
      <c r="P109" s="308"/>
    </row>
    <row r="110" spans="1:17" s="159" customFormat="1" x14ac:dyDescent="0.25">
      <c r="C110" s="658"/>
      <c r="D110" s="658"/>
      <c r="M110" s="282"/>
      <c r="N110" s="157"/>
      <c r="O110" s="308"/>
      <c r="P110" s="308"/>
    </row>
    <row r="111" spans="1:17" s="159" customFormat="1" x14ac:dyDescent="0.25">
      <c r="C111" s="658"/>
      <c r="D111" s="658"/>
      <c r="M111" s="282"/>
      <c r="N111" s="157"/>
      <c r="O111" s="308"/>
      <c r="P111" s="308"/>
    </row>
    <row r="112" spans="1:17" s="159" customFormat="1" x14ac:dyDescent="0.25">
      <c r="C112" s="658"/>
      <c r="D112" s="658"/>
      <c r="M112" s="282"/>
      <c r="N112" s="157"/>
      <c r="O112" s="308"/>
      <c r="P112" s="308"/>
    </row>
    <row r="113" spans="3:16" s="159" customFormat="1" x14ac:dyDescent="0.25">
      <c r="C113" s="658"/>
      <c r="D113" s="658"/>
      <c r="M113" s="282"/>
      <c r="N113" s="157"/>
      <c r="O113" s="308"/>
      <c r="P113" s="308"/>
    </row>
    <row r="114" spans="3:16" s="159" customFormat="1" x14ac:dyDescent="0.25">
      <c r="C114" s="658"/>
      <c r="D114" s="658"/>
      <c r="M114" s="282"/>
      <c r="N114" s="157"/>
      <c r="O114" s="308"/>
      <c r="P114" s="308"/>
    </row>
    <row r="115" spans="3:16" s="159" customFormat="1" x14ac:dyDescent="0.25">
      <c r="C115" s="658"/>
      <c r="D115" s="658"/>
      <c r="M115" s="282"/>
      <c r="N115" s="157"/>
      <c r="O115" s="308"/>
      <c r="P115" s="308"/>
    </row>
    <row r="116" spans="3:16" s="159" customFormat="1" x14ac:dyDescent="0.25">
      <c r="C116" s="658"/>
      <c r="D116" s="658"/>
      <c r="M116" s="282"/>
      <c r="N116" s="157"/>
      <c r="O116" s="308"/>
      <c r="P116" s="308"/>
    </row>
    <row r="117" spans="3:16" s="159" customFormat="1" x14ac:dyDescent="0.25">
      <c r="C117" s="658"/>
      <c r="D117" s="658"/>
      <c r="M117" s="282"/>
      <c r="N117" s="157"/>
      <c r="O117" s="308"/>
      <c r="P117" s="308"/>
    </row>
    <row r="118" spans="3:16" s="159" customFormat="1" x14ac:dyDescent="0.25">
      <c r="C118" s="658"/>
      <c r="D118" s="658"/>
      <c r="M118" s="282"/>
      <c r="N118" s="157"/>
      <c r="O118" s="308"/>
      <c r="P118" s="308"/>
    </row>
    <row r="119" spans="3:16" s="159" customFormat="1" x14ac:dyDescent="0.25">
      <c r="C119" s="658"/>
      <c r="D119" s="658"/>
      <c r="M119" s="282"/>
      <c r="N119" s="157"/>
      <c r="O119" s="308"/>
      <c r="P119" s="308"/>
    </row>
    <row r="120" spans="3:16" s="159" customFormat="1" x14ac:dyDescent="0.25">
      <c r="C120" s="658"/>
      <c r="D120" s="658"/>
      <c r="M120" s="282"/>
      <c r="N120" s="157"/>
      <c r="O120" s="308"/>
      <c r="P120" s="308"/>
    </row>
    <row r="121" spans="3:16" s="159" customFormat="1" x14ac:dyDescent="0.25">
      <c r="C121" s="658"/>
      <c r="D121" s="658"/>
      <c r="M121" s="282"/>
      <c r="N121" s="157"/>
      <c r="O121" s="308"/>
      <c r="P121" s="308"/>
    </row>
    <row r="122" spans="3:16" s="159" customFormat="1" x14ac:dyDescent="0.25">
      <c r="C122" s="658"/>
      <c r="D122" s="658"/>
      <c r="M122" s="282"/>
      <c r="N122" s="157"/>
      <c r="O122" s="308"/>
      <c r="P122" s="308"/>
    </row>
    <row r="123" spans="3:16" s="159" customFormat="1" x14ac:dyDescent="0.25">
      <c r="C123" s="658"/>
      <c r="D123" s="658"/>
      <c r="M123" s="282"/>
      <c r="N123" s="157"/>
      <c r="O123" s="308"/>
      <c r="P123" s="308"/>
    </row>
    <row r="124" spans="3:16" s="159" customFormat="1" x14ac:dyDescent="0.25">
      <c r="C124" s="658"/>
      <c r="D124" s="658"/>
      <c r="M124" s="282"/>
      <c r="N124" s="157"/>
      <c r="O124" s="308"/>
      <c r="P124" s="308"/>
    </row>
    <row r="125" spans="3:16" s="159" customFormat="1" x14ac:dyDescent="0.25">
      <c r="C125" s="658"/>
      <c r="D125" s="658"/>
      <c r="M125" s="282"/>
      <c r="N125" s="157"/>
      <c r="O125" s="308"/>
      <c r="P125" s="308"/>
    </row>
    <row r="126" spans="3:16" s="159" customFormat="1" x14ac:dyDescent="0.25">
      <c r="C126" s="658"/>
      <c r="D126" s="658"/>
      <c r="M126" s="282"/>
      <c r="N126" s="157"/>
      <c r="O126" s="308"/>
      <c r="P126" s="308"/>
    </row>
    <row r="127" spans="3:16" s="159" customFormat="1" x14ac:dyDescent="0.25">
      <c r="C127" s="658"/>
      <c r="D127" s="658"/>
      <c r="M127" s="282"/>
      <c r="N127" s="157"/>
      <c r="O127" s="308"/>
      <c r="P127" s="308"/>
    </row>
    <row r="128" spans="3:16" s="159" customFormat="1" x14ac:dyDescent="0.25">
      <c r="C128" s="658"/>
      <c r="D128" s="658"/>
      <c r="M128" s="282"/>
      <c r="N128" s="157"/>
      <c r="O128" s="308"/>
      <c r="P128" s="308"/>
    </row>
    <row r="129" spans="3:16" s="159" customFormat="1" x14ac:dyDescent="0.25">
      <c r="C129" s="658"/>
      <c r="D129" s="658"/>
      <c r="M129" s="282"/>
      <c r="N129" s="157"/>
      <c r="O129" s="308"/>
      <c r="P129" s="308"/>
    </row>
    <row r="130" spans="3:16" s="159" customFormat="1" x14ac:dyDescent="0.25">
      <c r="C130" s="658"/>
      <c r="D130" s="658"/>
      <c r="M130" s="282"/>
      <c r="N130" s="157"/>
      <c r="O130" s="308"/>
      <c r="P130" s="308"/>
    </row>
    <row r="131" spans="3:16" s="159" customFormat="1" x14ac:dyDescent="0.25">
      <c r="C131" s="658"/>
      <c r="D131" s="658"/>
      <c r="M131" s="282"/>
      <c r="N131" s="157"/>
      <c r="O131" s="308"/>
      <c r="P131" s="308"/>
    </row>
    <row r="132" spans="3:16" s="159" customFormat="1" x14ac:dyDescent="0.25">
      <c r="C132" s="658"/>
      <c r="D132" s="658"/>
      <c r="M132" s="282"/>
      <c r="N132" s="157"/>
      <c r="O132" s="308"/>
      <c r="P132" s="308"/>
    </row>
    <row r="133" spans="3:16" s="159" customFormat="1" x14ac:dyDescent="0.25">
      <c r="C133" s="658"/>
      <c r="D133" s="658"/>
      <c r="M133" s="282"/>
      <c r="N133" s="157"/>
      <c r="O133" s="308"/>
      <c r="P133" s="308"/>
    </row>
    <row r="134" spans="3:16" s="159" customFormat="1" x14ac:dyDescent="0.25">
      <c r="C134" s="658"/>
      <c r="D134" s="658"/>
      <c r="M134" s="282"/>
      <c r="N134" s="157"/>
      <c r="O134" s="308"/>
      <c r="P134" s="308"/>
    </row>
    <row r="135" spans="3:16" s="159" customFormat="1" x14ac:dyDescent="0.25">
      <c r="C135" s="658"/>
      <c r="D135" s="658"/>
      <c r="M135" s="282"/>
      <c r="N135" s="157"/>
      <c r="O135" s="308"/>
      <c r="P135" s="308"/>
    </row>
    <row r="136" spans="3:16" s="159" customFormat="1" x14ac:dyDescent="0.25">
      <c r="C136" s="658"/>
      <c r="D136" s="658"/>
      <c r="M136" s="282"/>
      <c r="N136" s="157"/>
      <c r="O136" s="308"/>
      <c r="P136" s="308"/>
    </row>
    <row r="137" spans="3:16" s="159" customFormat="1" x14ac:dyDescent="0.25">
      <c r="C137" s="658"/>
      <c r="D137" s="658"/>
      <c r="M137" s="282"/>
      <c r="N137" s="157"/>
      <c r="O137" s="308"/>
      <c r="P137" s="308"/>
    </row>
    <row r="138" spans="3:16" s="159" customFormat="1" x14ac:dyDescent="0.25">
      <c r="C138" s="658"/>
      <c r="D138" s="658"/>
      <c r="M138" s="282"/>
      <c r="N138" s="157"/>
      <c r="O138" s="308"/>
      <c r="P138" s="308"/>
    </row>
    <row r="139" spans="3:16" s="159" customFormat="1" x14ac:dyDescent="0.25">
      <c r="C139" s="658"/>
      <c r="D139" s="658"/>
      <c r="M139" s="282"/>
      <c r="N139" s="157"/>
      <c r="O139" s="308"/>
      <c r="P139" s="308"/>
    </row>
    <row r="140" spans="3:16" s="159" customFormat="1" x14ac:dyDescent="0.25">
      <c r="C140" s="658"/>
      <c r="D140" s="658"/>
      <c r="M140" s="282"/>
      <c r="N140" s="157"/>
      <c r="O140" s="308"/>
      <c r="P140" s="308"/>
    </row>
    <row r="141" spans="3:16" s="159" customFormat="1" x14ac:dyDescent="0.25">
      <c r="C141" s="658"/>
      <c r="D141" s="658"/>
      <c r="M141" s="282"/>
      <c r="N141" s="157"/>
      <c r="O141" s="308"/>
      <c r="P141" s="308"/>
    </row>
    <row r="142" spans="3:16" s="159" customFormat="1" x14ac:dyDescent="0.25">
      <c r="C142" s="658"/>
      <c r="D142" s="658"/>
      <c r="M142" s="282"/>
      <c r="N142" s="157"/>
      <c r="O142" s="308"/>
      <c r="P142" s="308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37" top="0.75" bottom="0.75" header="0.5" footer="0.5"/>
  <pageSetup scale="72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>
    <pageSetUpPr fitToPage="1"/>
  </sheetPr>
  <dimension ref="A1:Q273"/>
  <sheetViews>
    <sheetView zoomScale="90" zoomScaleNormal="75" zoomScaleSheetLayoutView="90" zoomScalePageLayoutView="75" workbookViewId="0">
      <selection activeCell="F105" sqref="F105"/>
    </sheetView>
  </sheetViews>
  <sheetFormatPr defaultColWidth="9.109375" defaultRowHeight="13.2" x14ac:dyDescent="0.25"/>
  <cols>
    <col min="1" max="1" width="12.109375" style="157" bestFit="1" customWidth="1"/>
    <col min="2" max="2" width="48.5546875" style="157" bestFit="1" customWidth="1"/>
    <col min="3" max="4" width="5" style="44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157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151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530" t="s">
        <v>372</v>
      </c>
      <c r="B10" s="530" t="s">
        <v>373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x14ac:dyDescent="0.25">
      <c r="A11" s="375"/>
      <c r="B11" s="5"/>
      <c r="C11" s="376"/>
      <c r="D11" s="377" t="s">
        <v>21</v>
      </c>
      <c r="E11" s="259">
        <v>0</v>
      </c>
      <c r="F11" s="378">
        <f t="shared" ref="F11:F22" si="0">C11*E11</f>
        <v>0</v>
      </c>
      <c r="G11" s="534"/>
      <c r="H11" s="380">
        <v>0</v>
      </c>
      <c r="I11" s="378">
        <f t="shared" ref="I11:I22" si="1">G11*H11</f>
        <v>0</v>
      </c>
      <c r="J11" s="381"/>
      <c r="K11" s="535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x14ac:dyDescent="0.25">
      <c r="A12" s="375"/>
      <c r="B12" s="5"/>
      <c r="C12" s="376"/>
      <c r="D12" s="377" t="s">
        <v>21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381"/>
      <c r="K12" s="535">
        <f t="shared" si="2"/>
        <v>0</v>
      </c>
      <c r="L12" s="383"/>
      <c r="M12" s="384"/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383"/>
      <c r="M13" s="384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89"/>
      <c r="B17" s="5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157"/>
      <c r="M17" s="474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157"/>
      <c r="M18" s="474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157"/>
      <c r="M19" s="474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157"/>
      <c r="M20" s="474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157"/>
      <c r="M21" s="474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157"/>
      <c r="M22" s="474"/>
      <c r="O22" s="386"/>
      <c r="P22" s="387"/>
      <c r="Q22" s="388"/>
    </row>
    <row r="23" spans="1:17" ht="13.8" thickBot="1" x14ac:dyDescent="0.3">
      <c r="A23" s="392"/>
      <c r="B23" s="7"/>
      <c r="C23" s="393"/>
      <c r="D23" s="377"/>
      <c r="E23" s="259"/>
      <c r="F23" s="378"/>
      <c r="G23" s="534"/>
      <c r="H23" s="380"/>
      <c r="I23" s="378"/>
      <c r="J23" s="381"/>
      <c r="K23" s="535"/>
      <c r="L23" s="157"/>
      <c r="M23" s="474"/>
      <c r="O23" s="386"/>
      <c r="P23" s="387"/>
      <c r="Q23" s="388"/>
    </row>
    <row r="24" spans="1:17" ht="13.8" thickTop="1" x14ac:dyDescent="0.25">
      <c r="A24" s="392"/>
      <c r="B24" s="7"/>
      <c r="C24" s="393"/>
      <c r="D24" s="377"/>
      <c r="E24" s="259"/>
      <c r="F24" s="378"/>
      <c r="G24" s="534"/>
      <c r="H24" s="380"/>
      <c r="I24" s="378"/>
      <c r="J24" s="394" t="s">
        <v>30</v>
      </c>
      <c r="K24" s="537">
        <f>SUM(K11:K23)</f>
        <v>0</v>
      </c>
      <c r="L24" s="157"/>
      <c r="M24" s="474"/>
      <c r="O24" s="386"/>
      <c r="P24" s="387"/>
      <c r="Q24" s="388"/>
    </row>
    <row r="25" spans="1:17" ht="13.8" thickBot="1" x14ac:dyDescent="0.3">
      <c r="A25" s="358" t="s">
        <v>0</v>
      </c>
      <c r="B25" s="359" t="s">
        <v>1</v>
      </c>
      <c r="C25" s="1018" t="s">
        <v>656</v>
      </c>
      <c r="D25" s="1018"/>
      <c r="E25" s="1018"/>
      <c r="F25" s="1018"/>
      <c r="G25" s="1018" t="s">
        <v>34</v>
      </c>
      <c r="H25" s="1018"/>
      <c r="I25" s="1018"/>
      <c r="J25" s="360"/>
      <c r="K25" s="528"/>
      <c r="L25" s="396"/>
      <c r="M25" s="397"/>
      <c r="N25" s="398"/>
      <c r="O25" s="386"/>
      <c r="P25" s="387"/>
      <c r="Q25" s="388"/>
    </row>
    <row r="26" spans="1:17" s="159" customFormat="1" ht="16.2" thickBot="1" x14ac:dyDescent="0.35">
      <c r="A26" s="399"/>
      <c r="B26" s="400"/>
      <c r="C26" s="401" t="s">
        <v>19</v>
      </c>
      <c r="D26" s="402" t="s">
        <v>33</v>
      </c>
      <c r="E26" s="403" t="s">
        <v>35</v>
      </c>
      <c r="F26" s="404" t="s">
        <v>30</v>
      </c>
      <c r="G26" s="538" t="s">
        <v>14</v>
      </c>
      <c r="H26" s="403" t="s">
        <v>35</v>
      </c>
      <c r="I26" s="404" t="s">
        <v>30</v>
      </c>
      <c r="J26" s="369" t="s">
        <v>659</v>
      </c>
      <c r="K26" s="539" t="s">
        <v>38</v>
      </c>
      <c r="L26" s="407"/>
      <c r="M26" s="408"/>
      <c r="N26" s="409"/>
      <c r="O26" s="386"/>
      <c r="P26" s="387"/>
      <c r="Q26" s="388"/>
    </row>
    <row r="27" spans="1:17" s="159" customFormat="1" x14ac:dyDescent="0.25">
      <c r="A27" s="410"/>
      <c r="B27" s="411"/>
      <c r="C27" s="376"/>
      <c r="D27" s="377" t="s">
        <v>21</v>
      </c>
      <c r="E27" s="259">
        <v>0</v>
      </c>
      <c r="F27" s="378">
        <f t="shared" ref="F27:F33" si="3">C27*E27</f>
        <v>0</v>
      </c>
      <c r="G27" s="534"/>
      <c r="H27" s="380">
        <v>0</v>
      </c>
      <c r="I27" s="378">
        <f t="shared" ref="I27:I33" si="4">G27*H27</f>
        <v>0</v>
      </c>
      <c r="J27" s="381"/>
      <c r="K27" s="535">
        <f t="shared" ref="K27:K33" si="5">F27+I27+J27</f>
        <v>0</v>
      </c>
      <c r="L27" s="157"/>
      <c r="M27" s="474"/>
      <c r="N27" s="157"/>
      <c r="O27" s="386"/>
      <c r="P27" s="387"/>
      <c r="Q27" s="388"/>
    </row>
    <row r="28" spans="1:17" s="159" customFormat="1" x14ac:dyDescent="0.25">
      <c r="A28" s="375"/>
      <c r="B28" s="5"/>
      <c r="C28" s="376"/>
      <c r="D28" s="377" t="s">
        <v>21</v>
      </c>
      <c r="E28" s="259">
        <v>0</v>
      </c>
      <c r="F28" s="378">
        <f t="shared" si="3"/>
        <v>0</v>
      </c>
      <c r="G28" s="534"/>
      <c r="H28" s="380">
        <v>0</v>
      </c>
      <c r="I28" s="378">
        <f t="shared" si="4"/>
        <v>0</v>
      </c>
      <c r="J28" s="381"/>
      <c r="K28" s="535">
        <f t="shared" si="5"/>
        <v>0</v>
      </c>
      <c r="M28" s="282"/>
      <c r="N28" s="157"/>
      <c r="O28" s="386"/>
      <c r="P28" s="387"/>
      <c r="Q28" s="388"/>
    </row>
    <row r="29" spans="1:17" s="159" customFormat="1" x14ac:dyDescent="0.25">
      <c r="A29" s="375"/>
      <c r="B29" s="5"/>
      <c r="C29" s="376"/>
      <c r="D29" s="377" t="s">
        <v>21</v>
      </c>
      <c r="E29" s="259">
        <v>0</v>
      </c>
      <c r="F29" s="378">
        <f t="shared" si="3"/>
        <v>0</v>
      </c>
      <c r="G29" s="534"/>
      <c r="H29" s="380">
        <v>0</v>
      </c>
      <c r="I29" s="378">
        <f t="shared" si="4"/>
        <v>0</v>
      </c>
      <c r="J29" s="381"/>
      <c r="K29" s="535">
        <f t="shared" si="5"/>
        <v>0</v>
      </c>
      <c r="L29" s="383"/>
      <c r="M29" s="384"/>
      <c r="N29" s="385"/>
      <c r="O29" s="386"/>
      <c r="P29" s="387"/>
      <c r="Q29" s="388"/>
    </row>
    <row r="30" spans="1:17" s="159" customFormat="1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s="159" customFormat="1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541"/>
      <c r="M31" s="578"/>
      <c r="N31" s="542"/>
      <c r="O31" s="386"/>
      <c r="P31" s="387"/>
      <c r="Q31" s="388"/>
    </row>
    <row r="32" spans="1:17" s="159" customFormat="1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L32" s="543"/>
      <c r="M32" s="261"/>
      <c r="N32" s="426"/>
      <c r="O32" s="386"/>
      <c r="P32" s="387"/>
      <c r="Q32" s="388"/>
    </row>
    <row r="33" spans="1:17" s="159" customFormat="1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157"/>
      <c r="M33" s="474"/>
      <c r="N33" s="157"/>
      <c r="O33" s="386"/>
      <c r="P33" s="387"/>
      <c r="Q33" s="388"/>
    </row>
    <row r="34" spans="1:17" s="159" customFormat="1" ht="13.8" thickBot="1" x14ac:dyDescent="0.3">
      <c r="A34" s="375"/>
      <c r="B34" s="5"/>
      <c r="C34" s="393"/>
      <c r="D34" s="377"/>
      <c r="E34" s="259"/>
      <c r="F34" s="378"/>
      <c r="G34" s="534"/>
      <c r="H34" s="380"/>
      <c r="I34" s="378"/>
      <c r="J34" s="381"/>
      <c r="K34" s="540"/>
      <c r="L34" s="157"/>
      <c r="M34" s="474"/>
      <c r="N34" s="157"/>
      <c r="O34" s="386"/>
      <c r="P34" s="387"/>
      <c r="Q34" s="388"/>
    </row>
    <row r="35" spans="1:17" s="159" customFormat="1" ht="13.8" thickTop="1" x14ac:dyDescent="0.25">
      <c r="A35" s="392"/>
      <c r="B35" s="5"/>
      <c r="C35" s="393"/>
      <c r="D35" s="377"/>
      <c r="E35" s="259"/>
      <c r="F35" s="378"/>
      <c r="G35" s="534"/>
      <c r="H35" s="380"/>
      <c r="I35" s="378"/>
      <c r="J35" s="394" t="s">
        <v>30</v>
      </c>
      <c r="K35" s="537">
        <f>SUM(K27:K34)</f>
        <v>0</v>
      </c>
      <c r="L35" s="383"/>
      <c r="M35" s="384"/>
      <c r="N35" s="385"/>
      <c r="O35" s="386"/>
      <c r="P35" s="387"/>
      <c r="Q35" s="388"/>
    </row>
    <row r="36" spans="1:17" s="159" customFormat="1" ht="13.8" thickBot="1" x14ac:dyDescent="0.3">
      <c r="A36" s="358" t="s">
        <v>0</v>
      </c>
      <c r="B36" s="359" t="s">
        <v>1</v>
      </c>
      <c r="C36" s="1018" t="s">
        <v>656</v>
      </c>
      <c r="D36" s="1018"/>
      <c r="E36" s="1018"/>
      <c r="F36" s="1018"/>
      <c r="G36" s="1018" t="s">
        <v>34</v>
      </c>
      <c r="H36" s="1018"/>
      <c r="I36" s="1018"/>
      <c r="J36" s="360"/>
      <c r="K36" s="528"/>
      <c r="L36" s="396"/>
      <c r="M36" s="397"/>
      <c r="N36" s="398"/>
      <c r="O36" s="386"/>
      <c r="P36" s="387"/>
      <c r="Q36" s="388"/>
    </row>
    <row r="37" spans="1:17" s="159" customFormat="1" ht="16.2" thickBot="1" x14ac:dyDescent="0.35">
      <c r="A37" s="399"/>
      <c r="B37" s="400"/>
      <c r="C37" s="401" t="s">
        <v>19</v>
      </c>
      <c r="D37" s="402" t="s">
        <v>33</v>
      </c>
      <c r="E37" s="403" t="s">
        <v>35</v>
      </c>
      <c r="F37" s="404" t="s">
        <v>30</v>
      </c>
      <c r="G37" s="538" t="s">
        <v>14</v>
      </c>
      <c r="H37" s="403" t="s">
        <v>35</v>
      </c>
      <c r="I37" s="404" t="s">
        <v>30</v>
      </c>
      <c r="J37" s="369" t="s">
        <v>659</v>
      </c>
      <c r="K37" s="539" t="s">
        <v>38</v>
      </c>
      <c r="L37" s="407"/>
      <c r="M37" s="413"/>
      <c r="N37" s="414"/>
      <c r="O37" s="415"/>
      <c r="P37" s="416"/>
      <c r="Q37" s="388"/>
    </row>
    <row r="38" spans="1:17" s="159" customFormat="1" x14ac:dyDescent="0.25">
      <c r="A38" s="410"/>
      <c r="B38" s="411"/>
      <c r="C38" s="376"/>
      <c r="D38" s="377" t="s">
        <v>21</v>
      </c>
      <c r="E38" s="259">
        <v>0</v>
      </c>
      <c r="F38" s="378">
        <f>C38*E38</f>
        <v>0</v>
      </c>
      <c r="G38" s="534"/>
      <c r="H38" s="380">
        <v>0</v>
      </c>
      <c r="I38" s="378">
        <f>G38*H38</f>
        <v>0</v>
      </c>
      <c r="J38" s="381"/>
      <c r="K38" s="535">
        <f>F38+I38+J38</f>
        <v>0</v>
      </c>
      <c r="L38" s="383"/>
      <c r="M38" s="384"/>
      <c r="N38" s="385"/>
      <c r="O38" s="415"/>
      <c r="P38" s="416"/>
      <c r="Q38" s="388"/>
    </row>
    <row r="39" spans="1:17" s="159" customFormat="1" x14ac:dyDescent="0.25">
      <c r="A39" s="375"/>
      <c r="B39" s="5"/>
      <c r="C39" s="376"/>
      <c r="D39" s="377" t="s">
        <v>21</v>
      </c>
      <c r="E39" s="259">
        <v>0</v>
      </c>
      <c r="F39" s="378">
        <f>C39*E39</f>
        <v>0</v>
      </c>
      <c r="G39" s="534"/>
      <c r="H39" s="380">
        <v>0</v>
      </c>
      <c r="I39" s="378">
        <f>G39*H39</f>
        <v>0</v>
      </c>
      <c r="J39" s="381"/>
      <c r="K39" s="535">
        <f>F39+I39+J39</f>
        <v>0</v>
      </c>
      <c r="L39" s="383"/>
      <c r="M39" s="384"/>
      <c r="N39" s="385"/>
      <c r="O39" s="415"/>
      <c r="P39" s="416"/>
      <c r="Q39" s="388"/>
    </row>
    <row r="40" spans="1:17" s="159" customFormat="1" x14ac:dyDescent="0.25">
      <c r="A40" s="375"/>
      <c r="B40" s="5"/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L40" s="383"/>
      <c r="M40" s="384"/>
      <c r="N40" s="385"/>
      <c r="O40" s="415"/>
      <c r="P40" s="416"/>
      <c r="Q40" s="388"/>
    </row>
    <row r="41" spans="1:17" s="159" customFormat="1" x14ac:dyDescent="0.25">
      <c r="A41" s="392"/>
      <c r="B41" s="417"/>
      <c r="C41" s="393"/>
      <c r="D41" s="377"/>
      <c r="E41" s="259"/>
      <c r="F41" s="378"/>
      <c r="G41" s="534"/>
      <c r="H41" s="380"/>
      <c r="I41" s="378"/>
      <c r="J41" s="381"/>
      <c r="K41" s="540"/>
      <c r="L41" s="383"/>
      <c r="M41" s="384"/>
      <c r="N41" s="385"/>
      <c r="O41" s="415"/>
      <c r="P41" s="416"/>
      <c r="Q41" s="388"/>
    </row>
    <row r="42" spans="1:17" s="159" customFormat="1" ht="13.8" thickBot="1" x14ac:dyDescent="0.3">
      <c r="A42" s="392"/>
      <c r="B42" s="417"/>
      <c r="C42" s="393"/>
      <c r="D42" s="377"/>
      <c r="E42" s="259"/>
      <c r="F42" s="378"/>
      <c r="G42" s="534"/>
      <c r="H42" s="380"/>
      <c r="I42" s="378"/>
      <c r="J42" s="381"/>
      <c r="K42" s="540"/>
      <c r="M42" s="282"/>
      <c r="N42" s="157"/>
      <c r="O42" s="415"/>
      <c r="P42" s="416"/>
      <c r="Q42" s="388"/>
    </row>
    <row r="43" spans="1:17" s="159" customFormat="1" ht="13.8" thickTop="1" x14ac:dyDescent="0.25">
      <c r="A43" s="392"/>
      <c r="B43" s="417"/>
      <c r="C43" s="393"/>
      <c r="D43" s="377"/>
      <c r="E43" s="259"/>
      <c r="F43" s="378"/>
      <c r="G43" s="534"/>
      <c r="H43" s="380"/>
      <c r="I43" s="378"/>
      <c r="J43" s="394" t="s">
        <v>30</v>
      </c>
      <c r="K43" s="537">
        <f>SUM(K38:K42)</f>
        <v>0</v>
      </c>
      <c r="M43" s="282"/>
      <c r="N43" s="157"/>
      <c r="O43" s="386"/>
      <c r="P43" s="387"/>
      <c r="Q43" s="388"/>
    </row>
    <row r="44" spans="1:17" s="159" customFormat="1" ht="13.8" thickBot="1" x14ac:dyDescent="0.3">
      <c r="A44" s="358" t="s">
        <v>0</v>
      </c>
      <c r="B44" s="359" t="s">
        <v>1</v>
      </c>
      <c r="C44" s="1018" t="s">
        <v>656</v>
      </c>
      <c r="D44" s="1018"/>
      <c r="E44" s="1018"/>
      <c r="F44" s="1018"/>
      <c r="G44" s="1018" t="s">
        <v>34</v>
      </c>
      <c r="H44" s="1018"/>
      <c r="I44" s="1018"/>
      <c r="J44" s="360"/>
      <c r="K44" s="528"/>
      <c r="L44" s="396"/>
      <c r="M44" s="397"/>
      <c r="N44" s="398"/>
      <c r="O44" s="386"/>
      <c r="P44" s="387"/>
      <c r="Q44" s="388"/>
    </row>
    <row r="45" spans="1:17" s="159" customFormat="1" ht="16.2" thickBot="1" x14ac:dyDescent="0.35">
      <c r="A45" s="399"/>
      <c r="B45" s="400"/>
      <c r="C45" s="401" t="s">
        <v>19</v>
      </c>
      <c r="D45" s="402" t="s">
        <v>33</v>
      </c>
      <c r="E45" s="403" t="s">
        <v>35</v>
      </c>
      <c r="F45" s="404" t="s">
        <v>30</v>
      </c>
      <c r="G45" s="538" t="s">
        <v>14</v>
      </c>
      <c r="H45" s="403" t="s">
        <v>35</v>
      </c>
      <c r="I45" s="404" t="s">
        <v>30</v>
      </c>
      <c r="J45" s="369" t="s">
        <v>659</v>
      </c>
      <c r="K45" s="539" t="s">
        <v>38</v>
      </c>
      <c r="L45" s="407"/>
      <c r="M45" s="413"/>
      <c r="N45" s="414"/>
      <c r="O45" s="386"/>
      <c r="P45" s="416"/>
      <c r="Q45" s="388"/>
    </row>
    <row r="46" spans="1:17" s="159" customFormat="1" x14ac:dyDescent="0.25">
      <c r="A46" s="410"/>
      <c r="B46" s="411"/>
      <c r="C46" s="376"/>
      <c r="D46" s="377" t="s">
        <v>21</v>
      </c>
      <c r="E46" s="259">
        <v>0</v>
      </c>
      <c r="F46" s="378">
        <f>C46*E46</f>
        <v>0</v>
      </c>
      <c r="G46" s="534"/>
      <c r="H46" s="380">
        <v>0</v>
      </c>
      <c r="I46" s="378">
        <f>G46*H46</f>
        <v>0</v>
      </c>
      <c r="J46" s="381"/>
      <c r="K46" s="535">
        <f>F46+I46+J46</f>
        <v>0</v>
      </c>
      <c r="L46" s="383"/>
      <c r="M46" s="261"/>
      <c r="N46" s="426"/>
      <c r="O46" s="386"/>
      <c r="P46" s="387"/>
      <c r="Q46" s="388"/>
    </row>
    <row r="47" spans="1:17" s="159" customFormat="1" x14ac:dyDescent="0.25">
      <c r="A47" s="375"/>
      <c r="B47" s="5"/>
      <c r="C47" s="376"/>
      <c r="D47" s="377" t="s">
        <v>21</v>
      </c>
      <c r="E47" s="259">
        <v>0</v>
      </c>
      <c r="F47" s="378">
        <f>C47*E47</f>
        <v>0</v>
      </c>
      <c r="G47" s="534"/>
      <c r="H47" s="380">
        <v>0</v>
      </c>
      <c r="I47" s="378">
        <f>G47*H47</f>
        <v>0</v>
      </c>
      <c r="J47" s="381"/>
      <c r="K47" s="535">
        <f>F47+I47+J47</f>
        <v>0</v>
      </c>
      <c r="L47" s="383"/>
      <c r="M47" s="261"/>
      <c r="N47" s="426"/>
      <c r="O47" s="386"/>
      <c r="P47" s="387"/>
      <c r="Q47" s="388"/>
    </row>
    <row r="48" spans="1:17" s="159" customFormat="1" x14ac:dyDescent="0.25">
      <c r="A48" s="375"/>
      <c r="B48" s="5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664"/>
      <c r="M48" s="665"/>
      <c r="N48" s="666"/>
      <c r="O48" s="386"/>
      <c r="P48" s="387"/>
      <c r="Q48" s="388"/>
    </row>
    <row r="49" spans="1:17" s="159" customFormat="1" x14ac:dyDescent="0.25">
      <c r="A49" s="375"/>
      <c r="B49" s="5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667"/>
      <c r="M49" s="261"/>
      <c r="N49" s="426"/>
      <c r="O49" s="386"/>
      <c r="P49" s="387"/>
      <c r="Q49" s="388"/>
    </row>
    <row r="50" spans="1:17" s="159" customFormat="1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426"/>
      <c r="O50" s="386"/>
      <c r="P50" s="387"/>
      <c r="Q50" s="388"/>
    </row>
    <row r="51" spans="1:17" s="159" customFormat="1" ht="13.8" thickBot="1" x14ac:dyDescent="0.3">
      <c r="A51" s="392"/>
      <c r="B51" s="417"/>
      <c r="C51" s="393"/>
      <c r="D51" s="377"/>
      <c r="E51" s="259"/>
      <c r="F51" s="378"/>
      <c r="G51" s="534"/>
      <c r="H51" s="380"/>
      <c r="I51" s="378"/>
      <c r="J51" s="381"/>
      <c r="K51" s="540"/>
      <c r="L51" s="383"/>
      <c r="M51" s="261"/>
      <c r="N51" s="385"/>
      <c r="O51" s="386"/>
      <c r="P51" s="387"/>
      <c r="Q51" s="388"/>
    </row>
    <row r="52" spans="1:17" s="159" customFormat="1" ht="13.8" thickTop="1" x14ac:dyDescent="0.25">
      <c r="A52" s="392"/>
      <c r="B52" s="417"/>
      <c r="C52" s="393"/>
      <c r="D52" s="377"/>
      <c r="E52" s="259"/>
      <c r="F52" s="378"/>
      <c r="G52" s="534"/>
      <c r="H52" s="380"/>
      <c r="I52" s="378"/>
      <c r="J52" s="394" t="s">
        <v>30</v>
      </c>
      <c r="K52" s="537">
        <f>SUM(K46:K51)</f>
        <v>0</v>
      </c>
      <c r="L52" s="157"/>
      <c r="M52" s="474"/>
      <c r="N52" s="157"/>
      <c r="O52" s="441"/>
      <c r="P52" s="442"/>
      <c r="Q52" s="388"/>
    </row>
    <row r="53" spans="1:17" s="159" customFormat="1" ht="13.8" thickBot="1" x14ac:dyDescent="0.3">
      <c r="A53" s="358" t="s">
        <v>0</v>
      </c>
      <c r="B53" s="359" t="s">
        <v>1</v>
      </c>
      <c r="C53" s="1018" t="s">
        <v>656</v>
      </c>
      <c r="D53" s="1018"/>
      <c r="E53" s="1018"/>
      <c r="F53" s="1018"/>
      <c r="G53" s="1018" t="s">
        <v>34</v>
      </c>
      <c r="H53" s="1018"/>
      <c r="I53" s="1018"/>
      <c r="J53" s="360"/>
      <c r="K53" s="528"/>
      <c r="L53" s="396"/>
      <c r="M53" s="360"/>
      <c r="N53" s="398"/>
      <c r="O53" s="441"/>
      <c r="P53" s="442"/>
      <c r="Q53" s="388"/>
    </row>
    <row r="54" spans="1:17" s="159" customFormat="1" ht="16.2" thickBot="1" x14ac:dyDescent="0.35">
      <c r="A54" s="399"/>
      <c r="B54" s="400"/>
      <c r="C54" s="401" t="s">
        <v>19</v>
      </c>
      <c r="D54" s="402" t="s">
        <v>33</v>
      </c>
      <c r="E54" s="403" t="s">
        <v>35</v>
      </c>
      <c r="F54" s="404" t="s">
        <v>30</v>
      </c>
      <c r="G54" s="538" t="s">
        <v>14</v>
      </c>
      <c r="H54" s="403" t="s">
        <v>35</v>
      </c>
      <c r="I54" s="404" t="s">
        <v>30</v>
      </c>
      <c r="J54" s="369" t="s">
        <v>659</v>
      </c>
      <c r="K54" s="539" t="s">
        <v>38</v>
      </c>
      <c r="L54" s="407"/>
      <c r="M54" s="413"/>
      <c r="N54" s="409"/>
      <c r="O54" s="415"/>
      <c r="P54" s="416"/>
      <c r="Q54" s="388"/>
    </row>
    <row r="55" spans="1:17" s="159" customFormat="1" x14ac:dyDescent="0.25">
      <c r="A55" s="410"/>
      <c r="B55" s="411"/>
      <c r="C55" s="376"/>
      <c r="D55" s="377" t="s">
        <v>21</v>
      </c>
      <c r="E55" s="259">
        <v>0</v>
      </c>
      <c r="F55" s="378">
        <f t="shared" ref="F55:F61" si="6">C55*E55</f>
        <v>0</v>
      </c>
      <c r="G55" s="534"/>
      <c r="H55" s="380">
        <v>0</v>
      </c>
      <c r="I55" s="378">
        <f t="shared" ref="I55:I61" si="7">G55*H55</f>
        <v>0</v>
      </c>
      <c r="J55" s="381"/>
      <c r="K55" s="535">
        <f t="shared" ref="K55:K61" si="8">F55+I55+J55</f>
        <v>0</v>
      </c>
      <c r="M55" s="282"/>
      <c r="N55" s="157"/>
      <c r="O55" s="386"/>
      <c r="P55" s="387"/>
      <c r="Q55" s="388"/>
    </row>
    <row r="56" spans="1:17" s="159" customFormat="1" x14ac:dyDescent="0.25">
      <c r="A56" s="375"/>
      <c r="B56" s="5"/>
      <c r="C56" s="376"/>
      <c r="D56" s="377" t="s">
        <v>21</v>
      </c>
      <c r="E56" s="259">
        <v>0</v>
      </c>
      <c r="F56" s="378">
        <f t="shared" si="6"/>
        <v>0</v>
      </c>
      <c r="G56" s="534"/>
      <c r="H56" s="380">
        <v>0</v>
      </c>
      <c r="I56" s="378">
        <f t="shared" si="7"/>
        <v>0</v>
      </c>
      <c r="J56" s="381"/>
      <c r="K56" s="535">
        <f t="shared" si="8"/>
        <v>0</v>
      </c>
      <c r="L56" s="383"/>
      <c r="M56" s="261"/>
      <c r="N56" s="385"/>
      <c r="O56" s="386"/>
      <c r="P56" s="387"/>
      <c r="Q56" s="388"/>
    </row>
    <row r="57" spans="1:17" s="159" customFormat="1" x14ac:dyDescent="0.25">
      <c r="A57" s="375"/>
      <c r="B57" s="5"/>
      <c r="C57" s="376"/>
      <c r="D57" s="377" t="s">
        <v>21</v>
      </c>
      <c r="E57" s="259">
        <v>0</v>
      </c>
      <c r="F57" s="378">
        <f t="shared" si="6"/>
        <v>0</v>
      </c>
      <c r="G57" s="534"/>
      <c r="H57" s="380">
        <v>0</v>
      </c>
      <c r="I57" s="378">
        <f t="shared" si="7"/>
        <v>0</v>
      </c>
      <c r="J57" s="381"/>
      <c r="K57" s="535">
        <f t="shared" si="8"/>
        <v>0</v>
      </c>
      <c r="L57" s="383"/>
      <c r="M57" s="261"/>
      <c r="N57" s="385"/>
      <c r="O57" s="386"/>
      <c r="P57" s="387"/>
      <c r="Q57" s="388"/>
    </row>
    <row r="58" spans="1:17" s="159" customFormat="1" x14ac:dyDescent="0.25">
      <c r="A58" s="375"/>
      <c r="B58" s="5"/>
      <c r="C58" s="376"/>
      <c r="D58" s="377" t="s">
        <v>21</v>
      </c>
      <c r="E58" s="259">
        <v>0</v>
      </c>
      <c r="F58" s="378">
        <f t="shared" si="6"/>
        <v>0</v>
      </c>
      <c r="G58" s="534"/>
      <c r="H58" s="380">
        <v>0</v>
      </c>
      <c r="I58" s="378">
        <f t="shared" si="7"/>
        <v>0</v>
      </c>
      <c r="J58" s="381"/>
      <c r="K58" s="535">
        <f t="shared" si="8"/>
        <v>0</v>
      </c>
      <c r="L58" s="383"/>
      <c r="M58" s="261"/>
      <c r="N58" s="385"/>
      <c r="O58" s="386"/>
      <c r="P58" s="387"/>
      <c r="Q58" s="388"/>
    </row>
    <row r="59" spans="1:17" s="159" customFormat="1" x14ac:dyDescent="0.25">
      <c r="A59" s="375"/>
      <c r="B59" s="5"/>
      <c r="C59" s="376"/>
      <c r="D59" s="377" t="s">
        <v>21</v>
      </c>
      <c r="E59" s="259">
        <v>0</v>
      </c>
      <c r="F59" s="378">
        <f t="shared" si="6"/>
        <v>0</v>
      </c>
      <c r="G59" s="534"/>
      <c r="H59" s="380">
        <v>0</v>
      </c>
      <c r="I59" s="378">
        <f t="shared" si="7"/>
        <v>0</v>
      </c>
      <c r="J59" s="381"/>
      <c r="K59" s="535">
        <f t="shared" si="8"/>
        <v>0</v>
      </c>
      <c r="L59" s="664"/>
      <c r="M59" s="261"/>
      <c r="N59" s="666"/>
      <c r="O59" s="386"/>
      <c r="P59" s="387"/>
      <c r="Q59" s="388"/>
    </row>
    <row r="60" spans="1:17" s="159" customFormat="1" x14ac:dyDescent="0.25">
      <c r="A60" s="375"/>
      <c r="B60" s="5"/>
      <c r="C60" s="376"/>
      <c r="D60" s="377" t="s">
        <v>21</v>
      </c>
      <c r="E60" s="259">
        <v>0</v>
      </c>
      <c r="F60" s="378">
        <f t="shared" si="6"/>
        <v>0</v>
      </c>
      <c r="G60" s="534"/>
      <c r="H60" s="380">
        <v>0</v>
      </c>
      <c r="I60" s="378">
        <f t="shared" si="7"/>
        <v>0</v>
      </c>
      <c r="J60" s="381"/>
      <c r="K60" s="535">
        <f t="shared" si="8"/>
        <v>0</v>
      </c>
      <c r="L60" s="667"/>
      <c r="M60" s="261"/>
      <c r="N60" s="668"/>
      <c r="O60" s="386"/>
      <c r="P60" s="387"/>
      <c r="Q60" s="388"/>
    </row>
    <row r="61" spans="1:17" s="159" customFormat="1" x14ac:dyDescent="0.25">
      <c r="A61" s="375"/>
      <c r="B61" s="5"/>
      <c r="C61" s="376"/>
      <c r="D61" s="377" t="s">
        <v>21</v>
      </c>
      <c r="E61" s="259">
        <v>0</v>
      </c>
      <c r="F61" s="378">
        <f t="shared" si="6"/>
        <v>0</v>
      </c>
      <c r="G61" s="534"/>
      <c r="H61" s="380">
        <v>0</v>
      </c>
      <c r="I61" s="378">
        <f t="shared" si="7"/>
        <v>0</v>
      </c>
      <c r="J61" s="381"/>
      <c r="K61" s="535">
        <f t="shared" si="8"/>
        <v>0</v>
      </c>
      <c r="L61" s="383"/>
      <c r="M61" s="261"/>
      <c r="N61" s="426"/>
      <c r="O61" s="386"/>
      <c r="P61" s="387"/>
      <c r="Q61" s="388"/>
    </row>
    <row r="62" spans="1:17" s="159" customFormat="1" ht="13.8" thickBot="1" x14ac:dyDescent="0.3">
      <c r="A62" s="392"/>
      <c r="B62" s="5"/>
      <c r="C62" s="393"/>
      <c r="D62" s="377"/>
      <c r="E62" s="259"/>
      <c r="F62" s="378"/>
      <c r="G62" s="534"/>
      <c r="H62" s="380"/>
      <c r="I62" s="378"/>
      <c r="J62" s="381"/>
      <c r="K62" s="540"/>
      <c r="M62" s="282"/>
      <c r="N62" s="157"/>
      <c r="O62" s="386"/>
      <c r="P62" s="387"/>
      <c r="Q62" s="388"/>
    </row>
    <row r="63" spans="1:17" s="159" customFormat="1" ht="13.8" thickTop="1" x14ac:dyDescent="0.25">
      <c r="A63" s="392"/>
      <c r="B63" s="417"/>
      <c r="C63" s="393"/>
      <c r="D63" s="377"/>
      <c r="E63" s="259"/>
      <c r="F63" s="378"/>
      <c r="G63" s="534"/>
      <c r="H63" s="380"/>
      <c r="I63" s="378"/>
      <c r="J63" s="394" t="s">
        <v>30</v>
      </c>
      <c r="K63" s="537">
        <f>SUM(K55:K62)</f>
        <v>0</v>
      </c>
      <c r="M63" s="282"/>
      <c r="N63" s="157"/>
      <c r="O63" s="386"/>
      <c r="P63" s="387"/>
      <c r="Q63" s="388"/>
    </row>
    <row r="64" spans="1:17" s="159" customFormat="1" ht="13.8" thickBot="1" x14ac:dyDescent="0.3">
      <c r="A64" s="358" t="s">
        <v>0</v>
      </c>
      <c r="B64" s="359" t="s">
        <v>1</v>
      </c>
      <c r="C64" s="1018" t="s">
        <v>656</v>
      </c>
      <c r="D64" s="1018"/>
      <c r="E64" s="1018"/>
      <c r="F64" s="1018"/>
      <c r="G64" s="1018" t="s">
        <v>34</v>
      </c>
      <c r="H64" s="1018"/>
      <c r="I64" s="1018"/>
      <c r="J64" s="360"/>
      <c r="K64" s="528"/>
      <c r="L64" s="396"/>
      <c r="M64" s="360"/>
      <c r="N64" s="443"/>
      <c r="O64" s="386"/>
      <c r="P64" s="387"/>
      <c r="Q64" s="388"/>
    </row>
    <row r="65" spans="1:17" s="159" customFormat="1" ht="16.2" thickBot="1" x14ac:dyDescent="0.35">
      <c r="A65" s="399"/>
      <c r="B65" s="400"/>
      <c r="C65" s="401" t="s">
        <v>19</v>
      </c>
      <c r="D65" s="402" t="s">
        <v>33</v>
      </c>
      <c r="E65" s="403" t="s">
        <v>35</v>
      </c>
      <c r="F65" s="404" t="s">
        <v>30</v>
      </c>
      <c r="G65" s="538" t="s">
        <v>14</v>
      </c>
      <c r="H65" s="403" t="s">
        <v>35</v>
      </c>
      <c r="I65" s="404" t="s">
        <v>30</v>
      </c>
      <c r="J65" s="369" t="s">
        <v>659</v>
      </c>
      <c r="K65" s="539" t="s">
        <v>38</v>
      </c>
      <c r="L65" s="407"/>
      <c r="M65" s="413"/>
      <c r="N65" s="414"/>
      <c r="O65" s="386"/>
      <c r="P65" s="387"/>
      <c r="Q65" s="388"/>
    </row>
    <row r="66" spans="1:17" s="159" customFormat="1" x14ac:dyDescent="0.25">
      <c r="A66" s="410"/>
      <c r="B66" s="411"/>
      <c r="C66" s="376"/>
      <c r="D66" s="377" t="s">
        <v>21</v>
      </c>
      <c r="E66" s="259">
        <v>0</v>
      </c>
      <c r="F66" s="378">
        <f>C66*E66</f>
        <v>0</v>
      </c>
      <c r="G66" s="534"/>
      <c r="H66" s="380">
        <v>0</v>
      </c>
      <c r="I66" s="378">
        <f>G66*H66</f>
        <v>0</v>
      </c>
      <c r="J66" s="381"/>
      <c r="K66" s="535">
        <f>F66+I66+J66</f>
        <v>0</v>
      </c>
      <c r="L66" s="383"/>
      <c r="M66" s="384"/>
      <c r="N66" s="385"/>
      <c r="O66" s="386"/>
      <c r="P66" s="387"/>
      <c r="Q66" s="388"/>
    </row>
    <row r="67" spans="1:17" s="159" customFormat="1" x14ac:dyDescent="0.25">
      <c r="A67" s="375"/>
      <c r="B67" s="5"/>
      <c r="C67" s="376"/>
      <c r="D67" s="377" t="s">
        <v>21</v>
      </c>
      <c r="E67" s="259">
        <v>0</v>
      </c>
      <c r="F67" s="378">
        <f>C67*E67</f>
        <v>0</v>
      </c>
      <c r="G67" s="534"/>
      <c r="H67" s="380">
        <v>0</v>
      </c>
      <c r="I67" s="378">
        <f>G67*H67</f>
        <v>0</v>
      </c>
      <c r="J67" s="381"/>
      <c r="K67" s="535">
        <f>F67+I67+J67</f>
        <v>0</v>
      </c>
      <c r="L67" s="383"/>
      <c r="M67" s="384"/>
      <c r="N67" s="385"/>
      <c r="O67" s="386"/>
      <c r="P67" s="387"/>
      <c r="Q67" s="388"/>
    </row>
    <row r="68" spans="1:17" s="159" customFormat="1" x14ac:dyDescent="0.25">
      <c r="A68" s="375"/>
      <c r="B68" s="5"/>
      <c r="C68" s="376"/>
      <c r="D68" s="377" t="s">
        <v>21</v>
      </c>
      <c r="E68" s="259">
        <v>0</v>
      </c>
      <c r="F68" s="378">
        <f>C68*E68</f>
        <v>0</v>
      </c>
      <c r="G68" s="534"/>
      <c r="H68" s="380">
        <v>0</v>
      </c>
      <c r="I68" s="378">
        <f>G68*H68</f>
        <v>0</v>
      </c>
      <c r="J68" s="381"/>
      <c r="K68" s="535">
        <f>F68+I68+J68</f>
        <v>0</v>
      </c>
      <c r="L68" s="383"/>
      <c r="M68" s="384"/>
      <c r="N68" s="385"/>
      <c r="O68" s="386"/>
      <c r="P68" s="387"/>
      <c r="Q68" s="388"/>
    </row>
    <row r="69" spans="1:17" s="159" customFormat="1" x14ac:dyDescent="0.25">
      <c r="A69" s="375"/>
      <c r="B69" s="5"/>
      <c r="C69" s="376"/>
      <c r="D69" s="377" t="s">
        <v>21</v>
      </c>
      <c r="E69" s="259">
        <v>0</v>
      </c>
      <c r="F69" s="378">
        <f>C69*E69</f>
        <v>0</v>
      </c>
      <c r="G69" s="534"/>
      <c r="H69" s="380">
        <v>0</v>
      </c>
      <c r="I69" s="378">
        <f>G69*H69</f>
        <v>0</v>
      </c>
      <c r="J69" s="381"/>
      <c r="K69" s="535">
        <f>F69+I69+J69</f>
        <v>0</v>
      </c>
      <c r="M69" s="282"/>
      <c r="N69" s="157"/>
      <c r="O69" s="386"/>
      <c r="P69" s="387"/>
      <c r="Q69" s="388"/>
    </row>
    <row r="70" spans="1:17" s="159" customFormat="1" x14ac:dyDescent="0.25">
      <c r="A70" s="375"/>
      <c r="B70" s="5"/>
      <c r="C70" s="376"/>
      <c r="D70" s="377" t="s">
        <v>21</v>
      </c>
      <c r="E70" s="259">
        <v>0</v>
      </c>
      <c r="F70" s="378">
        <f>C70*E70</f>
        <v>0</v>
      </c>
      <c r="G70" s="534"/>
      <c r="H70" s="380">
        <v>0</v>
      </c>
      <c r="I70" s="378">
        <f>G70*H70</f>
        <v>0</v>
      </c>
      <c r="J70" s="381"/>
      <c r="K70" s="535">
        <f>F70+I70+J70</f>
        <v>0</v>
      </c>
      <c r="M70" s="282"/>
      <c r="N70" s="157"/>
      <c r="O70" s="386"/>
      <c r="P70" s="387"/>
      <c r="Q70" s="388"/>
    </row>
    <row r="71" spans="1:17" s="159" customFormat="1" ht="13.8" thickBot="1" x14ac:dyDescent="0.3">
      <c r="A71" s="392"/>
      <c r="B71" s="5"/>
      <c r="C71" s="393"/>
      <c r="D71" s="377"/>
      <c r="E71" s="259"/>
      <c r="F71" s="378"/>
      <c r="G71" s="534"/>
      <c r="H71" s="380"/>
      <c r="I71" s="378"/>
      <c r="J71" s="381"/>
      <c r="K71" s="540"/>
      <c r="M71" s="282"/>
      <c r="N71" s="157"/>
      <c r="O71" s="386"/>
      <c r="P71" s="387"/>
      <c r="Q71" s="388"/>
    </row>
    <row r="72" spans="1:17" s="159" customFormat="1" ht="13.8" thickTop="1" x14ac:dyDescent="0.25">
      <c r="A72" s="392"/>
      <c r="B72" s="417"/>
      <c r="C72" s="393"/>
      <c r="D72" s="377"/>
      <c r="E72" s="259"/>
      <c r="F72" s="378"/>
      <c r="G72" s="534"/>
      <c r="H72" s="380"/>
      <c r="I72" s="378"/>
      <c r="J72" s="394" t="s">
        <v>30</v>
      </c>
      <c r="K72" s="537">
        <f>SUM(K66:K71)</f>
        <v>0</v>
      </c>
      <c r="M72" s="282"/>
      <c r="N72" s="157"/>
      <c r="O72" s="386"/>
      <c r="P72" s="387"/>
      <c r="Q72" s="388"/>
    </row>
    <row r="73" spans="1:17" s="159" customFormat="1" ht="13.8" thickBot="1" x14ac:dyDescent="0.3">
      <c r="A73" s="358" t="s">
        <v>0</v>
      </c>
      <c r="B73" s="359" t="s">
        <v>1</v>
      </c>
      <c r="C73" s="1018" t="s">
        <v>656</v>
      </c>
      <c r="D73" s="1018"/>
      <c r="E73" s="1018"/>
      <c r="F73" s="1018"/>
      <c r="G73" s="1018" t="s">
        <v>34</v>
      </c>
      <c r="H73" s="1018"/>
      <c r="I73" s="1018"/>
      <c r="J73" s="360"/>
      <c r="K73" s="528"/>
      <c r="L73" s="396"/>
      <c r="M73" s="397"/>
      <c r="N73" s="398"/>
      <c r="O73" s="386"/>
      <c r="P73" s="387"/>
      <c r="Q73" s="388"/>
    </row>
    <row r="74" spans="1:17" s="159" customFormat="1" ht="16.2" thickBot="1" x14ac:dyDescent="0.35">
      <c r="A74" s="399"/>
      <c r="B74" s="400"/>
      <c r="C74" s="401" t="s">
        <v>19</v>
      </c>
      <c r="D74" s="402" t="s">
        <v>33</v>
      </c>
      <c r="E74" s="403" t="s">
        <v>35</v>
      </c>
      <c r="F74" s="404" t="s">
        <v>30</v>
      </c>
      <c r="G74" s="538" t="s">
        <v>14</v>
      </c>
      <c r="H74" s="403" t="s">
        <v>35</v>
      </c>
      <c r="I74" s="404" t="s">
        <v>30</v>
      </c>
      <c r="J74" s="369" t="s">
        <v>659</v>
      </c>
      <c r="K74" s="539" t="s">
        <v>38</v>
      </c>
      <c r="L74" s="407"/>
      <c r="M74" s="408"/>
      <c r="N74" s="409"/>
      <c r="O74" s="386"/>
      <c r="P74" s="387"/>
      <c r="Q74" s="388"/>
    </row>
    <row r="75" spans="1:17" s="159" customFormat="1" x14ac:dyDescent="0.25">
      <c r="A75" s="410"/>
      <c r="B75" s="411"/>
      <c r="C75" s="376"/>
      <c r="D75" s="377" t="s">
        <v>21</v>
      </c>
      <c r="E75" s="259">
        <v>0</v>
      </c>
      <c r="F75" s="378">
        <f>C75*E75</f>
        <v>0</v>
      </c>
      <c r="G75" s="534"/>
      <c r="H75" s="380">
        <v>0</v>
      </c>
      <c r="I75" s="378">
        <f>G75*H75</f>
        <v>0</v>
      </c>
      <c r="J75" s="381"/>
      <c r="K75" s="535">
        <f>F75+I75+J75</f>
        <v>0</v>
      </c>
      <c r="L75" s="383"/>
      <c r="M75" s="384"/>
      <c r="N75" s="385"/>
      <c r="O75" s="386"/>
      <c r="P75" s="387"/>
      <c r="Q75" s="388"/>
    </row>
    <row r="76" spans="1:17" s="159" customFormat="1" x14ac:dyDescent="0.25">
      <c r="A76" s="375"/>
      <c r="B76" s="5"/>
      <c r="C76" s="376"/>
      <c r="D76" s="377" t="s">
        <v>21</v>
      </c>
      <c r="E76" s="259">
        <v>0</v>
      </c>
      <c r="F76" s="378">
        <f>C76*E76</f>
        <v>0</v>
      </c>
      <c r="G76" s="534"/>
      <c r="H76" s="380">
        <v>0</v>
      </c>
      <c r="I76" s="378">
        <f>G76*H76</f>
        <v>0</v>
      </c>
      <c r="J76" s="381"/>
      <c r="K76" s="535">
        <f>F76+I76+J76</f>
        <v>0</v>
      </c>
      <c r="L76" s="664"/>
      <c r="M76" s="665"/>
      <c r="N76" s="666"/>
      <c r="O76" s="386"/>
      <c r="P76" s="387"/>
      <c r="Q76" s="388"/>
    </row>
    <row r="77" spans="1:17" s="159" customFormat="1" x14ac:dyDescent="0.25">
      <c r="A77" s="375"/>
      <c r="B77" s="5"/>
      <c r="C77" s="376"/>
      <c r="D77" s="377" t="s">
        <v>21</v>
      </c>
      <c r="E77" s="259">
        <v>0</v>
      </c>
      <c r="F77" s="378">
        <f>C77*E77</f>
        <v>0</v>
      </c>
      <c r="G77" s="534"/>
      <c r="H77" s="380">
        <v>0</v>
      </c>
      <c r="I77" s="378">
        <f>G77*H77</f>
        <v>0</v>
      </c>
      <c r="J77" s="381"/>
      <c r="K77" s="535">
        <f>F77+I77+J77</f>
        <v>0</v>
      </c>
      <c r="L77" s="667"/>
      <c r="M77" s="669"/>
      <c r="N77" s="668"/>
      <c r="O77" s="386"/>
      <c r="P77" s="387"/>
      <c r="Q77" s="388"/>
    </row>
    <row r="78" spans="1:17" s="159" customFormat="1" ht="13.8" thickBot="1" x14ac:dyDescent="0.3">
      <c r="A78" s="392"/>
      <c r="B78" s="5"/>
      <c r="C78" s="393"/>
      <c r="D78" s="377"/>
      <c r="E78" s="259"/>
      <c r="F78" s="378"/>
      <c r="G78" s="534"/>
      <c r="H78" s="380"/>
      <c r="I78" s="378"/>
      <c r="J78" s="381"/>
      <c r="K78" s="540"/>
      <c r="L78" s="383"/>
      <c r="M78" s="384"/>
      <c r="N78" s="385"/>
      <c r="O78" s="386"/>
      <c r="P78" s="387"/>
      <c r="Q78" s="388"/>
    </row>
    <row r="79" spans="1:17" s="159" customFormat="1" ht="13.8" thickTop="1" x14ac:dyDescent="0.25">
      <c r="A79" s="392"/>
      <c r="B79" s="157"/>
      <c r="C79" s="393"/>
      <c r="D79" s="377"/>
      <c r="E79" s="259"/>
      <c r="F79" s="378"/>
      <c r="G79" s="534"/>
      <c r="H79" s="380"/>
      <c r="I79" s="378"/>
      <c r="J79" s="394" t="s">
        <v>30</v>
      </c>
      <c r="K79" s="537">
        <f>SUM(K75:K78)</f>
        <v>0</v>
      </c>
      <c r="L79" s="383"/>
      <c r="M79" s="384"/>
      <c r="N79" s="385"/>
      <c r="O79" s="386"/>
      <c r="P79" s="387"/>
      <c r="Q79" s="388"/>
    </row>
    <row r="80" spans="1:17" s="159" customFormat="1" ht="13.8" thickBot="1" x14ac:dyDescent="0.3">
      <c r="A80" s="358" t="s">
        <v>0</v>
      </c>
      <c r="B80" s="359" t="s">
        <v>1</v>
      </c>
      <c r="C80" s="1018" t="s">
        <v>656</v>
      </c>
      <c r="D80" s="1018"/>
      <c r="E80" s="1018"/>
      <c r="F80" s="1018"/>
      <c r="G80" s="1018" t="s">
        <v>34</v>
      </c>
      <c r="H80" s="1018"/>
      <c r="I80" s="1018"/>
      <c r="J80" s="360"/>
      <c r="K80" s="528"/>
      <c r="L80" s="396"/>
      <c r="M80" s="397"/>
      <c r="N80" s="398"/>
      <c r="O80" s="386"/>
      <c r="P80" s="387"/>
      <c r="Q80" s="388"/>
    </row>
    <row r="81" spans="1:17" s="159" customFormat="1" ht="16.2" thickBot="1" x14ac:dyDescent="0.35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8" t="s">
        <v>14</v>
      </c>
      <c r="H81" s="403" t="s">
        <v>35</v>
      </c>
      <c r="I81" s="404" t="s">
        <v>30</v>
      </c>
      <c r="J81" s="369" t="s">
        <v>659</v>
      </c>
      <c r="K81" s="539" t="s">
        <v>38</v>
      </c>
      <c r="L81" s="407"/>
      <c r="M81" s="408"/>
      <c r="N81" s="409"/>
      <c r="O81" s="386"/>
      <c r="P81" s="387"/>
      <c r="Q81" s="388"/>
    </row>
    <row r="82" spans="1:17" s="159" customFormat="1" x14ac:dyDescent="0.25">
      <c r="A82" s="410"/>
      <c r="B82" s="411"/>
      <c r="C82" s="376"/>
      <c r="D82" s="377" t="s">
        <v>21</v>
      </c>
      <c r="E82" s="259">
        <v>0</v>
      </c>
      <c r="F82" s="378">
        <f>C82*E82</f>
        <v>0</v>
      </c>
      <c r="G82" s="534"/>
      <c r="H82" s="380">
        <v>0</v>
      </c>
      <c r="I82" s="378">
        <f>G82*H82</f>
        <v>0</v>
      </c>
      <c r="J82" s="381"/>
      <c r="K82" s="535">
        <f>F82+I82+J82</f>
        <v>0</v>
      </c>
      <c r="M82" s="282"/>
      <c r="N82" s="157"/>
      <c r="O82" s="386"/>
      <c r="P82" s="387"/>
      <c r="Q82" s="388"/>
    </row>
    <row r="83" spans="1:17" s="159" customFormat="1" x14ac:dyDescent="0.25">
      <c r="A83" s="375"/>
      <c r="B83" s="5"/>
      <c r="C83" s="376"/>
      <c r="D83" s="377" t="s">
        <v>21</v>
      </c>
      <c r="E83" s="259">
        <v>0</v>
      </c>
      <c r="F83" s="378">
        <f>C83*E83</f>
        <v>0</v>
      </c>
      <c r="G83" s="534"/>
      <c r="H83" s="380">
        <v>0</v>
      </c>
      <c r="I83" s="378">
        <f>G83*H83</f>
        <v>0</v>
      </c>
      <c r="J83" s="381"/>
      <c r="K83" s="535">
        <f>F83+I83+J83</f>
        <v>0</v>
      </c>
      <c r="M83" s="282"/>
      <c r="N83" s="157"/>
      <c r="O83" s="386"/>
      <c r="P83" s="387"/>
      <c r="Q83" s="388"/>
    </row>
    <row r="84" spans="1:17" s="159" customFormat="1" x14ac:dyDescent="0.25">
      <c r="A84" s="375"/>
      <c r="C84" s="376"/>
      <c r="D84" s="377" t="s">
        <v>21</v>
      </c>
      <c r="E84" s="259">
        <v>0</v>
      </c>
      <c r="F84" s="378">
        <f>C84*E84</f>
        <v>0</v>
      </c>
      <c r="G84" s="534"/>
      <c r="H84" s="380">
        <v>0</v>
      </c>
      <c r="I84" s="378">
        <f>G84*H84</f>
        <v>0</v>
      </c>
      <c r="J84" s="381"/>
      <c r="K84" s="535">
        <f>F84+I84+J84</f>
        <v>0</v>
      </c>
      <c r="M84" s="282"/>
      <c r="N84" s="157"/>
      <c r="O84" s="386"/>
      <c r="P84" s="387"/>
      <c r="Q84" s="388"/>
    </row>
    <row r="85" spans="1:17" s="159" customFormat="1" x14ac:dyDescent="0.25">
      <c r="A85" s="375"/>
      <c r="B85" s="5"/>
      <c r="C85" s="376"/>
      <c r="D85" s="377" t="s">
        <v>21</v>
      </c>
      <c r="E85" s="259">
        <v>0</v>
      </c>
      <c r="F85" s="378">
        <f>C85*E85</f>
        <v>0</v>
      </c>
      <c r="G85" s="534"/>
      <c r="H85" s="380">
        <v>0</v>
      </c>
      <c r="I85" s="378">
        <f>G85*H85</f>
        <v>0</v>
      </c>
      <c r="J85" s="381"/>
      <c r="K85" s="535">
        <f>F85+I85+J85</f>
        <v>0</v>
      </c>
      <c r="L85" s="383"/>
      <c r="M85" s="384"/>
      <c r="N85" s="385"/>
      <c r="O85" s="386"/>
      <c r="P85" s="387"/>
      <c r="Q85" s="388"/>
    </row>
    <row r="86" spans="1:17" s="159" customFormat="1" x14ac:dyDescent="0.25">
      <c r="A86" s="375"/>
      <c r="B86" s="5"/>
      <c r="C86" s="376"/>
      <c r="D86" s="377" t="s">
        <v>21</v>
      </c>
      <c r="E86" s="259">
        <v>0</v>
      </c>
      <c r="F86" s="378">
        <f>C86*E86</f>
        <v>0</v>
      </c>
      <c r="G86" s="534"/>
      <c r="H86" s="380">
        <v>0</v>
      </c>
      <c r="I86" s="378">
        <f>G86*H86</f>
        <v>0</v>
      </c>
      <c r="J86" s="381"/>
      <c r="K86" s="535">
        <f>F86+I86+J86</f>
        <v>0</v>
      </c>
      <c r="L86" s="383"/>
      <c r="M86" s="384"/>
      <c r="N86" s="385"/>
      <c r="O86" s="386"/>
      <c r="P86" s="387"/>
      <c r="Q86" s="388"/>
    </row>
    <row r="87" spans="1:17" s="159" customFormat="1" ht="13.8" thickBot="1" x14ac:dyDescent="0.3">
      <c r="A87" s="392"/>
      <c r="B87" s="5"/>
      <c r="C87" s="393"/>
      <c r="D87" s="377"/>
      <c r="E87" s="259"/>
      <c r="F87" s="378"/>
      <c r="G87" s="534"/>
      <c r="H87" s="380"/>
      <c r="I87" s="378"/>
      <c r="J87" s="381"/>
      <c r="K87" s="540"/>
      <c r="L87" s="383"/>
      <c r="M87" s="384"/>
      <c r="N87" s="385"/>
      <c r="O87" s="386"/>
      <c r="P87" s="387"/>
      <c r="Q87" s="388"/>
    </row>
    <row r="88" spans="1:17" s="159" customFormat="1" ht="13.8" thickTop="1" x14ac:dyDescent="0.25">
      <c r="A88" s="392"/>
      <c r="B88" s="417"/>
      <c r="C88" s="393"/>
      <c r="D88" s="377"/>
      <c r="E88" s="259"/>
      <c r="F88" s="378"/>
      <c r="G88" s="534"/>
      <c r="H88" s="380"/>
      <c r="I88" s="378"/>
      <c r="J88" s="394" t="s">
        <v>30</v>
      </c>
      <c r="K88" s="537">
        <f>SUM(K82:K87)</f>
        <v>0</v>
      </c>
      <c r="M88" s="282"/>
      <c r="N88" s="157"/>
      <c r="O88" s="386"/>
      <c r="P88" s="387"/>
      <c r="Q88" s="388"/>
    </row>
    <row r="89" spans="1:17" s="159" customFormat="1" ht="13.8" thickBot="1" x14ac:dyDescent="0.3">
      <c r="A89" s="358" t="s">
        <v>0</v>
      </c>
      <c r="B89" s="359" t="s">
        <v>1</v>
      </c>
      <c r="C89" s="1018" t="s">
        <v>656</v>
      </c>
      <c r="D89" s="1018"/>
      <c r="E89" s="1018"/>
      <c r="F89" s="1018"/>
      <c r="G89" s="1018" t="s">
        <v>34</v>
      </c>
      <c r="H89" s="1018"/>
      <c r="I89" s="1018"/>
      <c r="J89" s="360"/>
      <c r="K89" s="528"/>
      <c r="L89" s="396"/>
      <c r="M89" s="397"/>
      <c r="N89" s="398"/>
      <c r="O89" s="386"/>
      <c r="P89" s="387"/>
      <c r="Q89" s="388"/>
    </row>
    <row r="90" spans="1:17" s="159" customFormat="1" ht="16.2" thickBot="1" x14ac:dyDescent="0.35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8" t="s">
        <v>14</v>
      </c>
      <c r="H90" s="403" t="s">
        <v>35</v>
      </c>
      <c r="I90" s="404" t="s">
        <v>30</v>
      </c>
      <c r="J90" s="369" t="s">
        <v>659</v>
      </c>
      <c r="K90" s="539" t="s">
        <v>38</v>
      </c>
      <c r="L90" s="407"/>
      <c r="M90" s="408"/>
      <c r="N90" s="409"/>
      <c r="O90" s="386"/>
      <c r="P90" s="387"/>
      <c r="Q90" s="388"/>
    </row>
    <row r="91" spans="1:17" s="159" customFormat="1" x14ac:dyDescent="0.25">
      <c r="A91" s="410"/>
      <c r="B91" s="411"/>
      <c r="C91" s="376"/>
      <c r="D91" s="377" t="s">
        <v>21</v>
      </c>
      <c r="E91" s="259">
        <v>0</v>
      </c>
      <c r="F91" s="378">
        <f>C91*E91</f>
        <v>0</v>
      </c>
      <c r="G91" s="534"/>
      <c r="H91" s="380">
        <v>0</v>
      </c>
      <c r="I91" s="378">
        <f>G91*H91</f>
        <v>0</v>
      </c>
      <c r="J91" s="381"/>
      <c r="K91" s="535">
        <f>F91+I91+J91</f>
        <v>0</v>
      </c>
      <c r="L91" s="383"/>
      <c r="M91" s="384"/>
      <c r="N91" s="385"/>
      <c r="O91" s="386"/>
      <c r="P91" s="387"/>
      <c r="Q91" s="388"/>
    </row>
    <row r="92" spans="1:17" s="159" customFormat="1" x14ac:dyDescent="0.25">
      <c r="A92" s="375"/>
      <c r="B92" s="5"/>
      <c r="C92" s="376"/>
      <c r="D92" s="377" t="s">
        <v>21</v>
      </c>
      <c r="E92" s="259">
        <v>0</v>
      </c>
      <c r="F92" s="378">
        <f>C92*E92</f>
        <v>0</v>
      </c>
      <c r="G92" s="534"/>
      <c r="H92" s="380">
        <v>0</v>
      </c>
      <c r="I92" s="378">
        <f>G92*H92</f>
        <v>0</v>
      </c>
      <c r="J92" s="381"/>
      <c r="K92" s="535">
        <f>F92+I92+J92</f>
        <v>0</v>
      </c>
      <c r="L92" s="670"/>
      <c r="M92" s="671"/>
      <c r="N92" s="672"/>
      <c r="O92" s="386"/>
      <c r="P92" s="387"/>
      <c r="Q92" s="388"/>
    </row>
    <row r="93" spans="1:17" s="159" customFormat="1" x14ac:dyDescent="0.25">
      <c r="A93" s="375"/>
      <c r="B93" s="5"/>
      <c r="C93" s="376"/>
      <c r="D93" s="377" t="s">
        <v>21</v>
      </c>
      <c r="E93" s="259">
        <v>0</v>
      </c>
      <c r="F93" s="378">
        <f>C93*E93</f>
        <v>0</v>
      </c>
      <c r="G93" s="534"/>
      <c r="H93" s="380">
        <v>0</v>
      </c>
      <c r="I93" s="378">
        <f>G93*H93</f>
        <v>0</v>
      </c>
      <c r="J93" s="381"/>
      <c r="K93" s="535">
        <f>F93+I93+J93</f>
        <v>0</v>
      </c>
      <c r="L93" s="670"/>
      <c r="M93" s="671"/>
      <c r="N93" s="673"/>
      <c r="O93" s="386"/>
      <c r="P93" s="387"/>
      <c r="Q93" s="388"/>
    </row>
    <row r="94" spans="1:17" s="159" customFormat="1" x14ac:dyDescent="0.25">
      <c r="A94" s="375"/>
      <c r="B94" s="5"/>
      <c r="C94" s="376"/>
      <c r="D94" s="377" t="s">
        <v>21</v>
      </c>
      <c r="E94" s="259">
        <v>0</v>
      </c>
      <c r="F94" s="378">
        <f>C94*E94</f>
        <v>0</v>
      </c>
      <c r="G94" s="534"/>
      <c r="H94" s="380">
        <v>0</v>
      </c>
      <c r="I94" s="378">
        <f>G94*H94</f>
        <v>0</v>
      </c>
      <c r="J94" s="381"/>
      <c r="K94" s="535">
        <f>F94+I94+J94</f>
        <v>0</v>
      </c>
      <c r="L94" s="670"/>
      <c r="M94" s="671"/>
      <c r="N94" s="673"/>
      <c r="O94" s="386"/>
      <c r="P94" s="387"/>
      <c r="Q94" s="388"/>
    </row>
    <row r="95" spans="1:17" s="159" customFormat="1" ht="13.8" thickBot="1" x14ac:dyDescent="0.3">
      <c r="A95" s="392"/>
      <c r="B95" s="417"/>
      <c r="C95" s="376"/>
      <c r="D95" s="377"/>
      <c r="E95" s="259"/>
      <c r="F95" s="378"/>
      <c r="G95" s="534"/>
      <c r="H95" s="380"/>
      <c r="I95" s="378"/>
      <c r="J95" s="381"/>
      <c r="K95" s="535"/>
      <c r="L95" s="670"/>
      <c r="M95" s="671"/>
      <c r="N95" s="673"/>
      <c r="O95" s="386"/>
      <c r="P95" s="387"/>
      <c r="Q95" s="388"/>
    </row>
    <row r="96" spans="1:17" s="159" customFormat="1" ht="14.4" thickTop="1" thickBot="1" x14ac:dyDescent="0.3">
      <c r="A96" s="475"/>
      <c r="B96" s="156"/>
      <c r="C96" s="476"/>
      <c r="D96" s="477"/>
      <c r="E96" s="478"/>
      <c r="F96" s="479"/>
      <c r="G96" s="638"/>
      <c r="H96" s="478"/>
      <c r="I96" s="479"/>
      <c r="J96" s="481" t="s">
        <v>30</v>
      </c>
      <c r="K96" s="639">
        <f>SUM(K91:K95)</f>
        <v>0</v>
      </c>
      <c r="L96" s="670"/>
      <c r="M96" s="671"/>
      <c r="N96" s="673"/>
      <c r="O96" s="386"/>
      <c r="P96" s="387"/>
      <c r="Q96" s="388"/>
    </row>
    <row r="97" spans="1:17" s="159" customFormat="1" ht="14.1" customHeight="1" thickBot="1" x14ac:dyDescent="0.3">
      <c r="A97" s="483"/>
      <c r="B97" s="484"/>
      <c r="C97" s="485"/>
      <c r="D97" s="485"/>
      <c r="E97" s="486"/>
      <c r="F97" s="1048" t="s">
        <v>658</v>
      </c>
      <c r="G97" s="1071" t="s">
        <v>684</v>
      </c>
      <c r="H97" s="486"/>
      <c r="I97" s="1041" t="s">
        <v>657</v>
      </c>
      <c r="J97" s="1037" t="s">
        <v>685</v>
      </c>
      <c r="K97" s="1035" t="s">
        <v>31</v>
      </c>
      <c r="L97" s="674"/>
      <c r="M97" s="675"/>
      <c r="N97" s="676"/>
      <c r="O97" s="465"/>
      <c r="P97" s="466"/>
      <c r="Q97" s="467"/>
    </row>
    <row r="98" spans="1:17" s="159" customFormat="1" ht="14.4" thickTop="1" x14ac:dyDescent="0.25">
      <c r="A98" s="487" t="s">
        <v>32</v>
      </c>
      <c r="B98" s="1043" t="s">
        <v>668</v>
      </c>
      <c r="C98" s="488"/>
      <c r="D98" s="489"/>
      <c r="E98" s="489"/>
      <c r="F98" s="1049"/>
      <c r="G98" s="1072"/>
      <c r="H98" s="490"/>
      <c r="I98" s="1042"/>
      <c r="J98" s="1038"/>
      <c r="K98" s="1036"/>
      <c r="M98" s="282"/>
      <c r="N98" s="157"/>
      <c r="O98" s="308"/>
      <c r="P98" s="308"/>
    </row>
    <row r="99" spans="1:17" s="159" customFormat="1" ht="13.8" x14ac:dyDescent="0.25">
      <c r="A99" s="829">
        <f>K99/E6</f>
        <v>0</v>
      </c>
      <c r="B99" s="1043"/>
      <c r="C99" s="489"/>
      <c r="D99" s="489"/>
      <c r="E99" s="489"/>
      <c r="F99" s="1031">
        <f>SUM(F91:F95,F82:F87,F75:F78,F66:F71,F55:F61,F46:F51,F38:F42,F27:F34,F11:F23)</f>
        <v>0</v>
      </c>
      <c r="G99" s="1076">
        <f>SUM(G91:G95,G82:G87,G75:G78,G66:G71,G55:G61,G46:G51,G38:G42,G27:G34,G11:G23)</f>
        <v>0</v>
      </c>
      <c r="H99" s="490"/>
      <c r="I99" s="1031">
        <f>SUM(I91:I95,I82:I87,I75:I78,I66:I71,I55:I61,I46:I51,I38:I42,I27:I34,I11:I23)</f>
        <v>0</v>
      </c>
      <c r="J99" s="1031">
        <f>SUM(J91:J95,J82:J87,J75:J78,J66:J71,J55:J61,J46:J51,J38:J42,J27:J34,J11:J23)</f>
        <v>0</v>
      </c>
      <c r="K99" s="1033">
        <f>SUM(K96,K88,K79,K72,K63,K52,K43,K35,K24)</f>
        <v>0</v>
      </c>
      <c r="M99" s="282"/>
      <c r="N99" s="157"/>
      <c r="O99" s="308"/>
      <c r="P99" s="308"/>
    </row>
    <row r="100" spans="1:17" s="159" customFormat="1" ht="14.4" thickBot="1" x14ac:dyDescent="0.3">
      <c r="A100" s="487"/>
      <c r="B100" s="555"/>
      <c r="C100" s="493"/>
      <c r="D100" s="493"/>
      <c r="E100" s="493"/>
      <c r="F100" s="1032"/>
      <c r="G100" s="1077"/>
      <c r="H100" s="493"/>
      <c r="I100" s="1032"/>
      <c r="J100" s="1032"/>
      <c r="K100" s="1034"/>
      <c r="M100" s="282"/>
      <c r="N100" s="157"/>
      <c r="O100" s="308"/>
      <c r="P100" s="308"/>
    </row>
    <row r="101" spans="1:17" s="159" customFormat="1" ht="13.8" thickBot="1" x14ac:dyDescent="0.3">
      <c r="A101" s="494"/>
      <c r="B101" s="495"/>
      <c r="C101" s="495"/>
      <c r="D101" s="495"/>
      <c r="E101" s="495"/>
      <c r="F101" s="495"/>
      <c r="G101" s="495"/>
      <c r="H101" s="495"/>
      <c r="I101" s="495"/>
      <c r="J101" s="495"/>
      <c r="K101" s="496"/>
      <c r="M101" s="282"/>
      <c r="N101" s="157"/>
      <c r="O101" s="308"/>
      <c r="P101" s="308"/>
    </row>
    <row r="102" spans="1:17" s="159" customFormat="1" x14ac:dyDescent="0.25">
      <c r="C102" s="658"/>
      <c r="D102" s="658"/>
      <c r="M102" s="282"/>
      <c r="N102" s="157"/>
      <c r="O102" s="308"/>
      <c r="P102" s="308"/>
    </row>
    <row r="103" spans="1:17" s="159" customFormat="1" x14ac:dyDescent="0.25">
      <c r="C103" s="658"/>
      <c r="D103" s="658"/>
      <c r="M103" s="282"/>
      <c r="N103" s="157"/>
      <c r="O103" s="308"/>
      <c r="P103" s="308"/>
    </row>
    <row r="104" spans="1:17" s="159" customFormat="1" x14ac:dyDescent="0.25">
      <c r="C104" s="658"/>
      <c r="D104" s="658"/>
      <c r="M104" s="282"/>
      <c r="N104" s="157"/>
      <c r="O104" s="308"/>
      <c r="P104" s="308"/>
    </row>
    <row r="105" spans="1:17" s="159" customFormat="1" x14ac:dyDescent="0.25">
      <c r="C105" s="658"/>
      <c r="D105" s="658"/>
      <c r="M105" s="282"/>
      <c r="N105" s="157"/>
      <c r="O105" s="308"/>
      <c r="P105" s="308"/>
    </row>
    <row r="106" spans="1:17" s="159" customFormat="1" x14ac:dyDescent="0.25">
      <c r="C106" s="658"/>
      <c r="D106" s="658"/>
      <c r="M106" s="282"/>
      <c r="N106" s="157"/>
      <c r="O106" s="308"/>
      <c r="P106" s="308"/>
    </row>
    <row r="107" spans="1:17" s="159" customFormat="1" x14ac:dyDescent="0.25">
      <c r="C107" s="658"/>
      <c r="D107" s="658"/>
      <c r="M107" s="282"/>
      <c r="N107" s="157"/>
      <c r="O107" s="308"/>
      <c r="P107" s="308"/>
    </row>
    <row r="108" spans="1:17" s="159" customFormat="1" x14ac:dyDescent="0.25">
      <c r="C108" s="658"/>
      <c r="D108" s="658"/>
      <c r="M108" s="282"/>
      <c r="N108" s="157"/>
      <c r="O108" s="308"/>
      <c r="P108" s="308"/>
    </row>
    <row r="109" spans="1:17" s="159" customFormat="1" x14ac:dyDescent="0.25">
      <c r="C109" s="658"/>
      <c r="D109" s="658"/>
      <c r="M109" s="282"/>
      <c r="N109" s="157"/>
      <c r="O109" s="308"/>
      <c r="P109" s="308"/>
    </row>
    <row r="110" spans="1:17" s="159" customFormat="1" x14ac:dyDescent="0.25">
      <c r="C110" s="658"/>
      <c r="D110" s="658"/>
      <c r="M110" s="282"/>
      <c r="N110" s="157"/>
      <c r="O110" s="308"/>
      <c r="P110" s="308"/>
    </row>
    <row r="111" spans="1:17" s="159" customFormat="1" x14ac:dyDescent="0.25">
      <c r="C111" s="658"/>
      <c r="D111" s="658"/>
      <c r="M111" s="282"/>
      <c r="N111" s="157"/>
      <c r="O111" s="308"/>
      <c r="P111" s="308"/>
    </row>
    <row r="112" spans="1:17" s="159" customFormat="1" x14ac:dyDescent="0.25">
      <c r="C112" s="658"/>
      <c r="D112" s="658"/>
      <c r="M112" s="282"/>
      <c r="N112" s="157"/>
      <c r="O112" s="308"/>
      <c r="P112" s="308"/>
    </row>
    <row r="113" spans="3:16" s="159" customFormat="1" x14ac:dyDescent="0.25">
      <c r="C113" s="658"/>
      <c r="D113" s="658"/>
      <c r="M113" s="282"/>
      <c r="N113" s="157"/>
      <c r="O113" s="308"/>
      <c r="P113" s="308"/>
    </row>
    <row r="114" spans="3:16" s="159" customFormat="1" x14ac:dyDescent="0.25">
      <c r="C114" s="658"/>
      <c r="D114" s="658"/>
      <c r="M114" s="282"/>
      <c r="N114" s="157"/>
      <c r="O114" s="308"/>
      <c r="P114" s="308"/>
    </row>
    <row r="115" spans="3:16" s="159" customFormat="1" x14ac:dyDescent="0.25">
      <c r="C115" s="658"/>
      <c r="D115" s="658"/>
      <c r="M115" s="282"/>
      <c r="N115" s="157"/>
      <c r="O115" s="308"/>
      <c r="P115" s="308"/>
    </row>
    <row r="116" spans="3:16" s="159" customFormat="1" x14ac:dyDescent="0.25">
      <c r="C116" s="658"/>
      <c r="D116" s="658"/>
      <c r="M116" s="282"/>
      <c r="N116" s="157"/>
      <c r="O116" s="308"/>
      <c r="P116" s="308"/>
    </row>
    <row r="117" spans="3:16" s="159" customFormat="1" x14ac:dyDescent="0.25">
      <c r="C117" s="658"/>
      <c r="D117" s="658"/>
      <c r="M117" s="282"/>
      <c r="N117" s="157"/>
      <c r="O117" s="308"/>
      <c r="P117" s="308"/>
    </row>
    <row r="118" spans="3:16" s="159" customFormat="1" x14ac:dyDescent="0.25">
      <c r="C118" s="658"/>
      <c r="D118" s="658"/>
      <c r="M118" s="282"/>
      <c r="N118" s="157"/>
      <c r="O118" s="308"/>
      <c r="P118" s="308"/>
    </row>
    <row r="119" spans="3:16" s="159" customFormat="1" x14ac:dyDescent="0.25">
      <c r="C119" s="658"/>
      <c r="D119" s="658"/>
      <c r="M119" s="282"/>
      <c r="N119" s="157"/>
      <c r="O119" s="308"/>
      <c r="P119" s="308"/>
    </row>
    <row r="120" spans="3:16" s="159" customFormat="1" x14ac:dyDescent="0.25">
      <c r="C120" s="658"/>
      <c r="D120" s="658"/>
      <c r="M120" s="282"/>
      <c r="N120" s="157"/>
      <c r="O120" s="308"/>
      <c r="P120" s="308"/>
    </row>
    <row r="121" spans="3:16" s="159" customFormat="1" x14ac:dyDescent="0.25">
      <c r="C121" s="658"/>
      <c r="D121" s="658"/>
      <c r="M121" s="282"/>
      <c r="N121" s="157"/>
      <c r="O121" s="308"/>
      <c r="P121" s="308"/>
    </row>
    <row r="122" spans="3:16" s="159" customFormat="1" x14ac:dyDescent="0.25">
      <c r="C122" s="658"/>
      <c r="D122" s="658"/>
      <c r="M122" s="282"/>
      <c r="N122" s="157"/>
      <c r="O122" s="308"/>
      <c r="P122" s="308"/>
    </row>
    <row r="123" spans="3:16" s="159" customFormat="1" x14ac:dyDescent="0.25">
      <c r="C123" s="658"/>
      <c r="D123" s="658"/>
      <c r="M123" s="282"/>
      <c r="N123" s="157"/>
      <c r="O123" s="308"/>
      <c r="P123" s="308"/>
    </row>
    <row r="124" spans="3:16" s="159" customFormat="1" x14ac:dyDescent="0.25">
      <c r="C124" s="658"/>
      <c r="D124" s="658"/>
      <c r="M124" s="282"/>
      <c r="N124" s="157"/>
      <c r="O124" s="308"/>
      <c r="P124" s="308"/>
    </row>
    <row r="125" spans="3:16" s="159" customFormat="1" x14ac:dyDescent="0.25">
      <c r="C125" s="658"/>
      <c r="D125" s="658"/>
      <c r="M125" s="282"/>
      <c r="N125" s="157"/>
      <c r="O125" s="308"/>
      <c r="P125" s="308"/>
    </row>
    <row r="126" spans="3:16" s="159" customFormat="1" x14ac:dyDescent="0.25">
      <c r="C126" s="658"/>
      <c r="D126" s="658"/>
      <c r="M126" s="282"/>
      <c r="N126" s="157"/>
      <c r="O126" s="308"/>
      <c r="P126" s="308"/>
    </row>
    <row r="127" spans="3:16" s="159" customFormat="1" x14ac:dyDescent="0.25">
      <c r="C127" s="658"/>
      <c r="D127" s="658"/>
      <c r="M127" s="282"/>
      <c r="N127" s="157"/>
      <c r="O127" s="308"/>
      <c r="P127" s="308"/>
    </row>
    <row r="128" spans="3:16" s="159" customFormat="1" x14ac:dyDescent="0.25">
      <c r="C128" s="658"/>
      <c r="D128" s="658"/>
      <c r="M128" s="282"/>
      <c r="N128" s="157"/>
      <c r="O128" s="308"/>
      <c r="P128" s="308"/>
    </row>
    <row r="129" spans="3:16" s="159" customFormat="1" x14ac:dyDescent="0.25">
      <c r="C129" s="658"/>
      <c r="D129" s="658"/>
      <c r="M129" s="282"/>
      <c r="N129" s="157"/>
      <c r="O129" s="308"/>
      <c r="P129" s="308"/>
    </row>
    <row r="130" spans="3:16" s="159" customFormat="1" x14ac:dyDescent="0.25">
      <c r="C130" s="658"/>
      <c r="D130" s="658"/>
      <c r="M130" s="282"/>
      <c r="N130" s="157"/>
      <c r="O130" s="308"/>
      <c r="P130" s="308"/>
    </row>
    <row r="131" spans="3:16" s="159" customFormat="1" x14ac:dyDescent="0.25">
      <c r="C131" s="658"/>
      <c r="D131" s="658"/>
      <c r="M131" s="282"/>
      <c r="N131" s="157"/>
      <c r="O131" s="308"/>
      <c r="P131" s="308"/>
    </row>
    <row r="132" spans="3:16" s="159" customFormat="1" x14ac:dyDescent="0.25">
      <c r="C132" s="658"/>
      <c r="D132" s="658"/>
      <c r="M132" s="282"/>
      <c r="N132" s="157"/>
      <c r="O132" s="308"/>
      <c r="P132" s="308"/>
    </row>
    <row r="133" spans="3:16" s="159" customFormat="1" x14ac:dyDescent="0.25">
      <c r="C133" s="658"/>
      <c r="D133" s="658"/>
      <c r="M133" s="282"/>
      <c r="N133" s="157"/>
      <c r="O133" s="308"/>
      <c r="P133" s="308"/>
    </row>
    <row r="134" spans="3:16" s="159" customFormat="1" x14ac:dyDescent="0.25">
      <c r="C134" s="658"/>
      <c r="D134" s="658"/>
      <c r="M134" s="282"/>
      <c r="N134" s="157"/>
      <c r="O134" s="308"/>
      <c r="P134" s="308"/>
    </row>
    <row r="135" spans="3:16" s="159" customFormat="1" x14ac:dyDescent="0.25">
      <c r="C135" s="658"/>
      <c r="D135" s="658"/>
      <c r="M135" s="282"/>
      <c r="N135" s="157"/>
      <c r="O135" s="308"/>
      <c r="P135" s="308"/>
    </row>
    <row r="136" spans="3:16" s="159" customFormat="1" x14ac:dyDescent="0.25">
      <c r="C136" s="658"/>
      <c r="D136" s="658"/>
      <c r="M136" s="282"/>
      <c r="N136" s="157"/>
      <c r="O136" s="308"/>
      <c r="P136" s="308"/>
    </row>
    <row r="137" spans="3:16" s="159" customFormat="1" x14ac:dyDescent="0.25">
      <c r="C137" s="658"/>
      <c r="D137" s="658"/>
      <c r="M137" s="282"/>
      <c r="N137" s="157"/>
      <c r="O137" s="308"/>
      <c r="P137" s="308"/>
    </row>
    <row r="138" spans="3:16" s="159" customFormat="1" x14ac:dyDescent="0.25">
      <c r="C138" s="658"/>
      <c r="D138" s="658"/>
      <c r="M138" s="282"/>
      <c r="N138" s="157"/>
      <c r="O138" s="308"/>
      <c r="P138" s="308"/>
    </row>
    <row r="139" spans="3:16" s="159" customFormat="1" x14ac:dyDescent="0.25">
      <c r="C139" s="658"/>
      <c r="D139" s="658"/>
      <c r="M139" s="282"/>
      <c r="N139" s="157"/>
      <c r="O139" s="308"/>
      <c r="P139" s="308"/>
    </row>
    <row r="140" spans="3:16" s="159" customFormat="1" x14ac:dyDescent="0.25">
      <c r="C140" s="658"/>
      <c r="D140" s="658"/>
      <c r="M140" s="282"/>
      <c r="N140" s="157"/>
      <c r="O140" s="308"/>
      <c r="P140" s="308"/>
    </row>
    <row r="141" spans="3:16" s="159" customFormat="1" x14ac:dyDescent="0.25">
      <c r="C141" s="658"/>
      <c r="D141" s="658"/>
      <c r="M141" s="282"/>
      <c r="N141" s="157"/>
      <c r="O141" s="308"/>
      <c r="P141" s="308"/>
    </row>
    <row r="142" spans="3:16" s="159" customFormat="1" x14ac:dyDescent="0.25">
      <c r="C142" s="658"/>
      <c r="D142" s="658"/>
      <c r="M142" s="282"/>
      <c r="N142" s="157"/>
      <c r="O142" s="308"/>
      <c r="P142" s="308"/>
    </row>
    <row r="143" spans="3:16" s="159" customFormat="1" x14ac:dyDescent="0.25">
      <c r="C143" s="658"/>
      <c r="D143" s="658"/>
      <c r="M143" s="282"/>
      <c r="N143" s="157"/>
      <c r="O143" s="308"/>
      <c r="P143" s="308"/>
    </row>
    <row r="144" spans="3:16" s="159" customFormat="1" x14ac:dyDescent="0.25">
      <c r="C144" s="658"/>
      <c r="D144" s="658"/>
      <c r="M144" s="282"/>
      <c r="N144" s="157"/>
      <c r="O144" s="308"/>
      <c r="P144" s="308"/>
    </row>
    <row r="145" spans="3:16" s="159" customFormat="1" x14ac:dyDescent="0.25">
      <c r="C145" s="658"/>
      <c r="D145" s="658"/>
      <c r="M145" s="282"/>
      <c r="N145" s="157"/>
      <c r="O145" s="308"/>
      <c r="P145" s="308"/>
    </row>
    <row r="146" spans="3:16" s="159" customFormat="1" x14ac:dyDescent="0.25">
      <c r="C146" s="658"/>
      <c r="D146" s="658"/>
      <c r="M146" s="282"/>
      <c r="N146" s="157"/>
      <c r="O146" s="308"/>
      <c r="P146" s="308"/>
    </row>
    <row r="147" spans="3:16" s="159" customFormat="1" x14ac:dyDescent="0.25">
      <c r="C147" s="658"/>
      <c r="D147" s="658"/>
      <c r="M147" s="282"/>
      <c r="N147" s="157"/>
      <c r="O147" s="308"/>
      <c r="P147" s="308"/>
    </row>
    <row r="148" spans="3:16" s="159" customFormat="1" x14ac:dyDescent="0.25">
      <c r="C148" s="658"/>
      <c r="D148" s="658"/>
      <c r="M148" s="282"/>
      <c r="N148" s="157"/>
      <c r="O148" s="308"/>
      <c r="P148" s="308"/>
    </row>
    <row r="149" spans="3:16" s="159" customFormat="1" x14ac:dyDescent="0.25">
      <c r="C149" s="658"/>
      <c r="D149" s="658"/>
      <c r="M149" s="282"/>
      <c r="N149" s="157"/>
      <c r="O149" s="308"/>
      <c r="P149" s="308"/>
    </row>
    <row r="150" spans="3:16" s="159" customFormat="1" x14ac:dyDescent="0.25">
      <c r="C150" s="658"/>
      <c r="D150" s="658"/>
      <c r="M150" s="282"/>
      <c r="N150" s="157"/>
      <c r="O150" s="308"/>
      <c r="P150" s="308"/>
    </row>
    <row r="151" spans="3:16" s="159" customFormat="1" x14ac:dyDescent="0.25">
      <c r="C151" s="658"/>
      <c r="D151" s="658"/>
      <c r="M151" s="282"/>
      <c r="N151" s="157"/>
      <c r="O151" s="308"/>
      <c r="P151" s="308"/>
    </row>
    <row r="152" spans="3:16" s="159" customFormat="1" x14ac:dyDescent="0.25">
      <c r="C152" s="658"/>
      <c r="D152" s="658"/>
      <c r="M152" s="282"/>
      <c r="N152" s="157"/>
      <c r="O152" s="308"/>
      <c r="P152" s="308"/>
    </row>
    <row r="153" spans="3:16" s="159" customFormat="1" x14ac:dyDescent="0.25">
      <c r="C153" s="658"/>
      <c r="D153" s="658"/>
      <c r="M153" s="282"/>
      <c r="N153" s="157"/>
      <c r="O153" s="308"/>
      <c r="P153" s="308"/>
    </row>
    <row r="154" spans="3:16" s="159" customFormat="1" x14ac:dyDescent="0.25">
      <c r="C154" s="658"/>
      <c r="D154" s="658"/>
      <c r="M154" s="282"/>
      <c r="N154" s="157"/>
      <c r="O154" s="308"/>
      <c r="P154" s="308"/>
    </row>
    <row r="155" spans="3:16" s="159" customFormat="1" x14ac:dyDescent="0.25">
      <c r="C155" s="658"/>
      <c r="D155" s="658"/>
      <c r="M155" s="282"/>
      <c r="N155" s="157"/>
      <c r="O155" s="308"/>
      <c r="P155" s="308"/>
    </row>
    <row r="156" spans="3:16" s="159" customFormat="1" x14ac:dyDescent="0.25">
      <c r="C156" s="658"/>
      <c r="D156" s="658"/>
      <c r="M156" s="282"/>
      <c r="N156" s="157"/>
      <c r="O156" s="308"/>
      <c r="P156" s="308"/>
    </row>
    <row r="157" spans="3:16" s="159" customFormat="1" x14ac:dyDescent="0.25">
      <c r="C157" s="658"/>
      <c r="D157" s="658"/>
      <c r="M157" s="282"/>
      <c r="N157" s="157"/>
      <c r="O157" s="308"/>
      <c r="P157" s="308"/>
    </row>
    <row r="158" spans="3:16" s="159" customFormat="1" x14ac:dyDescent="0.25">
      <c r="C158" s="658"/>
      <c r="D158" s="658"/>
      <c r="M158" s="282"/>
      <c r="N158" s="157"/>
      <c r="O158" s="308"/>
      <c r="P158" s="308"/>
    </row>
    <row r="159" spans="3:16" s="159" customFormat="1" x14ac:dyDescent="0.25">
      <c r="C159" s="658"/>
      <c r="D159" s="658"/>
      <c r="M159" s="282"/>
      <c r="N159" s="157"/>
      <c r="O159" s="308"/>
      <c r="P159" s="308"/>
    </row>
    <row r="160" spans="3:16" s="159" customFormat="1" x14ac:dyDescent="0.25">
      <c r="C160" s="658"/>
      <c r="D160" s="658"/>
      <c r="M160" s="282"/>
      <c r="N160" s="157"/>
      <c r="O160" s="308"/>
      <c r="P160" s="308"/>
    </row>
    <row r="161" spans="3:16" s="159" customFormat="1" x14ac:dyDescent="0.25">
      <c r="C161" s="658"/>
      <c r="D161" s="658"/>
      <c r="M161" s="282"/>
      <c r="N161" s="157"/>
      <c r="O161" s="308"/>
      <c r="P161" s="308"/>
    </row>
    <row r="162" spans="3:16" s="159" customFormat="1" x14ac:dyDescent="0.25">
      <c r="C162" s="658"/>
      <c r="D162" s="658"/>
      <c r="M162" s="282"/>
      <c r="N162" s="157"/>
      <c r="O162" s="308"/>
      <c r="P162" s="308"/>
    </row>
    <row r="163" spans="3:16" s="159" customFormat="1" x14ac:dyDescent="0.25">
      <c r="C163" s="658"/>
      <c r="D163" s="658"/>
      <c r="M163" s="282"/>
      <c r="N163" s="157"/>
      <c r="O163" s="308"/>
      <c r="P163" s="308"/>
    </row>
    <row r="164" spans="3:16" s="159" customFormat="1" x14ac:dyDescent="0.25">
      <c r="C164" s="658"/>
      <c r="D164" s="658"/>
      <c r="M164" s="282"/>
      <c r="N164" s="157"/>
      <c r="O164" s="308"/>
      <c r="P164" s="308"/>
    </row>
    <row r="165" spans="3:16" s="159" customFormat="1" x14ac:dyDescent="0.25">
      <c r="C165" s="658"/>
      <c r="D165" s="658"/>
      <c r="M165" s="282"/>
      <c r="N165" s="157"/>
      <c r="O165" s="308"/>
      <c r="P165" s="308"/>
    </row>
    <row r="166" spans="3:16" s="159" customFormat="1" x14ac:dyDescent="0.25">
      <c r="C166" s="658"/>
      <c r="D166" s="658"/>
      <c r="M166" s="282"/>
      <c r="N166" s="157"/>
      <c r="O166" s="308"/>
      <c r="P166" s="308"/>
    </row>
    <row r="167" spans="3:16" s="159" customFormat="1" x14ac:dyDescent="0.25">
      <c r="C167" s="658"/>
      <c r="D167" s="658"/>
      <c r="M167" s="282"/>
      <c r="N167" s="157"/>
      <c r="O167" s="308"/>
      <c r="P167" s="308"/>
    </row>
    <row r="168" spans="3:16" s="159" customFormat="1" x14ac:dyDescent="0.25">
      <c r="C168" s="658"/>
      <c r="D168" s="658"/>
      <c r="M168" s="282"/>
      <c r="N168" s="157"/>
      <c r="O168" s="308"/>
      <c r="P168" s="308"/>
    </row>
    <row r="169" spans="3:16" s="159" customFormat="1" x14ac:dyDescent="0.25">
      <c r="C169" s="658"/>
      <c r="D169" s="658"/>
      <c r="M169" s="282"/>
      <c r="N169" s="157"/>
      <c r="O169" s="308"/>
      <c r="P169" s="308"/>
    </row>
    <row r="170" spans="3:16" s="159" customFormat="1" x14ac:dyDescent="0.25">
      <c r="C170" s="658"/>
      <c r="D170" s="658"/>
      <c r="M170" s="282"/>
      <c r="N170" s="157"/>
      <c r="O170" s="308"/>
      <c r="P170" s="308"/>
    </row>
    <row r="171" spans="3:16" s="159" customFormat="1" x14ac:dyDescent="0.25">
      <c r="C171" s="658"/>
      <c r="D171" s="658"/>
      <c r="M171" s="282"/>
      <c r="N171" s="157"/>
      <c r="O171" s="308"/>
      <c r="P171" s="308"/>
    </row>
    <row r="172" spans="3:16" s="159" customFormat="1" x14ac:dyDescent="0.25">
      <c r="C172" s="658"/>
      <c r="D172" s="658"/>
      <c r="M172" s="282"/>
      <c r="N172" s="157"/>
      <c r="O172" s="308"/>
      <c r="P172" s="308"/>
    </row>
    <row r="173" spans="3:16" s="159" customFormat="1" x14ac:dyDescent="0.25">
      <c r="C173" s="658"/>
      <c r="D173" s="658"/>
      <c r="M173" s="282"/>
      <c r="N173" s="157"/>
      <c r="O173" s="308"/>
      <c r="P173" s="308"/>
    </row>
    <row r="174" spans="3:16" s="159" customFormat="1" x14ac:dyDescent="0.25">
      <c r="C174" s="658"/>
      <c r="D174" s="658"/>
      <c r="M174" s="282"/>
      <c r="N174" s="157"/>
      <c r="O174" s="308"/>
      <c r="P174" s="308"/>
    </row>
    <row r="175" spans="3:16" s="159" customFormat="1" x14ac:dyDescent="0.25">
      <c r="C175" s="658"/>
      <c r="D175" s="658"/>
      <c r="M175" s="282"/>
      <c r="N175" s="157"/>
      <c r="O175" s="308"/>
      <c r="P175" s="308"/>
    </row>
    <row r="176" spans="3:16" s="159" customFormat="1" x14ac:dyDescent="0.25">
      <c r="C176" s="658"/>
      <c r="D176" s="658"/>
      <c r="M176" s="282"/>
      <c r="N176" s="157"/>
      <c r="O176" s="308"/>
      <c r="P176" s="308"/>
    </row>
    <row r="177" spans="3:16" s="159" customFormat="1" x14ac:dyDescent="0.25">
      <c r="C177" s="658"/>
      <c r="D177" s="658"/>
      <c r="M177" s="282"/>
      <c r="N177" s="157"/>
      <c r="O177" s="308"/>
      <c r="P177" s="308"/>
    </row>
    <row r="178" spans="3:16" s="159" customFormat="1" x14ac:dyDescent="0.25">
      <c r="C178" s="658"/>
      <c r="D178" s="658"/>
      <c r="M178" s="282"/>
      <c r="N178" s="157"/>
      <c r="O178" s="308"/>
      <c r="P178" s="308"/>
    </row>
    <row r="179" spans="3:16" s="159" customFormat="1" x14ac:dyDescent="0.25">
      <c r="C179" s="658"/>
      <c r="D179" s="658"/>
      <c r="M179" s="282"/>
      <c r="N179" s="157"/>
      <c r="O179" s="308"/>
      <c r="P179" s="308"/>
    </row>
    <row r="180" spans="3:16" s="159" customFormat="1" x14ac:dyDescent="0.25">
      <c r="C180" s="658"/>
      <c r="D180" s="658"/>
      <c r="M180" s="282"/>
      <c r="N180" s="157"/>
      <c r="O180" s="308"/>
      <c r="P180" s="308"/>
    </row>
    <row r="181" spans="3:16" s="159" customFormat="1" x14ac:dyDescent="0.25">
      <c r="C181" s="658"/>
      <c r="D181" s="658"/>
      <c r="M181" s="282"/>
      <c r="N181" s="157"/>
      <c r="O181" s="308"/>
      <c r="P181" s="308"/>
    </row>
    <row r="182" spans="3:16" s="159" customFormat="1" x14ac:dyDescent="0.25">
      <c r="C182" s="658"/>
      <c r="D182" s="658"/>
      <c r="M182" s="282"/>
      <c r="N182" s="157"/>
      <c r="O182" s="308"/>
      <c r="P182" s="308"/>
    </row>
    <row r="183" spans="3:16" s="159" customFormat="1" x14ac:dyDescent="0.25">
      <c r="C183" s="658"/>
      <c r="D183" s="658"/>
      <c r="M183" s="282"/>
      <c r="N183" s="157"/>
      <c r="O183" s="308"/>
      <c r="P183" s="308"/>
    </row>
    <row r="184" spans="3:16" s="159" customFormat="1" x14ac:dyDescent="0.25">
      <c r="C184" s="658"/>
      <c r="D184" s="658"/>
      <c r="M184" s="282"/>
      <c r="N184" s="157"/>
      <c r="O184" s="308"/>
      <c r="P184" s="308"/>
    </row>
    <row r="185" spans="3:16" s="159" customFormat="1" x14ac:dyDescent="0.25">
      <c r="C185" s="658"/>
      <c r="D185" s="658"/>
      <c r="M185" s="282"/>
      <c r="N185" s="157"/>
      <c r="O185" s="308"/>
      <c r="P185" s="308"/>
    </row>
    <row r="186" spans="3:16" s="159" customFormat="1" x14ac:dyDescent="0.25">
      <c r="C186" s="658"/>
      <c r="D186" s="658"/>
      <c r="M186" s="282"/>
      <c r="N186" s="157"/>
      <c r="O186" s="308"/>
      <c r="P186" s="308"/>
    </row>
    <row r="187" spans="3:16" s="159" customFormat="1" x14ac:dyDescent="0.25">
      <c r="C187" s="658"/>
      <c r="D187" s="658"/>
      <c r="M187" s="282"/>
      <c r="N187" s="157"/>
      <c r="O187" s="308"/>
      <c r="P187" s="308"/>
    </row>
    <row r="188" spans="3:16" s="159" customFormat="1" x14ac:dyDescent="0.25">
      <c r="C188" s="658"/>
      <c r="D188" s="658"/>
      <c r="M188" s="282"/>
      <c r="N188" s="157"/>
      <c r="O188" s="308"/>
      <c r="P188" s="308"/>
    </row>
    <row r="189" spans="3:16" s="159" customFormat="1" x14ac:dyDescent="0.25">
      <c r="C189" s="658"/>
      <c r="D189" s="658"/>
      <c r="M189" s="282"/>
      <c r="N189" s="157"/>
      <c r="O189" s="308"/>
      <c r="P189" s="308"/>
    </row>
    <row r="190" spans="3:16" s="159" customFormat="1" x14ac:dyDescent="0.25">
      <c r="C190" s="658"/>
      <c r="D190" s="658"/>
      <c r="M190" s="282"/>
      <c r="N190" s="157"/>
      <c r="O190" s="308"/>
      <c r="P190" s="308"/>
    </row>
    <row r="191" spans="3:16" s="159" customFormat="1" x14ac:dyDescent="0.25">
      <c r="C191" s="658"/>
      <c r="D191" s="658"/>
      <c r="M191" s="282"/>
      <c r="N191" s="157"/>
      <c r="O191" s="308"/>
      <c r="P191" s="308"/>
    </row>
    <row r="192" spans="3:16" s="159" customFormat="1" x14ac:dyDescent="0.25">
      <c r="C192" s="658"/>
      <c r="D192" s="658"/>
      <c r="M192" s="282"/>
      <c r="N192" s="157"/>
      <c r="O192" s="308"/>
      <c r="P192" s="308"/>
    </row>
    <row r="193" spans="3:16" s="159" customFormat="1" x14ac:dyDescent="0.25">
      <c r="C193" s="658"/>
      <c r="D193" s="658"/>
      <c r="M193" s="282"/>
      <c r="N193" s="157"/>
      <c r="O193" s="308"/>
      <c r="P193" s="308"/>
    </row>
    <row r="194" spans="3:16" s="159" customFormat="1" x14ac:dyDescent="0.25">
      <c r="C194" s="658"/>
      <c r="D194" s="658"/>
      <c r="M194" s="282"/>
      <c r="N194" s="157"/>
      <c r="O194" s="308"/>
      <c r="P194" s="308"/>
    </row>
    <row r="195" spans="3:16" s="159" customFormat="1" x14ac:dyDescent="0.25">
      <c r="C195" s="658"/>
      <c r="D195" s="658"/>
      <c r="M195" s="282"/>
      <c r="N195" s="157"/>
      <c r="O195" s="308"/>
      <c r="P195" s="308"/>
    </row>
    <row r="196" spans="3:16" s="159" customFormat="1" x14ac:dyDescent="0.25">
      <c r="C196" s="658"/>
      <c r="D196" s="658"/>
      <c r="M196" s="282"/>
      <c r="N196" s="157"/>
      <c r="O196" s="308"/>
      <c r="P196" s="308"/>
    </row>
    <row r="197" spans="3:16" s="159" customFormat="1" x14ac:dyDescent="0.25">
      <c r="C197" s="658"/>
      <c r="D197" s="658"/>
      <c r="M197" s="282"/>
      <c r="N197" s="157"/>
      <c r="O197" s="308"/>
      <c r="P197" s="308"/>
    </row>
    <row r="198" spans="3:16" s="159" customFormat="1" x14ac:dyDescent="0.25">
      <c r="C198" s="658"/>
      <c r="D198" s="658"/>
      <c r="M198" s="282"/>
      <c r="N198" s="157"/>
      <c r="O198" s="308"/>
      <c r="P198" s="308"/>
    </row>
    <row r="199" spans="3:16" s="159" customFormat="1" x14ac:dyDescent="0.25">
      <c r="C199" s="658"/>
      <c r="D199" s="658"/>
      <c r="M199" s="282"/>
      <c r="N199" s="157"/>
      <c r="O199" s="308"/>
      <c r="P199" s="308"/>
    </row>
    <row r="200" spans="3:16" s="159" customFormat="1" x14ac:dyDescent="0.25">
      <c r="C200" s="658"/>
      <c r="D200" s="658"/>
      <c r="M200" s="282"/>
      <c r="N200" s="157"/>
      <c r="O200" s="308"/>
      <c r="P200" s="308"/>
    </row>
    <row r="201" spans="3:16" s="159" customFormat="1" x14ac:dyDescent="0.25">
      <c r="C201" s="658"/>
      <c r="D201" s="658"/>
      <c r="M201" s="282"/>
      <c r="N201" s="157"/>
      <c r="O201" s="308"/>
      <c r="P201" s="308"/>
    </row>
    <row r="202" spans="3:16" s="159" customFormat="1" x14ac:dyDescent="0.25">
      <c r="C202" s="658"/>
      <c r="D202" s="658"/>
      <c r="M202" s="282"/>
      <c r="N202" s="157"/>
      <c r="O202" s="308"/>
      <c r="P202" s="308"/>
    </row>
    <row r="203" spans="3:16" s="159" customFormat="1" x14ac:dyDescent="0.25">
      <c r="C203" s="658"/>
      <c r="D203" s="658"/>
      <c r="M203" s="282"/>
      <c r="N203" s="157"/>
      <c r="O203" s="308"/>
      <c r="P203" s="308"/>
    </row>
    <row r="204" spans="3:16" s="159" customFormat="1" x14ac:dyDescent="0.25">
      <c r="C204" s="658"/>
      <c r="D204" s="658"/>
      <c r="M204" s="282"/>
      <c r="N204" s="157"/>
      <c r="O204" s="308"/>
      <c r="P204" s="308"/>
    </row>
    <row r="205" spans="3:16" s="159" customFormat="1" x14ac:dyDescent="0.25">
      <c r="C205" s="658"/>
      <c r="D205" s="658"/>
      <c r="M205" s="282"/>
      <c r="N205" s="157"/>
      <c r="O205" s="308"/>
      <c r="P205" s="308"/>
    </row>
    <row r="206" spans="3:16" s="159" customFormat="1" x14ac:dyDescent="0.25">
      <c r="C206" s="658"/>
      <c r="D206" s="658"/>
      <c r="M206" s="282"/>
      <c r="N206" s="157"/>
      <c r="O206" s="308"/>
      <c r="P206" s="308"/>
    </row>
    <row r="207" spans="3:16" s="159" customFormat="1" x14ac:dyDescent="0.25">
      <c r="C207" s="658"/>
      <c r="D207" s="658"/>
      <c r="M207" s="282"/>
      <c r="N207" s="157"/>
      <c r="O207" s="308"/>
      <c r="P207" s="308"/>
    </row>
    <row r="208" spans="3:16" s="159" customFormat="1" x14ac:dyDescent="0.25">
      <c r="C208" s="658"/>
      <c r="D208" s="658"/>
      <c r="M208" s="282"/>
      <c r="N208" s="157"/>
      <c r="O208" s="308"/>
      <c r="P208" s="308"/>
    </row>
    <row r="209" spans="3:16" s="159" customFormat="1" x14ac:dyDescent="0.25">
      <c r="C209" s="658"/>
      <c r="D209" s="658"/>
      <c r="M209" s="282"/>
      <c r="N209" s="157"/>
      <c r="O209" s="308"/>
      <c r="P209" s="308"/>
    </row>
    <row r="210" spans="3:16" s="159" customFormat="1" x14ac:dyDescent="0.25">
      <c r="C210" s="658"/>
      <c r="D210" s="658"/>
      <c r="M210" s="282"/>
      <c r="N210" s="157"/>
      <c r="O210" s="308"/>
      <c r="P210" s="308"/>
    </row>
    <row r="211" spans="3:16" s="159" customFormat="1" x14ac:dyDescent="0.25">
      <c r="C211" s="658"/>
      <c r="D211" s="658"/>
      <c r="M211" s="282"/>
      <c r="N211" s="157"/>
      <c r="O211" s="308"/>
      <c r="P211" s="308"/>
    </row>
    <row r="212" spans="3:16" s="159" customFormat="1" x14ac:dyDescent="0.25">
      <c r="C212" s="658"/>
      <c r="D212" s="658"/>
      <c r="M212" s="282"/>
      <c r="N212" s="157"/>
      <c r="O212" s="308"/>
      <c r="P212" s="308"/>
    </row>
    <row r="213" spans="3:16" s="159" customFormat="1" x14ac:dyDescent="0.25">
      <c r="C213" s="658"/>
      <c r="D213" s="658"/>
      <c r="M213" s="282"/>
      <c r="N213" s="157"/>
      <c r="O213" s="308"/>
      <c r="P213" s="308"/>
    </row>
    <row r="214" spans="3:16" s="159" customFormat="1" x14ac:dyDescent="0.25">
      <c r="C214" s="658"/>
      <c r="D214" s="658"/>
      <c r="M214" s="282"/>
      <c r="N214" s="157"/>
      <c r="O214" s="308"/>
      <c r="P214" s="308"/>
    </row>
    <row r="215" spans="3:16" s="159" customFormat="1" x14ac:dyDescent="0.25">
      <c r="C215" s="658"/>
      <c r="D215" s="658"/>
      <c r="M215" s="282"/>
      <c r="N215" s="157"/>
      <c r="O215" s="308"/>
      <c r="P215" s="308"/>
    </row>
    <row r="216" spans="3:16" s="159" customFormat="1" x14ac:dyDescent="0.25">
      <c r="C216" s="658"/>
      <c r="D216" s="658"/>
      <c r="M216" s="282"/>
      <c r="N216" s="157"/>
      <c r="O216" s="308"/>
      <c r="P216" s="308"/>
    </row>
    <row r="217" spans="3:16" s="159" customFormat="1" x14ac:dyDescent="0.25">
      <c r="C217" s="658"/>
      <c r="D217" s="658"/>
      <c r="M217" s="282"/>
      <c r="N217" s="157"/>
      <c r="O217" s="308"/>
      <c r="P217" s="308"/>
    </row>
    <row r="218" spans="3:16" s="159" customFormat="1" x14ac:dyDescent="0.25">
      <c r="C218" s="658"/>
      <c r="D218" s="658"/>
      <c r="M218" s="282"/>
      <c r="N218" s="157"/>
      <c r="O218" s="308"/>
      <c r="P218" s="308"/>
    </row>
    <row r="219" spans="3:16" s="159" customFormat="1" x14ac:dyDescent="0.25">
      <c r="C219" s="658"/>
      <c r="D219" s="658"/>
      <c r="M219" s="282"/>
      <c r="N219" s="157"/>
      <c r="O219" s="308"/>
      <c r="P219" s="308"/>
    </row>
    <row r="220" spans="3:16" s="159" customFormat="1" x14ac:dyDescent="0.25">
      <c r="C220" s="658"/>
      <c r="D220" s="658"/>
      <c r="M220" s="282"/>
      <c r="N220" s="157"/>
      <c r="O220" s="308"/>
      <c r="P220" s="308"/>
    </row>
    <row r="221" spans="3:16" s="159" customFormat="1" x14ac:dyDescent="0.25">
      <c r="C221" s="658"/>
      <c r="D221" s="658"/>
      <c r="M221" s="282"/>
      <c r="N221" s="157"/>
      <c r="O221" s="308"/>
      <c r="P221" s="308"/>
    </row>
    <row r="222" spans="3:16" s="159" customFormat="1" x14ac:dyDescent="0.25">
      <c r="C222" s="658"/>
      <c r="D222" s="658"/>
      <c r="M222" s="282"/>
      <c r="N222" s="157"/>
      <c r="O222" s="308"/>
      <c r="P222" s="308"/>
    </row>
    <row r="223" spans="3:16" s="159" customFormat="1" x14ac:dyDescent="0.25">
      <c r="C223" s="658"/>
      <c r="D223" s="658"/>
      <c r="M223" s="282"/>
      <c r="N223" s="157"/>
      <c r="O223" s="308"/>
      <c r="P223" s="308"/>
    </row>
    <row r="224" spans="3:16" s="159" customFormat="1" x14ac:dyDescent="0.25">
      <c r="C224" s="658"/>
      <c r="D224" s="658"/>
      <c r="M224" s="282"/>
      <c r="N224" s="157"/>
      <c r="O224" s="308"/>
      <c r="P224" s="308"/>
    </row>
    <row r="225" spans="3:16" s="159" customFormat="1" x14ac:dyDescent="0.25">
      <c r="C225" s="658"/>
      <c r="D225" s="658"/>
      <c r="M225" s="282"/>
      <c r="N225" s="157"/>
      <c r="O225" s="308"/>
      <c r="P225" s="308"/>
    </row>
    <row r="226" spans="3:16" s="159" customFormat="1" x14ac:dyDescent="0.25">
      <c r="C226" s="658"/>
      <c r="D226" s="658"/>
      <c r="M226" s="282"/>
      <c r="N226" s="157"/>
      <c r="O226" s="308"/>
      <c r="P226" s="308"/>
    </row>
    <row r="227" spans="3:16" s="159" customFormat="1" x14ac:dyDescent="0.25">
      <c r="C227" s="658"/>
      <c r="D227" s="658"/>
      <c r="M227" s="282"/>
      <c r="N227" s="157"/>
      <c r="O227" s="308"/>
      <c r="P227" s="308"/>
    </row>
    <row r="228" spans="3:16" s="159" customFormat="1" x14ac:dyDescent="0.25">
      <c r="C228" s="658"/>
      <c r="D228" s="658"/>
      <c r="M228" s="282"/>
      <c r="N228" s="157"/>
      <c r="O228" s="308"/>
      <c r="P228" s="308"/>
    </row>
    <row r="229" spans="3:16" s="159" customFormat="1" x14ac:dyDescent="0.25">
      <c r="C229" s="658"/>
      <c r="D229" s="658"/>
      <c r="M229" s="282"/>
      <c r="N229" s="157"/>
      <c r="O229" s="308"/>
      <c r="P229" s="308"/>
    </row>
    <row r="230" spans="3:16" s="159" customFormat="1" x14ac:dyDescent="0.25">
      <c r="C230" s="658"/>
      <c r="D230" s="658"/>
      <c r="M230" s="282"/>
      <c r="N230" s="157"/>
      <c r="O230" s="308"/>
      <c r="P230" s="308"/>
    </row>
    <row r="231" spans="3:16" s="159" customFormat="1" x14ac:dyDescent="0.25">
      <c r="C231" s="658"/>
      <c r="D231" s="658"/>
      <c r="M231" s="282"/>
      <c r="N231" s="157"/>
      <c r="O231" s="308"/>
      <c r="P231" s="308"/>
    </row>
    <row r="232" spans="3:16" s="159" customFormat="1" x14ac:dyDescent="0.25">
      <c r="C232" s="658"/>
      <c r="D232" s="658"/>
      <c r="M232" s="282"/>
      <c r="N232" s="157"/>
      <c r="O232" s="308"/>
      <c r="P232" s="308"/>
    </row>
    <row r="233" spans="3:16" s="159" customFormat="1" x14ac:dyDescent="0.25">
      <c r="C233" s="658"/>
      <c r="D233" s="658"/>
      <c r="M233" s="282"/>
      <c r="N233" s="157"/>
      <c r="O233" s="308"/>
      <c r="P233" s="308"/>
    </row>
    <row r="234" spans="3:16" s="159" customFormat="1" x14ac:dyDescent="0.25">
      <c r="C234" s="658"/>
      <c r="D234" s="658"/>
      <c r="M234" s="282"/>
      <c r="N234" s="157"/>
      <c r="O234" s="308"/>
      <c r="P234" s="308"/>
    </row>
    <row r="235" spans="3:16" s="159" customFormat="1" x14ac:dyDescent="0.25">
      <c r="C235" s="658"/>
      <c r="D235" s="658"/>
      <c r="M235" s="282"/>
      <c r="N235" s="157"/>
      <c r="O235" s="308"/>
      <c r="P235" s="308"/>
    </row>
    <row r="236" spans="3:16" s="159" customFormat="1" x14ac:dyDescent="0.25">
      <c r="C236" s="658"/>
      <c r="D236" s="658"/>
      <c r="M236" s="282"/>
      <c r="N236" s="157"/>
      <c r="O236" s="308"/>
      <c r="P236" s="308"/>
    </row>
    <row r="237" spans="3:16" s="159" customFormat="1" x14ac:dyDescent="0.25">
      <c r="C237" s="658"/>
      <c r="D237" s="658"/>
      <c r="M237" s="282"/>
      <c r="N237" s="157"/>
      <c r="O237" s="308"/>
      <c r="P237" s="308"/>
    </row>
    <row r="238" spans="3:16" s="159" customFormat="1" x14ac:dyDescent="0.25">
      <c r="C238" s="658"/>
      <c r="D238" s="658"/>
      <c r="M238" s="282"/>
      <c r="N238" s="157"/>
      <c r="O238" s="308"/>
      <c r="P238" s="308"/>
    </row>
    <row r="239" spans="3:16" s="159" customFormat="1" x14ac:dyDescent="0.25">
      <c r="C239" s="658"/>
      <c r="D239" s="658"/>
      <c r="M239" s="282"/>
      <c r="N239" s="157"/>
      <c r="O239" s="308"/>
      <c r="P239" s="308"/>
    </row>
    <row r="240" spans="3:16" s="159" customFormat="1" x14ac:dyDescent="0.25">
      <c r="C240" s="658"/>
      <c r="D240" s="658"/>
      <c r="M240" s="282"/>
      <c r="N240" s="157"/>
      <c r="O240" s="308"/>
      <c r="P240" s="308"/>
    </row>
    <row r="241" spans="3:16" s="159" customFormat="1" x14ac:dyDescent="0.25">
      <c r="C241" s="658"/>
      <c r="D241" s="658"/>
      <c r="M241" s="282"/>
      <c r="N241" s="157"/>
      <c r="O241" s="308"/>
      <c r="P241" s="308"/>
    </row>
    <row r="242" spans="3:16" s="159" customFormat="1" x14ac:dyDescent="0.25">
      <c r="C242" s="658"/>
      <c r="D242" s="658"/>
      <c r="M242" s="282"/>
      <c r="N242" s="157"/>
      <c r="O242" s="308"/>
      <c r="P242" s="308"/>
    </row>
    <row r="243" spans="3:16" s="159" customFormat="1" x14ac:dyDescent="0.25">
      <c r="C243" s="658"/>
      <c r="D243" s="658"/>
      <c r="M243" s="282"/>
      <c r="N243" s="157"/>
      <c r="O243" s="308"/>
      <c r="P243" s="308"/>
    </row>
    <row r="244" spans="3:16" s="159" customFormat="1" x14ac:dyDescent="0.25">
      <c r="C244" s="658"/>
      <c r="D244" s="658"/>
      <c r="M244" s="282"/>
      <c r="N244" s="157"/>
      <c r="O244" s="308"/>
      <c r="P244" s="308"/>
    </row>
    <row r="245" spans="3:16" s="159" customFormat="1" x14ac:dyDescent="0.25">
      <c r="C245" s="658"/>
      <c r="D245" s="658"/>
      <c r="M245" s="282"/>
      <c r="N245" s="157"/>
      <c r="O245" s="308"/>
      <c r="P245" s="308"/>
    </row>
    <row r="246" spans="3:16" s="159" customFormat="1" x14ac:dyDescent="0.25">
      <c r="C246" s="658"/>
      <c r="D246" s="658"/>
      <c r="M246" s="282"/>
      <c r="N246" s="157"/>
      <c r="O246" s="308"/>
      <c r="P246" s="308"/>
    </row>
    <row r="247" spans="3:16" s="159" customFormat="1" x14ac:dyDescent="0.25">
      <c r="C247" s="658"/>
      <c r="D247" s="658"/>
      <c r="M247" s="282"/>
      <c r="N247" s="157"/>
      <c r="O247" s="308"/>
      <c r="P247" s="308"/>
    </row>
    <row r="248" spans="3:16" s="159" customFormat="1" x14ac:dyDescent="0.25">
      <c r="C248" s="658"/>
      <c r="D248" s="658"/>
      <c r="M248" s="282"/>
      <c r="N248" s="157"/>
      <c r="O248" s="308"/>
      <c r="P248" s="308"/>
    </row>
    <row r="249" spans="3:16" s="159" customFormat="1" x14ac:dyDescent="0.25">
      <c r="C249" s="658"/>
      <c r="D249" s="658"/>
      <c r="M249" s="282"/>
      <c r="N249" s="157"/>
      <c r="O249" s="308"/>
      <c r="P249" s="308"/>
    </row>
    <row r="250" spans="3:16" s="159" customFormat="1" x14ac:dyDescent="0.25">
      <c r="C250" s="658"/>
      <c r="D250" s="658"/>
      <c r="M250" s="282"/>
      <c r="N250" s="157"/>
      <c r="O250" s="308"/>
      <c r="P250" s="308"/>
    </row>
    <row r="251" spans="3:16" s="159" customFormat="1" x14ac:dyDescent="0.25">
      <c r="C251" s="658"/>
      <c r="D251" s="658"/>
      <c r="M251" s="282"/>
      <c r="N251" s="157"/>
      <c r="O251" s="308"/>
      <c r="P251" s="308"/>
    </row>
    <row r="252" spans="3:16" s="159" customFormat="1" x14ac:dyDescent="0.25">
      <c r="C252" s="658"/>
      <c r="D252" s="658"/>
      <c r="M252" s="282"/>
      <c r="N252" s="157"/>
      <c r="O252" s="308"/>
      <c r="P252" s="308"/>
    </row>
    <row r="253" spans="3:16" s="159" customFormat="1" x14ac:dyDescent="0.25">
      <c r="C253" s="658"/>
      <c r="D253" s="658"/>
      <c r="M253" s="282"/>
      <c r="N253" s="157"/>
      <c r="O253" s="308"/>
      <c r="P253" s="308"/>
    </row>
    <row r="254" spans="3:16" s="159" customFormat="1" x14ac:dyDescent="0.25">
      <c r="C254" s="658"/>
      <c r="D254" s="658"/>
      <c r="M254" s="282"/>
      <c r="N254" s="157"/>
      <c r="O254" s="308"/>
      <c r="P254" s="308"/>
    </row>
    <row r="255" spans="3:16" s="159" customFormat="1" x14ac:dyDescent="0.25">
      <c r="C255" s="658"/>
      <c r="D255" s="658"/>
      <c r="M255" s="282"/>
      <c r="N255" s="157"/>
      <c r="O255" s="308"/>
      <c r="P255" s="308"/>
    </row>
    <row r="256" spans="3:16" s="159" customFormat="1" x14ac:dyDescent="0.25">
      <c r="C256" s="658"/>
      <c r="D256" s="658"/>
      <c r="M256" s="282"/>
      <c r="N256" s="157"/>
      <c r="O256" s="308"/>
      <c r="P256" s="308"/>
    </row>
    <row r="257" spans="3:16" s="159" customFormat="1" x14ac:dyDescent="0.25">
      <c r="C257" s="658"/>
      <c r="D257" s="658"/>
      <c r="M257" s="282"/>
      <c r="N257" s="157"/>
      <c r="O257" s="308"/>
      <c r="P257" s="308"/>
    </row>
    <row r="258" spans="3:16" s="159" customFormat="1" x14ac:dyDescent="0.25">
      <c r="C258" s="658"/>
      <c r="D258" s="658"/>
      <c r="M258" s="282"/>
      <c r="N258" s="157"/>
      <c r="O258" s="308"/>
      <c r="P258" s="308"/>
    </row>
    <row r="259" spans="3:16" s="159" customFormat="1" x14ac:dyDescent="0.25">
      <c r="C259" s="658"/>
      <c r="D259" s="658"/>
      <c r="M259" s="282"/>
      <c r="N259" s="157"/>
      <c r="O259" s="308"/>
      <c r="P259" s="308"/>
    </row>
    <row r="260" spans="3:16" s="159" customFormat="1" x14ac:dyDescent="0.25">
      <c r="C260" s="658"/>
      <c r="D260" s="658"/>
      <c r="M260" s="282"/>
      <c r="N260" s="157"/>
      <c r="O260" s="308"/>
      <c r="P260" s="308"/>
    </row>
    <row r="261" spans="3:16" s="159" customFormat="1" x14ac:dyDescent="0.25">
      <c r="C261" s="658"/>
      <c r="D261" s="658"/>
      <c r="M261" s="282"/>
      <c r="N261" s="157"/>
      <c r="O261" s="308"/>
      <c r="P261" s="308"/>
    </row>
    <row r="262" spans="3:16" s="159" customFormat="1" x14ac:dyDescent="0.25">
      <c r="C262" s="658"/>
      <c r="D262" s="658"/>
      <c r="M262" s="282"/>
      <c r="N262" s="157"/>
      <c r="O262" s="308"/>
      <c r="P262" s="308"/>
    </row>
    <row r="263" spans="3:16" s="159" customFormat="1" x14ac:dyDescent="0.25">
      <c r="C263" s="658"/>
      <c r="D263" s="658"/>
      <c r="M263" s="282"/>
      <c r="N263" s="157"/>
      <c r="O263" s="308"/>
      <c r="P263" s="308"/>
    </row>
    <row r="264" spans="3:16" s="159" customFormat="1" x14ac:dyDescent="0.25">
      <c r="C264" s="658"/>
      <c r="D264" s="658"/>
      <c r="M264" s="282"/>
      <c r="N264" s="157"/>
      <c r="O264" s="308"/>
      <c r="P264" s="308"/>
    </row>
    <row r="265" spans="3:16" s="159" customFormat="1" x14ac:dyDescent="0.25">
      <c r="C265" s="658"/>
      <c r="D265" s="658"/>
      <c r="M265" s="282"/>
      <c r="N265" s="157"/>
      <c r="O265" s="308"/>
      <c r="P265" s="308"/>
    </row>
    <row r="266" spans="3:16" s="159" customFormat="1" x14ac:dyDescent="0.25">
      <c r="C266" s="658"/>
      <c r="D266" s="658"/>
      <c r="M266" s="282"/>
      <c r="N266" s="157"/>
      <c r="O266" s="308"/>
      <c r="P266" s="308"/>
    </row>
    <row r="267" spans="3:16" s="159" customFormat="1" x14ac:dyDescent="0.25">
      <c r="C267" s="658"/>
      <c r="D267" s="658"/>
      <c r="M267" s="282"/>
      <c r="N267" s="157"/>
      <c r="O267" s="308"/>
      <c r="P267" s="308"/>
    </row>
    <row r="268" spans="3:16" s="159" customFormat="1" x14ac:dyDescent="0.25">
      <c r="C268" s="658"/>
      <c r="D268" s="658"/>
      <c r="M268" s="282"/>
      <c r="N268" s="157"/>
      <c r="O268" s="308"/>
      <c r="P268" s="308"/>
    </row>
    <row r="269" spans="3:16" s="159" customFormat="1" x14ac:dyDescent="0.25">
      <c r="C269" s="658"/>
      <c r="D269" s="658"/>
      <c r="M269" s="282"/>
      <c r="N269" s="157"/>
      <c r="O269" s="308"/>
      <c r="P269" s="308"/>
    </row>
    <row r="270" spans="3:16" s="159" customFormat="1" x14ac:dyDescent="0.25">
      <c r="C270" s="658"/>
      <c r="D270" s="658"/>
      <c r="M270" s="282"/>
      <c r="N270" s="157"/>
      <c r="O270" s="308"/>
      <c r="P270" s="308"/>
    </row>
    <row r="271" spans="3:16" s="159" customFormat="1" x14ac:dyDescent="0.25">
      <c r="C271" s="658"/>
      <c r="D271" s="658"/>
      <c r="M271" s="282"/>
      <c r="N271" s="157"/>
      <c r="O271" s="308"/>
      <c r="P271" s="308"/>
    </row>
    <row r="272" spans="3:16" s="159" customFormat="1" x14ac:dyDescent="0.25">
      <c r="C272" s="658"/>
      <c r="D272" s="658"/>
      <c r="M272" s="282"/>
      <c r="N272" s="157"/>
      <c r="O272" s="308"/>
      <c r="P272" s="308"/>
    </row>
    <row r="273" spans="3:16" s="159" customFormat="1" x14ac:dyDescent="0.25">
      <c r="C273" s="658"/>
      <c r="D273" s="658"/>
      <c r="M273" s="282"/>
      <c r="N273" s="157"/>
      <c r="O273" s="308"/>
      <c r="P273" s="308"/>
    </row>
  </sheetData>
  <mergeCells count="54">
    <mergeCell ref="G8:I8"/>
    <mergeCell ref="C8:F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tabColor rgb="FF00B050"/>
    <pageSetUpPr fitToPage="1"/>
  </sheetPr>
  <dimension ref="A1:Q274"/>
  <sheetViews>
    <sheetView topLeftCell="A5" zoomScale="90" zoomScaleNormal="75" zoomScaleSheetLayoutView="90" zoomScalePageLayoutView="75" workbookViewId="0">
      <selection activeCell="L13" sqref="L13"/>
    </sheetView>
  </sheetViews>
  <sheetFormatPr defaultColWidth="9.109375" defaultRowHeight="13.2" x14ac:dyDescent="0.25"/>
  <cols>
    <col min="1" max="1" width="12.109375" style="157" bestFit="1" customWidth="1"/>
    <col min="2" max="2" width="50" style="157" customWidth="1"/>
    <col min="3" max="4" width="5" style="44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41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530" t="s">
        <v>375</v>
      </c>
      <c r="B10" s="530" t="s">
        <v>376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x14ac:dyDescent="0.25">
      <c r="A11" s="375"/>
      <c r="B11" s="5"/>
      <c r="C11" s="376"/>
      <c r="D11" s="377" t="s">
        <v>21</v>
      </c>
      <c r="E11" s="259">
        <v>0</v>
      </c>
      <c r="F11" s="378">
        <f t="shared" ref="F11:F22" si="0">C11*E11</f>
        <v>0</v>
      </c>
      <c r="G11" s="534"/>
      <c r="H11" s="380">
        <v>0</v>
      </c>
      <c r="I11" s="378">
        <f t="shared" ref="I11:I22" si="1">G11*H11</f>
        <v>0</v>
      </c>
      <c r="J11" s="381"/>
      <c r="K11" s="535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x14ac:dyDescent="0.25">
      <c r="A12" s="375"/>
      <c r="B12" s="849" t="s">
        <v>1170</v>
      </c>
      <c r="C12" s="838"/>
      <c r="D12" s="839" t="s">
        <v>21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381">
        <f>M14</f>
        <v>88350</v>
      </c>
      <c r="K12" s="535">
        <f t="shared" si="2"/>
        <v>88350</v>
      </c>
      <c r="L12" s="383" t="s">
        <v>1110</v>
      </c>
      <c r="M12" s="384">
        <v>160000</v>
      </c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1213" t="s">
        <v>1163</v>
      </c>
      <c r="M13" s="384"/>
      <c r="N13" s="385"/>
      <c r="O13" s="386"/>
      <c r="P13" s="387"/>
      <c r="Q13" s="388"/>
    </row>
    <row r="14" spans="1:17" x14ac:dyDescent="0.25">
      <c r="A14" s="375"/>
      <c r="B14" s="849" t="s">
        <v>1171</v>
      </c>
      <c r="C14" s="838"/>
      <c r="D14" s="839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>
        <f>M15</f>
        <v>24000</v>
      </c>
      <c r="K14" s="535">
        <f t="shared" si="2"/>
        <v>24000</v>
      </c>
      <c r="L14" s="383" t="s">
        <v>1170</v>
      </c>
      <c r="M14" s="384">
        <v>88350</v>
      </c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 t="s">
        <v>1171</v>
      </c>
      <c r="M15" s="384">
        <v>24000</v>
      </c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 t="s">
        <v>1296</v>
      </c>
      <c r="M16" s="384">
        <v>185500</v>
      </c>
      <c r="N16" s="385"/>
      <c r="O16" s="386"/>
      <c r="P16" s="387"/>
      <c r="Q16" s="388"/>
    </row>
    <row r="17" spans="1:17" x14ac:dyDescent="0.25">
      <c r="A17" s="389"/>
      <c r="B17" s="5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585" t="s">
        <v>1323</v>
      </c>
      <c r="M17" s="474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157" t="s">
        <v>1170</v>
      </c>
      <c r="M18" s="474">
        <v>157500</v>
      </c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157" t="s">
        <v>1324</v>
      </c>
      <c r="M19" s="474">
        <v>11980</v>
      </c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157"/>
      <c r="M20" s="944">
        <f>SUM(M18:M19)</f>
        <v>169480</v>
      </c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157" t="s">
        <v>1330</v>
      </c>
      <c r="M21" s="474">
        <v>199000</v>
      </c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157"/>
      <c r="M22" s="474"/>
      <c r="O22" s="386"/>
      <c r="P22" s="387"/>
      <c r="Q22" s="388"/>
    </row>
    <row r="23" spans="1:17" ht="13.8" thickBot="1" x14ac:dyDescent="0.3">
      <c r="A23" s="392"/>
      <c r="B23" s="7"/>
      <c r="C23" s="393"/>
      <c r="D23" s="377"/>
      <c r="E23" s="259"/>
      <c r="F23" s="378"/>
      <c r="G23" s="534"/>
      <c r="H23" s="380"/>
      <c r="I23" s="378"/>
      <c r="J23" s="381"/>
      <c r="K23" s="535"/>
      <c r="L23" s="157"/>
      <c r="M23" s="474"/>
      <c r="O23" s="386"/>
      <c r="P23" s="387"/>
      <c r="Q23" s="388"/>
    </row>
    <row r="24" spans="1:17" ht="13.8" thickTop="1" x14ac:dyDescent="0.25">
      <c r="A24" s="392"/>
      <c r="B24" s="7"/>
      <c r="C24" s="393"/>
      <c r="D24" s="377"/>
      <c r="E24" s="259"/>
      <c r="F24" s="378"/>
      <c r="G24" s="534"/>
      <c r="H24" s="380"/>
      <c r="I24" s="378"/>
      <c r="J24" s="394" t="s">
        <v>30</v>
      </c>
      <c r="K24" s="537">
        <f>SUM(K11:K23)</f>
        <v>112350</v>
      </c>
      <c r="L24" s="157"/>
      <c r="M24" s="474"/>
      <c r="O24" s="386"/>
      <c r="P24" s="387"/>
      <c r="Q24" s="388"/>
    </row>
    <row r="25" spans="1:17" ht="13.8" thickBot="1" x14ac:dyDescent="0.3">
      <c r="A25" s="358" t="s">
        <v>0</v>
      </c>
      <c r="B25" s="359" t="s">
        <v>1</v>
      </c>
      <c r="C25" s="1018" t="s">
        <v>656</v>
      </c>
      <c r="D25" s="1018"/>
      <c r="E25" s="1018"/>
      <c r="F25" s="1018"/>
      <c r="G25" s="1018" t="s">
        <v>34</v>
      </c>
      <c r="H25" s="1018"/>
      <c r="I25" s="1018"/>
      <c r="J25" s="360"/>
      <c r="K25" s="528"/>
      <c r="L25" s="396"/>
      <c r="M25" s="397"/>
      <c r="N25" s="398"/>
      <c r="O25" s="386"/>
      <c r="P25" s="387"/>
      <c r="Q25" s="388"/>
    </row>
    <row r="26" spans="1:17" ht="15.6" x14ac:dyDescent="0.3">
      <c r="A26" s="530" t="s">
        <v>377</v>
      </c>
      <c r="B26" s="530" t="s">
        <v>378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8" t="s">
        <v>14</v>
      </c>
      <c r="H26" s="403" t="s">
        <v>35</v>
      </c>
      <c r="I26" s="404" t="s">
        <v>30</v>
      </c>
      <c r="J26" s="369" t="s">
        <v>659</v>
      </c>
      <c r="K26" s="539" t="s">
        <v>38</v>
      </c>
      <c r="L26" s="407"/>
      <c r="M26" s="408"/>
      <c r="N26" s="409"/>
      <c r="O26" s="386"/>
      <c r="P26" s="387"/>
      <c r="Q26" s="388"/>
    </row>
    <row r="27" spans="1:17" s="159" customFormat="1" ht="15" x14ac:dyDescent="0.25">
      <c r="A27" s="196" t="s">
        <v>379</v>
      </c>
      <c r="B27" s="196" t="s">
        <v>380</v>
      </c>
      <c r="C27" s="376"/>
      <c r="D27" s="377" t="s">
        <v>21</v>
      </c>
      <c r="E27" s="259">
        <v>0</v>
      </c>
      <c r="F27" s="378">
        <f t="shared" ref="F27:F33" si="3">C27*E27</f>
        <v>0</v>
      </c>
      <c r="G27" s="534"/>
      <c r="H27" s="380">
        <v>0</v>
      </c>
      <c r="I27" s="378">
        <f t="shared" ref="I27:I33" si="4">G27*H27</f>
        <v>0</v>
      </c>
      <c r="J27" s="381"/>
      <c r="K27" s="535">
        <f t="shared" ref="K27:K33" si="5">F27+I27+J27</f>
        <v>0</v>
      </c>
      <c r="L27" s="157"/>
      <c r="M27" s="474"/>
      <c r="N27" s="157"/>
      <c r="O27" s="386"/>
      <c r="P27" s="387"/>
      <c r="Q27" s="388"/>
    </row>
    <row r="28" spans="1:17" s="159" customFormat="1" ht="15" x14ac:dyDescent="0.25">
      <c r="A28" s="196" t="s">
        <v>381</v>
      </c>
      <c r="B28" s="196" t="s">
        <v>382</v>
      </c>
      <c r="C28" s="376"/>
      <c r="D28" s="377" t="s">
        <v>21</v>
      </c>
      <c r="E28" s="259">
        <v>0</v>
      </c>
      <c r="F28" s="378">
        <f t="shared" si="3"/>
        <v>0</v>
      </c>
      <c r="G28" s="534"/>
      <c r="H28" s="380">
        <v>0</v>
      </c>
      <c r="I28" s="378">
        <f t="shared" si="4"/>
        <v>0</v>
      </c>
      <c r="J28" s="381"/>
      <c r="K28" s="535">
        <f t="shared" si="5"/>
        <v>0</v>
      </c>
      <c r="M28" s="282"/>
      <c r="N28" s="157"/>
      <c r="O28" s="386"/>
      <c r="P28" s="387"/>
      <c r="Q28" s="388"/>
    </row>
    <row r="29" spans="1:17" s="159" customFormat="1" x14ac:dyDescent="0.25">
      <c r="A29" s="375"/>
      <c r="B29" s="5"/>
      <c r="C29" s="376"/>
      <c r="D29" s="377" t="s">
        <v>21</v>
      </c>
      <c r="E29" s="259">
        <v>0</v>
      </c>
      <c r="F29" s="378">
        <f t="shared" si="3"/>
        <v>0</v>
      </c>
      <c r="G29" s="534"/>
      <c r="H29" s="380">
        <v>0</v>
      </c>
      <c r="I29" s="378">
        <f t="shared" si="4"/>
        <v>0</v>
      </c>
      <c r="J29" s="381"/>
      <c r="K29" s="535">
        <f t="shared" si="5"/>
        <v>0</v>
      </c>
      <c r="L29" s="383"/>
      <c r="M29" s="384"/>
      <c r="N29" s="385"/>
      <c r="O29" s="386"/>
      <c r="P29" s="387"/>
      <c r="Q29" s="388"/>
    </row>
    <row r="30" spans="1:17" s="159" customFormat="1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s="159" customFormat="1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541"/>
      <c r="M31" s="578"/>
      <c r="N31" s="542"/>
      <c r="O31" s="386"/>
      <c r="P31" s="387"/>
      <c r="Q31" s="388"/>
    </row>
    <row r="32" spans="1:17" s="159" customFormat="1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L32" s="543"/>
      <c r="M32" s="261"/>
      <c r="N32" s="426"/>
      <c r="O32" s="386"/>
      <c r="P32" s="387"/>
      <c r="Q32" s="388"/>
    </row>
    <row r="33" spans="1:17" s="159" customFormat="1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157"/>
      <c r="M33" s="474"/>
      <c r="N33" s="157"/>
      <c r="O33" s="386"/>
      <c r="P33" s="387"/>
      <c r="Q33" s="388"/>
    </row>
    <row r="34" spans="1:17" s="159" customFormat="1" ht="13.8" thickBot="1" x14ac:dyDescent="0.3">
      <c r="A34" s="375"/>
      <c r="B34" s="5"/>
      <c r="C34" s="393"/>
      <c r="D34" s="377"/>
      <c r="E34" s="259"/>
      <c r="F34" s="378"/>
      <c r="G34" s="534"/>
      <c r="H34" s="380"/>
      <c r="I34" s="378"/>
      <c r="J34" s="381"/>
      <c r="K34" s="540"/>
      <c r="L34" s="157"/>
      <c r="M34" s="474"/>
      <c r="N34" s="157"/>
      <c r="O34" s="386"/>
      <c r="P34" s="387"/>
      <c r="Q34" s="388"/>
    </row>
    <row r="35" spans="1:17" s="159" customFormat="1" ht="13.8" thickTop="1" x14ac:dyDescent="0.25">
      <c r="A35" s="392"/>
      <c r="B35" s="5"/>
      <c r="C35" s="393"/>
      <c r="D35" s="377"/>
      <c r="E35" s="259"/>
      <c r="F35" s="378"/>
      <c r="G35" s="534"/>
      <c r="H35" s="380"/>
      <c r="I35" s="378"/>
      <c r="J35" s="394" t="s">
        <v>30</v>
      </c>
      <c r="K35" s="537">
        <f>SUM(K27:K34)</f>
        <v>0</v>
      </c>
      <c r="L35" s="383"/>
      <c r="M35" s="384"/>
      <c r="N35" s="385"/>
      <c r="O35" s="386"/>
      <c r="P35" s="387"/>
      <c r="Q35" s="388"/>
    </row>
    <row r="36" spans="1:17" s="159" customFormat="1" ht="13.8" thickBot="1" x14ac:dyDescent="0.3">
      <c r="A36" s="358" t="s">
        <v>0</v>
      </c>
      <c r="B36" s="359" t="s">
        <v>1</v>
      </c>
      <c r="C36" s="1018" t="s">
        <v>656</v>
      </c>
      <c r="D36" s="1018"/>
      <c r="E36" s="1018"/>
      <c r="F36" s="1018"/>
      <c r="G36" s="1018" t="s">
        <v>34</v>
      </c>
      <c r="H36" s="1018"/>
      <c r="I36" s="1018"/>
      <c r="J36" s="360"/>
      <c r="K36" s="528"/>
      <c r="L36" s="396"/>
      <c r="M36" s="397"/>
      <c r="N36" s="398"/>
      <c r="O36" s="386"/>
      <c r="P36" s="387"/>
      <c r="Q36" s="388"/>
    </row>
    <row r="37" spans="1:17" s="159" customFormat="1" ht="16.2" thickBot="1" x14ac:dyDescent="0.35">
      <c r="A37" s="530" t="s">
        <v>383</v>
      </c>
      <c r="B37" s="530" t="s">
        <v>384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8" t="s">
        <v>14</v>
      </c>
      <c r="H37" s="403" t="s">
        <v>35</v>
      </c>
      <c r="I37" s="404" t="s">
        <v>30</v>
      </c>
      <c r="J37" s="369" t="s">
        <v>659</v>
      </c>
      <c r="K37" s="539" t="s">
        <v>38</v>
      </c>
      <c r="L37" s="407"/>
      <c r="M37" s="413"/>
      <c r="N37" s="414"/>
      <c r="O37" s="415"/>
      <c r="P37" s="416"/>
      <c r="Q37" s="388"/>
    </row>
    <row r="38" spans="1:17" s="159" customFormat="1" x14ac:dyDescent="0.25">
      <c r="A38" s="410"/>
      <c r="B38" s="411"/>
      <c r="C38" s="376"/>
      <c r="D38" s="377" t="s">
        <v>21</v>
      </c>
      <c r="E38" s="259">
        <v>0</v>
      </c>
      <c r="F38" s="378">
        <f t="shared" ref="F38:F44" si="6">C38*E38</f>
        <v>0</v>
      </c>
      <c r="G38" s="534"/>
      <c r="H38" s="380">
        <v>0</v>
      </c>
      <c r="I38" s="378">
        <f t="shared" ref="I38:I44" si="7">G38*H38</f>
        <v>0</v>
      </c>
      <c r="J38" s="381"/>
      <c r="K38" s="535">
        <f t="shared" ref="K38:K44" si="8">F38+I38+J38</f>
        <v>0</v>
      </c>
      <c r="L38" s="383"/>
      <c r="M38" s="384"/>
      <c r="N38" s="385"/>
      <c r="O38" s="415"/>
      <c r="P38" s="416"/>
      <c r="Q38" s="388"/>
    </row>
    <row r="39" spans="1:17" s="159" customFormat="1" x14ac:dyDescent="0.25">
      <c r="A39" s="375"/>
      <c r="B39" s="5"/>
      <c r="C39" s="376"/>
      <c r="D39" s="377" t="s">
        <v>21</v>
      </c>
      <c r="E39" s="259">
        <v>0</v>
      </c>
      <c r="F39" s="378">
        <f t="shared" si="6"/>
        <v>0</v>
      </c>
      <c r="G39" s="534"/>
      <c r="H39" s="380">
        <v>0</v>
      </c>
      <c r="I39" s="378">
        <f t="shared" si="7"/>
        <v>0</v>
      </c>
      <c r="J39" s="381"/>
      <c r="K39" s="535">
        <f t="shared" si="8"/>
        <v>0</v>
      </c>
      <c r="L39" s="383"/>
      <c r="M39" s="384"/>
      <c r="N39" s="385"/>
      <c r="O39" s="415"/>
      <c r="P39" s="416"/>
      <c r="Q39" s="388"/>
    </row>
    <row r="40" spans="1:17" s="159" customFormat="1" x14ac:dyDescent="0.25">
      <c r="A40" s="375"/>
      <c r="B40" s="5"/>
      <c r="C40" s="376"/>
      <c r="D40" s="377" t="s">
        <v>21</v>
      </c>
      <c r="E40" s="259">
        <v>0</v>
      </c>
      <c r="F40" s="378">
        <f t="shared" si="6"/>
        <v>0</v>
      </c>
      <c r="G40" s="534"/>
      <c r="H40" s="380">
        <v>0</v>
      </c>
      <c r="I40" s="378">
        <f t="shared" si="7"/>
        <v>0</v>
      </c>
      <c r="J40" s="381"/>
      <c r="K40" s="535">
        <f t="shared" si="8"/>
        <v>0</v>
      </c>
      <c r="L40" s="383"/>
      <c r="M40" s="384"/>
      <c r="N40" s="385"/>
      <c r="O40" s="415"/>
      <c r="P40" s="416"/>
      <c r="Q40" s="388"/>
    </row>
    <row r="41" spans="1:17" s="159" customFormat="1" x14ac:dyDescent="0.25">
      <c r="A41" s="375"/>
      <c r="B41" s="5"/>
      <c r="C41" s="376"/>
      <c r="D41" s="377" t="s">
        <v>21</v>
      </c>
      <c r="E41" s="259">
        <v>0</v>
      </c>
      <c r="F41" s="378">
        <f t="shared" si="6"/>
        <v>0</v>
      </c>
      <c r="G41" s="534"/>
      <c r="H41" s="380">
        <v>0</v>
      </c>
      <c r="I41" s="378">
        <f t="shared" si="7"/>
        <v>0</v>
      </c>
      <c r="J41" s="381"/>
      <c r="K41" s="535">
        <f t="shared" si="8"/>
        <v>0</v>
      </c>
      <c r="L41" s="383"/>
      <c r="M41" s="384"/>
      <c r="N41" s="385"/>
      <c r="O41" s="415"/>
      <c r="P41" s="416"/>
      <c r="Q41" s="388"/>
    </row>
    <row r="42" spans="1:17" s="159" customFormat="1" x14ac:dyDescent="0.25">
      <c r="A42" s="375"/>
      <c r="B42" s="5"/>
      <c r="C42" s="376"/>
      <c r="D42" s="377" t="s">
        <v>21</v>
      </c>
      <c r="E42" s="259">
        <v>0</v>
      </c>
      <c r="F42" s="378">
        <f t="shared" si="6"/>
        <v>0</v>
      </c>
      <c r="G42" s="534"/>
      <c r="H42" s="380">
        <v>0</v>
      </c>
      <c r="I42" s="378">
        <f t="shared" si="7"/>
        <v>0</v>
      </c>
      <c r="J42" s="381"/>
      <c r="K42" s="535">
        <f t="shared" si="8"/>
        <v>0</v>
      </c>
      <c r="M42" s="282"/>
      <c r="N42" s="157"/>
      <c r="O42" s="415"/>
      <c r="P42" s="416"/>
      <c r="Q42" s="388"/>
    </row>
    <row r="43" spans="1:17" s="159" customFormat="1" x14ac:dyDescent="0.25">
      <c r="A43" s="375"/>
      <c r="B43" s="5"/>
      <c r="C43" s="376"/>
      <c r="D43" s="377" t="s">
        <v>21</v>
      </c>
      <c r="E43" s="259">
        <v>0</v>
      </c>
      <c r="F43" s="378">
        <f t="shared" si="6"/>
        <v>0</v>
      </c>
      <c r="G43" s="534"/>
      <c r="H43" s="380">
        <v>0</v>
      </c>
      <c r="I43" s="378">
        <f t="shared" si="7"/>
        <v>0</v>
      </c>
      <c r="J43" s="381"/>
      <c r="K43" s="535">
        <f t="shared" si="8"/>
        <v>0</v>
      </c>
      <c r="M43" s="282"/>
      <c r="N43" s="157"/>
      <c r="O43" s="386"/>
      <c r="P43" s="387"/>
      <c r="Q43" s="388"/>
    </row>
    <row r="44" spans="1:17" s="159" customFormat="1" x14ac:dyDescent="0.25">
      <c r="A44" s="375"/>
      <c r="B44" s="5"/>
      <c r="C44" s="376"/>
      <c r="D44" s="377" t="s">
        <v>21</v>
      </c>
      <c r="E44" s="259">
        <v>0</v>
      </c>
      <c r="F44" s="378">
        <f t="shared" si="6"/>
        <v>0</v>
      </c>
      <c r="G44" s="534"/>
      <c r="H44" s="380">
        <v>0</v>
      </c>
      <c r="I44" s="378">
        <f t="shared" si="7"/>
        <v>0</v>
      </c>
      <c r="J44" s="381"/>
      <c r="K44" s="535">
        <f t="shared" si="8"/>
        <v>0</v>
      </c>
      <c r="M44" s="280"/>
      <c r="O44" s="386"/>
      <c r="P44" s="387"/>
      <c r="Q44" s="388"/>
    </row>
    <row r="45" spans="1:17" s="159" customFormat="1" ht="13.8" thickBot="1" x14ac:dyDescent="0.3">
      <c r="A45" s="392"/>
      <c r="B45" s="5"/>
      <c r="C45" s="393"/>
      <c r="D45" s="377"/>
      <c r="E45" s="259"/>
      <c r="F45" s="378"/>
      <c r="G45" s="534"/>
      <c r="H45" s="380"/>
      <c r="I45" s="378"/>
      <c r="J45" s="381"/>
      <c r="K45" s="540"/>
      <c r="M45" s="280"/>
      <c r="O45" s="386"/>
      <c r="P45" s="416"/>
      <c r="Q45" s="388"/>
    </row>
    <row r="46" spans="1:17" s="159" customFormat="1" ht="13.8" thickTop="1" x14ac:dyDescent="0.25">
      <c r="A46" s="392"/>
      <c r="B46" s="417"/>
      <c r="C46" s="393"/>
      <c r="D46" s="377"/>
      <c r="E46" s="259"/>
      <c r="F46" s="378"/>
      <c r="G46" s="534"/>
      <c r="H46" s="380"/>
      <c r="I46" s="378"/>
      <c r="J46" s="394" t="s">
        <v>30</v>
      </c>
      <c r="K46" s="537">
        <f>SUM(K38:K45)</f>
        <v>0</v>
      </c>
      <c r="L46" s="383"/>
      <c r="M46" s="261"/>
      <c r="N46" s="426"/>
      <c r="O46" s="386"/>
      <c r="P46" s="387"/>
      <c r="Q46" s="388"/>
    </row>
    <row r="47" spans="1:17" s="159" customFormat="1" ht="13.8" thickBot="1" x14ac:dyDescent="0.3">
      <c r="A47" s="358" t="s">
        <v>0</v>
      </c>
      <c r="B47" s="359" t="s">
        <v>1</v>
      </c>
      <c r="C47" s="1018" t="s">
        <v>656</v>
      </c>
      <c r="D47" s="1018"/>
      <c r="E47" s="1018"/>
      <c r="F47" s="1018"/>
      <c r="G47" s="1018" t="s">
        <v>34</v>
      </c>
      <c r="H47" s="1018"/>
      <c r="I47" s="1018"/>
      <c r="J47" s="360"/>
      <c r="K47" s="528"/>
      <c r="L47" s="396"/>
      <c r="M47" s="397"/>
      <c r="N47" s="398"/>
      <c r="O47" s="386"/>
      <c r="P47" s="387"/>
      <c r="Q47" s="388"/>
    </row>
    <row r="48" spans="1:17" s="159" customFormat="1" ht="15.6" x14ac:dyDescent="0.3">
      <c r="A48" s="530" t="s">
        <v>385</v>
      </c>
      <c r="B48" s="530" t="s">
        <v>386</v>
      </c>
      <c r="C48" s="401" t="s">
        <v>19</v>
      </c>
      <c r="D48" s="402" t="s">
        <v>33</v>
      </c>
      <c r="E48" s="403" t="s">
        <v>35</v>
      </c>
      <c r="F48" s="404" t="s">
        <v>30</v>
      </c>
      <c r="G48" s="538" t="s">
        <v>14</v>
      </c>
      <c r="H48" s="403" t="s">
        <v>35</v>
      </c>
      <c r="I48" s="404" t="s">
        <v>30</v>
      </c>
      <c r="J48" s="369" t="s">
        <v>659</v>
      </c>
      <c r="K48" s="539" t="s">
        <v>38</v>
      </c>
      <c r="L48" s="407"/>
      <c r="M48" s="413"/>
      <c r="N48" s="414"/>
      <c r="O48" s="386"/>
      <c r="P48" s="387"/>
      <c r="Q48" s="388"/>
    </row>
    <row r="49" spans="1:17" s="159" customFormat="1" x14ac:dyDescent="0.25">
      <c r="A49" s="158" t="s">
        <v>400</v>
      </c>
      <c r="B49" s="159" t="s">
        <v>678</v>
      </c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667"/>
      <c r="M49" s="261"/>
      <c r="N49" s="426"/>
      <c r="O49" s="386"/>
      <c r="P49" s="387"/>
      <c r="Q49" s="388"/>
    </row>
    <row r="50" spans="1:17" s="159" customFormat="1" x14ac:dyDescent="0.25">
      <c r="A50" s="678" t="s">
        <v>401</v>
      </c>
      <c r="B50" s="678" t="s">
        <v>398</v>
      </c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426"/>
      <c r="O50" s="386"/>
      <c r="P50" s="387"/>
      <c r="Q50" s="388"/>
    </row>
    <row r="51" spans="1:17" s="159" customFormat="1" x14ac:dyDescent="0.25">
      <c r="A51" s="678" t="s">
        <v>402</v>
      </c>
      <c r="B51" s="678" t="s">
        <v>387</v>
      </c>
      <c r="C51" s="376"/>
      <c r="D51" s="377" t="s">
        <v>21</v>
      </c>
      <c r="E51" s="259">
        <v>0</v>
      </c>
      <c r="F51" s="378">
        <f t="shared" ref="F51:F62" si="9">C51*E51</f>
        <v>0</v>
      </c>
      <c r="G51" s="534"/>
      <c r="H51" s="380">
        <v>0</v>
      </c>
      <c r="I51" s="378">
        <f t="shared" ref="I51:I62" si="10">G51*H51</f>
        <v>0</v>
      </c>
      <c r="J51" s="381"/>
      <c r="K51" s="535">
        <f t="shared" ref="K51:K62" si="11">F51+I51+J51</f>
        <v>0</v>
      </c>
      <c r="L51" s="383"/>
      <c r="M51" s="261"/>
      <c r="N51" s="385"/>
      <c r="O51" s="386"/>
      <c r="P51" s="387"/>
      <c r="Q51" s="388"/>
    </row>
    <row r="52" spans="1:17" s="159" customFormat="1" x14ac:dyDescent="0.25">
      <c r="A52" s="158" t="s">
        <v>403</v>
      </c>
      <c r="B52" s="159" t="s">
        <v>388</v>
      </c>
      <c r="C52" s="376"/>
      <c r="D52" s="377" t="s">
        <v>21</v>
      </c>
      <c r="E52" s="259">
        <v>0</v>
      </c>
      <c r="F52" s="378">
        <f t="shared" si="9"/>
        <v>0</v>
      </c>
      <c r="G52" s="534"/>
      <c r="H52" s="380">
        <v>0</v>
      </c>
      <c r="I52" s="378">
        <f t="shared" si="10"/>
        <v>0</v>
      </c>
      <c r="J52" s="381"/>
      <c r="K52" s="535">
        <f t="shared" si="11"/>
        <v>0</v>
      </c>
      <c r="L52" s="157"/>
      <c r="M52" s="474"/>
      <c r="N52" s="157"/>
      <c r="O52" s="441"/>
      <c r="P52" s="442"/>
      <c r="Q52" s="388"/>
    </row>
    <row r="53" spans="1:17" s="159" customFormat="1" x14ac:dyDescent="0.25">
      <c r="A53" s="678" t="s">
        <v>404</v>
      </c>
      <c r="B53" s="678" t="s">
        <v>389</v>
      </c>
      <c r="C53" s="376"/>
      <c r="D53" s="377" t="s">
        <v>21</v>
      </c>
      <c r="E53" s="259">
        <v>0</v>
      </c>
      <c r="F53" s="378">
        <f t="shared" si="9"/>
        <v>0</v>
      </c>
      <c r="G53" s="534"/>
      <c r="H53" s="380">
        <v>0</v>
      </c>
      <c r="I53" s="378">
        <f t="shared" si="10"/>
        <v>0</v>
      </c>
      <c r="J53" s="381"/>
      <c r="K53" s="535">
        <f t="shared" si="11"/>
        <v>0</v>
      </c>
      <c r="L53" s="664"/>
      <c r="M53" s="261"/>
      <c r="N53" s="666"/>
      <c r="O53" s="441"/>
      <c r="P53" s="442"/>
      <c r="Q53" s="388"/>
    </row>
    <row r="54" spans="1:17" s="159" customFormat="1" x14ac:dyDescent="0.25">
      <c r="A54" s="678" t="s">
        <v>405</v>
      </c>
      <c r="B54" s="678" t="s">
        <v>390</v>
      </c>
      <c r="C54" s="376"/>
      <c r="D54" s="377" t="s">
        <v>21</v>
      </c>
      <c r="E54" s="259">
        <v>0</v>
      </c>
      <c r="F54" s="378">
        <f t="shared" si="9"/>
        <v>0</v>
      </c>
      <c r="G54" s="534"/>
      <c r="H54" s="380">
        <v>0</v>
      </c>
      <c r="I54" s="378">
        <f t="shared" si="10"/>
        <v>0</v>
      </c>
      <c r="J54" s="381"/>
      <c r="K54" s="535">
        <f t="shared" si="11"/>
        <v>0</v>
      </c>
      <c r="L54" s="667"/>
      <c r="M54" s="261"/>
      <c r="N54" s="668"/>
      <c r="O54" s="415"/>
      <c r="P54" s="416"/>
      <c r="Q54" s="388"/>
    </row>
    <row r="55" spans="1:17" s="159" customFormat="1" x14ac:dyDescent="0.25">
      <c r="A55" s="158" t="s">
        <v>406</v>
      </c>
      <c r="B55" s="159" t="s">
        <v>391</v>
      </c>
      <c r="C55" s="376"/>
      <c r="D55" s="377" t="s">
        <v>21</v>
      </c>
      <c r="E55" s="259">
        <v>0</v>
      </c>
      <c r="F55" s="378">
        <f t="shared" si="9"/>
        <v>0</v>
      </c>
      <c r="G55" s="534"/>
      <c r="H55" s="380">
        <v>0</v>
      </c>
      <c r="I55" s="378">
        <f t="shared" si="10"/>
        <v>0</v>
      </c>
      <c r="J55" s="381"/>
      <c r="K55" s="535">
        <f t="shared" si="11"/>
        <v>0</v>
      </c>
      <c r="M55" s="282"/>
      <c r="N55" s="157"/>
      <c r="O55" s="386"/>
      <c r="P55" s="387"/>
      <c r="Q55" s="388"/>
    </row>
    <row r="56" spans="1:17" s="159" customFormat="1" x14ac:dyDescent="0.25">
      <c r="A56" s="158" t="s">
        <v>407</v>
      </c>
      <c r="B56" s="159" t="s">
        <v>392</v>
      </c>
      <c r="C56" s="376"/>
      <c r="D56" s="377" t="s">
        <v>21</v>
      </c>
      <c r="E56" s="259">
        <v>0</v>
      </c>
      <c r="F56" s="378">
        <f t="shared" si="9"/>
        <v>0</v>
      </c>
      <c r="G56" s="534"/>
      <c r="H56" s="380">
        <v>0</v>
      </c>
      <c r="I56" s="378">
        <f t="shared" si="10"/>
        <v>0</v>
      </c>
      <c r="J56" s="381"/>
      <c r="K56" s="535">
        <f t="shared" si="11"/>
        <v>0</v>
      </c>
      <c r="L56" s="383"/>
      <c r="M56" s="261"/>
      <c r="N56" s="385"/>
      <c r="O56" s="386"/>
      <c r="P56" s="387"/>
      <c r="Q56" s="388"/>
    </row>
    <row r="57" spans="1:17" s="159" customFormat="1" x14ac:dyDescent="0.25">
      <c r="A57" s="158" t="s">
        <v>408</v>
      </c>
      <c r="B57" s="159" t="s">
        <v>393</v>
      </c>
      <c r="C57" s="376"/>
      <c r="D57" s="377" t="s">
        <v>21</v>
      </c>
      <c r="E57" s="259">
        <v>0</v>
      </c>
      <c r="F57" s="378">
        <f t="shared" si="9"/>
        <v>0</v>
      </c>
      <c r="G57" s="534"/>
      <c r="H57" s="380">
        <v>0</v>
      </c>
      <c r="I57" s="378">
        <f t="shared" si="10"/>
        <v>0</v>
      </c>
      <c r="J57" s="381"/>
      <c r="K57" s="535">
        <f t="shared" si="11"/>
        <v>0</v>
      </c>
      <c r="L57" s="383"/>
      <c r="M57" s="261"/>
      <c r="N57" s="385"/>
      <c r="O57" s="386"/>
      <c r="P57" s="387"/>
      <c r="Q57" s="388"/>
    </row>
    <row r="58" spans="1:17" s="159" customFormat="1" x14ac:dyDescent="0.25">
      <c r="A58" s="158" t="s">
        <v>409</v>
      </c>
      <c r="B58" s="159" t="s">
        <v>394</v>
      </c>
      <c r="C58" s="376"/>
      <c r="D58" s="377" t="s">
        <v>21</v>
      </c>
      <c r="E58" s="259">
        <v>0</v>
      </c>
      <c r="F58" s="378">
        <f t="shared" si="9"/>
        <v>0</v>
      </c>
      <c r="G58" s="534"/>
      <c r="H58" s="380">
        <v>0</v>
      </c>
      <c r="I58" s="378">
        <f t="shared" si="10"/>
        <v>0</v>
      </c>
      <c r="J58" s="381"/>
      <c r="K58" s="535">
        <f t="shared" si="11"/>
        <v>0</v>
      </c>
      <c r="L58" s="383"/>
      <c r="M58" s="261"/>
      <c r="N58" s="385"/>
      <c r="O58" s="386"/>
      <c r="P58" s="387"/>
      <c r="Q58" s="388"/>
    </row>
    <row r="59" spans="1:17" s="159" customFormat="1" x14ac:dyDescent="0.25">
      <c r="A59" s="158" t="s">
        <v>410</v>
      </c>
      <c r="B59" s="159" t="s">
        <v>395</v>
      </c>
      <c r="C59" s="376"/>
      <c r="D59" s="377" t="s">
        <v>21</v>
      </c>
      <c r="E59" s="259">
        <v>0</v>
      </c>
      <c r="F59" s="378">
        <f t="shared" si="9"/>
        <v>0</v>
      </c>
      <c r="G59" s="534"/>
      <c r="H59" s="380">
        <v>0</v>
      </c>
      <c r="I59" s="378">
        <f t="shared" si="10"/>
        <v>0</v>
      </c>
      <c r="J59" s="381"/>
      <c r="K59" s="535">
        <f t="shared" si="11"/>
        <v>0</v>
      </c>
      <c r="L59" s="664"/>
      <c r="M59" s="261"/>
      <c r="N59" s="666"/>
      <c r="O59" s="386"/>
      <c r="P59" s="387"/>
      <c r="Q59" s="388"/>
    </row>
    <row r="60" spans="1:17" s="159" customFormat="1" x14ac:dyDescent="0.25">
      <c r="A60" s="158" t="s">
        <v>411</v>
      </c>
      <c r="B60" s="159" t="s">
        <v>396</v>
      </c>
      <c r="C60" s="376"/>
      <c r="D60" s="377" t="s">
        <v>21</v>
      </c>
      <c r="E60" s="259">
        <v>0</v>
      </c>
      <c r="F60" s="378">
        <f t="shared" si="9"/>
        <v>0</v>
      </c>
      <c r="G60" s="534"/>
      <c r="H60" s="380">
        <v>0</v>
      </c>
      <c r="I60" s="378">
        <f t="shared" si="10"/>
        <v>0</v>
      </c>
      <c r="J60" s="381"/>
      <c r="K60" s="535">
        <f t="shared" si="11"/>
        <v>0</v>
      </c>
      <c r="L60" s="667"/>
      <c r="M60" s="261"/>
      <c r="N60" s="668"/>
      <c r="O60" s="386"/>
      <c r="P60" s="387"/>
      <c r="Q60" s="388"/>
    </row>
    <row r="61" spans="1:17" s="159" customFormat="1" x14ac:dyDescent="0.25">
      <c r="A61" s="158" t="s">
        <v>412</v>
      </c>
      <c r="B61" s="159" t="s">
        <v>397</v>
      </c>
      <c r="C61" s="376"/>
      <c r="D61" s="377" t="s">
        <v>21</v>
      </c>
      <c r="E61" s="259">
        <v>0</v>
      </c>
      <c r="F61" s="378">
        <f t="shared" si="9"/>
        <v>0</v>
      </c>
      <c r="G61" s="534"/>
      <c r="H61" s="380">
        <v>0</v>
      </c>
      <c r="I61" s="378">
        <f t="shared" si="10"/>
        <v>0</v>
      </c>
      <c r="J61" s="381"/>
      <c r="K61" s="535">
        <f t="shared" si="11"/>
        <v>0</v>
      </c>
      <c r="L61" s="383"/>
      <c r="M61" s="261"/>
      <c r="N61" s="426"/>
      <c r="O61" s="386"/>
      <c r="P61" s="387"/>
      <c r="Q61" s="388"/>
    </row>
    <row r="62" spans="1:17" s="159" customFormat="1" x14ac:dyDescent="0.25">
      <c r="A62" s="158" t="s">
        <v>413</v>
      </c>
      <c r="B62" s="159" t="s">
        <v>399</v>
      </c>
      <c r="C62" s="376"/>
      <c r="D62" s="377" t="s">
        <v>21</v>
      </c>
      <c r="E62" s="259">
        <v>0</v>
      </c>
      <c r="F62" s="378">
        <f t="shared" si="9"/>
        <v>0</v>
      </c>
      <c r="G62" s="534"/>
      <c r="H62" s="380">
        <v>0</v>
      </c>
      <c r="I62" s="378">
        <f t="shared" si="10"/>
        <v>0</v>
      </c>
      <c r="J62" s="381"/>
      <c r="K62" s="535">
        <f t="shared" si="11"/>
        <v>0</v>
      </c>
      <c r="M62" s="282"/>
      <c r="N62" s="157"/>
      <c r="O62" s="386"/>
      <c r="P62" s="387"/>
      <c r="Q62" s="388"/>
    </row>
    <row r="63" spans="1:17" s="159" customFormat="1" x14ac:dyDescent="0.25">
      <c r="C63" s="376"/>
      <c r="D63" s="377" t="s">
        <v>21</v>
      </c>
      <c r="E63" s="259">
        <v>0</v>
      </c>
      <c r="F63" s="378">
        <f>C63*E63</f>
        <v>0</v>
      </c>
      <c r="G63" s="534"/>
      <c r="H63" s="380">
        <v>0</v>
      </c>
      <c r="I63" s="378">
        <f>G63*H63</f>
        <v>0</v>
      </c>
      <c r="J63" s="381"/>
      <c r="K63" s="535">
        <f>F63+I63+J63</f>
        <v>0</v>
      </c>
      <c r="M63" s="282"/>
      <c r="N63" s="157"/>
      <c r="O63" s="386"/>
      <c r="P63" s="387"/>
      <c r="Q63" s="388"/>
    </row>
    <row r="64" spans="1:17" s="159" customFormat="1" x14ac:dyDescent="0.25">
      <c r="C64" s="376"/>
      <c r="D64" s="377" t="s">
        <v>21</v>
      </c>
      <c r="E64" s="259">
        <v>0</v>
      </c>
      <c r="F64" s="378">
        <f>C64*E64</f>
        <v>0</v>
      </c>
      <c r="G64" s="534"/>
      <c r="H64" s="380">
        <v>0</v>
      </c>
      <c r="I64" s="378">
        <f>G64*H64</f>
        <v>0</v>
      </c>
      <c r="J64" s="381"/>
      <c r="K64" s="535">
        <f>F64+I64+J64</f>
        <v>0</v>
      </c>
      <c r="M64" s="280"/>
      <c r="O64" s="386"/>
      <c r="P64" s="387"/>
      <c r="Q64" s="388"/>
    </row>
    <row r="65" spans="1:17" s="159" customFormat="1" x14ac:dyDescent="0.25">
      <c r="A65" s="375"/>
      <c r="B65" s="5"/>
      <c r="C65" s="376"/>
      <c r="D65" s="377" t="s">
        <v>21</v>
      </c>
      <c r="E65" s="259">
        <v>0</v>
      </c>
      <c r="F65" s="378">
        <f>C65*E65</f>
        <v>0</v>
      </c>
      <c r="G65" s="534"/>
      <c r="H65" s="380">
        <v>0</v>
      </c>
      <c r="I65" s="378">
        <f>G65*H65</f>
        <v>0</v>
      </c>
      <c r="J65" s="381"/>
      <c r="K65" s="535">
        <f>F65+I65+J65</f>
        <v>0</v>
      </c>
      <c r="M65" s="280"/>
      <c r="O65" s="386"/>
      <c r="P65" s="387"/>
      <c r="Q65" s="388"/>
    </row>
    <row r="66" spans="1:17" s="159" customFormat="1" ht="13.8" thickBot="1" x14ac:dyDescent="0.3">
      <c r="A66" s="392"/>
      <c r="B66" s="5"/>
      <c r="C66" s="393"/>
      <c r="D66" s="377"/>
      <c r="E66" s="259"/>
      <c r="F66" s="378"/>
      <c r="G66" s="534"/>
      <c r="H66" s="380"/>
      <c r="I66" s="378"/>
      <c r="J66" s="381"/>
      <c r="K66" s="540"/>
      <c r="L66" s="383"/>
      <c r="M66" s="384"/>
      <c r="N66" s="385"/>
      <c r="O66" s="386"/>
      <c r="P66" s="387"/>
      <c r="Q66" s="388"/>
    </row>
    <row r="67" spans="1:17" s="159" customFormat="1" ht="13.8" thickTop="1" x14ac:dyDescent="0.25">
      <c r="A67" s="392"/>
      <c r="B67" s="417"/>
      <c r="C67" s="393"/>
      <c r="D67" s="377"/>
      <c r="E67" s="259"/>
      <c r="F67" s="378"/>
      <c r="G67" s="534"/>
      <c r="H67" s="380"/>
      <c r="I67" s="378"/>
      <c r="J67" s="394" t="s">
        <v>30</v>
      </c>
      <c r="K67" s="537">
        <f>SUM(K49:K66)</f>
        <v>0</v>
      </c>
      <c r="L67" s="383"/>
      <c r="M67" s="384"/>
      <c r="N67" s="385"/>
      <c r="O67" s="386"/>
      <c r="P67" s="387"/>
      <c r="Q67" s="388"/>
    </row>
    <row r="68" spans="1:17" s="159" customFormat="1" ht="13.8" thickBot="1" x14ac:dyDescent="0.3">
      <c r="A68" s="358" t="s">
        <v>0</v>
      </c>
      <c r="B68" s="359" t="s">
        <v>1</v>
      </c>
      <c r="C68" s="1018" t="s">
        <v>656</v>
      </c>
      <c r="D68" s="1018"/>
      <c r="E68" s="1018"/>
      <c r="F68" s="1018"/>
      <c r="G68" s="1018" t="s">
        <v>34</v>
      </c>
      <c r="H68" s="1018"/>
      <c r="I68" s="1018"/>
      <c r="J68" s="360"/>
      <c r="K68" s="528"/>
      <c r="L68" s="396"/>
      <c r="M68" s="360"/>
      <c r="N68" s="443"/>
      <c r="O68" s="386"/>
      <c r="P68" s="387"/>
      <c r="Q68" s="388"/>
    </row>
    <row r="69" spans="1:17" s="159" customFormat="1" ht="15.6" x14ac:dyDescent="0.3">
      <c r="A69" s="530" t="s">
        <v>414</v>
      </c>
      <c r="B69" s="530" t="s">
        <v>415</v>
      </c>
      <c r="C69" s="401" t="s">
        <v>19</v>
      </c>
      <c r="D69" s="402" t="s">
        <v>33</v>
      </c>
      <c r="E69" s="403" t="s">
        <v>35</v>
      </c>
      <c r="F69" s="404" t="s">
        <v>30</v>
      </c>
      <c r="G69" s="538" t="s">
        <v>14</v>
      </c>
      <c r="H69" s="403" t="s">
        <v>35</v>
      </c>
      <c r="I69" s="404" t="s">
        <v>30</v>
      </c>
      <c r="J69" s="369" t="s">
        <v>659</v>
      </c>
      <c r="K69" s="539" t="s">
        <v>38</v>
      </c>
      <c r="L69" s="407"/>
      <c r="M69" s="413"/>
      <c r="N69" s="414"/>
      <c r="O69" s="386"/>
      <c r="P69" s="387"/>
      <c r="Q69" s="388"/>
    </row>
    <row r="70" spans="1:17" s="159" customFormat="1" x14ac:dyDescent="0.25">
      <c r="A70" s="158" t="s">
        <v>416</v>
      </c>
      <c r="B70" s="159" t="s">
        <v>418</v>
      </c>
      <c r="C70" s="376"/>
      <c r="D70" s="377" t="s">
        <v>21</v>
      </c>
      <c r="E70" s="259">
        <v>0</v>
      </c>
      <c r="F70" s="378">
        <f>C70*E70</f>
        <v>0</v>
      </c>
      <c r="G70" s="534"/>
      <c r="H70" s="380">
        <v>0</v>
      </c>
      <c r="I70" s="378">
        <f>G70*H70</f>
        <v>0</v>
      </c>
      <c r="J70" s="381"/>
      <c r="K70" s="535">
        <f>F70+I70+J70</f>
        <v>0</v>
      </c>
      <c r="M70" s="282"/>
      <c r="N70" s="157"/>
      <c r="O70" s="386"/>
      <c r="P70" s="387"/>
      <c r="Q70" s="388"/>
    </row>
    <row r="71" spans="1:17" s="159" customFormat="1" x14ac:dyDescent="0.25">
      <c r="A71" s="158" t="s">
        <v>417</v>
      </c>
      <c r="B71" s="159" t="s">
        <v>419</v>
      </c>
      <c r="C71" s="376"/>
      <c r="D71" s="377" t="s">
        <v>21</v>
      </c>
      <c r="E71" s="259">
        <v>0</v>
      </c>
      <c r="F71" s="378">
        <f>C71*E71</f>
        <v>0</v>
      </c>
      <c r="G71" s="534"/>
      <c r="H71" s="380">
        <v>0</v>
      </c>
      <c r="I71" s="378">
        <f>G71*H71</f>
        <v>0</v>
      </c>
      <c r="J71" s="381"/>
      <c r="K71" s="535">
        <f>F71+I71+J71</f>
        <v>0</v>
      </c>
      <c r="M71" s="282"/>
      <c r="N71" s="157"/>
      <c r="O71" s="386"/>
      <c r="P71" s="387"/>
      <c r="Q71" s="388"/>
    </row>
    <row r="72" spans="1:17" s="159" customFormat="1" x14ac:dyDescent="0.25">
      <c r="A72" s="375"/>
      <c r="B72" s="5"/>
      <c r="C72" s="376"/>
      <c r="D72" s="377" t="s">
        <v>21</v>
      </c>
      <c r="E72" s="259">
        <v>0</v>
      </c>
      <c r="F72" s="378">
        <f>C72*E72</f>
        <v>0</v>
      </c>
      <c r="G72" s="534"/>
      <c r="H72" s="380">
        <v>0</v>
      </c>
      <c r="I72" s="378">
        <f>G72*H72</f>
        <v>0</v>
      </c>
      <c r="J72" s="381"/>
      <c r="K72" s="535">
        <f>F72+I72+J72</f>
        <v>0</v>
      </c>
      <c r="M72" s="282"/>
      <c r="N72" s="157"/>
      <c r="O72" s="386"/>
      <c r="P72" s="387"/>
      <c r="Q72" s="388"/>
    </row>
    <row r="73" spans="1:17" s="159" customFormat="1" ht="13.8" thickBot="1" x14ac:dyDescent="0.3">
      <c r="A73" s="392"/>
      <c r="B73" s="5"/>
      <c r="C73" s="393"/>
      <c r="D73" s="377"/>
      <c r="E73" s="259"/>
      <c r="F73" s="378"/>
      <c r="G73" s="534"/>
      <c r="H73" s="380"/>
      <c r="I73" s="378"/>
      <c r="J73" s="381"/>
      <c r="K73" s="540"/>
      <c r="M73" s="280"/>
      <c r="O73" s="386"/>
      <c r="P73" s="387"/>
      <c r="Q73" s="388"/>
    </row>
    <row r="74" spans="1:17" s="159" customFormat="1" ht="13.8" thickTop="1" x14ac:dyDescent="0.25">
      <c r="A74" s="392"/>
      <c r="B74" s="157"/>
      <c r="C74" s="393"/>
      <c r="D74" s="377"/>
      <c r="E74" s="259"/>
      <c r="F74" s="378"/>
      <c r="G74" s="534"/>
      <c r="H74" s="380"/>
      <c r="I74" s="378"/>
      <c r="J74" s="394" t="s">
        <v>30</v>
      </c>
      <c r="K74" s="537">
        <f>SUM(K70:K73)</f>
        <v>0</v>
      </c>
      <c r="M74" s="280"/>
      <c r="O74" s="386"/>
      <c r="P74" s="387"/>
      <c r="Q74" s="388"/>
    </row>
    <row r="75" spans="1:17" s="159" customFormat="1" ht="13.8" thickBot="1" x14ac:dyDescent="0.3">
      <c r="A75" s="358" t="s">
        <v>0</v>
      </c>
      <c r="B75" s="359" t="s">
        <v>1</v>
      </c>
      <c r="C75" s="1018" t="s">
        <v>656</v>
      </c>
      <c r="D75" s="1018"/>
      <c r="E75" s="1018"/>
      <c r="F75" s="1018"/>
      <c r="G75" s="1018" t="s">
        <v>34</v>
      </c>
      <c r="H75" s="1018"/>
      <c r="I75" s="1018"/>
      <c r="J75" s="360"/>
      <c r="K75" s="528"/>
      <c r="L75" s="396"/>
      <c r="M75" s="397"/>
      <c r="N75" s="398"/>
      <c r="O75" s="386"/>
      <c r="P75" s="387"/>
      <c r="Q75" s="388"/>
    </row>
    <row r="76" spans="1:17" s="159" customFormat="1" ht="16.2" thickBot="1" x14ac:dyDescent="0.35">
      <c r="A76" s="530" t="s">
        <v>420</v>
      </c>
      <c r="B76" s="530" t="s">
        <v>421</v>
      </c>
      <c r="C76" s="401" t="s">
        <v>19</v>
      </c>
      <c r="D76" s="402" t="s">
        <v>33</v>
      </c>
      <c r="E76" s="403" t="s">
        <v>35</v>
      </c>
      <c r="F76" s="404" t="s">
        <v>30</v>
      </c>
      <c r="G76" s="538" t="s">
        <v>14</v>
      </c>
      <c r="H76" s="403" t="s">
        <v>35</v>
      </c>
      <c r="I76" s="404" t="s">
        <v>30</v>
      </c>
      <c r="J76" s="369" t="s">
        <v>659</v>
      </c>
      <c r="K76" s="539" t="s">
        <v>38</v>
      </c>
      <c r="L76" s="407"/>
      <c r="M76" s="408"/>
      <c r="N76" s="409"/>
      <c r="O76" s="386"/>
      <c r="P76" s="387"/>
      <c r="Q76" s="388"/>
    </row>
    <row r="77" spans="1:17" s="159" customFormat="1" x14ac:dyDescent="0.25">
      <c r="A77" s="410"/>
      <c r="B77" s="411"/>
      <c r="C77" s="376"/>
      <c r="D77" s="377" t="s">
        <v>21</v>
      </c>
      <c r="E77" s="259">
        <v>0</v>
      </c>
      <c r="F77" s="378">
        <f>C77*E77</f>
        <v>0</v>
      </c>
      <c r="G77" s="534"/>
      <c r="H77" s="380">
        <v>0</v>
      </c>
      <c r="I77" s="378">
        <f>G77*H77</f>
        <v>0</v>
      </c>
      <c r="J77" s="381"/>
      <c r="K77" s="535">
        <f>F77+I77+J77</f>
        <v>0</v>
      </c>
      <c r="L77" s="667"/>
      <c r="M77" s="669"/>
      <c r="N77" s="668"/>
      <c r="O77" s="386"/>
      <c r="P77" s="387"/>
      <c r="Q77" s="388"/>
    </row>
    <row r="78" spans="1:17" s="159" customFormat="1" x14ac:dyDescent="0.25">
      <c r="A78" s="375"/>
      <c r="B78" s="5"/>
      <c r="C78" s="376"/>
      <c r="D78" s="377" t="s">
        <v>21</v>
      </c>
      <c r="E78" s="259">
        <v>0</v>
      </c>
      <c r="F78" s="378">
        <f>C78*E78</f>
        <v>0</v>
      </c>
      <c r="G78" s="534"/>
      <c r="H78" s="380">
        <v>0</v>
      </c>
      <c r="I78" s="378">
        <f>G78*H78</f>
        <v>0</v>
      </c>
      <c r="J78" s="381"/>
      <c r="K78" s="535">
        <f>F78+I78+J78</f>
        <v>0</v>
      </c>
      <c r="L78" s="383"/>
      <c r="M78" s="384"/>
      <c r="N78" s="385"/>
      <c r="O78" s="386"/>
      <c r="P78" s="387"/>
      <c r="Q78" s="388"/>
    </row>
    <row r="79" spans="1:17" s="159" customFormat="1" x14ac:dyDescent="0.25">
      <c r="A79" s="375"/>
      <c r="C79" s="376"/>
      <c r="D79" s="377" t="s">
        <v>21</v>
      </c>
      <c r="E79" s="259">
        <v>0</v>
      </c>
      <c r="F79" s="378">
        <f>C79*E79</f>
        <v>0</v>
      </c>
      <c r="G79" s="534"/>
      <c r="H79" s="380">
        <v>0</v>
      </c>
      <c r="I79" s="378">
        <f>G79*H79</f>
        <v>0</v>
      </c>
      <c r="J79" s="381"/>
      <c r="K79" s="535">
        <f>F79+I79+J79</f>
        <v>0</v>
      </c>
      <c r="L79" s="383"/>
      <c r="M79" s="384"/>
      <c r="N79" s="385"/>
      <c r="O79" s="386"/>
      <c r="P79" s="387"/>
      <c r="Q79" s="388"/>
    </row>
    <row r="80" spans="1:17" s="159" customFormat="1" x14ac:dyDescent="0.25">
      <c r="A80" s="375"/>
      <c r="B80" s="5"/>
      <c r="C80" s="376"/>
      <c r="D80" s="377" t="s">
        <v>21</v>
      </c>
      <c r="E80" s="259">
        <v>0</v>
      </c>
      <c r="F80" s="378">
        <f>C80*E80</f>
        <v>0</v>
      </c>
      <c r="G80" s="534"/>
      <c r="H80" s="380">
        <v>0</v>
      </c>
      <c r="I80" s="378">
        <f>G80*H80</f>
        <v>0</v>
      </c>
      <c r="J80" s="381"/>
      <c r="K80" s="535">
        <f>F80+I80+J80</f>
        <v>0</v>
      </c>
      <c r="M80" s="280"/>
      <c r="O80" s="386"/>
      <c r="P80" s="387"/>
      <c r="Q80" s="388"/>
    </row>
    <row r="81" spans="1:17" s="159" customFormat="1" x14ac:dyDescent="0.25">
      <c r="A81" s="375"/>
      <c r="B81" s="5"/>
      <c r="C81" s="376"/>
      <c r="D81" s="377" t="s">
        <v>21</v>
      </c>
      <c r="E81" s="259">
        <v>0</v>
      </c>
      <c r="F81" s="378">
        <f>C81*E81</f>
        <v>0</v>
      </c>
      <c r="G81" s="534"/>
      <c r="H81" s="380">
        <v>0</v>
      </c>
      <c r="I81" s="378">
        <f>G81*H81</f>
        <v>0</v>
      </c>
      <c r="J81" s="381"/>
      <c r="K81" s="535">
        <f>F81+I81+J81</f>
        <v>0</v>
      </c>
      <c r="M81" s="280"/>
      <c r="O81" s="386"/>
      <c r="P81" s="387"/>
      <c r="Q81" s="388"/>
    </row>
    <row r="82" spans="1:17" s="159" customFormat="1" ht="13.8" thickBot="1" x14ac:dyDescent="0.3">
      <c r="A82" s="392"/>
      <c r="B82" s="5"/>
      <c r="C82" s="393"/>
      <c r="D82" s="377"/>
      <c r="E82" s="259"/>
      <c r="F82" s="378"/>
      <c r="G82" s="534"/>
      <c r="H82" s="380"/>
      <c r="I82" s="378"/>
      <c r="J82" s="381"/>
      <c r="K82" s="540"/>
      <c r="M82" s="282"/>
      <c r="N82" s="157"/>
      <c r="O82" s="386"/>
      <c r="P82" s="387"/>
      <c r="Q82" s="388"/>
    </row>
    <row r="83" spans="1:17" s="159" customFormat="1" ht="13.8" thickTop="1" x14ac:dyDescent="0.25">
      <c r="A83" s="392"/>
      <c r="B83" s="417"/>
      <c r="C83" s="393"/>
      <c r="D83" s="377"/>
      <c r="E83" s="259"/>
      <c r="F83" s="378"/>
      <c r="G83" s="534"/>
      <c r="H83" s="380"/>
      <c r="I83" s="378"/>
      <c r="J83" s="394" t="s">
        <v>30</v>
      </c>
      <c r="K83" s="537">
        <f>SUM(K77:K82)</f>
        <v>0</v>
      </c>
      <c r="M83" s="282"/>
      <c r="N83" s="157"/>
      <c r="O83" s="386"/>
      <c r="P83" s="387"/>
      <c r="Q83" s="388"/>
    </row>
    <row r="84" spans="1:17" s="159" customFormat="1" ht="13.8" thickBot="1" x14ac:dyDescent="0.3">
      <c r="A84" s="358" t="s">
        <v>0</v>
      </c>
      <c r="B84" s="359" t="s">
        <v>1</v>
      </c>
      <c r="C84" s="1018" t="s">
        <v>656</v>
      </c>
      <c r="D84" s="1018"/>
      <c r="E84" s="1018"/>
      <c r="F84" s="1018"/>
      <c r="G84" s="1018" t="s">
        <v>34</v>
      </c>
      <c r="H84" s="1018"/>
      <c r="I84" s="1018"/>
      <c r="J84" s="360"/>
      <c r="K84" s="528"/>
      <c r="L84" s="396"/>
      <c r="M84" s="397"/>
      <c r="N84" s="398"/>
      <c r="O84" s="386"/>
      <c r="P84" s="387"/>
      <c r="Q84" s="388"/>
    </row>
    <row r="85" spans="1:17" s="159" customFormat="1" ht="16.2" thickBot="1" x14ac:dyDescent="0.35">
      <c r="A85" s="399"/>
      <c r="B85" s="400"/>
      <c r="C85" s="401" t="s">
        <v>19</v>
      </c>
      <c r="D85" s="402" t="s">
        <v>33</v>
      </c>
      <c r="E85" s="403" t="s">
        <v>35</v>
      </c>
      <c r="F85" s="404" t="s">
        <v>30</v>
      </c>
      <c r="G85" s="538" t="s">
        <v>14</v>
      </c>
      <c r="H85" s="403" t="s">
        <v>35</v>
      </c>
      <c r="I85" s="404" t="s">
        <v>30</v>
      </c>
      <c r="J85" s="369" t="s">
        <v>659</v>
      </c>
      <c r="K85" s="539" t="s">
        <v>38</v>
      </c>
      <c r="L85" s="407"/>
      <c r="M85" s="408"/>
      <c r="N85" s="409"/>
      <c r="O85" s="386"/>
      <c r="P85" s="387"/>
      <c r="Q85" s="388"/>
    </row>
    <row r="86" spans="1:17" s="159" customFormat="1" x14ac:dyDescent="0.25">
      <c r="A86" s="410"/>
      <c r="B86" s="411"/>
      <c r="C86" s="376"/>
      <c r="D86" s="377" t="s">
        <v>21</v>
      </c>
      <c r="E86" s="259">
        <v>0</v>
      </c>
      <c r="F86" s="378">
        <f>C86*E86</f>
        <v>0</v>
      </c>
      <c r="G86" s="534"/>
      <c r="H86" s="380">
        <v>0</v>
      </c>
      <c r="I86" s="378">
        <f>G86*H86</f>
        <v>0</v>
      </c>
      <c r="J86" s="381"/>
      <c r="K86" s="535">
        <f>F86+I86+J86</f>
        <v>0</v>
      </c>
      <c r="L86" s="383"/>
      <c r="M86" s="384"/>
      <c r="N86" s="385"/>
      <c r="O86" s="386"/>
      <c r="P86" s="387"/>
      <c r="Q86" s="388"/>
    </row>
    <row r="87" spans="1:17" s="159" customFormat="1" x14ac:dyDescent="0.25">
      <c r="A87" s="375"/>
      <c r="B87" s="5"/>
      <c r="C87" s="376"/>
      <c r="D87" s="377" t="s">
        <v>21</v>
      </c>
      <c r="E87" s="259">
        <v>0</v>
      </c>
      <c r="F87" s="378">
        <f>C87*E87</f>
        <v>0</v>
      </c>
      <c r="G87" s="534"/>
      <c r="H87" s="380">
        <v>0</v>
      </c>
      <c r="I87" s="378">
        <f>G87*H87</f>
        <v>0</v>
      </c>
      <c r="J87" s="381"/>
      <c r="K87" s="535">
        <f>F87+I87+J87</f>
        <v>0</v>
      </c>
      <c r="L87" s="670"/>
      <c r="M87" s="671"/>
      <c r="N87" s="673"/>
      <c r="O87" s="386"/>
      <c r="P87" s="387"/>
      <c r="Q87" s="388"/>
    </row>
    <row r="88" spans="1:17" s="159" customFormat="1" x14ac:dyDescent="0.25">
      <c r="A88" s="375"/>
      <c r="B88" s="5"/>
      <c r="C88" s="376"/>
      <c r="D88" s="377" t="s">
        <v>21</v>
      </c>
      <c r="E88" s="259">
        <v>0</v>
      </c>
      <c r="F88" s="378">
        <f>C88*E88</f>
        <v>0</v>
      </c>
      <c r="G88" s="534"/>
      <c r="H88" s="380">
        <v>0</v>
      </c>
      <c r="I88" s="378">
        <f>G88*H88</f>
        <v>0</v>
      </c>
      <c r="J88" s="381"/>
      <c r="K88" s="535">
        <f>F88+I88+J88</f>
        <v>0</v>
      </c>
      <c r="L88" s="670"/>
      <c r="M88" s="671"/>
      <c r="N88" s="673"/>
      <c r="O88" s="386"/>
      <c r="P88" s="387"/>
      <c r="Q88" s="388"/>
    </row>
    <row r="89" spans="1:17" s="159" customFormat="1" x14ac:dyDescent="0.25">
      <c r="A89" s="375"/>
      <c r="B89" s="5"/>
      <c r="C89" s="376"/>
      <c r="D89" s="377" t="s">
        <v>21</v>
      </c>
      <c r="E89" s="259">
        <v>0</v>
      </c>
      <c r="F89" s="378">
        <f>C89*E89</f>
        <v>0</v>
      </c>
      <c r="G89" s="534"/>
      <c r="H89" s="380">
        <v>0</v>
      </c>
      <c r="I89" s="378">
        <f>G89*H89</f>
        <v>0</v>
      </c>
      <c r="J89" s="381"/>
      <c r="K89" s="535">
        <f>F89+I89+J89</f>
        <v>0</v>
      </c>
      <c r="L89" s="670"/>
      <c r="M89" s="671"/>
      <c r="N89" s="673"/>
      <c r="O89" s="386"/>
      <c r="P89" s="387"/>
      <c r="Q89" s="388"/>
    </row>
    <row r="90" spans="1:17" s="159" customFormat="1" ht="13.8" thickBot="1" x14ac:dyDescent="0.3">
      <c r="A90" s="392"/>
      <c r="B90" s="417"/>
      <c r="C90" s="376"/>
      <c r="D90" s="377"/>
      <c r="E90" s="259"/>
      <c r="F90" s="378"/>
      <c r="G90" s="534"/>
      <c r="H90" s="380"/>
      <c r="I90" s="378"/>
      <c r="J90" s="381"/>
      <c r="K90" s="535"/>
      <c r="L90" s="670"/>
      <c r="M90" s="671"/>
      <c r="N90" s="673"/>
      <c r="O90" s="386"/>
      <c r="P90" s="387"/>
      <c r="Q90" s="388"/>
    </row>
    <row r="91" spans="1:17" s="159" customFormat="1" ht="14.4" thickTop="1" thickBot="1" x14ac:dyDescent="0.3">
      <c r="A91" s="475"/>
      <c r="B91" s="156"/>
      <c r="C91" s="476"/>
      <c r="D91" s="477"/>
      <c r="E91" s="478"/>
      <c r="F91" s="479"/>
      <c r="G91" s="638"/>
      <c r="H91" s="478"/>
      <c r="I91" s="479"/>
      <c r="J91" s="481" t="s">
        <v>30</v>
      </c>
      <c r="K91" s="639">
        <f>SUM(K86:K90)</f>
        <v>0</v>
      </c>
      <c r="M91" s="280"/>
    </row>
    <row r="92" spans="1:17" s="159" customFormat="1" ht="14.1" customHeight="1" thickBot="1" x14ac:dyDescent="0.3">
      <c r="A92" s="483"/>
      <c r="B92" s="484"/>
      <c r="C92" s="485"/>
      <c r="D92" s="485"/>
      <c r="E92" s="486"/>
      <c r="F92" s="1048" t="s">
        <v>658</v>
      </c>
      <c r="G92" s="1071" t="s">
        <v>684</v>
      </c>
      <c r="H92" s="486"/>
      <c r="I92" s="1041" t="s">
        <v>657</v>
      </c>
      <c r="J92" s="1037" t="s">
        <v>685</v>
      </c>
      <c r="K92" s="1035" t="s">
        <v>31</v>
      </c>
      <c r="L92" s="674"/>
      <c r="M92" s="675"/>
      <c r="N92" s="676"/>
      <c r="O92" s="465"/>
      <c r="P92" s="466"/>
      <c r="Q92" s="467"/>
    </row>
    <row r="93" spans="1:17" s="159" customFormat="1" ht="14.4" thickTop="1" x14ac:dyDescent="0.25">
      <c r="A93" s="487" t="s">
        <v>32</v>
      </c>
      <c r="B93" s="1043" t="s">
        <v>667</v>
      </c>
      <c r="C93" s="488"/>
      <c r="D93" s="489"/>
      <c r="E93" s="489"/>
      <c r="F93" s="1049"/>
      <c r="G93" s="1072"/>
      <c r="H93" s="490"/>
      <c r="I93" s="1042"/>
      <c r="J93" s="1038"/>
      <c r="K93" s="1036"/>
      <c r="M93" s="280"/>
    </row>
    <row r="94" spans="1:17" s="159" customFormat="1" ht="13.8" x14ac:dyDescent="0.25">
      <c r="A94" s="829">
        <f>K94/E6</f>
        <v>18.150242326332794</v>
      </c>
      <c r="B94" s="1043"/>
      <c r="C94" s="489"/>
      <c r="D94" s="489"/>
      <c r="E94" s="489"/>
      <c r="F94" s="1031">
        <f>SUM(F77:F82,F70:F73,F49:F66,F38:F45,F27:F34,F11:F23)</f>
        <v>0</v>
      </c>
      <c r="G94" s="1076">
        <f>SUM(G77:G82,G70:G73,G49:G66,G38:G45,G27:G34,G11:G23)</f>
        <v>0</v>
      </c>
      <c r="H94" s="490"/>
      <c r="I94" s="1031">
        <f>SUM(I77:I82,I70:I73,I49:I66,I38:I45,I27:I34,I11:I23)</f>
        <v>0</v>
      </c>
      <c r="J94" s="1031">
        <f>SUM(J77:J82,J70:J73,J49:J66,J38:J45,J27:J34,J11:J23)</f>
        <v>112350</v>
      </c>
      <c r="K94" s="1033">
        <f>K91+K83+K74+K67+K46+K35+K24</f>
        <v>112350</v>
      </c>
      <c r="M94" s="280"/>
    </row>
    <row r="95" spans="1:17" s="159" customFormat="1" ht="14.4" thickBot="1" x14ac:dyDescent="0.3">
      <c r="A95" s="487"/>
      <c r="B95" s="555"/>
      <c r="C95" s="493"/>
      <c r="D95" s="493"/>
      <c r="E95" s="493"/>
      <c r="F95" s="1032"/>
      <c r="G95" s="1077"/>
      <c r="H95" s="493"/>
      <c r="I95" s="1032"/>
      <c r="J95" s="1032"/>
      <c r="K95" s="1034"/>
      <c r="M95" s="280"/>
    </row>
    <row r="96" spans="1:17" s="159" customFormat="1" ht="13.8" thickBot="1" x14ac:dyDescent="0.3">
      <c r="A96" s="494"/>
      <c r="B96" s="495"/>
      <c r="C96" s="495"/>
      <c r="D96" s="495"/>
      <c r="E96" s="495"/>
      <c r="F96" s="495"/>
      <c r="G96" s="495"/>
      <c r="H96" s="495"/>
      <c r="I96" s="495"/>
      <c r="J96" s="495"/>
      <c r="K96" s="496"/>
      <c r="M96" s="280"/>
    </row>
    <row r="97" spans="3:16" s="159" customFormat="1" x14ac:dyDescent="0.25">
      <c r="C97" s="658"/>
      <c r="D97" s="658"/>
      <c r="J97" s="280"/>
      <c r="M97" s="280"/>
    </row>
    <row r="98" spans="3:16" s="159" customFormat="1" x14ac:dyDescent="0.25">
      <c r="C98" s="658"/>
      <c r="D98" s="658"/>
      <c r="J98" s="280"/>
      <c r="M98" s="282"/>
      <c r="N98" s="157"/>
      <c r="O98" s="308"/>
      <c r="P98" s="308"/>
    </row>
    <row r="99" spans="3:16" s="159" customFormat="1" x14ac:dyDescent="0.25">
      <c r="C99" s="658"/>
      <c r="D99" s="658"/>
      <c r="J99" s="280"/>
      <c r="M99" s="282"/>
      <c r="N99" s="157"/>
      <c r="O99" s="308"/>
      <c r="P99" s="308"/>
    </row>
    <row r="100" spans="3:16" s="159" customFormat="1" x14ac:dyDescent="0.25">
      <c r="C100" s="658"/>
      <c r="D100" s="658"/>
      <c r="J100" s="280"/>
      <c r="M100" s="282"/>
      <c r="N100" s="157"/>
      <c r="O100" s="308"/>
      <c r="P100" s="308"/>
    </row>
    <row r="101" spans="3:16" s="159" customFormat="1" x14ac:dyDescent="0.25">
      <c r="C101" s="658"/>
      <c r="D101" s="658"/>
      <c r="J101" s="280"/>
      <c r="M101" s="282"/>
      <c r="N101" s="157"/>
      <c r="O101" s="308"/>
      <c r="P101" s="308"/>
    </row>
    <row r="102" spans="3:16" s="159" customFormat="1" x14ac:dyDescent="0.25">
      <c r="C102" s="658"/>
      <c r="D102" s="658"/>
      <c r="J102" s="280"/>
      <c r="M102" s="282"/>
      <c r="N102" s="157"/>
      <c r="O102" s="308"/>
      <c r="P102" s="308"/>
    </row>
    <row r="103" spans="3:16" s="159" customFormat="1" x14ac:dyDescent="0.25">
      <c r="C103" s="658"/>
      <c r="D103" s="658"/>
      <c r="J103" s="280"/>
      <c r="M103" s="282"/>
      <c r="N103" s="157"/>
      <c r="O103" s="308"/>
      <c r="P103" s="308"/>
    </row>
    <row r="104" spans="3:16" s="159" customFormat="1" x14ac:dyDescent="0.25">
      <c r="C104" s="658"/>
      <c r="D104" s="658"/>
      <c r="J104" s="280"/>
      <c r="M104" s="282"/>
      <c r="N104" s="157"/>
      <c r="O104" s="308"/>
      <c r="P104" s="308"/>
    </row>
    <row r="105" spans="3:16" s="159" customFormat="1" x14ac:dyDescent="0.25">
      <c r="C105" s="658"/>
      <c r="D105" s="658"/>
      <c r="J105" s="280"/>
      <c r="M105" s="282"/>
      <c r="N105" s="157"/>
      <c r="O105" s="308"/>
      <c r="P105" s="308"/>
    </row>
    <row r="106" spans="3:16" s="159" customFormat="1" x14ac:dyDescent="0.25">
      <c r="C106" s="658"/>
      <c r="D106" s="658"/>
      <c r="J106" s="280"/>
      <c r="M106" s="282"/>
      <c r="N106" s="157"/>
      <c r="O106" s="308"/>
      <c r="P106" s="308"/>
    </row>
    <row r="107" spans="3:16" s="159" customFormat="1" x14ac:dyDescent="0.25">
      <c r="C107" s="658"/>
      <c r="D107" s="658"/>
      <c r="J107" s="280"/>
      <c r="M107" s="282"/>
      <c r="N107" s="157"/>
      <c r="O107" s="308"/>
      <c r="P107" s="308"/>
    </row>
    <row r="108" spans="3:16" s="159" customFormat="1" x14ac:dyDescent="0.25">
      <c r="C108" s="658"/>
      <c r="D108" s="658"/>
      <c r="J108" s="280"/>
      <c r="M108" s="282"/>
      <c r="N108" s="157"/>
      <c r="O108" s="308"/>
      <c r="P108" s="308"/>
    </row>
    <row r="109" spans="3:16" s="159" customFormat="1" x14ac:dyDescent="0.25">
      <c r="C109" s="658"/>
      <c r="D109" s="658"/>
      <c r="J109" s="280"/>
      <c r="M109" s="282"/>
      <c r="N109" s="157"/>
      <c r="O109" s="308"/>
      <c r="P109" s="308"/>
    </row>
    <row r="110" spans="3:16" s="159" customFormat="1" x14ac:dyDescent="0.25">
      <c r="C110" s="658"/>
      <c r="D110" s="658"/>
      <c r="J110" s="280"/>
      <c r="M110" s="282"/>
      <c r="N110" s="157"/>
      <c r="O110" s="308"/>
      <c r="P110" s="308"/>
    </row>
    <row r="111" spans="3:16" s="159" customFormat="1" x14ac:dyDescent="0.25">
      <c r="C111" s="658"/>
      <c r="D111" s="658"/>
      <c r="J111" s="280"/>
      <c r="M111" s="282"/>
      <c r="N111" s="157"/>
      <c r="O111" s="308"/>
      <c r="P111" s="308"/>
    </row>
    <row r="112" spans="3:16" s="159" customFormat="1" x14ac:dyDescent="0.25">
      <c r="C112" s="658"/>
      <c r="D112" s="658"/>
      <c r="J112" s="280"/>
      <c r="M112" s="282"/>
      <c r="N112" s="157"/>
      <c r="O112" s="308"/>
      <c r="P112" s="308"/>
    </row>
    <row r="113" spans="3:16" s="159" customFormat="1" x14ac:dyDescent="0.25">
      <c r="C113" s="658"/>
      <c r="D113" s="658"/>
      <c r="J113" s="280"/>
      <c r="M113" s="282"/>
      <c r="N113" s="157"/>
      <c r="O113" s="308"/>
      <c r="P113" s="308"/>
    </row>
    <row r="114" spans="3:16" s="159" customFormat="1" x14ac:dyDescent="0.25">
      <c r="C114" s="658"/>
      <c r="D114" s="658"/>
      <c r="J114" s="280"/>
      <c r="M114" s="282"/>
      <c r="N114" s="157"/>
      <c r="O114" s="308"/>
      <c r="P114" s="308"/>
    </row>
    <row r="115" spans="3:16" s="159" customFormat="1" x14ac:dyDescent="0.25">
      <c r="C115" s="658"/>
      <c r="D115" s="658"/>
      <c r="J115" s="280"/>
      <c r="M115" s="282"/>
      <c r="N115" s="157"/>
      <c r="O115" s="308"/>
      <c r="P115" s="308"/>
    </row>
    <row r="116" spans="3:16" s="159" customFormat="1" x14ac:dyDescent="0.25">
      <c r="C116" s="658"/>
      <c r="D116" s="658"/>
      <c r="J116" s="280"/>
      <c r="M116" s="282"/>
      <c r="N116" s="157"/>
      <c r="O116" s="308"/>
      <c r="P116" s="308"/>
    </row>
    <row r="117" spans="3:16" s="159" customFormat="1" x14ac:dyDescent="0.25">
      <c r="C117" s="658"/>
      <c r="D117" s="658"/>
      <c r="J117" s="280"/>
      <c r="M117" s="282"/>
      <c r="N117" s="157"/>
      <c r="O117" s="308"/>
      <c r="P117" s="308"/>
    </row>
    <row r="118" spans="3:16" s="159" customFormat="1" x14ac:dyDescent="0.25">
      <c r="C118" s="658"/>
      <c r="D118" s="658"/>
      <c r="J118" s="280"/>
      <c r="M118" s="282"/>
      <c r="N118" s="157"/>
      <c r="O118" s="308"/>
      <c r="P118" s="308"/>
    </row>
    <row r="119" spans="3:16" s="159" customFormat="1" x14ac:dyDescent="0.25">
      <c r="C119" s="658"/>
      <c r="D119" s="658"/>
      <c r="J119" s="280"/>
      <c r="M119" s="282"/>
      <c r="N119" s="157"/>
      <c r="O119" s="308"/>
      <c r="P119" s="308"/>
    </row>
    <row r="120" spans="3:16" s="159" customFormat="1" x14ac:dyDescent="0.25">
      <c r="C120" s="658"/>
      <c r="D120" s="658"/>
      <c r="J120" s="280"/>
      <c r="M120" s="282"/>
      <c r="N120" s="157"/>
      <c r="O120" s="308"/>
      <c r="P120" s="308"/>
    </row>
    <row r="121" spans="3:16" s="159" customFormat="1" x14ac:dyDescent="0.25">
      <c r="C121" s="658"/>
      <c r="D121" s="658"/>
      <c r="J121" s="280"/>
      <c r="M121" s="282"/>
      <c r="N121" s="157"/>
      <c r="O121" s="308"/>
      <c r="P121" s="308"/>
    </row>
    <row r="122" spans="3:16" s="159" customFormat="1" x14ac:dyDescent="0.25">
      <c r="C122" s="658"/>
      <c r="D122" s="658"/>
      <c r="J122" s="280"/>
      <c r="M122" s="282"/>
      <c r="N122" s="157"/>
      <c r="O122" s="308"/>
      <c r="P122" s="308"/>
    </row>
    <row r="123" spans="3:16" s="159" customFormat="1" x14ac:dyDescent="0.25">
      <c r="C123" s="658"/>
      <c r="D123" s="658"/>
      <c r="J123" s="280"/>
      <c r="M123" s="282"/>
      <c r="N123" s="157"/>
      <c r="O123" s="308"/>
      <c r="P123" s="308"/>
    </row>
    <row r="124" spans="3:16" s="159" customFormat="1" x14ac:dyDescent="0.25">
      <c r="C124" s="658"/>
      <c r="D124" s="658"/>
      <c r="J124" s="280"/>
      <c r="M124" s="282"/>
      <c r="N124" s="157"/>
      <c r="O124" s="308"/>
      <c r="P124" s="308"/>
    </row>
    <row r="125" spans="3:16" s="159" customFormat="1" x14ac:dyDescent="0.25">
      <c r="C125" s="658"/>
      <c r="D125" s="658"/>
      <c r="J125" s="280"/>
      <c r="M125" s="282"/>
      <c r="N125" s="157"/>
      <c r="O125" s="308"/>
      <c r="P125" s="308"/>
    </row>
    <row r="126" spans="3:16" s="159" customFormat="1" x14ac:dyDescent="0.25">
      <c r="C126" s="658"/>
      <c r="D126" s="658"/>
      <c r="J126" s="280"/>
      <c r="M126" s="282"/>
      <c r="N126" s="157"/>
      <c r="O126" s="308"/>
      <c r="P126" s="308"/>
    </row>
    <row r="127" spans="3:16" s="159" customFormat="1" x14ac:dyDescent="0.25">
      <c r="C127" s="658"/>
      <c r="D127" s="658"/>
      <c r="J127" s="280"/>
      <c r="M127" s="282"/>
      <c r="N127" s="157"/>
      <c r="O127" s="308"/>
      <c r="P127" s="308"/>
    </row>
    <row r="128" spans="3:16" s="159" customFormat="1" x14ac:dyDescent="0.25">
      <c r="C128" s="658"/>
      <c r="D128" s="658"/>
      <c r="J128" s="280"/>
      <c r="M128" s="282"/>
      <c r="N128" s="157"/>
      <c r="O128" s="308"/>
      <c r="P128" s="308"/>
    </row>
    <row r="129" spans="3:16" s="159" customFormat="1" x14ac:dyDescent="0.25">
      <c r="C129" s="658"/>
      <c r="D129" s="658"/>
      <c r="J129" s="280"/>
      <c r="M129" s="282"/>
      <c r="N129" s="157"/>
      <c r="O129" s="308"/>
      <c r="P129" s="308"/>
    </row>
    <row r="130" spans="3:16" s="159" customFormat="1" x14ac:dyDescent="0.25">
      <c r="C130" s="658"/>
      <c r="D130" s="658"/>
      <c r="J130" s="280"/>
      <c r="M130" s="282"/>
      <c r="N130" s="157"/>
      <c r="O130" s="308"/>
      <c r="P130" s="308"/>
    </row>
    <row r="131" spans="3:16" s="159" customFormat="1" x14ac:dyDescent="0.25">
      <c r="C131" s="658"/>
      <c r="D131" s="658"/>
      <c r="J131" s="280"/>
      <c r="M131" s="282"/>
      <c r="N131" s="157"/>
      <c r="O131" s="308"/>
      <c r="P131" s="308"/>
    </row>
    <row r="132" spans="3:16" s="159" customFormat="1" x14ac:dyDescent="0.25">
      <c r="C132" s="658"/>
      <c r="D132" s="658"/>
      <c r="J132" s="280"/>
      <c r="M132" s="282"/>
      <c r="N132" s="157"/>
      <c r="O132" s="308"/>
      <c r="P132" s="308"/>
    </row>
    <row r="133" spans="3:16" s="159" customFormat="1" x14ac:dyDescent="0.25">
      <c r="C133" s="658"/>
      <c r="D133" s="658"/>
      <c r="J133" s="280"/>
      <c r="M133" s="282"/>
      <c r="N133" s="157"/>
      <c r="O133" s="308"/>
      <c r="P133" s="308"/>
    </row>
    <row r="134" spans="3:16" s="159" customFormat="1" x14ac:dyDescent="0.25">
      <c r="C134" s="658"/>
      <c r="D134" s="658"/>
      <c r="J134" s="280"/>
      <c r="M134" s="282"/>
      <c r="N134" s="157"/>
      <c r="O134" s="308"/>
      <c r="P134" s="308"/>
    </row>
    <row r="135" spans="3:16" s="159" customFormat="1" x14ac:dyDescent="0.25">
      <c r="C135" s="658"/>
      <c r="D135" s="658"/>
      <c r="J135" s="280"/>
      <c r="M135" s="282"/>
      <c r="N135" s="157"/>
      <c r="O135" s="308"/>
      <c r="P135" s="308"/>
    </row>
    <row r="136" spans="3:16" s="159" customFormat="1" x14ac:dyDescent="0.25">
      <c r="C136" s="658"/>
      <c r="D136" s="658"/>
      <c r="J136" s="280"/>
      <c r="M136" s="282"/>
      <c r="N136" s="157"/>
      <c r="O136" s="308"/>
      <c r="P136" s="308"/>
    </row>
    <row r="137" spans="3:16" s="159" customFormat="1" x14ac:dyDescent="0.25">
      <c r="C137" s="658"/>
      <c r="D137" s="658"/>
      <c r="J137" s="280"/>
      <c r="M137" s="282"/>
      <c r="N137" s="157"/>
      <c r="O137" s="308"/>
      <c r="P137" s="308"/>
    </row>
    <row r="138" spans="3:16" s="159" customFormat="1" x14ac:dyDescent="0.25">
      <c r="C138" s="658"/>
      <c r="D138" s="658"/>
      <c r="J138" s="280"/>
      <c r="M138" s="282"/>
      <c r="N138" s="157"/>
      <c r="O138" s="308"/>
      <c r="P138" s="308"/>
    </row>
    <row r="139" spans="3:16" s="159" customFormat="1" x14ac:dyDescent="0.25">
      <c r="C139" s="658"/>
      <c r="D139" s="658"/>
      <c r="J139" s="280"/>
      <c r="M139" s="282"/>
      <c r="N139" s="157"/>
      <c r="O139" s="308"/>
      <c r="P139" s="308"/>
    </row>
    <row r="140" spans="3:16" s="159" customFormat="1" x14ac:dyDescent="0.25">
      <c r="C140" s="658"/>
      <c r="D140" s="658"/>
      <c r="J140" s="280"/>
      <c r="M140" s="282"/>
      <c r="N140" s="157"/>
      <c r="O140" s="308"/>
      <c r="P140" s="308"/>
    </row>
    <row r="141" spans="3:16" s="159" customFormat="1" x14ac:dyDescent="0.25">
      <c r="C141" s="658"/>
      <c r="D141" s="658"/>
      <c r="J141" s="280"/>
      <c r="M141" s="282"/>
      <c r="N141" s="157"/>
      <c r="O141" s="308"/>
      <c r="P141" s="308"/>
    </row>
    <row r="142" spans="3:16" s="159" customFormat="1" x14ac:dyDescent="0.25">
      <c r="C142" s="658"/>
      <c r="D142" s="658"/>
      <c r="J142" s="280"/>
      <c r="M142" s="282"/>
      <c r="N142" s="157"/>
      <c r="O142" s="308"/>
      <c r="P142" s="308"/>
    </row>
    <row r="143" spans="3:16" s="159" customFormat="1" x14ac:dyDescent="0.25">
      <c r="C143" s="658"/>
      <c r="D143" s="658"/>
      <c r="J143" s="280"/>
      <c r="M143" s="282"/>
      <c r="N143" s="157"/>
      <c r="O143" s="308"/>
      <c r="P143" s="308"/>
    </row>
    <row r="144" spans="3:16" s="159" customFormat="1" x14ac:dyDescent="0.25">
      <c r="C144" s="658"/>
      <c r="D144" s="658"/>
      <c r="J144" s="280"/>
      <c r="M144" s="282"/>
      <c r="N144" s="157"/>
      <c r="O144" s="308"/>
      <c r="P144" s="308"/>
    </row>
    <row r="145" spans="3:16" s="159" customFormat="1" x14ac:dyDescent="0.25">
      <c r="C145" s="658"/>
      <c r="D145" s="658"/>
      <c r="J145" s="280"/>
      <c r="M145" s="282"/>
      <c r="N145" s="157"/>
      <c r="O145" s="308"/>
      <c r="P145" s="308"/>
    </row>
    <row r="146" spans="3:16" s="159" customFormat="1" x14ac:dyDescent="0.25">
      <c r="C146" s="658"/>
      <c r="D146" s="658"/>
      <c r="J146" s="280"/>
      <c r="M146" s="282"/>
      <c r="N146" s="157"/>
      <c r="O146" s="308"/>
      <c r="P146" s="308"/>
    </row>
    <row r="147" spans="3:16" s="159" customFormat="1" x14ac:dyDescent="0.25">
      <c r="C147" s="658"/>
      <c r="D147" s="658"/>
      <c r="J147" s="280"/>
      <c r="M147" s="282"/>
      <c r="N147" s="157"/>
      <c r="O147" s="308"/>
      <c r="P147" s="308"/>
    </row>
    <row r="148" spans="3:16" s="159" customFormat="1" x14ac:dyDescent="0.25">
      <c r="C148" s="658"/>
      <c r="D148" s="658"/>
      <c r="J148" s="280"/>
      <c r="M148" s="282"/>
      <c r="N148" s="157"/>
      <c r="O148" s="308"/>
      <c r="P148" s="308"/>
    </row>
    <row r="149" spans="3:16" s="159" customFormat="1" x14ac:dyDescent="0.25">
      <c r="C149" s="658"/>
      <c r="D149" s="658"/>
      <c r="J149" s="280"/>
      <c r="M149" s="282"/>
      <c r="N149" s="157"/>
      <c r="O149" s="308"/>
      <c r="P149" s="308"/>
    </row>
    <row r="150" spans="3:16" s="159" customFormat="1" x14ac:dyDescent="0.25">
      <c r="C150" s="658"/>
      <c r="D150" s="658"/>
      <c r="J150" s="280"/>
      <c r="M150" s="282"/>
      <c r="N150" s="157"/>
      <c r="O150" s="308"/>
      <c r="P150" s="308"/>
    </row>
    <row r="151" spans="3:16" s="159" customFormat="1" x14ac:dyDescent="0.25">
      <c r="C151" s="658"/>
      <c r="D151" s="658"/>
      <c r="J151" s="280"/>
      <c r="M151" s="282"/>
      <c r="N151" s="157"/>
      <c r="O151" s="308"/>
      <c r="P151" s="308"/>
    </row>
    <row r="152" spans="3:16" s="159" customFormat="1" x14ac:dyDescent="0.25">
      <c r="C152" s="658"/>
      <c r="D152" s="658"/>
      <c r="J152" s="280"/>
      <c r="M152" s="282"/>
      <c r="N152" s="157"/>
      <c r="O152" s="308"/>
      <c r="P152" s="308"/>
    </row>
    <row r="153" spans="3:16" s="159" customFormat="1" x14ac:dyDescent="0.25">
      <c r="C153" s="658"/>
      <c r="D153" s="658"/>
      <c r="J153" s="280"/>
      <c r="M153" s="282"/>
      <c r="N153" s="157"/>
      <c r="O153" s="308"/>
      <c r="P153" s="308"/>
    </row>
    <row r="154" spans="3:16" s="159" customFormat="1" x14ac:dyDescent="0.25">
      <c r="C154" s="658"/>
      <c r="D154" s="658"/>
      <c r="J154" s="280"/>
      <c r="M154" s="282"/>
      <c r="N154" s="157"/>
      <c r="O154" s="308"/>
      <c r="P154" s="308"/>
    </row>
    <row r="155" spans="3:16" s="159" customFormat="1" x14ac:dyDescent="0.25">
      <c r="C155" s="658"/>
      <c r="D155" s="658"/>
      <c r="J155" s="280"/>
      <c r="M155" s="282"/>
      <c r="N155" s="157"/>
      <c r="O155" s="308"/>
      <c r="P155" s="308"/>
    </row>
    <row r="156" spans="3:16" s="159" customFormat="1" x14ac:dyDescent="0.25">
      <c r="C156" s="658"/>
      <c r="D156" s="658"/>
      <c r="J156" s="280"/>
      <c r="M156" s="282"/>
      <c r="N156" s="157"/>
      <c r="O156" s="308"/>
      <c r="P156" s="308"/>
    </row>
    <row r="157" spans="3:16" s="159" customFormat="1" x14ac:dyDescent="0.25">
      <c r="C157" s="658"/>
      <c r="D157" s="658"/>
      <c r="J157" s="280"/>
      <c r="M157" s="282"/>
      <c r="N157" s="157"/>
      <c r="O157" s="308"/>
      <c r="P157" s="308"/>
    </row>
    <row r="158" spans="3:16" s="159" customFormat="1" x14ac:dyDescent="0.25">
      <c r="C158" s="658"/>
      <c r="D158" s="658"/>
      <c r="J158" s="280"/>
      <c r="M158" s="282"/>
      <c r="N158" s="157"/>
      <c r="O158" s="308"/>
      <c r="P158" s="308"/>
    </row>
    <row r="159" spans="3:16" s="159" customFormat="1" x14ac:dyDescent="0.25">
      <c r="C159" s="658"/>
      <c r="D159" s="658"/>
      <c r="J159" s="280"/>
      <c r="M159" s="282"/>
      <c r="N159" s="157"/>
      <c r="O159" s="308"/>
      <c r="P159" s="308"/>
    </row>
    <row r="160" spans="3:16" s="159" customFormat="1" x14ac:dyDescent="0.25">
      <c r="C160" s="658"/>
      <c r="D160" s="658"/>
      <c r="J160" s="280"/>
      <c r="M160" s="282"/>
      <c r="N160" s="157"/>
      <c r="O160" s="308"/>
      <c r="P160" s="308"/>
    </row>
    <row r="161" spans="3:16" s="159" customFormat="1" x14ac:dyDescent="0.25">
      <c r="C161" s="658"/>
      <c r="D161" s="658"/>
      <c r="J161" s="280"/>
      <c r="M161" s="282"/>
      <c r="N161" s="157"/>
      <c r="O161" s="308"/>
      <c r="P161" s="308"/>
    </row>
    <row r="162" spans="3:16" s="159" customFormat="1" x14ac:dyDescent="0.25">
      <c r="C162" s="658"/>
      <c r="D162" s="658"/>
      <c r="J162" s="280"/>
      <c r="M162" s="282"/>
      <c r="N162" s="157"/>
      <c r="O162" s="308"/>
      <c r="P162" s="308"/>
    </row>
    <row r="163" spans="3:16" s="159" customFormat="1" x14ac:dyDescent="0.25">
      <c r="C163" s="658"/>
      <c r="D163" s="658"/>
      <c r="J163" s="280"/>
      <c r="M163" s="282"/>
      <c r="N163" s="157"/>
      <c r="O163" s="308"/>
      <c r="P163" s="308"/>
    </row>
    <row r="164" spans="3:16" s="159" customFormat="1" x14ac:dyDescent="0.25">
      <c r="C164" s="658"/>
      <c r="D164" s="658"/>
      <c r="J164" s="280"/>
      <c r="M164" s="282"/>
      <c r="N164" s="157"/>
      <c r="O164" s="308"/>
      <c r="P164" s="308"/>
    </row>
    <row r="165" spans="3:16" s="159" customFormat="1" x14ac:dyDescent="0.25">
      <c r="C165" s="658"/>
      <c r="D165" s="658"/>
      <c r="J165" s="280"/>
      <c r="M165" s="282"/>
      <c r="N165" s="157"/>
      <c r="O165" s="308"/>
      <c r="P165" s="308"/>
    </row>
    <row r="166" spans="3:16" s="159" customFormat="1" x14ac:dyDescent="0.25">
      <c r="C166" s="658"/>
      <c r="D166" s="658"/>
      <c r="J166" s="280"/>
      <c r="M166" s="282"/>
      <c r="N166" s="157"/>
      <c r="O166" s="308"/>
      <c r="P166" s="308"/>
    </row>
    <row r="167" spans="3:16" s="159" customFormat="1" x14ac:dyDescent="0.25">
      <c r="C167" s="658"/>
      <c r="D167" s="658"/>
      <c r="J167" s="280"/>
      <c r="M167" s="282"/>
      <c r="N167" s="157"/>
      <c r="O167" s="308"/>
      <c r="P167" s="308"/>
    </row>
    <row r="168" spans="3:16" s="159" customFormat="1" x14ac:dyDescent="0.25">
      <c r="C168" s="658"/>
      <c r="D168" s="658"/>
      <c r="J168" s="280"/>
      <c r="M168" s="282"/>
      <c r="N168" s="157"/>
      <c r="O168" s="308"/>
      <c r="P168" s="308"/>
    </row>
    <row r="169" spans="3:16" s="159" customFormat="1" x14ac:dyDescent="0.25">
      <c r="C169" s="658"/>
      <c r="D169" s="658"/>
      <c r="J169" s="280"/>
      <c r="M169" s="282"/>
      <c r="N169" s="157"/>
      <c r="O169" s="308"/>
      <c r="P169" s="308"/>
    </row>
    <row r="170" spans="3:16" s="159" customFormat="1" x14ac:dyDescent="0.25">
      <c r="C170" s="658"/>
      <c r="D170" s="658"/>
      <c r="J170" s="280"/>
      <c r="M170" s="282"/>
      <c r="N170" s="157"/>
      <c r="O170" s="308"/>
      <c r="P170" s="308"/>
    </row>
    <row r="171" spans="3:16" s="159" customFormat="1" x14ac:dyDescent="0.25">
      <c r="C171" s="658"/>
      <c r="D171" s="658"/>
      <c r="J171" s="280"/>
      <c r="M171" s="282"/>
      <c r="N171" s="157"/>
      <c r="O171" s="308"/>
      <c r="P171" s="308"/>
    </row>
    <row r="172" spans="3:16" s="159" customFormat="1" x14ac:dyDescent="0.25">
      <c r="C172" s="658"/>
      <c r="D172" s="658"/>
      <c r="J172" s="280"/>
      <c r="M172" s="282"/>
      <c r="N172" s="157"/>
      <c r="O172" s="308"/>
      <c r="P172" s="308"/>
    </row>
    <row r="173" spans="3:16" s="159" customFormat="1" x14ac:dyDescent="0.25">
      <c r="C173" s="658"/>
      <c r="D173" s="658"/>
      <c r="J173" s="280"/>
      <c r="M173" s="282"/>
      <c r="N173" s="157"/>
      <c r="O173" s="308"/>
      <c r="P173" s="308"/>
    </row>
    <row r="174" spans="3:16" s="159" customFormat="1" x14ac:dyDescent="0.25">
      <c r="C174" s="658"/>
      <c r="D174" s="658"/>
      <c r="J174" s="280"/>
      <c r="M174" s="282"/>
      <c r="N174" s="157"/>
      <c r="O174" s="308"/>
      <c r="P174" s="308"/>
    </row>
    <row r="175" spans="3:16" s="159" customFormat="1" x14ac:dyDescent="0.25">
      <c r="C175" s="658"/>
      <c r="D175" s="658"/>
      <c r="J175" s="280"/>
      <c r="M175" s="282"/>
      <c r="N175" s="157"/>
      <c r="O175" s="308"/>
      <c r="P175" s="308"/>
    </row>
    <row r="176" spans="3:16" s="159" customFormat="1" x14ac:dyDescent="0.25">
      <c r="C176" s="658"/>
      <c r="D176" s="658"/>
      <c r="J176" s="280"/>
      <c r="M176" s="282"/>
      <c r="N176" s="157"/>
      <c r="O176" s="308"/>
      <c r="P176" s="308"/>
    </row>
    <row r="177" spans="3:16" s="159" customFormat="1" x14ac:dyDescent="0.25">
      <c r="C177" s="658"/>
      <c r="D177" s="658"/>
      <c r="J177" s="280"/>
      <c r="M177" s="282"/>
      <c r="N177" s="157"/>
      <c r="O177" s="308"/>
      <c r="P177" s="308"/>
    </row>
    <row r="178" spans="3:16" s="159" customFormat="1" x14ac:dyDescent="0.25">
      <c r="C178" s="658"/>
      <c r="D178" s="658"/>
      <c r="J178" s="280"/>
      <c r="M178" s="282"/>
      <c r="N178" s="157"/>
      <c r="O178" s="308"/>
      <c r="P178" s="308"/>
    </row>
    <row r="179" spans="3:16" s="159" customFormat="1" x14ac:dyDescent="0.25">
      <c r="C179" s="658"/>
      <c r="D179" s="658"/>
      <c r="J179" s="280"/>
      <c r="M179" s="282"/>
      <c r="N179" s="157"/>
      <c r="O179" s="308"/>
      <c r="P179" s="308"/>
    </row>
    <row r="180" spans="3:16" s="159" customFormat="1" x14ac:dyDescent="0.25">
      <c r="C180" s="658"/>
      <c r="D180" s="658"/>
      <c r="J180" s="280"/>
      <c r="M180" s="282"/>
      <c r="N180" s="157"/>
      <c r="O180" s="308"/>
      <c r="P180" s="308"/>
    </row>
    <row r="181" spans="3:16" s="159" customFormat="1" x14ac:dyDescent="0.25">
      <c r="C181" s="658"/>
      <c r="D181" s="658"/>
      <c r="J181" s="280"/>
      <c r="M181" s="282"/>
      <c r="N181" s="157"/>
      <c r="O181" s="308"/>
      <c r="P181" s="308"/>
    </row>
    <row r="182" spans="3:16" s="159" customFormat="1" x14ac:dyDescent="0.25">
      <c r="C182" s="658"/>
      <c r="D182" s="658"/>
      <c r="J182" s="280"/>
      <c r="M182" s="282"/>
      <c r="N182" s="157"/>
      <c r="O182" s="308"/>
      <c r="P182" s="308"/>
    </row>
    <row r="183" spans="3:16" s="159" customFormat="1" x14ac:dyDescent="0.25">
      <c r="C183" s="658"/>
      <c r="D183" s="658"/>
      <c r="J183" s="280"/>
      <c r="M183" s="282"/>
      <c r="N183" s="157"/>
      <c r="O183" s="308"/>
      <c r="P183" s="308"/>
    </row>
    <row r="184" spans="3:16" s="159" customFormat="1" x14ac:dyDescent="0.25">
      <c r="C184" s="658"/>
      <c r="D184" s="658"/>
      <c r="J184" s="280"/>
      <c r="M184" s="282"/>
      <c r="N184" s="157"/>
      <c r="O184" s="308"/>
      <c r="P184" s="308"/>
    </row>
    <row r="185" spans="3:16" s="159" customFormat="1" x14ac:dyDescent="0.25">
      <c r="C185" s="658"/>
      <c r="D185" s="658"/>
      <c r="J185" s="280"/>
      <c r="M185" s="282"/>
      <c r="N185" s="157"/>
      <c r="O185" s="308"/>
      <c r="P185" s="308"/>
    </row>
    <row r="186" spans="3:16" s="159" customFormat="1" x14ac:dyDescent="0.25">
      <c r="C186" s="658"/>
      <c r="D186" s="658"/>
      <c r="J186" s="280"/>
      <c r="M186" s="282"/>
      <c r="N186" s="157"/>
      <c r="O186" s="308"/>
      <c r="P186" s="308"/>
    </row>
    <row r="187" spans="3:16" s="159" customFormat="1" x14ac:dyDescent="0.25">
      <c r="C187" s="658"/>
      <c r="D187" s="658"/>
      <c r="J187" s="280"/>
      <c r="M187" s="282"/>
      <c r="N187" s="157"/>
      <c r="O187" s="308"/>
      <c r="P187" s="308"/>
    </row>
    <row r="188" spans="3:16" s="159" customFormat="1" x14ac:dyDescent="0.25">
      <c r="C188" s="658"/>
      <c r="D188" s="658"/>
      <c r="J188" s="280"/>
      <c r="M188" s="282"/>
      <c r="N188" s="157"/>
      <c r="O188" s="308"/>
      <c r="P188" s="308"/>
    </row>
    <row r="189" spans="3:16" s="159" customFormat="1" x14ac:dyDescent="0.25">
      <c r="C189" s="658"/>
      <c r="D189" s="658"/>
      <c r="J189" s="280"/>
      <c r="M189" s="282"/>
      <c r="N189" s="157"/>
      <c r="O189" s="308"/>
      <c r="P189" s="308"/>
    </row>
    <row r="190" spans="3:16" s="159" customFormat="1" x14ac:dyDescent="0.25">
      <c r="C190" s="658"/>
      <c r="D190" s="658"/>
      <c r="J190" s="280"/>
      <c r="M190" s="282"/>
      <c r="N190" s="157"/>
      <c r="O190" s="308"/>
      <c r="P190" s="308"/>
    </row>
    <row r="191" spans="3:16" s="159" customFormat="1" x14ac:dyDescent="0.25">
      <c r="C191" s="658"/>
      <c r="D191" s="658"/>
      <c r="J191" s="280"/>
      <c r="M191" s="282"/>
      <c r="N191" s="157"/>
      <c r="O191" s="308"/>
      <c r="P191" s="308"/>
    </row>
    <row r="192" spans="3:16" s="159" customFormat="1" x14ac:dyDescent="0.25">
      <c r="C192" s="658"/>
      <c r="D192" s="658"/>
      <c r="J192" s="280"/>
      <c r="M192" s="282"/>
      <c r="N192" s="157"/>
      <c r="O192" s="308"/>
      <c r="P192" s="308"/>
    </row>
    <row r="193" spans="3:16" s="159" customFormat="1" x14ac:dyDescent="0.25">
      <c r="C193" s="658"/>
      <c r="D193" s="658"/>
      <c r="J193" s="280"/>
      <c r="M193" s="282"/>
      <c r="N193" s="157"/>
      <c r="O193" s="308"/>
      <c r="P193" s="308"/>
    </row>
    <row r="194" spans="3:16" s="159" customFormat="1" x14ac:dyDescent="0.25">
      <c r="C194" s="658"/>
      <c r="D194" s="658"/>
      <c r="J194" s="280"/>
      <c r="M194" s="282"/>
      <c r="N194" s="157"/>
      <c r="O194" s="308"/>
      <c r="P194" s="308"/>
    </row>
    <row r="195" spans="3:16" s="159" customFormat="1" x14ac:dyDescent="0.25">
      <c r="C195" s="658"/>
      <c r="D195" s="658"/>
      <c r="J195" s="280"/>
      <c r="M195" s="282"/>
      <c r="N195" s="157"/>
      <c r="O195" s="308"/>
      <c r="P195" s="308"/>
    </row>
    <row r="196" spans="3:16" s="159" customFormat="1" x14ac:dyDescent="0.25">
      <c r="C196" s="658"/>
      <c r="D196" s="658"/>
      <c r="J196" s="280"/>
      <c r="M196" s="282"/>
      <c r="N196" s="157"/>
      <c r="O196" s="308"/>
      <c r="P196" s="308"/>
    </row>
    <row r="197" spans="3:16" s="159" customFormat="1" x14ac:dyDescent="0.25">
      <c r="C197" s="658"/>
      <c r="D197" s="658"/>
      <c r="J197" s="280"/>
      <c r="M197" s="282"/>
      <c r="N197" s="157"/>
      <c r="O197" s="308"/>
      <c r="P197" s="308"/>
    </row>
    <row r="198" spans="3:16" s="159" customFormat="1" x14ac:dyDescent="0.25">
      <c r="C198" s="658"/>
      <c r="D198" s="658"/>
      <c r="J198" s="280"/>
      <c r="M198" s="282"/>
      <c r="N198" s="157"/>
      <c r="O198" s="308"/>
      <c r="P198" s="308"/>
    </row>
    <row r="199" spans="3:16" s="159" customFormat="1" x14ac:dyDescent="0.25">
      <c r="C199" s="658"/>
      <c r="D199" s="658"/>
      <c r="J199" s="280"/>
      <c r="M199" s="282"/>
      <c r="N199" s="157"/>
      <c r="O199" s="308"/>
      <c r="P199" s="308"/>
    </row>
    <row r="200" spans="3:16" s="159" customFormat="1" x14ac:dyDescent="0.25">
      <c r="C200" s="658"/>
      <c r="D200" s="658"/>
      <c r="J200" s="280"/>
      <c r="M200" s="282"/>
      <c r="N200" s="157"/>
      <c r="O200" s="308"/>
      <c r="P200" s="308"/>
    </row>
    <row r="201" spans="3:16" s="159" customFormat="1" x14ac:dyDescent="0.25">
      <c r="C201" s="658"/>
      <c r="D201" s="658"/>
      <c r="J201" s="280"/>
      <c r="M201" s="282"/>
      <c r="N201" s="157"/>
      <c r="O201" s="308"/>
      <c r="P201" s="308"/>
    </row>
    <row r="202" spans="3:16" s="159" customFormat="1" x14ac:dyDescent="0.25">
      <c r="C202" s="658"/>
      <c r="D202" s="658"/>
      <c r="J202" s="280"/>
      <c r="M202" s="282"/>
      <c r="N202" s="157"/>
      <c r="O202" s="308"/>
      <c r="P202" s="308"/>
    </row>
    <row r="203" spans="3:16" s="159" customFormat="1" x14ac:dyDescent="0.25">
      <c r="C203" s="658"/>
      <c r="D203" s="658"/>
      <c r="J203" s="280"/>
      <c r="M203" s="282"/>
      <c r="N203" s="157"/>
      <c r="O203" s="308"/>
      <c r="P203" s="308"/>
    </row>
    <row r="204" spans="3:16" s="159" customFormat="1" x14ac:dyDescent="0.25">
      <c r="C204" s="658"/>
      <c r="D204" s="658"/>
      <c r="J204" s="280"/>
      <c r="M204" s="282"/>
      <c r="N204" s="157"/>
      <c r="O204" s="308"/>
      <c r="P204" s="308"/>
    </row>
    <row r="205" spans="3:16" s="159" customFormat="1" x14ac:dyDescent="0.25">
      <c r="C205" s="658"/>
      <c r="D205" s="658"/>
      <c r="J205" s="280"/>
      <c r="M205" s="282"/>
      <c r="N205" s="157"/>
      <c r="O205" s="308"/>
      <c r="P205" s="308"/>
    </row>
    <row r="206" spans="3:16" s="159" customFormat="1" x14ac:dyDescent="0.25">
      <c r="C206" s="658"/>
      <c r="D206" s="658"/>
      <c r="J206" s="280"/>
      <c r="M206" s="282"/>
      <c r="N206" s="157"/>
      <c r="O206" s="308"/>
      <c r="P206" s="308"/>
    </row>
    <row r="207" spans="3:16" s="159" customFormat="1" x14ac:dyDescent="0.25">
      <c r="C207" s="658"/>
      <c r="D207" s="658"/>
      <c r="J207" s="280"/>
      <c r="M207" s="282"/>
      <c r="N207" s="157"/>
      <c r="O207" s="308"/>
      <c r="P207" s="308"/>
    </row>
    <row r="208" spans="3:16" s="159" customFormat="1" x14ac:dyDescent="0.25">
      <c r="C208" s="658"/>
      <c r="D208" s="658"/>
      <c r="J208" s="280"/>
      <c r="M208" s="282"/>
      <c r="N208" s="157"/>
      <c r="O208" s="308"/>
      <c r="P208" s="308"/>
    </row>
    <row r="209" spans="3:16" s="159" customFormat="1" x14ac:dyDescent="0.25">
      <c r="C209" s="658"/>
      <c r="D209" s="658"/>
      <c r="J209" s="280"/>
      <c r="M209" s="282"/>
      <c r="N209" s="157"/>
      <c r="O209" s="308"/>
      <c r="P209" s="308"/>
    </row>
    <row r="210" spans="3:16" s="159" customFormat="1" x14ac:dyDescent="0.25">
      <c r="C210" s="658"/>
      <c r="D210" s="658"/>
      <c r="J210" s="280"/>
      <c r="M210" s="282"/>
      <c r="N210" s="157"/>
      <c r="O210" s="308"/>
      <c r="P210" s="308"/>
    </row>
    <row r="211" spans="3:16" s="159" customFormat="1" x14ac:dyDescent="0.25">
      <c r="C211" s="658"/>
      <c r="D211" s="658"/>
      <c r="J211" s="280"/>
      <c r="M211" s="282"/>
      <c r="N211" s="157"/>
      <c r="O211" s="308"/>
      <c r="P211" s="308"/>
    </row>
    <row r="212" spans="3:16" s="159" customFormat="1" x14ac:dyDescent="0.25">
      <c r="C212" s="658"/>
      <c r="D212" s="658"/>
      <c r="J212" s="280"/>
      <c r="M212" s="282"/>
      <c r="N212" s="157"/>
      <c r="O212" s="308"/>
      <c r="P212" s="308"/>
    </row>
    <row r="213" spans="3:16" s="159" customFormat="1" x14ac:dyDescent="0.25">
      <c r="C213" s="658"/>
      <c r="D213" s="658"/>
      <c r="J213" s="280"/>
      <c r="M213" s="282"/>
      <c r="N213" s="157"/>
      <c r="O213" s="308"/>
      <c r="P213" s="308"/>
    </row>
    <row r="214" spans="3:16" s="159" customFormat="1" x14ac:dyDescent="0.25">
      <c r="C214" s="658"/>
      <c r="D214" s="658"/>
      <c r="J214" s="280"/>
      <c r="M214" s="282"/>
      <c r="N214" s="157"/>
      <c r="O214" s="308"/>
      <c r="P214" s="308"/>
    </row>
    <row r="215" spans="3:16" s="159" customFormat="1" x14ac:dyDescent="0.25">
      <c r="C215" s="658"/>
      <c r="D215" s="658"/>
      <c r="J215" s="280"/>
      <c r="M215" s="282"/>
      <c r="N215" s="157"/>
      <c r="O215" s="308"/>
      <c r="P215" s="308"/>
    </row>
    <row r="216" spans="3:16" s="159" customFormat="1" x14ac:dyDescent="0.25">
      <c r="C216" s="658"/>
      <c r="D216" s="658"/>
      <c r="J216" s="280"/>
      <c r="M216" s="282"/>
      <c r="N216" s="157"/>
      <c r="O216" s="308"/>
      <c r="P216" s="308"/>
    </row>
    <row r="217" spans="3:16" s="159" customFormat="1" x14ac:dyDescent="0.25">
      <c r="C217" s="658"/>
      <c r="D217" s="658"/>
      <c r="J217" s="280"/>
      <c r="M217" s="282"/>
      <c r="N217" s="157"/>
      <c r="O217" s="308"/>
      <c r="P217" s="308"/>
    </row>
    <row r="218" spans="3:16" s="159" customFormat="1" x14ac:dyDescent="0.25">
      <c r="C218" s="658"/>
      <c r="D218" s="658"/>
      <c r="J218" s="280"/>
      <c r="M218" s="282"/>
      <c r="N218" s="157"/>
      <c r="O218" s="308"/>
      <c r="P218" s="308"/>
    </row>
    <row r="219" spans="3:16" s="159" customFormat="1" x14ac:dyDescent="0.25">
      <c r="C219" s="658"/>
      <c r="D219" s="658"/>
      <c r="J219" s="280"/>
      <c r="M219" s="282"/>
      <c r="N219" s="157"/>
      <c r="O219" s="308"/>
      <c r="P219" s="308"/>
    </row>
    <row r="220" spans="3:16" s="159" customFormat="1" x14ac:dyDescent="0.25">
      <c r="C220" s="658"/>
      <c r="D220" s="658"/>
      <c r="J220" s="280"/>
      <c r="M220" s="282"/>
      <c r="N220" s="157"/>
      <c r="O220" s="308"/>
      <c r="P220" s="308"/>
    </row>
    <row r="221" spans="3:16" s="159" customFormat="1" x14ac:dyDescent="0.25">
      <c r="C221" s="658"/>
      <c r="D221" s="658"/>
      <c r="J221" s="280"/>
      <c r="M221" s="282"/>
      <c r="N221" s="157"/>
      <c r="O221" s="308"/>
      <c r="P221" s="308"/>
    </row>
    <row r="222" spans="3:16" s="159" customFormat="1" x14ac:dyDescent="0.25">
      <c r="C222" s="658"/>
      <c r="D222" s="658"/>
      <c r="J222" s="280"/>
      <c r="M222" s="282"/>
      <c r="N222" s="157"/>
      <c r="O222" s="308"/>
      <c r="P222" s="308"/>
    </row>
    <row r="223" spans="3:16" s="159" customFormat="1" x14ac:dyDescent="0.25">
      <c r="C223" s="658"/>
      <c r="D223" s="658"/>
      <c r="J223" s="280"/>
      <c r="M223" s="282"/>
      <c r="N223" s="157"/>
      <c r="O223" s="308"/>
      <c r="P223" s="308"/>
    </row>
    <row r="224" spans="3:16" s="159" customFormat="1" x14ac:dyDescent="0.25">
      <c r="C224" s="658"/>
      <c r="D224" s="658"/>
      <c r="J224" s="280"/>
      <c r="M224" s="282"/>
      <c r="N224" s="157"/>
      <c r="O224" s="308"/>
      <c r="P224" s="308"/>
    </row>
    <row r="225" spans="1:16" s="159" customFormat="1" x14ac:dyDescent="0.25">
      <c r="C225" s="658"/>
      <c r="D225" s="658"/>
      <c r="J225" s="280"/>
      <c r="M225" s="282"/>
      <c r="N225" s="157"/>
      <c r="O225" s="308"/>
      <c r="P225" s="308"/>
    </row>
    <row r="226" spans="1:16" s="159" customFormat="1" x14ac:dyDescent="0.25">
      <c r="C226" s="658"/>
      <c r="D226" s="658"/>
      <c r="J226" s="280"/>
      <c r="M226" s="282"/>
      <c r="N226" s="157"/>
      <c r="O226" s="308"/>
      <c r="P226" s="308"/>
    </row>
    <row r="227" spans="1:16" x14ac:dyDescent="0.25">
      <c r="A227" s="159"/>
      <c r="B227" s="159"/>
      <c r="C227" s="658"/>
      <c r="D227" s="658"/>
      <c r="E227" s="159"/>
      <c r="F227" s="159"/>
      <c r="G227" s="159"/>
      <c r="H227" s="159"/>
      <c r="I227" s="159"/>
      <c r="J227" s="280"/>
      <c r="K227" s="159"/>
    </row>
    <row r="228" spans="1:16" x14ac:dyDescent="0.25">
      <c r="A228" s="159"/>
      <c r="B228" s="159"/>
      <c r="C228" s="658"/>
      <c r="D228" s="658"/>
      <c r="E228" s="159"/>
      <c r="F228" s="159"/>
      <c r="G228" s="159"/>
      <c r="H228" s="159"/>
      <c r="I228" s="159"/>
      <c r="J228" s="280"/>
      <c r="K228" s="159"/>
    </row>
    <row r="229" spans="1:16" x14ac:dyDescent="0.25">
      <c r="A229" s="159"/>
      <c r="B229" s="159"/>
      <c r="C229" s="658"/>
      <c r="D229" s="658"/>
      <c r="E229" s="159"/>
      <c r="F229" s="159"/>
      <c r="G229" s="159"/>
      <c r="H229" s="159"/>
      <c r="I229" s="159"/>
      <c r="J229" s="280"/>
      <c r="K229" s="159"/>
    </row>
    <row r="230" spans="1:16" x14ac:dyDescent="0.25">
      <c r="A230" s="159"/>
      <c r="B230" s="159"/>
      <c r="C230" s="658"/>
      <c r="D230" s="658"/>
      <c r="E230" s="159"/>
      <c r="F230" s="159"/>
      <c r="G230" s="159"/>
      <c r="H230" s="159"/>
      <c r="I230" s="159"/>
      <c r="J230" s="280"/>
      <c r="K230" s="159"/>
    </row>
    <row r="231" spans="1:16" x14ac:dyDescent="0.25">
      <c r="A231" s="159"/>
      <c r="B231" s="159"/>
      <c r="C231" s="658"/>
      <c r="D231" s="658"/>
      <c r="E231" s="159"/>
      <c r="F231" s="159"/>
      <c r="G231" s="159"/>
      <c r="H231" s="159"/>
      <c r="I231" s="159"/>
      <c r="J231" s="280"/>
      <c r="K231" s="159"/>
    </row>
    <row r="232" spans="1:16" x14ac:dyDescent="0.25">
      <c r="A232" s="159"/>
      <c r="B232" s="159"/>
      <c r="C232" s="658"/>
      <c r="D232" s="658"/>
      <c r="E232" s="159"/>
      <c r="F232" s="159"/>
      <c r="G232" s="159"/>
      <c r="H232" s="159"/>
      <c r="I232" s="159"/>
      <c r="J232" s="280"/>
      <c r="K232" s="159"/>
    </row>
    <row r="233" spans="1:16" x14ac:dyDescent="0.25">
      <c r="A233" s="159"/>
      <c r="B233" s="159"/>
      <c r="C233" s="658"/>
      <c r="D233" s="658"/>
      <c r="E233" s="159"/>
      <c r="F233" s="159"/>
      <c r="G233" s="159"/>
      <c r="H233" s="159"/>
      <c r="I233" s="159"/>
      <c r="J233" s="280"/>
      <c r="K233" s="159"/>
    </row>
    <row r="234" spans="1:16" x14ac:dyDescent="0.25">
      <c r="A234" s="159"/>
      <c r="B234" s="159"/>
      <c r="C234" s="658"/>
      <c r="D234" s="658"/>
      <c r="E234" s="159"/>
      <c r="F234" s="159"/>
      <c r="G234" s="159"/>
      <c r="H234" s="159"/>
      <c r="I234" s="159"/>
      <c r="J234" s="280"/>
      <c r="K234" s="159"/>
    </row>
    <row r="235" spans="1:16" x14ac:dyDescent="0.25">
      <c r="A235" s="159"/>
      <c r="B235" s="159"/>
      <c r="C235" s="658"/>
      <c r="D235" s="658"/>
      <c r="E235" s="159"/>
      <c r="F235" s="159"/>
      <c r="G235" s="159"/>
      <c r="H235" s="159"/>
      <c r="I235" s="159"/>
      <c r="J235" s="280"/>
      <c r="K235" s="159"/>
    </row>
    <row r="236" spans="1:16" x14ac:dyDescent="0.25">
      <c r="A236" s="159"/>
      <c r="B236" s="159"/>
      <c r="C236" s="658"/>
      <c r="D236" s="658"/>
      <c r="E236" s="159"/>
      <c r="F236" s="159"/>
      <c r="G236" s="159"/>
      <c r="H236" s="159"/>
      <c r="I236" s="159"/>
      <c r="J236" s="280"/>
      <c r="K236" s="159"/>
    </row>
    <row r="237" spans="1:16" x14ac:dyDescent="0.25">
      <c r="A237" s="159"/>
      <c r="B237" s="159"/>
      <c r="C237" s="658"/>
      <c r="D237" s="658"/>
      <c r="E237" s="159"/>
      <c r="F237" s="159"/>
      <c r="G237" s="159"/>
      <c r="H237" s="159"/>
      <c r="I237" s="159"/>
      <c r="J237" s="280"/>
      <c r="K237" s="159"/>
    </row>
    <row r="238" spans="1:16" x14ac:dyDescent="0.25">
      <c r="A238" s="159"/>
      <c r="B238" s="159"/>
      <c r="C238" s="658"/>
      <c r="D238" s="658"/>
      <c r="E238" s="159"/>
      <c r="F238" s="159"/>
      <c r="G238" s="159"/>
      <c r="H238" s="159"/>
      <c r="I238" s="159"/>
      <c r="J238" s="280"/>
      <c r="K238" s="159"/>
    </row>
    <row r="239" spans="1:16" x14ac:dyDescent="0.25">
      <c r="A239" s="159"/>
      <c r="B239" s="159"/>
      <c r="C239" s="658"/>
      <c r="D239" s="658"/>
      <c r="E239" s="159"/>
      <c r="F239" s="159"/>
      <c r="G239" s="159"/>
      <c r="H239" s="159"/>
      <c r="I239" s="159"/>
      <c r="J239" s="280"/>
      <c r="K239" s="159"/>
    </row>
    <row r="240" spans="1:16" x14ac:dyDescent="0.25">
      <c r="A240" s="159"/>
      <c r="B240" s="159"/>
      <c r="C240" s="658"/>
      <c r="D240" s="658"/>
      <c r="E240" s="159"/>
      <c r="F240" s="159"/>
      <c r="G240" s="159"/>
      <c r="H240" s="159"/>
      <c r="I240" s="159"/>
      <c r="J240" s="280"/>
      <c r="K240" s="159"/>
    </row>
    <row r="241" spans="1:11" x14ac:dyDescent="0.25">
      <c r="A241" s="159"/>
      <c r="B241" s="159"/>
      <c r="C241" s="658"/>
      <c r="D241" s="658"/>
      <c r="E241" s="159"/>
      <c r="F241" s="159"/>
      <c r="G241" s="159"/>
      <c r="H241" s="159"/>
      <c r="I241" s="159"/>
      <c r="J241" s="280"/>
      <c r="K241" s="159"/>
    </row>
    <row r="242" spans="1:11" x14ac:dyDescent="0.25">
      <c r="A242" s="159"/>
      <c r="B242" s="159"/>
      <c r="C242" s="658"/>
      <c r="D242" s="658"/>
      <c r="E242" s="159"/>
      <c r="F242" s="159"/>
      <c r="G242" s="159"/>
      <c r="H242" s="159"/>
      <c r="I242" s="159"/>
      <c r="J242" s="280"/>
      <c r="K242" s="159"/>
    </row>
    <row r="243" spans="1:11" x14ac:dyDescent="0.25">
      <c r="A243" s="159"/>
      <c r="B243" s="159"/>
      <c r="C243" s="658"/>
      <c r="D243" s="658"/>
      <c r="E243" s="159"/>
      <c r="F243" s="159"/>
      <c r="G243" s="159"/>
      <c r="H243" s="159"/>
      <c r="I243" s="159"/>
      <c r="J243" s="280"/>
      <c r="K243" s="159"/>
    </row>
    <row r="244" spans="1:11" x14ac:dyDescent="0.25">
      <c r="A244" s="159"/>
      <c r="B244" s="159"/>
      <c r="C244" s="658"/>
      <c r="D244" s="658"/>
      <c r="E244" s="159"/>
      <c r="F244" s="159"/>
      <c r="G244" s="159"/>
      <c r="H244" s="159"/>
      <c r="I244" s="159"/>
      <c r="J244" s="280"/>
      <c r="K244" s="159"/>
    </row>
    <row r="245" spans="1:11" x14ac:dyDescent="0.25">
      <c r="A245" s="159"/>
      <c r="B245" s="159"/>
      <c r="C245" s="658"/>
      <c r="D245" s="658"/>
      <c r="E245" s="159"/>
      <c r="F245" s="159"/>
      <c r="G245" s="159"/>
      <c r="H245" s="159"/>
      <c r="I245" s="159"/>
      <c r="J245" s="280"/>
      <c r="K245" s="159"/>
    </row>
    <row r="246" spans="1:11" x14ac:dyDescent="0.25">
      <c r="A246" s="159"/>
      <c r="B246" s="159"/>
      <c r="C246" s="658"/>
      <c r="D246" s="658"/>
      <c r="E246" s="159"/>
      <c r="F246" s="159"/>
      <c r="G246" s="159"/>
      <c r="H246" s="159"/>
      <c r="I246" s="159"/>
      <c r="J246" s="280"/>
      <c r="K246" s="159"/>
    </row>
    <row r="247" spans="1:11" x14ac:dyDescent="0.25">
      <c r="A247" s="159"/>
      <c r="B247" s="159"/>
      <c r="C247" s="658"/>
      <c r="D247" s="658"/>
      <c r="E247" s="159"/>
      <c r="F247" s="159"/>
      <c r="G247" s="159"/>
      <c r="H247" s="159"/>
      <c r="I247" s="159"/>
      <c r="J247" s="280"/>
      <c r="K247" s="159"/>
    </row>
    <row r="248" spans="1:11" x14ac:dyDescent="0.25">
      <c r="A248" s="159"/>
      <c r="B248" s="159"/>
      <c r="C248" s="658"/>
      <c r="D248" s="658"/>
      <c r="E248" s="159"/>
      <c r="F248" s="159"/>
      <c r="G248" s="159"/>
      <c r="H248" s="159"/>
      <c r="I248" s="159"/>
      <c r="J248" s="280"/>
      <c r="K248" s="159"/>
    </row>
    <row r="249" spans="1:11" x14ac:dyDescent="0.25">
      <c r="A249" s="159"/>
      <c r="B249" s="159"/>
      <c r="C249" s="658"/>
      <c r="D249" s="658"/>
      <c r="E249" s="159"/>
      <c r="F249" s="159"/>
      <c r="G249" s="159"/>
      <c r="H249" s="159"/>
      <c r="I249" s="159"/>
      <c r="J249" s="280"/>
      <c r="K249" s="159"/>
    </row>
    <row r="250" spans="1:11" x14ac:dyDescent="0.25">
      <c r="A250" s="159"/>
      <c r="B250" s="159"/>
      <c r="C250" s="658"/>
      <c r="D250" s="658"/>
      <c r="E250" s="159"/>
      <c r="F250" s="159"/>
      <c r="G250" s="159"/>
      <c r="H250" s="159"/>
      <c r="I250" s="159"/>
      <c r="J250" s="280"/>
      <c r="K250" s="159"/>
    </row>
    <row r="251" spans="1:11" x14ac:dyDescent="0.25">
      <c r="A251" s="159"/>
      <c r="B251" s="159"/>
      <c r="C251" s="658"/>
      <c r="D251" s="658"/>
      <c r="E251" s="159"/>
      <c r="F251" s="159"/>
      <c r="G251" s="159"/>
      <c r="H251" s="159"/>
      <c r="I251" s="159"/>
      <c r="J251" s="280"/>
      <c r="K251" s="159"/>
    </row>
    <row r="252" spans="1:11" x14ac:dyDescent="0.25">
      <c r="A252" s="159"/>
      <c r="B252" s="159"/>
      <c r="C252" s="658"/>
      <c r="D252" s="658"/>
      <c r="E252" s="159"/>
      <c r="F252" s="159"/>
      <c r="G252" s="159"/>
      <c r="H252" s="159"/>
      <c r="I252" s="159"/>
      <c r="J252" s="280"/>
      <c r="K252" s="159"/>
    </row>
    <row r="253" spans="1:11" x14ac:dyDescent="0.25">
      <c r="A253" s="159"/>
      <c r="B253" s="159"/>
      <c r="C253" s="658"/>
      <c r="D253" s="658"/>
      <c r="E253" s="159"/>
      <c r="F253" s="159"/>
      <c r="G253" s="159"/>
      <c r="H253" s="159"/>
      <c r="I253" s="159"/>
      <c r="J253" s="280"/>
      <c r="K253" s="159"/>
    </row>
    <row r="254" spans="1:11" x14ac:dyDescent="0.25">
      <c r="A254" s="159"/>
      <c r="B254" s="159"/>
      <c r="C254" s="658"/>
      <c r="D254" s="658"/>
      <c r="E254" s="159"/>
      <c r="F254" s="159"/>
      <c r="G254" s="159"/>
      <c r="H254" s="159"/>
      <c r="I254" s="159"/>
      <c r="J254" s="280"/>
      <c r="K254" s="159"/>
    </row>
    <row r="255" spans="1:11" x14ac:dyDescent="0.25">
      <c r="A255" s="159"/>
      <c r="B255" s="159"/>
      <c r="C255" s="658"/>
      <c r="D255" s="658"/>
      <c r="E255" s="159"/>
      <c r="F255" s="159"/>
      <c r="G255" s="159"/>
      <c r="H255" s="159"/>
      <c r="I255" s="159"/>
      <c r="J255" s="280"/>
      <c r="K255" s="159"/>
    </row>
    <row r="256" spans="1:11" x14ac:dyDescent="0.25">
      <c r="A256" s="159"/>
      <c r="B256" s="159"/>
      <c r="C256" s="658"/>
      <c r="D256" s="658"/>
      <c r="E256" s="159"/>
      <c r="F256" s="159"/>
      <c r="G256" s="159"/>
      <c r="H256" s="159"/>
      <c r="I256" s="159"/>
      <c r="J256" s="280"/>
      <c r="K256" s="159"/>
    </row>
    <row r="257" spans="1:11" x14ac:dyDescent="0.25">
      <c r="A257" s="159"/>
      <c r="B257" s="159"/>
      <c r="C257" s="658"/>
      <c r="D257" s="658"/>
      <c r="E257" s="159"/>
      <c r="F257" s="159"/>
      <c r="G257" s="159"/>
      <c r="H257" s="159"/>
      <c r="I257" s="159"/>
      <c r="J257" s="280"/>
      <c r="K257" s="159"/>
    </row>
    <row r="258" spans="1:11" x14ac:dyDescent="0.25">
      <c r="A258" s="159"/>
      <c r="B258" s="159"/>
      <c r="C258" s="658"/>
      <c r="D258" s="658"/>
      <c r="E258" s="159"/>
      <c r="F258" s="159"/>
      <c r="G258" s="159"/>
      <c r="H258" s="159"/>
      <c r="I258" s="159"/>
      <c r="J258" s="280"/>
      <c r="K258" s="159"/>
    </row>
    <row r="259" spans="1:11" x14ac:dyDescent="0.25">
      <c r="A259" s="159"/>
      <c r="B259" s="159"/>
      <c r="C259" s="658"/>
      <c r="D259" s="658"/>
      <c r="E259" s="159"/>
      <c r="F259" s="159"/>
      <c r="G259" s="159"/>
      <c r="H259" s="159"/>
      <c r="I259" s="159"/>
      <c r="J259" s="280"/>
      <c r="K259" s="159"/>
    </row>
    <row r="260" spans="1:11" x14ac:dyDescent="0.25">
      <c r="A260" s="159"/>
      <c r="B260" s="159"/>
      <c r="C260" s="658"/>
      <c r="D260" s="658"/>
      <c r="E260" s="159"/>
      <c r="F260" s="159"/>
      <c r="G260" s="159"/>
      <c r="H260" s="159"/>
      <c r="I260" s="159"/>
      <c r="J260" s="280"/>
      <c r="K260" s="159"/>
    </row>
    <row r="261" spans="1:11" x14ac:dyDescent="0.25">
      <c r="A261" s="159"/>
      <c r="B261" s="159"/>
      <c r="C261" s="658"/>
      <c r="D261" s="658"/>
      <c r="E261" s="159"/>
      <c r="F261" s="159"/>
      <c r="G261" s="159"/>
      <c r="H261" s="159"/>
      <c r="I261" s="159"/>
      <c r="J261" s="280"/>
      <c r="K261" s="159"/>
    </row>
    <row r="262" spans="1:11" x14ac:dyDescent="0.25">
      <c r="A262" s="159"/>
      <c r="B262" s="159"/>
      <c r="C262" s="658"/>
      <c r="D262" s="658"/>
      <c r="E262" s="159"/>
      <c r="F262" s="159"/>
      <c r="G262" s="159"/>
      <c r="H262" s="159"/>
      <c r="I262" s="159"/>
      <c r="J262" s="280"/>
      <c r="K262" s="159"/>
    </row>
    <row r="263" spans="1:11" x14ac:dyDescent="0.25">
      <c r="A263" s="159"/>
      <c r="B263" s="159"/>
      <c r="C263" s="658"/>
      <c r="D263" s="658"/>
      <c r="E263" s="159"/>
      <c r="F263" s="159"/>
      <c r="G263" s="159"/>
      <c r="H263" s="159"/>
      <c r="I263" s="159"/>
      <c r="J263" s="280"/>
      <c r="K263" s="159"/>
    </row>
    <row r="264" spans="1:11" x14ac:dyDescent="0.25">
      <c r="A264" s="159"/>
      <c r="B264" s="159"/>
      <c r="C264" s="658"/>
      <c r="D264" s="658"/>
      <c r="E264" s="159"/>
      <c r="F264" s="159"/>
      <c r="G264" s="159"/>
      <c r="H264" s="159"/>
      <c r="I264" s="159"/>
      <c r="J264" s="280"/>
      <c r="K264" s="159"/>
    </row>
    <row r="265" spans="1:11" x14ac:dyDescent="0.25">
      <c r="A265" s="159"/>
      <c r="B265" s="159"/>
      <c r="C265" s="658"/>
      <c r="D265" s="658"/>
      <c r="E265" s="159"/>
      <c r="F265" s="159"/>
      <c r="G265" s="159"/>
      <c r="H265" s="159"/>
      <c r="I265" s="159"/>
      <c r="J265" s="280"/>
      <c r="K265" s="159"/>
    </row>
    <row r="266" spans="1:11" x14ac:dyDescent="0.25">
      <c r="A266" s="159"/>
      <c r="B266" s="159"/>
      <c r="C266" s="658"/>
      <c r="D266" s="658"/>
      <c r="E266" s="159"/>
      <c r="F266" s="159"/>
      <c r="G266" s="159"/>
      <c r="H266" s="159"/>
      <c r="I266" s="159"/>
      <c r="J266" s="280"/>
      <c r="K266" s="159"/>
    </row>
    <row r="267" spans="1:11" x14ac:dyDescent="0.25">
      <c r="A267" s="159"/>
      <c r="B267" s="159"/>
      <c r="C267" s="658"/>
      <c r="D267" s="658"/>
      <c r="E267" s="159"/>
      <c r="F267" s="159"/>
      <c r="G267" s="159"/>
      <c r="H267" s="159"/>
      <c r="I267" s="159"/>
      <c r="J267" s="280"/>
      <c r="K267" s="159"/>
    </row>
    <row r="268" spans="1:11" x14ac:dyDescent="0.25">
      <c r="A268" s="159"/>
      <c r="B268" s="159"/>
      <c r="C268" s="658"/>
      <c r="D268" s="658"/>
      <c r="E268" s="159"/>
      <c r="F268" s="159"/>
      <c r="G268" s="159"/>
      <c r="H268" s="159"/>
      <c r="I268" s="159"/>
      <c r="J268" s="280"/>
      <c r="K268" s="159"/>
    </row>
    <row r="269" spans="1:11" x14ac:dyDescent="0.25">
      <c r="A269" s="159"/>
      <c r="B269" s="159"/>
      <c r="C269" s="658"/>
      <c r="D269" s="658"/>
      <c r="E269" s="159"/>
      <c r="F269" s="159"/>
      <c r="G269" s="159"/>
      <c r="H269" s="159"/>
      <c r="I269" s="159"/>
      <c r="J269" s="280"/>
      <c r="K269" s="159"/>
    </row>
    <row r="270" spans="1:11" x14ac:dyDescent="0.25">
      <c r="A270" s="159"/>
      <c r="B270" s="159"/>
      <c r="C270" s="658"/>
      <c r="D270" s="658"/>
      <c r="E270" s="159"/>
      <c r="F270" s="159"/>
      <c r="G270" s="159"/>
      <c r="H270" s="159"/>
      <c r="I270" s="159"/>
      <c r="J270" s="280"/>
      <c r="K270" s="159"/>
    </row>
    <row r="271" spans="1:11" x14ac:dyDescent="0.25">
      <c r="A271" s="159"/>
      <c r="B271" s="159"/>
      <c r="C271" s="658"/>
      <c r="D271" s="658"/>
      <c r="E271" s="159"/>
      <c r="F271" s="159"/>
      <c r="G271" s="159"/>
      <c r="H271" s="159"/>
      <c r="I271" s="159"/>
      <c r="J271" s="280"/>
      <c r="K271" s="159"/>
    </row>
    <row r="272" spans="1:11" x14ac:dyDescent="0.25">
      <c r="A272" s="159"/>
      <c r="B272" s="159"/>
      <c r="C272" s="658"/>
      <c r="D272" s="658"/>
      <c r="E272" s="159"/>
      <c r="F272" s="159"/>
      <c r="G272" s="159"/>
      <c r="H272" s="159"/>
      <c r="I272" s="159"/>
      <c r="J272" s="280"/>
      <c r="K272" s="159"/>
    </row>
    <row r="273" spans="1:11" x14ac:dyDescent="0.25">
      <c r="A273" s="159"/>
      <c r="B273" s="159"/>
      <c r="C273" s="658"/>
      <c r="D273" s="658"/>
      <c r="E273" s="159"/>
      <c r="F273" s="159"/>
      <c r="G273" s="159"/>
      <c r="H273" s="159"/>
      <c r="I273" s="159"/>
      <c r="J273" s="280"/>
      <c r="K273" s="159"/>
    </row>
    <row r="274" spans="1:11" x14ac:dyDescent="0.25">
      <c r="A274" s="159"/>
      <c r="B274" s="159"/>
      <c r="C274" s="658"/>
      <c r="D274" s="658"/>
      <c r="E274" s="159"/>
      <c r="F274" s="159"/>
      <c r="G274" s="159"/>
      <c r="H274" s="159"/>
      <c r="I274" s="159"/>
      <c r="J274" s="280"/>
      <c r="K274" s="159"/>
    </row>
  </sheetData>
  <mergeCells count="50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B93:B94"/>
    <mergeCell ref="C75:F75"/>
    <mergeCell ref="G75:I75"/>
    <mergeCell ref="C84:F84"/>
    <mergeCell ref="G84:I84"/>
    <mergeCell ref="F92:F93"/>
    <mergeCell ref="G92:G93"/>
    <mergeCell ref="I92:I93"/>
    <mergeCell ref="C36:F36"/>
    <mergeCell ref="G36:I36"/>
    <mergeCell ref="C47:F47"/>
    <mergeCell ref="G47:I47"/>
    <mergeCell ref="C68:F68"/>
    <mergeCell ref="G68:I68"/>
    <mergeCell ref="K92:K93"/>
    <mergeCell ref="F94:F95"/>
    <mergeCell ref="G94:G95"/>
    <mergeCell ref="I94:I95"/>
    <mergeCell ref="J94:J95"/>
    <mergeCell ref="K94:K95"/>
    <mergeCell ref="J92:J93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4" fitToHeight="2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A1:Q282"/>
  <sheetViews>
    <sheetView zoomScale="75" zoomScaleNormal="90" zoomScaleSheetLayoutView="90" zoomScalePageLayoutView="90" workbookViewId="0">
      <selection activeCell="N21" sqref="N21"/>
    </sheetView>
  </sheetViews>
  <sheetFormatPr defaultColWidth="9.109375" defaultRowHeight="13.2" x14ac:dyDescent="0.25"/>
  <cols>
    <col min="1" max="1" width="12.88671875" style="157" bestFit="1" customWidth="1"/>
    <col min="2" max="2" width="48.44140625" style="157" bestFit="1" customWidth="1"/>
    <col min="3" max="4" width="5" style="44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7.6640625" style="157" customWidth="1"/>
    <col min="12" max="12" width="18" style="159" bestFit="1" customWidth="1"/>
    <col min="13" max="13" width="14" style="282" bestFit="1" customWidth="1"/>
    <col min="14" max="14" width="25" style="157" bestFit="1" customWidth="1"/>
    <col min="15" max="15" width="21.88671875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42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530" t="s">
        <v>424</v>
      </c>
      <c r="B10" s="530" t="s">
        <v>425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x14ac:dyDescent="0.25">
      <c r="A11" s="375"/>
      <c r="B11" s="5" t="s">
        <v>1185</v>
      </c>
      <c r="C11" s="376"/>
      <c r="D11" s="377" t="s">
        <v>21</v>
      </c>
      <c r="E11" s="259">
        <v>0</v>
      </c>
      <c r="F11" s="378">
        <f t="shared" ref="F11:F16" si="0">C11*E11</f>
        <v>0</v>
      </c>
      <c r="G11" s="534"/>
      <c r="H11" s="380">
        <v>0</v>
      </c>
      <c r="I11" s="378">
        <f t="shared" ref="I11:I16" si="1">G11*H11</f>
        <v>0</v>
      </c>
      <c r="J11" s="381"/>
      <c r="K11" s="535">
        <f t="shared" ref="K11:K16" si="2">F11+I11+J11</f>
        <v>0</v>
      </c>
      <c r="L11" s="383" t="s">
        <v>1346</v>
      </c>
      <c r="M11" s="384">
        <v>165947</v>
      </c>
      <c r="N11" s="385"/>
      <c r="O11" s="386"/>
      <c r="P11" s="387"/>
      <c r="Q11" s="388"/>
    </row>
    <row r="12" spans="1:17" x14ac:dyDescent="0.25">
      <c r="A12" s="375"/>
      <c r="B12" s="5"/>
      <c r="C12" s="376"/>
      <c r="D12" s="377" t="s">
        <v>21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381">
        <f>M12</f>
        <v>132800</v>
      </c>
      <c r="K12" s="535">
        <f t="shared" si="2"/>
        <v>132800</v>
      </c>
      <c r="L12" s="959" t="s">
        <v>1107</v>
      </c>
      <c r="M12" s="908">
        <v>132800</v>
      </c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383" t="s">
        <v>1108</v>
      </c>
      <c r="M13" s="384">
        <v>217175</v>
      </c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 t="s">
        <v>1109</v>
      </c>
      <c r="M14" s="384">
        <v>145000</v>
      </c>
      <c r="N14" s="385"/>
      <c r="O14" s="386"/>
      <c r="P14" s="387"/>
      <c r="Q14" s="388"/>
    </row>
    <row r="15" spans="1:17" x14ac:dyDescent="0.25">
      <c r="A15" s="389"/>
      <c r="B15" s="5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 t="s">
        <v>1110</v>
      </c>
      <c r="M15" s="384">
        <v>190000</v>
      </c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 t="s">
        <v>1319</v>
      </c>
      <c r="M16" s="384">
        <v>143398</v>
      </c>
      <c r="N16" s="385"/>
      <c r="O16" s="386"/>
      <c r="P16" s="387"/>
      <c r="Q16" s="388"/>
    </row>
    <row r="17" spans="1:17" ht="13.8" thickBot="1" x14ac:dyDescent="0.3">
      <c r="A17" s="392"/>
      <c r="B17" s="7"/>
      <c r="C17" s="393"/>
      <c r="D17" s="377"/>
      <c r="E17" s="259"/>
      <c r="F17" s="378"/>
      <c r="G17" s="534"/>
      <c r="H17" s="380"/>
      <c r="I17" s="378"/>
      <c r="J17" s="381"/>
      <c r="K17" s="535"/>
      <c r="L17" s="157" t="s">
        <v>1340</v>
      </c>
      <c r="M17" s="474">
        <v>154200</v>
      </c>
      <c r="O17" s="386"/>
      <c r="P17" s="387"/>
      <c r="Q17" s="388"/>
    </row>
    <row r="18" spans="1:17" ht="13.8" thickTop="1" x14ac:dyDescent="0.25">
      <c r="A18" s="392"/>
      <c r="B18" s="7"/>
      <c r="C18" s="393"/>
      <c r="D18" s="377"/>
      <c r="E18" s="259"/>
      <c r="F18" s="378"/>
      <c r="G18" s="534"/>
      <c r="H18" s="380"/>
      <c r="I18" s="378"/>
      <c r="J18" s="394" t="s">
        <v>30</v>
      </c>
      <c r="K18" s="537">
        <f>SUM(K11:K17)</f>
        <v>132800</v>
      </c>
      <c r="L18" s="157" t="s">
        <v>1342</v>
      </c>
      <c r="M18" s="474">
        <v>141799</v>
      </c>
      <c r="O18" s="386"/>
      <c r="P18" s="387"/>
      <c r="Q18" s="388"/>
    </row>
    <row r="19" spans="1:17" ht="13.8" thickBot="1" x14ac:dyDescent="0.3">
      <c r="A19" s="358" t="s">
        <v>0</v>
      </c>
      <c r="B19" s="359" t="s">
        <v>1</v>
      </c>
      <c r="C19" s="1018" t="s">
        <v>656</v>
      </c>
      <c r="D19" s="1018"/>
      <c r="E19" s="1018"/>
      <c r="F19" s="1018"/>
      <c r="G19" s="1018" t="s">
        <v>34</v>
      </c>
      <c r="H19" s="1018"/>
      <c r="I19" s="1018"/>
      <c r="J19" s="360"/>
      <c r="K19" s="528"/>
      <c r="L19" s="396"/>
      <c r="M19" s="397"/>
      <c r="N19" s="398"/>
      <c r="O19" s="386"/>
      <c r="P19" s="387"/>
      <c r="Q19" s="388"/>
    </row>
    <row r="20" spans="1:17" ht="16.2" thickBot="1" x14ac:dyDescent="0.35">
      <c r="A20" s="530" t="s">
        <v>426</v>
      </c>
      <c r="B20" s="530" t="s">
        <v>427</v>
      </c>
      <c r="C20" s="401" t="s">
        <v>19</v>
      </c>
      <c r="D20" s="402" t="s">
        <v>33</v>
      </c>
      <c r="E20" s="403" t="s">
        <v>35</v>
      </c>
      <c r="F20" s="404" t="s">
        <v>30</v>
      </c>
      <c r="G20" s="538" t="s">
        <v>14</v>
      </c>
      <c r="H20" s="403" t="s">
        <v>35</v>
      </c>
      <c r="I20" s="404" t="s">
        <v>30</v>
      </c>
      <c r="J20" s="369" t="s">
        <v>659</v>
      </c>
      <c r="K20" s="539" t="s">
        <v>38</v>
      </c>
      <c r="L20" s="407"/>
      <c r="M20" s="408"/>
      <c r="N20" s="409"/>
      <c r="O20" s="386"/>
      <c r="P20" s="387"/>
      <c r="Q20" s="388"/>
    </row>
    <row r="21" spans="1:17" s="159" customFormat="1" x14ac:dyDescent="0.25">
      <c r="A21" s="410"/>
      <c r="B21" s="411"/>
      <c r="C21" s="376"/>
      <c r="D21" s="377" t="s">
        <v>21</v>
      </c>
      <c r="E21" s="259">
        <v>0</v>
      </c>
      <c r="F21" s="378">
        <f>C21*E21</f>
        <v>0</v>
      </c>
      <c r="G21" s="534"/>
      <c r="H21" s="380">
        <v>0</v>
      </c>
      <c r="I21" s="378">
        <f>G21*H21</f>
        <v>0</v>
      </c>
      <c r="J21" s="381"/>
      <c r="K21" s="535">
        <f>F21+I21+J21</f>
        <v>0</v>
      </c>
      <c r="L21" s="157"/>
      <c r="M21" s="474"/>
      <c r="N21" s="157"/>
      <c r="O21" s="386"/>
      <c r="P21" s="387"/>
      <c r="Q21" s="388"/>
    </row>
    <row r="22" spans="1:17" s="159" customFormat="1" x14ac:dyDescent="0.25">
      <c r="A22" s="375"/>
      <c r="B22" s="5"/>
      <c r="C22" s="376"/>
      <c r="D22" s="377" t="s">
        <v>21</v>
      </c>
      <c r="E22" s="259">
        <v>0</v>
      </c>
      <c r="F22" s="378">
        <f>C22*E22</f>
        <v>0</v>
      </c>
      <c r="G22" s="534"/>
      <c r="H22" s="380">
        <v>0</v>
      </c>
      <c r="I22" s="378">
        <f>G22*H22</f>
        <v>0</v>
      </c>
      <c r="J22" s="381"/>
      <c r="K22" s="535">
        <f>F22+I22+J22</f>
        <v>0</v>
      </c>
      <c r="L22" s="157"/>
      <c r="M22" s="474"/>
      <c r="N22" s="157"/>
      <c r="O22" s="386"/>
      <c r="P22" s="387"/>
      <c r="Q22" s="388"/>
    </row>
    <row r="23" spans="1:17" s="159" customFormat="1" x14ac:dyDescent="0.25">
      <c r="A23" s="375"/>
      <c r="B23" s="5"/>
      <c r="C23" s="376"/>
      <c r="D23" s="377" t="s">
        <v>21</v>
      </c>
      <c r="E23" s="259">
        <v>0</v>
      </c>
      <c r="F23" s="378">
        <f>C23*E23</f>
        <v>0</v>
      </c>
      <c r="G23" s="534"/>
      <c r="H23" s="380">
        <v>0</v>
      </c>
      <c r="I23" s="378">
        <f>G23*H23</f>
        <v>0</v>
      </c>
      <c r="J23" s="381"/>
      <c r="K23" s="535">
        <f>F23+I23+J23</f>
        <v>0</v>
      </c>
      <c r="L23" s="157"/>
      <c r="M23" s="474"/>
      <c r="N23" s="157"/>
      <c r="O23" s="386"/>
      <c r="P23" s="387"/>
      <c r="Q23" s="388"/>
    </row>
    <row r="24" spans="1:17" s="159" customFormat="1" ht="13.8" thickBot="1" x14ac:dyDescent="0.3">
      <c r="A24" s="375"/>
      <c r="B24" s="5"/>
      <c r="C24" s="393"/>
      <c r="D24" s="377"/>
      <c r="E24" s="259"/>
      <c r="F24" s="378"/>
      <c r="G24" s="534"/>
      <c r="H24" s="380"/>
      <c r="I24" s="378"/>
      <c r="J24" s="381"/>
      <c r="K24" s="540"/>
      <c r="L24" s="157"/>
      <c r="M24" s="474"/>
      <c r="N24" s="157"/>
      <c r="O24" s="386"/>
      <c r="P24" s="387"/>
      <c r="Q24" s="388"/>
    </row>
    <row r="25" spans="1:17" s="159" customFormat="1" ht="13.8" thickTop="1" x14ac:dyDescent="0.25">
      <c r="A25" s="392"/>
      <c r="B25" s="5"/>
      <c r="C25" s="393"/>
      <c r="D25" s="377"/>
      <c r="E25" s="259"/>
      <c r="F25" s="378"/>
      <c r="G25" s="534"/>
      <c r="H25" s="380"/>
      <c r="I25" s="378"/>
      <c r="J25" s="394" t="s">
        <v>30</v>
      </c>
      <c r="K25" s="537">
        <f>SUM(K21:K24)</f>
        <v>0</v>
      </c>
      <c r="M25" s="280"/>
      <c r="O25" s="386"/>
      <c r="P25" s="387"/>
      <c r="Q25" s="388"/>
    </row>
    <row r="26" spans="1:17" s="159" customFormat="1" ht="13.8" thickBot="1" x14ac:dyDescent="0.3">
      <c r="A26" s="358" t="s">
        <v>0</v>
      </c>
      <c r="B26" s="359" t="s">
        <v>1</v>
      </c>
      <c r="C26" s="1018" t="s">
        <v>656</v>
      </c>
      <c r="D26" s="1018"/>
      <c r="E26" s="1018"/>
      <c r="F26" s="1018"/>
      <c r="G26" s="1018" t="s">
        <v>34</v>
      </c>
      <c r="H26" s="1018"/>
      <c r="I26" s="1018"/>
      <c r="J26" s="360"/>
      <c r="K26" s="528"/>
      <c r="L26" s="396"/>
      <c r="M26" s="397"/>
      <c r="N26" s="398"/>
      <c r="O26" s="386"/>
      <c r="P26" s="387"/>
      <c r="Q26" s="388"/>
    </row>
    <row r="27" spans="1:17" s="159" customFormat="1" ht="16.2" thickBot="1" x14ac:dyDescent="0.35">
      <c r="A27" s="530" t="s">
        <v>428</v>
      </c>
      <c r="B27" s="530" t="s">
        <v>429</v>
      </c>
      <c r="C27" s="401" t="s">
        <v>19</v>
      </c>
      <c r="D27" s="402" t="s">
        <v>33</v>
      </c>
      <c r="E27" s="403" t="s">
        <v>35</v>
      </c>
      <c r="F27" s="404" t="s">
        <v>30</v>
      </c>
      <c r="G27" s="538" t="s">
        <v>14</v>
      </c>
      <c r="H27" s="403" t="s">
        <v>35</v>
      </c>
      <c r="I27" s="404" t="s">
        <v>30</v>
      </c>
      <c r="J27" s="369" t="s">
        <v>659</v>
      </c>
      <c r="K27" s="539" t="s">
        <v>38</v>
      </c>
      <c r="L27" s="407"/>
      <c r="M27" s="408"/>
      <c r="N27" s="409"/>
      <c r="O27" s="386"/>
      <c r="P27" s="387"/>
      <c r="Q27" s="388"/>
    </row>
    <row r="28" spans="1:17" s="159" customFormat="1" x14ac:dyDescent="0.25">
      <c r="A28" s="410"/>
      <c r="B28" s="411"/>
      <c r="C28" s="376"/>
      <c r="D28" s="377" t="s">
        <v>21</v>
      </c>
      <c r="E28" s="259">
        <v>0</v>
      </c>
      <c r="F28" s="378">
        <f>C28*E28</f>
        <v>0</v>
      </c>
      <c r="G28" s="534"/>
      <c r="H28" s="380">
        <v>0</v>
      </c>
      <c r="I28" s="378">
        <f>G28*H28</f>
        <v>0</v>
      </c>
      <c r="J28" s="381"/>
      <c r="K28" s="535">
        <f>F28+I28+J28</f>
        <v>0</v>
      </c>
      <c r="M28" s="282"/>
      <c r="N28" s="157"/>
      <c r="O28" s="386"/>
      <c r="P28" s="387"/>
      <c r="Q28" s="388"/>
    </row>
    <row r="29" spans="1:17" s="159" customFormat="1" x14ac:dyDescent="0.25">
      <c r="A29" s="375"/>
      <c r="B29" s="5"/>
      <c r="C29" s="376"/>
      <c r="D29" s="377" t="s">
        <v>21</v>
      </c>
      <c r="E29" s="259">
        <v>0</v>
      </c>
      <c r="F29" s="378">
        <f>C29*E29</f>
        <v>0</v>
      </c>
      <c r="G29" s="534"/>
      <c r="H29" s="380">
        <v>0</v>
      </c>
      <c r="I29" s="378">
        <f>G29*H29</f>
        <v>0</v>
      </c>
      <c r="J29" s="381"/>
      <c r="K29" s="535">
        <f>F29+I29+J29</f>
        <v>0</v>
      </c>
      <c r="L29" s="383"/>
      <c r="M29" s="384"/>
      <c r="N29" s="385"/>
      <c r="O29" s="386"/>
      <c r="P29" s="387"/>
      <c r="Q29" s="388"/>
    </row>
    <row r="30" spans="1:17" s="159" customFormat="1" ht="13.8" thickBot="1" x14ac:dyDescent="0.3">
      <c r="A30" s="392"/>
      <c r="B30" s="417"/>
      <c r="C30" s="393"/>
      <c r="D30" s="377"/>
      <c r="E30" s="259"/>
      <c r="F30" s="378"/>
      <c r="G30" s="534"/>
      <c r="H30" s="380"/>
      <c r="I30" s="378"/>
      <c r="J30" s="381"/>
      <c r="K30" s="540"/>
      <c r="L30" s="383"/>
      <c r="M30" s="384"/>
      <c r="N30" s="385"/>
      <c r="O30" s="386"/>
      <c r="P30" s="387"/>
      <c r="Q30" s="388"/>
    </row>
    <row r="31" spans="1:17" s="159" customFormat="1" ht="13.8" thickTop="1" x14ac:dyDescent="0.25">
      <c r="A31" s="392"/>
      <c r="B31" s="417"/>
      <c r="C31" s="393"/>
      <c r="D31" s="377"/>
      <c r="E31" s="259"/>
      <c r="F31" s="378"/>
      <c r="G31" s="534"/>
      <c r="H31" s="380"/>
      <c r="I31" s="378"/>
      <c r="J31" s="394" t="s">
        <v>30</v>
      </c>
      <c r="K31" s="537">
        <f>SUM(K28:K30)</f>
        <v>0</v>
      </c>
      <c r="L31" s="541"/>
      <c r="M31" s="578"/>
      <c r="N31" s="542"/>
      <c r="O31" s="386"/>
      <c r="P31" s="387"/>
      <c r="Q31" s="388"/>
    </row>
    <row r="32" spans="1:17" s="159" customFormat="1" ht="13.8" thickBot="1" x14ac:dyDescent="0.3">
      <c r="A32" s="358" t="s">
        <v>0</v>
      </c>
      <c r="B32" s="359" t="s">
        <v>1</v>
      </c>
      <c r="C32" s="1018" t="s">
        <v>656</v>
      </c>
      <c r="D32" s="1018"/>
      <c r="E32" s="1018"/>
      <c r="F32" s="1018"/>
      <c r="G32" s="1018" t="s">
        <v>34</v>
      </c>
      <c r="H32" s="1018"/>
      <c r="I32" s="1018"/>
      <c r="J32" s="360"/>
      <c r="K32" s="528"/>
      <c r="L32" s="396"/>
      <c r="M32" s="397"/>
      <c r="N32" s="398"/>
      <c r="O32" s="386"/>
      <c r="P32" s="387"/>
      <c r="Q32" s="388"/>
    </row>
    <row r="33" spans="1:17" s="159" customFormat="1" ht="15.6" x14ac:dyDescent="0.3">
      <c r="A33" s="530" t="s">
        <v>680</v>
      </c>
      <c r="B33" s="530" t="s">
        <v>679</v>
      </c>
      <c r="C33" s="401" t="s">
        <v>19</v>
      </c>
      <c r="D33" s="402" t="s">
        <v>33</v>
      </c>
      <c r="E33" s="403" t="s">
        <v>35</v>
      </c>
      <c r="F33" s="404" t="s">
        <v>30</v>
      </c>
      <c r="G33" s="538" t="s">
        <v>14</v>
      </c>
      <c r="H33" s="403" t="s">
        <v>35</v>
      </c>
      <c r="I33" s="404" t="s">
        <v>30</v>
      </c>
      <c r="J33" s="369" t="s">
        <v>659</v>
      </c>
      <c r="K33" s="539" t="s">
        <v>38</v>
      </c>
      <c r="L33" s="407"/>
      <c r="M33" s="413"/>
      <c r="N33" s="414"/>
      <c r="O33" s="386"/>
      <c r="P33" s="387"/>
      <c r="Q33" s="388"/>
    </row>
    <row r="34" spans="1:17" s="159" customFormat="1" x14ac:dyDescent="0.25">
      <c r="A34" s="158" t="s">
        <v>432</v>
      </c>
      <c r="B34" s="157" t="s">
        <v>433</v>
      </c>
      <c r="C34" s="376"/>
      <c r="D34" s="377" t="s">
        <v>21</v>
      </c>
      <c r="E34" s="259">
        <v>0</v>
      </c>
      <c r="F34" s="378">
        <f>C34*E34</f>
        <v>0</v>
      </c>
      <c r="G34" s="534"/>
      <c r="H34" s="380">
        <v>0</v>
      </c>
      <c r="I34" s="378">
        <f>G34*H34</f>
        <v>0</v>
      </c>
      <c r="J34" s="381"/>
      <c r="K34" s="535">
        <f>F34+I34+J34</f>
        <v>0</v>
      </c>
      <c r="L34" s="157"/>
      <c r="M34" s="474"/>
      <c r="N34" s="157"/>
      <c r="O34" s="386"/>
      <c r="P34" s="387"/>
      <c r="Q34" s="388"/>
    </row>
    <row r="35" spans="1:17" s="159" customFormat="1" x14ac:dyDescent="0.25">
      <c r="A35" s="375"/>
      <c r="B35" s="5"/>
      <c r="C35" s="376"/>
      <c r="D35" s="377" t="s">
        <v>21</v>
      </c>
      <c r="E35" s="259">
        <v>0</v>
      </c>
      <c r="F35" s="378">
        <f>C35*E35</f>
        <v>0</v>
      </c>
      <c r="G35" s="534"/>
      <c r="H35" s="380">
        <v>0</v>
      </c>
      <c r="I35" s="378">
        <f>G35*H35</f>
        <v>0</v>
      </c>
      <c r="J35" s="381"/>
      <c r="K35" s="535">
        <f>F35+I35+J35</f>
        <v>0</v>
      </c>
      <c r="L35" s="383"/>
      <c r="M35" s="384"/>
      <c r="N35" s="385"/>
      <c r="O35" s="386"/>
      <c r="P35" s="387"/>
      <c r="Q35" s="388"/>
    </row>
    <row r="36" spans="1:17" s="159" customFormat="1" x14ac:dyDescent="0.25">
      <c r="A36" s="375"/>
      <c r="B36" s="5"/>
      <c r="C36" s="376"/>
      <c r="D36" s="377" t="s">
        <v>21</v>
      </c>
      <c r="E36" s="259">
        <v>0</v>
      </c>
      <c r="F36" s="378">
        <f>C36*E36</f>
        <v>0</v>
      </c>
      <c r="G36" s="534"/>
      <c r="H36" s="380">
        <v>0</v>
      </c>
      <c r="I36" s="378">
        <f>G36*H36</f>
        <v>0</v>
      </c>
      <c r="J36" s="381"/>
      <c r="K36" s="535">
        <f>F36+I36+J36</f>
        <v>0</v>
      </c>
      <c r="M36" s="280"/>
      <c r="O36" s="386"/>
      <c r="P36" s="387"/>
      <c r="Q36" s="388"/>
    </row>
    <row r="37" spans="1:17" s="159" customFormat="1" ht="13.8" thickBot="1" x14ac:dyDescent="0.3">
      <c r="A37" s="392"/>
      <c r="B37" s="417"/>
      <c r="C37" s="393"/>
      <c r="D37" s="377"/>
      <c r="E37" s="259"/>
      <c r="F37" s="378"/>
      <c r="G37" s="534"/>
      <c r="H37" s="380"/>
      <c r="I37" s="378"/>
      <c r="J37" s="381"/>
      <c r="K37" s="540"/>
      <c r="M37" s="280"/>
      <c r="O37" s="415"/>
      <c r="P37" s="416"/>
      <c r="Q37" s="388"/>
    </row>
    <row r="38" spans="1:17" s="159" customFormat="1" ht="13.8" thickTop="1" x14ac:dyDescent="0.25">
      <c r="A38" s="392"/>
      <c r="B38" s="417"/>
      <c r="C38" s="393"/>
      <c r="D38" s="377"/>
      <c r="E38" s="259"/>
      <c r="F38" s="378"/>
      <c r="G38" s="534"/>
      <c r="H38" s="380"/>
      <c r="I38" s="378"/>
      <c r="J38" s="394" t="s">
        <v>30</v>
      </c>
      <c r="K38" s="537">
        <f>SUM(K34:K37)</f>
        <v>0</v>
      </c>
      <c r="L38" s="383"/>
      <c r="M38" s="384"/>
      <c r="N38" s="385"/>
      <c r="O38" s="415"/>
      <c r="P38" s="416"/>
      <c r="Q38" s="388"/>
    </row>
    <row r="39" spans="1:17" s="159" customFormat="1" ht="13.8" thickBot="1" x14ac:dyDescent="0.3">
      <c r="A39" s="358" t="s">
        <v>0</v>
      </c>
      <c r="B39" s="359" t="s">
        <v>1</v>
      </c>
      <c r="C39" s="1018" t="s">
        <v>656</v>
      </c>
      <c r="D39" s="1018"/>
      <c r="E39" s="1018"/>
      <c r="F39" s="1018"/>
      <c r="G39" s="1018" t="s">
        <v>34</v>
      </c>
      <c r="H39" s="1018"/>
      <c r="I39" s="1018"/>
      <c r="J39" s="360"/>
      <c r="K39" s="528"/>
      <c r="L39" s="396"/>
      <c r="M39" s="397"/>
      <c r="N39" s="398"/>
      <c r="O39" s="415"/>
      <c r="P39" s="416"/>
      <c r="Q39" s="388"/>
    </row>
    <row r="40" spans="1:17" s="159" customFormat="1" ht="16.2" thickBot="1" x14ac:dyDescent="0.35">
      <c r="A40" s="530" t="s">
        <v>434</v>
      </c>
      <c r="B40" s="530" t="s">
        <v>435</v>
      </c>
      <c r="C40" s="401" t="s">
        <v>19</v>
      </c>
      <c r="D40" s="402" t="s">
        <v>33</v>
      </c>
      <c r="E40" s="403" t="s">
        <v>35</v>
      </c>
      <c r="F40" s="404" t="s">
        <v>30</v>
      </c>
      <c r="G40" s="538" t="s">
        <v>14</v>
      </c>
      <c r="H40" s="403" t="s">
        <v>35</v>
      </c>
      <c r="I40" s="404" t="s">
        <v>30</v>
      </c>
      <c r="J40" s="369" t="s">
        <v>659</v>
      </c>
      <c r="K40" s="539" t="s">
        <v>38</v>
      </c>
      <c r="L40" s="407"/>
      <c r="M40" s="413"/>
      <c r="N40" s="414"/>
      <c r="O40" s="415"/>
      <c r="P40" s="416"/>
      <c r="Q40" s="388"/>
    </row>
    <row r="41" spans="1:17" s="159" customFormat="1" x14ac:dyDescent="0.25">
      <c r="A41" s="410"/>
      <c r="B41" s="411"/>
      <c r="C41" s="376"/>
      <c r="D41" s="377" t="s">
        <v>21</v>
      </c>
      <c r="E41" s="259">
        <v>0</v>
      </c>
      <c r="F41" s="378">
        <f>C41*E41</f>
        <v>0</v>
      </c>
      <c r="G41" s="534"/>
      <c r="H41" s="380">
        <v>0</v>
      </c>
      <c r="I41" s="378">
        <f>G41*H41</f>
        <v>0</v>
      </c>
      <c r="J41" s="381"/>
      <c r="K41" s="535">
        <f>F41+I41+J41</f>
        <v>0</v>
      </c>
      <c r="L41" s="383"/>
      <c r="M41" s="384"/>
      <c r="N41" s="385"/>
      <c r="O41" s="415"/>
      <c r="P41" s="416"/>
      <c r="Q41" s="388"/>
    </row>
    <row r="42" spans="1:17" s="159" customFormat="1" x14ac:dyDescent="0.25">
      <c r="A42" s="375"/>
      <c r="B42" s="5"/>
      <c r="C42" s="376"/>
      <c r="D42" s="377" t="s">
        <v>21</v>
      </c>
      <c r="E42" s="259">
        <v>0</v>
      </c>
      <c r="F42" s="378">
        <f>C42*E42</f>
        <v>0</v>
      </c>
      <c r="G42" s="534"/>
      <c r="H42" s="380">
        <v>0</v>
      </c>
      <c r="I42" s="378">
        <f>G42*H42</f>
        <v>0</v>
      </c>
      <c r="J42" s="381"/>
      <c r="K42" s="535">
        <f>F42+I42+J42</f>
        <v>0</v>
      </c>
      <c r="M42" s="282"/>
      <c r="N42" s="157"/>
      <c r="O42" s="415"/>
      <c r="P42" s="416"/>
      <c r="Q42" s="388"/>
    </row>
    <row r="43" spans="1:17" s="159" customFormat="1" x14ac:dyDescent="0.25">
      <c r="A43" s="375"/>
      <c r="B43" s="5"/>
      <c r="C43" s="376"/>
      <c r="D43" s="377" t="s">
        <v>21</v>
      </c>
      <c r="E43" s="259">
        <v>0</v>
      </c>
      <c r="F43" s="378">
        <f>C43*E43</f>
        <v>0</v>
      </c>
      <c r="G43" s="534"/>
      <c r="H43" s="380">
        <v>0</v>
      </c>
      <c r="I43" s="378">
        <f>G43*H43</f>
        <v>0</v>
      </c>
      <c r="J43" s="381"/>
      <c r="K43" s="535">
        <f>F43+I43+J43</f>
        <v>0</v>
      </c>
      <c r="M43" s="282"/>
      <c r="N43" s="157"/>
      <c r="O43" s="386"/>
      <c r="P43" s="387"/>
      <c r="Q43" s="388"/>
    </row>
    <row r="44" spans="1:17" s="159" customFormat="1" x14ac:dyDescent="0.25">
      <c r="A44" s="375"/>
      <c r="B44" s="5"/>
      <c r="C44" s="376"/>
      <c r="D44" s="377" t="s">
        <v>21</v>
      </c>
      <c r="E44" s="259">
        <v>0</v>
      </c>
      <c r="F44" s="378">
        <f>C44*E44</f>
        <v>0</v>
      </c>
      <c r="G44" s="534"/>
      <c r="H44" s="380">
        <v>0</v>
      </c>
      <c r="I44" s="378">
        <f>G44*H44</f>
        <v>0</v>
      </c>
      <c r="J44" s="381"/>
      <c r="K44" s="535">
        <f>F44+I44+J44</f>
        <v>0</v>
      </c>
      <c r="M44" s="280"/>
      <c r="O44" s="386"/>
      <c r="P44" s="387"/>
      <c r="Q44" s="388"/>
    </row>
    <row r="45" spans="1:17" s="159" customFormat="1" ht="13.8" thickBot="1" x14ac:dyDescent="0.3">
      <c r="A45" s="392"/>
      <c r="B45" s="5"/>
      <c r="C45" s="393"/>
      <c r="D45" s="377"/>
      <c r="E45" s="259"/>
      <c r="F45" s="378"/>
      <c r="G45" s="534"/>
      <c r="H45" s="380"/>
      <c r="I45" s="378"/>
      <c r="J45" s="381"/>
      <c r="K45" s="540"/>
      <c r="M45" s="280"/>
      <c r="O45" s="386"/>
      <c r="P45" s="416"/>
      <c r="Q45" s="388"/>
    </row>
    <row r="46" spans="1:17" s="159" customFormat="1" ht="13.8" thickTop="1" x14ac:dyDescent="0.25">
      <c r="A46" s="392"/>
      <c r="B46" s="417"/>
      <c r="C46" s="393"/>
      <c r="D46" s="377"/>
      <c r="E46" s="259"/>
      <c r="F46" s="378"/>
      <c r="G46" s="534"/>
      <c r="H46" s="380"/>
      <c r="I46" s="378"/>
      <c r="J46" s="394" t="s">
        <v>30</v>
      </c>
      <c r="K46" s="537">
        <f>SUM(K41:K45)</f>
        <v>0</v>
      </c>
      <c r="L46" s="383"/>
      <c r="M46" s="261"/>
      <c r="N46" s="426"/>
      <c r="O46" s="386"/>
      <c r="P46" s="387"/>
      <c r="Q46" s="388"/>
    </row>
    <row r="47" spans="1:17" s="159" customFormat="1" ht="13.8" thickBot="1" x14ac:dyDescent="0.3">
      <c r="A47" s="358" t="s">
        <v>0</v>
      </c>
      <c r="B47" s="359" t="s">
        <v>1</v>
      </c>
      <c r="C47" s="1018" t="s">
        <v>656</v>
      </c>
      <c r="D47" s="1018"/>
      <c r="E47" s="1018"/>
      <c r="F47" s="1018"/>
      <c r="G47" s="1018" t="s">
        <v>34</v>
      </c>
      <c r="H47" s="1018"/>
      <c r="I47" s="1018"/>
      <c r="J47" s="360"/>
      <c r="K47" s="528"/>
      <c r="L47" s="396"/>
      <c r="M47" s="397"/>
      <c r="N47" s="398"/>
      <c r="O47" s="386"/>
      <c r="P47" s="387"/>
      <c r="Q47" s="388"/>
    </row>
    <row r="48" spans="1:17" s="159" customFormat="1" ht="16.2" thickBot="1" x14ac:dyDescent="0.35">
      <c r="A48" s="530" t="s">
        <v>436</v>
      </c>
      <c r="B48" s="530" t="s">
        <v>437</v>
      </c>
      <c r="C48" s="401" t="s">
        <v>19</v>
      </c>
      <c r="D48" s="402" t="s">
        <v>33</v>
      </c>
      <c r="E48" s="403" t="s">
        <v>35</v>
      </c>
      <c r="F48" s="404" t="s">
        <v>30</v>
      </c>
      <c r="G48" s="538" t="s">
        <v>14</v>
      </c>
      <c r="H48" s="403" t="s">
        <v>35</v>
      </c>
      <c r="I48" s="404" t="s">
        <v>30</v>
      </c>
      <c r="J48" s="369" t="s">
        <v>659</v>
      </c>
      <c r="K48" s="539" t="s">
        <v>38</v>
      </c>
      <c r="L48" s="407"/>
      <c r="M48" s="413"/>
      <c r="N48" s="414"/>
      <c r="O48" s="386"/>
      <c r="P48" s="387"/>
      <c r="Q48" s="388"/>
    </row>
    <row r="49" spans="1:17" s="159" customFormat="1" x14ac:dyDescent="0.25">
      <c r="A49" s="410"/>
      <c r="B49" s="411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667"/>
      <c r="M49" s="261"/>
      <c r="N49" s="426"/>
      <c r="O49" s="386"/>
      <c r="P49" s="387"/>
      <c r="Q49" s="388"/>
    </row>
    <row r="50" spans="1:17" s="159" customFormat="1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426"/>
      <c r="O50" s="386"/>
      <c r="P50" s="387"/>
      <c r="Q50" s="388"/>
    </row>
    <row r="51" spans="1:17" s="159" customFormat="1" x14ac:dyDescent="0.25">
      <c r="A51" s="375"/>
      <c r="B51" s="5"/>
      <c r="C51" s="376"/>
      <c r="D51" s="377" t="s">
        <v>21</v>
      </c>
      <c r="E51" s="259">
        <v>0</v>
      </c>
      <c r="F51" s="378">
        <f>C51*E51</f>
        <v>0</v>
      </c>
      <c r="G51" s="534"/>
      <c r="H51" s="380">
        <v>0</v>
      </c>
      <c r="I51" s="378">
        <f>G51*H51</f>
        <v>0</v>
      </c>
      <c r="J51" s="381"/>
      <c r="K51" s="535">
        <f>F51+I51+J51</f>
        <v>0</v>
      </c>
      <c r="L51" s="383"/>
      <c r="M51" s="261"/>
      <c r="N51" s="385"/>
      <c r="O51" s="386"/>
      <c r="P51" s="387"/>
      <c r="Q51" s="388"/>
    </row>
    <row r="52" spans="1:17" s="159" customFormat="1" ht="13.8" thickBot="1" x14ac:dyDescent="0.3">
      <c r="A52" s="392"/>
      <c r="B52" s="5"/>
      <c r="C52" s="393"/>
      <c r="D52" s="377"/>
      <c r="E52" s="259"/>
      <c r="F52" s="378"/>
      <c r="G52" s="534"/>
      <c r="H52" s="380"/>
      <c r="I52" s="378"/>
      <c r="J52" s="381"/>
      <c r="K52" s="540"/>
      <c r="L52" s="157"/>
      <c r="M52" s="474"/>
      <c r="N52" s="157"/>
      <c r="O52" s="441"/>
      <c r="P52" s="442"/>
      <c r="Q52" s="388"/>
    </row>
    <row r="53" spans="1:17" s="159" customFormat="1" ht="13.8" thickTop="1" x14ac:dyDescent="0.25">
      <c r="A53" s="392"/>
      <c r="B53" s="417"/>
      <c r="C53" s="393"/>
      <c r="D53" s="377"/>
      <c r="E53" s="259"/>
      <c r="F53" s="378"/>
      <c r="G53" s="534"/>
      <c r="H53" s="380"/>
      <c r="I53" s="378"/>
      <c r="J53" s="394" t="s">
        <v>30</v>
      </c>
      <c r="K53" s="537">
        <f>SUM(K49:K52)</f>
        <v>0</v>
      </c>
      <c r="L53" s="664"/>
      <c r="M53" s="261"/>
      <c r="N53" s="666"/>
      <c r="O53" s="441"/>
      <c r="P53" s="442"/>
      <c r="Q53" s="388"/>
    </row>
    <row r="54" spans="1:17" s="159" customFormat="1" ht="13.8" thickBot="1" x14ac:dyDescent="0.3">
      <c r="A54" s="358" t="s">
        <v>0</v>
      </c>
      <c r="B54" s="359" t="s">
        <v>1</v>
      </c>
      <c r="C54" s="1018" t="s">
        <v>656</v>
      </c>
      <c r="D54" s="1018"/>
      <c r="E54" s="1018"/>
      <c r="F54" s="1018"/>
      <c r="G54" s="1018" t="s">
        <v>34</v>
      </c>
      <c r="H54" s="1018"/>
      <c r="I54" s="1018"/>
      <c r="J54" s="360"/>
      <c r="K54" s="528"/>
      <c r="L54" s="396"/>
      <c r="M54" s="397"/>
      <c r="N54" s="398"/>
      <c r="O54" s="415"/>
      <c r="P54" s="416"/>
      <c r="Q54" s="388"/>
    </row>
    <row r="55" spans="1:17" s="159" customFormat="1" ht="16.2" thickBot="1" x14ac:dyDescent="0.35">
      <c r="A55" s="530" t="s">
        <v>438</v>
      </c>
      <c r="B55" s="530" t="s">
        <v>439</v>
      </c>
      <c r="C55" s="401" t="s">
        <v>19</v>
      </c>
      <c r="D55" s="402" t="s">
        <v>33</v>
      </c>
      <c r="E55" s="403" t="s">
        <v>35</v>
      </c>
      <c r="F55" s="404" t="s">
        <v>30</v>
      </c>
      <c r="G55" s="538" t="s">
        <v>14</v>
      </c>
      <c r="H55" s="403" t="s">
        <v>35</v>
      </c>
      <c r="I55" s="404" t="s">
        <v>30</v>
      </c>
      <c r="J55" s="369" t="s">
        <v>659</v>
      </c>
      <c r="K55" s="539" t="s">
        <v>38</v>
      </c>
      <c r="L55" s="407"/>
      <c r="M55" s="413"/>
      <c r="N55" s="414"/>
      <c r="O55" s="386"/>
      <c r="P55" s="387"/>
      <c r="Q55" s="388"/>
    </row>
    <row r="56" spans="1:17" s="159" customFormat="1" x14ac:dyDescent="0.25">
      <c r="A56" s="410"/>
      <c r="B56" s="411"/>
      <c r="C56" s="376"/>
      <c r="D56" s="377" t="s">
        <v>21</v>
      </c>
      <c r="E56" s="259">
        <v>0</v>
      </c>
      <c r="F56" s="378">
        <f>C56*E56</f>
        <v>0</v>
      </c>
      <c r="G56" s="534"/>
      <c r="H56" s="380">
        <v>0</v>
      </c>
      <c r="I56" s="378">
        <f>G56*H56</f>
        <v>0</v>
      </c>
      <c r="J56" s="381"/>
      <c r="K56" s="535">
        <f>F56+I56+J56</f>
        <v>0</v>
      </c>
      <c r="L56" s="383"/>
      <c r="M56" s="261"/>
      <c r="N56" s="385"/>
      <c r="O56" s="386"/>
      <c r="P56" s="387"/>
      <c r="Q56" s="388"/>
    </row>
    <row r="57" spans="1:17" s="159" customFormat="1" ht="13.8" thickBot="1" x14ac:dyDescent="0.3">
      <c r="A57" s="392"/>
      <c r="B57" s="5"/>
      <c r="C57" s="393"/>
      <c r="D57" s="377"/>
      <c r="E57" s="259"/>
      <c r="F57" s="378"/>
      <c r="G57" s="534"/>
      <c r="H57" s="380"/>
      <c r="I57" s="378"/>
      <c r="J57" s="381"/>
      <c r="K57" s="540"/>
      <c r="L57" s="383"/>
      <c r="M57" s="261"/>
      <c r="N57" s="385"/>
      <c r="O57" s="386"/>
      <c r="P57" s="387"/>
      <c r="Q57" s="388"/>
    </row>
    <row r="58" spans="1:17" s="159" customFormat="1" ht="13.8" thickTop="1" x14ac:dyDescent="0.25">
      <c r="A58" s="392"/>
      <c r="B58" s="157"/>
      <c r="C58" s="393"/>
      <c r="D58" s="377"/>
      <c r="E58" s="259"/>
      <c r="F58" s="378"/>
      <c r="G58" s="534"/>
      <c r="H58" s="380"/>
      <c r="I58" s="378"/>
      <c r="J58" s="394" t="s">
        <v>30</v>
      </c>
      <c r="K58" s="537">
        <f>SUM(K56:K57)</f>
        <v>0</v>
      </c>
      <c r="L58" s="383"/>
      <c r="M58" s="261"/>
      <c r="N58" s="385"/>
      <c r="O58" s="386"/>
      <c r="P58" s="387"/>
      <c r="Q58" s="388"/>
    </row>
    <row r="59" spans="1:17" s="159" customFormat="1" ht="13.8" thickBot="1" x14ac:dyDescent="0.3">
      <c r="A59" s="358" t="s">
        <v>0</v>
      </c>
      <c r="B59" s="359" t="s">
        <v>1</v>
      </c>
      <c r="C59" s="1018" t="s">
        <v>656</v>
      </c>
      <c r="D59" s="1018"/>
      <c r="E59" s="1018"/>
      <c r="F59" s="1018"/>
      <c r="G59" s="1018" t="s">
        <v>34</v>
      </c>
      <c r="H59" s="1018"/>
      <c r="I59" s="1018"/>
      <c r="J59" s="360"/>
      <c r="K59" s="528"/>
      <c r="L59" s="396"/>
      <c r="M59" s="397"/>
      <c r="N59" s="398"/>
      <c r="O59" s="386"/>
      <c r="P59" s="387"/>
      <c r="Q59" s="388"/>
    </row>
    <row r="60" spans="1:17" s="159" customFormat="1" ht="16.2" thickBot="1" x14ac:dyDescent="0.35">
      <c r="A60" s="530" t="s">
        <v>440</v>
      </c>
      <c r="B60" s="530" t="s">
        <v>441</v>
      </c>
      <c r="C60" s="401" t="s">
        <v>19</v>
      </c>
      <c r="D60" s="402" t="s">
        <v>33</v>
      </c>
      <c r="E60" s="403" t="s">
        <v>35</v>
      </c>
      <c r="F60" s="404" t="s">
        <v>30</v>
      </c>
      <c r="G60" s="538" t="s">
        <v>14</v>
      </c>
      <c r="H60" s="403" t="s">
        <v>35</v>
      </c>
      <c r="I60" s="404" t="s">
        <v>30</v>
      </c>
      <c r="J60" s="369" t="s">
        <v>659</v>
      </c>
      <c r="K60" s="539" t="s">
        <v>38</v>
      </c>
      <c r="L60" s="407"/>
      <c r="M60" s="413"/>
      <c r="N60" s="414"/>
      <c r="O60" s="386"/>
      <c r="P60" s="387"/>
      <c r="Q60" s="388"/>
    </row>
    <row r="61" spans="1:17" s="159" customFormat="1" ht="15" x14ac:dyDescent="0.25">
      <c r="A61" s="640" t="s">
        <v>443</v>
      </c>
      <c r="B61" s="641" t="s">
        <v>442</v>
      </c>
      <c r="C61" s="376"/>
      <c r="D61" s="377" t="s">
        <v>21</v>
      </c>
      <c r="E61" s="259">
        <v>0</v>
      </c>
      <c r="F61" s="378">
        <f>C61*E61</f>
        <v>0</v>
      </c>
      <c r="G61" s="534"/>
      <c r="H61" s="380">
        <v>0</v>
      </c>
      <c r="I61" s="378">
        <f>G61*H61</f>
        <v>0</v>
      </c>
      <c r="J61" s="381"/>
      <c r="K61" s="535">
        <f>F61+I61+J61</f>
        <v>0</v>
      </c>
      <c r="L61" s="383"/>
      <c r="M61" s="261"/>
      <c r="N61" s="426"/>
      <c r="O61" s="386"/>
      <c r="P61" s="387"/>
      <c r="Q61" s="388"/>
    </row>
    <row r="62" spans="1:17" s="159" customFormat="1" x14ac:dyDescent="0.25">
      <c r="A62" s="212" t="s">
        <v>444</v>
      </c>
      <c r="B62" s="679" t="s">
        <v>445</v>
      </c>
      <c r="C62" s="376"/>
      <c r="D62" s="377" t="s">
        <v>21</v>
      </c>
      <c r="E62" s="259">
        <v>0</v>
      </c>
      <c r="F62" s="378">
        <f>C62*E62</f>
        <v>0</v>
      </c>
      <c r="G62" s="534"/>
      <c r="H62" s="380">
        <v>0</v>
      </c>
      <c r="I62" s="378">
        <f>G62*H62</f>
        <v>0</v>
      </c>
      <c r="J62" s="381"/>
      <c r="K62" s="535">
        <f>F62+I62+J62</f>
        <v>0</v>
      </c>
      <c r="M62" s="282"/>
      <c r="N62" s="157"/>
      <c r="O62" s="386"/>
      <c r="P62" s="387"/>
      <c r="Q62" s="388"/>
    </row>
    <row r="63" spans="1:17" s="159" customFormat="1" x14ac:dyDescent="0.25">
      <c r="A63" s="680" t="s">
        <v>446</v>
      </c>
      <c r="B63" s="681" t="s">
        <v>447</v>
      </c>
      <c r="C63" s="376"/>
      <c r="D63" s="377" t="s">
        <v>21</v>
      </c>
      <c r="E63" s="259">
        <v>0</v>
      </c>
      <c r="F63" s="378">
        <f t="shared" ref="F63:F71" si="3">C63*E63</f>
        <v>0</v>
      </c>
      <c r="G63" s="534"/>
      <c r="H63" s="380">
        <v>0</v>
      </c>
      <c r="I63" s="378">
        <f t="shared" ref="I63:I71" si="4">G63*H63</f>
        <v>0</v>
      </c>
      <c r="J63" s="381"/>
      <c r="K63" s="535">
        <f t="shared" ref="K63:K71" si="5">F63+I63+J63</f>
        <v>0</v>
      </c>
      <c r="M63" s="282"/>
      <c r="N63" s="157"/>
      <c r="O63" s="386"/>
      <c r="P63" s="387"/>
      <c r="Q63" s="388"/>
    </row>
    <row r="64" spans="1:17" s="159" customFormat="1" x14ac:dyDescent="0.25">
      <c r="A64" s="680" t="s">
        <v>448</v>
      </c>
      <c r="B64" s="681" t="s">
        <v>449</v>
      </c>
      <c r="C64" s="376"/>
      <c r="D64" s="377" t="s">
        <v>21</v>
      </c>
      <c r="E64" s="259">
        <v>0</v>
      </c>
      <c r="F64" s="378">
        <f t="shared" si="3"/>
        <v>0</v>
      </c>
      <c r="G64" s="534"/>
      <c r="H64" s="380">
        <v>0</v>
      </c>
      <c r="I64" s="378">
        <f t="shared" si="4"/>
        <v>0</v>
      </c>
      <c r="J64" s="381"/>
      <c r="K64" s="535">
        <f t="shared" si="5"/>
        <v>0</v>
      </c>
      <c r="M64" s="280"/>
      <c r="O64" s="386"/>
      <c r="P64" s="387"/>
      <c r="Q64" s="388"/>
    </row>
    <row r="65" spans="1:17" s="159" customFormat="1" ht="15" x14ac:dyDescent="0.25">
      <c r="A65" s="195" t="s">
        <v>450</v>
      </c>
      <c r="B65" s="650" t="s">
        <v>451</v>
      </c>
      <c r="C65" s="376"/>
      <c r="D65" s="377" t="s">
        <v>21</v>
      </c>
      <c r="E65" s="259">
        <v>0</v>
      </c>
      <c r="F65" s="378">
        <f t="shared" si="3"/>
        <v>0</v>
      </c>
      <c r="G65" s="534"/>
      <c r="H65" s="380">
        <v>0</v>
      </c>
      <c r="I65" s="378">
        <f t="shared" si="4"/>
        <v>0</v>
      </c>
      <c r="J65" s="381"/>
      <c r="K65" s="535">
        <f t="shared" si="5"/>
        <v>0</v>
      </c>
      <c r="M65" s="280"/>
      <c r="O65" s="386"/>
      <c r="P65" s="387"/>
      <c r="Q65" s="388"/>
    </row>
    <row r="66" spans="1:17" s="159" customFormat="1" x14ac:dyDescent="0.25">
      <c r="A66" s="212" t="s">
        <v>452</v>
      </c>
      <c r="B66" s="679" t="s">
        <v>453</v>
      </c>
      <c r="C66" s="376"/>
      <c r="D66" s="377" t="s">
        <v>21</v>
      </c>
      <c r="E66" s="259">
        <v>0</v>
      </c>
      <c r="F66" s="378">
        <f t="shared" si="3"/>
        <v>0</v>
      </c>
      <c r="G66" s="534"/>
      <c r="H66" s="380">
        <v>0</v>
      </c>
      <c r="I66" s="378">
        <f t="shared" si="4"/>
        <v>0</v>
      </c>
      <c r="J66" s="381"/>
      <c r="K66" s="535">
        <f t="shared" si="5"/>
        <v>0</v>
      </c>
      <c r="L66" s="383"/>
      <c r="M66" s="384"/>
      <c r="N66" s="385"/>
      <c r="O66" s="386"/>
      <c r="P66" s="387"/>
      <c r="Q66" s="388"/>
    </row>
    <row r="67" spans="1:17" s="159" customFormat="1" ht="15" x14ac:dyDescent="0.25">
      <c r="A67" s="195" t="s">
        <v>454</v>
      </c>
      <c r="B67" s="650" t="s">
        <v>455</v>
      </c>
      <c r="C67" s="376"/>
      <c r="D67" s="377" t="s">
        <v>21</v>
      </c>
      <c r="E67" s="259">
        <v>0</v>
      </c>
      <c r="F67" s="378">
        <f t="shared" si="3"/>
        <v>0</v>
      </c>
      <c r="G67" s="534"/>
      <c r="H67" s="380">
        <v>0</v>
      </c>
      <c r="I67" s="378">
        <f t="shared" si="4"/>
        <v>0</v>
      </c>
      <c r="J67" s="381"/>
      <c r="K67" s="535">
        <f t="shared" si="5"/>
        <v>0</v>
      </c>
      <c r="L67" s="383"/>
      <c r="M67" s="384"/>
      <c r="N67" s="385"/>
      <c r="O67" s="386"/>
      <c r="P67" s="387"/>
      <c r="Q67" s="388"/>
    </row>
    <row r="68" spans="1:17" s="159" customFormat="1" ht="15" x14ac:dyDescent="0.25">
      <c r="A68" s="195" t="s">
        <v>456</v>
      </c>
      <c r="B68" s="650" t="s">
        <v>457</v>
      </c>
      <c r="C68" s="376"/>
      <c r="D68" s="377" t="s">
        <v>21</v>
      </c>
      <c r="E68" s="259">
        <v>0</v>
      </c>
      <c r="F68" s="378">
        <f t="shared" si="3"/>
        <v>0</v>
      </c>
      <c r="G68" s="534"/>
      <c r="H68" s="380">
        <v>0</v>
      </c>
      <c r="I68" s="378">
        <f t="shared" si="4"/>
        <v>0</v>
      </c>
      <c r="J68" s="381"/>
      <c r="K68" s="535">
        <f t="shared" si="5"/>
        <v>0</v>
      </c>
      <c r="M68" s="280"/>
      <c r="O68" s="386"/>
      <c r="P68" s="387"/>
      <c r="Q68" s="388"/>
    </row>
    <row r="69" spans="1:17" s="159" customFormat="1" x14ac:dyDescent="0.25">
      <c r="A69" s="375"/>
      <c r="B69" s="5"/>
      <c r="C69" s="376"/>
      <c r="D69" s="377" t="s">
        <v>21</v>
      </c>
      <c r="E69" s="259">
        <v>0</v>
      </c>
      <c r="F69" s="378">
        <f t="shared" si="3"/>
        <v>0</v>
      </c>
      <c r="G69" s="534"/>
      <c r="H69" s="380">
        <v>0</v>
      </c>
      <c r="I69" s="378">
        <f t="shared" si="4"/>
        <v>0</v>
      </c>
      <c r="J69" s="381"/>
      <c r="K69" s="535">
        <f t="shared" si="5"/>
        <v>0</v>
      </c>
      <c r="M69" s="280"/>
      <c r="O69" s="386"/>
      <c r="P69" s="387"/>
      <c r="Q69" s="388"/>
    </row>
    <row r="70" spans="1:17" s="159" customFormat="1" x14ac:dyDescent="0.25">
      <c r="A70" s="375"/>
      <c r="B70" s="5"/>
      <c r="C70" s="376"/>
      <c r="D70" s="377" t="s">
        <v>21</v>
      </c>
      <c r="E70" s="259">
        <v>0</v>
      </c>
      <c r="F70" s="378">
        <f t="shared" si="3"/>
        <v>0</v>
      </c>
      <c r="G70" s="534"/>
      <c r="H70" s="380">
        <v>0</v>
      </c>
      <c r="I70" s="378">
        <f t="shared" si="4"/>
        <v>0</v>
      </c>
      <c r="J70" s="381"/>
      <c r="K70" s="535">
        <f t="shared" si="5"/>
        <v>0</v>
      </c>
      <c r="M70" s="282"/>
      <c r="N70" s="157"/>
      <c r="O70" s="386"/>
      <c r="P70" s="387"/>
      <c r="Q70" s="388"/>
    </row>
    <row r="71" spans="1:17" s="159" customFormat="1" x14ac:dyDescent="0.25">
      <c r="A71" s="375"/>
      <c r="B71" s="5"/>
      <c r="C71" s="376"/>
      <c r="D71" s="377" t="s">
        <v>21</v>
      </c>
      <c r="E71" s="259">
        <v>0</v>
      </c>
      <c r="F71" s="378">
        <f t="shared" si="3"/>
        <v>0</v>
      </c>
      <c r="G71" s="534"/>
      <c r="H71" s="380">
        <v>0</v>
      </c>
      <c r="I71" s="378">
        <f t="shared" si="4"/>
        <v>0</v>
      </c>
      <c r="J71" s="381"/>
      <c r="K71" s="535">
        <f t="shared" si="5"/>
        <v>0</v>
      </c>
      <c r="M71" s="282"/>
      <c r="N71" s="157"/>
      <c r="O71" s="386"/>
      <c r="P71" s="387"/>
      <c r="Q71" s="388"/>
    </row>
    <row r="72" spans="1:17" s="159" customFormat="1" ht="13.8" thickBot="1" x14ac:dyDescent="0.3">
      <c r="A72" s="392"/>
      <c r="B72" s="5"/>
      <c r="C72" s="393"/>
      <c r="D72" s="377"/>
      <c r="E72" s="259"/>
      <c r="F72" s="378"/>
      <c r="G72" s="534"/>
      <c r="H72" s="380"/>
      <c r="I72" s="378"/>
      <c r="J72" s="381"/>
      <c r="K72" s="540"/>
      <c r="M72" s="282"/>
      <c r="N72" s="157"/>
      <c r="O72" s="386"/>
      <c r="P72" s="387"/>
      <c r="Q72" s="388"/>
    </row>
    <row r="73" spans="1:17" s="159" customFormat="1" ht="13.8" thickTop="1" x14ac:dyDescent="0.25">
      <c r="A73" s="392"/>
      <c r="B73" s="417"/>
      <c r="C73" s="393"/>
      <c r="D73" s="377"/>
      <c r="E73" s="259"/>
      <c r="F73" s="378"/>
      <c r="G73" s="534"/>
      <c r="H73" s="380"/>
      <c r="I73" s="378"/>
      <c r="J73" s="394" t="s">
        <v>30</v>
      </c>
      <c r="K73" s="537">
        <f>SUM(K61:K72)</f>
        <v>0</v>
      </c>
      <c r="M73" s="280"/>
      <c r="O73" s="386"/>
      <c r="P73" s="387"/>
      <c r="Q73" s="388"/>
    </row>
    <row r="74" spans="1:17" s="159" customFormat="1" ht="13.8" thickBot="1" x14ac:dyDescent="0.3">
      <c r="A74" s="358" t="s">
        <v>0</v>
      </c>
      <c r="B74" s="359" t="s">
        <v>1</v>
      </c>
      <c r="C74" s="1018" t="s">
        <v>656</v>
      </c>
      <c r="D74" s="1018"/>
      <c r="E74" s="1018"/>
      <c r="F74" s="1018"/>
      <c r="G74" s="1018" t="s">
        <v>34</v>
      </c>
      <c r="H74" s="1018"/>
      <c r="I74" s="1018"/>
      <c r="J74" s="360"/>
      <c r="K74" s="528"/>
      <c r="L74" s="396"/>
      <c r="M74" s="360"/>
      <c r="N74" s="443"/>
      <c r="O74" s="386"/>
      <c r="P74" s="387"/>
      <c r="Q74" s="388"/>
    </row>
    <row r="75" spans="1:17" s="159" customFormat="1" ht="16.2" thickBot="1" x14ac:dyDescent="0.35">
      <c r="A75" s="530" t="s">
        <v>458</v>
      </c>
      <c r="B75" s="530" t="s">
        <v>459</v>
      </c>
      <c r="C75" s="401" t="s">
        <v>19</v>
      </c>
      <c r="D75" s="402" t="s">
        <v>33</v>
      </c>
      <c r="E75" s="403" t="s">
        <v>35</v>
      </c>
      <c r="F75" s="404" t="s">
        <v>30</v>
      </c>
      <c r="G75" s="538" t="s">
        <v>14</v>
      </c>
      <c r="H75" s="403" t="s">
        <v>35</v>
      </c>
      <c r="I75" s="404" t="s">
        <v>30</v>
      </c>
      <c r="J75" s="369" t="s">
        <v>659</v>
      </c>
      <c r="K75" s="539" t="s">
        <v>38</v>
      </c>
      <c r="L75" s="407"/>
      <c r="M75" s="413"/>
      <c r="N75" s="414"/>
      <c r="O75" s="386"/>
      <c r="P75" s="387"/>
      <c r="Q75" s="388"/>
    </row>
    <row r="76" spans="1:17" s="159" customFormat="1" ht="15" x14ac:dyDescent="0.25">
      <c r="A76" s="659" t="s">
        <v>460</v>
      </c>
      <c r="B76" s="641" t="s">
        <v>461</v>
      </c>
      <c r="C76" s="376"/>
      <c r="D76" s="377" t="s">
        <v>21</v>
      </c>
      <c r="E76" s="259">
        <v>0</v>
      </c>
      <c r="F76" s="378">
        <f>C76*E76</f>
        <v>0</v>
      </c>
      <c r="G76" s="534"/>
      <c r="H76" s="380">
        <v>0</v>
      </c>
      <c r="I76" s="378">
        <f>G76*H76</f>
        <v>0</v>
      </c>
      <c r="J76" s="381"/>
      <c r="K76" s="535">
        <f>F76+I76+J76</f>
        <v>0</v>
      </c>
      <c r="M76" s="280"/>
      <c r="O76" s="386"/>
      <c r="P76" s="387"/>
      <c r="Q76" s="388"/>
    </row>
    <row r="77" spans="1:17" s="159" customFormat="1" x14ac:dyDescent="0.25">
      <c r="A77" s="375"/>
      <c r="B77" s="5"/>
      <c r="C77" s="376"/>
      <c r="D77" s="377" t="s">
        <v>21</v>
      </c>
      <c r="E77" s="259">
        <v>0</v>
      </c>
      <c r="F77" s="378">
        <f>C77*E77</f>
        <v>0</v>
      </c>
      <c r="G77" s="534"/>
      <c r="H77" s="380">
        <v>0</v>
      </c>
      <c r="I77" s="378">
        <f>G77*H77</f>
        <v>0</v>
      </c>
      <c r="J77" s="381"/>
      <c r="K77" s="535">
        <f>F77+I77+J77</f>
        <v>0</v>
      </c>
      <c r="L77" s="667"/>
      <c r="M77" s="669"/>
      <c r="N77" s="668"/>
      <c r="O77" s="386"/>
      <c r="P77" s="387"/>
      <c r="Q77" s="388"/>
    </row>
    <row r="78" spans="1:17" s="159" customFormat="1" ht="13.8" thickBot="1" x14ac:dyDescent="0.3">
      <c r="A78" s="392"/>
      <c r="B78" s="417"/>
      <c r="C78" s="376"/>
      <c r="D78" s="377"/>
      <c r="E78" s="259"/>
      <c r="F78" s="378"/>
      <c r="G78" s="534"/>
      <c r="H78" s="380"/>
      <c r="I78" s="378"/>
      <c r="J78" s="381"/>
      <c r="K78" s="535"/>
      <c r="L78" s="383"/>
      <c r="M78" s="384"/>
      <c r="N78" s="385"/>
      <c r="O78" s="386"/>
      <c r="P78" s="387"/>
      <c r="Q78" s="388"/>
    </row>
    <row r="79" spans="1:17" s="159" customFormat="1" ht="14.4" thickTop="1" thickBot="1" x14ac:dyDescent="0.3">
      <c r="A79" s="475"/>
      <c r="B79" s="156"/>
      <c r="C79" s="476"/>
      <c r="D79" s="477"/>
      <c r="E79" s="478"/>
      <c r="F79" s="479"/>
      <c r="G79" s="638"/>
      <c r="H79" s="478"/>
      <c r="I79" s="479"/>
      <c r="J79" s="481" t="s">
        <v>30</v>
      </c>
      <c r="K79" s="639">
        <f>SUM(K76:K78)</f>
        <v>0</v>
      </c>
      <c r="L79" s="383"/>
      <c r="M79" s="384"/>
      <c r="N79" s="385"/>
      <c r="O79" s="386"/>
      <c r="P79" s="387"/>
      <c r="Q79" s="388"/>
    </row>
    <row r="80" spans="1:17" s="159" customFormat="1" ht="13.8" thickBot="1" x14ac:dyDescent="0.3">
      <c r="A80" s="358" t="s">
        <v>0</v>
      </c>
      <c r="B80" s="359" t="s">
        <v>1</v>
      </c>
      <c r="C80" s="1018" t="s">
        <v>656</v>
      </c>
      <c r="D80" s="1018"/>
      <c r="E80" s="1018"/>
      <c r="F80" s="1018"/>
      <c r="G80" s="1018" t="s">
        <v>34</v>
      </c>
      <c r="H80" s="1018"/>
      <c r="I80" s="1018"/>
      <c r="J80" s="360"/>
      <c r="K80" s="528"/>
      <c r="L80" s="396"/>
      <c r="M80" s="397"/>
      <c r="N80" s="398"/>
      <c r="O80" s="386"/>
      <c r="P80" s="387"/>
      <c r="Q80" s="388"/>
    </row>
    <row r="81" spans="1:17" s="159" customFormat="1" ht="16.2" thickBot="1" x14ac:dyDescent="0.35">
      <c r="A81" s="530" t="s">
        <v>462</v>
      </c>
      <c r="B81" s="530" t="s">
        <v>463</v>
      </c>
      <c r="C81" s="401" t="s">
        <v>19</v>
      </c>
      <c r="D81" s="402" t="s">
        <v>33</v>
      </c>
      <c r="E81" s="403" t="s">
        <v>35</v>
      </c>
      <c r="F81" s="404" t="s">
        <v>30</v>
      </c>
      <c r="G81" s="538" t="s">
        <v>14</v>
      </c>
      <c r="H81" s="403" t="s">
        <v>35</v>
      </c>
      <c r="I81" s="404" t="s">
        <v>30</v>
      </c>
      <c r="J81" s="369" t="s">
        <v>659</v>
      </c>
      <c r="K81" s="539" t="s">
        <v>38</v>
      </c>
      <c r="L81" s="407"/>
      <c r="M81" s="408"/>
      <c r="N81" s="409"/>
      <c r="O81" s="386"/>
      <c r="P81" s="387"/>
      <c r="Q81" s="388"/>
    </row>
    <row r="82" spans="1:17" s="159" customFormat="1" x14ac:dyDescent="0.25">
      <c r="A82" s="410"/>
      <c r="B82" s="411"/>
      <c r="C82" s="376"/>
      <c r="D82" s="377" t="s">
        <v>21</v>
      </c>
      <c r="E82" s="259">
        <v>0</v>
      </c>
      <c r="F82" s="378">
        <f>C82*E82</f>
        <v>0</v>
      </c>
      <c r="G82" s="534"/>
      <c r="H82" s="380">
        <v>0</v>
      </c>
      <c r="I82" s="378">
        <f>G82*H82</f>
        <v>0</v>
      </c>
      <c r="J82" s="381"/>
      <c r="K82" s="535">
        <f>F82+I82+J82</f>
        <v>0</v>
      </c>
      <c r="M82" s="282"/>
      <c r="N82" s="157"/>
      <c r="O82" s="386"/>
      <c r="P82" s="387"/>
      <c r="Q82" s="388"/>
    </row>
    <row r="83" spans="1:17" s="159" customFormat="1" x14ac:dyDescent="0.25">
      <c r="A83" s="375"/>
      <c r="B83" s="5"/>
      <c r="C83" s="376"/>
      <c r="D83" s="377" t="s">
        <v>21</v>
      </c>
      <c r="E83" s="259">
        <v>0</v>
      </c>
      <c r="F83" s="378">
        <f>C83*E83</f>
        <v>0</v>
      </c>
      <c r="G83" s="534"/>
      <c r="H83" s="380">
        <v>0</v>
      </c>
      <c r="I83" s="378">
        <f>G83*H83</f>
        <v>0</v>
      </c>
      <c r="J83" s="381"/>
      <c r="K83" s="535">
        <f>F83+I83+J83</f>
        <v>0</v>
      </c>
      <c r="M83" s="282"/>
      <c r="N83" s="157"/>
      <c r="O83" s="386"/>
      <c r="P83" s="387"/>
      <c r="Q83" s="388"/>
    </row>
    <row r="84" spans="1:17" s="159" customFormat="1" ht="13.8" thickBot="1" x14ac:dyDescent="0.3">
      <c r="A84" s="392"/>
      <c r="B84" s="417"/>
      <c r="C84" s="376"/>
      <c r="D84" s="377"/>
      <c r="E84" s="259"/>
      <c r="F84" s="378"/>
      <c r="G84" s="534"/>
      <c r="H84" s="380"/>
      <c r="I84" s="378"/>
      <c r="J84" s="381"/>
      <c r="K84" s="535"/>
      <c r="M84" s="280"/>
      <c r="O84" s="386"/>
      <c r="P84" s="387"/>
      <c r="Q84" s="388"/>
    </row>
    <row r="85" spans="1:17" s="159" customFormat="1" ht="14.4" thickTop="1" thickBot="1" x14ac:dyDescent="0.3">
      <c r="A85" s="475"/>
      <c r="B85" s="156"/>
      <c r="C85" s="476"/>
      <c r="D85" s="477"/>
      <c r="E85" s="478"/>
      <c r="F85" s="479"/>
      <c r="G85" s="638"/>
      <c r="H85" s="478"/>
      <c r="I85" s="479"/>
      <c r="J85" s="481" t="s">
        <v>30</v>
      </c>
      <c r="K85" s="639">
        <f>SUM(K82:K84)</f>
        <v>0</v>
      </c>
      <c r="M85" s="280"/>
      <c r="O85" s="386"/>
      <c r="P85" s="387"/>
      <c r="Q85" s="388"/>
    </row>
    <row r="86" spans="1:17" s="159" customFormat="1" ht="13.8" thickBot="1" x14ac:dyDescent="0.3">
      <c r="A86" s="358" t="s">
        <v>0</v>
      </c>
      <c r="B86" s="359" t="s">
        <v>1</v>
      </c>
      <c r="C86" s="1018" t="s">
        <v>656</v>
      </c>
      <c r="D86" s="1018"/>
      <c r="E86" s="1018"/>
      <c r="F86" s="1018"/>
      <c r="G86" s="1018" t="s">
        <v>34</v>
      </c>
      <c r="H86" s="1018"/>
      <c r="I86" s="1018"/>
      <c r="J86" s="360"/>
      <c r="K86" s="528"/>
      <c r="L86" s="396"/>
      <c r="M86" s="397"/>
      <c r="N86" s="398"/>
      <c r="O86" s="386"/>
      <c r="P86" s="387"/>
      <c r="Q86" s="388"/>
    </row>
    <row r="87" spans="1:17" s="159" customFormat="1" ht="16.2" thickBot="1" x14ac:dyDescent="0.35">
      <c r="A87" s="530" t="s">
        <v>464</v>
      </c>
      <c r="B87" s="530" t="s">
        <v>465</v>
      </c>
      <c r="C87" s="401" t="s">
        <v>19</v>
      </c>
      <c r="D87" s="402" t="s">
        <v>33</v>
      </c>
      <c r="E87" s="403" t="s">
        <v>35</v>
      </c>
      <c r="F87" s="404" t="s">
        <v>30</v>
      </c>
      <c r="G87" s="538" t="s">
        <v>14</v>
      </c>
      <c r="H87" s="403" t="s">
        <v>35</v>
      </c>
      <c r="I87" s="404" t="s">
        <v>30</v>
      </c>
      <c r="J87" s="369" t="s">
        <v>659</v>
      </c>
      <c r="K87" s="539" t="s">
        <v>38</v>
      </c>
      <c r="L87" s="407"/>
      <c r="M87" s="408"/>
      <c r="N87" s="409"/>
      <c r="O87" s="386"/>
      <c r="P87" s="387"/>
      <c r="Q87" s="388"/>
    </row>
    <row r="88" spans="1:17" s="159" customFormat="1" x14ac:dyDescent="0.25">
      <c r="A88" s="410"/>
      <c r="B88" s="411"/>
      <c r="C88" s="376"/>
      <c r="D88" s="377" t="s">
        <v>21</v>
      </c>
      <c r="E88" s="259">
        <v>0</v>
      </c>
      <c r="F88" s="378">
        <f>C88*E88</f>
        <v>0</v>
      </c>
      <c r="G88" s="534"/>
      <c r="H88" s="380">
        <v>0</v>
      </c>
      <c r="I88" s="378">
        <f>G88*H88</f>
        <v>0</v>
      </c>
      <c r="J88" s="381"/>
      <c r="K88" s="535">
        <f>F88+I88+J88</f>
        <v>0</v>
      </c>
      <c r="M88" s="282"/>
      <c r="N88" s="157"/>
      <c r="O88" s="386"/>
      <c r="P88" s="387"/>
      <c r="Q88" s="388"/>
    </row>
    <row r="89" spans="1:17" s="159" customFormat="1" x14ac:dyDescent="0.25">
      <c r="A89" s="375"/>
      <c r="B89" s="5"/>
      <c r="C89" s="376"/>
      <c r="D89" s="377" t="s">
        <v>21</v>
      </c>
      <c r="E89" s="259">
        <v>0</v>
      </c>
      <c r="F89" s="378">
        <f>C89*E89</f>
        <v>0</v>
      </c>
      <c r="G89" s="534"/>
      <c r="H89" s="380">
        <v>0</v>
      </c>
      <c r="I89" s="378">
        <f>G89*H89</f>
        <v>0</v>
      </c>
      <c r="J89" s="381"/>
      <c r="K89" s="535">
        <f>F89+I89+J89</f>
        <v>0</v>
      </c>
      <c r="M89" s="282"/>
      <c r="N89" s="157"/>
      <c r="O89" s="386"/>
      <c r="P89" s="387"/>
      <c r="Q89" s="388"/>
    </row>
    <row r="90" spans="1:17" s="159" customFormat="1" ht="13.8" thickBot="1" x14ac:dyDescent="0.3">
      <c r="A90" s="392"/>
      <c r="B90" s="417"/>
      <c r="C90" s="376"/>
      <c r="D90" s="377"/>
      <c r="E90" s="259"/>
      <c r="F90" s="378"/>
      <c r="G90" s="534"/>
      <c r="H90" s="380"/>
      <c r="I90" s="378"/>
      <c r="J90" s="381"/>
      <c r="K90" s="535"/>
      <c r="M90" s="280"/>
      <c r="O90" s="386"/>
      <c r="P90" s="387"/>
      <c r="Q90" s="388"/>
    </row>
    <row r="91" spans="1:17" s="159" customFormat="1" ht="14.4" thickTop="1" thickBot="1" x14ac:dyDescent="0.3">
      <c r="A91" s="475"/>
      <c r="B91" s="156"/>
      <c r="C91" s="476"/>
      <c r="D91" s="477"/>
      <c r="E91" s="478"/>
      <c r="F91" s="479"/>
      <c r="G91" s="638"/>
      <c r="H91" s="478"/>
      <c r="I91" s="479"/>
      <c r="J91" s="481" t="s">
        <v>30</v>
      </c>
      <c r="K91" s="639">
        <f>SUM(K88:K90)</f>
        <v>0</v>
      </c>
      <c r="M91" s="280"/>
      <c r="O91" s="386"/>
      <c r="P91" s="387"/>
      <c r="Q91" s="388"/>
    </row>
    <row r="92" spans="1:17" s="159" customFormat="1" ht="13.8" thickBot="1" x14ac:dyDescent="0.3">
      <c r="A92" s="358" t="s">
        <v>0</v>
      </c>
      <c r="B92" s="359" t="s">
        <v>1</v>
      </c>
      <c r="C92" s="1018" t="s">
        <v>656</v>
      </c>
      <c r="D92" s="1018"/>
      <c r="E92" s="1018"/>
      <c r="F92" s="1018"/>
      <c r="G92" s="1018" t="s">
        <v>34</v>
      </c>
      <c r="H92" s="1018"/>
      <c r="I92" s="1018"/>
      <c r="J92" s="360"/>
      <c r="K92" s="528"/>
      <c r="L92" s="396"/>
      <c r="M92" s="397"/>
      <c r="N92" s="398"/>
      <c r="O92" s="386"/>
      <c r="P92" s="387"/>
      <c r="Q92" s="388"/>
    </row>
    <row r="93" spans="1:17" s="159" customFormat="1" ht="16.2" thickBot="1" x14ac:dyDescent="0.35">
      <c r="A93" s="399"/>
      <c r="B93" s="400"/>
      <c r="C93" s="401" t="s">
        <v>19</v>
      </c>
      <c r="D93" s="402" t="s">
        <v>33</v>
      </c>
      <c r="E93" s="403" t="s">
        <v>35</v>
      </c>
      <c r="F93" s="404" t="s">
        <v>30</v>
      </c>
      <c r="G93" s="538" t="s">
        <v>14</v>
      </c>
      <c r="H93" s="403" t="s">
        <v>35</v>
      </c>
      <c r="I93" s="404" t="s">
        <v>30</v>
      </c>
      <c r="J93" s="369" t="s">
        <v>659</v>
      </c>
      <c r="K93" s="539" t="s">
        <v>38</v>
      </c>
      <c r="L93" s="407"/>
      <c r="M93" s="408"/>
      <c r="N93" s="409"/>
      <c r="O93" s="386"/>
      <c r="P93" s="387"/>
      <c r="Q93" s="388"/>
    </row>
    <row r="94" spans="1:17" s="159" customFormat="1" x14ac:dyDescent="0.25">
      <c r="A94" s="410"/>
      <c r="B94" s="411"/>
      <c r="C94" s="376"/>
      <c r="D94" s="377" t="s">
        <v>21</v>
      </c>
      <c r="E94" s="259">
        <v>0</v>
      </c>
      <c r="F94" s="378">
        <f>C94*E94</f>
        <v>0</v>
      </c>
      <c r="G94" s="534"/>
      <c r="H94" s="380">
        <v>0</v>
      </c>
      <c r="I94" s="378">
        <f>G94*H94</f>
        <v>0</v>
      </c>
      <c r="J94" s="381"/>
      <c r="K94" s="535">
        <f>F94+I94+J94</f>
        <v>0</v>
      </c>
      <c r="L94" s="670"/>
      <c r="M94" s="671"/>
      <c r="N94" s="673"/>
      <c r="O94" s="386"/>
      <c r="P94" s="387"/>
      <c r="Q94" s="388"/>
    </row>
    <row r="95" spans="1:17" s="159" customFormat="1" x14ac:dyDescent="0.25">
      <c r="A95" s="375"/>
      <c r="B95" s="5"/>
      <c r="C95" s="376"/>
      <c r="D95" s="377" t="s">
        <v>21</v>
      </c>
      <c r="E95" s="259">
        <v>0</v>
      </c>
      <c r="F95" s="378">
        <f>C95*E95</f>
        <v>0</v>
      </c>
      <c r="G95" s="534"/>
      <c r="H95" s="380">
        <v>0</v>
      </c>
      <c r="I95" s="378">
        <f>G95*H95</f>
        <v>0</v>
      </c>
      <c r="J95" s="381"/>
      <c r="K95" s="535">
        <f>F95+I95+J95</f>
        <v>0</v>
      </c>
      <c r="L95" s="670"/>
      <c r="M95" s="671"/>
      <c r="N95" s="673"/>
      <c r="O95" s="386"/>
      <c r="P95" s="387"/>
      <c r="Q95" s="388"/>
    </row>
    <row r="96" spans="1:17" s="159" customFormat="1" x14ac:dyDescent="0.25">
      <c r="A96" s="375"/>
      <c r="B96" s="5"/>
      <c r="C96" s="376"/>
      <c r="D96" s="377" t="s">
        <v>21</v>
      </c>
      <c r="E96" s="259">
        <v>0</v>
      </c>
      <c r="F96" s="378">
        <f>C96*E96</f>
        <v>0</v>
      </c>
      <c r="G96" s="534"/>
      <c r="H96" s="380">
        <v>0</v>
      </c>
      <c r="I96" s="378">
        <f>G96*H96</f>
        <v>0</v>
      </c>
      <c r="J96" s="381"/>
      <c r="K96" s="535">
        <f>F96+I96+J96</f>
        <v>0</v>
      </c>
      <c r="L96" s="670"/>
      <c r="M96" s="671"/>
      <c r="N96" s="673"/>
      <c r="O96" s="386"/>
      <c r="P96" s="387"/>
      <c r="Q96" s="388"/>
    </row>
    <row r="97" spans="1:17" s="159" customFormat="1" x14ac:dyDescent="0.25">
      <c r="A97" s="375"/>
      <c r="B97" s="5"/>
      <c r="C97" s="376"/>
      <c r="D97" s="377" t="s">
        <v>21</v>
      </c>
      <c r="E97" s="259">
        <v>0</v>
      </c>
      <c r="F97" s="378">
        <f>C97*E97</f>
        <v>0</v>
      </c>
      <c r="G97" s="534"/>
      <c r="H97" s="380">
        <v>0</v>
      </c>
      <c r="I97" s="378">
        <f>G97*H97</f>
        <v>0</v>
      </c>
      <c r="J97" s="381"/>
      <c r="K97" s="535">
        <f>F97+I97+J97</f>
        <v>0</v>
      </c>
      <c r="L97" s="670"/>
      <c r="M97" s="671"/>
      <c r="N97" s="673"/>
      <c r="O97" s="386"/>
      <c r="P97" s="387"/>
      <c r="Q97" s="388"/>
    </row>
    <row r="98" spans="1:17" s="159" customFormat="1" ht="13.8" thickBot="1" x14ac:dyDescent="0.3">
      <c r="A98" s="392"/>
      <c r="B98" s="417"/>
      <c r="C98" s="376"/>
      <c r="D98" s="377"/>
      <c r="E98" s="259"/>
      <c r="F98" s="378"/>
      <c r="G98" s="534"/>
      <c r="H98" s="380"/>
      <c r="I98" s="378"/>
      <c r="J98" s="381"/>
      <c r="K98" s="535"/>
      <c r="L98" s="670"/>
      <c r="M98" s="671"/>
      <c r="N98" s="673"/>
      <c r="O98" s="386"/>
      <c r="P98" s="387"/>
      <c r="Q98" s="388"/>
    </row>
    <row r="99" spans="1:17" s="159" customFormat="1" ht="14.4" thickTop="1" thickBot="1" x14ac:dyDescent="0.3">
      <c r="A99" s="475"/>
      <c r="B99" s="156"/>
      <c r="C99" s="476"/>
      <c r="D99" s="477"/>
      <c r="E99" s="478"/>
      <c r="F99" s="479"/>
      <c r="G99" s="638"/>
      <c r="H99" s="478"/>
      <c r="I99" s="479"/>
      <c r="J99" s="481" t="s">
        <v>30</v>
      </c>
      <c r="K99" s="639">
        <f>SUM(K94:K98)</f>
        <v>0</v>
      </c>
      <c r="L99" s="674"/>
      <c r="M99" s="675"/>
      <c r="N99" s="676"/>
      <c r="O99" s="465"/>
      <c r="P99" s="466"/>
      <c r="Q99" s="467"/>
    </row>
    <row r="100" spans="1:17" s="159" customFormat="1" ht="14.1" customHeight="1" x14ac:dyDescent="0.25">
      <c r="A100" s="483"/>
      <c r="B100" s="484"/>
      <c r="C100" s="485"/>
      <c r="D100" s="485"/>
      <c r="E100" s="486"/>
      <c r="F100" s="1048" t="s">
        <v>658</v>
      </c>
      <c r="G100" s="1071" t="s">
        <v>684</v>
      </c>
      <c r="H100" s="486"/>
      <c r="I100" s="1041" t="s">
        <v>657</v>
      </c>
      <c r="J100" s="1037" t="s">
        <v>685</v>
      </c>
      <c r="K100" s="1035" t="s">
        <v>31</v>
      </c>
      <c r="M100" s="282"/>
      <c r="N100" s="157"/>
      <c r="O100" s="308"/>
      <c r="P100" s="308"/>
    </row>
    <row r="101" spans="1:17" s="159" customFormat="1" ht="13.8" x14ac:dyDescent="0.25">
      <c r="A101" s="487" t="s">
        <v>32</v>
      </c>
      <c r="B101" s="1043" t="s">
        <v>676</v>
      </c>
      <c r="C101" s="488"/>
      <c r="D101" s="489"/>
      <c r="E101" s="489"/>
      <c r="F101" s="1049"/>
      <c r="G101" s="1072"/>
      <c r="H101" s="490"/>
      <c r="I101" s="1042"/>
      <c r="J101" s="1038"/>
      <c r="K101" s="1036"/>
      <c r="M101" s="282"/>
      <c r="N101" s="157"/>
      <c r="O101" s="308"/>
      <c r="P101" s="308"/>
    </row>
    <row r="102" spans="1:17" s="159" customFormat="1" ht="13.8" x14ac:dyDescent="0.25">
      <c r="A102" s="829">
        <f>K102/E6</f>
        <v>21.453957996768981</v>
      </c>
      <c r="B102" s="1043"/>
      <c r="C102" s="489"/>
      <c r="D102" s="489"/>
      <c r="E102" s="489"/>
      <c r="F102" s="1031">
        <f>SUM(F94:F98,F88:F90,F82:F84,F76:F78,F61:F72,F56:F57,F49:F52,F41:F45,F34:F37,F28:F30,F21:F24,F11:F17)</f>
        <v>0</v>
      </c>
      <c r="G102" s="1076">
        <f>SUM(G94:G98,G88:G90,G82:G84,G76:G78,G61:G72,G56:G57,G49:G52,G41:G45,G34:G37,G28:G30,G21:G24,G11:G17)</f>
        <v>0</v>
      </c>
      <c r="H102" s="490"/>
      <c r="I102" s="1031">
        <f>SUM(I94:I98,I88:I90,I82:I84,I76:I78,I61:I72,I56:I57,I49:I52,I41:I45,I34:I37,I28:I30,I21:I24,I11:I17)</f>
        <v>0</v>
      </c>
      <c r="J102" s="1031">
        <f>SUM(J94:J98,J88:J90,J82:J84,J76:J78,J61:J72,J56:J57,J49:J52,J41:J45,J34:J37,J28:J30,J21:J24,J11:J17)</f>
        <v>132800</v>
      </c>
      <c r="K102" s="1033">
        <f>K99+K91+K85+K79+K73+K58+K53+K46+K38+K31+K25+K18</f>
        <v>132800</v>
      </c>
      <c r="M102" s="282"/>
      <c r="N102" s="157"/>
      <c r="O102" s="308"/>
      <c r="P102" s="308"/>
    </row>
    <row r="103" spans="1:17" s="159" customFormat="1" ht="14.4" thickBot="1" x14ac:dyDescent="0.3">
      <c r="A103" s="487"/>
      <c r="B103" s="555"/>
      <c r="C103" s="493"/>
      <c r="D103" s="493"/>
      <c r="E103" s="493"/>
      <c r="F103" s="1032"/>
      <c r="G103" s="1077"/>
      <c r="H103" s="493"/>
      <c r="I103" s="1032"/>
      <c r="J103" s="1032"/>
      <c r="K103" s="1034"/>
      <c r="M103" s="282"/>
      <c r="N103" s="157"/>
      <c r="O103" s="308"/>
      <c r="P103" s="308"/>
    </row>
    <row r="104" spans="1:17" s="159" customFormat="1" ht="13.8" thickBot="1" x14ac:dyDescent="0.3">
      <c r="A104" s="494"/>
      <c r="B104" s="495"/>
      <c r="C104" s="495"/>
      <c r="D104" s="495"/>
      <c r="E104" s="495"/>
      <c r="F104" s="495"/>
      <c r="G104" s="495"/>
      <c r="H104" s="495"/>
      <c r="I104" s="495"/>
      <c r="J104" s="495"/>
      <c r="K104" s="496"/>
      <c r="M104" s="282"/>
      <c r="N104" s="157"/>
      <c r="O104" s="308"/>
      <c r="P104" s="308"/>
    </row>
    <row r="105" spans="1:17" s="159" customFormat="1" x14ac:dyDescent="0.25">
      <c r="C105" s="658"/>
      <c r="D105" s="658"/>
      <c r="J105" s="280"/>
      <c r="M105" s="282"/>
      <c r="N105" s="157"/>
      <c r="O105" s="308"/>
      <c r="P105" s="308"/>
    </row>
    <row r="106" spans="1:17" s="159" customFormat="1" x14ac:dyDescent="0.25">
      <c r="C106" s="658"/>
      <c r="D106" s="658"/>
      <c r="J106" s="280"/>
      <c r="M106" s="282"/>
      <c r="N106" s="157"/>
      <c r="O106" s="308"/>
      <c r="P106" s="308"/>
    </row>
    <row r="107" spans="1:17" s="159" customFormat="1" x14ac:dyDescent="0.25">
      <c r="C107" s="658"/>
      <c r="D107" s="658"/>
      <c r="J107" s="280"/>
      <c r="M107" s="282"/>
      <c r="N107" s="157"/>
      <c r="O107" s="308"/>
      <c r="P107" s="308"/>
    </row>
    <row r="108" spans="1:17" s="159" customFormat="1" x14ac:dyDescent="0.25">
      <c r="C108" s="658"/>
      <c r="D108" s="658"/>
      <c r="J108" s="280"/>
      <c r="M108" s="282"/>
      <c r="N108" s="157"/>
      <c r="O108" s="308"/>
      <c r="P108" s="308"/>
    </row>
    <row r="109" spans="1:17" s="159" customFormat="1" x14ac:dyDescent="0.25">
      <c r="C109" s="658"/>
      <c r="D109" s="658"/>
      <c r="J109" s="280"/>
      <c r="M109" s="282"/>
      <c r="N109" s="157"/>
      <c r="O109" s="308"/>
      <c r="P109" s="308"/>
    </row>
    <row r="110" spans="1:17" s="159" customFormat="1" x14ac:dyDescent="0.25">
      <c r="C110" s="658"/>
      <c r="D110" s="658"/>
      <c r="J110" s="280"/>
      <c r="M110" s="282"/>
      <c r="N110" s="157"/>
      <c r="O110" s="308"/>
      <c r="P110" s="308"/>
    </row>
    <row r="111" spans="1:17" s="159" customFormat="1" x14ac:dyDescent="0.25">
      <c r="C111" s="658"/>
      <c r="D111" s="658"/>
      <c r="J111" s="280"/>
      <c r="M111" s="282"/>
      <c r="N111" s="157"/>
      <c r="O111" s="308"/>
      <c r="P111" s="308"/>
    </row>
    <row r="112" spans="1:17" s="159" customFormat="1" x14ac:dyDescent="0.25">
      <c r="C112" s="658"/>
      <c r="D112" s="658"/>
      <c r="J112" s="280"/>
      <c r="M112" s="282"/>
      <c r="N112" s="157"/>
      <c r="O112" s="308"/>
      <c r="P112" s="308"/>
    </row>
    <row r="113" spans="3:16" s="159" customFormat="1" x14ac:dyDescent="0.25">
      <c r="C113" s="658"/>
      <c r="D113" s="658"/>
      <c r="J113" s="280"/>
      <c r="M113" s="282"/>
      <c r="N113" s="157"/>
      <c r="O113" s="308"/>
      <c r="P113" s="308"/>
    </row>
    <row r="114" spans="3:16" s="159" customFormat="1" x14ac:dyDescent="0.25">
      <c r="C114" s="658"/>
      <c r="D114" s="658"/>
      <c r="J114" s="280"/>
      <c r="M114" s="282"/>
      <c r="N114" s="157"/>
      <c r="O114" s="308"/>
      <c r="P114" s="308"/>
    </row>
    <row r="115" spans="3:16" s="159" customFormat="1" x14ac:dyDescent="0.25">
      <c r="C115" s="658"/>
      <c r="D115" s="658"/>
      <c r="J115" s="280"/>
      <c r="M115" s="282"/>
      <c r="N115" s="157"/>
      <c r="O115" s="308"/>
      <c r="P115" s="308"/>
    </row>
    <row r="116" spans="3:16" s="159" customFormat="1" x14ac:dyDescent="0.25">
      <c r="C116" s="658"/>
      <c r="D116" s="658"/>
      <c r="J116" s="280"/>
      <c r="M116" s="282"/>
      <c r="N116" s="157"/>
      <c r="O116" s="308"/>
      <c r="P116" s="308"/>
    </row>
    <row r="117" spans="3:16" s="159" customFormat="1" x14ac:dyDescent="0.25">
      <c r="C117" s="658"/>
      <c r="D117" s="658"/>
      <c r="J117" s="280"/>
      <c r="M117" s="282"/>
      <c r="N117" s="157"/>
      <c r="O117" s="308"/>
      <c r="P117" s="308"/>
    </row>
    <row r="118" spans="3:16" s="159" customFormat="1" x14ac:dyDescent="0.25">
      <c r="C118" s="658"/>
      <c r="D118" s="658"/>
      <c r="J118" s="280"/>
      <c r="M118" s="282"/>
      <c r="N118" s="157"/>
      <c r="O118" s="308"/>
      <c r="P118" s="308"/>
    </row>
    <row r="119" spans="3:16" s="159" customFormat="1" x14ac:dyDescent="0.25">
      <c r="C119" s="658"/>
      <c r="D119" s="658"/>
      <c r="J119" s="280"/>
      <c r="M119" s="282"/>
      <c r="N119" s="157"/>
      <c r="O119" s="308"/>
      <c r="P119" s="308"/>
    </row>
    <row r="120" spans="3:16" s="159" customFormat="1" x14ac:dyDescent="0.25">
      <c r="C120" s="658"/>
      <c r="D120" s="658"/>
      <c r="J120" s="280"/>
      <c r="M120" s="282"/>
      <c r="N120" s="157"/>
      <c r="O120" s="308"/>
      <c r="P120" s="308"/>
    </row>
    <row r="121" spans="3:16" s="159" customFormat="1" x14ac:dyDescent="0.25">
      <c r="C121" s="658"/>
      <c r="D121" s="658"/>
      <c r="J121" s="280"/>
      <c r="M121" s="282"/>
      <c r="N121" s="157"/>
      <c r="O121" s="308"/>
      <c r="P121" s="308"/>
    </row>
    <row r="122" spans="3:16" s="159" customFormat="1" x14ac:dyDescent="0.25">
      <c r="C122" s="658"/>
      <c r="D122" s="658"/>
      <c r="J122" s="280"/>
      <c r="M122" s="282"/>
      <c r="N122" s="157"/>
      <c r="O122" s="308"/>
      <c r="P122" s="308"/>
    </row>
    <row r="123" spans="3:16" s="159" customFormat="1" x14ac:dyDescent="0.25">
      <c r="C123" s="658"/>
      <c r="D123" s="658"/>
      <c r="J123" s="280"/>
      <c r="M123" s="282"/>
      <c r="N123" s="157"/>
      <c r="O123" s="308"/>
      <c r="P123" s="308"/>
    </row>
    <row r="124" spans="3:16" s="159" customFormat="1" x14ac:dyDescent="0.25">
      <c r="C124" s="658"/>
      <c r="D124" s="658"/>
      <c r="J124" s="280"/>
      <c r="M124" s="282"/>
      <c r="N124" s="157"/>
      <c r="O124" s="308"/>
      <c r="P124" s="308"/>
    </row>
    <row r="125" spans="3:16" s="159" customFormat="1" x14ac:dyDescent="0.25">
      <c r="C125" s="658"/>
      <c r="D125" s="658"/>
      <c r="J125" s="280"/>
      <c r="M125" s="282"/>
      <c r="N125" s="157"/>
      <c r="O125" s="308"/>
      <c r="P125" s="308"/>
    </row>
    <row r="126" spans="3:16" s="159" customFormat="1" x14ac:dyDescent="0.25">
      <c r="C126" s="658"/>
      <c r="D126" s="658"/>
      <c r="J126" s="280"/>
      <c r="M126" s="282"/>
      <c r="N126" s="157"/>
      <c r="O126" s="308"/>
      <c r="P126" s="308"/>
    </row>
    <row r="127" spans="3:16" s="159" customFormat="1" x14ac:dyDescent="0.25">
      <c r="C127" s="658"/>
      <c r="D127" s="658"/>
      <c r="J127" s="280"/>
      <c r="M127" s="282"/>
      <c r="N127" s="157"/>
      <c r="O127" s="308"/>
      <c r="P127" s="308"/>
    </row>
    <row r="128" spans="3:16" s="159" customFormat="1" x14ac:dyDescent="0.25">
      <c r="C128" s="658"/>
      <c r="D128" s="658"/>
      <c r="J128" s="280"/>
      <c r="M128" s="282"/>
      <c r="N128" s="157"/>
      <c r="O128" s="308"/>
      <c r="P128" s="308"/>
    </row>
    <row r="129" spans="3:16" s="159" customFormat="1" x14ac:dyDescent="0.25">
      <c r="C129" s="658"/>
      <c r="D129" s="658"/>
      <c r="J129" s="280"/>
      <c r="M129" s="282"/>
      <c r="N129" s="157"/>
      <c r="O129" s="308"/>
      <c r="P129" s="308"/>
    </row>
    <row r="130" spans="3:16" s="159" customFormat="1" x14ac:dyDescent="0.25">
      <c r="C130" s="658"/>
      <c r="D130" s="658"/>
      <c r="J130" s="280"/>
      <c r="M130" s="282"/>
      <c r="N130" s="157"/>
      <c r="O130" s="308"/>
      <c r="P130" s="308"/>
    </row>
    <row r="131" spans="3:16" s="159" customFormat="1" x14ac:dyDescent="0.25">
      <c r="C131" s="658"/>
      <c r="D131" s="658"/>
      <c r="J131" s="280"/>
      <c r="M131" s="282"/>
      <c r="N131" s="157"/>
      <c r="O131" s="308"/>
      <c r="P131" s="308"/>
    </row>
    <row r="132" spans="3:16" s="159" customFormat="1" x14ac:dyDescent="0.25">
      <c r="C132" s="658"/>
      <c r="D132" s="658"/>
      <c r="J132" s="280"/>
      <c r="M132" s="282"/>
      <c r="N132" s="157"/>
      <c r="O132" s="308"/>
      <c r="P132" s="308"/>
    </row>
    <row r="133" spans="3:16" s="159" customFormat="1" x14ac:dyDescent="0.25">
      <c r="C133" s="658"/>
      <c r="D133" s="658"/>
      <c r="J133" s="280"/>
      <c r="M133" s="282"/>
      <c r="N133" s="157"/>
      <c r="O133" s="308"/>
      <c r="P133" s="308"/>
    </row>
    <row r="134" spans="3:16" s="159" customFormat="1" x14ac:dyDescent="0.25">
      <c r="C134" s="658"/>
      <c r="D134" s="658"/>
      <c r="J134" s="280"/>
      <c r="M134" s="282"/>
      <c r="N134" s="157"/>
      <c r="O134" s="308"/>
      <c r="P134" s="308"/>
    </row>
    <row r="135" spans="3:16" s="159" customFormat="1" x14ac:dyDescent="0.25">
      <c r="C135" s="658"/>
      <c r="D135" s="658"/>
      <c r="J135" s="280"/>
      <c r="M135" s="282"/>
      <c r="N135" s="157"/>
      <c r="O135" s="308"/>
      <c r="P135" s="308"/>
    </row>
    <row r="136" spans="3:16" s="159" customFormat="1" x14ac:dyDescent="0.25">
      <c r="C136" s="658"/>
      <c r="D136" s="658"/>
      <c r="J136" s="280"/>
      <c r="M136" s="282"/>
      <c r="N136" s="157"/>
      <c r="O136" s="308"/>
      <c r="P136" s="308"/>
    </row>
    <row r="137" spans="3:16" s="159" customFormat="1" x14ac:dyDescent="0.25">
      <c r="C137" s="658"/>
      <c r="D137" s="658"/>
      <c r="J137" s="280"/>
      <c r="M137" s="282"/>
      <c r="N137" s="157"/>
      <c r="O137" s="308"/>
      <c r="P137" s="308"/>
    </row>
    <row r="138" spans="3:16" s="159" customFormat="1" x14ac:dyDescent="0.25">
      <c r="C138" s="658"/>
      <c r="D138" s="658"/>
      <c r="J138" s="280"/>
      <c r="M138" s="282"/>
      <c r="N138" s="157"/>
      <c r="O138" s="308"/>
      <c r="P138" s="308"/>
    </row>
    <row r="139" spans="3:16" s="159" customFormat="1" x14ac:dyDescent="0.25">
      <c r="C139" s="658"/>
      <c r="D139" s="658"/>
      <c r="J139" s="280"/>
      <c r="M139" s="282"/>
      <c r="N139" s="157"/>
      <c r="O139" s="308"/>
      <c r="P139" s="308"/>
    </row>
    <row r="140" spans="3:16" s="159" customFormat="1" x14ac:dyDescent="0.25">
      <c r="C140" s="658"/>
      <c r="D140" s="658"/>
      <c r="J140" s="280"/>
      <c r="M140" s="282"/>
      <c r="N140" s="157"/>
      <c r="O140" s="308"/>
      <c r="P140" s="308"/>
    </row>
    <row r="141" spans="3:16" s="159" customFormat="1" x14ac:dyDescent="0.25">
      <c r="C141" s="658"/>
      <c r="D141" s="658"/>
      <c r="J141" s="280"/>
      <c r="M141" s="282"/>
      <c r="N141" s="157"/>
      <c r="O141" s="308"/>
      <c r="P141" s="308"/>
    </row>
    <row r="142" spans="3:16" s="159" customFormat="1" x14ac:dyDescent="0.25">
      <c r="C142" s="658"/>
      <c r="D142" s="658"/>
      <c r="J142" s="280"/>
      <c r="M142" s="282"/>
      <c r="N142" s="157"/>
      <c r="O142" s="308"/>
      <c r="P142" s="308"/>
    </row>
    <row r="143" spans="3:16" s="159" customFormat="1" x14ac:dyDescent="0.25">
      <c r="C143" s="658"/>
      <c r="D143" s="658"/>
      <c r="J143" s="280"/>
      <c r="M143" s="282"/>
      <c r="N143" s="157"/>
      <c r="O143" s="308"/>
      <c r="P143" s="308"/>
    </row>
    <row r="144" spans="3:16" s="159" customFormat="1" x14ac:dyDescent="0.25">
      <c r="C144" s="658"/>
      <c r="D144" s="658"/>
      <c r="J144" s="280"/>
      <c r="M144" s="282"/>
      <c r="N144" s="157"/>
      <c r="O144" s="308"/>
      <c r="P144" s="308"/>
    </row>
    <row r="145" spans="3:16" s="159" customFormat="1" x14ac:dyDescent="0.25">
      <c r="C145" s="658"/>
      <c r="D145" s="658"/>
      <c r="J145" s="280"/>
      <c r="M145" s="282"/>
      <c r="N145" s="157"/>
      <c r="O145" s="308"/>
      <c r="P145" s="308"/>
    </row>
    <row r="146" spans="3:16" s="159" customFormat="1" x14ac:dyDescent="0.25">
      <c r="C146" s="658"/>
      <c r="D146" s="658"/>
      <c r="J146" s="280"/>
      <c r="M146" s="282"/>
      <c r="N146" s="157"/>
      <c r="O146" s="308"/>
      <c r="P146" s="308"/>
    </row>
    <row r="147" spans="3:16" s="159" customFormat="1" x14ac:dyDescent="0.25">
      <c r="C147" s="658"/>
      <c r="D147" s="658"/>
      <c r="J147" s="280"/>
      <c r="M147" s="282"/>
      <c r="N147" s="157"/>
      <c r="O147" s="308"/>
      <c r="P147" s="308"/>
    </row>
    <row r="148" spans="3:16" s="159" customFormat="1" x14ac:dyDescent="0.25">
      <c r="C148" s="658"/>
      <c r="D148" s="658"/>
      <c r="J148" s="280"/>
      <c r="M148" s="282"/>
      <c r="N148" s="157"/>
      <c r="O148" s="308"/>
      <c r="P148" s="308"/>
    </row>
    <row r="149" spans="3:16" s="159" customFormat="1" x14ac:dyDescent="0.25">
      <c r="C149" s="658"/>
      <c r="D149" s="658"/>
      <c r="J149" s="280"/>
      <c r="M149" s="282"/>
      <c r="N149" s="157"/>
      <c r="O149" s="308"/>
      <c r="P149" s="308"/>
    </row>
    <row r="150" spans="3:16" s="159" customFormat="1" x14ac:dyDescent="0.25">
      <c r="C150" s="658"/>
      <c r="D150" s="658"/>
      <c r="J150" s="280"/>
      <c r="M150" s="282"/>
      <c r="N150" s="157"/>
      <c r="O150" s="308"/>
      <c r="P150" s="308"/>
    </row>
    <row r="151" spans="3:16" s="159" customFormat="1" x14ac:dyDescent="0.25">
      <c r="C151" s="658"/>
      <c r="D151" s="658"/>
      <c r="J151" s="280"/>
      <c r="M151" s="282"/>
      <c r="N151" s="157"/>
      <c r="O151" s="308"/>
      <c r="P151" s="308"/>
    </row>
    <row r="152" spans="3:16" s="159" customFormat="1" x14ac:dyDescent="0.25">
      <c r="C152" s="658"/>
      <c r="D152" s="658"/>
      <c r="J152" s="280"/>
      <c r="M152" s="282"/>
      <c r="N152" s="157"/>
      <c r="O152" s="308"/>
      <c r="P152" s="308"/>
    </row>
    <row r="153" spans="3:16" s="159" customFormat="1" x14ac:dyDescent="0.25">
      <c r="C153" s="658"/>
      <c r="D153" s="658"/>
      <c r="J153" s="280"/>
      <c r="M153" s="282"/>
      <c r="N153" s="157"/>
      <c r="O153" s="308"/>
      <c r="P153" s="308"/>
    </row>
    <row r="154" spans="3:16" s="159" customFormat="1" x14ac:dyDescent="0.25">
      <c r="C154" s="658"/>
      <c r="D154" s="658"/>
      <c r="J154" s="280"/>
      <c r="M154" s="282"/>
      <c r="N154" s="157"/>
      <c r="O154" s="308"/>
      <c r="P154" s="308"/>
    </row>
    <row r="155" spans="3:16" s="159" customFormat="1" x14ac:dyDescent="0.25">
      <c r="C155" s="658"/>
      <c r="D155" s="658"/>
      <c r="J155" s="280"/>
      <c r="M155" s="282"/>
      <c r="N155" s="157"/>
      <c r="O155" s="308"/>
      <c r="P155" s="308"/>
    </row>
    <row r="156" spans="3:16" s="159" customFormat="1" x14ac:dyDescent="0.25">
      <c r="C156" s="658"/>
      <c r="D156" s="658"/>
      <c r="J156" s="280"/>
      <c r="M156" s="282"/>
      <c r="N156" s="157"/>
      <c r="O156" s="308"/>
      <c r="P156" s="308"/>
    </row>
    <row r="157" spans="3:16" s="159" customFormat="1" x14ac:dyDescent="0.25">
      <c r="C157" s="658"/>
      <c r="D157" s="658"/>
      <c r="J157" s="280"/>
      <c r="M157" s="282"/>
      <c r="N157" s="157"/>
      <c r="O157" s="308"/>
      <c r="P157" s="308"/>
    </row>
    <row r="158" spans="3:16" s="159" customFormat="1" x14ac:dyDescent="0.25">
      <c r="C158" s="658"/>
      <c r="D158" s="658"/>
      <c r="J158" s="280"/>
      <c r="M158" s="282"/>
      <c r="N158" s="157"/>
      <c r="O158" s="308"/>
      <c r="P158" s="308"/>
    </row>
    <row r="159" spans="3:16" s="159" customFormat="1" x14ac:dyDescent="0.25">
      <c r="C159" s="658"/>
      <c r="D159" s="658"/>
      <c r="J159" s="280"/>
      <c r="M159" s="282"/>
      <c r="N159" s="157"/>
      <c r="O159" s="308"/>
      <c r="P159" s="308"/>
    </row>
    <row r="160" spans="3:16" s="159" customFormat="1" x14ac:dyDescent="0.25">
      <c r="C160" s="658"/>
      <c r="D160" s="658"/>
      <c r="J160" s="280"/>
      <c r="M160" s="282"/>
      <c r="N160" s="157"/>
      <c r="O160" s="308"/>
      <c r="P160" s="308"/>
    </row>
    <row r="161" spans="3:16" s="159" customFormat="1" x14ac:dyDescent="0.25">
      <c r="C161" s="658"/>
      <c r="D161" s="658"/>
      <c r="J161" s="280"/>
      <c r="M161" s="282"/>
      <c r="N161" s="157"/>
      <c r="O161" s="308"/>
      <c r="P161" s="308"/>
    </row>
    <row r="162" spans="3:16" s="159" customFormat="1" x14ac:dyDescent="0.25">
      <c r="C162" s="658"/>
      <c r="D162" s="658"/>
      <c r="J162" s="280"/>
      <c r="M162" s="282"/>
      <c r="N162" s="157"/>
      <c r="O162" s="308"/>
      <c r="P162" s="308"/>
    </row>
    <row r="163" spans="3:16" s="159" customFormat="1" x14ac:dyDescent="0.25">
      <c r="C163" s="658"/>
      <c r="D163" s="658"/>
      <c r="J163" s="280"/>
      <c r="M163" s="282"/>
      <c r="N163" s="157"/>
      <c r="O163" s="308"/>
      <c r="P163" s="308"/>
    </row>
    <row r="164" spans="3:16" s="159" customFormat="1" x14ac:dyDescent="0.25">
      <c r="C164" s="658"/>
      <c r="D164" s="658"/>
      <c r="J164" s="280"/>
      <c r="M164" s="282"/>
      <c r="N164" s="157"/>
      <c r="O164" s="308"/>
      <c r="P164" s="308"/>
    </row>
    <row r="165" spans="3:16" s="159" customFormat="1" x14ac:dyDescent="0.25">
      <c r="C165" s="658"/>
      <c r="D165" s="658"/>
      <c r="J165" s="280"/>
      <c r="M165" s="282"/>
      <c r="N165" s="157"/>
      <c r="O165" s="308"/>
      <c r="P165" s="308"/>
    </row>
    <row r="166" spans="3:16" s="159" customFormat="1" x14ac:dyDescent="0.25">
      <c r="C166" s="658"/>
      <c r="D166" s="658"/>
      <c r="J166" s="280"/>
      <c r="M166" s="282"/>
      <c r="N166" s="157"/>
      <c r="O166" s="308"/>
      <c r="P166" s="308"/>
    </row>
    <row r="167" spans="3:16" s="159" customFormat="1" x14ac:dyDescent="0.25">
      <c r="C167" s="658"/>
      <c r="D167" s="658"/>
      <c r="J167" s="280"/>
      <c r="M167" s="282"/>
      <c r="N167" s="157"/>
      <c r="O167" s="308"/>
      <c r="P167" s="308"/>
    </row>
    <row r="168" spans="3:16" s="159" customFormat="1" x14ac:dyDescent="0.25">
      <c r="C168" s="658"/>
      <c r="D168" s="658"/>
      <c r="J168" s="280"/>
      <c r="M168" s="282"/>
      <c r="N168" s="157"/>
      <c r="O168" s="308"/>
      <c r="P168" s="308"/>
    </row>
    <row r="169" spans="3:16" s="159" customFormat="1" x14ac:dyDescent="0.25">
      <c r="C169" s="658"/>
      <c r="D169" s="658"/>
      <c r="J169" s="280"/>
      <c r="M169" s="282"/>
      <c r="N169" s="157"/>
      <c r="O169" s="308"/>
      <c r="P169" s="308"/>
    </row>
    <row r="170" spans="3:16" s="159" customFormat="1" x14ac:dyDescent="0.25">
      <c r="C170" s="658"/>
      <c r="D170" s="658"/>
      <c r="J170" s="280"/>
      <c r="M170" s="282"/>
      <c r="N170" s="157"/>
      <c r="O170" s="308"/>
      <c r="P170" s="308"/>
    </row>
    <row r="171" spans="3:16" s="159" customFormat="1" x14ac:dyDescent="0.25">
      <c r="C171" s="658"/>
      <c r="D171" s="658"/>
      <c r="J171" s="280"/>
      <c r="M171" s="282"/>
      <c r="N171" s="157"/>
      <c r="O171" s="308"/>
      <c r="P171" s="308"/>
    </row>
    <row r="172" spans="3:16" s="159" customFormat="1" x14ac:dyDescent="0.25">
      <c r="C172" s="658"/>
      <c r="D172" s="658"/>
      <c r="J172" s="280"/>
      <c r="M172" s="282"/>
      <c r="N172" s="157"/>
      <c r="O172" s="308"/>
      <c r="P172" s="308"/>
    </row>
    <row r="173" spans="3:16" s="159" customFormat="1" x14ac:dyDescent="0.25">
      <c r="C173" s="658"/>
      <c r="D173" s="658"/>
      <c r="J173" s="280"/>
      <c r="M173" s="282"/>
      <c r="N173" s="157"/>
      <c r="O173" s="308"/>
      <c r="P173" s="308"/>
    </row>
    <row r="174" spans="3:16" s="159" customFormat="1" x14ac:dyDescent="0.25">
      <c r="C174" s="658"/>
      <c r="D174" s="658"/>
      <c r="J174" s="280"/>
      <c r="M174" s="282"/>
      <c r="N174" s="157"/>
      <c r="O174" s="308"/>
      <c r="P174" s="308"/>
    </row>
    <row r="175" spans="3:16" s="159" customFormat="1" x14ac:dyDescent="0.25">
      <c r="C175" s="658"/>
      <c r="D175" s="658"/>
      <c r="J175" s="280"/>
      <c r="M175" s="282"/>
      <c r="N175" s="157"/>
      <c r="O175" s="308"/>
      <c r="P175" s="308"/>
    </row>
    <row r="176" spans="3:16" s="159" customFormat="1" x14ac:dyDescent="0.25">
      <c r="C176" s="658"/>
      <c r="D176" s="658"/>
      <c r="J176" s="280"/>
      <c r="M176" s="282"/>
      <c r="N176" s="157"/>
      <c r="O176" s="308"/>
      <c r="P176" s="308"/>
    </row>
    <row r="177" spans="3:16" s="159" customFormat="1" x14ac:dyDescent="0.25">
      <c r="C177" s="658"/>
      <c r="D177" s="658"/>
      <c r="J177" s="280"/>
      <c r="M177" s="282"/>
      <c r="N177" s="157"/>
      <c r="O177" s="308"/>
      <c r="P177" s="308"/>
    </row>
    <row r="178" spans="3:16" s="159" customFormat="1" x14ac:dyDescent="0.25">
      <c r="C178" s="658"/>
      <c r="D178" s="658"/>
      <c r="J178" s="280"/>
      <c r="M178" s="282"/>
      <c r="N178" s="157"/>
      <c r="O178" s="308"/>
      <c r="P178" s="308"/>
    </row>
    <row r="179" spans="3:16" s="159" customFormat="1" x14ac:dyDescent="0.25">
      <c r="C179" s="658"/>
      <c r="D179" s="658"/>
      <c r="J179" s="280"/>
      <c r="M179" s="282"/>
      <c r="N179" s="157"/>
      <c r="O179" s="308"/>
      <c r="P179" s="308"/>
    </row>
    <row r="180" spans="3:16" s="159" customFormat="1" x14ac:dyDescent="0.25">
      <c r="C180" s="658"/>
      <c r="D180" s="658"/>
      <c r="J180" s="280"/>
      <c r="M180" s="282"/>
      <c r="N180" s="157"/>
      <c r="O180" s="308"/>
      <c r="P180" s="308"/>
    </row>
    <row r="181" spans="3:16" s="159" customFormat="1" x14ac:dyDescent="0.25">
      <c r="C181" s="658"/>
      <c r="D181" s="658"/>
      <c r="J181" s="280"/>
      <c r="M181" s="282"/>
      <c r="N181" s="157"/>
      <c r="O181" s="308"/>
      <c r="P181" s="308"/>
    </row>
    <row r="182" spans="3:16" s="159" customFormat="1" x14ac:dyDescent="0.25">
      <c r="C182" s="658"/>
      <c r="D182" s="658"/>
      <c r="J182" s="280"/>
      <c r="M182" s="282"/>
      <c r="N182" s="157"/>
      <c r="O182" s="308"/>
      <c r="P182" s="308"/>
    </row>
    <row r="183" spans="3:16" s="159" customFormat="1" x14ac:dyDescent="0.25">
      <c r="C183" s="658"/>
      <c r="D183" s="658"/>
      <c r="J183" s="280"/>
      <c r="M183" s="282"/>
      <c r="N183" s="157"/>
      <c r="O183" s="308"/>
      <c r="P183" s="308"/>
    </row>
    <row r="184" spans="3:16" s="159" customFormat="1" x14ac:dyDescent="0.25">
      <c r="C184" s="658"/>
      <c r="D184" s="658"/>
      <c r="J184" s="280"/>
      <c r="M184" s="282"/>
      <c r="N184" s="157"/>
      <c r="O184" s="308"/>
      <c r="P184" s="308"/>
    </row>
    <row r="185" spans="3:16" s="159" customFormat="1" x14ac:dyDescent="0.25">
      <c r="C185" s="658"/>
      <c r="D185" s="658"/>
      <c r="J185" s="280"/>
      <c r="M185" s="282"/>
      <c r="N185" s="157"/>
      <c r="O185" s="308"/>
      <c r="P185" s="308"/>
    </row>
    <row r="186" spans="3:16" s="159" customFormat="1" x14ac:dyDescent="0.25">
      <c r="C186" s="658"/>
      <c r="D186" s="658"/>
      <c r="J186" s="280"/>
      <c r="M186" s="282"/>
      <c r="N186" s="157"/>
      <c r="O186" s="308"/>
      <c r="P186" s="308"/>
    </row>
    <row r="187" spans="3:16" s="159" customFormat="1" x14ac:dyDescent="0.25">
      <c r="C187" s="658"/>
      <c r="D187" s="658"/>
      <c r="J187" s="280"/>
      <c r="M187" s="282"/>
      <c r="N187" s="157"/>
      <c r="O187" s="308"/>
      <c r="P187" s="308"/>
    </row>
    <row r="188" spans="3:16" s="159" customFormat="1" x14ac:dyDescent="0.25">
      <c r="C188" s="658"/>
      <c r="D188" s="658"/>
      <c r="J188" s="280"/>
      <c r="M188" s="282"/>
      <c r="N188" s="157"/>
      <c r="O188" s="308"/>
      <c r="P188" s="308"/>
    </row>
    <row r="189" spans="3:16" s="159" customFormat="1" x14ac:dyDescent="0.25">
      <c r="C189" s="658"/>
      <c r="D189" s="658"/>
      <c r="J189" s="280"/>
      <c r="M189" s="282"/>
      <c r="N189" s="157"/>
      <c r="O189" s="308"/>
      <c r="P189" s="308"/>
    </row>
    <row r="190" spans="3:16" s="159" customFormat="1" x14ac:dyDescent="0.25">
      <c r="C190" s="658"/>
      <c r="D190" s="658"/>
      <c r="J190" s="280"/>
      <c r="M190" s="282"/>
      <c r="N190" s="157"/>
      <c r="O190" s="308"/>
      <c r="P190" s="308"/>
    </row>
    <row r="191" spans="3:16" s="159" customFormat="1" x14ac:dyDescent="0.25">
      <c r="C191" s="658"/>
      <c r="D191" s="658"/>
      <c r="J191" s="280"/>
      <c r="M191" s="282"/>
      <c r="N191" s="157"/>
      <c r="O191" s="308"/>
      <c r="P191" s="308"/>
    </row>
    <row r="192" spans="3:16" s="159" customFormat="1" x14ac:dyDescent="0.25">
      <c r="C192" s="658"/>
      <c r="D192" s="658"/>
      <c r="J192" s="280"/>
      <c r="M192" s="282"/>
      <c r="N192" s="157"/>
      <c r="O192" s="308"/>
      <c r="P192" s="308"/>
    </row>
    <row r="193" spans="3:16" s="159" customFormat="1" x14ac:dyDescent="0.25">
      <c r="C193" s="658"/>
      <c r="D193" s="658"/>
      <c r="J193" s="280"/>
      <c r="M193" s="282"/>
      <c r="N193" s="157"/>
      <c r="O193" s="308"/>
      <c r="P193" s="308"/>
    </row>
    <row r="194" spans="3:16" s="159" customFormat="1" x14ac:dyDescent="0.25">
      <c r="C194" s="658"/>
      <c r="D194" s="658"/>
      <c r="J194" s="280"/>
      <c r="M194" s="282"/>
      <c r="N194" s="157"/>
      <c r="O194" s="308"/>
      <c r="P194" s="308"/>
    </row>
    <row r="195" spans="3:16" s="159" customFormat="1" x14ac:dyDescent="0.25">
      <c r="C195" s="658"/>
      <c r="D195" s="658"/>
      <c r="J195" s="280"/>
      <c r="M195" s="282"/>
      <c r="N195" s="157"/>
      <c r="O195" s="308"/>
      <c r="P195" s="308"/>
    </row>
    <row r="196" spans="3:16" s="159" customFormat="1" x14ac:dyDescent="0.25">
      <c r="C196" s="658"/>
      <c r="D196" s="658"/>
      <c r="J196" s="280"/>
      <c r="M196" s="282"/>
      <c r="N196" s="157"/>
      <c r="O196" s="308"/>
      <c r="P196" s="308"/>
    </row>
    <row r="197" spans="3:16" s="159" customFormat="1" x14ac:dyDescent="0.25">
      <c r="C197" s="658"/>
      <c r="D197" s="658"/>
      <c r="J197" s="280"/>
      <c r="M197" s="282"/>
      <c r="N197" s="157"/>
      <c r="O197" s="308"/>
      <c r="P197" s="308"/>
    </row>
    <row r="198" spans="3:16" s="159" customFormat="1" x14ac:dyDescent="0.25">
      <c r="C198" s="658"/>
      <c r="D198" s="658"/>
      <c r="J198" s="280"/>
      <c r="M198" s="282"/>
      <c r="N198" s="157"/>
      <c r="O198" s="308"/>
      <c r="P198" s="308"/>
    </row>
    <row r="199" spans="3:16" s="159" customFormat="1" x14ac:dyDescent="0.25">
      <c r="C199" s="658"/>
      <c r="D199" s="658"/>
      <c r="J199" s="280"/>
      <c r="M199" s="282"/>
      <c r="N199" s="157"/>
      <c r="O199" s="308"/>
      <c r="P199" s="308"/>
    </row>
    <row r="200" spans="3:16" s="159" customFormat="1" x14ac:dyDescent="0.25">
      <c r="C200" s="658"/>
      <c r="D200" s="658"/>
      <c r="J200" s="280"/>
      <c r="M200" s="282"/>
      <c r="N200" s="157"/>
      <c r="O200" s="308"/>
      <c r="P200" s="308"/>
    </row>
    <row r="201" spans="3:16" s="159" customFormat="1" x14ac:dyDescent="0.25">
      <c r="C201" s="658"/>
      <c r="D201" s="658"/>
      <c r="J201" s="280"/>
      <c r="M201" s="282"/>
      <c r="N201" s="157"/>
      <c r="O201" s="308"/>
      <c r="P201" s="308"/>
    </row>
    <row r="202" spans="3:16" s="159" customFormat="1" x14ac:dyDescent="0.25">
      <c r="C202" s="658"/>
      <c r="D202" s="658"/>
      <c r="J202" s="280"/>
      <c r="M202" s="282"/>
      <c r="N202" s="157"/>
      <c r="O202" s="308"/>
      <c r="P202" s="308"/>
    </row>
    <row r="203" spans="3:16" s="159" customFormat="1" x14ac:dyDescent="0.25">
      <c r="C203" s="658"/>
      <c r="D203" s="658"/>
      <c r="J203" s="280"/>
      <c r="M203" s="282"/>
      <c r="N203" s="157"/>
      <c r="O203" s="308"/>
      <c r="P203" s="308"/>
    </row>
    <row r="204" spans="3:16" s="159" customFormat="1" x14ac:dyDescent="0.25">
      <c r="C204" s="658"/>
      <c r="D204" s="658"/>
      <c r="J204" s="280"/>
      <c r="M204" s="282"/>
      <c r="N204" s="157"/>
      <c r="O204" s="308"/>
      <c r="P204" s="308"/>
    </row>
    <row r="205" spans="3:16" s="159" customFormat="1" x14ac:dyDescent="0.25">
      <c r="C205" s="658"/>
      <c r="D205" s="658"/>
      <c r="J205" s="280"/>
      <c r="M205" s="282"/>
      <c r="N205" s="157"/>
      <c r="O205" s="308"/>
      <c r="P205" s="308"/>
    </row>
    <row r="206" spans="3:16" s="159" customFormat="1" x14ac:dyDescent="0.25">
      <c r="C206" s="658"/>
      <c r="D206" s="658"/>
      <c r="J206" s="280"/>
      <c r="M206" s="282"/>
      <c r="N206" s="157"/>
      <c r="O206" s="308"/>
      <c r="P206" s="308"/>
    </row>
    <row r="207" spans="3:16" s="159" customFormat="1" x14ac:dyDescent="0.25">
      <c r="C207" s="658"/>
      <c r="D207" s="658"/>
      <c r="J207" s="280"/>
      <c r="M207" s="282"/>
      <c r="N207" s="157"/>
      <c r="O207" s="308"/>
      <c r="P207" s="308"/>
    </row>
    <row r="208" spans="3:16" s="159" customFormat="1" x14ac:dyDescent="0.25">
      <c r="C208" s="658"/>
      <c r="D208" s="658"/>
      <c r="J208" s="280"/>
      <c r="M208" s="282"/>
      <c r="N208" s="157"/>
      <c r="O208" s="308"/>
      <c r="P208" s="308"/>
    </row>
    <row r="209" spans="3:16" s="159" customFormat="1" x14ac:dyDescent="0.25">
      <c r="C209" s="658"/>
      <c r="D209" s="658"/>
      <c r="J209" s="280"/>
      <c r="M209" s="282"/>
      <c r="N209" s="157"/>
      <c r="O209" s="308"/>
      <c r="P209" s="308"/>
    </row>
    <row r="210" spans="3:16" s="159" customFormat="1" x14ac:dyDescent="0.25">
      <c r="C210" s="658"/>
      <c r="D210" s="658"/>
      <c r="J210" s="280"/>
      <c r="M210" s="282"/>
      <c r="N210" s="157"/>
      <c r="O210" s="308"/>
      <c r="P210" s="308"/>
    </row>
    <row r="211" spans="3:16" s="159" customFormat="1" x14ac:dyDescent="0.25">
      <c r="C211" s="658"/>
      <c r="D211" s="658"/>
      <c r="J211" s="280"/>
      <c r="M211" s="282"/>
      <c r="N211" s="157"/>
      <c r="O211" s="308"/>
      <c r="P211" s="308"/>
    </row>
    <row r="212" spans="3:16" s="159" customFormat="1" x14ac:dyDescent="0.25">
      <c r="C212" s="658"/>
      <c r="D212" s="658"/>
      <c r="J212" s="280"/>
      <c r="M212" s="282"/>
      <c r="N212" s="157"/>
      <c r="O212" s="308"/>
      <c r="P212" s="308"/>
    </row>
    <row r="213" spans="3:16" s="159" customFormat="1" x14ac:dyDescent="0.25">
      <c r="C213" s="658"/>
      <c r="D213" s="658"/>
      <c r="J213" s="280"/>
      <c r="M213" s="282"/>
      <c r="N213" s="157"/>
      <c r="O213" s="308"/>
      <c r="P213" s="308"/>
    </row>
    <row r="214" spans="3:16" s="159" customFormat="1" x14ac:dyDescent="0.25">
      <c r="C214" s="658"/>
      <c r="D214" s="658"/>
      <c r="J214" s="280"/>
      <c r="M214" s="282"/>
      <c r="N214" s="157"/>
      <c r="O214" s="308"/>
      <c r="P214" s="308"/>
    </row>
    <row r="215" spans="3:16" s="159" customFormat="1" x14ac:dyDescent="0.25">
      <c r="C215" s="658"/>
      <c r="D215" s="658"/>
      <c r="J215" s="280"/>
      <c r="M215" s="282"/>
      <c r="N215" s="157"/>
      <c r="O215" s="308"/>
      <c r="P215" s="308"/>
    </row>
    <row r="216" spans="3:16" s="159" customFormat="1" x14ac:dyDescent="0.25">
      <c r="C216" s="658"/>
      <c r="D216" s="658"/>
      <c r="J216" s="280"/>
      <c r="M216" s="282"/>
      <c r="N216" s="157"/>
      <c r="O216" s="308"/>
      <c r="P216" s="308"/>
    </row>
    <row r="217" spans="3:16" s="159" customFormat="1" x14ac:dyDescent="0.25">
      <c r="C217" s="658"/>
      <c r="D217" s="658"/>
      <c r="J217" s="280"/>
      <c r="M217" s="282"/>
      <c r="N217" s="157"/>
      <c r="O217" s="308"/>
      <c r="P217" s="308"/>
    </row>
    <row r="218" spans="3:16" s="159" customFormat="1" x14ac:dyDescent="0.25">
      <c r="C218" s="658"/>
      <c r="D218" s="658"/>
      <c r="J218" s="280"/>
      <c r="M218" s="282"/>
      <c r="N218" s="157"/>
      <c r="O218" s="308"/>
      <c r="P218" s="308"/>
    </row>
    <row r="219" spans="3:16" s="159" customFormat="1" x14ac:dyDescent="0.25">
      <c r="C219" s="658"/>
      <c r="D219" s="658"/>
      <c r="J219" s="280"/>
      <c r="M219" s="282"/>
      <c r="N219" s="157"/>
      <c r="O219" s="308"/>
      <c r="P219" s="308"/>
    </row>
    <row r="220" spans="3:16" s="159" customFormat="1" x14ac:dyDescent="0.25">
      <c r="C220" s="658"/>
      <c r="D220" s="658"/>
      <c r="J220" s="280"/>
      <c r="M220" s="282"/>
      <c r="N220" s="157"/>
      <c r="O220" s="308"/>
      <c r="P220" s="308"/>
    </row>
    <row r="221" spans="3:16" s="159" customFormat="1" x14ac:dyDescent="0.25">
      <c r="C221" s="658"/>
      <c r="D221" s="658"/>
      <c r="J221" s="280"/>
      <c r="M221" s="282"/>
      <c r="N221" s="157"/>
      <c r="O221" s="308"/>
      <c r="P221" s="308"/>
    </row>
    <row r="222" spans="3:16" s="159" customFormat="1" x14ac:dyDescent="0.25">
      <c r="C222" s="658"/>
      <c r="D222" s="658"/>
      <c r="J222" s="280"/>
      <c r="M222" s="282"/>
      <c r="N222" s="157"/>
      <c r="O222" s="308"/>
      <c r="P222" s="308"/>
    </row>
    <row r="223" spans="3:16" s="159" customFormat="1" x14ac:dyDescent="0.25">
      <c r="C223" s="658"/>
      <c r="D223" s="658"/>
      <c r="J223" s="280"/>
      <c r="M223" s="282"/>
      <c r="N223" s="157"/>
      <c r="O223" s="308"/>
      <c r="P223" s="308"/>
    </row>
    <row r="224" spans="3:16" s="159" customFormat="1" x14ac:dyDescent="0.25">
      <c r="C224" s="658"/>
      <c r="D224" s="658"/>
      <c r="J224" s="280"/>
      <c r="M224" s="282"/>
      <c r="N224" s="157"/>
      <c r="O224" s="308"/>
      <c r="P224" s="308"/>
    </row>
    <row r="225" spans="3:16" s="159" customFormat="1" x14ac:dyDescent="0.25">
      <c r="C225" s="658"/>
      <c r="D225" s="658"/>
      <c r="J225" s="280"/>
      <c r="M225" s="282"/>
      <c r="N225" s="157"/>
      <c r="O225" s="308"/>
      <c r="P225" s="308"/>
    </row>
    <row r="226" spans="3:16" s="159" customFormat="1" x14ac:dyDescent="0.25">
      <c r="C226" s="658"/>
      <c r="D226" s="658"/>
      <c r="J226" s="280"/>
      <c r="M226" s="282"/>
      <c r="N226" s="157"/>
      <c r="O226" s="308"/>
      <c r="P226" s="308"/>
    </row>
    <row r="227" spans="3:16" s="159" customFormat="1" x14ac:dyDescent="0.25">
      <c r="C227" s="658"/>
      <c r="D227" s="658"/>
      <c r="J227" s="280"/>
      <c r="M227" s="282"/>
      <c r="N227" s="157"/>
      <c r="O227" s="308"/>
      <c r="P227" s="308"/>
    </row>
    <row r="228" spans="3:16" s="159" customFormat="1" x14ac:dyDescent="0.25">
      <c r="C228" s="658"/>
      <c r="D228" s="658"/>
      <c r="J228" s="280"/>
      <c r="M228" s="282"/>
      <c r="N228" s="157"/>
      <c r="O228" s="308"/>
      <c r="P228" s="308"/>
    </row>
    <row r="229" spans="3:16" s="159" customFormat="1" x14ac:dyDescent="0.25">
      <c r="C229" s="658"/>
      <c r="D229" s="658"/>
      <c r="J229" s="280"/>
      <c r="M229" s="282"/>
      <c r="N229" s="157"/>
      <c r="O229" s="308"/>
      <c r="P229" s="308"/>
    </row>
    <row r="230" spans="3:16" s="159" customFormat="1" x14ac:dyDescent="0.25">
      <c r="C230" s="658"/>
      <c r="D230" s="658"/>
      <c r="J230" s="280"/>
      <c r="M230" s="282"/>
      <c r="N230" s="157"/>
      <c r="O230" s="308"/>
      <c r="P230" s="308"/>
    </row>
    <row r="231" spans="3:16" s="159" customFormat="1" x14ac:dyDescent="0.25">
      <c r="C231" s="658"/>
      <c r="D231" s="658"/>
      <c r="J231" s="280"/>
      <c r="M231" s="282"/>
      <c r="N231" s="157"/>
      <c r="O231" s="308"/>
      <c r="P231" s="308"/>
    </row>
    <row r="232" spans="3:16" s="159" customFormat="1" x14ac:dyDescent="0.25">
      <c r="C232" s="658"/>
      <c r="D232" s="658"/>
      <c r="J232" s="280"/>
      <c r="M232" s="282"/>
      <c r="N232" s="157"/>
      <c r="O232" s="308"/>
      <c r="P232" s="308"/>
    </row>
    <row r="233" spans="3:16" s="159" customFormat="1" x14ac:dyDescent="0.25">
      <c r="C233" s="658"/>
      <c r="D233" s="658"/>
      <c r="J233" s="280"/>
      <c r="M233" s="282"/>
      <c r="N233" s="157"/>
      <c r="O233" s="308"/>
      <c r="P233" s="308"/>
    </row>
    <row r="234" spans="3:16" s="159" customFormat="1" x14ac:dyDescent="0.25">
      <c r="C234" s="658"/>
      <c r="D234" s="658"/>
      <c r="J234" s="280"/>
      <c r="M234" s="282"/>
      <c r="N234" s="157"/>
      <c r="O234" s="308"/>
      <c r="P234" s="308"/>
    </row>
    <row r="235" spans="3:16" s="159" customFormat="1" x14ac:dyDescent="0.25">
      <c r="C235" s="658"/>
      <c r="D235" s="658"/>
      <c r="J235" s="280"/>
      <c r="M235" s="282"/>
      <c r="N235" s="157"/>
      <c r="O235" s="308"/>
      <c r="P235" s="308"/>
    </row>
    <row r="236" spans="3:16" s="159" customFormat="1" x14ac:dyDescent="0.25">
      <c r="C236" s="658"/>
      <c r="D236" s="658"/>
      <c r="J236" s="280"/>
      <c r="M236" s="282"/>
      <c r="N236" s="157"/>
      <c r="O236" s="308"/>
      <c r="P236" s="308"/>
    </row>
    <row r="237" spans="3:16" s="159" customFormat="1" x14ac:dyDescent="0.25">
      <c r="C237" s="658"/>
      <c r="D237" s="658"/>
      <c r="J237" s="280"/>
      <c r="M237" s="282"/>
      <c r="N237" s="157"/>
      <c r="O237" s="308"/>
      <c r="P237" s="308"/>
    </row>
    <row r="238" spans="3:16" s="159" customFormat="1" x14ac:dyDescent="0.25">
      <c r="C238" s="658"/>
      <c r="D238" s="658"/>
      <c r="J238" s="280"/>
      <c r="M238" s="282"/>
      <c r="N238" s="157"/>
      <c r="O238" s="308"/>
      <c r="P238" s="308"/>
    </row>
    <row r="239" spans="3:16" s="159" customFormat="1" x14ac:dyDescent="0.25">
      <c r="C239" s="658"/>
      <c r="D239" s="658"/>
      <c r="J239" s="280"/>
      <c r="M239" s="282"/>
      <c r="N239" s="157"/>
      <c r="O239" s="308"/>
      <c r="P239" s="308"/>
    </row>
    <row r="240" spans="3:16" s="159" customFormat="1" x14ac:dyDescent="0.25">
      <c r="C240" s="658"/>
      <c r="D240" s="658"/>
      <c r="J240" s="280"/>
      <c r="M240" s="282"/>
      <c r="N240" s="157"/>
      <c r="O240" s="308"/>
      <c r="P240" s="308"/>
    </row>
    <row r="241" spans="3:16" s="159" customFormat="1" x14ac:dyDescent="0.25">
      <c r="C241" s="658"/>
      <c r="D241" s="658"/>
      <c r="J241" s="280"/>
      <c r="M241" s="282"/>
      <c r="N241" s="157"/>
      <c r="O241" s="308"/>
      <c r="P241" s="308"/>
    </row>
    <row r="242" spans="3:16" s="159" customFormat="1" x14ac:dyDescent="0.25">
      <c r="C242" s="658"/>
      <c r="D242" s="658"/>
      <c r="J242" s="280"/>
      <c r="M242" s="282"/>
      <c r="N242" s="157"/>
      <c r="O242" s="308"/>
      <c r="P242" s="308"/>
    </row>
    <row r="243" spans="3:16" s="159" customFormat="1" x14ac:dyDescent="0.25">
      <c r="C243" s="658"/>
      <c r="D243" s="658"/>
      <c r="J243" s="280"/>
      <c r="M243" s="282"/>
      <c r="N243" s="157"/>
      <c r="O243" s="308"/>
      <c r="P243" s="308"/>
    </row>
    <row r="244" spans="3:16" s="159" customFormat="1" x14ac:dyDescent="0.25">
      <c r="C244" s="658"/>
      <c r="D244" s="658"/>
      <c r="J244" s="280"/>
      <c r="M244" s="282"/>
      <c r="N244" s="157"/>
      <c r="O244" s="308"/>
      <c r="P244" s="308"/>
    </row>
    <row r="245" spans="3:16" s="159" customFormat="1" x14ac:dyDescent="0.25">
      <c r="C245" s="658"/>
      <c r="D245" s="658"/>
      <c r="J245" s="280"/>
      <c r="M245" s="282"/>
      <c r="N245" s="157"/>
      <c r="O245" s="308"/>
      <c r="P245" s="308"/>
    </row>
    <row r="246" spans="3:16" s="159" customFormat="1" x14ac:dyDescent="0.25">
      <c r="C246" s="658"/>
      <c r="D246" s="658"/>
      <c r="J246" s="280"/>
      <c r="M246" s="282"/>
      <c r="N246" s="157"/>
      <c r="O246" s="308"/>
      <c r="P246" s="308"/>
    </row>
    <row r="247" spans="3:16" s="159" customFormat="1" x14ac:dyDescent="0.25">
      <c r="C247" s="658"/>
      <c r="D247" s="658"/>
      <c r="J247" s="280"/>
      <c r="M247" s="282"/>
      <c r="N247" s="157"/>
      <c r="O247" s="308"/>
      <c r="P247" s="308"/>
    </row>
    <row r="248" spans="3:16" s="159" customFormat="1" x14ac:dyDescent="0.25">
      <c r="C248" s="658"/>
      <c r="D248" s="658"/>
      <c r="J248" s="280"/>
      <c r="M248" s="282"/>
      <c r="N248" s="157"/>
      <c r="O248" s="308"/>
      <c r="P248" s="308"/>
    </row>
    <row r="249" spans="3:16" s="159" customFormat="1" x14ac:dyDescent="0.25">
      <c r="C249" s="658"/>
      <c r="D249" s="658"/>
      <c r="J249" s="280"/>
      <c r="M249" s="282"/>
      <c r="N249" s="157"/>
      <c r="O249" s="308"/>
      <c r="P249" s="308"/>
    </row>
    <row r="250" spans="3:16" s="159" customFormat="1" x14ac:dyDescent="0.25">
      <c r="C250" s="658"/>
      <c r="D250" s="658"/>
      <c r="J250" s="280"/>
      <c r="M250" s="282"/>
      <c r="N250" s="157"/>
      <c r="O250" s="308"/>
      <c r="P250" s="308"/>
    </row>
    <row r="251" spans="3:16" s="159" customFormat="1" x14ac:dyDescent="0.25">
      <c r="C251" s="658"/>
      <c r="D251" s="658"/>
      <c r="J251" s="280"/>
      <c r="M251" s="282"/>
      <c r="N251" s="157"/>
      <c r="O251" s="308"/>
      <c r="P251" s="308"/>
    </row>
    <row r="252" spans="3:16" s="159" customFormat="1" x14ac:dyDescent="0.25">
      <c r="C252" s="658"/>
      <c r="D252" s="658"/>
      <c r="J252" s="280"/>
      <c r="M252" s="282"/>
      <c r="N252" s="157"/>
      <c r="O252" s="308"/>
      <c r="P252" s="308"/>
    </row>
    <row r="253" spans="3:16" s="159" customFormat="1" x14ac:dyDescent="0.25">
      <c r="C253" s="658"/>
      <c r="D253" s="658"/>
      <c r="J253" s="280"/>
      <c r="M253" s="282"/>
      <c r="N253" s="157"/>
      <c r="O253" s="308"/>
      <c r="P253" s="308"/>
    </row>
    <row r="254" spans="3:16" s="159" customFormat="1" x14ac:dyDescent="0.25">
      <c r="C254" s="658"/>
      <c r="D254" s="658"/>
      <c r="J254" s="280"/>
      <c r="M254" s="282"/>
      <c r="N254" s="157"/>
      <c r="O254" s="308"/>
      <c r="P254" s="308"/>
    </row>
    <row r="255" spans="3:16" s="159" customFormat="1" x14ac:dyDescent="0.25">
      <c r="C255" s="658"/>
      <c r="D255" s="658"/>
      <c r="J255" s="280"/>
      <c r="M255" s="282"/>
      <c r="N255" s="157"/>
      <c r="O255" s="308"/>
      <c r="P255" s="308"/>
    </row>
    <row r="256" spans="3:16" s="159" customFormat="1" x14ac:dyDescent="0.25">
      <c r="C256" s="658"/>
      <c r="D256" s="658"/>
      <c r="J256" s="280"/>
      <c r="M256" s="282"/>
      <c r="N256" s="157"/>
      <c r="O256" s="308"/>
      <c r="P256" s="308"/>
    </row>
    <row r="257" spans="3:16" s="159" customFormat="1" x14ac:dyDescent="0.25">
      <c r="C257" s="658"/>
      <c r="D257" s="658"/>
      <c r="J257" s="280"/>
      <c r="M257" s="282"/>
      <c r="N257" s="157"/>
      <c r="O257" s="308"/>
      <c r="P257" s="308"/>
    </row>
    <row r="258" spans="3:16" s="159" customFormat="1" x14ac:dyDescent="0.25">
      <c r="C258" s="658"/>
      <c r="D258" s="658"/>
      <c r="J258" s="280"/>
      <c r="M258" s="282"/>
      <c r="N258" s="157"/>
      <c r="O258" s="308"/>
      <c r="P258" s="308"/>
    </row>
    <row r="259" spans="3:16" s="159" customFormat="1" x14ac:dyDescent="0.25">
      <c r="C259" s="658"/>
      <c r="D259" s="658"/>
      <c r="J259" s="280"/>
      <c r="M259" s="282"/>
      <c r="N259" s="157"/>
      <c r="O259" s="308"/>
      <c r="P259" s="308"/>
    </row>
    <row r="260" spans="3:16" s="159" customFormat="1" x14ac:dyDescent="0.25">
      <c r="C260" s="658"/>
      <c r="D260" s="658"/>
      <c r="J260" s="280"/>
      <c r="M260" s="282"/>
      <c r="N260" s="157"/>
      <c r="O260" s="308"/>
      <c r="P260" s="308"/>
    </row>
    <row r="261" spans="3:16" s="159" customFormat="1" x14ac:dyDescent="0.25">
      <c r="C261" s="658"/>
      <c r="D261" s="658"/>
      <c r="J261" s="280"/>
      <c r="M261" s="282"/>
      <c r="N261" s="157"/>
      <c r="O261" s="308"/>
      <c r="P261" s="308"/>
    </row>
    <row r="262" spans="3:16" s="159" customFormat="1" x14ac:dyDescent="0.25">
      <c r="C262" s="658"/>
      <c r="D262" s="658"/>
      <c r="J262" s="280"/>
      <c r="M262" s="282"/>
      <c r="N262" s="157"/>
      <c r="O262" s="308"/>
      <c r="P262" s="308"/>
    </row>
    <row r="263" spans="3:16" s="159" customFormat="1" x14ac:dyDescent="0.25">
      <c r="C263" s="658"/>
      <c r="D263" s="658"/>
      <c r="J263" s="280"/>
      <c r="M263" s="282"/>
      <c r="N263" s="157"/>
      <c r="O263" s="308"/>
      <c r="P263" s="308"/>
    </row>
    <row r="264" spans="3:16" s="159" customFormat="1" x14ac:dyDescent="0.25">
      <c r="C264" s="658"/>
      <c r="D264" s="658"/>
      <c r="J264" s="280"/>
      <c r="M264" s="282"/>
      <c r="N264" s="157"/>
      <c r="O264" s="308"/>
      <c r="P264" s="308"/>
    </row>
    <row r="265" spans="3:16" s="159" customFormat="1" x14ac:dyDescent="0.25">
      <c r="C265" s="658"/>
      <c r="D265" s="658"/>
      <c r="J265" s="280"/>
      <c r="M265" s="282"/>
      <c r="N265" s="157"/>
      <c r="O265" s="308"/>
      <c r="P265" s="308"/>
    </row>
    <row r="266" spans="3:16" s="159" customFormat="1" x14ac:dyDescent="0.25">
      <c r="C266" s="658"/>
      <c r="D266" s="658"/>
      <c r="J266" s="280"/>
      <c r="M266" s="282"/>
      <c r="N266" s="157"/>
      <c r="O266" s="308"/>
      <c r="P266" s="308"/>
    </row>
    <row r="267" spans="3:16" s="159" customFormat="1" x14ac:dyDescent="0.25">
      <c r="C267" s="658"/>
      <c r="D267" s="658"/>
      <c r="J267" s="280"/>
      <c r="M267" s="282"/>
      <c r="N267" s="157"/>
      <c r="O267" s="308"/>
      <c r="P267" s="308"/>
    </row>
    <row r="268" spans="3:16" s="159" customFormat="1" x14ac:dyDescent="0.25">
      <c r="C268" s="658"/>
      <c r="D268" s="658"/>
      <c r="J268" s="280"/>
      <c r="M268" s="282"/>
      <c r="N268" s="157"/>
      <c r="O268" s="308"/>
      <c r="P268" s="308"/>
    </row>
    <row r="269" spans="3:16" s="159" customFormat="1" x14ac:dyDescent="0.25">
      <c r="C269" s="658"/>
      <c r="D269" s="658"/>
      <c r="J269" s="280"/>
      <c r="M269" s="282"/>
      <c r="N269" s="157"/>
      <c r="O269" s="308"/>
      <c r="P269" s="308"/>
    </row>
    <row r="270" spans="3:16" s="159" customFormat="1" x14ac:dyDescent="0.25">
      <c r="C270" s="658"/>
      <c r="D270" s="658"/>
      <c r="J270" s="280"/>
      <c r="M270" s="282"/>
      <c r="N270" s="157"/>
      <c r="O270" s="308"/>
      <c r="P270" s="308"/>
    </row>
    <row r="271" spans="3:16" s="159" customFormat="1" x14ac:dyDescent="0.25">
      <c r="C271" s="658"/>
      <c r="D271" s="658"/>
      <c r="J271" s="280"/>
      <c r="M271" s="282"/>
      <c r="N271" s="157"/>
      <c r="O271" s="308"/>
      <c r="P271" s="308"/>
    </row>
    <row r="272" spans="3:16" s="159" customFormat="1" x14ac:dyDescent="0.25">
      <c r="C272" s="658"/>
      <c r="D272" s="658"/>
      <c r="J272" s="280"/>
      <c r="M272" s="282"/>
      <c r="N272" s="157"/>
      <c r="O272" s="308"/>
      <c r="P272" s="308"/>
    </row>
    <row r="273" spans="3:16" s="159" customFormat="1" x14ac:dyDescent="0.25">
      <c r="C273" s="658"/>
      <c r="D273" s="658"/>
      <c r="J273" s="280"/>
      <c r="M273" s="282"/>
      <c r="N273" s="157"/>
      <c r="O273" s="308"/>
      <c r="P273" s="308"/>
    </row>
    <row r="274" spans="3:16" s="159" customFormat="1" x14ac:dyDescent="0.25">
      <c r="C274" s="658"/>
      <c r="D274" s="658"/>
      <c r="J274" s="280"/>
      <c r="M274" s="282"/>
      <c r="N274" s="157"/>
      <c r="O274" s="308"/>
      <c r="P274" s="308"/>
    </row>
    <row r="275" spans="3:16" s="159" customFormat="1" x14ac:dyDescent="0.25">
      <c r="C275" s="658"/>
      <c r="D275" s="658"/>
      <c r="J275" s="280"/>
      <c r="M275" s="282"/>
      <c r="N275" s="157"/>
      <c r="O275" s="308"/>
      <c r="P275" s="308"/>
    </row>
    <row r="276" spans="3:16" s="159" customFormat="1" x14ac:dyDescent="0.25">
      <c r="C276" s="658"/>
      <c r="D276" s="658"/>
      <c r="J276" s="280"/>
      <c r="M276" s="282"/>
      <c r="N276" s="157"/>
      <c r="O276" s="308"/>
      <c r="P276" s="308"/>
    </row>
    <row r="277" spans="3:16" s="159" customFormat="1" x14ac:dyDescent="0.25">
      <c r="C277" s="658"/>
      <c r="D277" s="658"/>
      <c r="J277" s="280"/>
      <c r="M277" s="282"/>
      <c r="N277" s="157"/>
      <c r="O277" s="308"/>
      <c r="P277" s="308"/>
    </row>
    <row r="278" spans="3:16" s="159" customFormat="1" x14ac:dyDescent="0.25">
      <c r="C278" s="658"/>
      <c r="D278" s="658"/>
      <c r="J278" s="280"/>
      <c r="M278" s="282"/>
      <c r="N278" s="157"/>
      <c r="O278" s="308"/>
      <c r="P278" s="308"/>
    </row>
    <row r="279" spans="3:16" s="159" customFormat="1" x14ac:dyDescent="0.25">
      <c r="C279" s="658"/>
      <c r="D279" s="658"/>
      <c r="J279" s="280"/>
      <c r="M279" s="282"/>
      <c r="N279" s="157"/>
      <c r="O279" s="308"/>
      <c r="P279" s="308"/>
    </row>
    <row r="280" spans="3:16" s="159" customFormat="1" x14ac:dyDescent="0.25">
      <c r="C280" s="658"/>
      <c r="D280" s="658"/>
      <c r="J280" s="280"/>
      <c r="M280" s="282"/>
      <c r="N280" s="157"/>
      <c r="O280" s="308"/>
      <c r="P280" s="308"/>
    </row>
    <row r="281" spans="3:16" s="159" customFormat="1" x14ac:dyDescent="0.25">
      <c r="C281" s="658"/>
      <c r="D281" s="658"/>
      <c r="J281" s="280"/>
      <c r="M281" s="282"/>
      <c r="N281" s="157"/>
      <c r="O281" s="308"/>
      <c r="P281" s="308"/>
    </row>
    <row r="282" spans="3:16" s="159" customFormat="1" x14ac:dyDescent="0.25">
      <c r="C282" s="658"/>
      <c r="D282" s="658"/>
      <c r="J282" s="280"/>
      <c r="M282" s="282"/>
      <c r="N282" s="157"/>
      <c r="O282" s="308"/>
      <c r="P282" s="308"/>
    </row>
  </sheetData>
  <mergeCells count="60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19:F19"/>
    <mergeCell ref="G19:I19"/>
    <mergeCell ref="C26:F26"/>
    <mergeCell ref="G26:I26"/>
    <mergeCell ref="C32:F32"/>
    <mergeCell ref="G32:I32"/>
    <mergeCell ref="C39:F39"/>
    <mergeCell ref="G39:I39"/>
    <mergeCell ref="C74:F74"/>
    <mergeCell ref="G74:I74"/>
    <mergeCell ref="B101:B102"/>
    <mergeCell ref="C80:F80"/>
    <mergeCell ref="C47:F47"/>
    <mergeCell ref="G47:I47"/>
    <mergeCell ref="C54:F54"/>
    <mergeCell ref="G54:I54"/>
    <mergeCell ref="C59:F59"/>
    <mergeCell ref="G59:I59"/>
    <mergeCell ref="G80:I80"/>
    <mergeCell ref="C86:F86"/>
    <mergeCell ref="G86:I86"/>
    <mergeCell ref="C92:F92"/>
    <mergeCell ref="G92:I92"/>
    <mergeCell ref="J100:J101"/>
    <mergeCell ref="K100:K101"/>
    <mergeCell ref="F102:F103"/>
    <mergeCell ref="G102:G103"/>
    <mergeCell ref="I102:I103"/>
    <mergeCell ref="J102:J103"/>
    <mergeCell ref="K102:K103"/>
    <mergeCell ref="F100:F101"/>
    <mergeCell ref="G100:G101"/>
    <mergeCell ref="I100:I101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5" fitToHeight="2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234"/>
  <sheetViews>
    <sheetView zoomScale="90" zoomScaleNormal="75" zoomScaleSheetLayoutView="90" zoomScalePageLayoutView="75" workbookViewId="0">
      <selection activeCell="A55" sqref="A55"/>
    </sheetView>
  </sheetViews>
  <sheetFormatPr defaultColWidth="9.109375" defaultRowHeight="13.2" x14ac:dyDescent="0.25"/>
  <cols>
    <col min="1" max="1" width="10.88671875" style="157" bestFit="1" customWidth="1"/>
    <col min="2" max="2" width="42.88671875" style="157" customWidth="1"/>
    <col min="3" max="4" width="5" style="44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40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530" t="s">
        <v>466</v>
      </c>
      <c r="B10" s="530" t="s">
        <v>467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x14ac:dyDescent="0.25">
      <c r="A11" s="375"/>
      <c r="B11" s="5"/>
      <c r="C11" s="376"/>
      <c r="D11" s="377" t="s">
        <v>21</v>
      </c>
      <c r="E11" s="259">
        <v>0</v>
      </c>
      <c r="F11" s="378">
        <f t="shared" ref="F11:F22" si="0">C11*E11</f>
        <v>0</v>
      </c>
      <c r="G11" s="534"/>
      <c r="H11" s="380">
        <v>0</v>
      </c>
      <c r="I11" s="378">
        <f t="shared" ref="I11:I22" si="1">G11*H11</f>
        <v>0</v>
      </c>
      <c r="J11" s="381"/>
      <c r="K11" s="535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x14ac:dyDescent="0.25">
      <c r="A12" s="375"/>
      <c r="B12" s="5"/>
      <c r="C12" s="376"/>
      <c r="D12" s="377" t="s">
        <v>21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381"/>
      <c r="K12" s="535">
        <f t="shared" si="2"/>
        <v>0</v>
      </c>
      <c r="L12" s="383"/>
      <c r="M12" s="384"/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383"/>
      <c r="M13" s="384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89"/>
      <c r="B17" s="5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383"/>
      <c r="M17" s="384"/>
      <c r="N17" s="385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383"/>
      <c r="M18" s="384"/>
      <c r="N18" s="385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383"/>
      <c r="M19" s="384"/>
      <c r="N19" s="385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383"/>
      <c r="M20" s="384"/>
      <c r="N20" s="385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383"/>
      <c r="M21" s="384"/>
      <c r="N21" s="385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383"/>
      <c r="M22" s="384"/>
      <c r="N22" s="385"/>
      <c r="O22" s="386"/>
      <c r="P22" s="387"/>
      <c r="Q22" s="388"/>
    </row>
    <row r="23" spans="1:17" ht="13.8" thickBot="1" x14ac:dyDescent="0.3">
      <c r="A23" s="392"/>
      <c r="B23" s="7"/>
      <c r="C23" s="393"/>
      <c r="D23" s="377"/>
      <c r="E23" s="259"/>
      <c r="F23" s="378"/>
      <c r="G23" s="534"/>
      <c r="H23" s="380"/>
      <c r="I23" s="378"/>
      <c r="J23" s="381"/>
      <c r="K23" s="535"/>
      <c r="L23" s="383"/>
      <c r="M23" s="384"/>
      <c r="N23" s="385"/>
      <c r="O23" s="386"/>
      <c r="P23" s="387"/>
      <c r="Q23" s="388"/>
    </row>
    <row r="24" spans="1:17" ht="13.8" thickTop="1" x14ac:dyDescent="0.25">
      <c r="A24" s="392"/>
      <c r="B24" s="7"/>
      <c r="C24" s="393"/>
      <c r="D24" s="377"/>
      <c r="E24" s="259"/>
      <c r="F24" s="378"/>
      <c r="G24" s="534"/>
      <c r="H24" s="380"/>
      <c r="I24" s="378"/>
      <c r="J24" s="394" t="s">
        <v>30</v>
      </c>
      <c r="K24" s="537">
        <f>SUM(K11:K23)</f>
        <v>0</v>
      </c>
      <c r="L24" s="383"/>
      <c r="M24" s="384"/>
      <c r="N24" s="385"/>
      <c r="O24" s="386"/>
      <c r="P24" s="387"/>
      <c r="Q24" s="388"/>
    </row>
    <row r="25" spans="1:17" ht="13.8" thickBot="1" x14ac:dyDescent="0.3">
      <c r="A25" s="358" t="s">
        <v>0</v>
      </c>
      <c r="B25" s="359" t="s">
        <v>1</v>
      </c>
      <c r="C25" s="1018" t="s">
        <v>656</v>
      </c>
      <c r="D25" s="1018"/>
      <c r="E25" s="1018"/>
      <c r="F25" s="1018"/>
      <c r="G25" s="1018" t="s">
        <v>34</v>
      </c>
      <c r="H25" s="1018"/>
      <c r="I25" s="1018"/>
      <c r="J25" s="360"/>
      <c r="K25" s="528"/>
      <c r="L25" s="396"/>
      <c r="M25" s="397"/>
      <c r="N25" s="398"/>
      <c r="O25" s="386"/>
      <c r="P25" s="387"/>
      <c r="Q25" s="388"/>
    </row>
    <row r="26" spans="1:17" ht="16.2" thickBot="1" x14ac:dyDescent="0.35">
      <c r="A26" s="399"/>
      <c r="B26" s="400"/>
      <c r="C26" s="401" t="s">
        <v>19</v>
      </c>
      <c r="D26" s="402" t="s">
        <v>33</v>
      </c>
      <c r="E26" s="403" t="s">
        <v>35</v>
      </c>
      <c r="F26" s="404" t="s">
        <v>30</v>
      </c>
      <c r="G26" s="538" t="s">
        <v>14</v>
      </c>
      <c r="H26" s="403" t="s">
        <v>35</v>
      </c>
      <c r="I26" s="404" t="s">
        <v>30</v>
      </c>
      <c r="J26" s="369" t="s">
        <v>659</v>
      </c>
      <c r="K26" s="539" t="s">
        <v>38</v>
      </c>
      <c r="L26" s="407"/>
      <c r="M26" s="408"/>
      <c r="N26" s="409"/>
      <c r="O26" s="386"/>
      <c r="P26" s="387"/>
      <c r="Q26" s="388"/>
    </row>
    <row r="27" spans="1:17" s="159" customFormat="1" x14ac:dyDescent="0.25">
      <c r="A27" s="410"/>
      <c r="B27" s="411"/>
      <c r="C27" s="376"/>
      <c r="D27" s="377" t="s">
        <v>21</v>
      </c>
      <c r="E27" s="259">
        <v>0</v>
      </c>
      <c r="F27" s="378">
        <f t="shared" ref="F27:F33" si="3">C27*E27</f>
        <v>0</v>
      </c>
      <c r="G27" s="534"/>
      <c r="H27" s="380">
        <v>0</v>
      </c>
      <c r="I27" s="378">
        <f t="shared" ref="I27:I33" si="4">G27*H27</f>
        <v>0</v>
      </c>
      <c r="J27" s="381"/>
      <c r="K27" s="535">
        <f t="shared" ref="K27:K33" si="5">F27+I27+J27</f>
        <v>0</v>
      </c>
      <c r="L27" s="383"/>
      <c r="M27" s="384"/>
      <c r="N27" s="385"/>
      <c r="O27" s="386"/>
      <c r="P27" s="387"/>
      <c r="Q27" s="388"/>
    </row>
    <row r="28" spans="1:17" s="159" customFormat="1" x14ac:dyDescent="0.25">
      <c r="A28" s="375"/>
      <c r="B28" s="5"/>
      <c r="C28" s="376"/>
      <c r="D28" s="377" t="s">
        <v>21</v>
      </c>
      <c r="E28" s="259">
        <v>0</v>
      </c>
      <c r="F28" s="378">
        <f t="shared" si="3"/>
        <v>0</v>
      </c>
      <c r="G28" s="534"/>
      <c r="H28" s="380">
        <v>0</v>
      </c>
      <c r="I28" s="378">
        <f t="shared" si="4"/>
        <v>0</v>
      </c>
      <c r="J28" s="381"/>
      <c r="K28" s="535">
        <f t="shared" si="5"/>
        <v>0</v>
      </c>
      <c r="L28" s="383"/>
      <c r="M28" s="384"/>
      <c r="N28" s="385"/>
      <c r="O28" s="386"/>
      <c r="P28" s="387"/>
      <c r="Q28" s="388"/>
    </row>
    <row r="29" spans="1:17" s="159" customFormat="1" x14ac:dyDescent="0.25">
      <c r="A29" s="375"/>
      <c r="B29" s="5"/>
      <c r="C29" s="376"/>
      <c r="D29" s="377" t="s">
        <v>21</v>
      </c>
      <c r="E29" s="259">
        <v>0</v>
      </c>
      <c r="F29" s="378">
        <f t="shared" si="3"/>
        <v>0</v>
      </c>
      <c r="G29" s="534"/>
      <c r="H29" s="380">
        <v>0</v>
      </c>
      <c r="I29" s="378">
        <f t="shared" si="4"/>
        <v>0</v>
      </c>
      <c r="J29" s="381"/>
      <c r="K29" s="535">
        <f t="shared" si="5"/>
        <v>0</v>
      </c>
      <c r="L29" s="383"/>
      <c r="M29" s="384"/>
      <c r="N29" s="385"/>
      <c r="O29" s="386"/>
      <c r="P29" s="387"/>
      <c r="Q29" s="388"/>
    </row>
    <row r="30" spans="1:17" s="159" customFormat="1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s="159" customFormat="1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383"/>
      <c r="M31" s="384"/>
      <c r="N31" s="385"/>
      <c r="O31" s="386"/>
      <c r="P31" s="387"/>
      <c r="Q31" s="388"/>
    </row>
    <row r="32" spans="1:17" s="159" customFormat="1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L32" s="383"/>
      <c r="M32" s="384"/>
      <c r="N32" s="385"/>
      <c r="O32" s="386"/>
      <c r="P32" s="387"/>
      <c r="Q32" s="388"/>
    </row>
    <row r="33" spans="1:17" s="159" customFormat="1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383"/>
      <c r="M33" s="384"/>
      <c r="N33" s="385"/>
      <c r="O33" s="386"/>
      <c r="P33" s="387"/>
      <c r="Q33" s="388"/>
    </row>
    <row r="34" spans="1:17" s="159" customFormat="1" ht="13.8" thickBot="1" x14ac:dyDescent="0.3">
      <c r="A34" s="375"/>
      <c r="B34" s="5"/>
      <c r="C34" s="393"/>
      <c r="D34" s="377"/>
      <c r="E34" s="259"/>
      <c r="F34" s="378"/>
      <c r="G34" s="534"/>
      <c r="H34" s="380"/>
      <c r="I34" s="378"/>
      <c r="J34" s="381"/>
      <c r="K34" s="540"/>
      <c r="L34" s="383"/>
      <c r="M34" s="384"/>
      <c r="N34" s="385"/>
      <c r="O34" s="386"/>
      <c r="P34" s="387"/>
      <c r="Q34" s="388"/>
    </row>
    <row r="35" spans="1:17" s="159" customFormat="1" ht="13.8" thickTop="1" x14ac:dyDescent="0.25">
      <c r="A35" s="392"/>
      <c r="B35" s="5"/>
      <c r="C35" s="393"/>
      <c r="D35" s="377"/>
      <c r="E35" s="259"/>
      <c r="F35" s="378"/>
      <c r="G35" s="534"/>
      <c r="H35" s="380"/>
      <c r="I35" s="378"/>
      <c r="J35" s="394" t="s">
        <v>30</v>
      </c>
      <c r="K35" s="537">
        <f>SUM(K27:K34)</f>
        <v>0</v>
      </c>
      <c r="L35" s="383"/>
      <c r="M35" s="384"/>
      <c r="N35" s="385"/>
      <c r="O35" s="386"/>
      <c r="P35" s="387"/>
      <c r="Q35" s="388"/>
    </row>
    <row r="36" spans="1:17" s="159" customFormat="1" ht="13.8" thickBot="1" x14ac:dyDescent="0.3">
      <c r="A36" s="358" t="s">
        <v>0</v>
      </c>
      <c r="B36" s="359" t="s">
        <v>1</v>
      </c>
      <c r="C36" s="1018" t="s">
        <v>656</v>
      </c>
      <c r="D36" s="1018"/>
      <c r="E36" s="1018"/>
      <c r="F36" s="1018"/>
      <c r="G36" s="1018" t="s">
        <v>34</v>
      </c>
      <c r="H36" s="1018"/>
      <c r="I36" s="1018"/>
      <c r="J36" s="360"/>
      <c r="K36" s="528"/>
      <c r="L36" s="396"/>
      <c r="M36" s="397"/>
      <c r="N36" s="398"/>
      <c r="O36" s="386"/>
      <c r="P36" s="387"/>
      <c r="Q36" s="388"/>
    </row>
    <row r="37" spans="1:17" s="159" customFormat="1" ht="16.2" thickBot="1" x14ac:dyDescent="0.35">
      <c r="A37" s="399"/>
      <c r="B37" s="400"/>
      <c r="C37" s="401" t="s">
        <v>19</v>
      </c>
      <c r="D37" s="402" t="s">
        <v>33</v>
      </c>
      <c r="E37" s="403" t="s">
        <v>35</v>
      </c>
      <c r="F37" s="404" t="s">
        <v>30</v>
      </c>
      <c r="G37" s="538" t="s">
        <v>14</v>
      </c>
      <c r="H37" s="403" t="s">
        <v>35</v>
      </c>
      <c r="I37" s="404" t="s">
        <v>30</v>
      </c>
      <c r="J37" s="369" t="s">
        <v>659</v>
      </c>
      <c r="K37" s="539" t="s">
        <v>38</v>
      </c>
      <c r="L37" s="407"/>
      <c r="M37" s="413"/>
      <c r="N37" s="414"/>
      <c r="O37" s="415"/>
      <c r="P37" s="416"/>
      <c r="Q37" s="388"/>
    </row>
    <row r="38" spans="1:17" s="159" customFormat="1" x14ac:dyDescent="0.25">
      <c r="A38" s="410"/>
      <c r="B38" s="411"/>
      <c r="C38" s="376"/>
      <c r="D38" s="377" t="s">
        <v>21</v>
      </c>
      <c r="E38" s="259">
        <v>0</v>
      </c>
      <c r="F38" s="378">
        <f>C38*E38</f>
        <v>0</v>
      </c>
      <c r="G38" s="534"/>
      <c r="H38" s="380">
        <v>0</v>
      </c>
      <c r="I38" s="378">
        <f>G38*H38</f>
        <v>0</v>
      </c>
      <c r="J38" s="381"/>
      <c r="K38" s="535">
        <f>F38+I38+J38</f>
        <v>0</v>
      </c>
      <c r="L38" s="383"/>
      <c r="M38" s="261"/>
      <c r="N38" s="426"/>
      <c r="O38" s="415"/>
      <c r="P38" s="416"/>
      <c r="Q38" s="388"/>
    </row>
    <row r="39" spans="1:17" s="159" customFormat="1" x14ac:dyDescent="0.25">
      <c r="A39" s="375"/>
      <c r="B39" s="5"/>
      <c r="C39" s="376"/>
      <c r="D39" s="377" t="s">
        <v>21</v>
      </c>
      <c r="E39" s="259">
        <v>0</v>
      </c>
      <c r="F39" s="378">
        <f>C39*E39</f>
        <v>0</v>
      </c>
      <c r="G39" s="534"/>
      <c r="H39" s="380">
        <v>0</v>
      </c>
      <c r="I39" s="378">
        <f>G39*H39</f>
        <v>0</v>
      </c>
      <c r="J39" s="381"/>
      <c r="K39" s="535">
        <f>F39+I39+J39</f>
        <v>0</v>
      </c>
      <c r="L39" s="383"/>
      <c r="M39" s="261"/>
      <c r="N39" s="426"/>
      <c r="O39" s="415"/>
      <c r="P39" s="416"/>
      <c r="Q39" s="388"/>
    </row>
    <row r="40" spans="1:17" s="159" customFormat="1" x14ac:dyDescent="0.25">
      <c r="A40" s="375"/>
      <c r="B40" s="5"/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L40" s="383"/>
      <c r="M40" s="261"/>
      <c r="N40" s="426"/>
      <c r="O40" s="415"/>
      <c r="P40" s="416"/>
      <c r="Q40" s="388"/>
    </row>
    <row r="41" spans="1:17" s="159" customFormat="1" x14ac:dyDescent="0.25">
      <c r="A41" s="392"/>
      <c r="B41" s="417"/>
      <c r="C41" s="393"/>
      <c r="D41" s="377"/>
      <c r="E41" s="259"/>
      <c r="F41" s="378"/>
      <c r="G41" s="534"/>
      <c r="H41" s="380"/>
      <c r="I41" s="378"/>
      <c r="J41" s="381"/>
      <c r="K41" s="540"/>
      <c r="L41" s="383"/>
      <c r="M41" s="261"/>
      <c r="N41" s="426"/>
      <c r="O41" s="415"/>
      <c r="P41" s="416"/>
      <c r="Q41" s="388"/>
    </row>
    <row r="42" spans="1:17" s="159" customFormat="1" ht="13.8" thickBot="1" x14ac:dyDescent="0.3">
      <c r="A42" s="392"/>
      <c r="B42" s="417"/>
      <c r="C42" s="393"/>
      <c r="D42" s="377"/>
      <c r="E42" s="259"/>
      <c r="F42" s="378"/>
      <c r="G42" s="534"/>
      <c r="H42" s="380"/>
      <c r="I42" s="378"/>
      <c r="J42" s="381"/>
      <c r="K42" s="540"/>
      <c r="L42" s="383"/>
      <c r="M42" s="261"/>
      <c r="N42" s="426"/>
      <c r="O42" s="415"/>
      <c r="P42" s="416"/>
      <c r="Q42" s="388"/>
    </row>
    <row r="43" spans="1:17" s="159" customFormat="1" ht="13.8" thickTop="1" x14ac:dyDescent="0.25">
      <c r="A43" s="392"/>
      <c r="B43" s="417"/>
      <c r="C43" s="393"/>
      <c r="D43" s="377"/>
      <c r="E43" s="259"/>
      <c r="F43" s="378"/>
      <c r="G43" s="534"/>
      <c r="H43" s="380"/>
      <c r="I43" s="378"/>
      <c r="J43" s="394" t="s">
        <v>30</v>
      </c>
      <c r="K43" s="537">
        <f>SUM(K38:K42)</f>
        <v>0</v>
      </c>
      <c r="L43" s="383"/>
      <c r="M43" s="261"/>
      <c r="N43" s="385"/>
      <c r="O43" s="386"/>
      <c r="P43" s="387"/>
      <c r="Q43" s="388"/>
    </row>
    <row r="44" spans="1:17" s="159" customFormat="1" ht="13.8" thickBot="1" x14ac:dyDescent="0.3">
      <c r="A44" s="358" t="s">
        <v>0</v>
      </c>
      <c r="B44" s="359" t="s">
        <v>1</v>
      </c>
      <c r="C44" s="1018" t="s">
        <v>656</v>
      </c>
      <c r="D44" s="1018"/>
      <c r="E44" s="1018"/>
      <c r="F44" s="1018"/>
      <c r="G44" s="1018" t="s">
        <v>34</v>
      </c>
      <c r="H44" s="1018"/>
      <c r="I44" s="1018"/>
      <c r="J44" s="360"/>
      <c r="K44" s="528"/>
      <c r="L44" s="396"/>
      <c r="M44" s="360"/>
      <c r="N44" s="398"/>
      <c r="O44" s="386"/>
      <c r="P44" s="387"/>
      <c r="Q44" s="388"/>
    </row>
    <row r="45" spans="1:17" s="159" customFormat="1" ht="16.2" thickBot="1" x14ac:dyDescent="0.35">
      <c r="A45" s="399"/>
      <c r="B45" s="400"/>
      <c r="C45" s="401" t="s">
        <v>19</v>
      </c>
      <c r="D45" s="402" t="s">
        <v>33</v>
      </c>
      <c r="E45" s="403" t="s">
        <v>35</v>
      </c>
      <c r="F45" s="404" t="s">
        <v>30</v>
      </c>
      <c r="G45" s="538" t="s">
        <v>14</v>
      </c>
      <c r="H45" s="403" t="s">
        <v>35</v>
      </c>
      <c r="I45" s="404" t="s">
        <v>30</v>
      </c>
      <c r="J45" s="369" t="s">
        <v>659</v>
      </c>
      <c r="K45" s="539" t="s">
        <v>38</v>
      </c>
      <c r="L45" s="407"/>
      <c r="M45" s="413"/>
      <c r="N45" s="409"/>
      <c r="O45" s="386"/>
      <c r="P45" s="416"/>
      <c r="Q45" s="388"/>
    </row>
    <row r="46" spans="1:17" s="159" customFormat="1" x14ac:dyDescent="0.25">
      <c r="A46" s="410"/>
      <c r="B46" s="411"/>
      <c r="C46" s="376"/>
      <c r="D46" s="377" t="s">
        <v>21</v>
      </c>
      <c r="E46" s="259">
        <v>0</v>
      </c>
      <c r="F46" s="378">
        <f>C46*E46</f>
        <v>0</v>
      </c>
      <c r="G46" s="534"/>
      <c r="H46" s="380">
        <v>0</v>
      </c>
      <c r="I46" s="378">
        <f>G46*H46</f>
        <v>0</v>
      </c>
      <c r="J46" s="381"/>
      <c r="K46" s="535">
        <f>F46+I46+J46</f>
        <v>0</v>
      </c>
      <c r="L46" s="383"/>
      <c r="M46" s="261"/>
      <c r="N46" s="385"/>
      <c r="O46" s="386"/>
      <c r="P46" s="387"/>
      <c r="Q46" s="388"/>
    </row>
    <row r="47" spans="1:17" s="159" customFormat="1" x14ac:dyDescent="0.25">
      <c r="A47" s="375"/>
      <c r="B47" s="5"/>
      <c r="C47" s="376"/>
      <c r="D47" s="377" t="s">
        <v>21</v>
      </c>
      <c r="E47" s="259">
        <v>0</v>
      </c>
      <c r="F47" s="378">
        <f>C47*E47</f>
        <v>0</v>
      </c>
      <c r="G47" s="534"/>
      <c r="H47" s="380">
        <v>0</v>
      </c>
      <c r="I47" s="378">
        <f>G47*H47</f>
        <v>0</v>
      </c>
      <c r="J47" s="381"/>
      <c r="K47" s="535">
        <f>F47+I47+J47</f>
        <v>0</v>
      </c>
      <c r="L47" s="383"/>
      <c r="M47" s="261"/>
      <c r="N47" s="385"/>
      <c r="O47" s="386"/>
      <c r="P47" s="387"/>
      <c r="Q47" s="388"/>
    </row>
    <row r="48" spans="1:17" s="159" customFormat="1" x14ac:dyDescent="0.25">
      <c r="A48" s="375"/>
      <c r="B48" s="5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383"/>
      <c r="M48" s="261"/>
      <c r="N48" s="385"/>
      <c r="O48" s="386"/>
      <c r="P48" s="387"/>
      <c r="Q48" s="388"/>
    </row>
    <row r="49" spans="1:17" s="159" customFormat="1" x14ac:dyDescent="0.25">
      <c r="A49" s="375"/>
      <c r="B49" s="5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383"/>
      <c r="M49" s="261"/>
      <c r="N49" s="385"/>
      <c r="O49" s="386"/>
      <c r="P49" s="387"/>
      <c r="Q49" s="388"/>
    </row>
    <row r="50" spans="1:17" s="159" customFormat="1" ht="13.8" thickBot="1" x14ac:dyDescent="0.3">
      <c r="A50" s="392"/>
      <c r="B50" s="417"/>
      <c r="C50" s="376"/>
      <c r="D50" s="377"/>
      <c r="E50" s="259"/>
      <c r="F50" s="378"/>
      <c r="G50" s="534"/>
      <c r="H50" s="380"/>
      <c r="I50" s="378"/>
      <c r="J50" s="381"/>
      <c r="K50" s="535"/>
      <c r="L50" s="383"/>
      <c r="M50" s="261"/>
      <c r="N50" s="385"/>
      <c r="O50" s="386"/>
      <c r="P50" s="387"/>
      <c r="Q50" s="388"/>
    </row>
    <row r="51" spans="1:17" s="159" customFormat="1" ht="14.4" thickTop="1" thickBot="1" x14ac:dyDescent="0.3">
      <c r="A51" s="475"/>
      <c r="B51" s="156"/>
      <c r="C51" s="476"/>
      <c r="D51" s="477"/>
      <c r="E51" s="478"/>
      <c r="F51" s="479"/>
      <c r="G51" s="638"/>
      <c r="H51" s="478"/>
      <c r="I51" s="479"/>
      <c r="J51" s="481" t="s">
        <v>30</v>
      </c>
      <c r="K51" s="639">
        <f>SUM(K46:K50)</f>
        <v>0</v>
      </c>
      <c r="L51" s="541"/>
      <c r="M51" s="261"/>
      <c r="N51" s="542"/>
      <c r="O51" s="545"/>
      <c r="P51" s="546"/>
      <c r="Q51" s="388"/>
    </row>
    <row r="52" spans="1:17" s="159" customFormat="1" ht="14.1" customHeight="1" thickTop="1" x14ac:dyDescent="0.25">
      <c r="A52" s="483"/>
      <c r="B52" s="484"/>
      <c r="C52" s="485"/>
      <c r="D52" s="485"/>
      <c r="E52" s="486"/>
      <c r="F52" s="1048" t="s">
        <v>658</v>
      </c>
      <c r="G52" s="1071" t="s">
        <v>684</v>
      </c>
      <c r="H52" s="486"/>
      <c r="I52" s="1041" t="s">
        <v>657</v>
      </c>
      <c r="J52" s="1037" t="s">
        <v>685</v>
      </c>
      <c r="K52" s="1073" t="s">
        <v>31</v>
      </c>
      <c r="L52" s="656"/>
      <c r="M52" s="548"/>
      <c r="N52" s="549"/>
      <c r="O52" s="550"/>
      <c r="P52" s="550"/>
      <c r="Q52" s="551"/>
    </row>
    <row r="53" spans="1:17" s="159" customFormat="1" ht="13.8" x14ac:dyDescent="0.25">
      <c r="A53" s="487" t="s">
        <v>32</v>
      </c>
      <c r="B53" s="1043" t="s">
        <v>675</v>
      </c>
      <c r="C53" s="488"/>
      <c r="D53" s="489"/>
      <c r="E53" s="489"/>
      <c r="F53" s="1049"/>
      <c r="G53" s="1072"/>
      <c r="H53" s="490"/>
      <c r="I53" s="1042"/>
      <c r="J53" s="1038"/>
      <c r="K53" s="1074"/>
      <c r="M53" s="261"/>
      <c r="N53" s="157"/>
      <c r="O53" s="553"/>
      <c r="P53" s="553"/>
      <c r="Q53" s="554"/>
    </row>
    <row r="54" spans="1:17" s="159" customFormat="1" ht="13.8" x14ac:dyDescent="0.25">
      <c r="A54" s="829">
        <f>K54/E6</f>
        <v>0</v>
      </c>
      <c r="B54" s="1043"/>
      <c r="C54" s="489"/>
      <c r="D54" s="489"/>
      <c r="E54" s="489"/>
      <c r="F54" s="1031">
        <f>SUM(F46:F50,F38:F42,F27:F34,F11:F23)</f>
        <v>0</v>
      </c>
      <c r="G54" s="1076">
        <f>SUM(G46:G50,G38:G42,G27:G34,G11:G23)</f>
        <v>0</v>
      </c>
      <c r="H54" s="490"/>
      <c r="I54" s="1031">
        <f>SUM(I46:I50,I38:I42,I27:I34,I11:I23)</f>
        <v>0</v>
      </c>
      <c r="J54" s="1031">
        <f>SUM(J46:J50,J38:J42,J27:J34,J11:J23)</f>
        <v>0</v>
      </c>
      <c r="K54" s="1039">
        <f>K51+K43+K35+K24</f>
        <v>0</v>
      </c>
      <c r="M54" s="261"/>
      <c r="N54" s="157"/>
      <c r="O54" s="554"/>
      <c r="P54" s="554"/>
      <c r="Q54" s="554"/>
    </row>
    <row r="55" spans="1:17" s="159" customFormat="1" ht="14.4" thickBot="1" x14ac:dyDescent="0.3">
      <c r="A55" s="487"/>
      <c r="B55" s="555"/>
      <c r="C55" s="493"/>
      <c r="D55" s="493"/>
      <c r="E55" s="493"/>
      <c r="F55" s="1032"/>
      <c r="G55" s="1077"/>
      <c r="H55" s="493"/>
      <c r="I55" s="1032"/>
      <c r="J55" s="1032"/>
      <c r="K55" s="1040"/>
      <c r="M55" s="261"/>
      <c r="N55" s="157"/>
      <c r="O55" s="553"/>
      <c r="P55" s="553"/>
      <c r="Q55" s="554"/>
    </row>
    <row r="56" spans="1:17" s="159" customFormat="1" ht="13.8" thickBot="1" x14ac:dyDescent="0.3">
      <c r="A56" s="494"/>
      <c r="B56" s="495"/>
      <c r="C56" s="495"/>
      <c r="D56" s="495"/>
      <c r="E56" s="495"/>
      <c r="F56" s="495"/>
      <c r="G56" s="495"/>
      <c r="H56" s="495"/>
      <c r="I56" s="495"/>
      <c r="J56" s="495"/>
      <c r="K56" s="495"/>
      <c r="M56" s="261"/>
      <c r="N56" s="157"/>
      <c r="O56" s="553"/>
      <c r="P56" s="553"/>
      <c r="Q56" s="554"/>
    </row>
    <row r="57" spans="1:17" s="159" customFormat="1" x14ac:dyDescent="0.25">
      <c r="C57" s="658"/>
      <c r="D57" s="658"/>
      <c r="J57" s="280"/>
      <c r="M57" s="261"/>
      <c r="N57" s="157"/>
      <c r="O57" s="553"/>
      <c r="P57" s="553"/>
      <c r="Q57" s="554"/>
    </row>
    <row r="58" spans="1:17" s="159" customFormat="1" x14ac:dyDescent="0.25">
      <c r="C58" s="658"/>
      <c r="D58" s="658"/>
      <c r="J58" s="280"/>
      <c r="M58" s="261"/>
      <c r="N58" s="157"/>
      <c r="O58" s="553"/>
      <c r="P58" s="553"/>
      <c r="Q58" s="554"/>
    </row>
    <row r="59" spans="1:17" s="159" customFormat="1" x14ac:dyDescent="0.25">
      <c r="C59" s="658"/>
      <c r="D59" s="658"/>
      <c r="J59" s="280"/>
      <c r="M59" s="261"/>
      <c r="N59" s="157"/>
      <c r="O59" s="553"/>
      <c r="P59" s="553"/>
      <c r="Q59" s="554"/>
    </row>
    <row r="60" spans="1:17" s="159" customFormat="1" x14ac:dyDescent="0.25">
      <c r="C60" s="658"/>
      <c r="D60" s="658"/>
      <c r="J60" s="280"/>
      <c r="M60" s="261"/>
      <c r="N60" s="157"/>
      <c r="O60" s="553"/>
      <c r="P60" s="553"/>
      <c r="Q60" s="554"/>
    </row>
    <row r="61" spans="1:17" s="159" customFormat="1" x14ac:dyDescent="0.25">
      <c r="C61" s="658"/>
      <c r="D61" s="658"/>
      <c r="J61" s="280"/>
      <c r="M61" s="261"/>
      <c r="N61" s="157"/>
      <c r="O61" s="553"/>
      <c r="P61" s="553"/>
      <c r="Q61" s="554"/>
    </row>
    <row r="62" spans="1:17" s="159" customFormat="1" x14ac:dyDescent="0.25">
      <c r="C62" s="658"/>
      <c r="D62" s="658"/>
      <c r="J62" s="280"/>
      <c r="M62" s="261"/>
      <c r="N62" s="157"/>
      <c r="O62" s="553"/>
      <c r="P62" s="553"/>
      <c r="Q62" s="554"/>
    </row>
    <row r="63" spans="1:17" s="159" customFormat="1" x14ac:dyDescent="0.25">
      <c r="C63" s="658"/>
      <c r="D63" s="658"/>
      <c r="J63" s="280"/>
      <c r="M63" s="261"/>
      <c r="N63" s="157"/>
      <c r="O63" s="553"/>
      <c r="P63" s="553"/>
      <c r="Q63" s="554"/>
    </row>
    <row r="64" spans="1:17" s="159" customFormat="1" x14ac:dyDescent="0.25">
      <c r="C64" s="658"/>
      <c r="D64" s="658"/>
      <c r="J64" s="280"/>
      <c r="M64" s="282"/>
      <c r="N64" s="157"/>
      <c r="O64" s="308"/>
      <c r="P64" s="308"/>
    </row>
    <row r="65" spans="3:16" s="159" customFormat="1" x14ac:dyDescent="0.25">
      <c r="C65" s="658"/>
      <c r="D65" s="658"/>
      <c r="J65" s="280"/>
      <c r="M65" s="282"/>
      <c r="N65" s="157"/>
      <c r="O65" s="308"/>
      <c r="P65" s="308"/>
    </row>
    <row r="66" spans="3:16" s="159" customFormat="1" x14ac:dyDescent="0.25">
      <c r="C66" s="658"/>
      <c r="D66" s="658"/>
      <c r="J66" s="280"/>
      <c r="M66" s="282"/>
      <c r="N66" s="157"/>
      <c r="O66" s="308"/>
      <c r="P66" s="308"/>
    </row>
    <row r="67" spans="3:16" s="159" customFormat="1" x14ac:dyDescent="0.25">
      <c r="C67" s="658"/>
      <c r="D67" s="658"/>
      <c r="J67" s="280"/>
      <c r="M67" s="282"/>
      <c r="N67" s="157"/>
      <c r="O67" s="308"/>
      <c r="P67" s="308"/>
    </row>
    <row r="68" spans="3:16" s="159" customFormat="1" x14ac:dyDescent="0.25">
      <c r="C68" s="658"/>
      <c r="D68" s="658"/>
      <c r="J68" s="280"/>
      <c r="M68" s="282"/>
      <c r="N68" s="157"/>
      <c r="O68" s="308"/>
      <c r="P68" s="308"/>
    </row>
    <row r="69" spans="3:16" s="159" customFormat="1" x14ac:dyDescent="0.25">
      <c r="C69" s="658"/>
      <c r="D69" s="658"/>
      <c r="J69" s="280"/>
      <c r="M69" s="282"/>
      <c r="N69" s="157"/>
      <c r="O69" s="308"/>
      <c r="P69" s="308"/>
    </row>
    <row r="70" spans="3:16" s="159" customFormat="1" x14ac:dyDescent="0.25">
      <c r="C70" s="658"/>
      <c r="D70" s="658"/>
      <c r="J70" s="280"/>
      <c r="M70" s="282"/>
      <c r="N70" s="157"/>
      <c r="O70" s="308"/>
      <c r="P70" s="308"/>
    </row>
    <row r="71" spans="3:16" s="159" customFormat="1" x14ac:dyDescent="0.25">
      <c r="C71" s="658"/>
      <c r="D71" s="658"/>
      <c r="J71" s="280"/>
      <c r="M71" s="282"/>
      <c r="N71" s="157"/>
      <c r="O71" s="308"/>
      <c r="P71" s="308"/>
    </row>
    <row r="72" spans="3:16" s="159" customFormat="1" x14ac:dyDescent="0.25">
      <c r="C72" s="658"/>
      <c r="D72" s="658"/>
      <c r="J72" s="280"/>
      <c r="M72" s="282"/>
      <c r="N72" s="157"/>
      <c r="O72" s="308"/>
      <c r="P72" s="308"/>
    </row>
    <row r="73" spans="3:16" s="159" customFormat="1" x14ac:dyDescent="0.25">
      <c r="C73" s="658"/>
      <c r="D73" s="658"/>
      <c r="J73" s="280"/>
      <c r="M73" s="282"/>
      <c r="N73" s="157"/>
      <c r="O73" s="308"/>
      <c r="P73" s="308"/>
    </row>
    <row r="74" spans="3:16" s="159" customFormat="1" x14ac:dyDescent="0.25">
      <c r="C74" s="658"/>
      <c r="D74" s="658"/>
      <c r="J74" s="280"/>
      <c r="M74" s="282"/>
      <c r="N74" s="157"/>
      <c r="O74" s="308"/>
      <c r="P74" s="308"/>
    </row>
    <row r="75" spans="3:16" s="159" customFormat="1" x14ac:dyDescent="0.25">
      <c r="C75" s="658"/>
      <c r="D75" s="658"/>
      <c r="J75" s="280"/>
      <c r="M75" s="282"/>
      <c r="N75" s="157"/>
      <c r="O75" s="308"/>
      <c r="P75" s="308"/>
    </row>
    <row r="76" spans="3:16" s="159" customFormat="1" x14ac:dyDescent="0.25">
      <c r="C76" s="658"/>
      <c r="D76" s="658"/>
      <c r="J76" s="280"/>
      <c r="M76" s="282"/>
      <c r="N76" s="157"/>
      <c r="O76" s="308"/>
      <c r="P76" s="308"/>
    </row>
    <row r="77" spans="3:16" s="159" customFormat="1" x14ac:dyDescent="0.25">
      <c r="C77" s="658"/>
      <c r="D77" s="658"/>
      <c r="J77" s="280"/>
      <c r="M77" s="282"/>
      <c r="N77" s="157"/>
      <c r="O77" s="308"/>
      <c r="P77" s="308"/>
    </row>
    <row r="78" spans="3:16" s="159" customFormat="1" x14ac:dyDescent="0.25">
      <c r="C78" s="658"/>
      <c r="D78" s="658"/>
      <c r="J78" s="280"/>
      <c r="M78" s="282"/>
      <c r="N78" s="157"/>
      <c r="O78" s="308"/>
      <c r="P78" s="308"/>
    </row>
    <row r="79" spans="3:16" s="159" customFormat="1" x14ac:dyDescent="0.25">
      <c r="C79" s="658"/>
      <c r="D79" s="658"/>
      <c r="J79" s="280"/>
      <c r="M79" s="282"/>
      <c r="N79" s="157"/>
      <c r="O79" s="308"/>
      <c r="P79" s="308"/>
    </row>
    <row r="80" spans="3:16" s="159" customFormat="1" x14ac:dyDescent="0.25">
      <c r="C80" s="658"/>
      <c r="D80" s="658"/>
      <c r="J80" s="280"/>
      <c r="M80" s="282"/>
      <c r="N80" s="157"/>
      <c r="O80" s="308"/>
      <c r="P80" s="308"/>
    </row>
    <row r="81" spans="3:16" s="159" customFormat="1" x14ac:dyDescent="0.25">
      <c r="C81" s="658"/>
      <c r="D81" s="658"/>
      <c r="J81" s="280"/>
      <c r="M81" s="282"/>
      <c r="N81" s="157"/>
      <c r="O81" s="308"/>
      <c r="P81" s="308"/>
    </row>
    <row r="82" spans="3:16" s="159" customFormat="1" x14ac:dyDescent="0.25">
      <c r="C82" s="658"/>
      <c r="D82" s="658"/>
      <c r="J82" s="280"/>
      <c r="M82" s="282"/>
      <c r="N82" s="157"/>
      <c r="O82" s="308"/>
      <c r="P82" s="308"/>
    </row>
    <row r="83" spans="3:16" s="159" customFormat="1" x14ac:dyDescent="0.25">
      <c r="C83" s="658"/>
      <c r="D83" s="658"/>
      <c r="J83" s="280"/>
      <c r="M83" s="282"/>
      <c r="N83" s="157"/>
      <c r="O83" s="308"/>
      <c r="P83" s="308"/>
    </row>
    <row r="84" spans="3:16" s="159" customFormat="1" x14ac:dyDescent="0.25">
      <c r="C84" s="658"/>
      <c r="D84" s="658"/>
      <c r="J84" s="280"/>
      <c r="M84" s="282"/>
      <c r="N84" s="157"/>
      <c r="O84" s="308"/>
      <c r="P84" s="308"/>
    </row>
    <row r="85" spans="3:16" s="159" customFormat="1" x14ac:dyDescent="0.25">
      <c r="C85" s="658"/>
      <c r="D85" s="658"/>
      <c r="J85" s="280"/>
      <c r="M85" s="282"/>
      <c r="N85" s="157"/>
      <c r="O85" s="308"/>
      <c r="P85" s="308"/>
    </row>
    <row r="86" spans="3:16" s="159" customFormat="1" x14ac:dyDescent="0.25">
      <c r="C86" s="658"/>
      <c r="D86" s="658"/>
      <c r="J86" s="280"/>
      <c r="M86" s="282"/>
      <c r="N86" s="157"/>
      <c r="O86" s="308"/>
      <c r="P86" s="308"/>
    </row>
    <row r="87" spans="3:16" s="159" customFormat="1" x14ac:dyDescent="0.25">
      <c r="C87" s="658"/>
      <c r="D87" s="658"/>
      <c r="J87" s="280"/>
      <c r="M87" s="282"/>
      <c r="N87" s="157"/>
      <c r="O87" s="308"/>
      <c r="P87" s="308"/>
    </row>
    <row r="88" spans="3:16" s="159" customFormat="1" x14ac:dyDescent="0.25">
      <c r="C88" s="658"/>
      <c r="D88" s="658"/>
      <c r="J88" s="280"/>
      <c r="M88" s="282"/>
      <c r="N88" s="157"/>
      <c r="O88" s="308"/>
      <c r="P88" s="308"/>
    </row>
    <row r="89" spans="3:16" s="159" customFormat="1" x14ac:dyDescent="0.25">
      <c r="C89" s="658"/>
      <c r="D89" s="658"/>
      <c r="J89" s="280"/>
      <c r="M89" s="282"/>
      <c r="N89" s="157"/>
      <c r="O89" s="308"/>
      <c r="P89" s="308"/>
    </row>
    <row r="90" spans="3:16" s="159" customFormat="1" x14ac:dyDescent="0.25">
      <c r="C90" s="658"/>
      <c r="D90" s="658"/>
      <c r="J90" s="280"/>
      <c r="M90" s="282"/>
      <c r="N90" s="157"/>
      <c r="O90" s="308"/>
      <c r="P90" s="308"/>
    </row>
    <row r="91" spans="3:16" s="159" customFormat="1" x14ac:dyDescent="0.25">
      <c r="C91" s="658"/>
      <c r="D91" s="658"/>
      <c r="J91" s="280"/>
      <c r="M91" s="282"/>
      <c r="N91" s="157"/>
      <c r="O91" s="308"/>
      <c r="P91" s="308"/>
    </row>
    <row r="92" spans="3:16" s="159" customFormat="1" x14ac:dyDescent="0.25">
      <c r="C92" s="658"/>
      <c r="D92" s="658"/>
      <c r="J92" s="280"/>
      <c r="M92" s="282"/>
      <c r="N92" s="157"/>
      <c r="O92" s="308"/>
      <c r="P92" s="308"/>
    </row>
    <row r="93" spans="3:16" s="159" customFormat="1" x14ac:dyDescent="0.25">
      <c r="C93" s="658"/>
      <c r="D93" s="658"/>
      <c r="J93" s="280"/>
      <c r="M93" s="282"/>
      <c r="N93" s="157"/>
      <c r="O93" s="308"/>
      <c r="P93" s="308"/>
    </row>
    <row r="94" spans="3:16" s="159" customFormat="1" x14ac:dyDescent="0.25">
      <c r="C94" s="658"/>
      <c r="D94" s="658"/>
      <c r="J94" s="280"/>
      <c r="M94" s="282"/>
      <c r="N94" s="157"/>
      <c r="O94" s="308"/>
      <c r="P94" s="308"/>
    </row>
    <row r="95" spans="3:16" s="159" customFormat="1" x14ac:dyDescent="0.25">
      <c r="C95" s="658"/>
      <c r="D95" s="658"/>
      <c r="J95" s="280"/>
      <c r="M95" s="282"/>
      <c r="N95" s="157"/>
      <c r="O95" s="308"/>
      <c r="P95" s="308"/>
    </row>
    <row r="96" spans="3:16" s="159" customFormat="1" x14ac:dyDescent="0.25">
      <c r="C96" s="658"/>
      <c r="D96" s="658"/>
      <c r="J96" s="280"/>
      <c r="M96" s="282"/>
      <c r="N96" s="157"/>
      <c r="O96" s="308"/>
      <c r="P96" s="308"/>
    </row>
    <row r="97" spans="3:16" s="159" customFormat="1" x14ac:dyDescent="0.25">
      <c r="C97" s="658"/>
      <c r="D97" s="658"/>
      <c r="J97" s="280"/>
      <c r="M97" s="282"/>
      <c r="N97" s="157"/>
      <c r="O97" s="308"/>
      <c r="P97" s="308"/>
    </row>
    <row r="98" spans="3:16" s="159" customFormat="1" x14ac:dyDescent="0.25">
      <c r="C98" s="658"/>
      <c r="D98" s="658"/>
      <c r="J98" s="280"/>
      <c r="M98" s="282"/>
      <c r="N98" s="157"/>
      <c r="O98" s="308"/>
      <c r="P98" s="308"/>
    </row>
    <row r="99" spans="3:16" s="159" customFormat="1" x14ac:dyDescent="0.25">
      <c r="C99" s="658"/>
      <c r="D99" s="658"/>
      <c r="J99" s="280"/>
      <c r="M99" s="282"/>
      <c r="N99" s="157"/>
      <c r="O99" s="308"/>
      <c r="P99" s="308"/>
    </row>
    <row r="100" spans="3:16" s="159" customFormat="1" x14ac:dyDescent="0.25">
      <c r="C100" s="658"/>
      <c r="D100" s="658"/>
      <c r="J100" s="280"/>
      <c r="M100" s="282"/>
      <c r="N100" s="157"/>
      <c r="O100" s="308"/>
      <c r="P100" s="308"/>
    </row>
    <row r="101" spans="3:16" s="159" customFormat="1" x14ac:dyDescent="0.25">
      <c r="C101" s="658"/>
      <c r="D101" s="658"/>
      <c r="J101" s="280"/>
      <c r="M101" s="282"/>
      <c r="N101" s="157"/>
      <c r="O101" s="308"/>
      <c r="P101" s="308"/>
    </row>
    <row r="102" spans="3:16" s="159" customFormat="1" x14ac:dyDescent="0.25">
      <c r="C102" s="658"/>
      <c r="D102" s="658"/>
      <c r="J102" s="280"/>
      <c r="M102" s="282"/>
      <c r="N102" s="157"/>
      <c r="O102" s="308"/>
      <c r="P102" s="308"/>
    </row>
    <row r="103" spans="3:16" s="159" customFormat="1" x14ac:dyDescent="0.25">
      <c r="C103" s="658"/>
      <c r="D103" s="658"/>
      <c r="J103" s="280"/>
      <c r="M103" s="282"/>
      <c r="N103" s="157"/>
      <c r="O103" s="308"/>
      <c r="P103" s="308"/>
    </row>
    <row r="104" spans="3:16" s="159" customFormat="1" x14ac:dyDescent="0.25">
      <c r="C104" s="658"/>
      <c r="D104" s="658"/>
      <c r="J104" s="280"/>
      <c r="M104" s="282"/>
      <c r="N104" s="157"/>
      <c r="O104" s="308"/>
      <c r="P104" s="308"/>
    </row>
    <row r="105" spans="3:16" s="159" customFormat="1" x14ac:dyDescent="0.25">
      <c r="C105" s="658"/>
      <c r="D105" s="658"/>
      <c r="J105" s="280"/>
      <c r="M105" s="282"/>
      <c r="N105" s="157"/>
      <c r="O105" s="308"/>
      <c r="P105" s="308"/>
    </row>
    <row r="106" spans="3:16" s="159" customFormat="1" x14ac:dyDescent="0.25">
      <c r="C106" s="658"/>
      <c r="D106" s="658"/>
      <c r="J106" s="280"/>
      <c r="M106" s="282"/>
      <c r="N106" s="157"/>
      <c r="O106" s="308"/>
      <c r="P106" s="308"/>
    </row>
    <row r="107" spans="3:16" s="159" customFormat="1" x14ac:dyDescent="0.25">
      <c r="C107" s="658"/>
      <c r="D107" s="658"/>
      <c r="J107" s="280"/>
      <c r="M107" s="282"/>
      <c r="N107" s="157"/>
      <c r="O107" s="308"/>
      <c r="P107" s="308"/>
    </row>
    <row r="108" spans="3:16" s="159" customFormat="1" x14ac:dyDescent="0.25">
      <c r="C108" s="658"/>
      <c r="D108" s="658"/>
      <c r="J108" s="280"/>
      <c r="M108" s="282"/>
      <c r="N108" s="157"/>
      <c r="O108" s="308"/>
      <c r="P108" s="308"/>
    </row>
    <row r="109" spans="3:16" s="159" customFormat="1" x14ac:dyDescent="0.25">
      <c r="C109" s="658"/>
      <c r="D109" s="658"/>
      <c r="J109" s="280"/>
      <c r="M109" s="282"/>
      <c r="N109" s="157"/>
      <c r="O109" s="308"/>
      <c r="P109" s="308"/>
    </row>
    <row r="110" spans="3:16" s="159" customFormat="1" x14ac:dyDescent="0.25">
      <c r="C110" s="658"/>
      <c r="D110" s="658"/>
      <c r="J110" s="280"/>
      <c r="M110" s="282"/>
      <c r="N110" s="157"/>
      <c r="O110" s="308"/>
      <c r="P110" s="308"/>
    </row>
    <row r="111" spans="3:16" s="159" customFormat="1" x14ac:dyDescent="0.25">
      <c r="C111" s="658"/>
      <c r="D111" s="658"/>
      <c r="J111" s="280"/>
      <c r="M111" s="282"/>
      <c r="N111" s="157"/>
      <c r="O111" s="308"/>
      <c r="P111" s="308"/>
    </row>
    <row r="112" spans="3:16" s="159" customFormat="1" x14ac:dyDescent="0.25">
      <c r="C112" s="658"/>
      <c r="D112" s="658"/>
      <c r="J112" s="280"/>
      <c r="M112" s="282"/>
      <c r="N112" s="157"/>
      <c r="O112" s="308"/>
      <c r="P112" s="308"/>
    </row>
    <row r="113" spans="3:16" s="159" customFormat="1" x14ac:dyDescent="0.25">
      <c r="C113" s="658"/>
      <c r="D113" s="658"/>
      <c r="J113" s="280"/>
      <c r="M113" s="282"/>
      <c r="N113" s="157"/>
      <c r="O113" s="308"/>
      <c r="P113" s="308"/>
    </row>
    <row r="114" spans="3:16" s="159" customFormat="1" x14ac:dyDescent="0.25">
      <c r="C114" s="658"/>
      <c r="D114" s="658"/>
      <c r="J114" s="280"/>
      <c r="M114" s="282"/>
      <c r="N114" s="157"/>
      <c r="O114" s="308"/>
      <c r="P114" s="308"/>
    </row>
    <row r="115" spans="3:16" s="159" customFormat="1" x14ac:dyDescent="0.25">
      <c r="C115" s="658"/>
      <c r="D115" s="658"/>
      <c r="J115" s="280"/>
      <c r="M115" s="282"/>
      <c r="N115" s="157"/>
      <c r="O115" s="308"/>
      <c r="P115" s="308"/>
    </row>
    <row r="116" spans="3:16" s="159" customFormat="1" x14ac:dyDescent="0.25">
      <c r="C116" s="658"/>
      <c r="D116" s="658"/>
      <c r="J116" s="280"/>
      <c r="M116" s="282"/>
      <c r="N116" s="157"/>
      <c r="O116" s="308"/>
      <c r="P116" s="308"/>
    </row>
    <row r="117" spans="3:16" s="159" customFormat="1" x14ac:dyDescent="0.25">
      <c r="C117" s="658"/>
      <c r="D117" s="658"/>
      <c r="J117" s="280"/>
      <c r="M117" s="282"/>
      <c r="N117" s="157"/>
      <c r="O117" s="308"/>
      <c r="P117" s="308"/>
    </row>
    <row r="118" spans="3:16" s="159" customFormat="1" x14ac:dyDescent="0.25">
      <c r="C118" s="658"/>
      <c r="D118" s="658"/>
      <c r="J118" s="280"/>
      <c r="M118" s="282"/>
      <c r="N118" s="157"/>
      <c r="O118" s="308"/>
      <c r="P118" s="308"/>
    </row>
    <row r="119" spans="3:16" s="159" customFormat="1" x14ac:dyDescent="0.25">
      <c r="C119" s="658"/>
      <c r="D119" s="658"/>
      <c r="J119" s="280"/>
      <c r="M119" s="282"/>
      <c r="N119" s="157"/>
      <c r="O119" s="308"/>
      <c r="P119" s="308"/>
    </row>
    <row r="120" spans="3:16" s="159" customFormat="1" x14ac:dyDescent="0.25">
      <c r="C120" s="658"/>
      <c r="D120" s="658"/>
      <c r="J120" s="280"/>
      <c r="M120" s="282"/>
      <c r="N120" s="157"/>
      <c r="O120" s="308"/>
      <c r="P120" s="308"/>
    </row>
    <row r="121" spans="3:16" s="159" customFormat="1" x14ac:dyDescent="0.25">
      <c r="C121" s="658"/>
      <c r="D121" s="658"/>
      <c r="J121" s="280"/>
      <c r="M121" s="282"/>
      <c r="N121" s="157"/>
      <c r="O121" s="308"/>
      <c r="P121" s="308"/>
    </row>
    <row r="122" spans="3:16" s="159" customFormat="1" x14ac:dyDescent="0.25">
      <c r="C122" s="658"/>
      <c r="D122" s="658"/>
      <c r="J122" s="280"/>
      <c r="M122" s="282"/>
      <c r="N122" s="157"/>
      <c r="O122" s="308"/>
      <c r="P122" s="308"/>
    </row>
    <row r="123" spans="3:16" s="159" customFormat="1" x14ac:dyDescent="0.25">
      <c r="C123" s="658"/>
      <c r="D123" s="658"/>
      <c r="J123" s="280"/>
      <c r="M123" s="282"/>
      <c r="N123" s="157"/>
      <c r="O123" s="308"/>
      <c r="P123" s="308"/>
    </row>
    <row r="124" spans="3:16" s="159" customFormat="1" x14ac:dyDescent="0.25">
      <c r="C124" s="658"/>
      <c r="D124" s="658"/>
      <c r="J124" s="280"/>
      <c r="M124" s="282"/>
      <c r="N124" s="157"/>
      <c r="O124" s="308"/>
      <c r="P124" s="308"/>
    </row>
    <row r="125" spans="3:16" s="159" customFormat="1" x14ac:dyDescent="0.25">
      <c r="C125" s="658"/>
      <c r="D125" s="658"/>
      <c r="J125" s="280"/>
      <c r="M125" s="282"/>
      <c r="N125" s="157"/>
      <c r="O125" s="308"/>
      <c r="P125" s="308"/>
    </row>
    <row r="126" spans="3:16" s="159" customFormat="1" x14ac:dyDescent="0.25">
      <c r="C126" s="658"/>
      <c r="D126" s="658"/>
      <c r="J126" s="280"/>
      <c r="M126" s="282"/>
      <c r="N126" s="157"/>
      <c r="O126" s="308"/>
      <c r="P126" s="308"/>
    </row>
    <row r="127" spans="3:16" s="159" customFormat="1" x14ac:dyDescent="0.25">
      <c r="C127" s="658"/>
      <c r="D127" s="658"/>
      <c r="J127" s="280"/>
      <c r="M127" s="282"/>
      <c r="N127" s="157"/>
      <c r="O127" s="308"/>
      <c r="P127" s="308"/>
    </row>
    <row r="128" spans="3:16" s="159" customFormat="1" x14ac:dyDescent="0.25">
      <c r="C128" s="658"/>
      <c r="D128" s="658"/>
      <c r="J128" s="280"/>
      <c r="M128" s="282"/>
      <c r="N128" s="157"/>
      <c r="O128" s="308"/>
      <c r="P128" s="308"/>
    </row>
    <row r="129" spans="3:16" s="159" customFormat="1" x14ac:dyDescent="0.25">
      <c r="C129" s="658"/>
      <c r="D129" s="658"/>
      <c r="J129" s="280"/>
      <c r="M129" s="282"/>
      <c r="N129" s="157"/>
      <c r="O129" s="308"/>
      <c r="P129" s="308"/>
    </row>
    <row r="130" spans="3:16" s="159" customFormat="1" x14ac:dyDescent="0.25">
      <c r="C130" s="658"/>
      <c r="D130" s="658"/>
      <c r="J130" s="280"/>
      <c r="M130" s="282"/>
      <c r="N130" s="157"/>
      <c r="O130" s="308"/>
      <c r="P130" s="308"/>
    </row>
    <row r="131" spans="3:16" s="159" customFormat="1" x14ac:dyDescent="0.25">
      <c r="C131" s="658"/>
      <c r="D131" s="658"/>
      <c r="J131" s="280"/>
      <c r="M131" s="282"/>
      <c r="N131" s="157"/>
      <c r="O131" s="308"/>
      <c r="P131" s="308"/>
    </row>
    <row r="132" spans="3:16" s="159" customFormat="1" x14ac:dyDescent="0.25">
      <c r="C132" s="658"/>
      <c r="D132" s="658"/>
      <c r="J132" s="280"/>
      <c r="M132" s="282"/>
      <c r="N132" s="157"/>
      <c r="O132" s="308"/>
      <c r="P132" s="308"/>
    </row>
    <row r="133" spans="3:16" s="159" customFormat="1" x14ac:dyDescent="0.25">
      <c r="C133" s="658"/>
      <c r="D133" s="658"/>
      <c r="J133" s="280"/>
      <c r="M133" s="282"/>
      <c r="N133" s="157"/>
      <c r="O133" s="308"/>
      <c r="P133" s="308"/>
    </row>
    <row r="134" spans="3:16" s="159" customFormat="1" x14ac:dyDescent="0.25">
      <c r="C134" s="658"/>
      <c r="D134" s="658"/>
      <c r="J134" s="280"/>
      <c r="M134" s="282"/>
      <c r="N134" s="157"/>
      <c r="O134" s="308"/>
      <c r="P134" s="308"/>
    </row>
    <row r="135" spans="3:16" s="159" customFormat="1" x14ac:dyDescent="0.25">
      <c r="C135" s="658"/>
      <c r="D135" s="658"/>
      <c r="J135" s="280"/>
      <c r="M135" s="282"/>
      <c r="N135" s="157"/>
      <c r="O135" s="308"/>
      <c r="P135" s="308"/>
    </row>
    <row r="136" spans="3:16" s="159" customFormat="1" x14ac:dyDescent="0.25">
      <c r="C136" s="658"/>
      <c r="D136" s="658"/>
      <c r="J136" s="280"/>
      <c r="M136" s="282"/>
      <c r="N136" s="157"/>
      <c r="O136" s="308"/>
      <c r="P136" s="308"/>
    </row>
    <row r="137" spans="3:16" s="159" customFormat="1" x14ac:dyDescent="0.25">
      <c r="C137" s="658"/>
      <c r="D137" s="658"/>
      <c r="J137" s="280"/>
      <c r="M137" s="282"/>
      <c r="N137" s="157"/>
      <c r="O137" s="308"/>
      <c r="P137" s="308"/>
    </row>
    <row r="138" spans="3:16" s="159" customFormat="1" x14ac:dyDescent="0.25">
      <c r="C138" s="658"/>
      <c r="D138" s="658"/>
      <c r="J138" s="280"/>
      <c r="M138" s="282"/>
      <c r="N138" s="157"/>
      <c r="O138" s="308"/>
      <c r="P138" s="308"/>
    </row>
    <row r="139" spans="3:16" s="159" customFormat="1" x14ac:dyDescent="0.25">
      <c r="C139" s="658"/>
      <c r="D139" s="658"/>
      <c r="J139" s="280"/>
      <c r="M139" s="282"/>
      <c r="N139" s="157"/>
      <c r="O139" s="308"/>
      <c r="P139" s="308"/>
    </row>
    <row r="140" spans="3:16" s="159" customFormat="1" x14ac:dyDescent="0.25">
      <c r="C140" s="658"/>
      <c r="D140" s="658"/>
      <c r="J140" s="280"/>
      <c r="M140" s="282"/>
      <c r="N140" s="157"/>
      <c r="O140" s="308"/>
      <c r="P140" s="308"/>
    </row>
    <row r="141" spans="3:16" s="159" customFormat="1" x14ac:dyDescent="0.25">
      <c r="C141" s="658"/>
      <c r="D141" s="658"/>
      <c r="J141" s="280"/>
      <c r="M141" s="282"/>
      <c r="N141" s="157"/>
      <c r="O141" s="308"/>
      <c r="P141" s="308"/>
    </row>
    <row r="142" spans="3:16" s="159" customFormat="1" x14ac:dyDescent="0.25">
      <c r="C142" s="658"/>
      <c r="D142" s="658"/>
      <c r="J142" s="280"/>
      <c r="M142" s="282"/>
      <c r="N142" s="157"/>
      <c r="O142" s="308"/>
      <c r="P142" s="308"/>
    </row>
    <row r="143" spans="3:16" s="159" customFormat="1" x14ac:dyDescent="0.25">
      <c r="C143" s="658"/>
      <c r="D143" s="658"/>
      <c r="J143" s="280"/>
      <c r="M143" s="282"/>
      <c r="N143" s="157"/>
      <c r="O143" s="308"/>
      <c r="P143" s="308"/>
    </row>
    <row r="144" spans="3:16" s="159" customFormat="1" x14ac:dyDescent="0.25">
      <c r="C144" s="658"/>
      <c r="D144" s="658"/>
      <c r="J144" s="280"/>
      <c r="M144" s="282"/>
      <c r="N144" s="157"/>
      <c r="O144" s="308"/>
      <c r="P144" s="308"/>
    </row>
    <row r="145" spans="3:16" s="159" customFormat="1" x14ac:dyDescent="0.25">
      <c r="C145" s="658"/>
      <c r="D145" s="658"/>
      <c r="J145" s="280"/>
      <c r="M145" s="282"/>
      <c r="N145" s="157"/>
      <c r="O145" s="308"/>
      <c r="P145" s="308"/>
    </row>
    <row r="146" spans="3:16" s="159" customFormat="1" x14ac:dyDescent="0.25">
      <c r="C146" s="658"/>
      <c r="D146" s="658"/>
      <c r="J146" s="280"/>
      <c r="M146" s="282"/>
      <c r="N146" s="157"/>
      <c r="O146" s="308"/>
      <c r="P146" s="308"/>
    </row>
    <row r="147" spans="3:16" s="159" customFormat="1" x14ac:dyDescent="0.25">
      <c r="C147" s="658"/>
      <c r="D147" s="658"/>
      <c r="J147" s="280"/>
      <c r="M147" s="282"/>
      <c r="N147" s="157"/>
      <c r="O147" s="308"/>
      <c r="P147" s="308"/>
    </row>
    <row r="148" spans="3:16" s="159" customFormat="1" x14ac:dyDescent="0.25">
      <c r="C148" s="658"/>
      <c r="D148" s="658"/>
      <c r="J148" s="280"/>
      <c r="M148" s="282"/>
      <c r="N148" s="157"/>
      <c r="O148" s="308"/>
      <c r="P148" s="308"/>
    </row>
    <row r="149" spans="3:16" s="159" customFormat="1" x14ac:dyDescent="0.25">
      <c r="C149" s="658"/>
      <c r="D149" s="658"/>
      <c r="J149" s="280"/>
      <c r="M149" s="282"/>
      <c r="N149" s="157"/>
      <c r="O149" s="308"/>
      <c r="P149" s="308"/>
    </row>
    <row r="150" spans="3:16" s="159" customFormat="1" x14ac:dyDescent="0.25">
      <c r="C150" s="658"/>
      <c r="D150" s="658"/>
      <c r="J150" s="280"/>
      <c r="M150" s="282"/>
      <c r="N150" s="157"/>
      <c r="O150" s="308"/>
      <c r="P150" s="308"/>
    </row>
    <row r="151" spans="3:16" s="159" customFormat="1" x14ac:dyDescent="0.25">
      <c r="C151" s="658"/>
      <c r="D151" s="658"/>
      <c r="J151" s="280"/>
      <c r="M151" s="282"/>
      <c r="N151" s="157"/>
      <c r="O151" s="308"/>
      <c r="P151" s="308"/>
    </row>
    <row r="152" spans="3:16" s="159" customFormat="1" x14ac:dyDescent="0.25">
      <c r="C152" s="658"/>
      <c r="D152" s="658"/>
      <c r="J152" s="280"/>
      <c r="M152" s="282"/>
      <c r="N152" s="157"/>
      <c r="O152" s="308"/>
      <c r="P152" s="308"/>
    </row>
    <row r="153" spans="3:16" s="159" customFormat="1" x14ac:dyDescent="0.25">
      <c r="C153" s="658"/>
      <c r="D153" s="658"/>
      <c r="J153" s="280"/>
      <c r="M153" s="282"/>
      <c r="N153" s="157"/>
      <c r="O153" s="308"/>
      <c r="P153" s="308"/>
    </row>
    <row r="154" spans="3:16" s="159" customFormat="1" x14ac:dyDescent="0.25">
      <c r="C154" s="658"/>
      <c r="D154" s="658"/>
      <c r="J154" s="280"/>
      <c r="M154" s="282"/>
      <c r="N154" s="157"/>
      <c r="O154" s="308"/>
      <c r="P154" s="308"/>
    </row>
    <row r="155" spans="3:16" s="159" customFormat="1" x14ac:dyDescent="0.25">
      <c r="C155" s="658"/>
      <c r="D155" s="658"/>
      <c r="J155" s="280"/>
      <c r="M155" s="282"/>
      <c r="N155" s="157"/>
      <c r="O155" s="308"/>
      <c r="P155" s="308"/>
    </row>
    <row r="156" spans="3:16" s="159" customFormat="1" x14ac:dyDescent="0.25">
      <c r="C156" s="658"/>
      <c r="D156" s="658"/>
      <c r="J156" s="280"/>
      <c r="M156" s="282"/>
      <c r="N156" s="157"/>
      <c r="O156" s="308"/>
      <c r="P156" s="308"/>
    </row>
    <row r="157" spans="3:16" s="159" customFormat="1" x14ac:dyDescent="0.25">
      <c r="C157" s="658"/>
      <c r="D157" s="658"/>
      <c r="J157" s="280"/>
      <c r="M157" s="282"/>
      <c r="N157" s="157"/>
      <c r="O157" s="308"/>
      <c r="P157" s="308"/>
    </row>
    <row r="158" spans="3:16" s="159" customFormat="1" x14ac:dyDescent="0.25">
      <c r="C158" s="658"/>
      <c r="D158" s="658"/>
      <c r="J158" s="280"/>
      <c r="M158" s="282"/>
      <c r="N158" s="157"/>
      <c r="O158" s="308"/>
      <c r="P158" s="308"/>
    </row>
    <row r="159" spans="3:16" s="159" customFormat="1" x14ac:dyDescent="0.25">
      <c r="C159" s="658"/>
      <c r="D159" s="658"/>
      <c r="J159" s="280"/>
      <c r="M159" s="282"/>
      <c r="N159" s="157"/>
      <c r="O159" s="308"/>
      <c r="P159" s="308"/>
    </row>
    <row r="160" spans="3:16" s="159" customFormat="1" x14ac:dyDescent="0.25">
      <c r="C160" s="658"/>
      <c r="D160" s="658"/>
      <c r="J160" s="280"/>
      <c r="M160" s="282"/>
      <c r="N160" s="157"/>
      <c r="O160" s="308"/>
      <c r="P160" s="308"/>
    </row>
    <row r="161" spans="3:16" s="159" customFormat="1" x14ac:dyDescent="0.25">
      <c r="C161" s="658"/>
      <c r="D161" s="658"/>
      <c r="J161" s="280"/>
      <c r="M161" s="282"/>
      <c r="N161" s="157"/>
      <c r="O161" s="308"/>
      <c r="P161" s="308"/>
    </row>
    <row r="162" spans="3:16" s="159" customFormat="1" x14ac:dyDescent="0.25">
      <c r="C162" s="658"/>
      <c r="D162" s="658"/>
      <c r="J162" s="280"/>
      <c r="M162" s="282"/>
      <c r="N162" s="157"/>
      <c r="O162" s="308"/>
      <c r="P162" s="308"/>
    </row>
    <row r="163" spans="3:16" s="159" customFormat="1" x14ac:dyDescent="0.25">
      <c r="C163" s="658"/>
      <c r="D163" s="658"/>
      <c r="J163" s="280"/>
      <c r="M163" s="282"/>
      <c r="N163" s="157"/>
      <c r="O163" s="308"/>
      <c r="P163" s="308"/>
    </row>
    <row r="164" spans="3:16" s="159" customFormat="1" x14ac:dyDescent="0.25">
      <c r="C164" s="658"/>
      <c r="D164" s="658"/>
      <c r="J164" s="280"/>
      <c r="M164" s="282"/>
      <c r="N164" s="157"/>
      <c r="O164" s="308"/>
      <c r="P164" s="308"/>
    </row>
    <row r="165" spans="3:16" s="159" customFormat="1" x14ac:dyDescent="0.25">
      <c r="C165" s="658"/>
      <c r="D165" s="658"/>
      <c r="J165" s="280"/>
      <c r="M165" s="282"/>
      <c r="N165" s="157"/>
      <c r="O165" s="308"/>
      <c r="P165" s="308"/>
    </row>
    <row r="166" spans="3:16" s="159" customFormat="1" x14ac:dyDescent="0.25">
      <c r="C166" s="658"/>
      <c r="D166" s="658"/>
      <c r="J166" s="280"/>
      <c r="M166" s="282"/>
      <c r="N166" s="157"/>
      <c r="O166" s="308"/>
      <c r="P166" s="308"/>
    </row>
    <row r="167" spans="3:16" s="159" customFormat="1" x14ac:dyDescent="0.25">
      <c r="C167" s="658"/>
      <c r="D167" s="658"/>
      <c r="J167" s="280"/>
      <c r="M167" s="282"/>
      <c r="N167" s="157"/>
      <c r="O167" s="308"/>
      <c r="P167" s="308"/>
    </row>
    <row r="168" spans="3:16" s="159" customFormat="1" x14ac:dyDescent="0.25">
      <c r="C168" s="658"/>
      <c r="D168" s="658"/>
      <c r="J168" s="280"/>
      <c r="M168" s="282"/>
      <c r="N168" s="157"/>
      <c r="O168" s="308"/>
      <c r="P168" s="308"/>
    </row>
    <row r="169" spans="3:16" s="159" customFormat="1" x14ac:dyDescent="0.25">
      <c r="C169" s="658"/>
      <c r="D169" s="658"/>
      <c r="J169" s="280"/>
      <c r="M169" s="282"/>
      <c r="N169" s="157"/>
      <c r="O169" s="308"/>
      <c r="P169" s="308"/>
    </row>
    <row r="170" spans="3:16" s="159" customFormat="1" x14ac:dyDescent="0.25">
      <c r="C170" s="658"/>
      <c r="D170" s="658"/>
      <c r="J170" s="280"/>
      <c r="M170" s="282"/>
      <c r="N170" s="157"/>
      <c r="O170" s="308"/>
      <c r="P170" s="308"/>
    </row>
    <row r="171" spans="3:16" s="159" customFormat="1" x14ac:dyDescent="0.25">
      <c r="C171" s="658"/>
      <c r="D171" s="658"/>
      <c r="J171" s="280"/>
      <c r="M171" s="282"/>
      <c r="N171" s="157"/>
      <c r="O171" s="308"/>
      <c r="P171" s="308"/>
    </row>
    <row r="172" spans="3:16" s="159" customFormat="1" x14ac:dyDescent="0.25">
      <c r="C172" s="658"/>
      <c r="D172" s="658"/>
      <c r="J172" s="280"/>
      <c r="M172" s="282"/>
      <c r="N172" s="157"/>
      <c r="O172" s="308"/>
      <c r="P172" s="308"/>
    </row>
    <row r="173" spans="3:16" s="159" customFormat="1" x14ac:dyDescent="0.25">
      <c r="C173" s="658"/>
      <c r="D173" s="658"/>
      <c r="J173" s="280"/>
      <c r="M173" s="282"/>
      <c r="N173" s="157"/>
      <c r="O173" s="308"/>
      <c r="P173" s="308"/>
    </row>
    <row r="174" spans="3:16" s="159" customFormat="1" x14ac:dyDescent="0.25">
      <c r="C174" s="658"/>
      <c r="D174" s="658"/>
      <c r="J174" s="280"/>
      <c r="M174" s="282"/>
      <c r="N174" s="157"/>
      <c r="O174" s="308"/>
      <c r="P174" s="308"/>
    </row>
    <row r="175" spans="3:16" s="159" customFormat="1" x14ac:dyDescent="0.25">
      <c r="C175" s="658"/>
      <c r="D175" s="658"/>
      <c r="J175" s="280"/>
      <c r="M175" s="282"/>
      <c r="N175" s="157"/>
      <c r="O175" s="308"/>
      <c r="P175" s="308"/>
    </row>
    <row r="176" spans="3:16" s="159" customFormat="1" x14ac:dyDescent="0.25">
      <c r="C176" s="658"/>
      <c r="D176" s="658"/>
      <c r="J176" s="280"/>
      <c r="M176" s="282"/>
      <c r="N176" s="157"/>
      <c r="O176" s="308"/>
      <c r="P176" s="308"/>
    </row>
    <row r="177" spans="3:16" s="159" customFormat="1" x14ac:dyDescent="0.25">
      <c r="C177" s="658"/>
      <c r="D177" s="658"/>
      <c r="J177" s="280"/>
      <c r="M177" s="282"/>
      <c r="N177" s="157"/>
      <c r="O177" s="308"/>
      <c r="P177" s="308"/>
    </row>
    <row r="178" spans="3:16" s="159" customFormat="1" x14ac:dyDescent="0.25">
      <c r="C178" s="658"/>
      <c r="D178" s="658"/>
      <c r="J178" s="280"/>
      <c r="M178" s="282"/>
      <c r="N178" s="157"/>
      <c r="O178" s="308"/>
      <c r="P178" s="308"/>
    </row>
    <row r="179" spans="3:16" s="159" customFormat="1" x14ac:dyDescent="0.25">
      <c r="C179" s="658"/>
      <c r="D179" s="658"/>
      <c r="J179" s="280"/>
      <c r="M179" s="282"/>
      <c r="N179" s="157"/>
      <c r="O179" s="308"/>
      <c r="P179" s="308"/>
    </row>
    <row r="180" spans="3:16" s="159" customFormat="1" x14ac:dyDescent="0.25">
      <c r="C180" s="658"/>
      <c r="D180" s="658"/>
      <c r="J180" s="280"/>
      <c r="M180" s="282"/>
      <c r="N180" s="157"/>
      <c r="O180" s="308"/>
      <c r="P180" s="308"/>
    </row>
    <row r="181" spans="3:16" s="159" customFormat="1" x14ac:dyDescent="0.25">
      <c r="C181" s="658"/>
      <c r="D181" s="658"/>
      <c r="J181" s="280"/>
      <c r="M181" s="282"/>
      <c r="N181" s="157"/>
      <c r="O181" s="308"/>
      <c r="P181" s="308"/>
    </row>
    <row r="182" spans="3:16" s="159" customFormat="1" x14ac:dyDescent="0.25">
      <c r="C182" s="658"/>
      <c r="D182" s="658"/>
      <c r="J182" s="280"/>
      <c r="M182" s="282"/>
      <c r="N182" s="157"/>
      <c r="O182" s="308"/>
      <c r="P182" s="308"/>
    </row>
    <row r="183" spans="3:16" s="159" customFormat="1" x14ac:dyDescent="0.25">
      <c r="C183" s="658"/>
      <c r="D183" s="658"/>
      <c r="J183" s="280"/>
      <c r="M183" s="282"/>
      <c r="N183" s="157"/>
      <c r="O183" s="308"/>
      <c r="P183" s="308"/>
    </row>
    <row r="184" spans="3:16" s="159" customFormat="1" x14ac:dyDescent="0.25">
      <c r="C184" s="658"/>
      <c r="D184" s="658"/>
      <c r="J184" s="280"/>
      <c r="M184" s="282"/>
      <c r="N184" s="157"/>
      <c r="O184" s="308"/>
      <c r="P184" s="308"/>
    </row>
    <row r="185" spans="3:16" s="159" customFormat="1" x14ac:dyDescent="0.25">
      <c r="C185" s="658"/>
      <c r="D185" s="658"/>
      <c r="J185" s="280"/>
      <c r="M185" s="282"/>
      <c r="N185" s="157"/>
      <c r="O185" s="308"/>
      <c r="P185" s="308"/>
    </row>
    <row r="186" spans="3:16" s="159" customFormat="1" x14ac:dyDescent="0.25">
      <c r="C186" s="658"/>
      <c r="D186" s="658"/>
      <c r="J186" s="280"/>
      <c r="M186" s="282"/>
      <c r="N186" s="157"/>
      <c r="O186" s="308"/>
      <c r="P186" s="308"/>
    </row>
    <row r="187" spans="3:16" s="159" customFormat="1" x14ac:dyDescent="0.25">
      <c r="C187" s="658"/>
      <c r="D187" s="658"/>
      <c r="J187" s="280"/>
      <c r="M187" s="282"/>
      <c r="N187" s="157"/>
      <c r="O187" s="308"/>
      <c r="P187" s="308"/>
    </row>
    <row r="188" spans="3:16" s="159" customFormat="1" x14ac:dyDescent="0.25">
      <c r="C188" s="658"/>
      <c r="D188" s="658"/>
      <c r="J188" s="280"/>
      <c r="M188" s="282"/>
      <c r="N188" s="157"/>
      <c r="O188" s="308"/>
      <c r="P188" s="308"/>
    </row>
    <row r="189" spans="3:16" s="159" customFormat="1" x14ac:dyDescent="0.25">
      <c r="C189" s="658"/>
      <c r="D189" s="658"/>
      <c r="J189" s="280"/>
      <c r="M189" s="282"/>
      <c r="N189" s="157"/>
      <c r="O189" s="308"/>
      <c r="P189" s="308"/>
    </row>
    <row r="190" spans="3:16" s="159" customFormat="1" x14ac:dyDescent="0.25">
      <c r="C190" s="658"/>
      <c r="D190" s="658"/>
      <c r="J190" s="280"/>
      <c r="M190" s="282"/>
      <c r="N190" s="157"/>
      <c r="O190" s="308"/>
      <c r="P190" s="308"/>
    </row>
    <row r="191" spans="3:16" s="159" customFormat="1" x14ac:dyDescent="0.25">
      <c r="C191" s="658"/>
      <c r="D191" s="658"/>
      <c r="J191" s="280"/>
      <c r="M191" s="282"/>
      <c r="N191" s="157"/>
      <c r="O191" s="308"/>
      <c r="P191" s="308"/>
    </row>
    <row r="192" spans="3:16" s="159" customFormat="1" x14ac:dyDescent="0.25">
      <c r="C192" s="658"/>
      <c r="D192" s="658"/>
      <c r="J192" s="280"/>
      <c r="M192" s="282"/>
      <c r="N192" s="157"/>
      <c r="O192" s="308"/>
      <c r="P192" s="308"/>
    </row>
    <row r="193" spans="3:16" s="159" customFormat="1" x14ac:dyDescent="0.25">
      <c r="C193" s="658"/>
      <c r="D193" s="658"/>
      <c r="J193" s="280"/>
      <c r="M193" s="282"/>
      <c r="N193" s="157"/>
      <c r="O193" s="308"/>
      <c r="P193" s="308"/>
    </row>
    <row r="194" spans="3:16" s="159" customFormat="1" x14ac:dyDescent="0.25">
      <c r="C194" s="658"/>
      <c r="D194" s="658"/>
      <c r="J194" s="280"/>
      <c r="M194" s="282"/>
      <c r="N194" s="157"/>
      <c r="O194" s="308"/>
      <c r="P194" s="308"/>
    </row>
    <row r="195" spans="3:16" s="159" customFormat="1" x14ac:dyDescent="0.25">
      <c r="C195" s="658"/>
      <c r="D195" s="658"/>
      <c r="J195" s="280"/>
      <c r="M195" s="282"/>
      <c r="N195" s="157"/>
      <c r="O195" s="308"/>
      <c r="P195" s="308"/>
    </row>
    <row r="196" spans="3:16" s="159" customFormat="1" x14ac:dyDescent="0.25">
      <c r="C196" s="658"/>
      <c r="D196" s="658"/>
      <c r="J196" s="280"/>
      <c r="M196" s="282"/>
      <c r="N196" s="157"/>
      <c r="O196" s="308"/>
      <c r="P196" s="308"/>
    </row>
    <row r="197" spans="3:16" s="159" customFormat="1" x14ac:dyDescent="0.25">
      <c r="C197" s="658"/>
      <c r="D197" s="658"/>
      <c r="J197" s="280"/>
      <c r="M197" s="282"/>
      <c r="N197" s="157"/>
      <c r="O197" s="308"/>
      <c r="P197" s="308"/>
    </row>
    <row r="198" spans="3:16" s="159" customFormat="1" x14ac:dyDescent="0.25">
      <c r="C198" s="658"/>
      <c r="D198" s="658"/>
      <c r="J198" s="280"/>
      <c r="M198" s="282"/>
      <c r="N198" s="157"/>
      <c r="O198" s="308"/>
      <c r="P198" s="308"/>
    </row>
    <row r="199" spans="3:16" s="159" customFormat="1" x14ac:dyDescent="0.25">
      <c r="C199" s="658"/>
      <c r="D199" s="658"/>
      <c r="J199" s="280"/>
      <c r="M199" s="282"/>
      <c r="N199" s="157"/>
      <c r="O199" s="308"/>
      <c r="P199" s="308"/>
    </row>
    <row r="200" spans="3:16" s="159" customFormat="1" x14ac:dyDescent="0.25">
      <c r="C200" s="658"/>
      <c r="D200" s="658"/>
      <c r="J200" s="280"/>
      <c r="M200" s="282"/>
      <c r="N200" s="157"/>
      <c r="O200" s="308"/>
      <c r="P200" s="308"/>
    </row>
    <row r="201" spans="3:16" s="159" customFormat="1" x14ac:dyDescent="0.25">
      <c r="C201" s="658"/>
      <c r="D201" s="658"/>
      <c r="J201" s="280"/>
      <c r="M201" s="282"/>
      <c r="N201" s="157"/>
      <c r="O201" s="308"/>
      <c r="P201" s="308"/>
    </row>
    <row r="202" spans="3:16" s="159" customFormat="1" x14ac:dyDescent="0.25">
      <c r="C202" s="658"/>
      <c r="D202" s="658"/>
      <c r="J202" s="280"/>
      <c r="M202" s="282"/>
      <c r="N202" s="157"/>
      <c r="O202" s="308"/>
      <c r="P202" s="308"/>
    </row>
    <row r="203" spans="3:16" s="159" customFormat="1" x14ac:dyDescent="0.25">
      <c r="C203" s="658"/>
      <c r="D203" s="658"/>
      <c r="J203" s="280"/>
      <c r="M203" s="282"/>
      <c r="N203" s="157"/>
      <c r="O203" s="308"/>
      <c r="P203" s="308"/>
    </row>
    <row r="204" spans="3:16" s="159" customFormat="1" x14ac:dyDescent="0.25">
      <c r="C204" s="658"/>
      <c r="D204" s="658"/>
      <c r="J204" s="280"/>
      <c r="M204" s="282"/>
      <c r="N204" s="157"/>
      <c r="O204" s="308"/>
      <c r="P204" s="308"/>
    </row>
    <row r="205" spans="3:16" s="159" customFormat="1" x14ac:dyDescent="0.25">
      <c r="C205" s="658"/>
      <c r="D205" s="658"/>
      <c r="J205" s="280"/>
      <c r="M205" s="282"/>
      <c r="N205" s="157"/>
      <c r="O205" s="308"/>
      <c r="P205" s="308"/>
    </row>
    <row r="206" spans="3:16" s="159" customFormat="1" x14ac:dyDescent="0.25">
      <c r="C206" s="658"/>
      <c r="D206" s="658"/>
      <c r="J206" s="280"/>
      <c r="M206" s="282"/>
      <c r="N206" s="157"/>
      <c r="O206" s="308"/>
      <c r="P206" s="308"/>
    </row>
    <row r="207" spans="3:16" s="159" customFormat="1" x14ac:dyDescent="0.25">
      <c r="C207" s="658"/>
      <c r="D207" s="658"/>
      <c r="J207" s="280"/>
      <c r="M207" s="282"/>
      <c r="N207" s="157"/>
      <c r="O207" s="308"/>
      <c r="P207" s="308"/>
    </row>
    <row r="208" spans="3:16" s="159" customFormat="1" x14ac:dyDescent="0.25">
      <c r="C208" s="658"/>
      <c r="D208" s="658"/>
      <c r="J208" s="280"/>
      <c r="M208" s="282"/>
      <c r="N208" s="157"/>
      <c r="O208" s="308"/>
      <c r="P208" s="308"/>
    </row>
    <row r="209" spans="3:16" s="159" customFormat="1" x14ac:dyDescent="0.25">
      <c r="C209" s="658"/>
      <c r="D209" s="658"/>
      <c r="J209" s="280"/>
      <c r="M209" s="282"/>
      <c r="N209" s="157"/>
      <c r="O209" s="308"/>
      <c r="P209" s="308"/>
    </row>
    <row r="210" spans="3:16" s="159" customFormat="1" x14ac:dyDescent="0.25">
      <c r="C210" s="658"/>
      <c r="D210" s="658"/>
      <c r="J210" s="280"/>
      <c r="M210" s="282"/>
      <c r="N210" s="157"/>
      <c r="O210" s="308"/>
      <c r="P210" s="308"/>
    </row>
    <row r="211" spans="3:16" s="159" customFormat="1" x14ac:dyDescent="0.25">
      <c r="C211" s="658"/>
      <c r="D211" s="658"/>
      <c r="J211" s="280"/>
      <c r="M211" s="282"/>
      <c r="N211" s="157"/>
      <c r="O211" s="308"/>
      <c r="P211" s="308"/>
    </row>
    <row r="212" spans="3:16" s="159" customFormat="1" x14ac:dyDescent="0.25">
      <c r="C212" s="658"/>
      <c r="D212" s="658"/>
      <c r="J212" s="280"/>
      <c r="M212" s="282"/>
      <c r="N212" s="157"/>
      <c r="O212" s="308"/>
      <c r="P212" s="308"/>
    </row>
    <row r="213" spans="3:16" s="159" customFormat="1" x14ac:dyDescent="0.25">
      <c r="C213" s="658"/>
      <c r="D213" s="658"/>
      <c r="J213" s="280"/>
      <c r="M213" s="282"/>
      <c r="N213" s="157"/>
      <c r="O213" s="308"/>
      <c r="P213" s="308"/>
    </row>
    <row r="214" spans="3:16" s="159" customFormat="1" x14ac:dyDescent="0.25">
      <c r="C214" s="658"/>
      <c r="D214" s="658"/>
      <c r="J214" s="280"/>
      <c r="M214" s="282"/>
      <c r="N214" s="157"/>
      <c r="O214" s="308"/>
      <c r="P214" s="308"/>
    </row>
    <row r="215" spans="3:16" s="159" customFormat="1" x14ac:dyDescent="0.25">
      <c r="C215" s="658"/>
      <c r="D215" s="658"/>
      <c r="J215" s="280"/>
      <c r="M215" s="282"/>
      <c r="N215" s="157"/>
      <c r="O215" s="308"/>
      <c r="P215" s="308"/>
    </row>
    <row r="216" spans="3:16" s="159" customFormat="1" x14ac:dyDescent="0.25">
      <c r="C216" s="658"/>
      <c r="D216" s="658"/>
      <c r="J216" s="280"/>
      <c r="M216" s="282"/>
      <c r="N216" s="157"/>
      <c r="O216" s="308"/>
      <c r="P216" s="308"/>
    </row>
    <row r="217" spans="3:16" s="159" customFormat="1" x14ac:dyDescent="0.25">
      <c r="C217" s="658"/>
      <c r="D217" s="658"/>
      <c r="J217" s="280"/>
      <c r="M217" s="282"/>
      <c r="N217" s="157"/>
      <c r="O217" s="308"/>
      <c r="P217" s="308"/>
    </row>
    <row r="218" spans="3:16" s="159" customFormat="1" x14ac:dyDescent="0.25">
      <c r="C218" s="658"/>
      <c r="D218" s="658"/>
      <c r="J218" s="280"/>
      <c r="M218" s="282"/>
      <c r="N218" s="157"/>
      <c r="O218" s="308"/>
      <c r="P218" s="308"/>
    </row>
    <row r="219" spans="3:16" s="159" customFormat="1" x14ac:dyDescent="0.25">
      <c r="C219" s="658"/>
      <c r="D219" s="658"/>
      <c r="J219" s="280"/>
      <c r="M219" s="282"/>
      <c r="N219" s="157"/>
      <c r="O219" s="308"/>
      <c r="P219" s="308"/>
    </row>
    <row r="220" spans="3:16" s="159" customFormat="1" x14ac:dyDescent="0.25">
      <c r="C220" s="658"/>
      <c r="D220" s="658"/>
      <c r="J220" s="280"/>
      <c r="M220" s="282"/>
      <c r="N220" s="157"/>
      <c r="O220" s="308"/>
      <c r="P220" s="308"/>
    </row>
    <row r="221" spans="3:16" s="159" customFormat="1" x14ac:dyDescent="0.25">
      <c r="C221" s="658"/>
      <c r="D221" s="658"/>
      <c r="J221" s="280"/>
      <c r="M221" s="282"/>
      <c r="N221" s="157"/>
      <c r="O221" s="308"/>
      <c r="P221" s="308"/>
    </row>
    <row r="222" spans="3:16" s="159" customFormat="1" x14ac:dyDescent="0.25">
      <c r="C222" s="658"/>
      <c r="D222" s="658"/>
      <c r="J222" s="280"/>
      <c r="M222" s="282"/>
      <c r="N222" s="157"/>
      <c r="O222" s="308"/>
      <c r="P222" s="308"/>
    </row>
    <row r="223" spans="3:16" s="159" customFormat="1" x14ac:dyDescent="0.25">
      <c r="C223" s="658"/>
      <c r="D223" s="658"/>
      <c r="J223" s="280"/>
      <c r="M223" s="282"/>
      <c r="N223" s="157"/>
      <c r="O223" s="308"/>
      <c r="P223" s="308"/>
    </row>
    <row r="224" spans="3:16" s="159" customFormat="1" x14ac:dyDescent="0.25">
      <c r="C224" s="658"/>
      <c r="D224" s="658"/>
      <c r="J224" s="280"/>
      <c r="M224" s="282"/>
      <c r="N224" s="157"/>
      <c r="O224" s="308"/>
      <c r="P224" s="308"/>
    </row>
    <row r="225" spans="3:16" s="159" customFormat="1" x14ac:dyDescent="0.25">
      <c r="C225" s="658"/>
      <c r="D225" s="658"/>
      <c r="J225" s="280"/>
      <c r="M225" s="282"/>
      <c r="N225" s="157"/>
      <c r="O225" s="308"/>
      <c r="P225" s="308"/>
    </row>
    <row r="226" spans="3:16" s="159" customFormat="1" x14ac:dyDescent="0.25">
      <c r="C226" s="658"/>
      <c r="D226" s="658"/>
      <c r="J226" s="280"/>
      <c r="M226" s="282"/>
      <c r="N226" s="157"/>
      <c r="O226" s="308"/>
      <c r="P226" s="308"/>
    </row>
    <row r="227" spans="3:16" s="159" customFormat="1" x14ac:dyDescent="0.25">
      <c r="C227" s="658"/>
      <c r="D227" s="658"/>
      <c r="J227" s="280"/>
      <c r="M227" s="282"/>
      <c r="N227" s="157"/>
      <c r="O227" s="308"/>
      <c r="P227" s="308"/>
    </row>
    <row r="228" spans="3:16" s="159" customFormat="1" x14ac:dyDescent="0.25">
      <c r="C228" s="658"/>
      <c r="D228" s="658"/>
      <c r="J228" s="280"/>
      <c r="M228" s="282"/>
      <c r="N228" s="157"/>
      <c r="O228" s="308"/>
      <c r="P228" s="308"/>
    </row>
    <row r="229" spans="3:16" s="159" customFormat="1" x14ac:dyDescent="0.25">
      <c r="C229" s="658"/>
      <c r="D229" s="658"/>
      <c r="J229" s="280"/>
      <c r="M229" s="282"/>
      <c r="N229" s="157"/>
      <c r="O229" s="308"/>
      <c r="P229" s="308"/>
    </row>
    <row r="230" spans="3:16" s="159" customFormat="1" x14ac:dyDescent="0.25">
      <c r="C230" s="658"/>
      <c r="D230" s="658"/>
      <c r="J230" s="280"/>
      <c r="M230" s="282"/>
      <c r="N230" s="157"/>
      <c r="O230" s="308"/>
      <c r="P230" s="308"/>
    </row>
    <row r="231" spans="3:16" s="159" customFormat="1" x14ac:dyDescent="0.25">
      <c r="C231" s="658"/>
      <c r="D231" s="658"/>
      <c r="J231" s="280"/>
      <c r="M231" s="282"/>
      <c r="N231" s="157"/>
      <c r="O231" s="308"/>
      <c r="P231" s="308"/>
    </row>
    <row r="232" spans="3:16" s="159" customFormat="1" x14ac:dyDescent="0.25">
      <c r="C232" s="658"/>
      <c r="D232" s="658"/>
      <c r="J232" s="280"/>
      <c r="M232" s="282"/>
      <c r="N232" s="157"/>
      <c r="O232" s="308"/>
      <c r="P232" s="308"/>
    </row>
    <row r="233" spans="3:16" s="159" customFormat="1" x14ac:dyDescent="0.25">
      <c r="C233" s="658"/>
      <c r="D233" s="658"/>
      <c r="J233" s="280"/>
      <c r="M233" s="282"/>
      <c r="N233" s="157"/>
      <c r="O233" s="308"/>
      <c r="P233" s="308"/>
    </row>
    <row r="234" spans="3:16" s="159" customFormat="1" x14ac:dyDescent="0.25">
      <c r="C234" s="658"/>
      <c r="D234" s="658"/>
      <c r="J234" s="280"/>
      <c r="M234" s="282"/>
      <c r="N234" s="157"/>
      <c r="O234" s="308"/>
      <c r="P234" s="308"/>
    </row>
  </sheetData>
  <mergeCells count="4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B53:B54"/>
    <mergeCell ref="C36:F36"/>
    <mergeCell ref="G36:I36"/>
    <mergeCell ref="C44:F44"/>
    <mergeCell ref="G44:I44"/>
    <mergeCell ref="K54:K55"/>
    <mergeCell ref="F52:F53"/>
    <mergeCell ref="G52:G53"/>
    <mergeCell ref="I52:I53"/>
    <mergeCell ref="J52:J53"/>
    <mergeCell ref="K52:K53"/>
    <mergeCell ref="F54:F55"/>
    <mergeCell ref="G54:G55"/>
    <mergeCell ref="I54:I55"/>
    <mergeCell ref="J54:J55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8" fitToHeight="2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  <pageSetUpPr fitToPage="1"/>
  </sheetPr>
  <dimension ref="A1:Q237"/>
  <sheetViews>
    <sheetView zoomScale="75" zoomScaleNormal="75" zoomScaleSheetLayoutView="90" zoomScalePageLayoutView="75" workbookViewId="0">
      <selection activeCell="M15" sqref="M15"/>
    </sheetView>
  </sheetViews>
  <sheetFormatPr defaultColWidth="9.109375" defaultRowHeight="15" x14ac:dyDescent="0.25"/>
  <cols>
    <col min="1" max="1" width="12.109375" style="196" bestFit="1" customWidth="1"/>
    <col min="2" max="2" width="65.44140625" style="196" bestFit="1" customWidth="1"/>
    <col min="3" max="4" width="5" style="806" customWidth="1"/>
    <col min="5" max="5" width="10.88671875" style="196" bestFit="1" customWidth="1"/>
    <col min="6" max="6" width="12.5546875" style="196" bestFit="1" customWidth="1"/>
    <col min="7" max="7" width="7" style="196" bestFit="1" customWidth="1"/>
    <col min="8" max="8" width="10.88671875" style="196" bestFit="1" customWidth="1"/>
    <col min="9" max="9" width="14.44140625" style="196" bestFit="1" customWidth="1"/>
    <col min="10" max="10" width="16.109375" style="687" bestFit="1" customWidth="1"/>
    <col min="11" max="11" width="15.6640625" style="196" bestFit="1" customWidth="1"/>
    <col min="12" max="12" width="17.88671875" style="194" bestFit="1" customWidth="1"/>
    <col min="13" max="13" width="15.6640625" style="687" bestFit="1" customWidth="1"/>
    <col min="14" max="14" width="24.88671875" style="196" bestFit="1" customWidth="1"/>
    <col min="15" max="15" width="21.88671875" style="688" bestFit="1" customWidth="1"/>
    <col min="16" max="16" width="22" style="688" bestFit="1" customWidth="1"/>
    <col min="17" max="17" width="18.109375" style="196" bestFit="1" customWidth="1"/>
    <col min="18" max="16384" width="9.109375" style="196"/>
  </cols>
  <sheetData>
    <row r="1" spans="1:17" ht="16.2" thickBot="1" x14ac:dyDescent="0.35">
      <c r="A1" s="327"/>
      <c r="B1" s="686"/>
      <c r="C1" s="1210">
        <f>'Estimate Summary'!C1:H1</f>
        <v>0</v>
      </c>
      <c r="D1" s="1210"/>
      <c r="E1" s="1210"/>
      <c r="F1" s="1210"/>
      <c r="G1" s="1210"/>
      <c r="H1" s="1210"/>
      <c r="I1" s="1210"/>
      <c r="J1" s="1210"/>
      <c r="K1" s="1211"/>
    </row>
    <row r="2" spans="1:17" ht="16.2" thickBot="1" x14ac:dyDescent="0.35">
      <c r="A2" s="689"/>
      <c r="B2" s="690"/>
      <c r="C2" s="521"/>
      <c r="D2" s="1202"/>
      <c r="E2" s="1202"/>
      <c r="F2" s="1202"/>
      <c r="G2" s="521"/>
      <c r="H2" s="691"/>
      <c r="I2" s="692"/>
      <c r="J2" s="693"/>
      <c r="K2" s="694"/>
    </row>
    <row r="3" spans="1:17" ht="16.2" thickBot="1" x14ac:dyDescent="0.35">
      <c r="A3" s="1200"/>
      <c r="B3" s="1201"/>
      <c r="C3" s="521"/>
      <c r="D3" s="1202"/>
      <c r="E3" s="1202"/>
      <c r="F3" s="1202"/>
      <c r="G3" s="520"/>
      <c r="H3" s="695"/>
      <c r="I3" s="338"/>
      <c r="J3" s="338"/>
      <c r="K3" s="339"/>
      <c r="L3" s="1203"/>
      <c r="M3" s="1204"/>
      <c r="N3" s="1205"/>
      <c r="O3" s="1205"/>
      <c r="P3" s="1206"/>
    </row>
    <row r="4" spans="1:17" ht="16.2" thickBot="1" x14ac:dyDescent="0.35">
      <c r="A4" s="1200"/>
      <c r="B4" s="1201"/>
      <c r="C4" s="521"/>
      <c r="D4" s="1202"/>
      <c r="E4" s="1202"/>
      <c r="F4" s="1202"/>
      <c r="G4" s="696"/>
      <c r="H4" s="696"/>
      <c r="I4" s="692"/>
      <c r="J4" s="693"/>
      <c r="K4" s="694"/>
      <c r="L4" s="1203"/>
      <c r="M4" s="1204"/>
      <c r="N4" s="1205"/>
      <c r="O4" s="1205"/>
      <c r="P4" s="1206"/>
    </row>
    <row r="5" spans="1:17" ht="16.2" thickBot="1" x14ac:dyDescent="0.35">
      <c r="A5" s="697"/>
      <c r="B5" s="698"/>
      <c r="C5" s="521"/>
      <c r="D5" s="699"/>
      <c r="E5" s="700"/>
      <c r="F5" s="696"/>
      <c r="G5" s="1207" t="s">
        <v>10</v>
      </c>
      <c r="H5" s="1207"/>
      <c r="I5" s="1207"/>
      <c r="J5" s="1208" t="s">
        <v>72</v>
      </c>
      <c r="K5" s="1209"/>
      <c r="L5" s="1203"/>
      <c r="M5" s="1204"/>
      <c r="N5" s="1205"/>
      <c r="O5" s="1205"/>
      <c r="P5" s="1206"/>
    </row>
    <row r="6" spans="1:17" ht="16.2" thickBot="1" x14ac:dyDescent="0.35">
      <c r="A6" s="697"/>
      <c r="B6" s="698"/>
      <c r="C6" s="701"/>
      <c r="D6" s="702" t="str">
        <f>'Estimate Summary'!C11</f>
        <v>Area:</v>
      </c>
      <c r="E6" s="703">
        <f>'Estimate Summary'!D11</f>
        <v>6190</v>
      </c>
      <c r="F6" s="704" t="str">
        <f>'Estimate Summary'!E11</f>
        <v>Sq. Ft.</v>
      </c>
      <c r="G6" s="1207"/>
      <c r="H6" s="1207"/>
      <c r="I6" s="1207"/>
      <c r="J6" s="705">
        <f>'1'!J6</f>
        <v>38</v>
      </c>
      <c r="K6" s="694" t="s">
        <v>73</v>
      </c>
      <c r="L6" s="1203"/>
      <c r="M6" s="1204"/>
      <c r="N6" s="1205"/>
      <c r="O6" s="1205"/>
      <c r="P6" s="1206"/>
    </row>
    <row r="7" spans="1:17" ht="15.6" x14ac:dyDescent="0.3">
      <c r="A7" s="1191"/>
      <c r="B7" s="1192"/>
      <c r="C7" s="1192"/>
      <c r="D7" s="1192"/>
      <c r="E7" s="1192"/>
      <c r="F7" s="1192"/>
      <c r="G7" s="1192"/>
      <c r="H7" s="1192"/>
      <c r="I7" s="1192"/>
      <c r="J7" s="1192"/>
      <c r="K7" s="1193"/>
    </row>
    <row r="8" spans="1:17" ht="15.6" x14ac:dyDescent="0.3">
      <c r="A8" s="706"/>
      <c r="B8" s="707"/>
      <c r="C8" s="1194"/>
      <c r="D8" s="1194"/>
      <c r="E8" s="1194"/>
      <c r="F8" s="1194"/>
      <c r="G8" s="1195"/>
      <c r="H8" s="1195"/>
      <c r="I8" s="1195"/>
      <c r="J8" s="708"/>
      <c r="K8" s="709"/>
      <c r="L8" s="710" t="s">
        <v>95</v>
      </c>
      <c r="M8" s="711" t="s">
        <v>96</v>
      </c>
      <c r="N8" s="710" t="s">
        <v>99</v>
      </c>
      <c r="O8" s="712" t="s">
        <v>97</v>
      </c>
      <c r="P8" s="712" t="s">
        <v>98</v>
      </c>
    </row>
    <row r="9" spans="1:17" x14ac:dyDescent="0.25">
      <c r="A9" s="713"/>
      <c r="B9" s="714"/>
      <c r="C9" s="1196"/>
      <c r="D9" s="1196"/>
      <c r="E9" s="1197"/>
      <c r="F9" s="1197"/>
      <c r="G9" s="1198"/>
      <c r="H9" s="1197"/>
      <c r="I9" s="1197"/>
      <c r="J9" s="1197"/>
      <c r="K9" s="1199"/>
      <c r="L9" s="715"/>
      <c r="M9" s="716"/>
      <c r="N9" s="717"/>
      <c r="O9" s="718"/>
      <c r="P9" s="718"/>
    </row>
    <row r="10" spans="1:17" ht="16.2" thickBot="1" x14ac:dyDescent="0.3">
      <c r="A10" s="719"/>
      <c r="B10" s="720"/>
      <c r="C10" s="1196"/>
      <c r="D10" s="1196"/>
      <c r="E10" s="1197"/>
      <c r="F10" s="1197"/>
      <c r="G10" s="1198"/>
      <c r="H10" s="1197"/>
      <c r="I10" s="1197"/>
      <c r="J10" s="1197"/>
      <c r="K10" s="1199"/>
      <c r="L10" s="715"/>
      <c r="M10" s="716"/>
      <c r="N10" s="717"/>
      <c r="O10" s="718"/>
      <c r="P10" s="718"/>
    </row>
    <row r="11" spans="1:17" ht="16.8" thickTop="1" thickBot="1" x14ac:dyDescent="0.3">
      <c r="A11" s="721" t="s">
        <v>0</v>
      </c>
      <c r="B11" s="722" t="s">
        <v>1</v>
      </c>
      <c r="C11" s="1173" t="s">
        <v>656</v>
      </c>
      <c r="D11" s="1173"/>
      <c r="E11" s="1173"/>
      <c r="F11" s="1173"/>
      <c r="G11" s="1173" t="s">
        <v>34</v>
      </c>
      <c r="H11" s="1173"/>
      <c r="I11" s="1173"/>
      <c r="J11" s="723"/>
      <c r="K11" s="724"/>
      <c r="L11" s="1163" t="s">
        <v>782</v>
      </c>
      <c r="M11" s="1165" t="s">
        <v>783</v>
      </c>
      <c r="N11" s="1167" t="s">
        <v>784</v>
      </c>
      <c r="O11" s="1169"/>
      <c r="P11" s="1171"/>
      <c r="Q11" s="1161"/>
    </row>
    <row r="12" spans="1:17" ht="15.6" x14ac:dyDescent="0.3">
      <c r="A12" s="530" t="s">
        <v>469</v>
      </c>
      <c r="B12" s="530" t="s">
        <v>470</v>
      </c>
      <c r="C12" s="725" t="s">
        <v>19</v>
      </c>
      <c r="D12" s="726" t="s">
        <v>33</v>
      </c>
      <c r="E12" s="727" t="s">
        <v>35</v>
      </c>
      <c r="F12" s="728" t="s">
        <v>30</v>
      </c>
      <c r="G12" s="729" t="s">
        <v>14</v>
      </c>
      <c r="H12" s="727" t="s">
        <v>35</v>
      </c>
      <c r="I12" s="728" t="s">
        <v>30</v>
      </c>
      <c r="J12" s="730" t="s">
        <v>659</v>
      </c>
      <c r="K12" s="731" t="s">
        <v>38</v>
      </c>
      <c r="L12" s="1164"/>
      <c r="M12" s="1166"/>
      <c r="N12" s="1168"/>
      <c r="O12" s="1170"/>
      <c r="P12" s="1172"/>
      <c r="Q12" s="1162"/>
    </row>
    <row r="13" spans="1:17" ht="15.6" x14ac:dyDescent="0.3">
      <c r="A13" s="732" t="s">
        <v>681</v>
      </c>
      <c r="B13" s="733" t="s">
        <v>682</v>
      </c>
      <c r="C13" s="734"/>
      <c r="D13" s="735" t="s">
        <v>21</v>
      </c>
      <c r="E13" s="736">
        <v>0</v>
      </c>
      <c r="F13" s="737">
        <f t="shared" ref="F13:F24" si="0">C13*E13</f>
        <v>0</v>
      </c>
      <c r="G13" s="738"/>
      <c r="H13" s="739">
        <v>0</v>
      </c>
      <c r="I13" s="737">
        <f t="shared" ref="I13:I24" si="1">G13*H13</f>
        <v>0</v>
      </c>
      <c r="J13" s="740">
        <f>M15</f>
        <v>236981.55</v>
      </c>
      <c r="K13" s="741">
        <f t="shared" ref="K13:K24" si="2">F13+I13+J13</f>
        <v>236981.55</v>
      </c>
      <c r="L13" s="742"/>
      <c r="M13" s="743"/>
      <c r="N13" s="744"/>
      <c r="O13" s="745"/>
      <c r="P13" s="746"/>
      <c r="Q13" s="747"/>
    </row>
    <row r="14" spans="1:17" ht="15.6" x14ac:dyDescent="0.3">
      <c r="A14" s="732"/>
      <c r="B14" s="15"/>
      <c r="C14" s="734"/>
      <c r="D14" s="735" t="s">
        <v>21</v>
      </c>
      <c r="E14" s="736">
        <v>0</v>
      </c>
      <c r="F14" s="737">
        <f t="shared" si="0"/>
        <v>0</v>
      </c>
      <c r="G14" s="738"/>
      <c r="H14" s="739">
        <v>0</v>
      </c>
      <c r="I14" s="737">
        <f t="shared" si="1"/>
        <v>0</v>
      </c>
      <c r="J14" s="740"/>
      <c r="K14" s="741">
        <f t="shared" si="2"/>
        <v>0</v>
      </c>
      <c r="L14" s="742" t="s">
        <v>1106</v>
      </c>
      <c r="M14" s="743">
        <v>262000</v>
      </c>
      <c r="N14" s="744"/>
      <c r="O14" s="745"/>
      <c r="P14" s="746"/>
      <c r="Q14" s="747"/>
    </row>
    <row r="15" spans="1:17" ht="15.6" x14ac:dyDescent="0.3">
      <c r="A15" s="732"/>
      <c r="B15" s="5" t="s">
        <v>1017</v>
      </c>
      <c r="C15" s="734"/>
      <c r="D15" s="735" t="s">
        <v>21</v>
      </c>
      <c r="E15" s="736">
        <v>0</v>
      </c>
      <c r="F15" s="737">
        <f t="shared" si="0"/>
        <v>0</v>
      </c>
      <c r="G15" s="738"/>
      <c r="H15" s="739">
        <v>0</v>
      </c>
      <c r="I15" s="737">
        <f t="shared" si="1"/>
        <v>0</v>
      </c>
      <c r="J15" s="740"/>
      <c r="K15" s="741">
        <f t="shared" si="2"/>
        <v>0</v>
      </c>
      <c r="L15" s="742" t="s">
        <v>1254</v>
      </c>
      <c r="M15" s="743">
        <v>236981.55</v>
      </c>
      <c r="N15" s="744"/>
      <c r="O15" s="745"/>
      <c r="P15" s="746"/>
      <c r="Q15" s="747"/>
    </row>
    <row r="16" spans="1:17" ht="15.6" x14ac:dyDescent="0.3">
      <c r="A16" s="732"/>
      <c r="B16" s="15"/>
      <c r="C16" s="734"/>
      <c r="D16" s="735" t="s">
        <v>21</v>
      </c>
      <c r="E16" s="736">
        <v>0</v>
      </c>
      <c r="F16" s="737">
        <f t="shared" si="0"/>
        <v>0</v>
      </c>
      <c r="G16" s="738"/>
      <c r="H16" s="739">
        <v>0</v>
      </c>
      <c r="I16" s="737">
        <f t="shared" si="1"/>
        <v>0</v>
      </c>
      <c r="J16" s="740"/>
      <c r="K16" s="741">
        <f t="shared" si="2"/>
        <v>0</v>
      </c>
      <c r="L16" s="742"/>
      <c r="M16" s="743"/>
      <c r="N16" s="744"/>
      <c r="O16" s="745"/>
      <c r="P16" s="746"/>
      <c r="Q16" s="747"/>
    </row>
    <row r="17" spans="1:17" ht="15.6" x14ac:dyDescent="0.3">
      <c r="A17" s="732"/>
      <c r="B17" s="922" t="s">
        <v>1293</v>
      </c>
      <c r="C17" s="923"/>
      <c r="D17" s="924" t="s">
        <v>21</v>
      </c>
      <c r="E17" s="925">
        <v>0</v>
      </c>
      <c r="F17" s="926">
        <f t="shared" si="0"/>
        <v>0</v>
      </c>
      <c r="G17" s="927"/>
      <c r="H17" s="928">
        <v>0</v>
      </c>
      <c r="I17" s="926">
        <f t="shared" si="1"/>
        <v>0</v>
      </c>
      <c r="J17" s="929"/>
      <c r="K17" s="930">
        <f t="shared" si="2"/>
        <v>0</v>
      </c>
      <c r="L17" s="742"/>
      <c r="M17" s="743"/>
      <c r="N17" s="744"/>
      <c r="O17" s="745"/>
      <c r="P17" s="746"/>
      <c r="Q17" s="747"/>
    </row>
    <row r="18" spans="1:17" ht="15.6" x14ac:dyDescent="0.3">
      <c r="A18" s="748"/>
      <c r="B18" s="15"/>
      <c r="C18" s="734"/>
      <c r="D18" s="735" t="s">
        <v>21</v>
      </c>
      <c r="E18" s="736">
        <v>0</v>
      </c>
      <c r="F18" s="737">
        <f t="shared" si="0"/>
        <v>0</v>
      </c>
      <c r="G18" s="738"/>
      <c r="H18" s="739">
        <v>0</v>
      </c>
      <c r="I18" s="737">
        <f t="shared" si="1"/>
        <v>0</v>
      </c>
      <c r="J18" s="740"/>
      <c r="K18" s="741">
        <f t="shared" si="2"/>
        <v>0</v>
      </c>
      <c r="L18" s="742"/>
      <c r="M18" s="743"/>
      <c r="N18" s="744"/>
      <c r="O18" s="745"/>
      <c r="P18" s="746"/>
      <c r="Q18" s="747"/>
    </row>
    <row r="19" spans="1:17" ht="15.6" x14ac:dyDescent="0.3">
      <c r="A19" s="748"/>
      <c r="B19" s="15"/>
      <c r="C19" s="734"/>
      <c r="D19" s="735" t="s">
        <v>21</v>
      </c>
      <c r="E19" s="736">
        <v>0</v>
      </c>
      <c r="F19" s="737">
        <f t="shared" si="0"/>
        <v>0</v>
      </c>
      <c r="G19" s="738"/>
      <c r="H19" s="739">
        <v>0</v>
      </c>
      <c r="I19" s="737">
        <f t="shared" si="1"/>
        <v>0</v>
      </c>
      <c r="J19" s="740"/>
      <c r="K19" s="741">
        <f t="shared" si="2"/>
        <v>0</v>
      </c>
      <c r="L19" s="196"/>
      <c r="M19" s="749"/>
      <c r="O19" s="745"/>
      <c r="P19" s="746"/>
      <c r="Q19" s="747"/>
    </row>
    <row r="20" spans="1:17" ht="15.6" x14ac:dyDescent="0.3">
      <c r="A20" s="748"/>
      <c r="B20" s="15"/>
      <c r="C20" s="734"/>
      <c r="D20" s="735" t="s">
        <v>21</v>
      </c>
      <c r="E20" s="736">
        <v>0</v>
      </c>
      <c r="F20" s="737">
        <f t="shared" si="0"/>
        <v>0</v>
      </c>
      <c r="G20" s="738"/>
      <c r="H20" s="739">
        <v>0</v>
      </c>
      <c r="I20" s="737">
        <f t="shared" si="1"/>
        <v>0</v>
      </c>
      <c r="J20" s="740"/>
      <c r="K20" s="741">
        <f t="shared" si="2"/>
        <v>0</v>
      </c>
      <c r="L20" s="196"/>
      <c r="M20" s="749"/>
      <c r="O20" s="745"/>
      <c r="P20" s="746"/>
      <c r="Q20" s="747"/>
    </row>
    <row r="21" spans="1:17" ht="15.6" x14ac:dyDescent="0.3">
      <c r="A21" s="748"/>
      <c r="B21" s="15"/>
      <c r="C21" s="734"/>
      <c r="D21" s="735" t="s">
        <v>21</v>
      </c>
      <c r="E21" s="736">
        <v>0</v>
      </c>
      <c r="F21" s="737">
        <f t="shared" si="0"/>
        <v>0</v>
      </c>
      <c r="G21" s="738"/>
      <c r="H21" s="739">
        <v>0</v>
      </c>
      <c r="I21" s="737">
        <f t="shared" si="1"/>
        <v>0</v>
      </c>
      <c r="J21" s="740"/>
      <c r="K21" s="741">
        <f t="shared" si="2"/>
        <v>0</v>
      </c>
      <c r="L21" s="750"/>
      <c r="M21" s="751"/>
      <c r="N21" s="752"/>
      <c r="O21" s="745"/>
      <c r="P21" s="746"/>
      <c r="Q21" s="747"/>
    </row>
    <row r="22" spans="1:17" ht="15.6" x14ac:dyDescent="0.3">
      <c r="A22" s="748"/>
      <c r="B22" s="15"/>
      <c r="C22" s="734"/>
      <c r="D22" s="735" t="s">
        <v>21</v>
      </c>
      <c r="E22" s="736">
        <v>0</v>
      </c>
      <c r="F22" s="737">
        <f t="shared" si="0"/>
        <v>0</v>
      </c>
      <c r="G22" s="738"/>
      <c r="H22" s="739">
        <v>0</v>
      </c>
      <c r="I22" s="737">
        <f t="shared" si="1"/>
        <v>0</v>
      </c>
      <c r="J22" s="740"/>
      <c r="K22" s="741">
        <f t="shared" si="2"/>
        <v>0</v>
      </c>
      <c r="L22" s="753"/>
      <c r="M22" s="754"/>
      <c r="N22" s="755"/>
      <c r="O22" s="745"/>
      <c r="P22" s="746"/>
      <c r="Q22" s="747"/>
    </row>
    <row r="23" spans="1:17" ht="15.6" x14ac:dyDescent="0.3">
      <c r="A23" s="748"/>
      <c r="B23" s="15"/>
      <c r="C23" s="734"/>
      <c r="D23" s="735" t="s">
        <v>21</v>
      </c>
      <c r="E23" s="736">
        <v>0</v>
      </c>
      <c r="F23" s="737">
        <f t="shared" si="0"/>
        <v>0</v>
      </c>
      <c r="G23" s="738"/>
      <c r="H23" s="739">
        <v>0</v>
      </c>
      <c r="I23" s="737">
        <f t="shared" si="1"/>
        <v>0</v>
      </c>
      <c r="J23" s="740"/>
      <c r="K23" s="741">
        <f t="shared" si="2"/>
        <v>0</v>
      </c>
      <c r="L23" s="196"/>
      <c r="M23" s="749"/>
      <c r="O23" s="745"/>
      <c r="P23" s="746"/>
      <c r="Q23" s="747"/>
    </row>
    <row r="24" spans="1:17" ht="15.6" x14ac:dyDescent="0.3">
      <c r="A24" s="748"/>
      <c r="B24" s="15"/>
      <c r="C24" s="734"/>
      <c r="D24" s="735" t="s">
        <v>21</v>
      </c>
      <c r="E24" s="736">
        <v>0</v>
      </c>
      <c r="F24" s="737">
        <f t="shared" si="0"/>
        <v>0</v>
      </c>
      <c r="G24" s="738"/>
      <c r="H24" s="739">
        <v>0</v>
      </c>
      <c r="I24" s="737">
        <f t="shared" si="1"/>
        <v>0</v>
      </c>
      <c r="J24" s="740"/>
      <c r="K24" s="741">
        <f t="shared" si="2"/>
        <v>0</v>
      </c>
      <c r="L24" s="196"/>
      <c r="M24" s="749"/>
      <c r="O24" s="745"/>
      <c r="P24" s="746"/>
      <c r="Q24" s="747"/>
    </row>
    <row r="25" spans="1:17" ht="16.2" thickBot="1" x14ac:dyDescent="0.35">
      <c r="A25" s="756"/>
      <c r="B25" s="733"/>
      <c r="C25" s="757"/>
      <c r="D25" s="735"/>
      <c r="E25" s="736"/>
      <c r="F25" s="737"/>
      <c r="G25" s="738"/>
      <c r="H25" s="739"/>
      <c r="I25" s="737"/>
      <c r="J25" s="740"/>
      <c r="K25" s="741"/>
      <c r="L25" s="196"/>
      <c r="M25" s="749"/>
      <c r="O25" s="745"/>
      <c r="P25" s="746"/>
      <c r="Q25" s="747"/>
    </row>
    <row r="26" spans="1:17" ht="16.2" thickTop="1" x14ac:dyDescent="0.3">
      <c r="A26" s="756"/>
      <c r="B26" s="733"/>
      <c r="C26" s="757"/>
      <c r="D26" s="735"/>
      <c r="E26" s="736"/>
      <c r="F26" s="737"/>
      <c r="G26" s="738"/>
      <c r="H26" s="739"/>
      <c r="I26" s="737"/>
      <c r="J26" s="758" t="s">
        <v>30</v>
      </c>
      <c r="K26" s="759">
        <f>SUM(K13:K25)</f>
        <v>236981.55</v>
      </c>
      <c r="L26" s="196"/>
      <c r="M26" s="749"/>
      <c r="O26" s="745"/>
      <c r="P26" s="746"/>
      <c r="Q26" s="747"/>
    </row>
    <row r="27" spans="1:17" ht="16.2" thickBot="1" x14ac:dyDescent="0.35">
      <c r="A27" s="721" t="s">
        <v>0</v>
      </c>
      <c r="B27" s="722" t="s">
        <v>1</v>
      </c>
      <c r="C27" s="1173" t="s">
        <v>656</v>
      </c>
      <c r="D27" s="1173"/>
      <c r="E27" s="1173"/>
      <c r="F27" s="1173"/>
      <c r="G27" s="1173" t="s">
        <v>34</v>
      </c>
      <c r="H27" s="1173"/>
      <c r="I27" s="1173"/>
      <c r="J27" s="723"/>
      <c r="K27" s="724"/>
      <c r="L27" s="760"/>
      <c r="M27" s="761"/>
      <c r="N27" s="762"/>
      <c r="O27" s="745"/>
      <c r="P27" s="746"/>
      <c r="Q27" s="747"/>
    </row>
    <row r="28" spans="1:17" ht="15.6" x14ac:dyDescent="0.3">
      <c r="A28" s="530" t="s">
        <v>471</v>
      </c>
      <c r="B28" s="530" t="s">
        <v>472</v>
      </c>
      <c r="C28" s="763" t="s">
        <v>19</v>
      </c>
      <c r="D28" s="764" t="s">
        <v>33</v>
      </c>
      <c r="E28" s="765" t="s">
        <v>35</v>
      </c>
      <c r="F28" s="766" t="s">
        <v>30</v>
      </c>
      <c r="G28" s="767" t="s">
        <v>14</v>
      </c>
      <c r="H28" s="765" t="s">
        <v>35</v>
      </c>
      <c r="I28" s="766" t="s">
        <v>30</v>
      </c>
      <c r="J28" s="730" t="s">
        <v>659</v>
      </c>
      <c r="K28" s="768" t="s">
        <v>38</v>
      </c>
      <c r="L28" s="769"/>
      <c r="M28" s="770"/>
      <c r="N28" s="771"/>
      <c r="O28" s="745"/>
      <c r="P28" s="746"/>
      <c r="Q28" s="747"/>
    </row>
    <row r="29" spans="1:17" s="194" customFormat="1" ht="15.6" x14ac:dyDescent="0.3">
      <c r="A29" s="196" t="s">
        <v>473</v>
      </c>
      <c r="B29" s="196" t="s">
        <v>474</v>
      </c>
      <c r="C29" s="734"/>
      <c r="D29" s="735" t="s">
        <v>21</v>
      </c>
      <c r="E29" s="736">
        <v>0</v>
      </c>
      <c r="F29" s="737">
        <f t="shared" ref="F29:F35" si="3">C29*E29</f>
        <v>0</v>
      </c>
      <c r="G29" s="738"/>
      <c r="H29" s="739">
        <v>0</v>
      </c>
      <c r="I29" s="737">
        <f t="shared" ref="I29:I35" si="4">G29*H29</f>
        <v>0</v>
      </c>
      <c r="J29" s="740"/>
      <c r="K29" s="741">
        <f t="shared" ref="K29:K35" si="5">F29+I29+J29</f>
        <v>0</v>
      </c>
      <c r="M29" s="772"/>
      <c r="O29" s="745"/>
      <c r="P29" s="746"/>
      <c r="Q29" s="747"/>
    </row>
    <row r="30" spans="1:17" s="194" customFormat="1" ht="15.6" x14ac:dyDescent="0.3">
      <c r="A30" s="196" t="s">
        <v>475</v>
      </c>
      <c r="B30" s="196" t="s">
        <v>476</v>
      </c>
      <c r="C30" s="734"/>
      <c r="D30" s="735" t="s">
        <v>21</v>
      </c>
      <c r="E30" s="736">
        <v>0</v>
      </c>
      <c r="F30" s="737">
        <f t="shared" si="3"/>
        <v>0</v>
      </c>
      <c r="G30" s="738"/>
      <c r="H30" s="739">
        <v>0</v>
      </c>
      <c r="I30" s="737">
        <f t="shared" si="4"/>
        <v>0</v>
      </c>
      <c r="J30" s="740"/>
      <c r="K30" s="741">
        <f t="shared" si="5"/>
        <v>0</v>
      </c>
      <c r="M30" s="687"/>
      <c r="N30" s="196"/>
      <c r="O30" s="745"/>
      <c r="P30" s="746"/>
      <c r="Q30" s="747"/>
    </row>
    <row r="31" spans="1:17" s="194" customFormat="1" ht="15.6" x14ac:dyDescent="0.3">
      <c r="A31" s="196" t="s">
        <v>477</v>
      </c>
      <c r="B31" s="196" t="s">
        <v>478</v>
      </c>
      <c r="C31" s="734"/>
      <c r="D31" s="735" t="s">
        <v>21</v>
      </c>
      <c r="E31" s="736">
        <v>0</v>
      </c>
      <c r="F31" s="737">
        <f t="shared" si="3"/>
        <v>0</v>
      </c>
      <c r="G31" s="738"/>
      <c r="H31" s="739">
        <v>0</v>
      </c>
      <c r="I31" s="737">
        <f t="shared" si="4"/>
        <v>0</v>
      </c>
      <c r="J31" s="740"/>
      <c r="K31" s="741">
        <f t="shared" si="5"/>
        <v>0</v>
      </c>
      <c r="L31" s="742"/>
      <c r="M31" s="743"/>
      <c r="N31" s="744"/>
      <c r="O31" s="745"/>
      <c r="P31" s="746"/>
      <c r="Q31" s="747"/>
    </row>
    <row r="32" spans="1:17" s="194" customFormat="1" ht="15.6" x14ac:dyDescent="0.3">
      <c r="A32" s="196" t="s">
        <v>479</v>
      </c>
      <c r="B32" s="196" t="s">
        <v>480</v>
      </c>
      <c r="C32" s="734"/>
      <c r="D32" s="735" t="s">
        <v>21</v>
      </c>
      <c r="E32" s="736">
        <v>0</v>
      </c>
      <c r="F32" s="737">
        <f t="shared" si="3"/>
        <v>0</v>
      </c>
      <c r="G32" s="738"/>
      <c r="H32" s="739">
        <v>0</v>
      </c>
      <c r="I32" s="737">
        <f t="shared" si="4"/>
        <v>0</v>
      </c>
      <c r="J32" s="740"/>
      <c r="K32" s="741">
        <f t="shared" si="5"/>
        <v>0</v>
      </c>
      <c r="L32" s="742"/>
      <c r="M32" s="743"/>
      <c r="N32" s="744"/>
      <c r="O32" s="745"/>
      <c r="P32" s="746"/>
      <c r="Q32" s="747"/>
    </row>
    <row r="33" spans="1:17" s="194" customFormat="1" ht="15.6" x14ac:dyDescent="0.3">
      <c r="A33" s="196" t="s">
        <v>482</v>
      </c>
      <c r="B33" s="196" t="s">
        <v>481</v>
      </c>
      <c r="C33" s="734"/>
      <c r="D33" s="735" t="s">
        <v>21</v>
      </c>
      <c r="E33" s="736">
        <v>0</v>
      </c>
      <c r="F33" s="737">
        <f t="shared" si="3"/>
        <v>0</v>
      </c>
      <c r="G33" s="738"/>
      <c r="H33" s="739">
        <v>0</v>
      </c>
      <c r="I33" s="737">
        <f t="shared" si="4"/>
        <v>0</v>
      </c>
      <c r="J33" s="740"/>
      <c r="K33" s="741">
        <f t="shared" si="5"/>
        <v>0</v>
      </c>
      <c r="L33" s="750"/>
      <c r="M33" s="751"/>
      <c r="N33" s="752"/>
      <c r="O33" s="745"/>
      <c r="P33" s="746"/>
      <c r="Q33" s="747"/>
    </row>
    <row r="34" spans="1:17" s="194" customFormat="1" ht="15.6" x14ac:dyDescent="0.3">
      <c r="A34" s="732"/>
      <c r="B34" s="15"/>
      <c r="C34" s="734"/>
      <c r="D34" s="735" t="s">
        <v>21</v>
      </c>
      <c r="E34" s="736">
        <v>0</v>
      </c>
      <c r="F34" s="737">
        <f t="shared" si="3"/>
        <v>0</v>
      </c>
      <c r="G34" s="738"/>
      <c r="H34" s="739">
        <v>0</v>
      </c>
      <c r="I34" s="737">
        <f t="shared" si="4"/>
        <v>0</v>
      </c>
      <c r="J34" s="740"/>
      <c r="K34" s="741">
        <f t="shared" si="5"/>
        <v>0</v>
      </c>
      <c r="M34" s="772"/>
      <c r="O34" s="745"/>
      <c r="P34" s="746"/>
      <c r="Q34" s="747"/>
    </row>
    <row r="35" spans="1:17" s="194" customFormat="1" ht="15.6" x14ac:dyDescent="0.3">
      <c r="A35" s="732"/>
      <c r="B35" s="15"/>
      <c r="C35" s="734"/>
      <c r="D35" s="735" t="s">
        <v>21</v>
      </c>
      <c r="E35" s="736">
        <v>0</v>
      </c>
      <c r="F35" s="737">
        <f t="shared" si="3"/>
        <v>0</v>
      </c>
      <c r="G35" s="738"/>
      <c r="H35" s="739">
        <v>0</v>
      </c>
      <c r="I35" s="737">
        <f t="shared" si="4"/>
        <v>0</v>
      </c>
      <c r="J35" s="740"/>
      <c r="K35" s="741">
        <f t="shared" si="5"/>
        <v>0</v>
      </c>
      <c r="M35" s="772"/>
      <c r="O35" s="745"/>
      <c r="P35" s="746"/>
      <c r="Q35" s="747"/>
    </row>
    <row r="36" spans="1:17" s="194" customFormat="1" ht="16.2" thickBot="1" x14ac:dyDescent="0.35">
      <c r="A36" s="732"/>
      <c r="B36" s="15"/>
      <c r="C36" s="757"/>
      <c r="D36" s="735"/>
      <c r="E36" s="736"/>
      <c r="F36" s="737"/>
      <c r="G36" s="738"/>
      <c r="H36" s="739"/>
      <c r="I36" s="737"/>
      <c r="J36" s="740"/>
      <c r="K36" s="773"/>
      <c r="L36" s="196"/>
      <c r="M36" s="749"/>
      <c r="N36" s="196"/>
      <c r="O36" s="745"/>
      <c r="P36" s="746"/>
      <c r="Q36" s="747"/>
    </row>
    <row r="37" spans="1:17" s="194" customFormat="1" ht="16.2" thickTop="1" x14ac:dyDescent="0.3">
      <c r="A37" s="756"/>
      <c r="B37" s="15"/>
      <c r="C37" s="757"/>
      <c r="D37" s="735"/>
      <c r="E37" s="736"/>
      <c r="F37" s="737"/>
      <c r="G37" s="738"/>
      <c r="H37" s="739"/>
      <c r="I37" s="737"/>
      <c r="J37" s="758" t="s">
        <v>30</v>
      </c>
      <c r="K37" s="759">
        <f>SUM(K29:K36)</f>
        <v>0</v>
      </c>
      <c r="L37" s="742"/>
      <c r="M37" s="743"/>
      <c r="N37" s="744"/>
      <c r="O37" s="745"/>
      <c r="P37" s="746"/>
      <c r="Q37" s="747"/>
    </row>
    <row r="38" spans="1:17" s="194" customFormat="1" ht="16.2" thickBot="1" x14ac:dyDescent="0.35">
      <c r="A38" s="721" t="s">
        <v>0</v>
      </c>
      <c r="B38" s="722" t="s">
        <v>1</v>
      </c>
      <c r="C38" s="1173" t="s">
        <v>656</v>
      </c>
      <c r="D38" s="1173"/>
      <c r="E38" s="1173"/>
      <c r="F38" s="1173"/>
      <c r="G38" s="1173" t="s">
        <v>34</v>
      </c>
      <c r="H38" s="1173"/>
      <c r="I38" s="1173"/>
      <c r="J38" s="723"/>
      <c r="K38" s="724"/>
      <c r="L38" s="760"/>
      <c r="M38" s="761"/>
      <c r="N38" s="762"/>
      <c r="O38" s="745"/>
      <c r="P38" s="746"/>
      <c r="Q38" s="747"/>
    </row>
    <row r="39" spans="1:17" s="194" customFormat="1" ht="15.6" x14ac:dyDescent="0.3">
      <c r="A39" s="530" t="s">
        <v>483</v>
      </c>
      <c r="B39" s="530" t="s">
        <v>81</v>
      </c>
      <c r="C39" s="763" t="s">
        <v>19</v>
      </c>
      <c r="D39" s="764" t="s">
        <v>33</v>
      </c>
      <c r="E39" s="765" t="s">
        <v>35</v>
      </c>
      <c r="F39" s="766" t="s">
        <v>30</v>
      </c>
      <c r="G39" s="767" t="s">
        <v>14</v>
      </c>
      <c r="H39" s="765" t="s">
        <v>35</v>
      </c>
      <c r="I39" s="766" t="s">
        <v>30</v>
      </c>
      <c r="J39" s="730" t="s">
        <v>659</v>
      </c>
      <c r="K39" s="768" t="s">
        <v>38</v>
      </c>
      <c r="L39" s="769"/>
      <c r="M39" s="774"/>
      <c r="N39" s="775"/>
      <c r="O39" s="776"/>
      <c r="P39" s="777"/>
      <c r="Q39" s="747"/>
    </row>
    <row r="40" spans="1:17" s="194" customFormat="1" ht="15.6" x14ac:dyDescent="0.3">
      <c r="A40" s="196" t="s">
        <v>484</v>
      </c>
      <c r="B40" s="196" t="s">
        <v>485</v>
      </c>
      <c r="C40" s="734"/>
      <c r="D40" s="735" t="s">
        <v>21</v>
      </c>
      <c r="E40" s="736">
        <v>0</v>
      </c>
      <c r="F40" s="737">
        <f>C40*E40</f>
        <v>0</v>
      </c>
      <c r="G40" s="738"/>
      <c r="H40" s="739">
        <v>0</v>
      </c>
      <c r="I40" s="737">
        <f>G40*H40</f>
        <v>0</v>
      </c>
      <c r="J40" s="740"/>
      <c r="K40" s="741">
        <f>F40+I40+J40</f>
        <v>0</v>
      </c>
      <c r="L40" s="742"/>
      <c r="M40" s="743"/>
      <c r="N40" s="744"/>
      <c r="O40" s="776"/>
      <c r="P40" s="777"/>
      <c r="Q40" s="747"/>
    </row>
    <row r="41" spans="1:17" s="194" customFormat="1" ht="15.6" x14ac:dyDescent="0.3">
      <c r="A41" s="196" t="s">
        <v>486</v>
      </c>
      <c r="B41" s="196" t="s">
        <v>488</v>
      </c>
      <c r="C41" s="734"/>
      <c r="D41" s="735" t="s">
        <v>21</v>
      </c>
      <c r="E41" s="736">
        <v>0</v>
      </c>
      <c r="F41" s="737">
        <f>C41*E41</f>
        <v>0</v>
      </c>
      <c r="G41" s="738"/>
      <c r="H41" s="739">
        <v>0</v>
      </c>
      <c r="I41" s="737">
        <f>G41*H41</f>
        <v>0</v>
      </c>
      <c r="J41" s="740"/>
      <c r="K41" s="741">
        <f>F41+I41+J41</f>
        <v>0</v>
      </c>
      <c r="M41" s="772"/>
      <c r="O41" s="776"/>
      <c r="P41" s="777"/>
      <c r="Q41" s="747"/>
    </row>
    <row r="42" spans="1:17" s="194" customFormat="1" ht="15.6" x14ac:dyDescent="0.3">
      <c r="A42" s="196" t="s">
        <v>489</v>
      </c>
      <c r="B42" s="196" t="s">
        <v>487</v>
      </c>
      <c r="C42" s="734"/>
      <c r="D42" s="735" t="s">
        <v>21</v>
      </c>
      <c r="E42" s="736">
        <v>0</v>
      </c>
      <c r="F42" s="737">
        <f>C42*E42</f>
        <v>0</v>
      </c>
      <c r="G42" s="738"/>
      <c r="H42" s="739">
        <v>0</v>
      </c>
      <c r="I42" s="737">
        <f>G42*H42</f>
        <v>0</v>
      </c>
      <c r="J42" s="740"/>
      <c r="K42" s="741">
        <f>F42+I42+J42</f>
        <v>0</v>
      </c>
      <c r="M42" s="772"/>
      <c r="O42" s="776"/>
      <c r="P42" s="777"/>
      <c r="Q42" s="747"/>
    </row>
    <row r="43" spans="1:17" s="194" customFormat="1" ht="15.6" x14ac:dyDescent="0.3">
      <c r="A43" s="756"/>
      <c r="B43" s="37"/>
      <c r="C43" s="757"/>
      <c r="D43" s="735"/>
      <c r="E43" s="736"/>
      <c r="F43" s="737"/>
      <c r="G43" s="738"/>
      <c r="H43" s="739"/>
      <c r="I43" s="737"/>
      <c r="J43" s="740"/>
      <c r="K43" s="773"/>
      <c r="L43" s="742"/>
      <c r="M43" s="743"/>
      <c r="N43" s="744"/>
      <c r="O43" s="776"/>
      <c r="P43" s="777"/>
      <c r="Q43" s="747"/>
    </row>
    <row r="44" spans="1:17" s="194" customFormat="1" ht="16.2" thickBot="1" x14ac:dyDescent="0.35">
      <c r="A44" s="756"/>
      <c r="B44" s="37"/>
      <c r="C44" s="757"/>
      <c r="D44" s="735"/>
      <c r="E44" s="736"/>
      <c r="F44" s="737"/>
      <c r="G44" s="738"/>
      <c r="H44" s="739"/>
      <c r="I44" s="737"/>
      <c r="J44" s="740"/>
      <c r="K44" s="773"/>
      <c r="M44" s="687"/>
      <c r="N44" s="196"/>
      <c r="O44" s="776"/>
      <c r="P44" s="777"/>
      <c r="Q44" s="747"/>
    </row>
    <row r="45" spans="1:17" s="194" customFormat="1" ht="16.2" thickTop="1" x14ac:dyDescent="0.3">
      <c r="A45" s="756"/>
      <c r="B45" s="37"/>
      <c r="C45" s="757"/>
      <c r="D45" s="735"/>
      <c r="E45" s="736"/>
      <c r="F45" s="737"/>
      <c r="G45" s="738"/>
      <c r="H45" s="739"/>
      <c r="I45" s="737"/>
      <c r="J45" s="758" t="s">
        <v>30</v>
      </c>
      <c r="K45" s="759">
        <f>SUM(K40:K44)</f>
        <v>0</v>
      </c>
      <c r="M45" s="687"/>
      <c r="N45" s="196"/>
      <c r="O45" s="745"/>
      <c r="P45" s="746"/>
      <c r="Q45" s="747"/>
    </row>
    <row r="46" spans="1:17" s="194" customFormat="1" ht="16.2" thickBot="1" x14ac:dyDescent="0.35">
      <c r="A46" s="721" t="s">
        <v>0</v>
      </c>
      <c r="B46" s="722" t="s">
        <v>1</v>
      </c>
      <c r="C46" s="1173" t="s">
        <v>656</v>
      </c>
      <c r="D46" s="1173"/>
      <c r="E46" s="1173"/>
      <c r="F46" s="1173"/>
      <c r="G46" s="1173" t="s">
        <v>34</v>
      </c>
      <c r="H46" s="1173"/>
      <c r="I46" s="1173"/>
      <c r="J46" s="723"/>
      <c r="K46" s="724"/>
      <c r="L46" s="760"/>
      <c r="M46" s="761"/>
      <c r="N46" s="762"/>
      <c r="O46" s="745"/>
      <c r="P46" s="746"/>
      <c r="Q46" s="747"/>
    </row>
    <row r="47" spans="1:17" s="194" customFormat="1" ht="16.2" thickBot="1" x14ac:dyDescent="0.35">
      <c r="A47" s="399"/>
      <c r="B47" s="400"/>
      <c r="C47" s="763" t="s">
        <v>19</v>
      </c>
      <c r="D47" s="764" t="s">
        <v>33</v>
      </c>
      <c r="E47" s="765" t="s">
        <v>35</v>
      </c>
      <c r="F47" s="766" t="s">
        <v>30</v>
      </c>
      <c r="G47" s="767" t="s">
        <v>14</v>
      </c>
      <c r="H47" s="765" t="s">
        <v>35</v>
      </c>
      <c r="I47" s="766" t="s">
        <v>30</v>
      </c>
      <c r="J47" s="730" t="s">
        <v>659</v>
      </c>
      <c r="K47" s="768" t="s">
        <v>38</v>
      </c>
      <c r="L47" s="769"/>
      <c r="M47" s="774"/>
      <c r="N47" s="775"/>
      <c r="O47" s="745"/>
      <c r="P47" s="777"/>
      <c r="Q47" s="747"/>
    </row>
    <row r="48" spans="1:17" s="194" customFormat="1" ht="15.6" x14ac:dyDescent="0.3">
      <c r="A48" s="778"/>
      <c r="B48" s="779"/>
      <c r="C48" s="734"/>
      <c r="D48" s="735" t="s">
        <v>21</v>
      </c>
      <c r="E48" s="736">
        <v>0</v>
      </c>
      <c r="F48" s="737">
        <f>C48*E48</f>
        <v>0</v>
      </c>
      <c r="G48" s="738"/>
      <c r="H48" s="739">
        <v>0</v>
      </c>
      <c r="I48" s="737">
        <f>G48*H48</f>
        <v>0</v>
      </c>
      <c r="J48" s="740"/>
      <c r="K48" s="741">
        <f>F48+I48+J48</f>
        <v>0</v>
      </c>
      <c r="L48" s="750"/>
      <c r="M48" s="780"/>
      <c r="N48" s="781"/>
      <c r="O48" s="745"/>
      <c r="P48" s="746"/>
      <c r="Q48" s="747"/>
    </row>
    <row r="49" spans="1:17" s="194" customFormat="1" ht="15.6" x14ac:dyDescent="0.3">
      <c r="A49" s="732"/>
      <c r="B49" s="15"/>
      <c r="C49" s="734"/>
      <c r="D49" s="735" t="s">
        <v>21</v>
      </c>
      <c r="E49" s="736">
        <v>0</v>
      </c>
      <c r="F49" s="737">
        <f>C49*E49</f>
        <v>0</v>
      </c>
      <c r="G49" s="738"/>
      <c r="H49" s="739">
        <v>0</v>
      </c>
      <c r="I49" s="737">
        <f>G49*H49</f>
        <v>0</v>
      </c>
      <c r="J49" s="740"/>
      <c r="K49" s="782">
        <f>F49+I49+J49</f>
        <v>0</v>
      </c>
      <c r="L49" s="783"/>
      <c r="M49" s="780"/>
      <c r="N49" s="781"/>
      <c r="O49" s="784"/>
      <c r="P49" s="746"/>
      <c r="Q49" s="747"/>
    </row>
    <row r="50" spans="1:17" s="194" customFormat="1" ht="15.6" x14ac:dyDescent="0.3">
      <c r="A50" s="732"/>
      <c r="B50" s="15"/>
      <c r="C50" s="734"/>
      <c r="D50" s="735" t="s">
        <v>21</v>
      </c>
      <c r="E50" s="736">
        <v>0</v>
      </c>
      <c r="F50" s="737">
        <f>C50*E50</f>
        <v>0</v>
      </c>
      <c r="G50" s="738"/>
      <c r="H50" s="739">
        <v>0</v>
      </c>
      <c r="I50" s="737">
        <f>G50*H50</f>
        <v>0</v>
      </c>
      <c r="J50" s="740"/>
      <c r="K50" s="782">
        <f>F50+I50+J50</f>
        <v>0</v>
      </c>
      <c r="L50" s="783"/>
      <c r="M50" s="780"/>
      <c r="N50" s="781"/>
      <c r="O50" s="784"/>
      <c r="P50" s="746"/>
      <c r="Q50" s="747"/>
    </row>
    <row r="51" spans="1:17" s="194" customFormat="1" ht="15.6" x14ac:dyDescent="0.3">
      <c r="A51" s="732"/>
      <c r="B51" s="15"/>
      <c r="C51" s="734"/>
      <c r="D51" s="735" t="s">
        <v>21</v>
      </c>
      <c r="E51" s="736">
        <v>0</v>
      </c>
      <c r="F51" s="737">
        <f>C51*E51</f>
        <v>0</v>
      </c>
      <c r="G51" s="738"/>
      <c r="H51" s="739">
        <v>0</v>
      </c>
      <c r="I51" s="737">
        <f>G51*H51</f>
        <v>0</v>
      </c>
      <c r="J51" s="740"/>
      <c r="K51" s="741">
        <f>F51+I51+J51</f>
        <v>0</v>
      </c>
      <c r="L51" s="785"/>
      <c r="M51" s="780"/>
      <c r="N51" s="781"/>
      <c r="O51" s="745"/>
      <c r="P51" s="746"/>
      <c r="Q51" s="747"/>
    </row>
    <row r="52" spans="1:17" s="194" customFormat="1" ht="15.6" x14ac:dyDescent="0.3">
      <c r="A52" s="732"/>
      <c r="B52" s="15"/>
      <c r="C52" s="734"/>
      <c r="D52" s="735" t="s">
        <v>21</v>
      </c>
      <c r="E52" s="736">
        <v>0</v>
      </c>
      <c r="F52" s="737">
        <f>C52*E52</f>
        <v>0</v>
      </c>
      <c r="G52" s="738"/>
      <c r="H52" s="739">
        <v>0</v>
      </c>
      <c r="I52" s="737">
        <f>G52*H52</f>
        <v>0</v>
      </c>
      <c r="J52" s="740"/>
      <c r="K52" s="741">
        <f>F52+I52+J52</f>
        <v>0</v>
      </c>
      <c r="L52" s="742"/>
      <c r="M52" s="780"/>
      <c r="N52" s="781"/>
      <c r="O52" s="745"/>
      <c r="P52" s="746"/>
      <c r="Q52" s="747"/>
    </row>
    <row r="53" spans="1:17" s="194" customFormat="1" ht="16.2" thickBot="1" x14ac:dyDescent="0.35">
      <c r="A53" s="756"/>
      <c r="B53" s="37"/>
      <c r="C53" s="757"/>
      <c r="D53" s="735"/>
      <c r="E53" s="736"/>
      <c r="F53" s="737"/>
      <c r="G53" s="738"/>
      <c r="H53" s="739"/>
      <c r="I53" s="737"/>
      <c r="J53" s="740"/>
      <c r="K53" s="773"/>
      <c r="L53" s="742"/>
      <c r="M53" s="780"/>
      <c r="N53" s="744"/>
      <c r="O53" s="745"/>
      <c r="P53" s="746"/>
      <c r="Q53" s="747"/>
    </row>
    <row r="54" spans="1:17" s="194" customFormat="1" ht="16.8" thickTop="1" thickBot="1" x14ac:dyDescent="0.35">
      <c r="A54" s="756"/>
      <c r="B54" s="37"/>
      <c r="C54" s="757"/>
      <c r="D54" s="735"/>
      <c r="E54" s="736"/>
      <c r="F54" s="737"/>
      <c r="G54" s="738"/>
      <c r="H54" s="739"/>
      <c r="I54" s="737"/>
      <c r="J54" s="758" t="s">
        <v>30</v>
      </c>
      <c r="K54" s="759">
        <f>SUM(K48:K53)</f>
        <v>0</v>
      </c>
      <c r="L54" s="786"/>
      <c r="M54" s="787"/>
      <c r="N54" s="788"/>
      <c r="O54" s="789"/>
      <c r="P54" s="790"/>
      <c r="Q54" s="791"/>
    </row>
    <row r="55" spans="1:17" s="194" customFormat="1" ht="14.1" customHeight="1" thickTop="1" x14ac:dyDescent="0.3">
      <c r="A55" s="792"/>
      <c r="B55" s="793"/>
      <c r="C55" s="794"/>
      <c r="D55" s="794"/>
      <c r="E55" s="795"/>
      <c r="F55" s="1177" t="s">
        <v>658</v>
      </c>
      <c r="G55" s="1179" t="s">
        <v>684</v>
      </c>
      <c r="H55" s="795"/>
      <c r="I55" s="1181" t="s">
        <v>657</v>
      </c>
      <c r="J55" s="1183" t="s">
        <v>685</v>
      </c>
      <c r="K55" s="1185" t="s">
        <v>31</v>
      </c>
      <c r="M55" s="772"/>
    </row>
    <row r="56" spans="1:17" s="194" customFormat="1" ht="15.6" x14ac:dyDescent="0.25">
      <c r="A56" s="796" t="s">
        <v>32</v>
      </c>
      <c r="B56" s="1174" t="s">
        <v>674</v>
      </c>
      <c r="C56" s="797"/>
      <c r="D56" s="798"/>
      <c r="E56" s="798"/>
      <c r="F56" s="1178"/>
      <c r="G56" s="1180"/>
      <c r="H56" s="799"/>
      <c r="I56" s="1182"/>
      <c r="J56" s="1184"/>
      <c r="K56" s="1186"/>
      <c r="M56" s="772"/>
    </row>
    <row r="57" spans="1:17" s="194" customFormat="1" ht="15.6" x14ac:dyDescent="0.3">
      <c r="A57" s="832">
        <f>K57/E6</f>
        <v>38.284579967689822</v>
      </c>
      <c r="B57" s="1174"/>
      <c r="C57" s="798"/>
      <c r="D57" s="798"/>
      <c r="E57" s="798"/>
      <c r="F57" s="1187">
        <f>SUM(F48:F53,F40:F44,F29:F36,F13:F25)</f>
        <v>0</v>
      </c>
      <c r="G57" s="1189">
        <f>SUM(G48:G53,G40:G44,G29:G36,G13:G25)</f>
        <v>0</v>
      </c>
      <c r="H57" s="799"/>
      <c r="I57" s="1187">
        <f>SUM(I48:I53,I40:I44,I29:I36,I13:I25)</f>
        <v>0</v>
      </c>
      <c r="J57" s="1187">
        <f>SUM(J48:J53,J40:J44,J29:J36,J13:J25)</f>
        <v>236981.55</v>
      </c>
      <c r="K57" s="1175">
        <f>SUM(K54,K45,K37,K26)</f>
        <v>236981.55</v>
      </c>
      <c r="M57" s="772"/>
    </row>
    <row r="58" spans="1:17" s="194" customFormat="1" ht="15.6" thickBot="1" x14ac:dyDescent="0.3">
      <c r="A58" s="796"/>
      <c r="B58" s="800"/>
      <c r="C58" s="801"/>
      <c r="D58" s="801"/>
      <c r="E58" s="801"/>
      <c r="F58" s="1188"/>
      <c r="G58" s="1190"/>
      <c r="H58" s="801"/>
      <c r="I58" s="1188"/>
      <c r="J58" s="1188"/>
      <c r="K58" s="1176"/>
      <c r="M58" s="687"/>
      <c r="N58" s="196"/>
      <c r="O58" s="688"/>
      <c r="P58" s="688"/>
    </row>
    <row r="59" spans="1:17" s="194" customFormat="1" ht="15.6" thickBot="1" x14ac:dyDescent="0.3">
      <c r="A59" s="802"/>
      <c r="B59" s="803"/>
      <c r="C59" s="803"/>
      <c r="D59" s="803"/>
      <c r="E59" s="803"/>
      <c r="F59" s="803"/>
      <c r="G59" s="803"/>
      <c r="H59" s="803"/>
      <c r="I59" s="803"/>
      <c r="J59" s="803"/>
      <c r="K59" s="804"/>
      <c r="M59" s="687"/>
      <c r="N59" s="196"/>
      <c r="O59" s="688"/>
      <c r="P59" s="688"/>
    </row>
    <row r="60" spans="1:17" s="194" customFormat="1" x14ac:dyDescent="0.25">
      <c r="C60" s="805"/>
      <c r="D60" s="805"/>
      <c r="J60" s="772"/>
      <c r="M60" s="687"/>
      <c r="N60" s="196"/>
      <c r="O60" s="688"/>
      <c r="P60" s="688"/>
    </row>
    <row r="61" spans="1:17" s="194" customFormat="1" x14ac:dyDescent="0.25">
      <c r="C61" s="805"/>
      <c r="D61" s="805"/>
      <c r="J61" s="772"/>
      <c r="M61" s="687"/>
      <c r="N61" s="196"/>
      <c r="O61" s="688"/>
      <c r="P61" s="688"/>
    </row>
    <row r="62" spans="1:17" s="194" customFormat="1" x14ac:dyDescent="0.25">
      <c r="C62" s="805"/>
      <c r="D62" s="805"/>
      <c r="J62" s="772"/>
      <c r="M62" s="687"/>
      <c r="N62" s="196"/>
      <c r="O62" s="688"/>
      <c r="P62" s="688"/>
    </row>
    <row r="63" spans="1:17" s="194" customFormat="1" x14ac:dyDescent="0.25">
      <c r="C63" s="805"/>
      <c r="D63" s="805"/>
      <c r="J63" s="772"/>
      <c r="M63" s="687"/>
      <c r="N63" s="196"/>
      <c r="O63" s="688"/>
      <c r="P63" s="688"/>
    </row>
    <row r="64" spans="1:17" s="194" customFormat="1" x14ac:dyDescent="0.25">
      <c r="C64" s="805"/>
      <c r="D64" s="805"/>
      <c r="J64" s="772"/>
      <c r="M64" s="687"/>
      <c r="N64" s="196"/>
      <c r="O64" s="688"/>
      <c r="P64" s="688"/>
    </row>
    <row r="65" spans="3:16" s="194" customFormat="1" x14ac:dyDescent="0.25">
      <c r="C65" s="805"/>
      <c r="D65" s="805"/>
      <c r="J65" s="772"/>
      <c r="M65" s="687"/>
      <c r="N65" s="196"/>
      <c r="O65" s="688"/>
      <c r="P65" s="688"/>
    </row>
    <row r="66" spans="3:16" s="194" customFormat="1" x14ac:dyDescent="0.25">
      <c r="C66" s="805"/>
      <c r="D66" s="805"/>
      <c r="J66" s="772"/>
      <c r="M66" s="687"/>
      <c r="N66" s="196"/>
      <c r="O66" s="688"/>
      <c r="P66" s="688"/>
    </row>
    <row r="67" spans="3:16" s="194" customFormat="1" x14ac:dyDescent="0.25">
      <c r="C67" s="805"/>
      <c r="D67" s="805"/>
      <c r="J67" s="772"/>
      <c r="M67" s="687"/>
      <c r="N67" s="196"/>
      <c r="O67" s="688"/>
      <c r="P67" s="688"/>
    </row>
    <row r="68" spans="3:16" s="194" customFormat="1" x14ac:dyDescent="0.25">
      <c r="C68" s="805"/>
      <c r="D68" s="805"/>
      <c r="J68" s="772"/>
      <c r="M68" s="687"/>
      <c r="N68" s="196"/>
      <c r="O68" s="688"/>
      <c r="P68" s="688"/>
    </row>
    <row r="69" spans="3:16" s="194" customFormat="1" x14ac:dyDescent="0.25">
      <c r="C69" s="805"/>
      <c r="D69" s="805"/>
      <c r="J69" s="772"/>
      <c r="M69" s="687"/>
      <c r="N69" s="196"/>
      <c r="O69" s="688"/>
      <c r="P69" s="688"/>
    </row>
    <row r="70" spans="3:16" s="194" customFormat="1" x14ac:dyDescent="0.25">
      <c r="C70" s="805"/>
      <c r="D70" s="805"/>
      <c r="J70" s="772"/>
      <c r="M70" s="687"/>
      <c r="N70" s="196"/>
      <c r="O70" s="688"/>
      <c r="P70" s="688"/>
    </row>
    <row r="71" spans="3:16" s="194" customFormat="1" x14ac:dyDescent="0.25">
      <c r="C71" s="805"/>
      <c r="D71" s="805"/>
      <c r="J71" s="772"/>
      <c r="M71" s="687"/>
      <c r="N71" s="196"/>
      <c r="O71" s="688"/>
      <c r="P71" s="688"/>
    </row>
    <row r="72" spans="3:16" s="194" customFormat="1" x14ac:dyDescent="0.25">
      <c r="C72" s="805"/>
      <c r="D72" s="805"/>
      <c r="J72" s="772"/>
      <c r="M72" s="687"/>
      <c r="N72" s="196"/>
      <c r="O72" s="688"/>
      <c r="P72" s="688"/>
    </row>
    <row r="73" spans="3:16" s="194" customFormat="1" x14ac:dyDescent="0.25">
      <c r="C73" s="805"/>
      <c r="D73" s="805"/>
      <c r="J73" s="772"/>
      <c r="M73" s="687"/>
      <c r="N73" s="196"/>
      <c r="O73" s="688"/>
      <c r="P73" s="688"/>
    </row>
    <row r="74" spans="3:16" s="194" customFormat="1" x14ac:dyDescent="0.25">
      <c r="C74" s="805"/>
      <c r="D74" s="805"/>
      <c r="J74" s="772"/>
      <c r="M74" s="687"/>
      <c r="N74" s="196"/>
      <c r="O74" s="688"/>
      <c r="P74" s="688"/>
    </row>
    <row r="75" spans="3:16" s="194" customFormat="1" x14ac:dyDescent="0.25">
      <c r="C75" s="805"/>
      <c r="D75" s="805"/>
      <c r="J75" s="772"/>
      <c r="M75" s="687"/>
      <c r="N75" s="196"/>
      <c r="O75" s="688"/>
      <c r="P75" s="688"/>
    </row>
    <row r="76" spans="3:16" s="194" customFormat="1" x14ac:dyDescent="0.25">
      <c r="C76" s="805"/>
      <c r="D76" s="805"/>
      <c r="J76" s="772"/>
      <c r="M76" s="687"/>
      <c r="N76" s="196"/>
      <c r="O76" s="688"/>
      <c r="P76" s="688"/>
    </row>
    <row r="77" spans="3:16" s="194" customFormat="1" x14ac:dyDescent="0.25">
      <c r="C77" s="805"/>
      <c r="D77" s="805"/>
      <c r="J77" s="772"/>
      <c r="M77" s="687"/>
      <c r="N77" s="196"/>
      <c r="O77" s="688"/>
      <c r="P77" s="688"/>
    </row>
    <row r="78" spans="3:16" s="194" customFormat="1" x14ac:dyDescent="0.25">
      <c r="C78" s="805"/>
      <c r="D78" s="805"/>
      <c r="J78" s="772"/>
      <c r="M78" s="687"/>
      <c r="N78" s="196"/>
      <c r="O78" s="688"/>
      <c r="P78" s="688"/>
    </row>
    <row r="79" spans="3:16" s="194" customFormat="1" x14ac:dyDescent="0.25">
      <c r="C79" s="805"/>
      <c r="D79" s="805"/>
      <c r="J79" s="772"/>
      <c r="M79" s="687"/>
      <c r="N79" s="196"/>
      <c r="O79" s="688"/>
      <c r="P79" s="688"/>
    </row>
    <row r="80" spans="3:16" s="194" customFormat="1" x14ac:dyDescent="0.25">
      <c r="C80" s="805"/>
      <c r="D80" s="805"/>
      <c r="J80" s="772"/>
      <c r="M80" s="687"/>
      <c r="N80" s="196"/>
      <c r="O80" s="688"/>
      <c r="P80" s="688"/>
    </row>
    <row r="81" spans="3:16" s="194" customFormat="1" x14ac:dyDescent="0.25">
      <c r="C81" s="805"/>
      <c r="D81" s="805"/>
      <c r="J81" s="772"/>
      <c r="M81" s="687"/>
      <c r="N81" s="196"/>
      <c r="O81" s="688"/>
      <c r="P81" s="688"/>
    </row>
    <row r="82" spans="3:16" s="194" customFormat="1" x14ac:dyDescent="0.25">
      <c r="C82" s="805"/>
      <c r="D82" s="805"/>
      <c r="J82" s="772"/>
      <c r="M82" s="687"/>
      <c r="N82" s="196"/>
      <c r="O82" s="688"/>
      <c r="P82" s="688"/>
    </row>
    <row r="83" spans="3:16" s="194" customFormat="1" x14ac:dyDescent="0.25">
      <c r="C83" s="805"/>
      <c r="D83" s="805"/>
      <c r="J83" s="772"/>
      <c r="M83" s="687"/>
      <c r="N83" s="196"/>
      <c r="O83" s="688"/>
      <c r="P83" s="688"/>
    </row>
    <row r="84" spans="3:16" s="194" customFormat="1" x14ac:dyDescent="0.25">
      <c r="C84" s="805"/>
      <c r="D84" s="805"/>
      <c r="J84" s="772"/>
      <c r="M84" s="687"/>
      <c r="N84" s="196"/>
      <c r="O84" s="688"/>
      <c r="P84" s="688"/>
    </row>
    <row r="85" spans="3:16" s="194" customFormat="1" x14ac:dyDescent="0.25">
      <c r="C85" s="805"/>
      <c r="D85" s="805"/>
      <c r="J85" s="772"/>
      <c r="M85" s="687"/>
      <c r="N85" s="196"/>
      <c r="O85" s="688"/>
      <c r="P85" s="688"/>
    </row>
    <row r="86" spans="3:16" s="194" customFormat="1" x14ac:dyDescent="0.25">
      <c r="C86" s="805"/>
      <c r="D86" s="805"/>
      <c r="J86" s="772"/>
      <c r="M86" s="687"/>
      <c r="N86" s="196"/>
      <c r="O86" s="688"/>
      <c r="P86" s="688"/>
    </row>
    <row r="87" spans="3:16" s="194" customFormat="1" x14ac:dyDescent="0.25">
      <c r="C87" s="805"/>
      <c r="D87" s="805"/>
      <c r="J87" s="772"/>
      <c r="M87" s="687"/>
      <c r="N87" s="196"/>
      <c r="O87" s="688"/>
      <c r="P87" s="688"/>
    </row>
    <row r="88" spans="3:16" s="194" customFormat="1" x14ac:dyDescent="0.25">
      <c r="C88" s="805"/>
      <c r="D88" s="805"/>
      <c r="J88" s="772"/>
      <c r="M88" s="687"/>
      <c r="N88" s="196"/>
      <c r="O88" s="688"/>
      <c r="P88" s="688"/>
    </row>
    <row r="89" spans="3:16" s="194" customFormat="1" x14ac:dyDescent="0.25">
      <c r="C89" s="805"/>
      <c r="D89" s="805"/>
      <c r="J89" s="772"/>
      <c r="M89" s="687"/>
      <c r="N89" s="196"/>
      <c r="O89" s="688"/>
      <c r="P89" s="688"/>
    </row>
    <row r="90" spans="3:16" s="194" customFormat="1" x14ac:dyDescent="0.25">
      <c r="C90" s="805"/>
      <c r="D90" s="805"/>
      <c r="J90" s="772"/>
      <c r="M90" s="687"/>
      <c r="N90" s="196"/>
      <c r="O90" s="688"/>
      <c r="P90" s="688"/>
    </row>
    <row r="91" spans="3:16" s="194" customFormat="1" x14ac:dyDescent="0.25">
      <c r="C91" s="805"/>
      <c r="D91" s="805"/>
      <c r="J91" s="772"/>
      <c r="M91" s="687"/>
      <c r="N91" s="196"/>
      <c r="O91" s="688"/>
      <c r="P91" s="688"/>
    </row>
    <row r="92" spans="3:16" s="194" customFormat="1" x14ac:dyDescent="0.25">
      <c r="C92" s="805"/>
      <c r="D92" s="805"/>
      <c r="J92" s="772"/>
      <c r="M92" s="687"/>
      <c r="N92" s="196"/>
      <c r="O92" s="688"/>
      <c r="P92" s="688"/>
    </row>
    <row r="93" spans="3:16" s="194" customFormat="1" x14ac:dyDescent="0.25">
      <c r="C93" s="805"/>
      <c r="D93" s="805"/>
      <c r="J93" s="772"/>
      <c r="M93" s="687"/>
      <c r="N93" s="196"/>
      <c r="O93" s="688"/>
      <c r="P93" s="688"/>
    </row>
    <row r="94" spans="3:16" s="194" customFormat="1" x14ac:dyDescent="0.25">
      <c r="C94" s="805"/>
      <c r="D94" s="805"/>
      <c r="J94" s="772"/>
      <c r="M94" s="687"/>
      <c r="N94" s="196"/>
      <c r="O94" s="688"/>
      <c r="P94" s="688"/>
    </row>
    <row r="95" spans="3:16" s="194" customFormat="1" x14ac:dyDescent="0.25">
      <c r="C95" s="805"/>
      <c r="D95" s="805"/>
      <c r="J95" s="772"/>
      <c r="M95" s="687"/>
      <c r="N95" s="196"/>
      <c r="O95" s="688"/>
      <c r="P95" s="688"/>
    </row>
    <row r="96" spans="3:16" s="194" customFormat="1" x14ac:dyDescent="0.25">
      <c r="C96" s="805"/>
      <c r="D96" s="805"/>
      <c r="J96" s="772"/>
      <c r="M96" s="687"/>
      <c r="N96" s="196"/>
      <c r="O96" s="688"/>
      <c r="P96" s="688"/>
    </row>
    <row r="97" spans="3:16" s="194" customFormat="1" x14ac:dyDescent="0.25">
      <c r="C97" s="805"/>
      <c r="D97" s="805"/>
      <c r="J97" s="772"/>
      <c r="M97" s="687"/>
      <c r="N97" s="196"/>
      <c r="O97" s="688"/>
      <c r="P97" s="688"/>
    </row>
    <row r="98" spans="3:16" s="194" customFormat="1" x14ac:dyDescent="0.25">
      <c r="C98" s="805"/>
      <c r="D98" s="805"/>
      <c r="J98" s="772"/>
      <c r="M98" s="687"/>
      <c r="N98" s="196"/>
      <c r="O98" s="688"/>
      <c r="P98" s="688"/>
    </row>
    <row r="99" spans="3:16" s="194" customFormat="1" x14ac:dyDescent="0.25">
      <c r="C99" s="805"/>
      <c r="D99" s="805"/>
      <c r="J99" s="772"/>
      <c r="M99" s="687"/>
      <c r="N99" s="196"/>
      <c r="O99" s="688"/>
      <c r="P99" s="688"/>
    </row>
    <row r="100" spans="3:16" s="194" customFormat="1" x14ac:dyDescent="0.25">
      <c r="C100" s="805"/>
      <c r="D100" s="805"/>
      <c r="J100" s="772"/>
      <c r="M100" s="687"/>
      <c r="N100" s="196"/>
      <c r="O100" s="688"/>
      <c r="P100" s="688"/>
    </row>
    <row r="101" spans="3:16" s="194" customFormat="1" x14ac:dyDescent="0.25">
      <c r="C101" s="805"/>
      <c r="D101" s="805"/>
      <c r="J101" s="772"/>
      <c r="M101" s="687"/>
      <c r="N101" s="196"/>
      <c r="O101" s="688"/>
      <c r="P101" s="688"/>
    </row>
    <row r="102" spans="3:16" s="194" customFormat="1" x14ac:dyDescent="0.25">
      <c r="C102" s="805"/>
      <c r="D102" s="805"/>
      <c r="J102" s="772"/>
      <c r="M102" s="687"/>
      <c r="N102" s="196"/>
      <c r="O102" s="688"/>
      <c r="P102" s="688"/>
    </row>
    <row r="103" spans="3:16" s="194" customFormat="1" x14ac:dyDescent="0.25">
      <c r="C103" s="805"/>
      <c r="D103" s="805"/>
      <c r="J103" s="772"/>
      <c r="M103" s="687"/>
      <c r="N103" s="196"/>
      <c r="O103" s="688"/>
      <c r="P103" s="688"/>
    </row>
    <row r="104" spans="3:16" s="194" customFormat="1" x14ac:dyDescent="0.25">
      <c r="C104" s="805"/>
      <c r="D104" s="805"/>
      <c r="J104" s="772"/>
      <c r="M104" s="687"/>
      <c r="N104" s="196"/>
      <c r="O104" s="688"/>
      <c r="P104" s="688"/>
    </row>
    <row r="105" spans="3:16" s="194" customFormat="1" x14ac:dyDescent="0.25">
      <c r="C105" s="805"/>
      <c r="D105" s="805"/>
      <c r="J105" s="772"/>
      <c r="M105" s="687"/>
      <c r="N105" s="196"/>
      <c r="O105" s="688"/>
      <c r="P105" s="688"/>
    </row>
    <row r="106" spans="3:16" s="194" customFormat="1" x14ac:dyDescent="0.25">
      <c r="C106" s="805"/>
      <c r="D106" s="805"/>
      <c r="J106" s="772"/>
      <c r="M106" s="687"/>
      <c r="N106" s="196"/>
      <c r="O106" s="688"/>
      <c r="P106" s="688"/>
    </row>
    <row r="107" spans="3:16" s="194" customFormat="1" x14ac:dyDescent="0.25">
      <c r="C107" s="805"/>
      <c r="D107" s="805"/>
      <c r="J107" s="772"/>
      <c r="M107" s="687"/>
      <c r="N107" s="196"/>
      <c r="O107" s="688"/>
      <c r="P107" s="688"/>
    </row>
    <row r="108" spans="3:16" s="194" customFormat="1" x14ac:dyDescent="0.25">
      <c r="C108" s="805"/>
      <c r="D108" s="805"/>
      <c r="J108" s="772"/>
      <c r="M108" s="687"/>
      <c r="N108" s="196"/>
      <c r="O108" s="688"/>
      <c r="P108" s="688"/>
    </row>
    <row r="109" spans="3:16" s="194" customFormat="1" x14ac:dyDescent="0.25">
      <c r="C109" s="805"/>
      <c r="D109" s="805"/>
      <c r="J109" s="772"/>
      <c r="M109" s="687"/>
      <c r="N109" s="196"/>
      <c r="O109" s="688"/>
      <c r="P109" s="688"/>
    </row>
    <row r="110" spans="3:16" s="194" customFormat="1" x14ac:dyDescent="0.25">
      <c r="C110" s="805"/>
      <c r="D110" s="805"/>
      <c r="J110" s="772"/>
      <c r="M110" s="687"/>
      <c r="N110" s="196"/>
      <c r="O110" s="688"/>
      <c r="P110" s="688"/>
    </row>
    <row r="111" spans="3:16" s="194" customFormat="1" x14ac:dyDescent="0.25">
      <c r="C111" s="805"/>
      <c r="D111" s="805"/>
      <c r="J111" s="772"/>
      <c r="M111" s="687"/>
      <c r="N111" s="196"/>
      <c r="O111" s="688"/>
      <c r="P111" s="688"/>
    </row>
    <row r="112" spans="3:16" s="194" customFormat="1" x14ac:dyDescent="0.25">
      <c r="C112" s="805"/>
      <c r="D112" s="805"/>
      <c r="J112" s="772"/>
      <c r="M112" s="687"/>
      <c r="N112" s="196"/>
      <c r="O112" s="688"/>
      <c r="P112" s="688"/>
    </row>
    <row r="113" spans="3:16" s="194" customFormat="1" x14ac:dyDescent="0.25">
      <c r="C113" s="805"/>
      <c r="D113" s="805"/>
      <c r="J113" s="772"/>
      <c r="M113" s="687"/>
      <c r="N113" s="196"/>
      <c r="O113" s="688"/>
      <c r="P113" s="688"/>
    </row>
    <row r="114" spans="3:16" s="194" customFormat="1" x14ac:dyDescent="0.25">
      <c r="C114" s="805"/>
      <c r="D114" s="805"/>
      <c r="J114" s="772"/>
      <c r="M114" s="687"/>
      <c r="N114" s="196"/>
      <c r="O114" s="688"/>
      <c r="P114" s="688"/>
    </row>
    <row r="115" spans="3:16" s="194" customFormat="1" x14ac:dyDescent="0.25">
      <c r="C115" s="805"/>
      <c r="D115" s="805"/>
      <c r="J115" s="772"/>
      <c r="M115" s="687"/>
      <c r="N115" s="196"/>
      <c r="O115" s="688"/>
      <c r="P115" s="688"/>
    </row>
    <row r="116" spans="3:16" s="194" customFormat="1" x14ac:dyDescent="0.25">
      <c r="C116" s="805"/>
      <c r="D116" s="805"/>
      <c r="J116" s="772"/>
      <c r="M116" s="687"/>
      <c r="N116" s="196"/>
      <c r="O116" s="688"/>
      <c r="P116" s="688"/>
    </row>
    <row r="117" spans="3:16" s="194" customFormat="1" x14ac:dyDescent="0.25">
      <c r="C117" s="805"/>
      <c r="D117" s="805"/>
      <c r="J117" s="772"/>
      <c r="M117" s="687"/>
      <c r="N117" s="196"/>
      <c r="O117" s="688"/>
      <c r="P117" s="688"/>
    </row>
    <row r="118" spans="3:16" s="194" customFormat="1" x14ac:dyDescent="0.25">
      <c r="C118" s="805"/>
      <c r="D118" s="805"/>
      <c r="J118" s="772"/>
      <c r="M118" s="687"/>
      <c r="N118" s="196"/>
      <c r="O118" s="688"/>
      <c r="P118" s="688"/>
    </row>
    <row r="119" spans="3:16" s="194" customFormat="1" x14ac:dyDescent="0.25">
      <c r="C119" s="805"/>
      <c r="D119" s="805"/>
      <c r="J119" s="772"/>
      <c r="M119" s="687"/>
      <c r="N119" s="196"/>
      <c r="O119" s="688"/>
      <c r="P119" s="688"/>
    </row>
    <row r="120" spans="3:16" s="194" customFormat="1" x14ac:dyDescent="0.25">
      <c r="C120" s="805"/>
      <c r="D120" s="805"/>
      <c r="J120" s="772"/>
      <c r="M120" s="687"/>
      <c r="N120" s="196"/>
      <c r="O120" s="688"/>
      <c r="P120" s="688"/>
    </row>
    <row r="121" spans="3:16" s="194" customFormat="1" x14ac:dyDescent="0.25">
      <c r="C121" s="805"/>
      <c r="D121" s="805"/>
      <c r="J121" s="772"/>
      <c r="M121" s="687"/>
      <c r="N121" s="196"/>
      <c r="O121" s="688"/>
      <c r="P121" s="688"/>
    </row>
    <row r="122" spans="3:16" s="194" customFormat="1" x14ac:dyDescent="0.25">
      <c r="C122" s="805"/>
      <c r="D122" s="805"/>
      <c r="J122" s="772"/>
      <c r="M122" s="687"/>
      <c r="N122" s="196"/>
      <c r="O122" s="688"/>
      <c r="P122" s="688"/>
    </row>
    <row r="123" spans="3:16" s="194" customFormat="1" x14ac:dyDescent="0.25">
      <c r="C123" s="805"/>
      <c r="D123" s="805"/>
      <c r="J123" s="772"/>
      <c r="M123" s="687"/>
      <c r="N123" s="196"/>
      <c r="O123" s="688"/>
      <c r="P123" s="688"/>
    </row>
    <row r="124" spans="3:16" s="194" customFormat="1" x14ac:dyDescent="0.25">
      <c r="C124" s="805"/>
      <c r="D124" s="805"/>
      <c r="J124" s="772"/>
      <c r="M124" s="687"/>
      <c r="N124" s="196"/>
      <c r="O124" s="688"/>
      <c r="P124" s="688"/>
    </row>
    <row r="125" spans="3:16" s="194" customFormat="1" x14ac:dyDescent="0.25">
      <c r="C125" s="805"/>
      <c r="D125" s="805"/>
      <c r="J125" s="772"/>
      <c r="M125" s="687"/>
      <c r="N125" s="196"/>
      <c r="O125" s="688"/>
      <c r="P125" s="688"/>
    </row>
    <row r="126" spans="3:16" s="194" customFormat="1" x14ac:dyDescent="0.25">
      <c r="C126" s="805"/>
      <c r="D126" s="805"/>
      <c r="J126" s="772"/>
      <c r="M126" s="687"/>
      <c r="N126" s="196"/>
      <c r="O126" s="688"/>
      <c r="P126" s="688"/>
    </row>
    <row r="127" spans="3:16" s="194" customFormat="1" x14ac:dyDescent="0.25">
      <c r="C127" s="805"/>
      <c r="D127" s="805"/>
      <c r="J127" s="772"/>
      <c r="M127" s="687"/>
      <c r="N127" s="196"/>
      <c r="O127" s="688"/>
      <c r="P127" s="688"/>
    </row>
    <row r="128" spans="3:16" s="194" customFormat="1" x14ac:dyDescent="0.25">
      <c r="C128" s="805"/>
      <c r="D128" s="805"/>
      <c r="J128" s="772"/>
      <c r="M128" s="687"/>
      <c r="N128" s="196"/>
      <c r="O128" s="688"/>
      <c r="P128" s="688"/>
    </row>
    <row r="129" spans="3:16" s="194" customFormat="1" x14ac:dyDescent="0.25">
      <c r="C129" s="805"/>
      <c r="D129" s="805"/>
      <c r="J129" s="772"/>
      <c r="M129" s="687"/>
      <c r="N129" s="196"/>
      <c r="O129" s="688"/>
      <c r="P129" s="688"/>
    </row>
    <row r="130" spans="3:16" s="194" customFormat="1" x14ac:dyDescent="0.25">
      <c r="C130" s="805"/>
      <c r="D130" s="805"/>
      <c r="J130" s="772"/>
      <c r="M130" s="687"/>
      <c r="N130" s="196"/>
      <c r="O130" s="688"/>
      <c r="P130" s="688"/>
    </row>
    <row r="131" spans="3:16" s="194" customFormat="1" x14ac:dyDescent="0.25">
      <c r="C131" s="805"/>
      <c r="D131" s="805"/>
      <c r="J131" s="772"/>
      <c r="M131" s="687"/>
      <c r="N131" s="196"/>
      <c r="O131" s="688"/>
      <c r="P131" s="688"/>
    </row>
    <row r="132" spans="3:16" s="194" customFormat="1" x14ac:dyDescent="0.25">
      <c r="C132" s="805"/>
      <c r="D132" s="805"/>
      <c r="J132" s="772"/>
      <c r="M132" s="687"/>
      <c r="N132" s="196"/>
      <c r="O132" s="688"/>
      <c r="P132" s="688"/>
    </row>
    <row r="133" spans="3:16" s="194" customFormat="1" x14ac:dyDescent="0.25">
      <c r="C133" s="805"/>
      <c r="D133" s="805"/>
      <c r="J133" s="772"/>
      <c r="M133" s="687"/>
      <c r="N133" s="196"/>
      <c r="O133" s="688"/>
      <c r="P133" s="688"/>
    </row>
    <row r="134" spans="3:16" s="194" customFormat="1" x14ac:dyDescent="0.25">
      <c r="C134" s="805"/>
      <c r="D134" s="805"/>
      <c r="J134" s="772"/>
      <c r="M134" s="687"/>
      <c r="N134" s="196"/>
      <c r="O134" s="688"/>
      <c r="P134" s="688"/>
    </row>
    <row r="135" spans="3:16" s="194" customFormat="1" x14ac:dyDescent="0.25">
      <c r="C135" s="805"/>
      <c r="D135" s="805"/>
      <c r="J135" s="772"/>
      <c r="M135" s="687"/>
      <c r="N135" s="196"/>
      <c r="O135" s="688"/>
      <c r="P135" s="688"/>
    </row>
    <row r="136" spans="3:16" s="194" customFormat="1" x14ac:dyDescent="0.25">
      <c r="C136" s="805"/>
      <c r="D136" s="805"/>
      <c r="J136" s="772"/>
      <c r="M136" s="687"/>
      <c r="N136" s="196"/>
      <c r="O136" s="688"/>
      <c r="P136" s="688"/>
    </row>
    <row r="137" spans="3:16" s="194" customFormat="1" x14ac:dyDescent="0.25">
      <c r="C137" s="805"/>
      <c r="D137" s="805"/>
      <c r="J137" s="772"/>
      <c r="M137" s="687"/>
      <c r="N137" s="196"/>
      <c r="O137" s="688"/>
      <c r="P137" s="688"/>
    </row>
    <row r="138" spans="3:16" s="194" customFormat="1" x14ac:dyDescent="0.25">
      <c r="C138" s="805"/>
      <c r="D138" s="805"/>
      <c r="J138" s="772"/>
      <c r="M138" s="687"/>
      <c r="N138" s="196"/>
      <c r="O138" s="688"/>
      <c r="P138" s="688"/>
    </row>
    <row r="139" spans="3:16" s="194" customFormat="1" x14ac:dyDescent="0.25">
      <c r="C139" s="805"/>
      <c r="D139" s="805"/>
      <c r="J139" s="772"/>
      <c r="M139" s="687"/>
      <c r="N139" s="196"/>
      <c r="O139" s="688"/>
      <c r="P139" s="688"/>
    </row>
    <row r="140" spans="3:16" s="194" customFormat="1" x14ac:dyDescent="0.25">
      <c r="C140" s="805"/>
      <c r="D140" s="805"/>
      <c r="J140" s="772"/>
      <c r="M140" s="687"/>
      <c r="N140" s="196"/>
      <c r="O140" s="688"/>
      <c r="P140" s="688"/>
    </row>
    <row r="141" spans="3:16" s="194" customFormat="1" x14ac:dyDescent="0.25">
      <c r="C141" s="805"/>
      <c r="D141" s="805"/>
      <c r="J141" s="772"/>
      <c r="M141" s="687"/>
      <c r="N141" s="196"/>
      <c r="O141" s="688"/>
      <c r="P141" s="688"/>
    </row>
    <row r="142" spans="3:16" s="194" customFormat="1" x14ac:dyDescent="0.25">
      <c r="C142" s="805"/>
      <c r="D142" s="805"/>
      <c r="J142" s="772"/>
      <c r="M142" s="687"/>
      <c r="N142" s="196"/>
      <c r="O142" s="688"/>
      <c r="P142" s="688"/>
    </row>
    <row r="143" spans="3:16" s="194" customFormat="1" x14ac:dyDescent="0.25">
      <c r="C143" s="805"/>
      <c r="D143" s="805"/>
      <c r="J143" s="772"/>
      <c r="M143" s="687"/>
      <c r="N143" s="196"/>
      <c r="O143" s="688"/>
      <c r="P143" s="688"/>
    </row>
    <row r="144" spans="3:16" s="194" customFormat="1" x14ac:dyDescent="0.25">
      <c r="C144" s="805"/>
      <c r="D144" s="805"/>
      <c r="J144" s="772"/>
      <c r="M144" s="687"/>
      <c r="N144" s="196"/>
      <c r="O144" s="688"/>
      <c r="P144" s="688"/>
    </row>
    <row r="145" spans="3:16" s="194" customFormat="1" x14ac:dyDescent="0.25">
      <c r="C145" s="805"/>
      <c r="D145" s="805"/>
      <c r="J145" s="772"/>
      <c r="M145" s="687"/>
      <c r="N145" s="196"/>
      <c r="O145" s="688"/>
      <c r="P145" s="688"/>
    </row>
    <row r="146" spans="3:16" s="194" customFormat="1" x14ac:dyDescent="0.25">
      <c r="C146" s="805"/>
      <c r="D146" s="805"/>
      <c r="J146" s="772"/>
      <c r="M146" s="687"/>
      <c r="N146" s="196"/>
      <c r="O146" s="688"/>
      <c r="P146" s="688"/>
    </row>
    <row r="147" spans="3:16" s="194" customFormat="1" x14ac:dyDescent="0.25">
      <c r="C147" s="805"/>
      <c r="D147" s="805"/>
      <c r="J147" s="772"/>
      <c r="M147" s="687"/>
      <c r="N147" s="196"/>
      <c r="O147" s="688"/>
      <c r="P147" s="688"/>
    </row>
    <row r="148" spans="3:16" s="194" customFormat="1" x14ac:dyDescent="0.25">
      <c r="C148" s="805"/>
      <c r="D148" s="805"/>
      <c r="J148" s="772"/>
      <c r="M148" s="687"/>
      <c r="N148" s="196"/>
      <c r="O148" s="688"/>
      <c r="P148" s="688"/>
    </row>
    <row r="149" spans="3:16" s="194" customFormat="1" x14ac:dyDescent="0.25">
      <c r="C149" s="805"/>
      <c r="D149" s="805"/>
      <c r="J149" s="772"/>
      <c r="M149" s="687"/>
      <c r="N149" s="196"/>
      <c r="O149" s="688"/>
      <c r="P149" s="688"/>
    </row>
    <row r="150" spans="3:16" s="194" customFormat="1" x14ac:dyDescent="0.25">
      <c r="C150" s="805"/>
      <c r="D150" s="805"/>
      <c r="J150" s="772"/>
      <c r="M150" s="687"/>
      <c r="N150" s="196"/>
      <c r="O150" s="688"/>
      <c r="P150" s="688"/>
    </row>
    <row r="151" spans="3:16" s="194" customFormat="1" x14ac:dyDescent="0.25">
      <c r="C151" s="805"/>
      <c r="D151" s="805"/>
      <c r="J151" s="772"/>
      <c r="M151" s="687"/>
      <c r="N151" s="196"/>
      <c r="O151" s="688"/>
      <c r="P151" s="688"/>
    </row>
    <row r="152" spans="3:16" s="194" customFormat="1" x14ac:dyDescent="0.25">
      <c r="C152" s="805"/>
      <c r="D152" s="805"/>
      <c r="J152" s="772"/>
      <c r="M152" s="687"/>
      <c r="N152" s="196"/>
      <c r="O152" s="688"/>
      <c r="P152" s="688"/>
    </row>
    <row r="153" spans="3:16" s="194" customFormat="1" x14ac:dyDescent="0.25">
      <c r="C153" s="805"/>
      <c r="D153" s="805"/>
      <c r="J153" s="772"/>
      <c r="M153" s="687"/>
      <c r="N153" s="196"/>
      <c r="O153" s="688"/>
      <c r="P153" s="688"/>
    </row>
    <row r="154" spans="3:16" s="194" customFormat="1" x14ac:dyDescent="0.25">
      <c r="C154" s="805"/>
      <c r="D154" s="805"/>
      <c r="J154" s="772"/>
      <c r="M154" s="687"/>
      <c r="N154" s="196"/>
      <c r="O154" s="688"/>
      <c r="P154" s="688"/>
    </row>
    <row r="155" spans="3:16" s="194" customFormat="1" x14ac:dyDescent="0.25">
      <c r="C155" s="805"/>
      <c r="D155" s="805"/>
      <c r="J155" s="772"/>
      <c r="M155" s="687"/>
      <c r="N155" s="196"/>
      <c r="O155" s="688"/>
      <c r="P155" s="688"/>
    </row>
    <row r="156" spans="3:16" s="194" customFormat="1" x14ac:dyDescent="0.25">
      <c r="C156" s="805"/>
      <c r="D156" s="805"/>
      <c r="J156" s="772"/>
      <c r="M156" s="687"/>
      <c r="N156" s="196"/>
      <c r="O156" s="688"/>
      <c r="P156" s="688"/>
    </row>
    <row r="157" spans="3:16" s="194" customFormat="1" x14ac:dyDescent="0.25">
      <c r="C157" s="805"/>
      <c r="D157" s="805"/>
      <c r="J157" s="772"/>
      <c r="M157" s="687"/>
      <c r="N157" s="196"/>
      <c r="O157" s="688"/>
      <c r="P157" s="688"/>
    </row>
    <row r="158" spans="3:16" s="194" customFormat="1" x14ac:dyDescent="0.25">
      <c r="C158" s="805"/>
      <c r="D158" s="805"/>
      <c r="J158" s="772"/>
      <c r="M158" s="687"/>
      <c r="N158" s="196"/>
      <c r="O158" s="688"/>
      <c r="P158" s="688"/>
    </row>
    <row r="159" spans="3:16" s="194" customFormat="1" x14ac:dyDescent="0.25">
      <c r="C159" s="805"/>
      <c r="D159" s="805"/>
      <c r="J159" s="772"/>
      <c r="M159" s="687"/>
      <c r="N159" s="196"/>
      <c r="O159" s="688"/>
      <c r="P159" s="688"/>
    </row>
    <row r="160" spans="3:16" s="194" customFormat="1" x14ac:dyDescent="0.25">
      <c r="C160" s="805"/>
      <c r="D160" s="805"/>
      <c r="J160" s="772"/>
      <c r="M160" s="687"/>
      <c r="N160" s="196"/>
      <c r="O160" s="688"/>
      <c r="P160" s="688"/>
    </row>
    <row r="161" spans="3:16" s="194" customFormat="1" x14ac:dyDescent="0.25">
      <c r="C161" s="805"/>
      <c r="D161" s="805"/>
      <c r="J161" s="772"/>
      <c r="M161" s="687"/>
      <c r="N161" s="196"/>
      <c r="O161" s="688"/>
      <c r="P161" s="688"/>
    </row>
    <row r="162" spans="3:16" s="194" customFormat="1" x14ac:dyDescent="0.25">
      <c r="C162" s="805"/>
      <c r="D162" s="805"/>
      <c r="J162" s="772"/>
      <c r="M162" s="687"/>
      <c r="N162" s="196"/>
      <c r="O162" s="688"/>
      <c r="P162" s="688"/>
    </row>
    <row r="163" spans="3:16" s="194" customFormat="1" x14ac:dyDescent="0.25">
      <c r="C163" s="805"/>
      <c r="D163" s="805"/>
      <c r="J163" s="772"/>
      <c r="M163" s="687"/>
      <c r="N163" s="196"/>
      <c r="O163" s="688"/>
      <c r="P163" s="688"/>
    </row>
    <row r="164" spans="3:16" s="194" customFormat="1" x14ac:dyDescent="0.25">
      <c r="C164" s="805"/>
      <c r="D164" s="805"/>
      <c r="J164" s="772"/>
      <c r="M164" s="687"/>
      <c r="N164" s="196"/>
      <c r="O164" s="688"/>
      <c r="P164" s="688"/>
    </row>
    <row r="165" spans="3:16" s="194" customFormat="1" x14ac:dyDescent="0.25">
      <c r="C165" s="805"/>
      <c r="D165" s="805"/>
      <c r="J165" s="772"/>
      <c r="M165" s="687"/>
      <c r="N165" s="196"/>
      <c r="O165" s="688"/>
      <c r="P165" s="688"/>
    </row>
    <row r="166" spans="3:16" s="194" customFormat="1" x14ac:dyDescent="0.25">
      <c r="C166" s="805"/>
      <c r="D166" s="805"/>
      <c r="J166" s="772"/>
      <c r="M166" s="687"/>
      <c r="N166" s="196"/>
      <c r="O166" s="688"/>
      <c r="P166" s="688"/>
    </row>
    <row r="167" spans="3:16" s="194" customFormat="1" x14ac:dyDescent="0.25">
      <c r="C167" s="805"/>
      <c r="D167" s="805"/>
      <c r="J167" s="772"/>
      <c r="M167" s="687"/>
      <c r="N167" s="196"/>
      <c r="O167" s="688"/>
      <c r="P167" s="688"/>
    </row>
    <row r="168" spans="3:16" s="194" customFormat="1" x14ac:dyDescent="0.25">
      <c r="C168" s="805"/>
      <c r="D168" s="805"/>
      <c r="J168" s="772"/>
      <c r="M168" s="687"/>
      <c r="N168" s="196"/>
      <c r="O168" s="688"/>
      <c r="P168" s="688"/>
    </row>
    <row r="169" spans="3:16" s="194" customFormat="1" x14ac:dyDescent="0.25">
      <c r="C169" s="805"/>
      <c r="D169" s="805"/>
      <c r="J169" s="772"/>
      <c r="M169" s="687"/>
      <c r="N169" s="196"/>
      <c r="O169" s="688"/>
      <c r="P169" s="688"/>
    </row>
    <row r="170" spans="3:16" s="194" customFormat="1" x14ac:dyDescent="0.25">
      <c r="C170" s="805"/>
      <c r="D170" s="805"/>
      <c r="J170" s="772"/>
      <c r="M170" s="687"/>
      <c r="N170" s="196"/>
      <c r="O170" s="688"/>
      <c r="P170" s="688"/>
    </row>
    <row r="171" spans="3:16" s="194" customFormat="1" x14ac:dyDescent="0.25">
      <c r="C171" s="805"/>
      <c r="D171" s="805"/>
      <c r="J171" s="772"/>
      <c r="M171" s="687"/>
      <c r="N171" s="196"/>
      <c r="O171" s="688"/>
      <c r="P171" s="688"/>
    </row>
    <row r="172" spans="3:16" s="194" customFormat="1" x14ac:dyDescent="0.25">
      <c r="C172" s="805"/>
      <c r="D172" s="805"/>
      <c r="J172" s="772"/>
      <c r="M172" s="687"/>
      <c r="N172" s="196"/>
      <c r="O172" s="688"/>
      <c r="P172" s="688"/>
    </row>
    <row r="173" spans="3:16" s="194" customFormat="1" x14ac:dyDescent="0.25">
      <c r="C173" s="805"/>
      <c r="D173" s="805"/>
      <c r="J173" s="772"/>
      <c r="M173" s="687"/>
      <c r="N173" s="196"/>
      <c r="O173" s="688"/>
      <c r="P173" s="688"/>
    </row>
    <row r="174" spans="3:16" s="194" customFormat="1" x14ac:dyDescent="0.25">
      <c r="C174" s="805"/>
      <c r="D174" s="805"/>
      <c r="J174" s="772"/>
      <c r="M174" s="687"/>
      <c r="N174" s="196"/>
      <c r="O174" s="688"/>
      <c r="P174" s="688"/>
    </row>
    <row r="175" spans="3:16" s="194" customFormat="1" x14ac:dyDescent="0.25">
      <c r="C175" s="805"/>
      <c r="D175" s="805"/>
      <c r="J175" s="772"/>
      <c r="M175" s="687"/>
      <c r="N175" s="196"/>
      <c r="O175" s="688"/>
      <c r="P175" s="688"/>
    </row>
    <row r="176" spans="3:16" s="194" customFormat="1" x14ac:dyDescent="0.25">
      <c r="C176" s="805"/>
      <c r="D176" s="805"/>
      <c r="J176" s="772"/>
      <c r="M176" s="687"/>
      <c r="N176" s="196"/>
      <c r="O176" s="688"/>
      <c r="P176" s="688"/>
    </row>
    <row r="177" spans="3:16" s="194" customFormat="1" x14ac:dyDescent="0.25">
      <c r="C177" s="805"/>
      <c r="D177" s="805"/>
      <c r="J177" s="772"/>
      <c r="M177" s="687"/>
      <c r="N177" s="196"/>
      <c r="O177" s="688"/>
      <c r="P177" s="688"/>
    </row>
    <row r="178" spans="3:16" s="194" customFormat="1" x14ac:dyDescent="0.25">
      <c r="C178" s="805"/>
      <c r="D178" s="805"/>
      <c r="J178" s="772"/>
      <c r="M178" s="687"/>
      <c r="N178" s="196"/>
      <c r="O178" s="688"/>
      <c r="P178" s="688"/>
    </row>
    <row r="179" spans="3:16" s="194" customFormat="1" x14ac:dyDescent="0.25">
      <c r="C179" s="805"/>
      <c r="D179" s="805"/>
      <c r="J179" s="772"/>
      <c r="M179" s="687"/>
      <c r="N179" s="196"/>
      <c r="O179" s="688"/>
      <c r="P179" s="688"/>
    </row>
    <row r="180" spans="3:16" s="194" customFormat="1" x14ac:dyDescent="0.25">
      <c r="C180" s="805"/>
      <c r="D180" s="805"/>
      <c r="J180" s="772"/>
      <c r="M180" s="687"/>
      <c r="N180" s="196"/>
      <c r="O180" s="688"/>
      <c r="P180" s="688"/>
    </row>
    <row r="181" spans="3:16" s="194" customFormat="1" x14ac:dyDescent="0.25">
      <c r="C181" s="805"/>
      <c r="D181" s="805"/>
      <c r="J181" s="772"/>
      <c r="M181" s="687"/>
      <c r="N181" s="196"/>
      <c r="O181" s="688"/>
      <c r="P181" s="688"/>
    </row>
    <row r="182" spans="3:16" s="194" customFormat="1" x14ac:dyDescent="0.25">
      <c r="C182" s="805"/>
      <c r="D182" s="805"/>
      <c r="J182" s="772"/>
      <c r="M182" s="687"/>
      <c r="N182" s="196"/>
      <c r="O182" s="688"/>
      <c r="P182" s="688"/>
    </row>
    <row r="183" spans="3:16" s="194" customFormat="1" x14ac:dyDescent="0.25">
      <c r="C183" s="805"/>
      <c r="D183" s="805"/>
      <c r="J183" s="772"/>
      <c r="M183" s="687"/>
      <c r="N183" s="196"/>
      <c r="O183" s="688"/>
      <c r="P183" s="688"/>
    </row>
    <row r="184" spans="3:16" s="194" customFormat="1" x14ac:dyDescent="0.25">
      <c r="C184" s="805"/>
      <c r="D184" s="805"/>
      <c r="J184" s="772"/>
      <c r="M184" s="687"/>
      <c r="N184" s="196"/>
      <c r="O184" s="688"/>
      <c r="P184" s="688"/>
    </row>
    <row r="185" spans="3:16" s="194" customFormat="1" x14ac:dyDescent="0.25">
      <c r="C185" s="805"/>
      <c r="D185" s="805"/>
      <c r="J185" s="772"/>
      <c r="M185" s="687"/>
      <c r="N185" s="196"/>
      <c r="O185" s="688"/>
      <c r="P185" s="688"/>
    </row>
    <row r="186" spans="3:16" s="194" customFormat="1" x14ac:dyDescent="0.25">
      <c r="C186" s="805"/>
      <c r="D186" s="805"/>
      <c r="J186" s="772"/>
      <c r="M186" s="687"/>
      <c r="N186" s="196"/>
      <c r="O186" s="688"/>
      <c r="P186" s="688"/>
    </row>
    <row r="187" spans="3:16" s="194" customFormat="1" x14ac:dyDescent="0.25">
      <c r="C187" s="805"/>
      <c r="D187" s="805"/>
      <c r="J187" s="772"/>
      <c r="M187" s="687"/>
      <c r="N187" s="196"/>
      <c r="O187" s="688"/>
      <c r="P187" s="688"/>
    </row>
    <row r="188" spans="3:16" s="194" customFormat="1" x14ac:dyDescent="0.25">
      <c r="C188" s="805"/>
      <c r="D188" s="805"/>
      <c r="J188" s="772"/>
      <c r="M188" s="687"/>
      <c r="N188" s="196"/>
      <c r="O188" s="688"/>
      <c r="P188" s="688"/>
    </row>
    <row r="189" spans="3:16" s="194" customFormat="1" x14ac:dyDescent="0.25">
      <c r="C189" s="805"/>
      <c r="D189" s="805"/>
      <c r="J189" s="772"/>
      <c r="M189" s="687"/>
      <c r="N189" s="196"/>
      <c r="O189" s="688"/>
      <c r="P189" s="688"/>
    </row>
    <row r="190" spans="3:16" s="194" customFormat="1" x14ac:dyDescent="0.25">
      <c r="C190" s="805"/>
      <c r="D190" s="805"/>
      <c r="J190" s="772"/>
      <c r="M190" s="687"/>
      <c r="N190" s="196"/>
      <c r="O190" s="688"/>
      <c r="P190" s="688"/>
    </row>
    <row r="191" spans="3:16" s="194" customFormat="1" x14ac:dyDescent="0.25">
      <c r="C191" s="805"/>
      <c r="D191" s="805"/>
      <c r="J191" s="772"/>
      <c r="M191" s="687"/>
      <c r="N191" s="196"/>
      <c r="O191" s="688"/>
      <c r="P191" s="688"/>
    </row>
    <row r="192" spans="3:16" s="194" customFormat="1" x14ac:dyDescent="0.25">
      <c r="C192" s="805"/>
      <c r="D192" s="805"/>
      <c r="J192" s="772"/>
      <c r="M192" s="687"/>
      <c r="N192" s="196"/>
      <c r="O192" s="688"/>
      <c r="P192" s="688"/>
    </row>
    <row r="193" spans="3:16" s="194" customFormat="1" x14ac:dyDescent="0.25">
      <c r="C193" s="805"/>
      <c r="D193" s="805"/>
      <c r="J193" s="772"/>
      <c r="M193" s="687"/>
      <c r="N193" s="196"/>
      <c r="O193" s="688"/>
      <c r="P193" s="688"/>
    </row>
    <row r="194" spans="3:16" s="194" customFormat="1" x14ac:dyDescent="0.25">
      <c r="C194" s="805"/>
      <c r="D194" s="805"/>
      <c r="J194" s="772"/>
      <c r="M194" s="687"/>
      <c r="N194" s="196"/>
      <c r="O194" s="688"/>
      <c r="P194" s="688"/>
    </row>
    <row r="195" spans="3:16" s="194" customFormat="1" x14ac:dyDescent="0.25">
      <c r="C195" s="805"/>
      <c r="D195" s="805"/>
      <c r="J195" s="772"/>
      <c r="M195" s="687"/>
      <c r="N195" s="196"/>
      <c r="O195" s="688"/>
      <c r="P195" s="688"/>
    </row>
    <row r="196" spans="3:16" s="194" customFormat="1" x14ac:dyDescent="0.25">
      <c r="C196" s="805"/>
      <c r="D196" s="805"/>
      <c r="J196" s="772"/>
      <c r="M196" s="687"/>
      <c r="N196" s="196"/>
      <c r="O196" s="688"/>
      <c r="P196" s="688"/>
    </row>
    <row r="197" spans="3:16" s="194" customFormat="1" x14ac:dyDescent="0.25">
      <c r="C197" s="805"/>
      <c r="D197" s="805"/>
      <c r="J197" s="772"/>
      <c r="M197" s="687"/>
      <c r="N197" s="196"/>
      <c r="O197" s="688"/>
      <c r="P197" s="688"/>
    </row>
    <row r="198" spans="3:16" s="194" customFormat="1" x14ac:dyDescent="0.25">
      <c r="C198" s="805"/>
      <c r="D198" s="805"/>
      <c r="J198" s="772"/>
      <c r="M198" s="687"/>
      <c r="N198" s="196"/>
      <c r="O198" s="688"/>
      <c r="P198" s="688"/>
    </row>
    <row r="199" spans="3:16" s="194" customFormat="1" x14ac:dyDescent="0.25">
      <c r="C199" s="805"/>
      <c r="D199" s="805"/>
      <c r="J199" s="772"/>
      <c r="M199" s="687"/>
      <c r="N199" s="196"/>
      <c r="O199" s="688"/>
      <c r="P199" s="688"/>
    </row>
    <row r="200" spans="3:16" s="194" customFormat="1" x14ac:dyDescent="0.25">
      <c r="C200" s="805"/>
      <c r="D200" s="805"/>
      <c r="J200" s="772"/>
      <c r="M200" s="687"/>
      <c r="N200" s="196"/>
      <c r="O200" s="688"/>
      <c r="P200" s="688"/>
    </row>
    <row r="201" spans="3:16" s="194" customFormat="1" x14ac:dyDescent="0.25">
      <c r="C201" s="805"/>
      <c r="D201" s="805"/>
      <c r="J201" s="772"/>
      <c r="M201" s="687"/>
      <c r="N201" s="196"/>
      <c r="O201" s="688"/>
      <c r="P201" s="688"/>
    </row>
    <row r="202" spans="3:16" s="194" customFormat="1" x14ac:dyDescent="0.25">
      <c r="C202" s="805"/>
      <c r="D202" s="805"/>
      <c r="J202" s="772"/>
      <c r="M202" s="687"/>
      <c r="N202" s="196"/>
      <c r="O202" s="688"/>
      <c r="P202" s="688"/>
    </row>
    <row r="203" spans="3:16" s="194" customFormat="1" x14ac:dyDescent="0.25">
      <c r="C203" s="805"/>
      <c r="D203" s="805"/>
      <c r="J203" s="772"/>
      <c r="M203" s="687"/>
      <c r="N203" s="196"/>
      <c r="O203" s="688"/>
      <c r="P203" s="688"/>
    </row>
    <row r="204" spans="3:16" s="194" customFormat="1" x14ac:dyDescent="0.25">
      <c r="C204" s="805"/>
      <c r="D204" s="805"/>
      <c r="J204" s="772"/>
      <c r="M204" s="687"/>
      <c r="N204" s="196"/>
      <c r="O204" s="688"/>
      <c r="P204" s="688"/>
    </row>
    <row r="205" spans="3:16" s="194" customFormat="1" x14ac:dyDescent="0.25">
      <c r="C205" s="805"/>
      <c r="D205" s="805"/>
      <c r="J205" s="772"/>
      <c r="M205" s="687"/>
      <c r="N205" s="196"/>
      <c r="O205" s="688"/>
      <c r="P205" s="688"/>
    </row>
    <row r="206" spans="3:16" s="194" customFormat="1" x14ac:dyDescent="0.25">
      <c r="C206" s="805"/>
      <c r="D206" s="805"/>
      <c r="J206" s="772"/>
      <c r="M206" s="687"/>
      <c r="N206" s="196"/>
      <c r="O206" s="688"/>
      <c r="P206" s="688"/>
    </row>
    <row r="207" spans="3:16" s="194" customFormat="1" x14ac:dyDescent="0.25">
      <c r="C207" s="805"/>
      <c r="D207" s="805"/>
      <c r="J207" s="772"/>
      <c r="M207" s="687"/>
      <c r="N207" s="196"/>
      <c r="O207" s="688"/>
      <c r="P207" s="688"/>
    </row>
    <row r="208" spans="3:16" s="194" customFormat="1" x14ac:dyDescent="0.25">
      <c r="C208" s="805"/>
      <c r="D208" s="805"/>
      <c r="J208" s="772"/>
      <c r="M208" s="687"/>
      <c r="N208" s="196"/>
      <c r="O208" s="688"/>
      <c r="P208" s="688"/>
    </row>
    <row r="209" spans="3:16" s="194" customFormat="1" x14ac:dyDescent="0.25">
      <c r="C209" s="805"/>
      <c r="D209" s="805"/>
      <c r="J209" s="772"/>
      <c r="M209" s="687"/>
      <c r="N209" s="196"/>
      <c r="O209" s="688"/>
      <c r="P209" s="688"/>
    </row>
    <row r="210" spans="3:16" s="194" customFormat="1" x14ac:dyDescent="0.25">
      <c r="C210" s="805"/>
      <c r="D210" s="805"/>
      <c r="J210" s="772"/>
      <c r="M210" s="687"/>
      <c r="N210" s="196"/>
      <c r="O210" s="688"/>
      <c r="P210" s="688"/>
    </row>
    <row r="211" spans="3:16" s="194" customFormat="1" x14ac:dyDescent="0.25">
      <c r="C211" s="805"/>
      <c r="D211" s="805"/>
      <c r="J211" s="772"/>
      <c r="M211" s="687"/>
      <c r="N211" s="196"/>
      <c r="O211" s="688"/>
      <c r="P211" s="688"/>
    </row>
    <row r="212" spans="3:16" s="194" customFormat="1" x14ac:dyDescent="0.25">
      <c r="C212" s="805"/>
      <c r="D212" s="805"/>
      <c r="J212" s="772"/>
      <c r="M212" s="687"/>
      <c r="N212" s="196"/>
      <c r="O212" s="688"/>
      <c r="P212" s="688"/>
    </row>
    <row r="213" spans="3:16" s="194" customFormat="1" x14ac:dyDescent="0.25">
      <c r="C213" s="805"/>
      <c r="D213" s="805"/>
      <c r="J213" s="772"/>
      <c r="M213" s="687"/>
      <c r="N213" s="196"/>
      <c r="O213" s="688"/>
      <c r="P213" s="688"/>
    </row>
    <row r="214" spans="3:16" s="194" customFormat="1" x14ac:dyDescent="0.25">
      <c r="C214" s="805"/>
      <c r="D214" s="805"/>
      <c r="J214" s="772"/>
      <c r="M214" s="687"/>
      <c r="N214" s="196"/>
      <c r="O214" s="688"/>
      <c r="P214" s="688"/>
    </row>
    <row r="215" spans="3:16" s="194" customFormat="1" x14ac:dyDescent="0.25">
      <c r="C215" s="805"/>
      <c r="D215" s="805"/>
      <c r="J215" s="772"/>
      <c r="M215" s="687"/>
      <c r="N215" s="196"/>
      <c r="O215" s="688"/>
      <c r="P215" s="688"/>
    </row>
    <row r="216" spans="3:16" s="194" customFormat="1" x14ac:dyDescent="0.25">
      <c r="C216" s="805"/>
      <c r="D216" s="805"/>
      <c r="J216" s="772"/>
      <c r="M216" s="687"/>
      <c r="N216" s="196"/>
      <c r="O216" s="688"/>
      <c r="P216" s="688"/>
    </row>
    <row r="217" spans="3:16" s="194" customFormat="1" x14ac:dyDescent="0.25">
      <c r="C217" s="805"/>
      <c r="D217" s="805"/>
      <c r="J217" s="772"/>
      <c r="M217" s="687"/>
      <c r="N217" s="196"/>
      <c r="O217" s="688"/>
      <c r="P217" s="688"/>
    </row>
    <row r="218" spans="3:16" s="194" customFormat="1" x14ac:dyDescent="0.25">
      <c r="C218" s="805"/>
      <c r="D218" s="805"/>
      <c r="J218" s="772"/>
      <c r="M218" s="687"/>
      <c r="N218" s="196"/>
      <c r="O218" s="688"/>
      <c r="P218" s="688"/>
    </row>
    <row r="219" spans="3:16" s="194" customFormat="1" x14ac:dyDescent="0.25">
      <c r="C219" s="805"/>
      <c r="D219" s="805"/>
      <c r="J219" s="772"/>
      <c r="M219" s="687"/>
      <c r="N219" s="196"/>
      <c r="O219" s="688"/>
      <c r="P219" s="688"/>
    </row>
    <row r="220" spans="3:16" s="194" customFormat="1" x14ac:dyDescent="0.25">
      <c r="C220" s="805"/>
      <c r="D220" s="805"/>
      <c r="J220" s="772"/>
      <c r="M220" s="687"/>
      <c r="N220" s="196"/>
      <c r="O220" s="688"/>
      <c r="P220" s="688"/>
    </row>
    <row r="221" spans="3:16" s="194" customFormat="1" x14ac:dyDescent="0.25">
      <c r="C221" s="805"/>
      <c r="D221" s="805"/>
      <c r="J221" s="772"/>
      <c r="M221" s="687"/>
      <c r="N221" s="196"/>
      <c r="O221" s="688"/>
      <c r="P221" s="688"/>
    </row>
    <row r="222" spans="3:16" s="194" customFormat="1" x14ac:dyDescent="0.25">
      <c r="C222" s="805"/>
      <c r="D222" s="805"/>
      <c r="J222" s="772"/>
      <c r="M222" s="687"/>
      <c r="N222" s="196"/>
      <c r="O222" s="688"/>
      <c r="P222" s="688"/>
    </row>
    <row r="223" spans="3:16" s="194" customFormat="1" x14ac:dyDescent="0.25">
      <c r="C223" s="805"/>
      <c r="D223" s="805"/>
      <c r="J223" s="772"/>
      <c r="M223" s="687"/>
      <c r="N223" s="196"/>
      <c r="O223" s="688"/>
      <c r="P223" s="688"/>
    </row>
    <row r="224" spans="3:16" s="194" customFormat="1" x14ac:dyDescent="0.25">
      <c r="C224" s="805"/>
      <c r="D224" s="805"/>
      <c r="J224" s="772"/>
      <c r="M224" s="687"/>
      <c r="N224" s="196"/>
      <c r="O224" s="688"/>
      <c r="P224" s="688"/>
    </row>
    <row r="225" spans="3:16" s="194" customFormat="1" x14ac:dyDescent="0.25">
      <c r="C225" s="805"/>
      <c r="D225" s="805"/>
      <c r="J225" s="772"/>
      <c r="M225" s="687"/>
      <c r="N225" s="196"/>
      <c r="O225" s="688"/>
      <c r="P225" s="688"/>
    </row>
    <row r="226" spans="3:16" s="194" customFormat="1" x14ac:dyDescent="0.25">
      <c r="C226" s="805"/>
      <c r="D226" s="805"/>
      <c r="J226" s="772"/>
      <c r="M226" s="687"/>
      <c r="N226" s="196"/>
      <c r="O226" s="688"/>
      <c r="P226" s="688"/>
    </row>
    <row r="227" spans="3:16" s="194" customFormat="1" x14ac:dyDescent="0.25">
      <c r="C227" s="805"/>
      <c r="D227" s="805"/>
      <c r="J227" s="772"/>
      <c r="M227" s="687"/>
      <c r="N227" s="196"/>
      <c r="O227" s="688"/>
      <c r="P227" s="688"/>
    </row>
    <row r="228" spans="3:16" s="194" customFormat="1" x14ac:dyDescent="0.25">
      <c r="C228" s="805"/>
      <c r="D228" s="805"/>
      <c r="J228" s="772"/>
      <c r="M228" s="687"/>
      <c r="N228" s="196"/>
      <c r="O228" s="688"/>
      <c r="P228" s="688"/>
    </row>
    <row r="229" spans="3:16" s="194" customFormat="1" x14ac:dyDescent="0.25">
      <c r="C229" s="805"/>
      <c r="D229" s="805"/>
      <c r="J229" s="772"/>
      <c r="M229" s="687"/>
      <c r="N229" s="196"/>
      <c r="O229" s="688"/>
      <c r="P229" s="688"/>
    </row>
    <row r="230" spans="3:16" s="194" customFormat="1" x14ac:dyDescent="0.25">
      <c r="C230" s="805"/>
      <c r="D230" s="805"/>
      <c r="J230" s="772"/>
      <c r="M230" s="687"/>
      <c r="N230" s="196"/>
      <c r="O230" s="688"/>
      <c r="P230" s="688"/>
    </row>
    <row r="231" spans="3:16" s="194" customFormat="1" x14ac:dyDescent="0.25">
      <c r="C231" s="805"/>
      <c r="D231" s="805"/>
      <c r="J231" s="772"/>
      <c r="M231" s="687"/>
      <c r="N231" s="196"/>
      <c r="O231" s="688"/>
      <c r="P231" s="688"/>
    </row>
    <row r="232" spans="3:16" s="194" customFormat="1" x14ac:dyDescent="0.25">
      <c r="C232" s="805"/>
      <c r="D232" s="805"/>
      <c r="J232" s="772"/>
      <c r="M232" s="687"/>
      <c r="N232" s="196"/>
      <c r="O232" s="688"/>
      <c r="P232" s="688"/>
    </row>
    <row r="233" spans="3:16" s="194" customFormat="1" x14ac:dyDescent="0.25">
      <c r="C233" s="805"/>
      <c r="D233" s="805"/>
      <c r="J233" s="772"/>
      <c r="M233" s="687"/>
      <c r="N233" s="196"/>
      <c r="O233" s="688"/>
      <c r="P233" s="688"/>
    </row>
    <row r="234" spans="3:16" s="194" customFormat="1" x14ac:dyDescent="0.25">
      <c r="C234" s="805"/>
      <c r="D234" s="805"/>
      <c r="J234" s="772"/>
      <c r="M234" s="687"/>
      <c r="N234" s="196"/>
      <c r="O234" s="688"/>
      <c r="P234" s="688"/>
    </row>
    <row r="235" spans="3:16" s="194" customFormat="1" x14ac:dyDescent="0.25">
      <c r="C235" s="805"/>
      <c r="D235" s="805"/>
      <c r="J235" s="772"/>
      <c r="M235" s="687"/>
      <c r="N235" s="196"/>
      <c r="O235" s="688"/>
      <c r="P235" s="688"/>
    </row>
    <row r="236" spans="3:16" s="194" customFormat="1" x14ac:dyDescent="0.25">
      <c r="C236" s="805"/>
      <c r="D236" s="805"/>
      <c r="J236" s="772"/>
      <c r="M236" s="687"/>
      <c r="N236" s="196"/>
      <c r="O236" s="688"/>
      <c r="P236" s="688"/>
    </row>
    <row r="237" spans="3:16" s="194" customFormat="1" x14ac:dyDescent="0.25">
      <c r="C237" s="805"/>
      <c r="D237" s="805"/>
      <c r="J237" s="772"/>
      <c r="M237" s="687"/>
      <c r="N237" s="196"/>
      <c r="O237" s="688"/>
      <c r="P237" s="688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C11:F11"/>
    <mergeCell ref="G11:I11"/>
    <mergeCell ref="C27:F27"/>
    <mergeCell ref="G27:I27"/>
    <mergeCell ref="C38:F38"/>
    <mergeCell ref="G38:I38"/>
    <mergeCell ref="C46:F46"/>
    <mergeCell ref="G46:I46"/>
    <mergeCell ref="B56:B57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58" fitToHeight="2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W279"/>
  <sheetViews>
    <sheetView topLeftCell="A58" zoomScale="75" zoomScaleNormal="75" zoomScaleSheetLayoutView="90" zoomScalePageLayoutView="75" workbookViewId="0">
      <selection activeCell="A99" sqref="A99"/>
    </sheetView>
  </sheetViews>
  <sheetFormatPr defaultColWidth="9.109375" defaultRowHeight="13.2" x14ac:dyDescent="0.25"/>
  <cols>
    <col min="1" max="1" width="12.109375" style="157" bestFit="1" customWidth="1"/>
    <col min="2" max="2" width="66.88671875" style="157" bestFit="1" customWidth="1"/>
    <col min="3" max="4" width="5" style="44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1.88671875" style="308" bestFit="1" customWidth="1"/>
    <col min="16" max="16" width="22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491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530" t="s">
        <v>492</v>
      </c>
      <c r="B10" s="530" t="s">
        <v>493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x14ac:dyDescent="0.25">
      <c r="A11" s="375"/>
      <c r="B11" s="5"/>
      <c r="C11" s="376"/>
      <c r="D11" s="377" t="s">
        <v>21</v>
      </c>
      <c r="E11" s="259">
        <v>0</v>
      </c>
      <c r="F11" s="378">
        <f t="shared" ref="F11:F22" si="0">C11*E11</f>
        <v>0</v>
      </c>
      <c r="G11" s="534"/>
      <c r="H11" s="380">
        <v>0</v>
      </c>
      <c r="I11" s="378">
        <f t="shared" ref="I11:I22" si="1">G11*H11</f>
        <v>0</v>
      </c>
      <c r="J11" s="381"/>
      <c r="K11" s="535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x14ac:dyDescent="0.25">
      <c r="A12" s="375"/>
      <c r="B12" s="5"/>
      <c r="C12" s="376"/>
      <c r="D12" s="377" t="s">
        <v>21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381"/>
      <c r="K12" s="535">
        <f t="shared" si="2"/>
        <v>0</v>
      </c>
      <c r="L12" s="383"/>
      <c r="M12" s="384"/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383"/>
      <c r="M13" s="384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89"/>
      <c r="B17" s="5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157"/>
      <c r="M17" s="474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157"/>
      <c r="M18" s="474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541"/>
      <c r="M19" s="578"/>
      <c r="N19" s="542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543"/>
      <c r="M20" s="469"/>
      <c r="N20" s="544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157"/>
      <c r="M21" s="474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157"/>
      <c r="M22" s="474"/>
      <c r="O22" s="386"/>
      <c r="P22" s="387"/>
      <c r="Q22" s="388"/>
    </row>
    <row r="23" spans="1:17" ht="13.8" thickBot="1" x14ac:dyDescent="0.3">
      <c r="A23" s="392"/>
      <c r="B23" s="7"/>
      <c r="C23" s="393"/>
      <c r="D23" s="377"/>
      <c r="E23" s="259"/>
      <c r="F23" s="378"/>
      <c r="G23" s="534"/>
      <c r="H23" s="380"/>
      <c r="I23" s="378"/>
      <c r="J23" s="381"/>
      <c r="K23" s="535"/>
      <c r="L23" s="157"/>
      <c r="M23" s="474"/>
      <c r="O23" s="386"/>
      <c r="P23" s="387"/>
      <c r="Q23" s="388"/>
    </row>
    <row r="24" spans="1:17" ht="13.8" thickTop="1" x14ac:dyDescent="0.25">
      <c r="A24" s="392"/>
      <c r="B24" s="7"/>
      <c r="C24" s="393"/>
      <c r="D24" s="377"/>
      <c r="E24" s="259"/>
      <c r="F24" s="378"/>
      <c r="G24" s="534"/>
      <c r="H24" s="380"/>
      <c r="I24" s="378"/>
      <c r="J24" s="394" t="s">
        <v>30</v>
      </c>
      <c r="K24" s="537">
        <f>SUM(K11:K23)</f>
        <v>0</v>
      </c>
      <c r="L24" s="157"/>
      <c r="M24" s="474"/>
      <c r="O24" s="386"/>
      <c r="P24" s="387"/>
      <c r="Q24" s="388"/>
    </row>
    <row r="25" spans="1:17" ht="13.8" thickBot="1" x14ac:dyDescent="0.3">
      <c r="A25" s="358" t="s">
        <v>0</v>
      </c>
      <c r="B25" s="359" t="s">
        <v>1</v>
      </c>
      <c r="C25" s="1018" t="s">
        <v>656</v>
      </c>
      <c r="D25" s="1018"/>
      <c r="E25" s="1018"/>
      <c r="F25" s="1018"/>
      <c r="G25" s="1018" t="s">
        <v>34</v>
      </c>
      <c r="H25" s="1018"/>
      <c r="I25" s="1018"/>
      <c r="J25" s="360"/>
      <c r="K25" s="528"/>
      <c r="L25" s="396"/>
      <c r="M25" s="397"/>
      <c r="N25" s="398"/>
      <c r="O25" s="386"/>
      <c r="P25" s="387"/>
      <c r="Q25" s="388"/>
    </row>
    <row r="26" spans="1:17" ht="15.6" x14ac:dyDescent="0.3">
      <c r="A26" s="530" t="s">
        <v>494</v>
      </c>
      <c r="B26" s="530" t="s">
        <v>495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8" t="s">
        <v>14</v>
      </c>
      <c r="H26" s="403" t="s">
        <v>35</v>
      </c>
      <c r="I26" s="404" t="s">
        <v>30</v>
      </c>
      <c r="J26" s="369" t="s">
        <v>659</v>
      </c>
      <c r="K26" s="539" t="s">
        <v>38</v>
      </c>
      <c r="L26" s="407"/>
      <c r="M26" s="408"/>
      <c r="N26" s="409"/>
      <c r="O26" s="386"/>
      <c r="P26" s="387"/>
      <c r="Q26" s="388"/>
    </row>
    <row r="27" spans="1:17" s="159" customFormat="1" ht="15" x14ac:dyDescent="0.25">
      <c r="A27" s="807" t="s">
        <v>496</v>
      </c>
      <c r="B27" s="807" t="s">
        <v>497</v>
      </c>
      <c r="C27" s="376"/>
      <c r="D27" s="377" t="s">
        <v>21</v>
      </c>
      <c r="E27" s="259">
        <v>0</v>
      </c>
      <c r="F27" s="378">
        <f t="shared" ref="F27:F33" si="3">C27*E27</f>
        <v>0</v>
      </c>
      <c r="G27" s="534"/>
      <c r="H27" s="380">
        <v>0</v>
      </c>
      <c r="I27" s="378">
        <f t="shared" ref="I27:I33" si="4">G27*H27</f>
        <v>0</v>
      </c>
      <c r="J27" s="381"/>
      <c r="K27" s="535">
        <f t="shared" ref="K27:K33" si="5">F27+I27+J27</f>
        <v>0</v>
      </c>
      <c r="M27" s="280"/>
      <c r="O27" s="386"/>
      <c r="P27" s="387"/>
      <c r="Q27" s="388"/>
    </row>
    <row r="28" spans="1:17" s="159" customFormat="1" ht="15" x14ac:dyDescent="0.25">
      <c r="A28" s="807" t="s">
        <v>498</v>
      </c>
      <c r="B28" s="807" t="s">
        <v>499</v>
      </c>
      <c r="C28" s="376"/>
      <c r="D28" s="377" t="s">
        <v>21</v>
      </c>
      <c r="E28" s="259">
        <v>0</v>
      </c>
      <c r="F28" s="378">
        <f t="shared" si="3"/>
        <v>0</v>
      </c>
      <c r="G28" s="534"/>
      <c r="H28" s="380">
        <v>0</v>
      </c>
      <c r="I28" s="378">
        <f t="shared" si="4"/>
        <v>0</v>
      </c>
      <c r="J28" s="381"/>
      <c r="K28" s="535">
        <f t="shared" si="5"/>
        <v>0</v>
      </c>
      <c r="M28" s="282"/>
      <c r="N28" s="157"/>
      <c r="O28" s="386"/>
      <c r="P28" s="387"/>
      <c r="Q28" s="388"/>
    </row>
    <row r="29" spans="1:17" s="159" customFormat="1" x14ac:dyDescent="0.25">
      <c r="A29" s="375"/>
      <c r="B29" s="5"/>
      <c r="C29" s="376"/>
      <c r="D29" s="377" t="s">
        <v>21</v>
      </c>
      <c r="E29" s="259">
        <v>0</v>
      </c>
      <c r="F29" s="378">
        <f t="shared" si="3"/>
        <v>0</v>
      </c>
      <c r="G29" s="534"/>
      <c r="H29" s="380">
        <v>0</v>
      </c>
      <c r="I29" s="378">
        <f t="shared" si="4"/>
        <v>0</v>
      </c>
      <c r="J29" s="381"/>
      <c r="K29" s="535">
        <f t="shared" si="5"/>
        <v>0</v>
      </c>
      <c r="L29" s="383"/>
      <c r="M29" s="384"/>
      <c r="N29" s="385"/>
      <c r="O29" s="386"/>
      <c r="P29" s="387"/>
      <c r="Q29" s="388"/>
    </row>
    <row r="30" spans="1:17" s="159" customFormat="1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s="159" customFormat="1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541"/>
      <c r="M31" s="578"/>
      <c r="N31" s="542"/>
      <c r="O31" s="386"/>
      <c r="P31" s="387"/>
      <c r="Q31" s="388"/>
    </row>
    <row r="32" spans="1:17" s="159" customFormat="1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M32" s="280"/>
      <c r="O32" s="386"/>
      <c r="P32" s="387"/>
      <c r="Q32" s="388"/>
    </row>
    <row r="33" spans="1:23" s="159" customFormat="1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M33" s="280"/>
      <c r="O33" s="386"/>
      <c r="P33" s="387"/>
      <c r="Q33" s="388"/>
    </row>
    <row r="34" spans="1:23" s="159" customFormat="1" ht="13.8" thickBot="1" x14ac:dyDescent="0.3">
      <c r="A34" s="375"/>
      <c r="B34" s="5"/>
      <c r="C34" s="393"/>
      <c r="D34" s="377"/>
      <c r="E34" s="259"/>
      <c r="F34" s="378"/>
      <c r="G34" s="534"/>
      <c r="H34" s="380"/>
      <c r="I34" s="378"/>
      <c r="J34" s="381"/>
      <c r="K34" s="540"/>
      <c r="L34" s="157"/>
      <c r="M34" s="474"/>
      <c r="N34" s="157"/>
      <c r="O34" s="386"/>
      <c r="P34" s="387"/>
      <c r="Q34" s="388"/>
    </row>
    <row r="35" spans="1:23" s="159" customFormat="1" ht="13.8" thickTop="1" x14ac:dyDescent="0.25">
      <c r="A35" s="392"/>
      <c r="B35" s="5"/>
      <c r="C35" s="393"/>
      <c r="D35" s="377"/>
      <c r="E35" s="259"/>
      <c r="F35" s="378"/>
      <c r="G35" s="534"/>
      <c r="H35" s="380"/>
      <c r="I35" s="378"/>
      <c r="J35" s="394" t="s">
        <v>30</v>
      </c>
      <c r="K35" s="537">
        <f>SUM(K27:K34)</f>
        <v>0</v>
      </c>
      <c r="L35" s="383"/>
      <c r="M35" s="384"/>
      <c r="N35" s="385"/>
      <c r="O35" s="386"/>
      <c r="P35" s="387"/>
      <c r="Q35" s="388"/>
    </row>
    <row r="36" spans="1:23" s="159" customFormat="1" ht="13.8" thickBot="1" x14ac:dyDescent="0.3">
      <c r="A36" s="358" t="s">
        <v>0</v>
      </c>
      <c r="B36" s="359" t="s">
        <v>1</v>
      </c>
      <c r="C36" s="1018" t="s">
        <v>656</v>
      </c>
      <c r="D36" s="1018"/>
      <c r="E36" s="1018"/>
      <c r="F36" s="1018"/>
      <c r="G36" s="1018" t="s">
        <v>34</v>
      </c>
      <c r="H36" s="1018"/>
      <c r="I36" s="1018"/>
      <c r="J36" s="360"/>
      <c r="K36" s="528"/>
      <c r="L36" s="396"/>
      <c r="M36" s="397"/>
      <c r="N36" s="398"/>
      <c r="O36" s="386"/>
      <c r="P36" s="387"/>
      <c r="Q36" s="388"/>
    </row>
    <row r="37" spans="1:23" s="159" customFormat="1" ht="16.2" thickBot="1" x14ac:dyDescent="0.35">
      <c r="A37" s="530" t="s">
        <v>500</v>
      </c>
      <c r="B37" s="530" t="s">
        <v>501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8" t="s">
        <v>14</v>
      </c>
      <c r="H37" s="403" t="s">
        <v>35</v>
      </c>
      <c r="I37" s="404" t="s">
        <v>30</v>
      </c>
      <c r="J37" s="369" t="s">
        <v>659</v>
      </c>
      <c r="K37" s="539" t="s">
        <v>38</v>
      </c>
      <c r="L37" s="407"/>
      <c r="M37" s="413"/>
      <c r="N37" s="414"/>
      <c r="O37" s="415"/>
      <c r="P37" s="416"/>
      <c r="Q37" s="388"/>
    </row>
    <row r="38" spans="1:23" s="159" customFormat="1" x14ac:dyDescent="0.25">
      <c r="A38" s="410"/>
      <c r="B38" s="411"/>
      <c r="C38" s="376"/>
      <c r="D38" s="377" t="s">
        <v>21</v>
      </c>
      <c r="E38" s="259">
        <v>0</v>
      </c>
      <c r="F38" s="378">
        <f>C38*E38</f>
        <v>0</v>
      </c>
      <c r="G38" s="534"/>
      <c r="H38" s="380">
        <v>0</v>
      </c>
      <c r="I38" s="378">
        <f>G38*H38</f>
        <v>0</v>
      </c>
      <c r="J38" s="381"/>
      <c r="K38" s="535">
        <f>F38+I38+J38</f>
        <v>0</v>
      </c>
      <c r="L38" s="383"/>
      <c r="M38" s="384"/>
      <c r="N38" s="385"/>
      <c r="O38" s="415"/>
      <c r="P38" s="416"/>
      <c r="Q38" s="388"/>
    </row>
    <row r="39" spans="1:23" s="159" customFormat="1" x14ac:dyDescent="0.25">
      <c r="A39" s="375"/>
      <c r="B39" s="5"/>
      <c r="C39" s="376"/>
      <c r="D39" s="377" t="s">
        <v>21</v>
      </c>
      <c r="E39" s="259">
        <v>0</v>
      </c>
      <c r="F39" s="378">
        <f>C39*E39</f>
        <v>0</v>
      </c>
      <c r="G39" s="534"/>
      <c r="H39" s="380">
        <v>0</v>
      </c>
      <c r="I39" s="378">
        <f>G39*H39</f>
        <v>0</v>
      </c>
      <c r="J39" s="381"/>
      <c r="K39" s="535">
        <f>F39+I39+J39</f>
        <v>0</v>
      </c>
      <c r="M39" s="280"/>
      <c r="O39" s="415"/>
      <c r="P39" s="416"/>
      <c r="Q39" s="388"/>
    </row>
    <row r="40" spans="1:23" s="159" customFormat="1" x14ac:dyDescent="0.25">
      <c r="A40" s="375"/>
      <c r="B40" s="5"/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M40" s="280"/>
      <c r="O40" s="415"/>
      <c r="P40" s="416"/>
      <c r="Q40" s="388"/>
    </row>
    <row r="41" spans="1:23" s="159" customFormat="1" x14ac:dyDescent="0.25">
      <c r="A41" s="392"/>
      <c r="B41" s="417"/>
      <c r="C41" s="393"/>
      <c r="D41" s="377"/>
      <c r="E41" s="259"/>
      <c r="F41" s="378"/>
      <c r="G41" s="534"/>
      <c r="H41" s="380"/>
      <c r="I41" s="378"/>
      <c r="J41" s="381"/>
      <c r="K41" s="540"/>
      <c r="L41" s="383"/>
      <c r="M41" s="384"/>
      <c r="N41" s="385"/>
      <c r="O41" s="415"/>
      <c r="P41" s="416"/>
      <c r="Q41" s="388"/>
    </row>
    <row r="42" spans="1:23" s="159" customFormat="1" ht="13.8" thickBot="1" x14ac:dyDescent="0.3">
      <c r="A42" s="392"/>
      <c r="B42" s="417"/>
      <c r="C42" s="393"/>
      <c r="D42" s="377"/>
      <c r="E42" s="259"/>
      <c r="F42" s="378"/>
      <c r="G42" s="534"/>
      <c r="H42" s="380"/>
      <c r="I42" s="378"/>
      <c r="J42" s="381"/>
      <c r="K42" s="540"/>
      <c r="M42" s="282"/>
      <c r="N42" s="157"/>
      <c r="O42" s="415"/>
      <c r="P42" s="416"/>
      <c r="Q42" s="388"/>
    </row>
    <row r="43" spans="1:23" s="159" customFormat="1" ht="15.6" thickTop="1" x14ac:dyDescent="0.25">
      <c r="A43" s="392"/>
      <c r="B43" s="417"/>
      <c r="C43" s="393"/>
      <c r="D43" s="377"/>
      <c r="E43" s="259"/>
      <c r="F43" s="378"/>
      <c r="G43" s="534"/>
      <c r="H43" s="380"/>
      <c r="I43" s="378"/>
      <c r="J43" s="394" t="s">
        <v>30</v>
      </c>
      <c r="K43" s="537">
        <f>SUM(K38:K42)</f>
        <v>0</v>
      </c>
      <c r="M43" s="282"/>
      <c r="N43" s="157"/>
      <c r="O43" s="386"/>
      <c r="P43" s="387"/>
      <c r="Q43" s="388"/>
      <c r="V43" s="196"/>
      <c r="W43" s="196"/>
    </row>
    <row r="44" spans="1:23" s="159" customFormat="1" ht="13.8" thickBot="1" x14ac:dyDescent="0.3">
      <c r="A44" s="358" t="s">
        <v>0</v>
      </c>
      <c r="B44" s="359" t="s">
        <v>1</v>
      </c>
      <c r="C44" s="1018" t="s">
        <v>656</v>
      </c>
      <c r="D44" s="1018"/>
      <c r="E44" s="1018"/>
      <c r="F44" s="1018"/>
      <c r="G44" s="1018" t="s">
        <v>34</v>
      </c>
      <c r="H44" s="1018"/>
      <c r="I44" s="1018"/>
      <c r="J44" s="360"/>
      <c r="K44" s="528"/>
      <c r="L44" s="396"/>
      <c r="M44" s="397"/>
      <c r="N44" s="398"/>
      <c r="O44" s="386"/>
      <c r="P44" s="387"/>
      <c r="Q44" s="388"/>
    </row>
    <row r="45" spans="1:23" s="159" customFormat="1" ht="16.2" thickBot="1" x14ac:dyDescent="0.35">
      <c r="A45" s="530" t="s">
        <v>502</v>
      </c>
      <c r="B45" s="530" t="s">
        <v>503</v>
      </c>
      <c r="C45" s="401" t="s">
        <v>19</v>
      </c>
      <c r="D45" s="402" t="s">
        <v>33</v>
      </c>
      <c r="E45" s="403" t="s">
        <v>35</v>
      </c>
      <c r="F45" s="404" t="s">
        <v>30</v>
      </c>
      <c r="G45" s="538" t="s">
        <v>14</v>
      </c>
      <c r="H45" s="403" t="s">
        <v>35</v>
      </c>
      <c r="I45" s="404" t="s">
        <v>30</v>
      </c>
      <c r="J45" s="369" t="s">
        <v>659</v>
      </c>
      <c r="K45" s="539" t="s">
        <v>38</v>
      </c>
      <c r="L45" s="407"/>
      <c r="M45" s="413"/>
      <c r="N45" s="414"/>
      <c r="O45" s="386"/>
      <c r="P45" s="416"/>
      <c r="Q45" s="388"/>
    </row>
    <row r="46" spans="1:23" s="159" customFormat="1" x14ac:dyDescent="0.25">
      <c r="A46" s="410"/>
      <c r="B46" s="411"/>
      <c r="C46" s="376"/>
      <c r="D46" s="377" t="s">
        <v>21</v>
      </c>
      <c r="E46" s="259">
        <v>0</v>
      </c>
      <c r="F46" s="378">
        <f>C46*E46</f>
        <v>0</v>
      </c>
      <c r="G46" s="534"/>
      <c r="H46" s="380">
        <v>0</v>
      </c>
      <c r="I46" s="378">
        <f>G46*H46</f>
        <v>0</v>
      </c>
      <c r="J46" s="381"/>
      <c r="K46" s="535">
        <f>F46+I46+J46</f>
        <v>0</v>
      </c>
      <c r="L46" s="383"/>
      <c r="M46" s="261"/>
      <c r="N46" s="426"/>
      <c r="O46" s="386"/>
      <c r="P46" s="387"/>
      <c r="Q46" s="388"/>
    </row>
    <row r="47" spans="1:23" s="159" customFormat="1" x14ac:dyDescent="0.25">
      <c r="A47" s="375"/>
      <c r="B47" s="5"/>
      <c r="C47" s="376"/>
      <c r="D47" s="377" t="s">
        <v>21</v>
      </c>
      <c r="E47" s="259">
        <v>0</v>
      </c>
      <c r="F47" s="378">
        <f>C47*E47</f>
        <v>0</v>
      </c>
      <c r="G47" s="534"/>
      <c r="H47" s="380">
        <v>0</v>
      </c>
      <c r="I47" s="378">
        <f>G47*H47</f>
        <v>0</v>
      </c>
      <c r="J47" s="381"/>
      <c r="K47" s="535">
        <f>F47+I47+J47</f>
        <v>0</v>
      </c>
      <c r="L47" s="541"/>
      <c r="M47" s="578"/>
      <c r="N47" s="542"/>
      <c r="O47" s="386"/>
      <c r="P47" s="387"/>
      <c r="Q47" s="388"/>
    </row>
    <row r="48" spans="1:23" s="159" customFormat="1" x14ac:dyDescent="0.25">
      <c r="A48" s="375"/>
      <c r="B48" s="5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543"/>
      <c r="M48" s="261"/>
      <c r="N48" s="426"/>
      <c r="O48" s="386"/>
      <c r="P48" s="387"/>
      <c r="Q48" s="388"/>
    </row>
    <row r="49" spans="1:17" s="159" customFormat="1" x14ac:dyDescent="0.25">
      <c r="A49" s="375"/>
      <c r="B49" s="5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667"/>
      <c r="M49" s="261"/>
      <c r="N49" s="426"/>
      <c r="O49" s="386"/>
      <c r="P49" s="387"/>
      <c r="Q49" s="388"/>
    </row>
    <row r="50" spans="1:17" s="159" customFormat="1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426"/>
      <c r="O50" s="386"/>
      <c r="P50" s="387"/>
      <c r="Q50" s="388"/>
    </row>
    <row r="51" spans="1:17" s="159" customFormat="1" ht="13.8" thickBot="1" x14ac:dyDescent="0.3">
      <c r="A51" s="392"/>
      <c r="B51" s="417"/>
      <c r="C51" s="393"/>
      <c r="D51" s="377"/>
      <c r="E51" s="259"/>
      <c r="F51" s="378"/>
      <c r="G51" s="534"/>
      <c r="H51" s="380"/>
      <c r="I51" s="378"/>
      <c r="J51" s="381"/>
      <c r="K51" s="540"/>
      <c r="L51" s="383"/>
      <c r="M51" s="261"/>
      <c r="N51" s="385"/>
      <c r="O51" s="386"/>
      <c r="P51" s="387"/>
      <c r="Q51" s="388"/>
    </row>
    <row r="52" spans="1:17" s="159" customFormat="1" ht="13.8" thickTop="1" x14ac:dyDescent="0.25">
      <c r="A52" s="392"/>
      <c r="B52" s="417"/>
      <c r="C52" s="393"/>
      <c r="D52" s="377"/>
      <c r="E52" s="259"/>
      <c r="F52" s="378"/>
      <c r="G52" s="534"/>
      <c r="H52" s="380"/>
      <c r="I52" s="378"/>
      <c r="J52" s="394" t="s">
        <v>30</v>
      </c>
      <c r="K52" s="537">
        <f>SUM(K46:K51)</f>
        <v>0</v>
      </c>
      <c r="L52" s="157"/>
      <c r="M52" s="474"/>
      <c r="N52" s="157"/>
      <c r="O52" s="441"/>
      <c r="P52" s="442"/>
      <c r="Q52" s="388"/>
    </row>
    <row r="53" spans="1:17" s="159" customFormat="1" ht="13.8" thickBot="1" x14ac:dyDescent="0.3">
      <c r="A53" s="358" t="s">
        <v>0</v>
      </c>
      <c r="B53" s="359" t="s">
        <v>1</v>
      </c>
      <c r="C53" s="1018" t="s">
        <v>656</v>
      </c>
      <c r="D53" s="1018"/>
      <c r="E53" s="1018"/>
      <c r="F53" s="1018"/>
      <c r="G53" s="1018" t="s">
        <v>34</v>
      </c>
      <c r="H53" s="1018"/>
      <c r="I53" s="1018"/>
      <c r="J53" s="360"/>
      <c r="K53" s="528"/>
      <c r="L53" s="396"/>
      <c r="M53" s="397"/>
      <c r="N53" s="398"/>
      <c r="O53" s="441"/>
      <c r="P53" s="442"/>
      <c r="Q53" s="388"/>
    </row>
    <row r="54" spans="1:17" s="159" customFormat="1" ht="16.2" thickBot="1" x14ac:dyDescent="0.35">
      <c r="A54" s="530" t="s">
        <v>504</v>
      </c>
      <c r="B54" s="530" t="s">
        <v>505</v>
      </c>
      <c r="C54" s="401" t="s">
        <v>19</v>
      </c>
      <c r="D54" s="402" t="s">
        <v>33</v>
      </c>
      <c r="E54" s="403" t="s">
        <v>35</v>
      </c>
      <c r="F54" s="404" t="s">
        <v>30</v>
      </c>
      <c r="G54" s="538" t="s">
        <v>14</v>
      </c>
      <c r="H54" s="403" t="s">
        <v>35</v>
      </c>
      <c r="I54" s="404" t="s">
        <v>30</v>
      </c>
      <c r="J54" s="369" t="s">
        <v>659</v>
      </c>
      <c r="K54" s="539" t="s">
        <v>38</v>
      </c>
      <c r="L54" s="407"/>
      <c r="M54" s="413"/>
      <c r="N54" s="414"/>
      <c r="O54" s="415"/>
      <c r="P54" s="416"/>
      <c r="Q54" s="388"/>
    </row>
    <row r="55" spans="1:17" s="159" customFormat="1" x14ac:dyDescent="0.25">
      <c r="A55" s="410"/>
      <c r="B55" s="411"/>
      <c r="C55" s="376"/>
      <c r="D55" s="377" t="s">
        <v>21</v>
      </c>
      <c r="E55" s="259">
        <v>0</v>
      </c>
      <c r="F55" s="378">
        <f t="shared" ref="F55:F61" si="6">C55*E55</f>
        <v>0</v>
      </c>
      <c r="G55" s="534"/>
      <c r="H55" s="380">
        <v>0</v>
      </c>
      <c r="I55" s="378">
        <f t="shared" ref="I55:I61" si="7">G55*H55</f>
        <v>0</v>
      </c>
      <c r="J55" s="381"/>
      <c r="K55" s="535">
        <f t="shared" ref="K55:K61" si="8">F55+I55+J55</f>
        <v>0</v>
      </c>
      <c r="M55" s="280"/>
      <c r="O55" s="386"/>
      <c r="P55" s="387"/>
      <c r="Q55" s="388"/>
    </row>
    <row r="56" spans="1:17" s="159" customFormat="1" x14ac:dyDescent="0.25">
      <c r="A56" s="375"/>
      <c r="B56" s="5"/>
      <c r="C56" s="376"/>
      <c r="D56" s="377" t="s">
        <v>21</v>
      </c>
      <c r="E56" s="259">
        <v>0</v>
      </c>
      <c r="F56" s="378">
        <f t="shared" si="6"/>
        <v>0</v>
      </c>
      <c r="G56" s="534"/>
      <c r="H56" s="380">
        <v>0</v>
      </c>
      <c r="I56" s="378">
        <f t="shared" si="7"/>
        <v>0</v>
      </c>
      <c r="J56" s="381"/>
      <c r="K56" s="535">
        <f t="shared" si="8"/>
        <v>0</v>
      </c>
      <c r="L56" s="383"/>
      <c r="M56" s="261"/>
      <c r="N56" s="385"/>
      <c r="O56" s="386"/>
      <c r="P56" s="387"/>
      <c r="Q56" s="388"/>
    </row>
    <row r="57" spans="1:17" s="159" customFormat="1" x14ac:dyDescent="0.25">
      <c r="A57" s="375"/>
      <c r="B57" s="5"/>
      <c r="C57" s="376"/>
      <c r="D57" s="377" t="s">
        <v>21</v>
      </c>
      <c r="E57" s="259">
        <v>0</v>
      </c>
      <c r="F57" s="378">
        <f t="shared" si="6"/>
        <v>0</v>
      </c>
      <c r="G57" s="534"/>
      <c r="H57" s="380">
        <v>0</v>
      </c>
      <c r="I57" s="378">
        <f t="shared" si="7"/>
        <v>0</v>
      </c>
      <c r="J57" s="381"/>
      <c r="K57" s="535">
        <f t="shared" si="8"/>
        <v>0</v>
      </c>
      <c r="L57" s="383"/>
      <c r="M57" s="261"/>
      <c r="N57" s="385"/>
      <c r="O57" s="386"/>
      <c r="P57" s="387"/>
      <c r="Q57" s="388"/>
    </row>
    <row r="58" spans="1:17" s="159" customFormat="1" x14ac:dyDescent="0.25">
      <c r="A58" s="375"/>
      <c r="B58" s="5"/>
      <c r="C58" s="376"/>
      <c r="D58" s="377" t="s">
        <v>21</v>
      </c>
      <c r="E58" s="259">
        <v>0</v>
      </c>
      <c r="F58" s="378">
        <f t="shared" si="6"/>
        <v>0</v>
      </c>
      <c r="G58" s="534"/>
      <c r="H58" s="380">
        <v>0</v>
      </c>
      <c r="I58" s="378">
        <f t="shared" si="7"/>
        <v>0</v>
      </c>
      <c r="J58" s="381"/>
      <c r="K58" s="535">
        <f t="shared" si="8"/>
        <v>0</v>
      </c>
      <c r="L58" s="383"/>
      <c r="M58" s="261"/>
      <c r="N58" s="385"/>
      <c r="O58" s="386"/>
      <c r="P58" s="387"/>
      <c r="Q58" s="388"/>
    </row>
    <row r="59" spans="1:17" s="159" customFormat="1" x14ac:dyDescent="0.25">
      <c r="A59" s="375"/>
      <c r="B59" s="5"/>
      <c r="C59" s="376"/>
      <c r="D59" s="377" t="s">
        <v>21</v>
      </c>
      <c r="E59" s="259">
        <v>0</v>
      </c>
      <c r="F59" s="378">
        <f t="shared" si="6"/>
        <v>0</v>
      </c>
      <c r="G59" s="534"/>
      <c r="H59" s="380">
        <v>0</v>
      </c>
      <c r="I59" s="378">
        <f t="shared" si="7"/>
        <v>0</v>
      </c>
      <c r="J59" s="381"/>
      <c r="K59" s="535">
        <f t="shared" si="8"/>
        <v>0</v>
      </c>
      <c r="M59" s="280"/>
      <c r="O59" s="386"/>
      <c r="P59" s="387"/>
      <c r="Q59" s="388"/>
    </row>
    <row r="60" spans="1:17" s="159" customFormat="1" x14ac:dyDescent="0.25">
      <c r="A60" s="375"/>
      <c r="B60" s="5"/>
      <c r="C60" s="376"/>
      <c r="D60" s="377" t="s">
        <v>21</v>
      </c>
      <c r="E60" s="259">
        <v>0</v>
      </c>
      <c r="F60" s="378">
        <f t="shared" si="6"/>
        <v>0</v>
      </c>
      <c r="G60" s="534"/>
      <c r="H60" s="380">
        <v>0</v>
      </c>
      <c r="I60" s="378">
        <f t="shared" si="7"/>
        <v>0</v>
      </c>
      <c r="J60" s="381"/>
      <c r="K60" s="535">
        <f t="shared" si="8"/>
        <v>0</v>
      </c>
      <c r="M60" s="280"/>
      <c r="O60" s="386"/>
      <c r="P60" s="387"/>
      <c r="Q60" s="388"/>
    </row>
    <row r="61" spans="1:17" s="159" customFormat="1" x14ac:dyDescent="0.25">
      <c r="A61" s="375"/>
      <c r="B61" s="5"/>
      <c r="C61" s="376"/>
      <c r="D61" s="377" t="s">
        <v>21</v>
      </c>
      <c r="E61" s="259">
        <v>0</v>
      </c>
      <c r="F61" s="378">
        <f t="shared" si="6"/>
        <v>0</v>
      </c>
      <c r="G61" s="534"/>
      <c r="H61" s="380">
        <v>0</v>
      </c>
      <c r="I61" s="378">
        <f t="shared" si="7"/>
        <v>0</v>
      </c>
      <c r="J61" s="381"/>
      <c r="K61" s="535">
        <f t="shared" si="8"/>
        <v>0</v>
      </c>
      <c r="L61" s="383"/>
      <c r="M61" s="261"/>
      <c r="N61" s="426"/>
      <c r="O61" s="386"/>
      <c r="P61" s="387"/>
      <c r="Q61" s="388"/>
    </row>
    <row r="62" spans="1:17" s="159" customFormat="1" ht="13.8" thickBot="1" x14ac:dyDescent="0.3">
      <c r="A62" s="392"/>
      <c r="B62" s="5"/>
      <c r="C62" s="393"/>
      <c r="D62" s="377"/>
      <c r="E62" s="259"/>
      <c r="F62" s="378"/>
      <c r="G62" s="534"/>
      <c r="H62" s="380"/>
      <c r="I62" s="378"/>
      <c r="J62" s="381"/>
      <c r="K62" s="540"/>
      <c r="M62" s="282"/>
      <c r="N62" s="157"/>
      <c r="O62" s="386"/>
      <c r="P62" s="387"/>
      <c r="Q62" s="388"/>
    </row>
    <row r="63" spans="1:17" s="159" customFormat="1" ht="13.8" thickTop="1" x14ac:dyDescent="0.25">
      <c r="A63" s="392"/>
      <c r="B63" s="417"/>
      <c r="C63" s="393"/>
      <c r="D63" s="377"/>
      <c r="E63" s="259"/>
      <c r="F63" s="378"/>
      <c r="G63" s="534"/>
      <c r="H63" s="380"/>
      <c r="I63" s="378"/>
      <c r="J63" s="394" t="s">
        <v>30</v>
      </c>
      <c r="K63" s="537">
        <f>SUM(K55:K62)</f>
        <v>0</v>
      </c>
      <c r="M63" s="282"/>
      <c r="N63" s="157"/>
      <c r="O63" s="386"/>
      <c r="P63" s="387"/>
      <c r="Q63" s="388"/>
    </row>
    <row r="64" spans="1:17" s="159" customFormat="1" ht="13.8" thickBot="1" x14ac:dyDescent="0.3">
      <c r="A64" s="358" t="s">
        <v>0</v>
      </c>
      <c r="B64" s="359" t="s">
        <v>1</v>
      </c>
      <c r="C64" s="1018" t="s">
        <v>656</v>
      </c>
      <c r="D64" s="1018"/>
      <c r="E64" s="1018"/>
      <c r="F64" s="1018"/>
      <c r="G64" s="1018" t="s">
        <v>34</v>
      </c>
      <c r="H64" s="1018"/>
      <c r="I64" s="1018"/>
      <c r="J64" s="360"/>
      <c r="K64" s="528"/>
      <c r="L64" s="396"/>
      <c r="M64" s="397"/>
      <c r="N64" s="398"/>
      <c r="O64" s="386"/>
      <c r="P64" s="387"/>
      <c r="Q64" s="388"/>
    </row>
    <row r="65" spans="1:17" s="159" customFormat="1" ht="16.2" thickBot="1" x14ac:dyDescent="0.35">
      <c r="A65" s="399"/>
      <c r="B65" s="400"/>
      <c r="C65" s="401" t="s">
        <v>19</v>
      </c>
      <c r="D65" s="402" t="s">
        <v>33</v>
      </c>
      <c r="E65" s="403" t="s">
        <v>35</v>
      </c>
      <c r="F65" s="404" t="s">
        <v>30</v>
      </c>
      <c r="G65" s="538" t="s">
        <v>14</v>
      </c>
      <c r="H65" s="403" t="s">
        <v>35</v>
      </c>
      <c r="I65" s="404" t="s">
        <v>30</v>
      </c>
      <c r="J65" s="369" t="s">
        <v>659</v>
      </c>
      <c r="K65" s="539" t="s">
        <v>38</v>
      </c>
      <c r="L65" s="407"/>
      <c r="M65" s="413"/>
      <c r="N65" s="414"/>
      <c r="O65" s="386"/>
      <c r="P65" s="387"/>
      <c r="Q65" s="388"/>
    </row>
    <row r="66" spans="1:17" s="159" customFormat="1" x14ac:dyDescent="0.25">
      <c r="A66" s="410"/>
      <c r="B66" s="411"/>
      <c r="C66" s="376"/>
      <c r="D66" s="377" t="s">
        <v>21</v>
      </c>
      <c r="E66" s="259">
        <v>0</v>
      </c>
      <c r="F66" s="378">
        <f>C66*E66</f>
        <v>0</v>
      </c>
      <c r="G66" s="534"/>
      <c r="H66" s="380">
        <v>0</v>
      </c>
      <c r="I66" s="378">
        <f>G66*H66</f>
        <v>0</v>
      </c>
      <c r="J66" s="381"/>
      <c r="K66" s="535">
        <f>F66+I66+J66</f>
        <v>0</v>
      </c>
      <c r="L66" s="383"/>
      <c r="M66" s="384"/>
      <c r="N66" s="385"/>
      <c r="O66" s="386"/>
      <c r="P66" s="387"/>
      <c r="Q66" s="388"/>
    </row>
    <row r="67" spans="1:17" s="159" customFormat="1" x14ac:dyDescent="0.25">
      <c r="A67" s="375"/>
      <c r="B67" s="5"/>
      <c r="C67" s="376"/>
      <c r="D67" s="377" t="s">
        <v>21</v>
      </c>
      <c r="E67" s="259">
        <v>0</v>
      </c>
      <c r="F67" s="378">
        <f>C67*E67</f>
        <v>0</v>
      </c>
      <c r="G67" s="534"/>
      <c r="H67" s="380">
        <v>0</v>
      </c>
      <c r="I67" s="378">
        <f>G67*H67</f>
        <v>0</v>
      </c>
      <c r="J67" s="381"/>
      <c r="K67" s="535">
        <f>F67+I67+J67</f>
        <v>0</v>
      </c>
      <c r="L67" s="383"/>
      <c r="M67" s="384"/>
      <c r="N67" s="385"/>
      <c r="O67" s="386"/>
      <c r="P67" s="387"/>
      <c r="Q67" s="388"/>
    </row>
    <row r="68" spans="1:17" s="159" customFormat="1" x14ac:dyDescent="0.25">
      <c r="A68" s="375"/>
      <c r="B68" s="5"/>
      <c r="C68" s="376"/>
      <c r="D68" s="377" t="s">
        <v>21</v>
      </c>
      <c r="E68" s="259">
        <v>0</v>
      </c>
      <c r="F68" s="378">
        <f>C68*E68</f>
        <v>0</v>
      </c>
      <c r="G68" s="534"/>
      <c r="H68" s="380">
        <v>0</v>
      </c>
      <c r="I68" s="378">
        <f>G68*H68</f>
        <v>0</v>
      </c>
      <c r="J68" s="381"/>
      <c r="K68" s="535">
        <f>F68+I68+J68</f>
        <v>0</v>
      </c>
      <c r="M68" s="280"/>
      <c r="O68" s="386"/>
      <c r="P68" s="387"/>
      <c r="Q68" s="388"/>
    </row>
    <row r="69" spans="1:17" s="159" customFormat="1" x14ac:dyDescent="0.25">
      <c r="A69" s="375"/>
      <c r="B69" s="5"/>
      <c r="C69" s="376"/>
      <c r="D69" s="377" t="s">
        <v>21</v>
      </c>
      <c r="E69" s="259">
        <v>0</v>
      </c>
      <c r="F69" s="378">
        <f>C69*E69</f>
        <v>0</v>
      </c>
      <c r="G69" s="534"/>
      <c r="H69" s="380">
        <v>0</v>
      </c>
      <c r="I69" s="378">
        <f>G69*H69</f>
        <v>0</v>
      </c>
      <c r="J69" s="381"/>
      <c r="K69" s="535">
        <f>F69+I69+J69</f>
        <v>0</v>
      </c>
      <c r="M69" s="280"/>
      <c r="O69" s="386"/>
      <c r="P69" s="387"/>
      <c r="Q69" s="388"/>
    </row>
    <row r="70" spans="1:17" s="159" customFormat="1" x14ac:dyDescent="0.25">
      <c r="A70" s="375"/>
      <c r="B70" s="5"/>
      <c r="C70" s="376"/>
      <c r="D70" s="377" t="s">
        <v>21</v>
      </c>
      <c r="E70" s="259">
        <v>0</v>
      </c>
      <c r="F70" s="378">
        <f>C70*E70</f>
        <v>0</v>
      </c>
      <c r="G70" s="534"/>
      <c r="H70" s="380">
        <v>0</v>
      </c>
      <c r="I70" s="378">
        <f>G70*H70</f>
        <v>0</v>
      </c>
      <c r="J70" s="381"/>
      <c r="K70" s="535">
        <f>F70+I70+J70</f>
        <v>0</v>
      </c>
      <c r="M70" s="282"/>
      <c r="N70" s="157"/>
      <c r="O70" s="386"/>
      <c r="P70" s="387"/>
      <c r="Q70" s="388"/>
    </row>
    <row r="71" spans="1:17" s="159" customFormat="1" ht="13.8" thickBot="1" x14ac:dyDescent="0.3">
      <c r="A71" s="392"/>
      <c r="B71" s="5"/>
      <c r="C71" s="393"/>
      <c r="D71" s="377"/>
      <c r="E71" s="259"/>
      <c r="F71" s="378"/>
      <c r="G71" s="534"/>
      <c r="H71" s="380"/>
      <c r="I71" s="378"/>
      <c r="J71" s="381"/>
      <c r="K71" s="540"/>
      <c r="M71" s="282"/>
      <c r="N71" s="157"/>
      <c r="O71" s="386"/>
      <c r="P71" s="387"/>
      <c r="Q71" s="388"/>
    </row>
    <row r="72" spans="1:17" s="159" customFormat="1" ht="13.8" thickTop="1" x14ac:dyDescent="0.25">
      <c r="A72" s="392"/>
      <c r="B72" s="417"/>
      <c r="C72" s="393"/>
      <c r="D72" s="377"/>
      <c r="E72" s="259"/>
      <c r="F72" s="378"/>
      <c r="G72" s="534"/>
      <c r="H72" s="380"/>
      <c r="I72" s="378"/>
      <c r="J72" s="394" t="s">
        <v>30</v>
      </c>
      <c r="K72" s="537">
        <f>SUM(K66:K71)</f>
        <v>0</v>
      </c>
      <c r="M72" s="280"/>
      <c r="O72" s="386"/>
      <c r="P72" s="387"/>
      <c r="Q72" s="388"/>
    </row>
    <row r="73" spans="1:17" s="159" customFormat="1" ht="13.8" thickBot="1" x14ac:dyDescent="0.3">
      <c r="A73" s="358" t="s">
        <v>0</v>
      </c>
      <c r="B73" s="359" t="s">
        <v>1</v>
      </c>
      <c r="C73" s="1018" t="s">
        <v>656</v>
      </c>
      <c r="D73" s="1018"/>
      <c r="E73" s="1018"/>
      <c r="F73" s="1018"/>
      <c r="G73" s="1018" t="s">
        <v>34</v>
      </c>
      <c r="H73" s="1018"/>
      <c r="I73" s="1018"/>
      <c r="J73" s="360"/>
      <c r="K73" s="528"/>
      <c r="L73" s="396"/>
      <c r="M73" s="360"/>
      <c r="N73" s="443"/>
      <c r="O73" s="386"/>
      <c r="P73" s="387"/>
      <c r="Q73" s="388"/>
    </row>
    <row r="74" spans="1:17" s="159" customFormat="1" ht="16.2" thickBot="1" x14ac:dyDescent="0.35">
      <c r="A74" s="399"/>
      <c r="B74" s="400"/>
      <c r="C74" s="401" t="s">
        <v>19</v>
      </c>
      <c r="D74" s="402" t="s">
        <v>33</v>
      </c>
      <c r="E74" s="403" t="s">
        <v>35</v>
      </c>
      <c r="F74" s="404" t="s">
        <v>30</v>
      </c>
      <c r="G74" s="538" t="s">
        <v>14</v>
      </c>
      <c r="H74" s="403" t="s">
        <v>35</v>
      </c>
      <c r="I74" s="404" t="s">
        <v>30</v>
      </c>
      <c r="J74" s="369" t="s">
        <v>659</v>
      </c>
      <c r="K74" s="539" t="s">
        <v>38</v>
      </c>
      <c r="L74" s="407"/>
      <c r="M74" s="413"/>
      <c r="N74" s="414"/>
      <c r="O74" s="386"/>
      <c r="P74" s="387"/>
      <c r="Q74" s="388"/>
    </row>
    <row r="75" spans="1:17" s="159" customFormat="1" x14ac:dyDescent="0.25">
      <c r="A75" s="410"/>
      <c r="B75" s="411"/>
      <c r="C75" s="376"/>
      <c r="D75" s="377" t="s">
        <v>21</v>
      </c>
      <c r="E75" s="259">
        <v>0</v>
      </c>
      <c r="F75" s="378">
        <f>C75*E75</f>
        <v>0</v>
      </c>
      <c r="G75" s="534"/>
      <c r="H75" s="380">
        <v>0</v>
      </c>
      <c r="I75" s="378">
        <f>G75*H75</f>
        <v>0</v>
      </c>
      <c r="J75" s="381"/>
      <c r="K75" s="535">
        <f>F75+I75+J75</f>
        <v>0</v>
      </c>
      <c r="M75" s="280"/>
      <c r="O75" s="386"/>
      <c r="P75" s="387"/>
      <c r="Q75" s="388"/>
    </row>
    <row r="76" spans="1:17" s="159" customFormat="1" x14ac:dyDescent="0.25">
      <c r="A76" s="375"/>
      <c r="B76" s="5"/>
      <c r="C76" s="376"/>
      <c r="D76" s="377" t="s">
        <v>21</v>
      </c>
      <c r="E76" s="259">
        <v>0</v>
      </c>
      <c r="F76" s="378">
        <f>C76*E76</f>
        <v>0</v>
      </c>
      <c r="G76" s="534"/>
      <c r="H76" s="380">
        <v>0</v>
      </c>
      <c r="I76" s="378">
        <f>G76*H76</f>
        <v>0</v>
      </c>
      <c r="J76" s="381"/>
      <c r="K76" s="535">
        <f>F76+I76+J76</f>
        <v>0</v>
      </c>
      <c r="M76" s="280"/>
      <c r="O76" s="386"/>
      <c r="P76" s="387"/>
      <c r="Q76" s="388"/>
    </row>
    <row r="77" spans="1:17" s="159" customFormat="1" x14ac:dyDescent="0.25">
      <c r="A77" s="375"/>
      <c r="B77" s="5"/>
      <c r="C77" s="376"/>
      <c r="D77" s="377" t="s">
        <v>21</v>
      </c>
      <c r="E77" s="259">
        <v>0</v>
      </c>
      <c r="F77" s="378">
        <f>C77*E77</f>
        <v>0</v>
      </c>
      <c r="G77" s="534"/>
      <c r="H77" s="380">
        <v>0</v>
      </c>
      <c r="I77" s="378">
        <f>G77*H77</f>
        <v>0</v>
      </c>
      <c r="J77" s="381"/>
      <c r="K77" s="535">
        <f>F77+I77+J77</f>
        <v>0</v>
      </c>
      <c r="L77" s="667"/>
      <c r="M77" s="669"/>
      <c r="N77" s="668"/>
      <c r="O77" s="386"/>
      <c r="P77" s="387"/>
      <c r="Q77" s="388"/>
    </row>
    <row r="78" spans="1:17" s="159" customFormat="1" ht="13.8" thickBot="1" x14ac:dyDescent="0.3">
      <c r="A78" s="392"/>
      <c r="B78" s="5"/>
      <c r="C78" s="393"/>
      <c r="D78" s="377"/>
      <c r="E78" s="259"/>
      <c r="F78" s="378"/>
      <c r="G78" s="534"/>
      <c r="H78" s="380"/>
      <c r="I78" s="378"/>
      <c r="J78" s="381"/>
      <c r="K78" s="540"/>
      <c r="L78" s="383"/>
      <c r="M78" s="384"/>
      <c r="N78" s="385"/>
      <c r="O78" s="386"/>
      <c r="P78" s="387"/>
      <c r="Q78" s="388"/>
    </row>
    <row r="79" spans="1:17" s="159" customFormat="1" ht="13.8" thickTop="1" x14ac:dyDescent="0.25">
      <c r="A79" s="392"/>
      <c r="B79" s="157"/>
      <c r="C79" s="393"/>
      <c r="D79" s="377"/>
      <c r="E79" s="259"/>
      <c r="F79" s="378"/>
      <c r="G79" s="534"/>
      <c r="H79" s="380"/>
      <c r="I79" s="378"/>
      <c r="J79" s="394" t="s">
        <v>30</v>
      </c>
      <c r="K79" s="537">
        <f>SUM(K75:K78)</f>
        <v>0</v>
      </c>
      <c r="L79" s="383"/>
      <c r="M79" s="384"/>
      <c r="N79" s="385"/>
      <c r="O79" s="386"/>
      <c r="P79" s="387"/>
      <c r="Q79" s="388"/>
    </row>
    <row r="80" spans="1:17" s="159" customFormat="1" ht="13.8" thickBot="1" x14ac:dyDescent="0.3">
      <c r="A80" s="358" t="s">
        <v>0</v>
      </c>
      <c r="B80" s="359" t="s">
        <v>1</v>
      </c>
      <c r="C80" s="1018" t="s">
        <v>656</v>
      </c>
      <c r="D80" s="1018"/>
      <c r="E80" s="1018"/>
      <c r="F80" s="1018"/>
      <c r="G80" s="1018" t="s">
        <v>34</v>
      </c>
      <c r="H80" s="1018"/>
      <c r="I80" s="1018"/>
      <c r="J80" s="360"/>
      <c r="K80" s="528"/>
      <c r="L80" s="396"/>
      <c r="M80" s="397"/>
      <c r="N80" s="398"/>
      <c r="O80" s="386"/>
      <c r="P80" s="387"/>
      <c r="Q80" s="388"/>
    </row>
    <row r="81" spans="1:17" s="159" customFormat="1" ht="16.2" thickBot="1" x14ac:dyDescent="0.35">
      <c r="A81" s="399"/>
      <c r="B81" s="400"/>
      <c r="C81" s="401" t="s">
        <v>19</v>
      </c>
      <c r="D81" s="402" t="s">
        <v>33</v>
      </c>
      <c r="E81" s="403" t="s">
        <v>35</v>
      </c>
      <c r="F81" s="404" t="s">
        <v>30</v>
      </c>
      <c r="G81" s="538" t="s">
        <v>14</v>
      </c>
      <c r="H81" s="403" t="s">
        <v>35</v>
      </c>
      <c r="I81" s="404" t="s">
        <v>30</v>
      </c>
      <c r="J81" s="369" t="s">
        <v>659</v>
      </c>
      <c r="K81" s="539" t="s">
        <v>38</v>
      </c>
      <c r="L81" s="407"/>
      <c r="M81" s="408"/>
      <c r="N81" s="409"/>
      <c r="O81" s="386"/>
      <c r="P81" s="387"/>
      <c r="Q81" s="388"/>
    </row>
    <row r="82" spans="1:17" s="159" customFormat="1" x14ac:dyDescent="0.25">
      <c r="A82" s="410"/>
      <c r="B82" s="411"/>
      <c r="C82" s="376"/>
      <c r="D82" s="377" t="s">
        <v>21</v>
      </c>
      <c r="E82" s="259">
        <v>0</v>
      </c>
      <c r="F82" s="378">
        <f>C82*E82</f>
        <v>0</v>
      </c>
      <c r="G82" s="534"/>
      <c r="H82" s="380">
        <v>0</v>
      </c>
      <c r="I82" s="378">
        <f>G82*H82</f>
        <v>0</v>
      </c>
      <c r="J82" s="381"/>
      <c r="K82" s="535">
        <f>F82+I82+J82</f>
        <v>0</v>
      </c>
      <c r="M82" s="282"/>
      <c r="N82" s="157"/>
      <c r="O82" s="386"/>
      <c r="P82" s="387"/>
      <c r="Q82" s="388"/>
    </row>
    <row r="83" spans="1:17" s="159" customFormat="1" x14ac:dyDescent="0.25">
      <c r="A83" s="375"/>
      <c r="B83" s="5"/>
      <c r="C83" s="376"/>
      <c r="D83" s="377" t="s">
        <v>21</v>
      </c>
      <c r="E83" s="259">
        <v>0</v>
      </c>
      <c r="F83" s="378">
        <f>C83*E83</f>
        <v>0</v>
      </c>
      <c r="G83" s="534"/>
      <c r="H83" s="380">
        <v>0</v>
      </c>
      <c r="I83" s="378">
        <f>G83*H83</f>
        <v>0</v>
      </c>
      <c r="J83" s="381"/>
      <c r="K83" s="535">
        <f>F83+I83+J83</f>
        <v>0</v>
      </c>
      <c r="M83" s="282"/>
      <c r="N83" s="157"/>
      <c r="O83" s="386"/>
      <c r="P83" s="387"/>
      <c r="Q83" s="388"/>
    </row>
    <row r="84" spans="1:17" s="159" customFormat="1" x14ac:dyDescent="0.25">
      <c r="A84" s="375"/>
      <c r="C84" s="376"/>
      <c r="D84" s="377" t="s">
        <v>21</v>
      </c>
      <c r="E84" s="259">
        <v>0</v>
      </c>
      <c r="F84" s="378">
        <f>C84*E84</f>
        <v>0</v>
      </c>
      <c r="G84" s="534"/>
      <c r="H84" s="380">
        <v>0</v>
      </c>
      <c r="I84" s="378">
        <f>G84*H84</f>
        <v>0</v>
      </c>
      <c r="J84" s="381"/>
      <c r="K84" s="535">
        <f>F84+I84+J84</f>
        <v>0</v>
      </c>
      <c r="M84" s="280"/>
      <c r="O84" s="386"/>
      <c r="P84" s="387"/>
      <c r="Q84" s="388"/>
    </row>
    <row r="85" spans="1:17" s="159" customFormat="1" x14ac:dyDescent="0.25">
      <c r="A85" s="375"/>
      <c r="B85" s="5"/>
      <c r="C85" s="376"/>
      <c r="D85" s="377" t="s">
        <v>21</v>
      </c>
      <c r="E85" s="259">
        <v>0</v>
      </c>
      <c r="F85" s="378">
        <f>C85*E85</f>
        <v>0</v>
      </c>
      <c r="G85" s="534"/>
      <c r="H85" s="380">
        <v>0</v>
      </c>
      <c r="I85" s="378">
        <f>G85*H85</f>
        <v>0</v>
      </c>
      <c r="J85" s="381"/>
      <c r="K85" s="535">
        <f>F85+I85+J85</f>
        <v>0</v>
      </c>
      <c r="M85" s="280"/>
      <c r="O85" s="386"/>
      <c r="P85" s="387"/>
      <c r="Q85" s="388"/>
    </row>
    <row r="86" spans="1:17" s="159" customFormat="1" x14ac:dyDescent="0.25">
      <c r="A86" s="375"/>
      <c r="B86" s="5"/>
      <c r="C86" s="376"/>
      <c r="D86" s="377" t="s">
        <v>21</v>
      </c>
      <c r="E86" s="259">
        <v>0</v>
      </c>
      <c r="F86" s="378">
        <f>C86*E86</f>
        <v>0</v>
      </c>
      <c r="G86" s="534"/>
      <c r="H86" s="380">
        <v>0</v>
      </c>
      <c r="I86" s="378">
        <f>G86*H86</f>
        <v>0</v>
      </c>
      <c r="J86" s="381"/>
      <c r="K86" s="535">
        <f>F86+I86+J86</f>
        <v>0</v>
      </c>
      <c r="M86" s="280"/>
      <c r="O86" s="386"/>
      <c r="P86" s="387"/>
      <c r="Q86" s="388"/>
    </row>
    <row r="87" spans="1:17" s="159" customFormat="1" ht="13.8" thickBot="1" x14ac:dyDescent="0.3">
      <c r="A87" s="392"/>
      <c r="B87" s="5"/>
      <c r="C87" s="393"/>
      <c r="D87" s="377"/>
      <c r="E87" s="259"/>
      <c r="F87" s="378"/>
      <c r="G87" s="534"/>
      <c r="H87" s="380"/>
      <c r="I87" s="378"/>
      <c r="J87" s="381"/>
      <c r="K87" s="540"/>
      <c r="M87" s="280"/>
      <c r="O87" s="386"/>
      <c r="P87" s="387"/>
      <c r="Q87" s="388"/>
    </row>
    <row r="88" spans="1:17" s="159" customFormat="1" ht="13.8" thickTop="1" x14ac:dyDescent="0.25">
      <c r="A88" s="392"/>
      <c r="B88" s="417"/>
      <c r="C88" s="393"/>
      <c r="D88" s="377"/>
      <c r="E88" s="259"/>
      <c r="F88" s="378"/>
      <c r="G88" s="534"/>
      <c r="H88" s="380"/>
      <c r="I88" s="378"/>
      <c r="J88" s="394" t="s">
        <v>30</v>
      </c>
      <c r="K88" s="537">
        <f>SUM(K82:K87)</f>
        <v>0</v>
      </c>
      <c r="M88" s="282"/>
      <c r="N88" s="157"/>
      <c r="O88" s="386"/>
      <c r="P88" s="387"/>
      <c r="Q88" s="388"/>
    </row>
    <row r="89" spans="1:17" s="159" customFormat="1" ht="13.8" thickBot="1" x14ac:dyDescent="0.3">
      <c r="A89" s="358" t="s">
        <v>0</v>
      </c>
      <c r="B89" s="359" t="s">
        <v>1</v>
      </c>
      <c r="C89" s="1018" t="s">
        <v>656</v>
      </c>
      <c r="D89" s="1018"/>
      <c r="E89" s="1018"/>
      <c r="F89" s="1018"/>
      <c r="G89" s="1018" t="s">
        <v>34</v>
      </c>
      <c r="H89" s="1018"/>
      <c r="I89" s="1018"/>
      <c r="J89" s="360"/>
      <c r="K89" s="528"/>
      <c r="L89" s="396"/>
      <c r="M89" s="397"/>
      <c r="N89" s="398"/>
      <c r="O89" s="386"/>
      <c r="P89" s="387"/>
      <c r="Q89" s="388"/>
    </row>
    <row r="90" spans="1:17" s="159" customFormat="1" ht="16.2" thickBot="1" x14ac:dyDescent="0.35">
      <c r="A90" s="399"/>
      <c r="B90" s="400"/>
      <c r="C90" s="401" t="s">
        <v>19</v>
      </c>
      <c r="D90" s="402" t="s">
        <v>33</v>
      </c>
      <c r="E90" s="403" t="s">
        <v>35</v>
      </c>
      <c r="F90" s="404" t="s">
        <v>30</v>
      </c>
      <c r="G90" s="538" t="s">
        <v>14</v>
      </c>
      <c r="H90" s="403" t="s">
        <v>35</v>
      </c>
      <c r="I90" s="404" t="s">
        <v>30</v>
      </c>
      <c r="J90" s="369" t="s">
        <v>659</v>
      </c>
      <c r="K90" s="539" t="s">
        <v>38</v>
      </c>
      <c r="L90" s="407"/>
      <c r="M90" s="408"/>
      <c r="N90" s="409"/>
      <c r="O90" s="386"/>
      <c r="P90" s="387"/>
      <c r="Q90" s="388"/>
    </row>
    <row r="91" spans="1:17" s="159" customFormat="1" x14ac:dyDescent="0.25">
      <c r="A91" s="410"/>
      <c r="B91" s="411"/>
      <c r="C91" s="376"/>
      <c r="D91" s="377" t="s">
        <v>21</v>
      </c>
      <c r="E91" s="259">
        <v>0</v>
      </c>
      <c r="F91" s="378">
        <f>C91*E91</f>
        <v>0</v>
      </c>
      <c r="G91" s="534"/>
      <c r="H91" s="380">
        <v>0</v>
      </c>
      <c r="I91" s="378">
        <f>G91*H91</f>
        <v>0</v>
      </c>
      <c r="J91" s="381"/>
      <c r="K91" s="535">
        <f>F91+I91+J91</f>
        <v>0</v>
      </c>
      <c r="M91" s="280"/>
      <c r="O91" s="386"/>
      <c r="P91" s="387"/>
      <c r="Q91" s="388"/>
    </row>
    <row r="92" spans="1:17" s="159" customFormat="1" x14ac:dyDescent="0.25">
      <c r="A92" s="375"/>
      <c r="B92" s="5"/>
      <c r="C92" s="376"/>
      <c r="D92" s="377" t="s">
        <v>21</v>
      </c>
      <c r="E92" s="259">
        <v>0</v>
      </c>
      <c r="F92" s="378">
        <f>C92*E92</f>
        <v>0</v>
      </c>
      <c r="G92" s="534"/>
      <c r="H92" s="380">
        <v>0</v>
      </c>
      <c r="I92" s="378">
        <f>G92*H92</f>
        <v>0</v>
      </c>
      <c r="J92" s="381"/>
      <c r="K92" s="535">
        <f>F92+I92+J92</f>
        <v>0</v>
      </c>
      <c r="L92" s="541"/>
      <c r="M92" s="578"/>
      <c r="N92" s="542"/>
      <c r="O92" s="386"/>
      <c r="P92" s="387"/>
      <c r="Q92" s="388"/>
    </row>
    <row r="93" spans="1:17" s="159" customFormat="1" x14ac:dyDescent="0.25">
      <c r="A93" s="375"/>
      <c r="B93" s="5"/>
      <c r="C93" s="376"/>
      <c r="D93" s="377" t="s">
        <v>21</v>
      </c>
      <c r="E93" s="259">
        <v>0</v>
      </c>
      <c r="F93" s="378">
        <f>C93*E93</f>
        <v>0</v>
      </c>
      <c r="G93" s="534"/>
      <c r="H93" s="380">
        <v>0</v>
      </c>
      <c r="I93" s="378">
        <f>G93*H93</f>
        <v>0</v>
      </c>
      <c r="J93" s="381"/>
      <c r="K93" s="535">
        <f>F93+I93+J93</f>
        <v>0</v>
      </c>
      <c r="L93" s="543"/>
      <c r="M93" s="469"/>
      <c r="N93" s="544"/>
      <c r="O93" s="386"/>
      <c r="P93" s="387"/>
      <c r="Q93" s="388"/>
    </row>
    <row r="94" spans="1:17" s="159" customFormat="1" x14ac:dyDescent="0.25">
      <c r="A94" s="375"/>
      <c r="B94" s="5"/>
      <c r="C94" s="376"/>
      <c r="D94" s="377" t="s">
        <v>21</v>
      </c>
      <c r="E94" s="259">
        <v>0</v>
      </c>
      <c r="F94" s="378">
        <f>C94*E94</f>
        <v>0</v>
      </c>
      <c r="G94" s="534"/>
      <c r="H94" s="380">
        <v>0</v>
      </c>
      <c r="I94" s="378">
        <f>G94*H94</f>
        <v>0</v>
      </c>
      <c r="J94" s="381"/>
      <c r="K94" s="535">
        <f>F94+I94+J94</f>
        <v>0</v>
      </c>
      <c r="L94" s="670"/>
      <c r="M94" s="671"/>
      <c r="N94" s="673"/>
      <c r="O94" s="386"/>
      <c r="P94" s="387"/>
      <c r="Q94" s="388"/>
    </row>
    <row r="95" spans="1:17" s="159" customFormat="1" ht="13.8" thickBot="1" x14ac:dyDescent="0.3">
      <c r="A95" s="392"/>
      <c r="B95" s="417"/>
      <c r="C95" s="376"/>
      <c r="D95" s="377"/>
      <c r="E95" s="259"/>
      <c r="F95" s="378"/>
      <c r="G95" s="534"/>
      <c r="H95" s="380"/>
      <c r="I95" s="378"/>
      <c r="J95" s="381"/>
      <c r="K95" s="535"/>
      <c r="L95" s="670"/>
      <c r="M95" s="671"/>
      <c r="N95" s="673"/>
      <c r="O95" s="386"/>
      <c r="P95" s="387"/>
      <c r="Q95" s="388"/>
    </row>
    <row r="96" spans="1:17" s="159" customFormat="1" ht="14.4" thickTop="1" thickBot="1" x14ac:dyDescent="0.3">
      <c r="A96" s="475"/>
      <c r="B96" s="156"/>
      <c r="C96" s="476"/>
      <c r="D96" s="477"/>
      <c r="E96" s="478"/>
      <c r="F96" s="479"/>
      <c r="G96" s="638"/>
      <c r="H96" s="478"/>
      <c r="I96" s="479"/>
      <c r="J96" s="481" t="s">
        <v>30</v>
      </c>
      <c r="K96" s="639">
        <f>SUM(K91:K95)</f>
        <v>0</v>
      </c>
      <c r="L96" s="674"/>
      <c r="M96" s="675"/>
      <c r="N96" s="676"/>
      <c r="O96" s="465"/>
      <c r="P96" s="466"/>
      <c r="Q96" s="467"/>
    </row>
    <row r="97" spans="1:16" s="159" customFormat="1" ht="14.1" customHeight="1" x14ac:dyDescent="0.25">
      <c r="A97" s="483"/>
      <c r="B97" s="484"/>
      <c r="C97" s="485"/>
      <c r="D97" s="485"/>
      <c r="E97" s="486"/>
      <c r="F97" s="1048" t="s">
        <v>658</v>
      </c>
      <c r="G97" s="1071" t="s">
        <v>684</v>
      </c>
      <c r="H97" s="486"/>
      <c r="I97" s="1041" t="s">
        <v>657</v>
      </c>
      <c r="J97" s="1037" t="s">
        <v>685</v>
      </c>
      <c r="K97" s="1035" t="s">
        <v>31</v>
      </c>
      <c r="M97" s="282"/>
      <c r="N97" s="157"/>
      <c r="O97" s="308"/>
      <c r="P97" s="308"/>
    </row>
    <row r="98" spans="1:16" s="159" customFormat="1" ht="13.8" x14ac:dyDescent="0.25">
      <c r="A98" s="487" t="s">
        <v>32</v>
      </c>
      <c r="B98" s="1043" t="s">
        <v>673</v>
      </c>
      <c r="C98" s="488"/>
      <c r="D98" s="489"/>
      <c r="E98" s="489"/>
      <c r="F98" s="1049"/>
      <c r="G98" s="1072"/>
      <c r="H98" s="490"/>
      <c r="I98" s="1042"/>
      <c r="J98" s="1038"/>
      <c r="K98" s="1036"/>
      <c r="M98" s="282"/>
      <c r="N98" s="157"/>
      <c r="O98" s="308"/>
      <c r="P98" s="308"/>
    </row>
    <row r="99" spans="1:16" s="159" customFormat="1" ht="13.8" x14ac:dyDescent="0.25">
      <c r="A99" s="491">
        <f>K99/E6</f>
        <v>0</v>
      </c>
      <c r="B99" s="1043"/>
      <c r="C99" s="489"/>
      <c r="D99" s="489"/>
      <c r="E99" s="489"/>
      <c r="F99" s="1031">
        <f>SUM(F91:F95,F82:F87,F75:F78,F66:F71,F55:F61,F46:F51,F38:F42,F27:F34,F11:F23)</f>
        <v>0</v>
      </c>
      <c r="G99" s="1076">
        <f>SUM(G91:G95,G82:G87,G75:G78,G66:G71,G55:G61,G46:G51,G38:G42,G27:G34,G11:G23)</f>
        <v>0</v>
      </c>
      <c r="H99" s="490"/>
      <c r="I99" s="1031">
        <f>SUM(I91:I95,I82:I87,I75:I78,I66:I71,I55:I61,I46:I51,I38:I42,I27:I34,I11:I23)</f>
        <v>0</v>
      </c>
      <c r="J99" s="1031">
        <f>SUM(J91:J95,J82:J87,J75:J78,J66:J71,J55:J61,J46:J51,J38:J42,J27:J34,J11:J23)</f>
        <v>0</v>
      </c>
      <c r="K99" s="1033">
        <f>K96+K88+K79+K72+K63+K52+K43+K35+K24</f>
        <v>0</v>
      </c>
      <c r="M99" s="282"/>
      <c r="N99" s="157"/>
      <c r="O99" s="308"/>
      <c r="P99" s="308"/>
    </row>
    <row r="100" spans="1:16" s="159" customFormat="1" ht="13.8" x14ac:dyDescent="0.25">
      <c r="A100" s="487"/>
      <c r="B100" s="555"/>
      <c r="C100" s="555"/>
      <c r="D100" s="555"/>
      <c r="E100" s="555"/>
      <c r="F100" s="1031"/>
      <c r="G100" s="1076"/>
      <c r="H100" s="555"/>
      <c r="I100" s="1031"/>
      <c r="J100" s="1031"/>
      <c r="K100" s="1033"/>
      <c r="M100" s="282"/>
      <c r="N100" s="157"/>
      <c r="O100" s="308"/>
      <c r="P100" s="308"/>
    </row>
    <row r="101" spans="1:16" s="159" customFormat="1" ht="13.8" thickBot="1" x14ac:dyDescent="0.3">
      <c r="A101" s="494"/>
      <c r="B101" s="495"/>
      <c r="C101" s="495"/>
      <c r="D101" s="495"/>
      <c r="E101" s="495"/>
      <c r="F101" s="495"/>
      <c r="G101" s="495"/>
      <c r="H101" s="495"/>
      <c r="I101" s="495"/>
      <c r="J101" s="495"/>
      <c r="K101" s="496"/>
      <c r="M101" s="282"/>
      <c r="N101" s="157"/>
      <c r="O101" s="308"/>
      <c r="P101" s="308"/>
    </row>
    <row r="102" spans="1:16" s="159" customFormat="1" x14ac:dyDescent="0.25">
      <c r="C102" s="658"/>
      <c r="D102" s="658"/>
      <c r="J102" s="280"/>
      <c r="M102" s="282"/>
      <c r="N102" s="157"/>
      <c r="O102" s="308"/>
      <c r="P102" s="308"/>
    </row>
    <row r="103" spans="1:16" s="159" customFormat="1" x14ac:dyDescent="0.25">
      <c r="C103" s="658"/>
      <c r="D103" s="658"/>
      <c r="J103" s="280"/>
      <c r="M103" s="282"/>
      <c r="N103" s="157"/>
      <c r="O103" s="308"/>
      <c r="P103" s="308"/>
    </row>
    <row r="104" spans="1:16" s="159" customFormat="1" x14ac:dyDescent="0.25">
      <c r="C104" s="658"/>
      <c r="D104" s="658"/>
      <c r="J104" s="280"/>
      <c r="M104" s="282"/>
      <c r="N104" s="157"/>
      <c r="O104" s="308"/>
      <c r="P104" s="308"/>
    </row>
    <row r="105" spans="1:16" s="159" customFormat="1" x14ac:dyDescent="0.25">
      <c r="C105" s="658"/>
      <c r="D105" s="658"/>
      <c r="J105" s="280"/>
      <c r="M105" s="282"/>
      <c r="N105" s="157"/>
      <c r="O105" s="308"/>
      <c r="P105" s="308"/>
    </row>
    <row r="106" spans="1:16" s="159" customFormat="1" x14ac:dyDescent="0.25">
      <c r="C106" s="658"/>
      <c r="D106" s="658"/>
      <c r="J106" s="280"/>
      <c r="M106" s="282"/>
      <c r="N106" s="157"/>
      <c r="O106" s="308"/>
      <c r="P106" s="308"/>
    </row>
    <row r="107" spans="1:16" s="159" customFormat="1" x14ac:dyDescent="0.25">
      <c r="C107" s="658"/>
      <c r="D107" s="658"/>
      <c r="J107" s="280"/>
      <c r="M107" s="282"/>
      <c r="N107" s="157"/>
      <c r="O107" s="308"/>
      <c r="P107" s="308"/>
    </row>
    <row r="108" spans="1:16" s="159" customFormat="1" x14ac:dyDescent="0.25">
      <c r="C108" s="658"/>
      <c r="D108" s="658"/>
      <c r="J108" s="280"/>
      <c r="M108" s="282"/>
      <c r="N108" s="157"/>
      <c r="O108" s="308"/>
      <c r="P108" s="308"/>
    </row>
    <row r="109" spans="1:16" s="159" customFormat="1" x14ac:dyDescent="0.25">
      <c r="C109" s="658"/>
      <c r="D109" s="658"/>
      <c r="J109" s="280"/>
      <c r="M109" s="282"/>
      <c r="N109" s="157"/>
      <c r="O109" s="308"/>
      <c r="P109" s="308"/>
    </row>
    <row r="110" spans="1:16" s="159" customFormat="1" x14ac:dyDescent="0.25">
      <c r="C110" s="658"/>
      <c r="D110" s="658"/>
      <c r="J110" s="280"/>
      <c r="M110" s="282"/>
      <c r="N110" s="157"/>
      <c r="O110" s="308"/>
      <c r="P110" s="308"/>
    </row>
    <row r="111" spans="1:16" s="159" customFormat="1" x14ac:dyDescent="0.25">
      <c r="C111" s="658"/>
      <c r="D111" s="658"/>
      <c r="J111" s="280"/>
      <c r="M111" s="282"/>
      <c r="N111" s="157"/>
      <c r="O111" s="308"/>
      <c r="P111" s="308"/>
    </row>
    <row r="112" spans="1:16" s="159" customFormat="1" x14ac:dyDescent="0.25">
      <c r="C112" s="658"/>
      <c r="D112" s="658"/>
      <c r="J112" s="280"/>
      <c r="M112" s="282"/>
      <c r="N112" s="157"/>
      <c r="O112" s="308"/>
      <c r="P112" s="308"/>
    </row>
    <row r="113" spans="3:16" s="159" customFormat="1" x14ac:dyDescent="0.25">
      <c r="C113" s="658"/>
      <c r="D113" s="658"/>
      <c r="J113" s="280"/>
      <c r="M113" s="282"/>
      <c r="N113" s="157"/>
      <c r="O113" s="308"/>
      <c r="P113" s="308"/>
    </row>
    <row r="114" spans="3:16" s="159" customFormat="1" x14ac:dyDescent="0.25">
      <c r="C114" s="658"/>
      <c r="D114" s="658"/>
      <c r="J114" s="280"/>
      <c r="M114" s="282"/>
      <c r="N114" s="157"/>
      <c r="O114" s="308"/>
      <c r="P114" s="308"/>
    </row>
    <row r="115" spans="3:16" s="159" customFormat="1" x14ac:dyDescent="0.25">
      <c r="C115" s="658"/>
      <c r="D115" s="658"/>
      <c r="J115" s="280"/>
      <c r="M115" s="282"/>
      <c r="N115" s="157"/>
      <c r="O115" s="308"/>
      <c r="P115" s="308"/>
    </row>
    <row r="116" spans="3:16" s="159" customFormat="1" x14ac:dyDescent="0.25">
      <c r="C116" s="658"/>
      <c r="D116" s="658"/>
      <c r="J116" s="280"/>
      <c r="M116" s="282"/>
      <c r="N116" s="157"/>
      <c r="O116" s="308"/>
      <c r="P116" s="308"/>
    </row>
    <row r="117" spans="3:16" s="159" customFormat="1" x14ac:dyDescent="0.25">
      <c r="C117" s="658"/>
      <c r="D117" s="658"/>
      <c r="J117" s="280"/>
      <c r="M117" s="282"/>
      <c r="N117" s="157"/>
      <c r="O117" s="308"/>
      <c r="P117" s="308"/>
    </row>
    <row r="118" spans="3:16" s="159" customFormat="1" x14ac:dyDescent="0.25">
      <c r="C118" s="658"/>
      <c r="D118" s="658"/>
      <c r="J118" s="280"/>
      <c r="M118" s="282"/>
      <c r="N118" s="157"/>
      <c r="O118" s="308"/>
      <c r="P118" s="308"/>
    </row>
    <row r="119" spans="3:16" s="159" customFormat="1" x14ac:dyDescent="0.25">
      <c r="C119" s="658"/>
      <c r="D119" s="658"/>
      <c r="J119" s="280"/>
      <c r="M119" s="282"/>
      <c r="N119" s="157"/>
      <c r="O119" s="308"/>
      <c r="P119" s="308"/>
    </row>
    <row r="120" spans="3:16" s="159" customFormat="1" x14ac:dyDescent="0.25">
      <c r="C120" s="658"/>
      <c r="D120" s="658"/>
      <c r="J120" s="280"/>
      <c r="M120" s="282"/>
      <c r="N120" s="157"/>
      <c r="O120" s="308"/>
      <c r="P120" s="308"/>
    </row>
    <row r="121" spans="3:16" s="159" customFormat="1" x14ac:dyDescent="0.25">
      <c r="C121" s="658"/>
      <c r="D121" s="658"/>
      <c r="J121" s="280"/>
      <c r="M121" s="282"/>
      <c r="N121" s="157"/>
      <c r="O121" s="308"/>
      <c r="P121" s="308"/>
    </row>
    <row r="122" spans="3:16" s="159" customFormat="1" x14ac:dyDescent="0.25">
      <c r="C122" s="658"/>
      <c r="D122" s="658"/>
      <c r="J122" s="280"/>
      <c r="M122" s="282"/>
      <c r="N122" s="157"/>
      <c r="O122" s="308"/>
      <c r="P122" s="308"/>
    </row>
    <row r="123" spans="3:16" s="159" customFormat="1" x14ac:dyDescent="0.25">
      <c r="C123" s="658"/>
      <c r="D123" s="658"/>
      <c r="J123" s="280"/>
      <c r="M123" s="282"/>
      <c r="N123" s="157"/>
      <c r="O123" s="308"/>
      <c r="P123" s="308"/>
    </row>
    <row r="124" spans="3:16" s="159" customFormat="1" x14ac:dyDescent="0.25">
      <c r="C124" s="658"/>
      <c r="D124" s="658"/>
      <c r="J124" s="280"/>
      <c r="M124" s="282"/>
      <c r="N124" s="157"/>
      <c r="O124" s="308"/>
      <c r="P124" s="308"/>
    </row>
    <row r="125" spans="3:16" s="159" customFormat="1" x14ac:dyDescent="0.25">
      <c r="C125" s="658"/>
      <c r="D125" s="658"/>
      <c r="J125" s="280"/>
      <c r="M125" s="282"/>
      <c r="N125" s="157"/>
      <c r="O125" s="308"/>
      <c r="P125" s="308"/>
    </row>
    <row r="126" spans="3:16" s="159" customFormat="1" x14ac:dyDescent="0.25">
      <c r="C126" s="658"/>
      <c r="D126" s="658"/>
      <c r="J126" s="280"/>
      <c r="M126" s="282"/>
      <c r="N126" s="157"/>
      <c r="O126" s="308"/>
      <c r="P126" s="308"/>
    </row>
    <row r="127" spans="3:16" s="159" customFormat="1" x14ac:dyDescent="0.25">
      <c r="C127" s="658"/>
      <c r="D127" s="658"/>
      <c r="J127" s="280"/>
      <c r="M127" s="282"/>
      <c r="N127" s="157"/>
      <c r="O127" s="308"/>
      <c r="P127" s="308"/>
    </row>
    <row r="128" spans="3:16" s="159" customFormat="1" x14ac:dyDescent="0.25">
      <c r="C128" s="658"/>
      <c r="D128" s="658"/>
      <c r="J128" s="280"/>
      <c r="M128" s="282"/>
      <c r="N128" s="157"/>
      <c r="O128" s="308"/>
      <c r="P128" s="308"/>
    </row>
    <row r="129" spans="3:16" s="159" customFormat="1" x14ac:dyDescent="0.25">
      <c r="C129" s="658"/>
      <c r="D129" s="658"/>
      <c r="J129" s="280"/>
      <c r="M129" s="282"/>
      <c r="N129" s="157"/>
      <c r="O129" s="308"/>
      <c r="P129" s="308"/>
    </row>
    <row r="130" spans="3:16" s="159" customFormat="1" x14ac:dyDescent="0.25">
      <c r="C130" s="658"/>
      <c r="D130" s="658"/>
      <c r="J130" s="280"/>
      <c r="M130" s="282"/>
      <c r="N130" s="157"/>
      <c r="O130" s="308"/>
      <c r="P130" s="308"/>
    </row>
    <row r="131" spans="3:16" s="159" customFormat="1" x14ac:dyDescent="0.25">
      <c r="C131" s="658"/>
      <c r="D131" s="658"/>
      <c r="J131" s="280"/>
      <c r="M131" s="282"/>
      <c r="N131" s="157"/>
      <c r="O131" s="308"/>
      <c r="P131" s="308"/>
    </row>
    <row r="132" spans="3:16" s="159" customFormat="1" x14ac:dyDescent="0.25">
      <c r="C132" s="658"/>
      <c r="D132" s="658"/>
      <c r="J132" s="280"/>
      <c r="M132" s="282"/>
      <c r="N132" s="157"/>
      <c r="O132" s="308"/>
      <c r="P132" s="308"/>
    </row>
    <row r="133" spans="3:16" s="159" customFormat="1" x14ac:dyDescent="0.25">
      <c r="C133" s="658"/>
      <c r="D133" s="658"/>
      <c r="J133" s="280"/>
      <c r="M133" s="282"/>
      <c r="N133" s="157"/>
      <c r="O133" s="308"/>
      <c r="P133" s="308"/>
    </row>
    <row r="134" spans="3:16" s="159" customFormat="1" x14ac:dyDescent="0.25">
      <c r="C134" s="658"/>
      <c r="D134" s="658"/>
      <c r="J134" s="280"/>
      <c r="M134" s="282"/>
      <c r="N134" s="157"/>
      <c r="O134" s="308"/>
      <c r="P134" s="308"/>
    </row>
    <row r="135" spans="3:16" s="159" customFormat="1" x14ac:dyDescent="0.25">
      <c r="C135" s="658"/>
      <c r="D135" s="658"/>
      <c r="J135" s="280"/>
      <c r="M135" s="282"/>
      <c r="N135" s="157"/>
      <c r="O135" s="308"/>
      <c r="P135" s="308"/>
    </row>
    <row r="136" spans="3:16" s="159" customFormat="1" x14ac:dyDescent="0.25">
      <c r="C136" s="658"/>
      <c r="D136" s="658"/>
      <c r="J136" s="280"/>
      <c r="M136" s="282"/>
      <c r="N136" s="157"/>
      <c r="O136" s="308"/>
      <c r="P136" s="308"/>
    </row>
    <row r="137" spans="3:16" s="159" customFormat="1" x14ac:dyDescent="0.25">
      <c r="C137" s="658"/>
      <c r="D137" s="658"/>
      <c r="J137" s="280"/>
      <c r="M137" s="282"/>
      <c r="N137" s="157"/>
      <c r="O137" s="308"/>
      <c r="P137" s="308"/>
    </row>
    <row r="138" spans="3:16" s="159" customFormat="1" x14ac:dyDescent="0.25">
      <c r="C138" s="658"/>
      <c r="D138" s="658"/>
      <c r="J138" s="280"/>
      <c r="M138" s="282"/>
      <c r="N138" s="157"/>
      <c r="O138" s="308"/>
      <c r="P138" s="308"/>
    </row>
    <row r="139" spans="3:16" s="159" customFormat="1" x14ac:dyDescent="0.25">
      <c r="C139" s="658"/>
      <c r="D139" s="658"/>
      <c r="J139" s="280"/>
      <c r="M139" s="282"/>
      <c r="N139" s="157"/>
      <c r="O139" s="308"/>
      <c r="P139" s="308"/>
    </row>
    <row r="140" spans="3:16" s="159" customFormat="1" x14ac:dyDescent="0.25">
      <c r="C140" s="658"/>
      <c r="D140" s="658"/>
      <c r="J140" s="280"/>
      <c r="M140" s="282"/>
      <c r="N140" s="157"/>
      <c r="O140" s="308"/>
      <c r="P140" s="308"/>
    </row>
    <row r="141" spans="3:16" s="159" customFormat="1" x14ac:dyDescent="0.25">
      <c r="C141" s="658"/>
      <c r="D141" s="658"/>
      <c r="J141" s="280"/>
      <c r="M141" s="282"/>
      <c r="N141" s="157"/>
      <c r="O141" s="308"/>
      <c r="P141" s="308"/>
    </row>
    <row r="142" spans="3:16" s="159" customFormat="1" x14ac:dyDescent="0.25">
      <c r="C142" s="658"/>
      <c r="D142" s="658"/>
      <c r="J142" s="280"/>
      <c r="M142" s="282"/>
      <c r="N142" s="157"/>
      <c r="O142" s="308"/>
      <c r="P142" s="308"/>
    </row>
    <row r="143" spans="3:16" s="159" customFormat="1" x14ac:dyDescent="0.25">
      <c r="C143" s="658"/>
      <c r="D143" s="658"/>
      <c r="J143" s="280"/>
      <c r="M143" s="282"/>
      <c r="N143" s="157"/>
      <c r="O143" s="308"/>
      <c r="P143" s="308"/>
    </row>
    <row r="144" spans="3:16" s="159" customFormat="1" x14ac:dyDescent="0.25">
      <c r="C144" s="658"/>
      <c r="D144" s="658"/>
      <c r="J144" s="280"/>
      <c r="M144" s="282"/>
      <c r="N144" s="157"/>
      <c r="O144" s="308"/>
      <c r="P144" s="308"/>
    </row>
    <row r="145" spans="3:16" s="159" customFormat="1" x14ac:dyDescent="0.25">
      <c r="C145" s="658"/>
      <c r="D145" s="658"/>
      <c r="J145" s="280"/>
      <c r="M145" s="282"/>
      <c r="N145" s="157"/>
      <c r="O145" s="308"/>
      <c r="P145" s="308"/>
    </row>
    <row r="146" spans="3:16" s="159" customFormat="1" x14ac:dyDescent="0.25">
      <c r="C146" s="658"/>
      <c r="D146" s="658"/>
      <c r="J146" s="280"/>
      <c r="M146" s="282"/>
      <c r="N146" s="157"/>
      <c r="O146" s="308"/>
      <c r="P146" s="308"/>
    </row>
    <row r="147" spans="3:16" s="159" customFormat="1" x14ac:dyDescent="0.25">
      <c r="C147" s="658"/>
      <c r="D147" s="658"/>
      <c r="J147" s="280"/>
      <c r="M147" s="282"/>
      <c r="N147" s="157"/>
      <c r="O147" s="308"/>
      <c r="P147" s="308"/>
    </row>
    <row r="148" spans="3:16" s="159" customFormat="1" x14ac:dyDescent="0.25">
      <c r="C148" s="658"/>
      <c r="D148" s="658"/>
      <c r="J148" s="280"/>
      <c r="M148" s="282"/>
      <c r="N148" s="157"/>
      <c r="O148" s="308"/>
      <c r="P148" s="308"/>
    </row>
    <row r="149" spans="3:16" s="159" customFormat="1" x14ac:dyDescent="0.25">
      <c r="C149" s="658"/>
      <c r="D149" s="658"/>
      <c r="J149" s="280"/>
      <c r="M149" s="282"/>
      <c r="N149" s="157"/>
      <c r="O149" s="308"/>
      <c r="P149" s="308"/>
    </row>
    <row r="150" spans="3:16" s="159" customFormat="1" x14ac:dyDescent="0.25">
      <c r="C150" s="658"/>
      <c r="D150" s="658"/>
      <c r="J150" s="280"/>
      <c r="M150" s="282"/>
      <c r="N150" s="157"/>
      <c r="O150" s="308"/>
      <c r="P150" s="308"/>
    </row>
    <row r="151" spans="3:16" s="159" customFormat="1" x14ac:dyDescent="0.25">
      <c r="C151" s="658"/>
      <c r="D151" s="658"/>
      <c r="J151" s="280"/>
      <c r="M151" s="282"/>
      <c r="N151" s="157"/>
      <c r="O151" s="308"/>
      <c r="P151" s="308"/>
    </row>
    <row r="152" spans="3:16" s="159" customFormat="1" x14ac:dyDescent="0.25">
      <c r="C152" s="658"/>
      <c r="D152" s="658"/>
      <c r="J152" s="280"/>
      <c r="M152" s="282"/>
      <c r="N152" s="157"/>
      <c r="O152" s="308"/>
      <c r="P152" s="308"/>
    </row>
    <row r="153" spans="3:16" s="159" customFormat="1" x14ac:dyDescent="0.25">
      <c r="C153" s="658"/>
      <c r="D153" s="658"/>
      <c r="J153" s="280"/>
      <c r="M153" s="282"/>
      <c r="N153" s="157"/>
      <c r="O153" s="308"/>
      <c r="P153" s="308"/>
    </row>
    <row r="154" spans="3:16" s="159" customFormat="1" x14ac:dyDescent="0.25">
      <c r="C154" s="658"/>
      <c r="D154" s="658"/>
      <c r="J154" s="280"/>
      <c r="M154" s="282"/>
      <c r="N154" s="157"/>
      <c r="O154" s="308"/>
      <c r="P154" s="308"/>
    </row>
    <row r="155" spans="3:16" s="159" customFormat="1" x14ac:dyDescent="0.25">
      <c r="C155" s="658"/>
      <c r="D155" s="658"/>
      <c r="J155" s="280"/>
      <c r="M155" s="282"/>
      <c r="N155" s="157"/>
      <c r="O155" s="308"/>
      <c r="P155" s="308"/>
    </row>
    <row r="156" spans="3:16" s="159" customFormat="1" x14ac:dyDescent="0.25">
      <c r="C156" s="658"/>
      <c r="D156" s="658"/>
      <c r="J156" s="280"/>
      <c r="M156" s="282"/>
      <c r="N156" s="157"/>
      <c r="O156" s="308"/>
      <c r="P156" s="308"/>
    </row>
    <row r="157" spans="3:16" s="159" customFormat="1" x14ac:dyDescent="0.25">
      <c r="C157" s="658"/>
      <c r="D157" s="658"/>
      <c r="J157" s="280"/>
      <c r="M157" s="282"/>
      <c r="N157" s="157"/>
      <c r="O157" s="308"/>
      <c r="P157" s="308"/>
    </row>
    <row r="158" spans="3:16" s="159" customFormat="1" x14ac:dyDescent="0.25">
      <c r="C158" s="658"/>
      <c r="D158" s="658"/>
      <c r="J158" s="280"/>
      <c r="M158" s="282"/>
      <c r="N158" s="157"/>
      <c r="O158" s="308"/>
      <c r="P158" s="308"/>
    </row>
    <row r="159" spans="3:16" s="159" customFormat="1" x14ac:dyDescent="0.25">
      <c r="C159" s="658"/>
      <c r="D159" s="658"/>
      <c r="J159" s="280"/>
      <c r="M159" s="282"/>
      <c r="N159" s="157"/>
      <c r="O159" s="308"/>
      <c r="P159" s="308"/>
    </row>
    <row r="160" spans="3:16" s="159" customFormat="1" x14ac:dyDescent="0.25">
      <c r="C160" s="658"/>
      <c r="D160" s="658"/>
      <c r="J160" s="280"/>
      <c r="M160" s="282"/>
      <c r="N160" s="157"/>
      <c r="O160" s="308"/>
      <c r="P160" s="308"/>
    </row>
    <row r="161" spans="3:16" s="159" customFormat="1" x14ac:dyDescent="0.25">
      <c r="C161" s="658"/>
      <c r="D161" s="658"/>
      <c r="J161" s="280"/>
      <c r="M161" s="282"/>
      <c r="N161" s="157"/>
      <c r="O161" s="308"/>
      <c r="P161" s="308"/>
    </row>
    <row r="162" spans="3:16" s="159" customFormat="1" x14ac:dyDescent="0.25">
      <c r="C162" s="658"/>
      <c r="D162" s="658"/>
      <c r="J162" s="280"/>
      <c r="M162" s="282"/>
      <c r="N162" s="157"/>
      <c r="O162" s="308"/>
      <c r="P162" s="308"/>
    </row>
    <row r="163" spans="3:16" s="159" customFormat="1" x14ac:dyDescent="0.25">
      <c r="C163" s="658"/>
      <c r="D163" s="658"/>
      <c r="J163" s="280"/>
      <c r="M163" s="282"/>
      <c r="N163" s="157"/>
      <c r="O163" s="308"/>
      <c r="P163" s="308"/>
    </row>
    <row r="164" spans="3:16" s="159" customFormat="1" x14ac:dyDescent="0.25">
      <c r="C164" s="658"/>
      <c r="D164" s="658"/>
      <c r="J164" s="280"/>
      <c r="M164" s="282"/>
      <c r="N164" s="157"/>
      <c r="O164" s="308"/>
      <c r="P164" s="308"/>
    </row>
    <row r="165" spans="3:16" s="159" customFormat="1" x14ac:dyDescent="0.25">
      <c r="C165" s="658"/>
      <c r="D165" s="658"/>
      <c r="J165" s="280"/>
      <c r="M165" s="282"/>
      <c r="N165" s="157"/>
      <c r="O165" s="308"/>
      <c r="P165" s="308"/>
    </row>
    <row r="166" spans="3:16" s="159" customFormat="1" x14ac:dyDescent="0.25">
      <c r="C166" s="658"/>
      <c r="D166" s="658"/>
      <c r="J166" s="280"/>
      <c r="M166" s="282"/>
      <c r="N166" s="157"/>
      <c r="O166" s="308"/>
      <c r="P166" s="308"/>
    </row>
    <row r="167" spans="3:16" s="159" customFormat="1" x14ac:dyDescent="0.25">
      <c r="C167" s="658"/>
      <c r="D167" s="658"/>
      <c r="J167" s="280"/>
      <c r="M167" s="282"/>
      <c r="N167" s="157"/>
      <c r="O167" s="308"/>
      <c r="P167" s="308"/>
    </row>
    <row r="168" spans="3:16" s="159" customFormat="1" x14ac:dyDescent="0.25">
      <c r="C168" s="658"/>
      <c r="D168" s="658"/>
      <c r="J168" s="280"/>
      <c r="M168" s="282"/>
      <c r="N168" s="157"/>
      <c r="O168" s="308"/>
      <c r="P168" s="308"/>
    </row>
    <row r="169" spans="3:16" s="159" customFormat="1" x14ac:dyDescent="0.25">
      <c r="C169" s="658"/>
      <c r="D169" s="658"/>
      <c r="J169" s="280"/>
      <c r="M169" s="282"/>
      <c r="N169" s="157"/>
      <c r="O169" s="308"/>
      <c r="P169" s="308"/>
    </row>
    <row r="170" spans="3:16" s="159" customFormat="1" x14ac:dyDescent="0.25">
      <c r="C170" s="658"/>
      <c r="D170" s="658"/>
      <c r="J170" s="280"/>
      <c r="M170" s="282"/>
      <c r="N170" s="157"/>
      <c r="O170" s="308"/>
      <c r="P170" s="308"/>
    </row>
    <row r="171" spans="3:16" s="159" customFormat="1" x14ac:dyDescent="0.25">
      <c r="C171" s="658"/>
      <c r="D171" s="658"/>
      <c r="J171" s="280"/>
      <c r="M171" s="282"/>
      <c r="N171" s="157"/>
      <c r="O171" s="308"/>
      <c r="P171" s="308"/>
    </row>
    <row r="172" spans="3:16" s="159" customFormat="1" x14ac:dyDescent="0.25">
      <c r="C172" s="658"/>
      <c r="D172" s="658"/>
      <c r="J172" s="280"/>
      <c r="M172" s="282"/>
      <c r="N172" s="157"/>
      <c r="O172" s="308"/>
      <c r="P172" s="308"/>
    </row>
    <row r="173" spans="3:16" s="159" customFormat="1" x14ac:dyDescent="0.25">
      <c r="C173" s="658"/>
      <c r="D173" s="658"/>
      <c r="J173" s="280"/>
      <c r="M173" s="282"/>
      <c r="N173" s="157"/>
      <c r="O173" s="308"/>
      <c r="P173" s="308"/>
    </row>
    <row r="174" spans="3:16" s="159" customFormat="1" x14ac:dyDescent="0.25">
      <c r="C174" s="658"/>
      <c r="D174" s="658"/>
      <c r="J174" s="280"/>
      <c r="M174" s="282"/>
      <c r="N174" s="157"/>
      <c r="O174" s="308"/>
      <c r="P174" s="308"/>
    </row>
    <row r="175" spans="3:16" s="159" customFormat="1" x14ac:dyDescent="0.25">
      <c r="C175" s="658"/>
      <c r="D175" s="658"/>
      <c r="J175" s="280"/>
      <c r="M175" s="282"/>
      <c r="N175" s="157"/>
      <c r="O175" s="308"/>
      <c r="P175" s="308"/>
    </row>
    <row r="176" spans="3:16" s="159" customFormat="1" x14ac:dyDescent="0.25">
      <c r="C176" s="658"/>
      <c r="D176" s="658"/>
      <c r="J176" s="280"/>
      <c r="M176" s="282"/>
      <c r="N176" s="157"/>
      <c r="O176" s="308"/>
      <c r="P176" s="308"/>
    </row>
    <row r="177" spans="3:16" s="159" customFormat="1" x14ac:dyDescent="0.25">
      <c r="C177" s="658"/>
      <c r="D177" s="658"/>
      <c r="J177" s="280"/>
      <c r="M177" s="282"/>
      <c r="N177" s="157"/>
      <c r="O177" s="308"/>
      <c r="P177" s="308"/>
    </row>
    <row r="178" spans="3:16" s="159" customFormat="1" x14ac:dyDescent="0.25">
      <c r="C178" s="658"/>
      <c r="D178" s="658"/>
      <c r="J178" s="280"/>
      <c r="M178" s="282"/>
      <c r="N178" s="157"/>
      <c r="O178" s="308"/>
      <c r="P178" s="308"/>
    </row>
    <row r="179" spans="3:16" s="159" customFormat="1" x14ac:dyDescent="0.25">
      <c r="C179" s="658"/>
      <c r="D179" s="658"/>
      <c r="J179" s="280"/>
      <c r="M179" s="282"/>
      <c r="N179" s="157"/>
      <c r="O179" s="308"/>
      <c r="P179" s="308"/>
    </row>
    <row r="180" spans="3:16" s="159" customFormat="1" x14ac:dyDescent="0.25">
      <c r="C180" s="658"/>
      <c r="D180" s="658"/>
      <c r="J180" s="280"/>
      <c r="M180" s="282"/>
      <c r="N180" s="157"/>
      <c r="O180" s="308"/>
      <c r="P180" s="308"/>
    </row>
    <row r="181" spans="3:16" s="159" customFormat="1" x14ac:dyDescent="0.25">
      <c r="C181" s="658"/>
      <c r="D181" s="658"/>
      <c r="J181" s="280"/>
      <c r="M181" s="282"/>
      <c r="N181" s="157"/>
      <c r="O181" s="308"/>
      <c r="P181" s="308"/>
    </row>
    <row r="182" spans="3:16" s="159" customFormat="1" x14ac:dyDescent="0.25">
      <c r="C182" s="658"/>
      <c r="D182" s="658"/>
      <c r="J182" s="280"/>
      <c r="M182" s="282"/>
      <c r="N182" s="157"/>
      <c r="O182" s="308"/>
      <c r="P182" s="308"/>
    </row>
    <row r="183" spans="3:16" s="159" customFormat="1" x14ac:dyDescent="0.25">
      <c r="C183" s="658"/>
      <c r="D183" s="658"/>
      <c r="J183" s="280"/>
      <c r="M183" s="282"/>
      <c r="N183" s="157"/>
      <c r="O183" s="308"/>
      <c r="P183" s="308"/>
    </row>
    <row r="184" spans="3:16" s="159" customFormat="1" x14ac:dyDescent="0.25">
      <c r="C184" s="658"/>
      <c r="D184" s="658"/>
      <c r="J184" s="280"/>
      <c r="M184" s="282"/>
      <c r="N184" s="157"/>
      <c r="O184" s="308"/>
      <c r="P184" s="308"/>
    </row>
    <row r="185" spans="3:16" s="159" customFormat="1" x14ac:dyDescent="0.25">
      <c r="C185" s="658"/>
      <c r="D185" s="658"/>
      <c r="J185" s="280"/>
      <c r="M185" s="282"/>
      <c r="N185" s="157"/>
      <c r="O185" s="308"/>
      <c r="P185" s="308"/>
    </row>
    <row r="186" spans="3:16" s="159" customFormat="1" x14ac:dyDescent="0.25">
      <c r="C186" s="658"/>
      <c r="D186" s="658"/>
      <c r="J186" s="280"/>
      <c r="M186" s="282"/>
      <c r="N186" s="157"/>
      <c r="O186" s="308"/>
      <c r="P186" s="308"/>
    </row>
    <row r="187" spans="3:16" s="159" customFormat="1" x14ac:dyDescent="0.25">
      <c r="C187" s="658"/>
      <c r="D187" s="658"/>
      <c r="J187" s="280"/>
      <c r="M187" s="282"/>
      <c r="N187" s="157"/>
      <c r="O187" s="308"/>
      <c r="P187" s="308"/>
    </row>
    <row r="188" spans="3:16" s="159" customFormat="1" x14ac:dyDescent="0.25">
      <c r="C188" s="658"/>
      <c r="D188" s="658"/>
      <c r="J188" s="280"/>
      <c r="M188" s="282"/>
      <c r="N188" s="157"/>
      <c r="O188" s="308"/>
      <c r="P188" s="308"/>
    </row>
    <row r="189" spans="3:16" s="159" customFormat="1" x14ac:dyDescent="0.25">
      <c r="C189" s="658"/>
      <c r="D189" s="658"/>
      <c r="J189" s="280"/>
      <c r="M189" s="282"/>
      <c r="N189" s="157"/>
      <c r="O189" s="308"/>
      <c r="P189" s="308"/>
    </row>
    <row r="190" spans="3:16" s="159" customFormat="1" x14ac:dyDescent="0.25">
      <c r="C190" s="658"/>
      <c r="D190" s="658"/>
      <c r="J190" s="280"/>
      <c r="M190" s="282"/>
      <c r="N190" s="157"/>
      <c r="O190" s="308"/>
      <c r="P190" s="308"/>
    </row>
    <row r="191" spans="3:16" s="159" customFormat="1" x14ac:dyDescent="0.25">
      <c r="C191" s="658"/>
      <c r="D191" s="658"/>
      <c r="J191" s="280"/>
      <c r="M191" s="282"/>
      <c r="N191" s="157"/>
      <c r="O191" s="308"/>
      <c r="P191" s="308"/>
    </row>
    <row r="192" spans="3:16" s="159" customFormat="1" x14ac:dyDescent="0.25">
      <c r="C192" s="658"/>
      <c r="D192" s="658"/>
      <c r="J192" s="280"/>
      <c r="M192" s="282"/>
      <c r="N192" s="157"/>
      <c r="O192" s="308"/>
      <c r="P192" s="308"/>
    </row>
    <row r="193" spans="3:16" s="159" customFormat="1" x14ac:dyDescent="0.25">
      <c r="C193" s="658"/>
      <c r="D193" s="658"/>
      <c r="J193" s="280"/>
      <c r="M193" s="282"/>
      <c r="N193" s="157"/>
      <c r="O193" s="308"/>
      <c r="P193" s="308"/>
    </row>
    <row r="194" spans="3:16" s="159" customFormat="1" x14ac:dyDescent="0.25">
      <c r="C194" s="658"/>
      <c r="D194" s="658"/>
      <c r="J194" s="280"/>
      <c r="M194" s="282"/>
      <c r="N194" s="157"/>
      <c r="O194" s="308"/>
      <c r="P194" s="308"/>
    </row>
    <row r="195" spans="3:16" s="159" customFormat="1" x14ac:dyDescent="0.25">
      <c r="C195" s="658"/>
      <c r="D195" s="658"/>
      <c r="J195" s="280"/>
      <c r="M195" s="282"/>
      <c r="N195" s="157"/>
      <c r="O195" s="308"/>
      <c r="P195" s="308"/>
    </row>
    <row r="196" spans="3:16" s="159" customFormat="1" x14ac:dyDescent="0.25">
      <c r="C196" s="658"/>
      <c r="D196" s="658"/>
      <c r="J196" s="280"/>
      <c r="M196" s="282"/>
      <c r="N196" s="157"/>
      <c r="O196" s="308"/>
      <c r="P196" s="308"/>
    </row>
    <row r="197" spans="3:16" s="159" customFormat="1" x14ac:dyDescent="0.25">
      <c r="C197" s="658"/>
      <c r="D197" s="658"/>
      <c r="J197" s="280"/>
      <c r="M197" s="282"/>
      <c r="N197" s="157"/>
      <c r="O197" s="308"/>
      <c r="P197" s="308"/>
    </row>
    <row r="198" spans="3:16" s="159" customFormat="1" x14ac:dyDescent="0.25">
      <c r="C198" s="658"/>
      <c r="D198" s="658"/>
      <c r="J198" s="280"/>
      <c r="M198" s="282"/>
      <c r="N198" s="157"/>
      <c r="O198" s="308"/>
      <c r="P198" s="308"/>
    </row>
    <row r="199" spans="3:16" s="159" customFormat="1" x14ac:dyDescent="0.25">
      <c r="C199" s="658"/>
      <c r="D199" s="658"/>
      <c r="J199" s="280"/>
      <c r="M199" s="282"/>
      <c r="N199" s="157"/>
      <c r="O199" s="308"/>
      <c r="P199" s="308"/>
    </row>
    <row r="200" spans="3:16" s="159" customFormat="1" x14ac:dyDescent="0.25">
      <c r="C200" s="658"/>
      <c r="D200" s="658"/>
      <c r="J200" s="280"/>
      <c r="M200" s="282"/>
      <c r="N200" s="157"/>
      <c r="O200" s="308"/>
      <c r="P200" s="308"/>
    </row>
    <row r="201" spans="3:16" s="159" customFormat="1" x14ac:dyDescent="0.25">
      <c r="C201" s="658"/>
      <c r="D201" s="658"/>
      <c r="J201" s="280"/>
      <c r="M201" s="282"/>
      <c r="N201" s="157"/>
      <c r="O201" s="308"/>
      <c r="P201" s="308"/>
    </row>
    <row r="202" spans="3:16" s="159" customFormat="1" x14ac:dyDescent="0.25">
      <c r="C202" s="658"/>
      <c r="D202" s="658"/>
      <c r="J202" s="280"/>
      <c r="M202" s="282"/>
      <c r="N202" s="157"/>
      <c r="O202" s="308"/>
      <c r="P202" s="308"/>
    </row>
    <row r="203" spans="3:16" s="159" customFormat="1" x14ac:dyDescent="0.25">
      <c r="C203" s="658"/>
      <c r="D203" s="658"/>
      <c r="J203" s="280"/>
      <c r="M203" s="282"/>
      <c r="N203" s="157"/>
      <c r="O203" s="308"/>
      <c r="P203" s="308"/>
    </row>
    <row r="204" spans="3:16" s="159" customFormat="1" x14ac:dyDescent="0.25">
      <c r="C204" s="658"/>
      <c r="D204" s="658"/>
      <c r="J204" s="280"/>
      <c r="M204" s="282"/>
      <c r="N204" s="157"/>
      <c r="O204" s="308"/>
      <c r="P204" s="308"/>
    </row>
    <row r="205" spans="3:16" s="159" customFormat="1" x14ac:dyDescent="0.25">
      <c r="C205" s="658"/>
      <c r="D205" s="658"/>
      <c r="J205" s="280"/>
      <c r="M205" s="282"/>
      <c r="N205" s="157"/>
      <c r="O205" s="308"/>
      <c r="P205" s="308"/>
    </row>
    <row r="206" spans="3:16" s="159" customFormat="1" x14ac:dyDescent="0.25">
      <c r="C206" s="658"/>
      <c r="D206" s="658"/>
      <c r="J206" s="280"/>
      <c r="M206" s="282"/>
      <c r="N206" s="157"/>
      <c r="O206" s="308"/>
      <c r="P206" s="308"/>
    </row>
    <row r="207" spans="3:16" s="159" customFormat="1" x14ac:dyDescent="0.25">
      <c r="C207" s="658"/>
      <c r="D207" s="658"/>
      <c r="J207" s="280"/>
      <c r="M207" s="282"/>
      <c r="N207" s="157"/>
      <c r="O207" s="308"/>
      <c r="P207" s="308"/>
    </row>
    <row r="208" spans="3:16" s="159" customFormat="1" x14ac:dyDescent="0.25">
      <c r="C208" s="658"/>
      <c r="D208" s="658"/>
      <c r="J208" s="280"/>
      <c r="M208" s="282"/>
      <c r="N208" s="157"/>
      <c r="O208" s="308"/>
      <c r="P208" s="308"/>
    </row>
    <row r="209" spans="3:16" s="159" customFormat="1" x14ac:dyDescent="0.25">
      <c r="C209" s="658"/>
      <c r="D209" s="658"/>
      <c r="J209" s="280"/>
      <c r="M209" s="282"/>
      <c r="N209" s="157"/>
      <c r="O209" s="308"/>
      <c r="P209" s="308"/>
    </row>
    <row r="210" spans="3:16" s="159" customFormat="1" x14ac:dyDescent="0.25">
      <c r="C210" s="658"/>
      <c r="D210" s="658"/>
      <c r="J210" s="280"/>
      <c r="M210" s="282"/>
      <c r="N210" s="157"/>
      <c r="O210" s="308"/>
      <c r="P210" s="308"/>
    </row>
    <row r="211" spans="3:16" s="159" customFormat="1" x14ac:dyDescent="0.25">
      <c r="C211" s="658"/>
      <c r="D211" s="658"/>
      <c r="J211" s="280"/>
      <c r="M211" s="282"/>
      <c r="N211" s="157"/>
      <c r="O211" s="308"/>
      <c r="P211" s="308"/>
    </row>
    <row r="212" spans="3:16" s="159" customFormat="1" x14ac:dyDescent="0.25">
      <c r="C212" s="658"/>
      <c r="D212" s="658"/>
      <c r="J212" s="280"/>
      <c r="M212" s="282"/>
      <c r="N212" s="157"/>
      <c r="O212" s="308"/>
      <c r="P212" s="308"/>
    </row>
    <row r="213" spans="3:16" s="159" customFormat="1" x14ac:dyDescent="0.25">
      <c r="C213" s="658"/>
      <c r="D213" s="658"/>
      <c r="J213" s="280"/>
      <c r="M213" s="282"/>
      <c r="N213" s="157"/>
      <c r="O213" s="308"/>
      <c r="P213" s="308"/>
    </row>
    <row r="214" spans="3:16" s="159" customFormat="1" x14ac:dyDescent="0.25">
      <c r="C214" s="658"/>
      <c r="D214" s="658"/>
      <c r="J214" s="280"/>
      <c r="M214" s="282"/>
      <c r="N214" s="157"/>
      <c r="O214" s="308"/>
      <c r="P214" s="308"/>
    </row>
    <row r="215" spans="3:16" s="159" customFormat="1" x14ac:dyDescent="0.25">
      <c r="C215" s="658"/>
      <c r="D215" s="658"/>
      <c r="J215" s="280"/>
      <c r="M215" s="282"/>
      <c r="N215" s="157"/>
      <c r="O215" s="308"/>
      <c r="P215" s="308"/>
    </row>
    <row r="216" spans="3:16" s="159" customFormat="1" x14ac:dyDescent="0.25">
      <c r="C216" s="658"/>
      <c r="D216" s="658"/>
      <c r="J216" s="280"/>
      <c r="M216" s="282"/>
      <c r="N216" s="157"/>
      <c r="O216" s="308"/>
      <c r="P216" s="308"/>
    </row>
    <row r="217" spans="3:16" s="159" customFormat="1" x14ac:dyDescent="0.25">
      <c r="C217" s="658"/>
      <c r="D217" s="658"/>
      <c r="J217" s="280"/>
      <c r="M217" s="282"/>
      <c r="N217" s="157"/>
      <c r="O217" s="308"/>
      <c r="P217" s="308"/>
    </row>
    <row r="218" spans="3:16" s="159" customFormat="1" x14ac:dyDescent="0.25">
      <c r="C218" s="658"/>
      <c r="D218" s="658"/>
      <c r="J218" s="280"/>
      <c r="M218" s="282"/>
      <c r="N218" s="157"/>
      <c r="O218" s="308"/>
      <c r="P218" s="308"/>
    </row>
    <row r="219" spans="3:16" s="159" customFormat="1" x14ac:dyDescent="0.25">
      <c r="C219" s="658"/>
      <c r="D219" s="658"/>
      <c r="J219" s="280"/>
      <c r="M219" s="282"/>
      <c r="N219" s="157"/>
      <c r="O219" s="308"/>
      <c r="P219" s="308"/>
    </row>
    <row r="220" spans="3:16" s="159" customFormat="1" x14ac:dyDescent="0.25">
      <c r="C220" s="658"/>
      <c r="D220" s="658"/>
      <c r="J220" s="280"/>
      <c r="M220" s="282"/>
      <c r="N220" s="157"/>
      <c r="O220" s="308"/>
      <c r="P220" s="308"/>
    </row>
    <row r="221" spans="3:16" s="159" customFormat="1" x14ac:dyDescent="0.25">
      <c r="C221" s="658"/>
      <c r="D221" s="658"/>
      <c r="J221" s="280"/>
      <c r="M221" s="282"/>
      <c r="N221" s="157"/>
      <c r="O221" s="308"/>
      <c r="P221" s="308"/>
    </row>
    <row r="222" spans="3:16" s="159" customFormat="1" x14ac:dyDescent="0.25">
      <c r="C222" s="658"/>
      <c r="D222" s="658"/>
      <c r="J222" s="280"/>
      <c r="M222" s="282"/>
      <c r="N222" s="157"/>
      <c r="O222" s="308"/>
      <c r="P222" s="308"/>
    </row>
    <row r="223" spans="3:16" s="159" customFormat="1" x14ac:dyDescent="0.25">
      <c r="C223" s="658"/>
      <c r="D223" s="658"/>
      <c r="J223" s="280"/>
      <c r="M223" s="282"/>
      <c r="N223" s="157"/>
      <c r="O223" s="308"/>
      <c r="P223" s="308"/>
    </row>
    <row r="224" spans="3:16" s="159" customFormat="1" x14ac:dyDescent="0.25">
      <c r="C224" s="658"/>
      <c r="D224" s="658"/>
      <c r="J224" s="280"/>
      <c r="M224" s="282"/>
      <c r="N224" s="157"/>
      <c r="O224" s="308"/>
      <c r="P224" s="308"/>
    </row>
    <row r="225" spans="3:16" s="159" customFormat="1" x14ac:dyDescent="0.25">
      <c r="C225" s="658"/>
      <c r="D225" s="658"/>
      <c r="J225" s="280"/>
      <c r="M225" s="282"/>
      <c r="N225" s="157"/>
      <c r="O225" s="308"/>
      <c r="P225" s="308"/>
    </row>
    <row r="226" spans="3:16" s="159" customFormat="1" x14ac:dyDescent="0.25">
      <c r="C226" s="658"/>
      <c r="D226" s="658"/>
      <c r="J226" s="280"/>
      <c r="M226" s="282"/>
      <c r="N226" s="157"/>
      <c r="O226" s="308"/>
      <c r="P226" s="308"/>
    </row>
    <row r="227" spans="3:16" s="159" customFormat="1" x14ac:dyDescent="0.25">
      <c r="C227" s="658"/>
      <c r="D227" s="658"/>
      <c r="J227" s="280"/>
      <c r="M227" s="282"/>
      <c r="N227" s="157"/>
      <c r="O227" s="308"/>
      <c r="P227" s="308"/>
    </row>
    <row r="228" spans="3:16" s="159" customFormat="1" x14ac:dyDescent="0.25">
      <c r="C228" s="658"/>
      <c r="D228" s="658"/>
      <c r="J228" s="280"/>
      <c r="M228" s="282"/>
      <c r="N228" s="157"/>
      <c r="O228" s="308"/>
      <c r="P228" s="308"/>
    </row>
    <row r="229" spans="3:16" s="159" customFormat="1" x14ac:dyDescent="0.25">
      <c r="C229" s="658"/>
      <c r="D229" s="658"/>
      <c r="J229" s="280"/>
      <c r="M229" s="282"/>
      <c r="N229" s="157"/>
      <c r="O229" s="308"/>
      <c r="P229" s="308"/>
    </row>
    <row r="230" spans="3:16" s="159" customFormat="1" x14ac:dyDescent="0.25">
      <c r="C230" s="658"/>
      <c r="D230" s="658"/>
      <c r="J230" s="280"/>
      <c r="M230" s="282"/>
      <c r="N230" s="157"/>
      <c r="O230" s="308"/>
      <c r="P230" s="308"/>
    </row>
    <row r="231" spans="3:16" s="159" customFormat="1" x14ac:dyDescent="0.25">
      <c r="C231" s="658"/>
      <c r="D231" s="658"/>
      <c r="J231" s="280"/>
      <c r="M231" s="282"/>
      <c r="N231" s="157"/>
      <c r="O231" s="308"/>
      <c r="P231" s="308"/>
    </row>
    <row r="232" spans="3:16" s="159" customFormat="1" x14ac:dyDescent="0.25">
      <c r="C232" s="658"/>
      <c r="D232" s="658"/>
      <c r="J232" s="280"/>
      <c r="M232" s="282"/>
      <c r="N232" s="157"/>
      <c r="O232" s="308"/>
      <c r="P232" s="308"/>
    </row>
    <row r="233" spans="3:16" s="159" customFormat="1" x14ac:dyDescent="0.25">
      <c r="C233" s="658"/>
      <c r="D233" s="658"/>
      <c r="J233" s="280"/>
      <c r="M233" s="282"/>
      <c r="N233" s="157"/>
      <c r="O233" s="308"/>
      <c r="P233" s="308"/>
    </row>
    <row r="234" spans="3:16" s="159" customFormat="1" x14ac:dyDescent="0.25">
      <c r="C234" s="658"/>
      <c r="D234" s="658"/>
      <c r="J234" s="280"/>
      <c r="M234" s="282"/>
      <c r="N234" s="157"/>
      <c r="O234" s="308"/>
      <c r="P234" s="308"/>
    </row>
    <row r="235" spans="3:16" s="159" customFormat="1" x14ac:dyDescent="0.25">
      <c r="C235" s="658"/>
      <c r="D235" s="658"/>
      <c r="J235" s="280"/>
      <c r="M235" s="282"/>
      <c r="N235" s="157"/>
      <c r="O235" s="308"/>
      <c r="P235" s="308"/>
    </row>
    <row r="236" spans="3:16" s="159" customFormat="1" x14ac:dyDescent="0.25">
      <c r="C236" s="658"/>
      <c r="D236" s="658"/>
      <c r="J236" s="280"/>
      <c r="M236" s="282"/>
      <c r="N236" s="157"/>
      <c r="O236" s="308"/>
      <c r="P236" s="308"/>
    </row>
    <row r="237" spans="3:16" s="159" customFormat="1" x14ac:dyDescent="0.25">
      <c r="C237" s="658"/>
      <c r="D237" s="658"/>
      <c r="J237" s="280"/>
      <c r="M237" s="282"/>
      <c r="N237" s="157"/>
      <c r="O237" s="308"/>
      <c r="P237" s="308"/>
    </row>
    <row r="238" spans="3:16" s="159" customFormat="1" x14ac:dyDescent="0.25">
      <c r="C238" s="658"/>
      <c r="D238" s="658"/>
      <c r="J238" s="280"/>
      <c r="M238" s="282"/>
      <c r="N238" s="157"/>
      <c r="O238" s="308"/>
      <c r="P238" s="308"/>
    </row>
    <row r="239" spans="3:16" s="159" customFormat="1" x14ac:dyDescent="0.25">
      <c r="C239" s="658"/>
      <c r="D239" s="658"/>
      <c r="J239" s="280"/>
      <c r="M239" s="282"/>
      <c r="N239" s="157"/>
      <c r="O239" s="308"/>
      <c r="P239" s="308"/>
    </row>
    <row r="240" spans="3:16" s="159" customFormat="1" x14ac:dyDescent="0.25">
      <c r="C240" s="658"/>
      <c r="D240" s="658"/>
      <c r="J240" s="280"/>
      <c r="M240" s="282"/>
      <c r="N240" s="157"/>
      <c r="O240" s="308"/>
      <c r="P240" s="308"/>
    </row>
    <row r="241" spans="3:16" s="159" customFormat="1" x14ac:dyDescent="0.25">
      <c r="C241" s="658"/>
      <c r="D241" s="658"/>
      <c r="J241" s="280"/>
      <c r="M241" s="282"/>
      <c r="N241" s="157"/>
      <c r="O241" s="308"/>
      <c r="P241" s="308"/>
    </row>
    <row r="242" spans="3:16" s="159" customFormat="1" x14ac:dyDescent="0.25">
      <c r="C242" s="658"/>
      <c r="D242" s="658"/>
      <c r="J242" s="280"/>
      <c r="M242" s="282"/>
      <c r="N242" s="157"/>
      <c r="O242" s="308"/>
      <c r="P242" s="308"/>
    </row>
    <row r="243" spans="3:16" s="159" customFormat="1" x14ac:dyDescent="0.25">
      <c r="C243" s="658"/>
      <c r="D243" s="658"/>
      <c r="J243" s="280"/>
      <c r="M243" s="282"/>
      <c r="N243" s="157"/>
      <c r="O243" s="308"/>
      <c r="P243" s="308"/>
    </row>
    <row r="244" spans="3:16" s="159" customFormat="1" x14ac:dyDescent="0.25">
      <c r="C244" s="658"/>
      <c r="D244" s="658"/>
      <c r="J244" s="280"/>
      <c r="M244" s="282"/>
      <c r="N244" s="157"/>
      <c r="O244" s="308"/>
      <c r="P244" s="308"/>
    </row>
    <row r="245" spans="3:16" s="159" customFormat="1" x14ac:dyDescent="0.25">
      <c r="C245" s="658"/>
      <c r="D245" s="658"/>
      <c r="J245" s="280"/>
      <c r="M245" s="282"/>
      <c r="N245" s="157"/>
      <c r="O245" s="308"/>
      <c r="P245" s="308"/>
    </row>
    <row r="246" spans="3:16" s="159" customFormat="1" x14ac:dyDescent="0.25">
      <c r="C246" s="658"/>
      <c r="D246" s="658"/>
      <c r="J246" s="280"/>
      <c r="M246" s="282"/>
      <c r="N246" s="157"/>
      <c r="O246" s="308"/>
      <c r="P246" s="308"/>
    </row>
    <row r="247" spans="3:16" s="159" customFormat="1" x14ac:dyDescent="0.25">
      <c r="C247" s="658"/>
      <c r="D247" s="658"/>
      <c r="J247" s="280"/>
      <c r="M247" s="282"/>
      <c r="N247" s="157"/>
      <c r="O247" s="308"/>
      <c r="P247" s="308"/>
    </row>
    <row r="248" spans="3:16" s="159" customFormat="1" x14ac:dyDescent="0.25">
      <c r="C248" s="658"/>
      <c r="D248" s="658"/>
      <c r="J248" s="280"/>
      <c r="M248" s="282"/>
      <c r="N248" s="157"/>
      <c r="O248" s="308"/>
      <c r="P248" s="308"/>
    </row>
    <row r="249" spans="3:16" s="159" customFormat="1" x14ac:dyDescent="0.25">
      <c r="C249" s="658"/>
      <c r="D249" s="658"/>
      <c r="J249" s="280"/>
      <c r="M249" s="282"/>
      <c r="N249" s="157"/>
      <c r="O249" s="308"/>
      <c r="P249" s="308"/>
    </row>
    <row r="250" spans="3:16" s="159" customFormat="1" x14ac:dyDescent="0.25">
      <c r="C250" s="658"/>
      <c r="D250" s="658"/>
      <c r="J250" s="280"/>
      <c r="M250" s="282"/>
      <c r="N250" s="157"/>
      <c r="O250" s="308"/>
      <c r="P250" s="308"/>
    </row>
    <row r="251" spans="3:16" s="159" customFormat="1" x14ac:dyDescent="0.25">
      <c r="C251" s="658"/>
      <c r="D251" s="658"/>
      <c r="J251" s="280"/>
      <c r="M251" s="282"/>
      <c r="N251" s="157"/>
      <c r="O251" s="308"/>
      <c r="P251" s="308"/>
    </row>
    <row r="252" spans="3:16" s="159" customFormat="1" x14ac:dyDescent="0.25">
      <c r="C252" s="658"/>
      <c r="D252" s="658"/>
      <c r="J252" s="280"/>
      <c r="M252" s="282"/>
      <c r="N252" s="157"/>
      <c r="O252" s="308"/>
      <c r="P252" s="308"/>
    </row>
    <row r="253" spans="3:16" s="159" customFormat="1" x14ac:dyDescent="0.25">
      <c r="C253" s="658"/>
      <c r="D253" s="658"/>
      <c r="J253" s="280"/>
      <c r="M253" s="282"/>
      <c r="N253" s="157"/>
      <c r="O253" s="308"/>
      <c r="P253" s="308"/>
    </row>
    <row r="254" spans="3:16" s="159" customFormat="1" x14ac:dyDescent="0.25">
      <c r="C254" s="658"/>
      <c r="D254" s="658"/>
      <c r="J254" s="280"/>
      <c r="M254" s="282"/>
      <c r="N254" s="157"/>
      <c r="O254" s="308"/>
      <c r="P254" s="308"/>
    </row>
    <row r="255" spans="3:16" s="159" customFormat="1" x14ac:dyDescent="0.25">
      <c r="C255" s="658"/>
      <c r="D255" s="658"/>
      <c r="J255" s="280"/>
      <c r="M255" s="282"/>
      <c r="N255" s="157"/>
      <c r="O255" s="308"/>
      <c r="P255" s="308"/>
    </row>
    <row r="256" spans="3:16" s="159" customFormat="1" x14ac:dyDescent="0.25">
      <c r="C256" s="658"/>
      <c r="D256" s="658"/>
      <c r="J256" s="280"/>
      <c r="M256" s="282"/>
      <c r="N256" s="157"/>
      <c r="O256" s="308"/>
      <c r="P256" s="308"/>
    </row>
    <row r="257" spans="3:16" s="159" customFormat="1" x14ac:dyDescent="0.25">
      <c r="C257" s="658"/>
      <c r="D257" s="658"/>
      <c r="J257" s="280"/>
      <c r="M257" s="282"/>
      <c r="N257" s="157"/>
      <c r="O257" s="308"/>
      <c r="P257" s="308"/>
    </row>
    <row r="258" spans="3:16" s="159" customFormat="1" x14ac:dyDescent="0.25">
      <c r="C258" s="658"/>
      <c r="D258" s="658"/>
      <c r="J258" s="280"/>
      <c r="M258" s="282"/>
      <c r="N258" s="157"/>
      <c r="O258" s="308"/>
      <c r="P258" s="308"/>
    </row>
    <row r="259" spans="3:16" s="159" customFormat="1" x14ac:dyDescent="0.25">
      <c r="C259" s="658"/>
      <c r="D259" s="658"/>
      <c r="J259" s="280"/>
      <c r="M259" s="282"/>
      <c r="N259" s="157"/>
      <c r="O259" s="308"/>
      <c r="P259" s="308"/>
    </row>
    <row r="260" spans="3:16" s="159" customFormat="1" x14ac:dyDescent="0.25">
      <c r="C260" s="658"/>
      <c r="D260" s="658"/>
      <c r="J260" s="280"/>
      <c r="M260" s="282"/>
      <c r="N260" s="157"/>
      <c r="O260" s="308"/>
      <c r="P260" s="308"/>
    </row>
    <row r="261" spans="3:16" s="159" customFormat="1" x14ac:dyDescent="0.25">
      <c r="C261" s="658"/>
      <c r="D261" s="658"/>
      <c r="J261" s="280"/>
      <c r="M261" s="282"/>
      <c r="N261" s="157"/>
      <c r="O261" s="308"/>
      <c r="P261" s="308"/>
    </row>
    <row r="262" spans="3:16" s="159" customFormat="1" x14ac:dyDescent="0.25">
      <c r="C262" s="658"/>
      <c r="D262" s="658"/>
      <c r="J262" s="280"/>
      <c r="M262" s="282"/>
      <c r="N262" s="157"/>
      <c r="O262" s="308"/>
      <c r="P262" s="308"/>
    </row>
    <row r="263" spans="3:16" s="159" customFormat="1" x14ac:dyDescent="0.25">
      <c r="C263" s="658"/>
      <c r="D263" s="658"/>
      <c r="J263" s="280"/>
      <c r="M263" s="282"/>
      <c r="N263" s="157"/>
      <c r="O263" s="308"/>
      <c r="P263" s="308"/>
    </row>
    <row r="264" spans="3:16" s="159" customFormat="1" x14ac:dyDescent="0.25">
      <c r="C264" s="658"/>
      <c r="D264" s="658"/>
      <c r="J264" s="280"/>
      <c r="M264" s="282"/>
      <c r="N264" s="157"/>
      <c r="O264" s="308"/>
      <c r="P264" s="308"/>
    </row>
    <row r="265" spans="3:16" s="159" customFormat="1" x14ac:dyDescent="0.25">
      <c r="C265" s="658"/>
      <c r="D265" s="658"/>
      <c r="J265" s="280"/>
      <c r="M265" s="282"/>
      <c r="N265" s="157"/>
      <c r="O265" s="308"/>
      <c r="P265" s="308"/>
    </row>
    <row r="266" spans="3:16" s="159" customFormat="1" x14ac:dyDescent="0.25">
      <c r="C266" s="658"/>
      <c r="D266" s="658"/>
      <c r="J266" s="280"/>
      <c r="M266" s="282"/>
      <c r="N266" s="157"/>
      <c r="O266" s="308"/>
      <c r="P266" s="308"/>
    </row>
    <row r="267" spans="3:16" s="159" customFormat="1" x14ac:dyDescent="0.25">
      <c r="C267" s="658"/>
      <c r="D267" s="658"/>
      <c r="J267" s="280"/>
      <c r="M267" s="282"/>
      <c r="N267" s="157"/>
      <c r="O267" s="308"/>
      <c r="P267" s="308"/>
    </row>
    <row r="268" spans="3:16" s="159" customFormat="1" x14ac:dyDescent="0.25">
      <c r="C268" s="658"/>
      <c r="D268" s="658"/>
      <c r="J268" s="280"/>
      <c r="M268" s="282"/>
      <c r="N268" s="157"/>
      <c r="O268" s="308"/>
      <c r="P268" s="308"/>
    </row>
    <row r="269" spans="3:16" s="159" customFormat="1" x14ac:dyDescent="0.25">
      <c r="C269" s="658"/>
      <c r="D269" s="658"/>
      <c r="J269" s="280"/>
      <c r="M269" s="282"/>
      <c r="N269" s="157"/>
      <c r="O269" s="308"/>
      <c r="P269" s="308"/>
    </row>
    <row r="270" spans="3:16" s="159" customFormat="1" x14ac:dyDescent="0.25">
      <c r="C270" s="658"/>
      <c r="D270" s="658"/>
      <c r="J270" s="280"/>
      <c r="M270" s="282"/>
      <c r="N270" s="157"/>
      <c r="O270" s="308"/>
      <c r="P270" s="308"/>
    </row>
    <row r="271" spans="3:16" s="159" customFormat="1" x14ac:dyDescent="0.25">
      <c r="C271" s="658"/>
      <c r="D271" s="658"/>
      <c r="J271" s="280"/>
      <c r="M271" s="282"/>
      <c r="N271" s="157"/>
      <c r="O271" s="308"/>
      <c r="P271" s="308"/>
    </row>
    <row r="272" spans="3:16" s="159" customFormat="1" x14ac:dyDescent="0.25">
      <c r="C272" s="658"/>
      <c r="D272" s="658"/>
      <c r="J272" s="280"/>
      <c r="M272" s="282"/>
      <c r="N272" s="157"/>
      <c r="O272" s="308"/>
      <c r="P272" s="308"/>
    </row>
    <row r="273" spans="3:16" s="159" customFormat="1" x14ac:dyDescent="0.25">
      <c r="C273" s="658"/>
      <c r="D273" s="658"/>
      <c r="J273" s="280"/>
      <c r="M273" s="282"/>
      <c r="N273" s="157"/>
      <c r="O273" s="308"/>
      <c r="P273" s="308"/>
    </row>
    <row r="274" spans="3:16" s="159" customFormat="1" x14ac:dyDescent="0.25">
      <c r="C274" s="658"/>
      <c r="D274" s="658"/>
      <c r="J274" s="280"/>
      <c r="M274" s="282"/>
      <c r="N274" s="157"/>
      <c r="O274" s="308"/>
      <c r="P274" s="308"/>
    </row>
    <row r="275" spans="3:16" s="159" customFormat="1" x14ac:dyDescent="0.25">
      <c r="C275" s="658"/>
      <c r="D275" s="658"/>
      <c r="J275" s="280"/>
      <c r="M275" s="282"/>
      <c r="N275" s="157"/>
      <c r="O275" s="308"/>
      <c r="P275" s="308"/>
    </row>
    <row r="276" spans="3:16" s="159" customFormat="1" x14ac:dyDescent="0.25">
      <c r="C276" s="658"/>
      <c r="D276" s="658"/>
      <c r="J276" s="280"/>
      <c r="M276" s="282"/>
      <c r="N276" s="157"/>
      <c r="O276" s="308"/>
      <c r="P276" s="308"/>
    </row>
    <row r="277" spans="3:16" s="159" customFormat="1" x14ac:dyDescent="0.25">
      <c r="C277" s="658"/>
      <c r="D277" s="658"/>
      <c r="J277" s="280"/>
      <c r="M277" s="282"/>
      <c r="N277" s="157"/>
      <c r="O277" s="308"/>
      <c r="P277" s="308"/>
    </row>
    <row r="278" spans="3:16" s="159" customFormat="1" x14ac:dyDescent="0.25">
      <c r="C278" s="658"/>
      <c r="D278" s="658"/>
      <c r="J278" s="280"/>
      <c r="M278" s="282"/>
      <c r="N278" s="157"/>
      <c r="O278" s="308"/>
      <c r="P278" s="308"/>
    </row>
    <row r="279" spans="3:16" s="159" customFormat="1" x14ac:dyDescent="0.25">
      <c r="C279" s="658"/>
      <c r="D279" s="658"/>
      <c r="J279" s="280"/>
      <c r="M279" s="282"/>
      <c r="N279" s="157"/>
      <c r="O279" s="308"/>
      <c r="P279" s="308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58" fitToHeight="2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235"/>
  <sheetViews>
    <sheetView topLeftCell="A28" zoomScale="90" zoomScaleNormal="75" zoomScaleSheetLayoutView="90" zoomScalePageLayoutView="75" workbookViewId="0">
      <selection activeCell="A55" sqref="A55"/>
    </sheetView>
  </sheetViews>
  <sheetFormatPr defaultColWidth="9.109375" defaultRowHeight="13.2" x14ac:dyDescent="0.25"/>
  <cols>
    <col min="1" max="1" width="12.109375" style="157" bestFit="1" customWidth="1"/>
    <col min="2" max="2" width="42.88671875" style="157" customWidth="1"/>
    <col min="3" max="4" width="5" style="44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74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530" t="s">
        <v>508</v>
      </c>
      <c r="B10" s="530" t="s">
        <v>509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ht="15" x14ac:dyDescent="0.25">
      <c r="A11" s="196" t="s">
        <v>510</v>
      </c>
      <c r="B11" s="196" t="s">
        <v>511</v>
      </c>
      <c r="C11" s="376"/>
      <c r="D11" s="377" t="s">
        <v>21</v>
      </c>
      <c r="E11" s="259">
        <v>0</v>
      </c>
      <c r="F11" s="378">
        <f t="shared" ref="F11:F22" si="0">C11*E11</f>
        <v>0</v>
      </c>
      <c r="G11" s="534"/>
      <c r="H11" s="380">
        <v>0</v>
      </c>
      <c r="I11" s="378">
        <f t="shared" ref="I11:I22" si="1">G11*H11</f>
        <v>0</v>
      </c>
      <c r="J11" s="381"/>
      <c r="K11" s="535">
        <f t="shared" ref="K11:K22" si="2">F11+I11+J11</f>
        <v>0</v>
      </c>
      <c r="L11" s="383"/>
      <c r="M11" s="384"/>
      <c r="N11" s="385"/>
      <c r="O11" s="386"/>
      <c r="P11" s="387"/>
      <c r="Q11" s="388"/>
    </row>
    <row r="12" spans="1:17" x14ac:dyDescent="0.25">
      <c r="A12" s="375"/>
      <c r="B12" s="5"/>
      <c r="C12" s="376"/>
      <c r="D12" s="377" t="s">
        <v>21</v>
      </c>
      <c r="E12" s="259">
        <v>0</v>
      </c>
      <c r="F12" s="378">
        <f t="shared" si="0"/>
        <v>0</v>
      </c>
      <c r="G12" s="534"/>
      <c r="H12" s="380">
        <v>0</v>
      </c>
      <c r="I12" s="378">
        <f t="shared" si="1"/>
        <v>0</v>
      </c>
      <c r="J12" s="381"/>
      <c r="K12" s="535">
        <f t="shared" si="2"/>
        <v>0</v>
      </c>
      <c r="L12" s="383"/>
      <c r="M12" s="384"/>
      <c r="N12" s="385"/>
      <c r="O12" s="386"/>
      <c r="P12" s="387"/>
      <c r="Q12" s="388"/>
    </row>
    <row r="13" spans="1:17" x14ac:dyDescent="0.25">
      <c r="A13" s="375"/>
      <c r="B13" s="5"/>
      <c r="C13" s="376"/>
      <c r="D13" s="377" t="s">
        <v>21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383"/>
      <c r="M13" s="384"/>
      <c r="N13" s="385"/>
      <c r="O13" s="386"/>
      <c r="P13" s="387"/>
      <c r="Q13" s="388"/>
    </row>
    <row r="14" spans="1:17" x14ac:dyDescent="0.25">
      <c r="A14" s="375"/>
      <c r="B14" s="5"/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6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89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89"/>
      <c r="B17" s="5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157"/>
      <c r="M17" s="474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157"/>
      <c r="M18" s="474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541"/>
      <c r="M19" s="578"/>
      <c r="N19" s="542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543"/>
      <c r="M20" s="469"/>
      <c r="N20" s="544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157"/>
      <c r="M21" s="474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157"/>
      <c r="M22" s="474"/>
      <c r="O22" s="386"/>
      <c r="P22" s="387"/>
      <c r="Q22" s="388"/>
    </row>
    <row r="23" spans="1:17" ht="13.8" thickBot="1" x14ac:dyDescent="0.3">
      <c r="A23" s="392"/>
      <c r="B23" s="7"/>
      <c r="C23" s="393"/>
      <c r="D23" s="377"/>
      <c r="E23" s="259"/>
      <c r="F23" s="378"/>
      <c r="G23" s="534"/>
      <c r="H23" s="380"/>
      <c r="I23" s="378"/>
      <c r="J23" s="381"/>
      <c r="K23" s="535"/>
      <c r="L23" s="157"/>
      <c r="M23" s="474"/>
      <c r="O23" s="386"/>
      <c r="P23" s="387"/>
      <c r="Q23" s="388"/>
    </row>
    <row r="24" spans="1:17" ht="13.8" thickTop="1" x14ac:dyDescent="0.25">
      <c r="A24" s="392"/>
      <c r="B24" s="7"/>
      <c r="C24" s="393"/>
      <c r="D24" s="377"/>
      <c r="E24" s="259"/>
      <c r="F24" s="378"/>
      <c r="G24" s="534"/>
      <c r="H24" s="380"/>
      <c r="I24" s="378"/>
      <c r="J24" s="394" t="s">
        <v>30</v>
      </c>
      <c r="K24" s="537">
        <f>SUM(K11:K23)</f>
        <v>0</v>
      </c>
      <c r="L24" s="157"/>
      <c r="M24" s="474"/>
      <c r="O24" s="386"/>
      <c r="P24" s="387"/>
      <c r="Q24" s="388"/>
    </row>
    <row r="25" spans="1:17" ht="13.8" thickBot="1" x14ac:dyDescent="0.3">
      <c r="A25" s="358" t="s">
        <v>0</v>
      </c>
      <c r="B25" s="359" t="s">
        <v>1</v>
      </c>
      <c r="C25" s="1018" t="s">
        <v>656</v>
      </c>
      <c r="D25" s="1018"/>
      <c r="E25" s="1018"/>
      <c r="F25" s="1018"/>
      <c r="G25" s="1018" t="s">
        <v>34</v>
      </c>
      <c r="H25" s="1018"/>
      <c r="I25" s="1018"/>
      <c r="J25" s="360"/>
      <c r="K25" s="528"/>
      <c r="L25" s="396"/>
      <c r="M25" s="397"/>
      <c r="N25" s="398"/>
      <c r="O25" s="386"/>
      <c r="P25" s="387"/>
      <c r="Q25" s="388"/>
    </row>
    <row r="26" spans="1:17" ht="16.2" thickBot="1" x14ac:dyDescent="0.35">
      <c r="A26" s="530" t="s">
        <v>512</v>
      </c>
      <c r="B26" s="530" t="s">
        <v>513</v>
      </c>
      <c r="C26" s="401" t="s">
        <v>19</v>
      </c>
      <c r="D26" s="402" t="s">
        <v>33</v>
      </c>
      <c r="E26" s="403" t="s">
        <v>35</v>
      </c>
      <c r="F26" s="404" t="s">
        <v>30</v>
      </c>
      <c r="G26" s="538" t="s">
        <v>14</v>
      </c>
      <c r="H26" s="403" t="s">
        <v>35</v>
      </c>
      <c r="I26" s="404" t="s">
        <v>30</v>
      </c>
      <c r="J26" s="369" t="s">
        <v>659</v>
      </c>
      <c r="K26" s="539" t="s">
        <v>38</v>
      </c>
      <c r="L26" s="407"/>
      <c r="M26" s="408"/>
      <c r="N26" s="409"/>
      <c r="O26" s="386"/>
      <c r="P26" s="387"/>
      <c r="Q26" s="388"/>
    </row>
    <row r="27" spans="1:17" s="159" customFormat="1" x14ac:dyDescent="0.25">
      <c r="A27" s="410"/>
      <c r="B27" s="411"/>
      <c r="C27" s="376"/>
      <c r="D27" s="377" t="s">
        <v>21</v>
      </c>
      <c r="E27" s="259">
        <v>0</v>
      </c>
      <c r="F27" s="378">
        <f t="shared" ref="F27:F33" si="3">C27*E27</f>
        <v>0</v>
      </c>
      <c r="G27" s="534"/>
      <c r="H27" s="380">
        <v>0</v>
      </c>
      <c r="I27" s="378">
        <f t="shared" ref="I27:I33" si="4">G27*H27</f>
        <v>0</v>
      </c>
      <c r="J27" s="381"/>
      <c r="K27" s="535">
        <f t="shared" ref="K27:K33" si="5">F27+I27+J27</f>
        <v>0</v>
      </c>
      <c r="M27" s="280"/>
      <c r="O27" s="386"/>
      <c r="P27" s="387"/>
      <c r="Q27" s="388"/>
    </row>
    <row r="28" spans="1:17" s="159" customFormat="1" x14ac:dyDescent="0.25">
      <c r="A28" s="375"/>
      <c r="B28" s="5"/>
      <c r="C28" s="376"/>
      <c r="D28" s="377" t="s">
        <v>21</v>
      </c>
      <c r="E28" s="259">
        <v>0</v>
      </c>
      <c r="F28" s="378">
        <f t="shared" si="3"/>
        <v>0</v>
      </c>
      <c r="G28" s="534"/>
      <c r="H28" s="380">
        <v>0</v>
      </c>
      <c r="I28" s="378">
        <f t="shared" si="4"/>
        <v>0</v>
      </c>
      <c r="J28" s="381"/>
      <c r="K28" s="535">
        <f t="shared" si="5"/>
        <v>0</v>
      </c>
      <c r="M28" s="282"/>
      <c r="N28" s="157"/>
      <c r="O28" s="386"/>
      <c r="P28" s="387"/>
      <c r="Q28" s="388"/>
    </row>
    <row r="29" spans="1:17" s="159" customFormat="1" x14ac:dyDescent="0.25">
      <c r="A29" s="375"/>
      <c r="B29" s="5"/>
      <c r="C29" s="376"/>
      <c r="D29" s="377" t="s">
        <v>21</v>
      </c>
      <c r="E29" s="259">
        <v>0</v>
      </c>
      <c r="F29" s="378">
        <f t="shared" si="3"/>
        <v>0</v>
      </c>
      <c r="G29" s="534"/>
      <c r="H29" s="380">
        <v>0</v>
      </c>
      <c r="I29" s="378">
        <f t="shared" si="4"/>
        <v>0</v>
      </c>
      <c r="J29" s="381"/>
      <c r="K29" s="535">
        <f t="shared" si="5"/>
        <v>0</v>
      </c>
      <c r="L29" s="383"/>
      <c r="M29" s="384"/>
      <c r="N29" s="385"/>
      <c r="O29" s="386"/>
      <c r="P29" s="387"/>
      <c r="Q29" s="388"/>
    </row>
    <row r="30" spans="1:17" s="159" customFormat="1" x14ac:dyDescent="0.25">
      <c r="A30" s="375"/>
      <c r="B30" s="5"/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L30" s="383"/>
      <c r="M30" s="384"/>
      <c r="N30" s="385"/>
      <c r="O30" s="386"/>
      <c r="P30" s="387"/>
      <c r="Q30" s="388"/>
    </row>
    <row r="31" spans="1:17" s="159" customFormat="1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L31" s="541"/>
      <c r="M31" s="578"/>
      <c r="N31" s="542"/>
      <c r="O31" s="386"/>
      <c r="P31" s="387"/>
      <c r="Q31" s="388"/>
    </row>
    <row r="32" spans="1:17" s="159" customFormat="1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M32" s="280"/>
      <c r="O32" s="386"/>
      <c r="P32" s="387"/>
      <c r="Q32" s="388"/>
    </row>
    <row r="33" spans="1:17" s="159" customFormat="1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M33" s="280"/>
      <c r="O33" s="386"/>
      <c r="P33" s="387"/>
      <c r="Q33" s="388"/>
    </row>
    <row r="34" spans="1:17" s="159" customFormat="1" ht="13.8" thickBot="1" x14ac:dyDescent="0.3">
      <c r="A34" s="375"/>
      <c r="B34" s="5"/>
      <c r="C34" s="393"/>
      <c r="D34" s="377"/>
      <c r="E34" s="259"/>
      <c r="F34" s="378"/>
      <c r="G34" s="534"/>
      <c r="H34" s="380"/>
      <c r="I34" s="378"/>
      <c r="J34" s="381"/>
      <c r="K34" s="540"/>
      <c r="L34" s="157"/>
      <c r="M34" s="474"/>
      <c r="N34" s="157"/>
      <c r="O34" s="386"/>
      <c r="P34" s="387"/>
      <c r="Q34" s="388"/>
    </row>
    <row r="35" spans="1:17" s="159" customFormat="1" ht="13.8" thickTop="1" x14ac:dyDescent="0.25">
      <c r="A35" s="392"/>
      <c r="B35" s="5"/>
      <c r="C35" s="393"/>
      <c r="D35" s="377"/>
      <c r="E35" s="259"/>
      <c r="F35" s="378"/>
      <c r="G35" s="534"/>
      <c r="H35" s="380"/>
      <c r="I35" s="378"/>
      <c r="J35" s="394" t="s">
        <v>30</v>
      </c>
      <c r="K35" s="537">
        <f>SUM(K27:K34)</f>
        <v>0</v>
      </c>
      <c r="L35" s="383"/>
      <c r="M35" s="384"/>
      <c r="N35" s="385"/>
      <c r="O35" s="386"/>
      <c r="P35" s="387"/>
      <c r="Q35" s="388"/>
    </row>
    <row r="36" spans="1:17" s="159" customFormat="1" ht="13.8" thickBot="1" x14ac:dyDescent="0.3">
      <c r="A36" s="358" t="s">
        <v>0</v>
      </c>
      <c r="B36" s="359" t="s">
        <v>1</v>
      </c>
      <c r="C36" s="1018" t="s">
        <v>656</v>
      </c>
      <c r="D36" s="1018"/>
      <c r="E36" s="1018"/>
      <c r="F36" s="1018"/>
      <c r="G36" s="1018" t="s">
        <v>34</v>
      </c>
      <c r="H36" s="1018"/>
      <c r="I36" s="1018"/>
      <c r="J36" s="360"/>
      <c r="K36" s="528"/>
      <c r="L36" s="396"/>
      <c r="M36" s="397"/>
      <c r="N36" s="398"/>
      <c r="O36" s="386"/>
      <c r="P36" s="387"/>
      <c r="Q36" s="388"/>
    </row>
    <row r="37" spans="1:17" s="159" customFormat="1" ht="16.2" thickBot="1" x14ac:dyDescent="0.35">
      <c r="A37" s="530" t="s">
        <v>514</v>
      </c>
      <c r="B37" s="530" t="s">
        <v>515</v>
      </c>
      <c r="C37" s="401" t="s">
        <v>19</v>
      </c>
      <c r="D37" s="402" t="s">
        <v>33</v>
      </c>
      <c r="E37" s="403" t="s">
        <v>35</v>
      </c>
      <c r="F37" s="404" t="s">
        <v>30</v>
      </c>
      <c r="G37" s="538" t="s">
        <v>14</v>
      </c>
      <c r="H37" s="403" t="s">
        <v>35</v>
      </c>
      <c r="I37" s="404" t="s">
        <v>30</v>
      </c>
      <c r="J37" s="369" t="s">
        <v>659</v>
      </c>
      <c r="K37" s="539" t="s">
        <v>38</v>
      </c>
      <c r="L37" s="407"/>
      <c r="M37" s="413"/>
      <c r="N37" s="414"/>
      <c r="O37" s="415"/>
      <c r="P37" s="416"/>
      <c r="Q37" s="388"/>
    </row>
    <row r="38" spans="1:17" s="159" customFormat="1" x14ac:dyDescent="0.25">
      <c r="A38" s="410"/>
      <c r="B38" s="411"/>
      <c r="C38" s="376"/>
      <c r="D38" s="377" t="s">
        <v>21</v>
      </c>
      <c r="E38" s="259">
        <v>0</v>
      </c>
      <c r="F38" s="378">
        <f>C38*E38</f>
        <v>0</v>
      </c>
      <c r="G38" s="534"/>
      <c r="H38" s="380">
        <v>0</v>
      </c>
      <c r="I38" s="378">
        <f>G38*H38</f>
        <v>0</v>
      </c>
      <c r="J38" s="381"/>
      <c r="K38" s="535">
        <f>F38+I38+J38</f>
        <v>0</v>
      </c>
      <c r="L38" s="383"/>
      <c r="M38" s="384"/>
      <c r="N38" s="385"/>
      <c r="O38" s="415"/>
      <c r="P38" s="416"/>
      <c r="Q38" s="388"/>
    </row>
    <row r="39" spans="1:17" s="159" customFormat="1" x14ac:dyDescent="0.25">
      <c r="A39" s="375"/>
      <c r="B39" s="5"/>
      <c r="C39" s="376"/>
      <c r="D39" s="377" t="s">
        <v>21</v>
      </c>
      <c r="E39" s="259">
        <v>0</v>
      </c>
      <c r="F39" s="378">
        <f>C39*E39</f>
        <v>0</v>
      </c>
      <c r="G39" s="534"/>
      <c r="H39" s="380">
        <v>0</v>
      </c>
      <c r="I39" s="378">
        <f>G39*H39</f>
        <v>0</v>
      </c>
      <c r="J39" s="381"/>
      <c r="K39" s="535">
        <f>F39+I39+J39</f>
        <v>0</v>
      </c>
      <c r="M39" s="280"/>
      <c r="O39" s="415"/>
      <c r="P39" s="416"/>
      <c r="Q39" s="388"/>
    </row>
    <row r="40" spans="1:17" s="159" customFormat="1" x14ac:dyDescent="0.25">
      <c r="A40" s="375"/>
      <c r="B40" s="5"/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M40" s="280"/>
      <c r="O40" s="415"/>
      <c r="P40" s="416"/>
      <c r="Q40" s="388"/>
    </row>
    <row r="41" spans="1:17" s="159" customFormat="1" x14ac:dyDescent="0.25">
      <c r="A41" s="392"/>
      <c r="B41" s="417"/>
      <c r="C41" s="393"/>
      <c r="D41" s="377"/>
      <c r="E41" s="259"/>
      <c r="F41" s="378"/>
      <c r="G41" s="534"/>
      <c r="H41" s="380"/>
      <c r="I41" s="378"/>
      <c r="J41" s="381"/>
      <c r="K41" s="540"/>
      <c r="L41" s="383"/>
      <c r="M41" s="384"/>
      <c r="N41" s="385"/>
      <c r="O41" s="415"/>
      <c r="P41" s="416"/>
      <c r="Q41" s="388"/>
    </row>
    <row r="42" spans="1:17" s="159" customFormat="1" ht="13.8" thickBot="1" x14ac:dyDescent="0.3">
      <c r="A42" s="392"/>
      <c r="B42" s="417"/>
      <c r="C42" s="393"/>
      <c r="D42" s="377"/>
      <c r="E42" s="259"/>
      <c r="F42" s="378"/>
      <c r="G42" s="534"/>
      <c r="H42" s="380"/>
      <c r="I42" s="378"/>
      <c r="J42" s="381"/>
      <c r="K42" s="540"/>
      <c r="M42" s="282"/>
      <c r="N42" s="157"/>
      <c r="O42" s="415"/>
      <c r="P42" s="416"/>
      <c r="Q42" s="388"/>
    </row>
    <row r="43" spans="1:17" s="159" customFormat="1" ht="13.8" thickTop="1" x14ac:dyDescent="0.25">
      <c r="A43" s="392"/>
      <c r="B43" s="417"/>
      <c r="C43" s="393"/>
      <c r="D43" s="377"/>
      <c r="E43" s="259"/>
      <c r="F43" s="378"/>
      <c r="G43" s="534"/>
      <c r="H43" s="380"/>
      <c r="I43" s="378"/>
      <c r="J43" s="394" t="s">
        <v>30</v>
      </c>
      <c r="K43" s="537">
        <f>SUM(K38:K42)</f>
        <v>0</v>
      </c>
      <c r="M43" s="282"/>
      <c r="N43" s="157"/>
      <c r="O43" s="386"/>
      <c r="P43" s="387"/>
      <c r="Q43" s="388"/>
    </row>
    <row r="44" spans="1:17" s="159" customFormat="1" ht="13.8" thickBot="1" x14ac:dyDescent="0.3">
      <c r="A44" s="358" t="s">
        <v>0</v>
      </c>
      <c r="B44" s="359" t="s">
        <v>1</v>
      </c>
      <c r="C44" s="1018" t="s">
        <v>656</v>
      </c>
      <c r="D44" s="1018"/>
      <c r="E44" s="1018"/>
      <c r="F44" s="1018"/>
      <c r="G44" s="1018" t="s">
        <v>34</v>
      </c>
      <c r="H44" s="1018"/>
      <c r="I44" s="1018"/>
      <c r="J44" s="360"/>
      <c r="K44" s="528"/>
      <c r="L44" s="396"/>
      <c r="M44" s="397"/>
      <c r="N44" s="398"/>
      <c r="O44" s="386"/>
      <c r="P44" s="387"/>
      <c r="Q44" s="388"/>
    </row>
    <row r="45" spans="1:17" s="159" customFormat="1" ht="15.6" x14ac:dyDescent="0.3">
      <c r="A45" s="530" t="s">
        <v>516</v>
      </c>
      <c r="B45" s="530" t="s">
        <v>518</v>
      </c>
      <c r="C45" s="401" t="s">
        <v>19</v>
      </c>
      <c r="D45" s="402" t="s">
        <v>33</v>
      </c>
      <c r="E45" s="403" t="s">
        <v>35</v>
      </c>
      <c r="F45" s="404" t="s">
        <v>30</v>
      </c>
      <c r="G45" s="538" t="s">
        <v>14</v>
      </c>
      <c r="H45" s="403" t="s">
        <v>35</v>
      </c>
      <c r="I45" s="404" t="s">
        <v>30</v>
      </c>
      <c r="J45" s="369" t="s">
        <v>659</v>
      </c>
      <c r="K45" s="539" t="s">
        <v>38</v>
      </c>
      <c r="L45" s="407"/>
      <c r="M45" s="413"/>
      <c r="N45" s="414"/>
      <c r="O45" s="386"/>
      <c r="P45" s="416"/>
      <c r="Q45" s="388"/>
    </row>
    <row r="46" spans="1:17" s="159" customFormat="1" ht="15" x14ac:dyDescent="0.25">
      <c r="A46" s="807" t="s">
        <v>517</v>
      </c>
      <c r="B46" s="807" t="s">
        <v>519</v>
      </c>
      <c r="C46" s="376"/>
      <c r="D46" s="377" t="s">
        <v>21</v>
      </c>
      <c r="E46" s="259">
        <v>0</v>
      </c>
      <c r="F46" s="378">
        <f>C46*E46</f>
        <v>0</v>
      </c>
      <c r="G46" s="534"/>
      <c r="H46" s="380">
        <v>0</v>
      </c>
      <c r="I46" s="378">
        <f>G46*H46</f>
        <v>0</v>
      </c>
      <c r="J46" s="381"/>
      <c r="K46" s="535">
        <f>F46+I46+J46</f>
        <v>0</v>
      </c>
      <c r="L46" s="383"/>
      <c r="M46" s="261"/>
      <c r="N46" s="426"/>
      <c r="O46" s="386"/>
      <c r="P46" s="387"/>
      <c r="Q46" s="388"/>
    </row>
    <row r="47" spans="1:17" s="159" customFormat="1" x14ac:dyDescent="0.25">
      <c r="A47" s="375"/>
      <c r="B47" s="5"/>
      <c r="C47" s="376"/>
      <c r="D47" s="377" t="s">
        <v>21</v>
      </c>
      <c r="E47" s="259">
        <v>0</v>
      </c>
      <c r="F47" s="378">
        <f>C47*E47</f>
        <v>0</v>
      </c>
      <c r="G47" s="534"/>
      <c r="H47" s="380">
        <v>0</v>
      </c>
      <c r="I47" s="378">
        <f>G47*H47</f>
        <v>0</v>
      </c>
      <c r="J47" s="381"/>
      <c r="K47" s="535">
        <f>F47+I47+J47</f>
        <v>0</v>
      </c>
      <c r="L47" s="541"/>
      <c r="M47" s="578"/>
      <c r="N47" s="542"/>
      <c r="O47" s="386"/>
      <c r="P47" s="387"/>
      <c r="Q47" s="388"/>
    </row>
    <row r="48" spans="1:17" s="159" customFormat="1" x14ac:dyDescent="0.25">
      <c r="A48" s="375"/>
      <c r="B48" s="5"/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543"/>
      <c r="M48" s="261"/>
      <c r="N48" s="426"/>
      <c r="O48" s="386"/>
      <c r="P48" s="387"/>
      <c r="Q48" s="388"/>
    </row>
    <row r="49" spans="1:17" s="159" customFormat="1" x14ac:dyDescent="0.25">
      <c r="A49" s="375"/>
      <c r="B49" s="5"/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667"/>
      <c r="M49" s="261"/>
      <c r="N49" s="426"/>
      <c r="O49" s="386"/>
      <c r="P49" s="387"/>
      <c r="Q49" s="388"/>
    </row>
    <row r="50" spans="1:17" s="159" customFormat="1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L50" s="383"/>
      <c r="M50" s="261"/>
      <c r="N50" s="426"/>
      <c r="O50" s="386"/>
      <c r="P50" s="387"/>
      <c r="Q50" s="388"/>
    </row>
    <row r="51" spans="1:17" s="159" customFormat="1" ht="13.8" thickBot="1" x14ac:dyDescent="0.3">
      <c r="A51" s="392"/>
      <c r="B51" s="417"/>
      <c r="C51" s="393"/>
      <c r="D51" s="377"/>
      <c r="E51" s="259"/>
      <c r="F51" s="378"/>
      <c r="G51" s="534"/>
      <c r="H51" s="380"/>
      <c r="I51" s="378"/>
      <c r="J51" s="381"/>
      <c r="K51" s="540"/>
      <c r="L51" s="383"/>
      <c r="M51" s="261"/>
      <c r="N51" s="385"/>
      <c r="O51" s="386"/>
      <c r="P51" s="387"/>
      <c r="Q51" s="388"/>
    </row>
    <row r="52" spans="1:17" s="159" customFormat="1" ht="14.4" thickTop="1" thickBot="1" x14ac:dyDescent="0.3">
      <c r="A52" s="392"/>
      <c r="B52" s="417"/>
      <c r="C52" s="393"/>
      <c r="D52" s="377"/>
      <c r="E52" s="259"/>
      <c r="F52" s="378"/>
      <c r="G52" s="534"/>
      <c r="H52" s="380"/>
      <c r="I52" s="378"/>
      <c r="J52" s="394" t="s">
        <v>30</v>
      </c>
      <c r="K52" s="537">
        <f>SUM(K46:K51)</f>
        <v>0</v>
      </c>
      <c r="L52" s="682"/>
      <c r="M52" s="683"/>
      <c r="N52" s="589"/>
      <c r="O52" s="684"/>
      <c r="P52" s="685"/>
      <c r="Q52" s="467"/>
    </row>
    <row r="53" spans="1:17" s="159" customFormat="1" ht="14.1" customHeight="1" thickTop="1" x14ac:dyDescent="0.25">
      <c r="A53" s="483"/>
      <c r="B53" s="484"/>
      <c r="C53" s="485"/>
      <c r="D53" s="485"/>
      <c r="E53" s="486"/>
      <c r="F53" s="1048" t="s">
        <v>658</v>
      </c>
      <c r="G53" s="1071" t="s">
        <v>684</v>
      </c>
      <c r="H53" s="486"/>
      <c r="I53" s="1041" t="s">
        <v>657</v>
      </c>
      <c r="J53" s="1037" t="s">
        <v>685</v>
      </c>
      <c r="K53" s="1035" t="s">
        <v>31</v>
      </c>
      <c r="M53" s="282"/>
      <c r="N53" s="157"/>
      <c r="O53" s="308"/>
      <c r="P53" s="308"/>
    </row>
    <row r="54" spans="1:17" s="159" customFormat="1" ht="14.1" customHeight="1" x14ac:dyDescent="0.25">
      <c r="A54" s="487" t="s">
        <v>32</v>
      </c>
      <c r="B54" s="1043" t="s">
        <v>672</v>
      </c>
      <c r="C54" s="488"/>
      <c r="D54" s="489"/>
      <c r="E54" s="489"/>
      <c r="F54" s="1049"/>
      <c r="G54" s="1072"/>
      <c r="H54" s="490"/>
      <c r="I54" s="1042"/>
      <c r="J54" s="1038"/>
      <c r="K54" s="1036"/>
      <c r="M54" s="282"/>
      <c r="N54" s="157"/>
      <c r="O54" s="308"/>
      <c r="P54" s="308"/>
    </row>
    <row r="55" spans="1:17" s="159" customFormat="1" ht="13.8" x14ac:dyDescent="0.25">
      <c r="A55" s="491">
        <f>K55/E6</f>
        <v>0</v>
      </c>
      <c r="B55" s="1043"/>
      <c r="C55" s="489"/>
      <c r="D55" s="489"/>
      <c r="E55" s="489"/>
      <c r="F55" s="1031">
        <f>SUM(F46:F51,F38:F42,F27:F34,F11:F23)</f>
        <v>0</v>
      </c>
      <c r="G55" s="1212">
        <f>SUM(G46:G51,G38:G42,G27:G34,G11:G23)</f>
        <v>0</v>
      </c>
      <c r="H55" s="490"/>
      <c r="I55" s="1031">
        <f>SUM(I46:I51,I38:I42,I27:I34,I11:I23)</f>
        <v>0</v>
      </c>
      <c r="J55" s="1031">
        <f>SUM(J46:J51,J38:J42,J27:J34,J11:J23)</f>
        <v>0</v>
      </c>
      <c r="K55" s="1033">
        <f>K52+K43+K35+K24</f>
        <v>0</v>
      </c>
      <c r="M55" s="282"/>
      <c r="N55" s="157"/>
      <c r="O55" s="308"/>
      <c r="P55" s="308"/>
    </row>
    <row r="56" spans="1:17" s="159" customFormat="1" ht="13.8" x14ac:dyDescent="0.25">
      <c r="A56" s="487"/>
      <c r="B56" s="555"/>
      <c r="C56" s="555"/>
      <c r="D56" s="555"/>
      <c r="E56" s="555"/>
      <c r="F56" s="1031"/>
      <c r="G56" s="1076"/>
      <c r="H56" s="555"/>
      <c r="I56" s="1031"/>
      <c r="J56" s="1031"/>
      <c r="K56" s="1033"/>
      <c r="M56" s="282"/>
      <c r="N56" s="157"/>
      <c r="O56" s="308"/>
      <c r="P56" s="308"/>
    </row>
    <row r="57" spans="1:17" s="159" customFormat="1" ht="13.8" thickBot="1" x14ac:dyDescent="0.3">
      <c r="A57" s="494"/>
      <c r="B57" s="495"/>
      <c r="C57" s="495"/>
      <c r="D57" s="495"/>
      <c r="E57" s="495"/>
      <c r="F57" s="495"/>
      <c r="G57" s="495"/>
      <c r="H57" s="495"/>
      <c r="I57" s="495"/>
      <c r="J57" s="495"/>
      <c r="K57" s="496"/>
      <c r="M57" s="282"/>
      <c r="N57" s="157"/>
      <c r="O57" s="308"/>
      <c r="P57" s="308"/>
    </row>
    <row r="58" spans="1:17" s="159" customFormat="1" x14ac:dyDescent="0.25">
      <c r="C58" s="658"/>
      <c r="D58" s="658"/>
      <c r="J58" s="280"/>
      <c r="M58" s="282"/>
      <c r="N58" s="157"/>
      <c r="O58" s="308"/>
      <c r="P58" s="308"/>
    </row>
    <row r="59" spans="1:17" s="159" customFormat="1" x14ac:dyDescent="0.25">
      <c r="C59" s="658"/>
      <c r="D59" s="658"/>
      <c r="J59" s="280"/>
      <c r="M59" s="282"/>
      <c r="N59" s="157"/>
      <c r="O59" s="308"/>
      <c r="P59" s="308"/>
    </row>
    <row r="60" spans="1:17" s="159" customFormat="1" x14ac:dyDescent="0.25">
      <c r="C60" s="658"/>
      <c r="D60" s="658"/>
      <c r="J60" s="280"/>
      <c r="M60" s="282"/>
      <c r="N60" s="157"/>
      <c r="O60" s="308"/>
      <c r="P60" s="308"/>
    </row>
    <row r="61" spans="1:17" s="159" customFormat="1" x14ac:dyDescent="0.25">
      <c r="C61" s="658"/>
      <c r="D61" s="658"/>
      <c r="J61" s="280"/>
      <c r="M61" s="282"/>
      <c r="N61" s="157"/>
      <c r="O61" s="308"/>
      <c r="P61" s="308"/>
    </row>
    <row r="62" spans="1:17" s="159" customFormat="1" x14ac:dyDescent="0.25">
      <c r="C62" s="658"/>
      <c r="D62" s="658"/>
      <c r="J62" s="280"/>
      <c r="M62" s="282"/>
      <c r="N62" s="157"/>
      <c r="O62" s="308"/>
      <c r="P62" s="308"/>
    </row>
    <row r="63" spans="1:17" s="159" customFormat="1" x14ac:dyDescent="0.25">
      <c r="C63" s="658"/>
      <c r="D63" s="658"/>
      <c r="J63" s="280"/>
      <c r="M63" s="282"/>
      <c r="N63" s="157"/>
      <c r="O63" s="308"/>
      <c r="P63" s="308"/>
    </row>
    <row r="64" spans="1:17" s="159" customFormat="1" x14ac:dyDescent="0.25">
      <c r="C64" s="658"/>
      <c r="D64" s="658"/>
      <c r="J64" s="280"/>
      <c r="M64" s="282"/>
      <c r="N64" s="157"/>
      <c r="O64" s="308"/>
      <c r="P64" s="308"/>
    </row>
    <row r="65" spans="3:16" s="159" customFormat="1" x14ac:dyDescent="0.25">
      <c r="C65" s="658"/>
      <c r="D65" s="658"/>
      <c r="J65" s="280"/>
      <c r="M65" s="282"/>
      <c r="N65" s="157"/>
      <c r="O65" s="308"/>
      <c r="P65" s="308"/>
    </row>
    <row r="66" spans="3:16" s="159" customFormat="1" x14ac:dyDescent="0.25">
      <c r="C66" s="658"/>
      <c r="D66" s="658"/>
      <c r="J66" s="280"/>
      <c r="M66" s="282"/>
      <c r="N66" s="157"/>
      <c r="O66" s="308"/>
      <c r="P66" s="308"/>
    </row>
    <row r="67" spans="3:16" s="159" customFormat="1" x14ac:dyDescent="0.25">
      <c r="C67" s="658"/>
      <c r="D67" s="658"/>
      <c r="J67" s="280"/>
      <c r="M67" s="282"/>
      <c r="N67" s="157"/>
      <c r="O67" s="308"/>
      <c r="P67" s="308"/>
    </row>
    <row r="68" spans="3:16" s="159" customFormat="1" x14ac:dyDescent="0.25">
      <c r="C68" s="658"/>
      <c r="D68" s="658"/>
      <c r="J68" s="280"/>
      <c r="M68" s="282"/>
      <c r="N68" s="157"/>
      <c r="O68" s="308"/>
      <c r="P68" s="308"/>
    </row>
    <row r="69" spans="3:16" s="159" customFormat="1" x14ac:dyDescent="0.25">
      <c r="C69" s="658"/>
      <c r="D69" s="658"/>
      <c r="J69" s="280"/>
      <c r="M69" s="282"/>
      <c r="N69" s="157"/>
      <c r="O69" s="308"/>
      <c r="P69" s="308"/>
    </row>
    <row r="70" spans="3:16" s="159" customFormat="1" x14ac:dyDescent="0.25">
      <c r="C70" s="658"/>
      <c r="D70" s="658"/>
      <c r="J70" s="280"/>
      <c r="M70" s="282"/>
      <c r="N70" s="157"/>
      <c r="O70" s="308"/>
      <c r="P70" s="308"/>
    </row>
    <row r="71" spans="3:16" s="159" customFormat="1" x14ac:dyDescent="0.25">
      <c r="C71" s="658"/>
      <c r="D71" s="658"/>
      <c r="J71" s="280"/>
      <c r="M71" s="282"/>
      <c r="N71" s="157"/>
      <c r="O71" s="308"/>
      <c r="P71" s="308"/>
    </row>
    <row r="72" spans="3:16" s="159" customFormat="1" x14ac:dyDescent="0.25">
      <c r="C72" s="658"/>
      <c r="D72" s="658"/>
      <c r="J72" s="280"/>
      <c r="M72" s="282"/>
      <c r="N72" s="157"/>
      <c r="O72" s="308"/>
      <c r="P72" s="308"/>
    </row>
    <row r="73" spans="3:16" s="159" customFormat="1" x14ac:dyDescent="0.25">
      <c r="C73" s="658"/>
      <c r="D73" s="658"/>
      <c r="J73" s="280"/>
      <c r="M73" s="282"/>
      <c r="N73" s="157"/>
      <c r="O73" s="308"/>
      <c r="P73" s="308"/>
    </row>
    <row r="74" spans="3:16" s="159" customFormat="1" x14ac:dyDescent="0.25">
      <c r="C74" s="658"/>
      <c r="D74" s="658"/>
      <c r="J74" s="280"/>
      <c r="M74" s="282"/>
      <c r="N74" s="157"/>
      <c r="O74" s="308"/>
      <c r="P74" s="308"/>
    </row>
    <row r="75" spans="3:16" s="159" customFormat="1" x14ac:dyDescent="0.25">
      <c r="C75" s="658"/>
      <c r="D75" s="658"/>
      <c r="J75" s="280"/>
      <c r="M75" s="282"/>
      <c r="N75" s="157"/>
      <c r="O75" s="308"/>
      <c r="P75" s="308"/>
    </row>
    <row r="76" spans="3:16" s="159" customFormat="1" x14ac:dyDescent="0.25">
      <c r="C76" s="658"/>
      <c r="D76" s="658"/>
      <c r="J76" s="280"/>
      <c r="M76" s="282"/>
      <c r="N76" s="157"/>
      <c r="O76" s="308"/>
      <c r="P76" s="308"/>
    </row>
    <row r="77" spans="3:16" s="159" customFormat="1" x14ac:dyDescent="0.25">
      <c r="C77" s="658"/>
      <c r="D77" s="658"/>
      <c r="J77" s="280"/>
      <c r="M77" s="282"/>
      <c r="N77" s="157"/>
      <c r="O77" s="308"/>
      <c r="P77" s="308"/>
    </row>
    <row r="78" spans="3:16" s="159" customFormat="1" x14ac:dyDescent="0.25">
      <c r="C78" s="658"/>
      <c r="D78" s="658"/>
      <c r="J78" s="280"/>
      <c r="M78" s="282"/>
      <c r="N78" s="157"/>
      <c r="O78" s="308"/>
      <c r="P78" s="308"/>
    </row>
    <row r="79" spans="3:16" s="159" customFormat="1" x14ac:dyDescent="0.25">
      <c r="C79" s="658"/>
      <c r="D79" s="658"/>
      <c r="J79" s="280"/>
      <c r="M79" s="282"/>
      <c r="N79" s="157"/>
      <c r="O79" s="308"/>
      <c r="P79" s="308"/>
    </row>
    <row r="80" spans="3:16" s="159" customFormat="1" x14ac:dyDescent="0.25">
      <c r="C80" s="658"/>
      <c r="D80" s="658"/>
      <c r="J80" s="280"/>
      <c r="M80" s="282"/>
      <c r="N80" s="157"/>
      <c r="O80" s="308"/>
      <c r="P80" s="308"/>
    </row>
    <row r="81" spans="3:16" s="159" customFormat="1" x14ac:dyDescent="0.25">
      <c r="C81" s="658"/>
      <c r="D81" s="658"/>
      <c r="J81" s="280"/>
      <c r="M81" s="282"/>
      <c r="N81" s="157"/>
      <c r="O81" s="308"/>
      <c r="P81" s="308"/>
    </row>
    <row r="82" spans="3:16" s="159" customFormat="1" x14ac:dyDescent="0.25">
      <c r="C82" s="658"/>
      <c r="D82" s="658"/>
      <c r="J82" s="280"/>
      <c r="M82" s="282"/>
      <c r="N82" s="157"/>
      <c r="O82" s="308"/>
      <c r="P82" s="308"/>
    </row>
    <row r="83" spans="3:16" s="159" customFormat="1" x14ac:dyDescent="0.25">
      <c r="C83" s="658"/>
      <c r="D83" s="658"/>
      <c r="J83" s="280"/>
      <c r="M83" s="282"/>
      <c r="N83" s="157"/>
      <c r="O83" s="308"/>
      <c r="P83" s="308"/>
    </row>
    <row r="84" spans="3:16" s="159" customFormat="1" x14ac:dyDescent="0.25">
      <c r="C84" s="658"/>
      <c r="D84" s="658"/>
      <c r="J84" s="280"/>
      <c r="M84" s="282"/>
      <c r="N84" s="157"/>
      <c r="O84" s="308"/>
      <c r="P84" s="308"/>
    </row>
    <row r="85" spans="3:16" s="159" customFormat="1" x14ac:dyDescent="0.25">
      <c r="C85" s="658"/>
      <c r="D85" s="658"/>
      <c r="J85" s="280"/>
      <c r="M85" s="282"/>
      <c r="N85" s="157"/>
      <c r="O85" s="308"/>
      <c r="P85" s="308"/>
    </row>
    <row r="86" spans="3:16" s="159" customFormat="1" x14ac:dyDescent="0.25">
      <c r="C86" s="658"/>
      <c r="D86" s="658"/>
      <c r="J86" s="280"/>
      <c r="M86" s="282"/>
      <c r="N86" s="157"/>
      <c r="O86" s="308"/>
      <c r="P86" s="308"/>
    </row>
    <row r="87" spans="3:16" s="159" customFormat="1" x14ac:dyDescent="0.25">
      <c r="C87" s="658"/>
      <c r="D87" s="658"/>
      <c r="J87" s="280"/>
      <c r="M87" s="282"/>
      <c r="N87" s="157"/>
      <c r="O87" s="308"/>
      <c r="P87" s="308"/>
    </row>
    <row r="88" spans="3:16" s="159" customFormat="1" x14ac:dyDescent="0.25">
      <c r="C88" s="658"/>
      <c r="D88" s="658"/>
      <c r="J88" s="280"/>
      <c r="M88" s="282"/>
      <c r="N88" s="157"/>
      <c r="O88" s="308"/>
      <c r="P88" s="308"/>
    </row>
    <row r="89" spans="3:16" s="159" customFormat="1" x14ac:dyDescent="0.25">
      <c r="C89" s="658"/>
      <c r="D89" s="658"/>
      <c r="J89" s="280"/>
      <c r="M89" s="282"/>
      <c r="N89" s="157"/>
      <c r="O89" s="308"/>
      <c r="P89" s="308"/>
    </row>
    <row r="90" spans="3:16" s="159" customFormat="1" x14ac:dyDescent="0.25">
      <c r="C90" s="658"/>
      <c r="D90" s="658"/>
      <c r="J90" s="280"/>
      <c r="M90" s="282"/>
      <c r="N90" s="157"/>
      <c r="O90" s="308"/>
      <c r="P90" s="308"/>
    </row>
    <row r="91" spans="3:16" s="159" customFormat="1" x14ac:dyDescent="0.25">
      <c r="C91" s="658"/>
      <c r="D91" s="658"/>
      <c r="J91" s="280"/>
      <c r="M91" s="282"/>
      <c r="N91" s="157"/>
      <c r="O91" s="308"/>
      <c r="P91" s="308"/>
    </row>
    <row r="92" spans="3:16" s="159" customFormat="1" x14ac:dyDescent="0.25">
      <c r="C92" s="658"/>
      <c r="D92" s="658"/>
      <c r="J92" s="280"/>
      <c r="M92" s="282"/>
      <c r="N92" s="157"/>
      <c r="O92" s="308"/>
      <c r="P92" s="308"/>
    </row>
    <row r="93" spans="3:16" s="159" customFormat="1" x14ac:dyDescent="0.25">
      <c r="C93" s="658"/>
      <c r="D93" s="658"/>
      <c r="J93" s="280"/>
      <c r="M93" s="282"/>
      <c r="N93" s="157"/>
      <c r="O93" s="308"/>
      <c r="P93" s="308"/>
    </row>
    <row r="94" spans="3:16" s="159" customFormat="1" x14ac:dyDescent="0.25">
      <c r="C94" s="658"/>
      <c r="D94" s="658"/>
      <c r="J94" s="280"/>
      <c r="M94" s="282"/>
      <c r="N94" s="157"/>
      <c r="O94" s="308"/>
      <c r="P94" s="308"/>
    </row>
    <row r="95" spans="3:16" s="159" customFormat="1" x14ac:dyDescent="0.25">
      <c r="C95" s="658"/>
      <c r="D95" s="658"/>
      <c r="J95" s="280"/>
      <c r="M95" s="282"/>
      <c r="N95" s="157"/>
      <c r="O95" s="308"/>
      <c r="P95" s="308"/>
    </row>
    <row r="96" spans="3:16" s="159" customFormat="1" x14ac:dyDescent="0.25">
      <c r="C96" s="658"/>
      <c r="D96" s="658"/>
      <c r="J96" s="280"/>
      <c r="M96" s="282"/>
      <c r="N96" s="157"/>
      <c r="O96" s="308"/>
      <c r="P96" s="308"/>
    </row>
    <row r="97" spans="3:16" s="159" customFormat="1" x14ac:dyDescent="0.25">
      <c r="C97" s="658"/>
      <c r="D97" s="658"/>
      <c r="J97" s="280"/>
      <c r="M97" s="282"/>
      <c r="N97" s="157"/>
      <c r="O97" s="308"/>
      <c r="P97" s="308"/>
    </row>
    <row r="98" spans="3:16" s="159" customFormat="1" x14ac:dyDescent="0.25">
      <c r="C98" s="658"/>
      <c r="D98" s="658"/>
      <c r="J98" s="280"/>
      <c r="M98" s="282"/>
      <c r="N98" s="157"/>
      <c r="O98" s="308"/>
      <c r="P98" s="308"/>
    </row>
    <row r="99" spans="3:16" s="159" customFormat="1" x14ac:dyDescent="0.25">
      <c r="C99" s="658"/>
      <c r="D99" s="658"/>
      <c r="J99" s="280"/>
      <c r="M99" s="282"/>
      <c r="N99" s="157"/>
      <c r="O99" s="308"/>
      <c r="P99" s="308"/>
    </row>
    <row r="100" spans="3:16" s="159" customFormat="1" x14ac:dyDescent="0.25">
      <c r="C100" s="658"/>
      <c r="D100" s="658"/>
      <c r="J100" s="280"/>
      <c r="M100" s="282"/>
      <c r="N100" s="157"/>
      <c r="O100" s="308"/>
      <c r="P100" s="308"/>
    </row>
    <row r="101" spans="3:16" s="159" customFormat="1" x14ac:dyDescent="0.25">
      <c r="C101" s="658"/>
      <c r="D101" s="658"/>
      <c r="J101" s="280"/>
      <c r="M101" s="282"/>
      <c r="N101" s="157"/>
      <c r="O101" s="308"/>
      <c r="P101" s="308"/>
    </row>
    <row r="102" spans="3:16" s="159" customFormat="1" x14ac:dyDescent="0.25">
      <c r="C102" s="658"/>
      <c r="D102" s="658"/>
      <c r="J102" s="280"/>
      <c r="M102" s="282"/>
      <c r="N102" s="157"/>
      <c r="O102" s="308"/>
      <c r="P102" s="308"/>
    </row>
    <row r="103" spans="3:16" s="159" customFormat="1" x14ac:dyDescent="0.25">
      <c r="C103" s="658"/>
      <c r="D103" s="658"/>
      <c r="J103" s="280"/>
      <c r="M103" s="282"/>
      <c r="N103" s="157"/>
      <c r="O103" s="308"/>
      <c r="P103" s="308"/>
    </row>
    <row r="104" spans="3:16" s="159" customFormat="1" x14ac:dyDescent="0.25">
      <c r="C104" s="658"/>
      <c r="D104" s="658"/>
      <c r="J104" s="280"/>
      <c r="M104" s="282"/>
      <c r="N104" s="157"/>
      <c r="O104" s="308"/>
      <c r="P104" s="308"/>
    </row>
    <row r="105" spans="3:16" s="159" customFormat="1" x14ac:dyDescent="0.25">
      <c r="C105" s="658"/>
      <c r="D105" s="658"/>
      <c r="J105" s="280"/>
      <c r="M105" s="282"/>
      <c r="N105" s="157"/>
      <c r="O105" s="308"/>
      <c r="P105" s="308"/>
    </row>
    <row r="106" spans="3:16" s="159" customFormat="1" x14ac:dyDescent="0.25">
      <c r="C106" s="658"/>
      <c r="D106" s="658"/>
      <c r="J106" s="280"/>
      <c r="M106" s="282"/>
      <c r="N106" s="157"/>
      <c r="O106" s="308"/>
      <c r="P106" s="308"/>
    </row>
    <row r="107" spans="3:16" s="159" customFormat="1" x14ac:dyDescent="0.25">
      <c r="C107" s="658"/>
      <c r="D107" s="658"/>
      <c r="J107" s="280"/>
      <c r="M107" s="282"/>
      <c r="N107" s="157"/>
      <c r="O107" s="308"/>
      <c r="P107" s="308"/>
    </row>
    <row r="108" spans="3:16" s="159" customFormat="1" x14ac:dyDescent="0.25">
      <c r="C108" s="658"/>
      <c r="D108" s="658"/>
      <c r="J108" s="280"/>
      <c r="M108" s="282"/>
      <c r="N108" s="157"/>
      <c r="O108" s="308"/>
      <c r="P108" s="308"/>
    </row>
    <row r="109" spans="3:16" s="159" customFormat="1" x14ac:dyDescent="0.25">
      <c r="C109" s="658"/>
      <c r="D109" s="658"/>
      <c r="J109" s="280"/>
      <c r="M109" s="282"/>
      <c r="N109" s="157"/>
      <c r="O109" s="308"/>
      <c r="P109" s="308"/>
    </row>
    <row r="110" spans="3:16" s="159" customFormat="1" x14ac:dyDescent="0.25">
      <c r="C110" s="658"/>
      <c r="D110" s="658"/>
      <c r="J110" s="280"/>
      <c r="M110" s="282"/>
      <c r="N110" s="157"/>
      <c r="O110" s="308"/>
      <c r="P110" s="308"/>
    </row>
    <row r="111" spans="3:16" s="159" customFormat="1" x14ac:dyDescent="0.25">
      <c r="C111" s="658"/>
      <c r="D111" s="658"/>
      <c r="J111" s="280"/>
      <c r="M111" s="282"/>
      <c r="N111" s="157"/>
      <c r="O111" s="308"/>
      <c r="P111" s="308"/>
    </row>
    <row r="112" spans="3:16" s="159" customFormat="1" x14ac:dyDescent="0.25">
      <c r="C112" s="658"/>
      <c r="D112" s="658"/>
      <c r="J112" s="280"/>
      <c r="M112" s="282"/>
      <c r="N112" s="157"/>
      <c r="O112" s="308"/>
      <c r="P112" s="308"/>
    </row>
    <row r="113" spans="3:16" s="159" customFormat="1" x14ac:dyDescent="0.25">
      <c r="C113" s="658"/>
      <c r="D113" s="658"/>
      <c r="J113" s="280"/>
      <c r="M113" s="282"/>
      <c r="N113" s="157"/>
      <c r="O113" s="308"/>
      <c r="P113" s="308"/>
    </row>
    <row r="114" spans="3:16" s="159" customFormat="1" x14ac:dyDescent="0.25">
      <c r="C114" s="658"/>
      <c r="D114" s="658"/>
      <c r="J114" s="280"/>
      <c r="M114" s="282"/>
      <c r="N114" s="157"/>
      <c r="O114" s="308"/>
      <c r="P114" s="308"/>
    </row>
    <row r="115" spans="3:16" s="159" customFormat="1" x14ac:dyDescent="0.25">
      <c r="C115" s="658"/>
      <c r="D115" s="658"/>
      <c r="J115" s="280"/>
      <c r="M115" s="282"/>
      <c r="N115" s="157"/>
      <c r="O115" s="308"/>
      <c r="P115" s="308"/>
    </row>
    <row r="116" spans="3:16" s="159" customFormat="1" x14ac:dyDescent="0.25">
      <c r="C116" s="658"/>
      <c r="D116" s="658"/>
      <c r="J116" s="280"/>
      <c r="M116" s="282"/>
      <c r="N116" s="157"/>
      <c r="O116" s="308"/>
      <c r="P116" s="308"/>
    </row>
    <row r="117" spans="3:16" s="159" customFormat="1" x14ac:dyDescent="0.25">
      <c r="C117" s="658"/>
      <c r="D117" s="658"/>
      <c r="J117" s="280"/>
      <c r="M117" s="282"/>
      <c r="N117" s="157"/>
      <c r="O117" s="308"/>
      <c r="P117" s="308"/>
    </row>
    <row r="118" spans="3:16" s="159" customFormat="1" x14ac:dyDescent="0.25">
      <c r="C118" s="658"/>
      <c r="D118" s="658"/>
      <c r="J118" s="280"/>
      <c r="M118" s="282"/>
      <c r="N118" s="157"/>
      <c r="O118" s="308"/>
      <c r="P118" s="308"/>
    </row>
    <row r="119" spans="3:16" s="159" customFormat="1" x14ac:dyDescent="0.25">
      <c r="C119" s="658"/>
      <c r="D119" s="658"/>
      <c r="J119" s="280"/>
      <c r="M119" s="282"/>
      <c r="N119" s="157"/>
      <c r="O119" s="308"/>
      <c r="P119" s="308"/>
    </row>
    <row r="120" spans="3:16" s="159" customFormat="1" x14ac:dyDescent="0.25">
      <c r="C120" s="658"/>
      <c r="D120" s="658"/>
      <c r="J120" s="280"/>
      <c r="M120" s="282"/>
      <c r="N120" s="157"/>
      <c r="O120" s="308"/>
      <c r="P120" s="308"/>
    </row>
    <row r="121" spans="3:16" s="159" customFormat="1" x14ac:dyDescent="0.25">
      <c r="C121" s="658"/>
      <c r="D121" s="658"/>
      <c r="J121" s="280"/>
      <c r="M121" s="282"/>
      <c r="N121" s="157"/>
      <c r="O121" s="308"/>
      <c r="P121" s="308"/>
    </row>
    <row r="122" spans="3:16" s="159" customFormat="1" x14ac:dyDescent="0.25">
      <c r="C122" s="658"/>
      <c r="D122" s="658"/>
      <c r="J122" s="280"/>
      <c r="M122" s="282"/>
      <c r="N122" s="157"/>
      <c r="O122" s="308"/>
      <c r="P122" s="308"/>
    </row>
    <row r="123" spans="3:16" s="159" customFormat="1" x14ac:dyDescent="0.25">
      <c r="C123" s="658"/>
      <c r="D123" s="658"/>
      <c r="J123" s="280"/>
      <c r="M123" s="282"/>
      <c r="N123" s="157"/>
      <c r="O123" s="308"/>
      <c r="P123" s="308"/>
    </row>
    <row r="124" spans="3:16" s="159" customFormat="1" x14ac:dyDescent="0.25">
      <c r="C124" s="658"/>
      <c r="D124" s="658"/>
      <c r="J124" s="280"/>
      <c r="M124" s="282"/>
      <c r="N124" s="157"/>
      <c r="O124" s="308"/>
      <c r="P124" s="308"/>
    </row>
    <row r="125" spans="3:16" s="159" customFormat="1" x14ac:dyDescent="0.25">
      <c r="C125" s="658"/>
      <c r="D125" s="658"/>
      <c r="J125" s="280"/>
      <c r="M125" s="282"/>
      <c r="N125" s="157"/>
      <c r="O125" s="308"/>
      <c r="P125" s="308"/>
    </row>
    <row r="126" spans="3:16" s="159" customFormat="1" x14ac:dyDescent="0.25">
      <c r="C126" s="658"/>
      <c r="D126" s="658"/>
      <c r="J126" s="280"/>
      <c r="M126" s="282"/>
      <c r="N126" s="157"/>
      <c r="O126" s="308"/>
      <c r="P126" s="308"/>
    </row>
    <row r="127" spans="3:16" s="159" customFormat="1" x14ac:dyDescent="0.25">
      <c r="C127" s="658"/>
      <c r="D127" s="658"/>
      <c r="J127" s="280"/>
      <c r="M127" s="282"/>
      <c r="N127" s="157"/>
      <c r="O127" s="308"/>
      <c r="P127" s="308"/>
    </row>
    <row r="128" spans="3:16" s="159" customFormat="1" x14ac:dyDescent="0.25">
      <c r="C128" s="658"/>
      <c r="D128" s="658"/>
      <c r="J128" s="280"/>
      <c r="M128" s="282"/>
      <c r="N128" s="157"/>
      <c r="O128" s="308"/>
      <c r="P128" s="308"/>
    </row>
    <row r="129" spans="3:16" s="159" customFormat="1" x14ac:dyDescent="0.25">
      <c r="C129" s="658"/>
      <c r="D129" s="658"/>
      <c r="J129" s="280"/>
      <c r="M129" s="282"/>
      <c r="N129" s="157"/>
      <c r="O129" s="308"/>
      <c r="P129" s="308"/>
    </row>
    <row r="130" spans="3:16" s="159" customFormat="1" x14ac:dyDescent="0.25">
      <c r="C130" s="658"/>
      <c r="D130" s="658"/>
      <c r="J130" s="280"/>
      <c r="M130" s="282"/>
      <c r="N130" s="157"/>
      <c r="O130" s="308"/>
      <c r="P130" s="308"/>
    </row>
    <row r="131" spans="3:16" s="159" customFormat="1" x14ac:dyDescent="0.25">
      <c r="C131" s="658"/>
      <c r="D131" s="658"/>
      <c r="J131" s="280"/>
      <c r="M131" s="282"/>
      <c r="N131" s="157"/>
      <c r="O131" s="308"/>
      <c r="P131" s="308"/>
    </row>
    <row r="132" spans="3:16" s="159" customFormat="1" x14ac:dyDescent="0.25">
      <c r="C132" s="658"/>
      <c r="D132" s="658"/>
      <c r="J132" s="280"/>
      <c r="M132" s="282"/>
      <c r="N132" s="157"/>
      <c r="O132" s="308"/>
      <c r="P132" s="308"/>
    </row>
    <row r="133" spans="3:16" s="159" customFormat="1" x14ac:dyDescent="0.25">
      <c r="C133" s="658"/>
      <c r="D133" s="658"/>
      <c r="J133" s="280"/>
      <c r="M133" s="282"/>
      <c r="N133" s="157"/>
      <c r="O133" s="308"/>
      <c r="P133" s="308"/>
    </row>
    <row r="134" spans="3:16" s="159" customFormat="1" x14ac:dyDescent="0.25">
      <c r="C134" s="658"/>
      <c r="D134" s="658"/>
      <c r="J134" s="280"/>
      <c r="M134" s="282"/>
      <c r="N134" s="157"/>
      <c r="O134" s="308"/>
      <c r="P134" s="308"/>
    </row>
    <row r="135" spans="3:16" s="159" customFormat="1" x14ac:dyDescent="0.25">
      <c r="C135" s="658"/>
      <c r="D135" s="658"/>
      <c r="J135" s="280"/>
      <c r="M135" s="282"/>
      <c r="N135" s="157"/>
      <c r="O135" s="308"/>
      <c r="P135" s="308"/>
    </row>
    <row r="136" spans="3:16" s="159" customFormat="1" x14ac:dyDescent="0.25">
      <c r="C136" s="658"/>
      <c r="D136" s="658"/>
      <c r="J136" s="280"/>
      <c r="M136" s="282"/>
      <c r="N136" s="157"/>
      <c r="O136" s="308"/>
      <c r="P136" s="308"/>
    </row>
    <row r="137" spans="3:16" s="159" customFormat="1" x14ac:dyDescent="0.25">
      <c r="C137" s="658"/>
      <c r="D137" s="658"/>
      <c r="J137" s="280"/>
      <c r="M137" s="282"/>
      <c r="N137" s="157"/>
      <c r="O137" s="308"/>
      <c r="P137" s="308"/>
    </row>
    <row r="138" spans="3:16" s="159" customFormat="1" x14ac:dyDescent="0.25">
      <c r="C138" s="658"/>
      <c r="D138" s="658"/>
      <c r="J138" s="280"/>
      <c r="M138" s="282"/>
      <c r="N138" s="157"/>
      <c r="O138" s="308"/>
      <c r="P138" s="308"/>
    </row>
    <row r="139" spans="3:16" s="159" customFormat="1" x14ac:dyDescent="0.25">
      <c r="C139" s="658"/>
      <c r="D139" s="658"/>
      <c r="J139" s="280"/>
      <c r="M139" s="282"/>
      <c r="N139" s="157"/>
      <c r="O139" s="308"/>
      <c r="P139" s="308"/>
    </row>
    <row r="140" spans="3:16" s="159" customFormat="1" x14ac:dyDescent="0.25">
      <c r="C140" s="658"/>
      <c r="D140" s="658"/>
      <c r="J140" s="280"/>
      <c r="M140" s="282"/>
      <c r="N140" s="157"/>
      <c r="O140" s="308"/>
      <c r="P140" s="308"/>
    </row>
    <row r="141" spans="3:16" s="159" customFormat="1" x14ac:dyDescent="0.25">
      <c r="C141" s="658"/>
      <c r="D141" s="658"/>
      <c r="J141" s="280"/>
      <c r="M141" s="282"/>
      <c r="N141" s="157"/>
      <c r="O141" s="308"/>
      <c r="P141" s="308"/>
    </row>
    <row r="142" spans="3:16" s="159" customFormat="1" x14ac:dyDescent="0.25">
      <c r="C142" s="658"/>
      <c r="D142" s="658"/>
      <c r="J142" s="280"/>
      <c r="M142" s="282"/>
      <c r="N142" s="157"/>
      <c r="O142" s="308"/>
      <c r="P142" s="308"/>
    </row>
    <row r="143" spans="3:16" s="159" customFormat="1" x14ac:dyDescent="0.25">
      <c r="C143" s="658"/>
      <c r="D143" s="658"/>
      <c r="J143" s="280"/>
      <c r="M143" s="282"/>
      <c r="N143" s="157"/>
      <c r="O143" s="308"/>
      <c r="P143" s="308"/>
    </row>
    <row r="144" spans="3:16" s="159" customFormat="1" x14ac:dyDescent="0.25">
      <c r="C144" s="658"/>
      <c r="D144" s="658"/>
      <c r="J144" s="280"/>
      <c r="M144" s="282"/>
      <c r="N144" s="157"/>
      <c r="O144" s="308"/>
      <c r="P144" s="308"/>
    </row>
    <row r="145" spans="3:16" s="159" customFormat="1" x14ac:dyDescent="0.25">
      <c r="C145" s="658"/>
      <c r="D145" s="658"/>
      <c r="J145" s="280"/>
      <c r="M145" s="282"/>
      <c r="N145" s="157"/>
      <c r="O145" s="308"/>
      <c r="P145" s="308"/>
    </row>
    <row r="146" spans="3:16" s="159" customFormat="1" x14ac:dyDescent="0.25">
      <c r="C146" s="658"/>
      <c r="D146" s="658"/>
      <c r="J146" s="280"/>
      <c r="M146" s="282"/>
      <c r="N146" s="157"/>
      <c r="O146" s="308"/>
      <c r="P146" s="308"/>
    </row>
    <row r="147" spans="3:16" s="159" customFormat="1" x14ac:dyDescent="0.25">
      <c r="C147" s="658"/>
      <c r="D147" s="658"/>
      <c r="J147" s="280"/>
      <c r="M147" s="282"/>
      <c r="N147" s="157"/>
      <c r="O147" s="308"/>
      <c r="P147" s="308"/>
    </row>
    <row r="148" spans="3:16" s="159" customFormat="1" x14ac:dyDescent="0.25">
      <c r="C148" s="658"/>
      <c r="D148" s="658"/>
      <c r="J148" s="280"/>
      <c r="M148" s="282"/>
      <c r="N148" s="157"/>
      <c r="O148" s="308"/>
      <c r="P148" s="308"/>
    </row>
    <row r="149" spans="3:16" s="159" customFormat="1" x14ac:dyDescent="0.25">
      <c r="C149" s="658"/>
      <c r="D149" s="658"/>
      <c r="J149" s="280"/>
      <c r="M149" s="282"/>
      <c r="N149" s="157"/>
      <c r="O149" s="308"/>
      <c r="P149" s="308"/>
    </row>
    <row r="150" spans="3:16" s="159" customFormat="1" x14ac:dyDescent="0.25">
      <c r="C150" s="658"/>
      <c r="D150" s="658"/>
      <c r="J150" s="280"/>
      <c r="M150" s="282"/>
      <c r="N150" s="157"/>
      <c r="O150" s="308"/>
      <c r="P150" s="308"/>
    </row>
    <row r="151" spans="3:16" s="159" customFormat="1" x14ac:dyDescent="0.25">
      <c r="C151" s="658"/>
      <c r="D151" s="658"/>
      <c r="J151" s="280"/>
      <c r="M151" s="282"/>
      <c r="N151" s="157"/>
      <c r="O151" s="308"/>
      <c r="P151" s="308"/>
    </row>
    <row r="152" spans="3:16" s="159" customFormat="1" x14ac:dyDescent="0.25">
      <c r="C152" s="658"/>
      <c r="D152" s="658"/>
      <c r="J152" s="280"/>
      <c r="M152" s="282"/>
      <c r="N152" s="157"/>
      <c r="O152" s="308"/>
      <c r="P152" s="308"/>
    </row>
    <row r="153" spans="3:16" s="159" customFormat="1" x14ac:dyDescent="0.25">
      <c r="C153" s="658"/>
      <c r="D153" s="658"/>
      <c r="J153" s="280"/>
      <c r="M153" s="282"/>
      <c r="N153" s="157"/>
      <c r="O153" s="308"/>
      <c r="P153" s="308"/>
    </row>
    <row r="154" spans="3:16" s="159" customFormat="1" x14ac:dyDescent="0.25">
      <c r="C154" s="658"/>
      <c r="D154" s="658"/>
      <c r="J154" s="280"/>
      <c r="M154" s="282"/>
      <c r="N154" s="157"/>
      <c r="O154" s="308"/>
      <c r="P154" s="308"/>
    </row>
    <row r="155" spans="3:16" s="159" customFormat="1" x14ac:dyDescent="0.25">
      <c r="C155" s="658"/>
      <c r="D155" s="658"/>
      <c r="J155" s="280"/>
      <c r="M155" s="282"/>
      <c r="N155" s="157"/>
      <c r="O155" s="308"/>
      <c r="P155" s="308"/>
    </row>
    <row r="156" spans="3:16" s="159" customFormat="1" x14ac:dyDescent="0.25">
      <c r="C156" s="658"/>
      <c r="D156" s="658"/>
      <c r="J156" s="280"/>
      <c r="M156" s="282"/>
      <c r="N156" s="157"/>
      <c r="O156" s="308"/>
      <c r="P156" s="308"/>
    </row>
    <row r="157" spans="3:16" s="159" customFormat="1" x14ac:dyDescent="0.25">
      <c r="C157" s="658"/>
      <c r="D157" s="658"/>
      <c r="J157" s="280"/>
      <c r="M157" s="282"/>
      <c r="N157" s="157"/>
      <c r="O157" s="308"/>
      <c r="P157" s="308"/>
    </row>
    <row r="158" spans="3:16" s="159" customFormat="1" x14ac:dyDescent="0.25">
      <c r="C158" s="658"/>
      <c r="D158" s="658"/>
      <c r="J158" s="280"/>
      <c r="M158" s="282"/>
      <c r="N158" s="157"/>
      <c r="O158" s="308"/>
      <c r="P158" s="308"/>
    </row>
    <row r="159" spans="3:16" s="159" customFormat="1" x14ac:dyDescent="0.25">
      <c r="C159" s="658"/>
      <c r="D159" s="658"/>
      <c r="J159" s="280"/>
      <c r="M159" s="282"/>
      <c r="N159" s="157"/>
      <c r="O159" s="308"/>
      <c r="P159" s="308"/>
    </row>
    <row r="160" spans="3:16" s="159" customFormat="1" x14ac:dyDescent="0.25">
      <c r="C160" s="658"/>
      <c r="D160" s="658"/>
      <c r="J160" s="280"/>
      <c r="M160" s="282"/>
      <c r="N160" s="157"/>
      <c r="O160" s="308"/>
      <c r="P160" s="308"/>
    </row>
    <row r="161" spans="3:16" s="159" customFormat="1" x14ac:dyDescent="0.25">
      <c r="C161" s="658"/>
      <c r="D161" s="658"/>
      <c r="J161" s="280"/>
      <c r="M161" s="282"/>
      <c r="N161" s="157"/>
      <c r="O161" s="308"/>
      <c r="P161" s="308"/>
    </row>
    <row r="162" spans="3:16" s="159" customFormat="1" x14ac:dyDescent="0.25">
      <c r="C162" s="658"/>
      <c r="D162" s="658"/>
      <c r="J162" s="280"/>
      <c r="M162" s="282"/>
      <c r="N162" s="157"/>
      <c r="O162" s="308"/>
      <c r="P162" s="308"/>
    </row>
    <row r="163" spans="3:16" s="159" customFormat="1" x14ac:dyDescent="0.25">
      <c r="C163" s="658"/>
      <c r="D163" s="658"/>
      <c r="J163" s="280"/>
      <c r="M163" s="282"/>
      <c r="N163" s="157"/>
      <c r="O163" s="308"/>
      <c r="P163" s="308"/>
    </row>
    <row r="164" spans="3:16" s="159" customFormat="1" x14ac:dyDescent="0.25">
      <c r="C164" s="658"/>
      <c r="D164" s="658"/>
      <c r="J164" s="280"/>
      <c r="M164" s="282"/>
      <c r="N164" s="157"/>
      <c r="O164" s="308"/>
      <c r="P164" s="308"/>
    </row>
    <row r="165" spans="3:16" s="159" customFormat="1" x14ac:dyDescent="0.25">
      <c r="C165" s="658"/>
      <c r="D165" s="658"/>
      <c r="J165" s="280"/>
      <c r="M165" s="282"/>
      <c r="N165" s="157"/>
      <c r="O165" s="308"/>
      <c r="P165" s="308"/>
    </row>
    <row r="166" spans="3:16" s="159" customFormat="1" x14ac:dyDescent="0.25">
      <c r="C166" s="658"/>
      <c r="D166" s="658"/>
      <c r="J166" s="280"/>
      <c r="M166" s="282"/>
      <c r="N166" s="157"/>
      <c r="O166" s="308"/>
      <c r="P166" s="308"/>
    </row>
    <row r="167" spans="3:16" s="159" customFormat="1" x14ac:dyDescent="0.25">
      <c r="C167" s="658"/>
      <c r="D167" s="658"/>
      <c r="J167" s="280"/>
      <c r="M167" s="282"/>
      <c r="N167" s="157"/>
      <c r="O167" s="308"/>
      <c r="P167" s="308"/>
    </row>
    <row r="168" spans="3:16" s="159" customFormat="1" x14ac:dyDescent="0.25">
      <c r="C168" s="658"/>
      <c r="D168" s="658"/>
      <c r="J168" s="280"/>
      <c r="M168" s="282"/>
      <c r="N168" s="157"/>
      <c r="O168" s="308"/>
      <c r="P168" s="308"/>
    </row>
    <row r="169" spans="3:16" s="159" customFormat="1" x14ac:dyDescent="0.25">
      <c r="C169" s="658"/>
      <c r="D169" s="658"/>
      <c r="J169" s="280"/>
      <c r="M169" s="282"/>
      <c r="N169" s="157"/>
      <c r="O169" s="308"/>
      <c r="P169" s="308"/>
    </row>
    <row r="170" spans="3:16" s="159" customFormat="1" x14ac:dyDescent="0.25">
      <c r="C170" s="658"/>
      <c r="D170" s="658"/>
      <c r="J170" s="280"/>
      <c r="M170" s="282"/>
      <c r="N170" s="157"/>
      <c r="O170" s="308"/>
      <c r="P170" s="308"/>
    </row>
    <row r="171" spans="3:16" s="159" customFormat="1" x14ac:dyDescent="0.25">
      <c r="C171" s="658"/>
      <c r="D171" s="658"/>
      <c r="J171" s="280"/>
      <c r="M171" s="282"/>
      <c r="N171" s="157"/>
      <c r="O171" s="308"/>
      <c r="P171" s="308"/>
    </row>
    <row r="172" spans="3:16" s="159" customFormat="1" x14ac:dyDescent="0.25">
      <c r="C172" s="658"/>
      <c r="D172" s="658"/>
      <c r="J172" s="280"/>
      <c r="M172" s="282"/>
      <c r="N172" s="157"/>
      <c r="O172" s="308"/>
      <c r="P172" s="308"/>
    </row>
    <row r="173" spans="3:16" s="159" customFormat="1" x14ac:dyDescent="0.25">
      <c r="C173" s="658"/>
      <c r="D173" s="658"/>
      <c r="J173" s="280"/>
      <c r="M173" s="282"/>
      <c r="N173" s="157"/>
      <c r="O173" s="308"/>
      <c r="P173" s="308"/>
    </row>
    <row r="174" spans="3:16" s="159" customFormat="1" x14ac:dyDescent="0.25">
      <c r="C174" s="658"/>
      <c r="D174" s="658"/>
      <c r="J174" s="280"/>
      <c r="M174" s="282"/>
      <c r="N174" s="157"/>
      <c r="O174" s="308"/>
      <c r="P174" s="308"/>
    </row>
    <row r="175" spans="3:16" s="159" customFormat="1" x14ac:dyDescent="0.25">
      <c r="C175" s="658"/>
      <c r="D175" s="658"/>
      <c r="J175" s="280"/>
      <c r="M175" s="282"/>
      <c r="N175" s="157"/>
      <c r="O175" s="308"/>
      <c r="P175" s="308"/>
    </row>
    <row r="176" spans="3:16" s="159" customFormat="1" x14ac:dyDescent="0.25">
      <c r="C176" s="658"/>
      <c r="D176" s="658"/>
      <c r="J176" s="280"/>
      <c r="M176" s="282"/>
      <c r="N176" s="157"/>
      <c r="O176" s="308"/>
      <c r="P176" s="308"/>
    </row>
    <row r="177" spans="3:16" s="159" customFormat="1" x14ac:dyDescent="0.25">
      <c r="C177" s="658"/>
      <c r="D177" s="658"/>
      <c r="J177" s="280"/>
      <c r="M177" s="282"/>
      <c r="N177" s="157"/>
      <c r="O177" s="308"/>
      <c r="P177" s="308"/>
    </row>
    <row r="178" spans="3:16" s="159" customFormat="1" x14ac:dyDescent="0.25">
      <c r="C178" s="658"/>
      <c r="D178" s="658"/>
      <c r="J178" s="280"/>
      <c r="M178" s="282"/>
      <c r="N178" s="157"/>
      <c r="O178" s="308"/>
      <c r="P178" s="308"/>
    </row>
    <row r="179" spans="3:16" s="159" customFormat="1" x14ac:dyDescent="0.25">
      <c r="C179" s="658"/>
      <c r="D179" s="658"/>
      <c r="J179" s="280"/>
      <c r="M179" s="282"/>
      <c r="N179" s="157"/>
      <c r="O179" s="308"/>
      <c r="P179" s="308"/>
    </row>
    <row r="180" spans="3:16" s="159" customFormat="1" x14ac:dyDescent="0.25">
      <c r="C180" s="658"/>
      <c r="D180" s="658"/>
      <c r="J180" s="280"/>
      <c r="M180" s="282"/>
      <c r="N180" s="157"/>
      <c r="O180" s="308"/>
      <c r="P180" s="308"/>
    </row>
    <row r="181" spans="3:16" s="159" customFormat="1" x14ac:dyDescent="0.25">
      <c r="C181" s="658"/>
      <c r="D181" s="658"/>
      <c r="J181" s="280"/>
      <c r="M181" s="282"/>
      <c r="N181" s="157"/>
      <c r="O181" s="308"/>
      <c r="P181" s="308"/>
    </row>
    <row r="182" spans="3:16" s="159" customFormat="1" x14ac:dyDescent="0.25">
      <c r="C182" s="658"/>
      <c r="D182" s="658"/>
      <c r="J182" s="280"/>
      <c r="M182" s="282"/>
      <c r="N182" s="157"/>
      <c r="O182" s="308"/>
      <c r="P182" s="308"/>
    </row>
    <row r="183" spans="3:16" s="159" customFormat="1" x14ac:dyDescent="0.25">
      <c r="C183" s="658"/>
      <c r="D183" s="658"/>
      <c r="J183" s="280"/>
      <c r="M183" s="282"/>
      <c r="N183" s="157"/>
      <c r="O183" s="308"/>
      <c r="P183" s="308"/>
    </row>
    <row r="184" spans="3:16" s="159" customFormat="1" x14ac:dyDescent="0.25">
      <c r="C184" s="658"/>
      <c r="D184" s="658"/>
      <c r="J184" s="280"/>
      <c r="M184" s="282"/>
      <c r="N184" s="157"/>
      <c r="O184" s="308"/>
      <c r="P184" s="308"/>
    </row>
    <row r="185" spans="3:16" s="159" customFormat="1" x14ac:dyDescent="0.25">
      <c r="C185" s="658"/>
      <c r="D185" s="658"/>
      <c r="J185" s="280"/>
      <c r="M185" s="282"/>
      <c r="N185" s="157"/>
      <c r="O185" s="308"/>
      <c r="P185" s="308"/>
    </row>
    <row r="186" spans="3:16" s="159" customFormat="1" x14ac:dyDescent="0.25">
      <c r="C186" s="658"/>
      <c r="D186" s="658"/>
      <c r="J186" s="280"/>
      <c r="M186" s="282"/>
      <c r="N186" s="157"/>
      <c r="O186" s="308"/>
      <c r="P186" s="308"/>
    </row>
    <row r="187" spans="3:16" s="159" customFormat="1" x14ac:dyDescent="0.25">
      <c r="C187" s="658"/>
      <c r="D187" s="658"/>
      <c r="J187" s="280"/>
      <c r="M187" s="282"/>
      <c r="N187" s="157"/>
      <c r="O187" s="308"/>
      <c r="P187" s="308"/>
    </row>
    <row r="188" spans="3:16" s="159" customFormat="1" x14ac:dyDescent="0.25">
      <c r="C188" s="658"/>
      <c r="D188" s="658"/>
      <c r="J188" s="280"/>
      <c r="M188" s="282"/>
      <c r="N188" s="157"/>
      <c r="O188" s="308"/>
      <c r="P188" s="308"/>
    </row>
    <row r="189" spans="3:16" s="159" customFormat="1" x14ac:dyDescent="0.25">
      <c r="C189" s="658"/>
      <c r="D189" s="658"/>
      <c r="J189" s="280"/>
      <c r="M189" s="282"/>
      <c r="N189" s="157"/>
      <c r="O189" s="308"/>
      <c r="P189" s="308"/>
    </row>
    <row r="190" spans="3:16" s="159" customFormat="1" x14ac:dyDescent="0.25">
      <c r="C190" s="658"/>
      <c r="D190" s="658"/>
      <c r="J190" s="280"/>
      <c r="M190" s="282"/>
      <c r="N190" s="157"/>
      <c r="O190" s="308"/>
      <c r="P190" s="308"/>
    </row>
    <row r="191" spans="3:16" s="159" customFormat="1" x14ac:dyDescent="0.25">
      <c r="C191" s="658"/>
      <c r="D191" s="658"/>
      <c r="J191" s="280"/>
      <c r="M191" s="282"/>
      <c r="N191" s="157"/>
      <c r="O191" s="308"/>
      <c r="P191" s="308"/>
    </row>
    <row r="192" spans="3:16" s="159" customFormat="1" x14ac:dyDescent="0.25">
      <c r="C192" s="658"/>
      <c r="D192" s="658"/>
      <c r="J192" s="280"/>
      <c r="M192" s="282"/>
      <c r="N192" s="157"/>
      <c r="O192" s="308"/>
      <c r="P192" s="308"/>
    </row>
    <row r="193" spans="3:16" s="159" customFormat="1" x14ac:dyDescent="0.25">
      <c r="C193" s="658"/>
      <c r="D193" s="658"/>
      <c r="J193" s="280"/>
      <c r="M193" s="282"/>
      <c r="N193" s="157"/>
      <c r="O193" s="308"/>
      <c r="P193" s="308"/>
    </row>
    <row r="194" spans="3:16" s="159" customFormat="1" x14ac:dyDescent="0.25">
      <c r="C194" s="658"/>
      <c r="D194" s="658"/>
      <c r="J194" s="280"/>
      <c r="M194" s="282"/>
      <c r="N194" s="157"/>
      <c r="O194" s="308"/>
      <c r="P194" s="308"/>
    </row>
    <row r="195" spans="3:16" s="159" customFormat="1" x14ac:dyDescent="0.25">
      <c r="C195" s="658"/>
      <c r="D195" s="658"/>
      <c r="J195" s="280"/>
      <c r="M195" s="282"/>
      <c r="N195" s="157"/>
      <c r="O195" s="308"/>
      <c r="P195" s="308"/>
    </row>
    <row r="196" spans="3:16" s="159" customFormat="1" x14ac:dyDescent="0.25">
      <c r="C196" s="658"/>
      <c r="D196" s="658"/>
      <c r="J196" s="280"/>
      <c r="M196" s="282"/>
      <c r="N196" s="157"/>
      <c r="O196" s="308"/>
      <c r="P196" s="308"/>
    </row>
    <row r="197" spans="3:16" s="159" customFormat="1" x14ac:dyDescent="0.25">
      <c r="C197" s="658"/>
      <c r="D197" s="658"/>
      <c r="J197" s="280"/>
      <c r="M197" s="282"/>
      <c r="N197" s="157"/>
      <c r="O197" s="308"/>
      <c r="P197" s="308"/>
    </row>
    <row r="198" spans="3:16" s="159" customFormat="1" x14ac:dyDescent="0.25">
      <c r="C198" s="658"/>
      <c r="D198" s="658"/>
      <c r="J198" s="280"/>
      <c r="M198" s="282"/>
      <c r="N198" s="157"/>
      <c r="O198" s="308"/>
      <c r="P198" s="308"/>
    </row>
    <row r="199" spans="3:16" s="159" customFormat="1" x14ac:dyDescent="0.25">
      <c r="C199" s="658"/>
      <c r="D199" s="658"/>
      <c r="J199" s="280"/>
      <c r="M199" s="282"/>
      <c r="N199" s="157"/>
      <c r="O199" s="308"/>
      <c r="P199" s="308"/>
    </row>
    <row r="200" spans="3:16" s="159" customFormat="1" x14ac:dyDescent="0.25">
      <c r="C200" s="658"/>
      <c r="D200" s="658"/>
      <c r="J200" s="280"/>
      <c r="M200" s="282"/>
      <c r="N200" s="157"/>
      <c r="O200" s="308"/>
      <c r="P200" s="308"/>
    </row>
    <row r="201" spans="3:16" s="159" customFormat="1" x14ac:dyDescent="0.25">
      <c r="C201" s="658"/>
      <c r="D201" s="658"/>
      <c r="J201" s="280"/>
      <c r="M201" s="282"/>
      <c r="N201" s="157"/>
      <c r="O201" s="308"/>
      <c r="P201" s="308"/>
    </row>
    <row r="202" spans="3:16" s="159" customFormat="1" x14ac:dyDescent="0.25">
      <c r="C202" s="658"/>
      <c r="D202" s="658"/>
      <c r="J202" s="280"/>
      <c r="M202" s="282"/>
      <c r="N202" s="157"/>
      <c r="O202" s="308"/>
      <c r="P202" s="308"/>
    </row>
    <row r="203" spans="3:16" s="159" customFormat="1" x14ac:dyDescent="0.25">
      <c r="C203" s="658"/>
      <c r="D203" s="658"/>
      <c r="J203" s="280"/>
      <c r="M203" s="282"/>
      <c r="N203" s="157"/>
      <c r="O203" s="308"/>
      <c r="P203" s="308"/>
    </row>
    <row r="204" spans="3:16" s="159" customFormat="1" x14ac:dyDescent="0.25">
      <c r="C204" s="658"/>
      <c r="D204" s="658"/>
      <c r="J204" s="280"/>
      <c r="M204" s="282"/>
      <c r="N204" s="157"/>
      <c r="O204" s="308"/>
      <c r="P204" s="308"/>
    </row>
    <row r="205" spans="3:16" s="159" customFormat="1" x14ac:dyDescent="0.25">
      <c r="C205" s="658"/>
      <c r="D205" s="658"/>
      <c r="J205" s="280"/>
      <c r="M205" s="282"/>
      <c r="N205" s="157"/>
      <c r="O205" s="308"/>
      <c r="P205" s="308"/>
    </row>
    <row r="206" spans="3:16" s="159" customFormat="1" x14ac:dyDescent="0.25">
      <c r="C206" s="658"/>
      <c r="D206" s="658"/>
      <c r="J206" s="280"/>
      <c r="M206" s="282"/>
      <c r="N206" s="157"/>
      <c r="O206" s="308"/>
      <c r="P206" s="308"/>
    </row>
    <row r="207" spans="3:16" s="159" customFormat="1" x14ac:dyDescent="0.25">
      <c r="C207" s="658"/>
      <c r="D207" s="658"/>
      <c r="J207" s="280"/>
      <c r="M207" s="282"/>
      <c r="N207" s="157"/>
      <c r="O207" s="308"/>
      <c r="P207" s="308"/>
    </row>
    <row r="208" spans="3:16" s="159" customFormat="1" x14ac:dyDescent="0.25">
      <c r="C208" s="658"/>
      <c r="D208" s="658"/>
      <c r="J208" s="280"/>
      <c r="M208" s="282"/>
      <c r="N208" s="157"/>
      <c r="O208" s="308"/>
      <c r="P208" s="308"/>
    </row>
    <row r="209" spans="3:16" s="159" customFormat="1" x14ac:dyDescent="0.25">
      <c r="C209" s="658"/>
      <c r="D209" s="658"/>
      <c r="J209" s="280"/>
      <c r="M209" s="282"/>
      <c r="N209" s="157"/>
      <c r="O209" s="308"/>
      <c r="P209" s="308"/>
    </row>
    <row r="210" spans="3:16" s="159" customFormat="1" x14ac:dyDescent="0.25">
      <c r="C210" s="658"/>
      <c r="D210" s="658"/>
      <c r="J210" s="280"/>
      <c r="M210" s="282"/>
      <c r="N210" s="157"/>
      <c r="O210" s="308"/>
      <c r="P210" s="308"/>
    </row>
    <row r="211" spans="3:16" s="159" customFormat="1" x14ac:dyDescent="0.25">
      <c r="C211" s="658"/>
      <c r="D211" s="658"/>
      <c r="J211" s="280"/>
      <c r="M211" s="282"/>
      <c r="N211" s="157"/>
      <c r="O211" s="308"/>
      <c r="P211" s="308"/>
    </row>
    <row r="212" spans="3:16" s="159" customFormat="1" x14ac:dyDescent="0.25">
      <c r="C212" s="658"/>
      <c r="D212" s="658"/>
      <c r="J212" s="280"/>
      <c r="M212" s="282"/>
      <c r="N212" s="157"/>
      <c r="O212" s="308"/>
      <c r="P212" s="308"/>
    </row>
    <row r="213" spans="3:16" s="159" customFormat="1" x14ac:dyDescent="0.25">
      <c r="C213" s="658"/>
      <c r="D213" s="658"/>
      <c r="J213" s="280"/>
      <c r="M213" s="282"/>
      <c r="N213" s="157"/>
      <c r="O213" s="308"/>
      <c r="P213" s="308"/>
    </row>
    <row r="214" spans="3:16" s="159" customFormat="1" x14ac:dyDescent="0.25">
      <c r="C214" s="658"/>
      <c r="D214" s="658"/>
      <c r="J214" s="280"/>
      <c r="M214" s="282"/>
      <c r="N214" s="157"/>
      <c r="O214" s="308"/>
      <c r="P214" s="308"/>
    </row>
    <row r="215" spans="3:16" s="159" customFormat="1" x14ac:dyDescent="0.25">
      <c r="C215" s="658"/>
      <c r="D215" s="658"/>
      <c r="J215" s="280"/>
      <c r="M215" s="282"/>
      <c r="N215" s="157"/>
      <c r="O215" s="308"/>
      <c r="P215" s="308"/>
    </row>
    <row r="216" spans="3:16" s="159" customFormat="1" x14ac:dyDescent="0.25">
      <c r="C216" s="658"/>
      <c r="D216" s="658"/>
      <c r="J216" s="280"/>
      <c r="M216" s="282"/>
      <c r="N216" s="157"/>
      <c r="O216" s="308"/>
      <c r="P216" s="308"/>
    </row>
    <row r="217" spans="3:16" s="159" customFormat="1" x14ac:dyDescent="0.25">
      <c r="C217" s="658"/>
      <c r="D217" s="658"/>
      <c r="J217" s="280"/>
      <c r="M217" s="282"/>
      <c r="N217" s="157"/>
      <c r="O217" s="308"/>
      <c r="P217" s="308"/>
    </row>
    <row r="218" spans="3:16" s="159" customFormat="1" x14ac:dyDescent="0.25">
      <c r="C218" s="658"/>
      <c r="D218" s="658"/>
      <c r="J218" s="280"/>
      <c r="M218" s="282"/>
      <c r="N218" s="157"/>
      <c r="O218" s="308"/>
      <c r="P218" s="308"/>
    </row>
    <row r="219" spans="3:16" s="159" customFormat="1" x14ac:dyDescent="0.25">
      <c r="C219" s="658"/>
      <c r="D219" s="658"/>
      <c r="J219" s="280"/>
      <c r="M219" s="282"/>
      <c r="N219" s="157"/>
      <c r="O219" s="308"/>
      <c r="P219" s="308"/>
    </row>
    <row r="220" spans="3:16" s="159" customFormat="1" x14ac:dyDescent="0.25">
      <c r="C220" s="658"/>
      <c r="D220" s="658"/>
      <c r="J220" s="280"/>
      <c r="M220" s="282"/>
      <c r="N220" s="157"/>
      <c r="O220" s="308"/>
      <c r="P220" s="308"/>
    </row>
    <row r="221" spans="3:16" s="159" customFormat="1" x14ac:dyDescent="0.25">
      <c r="C221" s="658"/>
      <c r="D221" s="658"/>
      <c r="J221" s="280"/>
      <c r="M221" s="282"/>
      <c r="N221" s="157"/>
      <c r="O221" s="308"/>
      <c r="P221" s="308"/>
    </row>
    <row r="222" spans="3:16" s="159" customFormat="1" x14ac:dyDescent="0.25">
      <c r="C222" s="658"/>
      <c r="D222" s="658"/>
      <c r="J222" s="280"/>
      <c r="M222" s="282"/>
      <c r="N222" s="157"/>
      <c r="O222" s="308"/>
      <c r="P222" s="308"/>
    </row>
    <row r="223" spans="3:16" s="159" customFormat="1" x14ac:dyDescent="0.25">
      <c r="C223" s="658"/>
      <c r="D223" s="658"/>
      <c r="J223" s="280"/>
      <c r="M223" s="282"/>
      <c r="N223" s="157"/>
      <c r="O223" s="308"/>
      <c r="P223" s="308"/>
    </row>
    <row r="224" spans="3:16" s="159" customFormat="1" x14ac:dyDescent="0.25">
      <c r="C224" s="658"/>
      <c r="D224" s="658"/>
      <c r="J224" s="280"/>
      <c r="M224" s="282"/>
      <c r="N224" s="157"/>
      <c r="O224" s="308"/>
      <c r="P224" s="308"/>
    </row>
    <row r="225" spans="3:16" s="159" customFormat="1" x14ac:dyDescent="0.25">
      <c r="C225" s="658"/>
      <c r="D225" s="658"/>
      <c r="J225" s="280"/>
      <c r="M225" s="282"/>
      <c r="N225" s="157"/>
      <c r="O225" s="308"/>
      <c r="P225" s="308"/>
    </row>
    <row r="226" spans="3:16" s="159" customFormat="1" x14ac:dyDescent="0.25">
      <c r="C226" s="658"/>
      <c r="D226" s="658"/>
      <c r="J226" s="280"/>
      <c r="M226" s="282"/>
      <c r="N226" s="157"/>
      <c r="O226" s="308"/>
      <c r="P226" s="308"/>
    </row>
    <row r="227" spans="3:16" s="159" customFormat="1" x14ac:dyDescent="0.25">
      <c r="C227" s="658"/>
      <c r="D227" s="658"/>
      <c r="J227" s="280"/>
      <c r="M227" s="282"/>
      <c r="N227" s="157"/>
      <c r="O227" s="308"/>
      <c r="P227" s="308"/>
    </row>
    <row r="228" spans="3:16" s="159" customFormat="1" x14ac:dyDescent="0.25">
      <c r="C228" s="658"/>
      <c r="D228" s="658"/>
      <c r="J228" s="280"/>
      <c r="M228" s="282"/>
      <c r="N228" s="157"/>
      <c r="O228" s="308"/>
      <c r="P228" s="308"/>
    </row>
    <row r="229" spans="3:16" s="159" customFormat="1" x14ac:dyDescent="0.25">
      <c r="C229" s="658"/>
      <c r="D229" s="658"/>
      <c r="J229" s="280"/>
      <c r="M229" s="282"/>
      <c r="N229" s="157"/>
      <c r="O229" s="308"/>
      <c r="P229" s="308"/>
    </row>
    <row r="230" spans="3:16" s="159" customFormat="1" x14ac:dyDescent="0.25">
      <c r="C230" s="658"/>
      <c r="D230" s="658"/>
      <c r="J230" s="280"/>
      <c r="M230" s="282"/>
      <c r="N230" s="157"/>
      <c r="O230" s="308"/>
      <c r="P230" s="308"/>
    </row>
    <row r="231" spans="3:16" s="159" customFormat="1" x14ac:dyDescent="0.25">
      <c r="C231" s="658"/>
      <c r="D231" s="658"/>
      <c r="J231" s="280"/>
      <c r="M231" s="282"/>
      <c r="N231" s="157"/>
      <c r="O231" s="308"/>
      <c r="P231" s="308"/>
    </row>
    <row r="232" spans="3:16" s="159" customFormat="1" x14ac:dyDescent="0.25">
      <c r="C232" s="658"/>
      <c r="D232" s="658"/>
      <c r="J232" s="280"/>
      <c r="M232" s="282"/>
      <c r="N232" s="157"/>
      <c r="O232" s="308"/>
      <c r="P232" s="308"/>
    </row>
    <row r="233" spans="3:16" s="159" customFormat="1" x14ac:dyDescent="0.25">
      <c r="C233" s="658"/>
      <c r="D233" s="658"/>
      <c r="J233" s="280"/>
      <c r="M233" s="282"/>
      <c r="N233" s="157"/>
      <c r="O233" s="308"/>
      <c r="P233" s="308"/>
    </row>
    <row r="234" spans="3:16" s="159" customFormat="1" x14ac:dyDescent="0.25">
      <c r="C234" s="658"/>
      <c r="D234" s="658"/>
      <c r="J234" s="280"/>
      <c r="M234" s="282"/>
      <c r="N234" s="157"/>
      <c r="O234" s="308"/>
      <c r="P234" s="308"/>
    </row>
    <row r="235" spans="3:16" s="159" customFormat="1" x14ac:dyDescent="0.25">
      <c r="C235" s="658"/>
      <c r="D235" s="658"/>
      <c r="J235" s="280"/>
      <c r="M235" s="282"/>
      <c r="N235" s="157"/>
      <c r="O235" s="308"/>
      <c r="P235" s="308"/>
    </row>
  </sheetData>
  <mergeCells count="4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B54:B55"/>
    <mergeCell ref="C44:F44"/>
    <mergeCell ref="G44:I44"/>
    <mergeCell ref="C9:F9"/>
    <mergeCell ref="G9:I9"/>
    <mergeCell ref="C25:F25"/>
    <mergeCell ref="G25:I25"/>
    <mergeCell ref="C36:F36"/>
    <mergeCell ref="G36:I36"/>
    <mergeCell ref="K55:K56"/>
    <mergeCell ref="F53:F54"/>
    <mergeCell ref="G53:G54"/>
    <mergeCell ref="I53:I54"/>
    <mergeCell ref="J53:J54"/>
    <mergeCell ref="K53:K54"/>
    <mergeCell ref="F55:F56"/>
    <mergeCell ref="G55:G56"/>
    <mergeCell ref="I55:I56"/>
    <mergeCell ref="J55:J56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  <pageSetUpPr fitToPage="1"/>
  </sheetPr>
  <dimension ref="A1:AA269"/>
  <sheetViews>
    <sheetView topLeftCell="A25" zoomScale="90" zoomScaleNormal="75" zoomScaleSheetLayoutView="90" zoomScalePageLayoutView="75" workbookViewId="0">
      <selection activeCell="L43" sqref="L43"/>
    </sheetView>
  </sheetViews>
  <sheetFormatPr defaultColWidth="9.109375" defaultRowHeight="13.2" x14ac:dyDescent="0.25"/>
  <cols>
    <col min="1" max="1" width="12.109375" style="157" bestFit="1" customWidth="1"/>
    <col min="2" max="2" width="42.88671875" style="157" customWidth="1"/>
    <col min="3" max="4" width="5" style="44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33.1093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521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x14ac:dyDescent="0.25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x14ac:dyDescent="0.25">
      <c r="A9" s="526"/>
      <c r="B9" s="203"/>
      <c r="C9" s="1079"/>
      <c r="D9" s="1079"/>
      <c r="E9" s="1075"/>
      <c r="F9" s="1075"/>
      <c r="G9" s="1080"/>
      <c r="H9" s="1075"/>
      <c r="I9" s="1075"/>
      <c r="J9" s="1075"/>
      <c r="K9" s="1078"/>
      <c r="L9" s="473"/>
      <c r="M9" s="472"/>
      <c r="N9" s="418"/>
      <c r="O9" s="419"/>
      <c r="P9" s="419"/>
    </row>
    <row r="10" spans="1:17" ht="13.8" thickBot="1" x14ac:dyDescent="0.3">
      <c r="A10" s="406"/>
      <c r="B10" s="527"/>
      <c r="C10" s="1079"/>
      <c r="D10" s="1079"/>
      <c r="E10" s="1075"/>
      <c r="F10" s="1075"/>
      <c r="G10" s="1080"/>
      <c r="H10" s="1075"/>
      <c r="I10" s="1075"/>
      <c r="J10" s="1075"/>
      <c r="K10" s="1078"/>
      <c r="L10" s="473"/>
      <c r="M10" s="472"/>
      <c r="N10" s="418"/>
      <c r="O10" s="419"/>
      <c r="P10" s="419"/>
    </row>
    <row r="11" spans="1:17" ht="14.4" thickTop="1" thickBot="1" x14ac:dyDescent="0.3">
      <c r="A11" s="358" t="s">
        <v>0</v>
      </c>
      <c r="B11" s="359" t="s">
        <v>1</v>
      </c>
      <c r="C11" s="1018" t="s">
        <v>656</v>
      </c>
      <c r="D11" s="1018"/>
      <c r="E11" s="1018"/>
      <c r="F11" s="1018"/>
      <c r="G11" s="1018" t="s">
        <v>34</v>
      </c>
      <c r="H11" s="1018"/>
      <c r="I11" s="1018"/>
      <c r="J11" s="360"/>
      <c r="K11" s="528"/>
      <c r="L11" s="1021" t="s">
        <v>782</v>
      </c>
      <c r="M11" s="1023" t="s">
        <v>783</v>
      </c>
      <c r="N11" s="1025" t="s">
        <v>784</v>
      </c>
      <c r="O11" s="1027"/>
      <c r="P11" s="1029"/>
      <c r="Q11" s="1019"/>
    </row>
    <row r="12" spans="1:17" ht="15.6" x14ac:dyDescent="0.3">
      <c r="A12" s="530" t="s">
        <v>522</v>
      </c>
      <c r="B12" s="530" t="s">
        <v>523</v>
      </c>
      <c r="C12" s="364" t="s">
        <v>19</v>
      </c>
      <c r="D12" s="365" t="s">
        <v>33</v>
      </c>
      <c r="E12" s="366" t="s">
        <v>35</v>
      </c>
      <c r="F12" s="367" t="s">
        <v>30</v>
      </c>
      <c r="G12" s="531" t="s">
        <v>14</v>
      </c>
      <c r="H12" s="366" t="s">
        <v>35</v>
      </c>
      <c r="I12" s="367" t="s">
        <v>30</v>
      </c>
      <c r="J12" s="369" t="s">
        <v>659</v>
      </c>
      <c r="K12" s="532" t="s">
        <v>38</v>
      </c>
      <c r="L12" s="1022"/>
      <c r="M12" s="1024"/>
      <c r="N12" s="1026"/>
      <c r="O12" s="1028"/>
      <c r="P12" s="1030"/>
      <c r="Q12" s="1020"/>
    </row>
    <row r="13" spans="1:17" ht="15" x14ac:dyDescent="0.25">
      <c r="A13" s="533" t="s">
        <v>522</v>
      </c>
      <c r="B13" s="194" t="s">
        <v>523</v>
      </c>
      <c r="C13" s="376"/>
      <c r="D13" s="377" t="s">
        <v>21</v>
      </c>
      <c r="E13" s="259">
        <v>0</v>
      </c>
      <c r="F13" s="378">
        <f t="shared" ref="F13:F24" si="0">C13*E13</f>
        <v>0</v>
      </c>
      <c r="G13" s="534"/>
      <c r="H13" s="380">
        <v>0</v>
      </c>
      <c r="I13" s="378">
        <f t="shared" ref="I13:I24" si="1">G13*H13</f>
        <v>0</v>
      </c>
      <c r="J13" s="381"/>
      <c r="K13" s="535">
        <f t="shared" ref="K13:K24" si="2">F13+I13+J13</f>
        <v>0</v>
      </c>
      <c r="L13" s="383"/>
      <c r="M13" s="384"/>
      <c r="N13" s="385" t="s">
        <v>1303</v>
      </c>
      <c r="O13" s="386"/>
      <c r="P13" s="387"/>
      <c r="Q13" s="388"/>
    </row>
    <row r="14" spans="1:17" ht="15" x14ac:dyDescent="0.25">
      <c r="A14" s="533" t="s">
        <v>525</v>
      </c>
      <c r="B14" s="194" t="s">
        <v>524</v>
      </c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932" t="s">
        <v>1297</v>
      </c>
      <c r="M14" s="933">
        <v>735000</v>
      </c>
      <c r="N14" s="385"/>
      <c r="O14" s="386"/>
      <c r="P14" s="387"/>
      <c r="Q14" s="388"/>
    </row>
    <row r="15" spans="1:17" x14ac:dyDescent="0.25">
      <c r="A15" s="375"/>
      <c r="B15" s="5" t="s">
        <v>990</v>
      </c>
      <c r="C15" s="376">
        <v>9393</v>
      </c>
      <c r="D15" s="377" t="s">
        <v>732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 t="s">
        <v>1304</v>
      </c>
      <c r="M15" s="384"/>
      <c r="N15" s="934">
        <f>K69</f>
        <v>279224.83</v>
      </c>
      <c r="O15" s="386"/>
      <c r="P15" s="387"/>
      <c r="Q15" s="388"/>
    </row>
    <row r="16" spans="1:17" x14ac:dyDescent="0.25">
      <c r="A16" s="375"/>
      <c r="B16" s="5" t="s">
        <v>1016</v>
      </c>
      <c r="C16" s="376">
        <v>1844</v>
      </c>
      <c r="D16" s="377" t="s">
        <v>732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 t="s">
        <v>1298</v>
      </c>
      <c r="M16" s="384"/>
      <c r="N16" s="385"/>
      <c r="O16" s="386"/>
      <c r="P16" s="387"/>
      <c r="Q16" s="388"/>
    </row>
    <row r="17" spans="1:17" x14ac:dyDescent="0.25">
      <c r="A17" s="375"/>
      <c r="B17" s="5" t="s">
        <v>1017</v>
      </c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383" t="s">
        <v>1299</v>
      </c>
      <c r="M17" s="384"/>
      <c r="N17" s="934">
        <f>'32'!K37</f>
        <v>41050</v>
      </c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383" t="s">
        <v>1300</v>
      </c>
      <c r="M18" s="384"/>
      <c r="N18" s="934">
        <f>'32'!K22</f>
        <v>86800</v>
      </c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157" t="s">
        <v>1301</v>
      </c>
      <c r="M19" s="474"/>
      <c r="N19" s="934">
        <f>'32'!K58</f>
        <v>41666</v>
      </c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157" t="s">
        <v>1302</v>
      </c>
      <c r="M20" s="474"/>
      <c r="N20" s="936">
        <f>'32'!K69</f>
        <v>26588</v>
      </c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541"/>
      <c r="M21" s="578"/>
      <c r="N21" s="935">
        <f>SUM(N15:N20)</f>
        <v>475328.83</v>
      </c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937" t="s">
        <v>1305</v>
      </c>
      <c r="M22" s="938">
        <v>50649</v>
      </c>
      <c r="N22" s="542"/>
      <c r="O22" s="386"/>
      <c r="P22" s="387"/>
      <c r="Q22" s="388"/>
    </row>
    <row r="23" spans="1:17" x14ac:dyDescent="0.25">
      <c r="A23" s="389"/>
      <c r="B23" s="5"/>
      <c r="C23" s="376"/>
      <c r="D23" s="377" t="s">
        <v>21</v>
      </c>
      <c r="E23" s="259">
        <v>0</v>
      </c>
      <c r="F23" s="378">
        <f t="shared" si="0"/>
        <v>0</v>
      </c>
      <c r="G23" s="534"/>
      <c r="H23" s="380">
        <v>0</v>
      </c>
      <c r="I23" s="378">
        <f t="shared" si="1"/>
        <v>0</v>
      </c>
      <c r="J23" s="381"/>
      <c r="K23" s="535">
        <f t="shared" si="2"/>
        <v>0</v>
      </c>
      <c r="L23" s="157"/>
      <c r="M23" s="474"/>
      <c r="O23" s="386"/>
      <c r="P23" s="387"/>
      <c r="Q23" s="388"/>
    </row>
    <row r="24" spans="1:17" x14ac:dyDescent="0.25">
      <c r="A24" s="389"/>
      <c r="B24" s="5"/>
      <c r="C24" s="376"/>
      <c r="D24" s="377" t="s">
        <v>21</v>
      </c>
      <c r="E24" s="259">
        <v>0</v>
      </c>
      <c r="F24" s="378">
        <f t="shared" si="0"/>
        <v>0</v>
      </c>
      <c r="G24" s="534"/>
      <c r="H24" s="380">
        <v>0</v>
      </c>
      <c r="I24" s="378">
        <f t="shared" si="1"/>
        <v>0</v>
      </c>
      <c r="J24" s="381"/>
      <c r="K24" s="535">
        <f t="shared" si="2"/>
        <v>0</v>
      </c>
      <c r="L24" s="157"/>
      <c r="M24" s="474"/>
      <c r="O24" s="386"/>
      <c r="P24" s="387"/>
      <c r="Q24" s="388"/>
    </row>
    <row r="25" spans="1:17" ht="13.8" thickBot="1" x14ac:dyDescent="0.3">
      <c r="A25" s="392"/>
      <c r="B25" s="7"/>
      <c r="C25" s="393"/>
      <c r="D25" s="377"/>
      <c r="E25" s="259"/>
      <c r="F25" s="378"/>
      <c r="G25" s="534"/>
      <c r="H25" s="380"/>
      <c r="I25" s="378"/>
      <c r="J25" s="381"/>
      <c r="K25" s="535"/>
      <c r="L25" s="157"/>
      <c r="M25" s="474"/>
      <c r="O25" s="386">
        <f>2399919-2386430</f>
        <v>13489</v>
      </c>
      <c r="P25" s="387"/>
      <c r="Q25" s="388"/>
    </row>
    <row r="26" spans="1:17" ht="13.8" thickTop="1" x14ac:dyDescent="0.25">
      <c r="A26" s="392"/>
      <c r="B26" s="7"/>
      <c r="C26" s="393"/>
      <c r="D26" s="377"/>
      <c r="E26" s="259"/>
      <c r="F26" s="378"/>
      <c r="G26" s="534"/>
      <c r="H26" s="380"/>
      <c r="I26" s="378"/>
      <c r="J26" s="394" t="s">
        <v>30</v>
      </c>
      <c r="K26" s="537">
        <f>SUM(K13:K25)</f>
        <v>0</v>
      </c>
      <c r="L26" s="157"/>
      <c r="M26" s="474"/>
      <c r="O26" s="386"/>
      <c r="P26" s="387"/>
      <c r="Q26" s="388"/>
    </row>
    <row r="27" spans="1:17" ht="13.8" thickBot="1" x14ac:dyDescent="0.3">
      <c r="A27" s="358" t="s">
        <v>0</v>
      </c>
      <c r="B27" s="359" t="s">
        <v>1</v>
      </c>
      <c r="C27" s="1018" t="s">
        <v>656</v>
      </c>
      <c r="D27" s="1018"/>
      <c r="E27" s="1018"/>
      <c r="F27" s="1018"/>
      <c r="G27" s="1018" t="s">
        <v>34</v>
      </c>
      <c r="H27" s="1018"/>
      <c r="I27" s="1018"/>
      <c r="J27" s="360"/>
      <c r="K27" s="528"/>
      <c r="L27" s="396"/>
      <c r="M27" s="397"/>
      <c r="N27" s="398"/>
      <c r="O27" s="386"/>
      <c r="P27" s="387"/>
      <c r="Q27" s="388"/>
    </row>
    <row r="28" spans="1:17" ht="15.6" x14ac:dyDescent="0.3">
      <c r="A28" s="530" t="s">
        <v>526</v>
      </c>
      <c r="B28" s="530" t="s">
        <v>527</v>
      </c>
      <c r="C28" s="401" t="s">
        <v>19</v>
      </c>
      <c r="D28" s="402" t="s">
        <v>33</v>
      </c>
      <c r="E28" s="403" t="s">
        <v>35</v>
      </c>
      <c r="F28" s="404" t="s">
        <v>30</v>
      </c>
      <c r="G28" s="538" t="s">
        <v>14</v>
      </c>
      <c r="H28" s="403" t="s">
        <v>35</v>
      </c>
      <c r="I28" s="404" t="s">
        <v>30</v>
      </c>
      <c r="J28" s="369" t="s">
        <v>659</v>
      </c>
      <c r="K28" s="539" t="s">
        <v>38</v>
      </c>
      <c r="L28" s="407"/>
      <c r="M28" s="408"/>
      <c r="N28" s="409"/>
      <c r="O28" s="386"/>
      <c r="P28" s="387"/>
      <c r="Q28" s="388"/>
    </row>
    <row r="29" spans="1:17" s="159" customFormat="1" ht="15" x14ac:dyDescent="0.25">
      <c r="A29" s="194" t="s">
        <v>528</v>
      </c>
      <c r="B29" s="841" t="s">
        <v>993</v>
      </c>
      <c r="C29" s="838"/>
      <c r="D29" s="839" t="s">
        <v>21</v>
      </c>
      <c r="E29" s="259">
        <v>0</v>
      </c>
      <c r="F29" s="378">
        <f>C29*E29</f>
        <v>0</v>
      </c>
      <c r="G29" s="534"/>
      <c r="H29" s="380">
        <v>0</v>
      </c>
      <c r="I29" s="378">
        <f>G29*H29</f>
        <v>0</v>
      </c>
      <c r="J29" s="381"/>
      <c r="K29" s="535">
        <f>F29+I29+J29</f>
        <v>0</v>
      </c>
      <c r="M29" s="280"/>
      <c r="O29" s="386"/>
      <c r="P29" s="387"/>
      <c r="Q29" s="388"/>
    </row>
    <row r="30" spans="1:17" s="159" customFormat="1" x14ac:dyDescent="0.25">
      <c r="A30" s="158" t="s">
        <v>531</v>
      </c>
      <c r="B30" s="842" t="s">
        <v>992</v>
      </c>
      <c r="C30" s="838">
        <v>9393</v>
      </c>
      <c r="D30" s="839" t="s">
        <v>732</v>
      </c>
      <c r="E30" s="259">
        <v>0</v>
      </c>
      <c r="F30" s="378">
        <f>C30*E30</f>
        <v>0</v>
      </c>
      <c r="G30" s="534"/>
      <c r="H30" s="380">
        <v>0</v>
      </c>
      <c r="I30" s="378">
        <f>G30*H30</f>
        <v>0</v>
      </c>
      <c r="J30" s="381">
        <f>M39</f>
        <v>245408.43</v>
      </c>
      <c r="K30" s="535">
        <f>F30+I30+J30</f>
        <v>245408.43</v>
      </c>
      <c r="L30" s="383" t="s">
        <v>1104</v>
      </c>
      <c r="M30" s="282">
        <v>425250</v>
      </c>
      <c r="N30" s="157"/>
      <c r="O30" s="386"/>
      <c r="P30" s="387"/>
      <c r="Q30" s="388"/>
    </row>
    <row r="31" spans="1:17" s="159" customFormat="1" x14ac:dyDescent="0.25">
      <c r="A31" s="158" t="s">
        <v>532</v>
      </c>
      <c r="B31" s="842" t="s">
        <v>991</v>
      </c>
      <c r="C31" s="838">
        <v>1173</v>
      </c>
      <c r="D31" s="839" t="s">
        <v>732</v>
      </c>
      <c r="E31" s="259">
        <v>0</v>
      </c>
      <c r="F31" s="378">
        <f t="shared" ref="F31:F67" si="3">C31*E31</f>
        <v>0</v>
      </c>
      <c r="G31" s="534"/>
      <c r="H31" s="380">
        <v>0</v>
      </c>
      <c r="I31" s="378">
        <f t="shared" ref="I31:I67" si="4">G31*H31</f>
        <v>0</v>
      </c>
      <c r="J31" s="381"/>
      <c r="K31" s="535">
        <f t="shared" ref="K31:K67" si="5">F31+I31+J31</f>
        <v>0</v>
      </c>
      <c r="L31" s="383"/>
      <c r="M31" s="384"/>
      <c r="N31" s="385"/>
      <c r="O31" s="386"/>
      <c r="P31" s="387"/>
      <c r="Q31" s="388"/>
    </row>
    <row r="32" spans="1:17" s="159" customFormat="1" x14ac:dyDescent="0.25">
      <c r="A32" s="158" t="s">
        <v>531</v>
      </c>
      <c r="B32" s="842" t="s">
        <v>994</v>
      </c>
      <c r="C32" s="838">
        <v>6174</v>
      </c>
      <c r="D32" s="839" t="s">
        <v>732</v>
      </c>
      <c r="E32" s="259">
        <v>0</v>
      </c>
      <c r="F32" s="378">
        <f>C32*E32</f>
        <v>0</v>
      </c>
      <c r="G32" s="534"/>
      <c r="H32" s="380">
        <v>0</v>
      </c>
      <c r="I32" s="378">
        <f>G32*H32</f>
        <v>0</v>
      </c>
      <c r="J32" s="381"/>
      <c r="K32" s="535">
        <f>F32+I32+J32</f>
        <v>0</v>
      </c>
      <c r="L32" s="870" t="s">
        <v>1105</v>
      </c>
      <c r="M32" s="282"/>
      <c r="N32" s="157"/>
      <c r="O32" s="386"/>
      <c r="P32" s="387"/>
      <c r="Q32" s="388"/>
    </row>
    <row r="33" spans="1:17" s="159" customFormat="1" x14ac:dyDescent="0.25">
      <c r="A33" s="158" t="s">
        <v>532</v>
      </c>
      <c r="B33" s="842" t="s">
        <v>996</v>
      </c>
      <c r="C33" s="838">
        <v>1482</v>
      </c>
      <c r="D33" s="839" t="s">
        <v>732</v>
      </c>
      <c r="E33" s="259">
        <v>0</v>
      </c>
      <c r="F33" s="378">
        <f t="shared" ref="F33" si="6">C33*E33</f>
        <v>0</v>
      </c>
      <c r="G33" s="534"/>
      <c r="H33" s="380">
        <v>0</v>
      </c>
      <c r="I33" s="378">
        <f t="shared" ref="I33" si="7">G33*H33</f>
        <v>0</v>
      </c>
      <c r="J33" s="381"/>
      <c r="K33" s="535">
        <f t="shared" ref="K33" si="8">F33+I33+J33</f>
        <v>0</v>
      </c>
      <c r="L33" s="383" t="s">
        <v>1179</v>
      </c>
      <c r="M33" s="384">
        <v>69436.56</v>
      </c>
      <c r="N33" s="385"/>
      <c r="O33" s="386"/>
      <c r="P33" s="387"/>
      <c r="Q33" s="388"/>
    </row>
    <row r="34" spans="1:17" s="159" customFormat="1" ht="15" x14ac:dyDescent="0.25">
      <c r="A34" s="194" t="s">
        <v>533</v>
      </c>
      <c r="B34" s="194" t="s">
        <v>534</v>
      </c>
      <c r="C34" s="376"/>
      <c r="D34" s="377" t="s">
        <v>21</v>
      </c>
      <c r="E34" s="259">
        <v>0</v>
      </c>
      <c r="F34" s="378">
        <f t="shared" si="3"/>
        <v>0</v>
      </c>
      <c r="G34" s="534"/>
      <c r="H34" s="380">
        <v>0</v>
      </c>
      <c r="I34" s="378">
        <f t="shared" si="4"/>
        <v>0</v>
      </c>
      <c r="J34" s="381"/>
      <c r="K34" s="535">
        <f t="shared" si="5"/>
        <v>0</v>
      </c>
      <c r="L34" s="383" t="s">
        <v>1180</v>
      </c>
      <c r="M34" s="384">
        <v>6890.58</v>
      </c>
      <c r="N34" s="385"/>
      <c r="O34" s="386"/>
      <c r="P34" s="387"/>
      <c r="Q34" s="388"/>
    </row>
    <row r="35" spans="1:17" s="159" customFormat="1" x14ac:dyDescent="0.25">
      <c r="A35" s="158" t="s">
        <v>531</v>
      </c>
      <c r="B35" s="159" t="s">
        <v>529</v>
      </c>
      <c r="C35" s="376"/>
      <c r="D35" s="377" t="s">
        <v>21</v>
      </c>
      <c r="E35" s="259">
        <v>0</v>
      </c>
      <c r="F35" s="378">
        <f>C35*E35</f>
        <v>0</v>
      </c>
      <c r="G35" s="534"/>
      <c r="H35" s="380">
        <v>0</v>
      </c>
      <c r="I35" s="378">
        <f>G35*H35</f>
        <v>0</v>
      </c>
      <c r="J35" s="381"/>
      <c r="K35" s="535">
        <f>F35+I35+J35</f>
        <v>0</v>
      </c>
      <c r="L35" s="159" t="s">
        <v>1182</v>
      </c>
      <c r="M35" s="282">
        <v>12708.02</v>
      </c>
      <c r="N35" s="157"/>
      <c r="O35" s="386"/>
      <c r="P35" s="387"/>
      <c r="Q35" s="388"/>
    </row>
    <row r="36" spans="1:17" s="159" customFormat="1" x14ac:dyDescent="0.25">
      <c r="A36" s="158" t="s">
        <v>532</v>
      </c>
      <c r="B36" s="159" t="s">
        <v>530</v>
      </c>
      <c r="C36" s="376"/>
      <c r="D36" s="377" t="s">
        <v>21</v>
      </c>
      <c r="E36" s="259">
        <v>0</v>
      </c>
      <c r="F36" s="378">
        <f t="shared" ref="F36:F37" si="9">C36*E36</f>
        <v>0</v>
      </c>
      <c r="G36" s="534"/>
      <c r="H36" s="380">
        <v>0</v>
      </c>
      <c r="I36" s="378">
        <f t="shared" ref="I36:I37" si="10">G36*H36</f>
        <v>0</v>
      </c>
      <c r="J36" s="381"/>
      <c r="K36" s="535">
        <f t="shared" ref="K36:K37" si="11">F36+I36+J36</f>
        <v>0</v>
      </c>
      <c r="L36" s="383" t="s">
        <v>1181</v>
      </c>
      <c r="M36" s="384">
        <v>46739.39</v>
      </c>
      <c r="N36" s="385"/>
      <c r="O36" s="386"/>
      <c r="P36" s="387"/>
      <c r="Q36" s="388"/>
    </row>
    <row r="37" spans="1:17" s="159" customFormat="1" ht="15" x14ac:dyDescent="0.25">
      <c r="A37" s="194" t="s">
        <v>533</v>
      </c>
      <c r="B37" s="194" t="s">
        <v>534</v>
      </c>
      <c r="C37" s="376"/>
      <c r="D37" s="377" t="s">
        <v>21</v>
      </c>
      <c r="E37" s="259">
        <v>0</v>
      </c>
      <c r="F37" s="378">
        <f t="shared" si="9"/>
        <v>0</v>
      </c>
      <c r="G37" s="534"/>
      <c r="H37" s="380">
        <v>0</v>
      </c>
      <c r="I37" s="378">
        <f t="shared" si="10"/>
        <v>0</v>
      </c>
      <c r="J37" s="381"/>
      <c r="K37" s="535">
        <f t="shared" si="11"/>
        <v>0</v>
      </c>
      <c r="L37" s="383" t="s">
        <v>1183</v>
      </c>
      <c r="M37" s="384">
        <v>9979.81</v>
      </c>
      <c r="N37" s="385"/>
      <c r="O37" s="386"/>
      <c r="P37" s="387"/>
      <c r="Q37" s="388"/>
    </row>
    <row r="38" spans="1:17" s="159" customFormat="1" ht="39.6" x14ac:dyDescent="0.25">
      <c r="A38" s="158" t="s">
        <v>535</v>
      </c>
      <c r="B38" s="159" t="s">
        <v>536</v>
      </c>
      <c r="C38" s="376"/>
      <c r="D38" s="377" t="s">
        <v>21</v>
      </c>
      <c r="E38" s="259">
        <v>0</v>
      </c>
      <c r="F38" s="378">
        <f t="shared" si="3"/>
        <v>0</v>
      </c>
      <c r="G38" s="534"/>
      <c r="H38" s="380">
        <v>0</v>
      </c>
      <c r="I38" s="378">
        <f t="shared" si="4"/>
        <v>0</v>
      </c>
      <c r="J38" s="381"/>
      <c r="K38" s="535">
        <f t="shared" si="5"/>
        <v>0</v>
      </c>
      <c r="L38" s="875" t="s">
        <v>1184</v>
      </c>
      <c r="M38" s="578">
        <v>99654.07</v>
      </c>
      <c r="N38" s="877" t="s">
        <v>1187</v>
      </c>
      <c r="O38" s="386"/>
      <c r="P38" s="387"/>
      <c r="Q38" s="388"/>
    </row>
    <row r="39" spans="1:17" s="159" customFormat="1" ht="13.8" thickBot="1" x14ac:dyDescent="0.3">
      <c r="A39" s="158" t="s">
        <v>547</v>
      </c>
      <c r="B39" s="157" t="s">
        <v>534</v>
      </c>
      <c r="C39" s="376"/>
      <c r="D39" s="377" t="s">
        <v>21</v>
      </c>
      <c r="E39" s="259">
        <v>0</v>
      </c>
      <c r="F39" s="378">
        <f t="shared" si="3"/>
        <v>0</v>
      </c>
      <c r="G39" s="534"/>
      <c r="H39" s="380">
        <v>0</v>
      </c>
      <c r="I39" s="378">
        <f t="shared" si="4"/>
        <v>0</v>
      </c>
      <c r="J39" s="381">
        <f>M46</f>
        <v>33816.400000000001</v>
      </c>
      <c r="K39" s="535">
        <f t="shared" si="5"/>
        <v>33816.400000000001</v>
      </c>
      <c r="M39" s="876">
        <f>SUM(M33:M38)</f>
        <v>245408.43</v>
      </c>
      <c r="O39" s="386"/>
      <c r="P39" s="387"/>
      <c r="Q39" s="388"/>
    </row>
    <row r="40" spans="1:17" s="159" customFormat="1" ht="13.8" thickTop="1" x14ac:dyDescent="0.25">
      <c r="A40" s="678" t="s">
        <v>548</v>
      </c>
      <c r="B40" s="268" t="s">
        <v>537</v>
      </c>
      <c r="C40" s="376"/>
      <c r="D40" s="377" t="s">
        <v>21</v>
      </c>
      <c r="E40" s="259">
        <v>0</v>
      </c>
      <c r="F40" s="378">
        <f t="shared" si="3"/>
        <v>0</v>
      </c>
      <c r="G40" s="534"/>
      <c r="H40" s="380">
        <v>0</v>
      </c>
      <c r="I40" s="378">
        <f t="shared" si="4"/>
        <v>0</v>
      </c>
      <c r="J40" s="381"/>
      <c r="K40" s="535">
        <f t="shared" si="5"/>
        <v>0</v>
      </c>
      <c r="M40" s="280"/>
      <c r="O40" s="386"/>
      <c r="P40" s="387"/>
      <c r="Q40" s="388"/>
    </row>
    <row r="41" spans="1:17" s="159" customFormat="1" x14ac:dyDescent="0.25">
      <c r="A41" s="678" t="s">
        <v>549</v>
      </c>
      <c r="B41" s="268" t="s">
        <v>538</v>
      </c>
      <c r="C41" s="376"/>
      <c r="D41" s="377" t="s">
        <v>21</v>
      </c>
      <c r="E41" s="259">
        <v>0</v>
      </c>
      <c r="F41" s="378">
        <f t="shared" si="3"/>
        <v>0</v>
      </c>
      <c r="G41" s="534"/>
      <c r="H41" s="380">
        <v>0</v>
      </c>
      <c r="I41" s="378">
        <f t="shared" si="4"/>
        <v>0</v>
      </c>
      <c r="J41" s="381"/>
      <c r="K41" s="535">
        <f t="shared" si="5"/>
        <v>0</v>
      </c>
      <c r="L41" s="157"/>
      <c r="M41" s="474"/>
      <c r="N41" s="157"/>
      <c r="O41" s="386"/>
      <c r="P41" s="387"/>
      <c r="Q41" s="388"/>
    </row>
    <row r="42" spans="1:17" s="159" customFormat="1" x14ac:dyDescent="0.25">
      <c r="A42" s="678" t="s">
        <v>550</v>
      </c>
      <c r="B42" s="268" t="s">
        <v>539</v>
      </c>
      <c r="C42" s="376"/>
      <c r="D42" s="377" t="s">
        <v>21</v>
      </c>
      <c r="E42" s="259">
        <v>0</v>
      </c>
      <c r="F42" s="378">
        <f t="shared" si="3"/>
        <v>0</v>
      </c>
      <c r="G42" s="534"/>
      <c r="H42" s="380">
        <v>0</v>
      </c>
      <c r="I42" s="378">
        <f t="shared" si="4"/>
        <v>0</v>
      </c>
      <c r="J42" s="381"/>
      <c r="K42" s="535">
        <f t="shared" si="5"/>
        <v>0</v>
      </c>
      <c r="L42" s="940" t="s">
        <v>1307</v>
      </c>
      <c r="M42" s="384"/>
      <c r="N42" s="385"/>
      <c r="O42" s="386"/>
      <c r="P42" s="387"/>
      <c r="Q42" s="388"/>
    </row>
    <row r="43" spans="1:17" s="159" customFormat="1" x14ac:dyDescent="0.25">
      <c r="A43" s="158" t="s">
        <v>551</v>
      </c>
      <c r="B43" s="157" t="s">
        <v>540</v>
      </c>
      <c r="C43" s="376"/>
      <c r="D43" s="377" t="s">
        <v>21</v>
      </c>
      <c r="E43" s="259">
        <v>0</v>
      </c>
      <c r="F43" s="378">
        <f t="shared" si="3"/>
        <v>0</v>
      </c>
      <c r="G43" s="534"/>
      <c r="H43" s="380">
        <v>0</v>
      </c>
      <c r="I43" s="378">
        <f t="shared" si="4"/>
        <v>0</v>
      </c>
      <c r="J43" s="381"/>
      <c r="K43" s="535">
        <f t="shared" si="5"/>
        <v>0</v>
      </c>
      <c r="L43" s="541" t="s">
        <v>1308</v>
      </c>
      <c r="M43" s="578">
        <v>11806.99</v>
      </c>
      <c r="N43" s="542"/>
      <c r="O43" s="386"/>
      <c r="P43" s="387"/>
      <c r="Q43" s="388"/>
    </row>
    <row r="44" spans="1:17" s="159" customFormat="1" x14ac:dyDescent="0.25">
      <c r="A44" s="158" t="s">
        <v>552</v>
      </c>
      <c r="B44" s="842" t="s">
        <v>1002</v>
      </c>
      <c r="C44" s="838">
        <v>370</v>
      </c>
      <c r="D44" s="839" t="s">
        <v>997</v>
      </c>
      <c r="E44" s="259">
        <v>0</v>
      </c>
      <c r="F44" s="378">
        <f t="shared" si="3"/>
        <v>0</v>
      </c>
      <c r="G44" s="534"/>
      <c r="H44" s="380">
        <v>0</v>
      </c>
      <c r="I44" s="378">
        <f t="shared" si="4"/>
        <v>0</v>
      </c>
      <c r="J44" s="381"/>
      <c r="K44" s="535">
        <f t="shared" si="5"/>
        <v>0</v>
      </c>
      <c r="L44" s="543" t="s">
        <v>1309</v>
      </c>
      <c r="M44" s="669">
        <v>14114.02</v>
      </c>
      <c r="N44" s="668"/>
      <c r="O44" s="415"/>
      <c r="P44" s="416"/>
      <c r="Q44" s="388"/>
    </row>
    <row r="45" spans="1:17" s="159" customFormat="1" x14ac:dyDescent="0.25">
      <c r="A45" s="678" t="s">
        <v>553</v>
      </c>
      <c r="B45" s="845" t="s">
        <v>1003</v>
      </c>
      <c r="C45" s="838">
        <v>1</v>
      </c>
      <c r="D45" s="839" t="s">
        <v>907</v>
      </c>
      <c r="E45" s="259">
        <v>0</v>
      </c>
      <c r="F45" s="378">
        <f t="shared" si="3"/>
        <v>0</v>
      </c>
      <c r="G45" s="534"/>
      <c r="H45" s="380">
        <v>0</v>
      </c>
      <c r="I45" s="378">
        <f t="shared" si="4"/>
        <v>0</v>
      </c>
      <c r="J45" s="381"/>
      <c r="K45" s="535">
        <f t="shared" si="5"/>
        <v>0</v>
      </c>
      <c r="L45" s="383" t="s">
        <v>1310</v>
      </c>
      <c r="M45" s="384">
        <v>7895.39</v>
      </c>
      <c r="N45" s="385"/>
      <c r="O45" s="415"/>
      <c r="P45" s="416"/>
      <c r="Q45" s="388"/>
    </row>
    <row r="46" spans="1:17" s="159" customFormat="1" x14ac:dyDescent="0.25">
      <c r="A46" s="678" t="s">
        <v>554</v>
      </c>
      <c r="B46" s="845" t="s">
        <v>1004</v>
      </c>
      <c r="C46" s="838">
        <v>98</v>
      </c>
      <c r="D46" s="839" t="s">
        <v>997</v>
      </c>
      <c r="E46" s="259">
        <v>0</v>
      </c>
      <c r="F46" s="378">
        <f t="shared" si="3"/>
        <v>0</v>
      </c>
      <c r="G46" s="534"/>
      <c r="H46" s="380">
        <v>0</v>
      </c>
      <c r="I46" s="378">
        <f t="shared" si="4"/>
        <v>0</v>
      </c>
      <c r="J46" s="381"/>
      <c r="K46" s="535">
        <f t="shared" si="5"/>
        <v>0</v>
      </c>
      <c r="M46" s="942">
        <f>SUM(M43:M45)</f>
        <v>33816.400000000001</v>
      </c>
      <c r="O46" s="415"/>
      <c r="P46" s="416"/>
      <c r="Q46" s="388"/>
    </row>
    <row r="47" spans="1:17" s="159" customFormat="1" x14ac:dyDescent="0.25">
      <c r="A47" s="158" t="s">
        <v>552</v>
      </c>
      <c r="B47" s="842" t="s">
        <v>1005</v>
      </c>
      <c r="C47" s="838">
        <v>1</v>
      </c>
      <c r="D47" s="839" t="s">
        <v>907</v>
      </c>
      <c r="E47" s="259">
        <v>0</v>
      </c>
      <c r="F47" s="378">
        <f t="shared" ref="F47:F49" si="12">C47*E47</f>
        <v>0</v>
      </c>
      <c r="G47" s="534"/>
      <c r="H47" s="380">
        <v>0</v>
      </c>
      <c r="I47" s="378">
        <f t="shared" ref="I47:I49" si="13">G47*H47</f>
        <v>0</v>
      </c>
      <c r="J47" s="381"/>
      <c r="K47" s="535">
        <f t="shared" ref="K47:K49" si="14">F47+I47+J47</f>
        <v>0</v>
      </c>
      <c r="L47" s="543"/>
      <c r="M47" s="669"/>
      <c r="N47" s="668"/>
      <c r="O47" s="415"/>
      <c r="P47" s="416"/>
      <c r="Q47" s="388"/>
    </row>
    <row r="48" spans="1:17" s="159" customFormat="1" x14ac:dyDescent="0.25">
      <c r="A48" s="678" t="s">
        <v>553</v>
      </c>
      <c r="B48" s="845" t="s">
        <v>1006</v>
      </c>
      <c r="C48" s="838">
        <v>2</v>
      </c>
      <c r="D48" s="839" t="s">
        <v>907</v>
      </c>
      <c r="E48" s="259">
        <v>0</v>
      </c>
      <c r="F48" s="378">
        <f t="shared" si="12"/>
        <v>0</v>
      </c>
      <c r="G48" s="534"/>
      <c r="H48" s="380">
        <v>0</v>
      </c>
      <c r="I48" s="378">
        <f t="shared" si="13"/>
        <v>0</v>
      </c>
      <c r="J48" s="381"/>
      <c r="K48" s="535">
        <f t="shared" si="14"/>
        <v>0</v>
      </c>
      <c r="L48" s="383"/>
      <c r="M48" s="384"/>
      <c r="N48" s="385"/>
      <c r="O48" s="415"/>
      <c r="P48" s="416"/>
      <c r="Q48" s="388"/>
    </row>
    <row r="49" spans="1:17" s="159" customFormat="1" x14ac:dyDescent="0.25">
      <c r="A49" s="678" t="s">
        <v>554</v>
      </c>
      <c r="B49" s="845" t="s">
        <v>1007</v>
      </c>
      <c r="C49" s="838">
        <v>2</v>
      </c>
      <c r="D49" s="839" t="s">
        <v>907</v>
      </c>
      <c r="E49" s="259">
        <v>0</v>
      </c>
      <c r="F49" s="378">
        <f t="shared" si="12"/>
        <v>0</v>
      </c>
      <c r="G49" s="534"/>
      <c r="H49" s="380">
        <v>0</v>
      </c>
      <c r="I49" s="378">
        <f t="shared" si="13"/>
        <v>0</v>
      </c>
      <c r="J49" s="381"/>
      <c r="K49" s="535">
        <f t="shared" si="14"/>
        <v>0</v>
      </c>
      <c r="M49" s="280"/>
      <c r="O49" s="415"/>
      <c r="P49" s="416"/>
      <c r="Q49" s="388"/>
    </row>
    <row r="50" spans="1:17" s="159" customFormat="1" x14ac:dyDescent="0.25">
      <c r="A50" s="158" t="s">
        <v>552</v>
      </c>
      <c r="B50" s="842" t="s">
        <v>1008</v>
      </c>
      <c r="C50" s="838">
        <v>66</v>
      </c>
      <c r="D50" s="839" t="s">
        <v>997</v>
      </c>
      <c r="E50" s="259">
        <v>0</v>
      </c>
      <c r="F50" s="378">
        <f t="shared" ref="F50:F58" si="15">C50*E50</f>
        <v>0</v>
      </c>
      <c r="G50" s="534"/>
      <c r="H50" s="380">
        <v>0</v>
      </c>
      <c r="I50" s="378">
        <f t="shared" ref="I50:I58" si="16">G50*H50</f>
        <v>0</v>
      </c>
      <c r="J50" s="381"/>
      <c r="K50" s="535">
        <f t="shared" ref="K50:K58" si="17">F50+I50+J50</f>
        <v>0</v>
      </c>
      <c r="L50" s="543"/>
      <c r="M50" s="669"/>
      <c r="N50" s="668"/>
      <c r="O50" s="415"/>
      <c r="P50" s="416"/>
      <c r="Q50" s="388"/>
    </row>
    <row r="51" spans="1:17" s="159" customFormat="1" x14ac:dyDescent="0.25">
      <c r="A51" s="158" t="s">
        <v>552</v>
      </c>
      <c r="B51" s="842" t="s">
        <v>1009</v>
      </c>
      <c r="C51" s="838">
        <v>17</v>
      </c>
      <c r="D51" s="839" t="s">
        <v>997</v>
      </c>
      <c r="E51" s="259">
        <v>0</v>
      </c>
      <c r="F51" s="378">
        <f t="shared" ref="F51" si="18">C51*E51</f>
        <v>0</v>
      </c>
      <c r="G51" s="534"/>
      <c r="H51" s="380">
        <v>0</v>
      </c>
      <c r="I51" s="378">
        <f t="shared" ref="I51" si="19">G51*H51</f>
        <v>0</v>
      </c>
      <c r="J51" s="381"/>
      <c r="K51" s="535">
        <f t="shared" ref="K51" si="20">F51+I51+J51</f>
        <v>0</v>
      </c>
      <c r="L51" s="543"/>
      <c r="M51" s="669"/>
      <c r="N51" s="668"/>
      <c r="O51" s="415"/>
      <c r="P51" s="416"/>
      <c r="Q51" s="388"/>
    </row>
    <row r="52" spans="1:17" s="159" customFormat="1" x14ac:dyDescent="0.25">
      <c r="A52" s="678" t="s">
        <v>553</v>
      </c>
      <c r="B52" s="845" t="s">
        <v>1014</v>
      </c>
      <c r="C52" s="838">
        <v>2</v>
      </c>
      <c r="D52" s="839" t="s">
        <v>907</v>
      </c>
      <c r="E52" s="259">
        <v>0</v>
      </c>
      <c r="F52" s="378">
        <f t="shared" si="15"/>
        <v>0</v>
      </c>
      <c r="G52" s="534"/>
      <c r="H52" s="380">
        <v>0</v>
      </c>
      <c r="I52" s="378">
        <f t="shared" si="16"/>
        <v>0</v>
      </c>
      <c r="J52" s="381"/>
      <c r="K52" s="535">
        <f t="shared" si="17"/>
        <v>0</v>
      </c>
      <c r="L52" s="383"/>
      <c r="M52" s="384"/>
      <c r="N52" s="385"/>
      <c r="O52" s="415"/>
      <c r="P52" s="416"/>
      <c r="Q52" s="388"/>
    </row>
    <row r="53" spans="1:17" s="159" customFormat="1" x14ac:dyDescent="0.25">
      <c r="A53" s="158" t="s">
        <v>552</v>
      </c>
      <c r="B53" s="842" t="s">
        <v>1010</v>
      </c>
      <c r="C53" s="838">
        <v>86</v>
      </c>
      <c r="D53" s="839" t="s">
        <v>997</v>
      </c>
      <c r="E53" s="259">
        <v>0</v>
      </c>
      <c r="F53" s="378">
        <f t="shared" ref="F53:F57" si="21">C53*E53</f>
        <v>0</v>
      </c>
      <c r="G53" s="534"/>
      <c r="H53" s="380">
        <v>0</v>
      </c>
      <c r="I53" s="378">
        <f t="shared" ref="I53:I57" si="22">G53*H53</f>
        <v>0</v>
      </c>
      <c r="J53" s="381"/>
      <c r="K53" s="535">
        <f t="shared" ref="K53:K57" si="23">F53+I53+J53</f>
        <v>0</v>
      </c>
      <c r="L53" s="543"/>
      <c r="M53" s="669"/>
      <c r="N53" s="668"/>
      <c r="O53" s="415"/>
      <c r="P53" s="416"/>
      <c r="Q53" s="388"/>
    </row>
    <row r="54" spans="1:17" s="159" customFormat="1" x14ac:dyDescent="0.25">
      <c r="A54" s="158" t="s">
        <v>552</v>
      </c>
      <c r="B54" s="842" t="s">
        <v>1011</v>
      </c>
      <c r="C54" s="838">
        <v>45</v>
      </c>
      <c r="D54" s="839" t="s">
        <v>997</v>
      </c>
      <c r="E54" s="259">
        <v>0</v>
      </c>
      <c r="F54" s="378">
        <f t="shared" ref="F54" si="24">C54*E54</f>
        <v>0</v>
      </c>
      <c r="G54" s="534"/>
      <c r="H54" s="380">
        <v>0</v>
      </c>
      <c r="I54" s="378">
        <f t="shared" ref="I54" si="25">G54*H54</f>
        <v>0</v>
      </c>
      <c r="J54" s="381"/>
      <c r="K54" s="535">
        <f t="shared" ref="K54" si="26">F54+I54+J54</f>
        <v>0</v>
      </c>
      <c r="L54" s="543"/>
      <c r="M54" s="669"/>
      <c r="N54" s="668"/>
      <c r="O54" s="415"/>
      <c r="P54" s="416"/>
      <c r="Q54" s="388"/>
    </row>
    <row r="55" spans="1:17" s="159" customFormat="1" x14ac:dyDescent="0.25">
      <c r="A55" s="158" t="s">
        <v>552</v>
      </c>
      <c r="B55" s="842" t="s">
        <v>1012</v>
      </c>
      <c r="C55" s="838">
        <f>116+63</f>
        <v>179</v>
      </c>
      <c r="D55" s="839" t="s">
        <v>997</v>
      </c>
      <c r="E55" s="259">
        <v>0</v>
      </c>
      <c r="F55" s="378">
        <f t="shared" ref="F55" si="27">C55*E55</f>
        <v>0</v>
      </c>
      <c r="G55" s="534"/>
      <c r="H55" s="380">
        <v>0</v>
      </c>
      <c r="I55" s="378">
        <f t="shared" ref="I55" si="28">G55*H55</f>
        <v>0</v>
      </c>
      <c r="J55" s="381"/>
      <c r="K55" s="535">
        <f t="shared" ref="K55" si="29">F55+I55+J55</f>
        <v>0</v>
      </c>
      <c r="L55" s="543"/>
      <c r="M55" s="669"/>
      <c r="N55" s="668"/>
      <c r="O55" s="415"/>
      <c r="P55" s="416"/>
      <c r="Q55" s="388"/>
    </row>
    <row r="56" spans="1:17" s="159" customFormat="1" x14ac:dyDescent="0.25">
      <c r="A56" s="158" t="s">
        <v>552</v>
      </c>
      <c r="B56" s="842" t="s">
        <v>1013</v>
      </c>
      <c r="C56" s="838">
        <v>10</v>
      </c>
      <c r="D56" s="839" t="s">
        <v>997</v>
      </c>
      <c r="E56" s="259">
        <v>0</v>
      </c>
      <c r="F56" s="378">
        <f t="shared" ref="F56" si="30">C56*E56</f>
        <v>0</v>
      </c>
      <c r="G56" s="534"/>
      <c r="H56" s="380">
        <v>0</v>
      </c>
      <c r="I56" s="378">
        <f t="shared" ref="I56" si="31">G56*H56</f>
        <v>0</v>
      </c>
      <c r="J56" s="381"/>
      <c r="K56" s="535">
        <f t="shared" ref="K56" si="32">F56+I56+J56</f>
        <v>0</v>
      </c>
      <c r="L56" s="543"/>
      <c r="M56" s="669"/>
      <c r="N56" s="668"/>
      <c r="O56" s="415"/>
      <c r="P56" s="416"/>
      <c r="Q56" s="388"/>
    </row>
    <row r="57" spans="1:17" s="159" customFormat="1" x14ac:dyDescent="0.25">
      <c r="A57" s="678" t="s">
        <v>553</v>
      </c>
      <c r="B57" s="845" t="s">
        <v>1015</v>
      </c>
      <c r="C57" s="838">
        <v>2</v>
      </c>
      <c r="D57" s="839" t="s">
        <v>907</v>
      </c>
      <c r="E57" s="259">
        <v>0</v>
      </c>
      <c r="F57" s="378">
        <f t="shared" si="21"/>
        <v>0</v>
      </c>
      <c r="G57" s="534"/>
      <c r="H57" s="380">
        <v>0</v>
      </c>
      <c r="I57" s="378">
        <f t="shared" si="22"/>
        <v>0</v>
      </c>
      <c r="J57" s="381"/>
      <c r="K57" s="535">
        <f t="shared" si="23"/>
        <v>0</v>
      </c>
      <c r="L57" s="383"/>
      <c r="M57" s="384"/>
      <c r="N57" s="385"/>
      <c r="O57" s="415"/>
      <c r="P57" s="416"/>
      <c r="Q57" s="388"/>
    </row>
    <row r="58" spans="1:17" s="159" customFormat="1" x14ac:dyDescent="0.25">
      <c r="A58" s="678" t="s">
        <v>554</v>
      </c>
      <c r="B58" s="157"/>
      <c r="C58" s="376"/>
      <c r="D58" s="377" t="s">
        <v>21</v>
      </c>
      <c r="E58" s="259">
        <v>0</v>
      </c>
      <c r="F58" s="378">
        <f t="shared" si="15"/>
        <v>0</v>
      </c>
      <c r="G58" s="534"/>
      <c r="H58" s="380">
        <v>0</v>
      </c>
      <c r="I58" s="378">
        <f t="shared" si="16"/>
        <v>0</v>
      </c>
      <c r="J58" s="381"/>
      <c r="K58" s="535">
        <f t="shared" si="17"/>
        <v>0</v>
      </c>
      <c r="M58" s="280"/>
      <c r="O58" s="415"/>
      <c r="P58" s="416"/>
      <c r="Q58" s="388"/>
    </row>
    <row r="59" spans="1:17" s="159" customFormat="1" x14ac:dyDescent="0.25">
      <c r="A59" s="158" t="s">
        <v>552</v>
      </c>
      <c r="B59" s="157" t="s">
        <v>541</v>
      </c>
      <c r="C59" s="376"/>
      <c r="D59" s="377" t="s">
        <v>21</v>
      </c>
      <c r="E59" s="259">
        <v>0</v>
      </c>
      <c r="F59" s="378">
        <f t="shared" ref="F59:F61" si="33">C59*E59</f>
        <v>0</v>
      </c>
      <c r="G59" s="534"/>
      <c r="H59" s="380">
        <v>0</v>
      </c>
      <c r="I59" s="378">
        <f t="shared" ref="I59:I61" si="34">G59*H59</f>
        <v>0</v>
      </c>
      <c r="J59" s="381"/>
      <c r="K59" s="535">
        <f t="shared" ref="K59:K61" si="35">F59+I59+J59</f>
        <v>0</v>
      </c>
      <c r="L59" s="543"/>
      <c r="M59" s="669"/>
      <c r="N59" s="668"/>
      <c r="O59" s="415"/>
      <c r="P59" s="416"/>
      <c r="Q59" s="388"/>
    </row>
    <row r="60" spans="1:17" s="159" customFormat="1" x14ac:dyDescent="0.25">
      <c r="A60" s="678" t="s">
        <v>553</v>
      </c>
      <c r="B60" s="268" t="s">
        <v>542</v>
      </c>
      <c r="C60" s="376"/>
      <c r="D60" s="377" t="s">
        <v>21</v>
      </c>
      <c r="E60" s="259">
        <v>0</v>
      </c>
      <c r="F60" s="378">
        <f t="shared" si="33"/>
        <v>0</v>
      </c>
      <c r="G60" s="534"/>
      <c r="H60" s="380">
        <v>0</v>
      </c>
      <c r="I60" s="378">
        <f t="shared" si="34"/>
        <v>0</v>
      </c>
      <c r="J60" s="381"/>
      <c r="K60" s="535">
        <f t="shared" si="35"/>
        <v>0</v>
      </c>
      <c r="L60" s="383"/>
      <c r="M60" s="384"/>
      <c r="N60" s="385"/>
      <c r="O60" s="415"/>
      <c r="P60" s="416"/>
      <c r="Q60" s="388"/>
    </row>
    <row r="61" spans="1:17" s="159" customFormat="1" x14ac:dyDescent="0.25">
      <c r="A61" s="678" t="s">
        <v>554</v>
      </c>
      <c r="B61" s="268" t="s">
        <v>543</v>
      </c>
      <c r="C61" s="376"/>
      <c r="D61" s="377" t="s">
        <v>21</v>
      </c>
      <c r="E61" s="259">
        <v>0</v>
      </c>
      <c r="F61" s="378">
        <f t="shared" si="33"/>
        <v>0</v>
      </c>
      <c r="G61" s="534"/>
      <c r="H61" s="380">
        <v>0</v>
      </c>
      <c r="I61" s="378">
        <f t="shared" si="34"/>
        <v>0</v>
      </c>
      <c r="J61" s="381"/>
      <c r="K61" s="535">
        <f t="shared" si="35"/>
        <v>0</v>
      </c>
      <c r="M61" s="280"/>
      <c r="O61" s="415"/>
      <c r="P61" s="416"/>
      <c r="Q61" s="388"/>
    </row>
    <row r="62" spans="1:17" s="159" customFormat="1" x14ac:dyDescent="0.25">
      <c r="A62" s="678" t="s">
        <v>555</v>
      </c>
      <c r="B62" s="268" t="s">
        <v>544</v>
      </c>
      <c r="C62" s="376"/>
      <c r="D62" s="377" t="s">
        <v>21</v>
      </c>
      <c r="E62" s="259">
        <v>0</v>
      </c>
      <c r="F62" s="378">
        <f t="shared" si="3"/>
        <v>0</v>
      </c>
      <c r="G62" s="534"/>
      <c r="H62" s="380">
        <v>0</v>
      </c>
      <c r="I62" s="378">
        <f t="shared" si="4"/>
        <v>0</v>
      </c>
      <c r="J62" s="381"/>
      <c r="K62" s="535">
        <f t="shared" si="5"/>
        <v>0</v>
      </c>
      <c r="M62" s="280"/>
      <c r="O62" s="415"/>
      <c r="P62" s="416"/>
      <c r="Q62" s="388"/>
    </row>
    <row r="63" spans="1:17" s="159" customFormat="1" x14ac:dyDescent="0.25">
      <c r="A63" s="678" t="s">
        <v>556</v>
      </c>
      <c r="B63" s="268" t="s">
        <v>545</v>
      </c>
      <c r="C63" s="376"/>
      <c r="D63" s="377" t="s">
        <v>21</v>
      </c>
      <c r="E63" s="259">
        <v>0</v>
      </c>
      <c r="F63" s="378">
        <f t="shared" si="3"/>
        <v>0</v>
      </c>
      <c r="G63" s="534"/>
      <c r="H63" s="380">
        <v>0</v>
      </c>
      <c r="I63" s="378">
        <f t="shared" si="4"/>
        <v>0</v>
      </c>
      <c r="J63" s="381"/>
      <c r="K63" s="535">
        <f t="shared" si="5"/>
        <v>0</v>
      </c>
      <c r="L63" s="383"/>
      <c r="M63" s="384"/>
      <c r="N63" s="385"/>
      <c r="O63" s="415"/>
      <c r="P63" s="416"/>
      <c r="Q63" s="388"/>
    </row>
    <row r="64" spans="1:17" s="159" customFormat="1" x14ac:dyDescent="0.25">
      <c r="A64" s="158" t="s">
        <v>557</v>
      </c>
      <c r="B64" s="157" t="s">
        <v>546</v>
      </c>
      <c r="C64" s="376"/>
      <c r="D64" s="377" t="s">
        <v>21</v>
      </c>
      <c r="E64" s="259">
        <v>0</v>
      </c>
      <c r="F64" s="378">
        <f t="shared" si="3"/>
        <v>0</v>
      </c>
      <c r="G64" s="534"/>
      <c r="H64" s="380">
        <v>0</v>
      </c>
      <c r="I64" s="378">
        <f t="shared" si="4"/>
        <v>0</v>
      </c>
      <c r="J64" s="381"/>
      <c r="K64" s="535">
        <f t="shared" si="5"/>
        <v>0</v>
      </c>
      <c r="M64" s="282"/>
      <c r="N64" s="157"/>
      <c r="O64" s="415"/>
      <c r="P64" s="416"/>
      <c r="Q64" s="388"/>
    </row>
    <row r="65" spans="1:27" s="159" customFormat="1" ht="15" x14ac:dyDescent="0.25">
      <c r="A65" s="194" t="s">
        <v>558</v>
      </c>
      <c r="B65" s="196" t="s">
        <v>559</v>
      </c>
      <c r="C65" s="376"/>
      <c r="D65" s="377" t="s">
        <v>21</v>
      </c>
      <c r="E65" s="259">
        <v>0</v>
      </c>
      <c r="F65" s="378">
        <f t="shared" si="3"/>
        <v>0</v>
      </c>
      <c r="G65" s="534"/>
      <c r="H65" s="380">
        <v>0</v>
      </c>
      <c r="I65" s="378">
        <f t="shared" si="4"/>
        <v>0</v>
      </c>
      <c r="J65" s="381"/>
      <c r="K65" s="535">
        <f t="shared" si="5"/>
        <v>0</v>
      </c>
      <c r="M65" s="282"/>
      <c r="N65" s="157"/>
      <c r="O65" s="386"/>
      <c r="P65" s="387"/>
      <c r="Q65" s="388"/>
    </row>
    <row r="66" spans="1:27" s="159" customFormat="1" x14ac:dyDescent="0.25">
      <c r="B66" s="157"/>
      <c r="C66" s="376"/>
      <c r="D66" s="377" t="s">
        <v>21</v>
      </c>
      <c r="E66" s="259">
        <v>0</v>
      </c>
      <c r="F66" s="378">
        <f t="shared" si="3"/>
        <v>0</v>
      </c>
      <c r="G66" s="534"/>
      <c r="H66" s="380">
        <v>0</v>
      </c>
      <c r="I66" s="378">
        <f t="shared" si="4"/>
        <v>0</v>
      </c>
      <c r="J66" s="381"/>
      <c r="K66" s="535">
        <f t="shared" si="5"/>
        <v>0</v>
      </c>
      <c r="M66" s="280"/>
      <c r="O66" s="386"/>
      <c r="P66" s="387"/>
      <c r="Q66" s="388"/>
    </row>
    <row r="67" spans="1:27" s="159" customFormat="1" x14ac:dyDescent="0.25">
      <c r="C67" s="376"/>
      <c r="D67" s="377" t="s">
        <v>21</v>
      </c>
      <c r="E67" s="259">
        <v>0</v>
      </c>
      <c r="F67" s="378">
        <f t="shared" si="3"/>
        <v>0</v>
      </c>
      <c r="G67" s="534"/>
      <c r="H67" s="380">
        <v>0</v>
      </c>
      <c r="I67" s="378">
        <f t="shared" si="4"/>
        <v>0</v>
      </c>
      <c r="J67" s="381"/>
      <c r="K67" s="535">
        <f t="shared" si="5"/>
        <v>0</v>
      </c>
      <c r="M67" s="280"/>
      <c r="O67" s="386"/>
      <c r="P67" s="416"/>
      <c r="Q67" s="388"/>
    </row>
    <row r="68" spans="1:27" s="159" customFormat="1" ht="13.8" thickBot="1" x14ac:dyDescent="0.3">
      <c r="A68" s="375"/>
      <c r="B68" s="5"/>
      <c r="C68" s="393"/>
      <c r="D68" s="377"/>
      <c r="E68" s="259"/>
      <c r="F68" s="378"/>
      <c r="G68" s="534"/>
      <c r="H68" s="380"/>
      <c r="I68" s="378"/>
      <c r="J68" s="381"/>
      <c r="K68" s="540"/>
      <c r="L68" s="383"/>
      <c r="M68" s="261"/>
      <c r="N68" s="426"/>
      <c r="O68" s="386"/>
      <c r="P68" s="387"/>
      <c r="Q68" s="388"/>
    </row>
    <row r="69" spans="1:27" s="159" customFormat="1" ht="13.8" thickTop="1" x14ac:dyDescent="0.25">
      <c r="A69" s="392"/>
      <c r="B69" s="5"/>
      <c r="C69" s="393"/>
      <c r="D69" s="377"/>
      <c r="E69" s="259"/>
      <c r="F69" s="378"/>
      <c r="G69" s="534"/>
      <c r="H69" s="380"/>
      <c r="I69" s="378"/>
      <c r="J69" s="394" t="s">
        <v>30</v>
      </c>
      <c r="K69" s="537">
        <f>SUM(K29:K68)</f>
        <v>279224.83</v>
      </c>
      <c r="L69" s="541"/>
      <c r="M69" s="578"/>
      <c r="N69" s="542"/>
      <c r="O69" s="386"/>
      <c r="P69" s="387"/>
      <c r="Q69" s="388"/>
    </row>
    <row r="70" spans="1:27" s="159" customFormat="1" ht="13.8" thickBot="1" x14ac:dyDescent="0.3">
      <c r="A70" s="358" t="s">
        <v>0</v>
      </c>
      <c r="B70" s="359" t="s">
        <v>1</v>
      </c>
      <c r="C70" s="1018" t="s">
        <v>656</v>
      </c>
      <c r="D70" s="1018"/>
      <c r="E70" s="1018"/>
      <c r="F70" s="1018"/>
      <c r="G70" s="1018" t="s">
        <v>34</v>
      </c>
      <c r="H70" s="1018"/>
      <c r="I70" s="1018"/>
      <c r="J70" s="360"/>
      <c r="K70" s="528"/>
      <c r="L70" s="396"/>
      <c r="M70" s="397"/>
      <c r="N70" s="398"/>
      <c r="O70" s="386"/>
      <c r="P70" s="387"/>
      <c r="Q70" s="388"/>
    </row>
    <row r="71" spans="1:27" s="159" customFormat="1" ht="16.2" thickBot="1" x14ac:dyDescent="0.35">
      <c r="A71" s="808" t="s">
        <v>561</v>
      </c>
      <c r="B71" s="808" t="s">
        <v>560</v>
      </c>
      <c r="C71" s="401" t="s">
        <v>19</v>
      </c>
      <c r="D71" s="402" t="s">
        <v>33</v>
      </c>
      <c r="E71" s="403" t="s">
        <v>35</v>
      </c>
      <c r="F71" s="404" t="s">
        <v>30</v>
      </c>
      <c r="G71" s="538" t="s">
        <v>14</v>
      </c>
      <c r="H71" s="403" t="s">
        <v>35</v>
      </c>
      <c r="I71" s="404" t="s">
        <v>30</v>
      </c>
      <c r="J71" s="369" t="s">
        <v>659</v>
      </c>
      <c r="K71" s="539" t="s">
        <v>38</v>
      </c>
      <c r="L71" s="407"/>
      <c r="M71" s="413"/>
      <c r="N71" s="414"/>
      <c r="O71" s="386"/>
      <c r="P71" s="387"/>
      <c r="Q71" s="388"/>
      <c r="Z71" s="196"/>
      <c r="AA71" s="196"/>
    </row>
    <row r="72" spans="1:27" s="159" customFormat="1" ht="15" x14ac:dyDescent="0.25">
      <c r="A72" s="410"/>
      <c r="B72" s="411"/>
      <c r="C72" s="376"/>
      <c r="D72" s="377" t="s">
        <v>21</v>
      </c>
      <c r="E72" s="259">
        <v>0</v>
      </c>
      <c r="F72" s="378">
        <f>C72*E72</f>
        <v>0</v>
      </c>
      <c r="G72" s="534"/>
      <c r="H72" s="380">
        <v>0</v>
      </c>
      <c r="I72" s="378">
        <f>G72*H72</f>
        <v>0</v>
      </c>
      <c r="J72" s="381"/>
      <c r="K72" s="535">
        <f>F72+I72+J72</f>
        <v>0</v>
      </c>
      <c r="L72" s="383"/>
      <c r="M72" s="261"/>
      <c r="N72" s="426"/>
      <c r="O72" s="386"/>
      <c r="P72" s="387"/>
      <c r="Q72" s="388"/>
      <c r="Z72" s="196"/>
      <c r="AA72" s="196"/>
    </row>
    <row r="73" spans="1:27" s="159" customFormat="1" x14ac:dyDescent="0.25">
      <c r="A73" s="375"/>
      <c r="B73" s="5"/>
      <c r="C73" s="376"/>
      <c r="D73" s="377" t="s">
        <v>21</v>
      </c>
      <c r="E73" s="259">
        <v>0</v>
      </c>
      <c r="F73" s="378">
        <f>C73*E73</f>
        <v>0</v>
      </c>
      <c r="G73" s="534"/>
      <c r="H73" s="380">
        <v>0</v>
      </c>
      <c r="I73" s="378">
        <f>G73*H73</f>
        <v>0</v>
      </c>
      <c r="J73" s="381"/>
      <c r="K73" s="535">
        <f>F73+I73+J73</f>
        <v>0</v>
      </c>
      <c r="L73" s="383"/>
      <c r="M73" s="261"/>
      <c r="N73" s="385"/>
      <c r="O73" s="386"/>
      <c r="P73" s="387"/>
      <c r="Q73" s="388"/>
    </row>
    <row r="74" spans="1:27" s="159" customFormat="1" x14ac:dyDescent="0.25">
      <c r="A74" s="375"/>
      <c r="B74" s="5"/>
      <c r="C74" s="376"/>
      <c r="D74" s="377" t="s">
        <v>21</v>
      </c>
      <c r="E74" s="259">
        <v>0</v>
      </c>
      <c r="F74" s="378">
        <f>C74*E74</f>
        <v>0</v>
      </c>
      <c r="G74" s="534"/>
      <c r="H74" s="380">
        <v>0</v>
      </c>
      <c r="I74" s="378">
        <f>G74*H74</f>
        <v>0</v>
      </c>
      <c r="J74" s="381"/>
      <c r="K74" s="535">
        <f>F74+I74+J74</f>
        <v>0</v>
      </c>
      <c r="L74" s="157"/>
      <c r="M74" s="474"/>
      <c r="N74" s="157"/>
      <c r="O74" s="441"/>
      <c r="P74" s="442"/>
      <c r="Q74" s="388"/>
    </row>
    <row r="75" spans="1:27" s="159" customFormat="1" x14ac:dyDescent="0.25">
      <c r="A75" s="392"/>
      <c r="B75" s="417"/>
      <c r="C75" s="393"/>
      <c r="D75" s="377"/>
      <c r="E75" s="259"/>
      <c r="F75" s="378"/>
      <c r="G75" s="534"/>
      <c r="H75" s="380"/>
      <c r="I75" s="378"/>
      <c r="J75" s="381"/>
      <c r="K75" s="540"/>
      <c r="M75" s="280"/>
      <c r="O75" s="441"/>
      <c r="P75" s="442"/>
      <c r="Q75" s="388"/>
    </row>
    <row r="76" spans="1:27" s="159" customFormat="1" ht="13.8" thickBot="1" x14ac:dyDescent="0.3">
      <c r="A76" s="392"/>
      <c r="B76" s="417"/>
      <c r="C76" s="393"/>
      <c r="D76" s="377"/>
      <c r="E76" s="259"/>
      <c r="F76" s="378"/>
      <c r="G76" s="534"/>
      <c r="H76" s="380"/>
      <c r="I76" s="378"/>
      <c r="J76" s="381"/>
      <c r="K76" s="540"/>
      <c r="M76" s="280"/>
      <c r="O76" s="415"/>
      <c r="P76" s="416"/>
      <c r="Q76" s="388"/>
    </row>
    <row r="77" spans="1:27" s="159" customFormat="1" ht="13.8" thickTop="1" x14ac:dyDescent="0.25">
      <c r="A77" s="392"/>
      <c r="B77" s="417"/>
      <c r="C77" s="393"/>
      <c r="D77" s="377"/>
      <c r="E77" s="259"/>
      <c r="F77" s="378"/>
      <c r="G77" s="534"/>
      <c r="H77" s="380"/>
      <c r="I77" s="378"/>
      <c r="J77" s="394" t="s">
        <v>30</v>
      </c>
      <c r="K77" s="537">
        <f>SUM(K72:K76)</f>
        <v>0</v>
      </c>
      <c r="M77" s="280"/>
      <c r="O77" s="386"/>
      <c r="P77" s="387"/>
      <c r="Q77" s="388"/>
    </row>
    <row r="78" spans="1:27" s="159" customFormat="1" ht="13.8" thickBot="1" x14ac:dyDescent="0.3">
      <c r="A78" s="358" t="s">
        <v>0</v>
      </c>
      <c r="B78" s="359" t="s">
        <v>1</v>
      </c>
      <c r="C78" s="1018" t="s">
        <v>656</v>
      </c>
      <c r="D78" s="1018"/>
      <c r="E78" s="1018"/>
      <c r="F78" s="1018"/>
      <c r="G78" s="1018" t="s">
        <v>34</v>
      </c>
      <c r="H78" s="1018"/>
      <c r="I78" s="1018"/>
      <c r="J78" s="360"/>
      <c r="K78" s="528"/>
      <c r="L78" s="396"/>
      <c r="M78" s="397"/>
      <c r="N78" s="398"/>
      <c r="O78" s="386"/>
      <c r="P78" s="387"/>
      <c r="Q78" s="388"/>
    </row>
    <row r="79" spans="1:27" s="159" customFormat="1" ht="16.2" thickBot="1" x14ac:dyDescent="0.35">
      <c r="A79" s="808" t="s">
        <v>562</v>
      </c>
      <c r="B79" s="808" t="s">
        <v>563</v>
      </c>
      <c r="C79" s="401" t="s">
        <v>19</v>
      </c>
      <c r="D79" s="402" t="s">
        <v>33</v>
      </c>
      <c r="E79" s="403" t="s">
        <v>35</v>
      </c>
      <c r="F79" s="404" t="s">
        <v>30</v>
      </c>
      <c r="G79" s="538" t="s">
        <v>14</v>
      </c>
      <c r="H79" s="403" t="s">
        <v>35</v>
      </c>
      <c r="I79" s="404" t="s">
        <v>30</v>
      </c>
      <c r="J79" s="369" t="s">
        <v>659</v>
      </c>
      <c r="K79" s="539" t="s">
        <v>38</v>
      </c>
      <c r="L79" s="407"/>
      <c r="M79" s="413"/>
      <c r="N79" s="414"/>
      <c r="O79" s="386"/>
      <c r="P79" s="387"/>
      <c r="Q79" s="388"/>
    </row>
    <row r="80" spans="1:27" s="159" customFormat="1" x14ac:dyDescent="0.25">
      <c r="A80" s="410"/>
      <c r="B80" s="411"/>
      <c r="C80" s="376"/>
      <c r="D80" s="377" t="s">
        <v>21</v>
      </c>
      <c r="E80" s="259">
        <v>0</v>
      </c>
      <c r="F80" s="378">
        <f>C80*E80</f>
        <v>0</v>
      </c>
      <c r="G80" s="534"/>
      <c r="H80" s="380">
        <v>0</v>
      </c>
      <c r="I80" s="378">
        <f>G80*H80</f>
        <v>0</v>
      </c>
      <c r="J80" s="381"/>
      <c r="K80" s="535">
        <f>F80+I80+J80</f>
        <v>0</v>
      </c>
      <c r="L80" s="383"/>
      <c r="M80" s="261"/>
      <c r="N80" s="385"/>
      <c r="O80" s="386"/>
      <c r="P80" s="387"/>
      <c r="Q80" s="388"/>
    </row>
    <row r="81" spans="1:17" s="159" customFormat="1" x14ac:dyDescent="0.25">
      <c r="A81" s="375"/>
      <c r="B81" s="5"/>
      <c r="C81" s="376"/>
      <c r="D81" s="377" t="s">
        <v>21</v>
      </c>
      <c r="E81" s="259">
        <v>0</v>
      </c>
      <c r="F81" s="378">
        <f>C81*E81</f>
        <v>0</v>
      </c>
      <c r="G81" s="534"/>
      <c r="H81" s="380">
        <v>0</v>
      </c>
      <c r="I81" s="378">
        <f>G81*H81</f>
        <v>0</v>
      </c>
      <c r="J81" s="381"/>
      <c r="K81" s="535">
        <f>F81+I81+J81</f>
        <v>0</v>
      </c>
      <c r="M81" s="280"/>
      <c r="O81" s="386"/>
      <c r="P81" s="387"/>
      <c r="Q81" s="388"/>
    </row>
    <row r="82" spans="1:17" s="159" customFormat="1" x14ac:dyDescent="0.25">
      <c r="A82" s="375"/>
      <c r="B82" s="5"/>
      <c r="C82" s="376"/>
      <c r="D82" s="377" t="s">
        <v>21</v>
      </c>
      <c r="E82" s="259">
        <v>0</v>
      </c>
      <c r="F82" s="378">
        <f>C82*E82</f>
        <v>0</v>
      </c>
      <c r="G82" s="534"/>
      <c r="H82" s="380">
        <v>0</v>
      </c>
      <c r="I82" s="378">
        <f>G82*H82</f>
        <v>0</v>
      </c>
      <c r="J82" s="381"/>
      <c r="K82" s="535">
        <f>F82+I82+J82</f>
        <v>0</v>
      </c>
      <c r="M82" s="280"/>
      <c r="O82" s="386"/>
      <c r="P82" s="387"/>
      <c r="Q82" s="388"/>
    </row>
    <row r="83" spans="1:17" s="159" customFormat="1" x14ac:dyDescent="0.25">
      <c r="A83" s="375"/>
      <c r="B83" s="5"/>
      <c r="C83" s="376"/>
      <c r="D83" s="377" t="s">
        <v>21</v>
      </c>
      <c r="E83" s="259">
        <v>0</v>
      </c>
      <c r="F83" s="378">
        <f>C83*E83</f>
        <v>0</v>
      </c>
      <c r="G83" s="534"/>
      <c r="H83" s="380">
        <v>0</v>
      </c>
      <c r="I83" s="378">
        <f>G83*H83</f>
        <v>0</v>
      </c>
      <c r="J83" s="381"/>
      <c r="K83" s="535">
        <f>F83+I83+J83</f>
        <v>0</v>
      </c>
      <c r="L83" s="383"/>
      <c r="M83" s="261"/>
      <c r="N83" s="426"/>
      <c r="O83" s="386"/>
      <c r="P83" s="387"/>
      <c r="Q83" s="388"/>
    </row>
    <row r="84" spans="1:17" s="159" customFormat="1" x14ac:dyDescent="0.25">
      <c r="A84" s="375"/>
      <c r="B84" s="5"/>
      <c r="C84" s="376"/>
      <c r="D84" s="377" t="s">
        <v>21</v>
      </c>
      <c r="E84" s="259">
        <v>0</v>
      </c>
      <c r="F84" s="378">
        <f>C84*E84</f>
        <v>0</v>
      </c>
      <c r="G84" s="534"/>
      <c r="H84" s="380">
        <v>0</v>
      </c>
      <c r="I84" s="378">
        <f>G84*H84</f>
        <v>0</v>
      </c>
      <c r="J84" s="381"/>
      <c r="K84" s="535">
        <f>F84+I84+J84</f>
        <v>0</v>
      </c>
      <c r="M84" s="282"/>
      <c r="N84" s="157"/>
      <c r="O84" s="386"/>
      <c r="P84" s="387"/>
      <c r="Q84" s="388"/>
    </row>
    <row r="85" spans="1:17" s="159" customFormat="1" ht="13.8" thickBot="1" x14ac:dyDescent="0.3">
      <c r="A85" s="392"/>
      <c r="B85" s="417"/>
      <c r="C85" s="393"/>
      <c r="D85" s="377"/>
      <c r="E85" s="259"/>
      <c r="F85" s="378"/>
      <c r="G85" s="534"/>
      <c r="H85" s="380"/>
      <c r="I85" s="378"/>
      <c r="J85" s="381"/>
      <c r="K85" s="540"/>
      <c r="M85" s="282"/>
      <c r="N85" s="157"/>
      <c r="O85" s="386"/>
      <c r="P85" s="387"/>
      <c r="Q85" s="388"/>
    </row>
    <row r="86" spans="1:17" s="159" customFormat="1" ht="14.4" thickTop="1" thickBot="1" x14ac:dyDescent="0.3">
      <c r="A86" s="392"/>
      <c r="B86" s="417"/>
      <c r="C86" s="393"/>
      <c r="D86" s="377"/>
      <c r="E86" s="259"/>
      <c r="F86" s="378"/>
      <c r="G86" s="534"/>
      <c r="H86" s="380"/>
      <c r="I86" s="378"/>
      <c r="J86" s="394" t="s">
        <v>30</v>
      </c>
      <c r="K86" s="537">
        <f>SUM(K80:K85)</f>
        <v>0</v>
      </c>
      <c r="M86" s="280"/>
      <c r="O86" s="386"/>
      <c r="P86" s="387"/>
      <c r="Q86" s="388"/>
    </row>
    <row r="87" spans="1:17" s="159" customFormat="1" ht="14.1" customHeight="1" x14ac:dyDescent="0.25">
      <c r="A87" s="483"/>
      <c r="B87" s="484"/>
      <c r="C87" s="485"/>
      <c r="D87" s="485"/>
      <c r="E87" s="486"/>
      <c r="F87" s="1048" t="s">
        <v>658</v>
      </c>
      <c r="G87" s="1071" t="s">
        <v>684</v>
      </c>
      <c r="H87" s="486"/>
      <c r="I87" s="1041" t="s">
        <v>657</v>
      </c>
      <c r="J87" s="1037" t="s">
        <v>685</v>
      </c>
      <c r="K87" s="1035" t="s">
        <v>31</v>
      </c>
      <c r="M87" s="282"/>
      <c r="N87" s="157"/>
      <c r="O87" s="308"/>
      <c r="P87" s="308"/>
    </row>
    <row r="88" spans="1:17" s="159" customFormat="1" ht="13.8" x14ac:dyDescent="0.25">
      <c r="A88" s="487" t="s">
        <v>32</v>
      </c>
      <c r="B88" s="1043" t="s">
        <v>671</v>
      </c>
      <c r="C88" s="488"/>
      <c r="D88" s="489"/>
      <c r="E88" s="489"/>
      <c r="F88" s="1049"/>
      <c r="G88" s="1072"/>
      <c r="H88" s="490"/>
      <c r="I88" s="1042"/>
      <c r="J88" s="1038"/>
      <c r="K88" s="1036"/>
      <c r="M88" s="282"/>
      <c r="N88" s="157"/>
      <c r="O88" s="308"/>
      <c r="P88" s="308"/>
    </row>
    <row r="89" spans="1:17" s="159" customFormat="1" ht="13.8" x14ac:dyDescent="0.25">
      <c r="A89" s="829">
        <f>K89/E6</f>
        <v>45.109019386106624</v>
      </c>
      <c r="B89" s="1043"/>
      <c r="C89" s="489"/>
      <c r="D89" s="489"/>
      <c r="E89" s="489"/>
      <c r="F89" s="1031">
        <f>SUM(F13:F24,F80:F85,F72:F76,F29:F68)</f>
        <v>0</v>
      </c>
      <c r="G89" s="1212">
        <f>SUM(G13:G24,G80:G85,G72:G76,G29:G68)</f>
        <v>0</v>
      </c>
      <c r="H89" s="490"/>
      <c r="I89" s="1031">
        <f>SUM(I13:I24,I80:I85,I72:I76,I29:I68)</f>
        <v>0</v>
      </c>
      <c r="J89" s="1031">
        <f>SUM(J13:J24,J80:J85,J72:J76,J29:J68)</f>
        <v>279224.83</v>
      </c>
      <c r="K89" s="1033">
        <f>SUM(K86,K77,K69,K26)</f>
        <v>279224.83</v>
      </c>
      <c r="M89" s="282"/>
      <c r="N89" s="157"/>
      <c r="O89" s="308"/>
      <c r="P89" s="308"/>
    </row>
    <row r="90" spans="1:17" s="159" customFormat="1" ht="14.4" thickBot="1" x14ac:dyDescent="0.3">
      <c r="A90" s="487"/>
      <c r="B90" s="555"/>
      <c r="C90" s="493"/>
      <c r="D90" s="493"/>
      <c r="E90" s="493"/>
      <c r="F90" s="1032"/>
      <c r="G90" s="1077"/>
      <c r="H90" s="493"/>
      <c r="I90" s="1032"/>
      <c r="J90" s="1032"/>
      <c r="K90" s="1034"/>
      <c r="M90" s="282"/>
      <c r="N90" s="157"/>
      <c r="O90" s="308"/>
      <c r="P90" s="308"/>
    </row>
    <row r="91" spans="1:17" s="159" customFormat="1" ht="13.8" thickBot="1" x14ac:dyDescent="0.3">
      <c r="A91" s="494"/>
      <c r="B91" s="495"/>
      <c r="C91" s="495"/>
      <c r="D91" s="495"/>
      <c r="E91" s="495"/>
      <c r="F91" s="495"/>
      <c r="G91" s="495"/>
      <c r="H91" s="495"/>
      <c r="I91" s="495"/>
      <c r="J91" s="495"/>
      <c r="K91" s="496"/>
      <c r="M91" s="282"/>
      <c r="N91" s="157"/>
      <c r="O91" s="308"/>
      <c r="P91" s="308"/>
    </row>
    <row r="92" spans="1:17" s="159" customFormat="1" x14ac:dyDescent="0.25">
      <c r="C92" s="658"/>
      <c r="D92" s="658"/>
      <c r="J92" s="280"/>
      <c r="M92" s="282"/>
      <c r="N92" s="157"/>
      <c r="O92" s="308"/>
      <c r="P92" s="308"/>
    </row>
    <row r="93" spans="1:17" s="159" customFormat="1" x14ac:dyDescent="0.25">
      <c r="C93" s="658"/>
      <c r="D93" s="658"/>
      <c r="J93" s="280"/>
      <c r="M93" s="282"/>
      <c r="N93" s="157"/>
      <c r="O93" s="308"/>
      <c r="P93" s="308"/>
    </row>
    <row r="94" spans="1:17" s="159" customFormat="1" x14ac:dyDescent="0.25">
      <c r="C94" s="658"/>
      <c r="D94" s="658"/>
      <c r="J94" s="280"/>
      <c r="M94" s="282"/>
      <c r="N94" s="157"/>
      <c r="O94" s="308"/>
      <c r="P94" s="308"/>
    </row>
    <row r="95" spans="1:17" s="159" customFormat="1" x14ac:dyDescent="0.25">
      <c r="C95" s="658"/>
      <c r="D95" s="658"/>
      <c r="J95" s="280"/>
      <c r="M95" s="282"/>
      <c r="N95" s="157"/>
      <c r="O95" s="308"/>
      <c r="P95" s="308"/>
    </row>
    <row r="96" spans="1:17" s="159" customFormat="1" x14ac:dyDescent="0.25">
      <c r="C96" s="658"/>
      <c r="D96" s="658"/>
      <c r="J96" s="280"/>
      <c r="M96" s="282"/>
      <c r="N96" s="157"/>
      <c r="O96" s="308"/>
      <c r="P96" s="308"/>
    </row>
    <row r="97" spans="3:16" s="159" customFormat="1" x14ac:dyDescent="0.25">
      <c r="C97" s="658"/>
      <c r="D97" s="658"/>
      <c r="J97" s="280"/>
      <c r="M97" s="282"/>
      <c r="N97" s="157"/>
      <c r="O97" s="308"/>
      <c r="P97" s="308"/>
    </row>
    <row r="98" spans="3:16" s="159" customFormat="1" x14ac:dyDescent="0.25">
      <c r="C98" s="658"/>
      <c r="D98" s="658"/>
      <c r="J98" s="280"/>
      <c r="M98" s="282"/>
      <c r="N98" s="157"/>
      <c r="O98" s="308"/>
      <c r="P98" s="308"/>
    </row>
    <row r="99" spans="3:16" s="159" customFormat="1" x14ac:dyDescent="0.25">
      <c r="C99" s="658"/>
      <c r="D99" s="658"/>
      <c r="J99" s="280"/>
      <c r="M99" s="282"/>
      <c r="N99" s="157"/>
      <c r="O99" s="308"/>
      <c r="P99" s="308"/>
    </row>
    <row r="100" spans="3:16" s="159" customFormat="1" x14ac:dyDescent="0.25">
      <c r="C100" s="658"/>
      <c r="D100" s="658"/>
      <c r="J100" s="280"/>
      <c r="M100" s="282"/>
      <c r="N100" s="157"/>
      <c r="O100" s="308"/>
      <c r="P100" s="308"/>
    </row>
    <row r="101" spans="3:16" s="159" customFormat="1" x14ac:dyDescent="0.25">
      <c r="C101" s="658"/>
      <c r="D101" s="658"/>
      <c r="J101" s="280"/>
      <c r="M101" s="282"/>
      <c r="N101" s="157"/>
      <c r="O101" s="308"/>
      <c r="P101" s="308"/>
    </row>
    <row r="102" spans="3:16" s="159" customFormat="1" x14ac:dyDescent="0.25">
      <c r="C102" s="658"/>
      <c r="D102" s="658"/>
      <c r="J102" s="280"/>
      <c r="M102" s="282"/>
      <c r="N102" s="157"/>
      <c r="O102" s="308"/>
      <c r="P102" s="308"/>
    </row>
    <row r="103" spans="3:16" s="159" customFormat="1" x14ac:dyDescent="0.25">
      <c r="C103" s="658"/>
      <c r="D103" s="658"/>
      <c r="J103" s="280"/>
      <c r="M103" s="282"/>
      <c r="N103" s="157"/>
      <c r="O103" s="308"/>
      <c r="P103" s="308"/>
    </row>
    <row r="104" spans="3:16" s="159" customFormat="1" x14ac:dyDescent="0.25">
      <c r="C104" s="658"/>
      <c r="D104" s="658"/>
      <c r="J104" s="280"/>
      <c r="M104" s="282"/>
      <c r="N104" s="157"/>
      <c r="O104" s="308"/>
      <c r="P104" s="308"/>
    </row>
    <row r="105" spans="3:16" s="159" customFormat="1" x14ac:dyDescent="0.25">
      <c r="C105" s="658"/>
      <c r="D105" s="658"/>
      <c r="J105" s="280"/>
      <c r="M105" s="282"/>
      <c r="N105" s="157"/>
      <c r="O105" s="308"/>
      <c r="P105" s="308"/>
    </row>
    <row r="106" spans="3:16" s="159" customFormat="1" x14ac:dyDescent="0.25">
      <c r="C106" s="658"/>
      <c r="D106" s="658"/>
      <c r="J106" s="280"/>
      <c r="M106" s="282"/>
      <c r="N106" s="157"/>
      <c r="O106" s="308"/>
      <c r="P106" s="308"/>
    </row>
    <row r="107" spans="3:16" s="159" customFormat="1" x14ac:dyDescent="0.25">
      <c r="C107" s="658"/>
      <c r="D107" s="658"/>
      <c r="J107" s="280"/>
      <c r="M107" s="282"/>
      <c r="N107" s="157"/>
      <c r="O107" s="308"/>
      <c r="P107" s="308"/>
    </row>
    <row r="108" spans="3:16" s="159" customFormat="1" x14ac:dyDescent="0.25">
      <c r="C108" s="658"/>
      <c r="D108" s="658"/>
      <c r="J108" s="280"/>
      <c r="M108" s="282"/>
      <c r="N108" s="157"/>
      <c r="O108" s="308"/>
      <c r="P108" s="308"/>
    </row>
    <row r="109" spans="3:16" s="159" customFormat="1" x14ac:dyDescent="0.25">
      <c r="C109" s="658"/>
      <c r="D109" s="658"/>
      <c r="J109" s="280"/>
      <c r="M109" s="282"/>
      <c r="N109" s="157"/>
      <c r="O109" s="308"/>
      <c r="P109" s="308"/>
    </row>
    <row r="110" spans="3:16" s="159" customFormat="1" x14ac:dyDescent="0.25">
      <c r="C110" s="658"/>
      <c r="D110" s="658"/>
      <c r="J110" s="280"/>
      <c r="M110" s="282"/>
      <c r="N110" s="157"/>
      <c r="O110" s="308"/>
      <c r="P110" s="308"/>
    </row>
    <row r="111" spans="3:16" s="159" customFormat="1" x14ac:dyDescent="0.25">
      <c r="C111" s="658"/>
      <c r="D111" s="658"/>
      <c r="J111" s="280"/>
      <c r="M111" s="282"/>
      <c r="N111" s="157"/>
      <c r="O111" s="308"/>
      <c r="P111" s="308"/>
    </row>
    <row r="112" spans="3:16" s="159" customFormat="1" x14ac:dyDescent="0.25">
      <c r="C112" s="658"/>
      <c r="D112" s="658"/>
      <c r="J112" s="280"/>
      <c r="M112" s="282"/>
      <c r="N112" s="157"/>
      <c r="O112" s="308"/>
      <c r="P112" s="308"/>
    </row>
    <row r="113" spans="3:16" s="159" customFormat="1" x14ac:dyDescent="0.25">
      <c r="C113" s="658"/>
      <c r="D113" s="658"/>
      <c r="J113" s="280"/>
      <c r="M113" s="282"/>
      <c r="N113" s="157"/>
      <c r="O113" s="308"/>
      <c r="P113" s="308"/>
    </row>
    <row r="114" spans="3:16" s="159" customFormat="1" x14ac:dyDescent="0.25">
      <c r="C114" s="658"/>
      <c r="D114" s="658"/>
      <c r="J114" s="280"/>
      <c r="M114" s="282"/>
      <c r="N114" s="157"/>
      <c r="O114" s="308"/>
      <c r="P114" s="308"/>
    </row>
    <row r="115" spans="3:16" s="159" customFormat="1" x14ac:dyDescent="0.25">
      <c r="C115" s="658"/>
      <c r="D115" s="658"/>
      <c r="J115" s="280"/>
      <c r="M115" s="282"/>
      <c r="N115" s="157"/>
      <c r="O115" s="308"/>
      <c r="P115" s="308"/>
    </row>
    <row r="116" spans="3:16" s="159" customFormat="1" x14ac:dyDescent="0.25">
      <c r="C116" s="658"/>
      <c r="D116" s="658"/>
      <c r="J116" s="280"/>
      <c r="M116" s="282"/>
      <c r="N116" s="157"/>
      <c r="O116" s="308"/>
      <c r="P116" s="308"/>
    </row>
    <row r="117" spans="3:16" s="159" customFormat="1" x14ac:dyDescent="0.25">
      <c r="C117" s="658"/>
      <c r="D117" s="658"/>
      <c r="J117" s="280"/>
      <c r="M117" s="282"/>
      <c r="N117" s="157"/>
      <c r="O117" s="308"/>
      <c r="P117" s="308"/>
    </row>
    <row r="118" spans="3:16" s="159" customFormat="1" x14ac:dyDescent="0.25">
      <c r="C118" s="658"/>
      <c r="D118" s="658"/>
      <c r="J118" s="280"/>
      <c r="M118" s="282"/>
      <c r="N118" s="157"/>
      <c r="O118" s="308"/>
      <c r="P118" s="308"/>
    </row>
    <row r="119" spans="3:16" s="159" customFormat="1" x14ac:dyDescent="0.25">
      <c r="C119" s="658"/>
      <c r="D119" s="658"/>
      <c r="J119" s="280"/>
      <c r="M119" s="282"/>
      <c r="N119" s="157"/>
      <c r="O119" s="308"/>
      <c r="P119" s="308"/>
    </row>
    <row r="120" spans="3:16" s="159" customFormat="1" x14ac:dyDescent="0.25">
      <c r="C120" s="658"/>
      <c r="D120" s="658"/>
      <c r="J120" s="280"/>
      <c r="M120" s="282"/>
      <c r="N120" s="157"/>
      <c r="O120" s="308"/>
      <c r="P120" s="308"/>
    </row>
    <row r="121" spans="3:16" s="159" customFormat="1" x14ac:dyDescent="0.25">
      <c r="C121" s="658"/>
      <c r="D121" s="658"/>
      <c r="J121" s="280"/>
      <c r="M121" s="282"/>
      <c r="N121" s="157"/>
      <c r="O121" s="308"/>
      <c r="P121" s="308"/>
    </row>
    <row r="122" spans="3:16" s="159" customFormat="1" x14ac:dyDescent="0.25">
      <c r="C122" s="658"/>
      <c r="D122" s="658"/>
      <c r="J122" s="280"/>
      <c r="M122" s="282"/>
      <c r="N122" s="157"/>
      <c r="O122" s="308"/>
      <c r="P122" s="308"/>
    </row>
    <row r="123" spans="3:16" s="159" customFormat="1" x14ac:dyDescent="0.25">
      <c r="C123" s="658"/>
      <c r="D123" s="658"/>
      <c r="J123" s="280"/>
      <c r="M123" s="282"/>
      <c r="N123" s="157"/>
      <c r="O123" s="308"/>
      <c r="P123" s="308"/>
    </row>
    <row r="124" spans="3:16" s="159" customFormat="1" x14ac:dyDescent="0.25">
      <c r="C124" s="658"/>
      <c r="D124" s="658"/>
      <c r="J124" s="280"/>
      <c r="M124" s="282"/>
      <c r="N124" s="157"/>
      <c r="O124" s="308"/>
      <c r="P124" s="308"/>
    </row>
    <row r="125" spans="3:16" s="159" customFormat="1" x14ac:dyDescent="0.25">
      <c r="C125" s="658"/>
      <c r="D125" s="658"/>
      <c r="J125" s="280"/>
      <c r="M125" s="282"/>
      <c r="N125" s="157"/>
      <c r="O125" s="308"/>
      <c r="P125" s="308"/>
    </row>
    <row r="126" spans="3:16" s="159" customFormat="1" x14ac:dyDescent="0.25">
      <c r="C126" s="658"/>
      <c r="D126" s="658"/>
      <c r="J126" s="280"/>
      <c r="M126" s="282"/>
      <c r="N126" s="157"/>
      <c r="O126" s="308"/>
      <c r="P126" s="308"/>
    </row>
    <row r="127" spans="3:16" s="159" customFormat="1" x14ac:dyDescent="0.25">
      <c r="C127" s="658"/>
      <c r="D127" s="658"/>
      <c r="J127" s="280"/>
      <c r="M127" s="282"/>
      <c r="N127" s="157"/>
      <c r="O127" s="308"/>
      <c r="P127" s="308"/>
    </row>
    <row r="128" spans="3:16" s="159" customFormat="1" x14ac:dyDescent="0.25">
      <c r="C128" s="658"/>
      <c r="D128" s="658"/>
      <c r="J128" s="280"/>
      <c r="M128" s="282"/>
      <c r="N128" s="157"/>
      <c r="O128" s="308"/>
      <c r="P128" s="308"/>
    </row>
    <row r="129" spans="3:16" s="159" customFormat="1" x14ac:dyDescent="0.25">
      <c r="C129" s="658"/>
      <c r="D129" s="658"/>
      <c r="J129" s="280"/>
      <c r="M129" s="282"/>
      <c r="N129" s="157"/>
      <c r="O129" s="308"/>
      <c r="P129" s="308"/>
    </row>
    <row r="130" spans="3:16" s="159" customFormat="1" x14ac:dyDescent="0.25">
      <c r="C130" s="658"/>
      <c r="D130" s="658"/>
      <c r="J130" s="280"/>
      <c r="M130" s="282"/>
      <c r="N130" s="157"/>
      <c r="O130" s="308"/>
      <c r="P130" s="308"/>
    </row>
    <row r="131" spans="3:16" s="159" customFormat="1" x14ac:dyDescent="0.25">
      <c r="C131" s="658"/>
      <c r="D131" s="658"/>
      <c r="J131" s="280"/>
      <c r="M131" s="282"/>
      <c r="N131" s="157"/>
      <c r="O131" s="308"/>
      <c r="P131" s="308"/>
    </row>
    <row r="132" spans="3:16" s="159" customFormat="1" x14ac:dyDescent="0.25">
      <c r="C132" s="658"/>
      <c r="D132" s="658"/>
      <c r="J132" s="280"/>
      <c r="M132" s="282"/>
      <c r="N132" s="157"/>
      <c r="O132" s="308"/>
      <c r="P132" s="308"/>
    </row>
    <row r="133" spans="3:16" s="159" customFormat="1" x14ac:dyDescent="0.25">
      <c r="C133" s="658"/>
      <c r="D133" s="658"/>
      <c r="J133" s="280"/>
      <c r="M133" s="282"/>
      <c r="N133" s="157"/>
      <c r="O133" s="308"/>
      <c r="P133" s="308"/>
    </row>
    <row r="134" spans="3:16" s="159" customFormat="1" x14ac:dyDescent="0.25">
      <c r="C134" s="658"/>
      <c r="D134" s="658"/>
      <c r="J134" s="280"/>
      <c r="M134" s="282"/>
      <c r="N134" s="157"/>
      <c r="O134" s="308"/>
      <c r="P134" s="308"/>
    </row>
    <row r="135" spans="3:16" s="159" customFormat="1" x14ac:dyDescent="0.25">
      <c r="C135" s="658"/>
      <c r="D135" s="658"/>
      <c r="J135" s="280"/>
      <c r="M135" s="282"/>
      <c r="N135" s="157"/>
      <c r="O135" s="308"/>
      <c r="P135" s="308"/>
    </row>
    <row r="136" spans="3:16" s="159" customFormat="1" x14ac:dyDescent="0.25">
      <c r="C136" s="658"/>
      <c r="D136" s="658"/>
      <c r="J136" s="280"/>
      <c r="M136" s="282"/>
      <c r="N136" s="157"/>
      <c r="O136" s="308"/>
      <c r="P136" s="308"/>
    </row>
    <row r="137" spans="3:16" s="159" customFormat="1" x14ac:dyDescent="0.25">
      <c r="C137" s="658"/>
      <c r="D137" s="658"/>
      <c r="J137" s="280"/>
      <c r="M137" s="282"/>
      <c r="N137" s="157"/>
      <c r="O137" s="308"/>
      <c r="P137" s="308"/>
    </row>
    <row r="138" spans="3:16" s="159" customFormat="1" x14ac:dyDescent="0.25">
      <c r="C138" s="658"/>
      <c r="D138" s="658"/>
      <c r="J138" s="280"/>
      <c r="M138" s="282"/>
      <c r="N138" s="157"/>
      <c r="O138" s="308"/>
      <c r="P138" s="308"/>
    </row>
    <row r="139" spans="3:16" s="159" customFormat="1" x14ac:dyDescent="0.25">
      <c r="C139" s="658"/>
      <c r="D139" s="658"/>
      <c r="J139" s="280"/>
      <c r="M139" s="282"/>
      <c r="N139" s="157"/>
      <c r="O139" s="308"/>
      <c r="P139" s="308"/>
    </row>
    <row r="140" spans="3:16" s="159" customFormat="1" x14ac:dyDescent="0.25">
      <c r="C140" s="658"/>
      <c r="D140" s="658"/>
      <c r="J140" s="280"/>
      <c r="M140" s="282"/>
      <c r="N140" s="157"/>
      <c r="O140" s="308"/>
      <c r="P140" s="308"/>
    </row>
    <row r="141" spans="3:16" s="159" customFormat="1" x14ac:dyDescent="0.25">
      <c r="C141" s="658"/>
      <c r="D141" s="658"/>
      <c r="J141" s="280"/>
      <c r="M141" s="282"/>
      <c r="N141" s="157"/>
      <c r="O141" s="308"/>
      <c r="P141" s="308"/>
    </row>
    <row r="142" spans="3:16" s="159" customFormat="1" x14ac:dyDescent="0.25">
      <c r="C142" s="658"/>
      <c r="D142" s="658"/>
      <c r="J142" s="280"/>
      <c r="M142" s="282"/>
      <c r="N142" s="157"/>
      <c r="O142" s="308"/>
      <c r="P142" s="308"/>
    </row>
    <row r="143" spans="3:16" s="159" customFormat="1" x14ac:dyDescent="0.25">
      <c r="C143" s="658"/>
      <c r="D143" s="658"/>
      <c r="J143" s="280"/>
      <c r="M143" s="282"/>
      <c r="N143" s="157"/>
      <c r="O143" s="308"/>
      <c r="P143" s="308"/>
    </row>
    <row r="144" spans="3:16" s="159" customFormat="1" x14ac:dyDescent="0.25">
      <c r="C144" s="658"/>
      <c r="D144" s="658"/>
      <c r="J144" s="280"/>
      <c r="M144" s="282"/>
      <c r="N144" s="157"/>
      <c r="O144" s="308"/>
      <c r="P144" s="308"/>
    </row>
    <row r="145" spans="3:16" s="159" customFormat="1" x14ac:dyDescent="0.25">
      <c r="C145" s="658"/>
      <c r="D145" s="658"/>
      <c r="J145" s="280"/>
      <c r="M145" s="282"/>
      <c r="N145" s="157"/>
      <c r="O145" s="308"/>
      <c r="P145" s="308"/>
    </row>
    <row r="146" spans="3:16" s="159" customFormat="1" x14ac:dyDescent="0.25">
      <c r="C146" s="658"/>
      <c r="D146" s="658"/>
      <c r="J146" s="280"/>
      <c r="M146" s="282"/>
      <c r="N146" s="157"/>
      <c r="O146" s="308"/>
      <c r="P146" s="308"/>
    </row>
    <row r="147" spans="3:16" s="159" customFormat="1" x14ac:dyDescent="0.25">
      <c r="C147" s="658"/>
      <c r="D147" s="658"/>
      <c r="J147" s="280"/>
      <c r="M147" s="282"/>
      <c r="N147" s="157"/>
      <c r="O147" s="308"/>
      <c r="P147" s="308"/>
    </row>
    <row r="148" spans="3:16" s="159" customFormat="1" x14ac:dyDescent="0.25">
      <c r="C148" s="658"/>
      <c r="D148" s="658"/>
      <c r="J148" s="280"/>
      <c r="M148" s="282"/>
      <c r="N148" s="157"/>
      <c r="O148" s="308"/>
      <c r="P148" s="308"/>
    </row>
    <row r="149" spans="3:16" s="159" customFormat="1" x14ac:dyDescent="0.25">
      <c r="C149" s="658"/>
      <c r="D149" s="658"/>
      <c r="J149" s="280"/>
      <c r="M149" s="282"/>
      <c r="N149" s="157"/>
      <c r="O149" s="308"/>
      <c r="P149" s="308"/>
    </row>
    <row r="150" spans="3:16" s="159" customFormat="1" x14ac:dyDescent="0.25">
      <c r="C150" s="658"/>
      <c r="D150" s="658"/>
      <c r="J150" s="280"/>
      <c r="M150" s="282"/>
      <c r="N150" s="157"/>
      <c r="O150" s="308"/>
      <c r="P150" s="308"/>
    </row>
    <row r="151" spans="3:16" s="159" customFormat="1" x14ac:dyDescent="0.25">
      <c r="C151" s="658"/>
      <c r="D151" s="658"/>
      <c r="J151" s="280"/>
      <c r="M151" s="282"/>
      <c r="N151" s="157"/>
      <c r="O151" s="308"/>
      <c r="P151" s="308"/>
    </row>
    <row r="152" spans="3:16" s="159" customFormat="1" x14ac:dyDescent="0.25">
      <c r="C152" s="658"/>
      <c r="D152" s="658"/>
      <c r="J152" s="280"/>
      <c r="M152" s="282"/>
      <c r="N152" s="157"/>
      <c r="O152" s="308"/>
      <c r="P152" s="308"/>
    </row>
    <row r="153" spans="3:16" s="159" customFormat="1" x14ac:dyDescent="0.25">
      <c r="C153" s="658"/>
      <c r="D153" s="658"/>
      <c r="J153" s="280"/>
      <c r="M153" s="282"/>
      <c r="N153" s="157"/>
      <c r="O153" s="308"/>
      <c r="P153" s="308"/>
    </row>
    <row r="154" spans="3:16" s="159" customFormat="1" x14ac:dyDescent="0.25">
      <c r="C154" s="658"/>
      <c r="D154" s="658"/>
      <c r="J154" s="280"/>
      <c r="M154" s="282"/>
      <c r="N154" s="157"/>
      <c r="O154" s="308"/>
      <c r="P154" s="308"/>
    </row>
    <row r="155" spans="3:16" s="159" customFormat="1" x14ac:dyDescent="0.25">
      <c r="C155" s="658"/>
      <c r="D155" s="658"/>
      <c r="J155" s="280"/>
      <c r="M155" s="282"/>
      <c r="N155" s="157"/>
      <c r="O155" s="308"/>
      <c r="P155" s="308"/>
    </row>
    <row r="156" spans="3:16" s="159" customFormat="1" x14ac:dyDescent="0.25">
      <c r="C156" s="658"/>
      <c r="D156" s="658"/>
      <c r="J156" s="280"/>
      <c r="M156" s="282"/>
      <c r="N156" s="157"/>
      <c r="O156" s="308"/>
      <c r="P156" s="308"/>
    </row>
    <row r="157" spans="3:16" s="159" customFormat="1" x14ac:dyDescent="0.25">
      <c r="C157" s="658"/>
      <c r="D157" s="658"/>
      <c r="J157" s="280"/>
      <c r="M157" s="282"/>
      <c r="N157" s="157"/>
      <c r="O157" s="308"/>
      <c r="P157" s="308"/>
    </row>
    <row r="158" spans="3:16" s="159" customFormat="1" x14ac:dyDescent="0.25">
      <c r="C158" s="658"/>
      <c r="D158" s="658"/>
      <c r="J158" s="280"/>
      <c r="M158" s="282"/>
      <c r="N158" s="157"/>
      <c r="O158" s="308"/>
      <c r="P158" s="308"/>
    </row>
    <row r="159" spans="3:16" s="159" customFormat="1" x14ac:dyDescent="0.25">
      <c r="C159" s="658"/>
      <c r="D159" s="658"/>
      <c r="J159" s="280"/>
      <c r="M159" s="282"/>
      <c r="N159" s="157"/>
      <c r="O159" s="308"/>
      <c r="P159" s="308"/>
    </row>
    <row r="160" spans="3:16" s="159" customFormat="1" x14ac:dyDescent="0.25">
      <c r="C160" s="658"/>
      <c r="D160" s="658"/>
      <c r="J160" s="280"/>
      <c r="M160" s="282"/>
      <c r="N160" s="157"/>
      <c r="O160" s="308"/>
      <c r="P160" s="308"/>
    </row>
    <row r="161" spans="3:16" s="159" customFormat="1" x14ac:dyDescent="0.25">
      <c r="C161" s="658"/>
      <c r="D161" s="658"/>
      <c r="J161" s="280"/>
      <c r="M161" s="282"/>
      <c r="N161" s="157"/>
      <c r="O161" s="308"/>
      <c r="P161" s="308"/>
    </row>
    <row r="162" spans="3:16" s="159" customFormat="1" x14ac:dyDescent="0.25">
      <c r="C162" s="658"/>
      <c r="D162" s="658"/>
      <c r="J162" s="280"/>
      <c r="M162" s="282"/>
      <c r="N162" s="157"/>
      <c r="O162" s="308"/>
      <c r="P162" s="308"/>
    </row>
    <row r="163" spans="3:16" s="159" customFormat="1" x14ac:dyDescent="0.25">
      <c r="C163" s="658"/>
      <c r="D163" s="658"/>
      <c r="J163" s="280"/>
      <c r="M163" s="282"/>
      <c r="N163" s="157"/>
      <c r="O163" s="308"/>
      <c r="P163" s="308"/>
    </row>
    <row r="164" spans="3:16" s="159" customFormat="1" x14ac:dyDescent="0.25">
      <c r="C164" s="658"/>
      <c r="D164" s="658"/>
      <c r="J164" s="280"/>
      <c r="M164" s="282"/>
      <c r="N164" s="157"/>
      <c r="O164" s="308"/>
      <c r="P164" s="308"/>
    </row>
    <row r="165" spans="3:16" s="159" customFormat="1" x14ac:dyDescent="0.25">
      <c r="C165" s="658"/>
      <c r="D165" s="658"/>
      <c r="J165" s="280"/>
      <c r="M165" s="282"/>
      <c r="N165" s="157"/>
      <c r="O165" s="308"/>
      <c r="P165" s="308"/>
    </row>
    <row r="166" spans="3:16" s="159" customFormat="1" x14ac:dyDescent="0.25">
      <c r="C166" s="658"/>
      <c r="D166" s="658"/>
      <c r="J166" s="280"/>
      <c r="M166" s="282"/>
      <c r="N166" s="157"/>
      <c r="O166" s="308"/>
      <c r="P166" s="308"/>
    </row>
    <row r="167" spans="3:16" s="159" customFormat="1" x14ac:dyDescent="0.25">
      <c r="C167" s="658"/>
      <c r="D167" s="658"/>
      <c r="J167" s="280"/>
      <c r="M167" s="282"/>
      <c r="N167" s="157"/>
      <c r="O167" s="308"/>
      <c r="P167" s="308"/>
    </row>
    <row r="168" spans="3:16" s="159" customFormat="1" x14ac:dyDescent="0.25">
      <c r="C168" s="658"/>
      <c r="D168" s="658"/>
      <c r="J168" s="280"/>
      <c r="M168" s="282"/>
      <c r="N168" s="157"/>
      <c r="O168" s="308"/>
      <c r="P168" s="308"/>
    </row>
    <row r="169" spans="3:16" s="159" customFormat="1" x14ac:dyDescent="0.25">
      <c r="C169" s="658"/>
      <c r="D169" s="658"/>
      <c r="J169" s="280"/>
      <c r="M169" s="282"/>
      <c r="N169" s="157"/>
      <c r="O169" s="308"/>
      <c r="P169" s="308"/>
    </row>
    <row r="170" spans="3:16" s="159" customFormat="1" x14ac:dyDescent="0.25">
      <c r="C170" s="658"/>
      <c r="D170" s="658"/>
      <c r="J170" s="280"/>
      <c r="M170" s="282"/>
      <c r="N170" s="157"/>
      <c r="O170" s="308"/>
      <c r="P170" s="308"/>
    </row>
    <row r="171" spans="3:16" s="159" customFormat="1" x14ac:dyDescent="0.25">
      <c r="C171" s="658"/>
      <c r="D171" s="658"/>
      <c r="J171" s="280"/>
      <c r="M171" s="282"/>
      <c r="N171" s="157"/>
      <c r="O171" s="308"/>
      <c r="P171" s="308"/>
    </row>
    <row r="172" spans="3:16" s="159" customFormat="1" x14ac:dyDescent="0.25">
      <c r="C172" s="658"/>
      <c r="D172" s="658"/>
      <c r="J172" s="280"/>
      <c r="M172" s="282"/>
      <c r="N172" s="157"/>
      <c r="O172" s="308"/>
      <c r="P172" s="308"/>
    </row>
    <row r="173" spans="3:16" s="159" customFormat="1" x14ac:dyDescent="0.25">
      <c r="C173" s="658"/>
      <c r="D173" s="658"/>
      <c r="J173" s="280"/>
      <c r="M173" s="282"/>
      <c r="N173" s="157"/>
      <c r="O173" s="308"/>
      <c r="P173" s="308"/>
    </row>
    <row r="174" spans="3:16" s="159" customFormat="1" x14ac:dyDescent="0.25">
      <c r="C174" s="658"/>
      <c r="D174" s="658"/>
      <c r="J174" s="280"/>
      <c r="M174" s="282"/>
      <c r="N174" s="157"/>
      <c r="O174" s="308"/>
      <c r="P174" s="308"/>
    </row>
    <row r="175" spans="3:16" s="159" customFormat="1" x14ac:dyDescent="0.25">
      <c r="C175" s="658"/>
      <c r="D175" s="658"/>
      <c r="J175" s="280"/>
      <c r="M175" s="282"/>
      <c r="N175" s="157"/>
      <c r="O175" s="308"/>
      <c r="P175" s="308"/>
    </row>
    <row r="176" spans="3:16" s="159" customFormat="1" x14ac:dyDescent="0.25">
      <c r="C176" s="658"/>
      <c r="D176" s="658"/>
      <c r="J176" s="280"/>
      <c r="M176" s="282"/>
      <c r="N176" s="157"/>
      <c r="O176" s="308"/>
      <c r="P176" s="308"/>
    </row>
    <row r="177" spans="3:16" s="159" customFormat="1" x14ac:dyDescent="0.25">
      <c r="C177" s="658"/>
      <c r="D177" s="658"/>
      <c r="J177" s="280"/>
      <c r="M177" s="282"/>
      <c r="N177" s="157"/>
      <c r="O177" s="308"/>
      <c r="P177" s="308"/>
    </row>
    <row r="178" spans="3:16" s="159" customFormat="1" x14ac:dyDescent="0.25">
      <c r="C178" s="658"/>
      <c r="D178" s="658"/>
      <c r="J178" s="280"/>
      <c r="M178" s="282"/>
      <c r="N178" s="157"/>
      <c r="O178" s="308"/>
      <c r="P178" s="308"/>
    </row>
    <row r="179" spans="3:16" s="159" customFormat="1" x14ac:dyDescent="0.25">
      <c r="C179" s="658"/>
      <c r="D179" s="658"/>
      <c r="J179" s="280"/>
      <c r="M179" s="282"/>
      <c r="N179" s="157"/>
      <c r="O179" s="308"/>
      <c r="P179" s="308"/>
    </row>
    <row r="180" spans="3:16" s="159" customFormat="1" x14ac:dyDescent="0.25">
      <c r="C180" s="658"/>
      <c r="D180" s="658"/>
      <c r="J180" s="280"/>
      <c r="M180" s="282"/>
      <c r="N180" s="157"/>
      <c r="O180" s="308"/>
      <c r="P180" s="308"/>
    </row>
    <row r="181" spans="3:16" s="159" customFormat="1" x14ac:dyDescent="0.25">
      <c r="C181" s="658"/>
      <c r="D181" s="658"/>
      <c r="J181" s="280"/>
      <c r="M181" s="282"/>
      <c r="N181" s="157"/>
      <c r="O181" s="308"/>
      <c r="P181" s="308"/>
    </row>
    <row r="182" spans="3:16" s="159" customFormat="1" x14ac:dyDescent="0.25">
      <c r="C182" s="658"/>
      <c r="D182" s="658"/>
      <c r="J182" s="280"/>
      <c r="M182" s="282"/>
      <c r="N182" s="157"/>
      <c r="O182" s="308"/>
      <c r="P182" s="308"/>
    </row>
    <row r="183" spans="3:16" s="159" customFormat="1" x14ac:dyDescent="0.25">
      <c r="C183" s="658"/>
      <c r="D183" s="658"/>
      <c r="J183" s="280"/>
      <c r="M183" s="282"/>
      <c r="N183" s="157"/>
      <c r="O183" s="308"/>
      <c r="P183" s="308"/>
    </row>
    <row r="184" spans="3:16" s="159" customFormat="1" x14ac:dyDescent="0.25">
      <c r="C184" s="658"/>
      <c r="D184" s="658"/>
      <c r="J184" s="280"/>
      <c r="M184" s="282"/>
      <c r="N184" s="157"/>
      <c r="O184" s="308"/>
      <c r="P184" s="308"/>
    </row>
    <row r="185" spans="3:16" s="159" customFormat="1" x14ac:dyDescent="0.25">
      <c r="C185" s="658"/>
      <c r="D185" s="658"/>
      <c r="J185" s="280"/>
      <c r="M185" s="282"/>
      <c r="N185" s="157"/>
      <c r="O185" s="308"/>
      <c r="P185" s="308"/>
    </row>
    <row r="186" spans="3:16" s="159" customFormat="1" x14ac:dyDescent="0.25">
      <c r="C186" s="658"/>
      <c r="D186" s="658"/>
      <c r="J186" s="280"/>
      <c r="M186" s="282"/>
      <c r="N186" s="157"/>
      <c r="O186" s="308"/>
      <c r="P186" s="308"/>
    </row>
    <row r="187" spans="3:16" s="159" customFormat="1" x14ac:dyDescent="0.25">
      <c r="C187" s="658"/>
      <c r="D187" s="658"/>
      <c r="J187" s="280"/>
      <c r="M187" s="282"/>
      <c r="N187" s="157"/>
      <c r="O187" s="308"/>
      <c r="P187" s="308"/>
    </row>
    <row r="188" spans="3:16" s="159" customFormat="1" x14ac:dyDescent="0.25">
      <c r="C188" s="658"/>
      <c r="D188" s="658"/>
      <c r="J188" s="280"/>
      <c r="M188" s="282"/>
      <c r="N188" s="157"/>
      <c r="O188" s="308"/>
      <c r="P188" s="308"/>
    </row>
    <row r="189" spans="3:16" s="159" customFormat="1" x14ac:dyDescent="0.25">
      <c r="C189" s="658"/>
      <c r="D189" s="658"/>
      <c r="J189" s="280"/>
      <c r="M189" s="282"/>
      <c r="N189" s="157"/>
      <c r="O189" s="308"/>
      <c r="P189" s="308"/>
    </row>
    <row r="190" spans="3:16" s="159" customFormat="1" x14ac:dyDescent="0.25">
      <c r="C190" s="658"/>
      <c r="D190" s="658"/>
      <c r="J190" s="280"/>
      <c r="M190" s="282"/>
      <c r="N190" s="157"/>
      <c r="O190" s="308"/>
      <c r="P190" s="308"/>
    </row>
    <row r="191" spans="3:16" s="159" customFormat="1" x14ac:dyDescent="0.25">
      <c r="C191" s="658"/>
      <c r="D191" s="658"/>
      <c r="J191" s="280"/>
      <c r="M191" s="282"/>
      <c r="N191" s="157"/>
      <c r="O191" s="308"/>
      <c r="P191" s="308"/>
    </row>
    <row r="192" spans="3:16" s="159" customFormat="1" x14ac:dyDescent="0.25">
      <c r="C192" s="658"/>
      <c r="D192" s="658"/>
      <c r="J192" s="280"/>
      <c r="M192" s="282"/>
      <c r="N192" s="157"/>
      <c r="O192" s="308"/>
      <c r="P192" s="308"/>
    </row>
    <row r="193" spans="3:16" s="159" customFormat="1" x14ac:dyDescent="0.25">
      <c r="C193" s="658"/>
      <c r="D193" s="658"/>
      <c r="J193" s="280"/>
      <c r="M193" s="282"/>
      <c r="N193" s="157"/>
      <c r="O193" s="308"/>
      <c r="P193" s="308"/>
    </row>
    <row r="194" spans="3:16" s="159" customFormat="1" x14ac:dyDescent="0.25">
      <c r="C194" s="658"/>
      <c r="D194" s="658"/>
      <c r="J194" s="280"/>
      <c r="M194" s="282"/>
      <c r="N194" s="157"/>
      <c r="O194" s="308"/>
      <c r="P194" s="308"/>
    </row>
    <row r="195" spans="3:16" s="159" customFormat="1" x14ac:dyDescent="0.25">
      <c r="C195" s="658"/>
      <c r="D195" s="658"/>
      <c r="J195" s="280"/>
      <c r="M195" s="282"/>
      <c r="N195" s="157"/>
      <c r="O195" s="308"/>
      <c r="P195" s="308"/>
    </row>
    <row r="196" spans="3:16" s="159" customFormat="1" x14ac:dyDescent="0.25">
      <c r="C196" s="658"/>
      <c r="D196" s="658"/>
      <c r="J196" s="280"/>
      <c r="M196" s="282"/>
      <c r="N196" s="157"/>
      <c r="O196" s="308"/>
      <c r="P196" s="308"/>
    </row>
    <row r="197" spans="3:16" s="159" customFormat="1" x14ac:dyDescent="0.25">
      <c r="C197" s="658"/>
      <c r="D197" s="658"/>
      <c r="J197" s="280"/>
      <c r="M197" s="282"/>
      <c r="N197" s="157"/>
      <c r="O197" s="308"/>
      <c r="P197" s="308"/>
    </row>
    <row r="198" spans="3:16" s="159" customFormat="1" x14ac:dyDescent="0.25">
      <c r="C198" s="658"/>
      <c r="D198" s="658"/>
      <c r="J198" s="280"/>
      <c r="M198" s="282"/>
      <c r="N198" s="157"/>
      <c r="O198" s="308"/>
      <c r="P198" s="308"/>
    </row>
    <row r="199" spans="3:16" s="159" customFormat="1" x14ac:dyDescent="0.25">
      <c r="C199" s="658"/>
      <c r="D199" s="658"/>
      <c r="J199" s="280"/>
      <c r="M199" s="282"/>
      <c r="N199" s="157"/>
      <c r="O199" s="308"/>
      <c r="P199" s="308"/>
    </row>
    <row r="200" spans="3:16" s="159" customFormat="1" x14ac:dyDescent="0.25">
      <c r="C200" s="658"/>
      <c r="D200" s="658"/>
      <c r="J200" s="280"/>
      <c r="M200" s="282"/>
      <c r="N200" s="157"/>
      <c r="O200" s="308"/>
      <c r="P200" s="308"/>
    </row>
    <row r="201" spans="3:16" s="159" customFormat="1" x14ac:dyDescent="0.25">
      <c r="C201" s="658"/>
      <c r="D201" s="658"/>
      <c r="J201" s="280"/>
      <c r="M201" s="282"/>
      <c r="N201" s="157"/>
      <c r="O201" s="308"/>
      <c r="P201" s="308"/>
    </row>
    <row r="202" spans="3:16" s="159" customFormat="1" x14ac:dyDescent="0.25">
      <c r="C202" s="658"/>
      <c r="D202" s="658"/>
      <c r="J202" s="280"/>
      <c r="M202" s="282"/>
      <c r="N202" s="157"/>
      <c r="O202" s="308"/>
      <c r="P202" s="308"/>
    </row>
    <row r="203" spans="3:16" s="159" customFormat="1" x14ac:dyDescent="0.25">
      <c r="C203" s="658"/>
      <c r="D203" s="658"/>
      <c r="J203" s="280"/>
      <c r="M203" s="282"/>
      <c r="N203" s="157"/>
      <c r="O203" s="308"/>
      <c r="P203" s="308"/>
    </row>
    <row r="204" spans="3:16" s="159" customFormat="1" x14ac:dyDescent="0.25">
      <c r="C204" s="658"/>
      <c r="D204" s="658"/>
      <c r="J204" s="280"/>
      <c r="M204" s="282"/>
      <c r="N204" s="157"/>
      <c r="O204" s="308"/>
      <c r="P204" s="308"/>
    </row>
    <row r="205" spans="3:16" s="159" customFormat="1" x14ac:dyDescent="0.25">
      <c r="C205" s="658"/>
      <c r="D205" s="658"/>
      <c r="J205" s="280"/>
      <c r="M205" s="282"/>
      <c r="N205" s="157"/>
      <c r="O205" s="308"/>
      <c r="P205" s="308"/>
    </row>
    <row r="206" spans="3:16" s="159" customFormat="1" x14ac:dyDescent="0.25">
      <c r="C206" s="658"/>
      <c r="D206" s="658"/>
      <c r="J206" s="280"/>
      <c r="M206" s="282"/>
      <c r="N206" s="157"/>
      <c r="O206" s="308"/>
      <c r="P206" s="308"/>
    </row>
    <row r="207" spans="3:16" s="159" customFormat="1" x14ac:dyDescent="0.25">
      <c r="C207" s="658"/>
      <c r="D207" s="658"/>
      <c r="J207" s="280"/>
      <c r="M207" s="282"/>
      <c r="N207" s="157"/>
      <c r="O207" s="308"/>
      <c r="P207" s="308"/>
    </row>
    <row r="208" spans="3:16" s="159" customFormat="1" x14ac:dyDescent="0.25">
      <c r="C208" s="658"/>
      <c r="D208" s="658"/>
      <c r="J208" s="280"/>
      <c r="M208" s="282"/>
      <c r="N208" s="157"/>
      <c r="O208" s="308"/>
      <c r="P208" s="308"/>
    </row>
    <row r="209" spans="3:16" s="159" customFormat="1" x14ac:dyDescent="0.25">
      <c r="C209" s="658"/>
      <c r="D209" s="658"/>
      <c r="J209" s="280"/>
      <c r="M209" s="282"/>
      <c r="N209" s="157"/>
      <c r="O209" s="308"/>
      <c r="P209" s="308"/>
    </row>
    <row r="210" spans="3:16" s="159" customFormat="1" x14ac:dyDescent="0.25">
      <c r="C210" s="658"/>
      <c r="D210" s="658"/>
      <c r="J210" s="280"/>
      <c r="M210" s="282"/>
      <c r="N210" s="157"/>
      <c r="O210" s="308"/>
      <c r="P210" s="308"/>
    </row>
    <row r="211" spans="3:16" s="159" customFormat="1" x14ac:dyDescent="0.25">
      <c r="C211" s="658"/>
      <c r="D211" s="658"/>
      <c r="J211" s="280"/>
      <c r="M211" s="282"/>
      <c r="N211" s="157"/>
      <c r="O211" s="308"/>
      <c r="P211" s="308"/>
    </row>
    <row r="212" spans="3:16" s="159" customFormat="1" x14ac:dyDescent="0.25">
      <c r="C212" s="658"/>
      <c r="D212" s="658"/>
      <c r="J212" s="280"/>
      <c r="M212" s="282"/>
      <c r="N212" s="157"/>
      <c r="O212" s="308"/>
      <c r="P212" s="308"/>
    </row>
    <row r="213" spans="3:16" s="159" customFormat="1" x14ac:dyDescent="0.25">
      <c r="C213" s="658"/>
      <c r="D213" s="658"/>
      <c r="J213" s="280"/>
      <c r="M213" s="282"/>
      <c r="N213" s="157"/>
      <c r="O213" s="308"/>
      <c r="P213" s="308"/>
    </row>
    <row r="214" spans="3:16" s="159" customFormat="1" x14ac:dyDescent="0.25">
      <c r="C214" s="658"/>
      <c r="D214" s="658"/>
      <c r="J214" s="280"/>
      <c r="M214" s="282"/>
      <c r="N214" s="157"/>
      <c r="O214" s="308"/>
      <c r="P214" s="308"/>
    </row>
    <row r="215" spans="3:16" s="159" customFormat="1" x14ac:dyDescent="0.25">
      <c r="C215" s="658"/>
      <c r="D215" s="658"/>
      <c r="J215" s="280"/>
      <c r="M215" s="282"/>
      <c r="N215" s="157"/>
      <c r="O215" s="308"/>
      <c r="P215" s="308"/>
    </row>
    <row r="216" spans="3:16" s="159" customFormat="1" x14ac:dyDescent="0.25">
      <c r="C216" s="658"/>
      <c r="D216" s="658"/>
      <c r="J216" s="280"/>
      <c r="M216" s="282"/>
      <c r="N216" s="157"/>
      <c r="O216" s="308"/>
      <c r="P216" s="308"/>
    </row>
    <row r="217" spans="3:16" s="159" customFormat="1" x14ac:dyDescent="0.25">
      <c r="C217" s="658"/>
      <c r="D217" s="658"/>
      <c r="J217" s="280"/>
      <c r="M217" s="282"/>
      <c r="N217" s="157"/>
      <c r="O217" s="308"/>
      <c r="P217" s="308"/>
    </row>
    <row r="218" spans="3:16" s="159" customFormat="1" x14ac:dyDescent="0.25">
      <c r="C218" s="658"/>
      <c r="D218" s="658"/>
      <c r="J218" s="280"/>
      <c r="M218" s="282"/>
      <c r="N218" s="157"/>
      <c r="O218" s="308"/>
      <c r="P218" s="308"/>
    </row>
    <row r="219" spans="3:16" s="159" customFormat="1" x14ac:dyDescent="0.25">
      <c r="C219" s="658"/>
      <c r="D219" s="658"/>
      <c r="J219" s="280"/>
      <c r="M219" s="282"/>
      <c r="N219" s="157"/>
      <c r="O219" s="308"/>
      <c r="P219" s="308"/>
    </row>
    <row r="220" spans="3:16" s="159" customFormat="1" x14ac:dyDescent="0.25">
      <c r="C220" s="658"/>
      <c r="D220" s="658"/>
      <c r="J220" s="280"/>
      <c r="M220" s="282"/>
      <c r="N220" s="157"/>
      <c r="O220" s="308"/>
      <c r="P220" s="308"/>
    </row>
    <row r="221" spans="3:16" s="159" customFormat="1" x14ac:dyDescent="0.25">
      <c r="C221" s="658"/>
      <c r="D221" s="658"/>
      <c r="J221" s="280"/>
      <c r="M221" s="282"/>
      <c r="N221" s="157"/>
      <c r="O221" s="308"/>
      <c r="P221" s="308"/>
    </row>
    <row r="222" spans="3:16" s="159" customFormat="1" x14ac:dyDescent="0.25">
      <c r="C222" s="658"/>
      <c r="D222" s="658"/>
      <c r="J222" s="280"/>
      <c r="M222" s="282"/>
      <c r="N222" s="157"/>
      <c r="O222" s="308"/>
      <c r="P222" s="308"/>
    </row>
    <row r="223" spans="3:16" s="159" customFormat="1" x14ac:dyDescent="0.25">
      <c r="C223" s="658"/>
      <c r="D223" s="658"/>
      <c r="J223" s="280"/>
      <c r="M223" s="282"/>
      <c r="N223" s="157"/>
      <c r="O223" s="308"/>
      <c r="P223" s="308"/>
    </row>
    <row r="224" spans="3:16" s="159" customFormat="1" x14ac:dyDescent="0.25">
      <c r="C224" s="658"/>
      <c r="D224" s="658"/>
      <c r="J224" s="280"/>
      <c r="M224" s="282"/>
      <c r="N224" s="157"/>
      <c r="O224" s="308"/>
      <c r="P224" s="308"/>
    </row>
    <row r="225" spans="3:16" s="159" customFormat="1" x14ac:dyDescent="0.25">
      <c r="C225" s="658"/>
      <c r="D225" s="658"/>
      <c r="J225" s="280"/>
      <c r="M225" s="282"/>
      <c r="N225" s="157"/>
      <c r="O225" s="308"/>
      <c r="P225" s="308"/>
    </row>
    <row r="226" spans="3:16" s="159" customFormat="1" x14ac:dyDescent="0.25">
      <c r="C226" s="658"/>
      <c r="D226" s="658"/>
      <c r="J226" s="280"/>
      <c r="M226" s="282"/>
      <c r="N226" s="157"/>
      <c r="O226" s="308"/>
      <c r="P226" s="308"/>
    </row>
    <row r="227" spans="3:16" s="159" customFormat="1" x14ac:dyDescent="0.25">
      <c r="C227" s="658"/>
      <c r="D227" s="658"/>
      <c r="J227" s="280"/>
      <c r="M227" s="282"/>
      <c r="N227" s="157"/>
      <c r="O227" s="308"/>
      <c r="P227" s="308"/>
    </row>
    <row r="228" spans="3:16" s="159" customFormat="1" x14ac:dyDescent="0.25">
      <c r="C228" s="658"/>
      <c r="D228" s="658"/>
      <c r="J228" s="280"/>
      <c r="M228" s="282"/>
      <c r="N228" s="157"/>
      <c r="O228" s="308"/>
      <c r="P228" s="308"/>
    </row>
    <row r="229" spans="3:16" s="159" customFormat="1" x14ac:dyDescent="0.25">
      <c r="C229" s="658"/>
      <c r="D229" s="658"/>
      <c r="J229" s="280"/>
      <c r="M229" s="282"/>
      <c r="N229" s="157"/>
      <c r="O229" s="308"/>
      <c r="P229" s="308"/>
    </row>
    <row r="230" spans="3:16" s="159" customFormat="1" x14ac:dyDescent="0.25">
      <c r="C230" s="658"/>
      <c r="D230" s="658"/>
      <c r="J230" s="280"/>
      <c r="M230" s="282"/>
      <c r="N230" s="157"/>
      <c r="O230" s="308"/>
      <c r="P230" s="308"/>
    </row>
    <row r="231" spans="3:16" s="159" customFormat="1" x14ac:dyDescent="0.25">
      <c r="C231" s="658"/>
      <c r="D231" s="658"/>
      <c r="J231" s="280"/>
      <c r="M231" s="282"/>
      <c r="N231" s="157"/>
      <c r="O231" s="308"/>
      <c r="P231" s="308"/>
    </row>
    <row r="232" spans="3:16" s="159" customFormat="1" x14ac:dyDescent="0.25">
      <c r="C232" s="658"/>
      <c r="D232" s="658"/>
      <c r="J232" s="280"/>
      <c r="M232" s="282"/>
      <c r="N232" s="157"/>
      <c r="O232" s="308"/>
      <c r="P232" s="308"/>
    </row>
    <row r="233" spans="3:16" s="159" customFormat="1" x14ac:dyDescent="0.25">
      <c r="C233" s="658"/>
      <c r="D233" s="658"/>
      <c r="J233" s="280"/>
      <c r="M233" s="282"/>
      <c r="N233" s="157"/>
      <c r="O233" s="308"/>
      <c r="P233" s="308"/>
    </row>
    <row r="234" spans="3:16" s="159" customFormat="1" x14ac:dyDescent="0.25">
      <c r="C234" s="658"/>
      <c r="D234" s="658"/>
      <c r="J234" s="280"/>
      <c r="M234" s="282"/>
      <c r="N234" s="157"/>
      <c r="O234" s="308"/>
      <c r="P234" s="308"/>
    </row>
    <row r="235" spans="3:16" s="159" customFormat="1" x14ac:dyDescent="0.25">
      <c r="C235" s="658"/>
      <c r="D235" s="658"/>
      <c r="J235" s="280"/>
      <c r="M235" s="282"/>
      <c r="N235" s="157"/>
      <c r="O235" s="308"/>
      <c r="P235" s="308"/>
    </row>
    <row r="236" spans="3:16" s="159" customFormat="1" x14ac:dyDescent="0.25">
      <c r="C236" s="658"/>
      <c r="D236" s="658"/>
      <c r="J236" s="280"/>
      <c r="M236" s="282"/>
      <c r="N236" s="157"/>
      <c r="O236" s="308"/>
      <c r="P236" s="308"/>
    </row>
    <row r="237" spans="3:16" s="159" customFormat="1" x14ac:dyDescent="0.25">
      <c r="C237" s="658"/>
      <c r="D237" s="658"/>
      <c r="J237" s="280"/>
      <c r="M237" s="282"/>
      <c r="N237" s="157"/>
      <c r="O237" s="308"/>
      <c r="P237" s="308"/>
    </row>
    <row r="238" spans="3:16" s="159" customFormat="1" x14ac:dyDescent="0.25">
      <c r="C238" s="658"/>
      <c r="D238" s="658"/>
      <c r="J238" s="280"/>
      <c r="M238" s="282"/>
      <c r="N238" s="157"/>
      <c r="O238" s="308"/>
      <c r="P238" s="308"/>
    </row>
    <row r="239" spans="3:16" s="159" customFormat="1" x14ac:dyDescent="0.25">
      <c r="C239" s="658"/>
      <c r="D239" s="658"/>
      <c r="J239" s="280"/>
      <c r="M239" s="282"/>
      <c r="N239" s="157"/>
      <c r="O239" s="308"/>
      <c r="P239" s="308"/>
    </row>
    <row r="240" spans="3:16" s="159" customFormat="1" x14ac:dyDescent="0.25">
      <c r="C240" s="658"/>
      <c r="D240" s="658"/>
      <c r="J240" s="280"/>
      <c r="M240" s="282"/>
      <c r="N240" s="157"/>
      <c r="O240" s="308"/>
      <c r="P240" s="308"/>
    </row>
    <row r="241" spans="3:16" s="159" customFormat="1" x14ac:dyDescent="0.25">
      <c r="C241" s="658"/>
      <c r="D241" s="658"/>
      <c r="J241" s="280"/>
      <c r="M241" s="282"/>
      <c r="N241" s="157"/>
      <c r="O241" s="308"/>
      <c r="P241" s="308"/>
    </row>
    <row r="242" spans="3:16" s="159" customFormat="1" x14ac:dyDescent="0.25">
      <c r="C242" s="658"/>
      <c r="D242" s="658"/>
      <c r="J242" s="280"/>
      <c r="M242" s="282"/>
      <c r="N242" s="157"/>
      <c r="O242" s="308"/>
      <c r="P242" s="308"/>
    </row>
    <row r="243" spans="3:16" s="159" customFormat="1" x14ac:dyDescent="0.25">
      <c r="C243" s="658"/>
      <c r="D243" s="658"/>
      <c r="J243" s="280"/>
      <c r="M243" s="282"/>
      <c r="N243" s="157"/>
      <c r="O243" s="308"/>
      <c r="P243" s="308"/>
    </row>
    <row r="244" spans="3:16" s="159" customFormat="1" x14ac:dyDescent="0.25">
      <c r="C244" s="658"/>
      <c r="D244" s="658"/>
      <c r="J244" s="280"/>
      <c r="M244" s="282"/>
      <c r="N244" s="157"/>
      <c r="O244" s="308"/>
      <c r="P244" s="308"/>
    </row>
    <row r="245" spans="3:16" s="159" customFormat="1" x14ac:dyDescent="0.25">
      <c r="C245" s="658"/>
      <c r="D245" s="658"/>
      <c r="J245" s="280"/>
      <c r="M245" s="282"/>
      <c r="N245" s="157"/>
      <c r="O245" s="308"/>
      <c r="P245" s="308"/>
    </row>
    <row r="246" spans="3:16" s="159" customFormat="1" x14ac:dyDescent="0.25">
      <c r="C246" s="658"/>
      <c r="D246" s="658"/>
      <c r="J246" s="280"/>
      <c r="M246" s="282"/>
      <c r="N246" s="157"/>
      <c r="O246" s="308"/>
      <c r="P246" s="308"/>
    </row>
    <row r="247" spans="3:16" s="159" customFormat="1" x14ac:dyDescent="0.25">
      <c r="C247" s="658"/>
      <c r="D247" s="658"/>
      <c r="J247" s="280"/>
      <c r="M247" s="282"/>
      <c r="N247" s="157"/>
      <c r="O247" s="308"/>
      <c r="P247" s="308"/>
    </row>
    <row r="248" spans="3:16" s="159" customFormat="1" x14ac:dyDescent="0.25">
      <c r="C248" s="658"/>
      <c r="D248" s="658"/>
      <c r="J248" s="280"/>
      <c r="M248" s="282"/>
      <c r="N248" s="157"/>
      <c r="O248" s="308"/>
      <c r="P248" s="308"/>
    </row>
    <row r="249" spans="3:16" s="159" customFormat="1" x14ac:dyDescent="0.25">
      <c r="C249" s="658"/>
      <c r="D249" s="658"/>
      <c r="J249" s="280"/>
      <c r="M249" s="282"/>
      <c r="N249" s="157"/>
      <c r="O249" s="308"/>
      <c r="P249" s="308"/>
    </row>
    <row r="250" spans="3:16" s="159" customFormat="1" x14ac:dyDescent="0.25">
      <c r="C250" s="658"/>
      <c r="D250" s="658"/>
      <c r="J250" s="280"/>
      <c r="M250" s="282"/>
      <c r="N250" s="157"/>
      <c r="O250" s="308"/>
      <c r="P250" s="308"/>
    </row>
    <row r="251" spans="3:16" s="159" customFormat="1" x14ac:dyDescent="0.25">
      <c r="C251" s="658"/>
      <c r="D251" s="658"/>
      <c r="J251" s="280"/>
      <c r="M251" s="282"/>
      <c r="N251" s="157"/>
      <c r="O251" s="308"/>
      <c r="P251" s="308"/>
    </row>
    <row r="252" spans="3:16" s="159" customFormat="1" x14ac:dyDescent="0.25">
      <c r="C252" s="658"/>
      <c r="D252" s="658"/>
      <c r="J252" s="280"/>
      <c r="M252" s="282"/>
      <c r="N252" s="157"/>
      <c r="O252" s="308"/>
      <c r="P252" s="308"/>
    </row>
    <row r="253" spans="3:16" s="159" customFormat="1" x14ac:dyDescent="0.25">
      <c r="C253" s="658"/>
      <c r="D253" s="658"/>
      <c r="J253" s="280"/>
      <c r="M253" s="282"/>
      <c r="N253" s="157"/>
      <c r="O253" s="308"/>
      <c r="P253" s="308"/>
    </row>
    <row r="254" spans="3:16" s="159" customFormat="1" x14ac:dyDescent="0.25">
      <c r="C254" s="658"/>
      <c r="D254" s="658"/>
      <c r="J254" s="280"/>
      <c r="M254" s="282"/>
      <c r="N254" s="157"/>
      <c r="O254" s="308"/>
      <c r="P254" s="308"/>
    </row>
    <row r="255" spans="3:16" s="159" customFormat="1" x14ac:dyDescent="0.25">
      <c r="C255" s="658"/>
      <c r="D255" s="658"/>
      <c r="J255" s="280"/>
      <c r="M255" s="282"/>
      <c r="N255" s="157"/>
      <c r="O255" s="308"/>
      <c r="P255" s="308"/>
    </row>
    <row r="256" spans="3:16" s="159" customFormat="1" x14ac:dyDescent="0.25">
      <c r="C256" s="658"/>
      <c r="D256" s="658"/>
      <c r="J256" s="280"/>
      <c r="M256" s="282"/>
      <c r="N256" s="157"/>
      <c r="O256" s="308"/>
      <c r="P256" s="308"/>
    </row>
    <row r="257" spans="3:16" s="159" customFormat="1" x14ac:dyDescent="0.25">
      <c r="C257" s="658"/>
      <c r="D257" s="658"/>
      <c r="J257" s="280"/>
      <c r="M257" s="282"/>
      <c r="N257" s="157"/>
      <c r="O257" s="308"/>
      <c r="P257" s="308"/>
    </row>
    <row r="258" spans="3:16" s="159" customFormat="1" x14ac:dyDescent="0.25">
      <c r="C258" s="658"/>
      <c r="D258" s="658"/>
      <c r="J258" s="280"/>
      <c r="M258" s="282"/>
      <c r="N258" s="157"/>
      <c r="O258" s="308"/>
      <c r="P258" s="308"/>
    </row>
    <row r="259" spans="3:16" s="159" customFormat="1" x14ac:dyDescent="0.25">
      <c r="C259" s="658"/>
      <c r="D259" s="658"/>
      <c r="J259" s="280"/>
      <c r="M259" s="282"/>
      <c r="N259" s="157"/>
      <c r="O259" s="308"/>
      <c r="P259" s="308"/>
    </row>
    <row r="260" spans="3:16" s="159" customFormat="1" x14ac:dyDescent="0.25">
      <c r="C260" s="658"/>
      <c r="D260" s="658"/>
      <c r="J260" s="280"/>
      <c r="M260" s="282"/>
      <c r="N260" s="157"/>
      <c r="O260" s="308"/>
      <c r="P260" s="308"/>
    </row>
    <row r="261" spans="3:16" s="159" customFormat="1" x14ac:dyDescent="0.25">
      <c r="C261" s="658"/>
      <c r="D261" s="658"/>
      <c r="J261" s="280"/>
      <c r="M261" s="282"/>
      <c r="N261" s="157"/>
      <c r="O261" s="308"/>
      <c r="P261" s="308"/>
    </row>
    <row r="262" spans="3:16" s="159" customFormat="1" x14ac:dyDescent="0.25">
      <c r="C262" s="658"/>
      <c r="D262" s="658"/>
      <c r="J262" s="280"/>
      <c r="M262" s="282"/>
      <c r="N262" s="157"/>
      <c r="O262" s="308"/>
      <c r="P262" s="308"/>
    </row>
    <row r="263" spans="3:16" s="159" customFormat="1" x14ac:dyDescent="0.25">
      <c r="C263" s="658"/>
      <c r="D263" s="658"/>
      <c r="J263" s="280"/>
      <c r="M263" s="282"/>
      <c r="N263" s="157"/>
      <c r="O263" s="308"/>
      <c r="P263" s="308"/>
    </row>
    <row r="264" spans="3:16" s="159" customFormat="1" x14ac:dyDescent="0.25">
      <c r="C264" s="658"/>
      <c r="D264" s="658"/>
      <c r="J264" s="280"/>
      <c r="M264" s="282"/>
      <c r="N264" s="157"/>
      <c r="O264" s="308"/>
      <c r="P264" s="308"/>
    </row>
    <row r="265" spans="3:16" s="159" customFormat="1" x14ac:dyDescent="0.25">
      <c r="C265" s="658"/>
      <c r="D265" s="658"/>
      <c r="J265" s="280"/>
      <c r="M265" s="282"/>
      <c r="N265" s="157"/>
      <c r="O265" s="308"/>
      <c r="P265" s="308"/>
    </row>
    <row r="266" spans="3:16" s="159" customFormat="1" x14ac:dyDescent="0.25">
      <c r="C266" s="658"/>
      <c r="D266" s="658"/>
      <c r="J266" s="280"/>
      <c r="M266" s="282"/>
      <c r="N266" s="157"/>
      <c r="O266" s="308"/>
      <c r="P266" s="308"/>
    </row>
    <row r="267" spans="3:16" s="159" customFormat="1" x14ac:dyDescent="0.25">
      <c r="C267" s="658"/>
      <c r="D267" s="658"/>
      <c r="J267" s="280"/>
      <c r="M267" s="282"/>
      <c r="N267" s="157"/>
      <c r="O267" s="308"/>
      <c r="P267" s="308"/>
    </row>
    <row r="268" spans="3:16" s="159" customFormat="1" x14ac:dyDescent="0.25">
      <c r="C268" s="658"/>
      <c r="D268" s="658"/>
      <c r="J268" s="280"/>
      <c r="M268" s="282"/>
      <c r="N268" s="157"/>
      <c r="O268" s="308"/>
      <c r="P268" s="308"/>
    </row>
    <row r="269" spans="3:16" s="159" customFormat="1" x14ac:dyDescent="0.25">
      <c r="C269" s="658"/>
      <c r="D269" s="658"/>
      <c r="J269" s="280"/>
      <c r="M269" s="282"/>
      <c r="N269" s="157"/>
      <c r="O269" s="308"/>
      <c r="P269" s="308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B88:B89"/>
    <mergeCell ref="C78:F78"/>
    <mergeCell ref="G78:I78"/>
    <mergeCell ref="C11:F11"/>
    <mergeCell ref="G11:I11"/>
    <mergeCell ref="C27:F27"/>
    <mergeCell ref="G27:I27"/>
    <mergeCell ref="C70:F70"/>
    <mergeCell ref="G70:I70"/>
    <mergeCell ref="K89:K90"/>
    <mergeCell ref="F87:F88"/>
    <mergeCell ref="G87:G88"/>
    <mergeCell ref="I87:I88"/>
    <mergeCell ref="J87:J88"/>
    <mergeCell ref="K87:K88"/>
    <mergeCell ref="F89:F90"/>
    <mergeCell ref="G89:G90"/>
    <mergeCell ref="I89:I90"/>
    <mergeCell ref="J89:J90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  <pageSetUpPr fitToPage="1"/>
  </sheetPr>
  <dimension ref="A1:T285"/>
  <sheetViews>
    <sheetView topLeftCell="A47" zoomScale="90" zoomScaleNormal="75" zoomScaleSheetLayoutView="90" zoomScalePageLayoutView="75" workbookViewId="0">
      <selection activeCell="M66" sqref="M66"/>
    </sheetView>
  </sheetViews>
  <sheetFormatPr defaultColWidth="9.109375" defaultRowHeight="13.2" x14ac:dyDescent="0.25"/>
  <cols>
    <col min="1" max="1" width="12.88671875" style="157" bestFit="1" customWidth="1"/>
    <col min="2" max="2" width="52.5546875" style="157" bestFit="1" customWidth="1"/>
    <col min="3" max="4" width="5" style="44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565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ht="13.8" thickBot="1" x14ac:dyDescent="0.3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ht="14.4" thickTop="1" thickBot="1" x14ac:dyDescent="0.3">
      <c r="A9" s="358" t="s">
        <v>0</v>
      </c>
      <c r="B9" s="359" t="s">
        <v>1</v>
      </c>
      <c r="C9" s="1018" t="s">
        <v>656</v>
      </c>
      <c r="D9" s="1018"/>
      <c r="E9" s="1018"/>
      <c r="F9" s="1018"/>
      <c r="G9" s="1018" t="s">
        <v>34</v>
      </c>
      <c r="H9" s="1018"/>
      <c r="I9" s="1018"/>
      <c r="J9" s="360"/>
      <c r="K9" s="528"/>
      <c r="L9" s="1021" t="s">
        <v>782</v>
      </c>
      <c r="M9" s="1023" t="s">
        <v>783</v>
      </c>
      <c r="N9" s="1025" t="s">
        <v>784</v>
      </c>
      <c r="O9" s="1027"/>
      <c r="P9" s="1029"/>
      <c r="Q9" s="1019"/>
    </row>
    <row r="10" spans="1:17" ht="15.6" x14ac:dyDescent="0.3">
      <c r="A10" s="530" t="s">
        <v>566</v>
      </c>
      <c r="B10" s="530" t="s">
        <v>567</v>
      </c>
      <c r="C10" s="364" t="s">
        <v>19</v>
      </c>
      <c r="D10" s="365" t="s">
        <v>33</v>
      </c>
      <c r="E10" s="366" t="s">
        <v>35</v>
      </c>
      <c r="F10" s="367" t="s">
        <v>30</v>
      </c>
      <c r="G10" s="531" t="s">
        <v>14</v>
      </c>
      <c r="H10" s="366" t="s">
        <v>35</v>
      </c>
      <c r="I10" s="367" t="s">
        <v>30</v>
      </c>
      <c r="J10" s="369" t="s">
        <v>659</v>
      </c>
      <c r="K10" s="532" t="s">
        <v>38</v>
      </c>
      <c r="L10" s="1022"/>
      <c r="M10" s="1024"/>
      <c r="N10" s="1026"/>
      <c r="O10" s="1028"/>
      <c r="P10" s="1030"/>
      <c r="Q10" s="1020"/>
    </row>
    <row r="11" spans="1:17" ht="15.6" x14ac:dyDescent="0.3">
      <c r="A11" s="194" t="s">
        <v>569</v>
      </c>
      <c r="B11" s="837" t="s">
        <v>995</v>
      </c>
      <c r="C11" s="838"/>
      <c r="D11" s="839" t="s">
        <v>732</v>
      </c>
      <c r="E11" s="259">
        <v>0</v>
      </c>
      <c r="F11" s="378">
        <f t="shared" ref="F11:F20" si="0">C11*E11</f>
        <v>0</v>
      </c>
      <c r="G11" s="534"/>
      <c r="H11" s="380">
        <v>0</v>
      </c>
      <c r="I11" s="378">
        <f t="shared" ref="I11:I20" si="1">G11*H11</f>
        <v>0</v>
      </c>
      <c r="J11" s="381">
        <f>M15</f>
        <v>86800</v>
      </c>
      <c r="K11" s="535">
        <f t="shared" ref="K11:K20" si="2">F11+I11+J11</f>
        <v>86800</v>
      </c>
      <c r="L11" s="383"/>
      <c r="M11" s="384"/>
      <c r="N11" s="385"/>
      <c r="O11" s="386"/>
      <c r="P11" s="387"/>
      <c r="Q11" s="388"/>
    </row>
    <row r="12" spans="1:17" ht="15" x14ac:dyDescent="0.25">
      <c r="A12" s="194" t="s">
        <v>569</v>
      </c>
      <c r="B12" s="840" t="s">
        <v>1371</v>
      </c>
      <c r="C12" s="838">
        <v>9393</v>
      </c>
      <c r="D12" s="839" t="s">
        <v>732</v>
      </c>
      <c r="E12" s="259">
        <v>0</v>
      </c>
      <c r="F12" s="378">
        <f t="shared" ref="F12" si="3">C12*E12</f>
        <v>0</v>
      </c>
      <c r="G12" s="534"/>
      <c r="H12" s="380">
        <v>0</v>
      </c>
      <c r="I12" s="378">
        <f t="shared" ref="I12" si="4">G12*H12</f>
        <v>0</v>
      </c>
      <c r="J12" s="381"/>
      <c r="K12" s="535">
        <f t="shared" ref="K12" si="5">F12+I12+J12</f>
        <v>0</v>
      </c>
      <c r="L12" s="383" t="s">
        <v>1097</v>
      </c>
      <c r="M12" s="384">
        <v>133300</v>
      </c>
      <c r="N12" s="385"/>
      <c r="O12" s="386"/>
      <c r="P12" s="387"/>
      <c r="Q12" s="388"/>
    </row>
    <row r="13" spans="1:17" ht="15" x14ac:dyDescent="0.25">
      <c r="A13" s="194"/>
      <c r="B13" s="840" t="s">
        <v>1372</v>
      </c>
      <c r="C13" s="838">
        <v>1173</v>
      </c>
      <c r="D13" s="839" t="s">
        <v>732</v>
      </c>
      <c r="E13" s="259">
        <v>0</v>
      </c>
      <c r="F13" s="378">
        <f t="shared" si="0"/>
        <v>0</v>
      </c>
      <c r="G13" s="534"/>
      <c r="H13" s="380">
        <v>0</v>
      </c>
      <c r="I13" s="378">
        <f t="shared" si="1"/>
        <v>0</v>
      </c>
      <c r="J13" s="381"/>
      <c r="K13" s="535">
        <f t="shared" si="2"/>
        <v>0</v>
      </c>
      <c r="L13" s="383" t="s">
        <v>1098</v>
      </c>
      <c r="M13" s="384">
        <v>101565</v>
      </c>
      <c r="N13" s="385"/>
      <c r="O13" s="386"/>
      <c r="P13" s="387"/>
      <c r="Q13" s="388"/>
    </row>
    <row r="14" spans="1:17" ht="15" x14ac:dyDescent="0.25">
      <c r="A14" s="194"/>
      <c r="B14" s="840" t="s">
        <v>1373</v>
      </c>
      <c r="C14" s="838">
        <v>6174</v>
      </c>
      <c r="D14" s="839" t="s">
        <v>732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 t="s">
        <v>1290</v>
      </c>
      <c r="M14" s="384">
        <v>108500</v>
      </c>
      <c r="N14" s="385" t="s">
        <v>1291</v>
      </c>
      <c r="O14" s="386"/>
      <c r="P14" s="387"/>
      <c r="Q14" s="388"/>
    </row>
    <row r="15" spans="1:17" ht="15" x14ac:dyDescent="0.25">
      <c r="A15" s="194" t="s">
        <v>569</v>
      </c>
      <c r="B15" s="194" t="s">
        <v>568</v>
      </c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959" t="s">
        <v>1343</v>
      </c>
      <c r="M15" s="908">
        <v>86800</v>
      </c>
      <c r="N15" s="385"/>
      <c r="O15" s="386"/>
      <c r="P15" s="387"/>
      <c r="Q15" s="388"/>
    </row>
    <row r="16" spans="1:17" ht="15" x14ac:dyDescent="0.25">
      <c r="A16" s="194" t="s">
        <v>570</v>
      </c>
      <c r="B16" s="194" t="s">
        <v>571</v>
      </c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ht="15" x14ac:dyDescent="0.25">
      <c r="A17" s="194" t="s">
        <v>573</v>
      </c>
      <c r="B17" s="194" t="s">
        <v>572</v>
      </c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383"/>
      <c r="M17" s="384"/>
      <c r="N17" s="385"/>
      <c r="O17" s="386"/>
      <c r="P17" s="387"/>
      <c r="Q17" s="388"/>
    </row>
    <row r="18" spans="1:17" x14ac:dyDescent="0.25"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157"/>
      <c r="M18" s="474"/>
      <c r="O18" s="386"/>
      <c r="P18" s="387"/>
      <c r="Q18" s="388"/>
    </row>
    <row r="19" spans="1:17" x14ac:dyDescent="0.25"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157"/>
      <c r="M19" s="474"/>
      <c r="O19" s="386"/>
      <c r="P19" s="387"/>
      <c r="Q19" s="388"/>
    </row>
    <row r="20" spans="1:17" x14ac:dyDescent="0.25"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541"/>
      <c r="M20" s="578"/>
      <c r="N20" s="542"/>
      <c r="O20" s="386"/>
      <c r="P20" s="387"/>
      <c r="Q20" s="388"/>
    </row>
    <row r="21" spans="1:17" ht="13.8" thickBot="1" x14ac:dyDescent="0.3">
      <c r="A21" s="392"/>
      <c r="B21" s="7"/>
      <c r="C21" s="393"/>
      <c r="D21" s="377"/>
      <c r="E21" s="259"/>
      <c r="F21" s="378"/>
      <c r="G21" s="534"/>
      <c r="H21" s="380"/>
      <c r="I21" s="378"/>
      <c r="J21" s="381"/>
      <c r="K21" s="535"/>
      <c r="L21" s="543"/>
      <c r="M21" s="469"/>
      <c r="N21" s="544"/>
      <c r="O21" s="386"/>
      <c r="P21" s="387"/>
      <c r="Q21" s="388"/>
    </row>
    <row r="22" spans="1:17" ht="13.8" thickTop="1" x14ac:dyDescent="0.25">
      <c r="A22" s="392"/>
      <c r="B22" s="7"/>
      <c r="C22" s="393"/>
      <c r="D22" s="377"/>
      <c r="E22" s="259"/>
      <c r="F22" s="378"/>
      <c r="G22" s="534"/>
      <c r="H22" s="380"/>
      <c r="I22" s="378"/>
      <c r="J22" s="394" t="s">
        <v>30</v>
      </c>
      <c r="K22" s="537">
        <f>SUM(K11:K21)</f>
        <v>86800</v>
      </c>
      <c r="L22" s="157"/>
      <c r="M22" s="474"/>
      <c r="O22" s="386"/>
      <c r="P22" s="387"/>
      <c r="Q22" s="388"/>
    </row>
    <row r="23" spans="1:17" ht="13.8" thickBot="1" x14ac:dyDescent="0.3">
      <c r="A23" s="358" t="s">
        <v>0</v>
      </c>
      <c r="B23" s="359" t="s">
        <v>1</v>
      </c>
      <c r="C23" s="1018" t="s">
        <v>656</v>
      </c>
      <c r="D23" s="1018"/>
      <c r="E23" s="1018"/>
      <c r="F23" s="1018"/>
      <c r="G23" s="1018" t="s">
        <v>34</v>
      </c>
      <c r="H23" s="1018"/>
      <c r="I23" s="1018"/>
      <c r="J23" s="360"/>
      <c r="K23" s="528"/>
      <c r="L23" s="157"/>
      <c r="M23" s="474"/>
      <c r="O23" s="386"/>
      <c r="P23" s="387"/>
      <c r="Q23" s="388"/>
    </row>
    <row r="24" spans="1:17" ht="16.2" thickBot="1" x14ac:dyDescent="0.35">
      <c r="A24" s="529" t="s">
        <v>574</v>
      </c>
      <c r="B24" s="529" t="s">
        <v>575</v>
      </c>
      <c r="C24" s="401" t="s">
        <v>19</v>
      </c>
      <c r="D24" s="402" t="s">
        <v>33</v>
      </c>
      <c r="E24" s="403" t="s">
        <v>35</v>
      </c>
      <c r="F24" s="404" t="s">
        <v>30</v>
      </c>
      <c r="G24" s="538" t="s">
        <v>14</v>
      </c>
      <c r="H24" s="403" t="s">
        <v>35</v>
      </c>
      <c r="I24" s="404" t="s">
        <v>30</v>
      </c>
      <c r="J24" s="369" t="s">
        <v>659</v>
      </c>
      <c r="K24" s="539" t="s">
        <v>38</v>
      </c>
      <c r="L24" s="396"/>
      <c r="M24" s="397"/>
      <c r="N24" s="398"/>
      <c r="O24" s="386"/>
      <c r="P24" s="387"/>
      <c r="Q24" s="388"/>
    </row>
    <row r="25" spans="1:17" s="159" customFormat="1" x14ac:dyDescent="0.25">
      <c r="A25" s="158" t="s">
        <v>576</v>
      </c>
      <c r="B25" s="159" t="s">
        <v>590</v>
      </c>
      <c r="C25" s="376"/>
      <c r="D25" s="377" t="s">
        <v>21</v>
      </c>
      <c r="E25" s="259">
        <v>0</v>
      </c>
      <c r="F25" s="378">
        <f t="shared" ref="F25:F31" si="6">C25*E25</f>
        <v>0</v>
      </c>
      <c r="G25" s="534"/>
      <c r="H25" s="380">
        <v>0</v>
      </c>
      <c r="I25" s="378">
        <f t="shared" ref="I25:I31" si="7">G25*H25</f>
        <v>0</v>
      </c>
      <c r="J25" s="381"/>
      <c r="K25" s="535">
        <f t="shared" ref="K25:K31" si="8">F25+I25+J25</f>
        <v>0</v>
      </c>
      <c r="L25" s="407"/>
      <c r="M25" s="408"/>
      <c r="N25" s="409"/>
      <c r="O25" s="386"/>
      <c r="P25" s="387"/>
      <c r="Q25" s="388"/>
    </row>
    <row r="26" spans="1:17" s="159" customFormat="1" x14ac:dyDescent="0.25">
      <c r="A26" s="678" t="s">
        <v>577</v>
      </c>
      <c r="B26" s="847" t="s">
        <v>589</v>
      </c>
      <c r="C26" s="838">
        <v>283</v>
      </c>
      <c r="D26" s="839" t="s">
        <v>997</v>
      </c>
      <c r="E26" s="259">
        <v>0</v>
      </c>
      <c r="F26" s="378">
        <f t="shared" si="6"/>
        <v>0</v>
      </c>
      <c r="G26" s="534"/>
      <c r="H26" s="380">
        <v>0</v>
      </c>
      <c r="I26" s="378">
        <f t="shared" si="7"/>
        <v>0</v>
      </c>
      <c r="J26" s="381">
        <f>M27</f>
        <v>20800</v>
      </c>
      <c r="K26" s="535">
        <f t="shared" si="8"/>
        <v>20800</v>
      </c>
      <c r="M26" s="280"/>
      <c r="O26" s="386"/>
      <c r="P26" s="387"/>
      <c r="Q26" s="388"/>
    </row>
    <row r="27" spans="1:17" s="159" customFormat="1" x14ac:dyDescent="0.25">
      <c r="A27" s="678" t="s">
        <v>578</v>
      </c>
      <c r="B27" s="836" t="s">
        <v>588</v>
      </c>
      <c r="C27" s="376"/>
      <c r="D27" s="377" t="s">
        <v>21</v>
      </c>
      <c r="E27" s="259">
        <v>0</v>
      </c>
      <c r="F27" s="378">
        <f t="shared" si="6"/>
        <v>0</v>
      </c>
      <c r="G27" s="534"/>
      <c r="H27" s="380">
        <v>0</v>
      </c>
      <c r="I27" s="378">
        <f t="shared" si="7"/>
        <v>0</v>
      </c>
      <c r="J27" s="381"/>
      <c r="K27" s="535">
        <f t="shared" si="8"/>
        <v>0</v>
      </c>
      <c r="L27" s="960" t="s">
        <v>1101</v>
      </c>
      <c r="M27" s="961">
        <v>20800</v>
      </c>
      <c r="O27" s="386"/>
      <c r="P27" s="387"/>
      <c r="Q27" s="388"/>
    </row>
    <row r="28" spans="1:17" s="159" customFormat="1" x14ac:dyDescent="0.25">
      <c r="A28" s="678" t="s">
        <v>579</v>
      </c>
      <c r="B28" s="836" t="s">
        <v>587</v>
      </c>
      <c r="C28" s="376"/>
      <c r="D28" s="377" t="s">
        <v>21</v>
      </c>
      <c r="E28" s="259">
        <v>0</v>
      </c>
      <c r="F28" s="378">
        <f t="shared" si="6"/>
        <v>0</v>
      </c>
      <c r="G28" s="534"/>
      <c r="H28" s="380">
        <v>0</v>
      </c>
      <c r="I28" s="378">
        <f t="shared" si="7"/>
        <v>0</v>
      </c>
      <c r="J28" s="381"/>
      <c r="K28" s="535">
        <f t="shared" si="8"/>
        <v>0</v>
      </c>
      <c r="M28" s="280"/>
      <c r="O28" s="386"/>
      <c r="P28" s="387"/>
      <c r="Q28" s="388"/>
    </row>
    <row r="29" spans="1:17" s="159" customFormat="1" x14ac:dyDescent="0.25">
      <c r="A29" s="678" t="s">
        <v>580</v>
      </c>
      <c r="B29" s="836" t="s">
        <v>586</v>
      </c>
      <c r="C29" s="376"/>
      <c r="D29" s="377" t="s">
        <v>21</v>
      </c>
      <c r="E29" s="259">
        <v>0</v>
      </c>
      <c r="F29" s="378">
        <f t="shared" si="6"/>
        <v>0</v>
      </c>
      <c r="G29" s="534"/>
      <c r="H29" s="380">
        <v>0</v>
      </c>
      <c r="I29" s="378">
        <f t="shared" si="7"/>
        <v>0</v>
      </c>
      <c r="J29" s="381"/>
      <c r="K29" s="535">
        <f t="shared" si="8"/>
        <v>0</v>
      </c>
      <c r="M29" s="282"/>
      <c r="N29" s="157"/>
      <c r="O29" s="386"/>
      <c r="P29" s="387"/>
      <c r="Q29" s="388"/>
    </row>
    <row r="30" spans="1:17" s="159" customFormat="1" x14ac:dyDescent="0.25">
      <c r="A30" s="678" t="s">
        <v>581</v>
      </c>
      <c r="B30" s="836" t="s">
        <v>585</v>
      </c>
      <c r="C30" s="376"/>
      <c r="D30" s="377" t="s">
        <v>21</v>
      </c>
      <c r="E30" s="259">
        <v>0</v>
      </c>
      <c r="F30" s="378">
        <f t="shared" si="6"/>
        <v>0</v>
      </c>
      <c r="G30" s="534"/>
      <c r="H30" s="380">
        <v>0</v>
      </c>
      <c r="I30" s="378">
        <f t="shared" si="7"/>
        <v>0</v>
      </c>
      <c r="J30" s="381"/>
      <c r="K30" s="535">
        <f t="shared" si="8"/>
        <v>0</v>
      </c>
      <c r="L30" s="868" t="s">
        <v>1099</v>
      </c>
      <c r="M30" s="384"/>
      <c r="N30" s="385"/>
      <c r="O30" s="386"/>
      <c r="P30" s="387"/>
      <c r="Q30" s="388"/>
    </row>
    <row r="31" spans="1:17" s="159" customFormat="1" x14ac:dyDescent="0.25">
      <c r="A31" s="158" t="s">
        <v>582</v>
      </c>
      <c r="B31" s="846" t="s">
        <v>55</v>
      </c>
      <c r="C31" s="838">
        <v>2143</v>
      </c>
      <c r="D31" s="839" t="s">
        <v>732</v>
      </c>
      <c r="E31" s="259">
        <v>0</v>
      </c>
      <c r="F31" s="378">
        <f t="shared" si="6"/>
        <v>0</v>
      </c>
      <c r="G31" s="534"/>
      <c r="H31" s="380">
        <v>0</v>
      </c>
      <c r="I31" s="378">
        <f t="shared" si="7"/>
        <v>0</v>
      </c>
      <c r="J31" s="381">
        <f>M32</f>
        <v>20250</v>
      </c>
      <c r="K31" s="535">
        <f t="shared" si="8"/>
        <v>20250</v>
      </c>
      <c r="L31" s="383" t="s">
        <v>1100</v>
      </c>
      <c r="M31" s="384"/>
      <c r="N31" s="385"/>
      <c r="O31" s="386"/>
      <c r="P31" s="387"/>
      <c r="Q31" s="388"/>
    </row>
    <row r="32" spans="1:17" s="159" customFormat="1" x14ac:dyDescent="0.25">
      <c r="A32" s="158" t="s">
        <v>583</v>
      </c>
      <c r="B32" s="159" t="s">
        <v>584</v>
      </c>
      <c r="C32" s="376"/>
      <c r="D32" s="377" t="s">
        <v>21</v>
      </c>
      <c r="E32" s="259">
        <v>0</v>
      </c>
      <c r="F32" s="378">
        <f>C32*E32</f>
        <v>0</v>
      </c>
      <c r="G32" s="534"/>
      <c r="H32" s="380">
        <v>0</v>
      </c>
      <c r="I32" s="378">
        <f>G32*H32</f>
        <v>0</v>
      </c>
      <c r="J32" s="381"/>
      <c r="K32" s="535">
        <f>F32+I32+J32</f>
        <v>0</v>
      </c>
      <c r="L32" s="962" t="s">
        <v>1101</v>
      </c>
      <c r="M32" s="963">
        <v>20250</v>
      </c>
      <c r="N32" s="542"/>
      <c r="O32" s="386"/>
      <c r="P32" s="387"/>
      <c r="Q32" s="388"/>
    </row>
    <row r="33" spans="1:20" s="159" customFormat="1" x14ac:dyDescent="0.25">
      <c r="A33" s="158" t="s">
        <v>583</v>
      </c>
      <c r="B33" s="159" t="s">
        <v>584</v>
      </c>
      <c r="C33" s="376"/>
      <c r="D33" s="377" t="s">
        <v>21</v>
      </c>
      <c r="E33" s="259">
        <v>0</v>
      </c>
      <c r="F33" s="378">
        <f>C33*E33</f>
        <v>0</v>
      </c>
      <c r="G33" s="534"/>
      <c r="H33" s="380">
        <v>0</v>
      </c>
      <c r="I33" s="378">
        <f>G33*H33</f>
        <v>0</v>
      </c>
      <c r="J33" s="381"/>
      <c r="K33" s="535">
        <f>F33+I33+J33</f>
        <v>0</v>
      </c>
      <c r="L33" s="541"/>
      <c r="M33" s="578"/>
      <c r="N33" s="542"/>
      <c r="O33" s="386"/>
      <c r="P33" s="387"/>
      <c r="Q33" s="388"/>
    </row>
    <row r="34" spans="1:20" s="159" customFormat="1" x14ac:dyDescent="0.25">
      <c r="A34" s="158" t="s">
        <v>583</v>
      </c>
      <c r="B34" s="159" t="s">
        <v>584</v>
      </c>
      <c r="C34" s="376"/>
      <c r="D34" s="377" t="s">
        <v>21</v>
      </c>
      <c r="E34" s="259">
        <v>0</v>
      </c>
      <c r="F34" s="378">
        <f>C34*E34</f>
        <v>0</v>
      </c>
      <c r="G34" s="534"/>
      <c r="H34" s="380">
        <v>0</v>
      </c>
      <c r="I34" s="378">
        <f>G34*H34</f>
        <v>0</v>
      </c>
      <c r="J34" s="381"/>
      <c r="K34" s="535">
        <f>F34+I34+J34</f>
        <v>0</v>
      </c>
      <c r="L34" s="383" t="s">
        <v>1290</v>
      </c>
      <c r="M34" s="578">
        <v>44000</v>
      </c>
      <c r="N34" s="542" t="s">
        <v>1292</v>
      </c>
      <c r="O34" s="386"/>
      <c r="P34" s="387"/>
      <c r="Q34" s="388"/>
    </row>
    <row r="35" spans="1:20" s="159" customFormat="1" x14ac:dyDescent="0.25">
      <c r="A35" s="158" t="s">
        <v>583</v>
      </c>
      <c r="B35" s="159" t="s">
        <v>584</v>
      </c>
      <c r="C35" s="376"/>
      <c r="D35" s="377" t="s">
        <v>21</v>
      </c>
      <c r="E35" s="259">
        <v>0</v>
      </c>
      <c r="F35" s="378">
        <f>C35*E35</f>
        <v>0</v>
      </c>
      <c r="G35" s="534"/>
      <c r="H35" s="380">
        <v>0</v>
      </c>
      <c r="I35" s="378">
        <f>G35*H35</f>
        <v>0</v>
      </c>
      <c r="J35" s="381"/>
      <c r="K35" s="535">
        <f>F35+I35+J35</f>
        <v>0</v>
      </c>
      <c r="L35" s="541"/>
      <c r="M35" s="578"/>
      <c r="N35" s="542"/>
      <c r="O35" s="386"/>
      <c r="P35" s="387"/>
      <c r="Q35" s="388"/>
    </row>
    <row r="36" spans="1:20" s="159" customFormat="1" ht="13.8" thickBot="1" x14ac:dyDescent="0.3">
      <c r="A36" s="158"/>
      <c r="C36" s="393"/>
      <c r="D36" s="377"/>
      <c r="E36" s="259"/>
      <c r="F36" s="378"/>
      <c r="G36" s="534"/>
      <c r="H36" s="380"/>
      <c r="I36" s="378"/>
      <c r="J36" s="261"/>
      <c r="K36" s="540"/>
      <c r="M36" s="280"/>
      <c r="O36" s="386"/>
      <c r="P36" s="387"/>
      <c r="Q36" s="388"/>
    </row>
    <row r="37" spans="1:20" s="159" customFormat="1" ht="13.8" thickTop="1" x14ac:dyDescent="0.25">
      <c r="A37" s="392"/>
      <c r="B37" s="5"/>
      <c r="C37" s="393"/>
      <c r="D37" s="377"/>
      <c r="E37" s="259"/>
      <c r="F37" s="378"/>
      <c r="G37" s="534"/>
      <c r="H37" s="380"/>
      <c r="I37" s="378"/>
      <c r="J37" s="394" t="s">
        <v>30</v>
      </c>
      <c r="K37" s="537">
        <f>SUM(K25:K36)</f>
        <v>41050</v>
      </c>
      <c r="M37" s="280"/>
      <c r="O37" s="386"/>
      <c r="P37" s="387"/>
      <c r="Q37" s="388"/>
    </row>
    <row r="38" spans="1:20" s="159" customFormat="1" ht="13.8" thickBot="1" x14ac:dyDescent="0.3">
      <c r="A38" s="358" t="s">
        <v>0</v>
      </c>
      <c r="B38" s="359" t="s">
        <v>1</v>
      </c>
      <c r="C38" s="1018" t="s">
        <v>656</v>
      </c>
      <c r="D38" s="1018"/>
      <c r="E38" s="1018"/>
      <c r="F38" s="1018"/>
      <c r="G38" s="1018" t="s">
        <v>34</v>
      </c>
      <c r="H38" s="1018"/>
      <c r="I38" s="1018"/>
      <c r="J38" s="360"/>
      <c r="K38" s="528"/>
      <c r="L38" s="157"/>
      <c r="M38" s="474"/>
      <c r="N38" s="157"/>
      <c r="O38" s="386"/>
      <c r="P38" s="387"/>
      <c r="Q38" s="388"/>
    </row>
    <row r="39" spans="1:20" s="159" customFormat="1" ht="16.2" thickBot="1" x14ac:dyDescent="0.35">
      <c r="A39" s="529" t="s">
        <v>591</v>
      </c>
      <c r="B39" s="529" t="s">
        <v>592</v>
      </c>
      <c r="C39" s="401" t="s">
        <v>19</v>
      </c>
      <c r="D39" s="402" t="s">
        <v>33</v>
      </c>
      <c r="E39" s="403" t="s">
        <v>35</v>
      </c>
      <c r="F39" s="404" t="s">
        <v>30</v>
      </c>
      <c r="G39" s="538" t="s">
        <v>14</v>
      </c>
      <c r="H39" s="403" t="s">
        <v>35</v>
      </c>
      <c r="I39" s="404" t="s">
        <v>30</v>
      </c>
      <c r="J39" s="369" t="s">
        <v>659</v>
      </c>
      <c r="K39" s="539" t="s">
        <v>38</v>
      </c>
      <c r="L39" s="396"/>
      <c r="M39" s="397"/>
      <c r="N39" s="398"/>
      <c r="O39" s="386"/>
      <c r="P39" s="387"/>
      <c r="Q39" s="388"/>
    </row>
    <row r="40" spans="1:20" s="159" customFormat="1" x14ac:dyDescent="0.25">
      <c r="A40" s="158" t="s">
        <v>595</v>
      </c>
      <c r="B40" s="159" t="s">
        <v>593</v>
      </c>
      <c r="C40" s="376"/>
      <c r="D40" s="377" t="s">
        <v>21</v>
      </c>
      <c r="E40" s="259">
        <v>0</v>
      </c>
      <c r="F40" s="378">
        <f t="shared" ref="F40:F45" si="9">C40*E40</f>
        <v>0</v>
      </c>
      <c r="G40" s="534"/>
      <c r="H40" s="380">
        <v>0</v>
      </c>
      <c r="I40" s="378">
        <f t="shared" ref="I40:I45" si="10">G40*H40</f>
        <v>0</v>
      </c>
      <c r="J40" s="381"/>
      <c r="K40" s="535">
        <f t="shared" ref="K40:K45" si="11">F40+I40+J40</f>
        <v>0</v>
      </c>
      <c r="L40" s="407"/>
      <c r="M40" s="408"/>
      <c r="N40" s="409"/>
      <c r="O40" s="386"/>
      <c r="P40" s="387"/>
      <c r="Q40" s="388"/>
    </row>
    <row r="41" spans="1:20" s="159" customFormat="1" x14ac:dyDescent="0.25">
      <c r="A41" s="158" t="s">
        <v>594</v>
      </c>
      <c r="B41" s="844" t="s">
        <v>999</v>
      </c>
      <c r="C41" s="838"/>
      <c r="D41" s="839" t="s">
        <v>21</v>
      </c>
      <c r="E41" s="259">
        <v>0</v>
      </c>
      <c r="F41" s="378">
        <f t="shared" si="9"/>
        <v>0</v>
      </c>
      <c r="G41" s="534"/>
      <c r="H41" s="380">
        <v>0</v>
      </c>
      <c r="I41" s="378">
        <f t="shared" si="10"/>
        <v>0</v>
      </c>
      <c r="J41" s="381">
        <f>M42</f>
        <v>1400</v>
      </c>
      <c r="K41" s="535">
        <f t="shared" si="11"/>
        <v>1400</v>
      </c>
      <c r="L41" s="543"/>
      <c r="M41" s="669"/>
      <c r="N41" s="668"/>
      <c r="O41" s="415"/>
      <c r="P41" s="416"/>
      <c r="Q41" s="388"/>
    </row>
    <row r="42" spans="1:20" s="159" customFormat="1" x14ac:dyDescent="0.25">
      <c r="A42" s="158"/>
      <c r="B42" s="842" t="s">
        <v>1000</v>
      </c>
      <c r="C42" s="838">
        <v>15155</v>
      </c>
      <c r="D42" s="839" t="s">
        <v>732</v>
      </c>
      <c r="E42" s="259">
        <v>0</v>
      </c>
      <c r="F42" s="378">
        <f t="shared" si="9"/>
        <v>0</v>
      </c>
      <c r="G42" s="534"/>
      <c r="H42" s="380">
        <v>0</v>
      </c>
      <c r="I42" s="378">
        <f t="shared" si="10"/>
        <v>0</v>
      </c>
      <c r="J42" s="381"/>
      <c r="K42" s="535">
        <f t="shared" si="11"/>
        <v>0</v>
      </c>
      <c r="L42" s="964" t="s">
        <v>1141</v>
      </c>
      <c r="M42" s="965">
        <v>1400</v>
      </c>
      <c r="N42" s="668"/>
      <c r="O42" s="415"/>
      <c r="P42" s="416"/>
      <c r="Q42" s="388"/>
    </row>
    <row r="43" spans="1:20" s="159" customFormat="1" x14ac:dyDescent="0.25">
      <c r="A43" s="158"/>
      <c r="B43" s="842" t="s">
        <v>1001</v>
      </c>
      <c r="C43" s="838">
        <v>9393</v>
      </c>
      <c r="D43" s="839" t="s">
        <v>732</v>
      </c>
      <c r="E43" s="259">
        <v>0</v>
      </c>
      <c r="F43" s="378">
        <f t="shared" si="9"/>
        <v>0</v>
      </c>
      <c r="G43" s="534"/>
      <c r="H43" s="380">
        <v>0</v>
      </c>
      <c r="I43" s="378">
        <f t="shared" si="10"/>
        <v>0</v>
      </c>
      <c r="J43" s="381"/>
      <c r="K43" s="535">
        <f t="shared" si="11"/>
        <v>0</v>
      </c>
      <c r="L43" s="543"/>
      <c r="M43" s="669"/>
      <c r="N43" s="668"/>
      <c r="O43" s="415"/>
      <c r="P43" s="416"/>
      <c r="Q43" s="388"/>
    </row>
    <row r="44" spans="1:20" s="159" customFormat="1" x14ac:dyDescent="0.25">
      <c r="A44" s="158"/>
      <c r="C44" s="376"/>
      <c r="D44" s="377" t="s">
        <v>21</v>
      </c>
      <c r="E44" s="259">
        <v>0</v>
      </c>
      <c r="F44" s="378">
        <f t="shared" si="9"/>
        <v>0</v>
      </c>
      <c r="G44" s="534"/>
      <c r="H44" s="380">
        <v>0</v>
      </c>
      <c r="I44" s="378">
        <f t="shared" si="10"/>
        <v>0</v>
      </c>
      <c r="J44" s="381"/>
      <c r="K44" s="535">
        <f t="shared" si="11"/>
        <v>0</v>
      </c>
      <c r="L44" s="543"/>
      <c r="M44" s="669"/>
      <c r="N44" s="668"/>
      <c r="O44" s="415"/>
      <c r="P44" s="416"/>
      <c r="Q44" s="388"/>
    </row>
    <row r="45" spans="1:20" s="159" customFormat="1" x14ac:dyDescent="0.25">
      <c r="A45" s="375"/>
      <c r="B45" s="5"/>
      <c r="C45" s="376"/>
      <c r="D45" s="377" t="s">
        <v>21</v>
      </c>
      <c r="E45" s="259">
        <v>0</v>
      </c>
      <c r="F45" s="378">
        <f t="shared" si="9"/>
        <v>0</v>
      </c>
      <c r="G45" s="534"/>
      <c r="H45" s="380">
        <v>0</v>
      </c>
      <c r="I45" s="378">
        <f t="shared" si="10"/>
        <v>0</v>
      </c>
      <c r="J45" s="381"/>
      <c r="K45" s="535">
        <f t="shared" si="11"/>
        <v>0</v>
      </c>
      <c r="L45" s="383"/>
      <c r="M45" s="384"/>
      <c r="N45" s="385"/>
      <c r="O45" s="415"/>
      <c r="P45" s="416"/>
      <c r="Q45" s="388"/>
    </row>
    <row r="46" spans="1:20" s="159" customFormat="1" ht="15" x14ac:dyDescent="0.25">
      <c r="A46" s="392"/>
      <c r="B46" s="417"/>
      <c r="C46" s="393"/>
      <c r="D46" s="377"/>
      <c r="E46" s="259"/>
      <c r="F46" s="378"/>
      <c r="G46" s="534"/>
      <c r="H46" s="380"/>
      <c r="I46" s="378"/>
      <c r="J46" s="381"/>
      <c r="K46" s="540"/>
      <c r="M46" s="280"/>
      <c r="O46" s="415"/>
      <c r="P46" s="416"/>
      <c r="Q46" s="388"/>
      <c r="S46" s="196"/>
      <c r="T46" s="196"/>
    </row>
    <row r="47" spans="1:20" s="159" customFormat="1" ht="15.6" thickBot="1" x14ac:dyDescent="0.3">
      <c r="A47" s="392"/>
      <c r="B47" s="417"/>
      <c r="C47" s="393"/>
      <c r="D47" s="377"/>
      <c r="E47" s="259"/>
      <c r="F47" s="378"/>
      <c r="G47" s="534"/>
      <c r="H47" s="380"/>
      <c r="I47" s="378"/>
      <c r="J47" s="381"/>
      <c r="K47" s="540"/>
      <c r="M47" s="280"/>
      <c r="O47" s="415"/>
      <c r="P47" s="416"/>
      <c r="Q47" s="388"/>
      <c r="S47" s="196"/>
      <c r="T47" s="196"/>
    </row>
    <row r="48" spans="1:20" s="159" customFormat="1" ht="15.6" thickTop="1" x14ac:dyDescent="0.25">
      <c r="A48" s="392"/>
      <c r="B48" s="417"/>
      <c r="C48" s="393"/>
      <c r="D48" s="377"/>
      <c r="E48" s="259"/>
      <c r="F48" s="378"/>
      <c r="G48" s="534"/>
      <c r="H48" s="380"/>
      <c r="I48" s="378"/>
      <c r="J48" s="394" t="s">
        <v>30</v>
      </c>
      <c r="K48" s="537">
        <f>SUM(K40:K47)</f>
        <v>1400</v>
      </c>
      <c r="L48" s="383"/>
      <c r="M48" s="384"/>
      <c r="N48" s="385"/>
      <c r="O48" s="415"/>
      <c r="P48" s="416"/>
      <c r="Q48" s="388"/>
      <c r="S48" s="196"/>
      <c r="T48" s="196"/>
    </row>
    <row r="49" spans="1:20" s="159" customFormat="1" ht="15.6" thickBot="1" x14ac:dyDescent="0.3">
      <c r="A49" s="358" t="s">
        <v>0</v>
      </c>
      <c r="B49" s="359" t="s">
        <v>1</v>
      </c>
      <c r="C49" s="1018" t="s">
        <v>656</v>
      </c>
      <c r="D49" s="1018"/>
      <c r="E49" s="1018"/>
      <c r="F49" s="1018"/>
      <c r="G49" s="1018" t="s">
        <v>34</v>
      </c>
      <c r="H49" s="1018"/>
      <c r="I49" s="1018"/>
      <c r="J49" s="360"/>
      <c r="K49" s="528"/>
      <c r="L49" s="396"/>
      <c r="M49" s="397"/>
      <c r="N49" s="398"/>
      <c r="O49" s="415"/>
      <c r="P49" s="416"/>
      <c r="Q49" s="388"/>
      <c r="S49" s="196"/>
      <c r="T49" s="196"/>
    </row>
    <row r="50" spans="1:20" s="159" customFormat="1" ht="15.6" x14ac:dyDescent="0.3">
      <c r="A50" s="530" t="s">
        <v>596</v>
      </c>
      <c r="B50" s="530" t="s">
        <v>597</v>
      </c>
      <c r="C50" s="401" t="s">
        <v>19</v>
      </c>
      <c r="D50" s="402" t="s">
        <v>33</v>
      </c>
      <c r="E50" s="403" t="s">
        <v>35</v>
      </c>
      <c r="F50" s="404" t="s">
        <v>30</v>
      </c>
      <c r="G50" s="538" t="s">
        <v>14</v>
      </c>
      <c r="H50" s="403" t="s">
        <v>35</v>
      </c>
      <c r="I50" s="404" t="s">
        <v>30</v>
      </c>
      <c r="J50" s="369" t="s">
        <v>659</v>
      </c>
      <c r="K50" s="539" t="s">
        <v>38</v>
      </c>
      <c r="L50" s="407"/>
      <c r="M50" s="413"/>
      <c r="N50" s="414"/>
      <c r="O50" s="386"/>
      <c r="P50" s="387"/>
      <c r="Q50" s="388"/>
      <c r="S50" s="157"/>
      <c r="T50" s="157"/>
    </row>
    <row r="51" spans="1:20" s="159" customFormat="1" ht="15" x14ac:dyDescent="0.25">
      <c r="A51" s="533" t="s">
        <v>598</v>
      </c>
      <c r="B51" s="843" t="s">
        <v>1177</v>
      </c>
      <c r="C51" s="838">
        <v>162</v>
      </c>
      <c r="D51" s="839" t="s">
        <v>997</v>
      </c>
      <c r="E51" s="259">
        <v>0</v>
      </c>
      <c r="F51" s="378">
        <f t="shared" ref="F51:F56" si="12">C51*E51</f>
        <v>0</v>
      </c>
      <c r="G51" s="534"/>
      <c r="H51" s="380">
        <v>0</v>
      </c>
      <c r="I51" s="378">
        <f t="shared" ref="I51:I56" si="13">G51*H51</f>
        <v>0</v>
      </c>
      <c r="J51" s="381">
        <f>M56</f>
        <v>19990</v>
      </c>
      <c r="K51" s="535">
        <f t="shared" ref="K51:K56" si="14">F51+I51+J51</f>
        <v>19990</v>
      </c>
      <c r="L51" s="870" t="s">
        <v>1102</v>
      </c>
      <c r="M51" s="280"/>
      <c r="O51" s="386"/>
      <c r="P51" s="387"/>
      <c r="Q51" s="388"/>
    </row>
    <row r="52" spans="1:20" s="159" customFormat="1" ht="15" x14ac:dyDescent="0.25">
      <c r="A52" s="533" t="s">
        <v>598</v>
      </c>
      <c r="B52" s="843" t="s">
        <v>1178</v>
      </c>
      <c r="C52" s="838">
        <v>326</v>
      </c>
      <c r="D52" s="839" t="s">
        <v>997</v>
      </c>
      <c r="E52" s="259">
        <v>0</v>
      </c>
      <c r="F52" s="378">
        <f t="shared" si="12"/>
        <v>0</v>
      </c>
      <c r="G52" s="534"/>
      <c r="H52" s="380">
        <v>0</v>
      </c>
      <c r="I52" s="378">
        <f t="shared" si="13"/>
        <v>0</v>
      </c>
      <c r="J52" s="381">
        <f>M57</f>
        <v>21676</v>
      </c>
      <c r="K52" s="535">
        <f t="shared" si="14"/>
        <v>21676</v>
      </c>
      <c r="L52" s="159" t="s">
        <v>1165</v>
      </c>
      <c r="M52" s="280">
        <v>20500</v>
      </c>
      <c r="O52" s="386"/>
      <c r="P52" s="387"/>
      <c r="Q52" s="388"/>
    </row>
    <row r="53" spans="1:20" s="159" customFormat="1" ht="15" x14ac:dyDescent="0.25">
      <c r="A53" s="533" t="s">
        <v>599</v>
      </c>
      <c r="B53" s="196" t="s">
        <v>600</v>
      </c>
      <c r="C53" s="376"/>
      <c r="D53" s="377" t="s">
        <v>21</v>
      </c>
      <c r="E53" s="259">
        <v>0</v>
      </c>
      <c r="F53" s="378">
        <f t="shared" si="12"/>
        <v>0</v>
      </c>
      <c r="G53" s="534"/>
      <c r="H53" s="380">
        <v>0</v>
      </c>
      <c r="I53" s="378">
        <f t="shared" si="13"/>
        <v>0</v>
      </c>
      <c r="J53" s="381"/>
      <c r="K53" s="535">
        <f t="shared" si="14"/>
        <v>0</v>
      </c>
      <c r="L53" s="383" t="s">
        <v>1166</v>
      </c>
      <c r="M53" s="280">
        <v>22110</v>
      </c>
      <c r="O53" s="386"/>
      <c r="P53" s="416"/>
      <c r="Q53" s="388"/>
    </row>
    <row r="54" spans="1:20" s="159" customFormat="1" ht="15" x14ac:dyDescent="0.25">
      <c r="A54" s="533" t="s">
        <v>601</v>
      </c>
      <c r="B54" s="196" t="s">
        <v>602</v>
      </c>
      <c r="C54" s="376"/>
      <c r="D54" s="377" t="s">
        <v>21</v>
      </c>
      <c r="E54" s="259">
        <v>0</v>
      </c>
      <c r="F54" s="378">
        <f t="shared" si="12"/>
        <v>0</v>
      </c>
      <c r="G54" s="534"/>
      <c r="H54" s="380">
        <v>0</v>
      </c>
      <c r="I54" s="378">
        <f t="shared" si="13"/>
        <v>0</v>
      </c>
      <c r="J54" s="381"/>
      <c r="K54" s="535">
        <f t="shared" si="14"/>
        <v>0</v>
      </c>
      <c r="N54" s="952"/>
      <c r="O54" s="386"/>
      <c r="P54" s="387"/>
      <c r="Q54" s="388"/>
    </row>
    <row r="55" spans="1:20" s="159" customFormat="1" x14ac:dyDescent="0.25">
      <c r="A55" s="262" t="s">
        <v>604</v>
      </c>
      <c r="B55" s="262" t="s">
        <v>603</v>
      </c>
      <c r="C55" s="376"/>
      <c r="D55" s="377" t="s">
        <v>21</v>
      </c>
      <c r="E55" s="259">
        <v>0</v>
      </c>
      <c r="F55" s="378">
        <f t="shared" si="12"/>
        <v>0</v>
      </c>
      <c r="G55" s="534"/>
      <c r="H55" s="380">
        <v>0</v>
      </c>
      <c r="I55" s="378">
        <f t="shared" si="13"/>
        <v>0</v>
      </c>
      <c r="J55" s="381"/>
      <c r="K55" s="535">
        <f t="shared" si="14"/>
        <v>0</v>
      </c>
      <c r="L55" s="966" t="s">
        <v>1169</v>
      </c>
      <c r="M55" s="280"/>
      <c r="N55" s="542"/>
      <c r="O55" s="386"/>
      <c r="P55" s="387"/>
      <c r="Q55" s="388"/>
    </row>
    <row r="56" spans="1:20" s="159" customFormat="1" x14ac:dyDescent="0.25">
      <c r="A56" s="375"/>
      <c r="B56" s="5"/>
      <c r="C56" s="376"/>
      <c r="D56" s="377" t="s">
        <v>21</v>
      </c>
      <c r="E56" s="259">
        <v>0</v>
      </c>
      <c r="F56" s="378">
        <f t="shared" si="12"/>
        <v>0</v>
      </c>
      <c r="G56" s="534"/>
      <c r="H56" s="380">
        <v>0</v>
      </c>
      <c r="I56" s="378">
        <f t="shared" si="13"/>
        <v>0</v>
      </c>
      <c r="J56" s="381"/>
      <c r="K56" s="535">
        <f t="shared" si="14"/>
        <v>0</v>
      </c>
      <c r="L56" s="159" t="s">
        <v>1165</v>
      </c>
      <c r="M56" s="280">
        <v>19990</v>
      </c>
      <c r="O56" s="386"/>
      <c r="P56" s="387"/>
      <c r="Q56" s="388"/>
    </row>
    <row r="57" spans="1:20" s="159" customFormat="1" ht="13.8" thickBot="1" x14ac:dyDescent="0.3">
      <c r="A57" s="392"/>
      <c r="B57" s="417"/>
      <c r="C57" s="393"/>
      <c r="D57" s="377"/>
      <c r="E57" s="259"/>
      <c r="F57" s="378"/>
      <c r="G57" s="534"/>
      <c r="H57" s="380"/>
      <c r="I57" s="378"/>
      <c r="J57" s="381"/>
      <c r="K57" s="540"/>
      <c r="L57" s="383" t="s">
        <v>1166</v>
      </c>
      <c r="M57" s="261">
        <v>21676</v>
      </c>
      <c r="O57" s="386"/>
      <c r="P57" s="387"/>
      <c r="Q57" s="388"/>
    </row>
    <row r="58" spans="1:20" s="159" customFormat="1" ht="13.8" thickTop="1" x14ac:dyDescent="0.25">
      <c r="A58" s="392"/>
      <c r="B58" s="417"/>
      <c r="C58" s="393"/>
      <c r="D58" s="377"/>
      <c r="E58" s="259"/>
      <c r="F58" s="378"/>
      <c r="G58" s="534"/>
      <c r="H58" s="380"/>
      <c r="I58" s="378"/>
      <c r="J58" s="394" t="s">
        <v>30</v>
      </c>
      <c r="K58" s="537">
        <f>SUM(K51:K57)</f>
        <v>41666</v>
      </c>
      <c r="L58" s="383"/>
      <c r="M58" s="261"/>
      <c r="N58" s="426"/>
      <c r="O58" s="386"/>
      <c r="P58" s="387"/>
      <c r="Q58" s="388"/>
    </row>
    <row r="59" spans="1:20" s="159" customFormat="1" ht="13.8" thickBot="1" x14ac:dyDescent="0.3">
      <c r="A59" s="358" t="s">
        <v>0</v>
      </c>
      <c r="B59" s="359" t="s">
        <v>1</v>
      </c>
      <c r="C59" s="1018" t="s">
        <v>656</v>
      </c>
      <c r="D59" s="1018"/>
      <c r="E59" s="1018"/>
      <c r="F59" s="1018"/>
      <c r="G59" s="1018" t="s">
        <v>34</v>
      </c>
      <c r="H59" s="1018"/>
      <c r="I59" s="1018"/>
      <c r="J59" s="360"/>
      <c r="K59" s="528"/>
      <c r="L59" s="396"/>
      <c r="M59" s="397"/>
      <c r="N59" s="398"/>
      <c r="O59" s="386"/>
      <c r="P59" s="387"/>
      <c r="Q59" s="388"/>
    </row>
    <row r="60" spans="1:20" s="159" customFormat="1" ht="15.6" x14ac:dyDescent="0.3">
      <c r="A60" s="530" t="s">
        <v>605</v>
      </c>
      <c r="B60" s="530" t="s">
        <v>606</v>
      </c>
      <c r="C60" s="401" t="s">
        <v>19</v>
      </c>
      <c r="D60" s="402" t="s">
        <v>33</v>
      </c>
      <c r="E60" s="403" t="s">
        <v>35</v>
      </c>
      <c r="F60" s="404" t="s">
        <v>30</v>
      </c>
      <c r="G60" s="538" t="s">
        <v>14</v>
      </c>
      <c r="H60" s="403" t="s">
        <v>35</v>
      </c>
      <c r="I60" s="404" t="s">
        <v>30</v>
      </c>
      <c r="J60" s="369" t="s">
        <v>659</v>
      </c>
      <c r="K60" s="539" t="s">
        <v>38</v>
      </c>
      <c r="L60" s="407"/>
      <c r="M60" s="413"/>
      <c r="N60" s="414"/>
      <c r="O60" s="441"/>
      <c r="P60" s="442"/>
      <c r="Q60" s="388"/>
    </row>
    <row r="61" spans="1:20" s="159" customFormat="1" ht="15" x14ac:dyDescent="0.25">
      <c r="A61" s="196" t="s">
        <v>607</v>
      </c>
      <c r="B61" s="196" t="s">
        <v>608</v>
      </c>
      <c r="C61" s="376"/>
      <c r="D61" s="377" t="s">
        <v>21</v>
      </c>
      <c r="E61" s="259">
        <v>0</v>
      </c>
      <c r="F61" s="378">
        <f t="shared" ref="F61:F67" si="15">C61*E61</f>
        <v>0</v>
      </c>
      <c r="G61" s="534"/>
      <c r="H61" s="380">
        <v>0</v>
      </c>
      <c r="I61" s="378">
        <f t="shared" ref="I61:I67" si="16">G61*H61</f>
        <v>0</v>
      </c>
      <c r="J61" s="381"/>
      <c r="K61" s="535">
        <f t="shared" ref="K61:K67" si="17">F61+I61+J61</f>
        <v>0</v>
      </c>
      <c r="M61" s="280"/>
      <c r="O61" s="441"/>
      <c r="P61" s="442"/>
      <c r="Q61" s="388"/>
    </row>
    <row r="62" spans="1:20" s="159" customFormat="1" ht="15" x14ac:dyDescent="0.25">
      <c r="A62" s="196" t="s">
        <v>609</v>
      </c>
      <c r="B62" s="196" t="s">
        <v>610</v>
      </c>
      <c r="C62" s="376"/>
      <c r="D62" s="377" t="s">
        <v>21</v>
      </c>
      <c r="E62" s="259">
        <v>0</v>
      </c>
      <c r="F62" s="378">
        <f t="shared" si="15"/>
        <v>0</v>
      </c>
      <c r="G62" s="534"/>
      <c r="H62" s="380">
        <v>0</v>
      </c>
      <c r="I62" s="378">
        <f t="shared" si="16"/>
        <v>0</v>
      </c>
      <c r="J62" s="381"/>
      <c r="K62" s="535">
        <f t="shared" si="17"/>
        <v>0</v>
      </c>
      <c r="L62" s="960" t="s">
        <v>1103</v>
      </c>
      <c r="M62" s="961">
        <v>26588</v>
      </c>
      <c r="N62" s="159" t="s">
        <v>1374</v>
      </c>
      <c r="O62" s="415"/>
      <c r="P62" s="416"/>
      <c r="Q62" s="388"/>
    </row>
    <row r="63" spans="1:20" s="159" customFormat="1" ht="15" x14ac:dyDescent="0.25">
      <c r="A63" s="196" t="s">
        <v>611</v>
      </c>
      <c r="B63" s="843" t="s">
        <v>998</v>
      </c>
      <c r="C63" s="838">
        <v>9481</v>
      </c>
      <c r="D63" s="839" t="s">
        <v>732</v>
      </c>
      <c r="E63" s="259">
        <v>0</v>
      </c>
      <c r="F63" s="378">
        <f t="shared" si="15"/>
        <v>0</v>
      </c>
      <c r="G63" s="534"/>
      <c r="H63" s="380">
        <v>0</v>
      </c>
      <c r="I63" s="378">
        <f t="shared" si="16"/>
        <v>0</v>
      </c>
      <c r="J63" s="381">
        <f>M62</f>
        <v>26588</v>
      </c>
      <c r="K63" s="535">
        <f t="shared" si="17"/>
        <v>26588</v>
      </c>
      <c r="M63" s="280"/>
      <c r="O63" s="386"/>
      <c r="P63" s="387"/>
      <c r="Q63" s="388"/>
    </row>
    <row r="64" spans="1:20" s="159" customFormat="1" x14ac:dyDescent="0.25">
      <c r="A64" s="375"/>
      <c r="B64" s="5"/>
      <c r="C64" s="376"/>
      <c r="D64" s="377" t="s">
        <v>21</v>
      </c>
      <c r="E64" s="259">
        <v>0</v>
      </c>
      <c r="F64" s="378">
        <f t="shared" si="15"/>
        <v>0</v>
      </c>
      <c r="G64" s="534"/>
      <c r="H64" s="380">
        <v>0</v>
      </c>
      <c r="I64" s="378">
        <f t="shared" si="16"/>
        <v>0</v>
      </c>
      <c r="J64" s="381"/>
      <c r="K64" s="535">
        <f t="shared" si="17"/>
        <v>0</v>
      </c>
      <c r="L64" s="159">
        <v>880</v>
      </c>
      <c r="M64" s="280"/>
      <c r="N64" s="159">
        <f>1156-880</f>
        <v>276</v>
      </c>
      <c r="O64" s="386"/>
      <c r="P64" s="387"/>
      <c r="Q64" s="388"/>
    </row>
    <row r="65" spans="1:17" s="159" customFormat="1" x14ac:dyDescent="0.25">
      <c r="A65" s="375"/>
      <c r="B65" s="5"/>
      <c r="C65" s="376"/>
      <c r="D65" s="377" t="s">
        <v>21</v>
      </c>
      <c r="E65" s="259">
        <v>0</v>
      </c>
      <c r="F65" s="378">
        <f t="shared" si="15"/>
        <v>0</v>
      </c>
      <c r="G65" s="534"/>
      <c r="H65" s="380">
        <v>0</v>
      </c>
      <c r="I65" s="378">
        <f t="shared" si="16"/>
        <v>0</v>
      </c>
      <c r="J65" s="381"/>
      <c r="K65" s="535">
        <f t="shared" si="17"/>
        <v>0</v>
      </c>
      <c r="M65" s="280"/>
      <c r="N65" s="159">
        <f>11.79+8.59+2.62</f>
        <v>23</v>
      </c>
      <c r="O65" s="386"/>
      <c r="P65" s="387"/>
      <c r="Q65" s="388"/>
    </row>
    <row r="66" spans="1:17" s="159" customFormat="1" x14ac:dyDescent="0.25">
      <c r="A66" s="375"/>
      <c r="B66" s="5"/>
      <c r="C66" s="376"/>
      <c r="D66" s="377" t="s">
        <v>21</v>
      </c>
      <c r="E66" s="259">
        <v>0</v>
      </c>
      <c r="F66" s="378">
        <f t="shared" si="15"/>
        <v>0</v>
      </c>
      <c r="G66" s="534"/>
      <c r="H66" s="380">
        <v>0</v>
      </c>
      <c r="I66" s="378">
        <f t="shared" si="16"/>
        <v>0</v>
      </c>
      <c r="J66" s="381"/>
      <c r="K66" s="535">
        <f t="shared" si="17"/>
        <v>0</v>
      </c>
      <c r="L66" s="383"/>
      <c r="M66" s="261"/>
      <c r="N66" s="385"/>
      <c r="O66" s="386"/>
      <c r="P66" s="387"/>
      <c r="Q66" s="388"/>
    </row>
    <row r="67" spans="1:17" s="159" customFormat="1" x14ac:dyDescent="0.25">
      <c r="A67" s="375"/>
      <c r="B67" s="5"/>
      <c r="C67" s="376"/>
      <c r="D67" s="377" t="s">
        <v>21</v>
      </c>
      <c r="E67" s="259">
        <v>0</v>
      </c>
      <c r="F67" s="378">
        <f t="shared" si="15"/>
        <v>0</v>
      </c>
      <c r="G67" s="534"/>
      <c r="H67" s="380">
        <v>0</v>
      </c>
      <c r="I67" s="378">
        <f t="shared" si="16"/>
        <v>0</v>
      </c>
      <c r="J67" s="381"/>
      <c r="K67" s="535">
        <f t="shared" si="17"/>
        <v>0</v>
      </c>
      <c r="M67" s="280"/>
      <c r="N67" s="942">
        <f>N64*N65</f>
        <v>6348</v>
      </c>
      <c r="O67" s="386"/>
      <c r="P67" s="387"/>
      <c r="Q67" s="388"/>
    </row>
    <row r="68" spans="1:17" s="159" customFormat="1" ht="13.8" thickBot="1" x14ac:dyDescent="0.3">
      <c r="A68" s="392"/>
      <c r="B68" s="5"/>
      <c r="C68" s="393"/>
      <c r="D68" s="377"/>
      <c r="E68" s="259"/>
      <c r="F68" s="378"/>
      <c r="G68" s="534"/>
      <c r="H68" s="380"/>
      <c r="I68" s="378"/>
      <c r="J68" s="381"/>
      <c r="K68" s="540"/>
      <c r="M68" s="280"/>
      <c r="O68" s="386"/>
      <c r="P68" s="387"/>
      <c r="Q68" s="388"/>
    </row>
    <row r="69" spans="1:17" s="159" customFormat="1" ht="13.8" thickTop="1" x14ac:dyDescent="0.25">
      <c r="A69" s="392"/>
      <c r="B69" s="417"/>
      <c r="C69" s="393"/>
      <c r="D69" s="377"/>
      <c r="E69" s="259"/>
      <c r="F69" s="378"/>
      <c r="G69" s="534"/>
      <c r="H69" s="380"/>
      <c r="I69" s="378"/>
      <c r="J69" s="394" t="s">
        <v>30</v>
      </c>
      <c r="K69" s="537">
        <f>SUM(K61:K68)</f>
        <v>26588</v>
      </c>
      <c r="L69" s="383"/>
      <c r="M69" s="261"/>
      <c r="N69" s="426"/>
      <c r="O69" s="386"/>
      <c r="P69" s="387"/>
      <c r="Q69" s="388"/>
    </row>
    <row r="70" spans="1:17" s="159" customFormat="1" ht="13.8" thickBot="1" x14ac:dyDescent="0.3">
      <c r="A70" s="358" t="s">
        <v>0</v>
      </c>
      <c r="B70" s="359" t="s">
        <v>1</v>
      </c>
      <c r="C70" s="1018" t="s">
        <v>656</v>
      </c>
      <c r="D70" s="1018"/>
      <c r="E70" s="1018"/>
      <c r="F70" s="1018"/>
      <c r="G70" s="1018" t="s">
        <v>34</v>
      </c>
      <c r="H70" s="1018"/>
      <c r="I70" s="1018"/>
      <c r="J70" s="360"/>
      <c r="K70" s="528"/>
      <c r="L70" s="396"/>
      <c r="M70" s="397"/>
      <c r="N70" s="398"/>
      <c r="O70" s="386"/>
      <c r="P70" s="387"/>
      <c r="Q70" s="388"/>
    </row>
    <row r="71" spans="1:17" s="159" customFormat="1" ht="16.2" thickBot="1" x14ac:dyDescent="0.35">
      <c r="A71" s="399"/>
      <c r="B71" s="400"/>
      <c r="C71" s="401" t="s">
        <v>19</v>
      </c>
      <c r="D71" s="402" t="s">
        <v>33</v>
      </c>
      <c r="E71" s="403" t="s">
        <v>35</v>
      </c>
      <c r="F71" s="404" t="s">
        <v>30</v>
      </c>
      <c r="G71" s="538" t="s">
        <v>14</v>
      </c>
      <c r="H71" s="403" t="s">
        <v>35</v>
      </c>
      <c r="I71" s="404" t="s">
        <v>30</v>
      </c>
      <c r="J71" s="369" t="s">
        <v>659</v>
      </c>
      <c r="K71" s="539" t="s">
        <v>38</v>
      </c>
      <c r="L71" s="407"/>
      <c r="M71" s="413"/>
      <c r="N71" s="414"/>
      <c r="O71" s="386"/>
      <c r="P71" s="387"/>
      <c r="Q71" s="388"/>
    </row>
    <row r="72" spans="1:17" s="159" customFormat="1" x14ac:dyDescent="0.25">
      <c r="A72" s="410"/>
      <c r="B72" s="411"/>
      <c r="C72" s="376"/>
      <c r="D72" s="377" t="s">
        <v>21</v>
      </c>
      <c r="E72" s="259">
        <v>0</v>
      </c>
      <c r="F72" s="378">
        <f>C72*E72</f>
        <v>0</v>
      </c>
      <c r="G72" s="534"/>
      <c r="H72" s="380">
        <v>0</v>
      </c>
      <c r="I72" s="378">
        <f>G72*H72</f>
        <v>0</v>
      </c>
      <c r="J72" s="381"/>
      <c r="K72" s="535">
        <f>F72+I72+J72</f>
        <v>0</v>
      </c>
      <c r="M72" s="280"/>
      <c r="O72" s="386"/>
      <c r="P72" s="387"/>
      <c r="Q72" s="388"/>
    </row>
    <row r="73" spans="1:17" s="159" customFormat="1" x14ac:dyDescent="0.25">
      <c r="A73" s="375"/>
      <c r="B73" s="5"/>
      <c r="C73" s="376"/>
      <c r="D73" s="377" t="s">
        <v>21</v>
      </c>
      <c r="E73" s="259">
        <v>0</v>
      </c>
      <c r="F73" s="378">
        <f>C73*E73</f>
        <v>0</v>
      </c>
      <c r="G73" s="534"/>
      <c r="H73" s="380">
        <v>0</v>
      </c>
      <c r="I73" s="378">
        <f>G73*H73</f>
        <v>0</v>
      </c>
      <c r="J73" s="381"/>
      <c r="K73" s="535">
        <f>F73+I73+J73</f>
        <v>0</v>
      </c>
      <c r="M73" s="280"/>
      <c r="O73" s="386"/>
      <c r="P73" s="387"/>
      <c r="Q73" s="388"/>
    </row>
    <row r="74" spans="1:17" s="159" customFormat="1" x14ac:dyDescent="0.25">
      <c r="A74" s="375"/>
      <c r="B74" s="5"/>
      <c r="C74" s="376"/>
      <c r="D74" s="377" t="s">
        <v>21</v>
      </c>
      <c r="E74" s="259">
        <v>0</v>
      </c>
      <c r="F74" s="378">
        <f>C74*E74</f>
        <v>0</v>
      </c>
      <c r="G74" s="534"/>
      <c r="H74" s="380">
        <v>0</v>
      </c>
      <c r="I74" s="378">
        <f>G74*H74</f>
        <v>0</v>
      </c>
      <c r="J74" s="381"/>
      <c r="K74" s="535">
        <f>F74+I74+J74</f>
        <v>0</v>
      </c>
      <c r="M74" s="280"/>
      <c r="O74" s="386"/>
      <c r="P74" s="387"/>
      <c r="Q74" s="388"/>
    </row>
    <row r="75" spans="1:17" s="159" customFormat="1" x14ac:dyDescent="0.25">
      <c r="A75" s="375"/>
      <c r="B75" s="5"/>
      <c r="C75" s="376"/>
      <c r="D75" s="377" t="s">
        <v>21</v>
      </c>
      <c r="E75" s="259">
        <v>0</v>
      </c>
      <c r="F75" s="378">
        <f>C75*E75</f>
        <v>0</v>
      </c>
      <c r="G75" s="534"/>
      <c r="H75" s="380">
        <v>0</v>
      </c>
      <c r="I75" s="378">
        <f>G75*H75</f>
        <v>0</v>
      </c>
      <c r="J75" s="381"/>
      <c r="K75" s="535">
        <f>F75+I75+J75</f>
        <v>0</v>
      </c>
      <c r="L75" s="383"/>
      <c r="M75" s="384"/>
      <c r="N75" s="385"/>
      <c r="O75" s="386"/>
      <c r="P75" s="387"/>
      <c r="Q75" s="388"/>
    </row>
    <row r="76" spans="1:17" s="159" customFormat="1" x14ac:dyDescent="0.25">
      <c r="A76" s="375"/>
      <c r="B76" s="5"/>
      <c r="C76" s="376"/>
      <c r="D76" s="377" t="s">
        <v>21</v>
      </c>
      <c r="E76" s="259">
        <v>0</v>
      </c>
      <c r="F76" s="378">
        <f>C76*E76</f>
        <v>0</v>
      </c>
      <c r="G76" s="534"/>
      <c r="H76" s="380">
        <v>0</v>
      </c>
      <c r="I76" s="378">
        <f>G76*H76</f>
        <v>0</v>
      </c>
      <c r="J76" s="381"/>
      <c r="K76" s="535">
        <f>F76+I76+J76</f>
        <v>0</v>
      </c>
      <c r="M76" s="280"/>
      <c r="O76" s="386"/>
      <c r="P76" s="387"/>
      <c r="Q76" s="388"/>
    </row>
    <row r="77" spans="1:17" s="159" customFormat="1" ht="13.8" thickBot="1" x14ac:dyDescent="0.3">
      <c r="A77" s="392"/>
      <c r="B77" s="5"/>
      <c r="C77" s="393"/>
      <c r="D77" s="377"/>
      <c r="E77" s="259"/>
      <c r="F77" s="378"/>
      <c r="G77" s="534"/>
      <c r="H77" s="380"/>
      <c r="I77" s="378"/>
      <c r="J77" s="381"/>
      <c r="K77" s="540"/>
      <c r="M77" s="280"/>
      <c r="O77" s="386"/>
      <c r="P77" s="387"/>
      <c r="Q77" s="388"/>
    </row>
    <row r="78" spans="1:17" s="159" customFormat="1" ht="13.8" thickTop="1" x14ac:dyDescent="0.25">
      <c r="A78" s="392"/>
      <c r="B78" s="417"/>
      <c r="C78" s="393"/>
      <c r="D78" s="377"/>
      <c r="E78" s="259"/>
      <c r="F78" s="378"/>
      <c r="G78" s="534"/>
      <c r="H78" s="380"/>
      <c r="I78" s="378"/>
      <c r="J78" s="394" t="s">
        <v>30</v>
      </c>
      <c r="K78" s="537">
        <f>SUM(K72:K77)</f>
        <v>0</v>
      </c>
      <c r="M78" s="282"/>
      <c r="N78" s="157"/>
      <c r="O78" s="386"/>
      <c r="P78" s="387"/>
      <c r="Q78" s="388"/>
    </row>
    <row r="79" spans="1:17" s="159" customFormat="1" ht="13.8" thickBot="1" x14ac:dyDescent="0.3">
      <c r="A79" s="358" t="s">
        <v>0</v>
      </c>
      <c r="B79" s="359" t="s">
        <v>1</v>
      </c>
      <c r="C79" s="1018" t="s">
        <v>656</v>
      </c>
      <c r="D79" s="1018"/>
      <c r="E79" s="1018"/>
      <c r="F79" s="1018"/>
      <c r="G79" s="1018" t="s">
        <v>34</v>
      </c>
      <c r="H79" s="1018"/>
      <c r="I79" s="1018"/>
      <c r="J79" s="360"/>
      <c r="K79" s="528"/>
      <c r="L79" s="396"/>
      <c r="M79" s="397"/>
      <c r="N79" s="398"/>
      <c r="O79" s="386"/>
      <c r="P79" s="387"/>
      <c r="Q79" s="388"/>
    </row>
    <row r="80" spans="1:17" s="159" customFormat="1" ht="16.2" thickBot="1" x14ac:dyDescent="0.35">
      <c r="A80" s="399"/>
      <c r="B80" s="400"/>
      <c r="C80" s="401" t="s">
        <v>19</v>
      </c>
      <c r="D80" s="402" t="s">
        <v>33</v>
      </c>
      <c r="E80" s="403" t="s">
        <v>35</v>
      </c>
      <c r="F80" s="404" t="s">
        <v>30</v>
      </c>
      <c r="G80" s="538" t="s">
        <v>14</v>
      </c>
      <c r="H80" s="403" t="s">
        <v>35</v>
      </c>
      <c r="I80" s="404" t="s">
        <v>30</v>
      </c>
      <c r="J80" s="369" t="s">
        <v>659</v>
      </c>
      <c r="K80" s="539" t="s">
        <v>38</v>
      </c>
      <c r="L80" s="407"/>
      <c r="M80" s="413"/>
      <c r="N80" s="414"/>
      <c r="O80" s="386"/>
      <c r="P80" s="387"/>
      <c r="Q80" s="388"/>
    </row>
    <row r="81" spans="1:17" s="159" customFormat="1" x14ac:dyDescent="0.25">
      <c r="A81" s="410"/>
      <c r="B81" s="411"/>
      <c r="C81" s="376"/>
      <c r="D81" s="377" t="s">
        <v>21</v>
      </c>
      <c r="E81" s="259">
        <v>0</v>
      </c>
      <c r="F81" s="378">
        <f>C81*E81</f>
        <v>0</v>
      </c>
      <c r="G81" s="534"/>
      <c r="H81" s="380">
        <v>0</v>
      </c>
      <c r="I81" s="378">
        <f>G81*H81</f>
        <v>0</v>
      </c>
      <c r="J81" s="381"/>
      <c r="K81" s="535">
        <f>F81+I81+J81</f>
        <v>0</v>
      </c>
      <c r="M81" s="280"/>
      <c r="O81" s="386"/>
      <c r="P81" s="387"/>
      <c r="Q81" s="388"/>
    </row>
    <row r="82" spans="1:17" s="159" customFormat="1" x14ac:dyDescent="0.25">
      <c r="A82" s="375"/>
      <c r="B82" s="5"/>
      <c r="C82" s="376"/>
      <c r="D82" s="377" t="s">
        <v>21</v>
      </c>
      <c r="E82" s="259">
        <v>0</v>
      </c>
      <c r="F82" s="378">
        <f>C82*E82</f>
        <v>0</v>
      </c>
      <c r="G82" s="534"/>
      <c r="H82" s="380">
        <v>0</v>
      </c>
      <c r="I82" s="378">
        <f>G82*H82</f>
        <v>0</v>
      </c>
      <c r="J82" s="381"/>
      <c r="K82" s="535">
        <f>F82+I82+J82</f>
        <v>0</v>
      </c>
      <c r="M82" s="280"/>
      <c r="O82" s="386"/>
      <c r="P82" s="387"/>
      <c r="Q82" s="388"/>
    </row>
    <row r="83" spans="1:17" s="159" customFormat="1" x14ac:dyDescent="0.25">
      <c r="A83" s="375"/>
      <c r="B83" s="5"/>
      <c r="C83" s="376"/>
      <c r="D83" s="377" t="s">
        <v>21</v>
      </c>
      <c r="E83" s="259">
        <v>0</v>
      </c>
      <c r="F83" s="378">
        <f>C83*E83</f>
        <v>0</v>
      </c>
      <c r="G83" s="534"/>
      <c r="H83" s="380">
        <v>0</v>
      </c>
      <c r="I83" s="378">
        <f>G83*H83</f>
        <v>0</v>
      </c>
      <c r="J83" s="381"/>
      <c r="K83" s="535">
        <f>F83+I83+J83</f>
        <v>0</v>
      </c>
      <c r="M83" s="280"/>
      <c r="O83" s="386"/>
      <c r="P83" s="387"/>
      <c r="Q83" s="388"/>
    </row>
    <row r="84" spans="1:17" s="159" customFormat="1" ht="13.8" thickBot="1" x14ac:dyDescent="0.3">
      <c r="A84" s="392"/>
      <c r="B84" s="5"/>
      <c r="C84" s="393"/>
      <c r="D84" s="377"/>
      <c r="E84" s="259"/>
      <c r="F84" s="378"/>
      <c r="G84" s="534"/>
      <c r="H84" s="380"/>
      <c r="I84" s="378"/>
      <c r="J84" s="381"/>
      <c r="K84" s="540"/>
      <c r="M84" s="280"/>
      <c r="O84" s="386"/>
      <c r="P84" s="387"/>
      <c r="Q84" s="388"/>
    </row>
    <row r="85" spans="1:17" s="159" customFormat="1" ht="13.8" thickTop="1" x14ac:dyDescent="0.25">
      <c r="A85" s="392"/>
      <c r="B85" s="157"/>
      <c r="C85" s="393"/>
      <c r="D85" s="377"/>
      <c r="E85" s="259"/>
      <c r="F85" s="378"/>
      <c r="G85" s="534"/>
      <c r="H85" s="380"/>
      <c r="I85" s="378"/>
      <c r="J85" s="394" t="s">
        <v>30</v>
      </c>
      <c r="K85" s="537">
        <f>SUM(K81:K84)</f>
        <v>0</v>
      </c>
      <c r="M85" s="280"/>
      <c r="O85" s="386"/>
      <c r="P85" s="387"/>
      <c r="Q85" s="388"/>
    </row>
    <row r="86" spans="1:17" s="159" customFormat="1" ht="13.8" thickBot="1" x14ac:dyDescent="0.3">
      <c r="A86" s="358" t="s">
        <v>0</v>
      </c>
      <c r="B86" s="359" t="s">
        <v>1</v>
      </c>
      <c r="C86" s="1018" t="s">
        <v>656</v>
      </c>
      <c r="D86" s="1018"/>
      <c r="E86" s="1018"/>
      <c r="F86" s="1018"/>
      <c r="G86" s="1018" t="s">
        <v>34</v>
      </c>
      <c r="H86" s="1018"/>
      <c r="I86" s="1018"/>
      <c r="J86" s="360"/>
      <c r="K86" s="528"/>
      <c r="L86" s="396"/>
      <c r="M86" s="360"/>
      <c r="N86" s="443"/>
      <c r="O86" s="386"/>
      <c r="P86" s="387"/>
      <c r="Q86" s="388"/>
    </row>
    <row r="87" spans="1:17" s="159" customFormat="1" ht="16.2" thickBot="1" x14ac:dyDescent="0.35">
      <c r="A87" s="399"/>
      <c r="B87" s="400"/>
      <c r="C87" s="401" t="s">
        <v>19</v>
      </c>
      <c r="D87" s="402" t="s">
        <v>33</v>
      </c>
      <c r="E87" s="403" t="s">
        <v>35</v>
      </c>
      <c r="F87" s="404" t="s">
        <v>30</v>
      </c>
      <c r="G87" s="538" t="s">
        <v>14</v>
      </c>
      <c r="H87" s="403" t="s">
        <v>35</v>
      </c>
      <c r="I87" s="404" t="s">
        <v>30</v>
      </c>
      <c r="J87" s="369" t="s">
        <v>659</v>
      </c>
      <c r="K87" s="539" t="s">
        <v>38</v>
      </c>
      <c r="L87" s="407"/>
      <c r="M87" s="413"/>
      <c r="N87" s="414"/>
      <c r="O87" s="386"/>
      <c r="P87" s="387"/>
      <c r="Q87" s="388"/>
    </row>
    <row r="88" spans="1:17" s="159" customFormat="1" x14ac:dyDescent="0.25">
      <c r="A88" s="410"/>
      <c r="B88" s="411"/>
      <c r="C88" s="376"/>
      <c r="D88" s="377" t="s">
        <v>21</v>
      </c>
      <c r="E88" s="259">
        <v>0</v>
      </c>
      <c r="F88" s="378">
        <f>C88*E88</f>
        <v>0</v>
      </c>
      <c r="G88" s="534"/>
      <c r="H88" s="380">
        <v>0</v>
      </c>
      <c r="I88" s="378">
        <f>G88*H88</f>
        <v>0</v>
      </c>
      <c r="J88" s="381"/>
      <c r="K88" s="535">
        <f>F88+I88+J88</f>
        <v>0</v>
      </c>
      <c r="M88" s="280"/>
      <c r="O88" s="386"/>
      <c r="P88" s="387"/>
      <c r="Q88" s="388"/>
    </row>
    <row r="89" spans="1:17" s="159" customFormat="1" x14ac:dyDescent="0.25">
      <c r="A89" s="375"/>
      <c r="B89" s="5"/>
      <c r="C89" s="376"/>
      <c r="D89" s="377" t="s">
        <v>21</v>
      </c>
      <c r="E89" s="259">
        <v>0</v>
      </c>
      <c r="F89" s="378">
        <f>C89*E89</f>
        <v>0</v>
      </c>
      <c r="G89" s="534"/>
      <c r="H89" s="380">
        <v>0</v>
      </c>
      <c r="I89" s="378">
        <f>G89*H89</f>
        <v>0</v>
      </c>
      <c r="J89" s="381"/>
      <c r="K89" s="535">
        <f>F89+I89+J89</f>
        <v>0</v>
      </c>
      <c r="M89" s="280"/>
      <c r="O89" s="386"/>
      <c r="P89" s="387"/>
      <c r="Q89" s="388"/>
    </row>
    <row r="90" spans="1:17" s="159" customFormat="1" x14ac:dyDescent="0.25">
      <c r="A90" s="375"/>
      <c r="C90" s="376"/>
      <c r="D90" s="377" t="s">
        <v>21</v>
      </c>
      <c r="E90" s="259">
        <v>0</v>
      </c>
      <c r="F90" s="378">
        <f>C90*E90</f>
        <v>0</v>
      </c>
      <c r="G90" s="534"/>
      <c r="H90" s="380">
        <v>0</v>
      </c>
      <c r="I90" s="378">
        <f>G90*H90</f>
        <v>0</v>
      </c>
      <c r="J90" s="381"/>
      <c r="K90" s="535">
        <f>F90+I90+J90</f>
        <v>0</v>
      </c>
      <c r="M90" s="282"/>
      <c r="N90" s="157"/>
      <c r="O90" s="386"/>
      <c r="P90" s="387"/>
      <c r="Q90" s="388"/>
    </row>
    <row r="91" spans="1:17" s="159" customFormat="1" x14ac:dyDescent="0.25">
      <c r="A91" s="375"/>
      <c r="B91" s="5"/>
      <c r="C91" s="376"/>
      <c r="D91" s="377" t="s">
        <v>21</v>
      </c>
      <c r="E91" s="259">
        <v>0</v>
      </c>
      <c r="F91" s="378">
        <f>C91*E91</f>
        <v>0</v>
      </c>
      <c r="G91" s="534"/>
      <c r="H91" s="380">
        <v>0</v>
      </c>
      <c r="I91" s="378">
        <f>G91*H91</f>
        <v>0</v>
      </c>
      <c r="J91" s="381"/>
      <c r="K91" s="535">
        <f>F91+I91+J91</f>
        <v>0</v>
      </c>
      <c r="M91" s="282"/>
      <c r="N91" s="157"/>
      <c r="O91" s="386"/>
      <c r="P91" s="387"/>
      <c r="Q91" s="388"/>
    </row>
    <row r="92" spans="1:17" s="159" customFormat="1" x14ac:dyDescent="0.25">
      <c r="A92" s="375"/>
      <c r="B92" s="5"/>
      <c r="C92" s="376"/>
      <c r="D92" s="377" t="s">
        <v>21</v>
      </c>
      <c r="E92" s="259">
        <v>0</v>
      </c>
      <c r="F92" s="378">
        <f>C92*E92</f>
        <v>0</v>
      </c>
      <c r="G92" s="534"/>
      <c r="H92" s="380">
        <v>0</v>
      </c>
      <c r="I92" s="378">
        <f>G92*H92</f>
        <v>0</v>
      </c>
      <c r="J92" s="381"/>
      <c r="K92" s="535">
        <f>F92+I92+J92</f>
        <v>0</v>
      </c>
      <c r="M92" s="280"/>
      <c r="O92" s="386"/>
      <c r="P92" s="387"/>
      <c r="Q92" s="388"/>
    </row>
    <row r="93" spans="1:17" s="159" customFormat="1" ht="13.8" thickBot="1" x14ac:dyDescent="0.3">
      <c r="A93" s="392"/>
      <c r="B93" s="5"/>
      <c r="C93" s="393"/>
      <c r="D93" s="377"/>
      <c r="E93" s="259"/>
      <c r="F93" s="378"/>
      <c r="G93" s="534"/>
      <c r="H93" s="380"/>
      <c r="I93" s="378"/>
      <c r="J93" s="381"/>
      <c r="K93" s="540"/>
      <c r="M93" s="280"/>
      <c r="O93" s="386"/>
      <c r="P93" s="387"/>
      <c r="Q93" s="388"/>
    </row>
    <row r="94" spans="1:17" s="159" customFormat="1" ht="13.8" thickTop="1" x14ac:dyDescent="0.25">
      <c r="A94" s="392"/>
      <c r="B94" s="417"/>
      <c r="C94" s="393"/>
      <c r="D94" s="377"/>
      <c r="E94" s="259"/>
      <c r="F94" s="378"/>
      <c r="G94" s="534"/>
      <c r="H94" s="380"/>
      <c r="I94" s="378"/>
      <c r="J94" s="394" t="s">
        <v>30</v>
      </c>
      <c r="K94" s="537">
        <f>SUM(K88:K93)</f>
        <v>0</v>
      </c>
      <c r="M94" s="280"/>
      <c r="O94" s="386"/>
      <c r="P94" s="387"/>
      <c r="Q94" s="388"/>
    </row>
    <row r="95" spans="1:17" s="159" customFormat="1" ht="13.8" thickBot="1" x14ac:dyDescent="0.3">
      <c r="A95" s="358" t="s">
        <v>0</v>
      </c>
      <c r="B95" s="359" t="s">
        <v>1</v>
      </c>
      <c r="C95" s="1018" t="s">
        <v>656</v>
      </c>
      <c r="D95" s="1018"/>
      <c r="E95" s="1018"/>
      <c r="F95" s="1018"/>
      <c r="G95" s="1018" t="s">
        <v>34</v>
      </c>
      <c r="H95" s="1018"/>
      <c r="I95" s="1018"/>
      <c r="J95" s="360"/>
      <c r="K95" s="528"/>
      <c r="L95" s="396"/>
      <c r="M95" s="397"/>
      <c r="N95" s="398"/>
      <c r="O95" s="386"/>
      <c r="P95" s="387"/>
      <c r="Q95" s="388"/>
    </row>
    <row r="96" spans="1:17" s="159" customFormat="1" ht="16.2" thickBot="1" x14ac:dyDescent="0.35">
      <c r="A96" s="399"/>
      <c r="B96" s="400"/>
      <c r="C96" s="401" t="s">
        <v>19</v>
      </c>
      <c r="D96" s="402" t="s">
        <v>33</v>
      </c>
      <c r="E96" s="403" t="s">
        <v>35</v>
      </c>
      <c r="F96" s="404" t="s">
        <v>30</v>
      </c>
      <c r="G96" s="538" t="s">
        <v>14</v>
      </c>
      <c r="H96" s="403" t="s">
        <v>35</v>
      </c>
      <c r="I96" s="404" t="s">
        <v>30</v>
      </c>
      <c r="J96" s="369" t="s">
        <v>659</v>
      </c>
      <c r="K96" s="539" t="s">
        <v>38</v>
      </c>
      <c r="L96" s="407"/>
      <c r="M96" s="408"/>
      <c r="N96" s="409"/>
      <c r="O96" s="386"/>
      <c r="P96" s="387"/>
      <c r="Q96" s="388"/>
    </row>
    <row r="97" spans="1:17" s="159" customFormat="1" x14ac:dyDescent="0.25">
      <c r="A97" s="410"/>
      <c r="B97" s="411"/>
      <c r="C97" s="376"/>
      <c r="D97" s="377" t="s">
        <v>21</v>
      </c>
      <c r="E97" s="259">
        <v>0</v>
      </c>
      <c r="F97" s="378">
        <f>C97*E97</f>
        <v>0</v>
      </c>
      <c r="G97" s="534"/>
      <c r="H97" s="380">
        <v>0</v>
      </c>
      <c r="I97" s="378">
        <f>G97*H97</f>
        <v>0</v>
      </c>
      <c r="J97" s="381"/>
      <c r="K97" s="535">
        <f>F97+I97+J97</f>
        <v>0</v>
      </c>
      <c r="M97" s="280"/>
      <c r="O97" s="386"/>
      <c r="P97" s="387"/>
      <c r="Q97" s="388"/>
    </row>
    <row r="98" spans="1:17" s="159" customFormat="1" x14ac:dyDescent="0.25">
      <c r="A98" s="375"/>
      <c r="B98" s="5"/>
      <c r="C98" s="376"/>
      <c r="D98" s="377" t="s">
        <v>21</v>
      </c>
      <c r="E98" s="259">
        <v>0</v>
      </c>
      <c r="F98" s="378">
        <f>C98*E98</f>
        <v>0</v>
      </c>
      <c r="G98" s="534"/>
      <c r="H98" s="380">
        <v>0</v>
      </c>
      <c r="I98" s="378">
        <f>G98*H98</f>
        <v>0</v>
      </c>
      <c r="J98" s="381"/>
      <c r="K98" s="535">
        <f>F98+I98+J98</f>
        <v>0</v>
      </c>
      <c r="L98" s="541"/>
      <c r="M98" s="578"/>
      <c r="N98" s="542"/>
      <c r="O98" s="386"/>
      <c r="P98" s="387"/>
      <c r="Q98" s="388"/>
    </row>
    <row r="99" spans="1:17" s="159" customFormat="1" x14ac:dyDescent="0.25">
      <c r="A99" s="375"/>
      <c r="B99" s="5"/>
      <c r="C99" s="376"/>
      <c r="D99" s="377" t="s">
        <v>21</v>
      </c>
      <c r="E99" s="259">
        <v>0</v>
      </c>
      <c r="F99" s="378">
        <f>C99*E99</f>
        <v>0</v>
      </c>
      <c r="G99" s="534"/>
      <c r="H99" s="380">
        <v>0</v>
      </c>
      <c r="I99" s="378">
        <f>G99*H99</f>
        <v>0</v>
      </c>
      <c r="J99" s="381"/>
      <c r="K99" s="535">
        <f>F99+I99+J99</f>
        <v>0</v>
      </c>
      <c r="L99" s="543"/>
      <c r="M99" s="469"/>
      <c r="N99" s="544"/>
      <c r="O99" s="386"/>
      <c r="P99" s="387"/>
      <c r="Q99" s="388"/>
    </row>
    <row r="100" spans="1:17" s="159" customFormat="1" x14ac:dyDescent="0.25">
      <c r="A100" s="375"/>
      <c r="B100" s="5"/>
      <c r="C100" s="376"/>
      <c r="D100" s="377" t="s">
        <v>21</v>
      </c>
      <c r="E100" s="259">
        <v>0</v>
      </c>
      <c r="F100" s="378">
        <f>C100*E100</f>
        <v>0</v>
      </c>
      <c r="G100" s="534"/>
      <c r="H100" s="380">
        <v>0</v>
      </c>
      <c r="I100" s="378">
        <f>G100*H100</f>
        <v>0</v>
      </c>
      <c r="J100" s="381"/>
      <c r="K100" s="535">
        <f>F100+I100+J100</f>
        <v>0</v>
      </c>
      <c r="L100" s="670"/>
      <c r="M100" s="671"/>
      <c r="N100" s="673"/>
      <c r="O100" s="386"/>
      <c r="P100" s="387"/>
      <c r="Q100" s="388"/>
    </row>
    <row r="101" spans="1:17" s="159" customFormat="1" ht="13.8" thickBot="1" x14ac:dyDescent="0.3">
      <c r="A101" s="392"/>
      <c r="B101" s="417"/>
      <c r="C101" s="376"/>
      <c r="D101" s="377"/>
      <c r="E101" s="259"/>
      <c r="F101" s="378"/>
      <c r="G101" s="534"/>
      <c r="H101" s="380"/>
      <c r="I101" s="378"/>
      <c r="J101" s="381"/>
      <c r="K101" s="535"/>
      <c r="L101" s="670"/>
      <c r="M101" s="671"/>
      <c r="N101" s="673"/>
      <c r="O101" s="386"/>
      <c r="P101" s="387"/>
      <c r="Q101" s="388"/>
    </row>
    <row r="102" spans="1:17" s="159" customFormat="1" ht="14.4" thickTop="1" thickBot="1" x14ac:dyDescent="0.3">
      <c r="A102" s="475"/>
      <c r="B102" s="156"/>
      <c r="C102" s="476"/>
      <c r="D102" s="477"/>
      <c r="E102" s="478"/>
      <c r="F102" s="479"/>
      <c r="G102" s="638"/>
      <c r="H102" s="478"/>
      <c r="I102" s="479"/>
      <c r="J102" s="481" t="s">
        <v>30</v>
      </c>
      <c r="K102" s="639">
        <f>SUM(K97:K101)</f>
        <v>0</v>
      </c>
      <c r="L102" s="674"/>
      <c r="M102" s="675"/>
      <c r="N102" s="676"/>
      <c r="O102" s="465"/>
      <c r="P102" s="466"/>
      <c r="Q102" s="467"/>
    </row>
    <row r="103" spans="1:17" s="159" customFormat="1" ht="14.1" customHeight="1" thickTop="1" x14ac:dyDescent="0.25">
      <c r="A103" s="483"/>
      <c r="B103" s="484"/>
      <c r="C103" s="485"/>
      <c r="D103" s="485"/>
      <c r="E103" s="486"/>
      <c r="F103" s="1048" t="s">
        <v>658</v>
      </c>
      <c r="G103" s="1071" t="s">
        <v>684</v>
      </c>
      <c r="H103" s="486"/>
      <c r="I103" s="1041" t="s">
        <v>657</v>
      </c>
      <c r="J103" s="1037" t="s">
        <v>685</v>
      </c>
      <c r="K103" s="1073" t="s">
        <v>31</v>
      </c>
      <c r="L103" s="809"/>
      <c r="M103" s="579"/>
      <c r="N103" s="549"/>
      <c r="O103" s="550"/>
      <c r="P103" s="550"/>
      <c r="Q103" s="551"/>
    </row>
    <row r="104" spans="1:17" s="159" customFormat="1" ht="13.8" x14ac:dyDescent="0.25">
      <c r="A104" s="487" t="s">
        <v>32</v>
      </c>
      <c r="B104" s="1043" t="s">
        <v>670</v>
      </c>
      <c r="C104" s="488"/>
      <c r="D104" s="489"/>
      <c r="E104" s="489"/>
      <c r="F104" s="1049"/>
      <c r="G104" s="1072"/>
      <c r="H104" s="490"/>
      <c r="I104" s="1042"/>
      <c r="J104" s="1038"/>
      <c r="K104" s="1074"/>
      <c r="L104" s="810"/>
      <c r="M104" s="267"/>
      <c r="O104" s="553"/>
      <c r="P104" s="553"/>
      <c r="Q104" s="554"/>
    </row>
    <row r="105" spans="1:17" s="159" customFormat="1" ht="13.8" x14ac:dyDescent="0.25">
      <c r="A105" s="491">
        <f>K105/E6</f>
        <v>31.906946688206784</v>
      </c>
      <c r="B105" s="1043"/>
      <c r="C105" s="489"/>
      <c r="D105" s="489"/>
      <c r="E105" s="489"/>
      <c r="F105" s="1031">
        <f>SUM(F97:F101,F88:F93,F81:F84,F72:F77,F61:F68,F51:F57,F40:F47,F25:F36,F11:F21)</f>
        <v>0</v>
      </c>
      <c r="G105" s="1076">
        <f>SUM(G97:G101,G88:G93,G81:G84,G72:G77,G61:G68,G51:G57,G40:G47,G26:G36,G11:G21)</f>
        <v>0</v>
      </c>
      <c r="H105" s="490"/>
      <c r="I105" s="1031">
        <f>SUM(I97:I101,I88:I93,I81:I84,I72:I77,I61:I68,I51:I57,I40:I47,I26:I36,I11:I21)</f>
        <v>0</v>
      </c>
      <c r="J105" s="1031">
        <f>SUM(J97:J101,J88:J93,J81:J84,J72:J77,J61:J68,J51:J57,J40:J47,J25:J36,J11:J21)</f>
        <v>197504</v>
      </c>
      <c r="K105" s="1039">
        <f>SUM(K102,K94,K85,K78,K69,K58,K48,K37,K22)</f>
        <v>197504</v>
      </c>
      <c r="L105" s="810"/>
      <c r="M105" s="267"/>
      <c r="O105" s="553"/>
      <c r="P105" s="553"/>
      <c r="Q105" s="554"/>
    </row>
    <row r="106" spans="1:17" s="159" customFormat="1" ht="14.4" thickBot="1" x14ac:dyDescent="0.3">
      <c r="A106" s="487"/>
      <c r="B106" s="555"/>
      <c r="C106" s="493"/>
      <c r="D106" s="493"/>
      <c r="E106" s="493"/>
      <c r="F106" s="1032"/>
      <c r="G106" s="1077"/>
      <c r="H106" s="493"/>
      <c r="I106" s="1032"/>
      <c r="J106" s="1032"/>
      <c r="K106" s="1040"/>
      <c r="L106" s="810"/>
      <c r="M106" s="267"/>
      <c r="O106" s="553"/>
      <c r="P106" s="553"/>
      <c r="Q106" s="554"/>
    </row>
    <row r="107" spans="1:17" s="159" customFormat="1" ht="13.8" thickBot="1" x14ac:dyDescent="0.3">
      <c r="A107" s="494"/>
      <c r="B107" s="495"/>
      <c r="C107" s="495"/>
      <c r="D107" s="495"/>
      <c r="E107" s="495"/>
      <c r="F107" s="495"/>
      <c r="G107" s="495"/>
      <c r="H107" s="495"/>
      <c r="I107" s="495"/>
      <c r="J107" s="495"/>
      <c r="K107" s="495"/>
      <c r="L107" s="810"/>
      <c r="M107" s="267"/>
      <c r="O107" s="553"/>
      <c r="P107" s="553"/>
      <c r="Q107" s="554"/>
    </row>
    <row r="108" spans="1:17" s="159" customFormat="1" x14ac:dyDescent="0.25">
      <c r="C108" s="658"/>
      <c r="D108" s="658"/>
      <c r="J108" s="280"/>
      <c r="M108" s="227"/>
      <c r="N108" s="157"/>
      <c r="O108" s="553"/>
      <c r="P108" s="553"/>
      <c r="Q108" s="554"/>
    </row>
    <row r="109" spans="1:17" s="159" customFormat="1" x14ac:dyDescent="0.25">
      <c r="C109" s="658"/>
      <c r="D109" s="658"/>
      <c r="J109" s="280"/>
      <c r="M109" s="280"/>
    </row>
    <row r="110" spans="1:17" s="159" customFormat="1" x14ac:dyDescent="0.25">
      <c r="C110" s="658"/>
      <c r="D110" s="658"/>
      <c r="J110" s="280"/>
      <c r="M110" s="280"/>
    </row>
    <row r="111" spans="1:17" s="159" customFormat="1" x14ac:dyDescent="0.25">
      <c r="C111" s="658"/>
      <c r="D111" s="658"/>
      <c r="J111" s="280"/>
      <c r="M111" s="280"/>
    </row>
    <row r="112" spans="1:17" s="159" customFormat="1" x14ac:dyDescent="0.25">
      <c r="C112" s="658"/>
      <c r="D112" s="658"/>
      <c r="J112" s="280"/>
      <c r="M112" s="280"/>
    </row>
    <row r="113" spans="3:16" s="159" customFormat="1" x14ac:dyDescent="0.25">
      <c r="C113" s="658"/>
      <c r="D113" s="658"/>
      <c r="J113" s="280"/>
      <c r="M113" s="280"/>
    </row>
    <row r="114" spans="3:16" s="159" customFormat="1" x14ac:dyDescent="0.25">
      <c r="C114" s="658"/>
      <c r="D114" s="658"/>
      <c r="J114" s="280"/>
      <c r="M114" s="280"/>
    </row>
    <row r="115" spans="3:16" s="159" customFormat="1" x14ac:dyDescent="0.25">
      <c r="C115" s="658"/>
      <c r="D115" s="658"/>
      <c r="J115" s="280"/>
      <c r="M115" s="280"/>
    </row>
    <row r="116" spans="3:16" s="159" customFormat="1" x14ac:dyDescent="0.25">
      <c r="C116" s="658"/>
      <c r="D116" s="658"/>
      <c r="J116" s="280"/>
      <c r="M116" s="280"/>
    </row>
    <row r="117" spans="3:16" s="159" customFormat="1" x14ac:dyDescent="0.25">
      <c r="C117" s="658"/>
      <c r="D117" s="658"/>
      <c r="J117" s="280"/>
      <c r="M117" s="282"/>
      <c r="N117" s="157"/>
      <c r="O117" s="308"/>
      <c r="P117" s="308"/>
    </row>
    <row r="118" spans="3:16" s="159" customFormat="1" x14ac:dyDescent="0.25">
      <c r="C118" s="658"/>
      <c r="D118" s="658"/>
      <c r="J118" s="280"/>
      <c r="M118" s="282"/>
      <c r="N118" s="157"/>
      <c r="O118" s="308"/>
      <c r="P118" s="308"/>
    </row>
    <row r="119" spans="3:16" s="159" customFormat="1" x14ac:dyDescent="0.25">
      <c r="C119" s="658"/>
      <c r="D119" s="658"/>
      <c r="J119" s="280"/>
      <c r="M119" s="282"/>
      <c r="N119" s="157"/>
      <c r="O119" s="308"/>
      <c r="P119" s="308"/>
    </row>
    <row r="120" spans="3:16" s="159" customFormat="1" x14ac:dyDescent="0.25">
      <c r="C120" s="658"/>
      <c r="D120" s="658"/>
      <c r="J120" s="280"/>
      <c r="M120" s="282"/>
      <c r="N120" s="157"/>
      <c r="O120" s="308"/>
      <c r="P120" s="308"/>
    </row>
    <row r="121" spans="3:16" s="159" customFormat="1" x14ac:dyDescent="0.25">
      <c r="C121" s="658"/>
      <c r="D121" s="658"/>
      <c r="J121" s="280"/>
      <c r="M121" s="282"/>
      <c r="N121" s="157"/>
      <c r="O121" s="308"/>
      <c r="P121" s="308"/>
    </row>
    <row r="122" spans="3:16" s="159" customFormat="1" x14ac:dyDescent="0.25">
      <c r="C122" s="658"/>
      <c r="D122" s="658"/>
      <c r="J122" s="280"/>
      <c r="M122" s="282"/>
      <c r="N122" s="157"/>
      <c r="O122" s="308"/>
      <c r="P122" s="308"/>
    </row>
    <row r="123" spans="3:16" s="159" customFormat="1" x14ac:dyDescent="0.25">
      <c r="C123" s="658"/>
      <c r="D123" s="658"/>
      <c r="J123" s="280"/>
      <c r="M123" s="282"/>
      <c r="N123" s="157"/>
      <c r="O123" s="308"/>
      <c r="P123" s="308"/>
    </row>
    <row r="124" spans="3:16" s="159" customFormat="1" x14ac:dyDescent="0.25">
      <c r="C124" s="658"/>
      <c r="D124" s="658"/>
      <c r="J124" s="280"/>
      <c r="M124" s="282"/>
      <c r="N124" s="157"/>
      <c r="O124" s="308"/>
      <c r="P124" s="308"/>
    </row>
    <row r="125" spans="3:16" s="159" customFormat="1" x14ac:dyDescent="0.25">
      <c r="C125" s="658"/>
      <c r="D125" s="658"/>
      <c r="J125" s="280"/>
      <c r="M125" s="282"/>
      <c r="N125" s="157"/>
      <c r="O125" s="308"/>
      <c r="P125" s="308"/>
    </row>
    <row r="126" spans="3:16" s="159" customFormat="1" x14ac:dyDescent="0.25">
      <c r="C126" s="658"/>
      <c r="D126" s="658"/>
      <c r="J126" s="280"/>
      <c r="M126" s="282"/>
      <c r="N126" s="157"/>
      <c r="O126" s="308"/>
      <c r="P126" s="308"/>
    </row>
    <row r="127" spans="3:16" s="159" customFormat="1" x14ac:dyDescent="0.25">
      <c r="C127" s="658"/>
      <c r="D127" s="658"/>
      <c r="J127" s="280"/>
      <c r="M127" s="282"/>
      <c r="N127" s="157"/>
      <c r="O127" s="308"/>
      <c r="P127" s="308"/>
    </row>
    <row r="128" spans="3:16" s="159" customFormat="1" x14ac:dyDescent="0.25">
      <c r="C128" s="658"/>
      <c r="D128" s="658"/>
      <c r="J128" s="280"/>
      <c r="M128" s="282"/>
      <c r="N128" s="157"/>
      <c r="O128" s="308"/>
      <c r="P128" s="308"/>
    </row>
    <row r="129" spans="3:16" s="159" customFormat="1" x14ac:dyDescent="0.25">
      <c r="C129" s="658"/>
      <c r="D129" s="658"/>
      <c r="J129" s="280"/>
      <c r="M129" s="282"/>
      <c r="N129" s="157"/>
      <c r="O129" s="308"/>
      <c r="P129" s="308"/>
    </row>
    <row r="130" spans="3:16" s="159" customFormat="1" x14ac:dyDescent="0.25">
      <c r="C130" s="658"/>
      <c r="D130" s="658"/>
      <c r="J130" s="280"/>
      <c r="M130" s="282"/>
      <c r="N130" s="157"/>
      <c r="O130" s="308"/>
      <c r="P130" s="308"/>
    </row>
    <row r="131" spans="3:16" s="159" customFormat="1" x14ac:dyDescent="0.25">
      <c r="C131" s="658"/>
      <c r="D131" s="658"/>
      <c r="J131" s="280"/>
      <c r="M131" s="282"/>
      <c r="N131" s="157"/>
      <c r="O131" s="308"/>
      <c r="P131" s="308"/>
    </row>
    <row r="132" spans="3:16" s="159" customFormat="1" x14ac:dyDescent="0.25">
      <c r="C132" s="658"/>
      <c r="D132" s="658"/>
      <c r="J132" s="280"/>
      <c r="M132" s="282"/>
      <c r="N132" s="157"/>
      <c r="O132" s="308"/>
      <c r="P132" s="308"/>
    </row>
    <row r="133" spans="3:16" s="159" customFormat="1" x14ac:dyDescent="0.25">
      <c r="C133" s="658"/>
      <c r="D133" s="658"/>
      <c r="J133" s="280"/>
      <c r="M133" s="282"/>
      <c r="N133" s="157"/>
      <c r="O133" s="308"/>
      <c r="P133" s="308"/>
    </row>
    <row r="134" spans="3:16" s="159" customFormat="1" x14ac:dyDescent="0.25">
      <c r="C134" s="658"/>
      <c r="D134" s="658"/>
      <c r="J134" s="280"/>
      <c r="M134" s="282"/>
      <c r="N134" s="157"/>
      <c r="O134" s="308"/>
      <c r="P134" s="308"/>
    </row>
    <row r="135" spans="3:16" s="159" customFormat="1" x14ac:dyDescent="0.25">
      <c r="C135" s="658"/>
      <c r="D135" s="658"/>
      <c r="J135" s="280"/>
      <c r="M135" s="282"/>
      <c r="N135" s="157"/>
      <c r="O135" s="308"/>
      <c r="P135" s="308"/>
    </row>
    <row r="136" spans="3:16" s="159" customFormat="1" x14ac:dyDescent="0.25">
      <c r="C136" s="658"/>
      <c r="D136" s="658"/>
      <c r="J136" s="280"/>
      <c r="M136" s="282"/>
      <c r="N136" s="157"/>
      <c r="O136" s="308"/>
      <c r="P136" s="308"/>
    </row>
    <row r="137" spans="3:16" s="159" customFormat="1" x14ac:dyDescent="0.25">
      <c r="C137" s="658"/>
      <c r="D137" s="658"/>
      <c r="J137" s="280"/>
      <c r="M137" s="282"/>
      <c r="N137" s="157"/>
      <c r="O137" s="308"/>
      <c r="P137" s="308"/>
    </row>
    <row r="138" spans="3:16" s="159" customFormat="1" x14ac:dyDescent="0.25">
      <c r="C138" s="658"/>
      <c r="D138" s="658"/>
      <c r="J138" s="280"/>
      <c r="M138" s="282"/>
      <c r="N138" s="157"/>
      <c r="O138" s="308"/>
      <c r="P138" s="308"/>
    </row>
    <row r="139" spans="3:16" s="159" customFormat="1" x14ac:dyDescent="0.25">
      <c r="C139" s="658"/>
      <c r="D139" s="658"/>
      <c r="J139" s="280"/>
      <c r="M139" s="282"/>
      <c r="N139" s="157"/>
      <c r="O139" s="308"/>
      <c r="P139" s="308"/>
    </row>
    <row r="140" spans="3:16" s="159" customFormat="1" x14ac:dyDescent="0.25">
      <c r="C140" s="658"/>
      <c r="D140" s="658"/>
      <c r="J140" s="280"/>
      <c r="M140" s="282"/>
      <c r="N140" s="157"/>
      <c r="O140" s="308"/>
      <c r="P140" s="308"/>
    </row>
    <row r="141" spans="3:16" s="159" customFormat="1" x14ac:dyDescent="0.25">
      <c r="C141" s="658"/>
      <c r="D141" s="658"/>
      <c r="J141" s="280"/>
      <c r="M141" s="282"/>
      <c r="N141" s="157"/>
      <c r="O141" s="308"/>
      <c r="P141" s="308"/>
    </row>
    <row r="142" spans="3:16" s="159" customFormat="1" x14ac:dyDescent="0.25">
      <c r="C142" s="658"/>
      <c r="D142" s="658"/>
      <c r="J142" s="280"/>
      <c r="M142" s="282"/>
      <c r="N142" s="157"/>
      <c r="O142" s="308"/>
      <c r="P142" s="308"/>
    </row>
    <row r="143" spans="3:16" s="159" customFormat="1" x14ac:dyDescent="0.25">
      <c r="C143" s="658"/>
      <c r="D143" s="658"/>
      <c r="J143" s="280"/>
      <c r="M143" s="282"/>
      <c r="N143" s="157"/>
      <c r="O143" s="308"/>
      <c r="P143" s="308"/>
    </row>
    <row r="144" spans="3:16" s="159" customFormat="1" x14ac:dyDescent="0.25">
      <c r="C144" s="658"/>
      <c r="D144" s="658"/>
      <c r="J144" s="280"/>
      <c r="M144" s="282"/>
      <c r="N144" s="157"/>
      <c r="O144" s="308"/>
      <c r="P144" s="308"/>
    </row>
    <row r="145" spans="3:16" s="159" customFormat="1" x14ac:dyDescent="0.25">
      <c r="C145" s="658"/>
      <c r="D145" s="658"/>
      <c r="J145" s="280"/>
      <c r="M145" s="282"/>
      <c r="N145" s="157"/>
      <c r="O145" s="308"/>
      <c r="P145" s="308"/>
    </row>
    <row r="146" spans="3:16" s="159" customFormat="1" x14ac:dyDescent="0.25">
      <c r="C146" s="658"/>
      <c r="D146" s="658"/>
      <c r="J146" s="280"/>
      <c r="M146" s="282"/>
      <c r="N146" s="157"/>
      <c r="O146" s="308"/>
      <c r="P146" s="308"/>
    </row>
    <row r="147" spans="3:16" s="159" customFormat="1" x14ac:dyDescent="0.25">
      <c r="C147" s="658"/>
      <c r="D147" s="658"/>
      <c r="J147" s="280"/>
      <c r="M147" s="282"/>
      <c r="N147" s="157"/>
      <c r="O147" s="308"/>
      <c r="P147" s="308"/>
    </row>
    <row r="148" spans="3:16" s="159" customFormat="1" x14ac:dyDescent="0.25">
      <c r="C148" s="658"/>
      <c r="D148" s="658"/>
      <c r="J148" s="280"/>
      <c r="M148" s="282"/>
      <c r="N148" s="157"/>
      <c r="O148" s="308"/>
      <c r="P148" s="308"/>
    </row>
    <row r="149" spans="3:16" s="159" customFormat="1" x14ac:dyDescent="0.25">
      <c r="C149" s="658"/>
      <c r="D149" s="658"/>
      <c r="J149" s="280"/>
      <c r="M149" s="282"/>
      <c r="N149" s="157"/>
      <c r="O149" s="308"/>
      <c r="P149" s="308"/>
    </row>
    <row r="150" spans="3:16" s="159" customFormat="1" x14ac:dyDescent="0.25">
      <c r="C150" s="658"/>
      <c r="D150" s="658"/>
      <c r="J150" s="280"/>
      <c r="M150" s="282"/>
      <c r="N150" s="157"/>
      <c r="O150" s="308"/>
      <c r="P150" s="308"/>
    </row>
    <row r="151" spans="3:16" s="159" customFormat="1" x14ac:dyDescent="0.25">
      <c r="C151" s="658"/>
      <c r="D151" s="658"/>
      <c r="J151" s="280"/>
      <c r="M151" s="282"/>
      <c r="N151" s="157"/>
      <c r="O151" s="308"/>
      <c r="P151" s="308"/>
    </row>
    <row r="152" spans="3:16" s="159" customFormat="1" x14ac:dyDescent="0.25">
      <c r="C152" s="658"/>
      <c r="D152" s="658"/>
      <c r="J152" s="280"/>
      <c r="M152" s="282"/>
      <c r="N152" s="157"/>
      <c r="O152" s="308"/>
      <c r="P152" s="308"/>
    </row>
    <row r="153" spans="3:16" s="159" customFormat="1" x14ac:dyDescent="0.25">
      <c r="C153" s="658"/>
      <c r="D153" s="658"/>
      <c r="J153" s="280"/>
      <c r="M153" s="282"/>
      <c r="N153" s="157"/>
      <c r="O153" s="308"/>
      <c r="P153" s="308"/>
    </row>
    <row r="154" spans="3:16" s="159" customFormat="1" x14ac:dyDescent="0.25">
      <c r="C154" s="658"/>
      <c r="D154" s="658"/>
      <c r="J154" s="280"/>
      <c r="M154" s="282"/>
      <c r="N154" s="157"/>
      <c r="O154" s="308"/>
      <c r="P154" s="308"/>
    </row>
    <row r="155" spans="3:16" s="159" customFormat="1" x14ac:dyDescent="0.25">
      <c r="C155" s="658"/>
      <c r="D155" s="658"/>
      <c r="J155" s="280"/>
      <c r="M155" s="282"/>
      <c r="N155" s="157"/>
      <c r="O155" s="308"/>
      <c r="P155" s="308"/>
    </row>
    <row r="156" spans="3:16" s="159" customFormat="1" x14ac:dyDescent="0.25">
      <c r="C156" s="658"/>
      <c r="D156" s="658"/>
      <c r="J156" s="280"/>
      <c r="M156" s="282"/>
      <c r="N156" s="157"/>
      <c r="O156" s="308"/>
      <c r="P156" s="308"/>
    </row>
    <row r="157" spans="3:16" s="159" customFormat="1" x14ac:dyDescent="0.25">
      <c r="C157" s="658"/>
      <c r="D157" s="658"/>
      <c r="J157" s="280"/>
      <c r="M157" s="282"/>
      <c r="N157" s="157"/>
      <c r="O157" s="308"/>
      <c r="P157" s="308"/>
    </row>
    <row r="158" spans="3:16" s="159" customFormat="1" x14ac:dyDescent="0.25">
      <c r="C158" s="658"/>
      <c r="D158" s="658"/>
      <c r="J158" s="280"/>
      <c r="M158" s="282"/>
      <c r="N158" s="157"/>
      <c r="O158" s="308"/>
      <c r="P158" s="308"/>
    </row>
    <row r="159" spans="3:16" s="159" customFormat="1" x14ac:dyDescent="0.25">
      <c r="C159" s="658"/>
      <c r="D159" s="658"/>
      <c r="J159" s="280"/>
      <c r="M159" s="282"/>
      <c r="N159" s="157"/>
      <c r="O159" s="308"/>
      <c r="P159" s="308"/>
    </row>
    <row r="160" spans="3:16" s="159" customFormat="1" x14ac:dyDescent="0.25">
      <c r="C160" s="658"/>
      <c r="D160" s="658"/>
      <c r="J160" s="280"/>
      <c r="M160" s="282"/>
      <c r="N160" s="157"/>
      <c r="O160" s="308"/>
      <c r="P160" s="308"/>
    </row>
    <row r="161" spans="3:16" s="159" customFormat="1" x14ac:dyDescent="0.25">
      <c r="C161" s="658"/>
      <c r="D161" s="658"/>
      <c r="J161" s="280"/>
      <c r="M161" s="282"/>
      <c r="N161" s="157"/>
      <c r="O161" s="308"/>
      <c r="P161" s="308"/>
    </row>
    <row r="162" spans="3:16" s="159" customFormat="1" x14ac:dyDescent="0.25">
      <c r="C162" s="658"/>
      <c r="D162" s="658"/>
      <c r="J162" s="280"/>
      <c r="M162" s="282"/>
      <c r="N162" s="157"/>
      <c r="O162" s="308"/>
      <c r="P162" s="308"/>
    </row>
    <row r="163" spans="3:16" s="159" customFormat="1" x14ac:dyDescent="0.25">
      <c r="C163" s="658"/>
      <c r="D163" s="658"/>
      <c r="J163" s="280"/>
      <c r="M163" s="282"/>
      <c r="N163" s="157"/>
      <c r="O163" s="308"/>
      <c r="P163" s="308"/>
    </row>
    <row r="164" spans="3:16" s="159" customFormat="1" x14ac:dyDescent="0.25">
      <c r="C164" s="658"/>
      <c r="D164" s="658"/>
      <c r="J164" s="280"/>
      <c r="M164" s="282"/>
      <c r="N164" s="157"/>
      <c r="O164" s="308"/>
      <c r="P164" s="308"/>
    </row>
    <row r="165" spans="3:16" s="159" customFormat="1" x14ac:dyDescent="0.25">
      <c r="C165" s="658"/>
      <c r="D165" s="658"/>
      <c r="J165" s="280"/>
      <c r="M165" s="282"/>
      <c r="N165" s="157"/>
      <c r="O165" s="308"/>
      <c r="P165" s="308"/>
    </row>
    <row r="166" spans="3:16" s="159" customFormat="1" x14ac:dyDescent="0.25">
      <c r="C166" s="658"/>
      <c r="D166" s="658"/>
      <c r="J166" s="280"/>
      <c r="M166" s="282"/>
      <c r="N166" s="157"/>
      <c r="O166" s="308"/>
      <c r="P166" s="308"/>
    </row>
    <row r="167" spans="3:16" s="159" customFormat="1" x14ac:dyDescent="0.25">
      <c r="C167" s="658"/>
      <c r="D167" s="658"/>
      <c r="J167" s="280"/>
      <c r="M167" s="282"/>
      <c r="N167" s="157"/>
      <c r="O167" s="308"/>
      <c r="P167" s="308"/>
    </row>
    <row r="168" spans="3:16" s="159" customFormat="1" x14ac:dyDescent="0.25">
      <c r="C168" s="658"/>
      <c r="D168" s="658"/>
      <c r="J168" s="280"/>
      <c r="M168" s="282"/>
      <c r="N168" s="157"/>
      <c r="O168" s="308"/>
      <c r="P168" s="308"/>
    </row>
    <row r="169" spans="3:16" s="159" customFormat="1" x14ac:dyDescent="0.25">
      <c r="C169" s="658"/>
      <c r="D169" s="658"/>
      <c r="J169" s="280"/>
      <c r="M169" s="282"/>
      <c r="N169" s="157"/>
      <c r="O169" s="308"/>
      <c r="P169" s="308"/>
    </row>
    <row r="170" spans="3:16" s="159" customFormat="1" x14ac:dyDescent="0.25">
      <c r="C170" s="658"/>
      <c r="D170" s="658"/>
      <c r="J170" s="280"/>
      <c r="M170" s="282"/>
      <c r="N170" s="157"/>
      <c r="O170" s="308"/>
      <c r="P170" s="308"/>
    </row>
    <row r="171" spans="3:16" s="159" customFormat="1" x14ac:dyDescent="0.25">
      <c r="C171" s="658"/>
      <c r="D171" s="658"/>
      <c r="J171" s="280"/>
      <c r="M171" s="282"/>
      <c r="N171" s="157"/>
      <c r="O171" s="308"/>
      <c r="P171" s="308"/>
    </row>
    <row r="172" spans="3:16" s="159" customFormat="1" x14ac:dyDescent="0.25">
      <c r="C172" s="658"/>
      <c r="D172" s="658"/>
      <c r="J172" s="280"/>
      <c r="M172" s="282"/>
      <c r="N172" s="157"/>
      <c r="O172" s="308"/>
      <c r="P172" s="308"/>
    </row>
    <row r="173" spans="3:16" s="159" customFormat="1" x14ac:dyDescent="0.25">
      <c r="C173" s="658"/>
      <c r="D173" s="658"/>
      <c r="J173" s="280"/>
      <c r="M173" s="282"/>
      <c r="N173" s="157"/>
      <c r="O173" s="308"/>
      <c r="P173" s="308"/>
    </row>
    <row r="174" spans="3:16" s="159" customFormat="1" x14ac:dyDescent="0.25">
      <c r="C174" s="658"/>
      <c r="D174" s="658"/>
      <c r="J174" s="280"/>
      <c r="M174" s="282"/>
      <c r="N174" s="157"/>
      <c r="O174" s="308"/>
      <c r="P174" s="308"/>
    </row>
    <row r="175" spans="3:16" s="159" customFormat="1" x14ac:dyDescent="0.25">
      <c r="C175" s="658"/>
      <c r="D175" s="658"/>
      <c r="J175" s="280"/>
      <c r="M175" s="282"/>
      <c r="N175" s="157"/>
      <c r="O175" s="308"/>
      <c r="P175" s="308"/>
    </row>
    <row r="176" spans="3:16" s="159" customFormat="1" x14ac:dyDescent="0.25">
      <c r="C176" s="658"/>
      <c r="D176" s="658"/>
      <c r="J176" s="280"/>
      <c r="M176" s="282"/>
      <c r="N176" s="157"/>
      <c r="O176" s="308"/>
      <c r="P176" s="308"/>
    </row>
    <row r="177" spans="3:16" s="159" customFormat="1" x14ac:dyDescent="0.25">
      <c r="C177" s="658"/>
      <c r="D177" s="658"/>
      <c r="J177" s="280"/>
      <c r="M177" s="282"/>
      <c r="N177" s="157"/>
      <c r="O177" s="308"/>
      <c r="P177" s="308"/>
    </row>
    <row r="178" spans="3:16" s="159" customFormat="1" x14ac:dyDescent="0.25">
      <c r="C178" s="658"/>
      <c r="D178" s="658"/>
      <c r="J178" s="280"/>
      <c r="M178" s="282"/>
      <c r="N178" s="157"/>
      <c r="O178" s="308"/>
      <c r="P178" s="308"/>
    </row>
    <row r="179" spans="3:16" s="159" customFormat="1" x14ac:dyDescent="0.25">
      <c r="C179" s="658"/>
      <c r="D179" s="658"/>
      <c r="J179" s="280"/>
      <c r="M179" s="282"/>
      <c r="N179" s="157"/>
      <c r="O179" s="308"/>
      <c r="P179" s="308"/>
    </row>
    <row r="180" spans="3:16" s="159" customFormat="1" x14ac:dyDescent="0.25">
      <c r="C180" s="658"/>
      <c r="D180" s="658"/>
      <c r="J180" s="280"/>
      <c r="M180" s="282"/>
      <c r="N180" s="157"/>
      <c r="O180" s="308"/>
      <c r="P180" s="308"/>
    </row>
    <row r="181" spans="3:16" s="159" customFormat="1" x14ac:dyDescent="0.25">
      <c r="C181" s="658"/>
      <c r="D181" s="658"/>
      <c r="J181" s="280"/>
      <c r="M181" s="282"/>
      <c r="N181" s="157"/>
      <c r="O181" s="308"/>
      <c r="P181" s="308"/>
    </row>
    <row r="182" spans="3:16" s="159" customFormat="1" x14ac:dyDescent="0.25">
      <c r="C182" s="658"/>
      <c r="D182" s="658"/>
      <c r="J182" s="280"/>
      <c r="M182" s="282"/>
      <c r="N182" s="157"/>
      <c r="O182" s="308"/>
      <c r="P182" s="308"/>
    </row>
    <row r="183" spans="3:16" s="159" customFormat="1" x14ac:dyDescent="0.25">
      <c r="C183" s="658"/>
      <c r="D183" s="658"/>
      <c r="J183" s="280"/>
      <c r="M183" s="282"/>
      <c r="N183" s="157"/>
      <c r="O183" s="308"/>
      <c r="P183" s="308"/>
    </row>
    <row r="184" spans="3:16" s="159" customFormat="1" x14ac:dyDescent="0.25">
      <c r="C184" s="658"/>
      <c r="D184" s="658"/>
      <c r="J184" s="280"/>
      <c r="M184" s="282"/>
      <c r="N184" s="157"/>
      <c r="O184" s="308"/>
      <c r="P184" s="308"/>
    </row>
    <row r="185" spans="3:16" s="159" customFormat="1" x14ac:dyDescent="0.25">
      <c r="C185" s="658"/>
      <c r="D185" s="658"/>
      <c r="J185" s="280"/>
      <c r="M185" s="282"/>
      <c r="N185" s="157"/>
      <c r="O185" s="308"/>
      <c r="P185" s="308"/>
    </row>
    <row r="186" spans="3:16" s="159" customFormat="1" x14ac:dyDescent="0.25">
      <c r="C186" s="658"/>
      <c r="D186" s="658"/>
      <c r="J186" s="280"/>
      <c r="M186" s="282"/>
      <c r="N186" s="157"/>
      <c r="O186" s="308"/>
      <c r="P186" s="308"/>
    </row>
    <row r="187" spans="3:16" s="159" customFormat="1" x14ac:dyDescent="0.25">
      <c r="C187" s="658"/>
      <c r="D187" s="658"/>
      <c r="J187" s="280"/>
      <c r="M187" s="282"/>
      <c r="N187" s="157"/>
      <c r="O187" s="308"/>
      <c r="P187" s="308"/>
    </row>
    <row r="188" spans="3:16" s="159" customFormat="1" x14ac:dyDescent="0.25">
      <c r="C188" s="658"/>
      <c r="D188" s="658"/>
      <c r="J188" s="280"/>
      <c r="M188" s="282"/>
      <c r="N188" s="157"/>
      <c r="O188" s="308"/>
      <c r="P188" s="308"/>
    </row>
    <row r="189" spans="3:16" s="159" customFormat="1" x14ac:dyDescent="0.25">
      <c r="C189" s="658"/>
      <c r="D189" s="658"/>
      <c r="J189" s="280"/>
      <c r="M189" s="282"/>
      <c r="N189" s="157"/>
      <c r="O189" s="308"/>
      <c r="P189" s="308"/>
    </row>
    <row r="190" spans="3:16" s="159" customFormat="1" x14ac:dyDescent="0.25">
      <c r="C190" s="658"/>
      <c r="D190" s="658"/>
      <c r="J190" s="280"/>
      <c r="M190" s="282"/>
      <c r="N190" s="157"/>
      <c r="O190" s="308"/>
      <c r="P190" s="308"/>
    </row>
    <row r="191" spans="3:16" s="159" customFormat="1" x14ac:dyDescent="0.25">
      <c r="C191" s="658"/>
      <c r="D191" s="658"/>
      <c r="J191" s="280"/>
      <c r="M191" s="282"/>
      <c r="N191" s="157"/>
      <c r="O191" s="308"/>
      <c r="P191" s="308"/>
    </row>
    <row r="192" spans="3:16" s="159" customFormat="1" x14ac:dyDescent="0.25">
      <c r="C192" s="658"/>
      <c r="D192" s="658"/>
      <c r="J192" s="280"/>
      <c r="M192" s="282"/>
      <c r="N192" s="157"/>
      <c r="O192" s="308"/>
      <c r="P192" s="308"/>
    </row>
    <row r="193" spans="3:16" s="159" customFormat="1" x14ac:dyDescent="0.25">
      <c r="C193" s="658"/>
      <c r="D193" s="658"/>
      <c r="J193" s="280"/>
      <c r="M193" s="282"/>
      <c r="N193" s="157"/>
      <c r="O193" s="308"/>
      <c r="P193" s="308"/>
    </row>
    <row r="194" spans="3:16" s="159" customFormat="1" x14ac:dyDescent="0.25">
      <c r="C194" s="658"/>
      <c r="D194" s="658"/>
      <c r="J194" s="280"/>
      <c r="M194" s="282"/>
      <c r="N194" s="157"/>
      <c r="O194" s="308"/>
      <c r="P194" s="308"/>
    </row>
    <row r="195" spans="3:16" s="159" customFormat="1" x14ac:dyDescent="0.25">
      <c r="C195" s="658"/>
      <c r="D195" s="658"/>
      <c r="J195" s="280"/>
      <c r="M195" s="282"/>
      <c r="N195" s="157"/>
      <c r="O195" s="308"/>
      <c r="P195" s="308"/>
    </row>
    <row r="196" spans="3:16" s="159" customFormat="1" x14ac:dyDescent="0.25">
      <c r="C196" s="658"/>
      <c r="D196" s="658"/>
      <c r="J196" s="280"/>
      <c r="M196" s="282"/>
      <c r="N196" s="157"/>
      <c r="O196" s="308"/>
      <c r="P196" s="308"/>
    </row>
    <row r="197" spans="3:16" s="159" customFormat="1" x14ac:dyDescent="0.25">
      <c r="C197" s="658"/>
      <c r="D197" s="658"/>
      <c r="J197" s="280"/>
      <c r="M197" s="282"/>
      <c r="N197" s="157"/>
      <c r="O197" s="308"/>
      <c r="P197" s="308"/>
    </row>
    <row r="198" spans="3:16" s="159" customFormat="1" x14ac:dyDescent="0.25">
      <c r="C198" s="658"/>
      <c r="D198" s="658"/>
      <c r="J198" s="280"/>
      <c r="M198" s="282"/>
      <c r="N198" s="157"/>
      <c r="O198" s="308"/>
      <c r="P198" s="308"/>
    </row>
    <row r="199" spans="3:16" s="159" customFormat="1" x14ac:dyDescent="0.25">
      <c r="C199" s="658"/>
      <c r="D199" s="658"/>
      <c r="J199" s="280"/>
      <c r="M199" s="282"/>
      <c r="N199" s="157"/>
      <c r="O199" s="308"/>
      <c r="P199" s="308"/>
    </row>
    <row r="200" spans="3:16" s="159" customFormat="1" x14ac:dyDescent="0.25">
      <c r="C200" s="658"/>
      <c r="D200" s="658"/>
      <c r="J200" s="280"/>
      <c r="M200" s="282"/>
      <c r="N200" s="157"/>
      <c r="O200" s="308"/>
      <c r="P200" s="308"/>
    </row>
    <row r="201" spans="3:16" s="159" customFormat="1" x14ac:dyDescent="0.25">
      <c r="C201" s="658"/>
      <c r="D201" s="658"/>
      <c r="J201" s="280"/>
      <c r="M201" s="282"/>
      <c r="N201" s="157"/>
      <c r="O201" s="308"/>
      <c r="P201" s="308"/>
    </row>
    <row r="202" spans="3:16" s="159" customFormat="1" x14ac:dyDescent="0.25">
      <c r="C202" s="658"/>
      <c r="D202" s="658"/>
      <c r="J202" s="280"/>
      <c r="M202" s="282"/>
      <c r="N202" s="157"/>
      <c r="O202" s="308"/>
      <c r="P202" s="308"/>
    </row>
    <row r="203" spans="3:16" s="159" customFormat="1" x14ac:dyDescent="0.25">
      <c r="C203" s="658"/>
      <c r="D203" s="658"/>
      <c r="J203" s="280"/>
      <c r="M203" s="282"/>
      <c r="N203" s="157"/>
      <c r="O203" s="308"/>
      <c r="P203" s="308"/>
    </row>
    <row r="204" spans="3:16" s="159" customFormat="1" x14ac:dyDescent="0.25">
      <c r="C204" s="658"/>
      <c r="D204" s="658"/>
      <c r="J204" s="280"/>
      <c r="M204" s="282"/>
      <c r="N204" s="157"/>
      <c r="O204" s="308"/>
      <c r="P204" s="308"/>
    </row>
    <row r="205" spans="3:16" s="159" customFormat="1" x14ac:dyDescent="0.25">
      <c r="C205" s="658"/>
      <c r="D205" s="658"/>
      <c r="J205" s="280"/>
      <c r="M205" s="282"/>
      <c r="N205" s="157"/>
      <c r="O205" s="308"/>
      <c r="P205" s="308"/>
    </row>
    <row r="206" spans="3:16" s="159" customFormat="1" x14ac:dyDescent="0.25">
      <c r="C206" s="658"/>
      <c r="D206" s="658"/>
      <c r="J206" s="280"/>
      <c r="M206" s="282"/>
      <c r="N206" s="157"/>
      <c r="O206" s="308"/>
      <c r="P206" s="308"/>
    </row>
    <row r="207" spans="3:16" s="159" customFormat="1" x14ac:dyDescent="0.25">
      <c r="C207" s="658"/>
      <c r="D207" s="658"/>
      <c r="J207" s="280"/>
      <c r="M207" s="282"/>
      <c r="N207" s="157"/>
      <c r="O207" s="308"/>
      <c r="P207" s="308"/>
    </row>
    <row r="208" spans="3:16" s="159" customFormat="1" x14ac:dyDescent="0.25">
      <c r="C208" s="658"/>
      <c r="D208" s="658"/>
      <c r="J208" s="280"/>
      <c r="M208" s="282"/>
      <c r="N208" s="157"/>
      <c r="O208" s="308"/>
      <c r="P208" s="308"/>
    </row>
    <row r="209" spans="3:16" s="159" customFormat="1" x14ac:dyDescent="0.25">
      <c r="C209" s="658"/>
      <c r="D209" s="658"/>
      <c r="J209" s="280"/>
      <c r="M209" s="282"/>
      <c r="N209" s="157"/>
      <c r="O209" s="308"/>
      <c r="P209" s="308"/>
    </row>
    <row r="210" spans="3:16" s="159" customFormat="1" x14ac:dyDescent="0.25">
      <c r="C210" s="658"/>
      <c r="D210" s="658"/>
      <c r="J210" s="280"/>
      <c r="M210" s="282"/>
      <c r="N210" s="157"/>
      <c r="O210" s="308"/>
      <c r="P210" s="308"/>
    </row>
    <row r="211" spans="3:16" s="159" customFormat="1" x14ac:dyDescent="0.25">
      <c r="C211" s="658"/>
      <c r="D211" s="658"/>
      <c r="J211" s="280"/>
      <c r="M211" s="282"/>
      <c r="N211" s="157"/>
      <c r="O211" s="308"/>
      <c r="P211" s="308"/>
    </row>
    <row r="212" spans="3:16" s="159" customFormat="1" x14ac:dyDescent="0.25">
      <c r="C212" s="658"/>
      <c r="D212" s="658"/>
      <c r="J212" s="280"/>
      <c r="M212" s="282"/>
      <c r="N212" s="157"/>
      <c r="O212" s="308"/>
      <c r="P212" s="308"/>
    </row>
    <row r="213" spans="3:16" s="159" customFormat="1" x14ac:dyDescent="0.25">
      <c r="C213" s="658"/>
      <c r="D213" s="658"/>
      <c r="J213" s="280"/>
      <c r="M213" s="282"/>
      <c r="N213" s="157"/>
      <c r="O213" s="308"/>
      <c r="P213" s="308"/>
    </row>
    <row r="214" spans="3:16" s="159" customFormat="1" x14ac:dyDescent="0.25">
      <c r="C214" s="658"/>
      <c r="D214" s="658"/>
      <c r="J214" s="280"/>
      <c r="M214" s="282"/>
      <c r="N214" s="157"/>
      <c r="O214" s="308"/>
      <c r="P214" s="308"/>
    </row>
    <row r="215" spans="3:16" s="159" customFormat="1" x14ac:dyDescent="0.25">
      <c r="C215" s="658"/>
      <c r="D215" s="658"/>
      <c r="J215" s="280"/>
      <c r="M215" s="282"/>
      <c r="N215" s="157"/>
      <c r="O215" s="308"/>
      <c r="P215" s="308"/>
    </row>
    <row r="216" spans="3:16" s="159" customFormat="1" x14ac:dyDescent="0.25">
      <c r="C216" s="658"/>
      <c r="D216" s="658"/>
      <c r="J216" s="280"/>
      <c r="M216" s="282"/>
      <c r="N216" s="157"/>
      <c r="O216" s="308"/>
      <c r="P216" s="308"/>
    </row>
    <row r="217" spans="3:16" s="159" customFormat="1" x14ac:dyDescent="0.25">
      <c r="C217" s="658"/>
      <c r="D217" s="658"/>
      <c r="J217" s="280"/>
      <c r="M217" s="282"/>
      <c r="N217" s="157"/>
      <c r="O217" s="308"/>
      <c r="P217" s="308"/>
    </row>
    <row r="218" spans="3:16" s="159" customFormat="1" x14ac:dyDescent="0.25">
      <c r="C218" s="658"/>
      <c r="D218" s="658"/>
      <c r="J218" s="280"/>
      <c r="M218" s="282"/>
      <c r="N218" s="157"/>
      <c r="O218" s="308"/>
      <c r="P218" s="308"/>
    </row>
    <row r="219" spans="3:16" s="159" customFormat="1" x14ac:dyDescent="0.25">
      <c r="C219" s="658"/>
      <c r="D219" s="658"/>
      <c r="J219" s="280"/>
      <c r="M219" s="282"/>
      <c r="N219" s="157"/>
      <c r="O219" s="308"/>
      <c r="P219" s="308"/>
    </row>
    <row r="220" spans="3:16" s="159" customFormat="1" x14ac:dyDescent="0.25">
      <c r="C220" s="658"/>
      <c r="D220" s="658"/>
      <c r="J220" s="280"/>
      <c r="M220" s="282"/>
      <c r="N220" s="157"/>
      <c r="O220" s="308"/>
      <c r="P220" s="308"/>
    </row>
    <row r="221" spans="3:16" s="159" customFormat="1" x14ac:dyDescent="0.25">
      <c r="C221" s="658"/>
      <c r="D221" s="658"/>
      <c r="J221" s="280"/>
      <c r="M221" s="282"/>
      <c r="N221" s="157"/>
      <c r="O221" s="308"/>
      <c r="P221" s="308"/>
    </row>
    <row r="222" spans="3:16" s="159" customFormat="1" x14ac:dyDescent="0.25">
      <c r="C222" s="658"/>
      <c r="D222" s="658"/>
      <c r="J222" s="280"/>
      <c r="M222" s="282"/>
      <c r="N222" s="157"/>
      <c r="O222" s="308"/>
      <c r="P222" s="308"/>
    </row>
    <row r="223" spans="3:16" s="159" customFormat="1" x14ac:dyDescent="0.25">
      <c r="C223" s="658"/>
      <c r="D223" s="658"/>
      <c r="J223" s="280"/>
      <c r="M223" s="282"/>
      <c r="N223" s="157"/>
      <c r="O223" s="308"/>
      <c r="P223" s="308"/>
    </row>
    <row r="224" spans="3:16" s="159" customFormat="1" x14ac:dyDescent="0.25">
      <c r="C224" s="658"/>
      <c r="D224" s="658"/>
      <c r="J224" s="280"/>
      <c r="M224" s="282"/>
      <c r="N224" s="157"/>
      <c r="O224" s="308"/>
      <c r="P224" s="308"/>
    </row>
    <row r="225" spans="3:16" s="159" customFormat="1" x14ac:dyDescent="0.25">
      <c r="C225" s="658"/>
      <c r="D225" s="658"/>
      <c r="J225" s="280"/>
      <c r="M225" s="282"/>
      <c r="N225" s="157"/>
      <c r="O225" s="308"/>
      <c r="P225" s="308"/>
    </row>
    <row r="226" spans="3:16" s="159" customFormat="1" x14ac:dyDescent="0.25">
      <c r="C226" s="658"/>
      <c r="D226" s="658"/>
      <c r="J226" s="280"/>
      <c r="M226" s="282"/>
      <c r="N226" s="157"/>
      <c r="O226" s="308"/>
      <c r="P226" s="308"/>
    </row>
    <row r="227" spans="3:16" s="159" customFormat="1" x14ac:dyDescent="0.25">
      <c r="C227" s="658"/>
      <c r="D227" s="658"/>
      <c r="J227" s="280"/>
      <c r="M227" s="282"/>
      <c r="N227" s="157"/>
      <c r="O227" s="308"/>
      <c r="P227" s="308"/>
    </row>
    <row r="228" spans="3:16" s="159" customFormat="1" x14ac:dyDescent="0.25">
      <c r="C228" s="658"/>
      <c r="D228" s="658"/>
      <c r="J228" s="280"/>
      <c r="M228" s="282"/>
      <c r="N228" s="157"/>
      <c r="O228" s="308"/>
      <c r="P228" s="308"/>
    </row>
    <row r="229" spans="3:16" s="159" customFormat="1" x14ac:dyDescent="0.25">
      <c r="C229" s="658"/>
      <c r="D229" s="658"/>
      <c r="J229" s="280"/>
      <c r="M229" s="282"/>
      <c r="N229" s="157"/>
      <c r="O229" s="308"/>
      <c r="P229" s="308"/>
    </row>
    <row r="230" spans="3:16" s="159" customFormat="1" x14ac:dyDescent="0.25">
      <c r="C230" s="658"/>
      <c r="D230" s="658"/>
      <c r="J230" s="280"/>
      <c r="M230" s="282"/>
      <c r="N230" s="157"/>
      <c r="O230" s="308"/>
      <c r="P230" s="308"/>
    </row>
    <row r="231" spans="3:16" s="159" customFormat="1" x14ac:dyDescent="0.25">
      <c r="C231" s="658"/>
      <c r="D231" s="658"/>
      <c r="J231" s="280"/>
      <c r="M231" s="282"/>
      <c r="N231" s="157"/>
      <c r="O231" s="308"/>
      <c r="P231" s="308"/>
    </row>
    <row r="232" spans="3:16" s="159" customFormat="1" x14ac:dyDescent="0.25">
      <c r="C232" s="658"/>
      <c r="D232" s="658"/>
      <c r="J232" s="280"/>
      <c r="M232" s="282"/>
      <c r="N232" s="157"/>
      <c r="O232" s="308"/>
      <c r="P232" s="308"/>
    </row>
    <row r="233" spans="3:16" s="159" customFormat="1" x14ac:dyDescent="0.25">
      <c r="C233" s="658"/>
      <c r="D233" s="658"/>
      <c r="J233" s="280"/>
      <c r="M233" s="282"/>
      <c r="N233" s="157"/>
      <c r="O233" s="308"/>
      <c r="P233" s="308"/>
    </row>
    <row r="234" spans="3:16" s="159" customFormat="1" x14ac:dyDescent="0.25">
      <c r="C234" s="658"/>
      <c r="D234" s="658"/>
      <c r="J234" s="280"/>
      <c r="M234" s="282"/>
      <c r="N234" s="157"/>
      <c r="O234" s="308"/>
      <c r="P234" s="308"/>
    </row>
    <row r="235" spans="3:16" s="159" customFormat="1" x14ac:dyDescent="0.25">
      <c r="C235" s="658"/>
      <c r="D235" s="658"/>
      <c r="J235" s="280"/>
      <c r="M235" s="282"/>
      <c r="N235" s="157"/>
      <c r="O235" s="308"/>
      <c r="P235" s="308"/>
    </row>
    <row r="236" spans="3:16" s="159" customFormat="1" x14ac:dyDescent="0.25">
      <c r="C236" s="658"/>
      <c r="D236" s="658"/>
      <c r="J236" s="280"/>
      <c r="M236" s="282"/>
      <c r="N236" s="157"/>
      <c r="O236" s="308"/>
      <c r="P236" s="308"/>
    </row>
    <row r="237" spans="3:16" s="159" customFormat="1" x14ac:dyDescent="0.25">
      <c r="C237" s="658"/>
      <c r="D237" s="658"/>
      <c r="J237" s="280"/>
      <c r="M237" s="282"/>
      <c r="N237" s="157"/>
      <c r="O237" s="308"/>
      <c r="P237" s="308"/>
    </row>
    <row r="238" spans="3:16" s="159" customFormat="1" x14ac:dyDescent="0.25">
      <c r="C238" s="658"/>
      <c r="D238" s="658"/>
      <c r="J238" s="280"/>
      <c r="M238" s="282"/>
      <c r="N238" s="157"/>
      <c r="O238" s="308"/>
      <c r="P238" s="308"/>
    </row>
    <row r="239" spans="3:16" s="159" customFormat="1" x14ac:dyDescent="0.25">
      <c r="C239" s="658"/>
      <c r="D239" s="658"/>
      <c r="J239" s="280"/>
      <c r="M239" s="282"/>
      <c r="N239" s="157"/>
      <c r="O239" s="308"/>
      <c r="P239" s="308"/>
    </row>
    <row r="240" spans="3:16" s="159" customFormat="1" x14ac:dyDescent="0.25">
      <c r="C240" s="658"/>
      <c r="D240" s="658"/>
      <c r="J240" s="280"/>
      <c r="M240" s="282"/>
      <c r="N240" s="157"/>
      <c r="O240" s="308"/>
      <c r="P240" s="308"/>
    </row>
    <row r="241" spans="3:16" s="159" customFormat="1" x14ac:dyDescent="0.25">
      <c r="C241" s="658"/>
      <c r="D241" s="658"/>
      <c r="J241" s="280"/>
      <c r="M241" s="282"/>
      <c r="N241" s="157"/>
      <c r="O241" s="308"/>
      <c r="P241" s="308"/>
    </row>
    <row r="242" spans="3:16" s="159" customFormat="1" x14ac:dyDescent="0.25">
      <c r="C242" s="658"/>
      <c r="D242" s="658"/>
      <c r="J242" s="280"/>
      <c r="M242" s="282"/>
      <c r="N242" s="157"/>
      <c r="O242" s="308"/>
      <c r="P242" s="308"/>
    </row>
    <row r="243" spans="3:16" s="159" customFormat="1" x14ac:dyDescent="0.25">
      <c r="C243" s="658"/>
      <c r="D243" s="658"/>
      <c r="J243" s="280"/>
      <c r="M243" s="282"/>
      <c r="N243" s="157"/>
      <c r="O243" s="308"/>
      <c r="P243" s="308"/>
    </row>
    <row r="244" spans="3:16" s="159" customFormat="1" x14ac:dyDescent="0.25">
      <c r="C244" s="658"/>
      <c r="D244" s="658"/>
      <c r="J244" s="280"/>
      <c r="M244" s="282"/>
      <c r="N244" s="157"/>
      <c r="O244" s="308"/>
      <c r="P244" s="308"/>
    </row>
    <row r="245" spans="3:16" s="159" customFormat="1" x14ac:dyDescent="0.25">
      <c r="C245" s="658"/>
      <c r="D245" s="658"/>
      <c r="J245" s="280"/>
      <c r="M245" s="282"/>
      <c r="N245" s="157"/>
      <c r="O245" s="308"/>
      <c r="P245" s="308"/>
    </row>
    <row r="246" spans="3:16" s="159" customFormat="1" x14ac:dyDescent="0.25">
      <c r="C246" s="658"/>
      <c r="D246" s="658"/>
      <c r="J246" s="280"/>
      <c r="M246" s="282"/>
      <c r="N246" s="157"/>
      <c r="O246" s="308"/>
      <c r="P246" s="308"/>
    </row>
    <row r="247" spans="3:16" s="159" customFormat="1" x14ac:dyDescent="0.25">
      <c r="C247" s="658"/>
      <c r="D247" s="658"/>
      <c r="J247" s="280"/>
      <c r="M247" s="282"/>
      <c r="N247" s="157"/>
      <c r="O247" s="308"/>
      <c r="P247" s="308"/>
    </row>
    <row r="248" spans="3:16" s="159" customFormat="1" x14ac:dyDescent="0.25">
      <c r="C248" s="658"/>
      <c r="D248" s="658"/>
      <c r="J248" s="280"/>
      <c r="M248" s="282"/>
      <c r="N248" s="157"/>
      <c r="O248" s="308"/>
      <c r="P248" s="308"/>
    </row>
    <row r="249" spans="3:16" s="159" customFormat="1" x14ac:dyDescent="0.25">
      <c r="C249" s="658"/>
      <c r="D249" s="658"/>
      <c r="J249" s="280"/>
      <c r="M249" s="282"/>
      <c r="N249" s="157"/>
      <c r="O249" s="308"/>
      <c r="P249" s="308"/>
    </row>
    <row r="250" spans="3:16" s="159" customFormat="1" x14ac:dyDescent="0.25">
      <c r="C250" s="658"/>
      <c r="D250" s="658"/>
      <c r="J250" s="280"/>
      <c r="M250" s="282"/>
      <c r="N250" s="157"/>
      <c r="O250" s="308"/>
      <c r="P250" s="308"/>
    </row>
    <row r="251" spans="3:16" s="159" customFormat="1" x14ac:dyDescent="0.25">
      <c r="C251" s="658"/>
      <c r="D251" s="658"/>
      <c r="J251" s="280"/>
      <c r="M251" s="282"/>
      <c r="N251" s="157"/>
      <c r="O251" s="308"/>
      <c r="P251" s="308"/>
    </row>
    <row r="252" spans="3:16" s="159" customFormat="1" x14ac:dyDescent="0.25">
      <c r="C252" s="658"/>
      <c r="D252" s="658"/>
      <c r="J252" s="280"/>
      <c r="M252" s="282"/>
      <c r="N252" s="157"/>
      <c r="O252" s="308"/>
      <c r="P252" s="308"/>
    </row>
    <row r="253" spans="3:16" s="159" customFormat="1" x14ac:dyDescent="0.25">
      <c r="C253" s="658"/>
      <c r="D253" s="658"/>
      <c r="J253" s="280"/>
      <c r="M253" s="282"/>
      <c r="N253" s="157"/>
      <c r="O253" s="308"/>
      <c r="P253" s="308"/>
    </row>
    <row r="254" spans="3:16" s="159" customFormat="1" x14ac:dyDescent="0.25">
      <c r="C254" s="658"/>
      <c r="D254" s="658"/>
      <c r="J254" s="280"/>
      <c r="M254" s="282"/>
      <c r="N254" s="157"/>
      <c r="O254" s="308"/>
      <c r="P254" s="308"/>
    </row>
    <row r="255" spans="3:16" s="159" customFormat="1" x14ac:dyDescent="0.25">
      <c r="C255" s="658"/>
      <c r="D255" s="658"/>
      <c r="J255" s="280"/>
      <c r="M255" s="282"/>
      <c r="N255" s="157"/>
      <c r="O255" s="308"/>
      <c r="P255" s="308"/>
    </row>
    <row r="256" spans="3:16" s="159" customFormat="1" x14ac:dyDescent="0.25">
      <c r="C256" s="658"/>
      <c r="D256" s="658"/>
      <c r="J256" s="280"/>
      <c r="M256" s="282"/>
      <c r="N256" s="157"/>
      <c r="O256" s="308"/>
      <c r="P256" s="308"/>
    </row>
    <row r="257" spans="3:16" s="159" customFormat="1" x14ac:dyDescent="0.25">
      <c r="C257" s="658"/>
      <c r="D257" s="658"/>
      <c r="J257" s="280"/>
      <c r="M257" s="282"/>
      <c r="N257" s="157"/>
      <c r="O257" s="308"/>
      <c r="P257" s="308"/>
    </row>
    <row r="258" spans="3:16" s="159" customFormat="1" x14ac:dyDescent="0.25">
      <c r="C258" s="658"/>
      <c r="D258" s="658"/>
      <c r="J258" s="280"/>
      <c r="M258" s="282"/>
      <c r="N258" s="157"/>
      <c r="O258" s="308"/>
      <c r="P258" s="308"/>
    </row>
    <row r="259" spans="3:16" s="159" customFormat="1" x14ac:dyDescent="0.25">
      <c r="C259" s="658"/>
      <c r="D259" s="658"/>
      <c r="J259" s="280"/>
      <c r="M259" s="282"/>
      <c r="N259" s="157"/>
      <c r="O259" s="308"/>
      <c r="P259" s="308"/>
    </row>
    <row r="260" spans="3:16" s="159" customFormat="1" x14ac:dyDescent="0.25">
      <c r="C260" s="658"/>
      <c r="D260" s="658"/>
      <c r="J260" s="280"/>
      <c r="M260" s="282"/>
      <c r="N260" s="157"/>
      <c r="O260" s="308"/>
      <c r="P260" s="308"/>
    </row>
    <row r="261" spans="3:16" s="159" customFormat="1" x14ac:dyDescent="0.25">
      <c r="C261" s="658"/>
      <c r="D261" s="658"/>
      <c r="J261" s="280"/>
      <c r="M261" s="282"/>
      <c r="N261" s="157"/>
      <c r="O261" s="308"/>
      <c r="P261" s="308"/>
    </row>
    <row r="262" spans="3:16" s="159" customFormat="1" x14ac:dyDescent="0.25">
      <c r="C262" s="658"/>
      <c r="D262" s="658"/>
      <c r="J262" s="280"/>
      <c r="M262" s="282"/>
      <c r="N262" s="157"/>
      <c r="O262" s="308"/>
      <c r="P262" s="308"/>
    </row>
    <row r="263" spans="3:16" s="159" customFormat="1" x14ac:dyDescent="0.25">
      <c r="C263" s="658"/>
      <c r="D263" s="658"/>
      <c r="J263" s="280"/>
      <c r="M263" s="282"/>
      <c r="N263" s="157"/>
      <c r="O263" s="308"/>
      <c r="P263" s="308"/>
    </row>
    <row r="264" spans="3:16" s="159" customFormat="1" x14ac:dyDescent="0.25">
      <c r="C264" s="658"/>
      <c r="D264" s="658"/>
      <c r="J264" s="280"/>
      <c r="M264" s="282"/>
      <c r="N264" s="157"/>
      <c r="O264" s="308"/>
      <c r="P264" s="308"/>
    </row>
    <row r="265" spans="3:16" s="159" customFormat="1" x14ac:dyDescent="0.25">
      <c r="C265" s="658"/>
      <c r="D265" s="658"/>
      <c r="J265" s="280"/>
      <c r="M265" s="282"/>
      <c r="N265" s="157"/>
      <c r="O265" s="308"/>
      <c r="P265" s="308"/>
    </row>
    <row r="266" spans="3:16" s="159" customFormat="1" x14ac:dyDescent="0.25">
      <c r="C266" s="658"/>
      <c r="D266" s="658"/>
      <c r="J266" s="280"/>
      <c r="M266" s="282"/>
      <c r="N266" s="157"/>
      <c r="O266" s="308"/>
      <c r="P266" s="308"/>
    </row>
    <row r="267" spans="3:16" s="159" customFormat="1" x14ac:dyDescent="0.25">
      <c r="C267" s="658"/>
      <c r="D267" s="658"/>
      <c r="J267" s="280"/>
      <c r="M267" s="282"/>
      <c r="N267" s="157"/>
      <c r="O267" s="308"/>
      <c r="P267" s="308"/>
    </row>
    <row r="268" spans="3:16" s="159" customFormat="1" x14ac:dyDescent="0.25">
      <c r="C268" s="658"/>
      <c r="D268" s="658"/>
      <c r="J268" s="280"/>
      <c r="M268" s="282"/>
      <c r="N268" s="157"/>
      <c r="O268" s="308"/>
      <c r="P268" s="308"/>
    </row>
    <row r="269" spans="3:16" s="159" customFormat="1" x14ac:dyDescent="0.25">
      <c r="C269" s="658"/>
      <c r="D269" s="658"/>
      <c r="J269" s="280"/>
      <c r="M269" s="282"/>
      <c r="N269" s="157"/>
      <c r="O269" s="308"/>
      <c r="P269" s="308"/>
    </row>
    <row r="270" spans="3:16" s="159" customFormat="1" x14ac:dyDescent="0.25">
      <c r="C270" s="658"/>
      <c r="D270" s="658"/>
      <c r="J270" s="280"/>
      <c r="M270" s="282"/>
      <c r="N270" s="157"/>
      <c r="O270" s="308"/>
      <c r="P270" s="308"/>
    </row>
    <row r="271" spans="3:16" s="159" customFormat="1" x14ac:dyDescent="0.25">
      <c r="C271" s="658"/>
      <c r="D271" s="658"/>
      <c r="J271" s="280"/>
      <c r="M271" s="282"/>
      <c r="N271" s="157"/>
      <c r="O271" s="308"/>
      <c r="P271" s="308"/>
    </row>
    <row r="272" spans="3:16" s="159" customFormat="1" x14ac:dyDescent="0.25">
      <c r="C272" s="658"/>
      <c r="D272" s="658"/>
      <c r="J272" s="280"/>
      <c r="M272" s="282"/>
      <c r="N272" s="157"/>
      <c r="O272" s="308"/>
      <c r="P272" s="308"/>
    </row>
    <row r="273" spans="3:16" s="159" customFormat="1" x14ac:dyDescent="0.25">
      <c r="C273" s="658"/>
      <c r="D273" s="658"/>
      <c r="J273" s="280"/>
      <c r="M273" s="282"/>
      <c r="N273" s="157"/>
      <c r="O273" s="308"/>
      <c r="P273" s="308"/>
    </row>
    <row r="274" spans="3:16" s="159" customFormat="1" x14ac:dyDescent="0.25">
      <c r="C274" s="658"/>
      <c r="D274" s="658"/>
      <c r="J274" s="280"/>
      <c r="M274" s="282"/>
      <c r="N274" s="157"/>
      <c r="O274" s="308"/>
      <c r="P274" s="308"/>
    </row>
    <row r="275" spans="3:16" s="159" customFormat="1" x14ac:dyDescent="0.25">
      <c r="C275" s="658"/>
      <c r="D275" s="658"/>
      <c r="J275" s="280"/>
      <c r="M275" s="282"/>
      <c r="N275" s="157"/>
      <c r="O275" s="308"/>
      <c r="P275" s="308"/>
    </row>
    <row r="276" spans="3:16" s="159" customFormat="1" x14ac:dyDescent="0.25">
      <c r="C276" s="658"/>
      <c r="D276" s="658"/>
      <c r="J276" s="280"/>
      <c r="M276" s="282"/>
      <c r="N276" s="157"/>
      <c r="O276" s="308"/>
      <c r="P276" s="308"/>
    </row>
    <row r="277" spans="3:16" s="159" customFormat="1" x14ac:dyDescent="0.25">
      <c r="C277" s="658"/>
      <c r="D277" s="658"/>
      <c r="J277" s="280"/>
      <c r="M277" s="282"/>
      <c r="N277" s="157"/>
      <c r="O277" s="308"/>
      <c r="P277" s="308"/>
    </row>
    <row r="278" spans="3:16" s="159" customFormat="1" x14ac:dyDescent="0.25">
      <c r="C278" s="658"/>
      <c r="D278" s="658"/>
      <c r="J278" s="280"/>
      <c r="M278" s="282"/>
      <c r="N278" s="157"/>
      <c r="O278" s="308"/>
      <c r="P278" s="308"/>
    </row>
    <row r="279" spans="3:16" s="159" customFormat="1" x14ac:dyDescent="0.25">
      <c r="C279" s="658"/>
      <c r="D279" s="658"/>
      <c r="J279" s="280"/>
      <c r="M279" s="282"/>
      <c r="N279" s="157"/>
      <c r="O279" s="308"/>
      <c r="P279" s="308"/>
    </row>
    <row r="280" spans="3:16" s="159" customFormat="1" x14ac:dyDescent="0.25">
      <c r="C280" s="658"/>
      <c r="D280" s="658"/>
      <c r="J280" s="280"/>
      <c r="M280" s="282"/>
      <c r="N280" s="157"/>
      <c r="O280" s="308"/>
      <c r="P280" s="308"/>
    </row>
    <row r="281" spans="3:16" s="159" customFormat="1" x14ac:dyDescent="0.25">
      <c r="C281" s="658"/>
      <c r="D281" s="658"/>
      <c r="J281" s="280"/>
      <c r="M281" s="282"/>
      <c r="N281" s="157"/>
      <c r="O281" s="308"/>
      <c r="P281" s="308"/>
    </row>
    <row r="282" spans="3:16" s="159" customFormat="1" x14ac:dyDescent="0.25">
      <c r="C282" s="658"/>
      <c r="D282" s="658"/>
      <c r="J282" s="280"/>
      <c r="M282" s="282"/>
      <c r="N282" s="157"/>
      <c r="O282" s="308"/>
      <c r="P282" s="308"/>
    </row>
    <row r="283" spans="3:16" s="159" customFormat="1" x14ac:dyDescent="0.25">
      <c r="C283" s="658"/>
      <c r="D283" s="658"/>
      <c r="J283" s="280"/>
      <c r="M283" s="282"/>
      <c r="N283" s="157"/>
      <c r="O283" s="308"/>
      <c r="P283" s="308"/>
    </row>
    <row r="284" spans="3:16" s="159" customFormat="1" x14ac:dyDescent="0.25">
      <c r="C284" s="658"/>
      <c r="D284" s="658"/>
      <c r="J284" s="280"/>
      <c r="M284" s="282"/>
      <c r="N284" s="157"/>
      <c r="O284" s="308"/>
      <c r="P284" s="308"/>
    </row>
    <row r="285" spans="3:16" s="159" customFormat="1" x14ac:dyDescent="0.25">
      <c r="C285" s="658"/>
      <c r="D285" s="658"/>
      <c r="J285" s="280"/>
      <c r="M285" s="282"/>
      <c r="N285" s="157"/>
      <c r="O285" s="308"/>
      <c r="P285" s="308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3:F23"/>
    <mergeCell ref="G23:I23"/>
    <mergeCell ref="C38:F38"/>
    <mergeCell ref="G38:I38"/>
    <mergeCell ref="C49:F49"/>
    <mergeCell ref="G49:I49"/>
    <mergeCell ref="C59:F59"/>
    <mergeCell ref="G59:I59"/>
    <mergeCell ref="C95:F95"/>
    <mergeCell ref="G95:I95"/>
    <mergeCell ref="B104:B105"/>
    <mergeCell ref="C70:F70"/>
    <mergeCell ref="G70:I70"/>
    <mergeCell ref="C79:F79"/>
    <mergeCell ref="G79:I79"/>
    <mergeCell ref="C86:F86"/>
    <mergeCell ref="G86:I86"/>
    <mergeCell ref="K105:K106"/>
    <mergeCell ref="F103:F104"/>
    <mergeCell ref="G103:G104"/>
    <mergeCell ref="I103:I104"/>
    <mergeCell ref="J103:J104"/>
    <mergeCell ref="K103:K104"/>
    <mergeCell ref="F105:F106"/>
    <mergeCell ref="G105:G106"/>
    <mergeCell ref="I105:I106"/>
    <mergeCell ref="J105:J106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3" fitToHeight="2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237"/>
  <sheetViews>
    <sheetView topLeftCell="A31" zoomScale="90" zoomScaleNormal="75" zoomScaleSheetLayoutView="90" zoomScalePageLayoutView="75" workbookViewId="0">
      <selection activeCell="A57" sqref="A57"/>
    </sheetView>
  </sheetViews>
  <sheetFormatPr defaultColWidth="9.109375" defaultRowHeight="13.2" x14ac:dyDescent="0.25"/>
  <cols>
    <col min="1" max="1" width="12.109375" style="157" bestFit="1" customWidth="1"/>
    <col min="2" max="2" width="52.44140625" style="157" bestFit="1" customWidth="1"/>
    <col min="3" max="4" width="5" style="445" customWidth="1"/>
    <col min="5" max="5" width="10.88671875" style="157" bestFit="1" customWidth="1"/>
    <col min="6" max="6" width="12.5546875" style="157" bestFit="1" customWidth="1"/>
    <col min="7" max="7" width="8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7"/>
      <c r="B1" s="328"/>
      <c r="C1" s="1055">
        <f>'Estimate Summary'!C1:H1</f>
        <v>0</v>
      </c>
      <c r="D1" s="1055"/>
      <c r="E1" s="1055"/>
      <c r="F1" s="1055"/>
      <c r="G1" s="1055"/>
      <c r="H1" s="1055"/>
      <c r="I1" s="1055"/>
      <c r="J1" s="1055"/>
      <c r="K1" s="1056"/>
    </row>
    <row r="2" spans="1:17" ht="13.8" thickBot="1" x14ac:dyDescent="0.3">
      <c r="A2" s="329"/>
      <c r="B2" s="330"/>
      <c r="C2" s="519"/>
      <c r="D2" s="1063"/>
      <c r="E2" s="1063"/>
      <c r="F2" s="1063"/>
      <c r="G2" s="519"/>
      <c r="H2" s="332"/>
      <c r="I2" s="333"/>
      <c r="J2" s="334"/>
      <c r="K2" s="335"/>
    </row>
    <row r="3" spans="1:17" ht="16.2" thickBot="1" x14ac:dyDescent="0.35">
      <c r="A3" s="1052"/>
      <c r="B3" s="1053"/>
      <c r="C3" s="519"/>
      <c r="D3" s="1063"/>
      <c r="E3" s="1063"/>
      <c r="F3" s="1063"/>
      <c r="G3" s="520"/>
      <c r="H3" s="337"/>
      <c r="I3" s="338"/>
      <c r="J3" s="338"/>
      <c r="K3" s="339"/>
      <c r="L3" s="1081"/>
      <c r="M3" s="1082"/>
      <c r="N3" s="1064"/>
      <c r="O3" s="1064"/>
      <c r="P3" s="978"/>
    </row>
    <row r="4" spans="1:17" ht="18" thickBot="1" x14ac:dyDescent="0.3">
      <c r="A4" s="1052"/>
      <c r="B4" s="1053"/>
      <c r="C4" s="519"/>
      <c r="D4" s="1063"/>
      <c r="E4" s="1063"/>
      <c r="F4" s="1063"/>
      <c r="G4" s="341"/>
      <c r="H4" s="341"/>
      <c r="I4" s="333"/>
      <c r="J4" s="334"/>
      <c r="K4" s="335"/>
      <c r="L4" s="1081"/>
      <c r="M4" s="1082"/>
      <c r="N4" s="1064"/>
      <c r="O4" s="1064"/>
      <c r="P4" s="978"/>
    </row>
    <row r="5" spans="1:17" ht="21.6" thickBot="1" x14ac:dyDescent="0.35">
      <c r="A5" s="342"/>
      <c r="B5" s="343"/>
      <c r="C5" s="521"/>
      <c r="D5" s="345"/>
      <c r="E5" s="346"/>
      <c r="F5" s="341"/>
      <c r="G5" s="1062" t="s">
        <v>613</v>
      </c>
      <c r="H5" s="1062"/>
      <c r="I5" s="1062"/>
      <c r="J5" s="1060" t="s">
        <v>72</v>
      </c>
      <c r="K5" s="1061"/>
      <c r="L5" s="1081"/>
      <c r="M5" s="1082"/>
      <c r="N5" s="1064"/>
      <c r="O5" s="1064"/>
      <c r="P5" s="978"/>
    </row>
    <row r="6" spans="1:17" ht="21.6" thickBot="1" x14ac:dyDescent="0.3">
      <c r="A6" s="342"/>
      <c r="B6" s="343"/>
      <c r="C6" s="522"/>
      <c r="D6" s="348" t="str">
        <f>'Estimate Summary'!C11</f>
        <v>Area:</v>
      </c>
      <c r="E6" s="349">
        <f>'Estimate Summary'!D11</f>
        <v>6190</v>
      </c>
      <c r="F6" s="244" t="str">
        <f>'Estimate Summary'!E11</f>
        <v>Sq. Ft.</v>
      </c>
      <c r="G6" s="1062"/>
      <c r="H6" s="1062"/>
      <c r="I6" s="1062"/>
      <c r="J6" s="350">
        <f>'1'!J6</f>
        <v>38</v>
      </c>
      <c r="K6" s="335" t="s">
        <v>73</v>
      </c>
      <c r="L6" s="1081"/>
      <c r="M6" s="1082"/>
      <c r="N6" s="1064"/>
      <c r="O6" s="1064"/>
      <c r="P6" s="978"/>
    </row>
    <row r="7" spans="1:17" x14ac:dyDescent="0.25">
      <c r="A7" s="1057"/>
      <c r="B7" s="1058"/>
      <c r="C7" s="1058"/>
      <c r="D7" s="1058"/>
      <c r="E7" s="1058"/>
      <c r="F7" s="1058"/>
      <c r="G7" s="1058"/>
      <c r="H7" s="1058"/>
      <c r="I7" s="1058"/>
      <c r="J7" s="1058"/>
      <c r="K7" s="1059"/>
    </row>
    <row r="8" spans="1:17" x14ac:dyDescent="0.25">
      <c r="A8" s="351"/>
      <c r="B8" s="352"/>
      <c r="C8" s="1051"/>
      <c r="D8" s="1051"/>
      <c r="E8" s="1051"/>
      <c r="F8" s="1051"/>
      <c r="G8" s="1050"/>
      <c r="H8" s="1050"/>
      <c r="I8" s="1050"/>
      <c r="J8" s="353"/>
      <c r="K8" s="354"/>
      <c r="L8" s="523"/>
      <c r="M8" s="524"/>
      <c r="N8" s="523"/>
      <c r="O8" s="525"/>
      <c r="P8" s="525"/>
    </row>
    <row r="9" spans="1:17" x14ac:dyDescent="0.25">
      <c r="A9" s="526"/>
      <c r="B9" s="203"/>
      <c r="C9" s="1079"/>
      <c r="D9" s="1079"/>
      <c r="E9" s="1075"/>
      <c r="F9" s="1075"/>
      <c r="G9" s="1080"/>
      <c r="H9" s="1075"/>
      <c r="I9" s="1075"/>
      <c r="J9" s="1075"/>
      <c r="K9" s="1078"/>
      <c r="L9" s="473"/>
      <c r="M9" s="472"/>
      <c r="N9" s="418"/>
      <c r="O9" s="419"/>
      <c r="P9" s="419"/>
    </row>
    <row r="10" spans="1:17" ht="13.8" thickBot="1" x14ac:dyDescent="0.3">
      <c r="A10" s="406"/>
      <c r="B10" s="527"/>
      <c r="C10" s="1079"/>
      <c r="D10" s="1079"/>
      <c r="E10" s="1075"/>
      <c r="F10" s="1075"/>
      <c r="G10" s="1080"/>
      <c r="H10" s="1075"/>
      <c r="I10" s="1075"/>
      <c r="J10" s="1075"/>
      <c r="K10" s="1078"/>
      <c r="L10" s="473"/>
      <c r="M10" s="472"/>
      <c r="N10" s="418"/>
      <c r="O10" s="419"/>
      <c r="P10" s="419"/>
    </row>
    <row r="11" spans="1:17" ht="14.4" thickTop="1" thickBot="1" x14ac:dyDescent="0.3">
      <c r="A11" s="358" t="s">
        <v>0</v>
      </c>
      <c r="B11" s="359" t="s">
        <v>1</v>
      </c>
      <c r="C11" s="1018" t="s">
        <v>656</v>
      </c>
      <c r="D11" s="1018"/>
      <c r="E11" s="1018"/>
      <c r="F11" s="1018"/>
      <c r="G11" s="1018" t="s">
        <v>34</v>
      </c>
      <c r="H11" s="1018"/>
      <c r="I11" s="1018"/>
      <c r="J11" s="360"/>
      <c r="K11" s="528"/>
      <c r="L11" s="1021" t="s">
        <v>782</v>
      </c>
      <c r="M11" s="1023" t="s">
        <v>783</v>
      </c>
      <c r="N11" s="1025" t="s">
        <v>784</v>
      </c>
      <c r="O11" s="1027"/>
      <c r="P11" s="1029"/>
      <c r="Q11" s="1019"/>
    </row>
    <row r="12" spans="1:17" ht="15.6" x14ac:dyDescent="0.3">
      <c r="A12" s="530" t="s">
        <v>614</v>
      </c>
      <c r="B12" s="530" t="s">
        <v>615</v>
      </c>
      <c r="C12" s="364" t="s">
        <v>19</v>
      </c>
      <c r="D12" s="365" t="s">
        <v>33</v>
      </c>
      <c r="E12" s="366" t="s">
        <v>35</v>
      </c>
      <c r="F12" s="367" t="s">
        <v>30</v>
      </c>
      <c r="G12" s="531" t="s">
        <v>14</v>
      </c>
      <c r="H12" s="366" t="s">
        <v>35</v>
      </c>
      <c r="I12" s="367" t="s">
        <v>30</v>
      </c>
      <c r="J12" s="369" t="s">
        <v>659</v>
      </c>
      <c r="K12" s="532" t="s">
        <v>38</v>
      </c>
      <c r="L12" s="1022"/>
      <c r="M12" s="1024"/>
      <c r="N12" s="1026"/>
      <c r="O12" s="1028"/>
      <c r="P12" s="1030"/>
      <c r="Q12" s="1020"/>
    </row>
    <row r="13" spans="1:17" ht="15" x14ac:dyDescent="0.25">
      <c r="A13" s="196" t="s">
        <v>617</v>
      </c>
      <c r="B13" s="196" t="s">
        <v>616</v>
      </c>
      <c r="C13" s="376"/>
      <c r="D13" s="377" t="s">
        <v>21</v>
      </c>
      <c r="E13" s="259">
        <v>0</v>
      </c>
      <c r="F13" s="378">
        <f t="shared" ref="F13:F24" si="0">C13*E13</f>
        <v>0</v>
      </c>
      <c r="G13" s="534"/>
      <c r="H13" s="380">
        <v>0</v>
      </c>
      <c r="I13" s="378">
        <f t="shared" ref="I13:I24" si="1">G13*H13</f>
        <v>0</v>
      </c>
      <c r="J13" s="381"/>
      <c r="K13" s="535">
        <f t="shared" ref="K13:K24" si="2">F13+I13+J13</f>
        <v>0</v>
      </c>
      <c r="L13" s="383"/>
      <c r="M13" s="384"/>
      <c r="N13" s="385"/>
      <c r="O13" s="386"/>
      <c r="P13" s="387"/>
      <c r="Q13" s="388"/>
    </row>
    <row r="14" spans="1:17" ht="15" x14ac:dyDescent="0.25">
      <c r="A14" s="196" t="s">
        <v>618</v>
      </c>
      <c r="B14" s="196" t="s">
        <v>619</v>
      </c>
      <c r="C14" s="376"/>
      <c r="D14" s="377" t="s">
        <v>21</v>
      </c>
      <c r="E14" s="259">
        <v>0</v>
      </c>
      <c r="F14" s="378">
        <f t="shared" si="0"/>
        <v>0</v>
      </c>
      <c r="G14" s="534"/>
      <c r="H14" s="380">
        <v>0</v>
      </c>
      <c r="I14" s="378">
        <f t="shared" si="1"/>
        <v>0</v>
      </c>
      <c r="J14" s="381"/>
      <c r="K14" s="535">
        <f t="shared" si="2"/>
        <v>0</v>
      </c>
      <c r="L14" s="383"/>
      <c r="M14" s="384"/>
      <c r="N14" s="385"/>
      <c r="O14" s="386"/>
      <c r="P14" s="387"/>
      <c r="Q14" s="388"/>
    </row>
    <row r="15" spans="1:17" x14ac:dyDescent="0.25">
      <c r="A15" s="375"/>
      <c r="B15" s="5"/>
      <c r="C15" s="376"/>
      <c r="D15" s="377" t="s">
        <v>21</v>
      </c>
      <c r="E15" s="259">
        <v>0</v>
      </c>
      <c r="F15" s="378">
        <f t="shared" si="0"/>
        <v>0</v>
      </c>
      <c r="G15" s="534"/>
      <c r="H15" s="380">
        <v>0</v>
      </c>
      <c r="I15" s="378">
        <f t="shared" si="1"/>
        <v>0</v>
      </c>
      <c r="J15" s="381"/>
      <c r="K15" s="535">
        <f t="shared" si="2"/>
        <v>0</v>
      </c>
      <c r="L15" s="383"/>
      <c r="M15" s="384"/>
      <c r="N15" s="385"/>
      <c r="O15" s="386"/>
      <c r="P15" s="387"/>
      <c r="Q15" s="388"/>
    </row>
    <row r="16" spans="1:17" x14ac:dyDescent="0.25">
      <c r="A16" s="375"/>
      <c r="B16" s="5"/>
      <c r="C16" s="376"/>
      <c r="D16" s="377" t="s">
        <v>21</v>
      </c>
      <c r="E16" s="259">
        <v>0</v>
      </c>
      <c r="F16" s="378">
        <f t="shared" si="0"/>
        <v>0</v>
      </c>
      <c r="G16" s="534"/>
      <c r="H16" s="380">
        <v>0</v>
      </c>
      <c r="I16" s="378">
        <f t="shared" si="1"/>
        <v>0</v>
      </c>
      <c r="J16" s="381"/>
      <c r="K16" s="535">
        <f t="shared" si="2"/>
        <v>0</v>
      </c>
      <c r="L16" s="383"/>
      <c r="M16" s="384"/>
      <c r="N16" s="385"/>
      <c r="O16" s="386"/>
      <c r="P16" s="387"/>
      <c r="Q16" s="388"/>
    </row>
    <row r="17" spans="1:17" x14ac:dyDescent="0.25">
      <c r="A17" s="375"/>
      <c r="B17" s="6"/>
      <c r="C17" s="376"/>
      <c r="D17" s="377" t="s">
        <v>21</v>
      </c>
      <c r="E17" s="259">
        <v>0</v>
      </c>
      <c r="F17" s="378">
        <f t="shared" si="0"/>
        <v>0</v>
      </c>
      <c r="G17" s="534"/>
      <c r="H17" s="380">
        <v>0</v>
      </c>
      <c r="I17" s="378">
        <f t="shared" si="1"/>
        <v>0</v>
      </c>
      <c r="J17" s="381"/>
      <c r="K17" s="535">
        <f t="shared" si="2"/>
        <v>0</v>
      </c>
      <c r="L17" s="383"/>
      <c r="M17" s="384"/>
      <c r="N17" s="385"/>
      <c r="O17" s="386"/>
      <c r="P17" s="387"/>
      <c r="Q17" s="388"/>
    </row>
    <row r="18" spans="1:17" x14ac:dyDescent="0.25">
      <c r="A18" s="389"/>
      <c r="B18" s="5"/>
      <c r="C18" s="376"/>
      <c r="D18" s="377" t="s">
        <v>21</v>
      </c>
      <c r="E18" s="259">
        <v>0</v>
      </c>
      <c r="F18" s="378">
        <f t="shared" si="0"/>
        <v>0</v>
      </c>
      <c r="G18" s="534"/>
      <c r="H18" s="380">
        <v>0</v>
      </c>
      <c r="I18" s="378">
        <f t="shared" si="1"/>
        <v>0</v>
      </c>
      <c r="J18" s="381"/>
      <c r="K18" s="535">
        <f t="shared" si="2"/>
        <v>0</v>
      </c>
      <c r="L18" s="383"/>
      <c r="M18" s="384"/>
      <c r="N18" s="385"/>
      <c r="O18" s="386"/>
      <c r="P18" s="387"/>
      <c r="Q18" s="388"/>
    </row>
    <row r="19" spans="1:17" x14ac:dyDescent="0.25">
      <c r="A19" s="389"/>
      <c r="B19" s="5"/>
      <c r="C19" s="376"/>
      <c r="D19" s="377" t="s">
        <v>21</v>
      </c>
      <c r="E19" s="259">
        <v>0</v>
      </c>
      <c r="F19" s="378">
        <f t="shared" si="0"/>
        <v>0</v>
      </c>
      <c r="G19" s="534"/>
      <c r="H19" s="380">
        <v>0</v>
      </c>
      <c r="I19" s="378">
        <f t="shared" si="1"/>
        <v>0</v>
      </c>
      <c r="J19" s="381"/>
      <c r="K19" s="535">
        <f t="shared" si="2"/>
        <v>0</v>
      </c>
      <c r="L19" s="157"/>
      <c r="M19" s="474"/>
      <c r="O19" s="386"/>
      <c r="P19" s="387"/>
      <c r="Q19" s="388"/>
    </row>
    <row r="20" spans="1:17" x14ac:dyDescent="0.25">
      <c r="A20" s="389"/>
      <c r="B20" s="5"/>
      <c r="C20" s="376"/>
      <c r="D20" s="377" t="s">
        <v>21</v>
      </c>
      <c r="E20" s="259">
        <v>0</v>
      </c>
      <c r="F20" s="378">
        <f t="shared" si="0"/>
        <v>0</v>
      </c>
      <c r="G20" s="534"/>
      <c r="H20" s="380">
        <v>0</v>
      </c>
      <c r="I20" s="378">
        <f t="shared" si="1"/>
        <v>0</v>
      </c>
      <c r="J20" s="381"/>
      <c r="K20" s="535">
        <f t="shared" si="2"/>
        <v>0</v>
      </c>
      <c r="L20" s="157"/>
      <c r="M20" s="474"/>
      <c r="O20" s="386"/>
      <c r="P20" s="387"/>
      <c r="Q20" s="388"/>
    </row>
    <row r="21" spans="1:17" x14ac:dyDescent="0.25">
      <c r="A21" s="389"/>
      <c r="B21" s="5"/>
      <c r="C21" s="376"/>
      <c r="D21" s="377" t="s">
        <v>21</v>
      </c>
      <c r="E21" s="259">
        <v>0</v>
      </c>
      <c r="F21" s="378">
        <f t="shared" si="0"/>
        <v>0</v>
      </c>
      <c r="G21" s="534"/>
      <c r="H21" s="380">
        <v>0</v>
      </c>
      <c r="I21" s="378">
        <f t="shared" si="1"/>
        <v>0</v>
      </c>
      <c r="J21" s="381"/>
      <c r="K21" s="535">
        <f t="shared" si="2"/>
        <v>0</v>
      </c>
      <c r="L21" s="541"/>
      <c r="M21" s="578"/>
      <c r="N21" s="542"/>
      <c r="O21" s="386"/>
      <c r="P21" s="387"/>
      <c r="Q21" s="388"/>
    </row>
    <row r="22" spans="1:17" x14ac:dyDescent="0.25">
      <c r="A22" s="389"/>
      <c r="B22" s="5"/>
      <c r="C22" s="376"/>
      <c r="D22" s="377" t="s">
        <v>21</v>
      </c>
      <c r="E22" s="259">
        <v>0</v>
      </c>
      <c r="F22" s="378">
        <f t="shared" si="0"/>
        <v>0</v>
      </c>
      <c r="G22" s="534"/>
      <c r="H22" s="380">
        <v>0</v>
      </c>
      <c r="I22" s="378">
        <f t="shared" si="1"/>
        <v>0</v>
      </c>
      <c r="J22" s="381"/>
      <c r="K22" s="535">
        <f t="shared" si="2"/>
        <v>0</v>
      </c>
      <c r="L22" s="543"/>
      <c r="M22" s="469"/>
      <c r="N22" s="544"/>
      <c r="O22" s="386"/>
      <c r="P22" s="387"/>
      <c r="Q22" s="388"/>
    </row>
    <row r="23" spans="1:17" x14ac:dyDescent="0.25">
      <c r="A23" s="389"/>
      <c r="B23" s="5"/>
      <c r="C23" s="376"/>
      <c r="D23" s="377" t="s">
        <v>21</v>
      </c>
      <c r="E23" s="259">
        <v>0</v>
      </c>
      <c r="F23" s="378">
        <f t="shared" si="0"/>
        <v>0</v>
      </c>
      <c r="G23" s="534"/>
      <c r="H23" s="380">
        <v>0</v>
      </c>
      <c r="I23" s="378">
        <f t="shared" si="1"/>
        <v>0</v>
      </c>
      <c r="J23" s="381"/>
      <c r="K23" s="535">
        <f t="shared" si="2"/>
        <v>0</v>
      </c>
      <c r="L23" s="157"/>
      <c r="M23" s="474"/>
      <c r="O23" s="386"/>
      <c r="P23" s="387"/>
      <c r="Q23" s="388"/>
    </row>
    <row r="24" spans="1:17" x14ac:dyDescent="0.25">
      <c r="A24" s="389"/>
      <c r="B24" s="5"/>
      <c r="C24" s="376"/>
      <c r="D24" s="377" t="s">
        <v>21</v>
      </c>
      <c r="E24" s="259">
        <v>0</v>
      </c>
      <c r="F24" s="378">
        <f t="shared" si="0"/>
        <v>0</v>
      </c>
      <c r="G24" s="534"/>
      <c r="H24" s="380">
        <v>0</v>
      </c>
      <c r="I24" s="378">
        <f t="shared" si="1"/>
        <v>0</v>
      </c>
      <c r="J24" s="381"/>
      <c r="K24" s="535">
        <f t="shared" si="2"/>
        <v>0</v>
      </c>
      <c r="L24" s="157"/>
      <c r="M24" s="474"/>
      <c r="O24" s="386"/>
      <c r="P24" s="387"/>
      <c r="Q24" s="388"/>
    </row>
    <row r="25" spans="1:17" ht="13.8" thickBot="1" x14ac:dyDescent="0.3">
      <c r="A25" s="392"/>
      <c r="B25" s="7"/>
      <c r="C25" s="393"/>
      <c r="D25" s="377"/>
      <c r="E25" s="259"/>
      <c r="F25" s="378"/>
      <c r="G25" s="534"/>
      <c r="H25" s="380"/>
      <c r="I25" s="378"/>
      <c r="J25" s="381"/>
      <c r="K25" s="535"/>
      <c r="O25" s="386"/>
      <c r="P25" s="387"/>
      <c r="Q25" s="388"/>
    </row>
    <row r="26" spans="1:17" ht="13.8" thickTop="1" x14ac:dyDescent="0.25">
      <c r="A26" s="392"/>
      <c r="B26" s="7"/>
      <c r="C26" s="393"/>
      <c r="D26" s="377"/>
      <c r="E26" s="259"/>
      <c r="F26" s="378"/>
      <c r="G26" s="534"/>
      <c r="H26" s="380"/>
      <c r="I26" s="378"/>
      <c r="J26" s="394" t="s">
        <v>30</v>
      </c>
      <c r="K26" s="537">
        <f>SUM(K13:K25)</f>
        <v>0</v>
      </c>
      <c r="O26" s="386"/>
      <c r="P26" s="387"/>
      <c r="Q26" s="388"/>
    </row>
    <row r="27" spans="1:17" ht="13.8" thickBot="1" x14ac:dyDescent="0.3">
      <c r="A27" s="358" t="s">
        <v>0</v>
      </c>
      <c r="B27" s="359" t="s">
        <v>1</v>
      </c>
      <c r="C27" s="1018" t="s">
        <v>656</v>
      </c>
      <c r="D27" s="1018"/>
      <c r="E27" s="1018"/>
      <c r="F27" s="1018"/>
      <c r="G27" s="1018" t="s">
        <v>34</v>
      </c>
      <c r="H27" s="1018"/>
      <c r="I27" s="1018"/>
      <c r="J27" s="360"/>
      <c r="K27" s="528"/>
      <c r="L27" s="396"/>
      <c r="M27" s="397"/>
      <c r="N27" s="398"/>
      <c r="O27" s="386"/>
      <c r="P27" s="387"/>
      <c r="Q27" s="388"/>
    </row>
    <row r="28" spans="1:17" ht="15.6" x14ac:dyDescent="0.3">
      <c r="A28" s="530" t="s">
        <v>620</v>
      </c>
      <c r="B28" s="530" t="s">
        <v>621</v>
      </c>
      <c r="C28" s="401" t="s">
        <v>19</v>
      </c>
      <c r="D28" s="402" t="s">
        <v>33</v>
      </c>
      <c r="E28" s="403" t="s">
        <v>35</v>
      </c>
      <c r="F28" s="404" t="s">
        <v>30</v>
      </c>
      <c r="G28" s="538" t="s">
        <v>14</v>
      </c>
      <c r="H28" s="403" t="s">
        <v>35</v>
      </c>
      <c r="I28" s="404" t="s">
        <v>30</v>
      </c>
      <c r="J28" s="369" t="s">
        <v>659</v>
      </c>
      <c r="K28" s="539" t="s">
        <v>38</v>
      </c>
      <c r="L28" s="407"/>
      <c r="M28" s="408"/>
      <c r="N28" s="409"/>
      <c r="O28" s="386"/>
      <c r="P28" s="387"/>
      <c r="Q28" s="388"/>
    </row>
    <row r="29" spans="1:17" s="159" customFormat="1" ht="15" x14ac:dyDescent="0.25">
      <c r="A29" s="196" t="s">
        <v>623</v>
      </c>
      <c r="B29" s="196" t="s">
        <v>622</v>
      </c>
      <c r="C29" s="376"/>
      <c r="D29" s="377" t="s">
        <v>21</v>
      </c>
      <c r="E29" s="259">
        <v>0</v>
      </c>
      <c r="F29" s="378">
        <f t="shared" ref="F29:F35" si="3">C29*E29</f>
        <v>0</v>
      </c>
      <c r="G29" s="534"/>
      <c r="H29" s="380">
        <v>0</v>
      </c>
      <c r="I29" s="378">
        <f t="shared" ref="I29:I35" si="4">G29*H29</f>
        <v>0</v>
      </c>
      <c r="J29" s="381"/>
      <c r="K29" s="535">
        <f t="shared" ref="K29:K35" si="5">F29+I29+J29</f>
        <v>0</v>
      </c>
      <c r="M29" s="280"/>
      <c r="O29" s="386"/>
      <c r="P29" s="387"/>
      <c r="Q29" s="388"/>
    </row>
    <row r="30" spans="1:17" s="159" customFormat="1" ht="15" x14ac:dyDescent="0.25">
      <c r="A30" s="196" t="s">
        <v>624</v>
      </c>
      <c r="B30" s="196" t="s">
        <v>625</v>
      </c>
      <c r="C30" s="376"/>
      <c r="D30" s="377" t="s">
        <v>21</v>
      </c>
      <c r="E30" s="259">
        <v>0</v>
      </c>
      <c r="F30" s="378">
        <f t="shared" si="3"/>
        <v>0</v>
      </c>
      <c r="G30" s="534"/>
      <c r="H30" s="380">
        <v>0</v>
      </c>
      <c r="I30" s="378">
        <f t="shared" si="4"/>
        <v>0</v>
      </c>
      <c r="J30" s="381"/>
      <c r="K30" s="535">
        <f t="shared" si="5"/>
        <v>0</v>
      </c>
      <c r="M30" s="280"/>
      <c r="O30" s="386"/>
      <c r="P30" s="387"/>
      <c r="Q30" s="388"/>
    </row>
    <row r="31" spans="1:17" s="159" customFormat="1" x14ac:dyDescent="0.25">
      <c r="A31" s="375"/>
      <c r="B31" s="5"/>
      <c r="C31" s="376"/>
      <c r="D31" s="377" t="s">
        <v>21</v>
      </c>
      <c r="E31" s="259">
        <v>0</v>
      </c>
      <c r="F31" s="378">
        <f t="shared" si="3"/>
        <v>0</v>
      </c>
      <c r="G31" s="534"/>
      <c r="H31" s="380">
        <v>0</v>
      </c>
      <c r="I31" s="378">
        <f t="shared" si="4"/>
        <v>0</v>
      </c>
      <c r="J31" s="381"/>
      <c r="K31" s="535">
        <f t="shared" si="5"/>
        <v>0</v>
      </c>
      <c r="M31" s="280"/>
      <c r="O31" s="386"/>
      <c r="P31" s="387"/>
      <c r="Q31" s="388"/>
    </row>
    <row r="32" spans="1:17" s="159" customFormat="1" x14ac:dyDescent="0.25">
      <c r="A32" s="375"/>
      <c r="B32" s="5"/>
      <c r="C32" s="376"/>
      <c r="D32" s="377" t="s">
        <v>21</v>
      </c>
      <c r="E32" s="259">
        <v>0</v>
      </c>
      <c r="F32" s="378">
        <f t="shared" si="3"/>
        <v>0</v>
      </c>
      <c r="G32" s="534"/>
      <c r="H32" s="380">
        <v>0</v>
      </c>
      <c r="I32" s="378">
        <f t="shared" si="4"/>
        <v>0</v>
      </c>
      <c r="J32" s="381"/>
      <c r="K32" s="535">
        <f t="shared" si="5"/>
        <v>0</v>
      </c>
      <c r="M32" s="282"/>
      <c r="N32" s="157"/>
      <c r="O32" s="386"/>
      <c r="P32" s="387"/>
      <c r="Q32" s="388"/>
    </row>
    <row r="33" spans="1:17" s="159" customFormat="1" x14ac:dyDescent="0.25">
      <c r="A33" s="375"/>
      <c r="B33" s="5"/>
      <c r="C33" s="376"/>
      <c r="D33" s="377" t="s">
        <v>21</v>
      </c>
      <c r="E33" s="259">
        <v>0</v>
      </c>
      <c r="F33" s="378">
        <f t="shared" si="3"/>
        <v>0</v>
      </c>
      <c r="G33" s="534"/>
      <c r="H33" s="380">
        <v>0</v>
      </c>
      <c r="I33" s="378">
        <f t="shared" si="4"/>
        <v>0</v>
      </c>
      <c r="J33" s="381"/>
      <c r="K33" s="535">
        <f t="shared" si="5"/>
        <v>0</v>
      </c>
      <c r="L33" s="383"/>
      <c r="M33" s="384"/>
      <c r="N33" s="385"/>
      <c r="O33" s="386"/>
      <c r="P33" s="387"/>
      <c r="Q33" s="388"/>
    </row>
    <row r="34" spans="1:17" s="159" customFormat="1" x14ac:dyDescent="0.25">
      <c r="A34" s="375"/>
      <c r="B34" s="5"/>
      <c r="C34" s="376"/>
      <c r="D34" s="377" t="s">
        <v>21</v>
      </c>
      <c r="E34" s="259">
        <v>0</v>
      </c>
      <c r="F34" s="378">
        <f t="shared" si="3"/>
        <v>0</v>
      </c>
      <c r="G34" s="534"/>
      <c r="H34" s="380">
        <v>0</v>
      </c>
      <c r="I34" s="378">
        <f t="shared" si="4"/>
        <v>0</v>
      </c>
      <c r="J34" s="381"/>
      <c r="K34" s="535">
        <f t="shared" si="5"/>
        <v>0</v>
      </c>
      <c r="L34" s="383"/>
      <c r="M34" s="384"/>
      <c r="N34" s="385"/>
      <c r="O34" s="386"/>
      <c r="P34" s="387"/>
      <c r="Q34" s="388"/>
    </row>
    <row r="35" spans="1:17" s="159" customFormat="1" x14ac:dyDescent="0.25">
      <c r="A35" s="375"/>
      <c r="B35" s="5"/>
      <c r="C35" s="376"/>
      <c r="D35" s="377" t="s">
        <v>21</v>
      </c>
      <c r="E35" s="259">
        <v>0</v>
      </c>
      <c r="F35" s="378">
        <f t="shared" si="3"/>
        <v>0</v>
      </c>
      <c r="G35" s="534"/>
      <c r="H35" s="380">
        <v>0</v>
      </c>
      <c r="I35" s="378">
        <f t="shared" si="4"/>
        <v>0</v>
      </c>
      <c r="J35" s="381"/>
      <c r="K35" s="535">
        <f t="shared" si="5"/>
        <v>0</v>
      </c>
      <c r="L35" s="541"/>
      <c r="M35" s="578"/>
      <c r="N35" s="542"/>
      <c r="O35" s="386"/>
      <c r="P35" s="387"/>
      <c r="Q35" s="388"/>
    </row>
    <row r="36" spans="1:17" s="159" customFormat="1" ht="13.8" thickBot="1" x14ac:dyDescent="0.3">
      <c r="A36" s="375"/>
      <c r="B36" s="5"/>
      <c r="C36" s="393"/>
      <c r="D36" s="377"/>
      <c r="E36" s="259"/>
      <c r="F36" s="378"/>
      <c r="G36" s="534"/>
      <c r="H36" s="380"/>
      <c r="I36" s="378"/>
      <c r="J36" s="381"/>
      <c r="K36" s="540"/>
      <c r="M36" s="280"/>
      <c r="O36" s="386"/>
      <c r="P36" s="387"/>
      <c r="Q36" s="388"/>
    </row>
    <row r="37" spans="1:17" s="159" customFormat="1" ht="13.8" thickTop="1" x14ac:dyDescent="0.25">
      <c r="A37" s="392"/>
      <c r="B37" s="5"/>
      <c r="C37" s="393"/>
      <c r="D37" s="377"/>
      <c r="E37" s="259"/>
      <c r="F37" s="378"/>
      <c r="G37" s="534"/>
      <c r="H37" s="380"/>
      <c r="I37" s="378"/>
      <c r="J37" s="394" t="s">
        <v>30</v>
      </c>
      <c r="K37" s="537">
        <f>SUM(K29:K36)</f>
        <v>0</v>
      </c>
      <c r="M37" s="280"/>
      <c r="O37" s="386"/>
      <c r="P37" s="387"/>
      <c r="Q37" s="388"/>
    </row>
    <row r="38" spans="1:17" s="159" customFormat="1" ht="13.8" thickBot="1" x14ac:dyDescent="0.3">
      <c r="A38" s="358" t="s">
        <v>0</v>
      </c>
      <c r="B38" s="359" t="s">
        <v>1</v>
      </c>
      <c r="C38" s="1018" t="s">
        <v>656</v>
      </c>
      <c r="D38" s="1018"/>
      <c r="E38" s="1018"/>
      <c r="F38" s="1018"/>
      <c r="G38" s="1018" t="s">
        <v>34</v>
      </c>
      <c r="H38" s="1018"/>
      <c r="I38" s="1018"/>
      <c r="J38" s="360"/>
      <c r="K38" s="528"/>
      <c r="L38" s="396"/>
      <c r="M38" s="397"/>
      <c r="N38" s="398"/>
      <c r="O38" s="386"/>
      <c r="P38" s="387"/>
      <c r="Q38" s="388"/>
    </row>
    <row r="39" spans="1:17" s="159" customFormat="1" ht="15.6" x14ac:dyDescent="0.3">
      <c r="A39" s="530" t="s">
        <v>626</v>
      </c>
      <c r="B39" s="530" t="s">
        <v>627</v>
      </c>
      <c r="C39" s="401" t="s">
        <v>19</v>
      </c>
      <c r="D39" s="402" t="s">
        <v>33</v>
      </c>
      <c r="E39" s="403" t="s">
        <v>35</v>
      </c>
      <c r="F39" s="404" t="s">
        <v>30</v>
      </c>
      <c r="G39" s="538" t="s">
        <v>14</v>
      </c>
      <c r="H39" s="403" t="s">
        <v>35</v>
      </c>
      <c r="I39" s="404" t="s">
        <v>30</v>
      </c>
      <c r="J39" s="369" t="s">
        <v>659</v>
      </c>
      <c r="K39" s="539" t="s">
        <v>38</v>
      </c>
      <c r="L39" s="407"/>
      <c r="M39" s="408"/>
      <c r="N39" s="409"/>
      <c r="O39" s="415"/>
      <c r="P39" s="416"/>
      <c r="Q39" s="388"/>
    </row>
    <row r="40" spans="1:17" s="159" customFormat="1" ht="15" x14ac:dyDescent="0.25">
      <c r="A40" s="196" t="s">
        <v>628</v>
      </c>
      <c r="B40" s="196" t="s">
        <v>629</v>
      </c>
      <c r="C40" s="376"/>
      <c r="D40" s="377" t="s">
        <v>21</v>
      </c>
      <c r="E40" s="259">
        <v>0</v>
      </c>
      <c r="F40" s="378">
        <f>C40*E40</f>
        <v>0</v>
      </c>
      <c r="G40" s="534"/>
      <c r="H40" s="380">
        <v>0</v>
      </c>
      <c r="I40" s="378">
        <f>G40*H40</f>
        <v>0</v>
      </c>
      <c r="J40" s="381"/>
      <c r="K40" s="535">
        <f>F40+I40+J40</f>
        <v>0</v>
      </c>
      <c r="M40" s="280"/>
      <c r="O40" s="415"/>
      <c r="P40" s="416"/>
      <c r="Q40" s="388"/>
    </row>
    <row r="41" spans="1:17" s="159" customFormat="1" x14ac:dyDescent="0.25">
      <c r="A41" s="262" t="s">
        <v>631</v>
      </c>
      <c r="B41" s="262" t="s">
        <v>630</v>
      </c>
      <c r="C41" s="376"/>
      <c r="D41" s="377" t="s">
        <v>21</v>
      </c>
      <c r="E41" s="259">
        <v>0</v>
      </c>
      <c r="F41" s="378">
        <f>C41*E41</f>
        <v>0</v>
      </c>
      <c r="G41" s="534"/>
      <c r="H41" s="380">
        <v>0</v>
      </c>
      <c r="I41" s="378">
        <f>G41*H41</f>
        <v>0</v>
      </c>
      <c r="J41" s="381"/>
      <c r="K41" s="535">
        <f>F41+I41+J41</f>
        <v>0</v>
      </c>
      <c r="L41" s="543"/>
      <c r="M41" s="669"/>
      <c r="N41" s="668"/>
      <c r="O41" s="415"/>
      <c r="P41" s="416"/>
      <c r="Q41" s="388"/>
    </row>
    <row r="42" spans="1:17" s="159" customFormat="1" ht="15" x14ac:dyDescent="0.25">
      <c r="A42" s="196" t="s">
        <v>632</v>
      </c>
      <c r="B42" s="196" t="s">
        <v>633</v>
      </c>
      <c r="C42" s="376"/>
      <c r="D42" s="377" t="s">
        <v>21</v>
      </c>
      <c r="E42" s="259">
        <v>0</v>
      </c>
      <c r="F42" s="378">
        <f>C42*E42</f>
        <v>0</v>
      </c>
      <c r="G42" s="534"/>
      <c r="H42" s="380">
        <v>0</v>
      </c>
      <c r="I42" s="378">
        <f>G42*H42</f>
        <v>0</v>
      </c>
      <c r="J42" s="381"/>
      <c r="K42" s="535">
        <f>F42+I42+J42</f>
        <v>0</v>
      </c>
      <c r="L42" s="383"/>
      <c r="M42" s="384"/>
      <c r="N42" s="385"/>
      <c r="O42" s="415"/>
      <c r="P42" s="416"/>
      <c r="Q42" s="388"/>
    </row>
    <row r="43" spans="1:17" s="159" customFormat="1" ht="15" x14ac:dyDescent="0.25">
      <c r="A43" s="196" t="s">
        <v>634</v>
      </c>
      <c r="B43" s="196" t="s">
        <v>635</v>
      </c>
      <c r="C43" s="376"/>
      <c r="D43" s="377" t="s">
        <v>21</v>
      </c>
      <c r="E43" s="259">
        <v>0</v>
      </c>
      <c r="F43" s="378">
        <f>C43*E43</f>
        <v>0</v>
      </c>
      <c r="G43" s="534"/>
      <c r="H43" s="380">
        <v>0</v>
      </c>
      <c r="I43" s="378">
        <f>G43*H43</f>
        <v>0</v>
      </c>
      <c r="J43" s="381"/>
      <c r="K43" s="535">
        <f>F43+I43+J43</f>
        <v>0</v>
      </c>
      <c r="M43" s="280"/>
      <c r="O43" s="415"/>
      <c r="P43" s="416"/>
      <c r="Q43" s="388"/>
    </row>
    <row r="44" spans="1:17" s="159" customFormat="1" ht="13.8" thickBot="1" x14ac:dyDescent="0.3">
      <c r="A44" s="392"/>
      <c r="B44" s="417"/>
      <c r="C44" s="393"/>
      <c r="D44" s="377"/>
      <c r="E44" s="259"/>
      <c r="F44" s="378"/>
      <c r="G44" s="534"/>
      <c r="H44" s="380"/>
      <c r="I44" s="378"/>
      <c r="J44" s="381"/>
      <c r="K44" s="540"/>
      <c r="M44" s="280"/>
      <c r="O44" s="415"/>
      <c r="P44" s="416"/>
      <c r="Q44" s="388"/>
    </row>
    <row r="45" spans="1:17" s="159" customFormat="1" ht="13.8" thickTop="1" x14ac:dyDescent="0.25">
      <c r="A45" s="392"/>
      <c r="B45" s="417"/>
      <c r="C45" s="393"/>
      <c r="D45" s="377"/>
      <c r="E45" s="259"/>
      <c r="F45" s="378"/>
      <c r="G45" s="534"/>
      <c r="H45" s="380"/>
      <c r="I45" s="378"/>
      <c r="J45" s="394" t="s">
        <v>30</v>
      </c>
      <c r="K45" s="537">
        <f>SUM(K40:K44)</f>
        <v>0</v>
      </c>
      <c r="L45" s="383"/>
      <c r="M45" s="384"/>
      <c r="N45" s="385"/>
      <c r="O45" s="386"/>
      <c r="P45" s="387"/>
      <c r="Q45" s="388"/>
    </row>
    <row r="46" spans="1:17" s="159" customFormat="1" ht="13.8" thickBot="1" x14ac:dyDescent="0.3">
      <c r="A46" s="358" t="s">
        <v>0</v>
      </c>
      <c r="B46" s="359" t="s">
        <v>1</v>
      </c>
      <c r="C46" s="1018" t="s">
        <v>656</v>
      </c>
      <c r="D46" s="1018"/>
      <c r="E46" s="1018"/>
      <c r="F46" s="1018"/>
      <c r="G46" s="1018" t="s">
        <v>34</v>
      </c>
      <c r="H46" s="1018"/>
      <c r="I46" s="1018"/>
      <c r="J46" s="360"/>
      <c r="K46" s="528"/>
      <c r="L46" s="396"/>
      <c r="M46" s="397"/>
      <c r="N46" s="398"/>
      <c r="O46" s="386"/>
      <c r="P46" s="387"/>
      <c r="Q46" s="388"/>
    </row>
    <row r="47" spans="1:17" s="159" customFormat="1" ht="15.6" x14ac:dyDescent="0.3">
      <c r="A47" s="530" t="s">
        <v>636</v>
      </c>
      <c r="B47" s="530" t="s">
        <v>637</v>
      </c>
      <c r="C47" s="401" t="s">
        <v>19</v>
      </c>
      <c r="D47" s="402" t="s">
        <v>33</v>
      </c>
      <c r="E47" s="403" t="s">
        <v>35</v>
      </c>
      <c r="F47" s="404" t="s">
        <v>30</v>
      </c>
      <c r="G47" s="538" t="s">
        <v>14</v>
      </c>
      <c r="H47" s="403" t="s">
        <v>35</v>
      </c>
      <c r="I47" s="404" t="s">
        <v>30</v>
      </c>
      <c r="J47" s="369" t="s">
        <v>659</v>
      </c>
      <c r="K47" s="539" t="s">
        <v>38</v>
      </c>
      <c r="L47" s="407"/>
      <c r="M47" s="413"/>
      <c r="N47" s="414"/>
      <c r="O47" s="386"/>
      <c r="P47" s="416"/>
      <c r="Q47" s="388"/>
    </row>
    <row r="48" spans="1:17" s="159" customFormat="1" ht="15" x14ac:dyDescent="0.25">
      <c r="A48" s="196" t="s">
        <v>638</v>
      </c>
      <c r="B48" s="196" t="s">
        <v>639</v>
      </c>
      <c r="C48" s="376"/>
      <c r="D48" s="377" t="s">
        <v>21</v>
      </c>
      <c r="E48" s="259">
        <v>0</v>
      </c>
      <c r="F48" s="378">
        <f>C48*E48</f>
        <v>0</v>
      </c>
      <c r="G48" s="534"/>
      <c r="H48" s="380">
        <v>0</v>
      </c>
      <c r="I48" s="378">
        <f>G48*H48</f>
        <v>0</v>
      </c>
      <c r="J48" s="381"/>
      <c r="K48" s="535">
        <f>F48+I48+J48</f>
        <v>0</v>
      </c>
      <c r="L48" s="383"/>
      <c r="M48" s="261"/>
      <c r="N48" s="426"/>
      <c r="O48" s="386"/>
      <c r="P48" s="387"/>
      <c r="Q48" s="388"/>
    </row>
    <row r="49" spans="1:17" s="159" customFormat="1" x14ac:dyDescent="0.25">
      <c r="A49" s="262" t="s">
        <v>640</v>
      </c>
      <c r="B49" s="262" t="s">
        <v>641</v>
      </c>
      <c r="C49" s="376"/>
      <c r="D49" s="377" t="s">
        <v>21</v>
      </c>
      <c r="E49" s="259">
        <v>0</v>
      </c>
      <c r="F49" s="378">
        <f>C49*E49</f>
        <v>0</v>
      </c>
      <c r="G49" s="534"/>
      <c r="H49" s="380">
        <v>0</v>
      </c>
      <c r="I49" s="378">
        <f>G49*H49</f>
        <v>0</v>
      </c>
      <c r="J49" s="381"/>
      <c r="K49" s="535">
        <f>F49+I49+J49</f>
        <v>0</v>
      </c>
      <c r="L49" s="541"/>
      <c r="M49" s="578"/>
      <c r="N49" s="542"/>
      <c r="O49" s="386"/>
      <c r="P49" s="387"/>
      <c r="Q49" s="388"/>
    </row>
    <row r="50" spans="1:17" s="159" customFormat="1" x14ac:dyDescent="0.25">
      <c r="A50" s="375"/>
      <c r="B50" s="5"/>
      <c r="C50" s="376"/>
      <c r="D50" s="377" t="s">
        <v>21</v>
      </c>
      <c r="E50" s="259">
        <v>0</v>
      </c>
      <c r="F50" s="378">
        <f>C50*E50</f>
        <v>0</v>
      </c>
      <c r="G50" s="534"/>
      <c r="H50" s="380">
        <v>0</v>
      </c>
      <c r="I50" s="378">
        <f>G50*H50</f>
        <v>0</v>
      </c>
      <c r="J50" s="381"/>
      <c r="K50" s="535">
        <f>F50+I50+J50</f>
        <v>0</v>
      </c>
      <c r="M50" s="280"/>
      <c r="O50" s="386"/>
      <c r="P50" s="387"/>
      <c r="Q50" s="388"/>
    </row>
    <row r="51" spans="1:17" s="159" customFormat="1" x14ac:dyDescent="0.25">
      <c r="A51" s="375"/>
      <c r="B51" s="5"/>
      <c r="C51" s="376"/>
      <c r="D51" s="377" t="s">
        <v>21</v>
      </c>
      <c r="E51" s="259">
        <v>0</v>
      </c>
      <c r="F51" s="378">
        <f>C51*E51</f>
        <v>0</v>
      </c>
      <c r="G51" s="534"/>
      <c r="H51" s="380">
        <v>0</v>
      </c>
      <c r="I51" s="378">
        <f>G51*H51</f>
        <v>0</v>
      </c>
      <c r="J51" s="381"/>
      <c r="K51" s="535">
        <f>F51+I51+J51</f>
        <v>0</v>
      </c>
      <c r="M51" s="280"/>
      <c r="O51" s="386"/>
      <c r="P51" s="387"/>
      <c r="Q51" s="388"/>
    </row>
    <row r="52" spans="1:17" s="159" customFormat="1" x14ac:dyDescent="0.25">
      <c r="A52" s="375"/>
      <c r="B52" s="5"/>
      <c r="C52" s="376"/>
      <c r="D52" s="377" t="s">
        <v>21</v>
      </c>
      <c r="E52" s="259">
        <v>0</v>
      </c>
      <c r="F52" s="378">
        <f>C52*E52</f>
        <v>0</v>
      </c>
      <c r="G52" s="534"/>
      <c r="H52" s="380">
        <v>0</v>
      </c>
      <c r="I52" s="378">
        <f>G52*H52</f>
        <v>0</v>
      </c>
      <c r="J52" s="381"/>
      <c r="K52" s="535">
        <f>F52+I52+J52</f>
        <v>0</v>
      </c>
      <c r="L52" s="383"/>
      <c r="M52" s="261"/>
      <c r="N52" s="426"/>
      <c r="O52" s="386"/>
      <c r="P52" s="387"/>
      <c r="Q52" s="388"/>
    </row>
    <row r="53" spans="1:17" s="159" customFormat="1" ht="13.8" thickBot="1" x14ac:dyDescent="0.3">
      <c r="A53" s="392"/>
      <c r="B53" s="417"/>
      <c r="C53" s="393"/>
      <c r="D53" s="377"/>
      <c r="E53" s="259"/>
      <c r="F53" s="378"/>
      <c r="G53" s="534"/>
      <c r="H53" s="380"/>
      <c r="I53" s="378"/>
      <c r="J53" s="381"/>
      <c r="K53" s="540"/>
      <c r="M53" s="280"/>
      <c r="O53" s="386"/>
      <c r="P53" s="387"/>
      <c r="Q53" s="388"/>
    </row>
    <row r="54" spans="1:17" s="159" customFormat="1" ht="14.4" thickTop="1" thickBot="1" x14ac:dyDescent="0.3">
      <c r="A54" s="392"/>
      <c r="B54" s="417"/>
      <c r="C54" s="393"/>
      <c r="D54" s="377"/>
      <c r="E54" s="259"/>
      <c r="F54" s="378"/>
      <c r="G54" s="534"/>
      <c r="H54" s="380"/>
      <c r="I54" s="378"/>
      <c r="J54" s="394" t="s">
        <v>30</v>
      </c>
      <c r="K54" s="537">
        <f>SUM(K48:K53)</f>
        <v>0</v>
      </c>
      <c r="L54" s="587"/>
      <c r="M54" s="660"/>
      <c r="N54" s="661"/>
      <c r="O54" s="684"/>
      <c r="P54" s="685"/>
      <c r="Q54" s="467"/>
    </row>
    <row r="55" spans="1:17" s="159" customFormat="1" ht="14.1" customHeight="1" thickTop="1" x14ac:dyDescent="0.25">
      <c r="A55" s="483"/>
      <c r="B55" s="484"/>
      <c r="C55" s="485"/>
      <c r="D55" s="485"/>
      <c r="E55" s="486"/>
      <c r="F55" s="1048" t="s">
        <v>658</v>
      </c>
      <c r="G55" s="1071" t="s">
        <v>684</v>
      </c>
      <c r="H55" s="486"/>
      <c r="I55" s="1041" t="s">
        <v>657</v>
      </c>
      <c r="J55" s="1037" t="s">
        <v>685</v>
      </c>
      <c r="K55" s="1035" t="s">
        <v>31</v>
      </c>
      <c r="M55" s="282"/>
      <c r="N55" s="157"/>
      <c r="O55" s="308"/>
      <c r="P55" s="308"/>
    </row>
    <row r="56" spans="1:17" s="159" customFormat="1" ht="13.8" x14ac:dyDescent="0.25">
      <c r="A56" s="487" t="s">
        <v>32</v>
      </c>
      <c r="B56" s="1043" t="s">
        <v>669</v>
      </c>
      <c r="C56" s="488"/>
      <c r="D56" s="489"/>
      <c r="E56" s="489"/>
      <c r="F56" s="1049"/>
      <c r="G56" s="1072"/>
      <c r="H56" s="490"/>
      <c r="I56" s="1042"/>
      <c r="J56" s="1038"/>
      <c r="K56" s="1036"/>
      <c r="M56" s="282"/>
      <c r="N56" s="157"/>
      <c r="O56" s="308"/>
      <c r="P56" s="308"/>
    </row>
    <row r="57" spans="1:17" s="159" customFormat="1" ht="13.8" x14ac:dyDescent="0.25">
      <c r="A57" s="491">
        <f>K57/E6</f>
        <v>0</v>
      </c>
      <c r="B57" s="1043"/>
      <c r="C57" s="489"/>
      <c r="D57" s="489"/>
      <c r="E57" s="489"/>
      <c r="F57" s="1039">
        <f>SUM(F48:F53,F40:F44,F29:F36,F13:F25)</f>
        <v>0</v>
      </c>
      <c r="G57" s="1085">
        <f>SUM(G48:G53,G40:G44,G29:G36,G13:G24)</f>
        <v>0</v>
      </c>
      <c r="H57" s="490"/>
      <c r="I57" s="1039">
        <f>SUM(I48:I53,I40:I44,I29:I36,I13:I25)</f>
        <v>0</v>
      </c>
      <c r="J57" s="1031">
        <f>SUM(J48:J53,J40:J44,J29:J36,J13:J25)</f>
        <v>0</v>
      </c>
      <c r="K57" s="1033">
        <f>SUM(K54,K45,K37,K26)</f>
        <v>0</v>
      </c>
      <c r="M57" s="282"/>
      <c r="N57" s="157"/>
      <c r="O57" s="308"/>
      <c r="P57" s="308"/>
    </row>
    <row r="58" spans="1:17" s="159" customFormat="1" ht="14.4" thickBot="1" x14ac:dyDescent="0.3">
      <c r="A58" s="487"/>
      <c r="B58" s="555"/>
      <c r="C58" s="493"/>
      <c r="D58" s="493"/>
      <c r="E58" s="493"/>
      <c r="F58" s="1040"/>
      <c r="G58" s="1086"/>
      <c r="H58" s="493"/>
      <c r="I58" s="1040"/>
      <c r="J58" s="1032"/>
      <c r="K58" s="1034"/>
      <c r="M58" s="282"/>
      <c r="N58" s="157"/>
      <c r="O58" s="308"/>
      <c r="P58" s="308"/>
    </row>
    <row r="59" spans="1:17" s="159" customFormat="1" ht="13.8" thickBot="1" x14ac:dyDescent="0.3">
      <c r="A59" s="494"/>
      <c r="B59" s="495"/>
      <c r="C59" s="495"/>
      <c r="D59" s="495"/>
      <c r="E59" s="495"/>
      <c r="F59" s="495"/>
      <c r="G59" s="495"/>
      <c r="H59" s="495"/>
      <c r="I59" s="495"/>
      <c r="J59" s="495"/>
      <c r="K59" s="496"/>
      <c r="M59" s="282"/>
      <c r="N59" s="157"/>
      <c r="O59" s="308"/>
      <c r="P59" s="308"/>
    </row>
    <row r="60" spans="1:17" s="159" customFormat="1" x14ac:dyDescent="0.25">
      <c r="C60" s="658"/>
      <c r="D60" s="658"/>
      <c r="J60" s="280"/>
      <c r="M60" s="282"/>
      <c r="N60" s="157"/>
      <c r="O60" s="308"/>
      <c r="P60" s="308"/>
    </row>
    <row r="61" spans="1:17" s="159" customFormat="1" x14ac:dyDescent="0.25">
      <c r="C61" s="658"/>
      <c r="D61" s="658"/>
      <c r="J61" s="280"/>
      <c r="M61" s="282"/>
      <c r="N61" s="157"/>
      <c r="O61" s="308"/>
      <c r="P61" s="308"/>
    </row>
    <row r="62" spans="1:17" s="159" customFormat="1" x14ac:dyDescent="0.25">
      <c r="C62" s="658"/>
      <c r="D62" s="658"/>
      <c r="J62" s="280"/>
      <c r="M62" s="282"/>
      <c r="N62" s="157"/>
      <c r="O62" s="308"/>
      <c r="P62" s="308"/>
    </row>
    <row r="63" spans="1:17" s="159" customFormat="1" x14ac:dyDescent="0.25">
      <c r="C63" s="658"/>
      <c r="D63" s="658"/>
      <c r="J63" s="280"/>
      <c r="M63" s="282"/>
      <c r="N63" s="157"/>
      <c r="O63" s="308"/>
      <c r="P63" s="308"/>
    </row>
    <row r="64" spans="1:17" s="159" customFormat="1" x14ac:dyDescent="0.25">
      <c r="C64" s="658"/>
      <c r="D64" s="658"/>
      <c r="J64" s="280"/>
      <c r="M64" s="282"/>
      <c r="N64" s="157"/>
      <c r="O64" s="308"/>
      <c r="P64" s="308"/>
    </row>
    <row r="65" spans="3:16" s="159" customFormat="1" x14ac:dyDescent="0.25">
      <c r="C65" s="658"/>
      <c r="D65" s="658"/>
      <c r="J65" s="280"/>
      <c r="M65" s="282"/>
      <c r="N65" s="157"/>
      <c r="O65" s="308"/>
      <c r="P65" s="308"/>
    </row>
    <row r="66" spans="3:16" s="159" customFormat="1" x14ac:dyDescent="0.25">
      <c r="C66" s="658"/>
      <c r="D66" s="658"/>
      <c r="J66" s="280"/>
      <c r="M66" s="282"/>
      <c r="N66" s="157"/>
      <c r="O66" s="308"/>
      <c r="P66" s="308"/>
    </row>
    <row r="67" spans="3:16" s="159" customFormat="1" x14ac:dyDescent="0.25">
      <c r="C67" s="658"/>
      <c r="D67" s="658"/>
      <c r="J67" s="280"/>
      <c r="M67" s="282"/>
      <c r="N67" s="157"/>
      <c r="O67" s="308"/>
      <c r="P67" s="308"/>
    </row>
    <row r="68" spans="3:16" s="159" customFormat="1" x14ac:dyDescent="0.25">
      <c r="C68" s="658"/>
      <c r="D68" s="658"/>
      <c r="J68" s="280"/>
      <c r="M68" s="282"/>
      <c r="N68" s="157"/>
      <c r="O68" s="308"/>
      <c r="P68" s="308"/>
    </row>
    <row r="69" spans="3:16" s="159" customFormat="1" x14ac:dyDescent="0.25">
      <c r="C69" s="658"/>
      <c r="D69" s="658"/>
      <c r="J69" s="280"/>
      <c r="M69" s="282"/>
      <c r="N69" s="157"/>
      <c r="O69" s="308"/>
      <c r="P69" s="308"/>
    </row>
    <row r="70" spans="3:16" s="159" customFormat="1" x14ac:dyDescent="0.25">
      <c r="C70" s="658"/>
      <c r="D70" s="658"/>
      <c r="J70" s="280"/>
      <c r="M70" s="282"/>
      <c r="N70" s="157"/>
      <c r="O70" s="308"/>
      <c r="P70" s="308"/>
    </row>
    <row r="71" spans="3:16" s="159" customFormat="1" x14ac:dyDescent="0.25">
      <c r="C71" s="658"/>
      <c r="D71" s="658"/>
      <c r="J71" s="280"/>
      <c r="M71" s="282"/>
      <c r="N71" s="157"/>
      <c r="O71" s="308"/>
      <c r="P71" s="308"/>
    </row>
    <row r="72" spans="3:16" s="159" customFormat="1" x14ac:dyDescent="0.25">
      <c r="C72" s="658"/>
      <c r="D72" s="658"/>
      <c r="J72" s="280"/>
      <c r="M72" s="282"/>
      <c r="N72" s="157"/>
      <c r="O72" s="308"/>
      <c r="P72" s="308"/>
    </row>
    <row r="73" spans="3:16" s="159" customFormat="1" x14ac:dyDescent="0.25">
      <c r="C73" s="658"/>
      <c r="D73" s="658"/>
      <c r="J73" s="280"/>
      <c r="M73" s="282"/>
      <c r="N73" s="157"/>
      <c r="O73" s="308"/>
      <c r="P73" s="308"/>
    </row>
    <row r="74" spans="3:16" s="159" customFormat="1" x14ac:dyDescent="0.25">
      <c r="C74" s="658"/>
      <c r="D74" s="658"/>
      <c r="J74" s="280"/>
      <c r="M74" s="282"/>
      <c r="N74" s="157"/>
      <c r="O74" s="308"/>
      <c r="P74" s="308"/>
    </row>
    <row r="75" spans="3:16" s="159" customFormat="1" x14ac:dyDescent="0.25">
      <c r="C75" s="658"/>
      <c r="D75" s="658"/>
      <c r="J75" s="280"/>
      <c r="M75" s="282"/>
      <c r="N75" s="157"/>
      <c r="O75" s="308"/>
      <c r="P75" s="308"/>
    </row>
    <row r="76" spans="3:16" s="159" customFormat="1" x14ac:dyDescent="0.25">
      <c r="C76" s="658"/>
      <c r="D76" s="658"/>
      <c r="J76" s="280"/>
      <c r="M76" s="282"/>
      <c r="N76" s="157"/>
      <c r="O76" s="308"/>
      <c r="P76" s="308"/>
    </row>
    <row r="77" spans="3:16" s="159" customFormat="1" x14ac:dyDescent="0.25">
      <c r="C77" s="658"/>
      <c r="D77" s="658"/>
      <c r="J77" s="280"/>
      <c r="M77" s="282"/>
      <c r="N77" s="157"/>
      <c r="O77" s="308"/>
      <c r="P77" s="308"/>
    </row>
    <row r="78" spans="3:16" s="159" customFormat="1" x14ac:dyDescent="0.25">
      <c r="C78" s="658"/>
      <c r="D78" s="658"/>
      <c r="J78" s="280"/>
      <c r="M78" s="282"/>
      <c r="N78" s="157"/>
      <c r="O78" s="308"/>
      <c r="P78" s="308"/>
    </row>
    <row r="79" spans="3:16" s="159" customFormat="1" x14ac:dyDescent="0.25">
      <c r="C79" s="658"/>
      <c r="D79" s="658"/>
      <c r="J79" s="280"/>
      <c r="M79" s="282"/>
      <c r="N79" s="157"/>
      <c r="O79" s="308"/>
      <c r="P79" s="308"/>
    </row>
    <row r="80" spans="3:16" s="159" customFormat="1" x14ac:dyDescent="0.25">
      <c r="C80" s="658"/>
      <c r="D80" s="658"/>
      <c r="J80" s="280"/>
      <c r="M80" s="282"/>
      <c r="N80" s="157"/>
      <c r="O80" s="308"/>
      <c r="P80" s="308"/>
    </row>
    <row r="81" spans="3:16" s="159" customFormat="1" x14ac:dyDescent="0.25">
      <c r="C81" s="658"/>
      <c r="D81" s="658"/>
      <c r="J81" s="280"/>
      <c r="M81" s="282"/>
      <c r="N81" s="157"/>
      <c r="O81" s="308"/>
      <c r="P81" s="308"/>
    </row>
    <row r="82" spans="3:16" s="159" customFormat="1" x14ac:dyDescent="0.25">
      <c r="C82" s="658"/>
      <c r="D82" s="658"/>
      <c r="J82" s="280"/>
      <c r="M82" s="282"/>
      <c r="N82" s="157"/>
      <c r="O82" s="308"/>
      <c r="P82" s="308"/>
    </row>
    <row r="83" spans="3:16" s="159" customFormat="1" x14ac:dyDescent="0.25">
      <c r="C83" s="658"/>
      <c r="D83" s="658"/>
      <c r="J83" s="280"/>
      <c r="M83" s="282"/>
      <c r="N83" s="157"/>
      <c r="O83" s="308"/>
      <c r="P83" s="308"/>
    </row>
    <row r="84" spans="3:16" s="159" customFormat="1" x14ac:dyDescent="0.25">
      <c r="C84" s="658"/>
      <c r="D84" s="658"/>
      <c r="J84" s="280"/>
      <c r="M84" s="282"/>
      <c r="N84" s="157"/>
      <c r="O84" s="308"/>
      <c r="P84" s="308"/>
    </row>
    <row r="85" spans="3:16" s="159" customFormat="1" x14ac:dyDescent="0.25">
      <c r="C85" s="658"/>
      <c r="D85" s="658"/>
      <c r="J85" s="280"/>
      <c r="M85" s="282"/>
      <c r="N85" s="157"/>
      <c r="O85" s="308"/>
      <c r="P85" s="308"/>
    </row>
    <row r="86" spans="3:16" s="159" customFormat="1" x14ac:dyDescent="0.25">
      <c r="C86" s="658"/>
      <c r="D86" s="658"/>
      <c r="J86" s="280"/>
      <c r="M86" s="282"/>
      <c r="N86" s="157"/>
      <c r="O86" s="308"/>
      <c r="P86" s="308"/>
    </row>
    <row r="87" spans="3:16" s="159" customFormat="1" x14ac:dyDescent="0.25">
      <c r="C87" s="658"/>
      <c r="D87" s="658"/>
      <c r="J87" s="280"/>
      <c r="M87" s="282"/>
      <c r="N87" s="157"/>
      <c r="O87" s="308"/>
      <c r="P87" s="308"/>
    </row>
    <row r="88" spans="3:16" s="159" customFormat="1" x14ac:dyDescent="0.25">
      <c r="C88" s="658"/>
      <c r="D88" s="658"/>
      <c r="J88" s="280"/>
      <c r="M88" s="282"/>
      <c r="N88" s="157"/>
      <c r="O88" s="308"/>
      <c r="P88" s="308"/>
    </row>
    <row r="89" spans="3:16" s="159" customFormat="1" x14ac:dyDescent="0.25">
      <c r="C89" s="658"/>
      <c r="D89" s="658"/>
      <c r="J89" s="280"/>
      <c r="M89" s="282"/>
      <c r="N89" s="157"/>
      <c r="O89" s="308"/>
      <c r="P89" s="308"/>
    </row>
    <row r="90" spans="3:16" s="159" customFormat="1" x14ac:dyDescent="0.25">
      <c r="C90" s="658"/>
      <c r="D90" s="658"/>
      <c r="J90" s="280"/>
      <c r="M90" s="282"/>
      <c r="N90" s="157"/>
      <c r="O90" s="308"/>
      <c r="P90" s="308"/>
    </row>
    <row r="91" spans="3:16" s="159" customFormat="1" x14ac:dyDescent="0.25">
      <c r="C91" s="658"/>
      <c r="D91" s="658"/>
      <c r="J91" s="280"/>
      <c r="M91" s="282"/>
      <c r="N91" s="157"/>
      <c r="O91" s="308"/>
      <c r="P91" s="308"/>
    </row>
    <row r="92" spans="3:16" s="159" customFormat="1" x14ac:dyDescent="0.25">
      <c r="C92" s="658"/>
      <c r="D92" s="658"/>
      <c r="J92" s="280"/>
      <c r="M92" s="282"/>
      <c r="N92" s="157"/>
      <c r="O92" s="308"/>
      <c r="P92" s="308"/>
    </row>
    <row r="93" spans="3:16" s="159" customFormat="1" x14ac:dyDescent="0.25">
      <c r="C93" s="658"/>
      <c r="D93" s="658"/>
      <c r="J93" s="280"/>
      <c r="M93" s="282"/>
      <c r="N93" s="157"/>
      <c r="O93" s="308"/>
      <c r="P93" s="308"/>
    </row>
    <row r="94" spans="3:16" s="159" customFormat="1" x14ac:dyDescent="0.25">
      <c r="C94" s="658"/>
      <c r="D94" s="658"/>
      <c r="J94" s="280"/>
      <c r="M94" s="282"/>
      <c r="N94" s="157"/>
      <c r="O94" s="308"/>
      <c r="P94" s="308"/>
    </row>
    <row r="95" spans="3:16" s="159" customFormat="1" x14ac:dyDescent="0.25">
      <c r="C95" s="658"/>
      <c r="D95" s="658"/>
      <c r="J95" s="280"/>
      <c r="M95" s="282"/>
      <c r="N95" s="157"/>
      <c r="O95" s="308"/>
      <c r="P95" s="308"/>
    </row>
    <row r="96" spans="3:16" s="159" customFormat="1" x14ac:dyDescent="0.25">
      <c r="C96" s="658"/>
      <c r="D96" s="658"/>
      <c r="J96" s="280"/>
      <c r="M96" s="282"/>
      <c r="N96" s="157"/>
      <c r="O96" s="308"/>
      <c r="P96" s="308"/>
    </row>
    <row r="97" spans="3:16" s="159" customFormat="1" x14ac:dyDescent="0.25">
      <c r="C97" s="658"/>
      <c r="D97" s="658"/>
      <c r="J97" s="280"/>
      <c r="M97" s="282"/>
      <c r="N97" s="157"/>
      <c r="O97" s="308"/>
      <c r="P97" s="308"/>
    </row>
    <row r="98" spans="3:16" s="159" customFormat="1" x14ac:dyDescent="0.25">
      <c r="C98" s="658"/>
      <c r="D98" s="658"/>
      <c r="J98" s="280"/>
      <c r="M98" s="282"/>
      <c r="N98" s="157"/>
      <c r="O98" s="308"/>
      <c r="P98" s="308"/>
    </row>
    <row r="99" spans="3:16" s="159" customFormat="1" x14ac:dyDescent="0.25">
      <c r="C99" s="658"/>
      <c r="D99" s="658"/>
      <c r="J99" s="280"/>
      <c r="M99" s="282"/>
      <c r="N99" s="157"/>
      <c r="O99" s="308"/>
      <c r="P99" s="308"/>
    </row>
    <row r="100" spans="3:16" s="159" customFormat="1" x14ac:dyDescent="0.25">
      <c r="C100" s="658"/>
      <c r="D100" s="658"/>
      <c r="J100" s="280"/>
      <c r="M100" s="282"/>
      <c r="N100" s="157"/>
      <c r="O100" s="308"/>
      <c r="P100" s="308"/>
    </row>
    <row r="101" spans="3:16" s="159" customFormat="1" x14ac:dyDescent="0.25">
      <c r="C101" s="658"/>
      <c r="D101" s="658"/>
      <c r="J101" s="280"/>
      <c r="M101" s="282"/>
      <c r="N101" s="157"/>
      <c r="O101" s="308"/>
      <c r="P101" s="308"/>
    </row>
    <row r="102" spans="3:16" s="159" customFormat="1" x14ac:dyDescent="0.25">
      <c r="C102" s="658"/>
      <c r="D102" s="658"/>
      <c r="J102" s="280"/>
      <c r="M102" s="282"/>
      <c r="N102" s="157"/>
      <c r="O102" s="308"/>
      <c r="P102" s="308"/>
    </row>
    <row r="103" spans="3:16" s="159" customFormat="1" x14ac:dyDescent="0.25">
      <c r="C103" s="658"/>
      <c r="D103" s="658"/>
      <c r="J103" s="280"/>
      <c r="M103" s="282"/>
      <c r="N103" s="157"/>
      <c r="O103" s="308"/>
      <c r="P103" s="308"/>
    </row>
    <row r="104" spans="3:16" s="159" customFormat="1" x14ac:dyDescent="0.25">
      <c r="C104" s="658"/>
      <c r="D104" s="658"/>
      <c r="J104" s="280"/>
      <c r="M104" s="282"/>
      <c r="N104" s="157"/>
      <c r="O104" s="308"/>
      <c r="P104" s="308"/>
    </row>
    <row r="105" spans="3:16" s="159" customFormat="1" x14ac:dyDescent="0.25">
      <c r="C105" s="658"/>
      <c r="D105" s="658"/>
      <c r="J105" s="280"/>
      <c r="M105" s="282"/>
      <c r="N105" s="157"/>
      <c r="O105" s="308"/>
      <c r="P105" s="308"/>
    </row>
    <row r="106" spans="3:16" s="159" customFormat="1" x14ac:dyDescent="0.25">
      <c r="C106" s="658"/>
      <c r="D106" s="658"/>
      <c r="J106" s="280"/>
      <c r="M106" s="282"/>
      <c r="N106" s="157"/>
      <c r="O106" s="308"/>
      <c r="P106" s="308"/>
    </row>
    <row r="107" spans="3:16" s="159" customFormat="1" x14ac:dyDescent="0.25">
      <c r="C107" s="658"/>
      <c r="D107" s="658"/>
      <c r="J107" s="280"/>
      <c r="M107" s="282"/>
      <c r="N107" s="157"/>
      <c r="O107" s="308"/>
      <c r="P107" s="308"/>
    </row>
    <row r="108" spans="3:16" s="159" customFormat="1" x14ac:dyDescent="0.25">
      <c r="C108" s="658"/>
      <c r="D108" s="658"/>
      <c r="J108" s="280"/>
      <c r="M108" s="282"/>
      <c r="N108" s="157"/>
      <c r="O108" s="308"/>
      <c r="P108" s="308"/>
    </row>
    <row r="109" spans="3:16" s="159" customFormat="1" x14ac:dyDescent="0.25">
      <c r="C109" s="658"/>
      <c r="D109" s="658"/>
      <c r="J109" s="280"/>
      <c r="M109" s="282"/>
      <c r="N109" s="157"/>
      <c r="O109" s="308"/>
      <c r="P109" s="308"/>
    </row>
    <row r="110" spans="3:16" s="159" customFormat="1" x14ac:dyDescent="0.25">
      <c r="C110" s="658"/>
      <c r="D110" s="658"/>
      <c r="J110" s="280"/>
      <c r="M110" s="282"/>
      <c r="N110" s="157"/>
      <c r="O110" s="308"/>
      <c r="P110" s="308"/>
    </row>
    <row r="111" spans="3:16" s="159" customFormat="1" x14ac:dyDescent="0.25">
      <c r="C111" s="658"/>
      <c r="D111" s="658"/>
      <c r="J111" s="280"/>
      <c r="M111" s="282"/>
      <c r="N111" s="157"/>
      <c r="O111" s="308"/>
      <c r="P111" s="308"/>
    </row>
    <row r="112" spans="3:16" s="159" customFormat="1" x14ac:dyDescent="0.25">
      <c r="C112" s="658"/>
      <c r="D112" s="658"/>
      <c r="J112" s="280"/>
      <c r="M112" s="282"/>
      <c r="N112" s="157"/>
      <c r="O112" s="308"/>
      <c r="P112" s="308"/>
    </row>
    <row r="113" spans="3:16" s="159" customFormat="1" x14ac:dyDescent="0.25">
      <c r="C113" s="658"/>
      <c r="D113" s="658"/>
      <c r="J113" s="280"/>
      <c r="M113" s="282"/>
      <c r="N113" s="157"/>
      <c r="O113" s="308"/>
      <c r="P113" s="308"/>
    </row>
    <row r="114" spans="3:16" s="159" customFormat="1" x14ac:dyDescent="0.25">
      <c r="C114" s="658"/>
      <c r="D114" s="658"/>
      <c r="J114" s="280"/>
      <c r="M114" s="282"/>
      <c r="N114" s="157"/>
      <c r="O114" s="308"/>
      <c r="P114" s="308"/>
    </row>
    <row r="115" spans="3:16" s="159" customFormat="1" x14ac:dyDescent="0.25">
      <c r="C115" s="658"/>
      <c r="D115" s="658"/>
      <c r="J115" s="280"/>
      <c r="M115" s="282"/>
      <c r="N115" s="157"/>
      <c r="O115" s="308"/>
      <c r="P115" s="308"/>
    </row>
    <row r="116" spans="3:16" s="159" customFormat="1" x14ac:dyDescent="0.25">
      <c r="C116" s="658"/>
      <c r="D116" s="658"/>
      <c r="J116" s="280"/>
      <c r="M116" s="282"/>
      <c r="N116" s="157"/>
      <c r="O116" s="308"/>
      <c r="P116" s="308"/>
    </row>
    <row r="117" spans="3:16" s="159" customFormat="1" x14ac:dyDescent="0.25">
      <c r="C117" s="658"/>
      <c r="D117" s="658"/>
      <c r="J117" s="280"/>
      <c r="M117" s="282"/>
      <c r="N117" s="157"/>
      <c r="O117" s="308"/>
      <c r="P117" s="308"/>
    </row>
    <row r="118" spans="3:16" s="159" customFormat="1" x14ac:dyDescent="0.25">
      <c r="C118" s="658"/>
      <c r="D118" s="658"/>
      <c r="J118" s="280"/>
      <c r="M118" s="282"/>
      <c r="N118" s="157"/>
      <c r="O118" s="308"/>
      <c r="P118" s="308"/>
    </row>
    <row r="119" spans="3:16" s="159" customFormat="1" x14ac:dyDescent="0.25">
      <c r="C119" s="658"/>
      <c r="D119" s="658"/>
      <c r="J119" s="280"/>
      <c r="M119" s="282"/>
      <c r="N119" s="157"/>
      <c r="O119" s="308"/>
      <c r="P119" s="308"/>
    </row>
    <row r="120" spans="3:16" s="159" customFormat="1" x14ac:dyDescent="0.25">
      <c r="C120" s="658"/>
      <c r="D120" s="658"/>
      <c r="J120" s="280"/>
      <c r="M120" s="282"/>
      <c r="N120" s="157"/>
      <c r="O120" s="308"/>
      <c r="P120" s="308"/>
    </row>
    <row r="121" spans="3:16" s="159" customFormat="1" x14ac:dyDescent="0.25">
      <c r="C121" s="658"/>
      <c r="D121" s="658"/>
      <c r="J121" s="280"/>
      <c r="M121" s="282"/>
      <c r="N121" s="157"/>
      <c r="O121" s="308"/>
      <c r="P121" s="308"/>
    </row>
    <row r="122" spans="3:16" s="159" customFormat="1" x14ac:dyDescent="0.25">
      <c r="C122" s="658"/>
      <c r="D122" s="658"/>
      <c r="J122" s="280"/>
      <c r="M122" s="282"/>
      <c r="N122" s="157"/>
      <c r="O122" s="308"/>
      <c r="P122" s="308"/>
    </row>
    <row r="123" spans="3:16" s="159" customFormat="1" x14ac:dyDescent="0.25">
      <c r="C123" s="658"/>
      <c r="D123" s="658"/>
      <c r="J123" s="280"/>
      <c r="M123" s="282"/>
      <c r="N123" s="157"/>
      <c r="O123" s="308"/>
      <c r="P123" s="308"/>
    </row>
    <row r="124" spans="3:16" s="159" customFormat="1" x14ac:dyDescent="0.25">
      <c r="C124" s="658"/>
      <c r="D124" s="658"/>
      <c r="J124" s="280"/>
      <c r="M124" s="282"/>
      <c r="N124" s="157"/>
      <c r="O124" s="308"/>
      <c r="P124" s="308"/>
    </row>
    <row r="125" spans="3:16" s="159" customFormat="1" x14ac:dyDescent="0.25">
      <c r="C125" s="658"/>
      <c r="D125" s="658"/>
      <c r="J125" s="280"/>
      <c r="M125" s="282"/>
      <c r="N125" s="157"/>
      <c r="O125" s="308"/>
      <c r="P125" s="308"/>
    </row>
    <row r="126" spans="3:16" s="159" customFormat="1" x14ac:dyDescent="0.25">
      <c r="C126" s="658"/>
      <c r="D126" s="658"/>
      <c r="J126" s="280"/>
      <c r="M126" s="282"/>
      <c r="N126" s="157"/>
      <c r="O126" s="308"/>
      <c r="P126" s="308"/>
    </row>
    <row r="127" spans="3:16" s="159" customFormat="1" x14ac:dyDescent="0.25">
      <c r="C127" s="658"/>
      <c r="D127" s="658"/>
      <c r="J127" s="280"/>
      <c r="M127" s="282"/>
      <c r="N127" s="157"/>
      <c r="O127" s="308"/>
      <c r="P127" s="308"/>
    </row>
    <row r="128" spans="3:16" s="159" customFormat="1" x14ac:dyDescent="0.25">
      <c r="C128" s="658"/>
      <c r="D128" s="658"/>
      <c r="J128" s="280"/>
      <c r="M128" s="282"/>
      <c r="N128" s="157"/>
      <c r="O128" s="308"/>
      <c r="P128" s="308"/>
    </row>
    <row r="129" spans="3:16" s="159" customFormat="1" x14ac:dyDescent="0.25">
      <c r="C129" s="658"/>
      <c r="D129" s="658"/>
      <c r="J129" s="280"/>
      <c r="M129" s="282"/>
      <c r="N129" s="157"/>
      <c r="O129" s="308"/>
      <c r="P129" s="308"/>
    </row>
    <row r="130" spans="3:16" s="159" customFormat="1" x14ac:dyDescent="0.25">
      <c r="C130" s="658"/>
      <c r="D130" s="658"/>
      <c r="J130" s="280"/>
      <c r="M130" s="282"/>
      <c r="N130" s="157"/>
      <c r="O130" s="308"/>
      <c r="P130" s="308"/>
    </row>
    <row r="131" spans="3:16" s="159" customFormat="1" x14ac:dyDescent="0.25">
      <c r="C131" s="658"/>
      <c r="D131" s="658"/>
      <c r="J131" s="280"/>
      <c r="M131" s="282"/>
      <c r="N131" s="157"/>
      <c r="O131" s="308"/>
      <c r="P131" s="308"/>
    </row>
    <row r="132" spans="3:16" s="159" customFormat="1" x14ac:dyDescent="0.25">
      <c r="C132" s="658"/>
      <c r="D132" s="658"/>
      <c r="J132" s="280"/>
      <c r="M132" s="282"/>
      <c r="N132" s="157"/>
      <c r="O132" s="308"/>
      <c r="P132" s="308"/>
    </row>
    <row r="133" spans="3:16" s="159" customFormat="1" x14ac:dyDescent="0.25">
      <c r="C133" s="658"/>
      <c r="D133" s="658"/>
      <c r="J133" s="280"/>
      <c r="M133" s="282"/>
      <c r="N133" s="157"/>
      <c r="O133" s="308"/>
      <c r="P133" s="308"/>
    </row>
    <row r="134" spans="3:16" s="159" customFormat="1" x14ac:dyDescent="0.25">
      <c r="C134" s="658"/>
      <c r="D134" s="658"/>
      <c r="J134" s="280"/>
      <c r="M134" s="282"/>
      <c r="N134" s="157"/>
      <c r="O134" s="308"/>
      <c r="P134" s="308"/>
    </row>
    <row r="135" spans="3:16" s="159" customFormat="1" x14ac:dyDescent="0.25">
      <c r="C135" s="658"/>
      <c r="D135" s="658"/>
      <c r="J135" s="280"/>
      <c r="M135" s="282"/>
      <c r="N135" s="157"/>
      <c r="O135" s="308"/>
      <c r="P135" s="308"/>
    </row>
    <row r="136" spans="3:16" s="159" customFormat="1" x14ac:dyDescent="0.25">
      <c r="C136" s="658"/>
      <c r="D136" s="658"/>
      <c r="J136" s="280"/>
      <c r="M136" s="282"/>
      <c r="N136" s="157"/>
      <c r="O136" s="308"/>
      <c r="P136" s="308"/>
    </row>
    <row r="137" spans="3:16" s="159" customFormat="1" x14ac:dyDescent="0.25">
      <c r="C137" s="658"/>
      <c r="D137" s="658"/>
      <c r="J137" s="280"/>
      <c r="M137" s="282"/>
      <c r="N137" s="157"/>
      <c r="O137" s="308"/>
      <c r="P137" s="308"/>
    </row>
    <row r="138" spans="3:16" s="159" customFormat="1" x14ac:dyDescent="0.25">
      <c r="C138" s="658"/>
      <c r="D138" s="658"/>
      <c r="J138" s="280"/>
      <c r="M138" s="282"/>
      <c r="N138" s="157"/>
      <c r="O138" s="308"/>
      <c r="P138" s="308"/>
    </row>
    <row r="139" spans="3:16" s="159" customFormat="1" x14ac:dyDescent="0.25">
      <c r="C139" s="658"/>
      <c r="D139" s="658"/>
      <c r="J139" s="280"/>
      <c r="M139" s="282"/>
      <c r="N139" s="157"/>
      <c r="O139" s="308"/>
      <c r="P139" s="308"/>
    </row>
    <row r="140" spans="3:16" s="159" customFormat="1" x14ac:dyDescent="0.25">
      <c r="C140" s="658"/>
      <c r="D140" s="658"/>
      <c r="J140" s="280"/>
      <c r="M140" s="282"/>
      <c r="N140" s="157"/>
      <c r="O140" s="308"/>
      <c r="P140" s="308"/>
    </row>
    <row r="141" spans="3:16" s="159" customFormat="1" x14ac:dyDescent="0.25">
      <c r="C141" s="658"/>
      <c r="D141" s="658"/>
      <c r="J141" s="280"/>
      <c r="M141" s="282"/>
      <c r="N141" s="157"/>
      <c r="O141" s="308"/>
      <c r="P141" s="308"/>
    </row>
    <row r="142" spans="3:16" s="159" customFormat="1" x14ac:dyDescent="0.25">
      <c r="C142" s="658"/>
      <c r="D142" s="658"/>
      <c r="J142" s="280"/>
      <c r="M142" s="282"/>
      <c r="N142" s="157"/>
      <c r="O142" s="308"/>
      <c r="P142" s="308"/>
    </row>
    <row r="143" spans="3:16" s="159" customFormat="1" x14ac:dyDescent="0.25">
      <c r="C143" s="658"/>
      <c r="D143" s="658"/>
      <c r="J143" s="280"/>
      <c r="M143" s="282"/>
      <c r="N143" s="157"/>
      <c r="O143" s="308"/>
      <c r="P143" s="308"/>
    </row>
    <row r="144" spans="3:16" s="159" customFormat="1" x14ac:dyDescent="0.25">
      <c r="C144" s="658"/>
      <c r="D144" s="658"/>
      <c r="J144" s="280"/>
      <c r="M144" s="282"/>
      <c r="N144" s="157"/>
      <c r="O144" s="308"/>
      <c r="P144" s="308"/>
    </row>
    <row r="145" spans="3:16" s="159" customFormat="1" x14ac:dyDescent="0.25">
      <c r="C145" s="658"/>
      <c r="D145" s="658"/>
      <c r="J145" s="280"/>
      <c r="M145" s="282"/>
      <c r="N145" s="157"/>
      <c r="O145" s="308"/>
      <c r="P145" s="308"/>
    </row>
    <row r="146" spans="3:16" s="159" customFormat="1" x14ac:dyDescent="0.25">
      <c r="C146" s="658"/>
      <c r="D146" s="658"/>
      <c r="J146" s="280"/>
      <c r="M146" s="282"/>
      <c r="N146" s="157"/>
      <c r="O146" s="308"/>
      <c r="P146" s="308"/>
    </row>
    <row r="147" spans="3:16" s="159" customFormat="1" x14ac:dyDescent="0.25">
      <c r="C147" s="658"/>
      <c r="D147" s="658"/>
      <c r="J147" s="280"/>
      <c r="M147" s="282"/>
      <c r="N147" s="157"/>
      <c r="O147" s="308"/>
      <c r="P147" s="308"/>
    </row>
    <row r="148" spans="3:16" s="159" customFormat="1" x14ac:dyDescent="0.25">
      <c r="C148" s="658"/>
      <c r="D148" s="658"/>
      <c r="J148" s="280"/>
      <c r="M148" s="282"/>
      <c r="N148" s="157"/>
      <c r="O148" s="308"/>
      <c r="P148" s="308"/>
    </row>
    <row r="149" spans="3:16" s="159" customFormat="1" x14ac:dyDescent="0.25">
      <c r="C149" s="658"/>
      <c r="D149" s="658"/>
      <c r="J149" s="280"/>
      <c r="M149" s="282"/>
      <c r="N149" s="157"/>
      <c r="O149" s="308"/>
      <c r="P149" s="308"/>
    </row>
    <row r="150" spans="3:16" s="159" customFormat="1" x14ac:dyDescent="0.25">
      <c r="C150" s="658"/>
      <c r="D150" s="658"/>
      <c r="J150" s="280"/>
      <c r="M150" s="282"/>
      <c r="N150" s="157"/>
      <c r="O150" s="308"/>
      <c r="P150" s="308"/>
    </row>
    <row r="151" spans="3:16" s="159" customFormat="1" x14ac:dyDescent="0.25">
      <c r="C151" s="658"/>
      <c r="D151" s="658"/>
      <c r="J151" s="280"/>
      <c r="M151" s="282"/>
      <c r="N151" s="157"/>
      <c r="O151" s="308"/>
      <c r="P151" s="308"/>
    </row>
    <row r="152" spans="3:16" s="159" customFormat="1" x14ac:dyDescent="0.25">
      <c r="C152" s="658"/>
      <c r="D152" s="658"/>
      <c r="J152" s="280"/>
      <c r="M152" s="282"/>
      <c r="N152" s="157"/>
      <c r="O152" s="308"/>
      <c r="P152" s="308"/>
    </row>
    <row r="153" spans="3:16" s="159" customFormat="1" x14ac:dyDescent="0.25">
      <c r="C153" s="658"/>
      <c r="D153" s="658"/>
      <c r="J153" s="280"/>
      <c r="M153" s="282"/>
      <c r="N153" s="157"/>
      <c r="O153" s="308"/>
      <c r="P153" s="308"/>
    </row>
    <row r="154" spans="3:16" s="159" customFormat="1" x14ac:dyDescent="0.25">
      <c r="C154" s="658"/>
      <c r="D154" s="658"/>
      <c r="J154" s="280"/>
      <c r="M154" s="282"/>
      <c r="N154" s="157"/>
      <c r="O154" s="308"/>
      <c r="P154" s="308"/>
    </row>
    <row r="155" spans="3:16" s="159" customFormat="1" x14ac:dyDescent="0.25">
      <c r="C155" s="658"/>
      <c r="D155" s="658"/>
      <c r="J155" s="280"/>
      <c r="M155" s="282"/>
      <c r="N155" s="157"/>
      <c r="O155" s="308"/>
      <c r="P155" s="308"/>
    </row>
    <row r="156" spans="3:16" s="159" customFormat="1" x14ac:dyDescent="0.25">
      <c r="C156" s="658"/>
      <c r="D156" s="658"/>
      <c r="J156" s="280"/>
      <c r="M156" s="282"/>
      <c r="N156" s="157"/>
      <c r="O156" s="308"/>
      <c r="P156" s="308"/>
    </row>
    <row r="157" spans="3:16" s="159" customFormat="1" x14ac:dyDescent="0.25">
      <c r="C157" s="658"/>
      <c r="D157" s="658"/>
      <c r="J157" s="280"/>
      <c r="M157" s="282"/>
      <c r="N157" s="157"/>
      <c r="O157" s="308"/>
      <c r="P157" s="308"/>
    </row>
    <row r="158" spans="3:16" s="159" customFormat="1" x14ac:dyDescent="0.25">
      <c r="C158" s="658"/>
      <c r="D158" s="658"/>
      <c r="J158" s="280"/>
      <c r="M158" s="282"/>
      <c r="N158" s="157"/>
      <c r="O158" s="308"/>
      <c r="P158" s="308"/>
    </row>
    <row r="159" spans="3:16" s="159" customFormat="1" x14ac:dyDescent="0.25">
      <c r="C159" s="658"/>
      <c r="D159" s="658"/>
      <c r="J159" s="280"/>
      <c r="M159" s="282"/>
      <c r="N159" s="157"/>
      <c r="O159" s="308"/>
      <c r="P159" s="308"/>
    </row>
    <row r="160" spans="3:16" s="159" customFormat="1" x14ac:dyDescent="0.25">
      <c r="C160" s="658"/>
      <c r="D160" s="658"/>
      <c r="J160" s="280"/>
      <c r="M160" s="282"/>
      <c r="N160" s="157"/>
      <c r="O160" s="308"/>
      <c r="P160" s="308"/>
    </row>
    <row r="161" spans="3:16" s="159" customFormat="1" x14ac:dyDescent="0.25">
      <c r="C161" s="658"/>
      <c r="D161" s="658"/>
      <c r="J161" s="280"/>
      <c r="M161" s="282"/>
      <c r="N161" s="157"/>
      <c r="O161" s="308"/>
      <c r="P161" s="308"/>
    </row>
    <row r="162" spans="3:16" s="159" customFormat="1" x14ac:dyDescent="0.25">
      <c r="C162" s="658"/>
      <c r="D162" s="658"/>
      <c r="J162" s="280"/>
      <c r="M162" s="282"/>
      <c r="N162" s="157"/>
      <c r="O162" s="308"/>
      <c r="P162" s="308"/>
    </row>
    <row r="163" spans="3:16" s="159" customFormat="1" x14ac:dyDescent="0.25">
      <c r="C163" s="658"/>
      <c r="D163" s="658"/>
      <c r="J163" s="280"/>
      <c r="M163" s="282"/>
      <c r="N163" s="157"/>
      <c r="O163" s="308"/>
      <c r="P163" s="308"/>
    </row>
    <row r="164" spans="3:16" s="159" customFormat="1" x14ac:dyDescent="0.25">
      <c r="C164" s="658"/>
      <c r="D164" s="658"/>
      <c r="J164" s="280"/>
      <c r="M164" s="282"/>
      <c r="N164" s="157"/>
      <c r="O164" s="308"/>
      <c r="P164" s="308"/>
    </row>
    <row r="165" spans="3:16" s="159" customFormat="1" x14ac:dyDescent="0.25">
      <c r="C165" s="658"/>
      <c r="D165" s="658"/>
      <c r="J165" s="280"/>
      <c r="M165" s="282"/>
      <c r="N165" s="157"/>
      <c r="O165" s="308"/>
      <c r="P165" s="308"/>
    </row>
    <row r="166" spans="3:16" s="159" customFormat="1" x14ac:dyDescent="0.25">
      <c r="C166" s="658"/>
      <c r="D166" s="658"/>
      <c r="J166" s="280"/>
      <c r="M166" s="282"/>
      <c r="N166" s="157"/>
      <c r="O166" s="308"/>
      <c r="P166" s="308"/>
    </row>
    <row r="167" spans="3:16" s="159" customFormat="1" x14ac:dyDescent="0.25">
      <c r="C167" s="658"/>
      <c r="D167" s="658"/>
      <c r="J167" s="280"/>
      <c r="M167" s="282"/>
      <c r="N167" s="157"/>
      <c r="O167" s="308"/>
      <c r="P167" s="308"/>
    </row>
    <row r="168" spans="3:16" s="159" customFormat="1" x14ac:dyDescent="0.25">
      <c r="C168" s="658"/>
      <c r="D168" s="658"/>
      <c r="J168" s="280"/>
      <c r="M168" s="282"/>
      <c r="N168" s="157"/>
      <c r="O168" s="308"/>
      <c r="P168" s="308"/>
    </row>
    <row r="169" spans="3:16" s="159" customFormat="1" x14ac:dyDescent="0.25">
      <c r="C169" s="658"/>
      <c r="D169" s="658"/>
      <c r="J169" s="280"/>
      <c r="M169" s="282"/>
      <c r="N169" s="157"/>
      <c r="O169" s="308"/>
      <c r="P169" s="308"/>
    </row>
    <row r="170" spans="3:16" s="159" customFormat="1" x14ac:dyDescent="0.25">
      <c r="C170" s="658"/>
      <c r="D170" s="658"/>
      <c r="J170" s="280"/>
      <c r="M170" s="282"/>
      <c r="N170" s="157"/>
      <c r="O170" s="308"/>
      <c r="P170" s="308"/>
    </row>
    <row r="171" spans="3:16" s="159" customFormat="1" x14ac:dyDescent="0.25">
      <c r="C171" s="658"/>
      <c r="D171" s="658"/>
      <c r="J171" s="280"/>
      <c r="M171" s="282"/>
      <c r="N171" s="157"/>
      <c r="O171" s="308"/>
      <c r="P171" s="308"/>
    </row>
    <row r="172" spans="3:16" s="159" customFormat="1" x14ac:dyDescent="0.25">
      <c r="C172" s="658"/>
      <c r="D172" s="658"/>
      <c r="J172" s="280"/>
      <c r="M172" s="282"/>
      <c r="N172" s="157"/>
      <c r="O172" s="308"/>
      <c r="P172" s="308"/>
    </row>
    <row r="173" spans="3:16" s="159" customFormat="1" x14ac:dyDescent="0.25">
      <c r="C173" s="658"/>
      <c r="D173" s="658"/>
      <c r="J173" s="280"/>
      <c r="M173" s="282"/>
      <c r="N173" s="157"/>
      <c r="O173" s="308"/>
      <c r="P173" s="308"/>
    </row>
    <row r="174" spans="3:16" s="159" customFormat="1" x14ac:dyDescent="0.25">
      <c r="C174" s="658"/>
      <c r="D174" s="658"/>
      <c r="J174" s="280"/>
      <c r="M174" s="282"/>
      <c r="N174" s="157"/>
      <c r="O174" s="308"/>
      <c r="P174" s="308"/>
    </row>
    <row r="175" spans="3:16" s="159" customFormat="1" x14ac:dyDescent="0.25">
      <c r="C175" s="658"/>
      <c r="D175" s="658"/>
      <c r="J175" s="280"/>
      <c r="M175" s="282"/>
      <c r="N175" s="157"/>
      <c r="O175" s="308"/>
      <c r="P175" s="308"/>
    </row>
    <row r="176" spans="3:16" s="159" customFormat="1" x14ac:dyDescent="0.25">
      <c r="C176" s="658"/>
      <c r="D176" s="658"/>
      <c r="J176" s="280"/>
      <c r="M176" s="282"/>
      <c r="N176" s="157"/>
      <c r="O176" s="308"/>
      <c r="P176" s="308"/>
    </row>
    <row r="177" spans="3:16" s="159" customFormat="1" x14ac:dyDescent="0.25">
      <c r="C177" s="658"/>
      <c r="D177" s="658"/>
      <c r="J177" s="280"/>
      <c r="M177" s="282"/>
      <c r="N177" s="157"/>
      <c r="O177" s="308"/>
      <c r="P177" s="308"/>
    </row>
    <row r="178" spans="3:16" s="159" customFormat="1" x14ac:dyDescent="0.25">
      <c r="C178" s="658"/>
      <c r="D178" s="658"/>
      <c r="J178" s="280"/>
      <c r="M178" s="282"/>
      <c r="N178" s="157"/>
      <c r="O178" s="308"/>
      <c r="P178" s="308"/>
    </row>
    <row r="179" spans="3:16" s="159" customFormat="1" x14ac:dyDescent="0.25">
      <c r="C179" s="658"/>
      <c r="D179" s="658"/>
      <c r="J179" s="280"/>
      <c r="M179" s="282"/>
      <c r="N179" s="157"/>
      <c r="O179" s="308"/>
      <c r="P179" s="308"/>
    </row>
    <row r="180" spans="3:16" s="159" customFormat="1" x14ac:dyDescent="0.25">
      <c r="C180" s="658"/>
      <c r="D180" s="658"/>
      <c r="J180" s="280"/>
      <c r="M180" s="282"/>
      <c r="N180" s="157"/>
      <c r="O180" s="308"/>
      <c r="P180" s="308"/>
    </row>
    <row r="181" spans="3:16" s="159" customFormat="1" x14ac:dyDescent="0.25">
      <c r="C181" s="658"/>
      <c r="D181" s="658"/>
      <c r="J181" s="280"/>
      <c r="M181" s="282"/>
      <c r="N181" s="157"/>
      <c r="O181" s="308"/>
      <c r="P181" s="308"/>
    </row>
    <row r="182" spans="3:16" s="159" customFormat="1" x14ac:dyDescent="0.25">
      <c r="C182" s="658"/>
      <c r="D182" s="658"/>
      <c r="J182" s="280"/>
      <c r="M182" s="282"/>
      <c r="N182" s="157"/>
      <c r="O182" s="308"/>
      <c r="P182" s="308"/>
    </row>
    <row r="183" spans="3:16" s="159" customFormat="1" x14ac:dyDescent="0.25">
      <c r="C183" s="658"/>
      <c r="D183" s="658"/>
      <c r="J183" s="280"/>
      <c r="M183" s="282"/>
      <c r="N183" s="157"/>
      <c r="O183" s="308"/>
      <c r="P183" s="308"/>
    </row>
    <row r="184" spans="3:16" s="159" customFormat="1" x14ac:dyDescent="0.25">
      <c r="C184" s="658"/>
      <c r="D184" s="658"/>
      <c r="J184" s="280"/>
      <c r="M184" s="282"/>
      <c r="N184" s="157"/>
      <c r="O184" s="308"/>
      <c r="P184" s="308"/>
    </row>
    <row r="185" spans="3:16" s="159" customFormat="1" x14ac:dyDescent="0.25">
      <c r="C185" s="658"/>
      <c r="D185" s="658"/>
      <c r="J185" s="280"/>
      <c r="M185" s="282"/>
      <c r="N185" s="157"/>
      <c r="O185" s="308"/>
      <c r="P185" s="308"/>
    </row>
    <row r="186" spans="3:16" s="159" customFormat="1" x14ac:dyDescent="0.25">
      <c r="C186" s="658"/>
      <c r="D186" s="658"/>
      <c r="J186" s="280"/>
      <c r="M186" s="282"/>
      <c r="N186" s="157"/>
      <c r="O186" s="308"/>
      <c r="P186" s="308"/>
    </row>
    <row r="187" spans="3:16" s="159" customFormat="1" x14ac:dyDescent="0.25">
      <c r="C187" s="658"/>
      <c r="D187" s="658"/>
      <c r="J187" s="280"/>
      <c r="M187" s="282"/>
      <c r="N187" s="157"/>
      <c r="O187" s="308"/>
      <c r="P187" s="308"/>
    </row>
    <row r="188" spans="3:16" s="159" customFormat="1" x14ac:dyDescent="0.25">
      <c r="C188" s="658"/>
      <c r="D188" s="658"/>
      <c r="J188" s="280"/>
      <c r="M188" s="282"/>
      <c r="N188" s="157"/>
      <c r="O188" s="308"/>
      <c r="P188" s="308"/>
    </row>
    <row r="189" spans="3:16" s="159" customFormat="1" x14ac:dyDescent="0.25">
      <c r="C189" s="658"/>
      <c r="D189" s="658"/>
      <c r="J189" s="280"/>
      <c r="M189" s="282"/>
      <c r="N189" s="157"/>
      <c r="O189" s="308"/>
      <c r="P189" s="308"/>
    </row>
    <row r="190" spans="3:16" s="159" customFormat="1" x14ac:dyDescent="0.25">
      <c r="C190" s="658"/>
      <c r="D190" s="658"/>
      <c r="J190" s="280"/>
      <c r="M190" s="282"/>
      <c r="N190" s="157"/>
      <c r="O190" s="308"/>
      <c r="P190" s="308"/>
    </row>
    <row r="191" spans="3:16" s="159" customFormat="1" x14ac:dyDescent="0.25">
      <c r="C191" s="658"/>
      <c r="D191" s="658"/>
      <c r="J191" s="280"/>
      <c r="M191" s="282"/>
      <c r="N191" s="157"/>
      <c r="O191" s="308"/>
      <c r="P191" s="308"/>
    </row>
    <row r="192" spans="3:16" s="159" customFormat="1" x14ac:dyDescent="0.25">
      <c r="C192" s="658"/>
      <c r="D192" s="658"/>
      <c r="J192" s="280"/>
      <c r="M192" s="282"/>
      <c r="N192" s="157"/>
      <c r="O192" s="308"/>
      <c r="P192" s="308"/>
    </row>
    <row r="193" spans="3:16" s="159" customFormat="1" x14ac:dyDescent="0.25">
      <c r="C193" s="658"/>
      <c r="D193" s="658"/>
      <c r="J193" s="280"/>
      <c r="M193" s="282"/>
      <c r="N193" s="157"/>
      <c r="O193" s="308"/>
      <c r="P193" s="308"/>
    </row>
    <row r="194" spans="3:16" s="159" customFormat="1" x14ac:dyDescent="0.25">
      <c r="C194" s="658"/>
      <c r="D194" s="658"/>
      <c r="J194" s="280"/>
      <c r="M194" s="282"/>
      <c r="N194" s="157"/>
      <c r="O194" s="308"/>
      <c r="P194" s="308"/>
    </row>
    <row r="195" spans="3:16" s="159" customFormat="1" x14ac:dyDescent="0.25">
      <c r="C195" s="658"/>
      <c r="D195" s="658"/>
      <c r="J195" s="280"/>
      <c r="M195" s="282"/>
      <c r="N195" s="157"/>
      <c r="O195" s="308"/>
      <c r="P195" s="308"/>
    </row>
    <row r="196" spans="3:16" s="159" customFormat="1" x14ac:dyDescent="0.25">
      <c r="C196" s="658"/>
      <c r="D196" s="658"/>
      <c r="J196" s="280"/>
      <c r="M196" s="282"/>
      <c r="N196" s="157"/>
      <c r="O196" s="308"/>
      <c r="P196" s="308"/>
    </row>
    <row r="197" spans="3:16" s="159" customFormat="1" x14ac:dyDescent="0.25">
      <c r="C197" s="658"/>
      <c r="D197" s="658"/>
      <c r="J197" s="280"/>
      <c r="M197" s="282"/>
      <c r="N197" s="157"/>
      <c r="O197" s="308"/>
      <c r="P197" s="308"/>
    </row>
    <row r="198" spans="3:16" s="159" customFormat="1" x14ac:dyDescent="0.25">
      <c r="C198" s="658"/>
      <c r="D198" s="658"/>
      <c r="J198" s="280"/>
      <c r="M198" s="282"/>
      <c r="N198" s="157"/>
      <c r="O198" s="308"/>
      <c r="P198" s="308"/>
    </row>
    <row r="199" spans="3:16" s="159" customFormat="1" x14ac:dyDescent="0.25">
      <c r="C199" s="658"/>
      <c r="D199" s="658"/>
      <c r="J199" s="280"/>
      <c r="M199" s="282"/>
      <c r="N199" s="157"/>
      <c r="O199" s="308"/>
      <c r="P199" s="308"/>
    </row>
    <row r="200" spans="3:16" s="159" customFormat="1" x14ac:dyDescent="0.25">
      <c r="C200" s="658"/>
      <c r="D200" s="658"/>
      <c r="J200" s="280"/>
      <c r="M200" s="282"/>
      <c r="N200" s="157"/>
      <c r="O200" s="308"/>
      <c r="P200" s="308"/>
    </row>
    <row r="201" spans="3:16" s="159" customFormat="1" x14ac:dyDescent="0.25">
      <c r="C201" s="658"/>
      <c r="D201" s="658"/>
      <c r="J201" s="280"/>
      <c r="M201" s="282"/>
      <c r="N201" s="157"/>
      <c r="O201" s="308"/>
      <c r="P201" s="308"/>
    </row>
    <row r="202" spans="3:16" s="159" customFormat="1" x14ac:dyDescent="0.25">
      <c r="C202" s="658"/>
      <c r="D202" s="658"/>
      <c r="J202" s="280"/>
      <c r="M202" s="282"/>
      <c r="N202" s="157"/>
      <c r="O202" s="308"/>
      <c r="P202" s="308"/>
    </row>
    <row r="203" spans="3:16" s="159" customFormat="1" x14ac:dyDescent="0.25">
      <c r="C203" s="658"/>
      <c r="D203" s="658"/>
      <c r="J203" s="280"/>
      <c r="M203" s="282"/>
      <c r="N203" s="157"/>
      <c r="O203" s="308"/>
      <c r="P203" s="308"/>
    </row>
    <row r="204" spans="3:16" s="159" customFormat="1" x14ac:dyDescent="0.25">
      <c r="C204" s="658"/>
      <c r="D204" s="658"/>
      <c r="J204" s="280"/>
      <c r="M204" s="282"/>
      <c r="N204" s="157"/>
      <c r="O204" s="308"/>
      <c r="P204" s="308"/>
    </row>
    <row r="205" spans="3:16" s="159" customFormat="1" x14ac:dyDescent="0.25">
      <c r="C205" s="658"/>
      <c r="D205" s="658"/>
      <c r="J205" s="280"/>
      <c r="M205" s="282"/>
      <c r="N205" s="157"/>
      <c r="O205" s="308"/>
      <c r="P205" s="308"/>
    </row>
    <row r="206" spans="3:16" s="159" customFormat="1" x14ac:dyDescent="0.25">
      <c r="C206" s="658"/>
      <c r="D206" s="658"/>
      <c r="J206" s="280"/>
      <c r="M206" s="282"/>
      <c r="N206" s="157"/>
      <c r="O206" s="308"/>
      <c r="P206" s="308"/>
    </row>
    <row r="207" spans="3:16" s="159" customFormat="1" x14ac:dyDescent="0.25">
      <c r="C207" s="658"/>
      <c r="D207" s="658"/>
      <c r="J207" s="280"/>
      <c r="M207" s="282"/>
      <c r="N207" s="157"/>
      <c r="O207" s="308"/>
      <c r="P207" s="308"/>
    </row>
    <row r="208" spans="3:16" s="159" customFormat="1" x14ac:dyDescent="0.25">
      <c r="C208" s="658"/>
      <c r="D208" s="658"/>
      <c r="J208" s="280"/>
      <c r="M208" s="282"/>
      <c r="N208" s="157"/>
      <c r="O208" s="308"/>
      <c r="P208" s="308"/>
    </row>
    <row r="209" spans="3:16" s="159" customFormat="1" x14ac:dyDescent="0.25">
      <c r="C209" s="658"/>
      <c r="D209" s="658"/>
      <c r="J209" s="280"/>
      <c r="M209" s="282"/>
      <c r="N209" s="157"/>
      <c r="O209" s="308"/>
      <c r="P209" s="308"/>
    </row>
    <row r="210" spans="3:16" s="159" customFormat="1" x14ac:dyDescent="0.25">
      <c r="C210" s="658"/>
      <c r="D210" s="658"/>
      <c r="J210" s="280"/>
      <c r="M210" s="282"/>
      <c r="N210" s="157"/>
      <c r="O210" s="308"/>
      <c r="P210" s="308"/>
    </row>
    <row r="211" spans="3:16" s="159" customFormat="1" x14ac:dyDescent="0.25">
      <c r="C211" s="658"/>
      <c r="D211" s="658"/>
      <c r="J211" s="280"/>
      <c r="M211" s="282"/>
      <c r="N211" s="157"/>
      <c r="O211" s="308"/>
      <c r="P211" s="308"/>
    </row>
    <row r="212" spans="3:16" s="159" customFormat="1" x14ac:dyDescent="0.25">
      <c r="C212" s="658"/>
      <c r="D212" s="658"/>
      <c r="J212" s="280"/>
      <c r="M212" s="282"/>
      <c r="N212" s="157"/>
      <c r="O212" s="308"/>
      <c r="P212" s="308"/>
    </row>
    <row r="213" spans="3:16" s="159" customFormat="1" x14ac:dyDescent="0.25">
      <c r="C213" s="658"/>
      <c r="D213" s="658"/>
      <c r="J213" s="280"/>
      <c r="M213" s="282"/>
      <c r="N213" s="157"/>
      <c r="O213" s="308"/>
      <c r="P213" s="308"/>
    </row>
    <row r="214" spans="3:16" s="159" customFormat="1" x14ac:dyDescent="0.25">
      <c r="C214" s="658"/>
      <c r="D214" s="658"/>
      <c r="J214" s="280"/>
      <c r="M214" s="282"/>
      <c r="N214" s="157"/>
      <c r="O214" s="308"/>
      <c r="P214" s="308"/>
    </row>
    <row r="215" spans="3:16" s="159" customFormat="1" x14ac:dyDescent="0.25">
      <c r="C215" s="658"/>
      <c r="D215" s="658"/>
      <c r="J215" s="280"/>
      <c r="M215" s="282"/>
      <c r="N215" s="157"/>
      <c r="O215" s="308"/>
      <c r="P215" s="308"/>
    </row>
    <row r="216" spans="3:16" s="159" customFormat="1" x14ac:dyDescent="0.25">
      <c r="C216" s="658"/>
      <c r="D216" s="658"/>
      <c r="J216" s="280"/>
      <c r="M216" s="282"/>
      <c r="N216" s="157"/>
      <c r="O216" s="308"/>
      <c r="P216" s="308"/>
    </row>
    <row r="217" spans="3:16" s="159" customFormat="1" x14ac:dyDescent="0.25">
      <c r="C217" s="658"/>
      <c r="D217" s="658"/>
      <c r="J217" s="280"/>
      <c r="M217" s="282"/>
      <c r="N217" s="157"/>
      <c r="O217" s="308"/>
      <c r="P217" s="308"/>
    </row>
    <row r="218" spans="3:16" s="159" customFormat="1" x14ac:dyDescent="0.25">
      <c r="C218" s="658"/>
      <c r="D218" s="658"/>
      <c r="J218" s="280"/>
      <c r="M218" s="282"/>
      <c r="N218" s="157"/>
      <c r="O218" s="308"/>
      <c r="P218" s="308"/>
    </row>
    <row r="219" spans="3:16" s="159" customFormat="1" x14ac:dyDescent="0.25">
      <c r="C219" s="658"/>
      <c r="D219" s="658"/>
      <c r="J219" s="280"/>
      <c r="M219" s="282"/>
      <c r="N219" s="157"/>
      <c r="O219" s="308"/>
      <c r="P219" s="308"/>
    </row>
    <row r="220" spans="3:16" s="159" customFormat="1" x14ac:dyDescent="0.25">
      <c r="C220" s="658"/>
      <c r="D220" s="658"/>
      <c r="J220" s="280"/>
      <c r="M220" s="282"/>
      <c r="N220" s="157"/>
      <c r="O220" s="308"/>
      <c r="P220" s="308"/>
    </row>
    <row r="221" spans="3:16" s="159" customFormat="1" x14ac:dyDescent="0.25">
      <c r="C221" s="658"/>
      <c r="D221" s="658"/>
      <c r="J221" s="280"/>
      <c r="M221" s="282"/>
      <c r="N221" s="157"/>
      <c r="O221" s="308"/>
      <c r="P221" s="308"/>
    </row>
    <row r="222" spans="3:16" s="159" customFormat="1" x14ac:dyDescent="0.25">
      <c r="C222" s="658"/>
      <c r="D222" s="658"/>
      <c r="J222" s="280"/>
      <c r="M222" s="282"/>
      <c r="N222" s="157"/>
      <c r="O222" s="308"/>
      <c r="P222" s="308"/>
    </row>
    <row r="223" spans="3:16" s="159" customFormat="1" x14ac:dyDescent="0.25">
      <c r="C223" s="658"/>
      <c r="D223" s="658"/>
      <c r="J223" s="280"/>
      <c r="M223" s="282"/>
      <c r="N223" s="157"/>
      <c r="O223" s="308"/>
      <c r="P223" s="308"/>
    </row>
    <row r="224" spans="3:16" s="159" customFormat="1" x14ac:dyDescent="0.25">
      <c r="C224" s="658"/>
      <c r="D224" s="658"/>
      <c r="J224" s="280"/>
      <c r="M224" s="282"/>
      <c r="N224" s="157"/>
      <c r="O224" s="308"/>
      <c r="P224" s="308"/>
    </row>
    <row r="225" spans="3:16" s="159" customFormat="1" x14ac:dyDescent="0.25">
      <c r="C225" s="658"/>
      <c r="D225" s="658"/>
      <c r="J225" s="280"/>
      <c r="M225" s="282"/>
      <c r="N225" s="157"/>
      <c r="O225" s="308"/>
      <c r="P225" s="308"/>
    </row>
    <row r="226" spans="3:16" s="159" customFormat="1" x14ac:dyDescent="0.25">
      <c r="C226" s="658"/>
      <c r="D226" s="658"/>
      <c r="J226" s="280"/>
      <c r="M226" s="282"/>
      <c r="N226" s="157"/>
      <c r="O226" s="308"/>
      <c r="P226" s="308"/>
    </row>
    <row r="227" spans="3:16" s="159" customFormat="1" x14ac:dyDescent="0.25">
      <c r="C227" s="658"/>
      <c r="D227" s="658"/>
      <c r="J227" s="280"/>
      <c r="M227" s="282"/>
      <c r="N227" s="157"/>
      <c r="O227" s="308"/>
      <c r="P227" s="308"/>
    </row>
    <row r="228" spans="3:16" s="159" customFormat="1" x14ac:dyDescent="0.25">
      <c r="C228" s="658"/>
      <c r="D228" s="658"/>
      <c r="J228" s="280"/>
      <c r="M228" s="282"/>
      <c r="N228" s="157"/>
      <c r="O228" s="308"/>
      <c r="P228" s="308"/>
    </row>
    <row r="229" spans="3:16" s="159" customFormat="1" x14ac:dyDescent="0.25">
      <c r="C229" s="658"/>
      <c r="D229" s="658"/>
      <c r="J229" s="280"/>
      <c r="M229" s="282"/>
      <c r="N229" s="157"/>
      <c r="O229" s="308"/>
      <c r="P229" s="308"/>
    </row>
    <row r="230" spans="3:16" s="159" customFormat="1" x14ac:dyDescent="0.25">
      <c r="C230" s="658"/>
      <c r="D230" s="658"/>
      <c r="J230" s="280"/>
      <c r="M230" s="282"/>
      <c r="N230" s="157"/>
      <c r="O230" s="308"/>
      <c r="P230" s="308"/>
    </row>
    <row r="231" spans="3:16" s="159" customFormat="1" x14ac:dyDescent="0.25">
      <c r="C231" s="658"/>
      <c r="D231" s="658"/>
      <c r="J231" s="280"/>
      <c r="M231" s="282"/>
      <c r="N231" s="157"/>
      <c r="O231" s="308"/>
      <c r="P231" s="308"/>
    </row>
    <row r="232" spans="3:16" s="159" customFormat="1" x14ac:dyDescent="0.25">
      <c r="C232" s="658"/>
      <c r="D232" s="658"/>
      <c r="J232" s="280"/>
      <c r="M232" s="282"/>
      <c r="N232" s="157"/>
      <c r="O232" s="308"/>
      <c r="P232" s="308"/>
    </row>
    <row r="233" spans="3:16" s="159" customFormat="1" x14ac:dyDescent="0.25">
      <c r="C233" s="658"/>
      <c r="D233" s="658"/>
      <c r="J233" s="280"/>
      <c r="M233" s="282"/>
      <c r="N233" s="157"/>
      <c r="O233" s="308"/>
      <c r="P233" s="308"/>
    </row>
    <row r="234" spans="3:16" s="159" customFormat="1" x14ac:dyDescent="0.25">
      <c r="C234" s="658"/>
      <c r="D234" s="658"/>
      <c r="J234" s="280"/>
      <c r="M234" s="282"/>
      <c r="N234" s="157"/>
      <c r="O234" s="308"/>
      <c r="P234" s="308"/>
    </row>
    <row r="235" spans="3:16" s="159" customFormat="1" x14ac:dyDescent="0.25">
      <c r="C235" s="658"/>
      <c r="D235" s="658"/>
      <c r="J235" s="280"/>
      <c r="M235" s="282"/>
      <c r="N235" s="157"/>
      <c r="O235" s="308"/>
      <c r="P235" s="308"/>
    </row>
    <row r="236" spans="3:16" s="159" customFormat="1" x14ac:dyDescent="0.25">
      <c r="C236" s="658"/>
      <c r="D236" s="658"/>
      <c r="J236" s="280"/>
      <c r="M236" s="282"/>
      <c r="N236" s="157"/>
      <c r="O236" s="308"/>
      <c r="P236" s="308"/>
    </row>
    <row r="237" spans="3:16" s="159" customFormat="1" x14ac:dyDescent="0.25">
      <c r="C237" s="658"/>
      <c r="D237" s="658"/>
      <c r="J237" s="280"/>
      <c r="M237" s="282"/>
      <c r="N237" s="157"/>
      <c r="O237" s="308"/>
      <c r="P237" s="308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B56:B57"/>
    <mergeCell ref="C46:F46"/>
    <mergeCell ref="G46:I46"/>
    <mergeCell ref="C11:F11"/>
    <mergeCell ref="G11:I11"/>
    <mergeCell ref="C27:F27"/>
    <mergeCell ref="G27:I27"/>
    <mergeCell ref="C38:F38"/>
    <mergeCell ref="G38:I38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63" fitToHeight="2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5389-2450-489D-80FC-779C6F1E97E1}">
  <dimension ref="B2:K38"/>
  <sheetViews>
    <sheetView workbookViewId="0">
      <selection activeCell="F25" sqref="F25"/>
    </sheetView>
  </sheetViews>
  <sheetFormatPr defaultRowHeight="13.2" x14ac:dyDescent="0.25"/>
  <cols>
    <col min="2" max="2" width="28.109375" bestFit="1" customWidth="1"/>
    <col min="3" max="3" width="16.77734375" style="1" bestFit="1" customWidth="1"/>
    <col min="5" max="5" width="14.33203125" bestFit="1" customWidth="1"/>
    <col min="11" max="11" width="9.6640625" bestFit="1" customWidth="1"/>
  </cols>
  <sheetData>
    <row r="2" spans="2:3" x14ac:dyDescent="0.25">
      <c r="B2" t="s">
        <v>1361</v>
      </c>
      <c r="C2" s="1">
        <v>142525.62</v>
      </c>
    </row>
    <row r="4" spans="2:3" x14ac:dyDescent="0.25">
      <c r="B4" t="s">
        <v>1362</v>
      </c>
      <c r="C4" s="1">
        <v>160299.54999999999</v>
      </c>
    </row>
    <row r="6" spans="2:3" x14ac:dyDescent="0.25">
      <c r="B6" t="s">
        <v>1363</v>
      </c>
      <c r="C6" s="1">
        <v>52376.63</v>
      </c>
    </row>
    <row r="8" spans="2:3" x14ac:dyDescent="0.25">
      <c r="B8" t="s">
        <v>357</v>
      </c>
      <c r="C8" s="1">
        <v>114994</v>
      </c>
    </row>
    <row r="10" spans="2:3" x14ac:dyDescent="0.25">
      <c r="B10" t="s">
        <v>1054</v>
      </c>
      <c r="C10" s="1">
        <v>70982.2</v>
      </c>
    </row>
    <row r="12" spans="2:3" x14ac:dyDescent="0.25">
      <c r="B12" t="s">
        <v>1364</v>
      </c>
      <c r="C12" s="1">
        <v>27863</v>
      </c>
    </row>
    <row r="14" spans="2:3" x14ac:dyDescent="0.25">
      <c r="B14" t="s">
        <v>1365</v>
      </c>
      <c r="C14" s="1">
        <v>114437</v>
      </c>
    </row>
    <row r="16" spans="2:3" x14ac:dyDescent="0.25">
      <c r="B16" t="s">
        <v>1366</v>
      </c>
      <c r="C16" s="1">
        <v>21730.21</v>
      </c>
    </row>
    <row r="18" spans="2:11" x14ac:dyDescent="0.25">
      <c r="B18" t="s">
        <v>1367</v>
      </c>
      <c r="C18" s="1">
        <v>106922.63</v>
      </c>
    </row>
    <row r="20" spans="2:11" x14ac:dyDescent="0.25">
      <c r="B20" t="s">
        <v>1368</v>
      </c>
      <c r="C20" s="1">
        <v>45560</v>
      </c>
    </row>
    <row r="22" spans="2:11" x14ac:dyDescent="0.25">
      <c r="B22" t="s">
        <v>1369</v>
      </c>
      <c r="C22" s="1">
        <v>13812</v>
      </c>
    </row>
    <row r="24" spans="2:11" x14ac:dyDescent="0.25">
      <c r="B24" t="s">
        <v>80</v>
      </c>
      <c r="C24" s="1">
        <v>21440</v>
      </c>
    </row>
    <row r="26" spans="2:11" x14ac:dyDescent="0.25">
      <c r="B26" t="s">
        <v>41</v>
      </c>
      <c r="C26" s="1">
        <v>112350</v>
      </c>
    </row>
    <row r="28" spans="2:11" x14ac:dyDescent="0.25">
      <c r="B28" t="s">
        <v>42</v>
      </c>
      <c r="C28" s="1">
        <v>132800</v>
      </c>
    </row>
    <row r="30" spans="2:11" x14ac:dyDescent="0.25">
      <c r="B30" t="s">
        <v>10</v>
      </c>
      <c r="C30" s="1">
        <v>236981.55</v>
      </c>
      <c r="K30" s="811"/>
    </row>
    <row r="32" spans="2:11" x14ac:dyDescent="0.25">
      <c r="B32" t="s">
        <v>521</v>
      </c>
      <c r="C32" s="1">
        <v>279224.83</v>
      </c>
    </row>
    <row r="34" spans="2:5" x14ac:dyDescent="0.25">
      <c r="B34" t="s">
        <v>565</v>
      </c>
      <c r="C34" s="1">
        <v>197504</v>
      </c>
    </row>
    <row r="36" spans="2:5" x14ac:dyDescent="0.25">
      <c r="B36" t="s">
        <v>1370</v>
      </c>
      <c r="C36" s="955">
        <f>SUM(C2:C34)</f>
        <v>1851803.22</v>
      </c>
      <c r="E36" s="1">
        <f>'Estimate Summary'!D75</f>
        <v>2386429.9989058063</v>
      </c>
    </row>
    <row r="38" spans="2:5" x14ac:dyDescent="0.25">
      <c r="E38" s="957">
        <f>E36-C36</f>
        <v>534626.77890580636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27</vt:i4>
      </vt:variant>
    </vt:vector>
  </HeadingPairs>
  <TitlesOfParts>
    <vt:vector size="58" baseType="lpstr">
      <vt:lpstr>Cost Data</vt:lpstr>
      <vt:lpstr>Cost Report</vt:lpstr>
      <vt:lpstr>DATA</vt:lpstr>
      <vt:lpstr>Estimate Version Comparison</vt:lpstr>
      <vt:lpstr>Client  Detailed Summary </vt:lpstr>
      <vt:lpstr>Estimate 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21</vt:lpstr>
      <vt:lpstr>22</vt:lpstr>
      <vt:lpstr>23</vt:lpstr>
      <vt:lpstr>25</vt:lpstr>
      <vt:lpstr>26</vt:lpstr>
      <vt:lpstr>27</vt:lpstr>
      <vt:lpstr>28</vt:lpstr>
      <vt:lpstr>31</vt:lpstr>
      <vt:lpstr>32</vt:lpstr>
      <vt:lpstr>33</vt:lpstr>
      <vt:lpstr>Submittal form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'21'!Print_Area</vt:lpstr>
      <vt:lpstr>'22'!Print_Area</vt:lpstr>
      <vt:lpstr>'23'!Print_Area</vt:lpstr>
      <vt:lpstr>'25'!Print_Area</vt:lpstr>
      <vt:lpstr>'26'!Print_Area</vt:lpstr>
      <vt:lpstr>'27'!Print_Area</vt:lpstr>
      <vt:lpstr>'28'!Print_Area</vt:lpstr>
      <vt:lpstr>'3'!Print_Area</vt:lpstr>
      <vt:lpstr>'31'!Print_Area</vt:lpstr>
      <vt:lpstr>'32'!Print_Area</vt:lpstr>
      <vt:lpstr>'33'!Print_Area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'Client  Detailed Summary '!Print_Area</vt:lpstr>
      <vt:lpstr>'Estimate Summary'!Print_Area</vt:lpstr>
      <vt:lpstr>'Estimate Version Comparison'!Print_Area</vt:lpstr>
    </vt:vector>
  </TitlesOfParts>
  <Company>Global Construction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Estimate</dc:title>
  <dc:creator>Greg McConnachie</dc:creator>
  <cp:lastModifiedBy>Olukemi Salako</cp:lastModifiedBy>
  <cp:lastPrinted>2020-01-15T15:23:10Z</cp:lastPrinted>
  <dcterms:created xsi:type="dcterms:W3CDTF">1999-04-26T00:27:24Z</dcterms:created>
  <dcterms:modified xsi:type="dcterms:W3CDTF">2026-02-03T16:31:18Z</dcterms:modified>
</cp:coreProperties>
</file>