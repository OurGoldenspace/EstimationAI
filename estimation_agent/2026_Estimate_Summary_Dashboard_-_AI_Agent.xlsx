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AGCM Folder\06 Estimate List\03 Estimate Dashboard\"/>
    </mc:Choice>
  </mc:AlternateContent>
  <xr:revisionPtr revIDLastSave="0" documentId="13_ncr:1_{8D613DDD-AFD4-43F3-89E7-C22A973FF13D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Estimating Metrics" sheetId="18" state="hidden" r:id="rId1"/>
    <sheet name="Estimate By Contract Pivot" sheetId="4" state="hidden" r:id="rId2"/>
    <sheet name="Estimate By Location Pivot" sheetId="2" state="hidden" r:id="rId3"/>
    <sheet name="Sheet1" sheetId="20" state="hidden" r:id="rId4"/>
    <sheet name="Sheet2" sheetId="22" state="hidden" r:id="rId5"/>
    <sheet name="DATA" sheetId="1" r:id="rId6"/>
    <sheet name="DATA (Rice)" sheetId="48" r:id="rId7"/>
    <sheet name="Sheet4" sheetId="24" state="hidden" r:id="rId8"/>
    <sheet name="Mall Data" sheetId="14" state="hidden" r:id="rId9"/>
    <sheet name="Comparable Project Data" sheetId="15" state="hidden" r:id="rId10"/>
  </sheets>
  <calcPr calcId="191029"/>
  <pivotCaches>
    <pivotCache cacheId="1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2" i="1" l="1"/>
  <c r="O472" i="1"/>
  <c r="L29" i="48" l="1"/>
  <c r="O430" i="1" l="1"/>
  <c r="P430" i="1" s="1"/>
  <c r="P422" i="1" l="1"/>
  <c r="L315" i="1" l="1"/>
  <c r="Q292" i="1" l="1"/>
  <c r="P292" i="1"/>
  <c r="O266" i="1" l="1"/>
  <c r="P266" i="1" s="1"/>
  <c r="O265" i="1" l="1"/>
  <c r="P265" i="1" s="1"/>
  <c r="O264" i="1" l="1"/>
  <c r="L264" i="1"/>
  <c r="U193" i="1" l="1"/>
  <c r="U188" i="1"/>
  <c r="U186" i="1"/>
  <c r="U185" i="1"/>
  <c r="U202" i="1"/>
  <c r="U201" i="1"/>
  <c r="U160" i="1"/>
  <c r="U156" i="1"/>
  <c r="U155" i="1"/>
  <c r="U150" i="1"/>
  <c r="U147" i="1"/>
  <c r="U142" i="1"/>
  <c r="I180" i="1" l="1"/>
  <c r="N177" i="1" l="1"/>
  <c r="L177" i="1"/>
  <c r="P13" i="18"/>
  <c r="K13" i="18"/>
  <c r="U13" i="18"/>
  <c r="Q13" i="18"/>
  <c r="R13" i="18"/>
  <c r="O13" i="18"/>
  <c r="T13" i="18"/>
  <c r="S13" i="18"/>
  <c r="M13" i="18"/>
  <c r="L13" i="18"/>
  <c r="N13" i="18"/>
  <c r="V13" i="1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<sst xmlns="http://schemas.openxmlformats.org/spreadsheetml/2006/main" count="7467" uniqueCount="772">
  <si>
    <t>Date</t>
  </si>
  <si>
    <t>Province</t>
  </si>
  <si>
    <t>City/Town</t>
  </si>
  <si>
    <t>Estimate Number</t>
  </si>
  <si>
    <t>Area</t>
  </si>
  <si>
    <t>Estimate Name</t>
  </si>
  <si>
    <t>General Requirements</t>
  </si>
  <si>
    <t>PM Cost</t>
  </si>
  <si>
    <t>Super Cost</t>
  </si>
  <si>
    <t>Design Cost</t>
  </si>
  <si>
    <t>Quality Control</t>
  </si>
  <si>
    <t>Permits</t>
  </si>
  <si>
    <t>Temporary Utility</t>
  </si>
  <si>
    <t>Construction Facilities</t>
  </si>
  <si>
    <t>Construction Aids</t>
  </si>
  <si>
    <t>Cleaning &amp; Waste Management</t>
  </si>
  <si>
    <t>Total Construction Cost</t>
  </si>
  <si>
    <t>OH &amp; P</t>
  </si>
  <si>
    <t>General Requirements %</t>
  </si>
  <si>
    <t>OH &amp; P %</t>
  </si>
  <si>
    <t>Estimate Price</t>
  </si>
  <si>
    <t>Schedule</t>
  </si>
  <si>
    <t>Soft Cost</t>
  </si>
  <si>
    <t>Cost per Week</t>
  </si>
  <si>
    <t>Margin</t>
  </si>
  <si>
    <t>Buyouts</t>
  </si>
  <si>
    <t>CO's</t>
  </si>
  <si>
    <t>Competitors</t>
  </si>
  <si>
    <t>Temporary Barriers and Enclosures</t>
  </si>
  <si>
    <t>NB</t>
  </si>
  <si>
    <t>Saint John</t>
  </si>
  <si>
    <t>Stipulated Price</t>
  </si>
  <si>
    <t>Row Labels</t>
  </si>
  <si>
    <t>Grand Total</t>
  </si>
  <si>
    <t>Sum of Estimate Price</t>
  </si>
  <si>
    <t>PEI</t>
  </si>
  <si>
    <t>Charlottetown</t>
  </si>
  <si>
    <t>SDM Charlottetown</t>
  </si>
  <si>
    <t>Fredericton</t>
  </si>
  <si>
    <t>Uptown Centre Great Canadian Dollar Store</t>
  </si>
  <si>
    <t>Client</t>
  </si>
  <si>
    <t>Status</t>
  </si>
  <si>
    <t>Awarded</t>
  </si>
  <si>
    <t>Not Awarded</t>
  </si>
  <si>
    <t>Irving Dolan Road</t>
  </si>
  <si>
    <t>Moncton</t>
  </si>
  <si>
    <t>1199 Main St - Stantec Office</t>
  </si>
  <si>
    <t>ANBL Wine Store</t>
  </si>
  <si>
    <t>Contract Type</t>
  </si>
  <si>
    <t>Bid Docs</t>
  </si>
  <si>
    <t>DD</t>
  </si>
  <si>
    <t>Spec</t>
  </si>
  <si>
    <t>Lawtons Mountain Road</t>
  </si>
  <si>
    <t>CF Champlain - N007A</t>
  </si>
  <si>
    <t>CF Champlain - P002B</t>
  </si>
  <si>
    <t>CF Champlain - P002A</t>
  </si>
  <si>
    <t>CF Champlain</t>
  </si>
  <si>
    <t>NS</t>
  </si>
  <si>
    <t>Dartmouth</t>
  </si>
  <si>
    <t>Woodlawn Plaza Landlord Work</t>
  </si>
  <si>
    <t>50 King - Agriculture Canada RFP</t>
  </si>
  <si>
    <t>Car Detail Shop - Lewisville Road</t>
  </si>
  <si>
    <t>Prelim DD</t>
  </si>
  <si>
    <t>Percent of Total</t>
  </si>
  <si>
    <t>Shred-It - 125 English Street</t>
  </si>
  <si>
    <t>CF Champlain - F005D</t>
  </si>
  <si>
    <t>CF Champlain - H003B</t>
  </si>
  <si>
    <t>Irving Big Stop - Lorneville</t>
  </si>
  <si>
    <t>860 Mountain Road - Suite 404</t>
  </si>
  <si>
    <t>1234 Main St - BioScript</t>
  </si>
  <si>
    <t>Tech Mahindra</t>
  </si>
  <si>
    <t>Montague</t>
  </si>
  <si>
    <t>Amherst</t>
  </si>
  <si>
    <t>Telus - Market Square</t>
  </si>
  <si>
    <t>WSP Moncton</t>
  </si>
  <si>
    <t>Sobeys Pharmacy Consult Room</t>
  </si>
  <si>
    <t>Amherst High School Skilled Trade Centre</t>
  </si>
  <si>
    <t>Imperial Theatre - Marquee CM Proposal</t>
  </si>
  <si>
    <t>Imperial Theatre - Lobby CM Proposal</t>
  </si>
  <si>
    <t>70-76 King St</t>
  </si>
  <si>
    <t>71 King St</t>
  </si>
  <si>
    <t>SJ Airport Salt Dome</t>
  </si>
  <si>
    <t>Church Elevator Shaft</t>
  </si>
  <si>
    <t>Assumption Life Sales &amp; Marketing Office</t>
  </si>
  <si>
    <t>Spec / Site Visit</t>
  </si>
  <si>
    <t>Pending</t>
  </si>
  <si>
    <t>Travel</t>
  </si>
  <si>
    <t>Column Labels</t>
  </si>
  <si>
    <t>Payment Method</t>
  </si>
  <si>
    <t>Successful</t>
  </si>
  <si>
    <t>Unsuccessful</t>
  </si>
  <si>
    <t>ANBL Cannabis Store</t>
  </si>
  <si>
    <t>Design Build</t>
  </si>
  <si>
    <t>PM Time</t>
  </si>
  <si>
    <t>Super Time</t>
  </si>
  <si>
    <t>% of Buyouts</t>
  </si>
  <si>
    <t>% of CO's</t>
  </si>
  <si>
    <t>Project Coordinator Time</t>
  </si>
  <si>
    <t>Project Coordinator Cost</t>
  </si>
  <si>
    <t>Project Type</t>
  </si>
  <si>
    <t>Successful / Unsucessful</t>
  </si>
  <si>
    <t>Regent Mall LLW Y7</t>
  </si>
  <si>
    <t>Design Drawings, Spec</t>
  </si>
  <si>
    <t>Marshalls Uptown Centre</t>
  </si>
  <si>
    <t>Renovation</t>
  </si>
  <si>
    <t>DD / Spec</t>
  </si>
  <si>
    <t>795 Main Elevator Addition</t>
  </si>
  <si>
    <t>Kenny Moncton</t>
  </si>
  <si>
    <t>CCDC 2</t>
  </si>
  <si>
    <t>CFC LLW E008A</t>
  </si>
  <si>
    <t>CF Champlain Landlord Work - E010</t>
  </si>
  <si>
    <t>Air Liquide Moncton</t>
  </si>
  <si>
    <t>Wal-Mart Entrance Upgrade</t>
  </si>
  <si>
    <t>210 John St - Exterior Wall Insulation</t>
  </si>
  <si>
    <t>Halifax</t>
  </si>
  <si>
    <t>Home Depot Distric Office Reno</t>
  </si>
  <si>
    <t>Scope of Work</t>
  </si>
  <si>
    <t>Imperial Theatre Marquee</t>
  </si>
  <si>
    <t>National Bank Fit-up</t>
  </si>
  <si>
    <t>Home Depot Washroom Renovation</t>
  </si>
  <si>
    <t>Home Depot Assocciates Area Renovation</t>
  </si>
  <si>
    <t>Site Visit / DD</t>
  </si>
  <si>
    <t>Home Depot</t>
  </si>
  <si>
    <t>McDonald's Interior Re-image</t>
  </si>
  <si>
    <t>Killiam Properties Apartments</t>
  </si>
  <si>
    <t>585 Mapleton EDCG</t>
  </si>
  <si>
    <t>Site Visit</t>
  </si>
  <si>
    <t>Hilton Washrom Renovation</t>
  </si>
  <si>
    <t>Average of Margin</t>
  </si>
  <si>
    <t>YSJ HBS Recapitalization</t>
  </si>
  <si>
    <t>Site Visit / Drawings</t>
  </si>
  <si>
    <t>EY Dieppe Office</t>
  </si>
  <si>
    <t>Kelseys Pad - Regent Mall</t>
  </si>
  <si>
    <t xml:space="preserve">Pur &amp; Simple </t>
  </si>
  <si>
    <t>77 Vaughan Harvey 3rd Floor</t>
  </si>
  <si>
    <t>Chiropractic Clinic Fall River</t>
  </si>
  <si>
    <t>Dollarama Vaughan Harvey</t>
  </si>
  <si>
    <t>Demo Unit A011 &amp; 0171 Uptown Centre</t>
  </si>
  <si>
    <t>Thai Express Downsview</t>
  </si>
  <si>
    <t>PJC #309 Edmunston</t>
  </si>
  <si>
    <t>24 Unit - Larry King</t>
  </si>
  <si>
    <t>CF Champlain LL Work C009B</t>
  </si>
  <si>
    <t>Atlantic Lotto Champlain Mall</t>
  </si>
  <si>
    <t>Tool Room - Musquash</t>
  </si>
  <si>
    <t>50 King - 1st Floor</t>
  </si>
  <si>
    <t>Grant Thorton SJ</t>
  </si>
  <si>
    <t>860 Mountain Road - Suite 203</t>
  </si>
  <si>
    <t>Irving Equipment Office Renovation</t>
  </si>
  <si>
    <t>CF Champlain Sanitary Piping 2018</t>
  </si>
  <si>
    <t>Fredericton Stage</t>
  </si>
  <si>
    <t>Air Canada Call Centre</t>
  </si>
  <si>
    <t>Lancaster Mall</t>
  </si>
  <si>
    <t>Storage Facillity - Berry Mills Road</t>
  </si>
  <si>
    <t>264 Botsford Office Fit-up</t>
  </si>
  <si>
    <t>Sketch / Site Visit</t>
  </si>
  <si>
    <t>Stewart Farms</t>
  </si>
  <si>
    <t>CCDC 5B</t>
  </si>
  <si>
    <t>Fixed Fee</t>
  </si>
  <si>
    <t>12 Millenium Board Room</t>
  </si>
  <si>
    <t>DD / Site Visit</t>
  </si>
  <si>
    <t>Budget Year</t>
  </si>
  <si>
    <t>62 Water St Demo</t>
  </si>
  <si>
    <t>Greenfield House Reno</t>
  </si>
  <si>
    <t>DD/ Site Visit</t>
  </si>
  <si>
    <t>Sears Regent Mall  - Interior Demolition</t>
  </si>
  <si>
    <t>9 Unit Apartment - Botsford</t>
  </si>
  <si>
    <t>SDM Kinlock</t>
  </si>
  <si>
    <t>CCDC 5A</t>
  </si>
  <si>
    <t>Winter Conditions</t>
  </si>
  <si>
    <t>Medi Sante New Door</t>
  </si>
  <si>
    <t>Site Visit / SOW</t>
  </si>
  <si>
    <t>Mountain Rd LL Work</t>
  </si>
  <si>
    <t>SOW / Sketch</t>
  </si>
  <si>
    <t>Pomodori Moncton</t>
  </si>
  <si>
    <t>JUUL Labs</t>
  </si>
  <si>
    <t>40 Unit Apartment - St George</t>
  </si>
  <si>
    <t>Imperial Theatre Office</t>
  </si>
  <si>
    <t>Sketch</t>
  </si>
  <si>
    <t>St Louis Bar &amp; Grill Fredericton</t>
  </si>
  <si>
    <t>Spec / Proposed Layout</t>
  </si>
  <si>
    <t>Sobeys Grand Bay Siding Repair</t>
  </si>
  <si>
    <t>Scope of work</t>
  </si>
  <si>
    <t>Scotiabank Grand Bay</t>
  </si>
  <si>
    <t xml:space="preserve">Design </t>
  </si>
  <si>
    <t>Cumberland Honda</t>
  </si>
  <si>
    <t>DCD</t>
  </si>
  <si>
    <t>115 Harrisville Blvd</t>
  </si>
  <si>
    <t>Starbucks Rothesay</t>
  </si>
  <si>
    <t>Hillsborough Accessibility Upgrade</t>
  </si>
  <si>
    <t>11 Englehart Elevator Addition</t>
  </si>
  <si>
    <t>Design</t>
  </si>
  <si>
    <t>SE Mutual Exterior</t>
  </si>
  <si>
    <t>Wee College Salisbury</t>
  </si>
  <si>
    <t>Irving Riverside Drive</t>
  </si>
  <si>
    <t>Regent Mall LL Work - L003A</t>
  </si>
  <si>
    <t>Regent Mall</t>
  </si>
  <si>
    <t>Grant Thornton Moncton, Swing Space</t>
  </si>
  <si>
    <t>Grant Thornton</t>
  </si>
  <si>
    <t>Regent Mall Sears Renovation</t>
  </si>
  <si>
    <t>WSP Fredericton</t>
  </si>
  <si>
    <t>Drawing, SOW</t>
  </si>
  <si>
    <t>Grant Thornton Moncton</t>
  </si>
  <si>
    <t>Rendering</t>
  </si>
  <si>
    <t>Justice Store</t>
  </si>
  <si>
    <t>ANBL Riverview</t>
  </si>
  <si>
    <t>215 Millennium</t>
  </si>
  <si>
    <t>St Louis Fredericton</t>
  </si>
  <si>
    <t>Moncton Sportplex</t>
  </si>
  <si>
    <t>SOW</t>
  </si>
  <si>
    <t>CF Lounge</t>
  </si>
  <si>
    <t>Window Addition</t>
  </si>
  <si>
    <t>KUB Architecture</t>
  </si>
  <si>
    <t>Site visit</t>
  </si>
  <si>
    <t>Sum of Area</t>
  </si>
  <si>
    <t>Sum of Schedule</t>
  </si>
  <si>
    <t>Sum of Cost per Week</t>
  </si>
  <si>
    <t>Sum of Margin</t>
  </si>
  <si>
    <t>(All)</t>
  </si>
  <si>
    <t>Petsmart Uptown Centre</t>
  </si>
  <si>
    <t>NB Power Reno</t>
  </si>
  <si>
    <t>ECDG New Office</t>
  </si>
  <si>
    <t>Xperigo - Office Soundproofing</t>
  </si>
  <si>
    <t>364 Argyle St. Lobby</t>
  </si>
  <si>
    <t>Dr Mark MacIntosh</t>
  </si>
  <si>
    <t>Quarter</t>
  </si>
  <si>
    <t>FHP</t>
  </si>
  <si>
    <t>Q3</t>
  </si>
  <si>
    <t>Q2</t>
  </si>
  <si>
    <t>Q4</t>
  </si>
  <si>
    <t>Q1</t>
  </si>
  <si>
    <t>H</t>
  </si>
  <si>
    <t>F</t>
  </si>
  <si>
    <t>P</t>
  </si>
  <si>
    <t>Office</t>
  </si>
  <si>
    <t>Retail</t>
  </si>
  <si>
    <t>Food</t>
  </si>
  <si>
    <t>Other</t>
  </si>
  <si>
    <t xml:space="preserve">Lead </t>
  </si>
  <si>
    <t>Client Type</t>
  </si>
  <si>
    <t>Client Definition</t>
  </si>
  <si>
    <t>Renovation / New Build</t>
  </si>
  <si>
    <t>Landlord</t>
  </si>
  <si>
    <t>Tenant</t>
  </si>
  <si>
    <t>New Build</t>
  </si>
  <si>
    <t>Cordova - Wee College Building</t>
  </si>
  <si>
    <t>CCDC 5b</t>
  </si>
  <si>
    <t>Cordova</t>
  </si>
  <si>
    <t xml:space="preserve">DD / SOW </t>
  </si>
  <si>
    <t>National Bank Stair Replacement</t>
  </si>
  <si>
    <t>Pur &amp; Simple Fredericton</t>
  </si>
  <si>
    <t>Design Drawings</t>
  </si>
  <si>
    <t>Marks MacAllister Place</t>
  </si>
  <si>
    <t>(blank)</t>
  </si>
  <si>
    <t>Yes</t>
  </si>
  <si>
    <t>No</t>
  </si>
  <si>
    <t>Contract  Type</t>
  </si>
  <si>
    <t>Result</t>
  </si>
  <si>
    <t>clos</t>
  </si>
  <si>
    <t>71 King St Exterior Facade &amp; Landlord Work</t>
  </si>
  <si>
    <t>Delta Beausejour Ground Floor</t>
  </si>
  <si>
    <t>Youth Impact Security Upgrade</t>
  </si>
  <si>
    <t>Developer/Owner</t>
  </si>
  <si>
    <t>Tenant/Chain</t>
  </si>
  <si>
    <t>Total Average of Margin</t>
  </si>
  <si>
    <t>Total Average of Cost per Week</t>
  </si>
  <si>
    <t>Average of Cost per Week</t>
  </si>
  <si>
    <t>Average of Estimate Price</t>
  </si>
  <si>
    <t>Max of Estimate Price</t>
  </si>
  <si>
    <t>Min of Estimate Price</t>
  </si>
  <si>
    <t>CF Champlain LL Work - N009B</t>
  </si>
  <si>
    <t>Copper Branch Halifax</t>
  </si>
  <si>
    <t>Copper Branch</t>
  </si>
  <si>
    <t>Home Hardware Woodstock</t>
  </si>
  <si>
    <t>Brennan Group</t>
  </si>
  <si>
    <t>Grant Thornton Mountain Rd</t>
  </si>
  <si>
    <t>The Brick Group</t>
  </si>
  <si>
    <t>Design Documents</t>
  </si>
  <si>
    <t>50 Rue De Marche - Tony Bistro</t>
  </si>
  <si>
    <t>Jeff Savoie</t>
  </si>
  <si>
    <t>Procedure Flow</t>
  </si>
  <si>
    <t>Regent Mall LL Work - B2A</t>
  </si>
  <si>
    <t>EXP Office</t>
  </si>
  <si>
    <t>Midland Washroom</t>
  </si>
  <si>
    <t>Spec/ Site Visit</t>
  </si>
  <si>
    <t>97 Unit Apartment</t>
  </si>
  <si>
    <t>232 Botsford - La Station</t>
  </si>
  <si>
    <t>The Brick - McAllister Place</t>
  </si>
  <si>
    <t>500 Mapleton - Medical Clinic</t>
  </si>
  <si>
    <t>Elevator Budget</t>
  </si>
  <si>
    <t>Woodlawn Plaza Demo</t>
  </si>
  <si>
    <t>Strathallen</t>
  </si>
  <si>
    <t>The Brick Charlottetown</t>
  </si>
  <si>
    <t>Wilsons Fuel Charlottetown</t>
  </si>
  <si>
    <t>Wilsons</t>
  </si>
  <si>
    <t>Wilsons Fuel Montague</t>
  </si>
  <si>
    <t>215 Horsman - Englobe Office Reno</t>
  </si>
  <si>
    <t>Englobe</t>
  </si>
  <si>
    <t>The Brick</t>
  </si>
  <si>
    <t>MacLeans Power Sports</t>
  </si>
  <si>
    <t>MacLeans Sports Ltd</t>
  </si>
  <si>
    <t>62 Water St - Art Gallery</t>
  </si>
  <si>
    <t>Shireshekar</t>
  </si>
  <si>
    <t>Dr Zed X-Ray</t>
  </si>
  <si>
    <t>Dr Zed</t>
  </si>
  <si>
    <t>Saint John Theatre Company</t>
  </si>
  <si>
    <t>CBRE Office</t>
  </si>
  <si>
    <t>EXP / SJTC</t>
  </si>
  <si>
    <t>Jeff Savoie / Tony's</t>
  </si>
  <si>
    <t>CBRE</t>
  </si>
  <si>
    <t>Automotive</t>
  </si>
  <si>
    <t>Consultant</t>
  </si>
  <si>
    <t>Jones Lake Dental</t>
  </si>
  <si>
    <t>Spa - Kinlock Plaza</t>
  </si>
  <si>
    <t>Stratford's Own Barber Shop</t>
  </si>
  <si>
    <t>HD - Associate Area Refresh</t>
  </si>
  <si>
    <t>RW&amp;CO - Champlain Place</t>
  </si>
  <si>
    <t>Reitmans Canada</t>
  </si>
  <si>
    <t>CF Champlain - Sanitary Piping 2020</t>
  </si>
  <si>
    <t>McInnes Cooper Fitup</t>
  </si>
  <si>
    <t>Nine Yards</t>
  </si>
  <si>
    <t>Winners Demo</t>
  </si>
  <si>
    <t>Smart Centers</t>
  </si>
  <si>
    <t>Kingswood University - Stairs Hall</t>
  </si>
  <si>
    <t>Polyline Design</t>
  </si>
  <si>
    <t>1459 Hollis St - Benjamin Weir</t>
  </si>
  <si>
    <t>Killam</t>
  </si>
  <si>
    <t>Brewery Market Refresh</t>
  </si>
  <si>
    <t>Scotia Bank Exterior Façade</t>
  </si>
  <si>
    <t>AREA</t>
  </si>
  <si>
    <t>SCHEDULE</t>
  </si>
  <si>
    <t>TRAVEL</t>
  </si>
  <si>
    <t>WINTER CONDITIONS</t>
  </si>
  <si>
    <t>CLEANING</t>
  </si>
  <si>
    <t>BID PRICE</t>
  </si>
  <si>
    <t>OH&amp;P</t>
  </si>
  <si>
    <t>OH&amp;P %</t>
  </si>
  <si>
    <t>COST / WEEK</t>
  </si>
  <si>
    <t>MARGIN</t>
  </si>
  <si>
    <t>Doyle Building</t>
  </si>
  <si>
    <t>Doyle Corporate Images</t>
  </si>
  <si>
    <t>Magnetic Hill Zoo Food Service Building</t>
  </si>
  <si>
    <t>City of Moncton</t>
  </si>
  <si>
    <t>CF Champlain SR#1 Elbow Replacement</t>
  </si>
  <si>
    <t>Bathurst</t>
  </si>
  <si>
    <t>Harbourview Medical Clinic</t>
  </si>
  <si>
    <t xml:space="preserve">CLAD </t>
  </si>
  <si>
    <t>KPMG CM Proposal</t>
  </si>
  <si>
    <t>KPMG</t>
  </si>
  <si>
    <t>Homestead Rd Event Center</t>
  </si>
  <si>
    <t>Dr. Taylor</t>
  </si>
  <si>
    <t>Compost Plant Tip Floor</t>
  </si>
  <si>
    <t>SRSC</t>
  </si>
  <si>
    <t>CF Champlain Wall Repairs</t>
  </si>
  <si>
    <t>1317 Amirault Street</t>
  </si>
  <si>
    <t>23 Cornwall St - Shediac</t>
  </si>
  <si>
    <t>26 Churchill - Building Expansion</t>
  </si>
  <si>
    <t>Indian Island Oyster Facility</t>
  </si>
  <si>
    <t>Drawings</t>
  </si>
  <si>
    <t>Lady Ada Apartment Building</t>
  </si>
  <si>
    <t>Projet Classe 8ieme - Samuel de Champlain</t>
  </si>
  <si>
    <t>Lead Date</t>
  </si>
  <si>
    <t>Lead ID</t>
  </si>
  <si>
    <t>Lead Name</t>
  </si>
  <si>
    <t>Lead Type</t>
  </si>
  <si>
    <t>Closing Date</t>
  </si>
  <si>
    <t>Estimate Number2</t>
  </si>
  <si>
    <t>S&amp;M</t>
  </si>
  <si>
    <t>Reno / New Build</t>
  </si>
  <si>
    <t>Organic</t>
  </si>
  <si>
    <t>Public</t>
  </si>
  <si>
    <t>Lead Time</t>
  </si>
  <si>
    <t>Lawtons Catherwood - Consult Room</t>
  </si>
  <si>
    <t>230 Coverdale Rd</t>
  </si>
  <si>
    <t>Sequoia Downtown</t>
  </si>
  <si>
    <t>Lorneville Office Reno</t>
  </si>
  <si>
    <t>PREVIOUS YEAR</t>
  </si>
  <si>
    <t>CURRENT YEAR</t>
  </si>
  <si>
    <t>Elmtree Hill Development</t>
  </si>
  <si>
    <t>Bath Hospital</t>
  </si>
  <si>
    <t>The Wellington</t>
  </si>
  <si>
    <t>Foodland Grand Bay</t>
  </si>
  <si>
    <t>Wee College 281 Amirault</t>
  </si>
  <si>
    <t>Sobeys Tacoma</t>
  </si>
  <si>
    <t>Bath</t>
  </si>
  <si>
    <t>CF Champlain - N009B</t>
  </si>
  <si>
    <t>CF Champlain - E010</t>
  </si>
  <si>
    <t>CF Champlain C009B</t>
  </si>
  <si>
    <t>CF Champlain-  E008A</t>
  </si>
  <si>
    <t>Regent Mall - L003A</t>
  </si>
  <si>
    <t>Pet Valu Spryfield</t>
  </si>
  <si>
    <t>&gt;5M</t>
  </si>
  <si>
    <t>2-5M</t>
  </si>
  <si>
    <t>500K - 2M</t>
  </si>
  <si>
    <t>National Bank Elmwood Drive Lobby Renovation</t>
  </si>
  <si>
    <t>HD - Associate Area Refresh Halifax</t>
  </si>
  <si>
    <t>HD Faucet Replacemnt</t>
  </si>
  <si>
    <t xml:space="preserve">HD Desk Replacement </t>
  </si>
  <si>
    <t>Type of Construction</t>
  </si>
  <si>
    <t>Multi Residential</t>
  </si>
  <si>
    <t>A</t>
  </si>
  <si>
    <t>B</t>
  </si>
  <si>
    <t>C</t>
  </si>
  <si>
    <t>D</t>
  </si>
  <si>
    <t>Price Category</t>
  </si>
  <si>
    <t>800 Main - Happy Craft Brewery</t>
  </si>
  <si>
    <t>Lawtons McAllister - Consult Room</t>
  </si>
  <si>
    <t>MacGillivray Law Office Moncton</t>
  </si>
  <si>
    <t>October 21,2020</t>
  </si>
  <si>
    <t>YUZU Sushi</t>
  </si>
  <si>
    <t>E</t>
  </si>
  <si>
    <t>123 Halifax Street - Loading Dock</t>
  </si>
  <si>
    <t>40 Foundry Street - Office Renovation</t>
  </si>
  <si>
    <t>Pinewood Plaza Tutoring School</t>
  </si>
  <si>
    <t>Newcombe Drive Apartments</t>
  </si>
  <si>
    <t>Plexus Office - 270 Baig Blvd.</t>
  </si>
  <si>
    <t>100K - 500K</t>
  </si>
  <si>
    <t>less than 100K</t>
  </si>
  <si>
    <t>P9 Medical Clinics</t>
  </si>
  <si>
    <t>Mountain View Dental - New Chair</t>
  </si>
  <si>
    <t>Pettingill Professional Plaza</t>
  </si>
  <si>
    <t>Lady Ada Professional Plaza</t>
  </si>
  <si>
    <t>Homestead Rd Event Center - The Cidery</t>
  </si>
  <si>
    <t>Dollarama Loch Lomond</t>
  </si>
  <si>
    <t>Column1</t>
  </si>
  <si>
    <t>La Diperie</t>
  </si>
  <si>
    <t>Coop Country Store Expansion</t>
  </si>
  <si>
    <t>Freshii Moncton</t>
  </si>
  <si>
    <t>Great Northern Auction</t>
  </si>
  <si>
    <t>Home Depot Associates Area Refresh 2021-22 Moncton</t>
  </si>
  <si>
    <t>Home Depot Associates Area Refresh 2021-22 Fredericton</t>
  </si>
  <si>
    <t>Home Depot Associates Area Refresh 2021-22 Nova Scotia</t>
  </si>
  <si>
    <t>Home Depot Associate Area Refresh 2021-22 PEI</t>
  </si>
  <si>
    <t>Nova Scotia</t>
  </si>
  <si>
    <t>Sobeys ISF Brookside</t>
  </si>
  <si>
    <t>Sow</t>
  </si>
  <si>
    <t>Lawtons Brookside - Canada Post</t>
  </si>
  <si>
    <t>Sobeys ISF Rothesay</t>
  </si>
  <si>
    <t>Sobeys ISF East Point</t>
  </si>
  <si>
    <t>Februray 11, 2021</t>
  </si>
  <si>
    <t>Lawtons Catherwood - Wellness Center</t>
  </si>
  <si>
    <t>Februrary 10, 2021</t>
  </si>
  <si>
    <t>22 King Street - Apartments</t>
  </si>
  <si>
    <t>Februrary 19, 2021</t>
  </si>
  <si>
    <t>Vien Dong - 883 Main Street</t>
  </si>
  <si>
    <t>Tomavo</t>
  </si>
  <si>
    <t>Halo Donuts</t>
  </si>
  <si>
    <t>Carriage Place Dental</t>
  </si>
  <si>
    <t>80-88 Prince William Apartments</t>
  </si>
  <si>
    <t>CIBC 448 Queen Street - Windows</t>
  </si>
  <si>
    <t>Petiticodiac School Welding Shop</t>
  </si>
  <si>
    <t>Quest Offices at P9</t>
  </si>
  <si>
    <t>Steepleview Apartments</t>
  </si>
  <si>
    <t>Centennial Self Storage - Indoor Storage</t>
  </si>
  <si>
    <t>KVOS - Tenant B Pettingill Plaza</t>
  </si>
  <si>
    <t>Tusk Dental</t>
  </si>
  <si>
    <t>Wee College - 1167 Main Street</t>
  </si>
  <si>
    <t>Mountain View Dental - Staircase &amp; Renovations</t>
  </si>
  <si>
    <t>21-1174</t>
  </si>
  <si>
    <t>21-1175</t>
  </si>
  <si>
    <t>21-1178</t>
  </si>
  <si>
    <t>21-1179</t>
  </si>
  <si>
    <t>21-1167</t>
  </si>
  <si>
    <t>Pettingill - Tenant A Quispamsis Orthodontics</t>
  </si>
  <si>
    <t>Son Dang Hanh - Storage Units</t>
  </si>
  <si>
    <t>NS Pension Services - Purdy's Wharf</t>
  </si>
  <si>
    <t>OR Clinic - 585 Mapleton Road</t>
  </si>
  <si>
    <t>Dr. Brent Howley - New Office @ 585 Mapleton Road</t>
  </si>
  <si>
    <t>Arterra Wines - Concrete and Masonry Repairs</t>
  </si>
  <si>
    <t>Centennial Self Storage - New exterior unit</t>
  </si>
  <si>
    <t>ARCF - Café to Offices</t>
  </si>
  <si>
    <t>616 Champlain Renovation</t>
  </si>
  <si>
    <t>Sunbury Office Renovation</t>
  </si>
  <si>
    <t>21-1187</t>
  </si>
  <si>
    <t>Sobeys Oromocto ISF Lite</t>
  </si>
  <si>
    <t>Freak Lunch Box</t>
  </si>
  <si>
    <t>Sackville 18-Unit</t>
  </si>
  <si>
    <t>66 English Drive</t>
  </si>
  <si>
    <t>Springwall Canada</t>
  </si>
  <si>
    <t>Peak Fitness - Englehart Training Center</t>
  </si>
  <si>
    <t>20 Capital Drive, Charlottetown</t>
  </si>
  <si>
    <t>Darwin Academy</t>
  </si>
  <si>
    <t>The Newly Fredericton</t>
  </si>
  <si>
    <t>The Sunshine Project</t>
  </si>
  <si>
    <t>21-1186</t>
  </si>
  <si>
    <t>Pettingill - Tenant D Rehab 1</t>
  </si>
  <si>
    <t>Diallo Developments Apartments - Ryan St.</t>
  </si>
  <si>
    <t>Pet Valu Findlay Blvd - LL Work</t>
  </si>
  <si>
    <t>Mobia Washroom Renovation</t>
  </si>
  <si>
    <t>CF Champlain LL Work E005A</t>
  </si>
  <si>
    <t>Tire Shack Brewing Co</t>
  </si>
  <si>
    <t>Moncton Boys and Girls Club RTG Relocation</t>
  </si>
  <si>
    <t>P9 - Phase 2</t>
  </si>
  <si>
    <t>80-88 Prince William, SJ Apartments</t>
  </si>
  <si>
    <t>Lawtons Elmwood - Wellness</t>
  </si>
  <si>
    <t>Lawtons McAllister - Wellness</t>
  </si>
  <si>
    <t>28 Steadman St Apartments</t>
  </si>
  <si>
    <t xml:space="preserve">Belle-Foret </t>
  </si>
  <si>
    <t>Vision Ford</t>
  </si>
  <si>
    <t>UNI Tannery Place Fit-up</t>
  </si>
  <si>
    <t>Ophthalmology Office - Dieppe</t>
  </si>
  <si>
    <t>CBCL Office Fit-up</t>
  </si>
  <si>
    <t>553 Elmwood Base Building and Pad Prep</t>
  </si>
  <si>
    <t>300 Price St Office Fit-up</t>
  </si>
  <si>
    <t>22-1214</t>
  </si>
  <si>
    <t>Urbano Class D</t>
  </si>
  <si>
    <t>755 Main St Renovation</t>
  </si>
  <si>
    <t>Moncton B&amp;G Club - Gym</t>
  </si>
  <si>
    <t>McIntyre Finn Law Offices</t>
  </si>
  <si>
    <t>Louisbourg Offices</t>
  </si>
  <si>
    <t>Scotiabank Westmorland Refresh</t>
  </si>
  <si>
    <t>Home Depot Washroom Renovations 2022-2023 - Dartmouth</t>
  </si>
  <si>
    <t>Home Depot Washroom Renovations 2022-2023 - Moncton, SJ, Fredericton</t>
  </si>
  <si>
    <t>Fredericton VW</t>
  </si>
  <si>
    <t>Trailway Brewery SJ</t>
  </si>
  <si>
    <t>Boustan-Granite Dr</t>
  </si>
  <si>
    <t>CF Champlain Landlord Work 007D and 007E</t>
  </si>
  <si>
    <t>Subway</t>
  </si>
  <si>
    <t>Glo Quispamsis</t>
  </si>
  <si>
    <t>Dollarama Addition</t>
  </si>
  <si>
    <t>Cox and Palmer Renovation</t>
  </si>
  <si>
    <t>Napa Fredericton</t>
  </si>
  <si>
    <t>4 Plex - Townhouses</t>
  </si>
  <si>
    <t>Funtime Pools</t>
  </si>
  <si>
    <t>Lawtons Brookside</t>
  </si>
  <si>
    <t>Metalium Crane</t>
  </si>
  <si>
    <t>22-1230</t>
  </si>
  <si>
    <t>Maclean Sports</t>
  </si>
  <si>
    <t>Home Depot Washroom Renos - Fredericton and Charlottetown</t>
  </si>
  <si>
    <t>Soulflower Spa - Tannery North</t>
  </si>
  <si>
    <t>CF Champlain LL Work - Unit H005S</t>
  </si>
  <si>
    <t>CF Champlain C002C LLW</t>
  </si>
  <si>
    <t>CF Champlain L007E LLW</t>
  </si>
  <si>
    <t>Bioscript Level 4 Reno Common Area</t>
  </si>
  <si>
    <t>CF Champlain LLW E002/E002S</t>
  </si>
  <si>
    <t>Diallo - Riverbend</t>
  </si>
  <si>
    <t xml:space="preserve"> Moncton Community Policing </t>
  </si>
  <si>
    <t>Sandstone Brewing</t>
  </si>
  <si>
    <t>Home Hardware Storage</t>
  </si>
  <si>
    <t xml:space="preserve">Moncton </t>
  </si>
  <si>
    <t xml:space="preserve">Fixed Fee </t>
  </si>
  <si>
    <t xml:space="preserve">Stipulated Price </t>
  </si>
  <si>
    <t>Prisma Dental</t>
  </si>
  <si>
    <t>111 Joyce Avenue</t>
  </si>
  <si>
    <t>Bedford Canadian Tire Reno</t>
  </si>
  <si>
    <t>Freak Lunchbox</t>
  </si>
  <si>
    <t>C002B LLW</t>
  </si>
  <si>
    <t>Soul Flower North</t>
  </si>
  <si>
    <t>Colliers Moncton Office</t>
  </si>
  <si>
    <t>SJ Fairville Canadian Tire Reno</t>
  </si>
  <si>
    <t>LLW B004D</t>
  </si>
  <si>
    <t>SJ Popeyes</t>
  </si>
  <si>
    <t>Shoppers-Superstore</t>
  </si>
  <si>
    <t>Klozet</t>
  </si>
  <si>
    <t>Presotea - Petitcodiac Plaza</t>
  </si>
  <si>
    <t>Dollarama Expansion - Miramichi</t>
  </si>
  <si>
    <t>Miramichi</t>
  </si>
  <si>
    <t>Orchard Hill Phase 2 Class D Estimate</t>
  </si>
  <si>
    <t>Subway Reno 1040 Champlain</t>
  </si>
  <si>
    <t>Lounsbury Office Renovation</t>
  </si>
  <si>
    <t>Smart Center Building H</t>
  </si>
  <si>
    <t>Popeyes Fredericton</t>
  </si>
  <si>
    <t>Dollarama Expansion Sussex</t>
  </si>
  <si>
    <t>SJ Montana's</t>
  </si>
  <si>
    <t>National Bank Richibucto</t>
  </si>
  <si>
    <t>Tesla Retail Moncton</t>
  </si>
  <si>
    <t>New York Fries</t>
  </si>
  <si>
    <t>Community Credit Union</t>
  </si>
  <si>
    <t>Meltwich - Petitcodiac Plaza</t>
  </si>
  <si>
    <t>Kenny U Pull</t>
  </si>
  <si>
    <t>Corium Dermatology Clinic</t>
  </si>
  <si>
    <t>Wee College Trites</t>
  </si>
  <si>
    <t>Home Depot Washroom Renos - Moncton</t>
  </si>
  <si>
    <t>Home Depot Washroom Renos - SJ</t>
  </si>
  <si>
    <t>CF Champlain Sanitary Modifications</t>
  </si>
  <si>
    <t>Atlantic Wellness Office</t>
  </si>
  <si>
    <t>Sackville</t>
  </si>
  <si>
    <t>Sackville Clinic</t>
  </si>
  <si>
    <t xml:space="preserve">Atlantic Wellness Office - LLW </t>
  </si>
  <si>
    <t>Moncton Community Policing - LLW for 795 Main</t>
  </si>
  <si>
    <t>22-1216</t>
  </si>
  <si>
    <t>Keith Road, Phase 1 rue Origine</t>
  </si>
  <si>
    <t>Jemmy's Gourmet</t>
  </si>
  <si>
    <t>23-1274</t>
  </si>
  <si>
    <t>H&amp;R Block LLW Moncton</t>
  </si>
  <si>
    <t>23-1275</t>
  </si>
  <si>
    <t>Moncton Boys and Girls Club - Afterschool Room Upgrades</t>
  </si>
  <si>
    <t>Sobeys Baby Boutique - Elmwood</t>
  </si>
  <si>
    <t>Sobeys Baby Boutique - Oromocto</t>
  </si>
  <si>
    <t>Easy Financial - Moncton</t>
  </si>
  <si>
    <t xml:space="preserve">Beal University </t>
  </si>
  <si>
    <t>Sports Chek</t>
  </si>
  <si>
    <t>Glo Expansion Dieppe</t>
  </si>
  <si>
    <t>Burnside Irving</t>
  </si>
  <si>
    <t>CF Champlain R003B LLW</t>
  </si>
  <si>
    <t>CF Champlain J003A LLW</t>
  </si>
  <si>
    <t>Air Canada Fredericton</t>
  </si>
  <si>
    <t>Sobeys Paquetville</t>
  </si>
  <si>
    <t>Paquetville</t>
  </si>
  <si>
    <t>Hart Miramichi</t>
  </si>
  <si>
    <t>Air Canada Moncton</t>
  </si>
  <si>
    <t>Air Canada Halifax</t>
  </si>
  <si>
    <t>24 Rideout Street Expansion</t>
  </si>
  <si>
    <t>BlueBird Self Storage Dieppe</t>
  </si>
  <si>
    <t>Moncton Neurology</t>
  </si>
  <si>
    <t>Trinity Auto Mall - Containers</t>
  </si>
  <si>
    <t>Pizza Salvatore</t>
  </si>
  <si>
    <t>Unifor Moncton Office Renovation</t>
  </si>
  <si>
    <t>Wee College MacNaughton</t>
  </si>
  <si>
    <t xml:space="preserve">Eastgate Academy </t>
  </si>
  <si>
    <t>UAP/NAPA Addition</t>
  </si>
  <si>
    <t>Elle Mio</t>
  </si>
  <si>
    <t>National Bank Memramcook Renovation - ATM Vestibule</t>
  </si>
  <si>
    <t>BGC Moncton Kitchen Reno</t>
  </si>
  <si>
    <t>Fitness Studio - Horseman Road</t>
  </si>
  <si>
    <t>McLaughlin Studios</t>
  </si>
  <si>
    <t>Air Canada - Saint John</t>
  </si>
  <si>
    <t>H &amp;R Block Northwest Center</t>
  </si>
  <si>
    <t>Pomodori</t>
  </si>
  <si>
    <t>1000 Dever Road</t>
  </si>
  <si>
    <t>Stacked Pancake LLW - Petitcodiac Plaza</t>
  </si>
  <si>
    <t>Stacked Pancake LLW - Plaza Blvd</t>
  </si>
  <si>
    <t xml:space="preserve">Diallo Ryan St Townhouses </t>
  </si>
  <si>
    <t>Pet Value &amp; Easy Financial LLW Sussex</t>
  </si>
  <si>
    <t>Horseman Rd Optical Clinic Fit-up</t>
  </si>
  <si>
    <t>Wendy's 1100 Mountain Road</t>
  </si>
  <si>
    <t>Silver Fox Veterinary</t>
  </si>
  <si>
    <t>360 Acadie Parking</t>
  </si>
  <si>
    <t>Food Depot Office Reno</t>
  </si>
  <si>
    <t>Dollarama Expansion</t>
  </si>
  <si>
    <t>Canadian Tire Reno - SJ Westmorland</t>
  </si>
  <si>
    <t>Booster Juice Prospect St, Fredericton</t>
  </si>
  <si>
    <t>Bubba's Tubs</t>
  </si>
  <si>
    <t>Create NB</t>
  </si>
  <si>
    <t>Stipluated Price</t>
  </si>
  <si>
    <t>2500 Mountain Road Multi-Res</t>
  </si>
  <si>
    <t>First Canadian Title</t>
  </si>
  <si>
    <t>Casey Tire</t>
  </si>
  <si>
    <t>Pizzeria Bros</t>
  </si>
  <si>
    <t>Glad Tidings Church</t>
  </si>
  <si>
    <t>10,000 sf in SJ</t>
  </si>
  <si>
    <t>Thomas Hyundai</t>
  </si>
  <si>
    <t>Nancy Nails</t>
  </si>
  <si>
    <t>Lawtons Brunswick Square</t>
  </si>
  <si>
    <t>Sobeys Brookside</t>
  </si>
  <si>
    <t>May 8, 20224</t>
  </si>
  <si>
    <t xml:space="preserve"> April 9, 2024</t>
  </si>
  <si>
    <t>24-1303</t>
  </si>
  <si>
    <t>Stacked Pancake &amp; Firehouse LLW</t>
  </si>
  <si>
    <t>Moncton Airport Modification</t>
  </si>
  <si>
    <t xml:space="preserve"> April 22, 2024</t>
  </si>
  <si>
    <t>Aviation Self Storage</t>
  </si>
  <si>
    <t>National Bank</t>
  </si>
  <si>
    <t>CT Regis St</t>
  </si>
  <si>
    <t>Home 2 Suites Charlottetown</t>
  </si>
  <si>
    <t xml:space="preserve"> Q3 </t>
  </si>
  <si>
    <t xml:space="preserve"> Esso Exterior Renovation </t>
  </si>
  <si>
    <t xml:space="preserve"> E </t>
  </si>
  <si>
    <t xml:space="preserve"> Saint John </t>
  </si>
  <si>
    <t xml:space="preserve"> SJ Montana's </t>
  </si>
  <si>
    <t xml:space="preserve"> CCDC 2 </t>
  </si>
  <si>
    <t xml:space="preserve"> Stipulated Price </t>
  </si>
  <si>
    <t xml:space="preserve"> C </t>
  </si>
  <si>
    <t>Greenfoot Energy</t>
  </si>
  <si>
    <t>24-1315</t>
  </si>
  <si>
    <t>Bannon House</t>
  </si>
  <si>
    <t>Van Houtte Coffee</t>
  </si>
  <si>
    <t>Firehouse Subs - Saint John</t>
  </si>
  <si>
    <t>Trane Canada Class D Estimate</t>
  </si>
  <si>
    <t>Money Mart EFIS Painting</t>
  </si>
  <si>
    <t>Lafarge Cement Cartage - Washroom Refurbishment</t>
  </si>
  <si>
    <t>Lafarge Cement Cartage - Window Installation</t>
  </si>
  <si>
    <t>Lafarge Cement Cartage - Gravel Pad</t>
  </si>
  <si>
    <t>Lafarge Cement Cartage - Exhaust Fans</t>
  </si>
  <si>
    <t>ARCF Quispamsis</t>
  </si>
  <si>
    <t>Oscar Wylee Fit-up</t>
  </si>
  <si>
    <t xml:space="preserve">Harvest House </t>
  </si>
  <si>
    <t>Plaza LLW - M&amp;M Meats</t>
  </si>
  <si>
    <t>Midtown Motel - 61-65 Weldon Street</t>
  </si>
  <si>
    <t>Biggs Drive Apartment</t>
  </si>
  <si>
    <t>Origine Building N</t>
  </si>
  <si>
    <t>Origine Building O</t>
  </si>
  <si>
    <t>Origine Building P</t>
  </si>
  <si>
    <t>Cannabis NB &amp; Noodle Box</t>
  </si>
  <si>
    <t>Sobeys Woodstock</t>
  </si>
  <si>
    <t>Firehouse Subs Fairville LLW</t>
  </si>
  <si>
    <t>M&amp;M Meats Fit-up Dieppe</t>
  </si>
  <si>
    <t>Riverglade Repair Facility</t>
  </si>
  <si>
    <t>February 21 2025</t>
  </si>
  <si>
    <t>Smiles Dental</t>
  </si>
  <si>
    <t>1110 Cleveland Phase1</t>
  </si>
  <si>
    <t>AprilVets 2 Nations Crossing</t>
  </si>
  <si>
    <t>Dorchester Fire Station</t>
  </si>
  <si>
    <t xml:space="preserve"> Grande-Digue Fire Station </t>
  </si>
  <si>
    <t>A&amp;W Bathurst</t>
  </si>
  <si>
    <t>Via Rail Repair Work</t>
  </si>
  <si>
    <t>Firehouse Subs Fit-up</t>
  </si>
  <si>
    <t xml:space="preserve"> April 10, 2025</t>
  </si>
  <si>
    <t>Stacked Pancakes &amp; Firehouse Subs</t>
  </si>
  <si>
    <t>June 4 2025</t>
  </si>
  <si>
    <t>Elmwood Strip</t>
  </si>
  <si>
    <t>June 5 2025</t>
  </si>
  <si>
    <t>Wee Thrive</t>
  </si>
  <si>
    <t>25-1352</t>
  </si>
  <si>
    <t>Cornerstone Chapel - Atlantic Lighthouse</t>
  </si>
  <si>
    <t>25-1350</t>
  </si>
  <si>
    <t>110 Westmorland Road</t>
  </si>
  <si>
    <t>Skin Clinic - 585 Mapleton</t>
  </si>
  <si>
    <t>Dr. Goel Dental Office</t>
  </si>
  <si>
    <t>Organigram Vegetation Rooms and Connector Building</t>
  </si>
  <si>
    <t>Elmwood Plaza</t>
  </si>
  <si>
    <t>Samuel de Champlain Washroom Conversion</t>
  </si>
  <si>
    <t>Tim Hortons Debert</t>
  </si>
  <si>
    <t>25-1359</t>
  </si>
  <si>
    <t>273 Acadie Ave.</t>
  </si>
  <si>
    <t>Debert</t>
  </si>
  <si>
    <t>Column2</t>
  </si>
  <si>
    <t>Tim Hortons Marr Rd</t>
  </si>
  <si>
    <t>French Fort Cove Eco Center Roof</t>
  </si>
  <si>
    <t>Richbucto</t>
  </si>
  <si>
    <t>Beaurivage Fire Hall</t>
  </si>
  <si>
    <t>Shediac</t>
  </si>
  <si>
    <t>Residence Belcourt - Mechanical Upgrades</t>
  </si>
  <si>
    <t>Lafarge Cement Cartage</t>
  </si>
  <si>
    <t>Tim Hortons Lansdowne</t>
  </si>
  <si>
    <t>Woodstock</t>
  </si>
  <si>
    <t>Tim Hortons Woodstock</t>
  </si>
  <si>
    <t>Dieppe</t>
  </si>
  <si>
    <t>Tim Hortons King St, SJ</t>
  </si>
  <si>
    <t>Tim Hortons Acadie</t>
  </si>
  <si>
    <t>Lady Ada - Phase 2</t>
  </si>
  <si>
    <t>855 Dieppe - Dental Office Fit-up</t>
  </si>
  <si>
    <t>Winners - Granville St Plaza</t>
  </si>
  <si>
    <t xml:space="preserve">Miramichi </t>
  </si>
  <si>
    <t>Cineplex Roof Option 1 - Replacement</t>
  </si>
  <si>
    <t>Firehouse Subs LLW - Granville St Plaza</t>
  </si>
  <si>
    <t>723 Coverdale</t>
  </si>
  <si>
    <t>Samuel-de-Champlain Interior Renovation</t>
  </si>
  <si>
    <t xml:space="preserve">Grand Barachois Amphitheatre and Washroom Project </t>
  </si>
  <si>
    <t>Oxygen Yoga &amp; Fitness Elmwood</t>
  </si>
  <si>
    <t>Shediac Dental Clinic</t>
  </si>
  <si>
    <t>25-1363</t>
  </si>
  <si>
    <t>West Main Daycare</t>
  </si>
  <si>
    <t xml:space="preserve"> Mt A Animal Lab </t>
  </si>
  <si>
    <t>Foodland Tatamagouche</t>
  </si>
  <si>
    <t>Tim Hortons Sussex</t>
  </si>
  <si>
    <t>Home Depot Associates Area SJ</t>
  </si>
  <si>
    <t>St George YMCA Daycare</t>
  </si>
  <si>
    <t>230 Champlain Str. - Suite 101 Chopsticks</t>
  </si>
  <si>
    <t>Sussex</t>
  </si>
  <si>
    <t>Salisbury Rd - Building A (Phase 1)</t>
  </si>
  <si>
    <t>Goodlife Fredericton Uptown Centre</t>
  </si>
  <si>
    <t>New Public Works Garage Grand Bay-Westfield</t>
  </si>
  <si>
    <t>Tim Hortons Bathurst</t>
  </si>
  <si>
    <t>Lawtons Suite 206, 208, 209</t>
  </si>
  <si>
    <t>15 Unit Apartment</t>
  </si>
  <si>
    <t>Conceptia Fit-Up</t>
  </si>
  <si>
    <t>Dannex Base Building 20,000 sq.ft.</t>
  </si>
  <si>
    <t xml:space="preserve"> February 27, 2026</t>
  </si>
  <si>
    <t>Atlantic Wellness Expansion - Tenant</t>
  </si>
  <si>
    <t>Atlantic Wellness Expansion - Landlord</t>
  </si>
  <si>
    <t>Buckingham Apartments - Building 1</t>
  </si>
  <si>
    <t>Buckingham Apartments - Building 2</t>
  </si>
  <si>
    <t>Princess Auto Renovation</t>
  </si>
  <si>
    <t>Princess Auto - 50,000 SF</t>
  </si>
  <si>
    <t>Freshwinds Housing</t>
  </si>
  <si>
    <t>Farm Credit Canada Renovation</t>
  </si>
  <si>
    <t>Moncton Warm Storage</t>
  </si>
  <si>
    <t>CIBC Wedgewood Plaza</t>
  </si>
  <si>
    <t xml:space="preserve"> Doane Grant Thornton Renovation - 4th Floor </t>
  </si>
  <si>
    <t xml:space="preserve">CCDC 2 </t>
  </si>
  <si>
    <t xml:space="preserve">L003B LLW </t>
  </si>
  <si>
    <t>Tantramar Elevator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</si>
</sst>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d/mm/yy;@"/>
    <numFmt numFmtId="170" formatCode="[$-1009]mmmm\ d\,\ yyyy;@"/>
    <numFmt numFmtId="171" formatCode="0.0%"/>
    <numFmt numFmtId="172" formatCode="&quot;$&quot;#,##0"/>
    <numFmt numFmtId="174" formatCode="_(* #,##0_);_(* \(#,##0\);_(* &quot;-&quot;??_);_(@_)"/>
    <numFmt numFmtId="176" formatCode="[$-F800]dddd\,\ mmmm\ dd\,\ yyyy"/>
  </numFmts>
  <fonts count="25" x14ac:knownFonts="1"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name val="Tahoma"/>
      <family val="2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2"/>
      <color rgb="FF000000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name val="Tahoma"/>
      <family val="2"/>
    </font>
    <font>
      <sz val="12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0"/>
      <name val="Tahoma"/>
      <family val="2"/>
    </font>
    <font>
      <sz val="10"/>
      <name val="Arial"/>
      <family val="2"/>
    </font>
    <font>
      <sz val="12"/>
      <color rgb="FF000000"/>
      <name val="Century Gothic"/>
      <family val="2"/>
    </font>
    <font>
      <b/>
      <sz val="12"/>
      <name val="Tahoma"/>
      <family val="2"/>
    </font>
    <font>
      <sz val="12"/>
      <color rgb="FF000000"/>
      <name val="Century Gothic"/>
      <family val="2"/>
    </font>
    <font>
      <sz val="12"/>
      <name val="Tahoma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</cellStyleXfs>
  <cellXfs count="117">
    <xf numFmtId="0" fontId="0" fillId="0" borderId="0" xfId="0"/>
    <xf numFmtId="166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70" fontId="0" fillId="0" borderId="0" xfId="0" applyNumberFormat="1"/>
    <xf numFmtId="166" fontId="0" fillId="0" borderId="0" xfId="1" applyFont="1" applyAlignment="1"/>
    <xf numFmtId="9" fontId="0" fillId="0" borderId="0" xfId="2" applyFont="1" applyAlignment="1"/>
    <xf numFmtId="170" fontId="2" fillId="0" borderId="0" xfId="0" applyNumberFormat="1" applyFont="1"/>
    <xf numFmtId="168" fontId="2" fillId="0" borderId="0" xfId="0" applyNumberFormat="1" applyFont="1"/>
    <xf numFmtId="0" fontId="2" fillId="0" borderId="0" xfId="0" applyFont="1"/>
    <xf numFmtId="166" fontId="2" fillId="0" borderId="0" xfId="1" applyFont="1" applyAlignment="1"/>
    <xf numFmtId="9" fontId="2" fillId="0" borderId="0" xfId="2" applyFont="1" applyAlignment="1"/>
    <xf numFmtId="166" fontId="0" fillId="0" borderId="0" xfId="1" applyFont="1" applyFill="1" applyAlignment="1"/>
    <xf numFmtId="9" fontId="0" fillId="0" borderId="0" xfId="2" applyFont="1" applyFill="1" applyAlignment="1"/>
    <xf numFmtId="0" fontId="0" fillId="0" borderId="0" xfId="1" applyNumberFormat="1" applyFont="1" applyFill="1" applyAlignment="1"/>
    <xf numFmtId="164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72" fontId="0" fillId="0" borderId="0" xfId="0" applyNumberFormat="1"/>
    <xf numFmtId="171" fontId="0" fillId="0" borderId="0" xfId="0" applyNumberFormat="1"/>
    <xf numFmtId="14" fontId="0" fillId="0" borderId="0" xfId="0" applyNumberFormat="1"/>
    <xf numFmtId="0" fontId="0" fillId="0" borderId="0" xfId="3" applyNumberFormat="1" applyFont="1" applyFill="1" applyAlignment="1"/>
    <xf numFmtId="166" fontId="3" fillId="0" borderId="0" xfId="1" applyFont="1" applyFill="1" applyAlignment="1"/>
    <xf numFmtId="9" fontId="3" fillId="0" borderId="0" xfId="2" applyFont="1" applyFill="1" applyAlignment="1"/>
    <xf numFmtId="0" fontId="3" fillId="0" borderId="0" xfId="1" applyNumberFormat="1" applyFont="1" applyFill="1" applyAlignment="1"/>
    <xf numFmtId="1" fontId="0" fillId="0" borderId="0" xfId="0" applyNumberFormat="1"/>
    <xf numFmtId="1" fontId="0" fillId="0" borderId="0" xfId="1" applyNumberFormat="1" applyFont="1" applyFill="1" applyAlignment="1"/>
    <xf numFmtId="10" fontId="0" fillId="0" borderId="0" xfId="2" applyNumberFormat="1" applyFont="1" applyFill="1" applyAlignment="1"/>
    <xf numFmtId="0" fontId="0" fillId="0" borderId="0" xfId="2" applyNumberFormat="1" applyFont="1" applyFill="1" applyAlignment="1"/>
    <xf numFmtId="166" fontId="7" fillId="0" borderId="0" xfId="1" applyFont="1" applyFill="1" applyAlignment="1"/>
    <xf numFmtId="9" fontId="7" fillId="0" borderId="0" xfId="2" applyFont="1" applyFill="1" applyAlignment="1"/>
    <xf numFmtId="0" fontId="7" fillId="0" borderId="0" xfId="1" applyNumberFormat="1" applyFont="1" applyFill="1" applyAlignment="1"/>
    <xf numFmtId="0" fontId="5" fillId="0" borderId="0" xfId="0" applyFont="1"/>
    <xf numFmtId="0" fontId="0" fillId="0" borderId="1" xfId="0" applyBorder="1"/>
    <xf numFmtId="0" fontId="0" fillId="5" borderId="9" xfId="0" applyFill="1" applyBorder="1"/>
    <xf numFmtId="0" fontId="0" fillId="0" borderId="9" xfId="0" applyBorder="1"/>
    <xf numFmtId="2" fontId="0" fillId="0" borderId="0" xfId="0" applyNumberFormat="1"/>
    <xf numFmtId="0" fontId="8" fillId="4" borderId="9" xfId="0" applyFont="1" applyFill="1" applyBorder="1"/>
    <xf numFmtId="166" fontId="11" fillId="0" borderId="0" xfId="1" applyFont="1" applyFill="1" applyAlignment="1"/>
    <xf numFmtId="9" fontId="11" fillId="0" borderId="0" xfId="2" applyFont="1" applyFill="1" applyAlignment="1"/>
    <xf numFmtId="0" fontId="11" fillId="0" borderId="0" xfId="1" applyNumberFormat="1" applyFont="1" applyFill="1" applyAlignment="1"/>
    <xf numFmtId="166" fontId="12" fillId="0" borderId="0" xfId="1" applyFont="1" applyFill="1" applyAlignment="1"/>
    <xf numFmtId="9" fontId="12" fillId="0" borderId="0" xfId="2" applyFont="1" applyFill="1" applyAlignment="1"/>
    <xf numFmtId="0" fontId="12" fillId="0" borderId="0" xfId="1" applyNumberFormat="1" applyFont="1" applyFill="1" applyAlignment="1"/>
    <xf numFmtId="10" fontId="0" fillId="0" borderId="0" xfId="2" applyNumberFormat="1" applyFont="1"/>
    <xf numFmtId="174" fontId="0" fillId="0" borderId="0" xfId="3" applyNumberFormat="1" applyFont="1"/>
    <xf numFmtId="0" fontId="0" fillId="0" borderId="0" xfId="0" applyAlignment="1">
      <alignment horizontal="left" indent="3"/>
    </xf>
    <xf numFmtId="0" fontId="0" fillId="0" borderId="0" xfId="0" applyAlignment="1">
      <alignment horizontal="right"/>
    </xf>
    <xf numFmtId="166" fontId="13" fillId="0" borderId="0" xfId="1" applyFont="1" applyFill="1" applyAlignment="1"/>
    <xf numFmtId="0" fontId="14" fillId="0" borderId="0" xfId="0" applyFont="1"/>
    <xf numFmtId="0" fontId="13" fillId="0" borderId="0" xfId="1" applyNumberFormat="1" applyFont="1" applyFill="1" applyAlignment="1"/>
    <xf numFmtId="166" fontId="6" fillId="0" borderId="0" xfId="1" applyFont="1" applyFill="1" applyAlignment="1"/>
    <xf numFmtId="0" fontId="6" fillId="0" borderId="0" xfId="1" applyNumberFormat="1" applyFont="1" applyFill="1" applyAlignment="1"/>
    <xf numFmtId="9" fontId="6" fillId="0" borderId="0" xfId="2" applyFont="1" applyFill="1" applyAlignment="1"/>
    <xf numFmtId="167" fontId="0" fillId="0" borderId="0" xfId="3" applyFont="1" applyFill="1" applyAlignment="1"/>
    <xf numFmtId="174" fontId="0" fillId="0" borderId="0" xfId="3" applyNumberFormat="1" applyFont="1" applyFill="1" applyAlignment="1"/>
    <xf numFmtId="166" fontId="9" fillId="0" borderId="0" xfId="1" applyFont="1" applyFill="1" applyAlignment="1"/>
    <xf numFmtId="174" fontId="9" fillId="0" borderId="0" xfId="3" applyNumberFormat="1" applyFont="1" applyFill="1" applyAlignment="1"/>
    <xf numFmtId="1" fontId="9" fillId="0" borderId="0" xfId="1" applyNumberFormat="1" applyFont="1" applyFill="1" applyAlignment="1"/>
    <xf numFmtId="10" fontId="9" fillId="0" borderId="0" xfId="1" applyNumberFormat="1" applyFont="1" applyFill="1" applyAlignment="1"/>
    <xf numFmtId="0" fontId="9" fillId="0" borderId="0" xfId="1" applyNumberFormat="1" applyFont="1" applyFill="1" applyAlignment="1"/>
    <xf numFmtId="10" fontId="0" fillId="0" borderId="0" xfId="1" applyNumberFormat="1" applyFont="1" applyFill="1" applyAlignment="1"/>
    <xf numFmtId="10" fontId="9" fillId="0" borderId="0" xfId="2" applyNumberFormat="1" applyFont="1" applyFill="1" applyAlignment="1"/>
    <xf numFmtId="10" fontId="13" fillId="0" borderId="0" xfId="2" applyNumberFormat="1" applyFont="1" applyFill="1" applyAlignment="1"/>
    <xf numFmtId="171" fontId="0" fillId="0" borderId="0" xfId="2" applyNumberFormat="1" applyFont="1" applyFill="1" applyAlignment="1"/>
    <xf numFmtId="170" fontId="0" fillId="0" borderId="0" xfId="0" applyNumberFormat="1" applyAlignment="1">
      <alignment horizontal="right"/>
    </xf>
    <xf numFmtId="37" fontId="0" fillId="0" borderId="0" xfId="0" applyNumberFormat="1"/>
    <xf numFmtId="15" fontId="0" fillId="0" borderId="0" xfId="0" applyNumberFormat="1"/>
    <xf numFmtId="0" fontId="0" fillId="0" borderId="0" xfId="3" applyNumberFormat="1" applyFont="1"/>
    <xf numFmtId="166" fontId="16" fillId="0" borderId="0" xfId="1" applyFont="1" applyFill="1" applyAlignment="1"/>
    <xf numFmtId="0" fontId="16" fillId="0" borderId="0" xfId="1" applyNumberFormat="1" applyFont="1" applyFill="1" applyAlignment="1"/>
    <xf numFmtId="9" fontId="16" fillId="0" borderId="0" xfId="2" applyFont="1" applyFill="1" applyAlignment="1"/>
    <xf numFmtId="3" fontId="0" fillId="0" borderId="0" xfId="0" applyNumberFormat="1"/>
    <xf numFmtId="166" fontId="17" fillId="0" borderId="0" xfId="1" applyFont="1" applyFill="1" applyAlignment="1"/>
    <xf numFmtId="0" fontId="17" fillId="0" borderId="0" xfId="1" applyNumberFormat="1" applyFont="1" applyFill="1" applyAlignment="1"/>
    <xf numFmtId="9" fontId="17" fillId="0" borderId="0" xfId="2" applyFont="1" applyFill="1" applyAlignment="1"/>
    <xf numFmtId="166" fontId="15" fillId="0" borderId="0" xfId="1" applyFont="1"/>
    <xf numFmtId="167" fontId="0" fillId="0" borderId="0" xfId="3" applyFont="1"/>
    <xf numFmtId="176" fontId="0" fillId="0" borderId="0" xfId="0" applyNumberFormat="1"/>
    <xf numFmtId="166" fontId="1" fillId="0" borderId="0" xfId="1" applyFont="1" applyFill="1" applyAlignment="1"/>
    <xf numFmtId="14" fontId="15" fillId="0" borderId="0" xfId="4" applyNumberFormat="1" applyFont="1"/>
    <xf numFmtId="0" fontId="15" fillId="0" borderId="0" xfId="5" applyNumberFormat="1" applyFont="1"/>
    <xf numFmtId="43" fontId="15" fillId="0" borderId="0" xfId="5" applyFont="1"/>
    <xf numFmtId="0" fontId="15" fillId="0" borderId="0" xfId="4" applyFont="1"/>
    <xf numFmtId="44" fontId="15" fillId="0" borderId="0" xfId="4" applyNumberFormat="1" applyFont="1"/>
    <xf numFmtId="37" fontId="15" fillId="0" borderId="0" xfId="4" applyNumberFormat="1" applyFont="1"/>
    <xf numFmtId="1" fontId="15" fillId="0" borderId="0" xfId="4" applyNumberFormat="1" applyFont="1"/>
    <xf numFmtId="10" fontId="15" fillId="0" borderId="0" xfId="4" applyNumberFormat="1" applyFont="1"/>
    <xf numFmtId="166" fontId="0" fillId="0" borderId="0" xfId="0" applyNumberFormat="1" applyAlignment="1">
      <alignment horizontal="left" vertical="top"/>
    </xf>
    <xf numFmtId="166" fontId="20" fillId="0" borderId="0" xfId="1" applyFont="1" applyFill="1" applyAlignment="1"/>
    <xf numFmtId="0" fontId="21" fillId="0" borderId="0" xfId="0" applyFont="1"/>
    <xf numFmtId="176" fontId="15" fillId="0" borderId="0" xfId="4" applyNumberFormat="1" applyFont="1"/>
    <xf numFmtId="0" fontId="0" fillId="2" borderId="0" xfId="0" applyFill="1"/>
    <xf numFmtId="166" fontId="22" fillId="0" borderId="0" xfId="1" applyFont="1" applyFill="1" applyAlignment="1"/>
    <xf numFmtId="0" fontId="23" fillId="0" borderId="0" xfId="4" applyFont="1"/>
    <xf numFmtId="37" fontId="23" fillId="0" borderId="0" xfId="4" applyNumberFormat="1" applyFont="1"/>
    <xf numFmtId="44" fontId="23" fillId="0" borderId="0" xfId="4" applyNumberFormat="1" applyFont="1"/>
    <xf numFmtId="10" fontId="23" fillId="0" borderId="0" xfId="4" applyNumberFormat="1" applyFont="1"/>
    <xf numFmtId="166" fontId="23" fillId="0" borderId="0" xfId="1" applyFont="1"/>
    <xf numFmtId="8" fontId="15" fillId="0" borderId="0" xfId="4" applyNumberFormat="1" applyFont="1"/>
    <xf numFmtId="174" fontId="0" fillId="0" borderId="0" xfId="3" applyNumberFormat="1" applyFont="1" applyAlignment="1"/>
    <xf numFmtId="0" fontId="10" fillId="0" borderId="0" xfId="0" applyFont="1" applyAlignment="1">
      <alignment horizontal="center" vertical="center"/>
    </xf>
  </cellXfs>
  <cellStyles count="13">
    <cellStyle name="Comma" xfId="3" builtinId="3"/>
    <cellStyle name="Comma 2" xfId="5" xr:uid="{520BC8E0-3FED-4018-953F-C7B7E28BE282}"/>
    <cellStyle name="Comma 2 2" xfId="9" xr:uid="{C9AE8C3C-0A75-460D-A8BA-FE2073323D99}"/>
    <cellStyle name="Currency" xfId="1" builtinId="4"/>
    <cellStyle name="Currency 2" xfId="6" xr:uid="{2473F869-F386-4940-A430-1EA6D93EA614}"/>
    <cellStyle name="Currency 2 2" xfId="10" xr:uid="{B0BDCC2D-8F40-4D3A-8CA8-D7B2F8AB108A}"/>
    <cellStyle name="Currency 2 3" xfId="12" xr:uid="{B95CDFC4-7608-48EF-B47E-EB2D9FB5FBB0}"/>
    <cellStyle name="Normal" xfId="0" builtinId="0"/>
    <cellStyle name="Normal 2" xfId="4" xr:uid="{0139ABB4-CB21-47B4-BC5E-AE319E08210F}"/>
    <cellStyle name="Normal 2 2" xfId="11" xr:uid="{4E4DC99F-E8C9-4741-B9D5-A7DDA0E7F958}"/>
    <cellStyle name="Normal 4" xfId="7" xr:uid="{390CF0F3-9467-4014-B0F2-7AACE0DA4AA1}"/>
    <cellStyle name="Percent" xfId="2" builtinId="5"/>
    <cellStyle name="Percent 2" xfId="8" xr:uid="{5607FAFA-290E-405B-8440-71E8E4965816}"/>
  </cellStyles>
  <dxfs count="92">
    <dxf>
      <numFmt numFmtId="168" formatCode="dd/mm/yy;@"/>
    </dxf>
    <dxf>
      <numFmt numFmtId="14" formatCode="0.00%"/>
    </dxf>
    <dxf>
      <numFmt numFmtId="13" formatCode="0%"/>
    </dxf>
    <dxf>
      <alignment wrapText="1"/>
    </dxf>
    <dxf>
      <alignment wrapText="1"/>
    </dxf>
    <dxf>
      <numFmt numFmtId="19" formatCode="yyyy/mm/dd"/>
    </dxf>
    <dxf>
      <numFmt numFmtId="19" formatCode="yyyy/mm/dd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170" formatCode="[$-1009]mmmm\ d\,\ yy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170" formatCode="[$-1009]mmmm\ d\,\ yy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alignment horizontal="general" vertical="bottom" textRotation="0" wrapText="0" indent="0" justifyLastLine="0" shrinkToFit="0" readingOrder="0"/>
    </dxf>
    <dxf>
      <numFmt numFmtId="19" formatCode="yyyy/mm/dd"/>
    </dxf>
    <dxf>
      <numFmt numFmtId="19" formatCode="yyyy/mm/dd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68" formatCode="dd/mm/yy;@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68" formatCode="dd/mm/yy;@"/>
    </dxf>
  </dxfs>
  <tableStyles count="0" defaultTableStyle="TableStyleMedium2" defaultPivotStyle="PivotStyleLight16"/>
  <colors>
    <mruColors>
      <color rgb="FFB8CDE9"/>
      <color rgb="FF84AEDC"/>
      <color rgb="FF4679A7"/>
      <color rgb="FF5591C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yson Clinch" refreshedDate="46132.705530671294" createdVersion="6" refreshedVersion="8" minRefreshableVersion="3" recordCount="495" xr:uid="{00000000-000A-0000-FFFF-FFFF00000000}">
  <cacheSource type="worksheet">
    <worksheetSource name="DATA"/>
  </cacheSource>
  <cacheFields count="23">
    <cacheField name="Closing Date" numFmtId="0">
      <sharedItems containsDate="1" containsBlank="1" containsMixedTypes="1" minDate="2017-11-16T00:00:00" maxDate="2026-04-14T00:00:00"/>
    </cacheField>
    <cacheField name="Budget Year" numFmtId="0">
      <sharedItems containsDate="1" containsString="0" containsBlank="1" containsMixedTypes="1" minDate="1900-01-05T14:40:04" maxDate="1905-07-11T00:00:00" count="12">
        <n v="2017"/>
        <n v="2018"/>
        <n v="2019"/>
        <n v="2020"/>
        <n v="2021"/>
        <n v="2022"/>
        <n v="2023"/>
        <n v="2024"/>
        <n v="2025"/>
        <n v="2026"/>
        <m/>
        <d v="1905-07-10T00:00:00" u="1"/>
      </sharedItems>
    </cacheField>
    <cacheField name="Quarter" numFmtId="0">
      <sharedItems containsBlank="1" count="8">
        <s v="Q4"/>
        <s v="Q1"/>
        <s v="Q2"/>
        <s v="Q3"/>
        <s v=" Q3 "/>
        <m/>
        <s v="Q3 " u="1"/>
        <s v=" Q4 " u="1"/>
      </sharedItems>
    </cacheField>
    <cacheField name="Province" numFmtId="0">
      <sharedItems containsBlank="1" count="5">
        <s v="NB"/>
        <s v="NS"/>
        <s v="PEI"/>
        <m/>
        <s v="New Brunswick" u="1"/>
      </sharedItems>
    </cacheField>
    <cacheField name="City/Town" numFmtId="0">
      <sharedItems containsBlank="1" count="31">
        <s v="Moncton"/>
        <s v="Halifax"/>
        <s v="Fredericton"/>
        <s v="Saint John"/>
        <s v="Dartmouth"/>
        <s v="Charlottetown"/>
        <s v="Amherst"/>
        <s v="Montague"/>
        <s v="Bathurst"/>
        <s v="Bath"/>
        <s v="Nova Scotia"/>
        <s v="Moncton "/>
        <s v="Miramichi"/>
        <s v="Sackville"/>
        <s v="Paquetville"/>
        <s v=" Saint John "/>
        <s v="Dieppe"/>
        <s v="PEI"/>
        <s v="Miramichi "/>
        <s v="Sussex"/>
        <m/>
        <s v=" Sackville " u="1"/>
        <s v="Havelock" u="1"/>
        <s v="Woodstock" u="1"/>
        <s v="Richibucto" u="1"/>
        <s v="Stratford" u="1"/>
        <s v="Bedford" u="1"/>
        <s v="St Stephen" u="1"/>
        <s v="Cap-Pelé" u="1"/>
        <s v=" Moncton " u="1"/>
        <s v="Edmunston" u="1"/>
      </sharedItems>
    </cacheField>
    <cacheField name="Estimate Number2" numFmtId="0">
      <sharedItems containsBlank="1" containsMixedTypes="1" containsNumber="1" containsInteger="1" minValue="0" maxValue="3108"/>
    </cacheField>
    <cacheField name="Estimate Name" numFmtId="0">
      <sharedItems containsBlank="1" count="511">
        <s v="ANBL Cannabis Store"/>
        <s v="Chiropractic Clinic Fall River"/>
        <s v="Dollarama Vaughan Harvey"/>
        <s v="Demo Unit A011 &amp; 0171 Uptown Centre"/>
        <s v="Thai Express Downsview"/>
        <s v="PJC #309 Edmunston"/>
        <s v="24 Unit - Larry King"/>
        <s v="CF Champlain LL Work C009B"/>
        <s v="Atlantic Lotto Champlain Mall"/>
        <s v="Tool Room - Musquash"/>
        <s v="50 King - 1st Floor"/>
        <s v="Grant Thorton SJ"/>
        <s v="860 Mountain Road - Suite 203"/>
        <s v="Irving Equipment Office Renovation"/>
        <s v="CF Champlain Sanitary Piping 2018"/>
        <s v="Fredericton Stage"/>
        <s v="Air Canada Call Centre"/>
        <s v="Lancaster Mall"/>
        <s v="Storage Facillity - Berry Mills Road"/>
        <s v="ANBL Wine Store"/>
        <s v="Irving Dolan Road"/>
        <s v="1199 Main St - Stantec Office"/>
        <s v="Lawtons Mountain Road"/>
        <s v="CF Champlain - N007A"/>
        <s v="CF Champlain - P002A"/>
        <s v="CF Champlain - P002B"/>
        <s v="Woodlawn Plaza Landlord Work"/>
        <s v="Uptown Centre Great Canadian Dollar Store"/>
        <s v="Shred-It - 125 English Street"/>
        <s v="860 Mountain Road - Suite 404"/>
        <s v="50 King - Agriculture Canada RFP"/>
        <s v="SDM Charlottetown"/>
        <s v="Car Detail Shop - Lewisville Road"/>
        <s v="CF Champlain - F005D"/>
        <s v="CF Champlain - H003B"/>
        <s v="Irving Big Stop - Lorneville"/>
        <s v="1234 Main St - BioScript"/>
        <s v="Tech Mahindra"/>
        <s v="WSP Moncton"/>
        <s v="Imperial Theatre - Marquee CM Proposal"/>
        <s v="Telus - Market Square"/>
        <s v="Amherst High School Skilled Trade Centre"/>
        <s v="Sobeys Pharmacy Consult Room"/>
        <s v="Assumption Life Sales &amp; Marketing Office"/>
        <s v="70-76 King St"/>
        <s v="SJ Airport Salt Dome"/>
        <s v="71 King St"/>
        <s v="Church Elevator Shaft"/>
        <s v="71 King St Exterior Facade &amp; Landlord Work"/>
        <s v="210 John St - Exterior Wall Insulation"/>
        <s v="Scotia Bank Exterior Façade"/>
        <s v="9 Unit Apartment - Botsford"/>
        <s v="585 Mapleton EDCG"/>
        <s v="Air Liquide Moncton"/>
        <s v="Wal-Mart Entrance Upgrade"/>
        <s v="Imperial Theatre Marquee"/>
        <s v="Delta Beausejour Ground Floor"/>
        <s v="National Bank Fit-up"/>
        <s v="CF Champlain Landlord Work - E010"/>
        <s v="Hilton Washrom Renovation"/>
        <s v="Home Depot Distric Office Reno"/>
        <s v="Killiam Properties Apartments"/>
        <s v="795 Main Elevator Addition"/>
        <s v="Kenny Moncton"/>
        <s v="Home Depot Washroom Renovation"/>
        <s v="Home Depot Assocciates Area Renovation"/>
        <s v="CFC LLW E008A"/>
        <s v="Regent Mall LLW Y7"/>
        <s v="Marshalls Uptown Centre"/>
        <s v="McDonald's Interior Re-image"/>
        <s v="Pur &amp; Simple "/>
        <s v="77 Vaughan Harvey 3rd Floor"/>
        <s v="Midland Washroom"/>
        <s v="Kelseys Pad - Regent Mall"/>
        <s v="EY Dieppe Office"/>
        <s v="YSJ HBS Recapitalization"/>
        <s v="Greenfield House Reno"/>
        <s v="Stewart Farms"/>
        <s v="Sears Regent Mall  - Interior Demolition"/>
        <s v="264 Botsford Office Fit-up"/>
        <s v="62 Water St Demo"/>
        <s v="11 Englehart Elevator Addition"/>
        <s v="12 Millenium Board Room"/>
        <s v="40 Unit Apartment - St George"/>
        <s v="Mountain Rd LL Work"/>
        <s v="JUUL Labs"/>
        <s v="SDM Kinlock"/>
        <s v="Medi Sante New Door"/>
        <s v="Imperial Theatre - Lobby CM Proposal"/>
        <s v="Pomodori Moncton"/>
        <s v="Imperial Theatre Office"/>
        <s v="St Louis Bar &amp; Grill Fredericton"/>
        <s v="232 Botsford - La Station"/>
        <s v="Starbucks Rothesay"/>
        <s v="Hillsborough Accessibility Upgrade"/>
        <s v="Sobeys Grand Bay Siding Repair"/>
        <s v="Cumberland Honda"/>
        <s v="115 Harrisville Blvd"/>
        <s v="Scotiabank Grand Bay"/>
        <s v="Grant Thornton Moncton, Swing Space"/>
        <s v="Regent Mall Sears Renovation"/>
        <s v="SE Mutual Exterior"/>
        <s v="Irving Riverside Drive"/>
        <s v="Wee College Salisbury"/>
        <s v="Regent Mall LL Work - L003A"/>
        <s v="Petsmart Uptown Centre"/>
        <s v="Justice Store"/>
        <s v="WSP Fredericton"/>
        <s v="Grant Thornton Moncton"/>
        <s v="215 Millennium"/>
        <s v="ANBL Riverview"/>
        <s v="Moncton Sportplex"/>
        <s v="St Louis Fredericton"/>
        <s v="Youth Impact Security Upgrade"/>
        <s v="CF Lounge"/>
        <s v="Window Addition"/>
        <s v="97 Unit Apartment"/>
        <s v="clos"/>
        <s v="Dr Mark MacIntosh"/>
        <s v="364 Argyle St. Lobby"/>
        <s v="NB Power Reno"/>
        <s v="Xperigo - Office Soundproofing"/>
        <s v="ECDG New Office"/>
        <s v="Cordova - Wee College Building"/>
        <s v="Marks MacAllister Place"/>
        <s v="EXP Office"/>
        <s v="CF Champlain LL Work - N009B"/>
        <s v="National Bank Stair Replacement"/>
        <s v="Pur &amp; Simple Fredericton"/>
        <s v="Copper Branch Halifax"/>
        <s v="Regent Mall LL Work - B2A"/>
        <s v="Home Hardware Woodstock"/>
        <s v="Procedure Flow"/>
        <s v="Elevator Budget"/>
        <s v="Grant Thornton Mountain Rd"/>
        <s v="The Brick - McAllister Place"/>
        <s v="500 Mapleton - Medical Clinic"/>
        <s v="50 Rue De Marche - Tony Bistro"/>
        <s v="Woodlawn Plaza Demo"/>
        <s v="CBRE Office"/>
        <s v="The Brick Charlottetown"/>
        <s v="215 Horsman - Englobe Office Reno"/>
        <s v="62 Water St - Art Gallery"/>
        <s v="Saint John Theatre Company"/>
        <s v="Wilsons Fuel Charlottetown"/>
        <s v="Wilsons Fuel Montague"/>
        <s v="The Brick"/>
        <s v="Dr Zed X-Ray"/>
        <s v="RW&amp;CO - Champlain Place"/>
        <s v="HD - Associate Area Refresh Halifax"/>
        <s v="CF Champlain - Sanitary Piping 2020"/>
        <s v="McInnes Cooper Fitup"/>
        <s v="Jones Lake Dental"/>
        <s v="1459 Hollis St - Benjamin Weir"/>
        <s v="Winners Demo"/>
        <s v="Kingswood University - Stairs Hall"/>
        <s v="Spa - Kinlock Plaza"/>
        <s v="Brewery Market Refresh"/>
        <s v="Homestead Rd Event Center - The Cidery"/>
        <s v="Magnetic Hill Zoo Food Service Building"/>
        <s v="CF Champlain Wall Repairs"/>
        <s v="CF Champlain SR#1 Elbow Replacement"/>
        <s v="Doyle Building"/>
        <s v="Compost Plant Tip Floor"/>
        <s v="KPMG CM Proposal"/>
        <s v="Harbourview Medical Clinic"/>
        <s v="1317 Amirault Street"/>
        <s v="23 Cornwall St - Shediac"/>
        <s v="26 Churchill - Building Expansion"/>
        <s v="Indian Island Oyster Facility"/>
        <s v="Lady Ada Apartment Building"/>
        <s v="Projet Classe 8ieme - Samuel de Champlain"/>
        <s v="Lawtons Catherwood - Consult Room"/>
        <s v="Lawtons McAllister - Consult Room"/>
        <s v="230 Coverdale Rd"/>
        <s v="800 Main - Happy Craft Brewery"/>
        <s v="Sequoia Downtown"/>
        <s v="Lorneville Office Reno"/>
        <s v="Elmtree Hill Development"/>
        <s v="Bath Hospital"/>
        <s v="Wee College 281 Amirault"/>
        <s v="The Wellington"/>
        <s v="Sobeys Tacoma"/>
        <s v="Foodland Grand Bay"/>
        <s v="HD Desk Replacement "/>
        <s v="HD Faucet Replacemnt"/>
        <s v="Pet Valu Spryfield"/>
        <s v="National Bank Elmwood Drive Lobby Renovation"/>
        <s v="MacGillivray Law Office Moncton"/>
        <s v="YUZU Sushi"/>
        <s v="123 Halifax Street - Loading Dock"/>
        <s v="40 Foundry Street - Office Renovation"/>
        <s v="Pinewood Plaza Tutoring School"/>
        <s v="Newcombe Drive Apartments"/>
        <s v="Plexus Office - 270 Baig Blvd."/>
        <s v="P9 Medical Clinics"/>
        <s v="Mountain View Dental - New Chair"/>
        <s v="Pettingill Professional Plaza"/>
        <s v="Lady Ada Professional Plaza"/>
        <s v="Dollarama Loch Lomond"/>
        <s v="Home Depot Associates Area Refresh 2021-22 Moncton"/>
        <s v="Home Depot Associates Area Refresh 2021-22 Fredericton"/>
        <s v="Home Depot Associates Area Refresh 2021-22 Nova Scotia"/>
        <s v="Home Depot Associate Area Refresh 2021-22 PEI"/>
        <s v="La Diperie"/>
        <s v="Coop Country Store Expansion"/>
        <s v="Freshii Moncton"/>
        <s v="Great Northern Auction"/>
        <s v="Sobeys ISF Brookside"/>
        <s v="Lawtons Brookside - Canada Post"/>
        <s v="Sobeys ISF Rothesay"/>
        <s v="Sobeys ISF East Point"/>
        <s v="Lawtons Catherwood - Wellness Center"/>
        <s v="22 King Street - Apartments"/>
        <s v="Vien Dong - 883 Main Street"/>
        <s v="Tomavo"/>
        <s v="Halo Donuts"/>
        <s v="Carriage Place Dental"/>
        <s v="80-88 Prince William Apartments"/>
        <s v="CIBC 448 Queen Street - Windows"/>
        <s v="Petiticodiac School Welding Shop"/>
        <s v="Quest Offices at P9"/>
        <s v="Steepleview Apartments"/>
        <s v="KVOS - Tenant B Pettingill Plaza"/>
        <s v="Centennial Self Storage - Indoor Storage"/>
        <s v="Wee College - 1167 Main Street"/>
        <s v="Peak Fitness - Englehart Training Center"/>
        <s v="OR Clinic - 585 Mapleton Road"/>
        <s v="Mountain View Dental - Staircase &amp; Renovations"/>
        <s v="Dr. Brent Howley - New Office @ 585 Mapleton Road"/>
        <s v="Son Dang Hanh - Storage Units"/>
        <s v="NS Pension Services - Purdy's Wharf"/>
        <s v="Tusk Dental"/>
        <s v="Diallo Developments Apartments - Ryan St."/>
        <s v="Pettingill - Tenant A Quispamsis Orthodontics"/>
        <s v="28 Steadman St Apartments"/>
        <s v="Arterra Wines - Concrete and Masonry Repairs"/>
        <s v="Centennial Self Storage - New exterior unit"/>
        <s v="ARCF - Café to Offices"/>
        <s v="616 Champlain Renovation"/>
        <s v="Sunbury Office Renovation"/>
        <s v="Sobeys Oromocto ISF Lite"/>
        <s v="Freak Lunch Box"/>
        <s v="Sackville 18-Unit"/>
        <s v="66 English Drive"/>
        <s v="Springwall Canada"/>
        <s v="20 Capital Drive, Charlottetown"/>
        <s v="Darwin Academy"/>
        <s v="The Newly Fredericton"/>
        <s v="The Sunshine Project"/>
        <s v="Pettingill - Tenant D Rehab 1"/>
        <s v="Pet Valu Findlay Blvd - LL Work"/>
        <s v="Home Depot Washroom Renovations 2022-2023 - Dartmouth"/>
        <s v="Home Depot Washroom Renovations 2022-2023 - Moncton, SJ, Fredericton"/>
        <s v="Mobia Washroom Renovation"/>
        <s v="Moncton Boys and Girls Club RTG Relocation"/>
        <s v="80-88 Prince William, SJ Apartments"/>
        <s v="Tire Shack Brewing Co"/>
        <s v="P9 - Phase 2"/>
        <s v="Lawtons Elmwood - Wellness"/>
        <s v="Lawtons McAllister - Wellness"/>
        <s v="CF Champlain LL Work E005A"/>
        <s v="Belle-Foret "/>
        <s v="Vision Ford"/>
        <s v="Scotiabank Westmorland Refresh"/>
        <s v="UNI Tannery Place Fit-up"/>
        <s v="Ophthalmology Office - Dieppe"/>
        <s v="CBCL Office Fit-up"/>
        <s v="553 Elmwood Base Building and Pad Prep"/>
        <s v="300 Price St Office Fit-up"/>
        <s v="Urbano Class D"/>
        <s v="755 Main St Renovation"/>
        <s v="Moncton B&amp;G Club - Gym"/>
        <s v="McIntyre Finn Law Offices"/>
        <s v="Louisbourg Offices"/>
        <s v="Fredericton VW"/>
        <s v="Trailway Brewery SJ"/>
        <s v="Boustan-Granite Dr"/>
        <s v="CF Champlain Landlord Work 007D and 007E"/>
        <s v="Subway"/>
        <s v="CF Champlain LL Work - Unit H005S"/>
        <s v="Glo Quispamsis"/>
        <s v="Dollarama Addition"/>
        <s v="Cox and Palmer Renovation"/>
        <s v="Napa Fredericton"/>
        <s v="4 Plex - Townhouses"/>
        <s v="Funtime Pools"/>
        <s v="Lawtons Brookside"/>
        <s v="Metalium Crane"/>
        <s v="Maclean Sports"/>
        <s v="CF Champlain C002C LLW"/>
        <s v="CF Champlain L007E LLW"/>
        <s v="Bioscript Level 4 Reno Common Area"/>
        <s v="Atlantic Wellness Office - LLW "/>
        <s v="Atlantic Wellness Office"/>
        <s v="CF Champlain LLW E002/E002S"/>
        <s v="Diallo - Riverbend"/>
        <s v=" Moncton Community Policing "/>
        <s v="Moncton Community Policing - LLW for 795 Main"/>
        <s v="Sandstone Brewing"/>
        <s v="Soulflower Spa - Tannery North"/>
        <s v="Home Hardware Storage"/>
        <s v="Home Depot Washroom Renos - Fredericton and Charlottetown"/>
        <s v="Corium Dermatology Clinic"/>
        <s v="SJ Fairville Canadian Tire Reno"/>
        <s v="Freak Lunchbox"/>
        <s v="C002B LLW"/>
        <s v="Bedford Canadian Tire Reno"/>
        <s v="LLW B004D"/>
        <s v="Home Depot Washroom Renos - Moncton"/>
        <s v="Home Depot Washroom Renos - SJ"/>
        <s v="Prisma Dental"/>
        <s v="SJ Popeyes"/>
        <s v="111 Joyce Avenue"/>
        <s v="Soul Flower North"/>
        <s v="Shoppers-Superstore"/>
        <s v="Klozet"/>
        <s v="Presotea - Petitcodiac Plaza"/>
        <s v="Dollarama Expansion - Miramichi"/>
        <s v="Lounsbury Office Renovation"/>
        <s v="Orchard Hill Phase 2 Class D Estimate"/>
        <s v="Subway Reno 1040 Champlain"/>
        <s v="Smart Center Building H"/>
        <s v="Popeyes Fredericton"/>
        <s v="Wee College Trites"/>
        <s v="Dollarama Expansion Sussex"/>
        <s v="Pet Value &amp; Easy Financial LLW Sussex"/>
        <s v="Jemmy's Gourmet"/>
        <s v="SJ Montana's"/>
        <s v="National Bank Richibucto"/>
        <s v="CF Champlain Sanitary Modifications"/>
        <s v="Tesla Retail Moncton"/>
        <s v="Sackville Clinic"/>
        <s v="New York Fries"/>
        <s v="Meltwich - Petitcodiac Plaza"/>
        <s v="Kenny U Pull"/>
        <s v="Keith Road, Phase 1 rue Origine"/>
        <s v="H&amp;R Block LLW Moncton"/>
        <s v="Moncton Boys and Girls Club - Afterschool Room Upgrades"/>
        <s v="Sobeys Baby Boutique - Elmwood"/>
        <s v="Sobeys Baby Boutique - Oromocto"/>
        <s v="Sports Chek"/>
        <s v="CF Champlain J003A LLW"/>
        <s v="Burnside Irving"/>
        <s v="CF Champlain R003B LLW"/>
        <s v="Air Canada Fredericton"/>
        <s v="Sobeys Paquetville"/>
        <s v="Hart Miramichi"/>
        <s v="Air Canada Moncton"/>
        <s v="Air Canada Halifax"/>
        <s v="Easy Financial - Moncton"/>
        <s v="Glo Expansion Dieppe"/>
        <s v="24 Rideout Street Expansion"/>
        <s v="BlueBird Self Storage Dieppe"/>
        <s v="Eastgate Academy "/>
        <s v="Air Canada - Saint John"/>
        <s v="Wee College MacNaughton"/>
        <s v="Pomodori"/>
        <s v="H &amp;R Block Northwest Center"/>
        <s v="1000 Dever Road"/>
        <s v="Stacked Pancake LLW - Petitcodiac Plaza"/>
        <s v="Diallo Ryan St Townhouses "/>
        <s v="Moncton Neurology"/>
        <s v="UAP/NAPA Addition"/>
        <s v="National Bank Memramcook Renovation - ATM Vestibule"/>
        <s v="Elle Mio"/>
        <s v="Pizza Salvatore"/>
        <s v="BGC Moncton Kitchen Reno"/>
        <s v="McLaughlin Studios"/>
        <s v="Stacked Pancake LLW - Plaza Blvd"/>
        <s v="Silver Fox Veterinary"/>
        <s v="360 Acadie Parking"/>
        <s v="Dollarama Expansion"/>
        <s v="Canadian Tire Reno - SJ Westmorland"/>
        <s v="First Canadian Title"/>
        <s v="Booster Juice Prospect St, Fredericton"/>
        <s v="Bubba's Tubs"/>
        <s v="Create NB"/>
        <s v="2500 Mountain Road Multi-Res"/>
        <s v="Lawtons Brunswick Square"/>
        <s v="Sobeys Brookside"/>
        <s v="Moncton Airport Modification"/>
        <s v="Stacked Pancake &amp; Firehouse LLW"/>
        <s v="Thomas Hyundai"/>
        <s v="Nancy Nails"/>
        <s v="National Bank"/>
        <s v="CT Regis St"/>
        <s v=" SJ Montana's "/>
        <s v=" Esso Exterior Renovation "/>
        <s v="Bannon House"/>
        <s v="Van Houtte Coffee"/>
        <s v="Firehouse Subs - Saint John"/>
        <s v="Trane Canada Class D Estimate"/>
        <s v="Money Mart EFIS Painting"/>
        <s v="Lafarge Cement Cartage - Washroom Refurbishment"/>
        <s v="Lafarge Cement Cartage - Window Installation"/>
        <s v="Lafarge Cement Cartage - Gravel Pad"/>
        <s v="Lafarge Cement Cartage - Exhaust Fans"/>
        <s v="Oscar Wylee Fit-up"/>
        <s v="Plaza LLW - M&amp;M Meats"/>
        <s v="Biggs Drive Apartment"/>
        <s v="Origine Building N"/>
        <s v="Origine Building O"/>
        <s v="Origine Building P"/>
        <s v="Cannabis NB &amp; Noodle Box"/>
        <s v="Harvest House "/>
        <s v="ARCF Quispamsis"/>
        <s v="Midtown Motel - 61-65 Weldon Street"/>
        <s v="Sobeys Woodstock"/>
        <s v="M&amp;M Meats Fit-up Dieppe"/>
        <s v="Firehouse Subs Fairville LLW"/>
        <s v="Organigram Vegetation Rooms and Connector Building"/>
        <s v="Smiles Dental"/>
        <s v="1110 Cleveland Phase1"/>
        <s v="AprilVets 2 Nations Crossing"/>
        <s v="Stacked Pancakes &amp; Firehouse Subs"/>
        <s v="Via Rail Repair Work"/>
        <s v="Elmwood Strip"/>
        <s v="A&amp;W Bathurst"/>
        <s v="Wee Thrive"/>
        <s v="110 Westmorland Road"/>
        <s v="Dr. Goel Dental Office"/>
        <s v="Skin Clinic - 585 Mapleton"/>
        <s v="Elmwood Plaza"/>
        <s v="Samuel de Champlain Washroom Conversion"/>
        <s v="Princess Auto Renovation"/>
        <s v="273 Acadie Ave."/>
        <s v="Atlantic Wellness Expansion - Tenant"/>
        <s v="Atlantic Wellness Expansion - Landlord"/>
        <s v="Lafarge Cement Cartage"/>
        <s v="Lady Ada - Phase 2"/>
        <s v="855 Dieppe - Dental Office Fit-up"/>
        <s v="Winners - Granville St Plaza"/>
        <s v="Cineplex Roof Option 1 - Replacement"/>
        <s v="Firehouse Subs LLW - Granville St Plaza"/>
        <s v="723 Coverdale"/>
        <s v="West Main Daycare"/>
        <s v=" Mt A Animal Lab "/>
        <s v="Samuel-de-Champlain Interior Renovation"/>
        <s v="Grand Barachois Amphitheatre and Washroom Project "/>
        <s v="Home Depot Associates Area SJ"/>
        <s v="Shediac Dental Clinic"/>
        <s v="Goodlife Fredericton Uptown Centre"/>
        <s v="Salisbury Rd - Building A (Phase 1)"/>
        <s v="Foodland Tatamagouche"/>
        <s v="St George YMCA Daycare"/>
        <s v="230 Champlain Str. - Suite 101 Chopsticks"/>
        <s v="Tim Hortons Sussex"/>
        <s v="Lawtons Suite 206, 208, 209"/>
        <s v="15 Unit Apartment"/>
        <s v="Conceptia Fit-Up"/>
        <s v="Dannex Base Building 20,000 sq.ft."/>
        <s v="New Public Works Garage Grand Bay-Westfield"/>
        <s v="Tim Hortons Bathurst"/>
        <s v="Buckingham Apartments - Building 1"/>
        <s v="Buckingham Apartments - Building 2"/>
        <s v="Princess Auto - 50,000 SF"/>
        <m/>
        <s v="Princess Auto" u="1"/>
        <s v="Atlantic Wellness Expansion" u="1"/>
        <s v="Vegetation Rooms and Connector Building" u="1"/>
        <s v="Organigram Vegetation Rooms &amp; Connector Building" u="1"/>
        <s v="Youth Impact Building Repairs" u="1"/>
        <s v="536 Mountain Road - Youth Impact" u="1"/>
        <s v="Home 2 Suites Charlottetown" u="1"/>
        <s v="Greenfoot Energy" u="1"/>
        <s v="Colliers Moncton Office" u="1"/>
        <s v="Trinity Auto Mall - Containers" u="1"/>
        <s v="Beal University " u="1"/>
        <s v="Community Credit Union" u="1"/>
        <s v="Unifor Moncton Office Renovation" u="1"/>
        <s v="Horseman Rd Fit-up Class D Budget" u="1"/>
        <s v="Cornerstone Chapel" u="1"/>
        <s v="Fitness Studio - Horseman Road" u="1"/>
        <s v="BlueBird Self Storage" u="1"/>
        <s v="Beal University Demo &amp; Arch" u="1"/>
        <s v="LLW for 795 Main, Community Policing" u="1"/>
        <s v="Beal University Demo" u="1"/>
        <s v="Atlantic Wellness Office - 50 King St" u="1"/>
        <s v="Atlantic Wellness - 50 King St" u="1"/>
        <s v="CF Champlain Sanitary Modification 1986" u="1"/>
        <s v="Home Depot Washroom Renos - Moncton and SJ" u="1"/>
        <s v="Dermatology Clinic" u="1"/>
        <s v="Hilsborough Accessibility Upgrade" u="1"/>
        <s v="Project Title" u="1"/>
        <s v="OR Clinic - 585 Mountain Road" u="1"/>
        <s v="800 Main - Brewery" u="1"/>
        <s v="97 Unit Apartment - CM Proposal" u="1"/>
        <s v="Homestead Rd Event Center" u="1"/>
        <s v="11 Englehart - LL Work" u="1"/>
        <s v="Home Depot - Faucet Replacement program" u="1"/>
        <s v="Diallo Developments Apartments" u="1"/>
        <s v="Steadman St Apartments" u="1"/>
        <s v="Home Depot Desk Replacement " u="1"/>
        <s v="Home Depot Washroom Renovations 2022-2023" u="1"/>
        <s v="Youth Impact Secuirty Upgrade" u="1"/>
        <s v="Home Depot Faucet Replacemnt" u="1"/>
        <s v="71 King St Exterior Facde &amp; Landlord Work" u="1"/>
        <s v="Jull Labs" u="1"/>
        <s v="Dr. Brent Howley - New Office @ 585 Mountain Road" u="1"/>
        <s v="MacLeans Power Sports" u="1"/>
        <s v="Loon Lake" u="1"/>
        <s v="11 Engleheart - LL Work" u="1"/>
        <s v="Lawtons McAllister" u="1"/>
        <s v="LL Work - N009B" u="1"/>
        <s v="Peak Fitness - Dieppe Training Center" u="1"/>
        <s v=" Atlantic Wellness - 50 King St" u="1"/>
        <s v="Regen Mall Sears Alteration" u="1"/>
        <s v="Bathurst Nissan" u="1"/>
        <s v="Dealta Beau Ground Floor" u="1"/>
        <s v="HD - Associate Area Refresh" u="1"/>
      </sharedItems>
    </cacheField>
    <cacheField name="Type of Construction" numFmtId="0">
      <sharedItems containsBlank="1" count="5">
        <m/>
        <s v="Food"/>
        <s v="Retail"/>
        <s v="Office"/>
        <s v="Multi Residential"/>
      </sharedItems>
    </cacheField>
    <cacheField name="Area" numFmtId="0">
      <sharedItems containsString="0" containsBlank="1" containsNumber="1" minValue="100" maxValue="144193" count="320">
        <n v="6000"/>
        <m/>
        <n v="5000"/>
        <n v="1534"/>
        <n v="12863"/>
        <n v="1900"/>
        <n v="3312"/>
        <n v="3000"/>
        <n v="1000"/>
        <n v="23094"/>
        <n v="12730"/>
        <n v="2030"/>
        <n v="850"/>
        <n v="8863"/>
        <n v="2698"/>
        <n v="1587"/>
        <n v="1404"/>
        <n v="1706"/>
        <n v="4000"/>
        <n v="13549"/>
        <n v="14850"/>
        <n v="600"/>
        <n v="2500"/>
        <n v="1300"/>
        <n v="3021"/>
        <n v="10821.73"/>
        <n v="2800"/>
        <n v="950"/>
        <n v="450"/>
        <n v="500"/>
        <n v="6984"/>
        <n v="2040"/>
        <n v="8000"/>
        <n v="980"/>
        <n v="4144.1399999999994"/>
        <n v="2000"/>
        <n v="3760"/>
        <n v="16500"/>
        <n v="25629.65"/>
        <n v="2623"/>
        <n v="173"/>
        <n v="10000"/>
        <n v="6295"/>
        <n v="1200"/>
        <n v="800"/>
        <n v="6500"/>
        <n v="53057"/>
        <n v="2400"/>
        <n v="1600"/>
        <n v="465"/>
        <n v="35000"/>
        <n v="4536"/>
        <n v="9740"/>
        <n v="100"/>
        <n v="3650"/>
        <n v="1080"/>
        <n v="2100"/>
        <n v="21510"/>
        <n v="2175"/>
        <n v="4520"/>
        <n v="82944"/>
        <n v="4600"/>
        <n v="3268"/>
        <n v="15755"/>
        <n v="4250"/>
        <n v="7098"/>
        <n v="13720"/>
        <n v="3596"/>
        <n v="9968"/>
        <n v="5855"/>
        <n v="5100"/>
        <n v="3482"/>
        <n v="200"/>
        <n v="118200"/>
        <n v="4100"/>
        <n v="350"/>
        <n v="294"/>
        <n v="7500"/>
        <n v="18960"/>
        <n v="3150"/>
        <n v="2863.0625"/>
        <n v="3995"/>
        <n v="17060"/>
        <n v="1944"/>
        <n v="150"/>
        <n v="35316"/>
        <n v="2300"/>
        <n v="1150"/>
        <n v="31200"/>
        <n v="300"/>
        <n v="12000"/>
        <n v="2016"/>
        <n v="1024"/>
        <n v="33314"/>
        <n v="4347"/>
        <n v="1089"/>
        <n v="5112"/>
        <n v="21736"/>
        <n v="3500"/>
        <n v="7199"/>
        <n v="9600"/>
        <n v="3121"/>
        <n v="43500"/>
        <n v="24857.142857142859"/>
        <n v="4532"/>
        <n v="11475"/>
        <n v="700"/>
        <n v="60000"/>
        <n v="3376"/>
        <n v="1715"/>
        <n v="33000"/>
        <n v="3524.9580000000005"/>
        <n v="50319.790247199999"/>
        <n v="14636"/>
        <n v="4385"/>
        <n v="5316"/>
        <n v="775"/>
        <n v="320"/>
        <n v="29698"/>
        <n v="1700"/>
        <n v="11000"/>
        <n v="1044"/>
        <n v="1480"/>
        <n v="767"/>
        <n v="693"/>
        <n v="776"/>
        <n v="1100"/>
        <n v="9042"/>
        <n v="5076"/>
        <n v="1670"/>
        <n v="14074"/>
        <n v="17812.400000000001"/>
        <n v="92760"/>
        <n v="3351"/>
        <n v="8335"/>
        <n v="28293"/>
        <n v="2939"/>
        <n v="9000"/>
        <n v="22248"/>
        <n v="35914"/>
        <n v="3894"/>
        <n v="16800"/>
        <n v="4200"/>
        <n v="1326"/>
        <n v="5167"/>
        <n v="625"/>
        <n v="22937"/>
        <n v="48055"/>
        <n v="5153"/>
        <n v="7984"/>
        <n v="4500"/>
        <n v="61693"/>
        <n v="2850"/>
        <n v="3486"/>
        <n v="250"/>
        <n v="672"/>
        <n v="144193"/>
        <n v="12970"/>
        <n v="78220"/>
        <n v="19380"/>
        <n v="7250"/>
        <n v="4770"/>
        <n v="9800"/>
        <n v="68427"/>
        <n v="13175.025839999998"/>
        <n v="4638"/>
        <n v="5050"/>
        <n v="20875"/>
        <n v="4114"/>
        <n v="1401"/>
        <n v="1954"/>
        <n v="1864"/>
        <n v="10064"/>
        <n v="17815"/>
        <n v="12680"/>
        <n v="4830"/>
        <n v="9910"/>
        <n v="14190"/>
        <n v="21526"/>
        <n v="3322"/>
        <n v="760"/>
        <n v="3998"/>
        <n v="17862"/>
        <n v="28688"/>
        <n v="3929"/>
        <n v="1694"/>
        <n v="2505"/>
        <n v="2226"/>
        <n v="8471"/>
        <n v="720"/>
        <n v="7185"/>
        <n v="712"/>
        <n v="6960"/>
        <n v="2368"/>
        <n v="63450"/>
        <n v="1500"/>
        <n v="62000"/>
        <n v="3800"/>
        <n v="900"/>
        <n v="49900"/>
        <n v="1912"/>
        <n v="21780"/>
        <n v="2478"/>
        <n v="6700"/>
        <n v="2011"/>
        <n v="6225"/>
        <n v="7191"/>
        <n v="8869"/>
        <n v="758"/>
        <n v="5081"/>
        <n v="2137"/>
        <n v="2700"/>
        <n v="330"/>
        <n v="1216"/>
        <n v="400"/>
        <n v="1429"/>
        <n v="5500"/>
        <n v="1629"/>
        <n v="828"/>
        <n v="12745"/>
        <n v="10612"/>
        <n v="1950"/>
        <n v="9276"/>
        <n v="3200"/>
        <n v="3520"/>
        <n v="99900"/>
        <n v="7700"/>
        <n v="3341"/>
        <n v="1755"/>
        <n v="7424"/>
        <n v="2380"/>
        <n v="51596"/>
        <n v="3773"/>
        <n v="18354"/>
        <n v="157"/>
        <n v="1697"/>
        <n v="1223"/>
        <n v="3928"/>
        <n v="2372"/>
        <n v="4416"/>
        <n v="26500"/>
        <n v="7325"/>
        <n v="5313"/>
        <n v="4968"/>
        <n v="65592"/>
        <n v="8502"/>
        <n v="47128"/>
        <n v="4400"/>
        <n v="11236"/>
        <n v="1347"/>
        <n v="14000"/>
        <n v="1875"/>
        <n v="868"/>
        <n v="1594"/>
        <n v="2692"/>
        <n v="852"/>
        <n v="51456"/>
        <n v="59130"/>
        <n v="31785"/>
        <n v="3691"/>
        <n v="5905"/>
        <n v="15040"/>
        <n v="42700"/>
        <n v="1690"/>
        <n v="3080"/>
        <n v="9383.2999999999993"/>
        <n v="336"/>
        <n v="102372"/>
        <n v="3816"/>
        <n v="4287"/>
        <n v="1400"/>
        <n v="2153"/>
        <n v="16145"/>
        <n v="25500"/>
        <n v="1747"/>
        <n v="5336"/>
        <n v="2880"/>
        <n v="592.0695144"/>
        <n v="10534"/>
        <n v="41859"/>
        <n v="1630"/>
        <n v="12191"/>
        <n v="139443"/>
        <n v="22307"/>
        <n v="42100"/>
        <n v="21053"/>
        <n v="1085"/>
        <n v="5858"/>
        <n v="580"/>
        <n v="3818"/>
        <n v="30087"/>
        <n v="64000"/>
        <n v="9500"/>
        <n v="6190"/>
        <n v="734"/>
        <n v="2190"/>
        <n v="4277"/>
        <n v="9591"/>
        <n v="9650"/>
        <n v="19934"/>
        <n v="10474"/>
        <n v="2242"/>
        <n v="67650"/>
        <n v="50268"/>
        <n v="52260" u="1"/>
        <n v="43283" u="1"/>
        <n v="40000" u="1"/>
        <n v="77397" u="1"/>
        <n v="21678" u="1"/>
        <n v="103200" u="1"/>
        <n v="808" u="1"/>
        <n v="8763" u="1"/>
        <n v="2919" u="1"/>
        <n v="2607" u="1"/>
        <n v="3212" u="1"/>
        <n v="44700" u="1"/>
        <n v="42189" u="1"/>
        <n v="24000" u="1"/>
        <n v="1225" u="1"/>
        <n v="20000" u="1"/>
      </sharedItems>
    </cacheField>
    <cacheField name="Contract Type" numFmtId="0">
      <sharedItems containsBlank="1" count="14">
        <s v="Design Build"/>
        <s v="CCDC 2"/>
        <s v="CCDC 5B"/>
        <s v="CCDC 5A"/>
        <s v=" CCDC 2 "/>
        <m/>
        <s v="CCDC 5B " u="1"/>
        <s v="Stipulated Price" u="1"/>
        <s v="CM" u="1"/>
        <s v="CCDC" u="1"/>
        <s v=" CCDC 5B " u="1"/>
        <s v="CCDC2" u="1"/>
        <s v="Stip Price" u="1"/>
        <s v="Construction Management" u="1"/>
      </sharedItems>
    </cacheField>
    <cacheField name="Payment Method" numFmtId="0">
      <sharedItems containsBlank="1"/>
    </cacheField>
    <cacheField name="Estimate Price" numFmtId="0">
      <sharedItems containsString="0" containsBlank="1" containsNumber="1" minValue="3260" maxValue="32774597.774034686"/>
    </cacheField>
    <cacheField name="Price Category" numFmtId="0">
      <sharedItems containsBlank="1"/>
    </cacheField>
    <cacheField name="Schedule" numFmtId="0">
      <sharedItems containsString="0" containsBlank="1" containsNumber="1" minValue="0" maxValue="96"/>
    </cacheField>
    <cacheField name="Soft Cost" numFmtId="0">
      <sharedItems containsString="0" containsBlank="1" containsNumber="1" minValue="0" maxValue="1962679.5340346878"/>
    </cacheField>
    <cacheField name="Cost per Week" numFmtId="0">
      <sharedItems containsString="0" containsBlank="1" containsNumber="1" minValue="0" maxValue="25406"/>
    </cacheField>
    <cacheField name="Margin" numFmtId="0">
      <sharedItems containsString="0" containsBlank="1" containsNumber="1" minValue="0" maxValue="0.35608319637904118"/>
    </cacheField>
    <cacheField name="Status" numFmtId="0">
      <sharedItems containsBlank="1" containsMixedTypes="1" containsNumber="1" containsInteger="1" minValue="2" maxValue="2" count="5">
        <s v="Awarded"/>
        <s v="Not Awarded"/>
        <s v="Pending"/>
        <m/>
        <n v="2" u="1"/>
      </sharedItems>
    </cacheField>
    <cacheField name="Bid Docs" numFmtId="0">
      <sharedItems containsBlank="1" containsMixedTypes="1" containsNumber="1" containsInteger="1" minValue="0" maxValue="0" count="30">
        <s v="Spec"/>
        <m/>
        <s v="DD / Spec"/>
        <s v="DD"/>
        <s v="Prelim DD"/>
        <s v="Spec / Site Visit"/>
        <s v="Site Visit"/>
        <s v="Scope of Work"/>
        <s v="Site Visit / DD"/>
        <s v="Design Drawings, Spec"/>
        <s v="Spec/ Site Visit"/>
        <s v="Site Visit / Drawings"/>
        <s v="DD/ Site Visit"/>
        <n v="0"/>
        <s v="Sketch / Site Visit"/>
        <s v="DD / Site Visit"/>
        <s v="Design"/>
        <s v="SOW / Sketch"/>
        <s v="Site Visit / SOW"/>
        <s v="Rendering"/>
        <s v="Sketch"/>
        <s v="Spec / Proposed Layout"/>
        <s v="DCD"/>
        <s v="Design "/>
        <s v="Drawing, SOW"/>
        <s v="SOW"/>
        <s v="DD / SOW "/>
        <s v="Design Drawings"/>
        <s v="Design Documents"/>
        <s v="Drawings"/>
      </sharedItems>
    </cacheField>
    <cacheField name="Successful / Unsucessful" numFmtId="0">
      <sharedItems containsBlank="1" count="8">
        <s v="Successful"/>
        <s v="Unsuccessful"/>
        <m/>
        <s v="Unsucsessful" u="1"/>
        <s v="Unsueccessful" u="1"/>
        <s v="Tenant" u="1"/>
        <s v="Unsuccsessful" u="1"/>
        <s v="Sucessful" u="1"/>
      </sharedItems>
    </cacheField>
    <cacheField name="Column1" numFmtId="0">
      <sharedItems containsString="0" containsBlank="1" containsNumber="1" minValue="9349.9952499999999" maxValue="11000000"/>
    </cacheField>
    <cacheField name="Bid Target" numFmtId="0" formula="3333333" databaseField="0"/>
    <cacheField name="Award Target" numFmtId="0" formula="750000" databaseField="0"/>
  </cacheFields>
  <extLst>
    <ext xmlns:x14="http://schemas.microsoft.com/office/spreadsheetml/2009/9/main" uri="{725AE2AE-9491-48be-B2B4-4EB974FC3084}">
      <x14:pivotCacheDefinition pivotCacheId="621375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d v="2017-11-16T00:00:00"/>
    <x v="0"/>
    <x v="0"/>
    <x v="0"/>
    <x v="0"/>
    <n v="2456"/>
    <x v="0"/>
    <x v="0"/>
    <x v="0"/>
    <x v="0"/>
    <s v="Stipulated Price"/>
    <n v="1644513"/>
    <s v="C"/>
    <n v="16"/>
    <n v="112033.87"/>
    <n v="8002"/>
    <n v="6.8099999999999994E-2"/>
    <x v="0"/>
    <x v="0"/>
    <x v="0"/>
    <m/>
  </r>
  <r>
    <d v="2017-12-01T00:00:00"/>
    <x v="1"/>
    <x v="1"/>
    <x v="1"/>
    <x v="1"/>
    <n v="2460"/>
    <x v="1"/>
    <x v="0"/>
    <x v="1"/>
    <x v="1"/>
    <s v="Stipulated Price"/>
    <n v="39432"/>
    <s v="D"/>
    <m/>
    <m/>
    <m/>
    <n v="0.25"/>
    <x v="1"/>
    <x v="1"/>
    <x v="1"/>
    <m/>
  </r>
  <r>
    <d v="2017-12-15T00:00:00"/>
    <x v="1"/>
    <x v="1"/>
    <x v="0"/>
    <x v="0"/>
    <n v="2461"/>
    <x v="2"/>
    <x v="0"/>
    <x v="1"/>
    <x v="1"/>
    <s v="Stipulated Price"/>
    <n v="232018"/>
    <s v="D"/>
    <m/>
    <m/>
    <m/>
    <n v="0.1215"/>
    <x v="0"/>
    <x v="2"/>
    <x v="0"/>
    <m/>
  </r>
  <r>
    <d v="2017-12-21T00:00:00"/>
    <x v="1"/>
    <x v="1"/>
    <x v="0"/>
    <x v="2"/>
    <n v="2462"/>
    <x v="3"/>
    <x v="0"/>
    <x v="1"/>
    <x v="1"/>
    <s v="Stipulated Price"/>
    <n v="155835"/>
    <s v="D"/>
    <m/>
    <m/>
    <m/>
    <n v="0.17480000000000001"/>
    <x v="1"/>
    <x v="1"/>
    <x v="1"/>
    <m/>
  </r>
  <r>
    <d v="2017-12-21T00:00:00"/>
    <x v="1"/>
    <x v="1"/>
    <x v="1"/>
    <x v="1"/>
    <n v="2463"/>
    <x v="4"/>
    <x v="0"/>
    <x v="1"/>
    <x v="1"/>
    <s v="Stipulated Price"/>
    <n v="253429"/>
    <s v="D"/>
    <m/>
    <m/>
    <m/>
    <n v="0.21970000000000001"/>
    <x v="1"/>
    <x v="1"/>
    <x v="1"/>
    <m/>
  </r>
  <r>
    <d v="2018-01-01T00:00:00"/>
    <x v="1"/>
    <x v="1"/>
    <x v="0"/>
    <x v="2"/>
    <n v="2464"/>
    <x v="5"/>
    <x v="0"/>
    <x v="1"/>
    <x v="1"/>
    <s v="Stipulated Price"/>
    <n v="477815"/>
    <s v="D"/>
    <m/>
    <m/>
    <m/>
    <n v="0.14099999999999999"/>
    <x v="1"/>
    <x v="1"/>
    <x v="1"/>
    <m/>
  </r>
  <r>
    <d v="2018-01-01T00:00:00"/>
    <x v="1"/>
    <x v="1"/>
    <x v="0"/>
    <x v="3"/>
    <n v="2467"/>
    <x v="6"/>
    <x v="0"/>
    <x v="1"/>
    <x v="1"/>
    <s v="Stipulated Price"/>
    <n v="2400000"/>
    <s v="B"/>
    <m/>
    <m/>
    <m/>
    <n v="0.08"/>
    <x v="1"/>
    <x v="1"/>
    <x v="1"/>
    <m/>
  </r>
  <r>
    <d v="2018-01-01T00:00:00"/>
    <x v="1"/>
    <x v="1"/>
    <x v="0"/>
    <x v="0"/>
    <n v="2468"/>
    <x v="7"/>
    <x v="0"/>
    <x v="1"/>
    <x v="1"/>
    <s v="Stipulated Price"/>
    <n v="47640"/>
    <s v="D"/>
    <m/>
    <m/>
    <m/>
    <n v="0.14799999999999999"/>
    <x v="1"/>
    <x v="1"/>
    <x v="1"/>
    <m/>
  </r>
  <r>
    <d v="2018-01-01T00:00:00"/>
    <x v="1"/>
    <x v="1"/>
    <x v="0"/>
    <x v="0"/>
    <n v="2469"/>
    <x v="8"/>
    <x v="0"/>
    <x v="1"/>
    <x v="1"/>
    <s v="Stipulated Price"/>
    <n v="276288"/>
    <s v="D"/>
    <m/>
    <m/>
    <m/>
    <n v="0.10150000000000001"/>
    <x v="1"/>
    <x v="1"/>
    <x v="1"/>
    <m/>
  </r>
  <r>
    <d v="2018-01-01T00:00:00"/>
    <x v="1"/>
    <x v="1"/>
    <x v="0"/>
    <x v="3"/>
    <n v="2471"/>
    <x v="9"/>
    <x v="0"/>
    <x v="1"/>
    <x v="1"/>
    <s v="Stipulated Price"/>
    <n v="74230"/>
    <s v="D"/>
    <m/>
    <m/>
    <m/>
    <n v="0.24779999999999999"/>
    <x v="0"/>
    <x v="1"/>
    <x v="0"/>
    <m/>
  </r>
  <r>
    <d v="2018-02-01T00:00:00"/>
    <x v="1"/>
    <x v="1"/>
    <x v="0"/>
    <x v="0"/>
    <n v="2480"/>
    <x v="10"/>
    <x v="0"/>
    <x v="1"/>
    <x v="1"/>
    <s v="Stipulated Price"/>
    <n v="166349.51999999999"/>
    <s v="D"/>
    <m/>
    <m/>
    <m/>
    <n v="0.16600000000000001"/>
    <x v="1"/>
    <x v="1"/>
    <x v="1"/>
    <m/>
  </r>
  <r>
    <d v="2018-02-01T00:00:00"/>
    <x v="1"/>
    <x v="1"/>
    <x v="0"/>
    <x v="3"/>
    <n v="2482"/>
    <x v="11"/>
    <x v="0"/>
    <x v="1"/>
    <x v="1"/>
    <s v="Stipulated Price"/>
    <n v="32338.560000000001"/>
    <s v="D"/>
    <m/>
    <m/>
    <m/>
    <n v="0.34639999999999999"/>
    <x v="1"/>
    <x v="1"/>
    <x v="1"/>
    <m/>
  </r>
  <r>
    <d v="2018-02-01T00:00:00"/>
    <x v="1"/>
    <x v="1"/>
    <x v="0"/>
    <x v="0"/>
    <n v="2484"/>
    <x v="12"/>
    <x v="0"/>
    <x v="1"/>
    <x v="1"/>
    <s v="Stipulated Price"/>
    <n v="169062"/>
    <s v="D"/>
    <m/>
    <m/>
    <m/>
    <n v="0.1368"/>
    <x v="1"/>
    <x v="1"/>
    <x v="1"/>
    <m/>
  </r>
  <r>
    <d v="2018-02-01T00:00:00"/>
    <x v="1"/>
    <x v="1"/>
    <x v="0"/>
    <x v="3"/>
    <n v="2481"/>
    <x v="13"/>
    <x v="0"/>
    <x v="1"/>
    <x v="1"/>
    <s v="Stipulated Price"/>
    <n v="164616.4"/>
    <s v="D"/>
    <m/>
    <m/>
    <m/>
    <n v="0.13880000000000001"/>
    <x v="1"/>
    <x v="1"/>
    <x v="1"/>
    <m/>
  </r>
  <r>
    <d v="2018-03-01T00:00:00"/>
    <x v="1"/>
    <x v="2"/>
    <x v="0"/>
    <x v="0"/>
    <n v="2485"/>
    <x v="14"/>
    <x v="0"/>
    <x v="1"/>
    <x v="1"/>
    <s v="Stipulated Price"/>
    <n v="274173.7"/>
    <s v="D"/>
    <m/>
    <m/>
    <m/>
    <n v="0.16600000000000001"/>
    <x v="1"/>
    <x v="1"/>
    <x v="1"/>
    <m/>
  </r>
  <r>
    <d v="2018-03-01T00:00:00"/>
    <x v="1"/>
    <x v="2"/>
    <x v="0"/>
    <x v="2"/>
    <n v="2486"/>
    <x v="15"/>
    <x v="0"/>
    <x v="1"/>
    <x v="1"/>
    <s v="Stipulated Price"/>
    <n v="282909.03000000003"/>
    <s v="D"/>
    <m/>
    <m/>
    <m/>
    <n v="0.15939999999999999"/>
    <x v="1"/>
    <x v="1"/>
    <x v="1"/>
    <m/>
  </r>
  <r>
    <d v="2018-03-01T00:00:00"/>
    <x v="1"/>
    <x v="2"/>
    <x v="0"/>
    <x v="3"/>
    <n v="2487"/>
    <x v="16"/>
    <x v="0"/>
    <x v="1"/>
    <x v="1"/>
    <s v="Stipulated Price"/>
    <n v="532650"/>
    <s v="C"/>
    <m/>
    <m/>
    <m/>
    <n v="9.7199999999999995E-2"/>
    <x v="1"/>
    <x v="1"/>
    <x v="1"/>
    <m/>
  </r>
  <r>
    <d v="2018-03-01T00:00:00"/>
    <x v="1"/>
    <x v="2"/>
    <x v="0"/>
    <x v="3"/>
    <n v="2488"/>
    <x v="17"/>
    <x v="0"/>
    <x v="1"/>
    <x v="2"/>
    <s v="Fixed Fee"/>
    <n v="846415"/>
    <s v="C"/>
    <m/>
    <m/>
    <m/>
    <n v="0.15"/>
    <x v="1"/>
    <x v="1"/>
    <x v="1"/>
    <m/>
  </r>
  <r>
    <d v="2018-03-01T00:00:00"/>
    <x v="1"/>
    <x v="2"/>
    <x v="0"/>
    <x v="0"/>
    <n v="2490"/>
    <x v="18"/>
    <x v="0"/>
    <x v="1"/>
    <x v="2"/>
    <s v="Fixed Fee"/>
    <n v="1707903.54"/>
    <s v="C"/>
    <m/>
    <m/>
    <m/>
    <n v="7.7399999999999997E-2"/>
    <x v="1"/>
    <x v="1"/>
    <x v="1"/>
    <m/>
  </r>
  <r>
    <d v="2018-04-09T00:00:00"/>
    <x v="1"/>
    <x v="2"/>
    <x v="0"/>
    <x v="0"/>
    <n v="2493"/>
    <x v="19"/>
    <x v="0"/>
    <x v="2"/>
    <x v="2"/>
    <s v="Fixed Fee"/>
    <n v="727727.98"/>
    <s v="C"/>
    <n v="14"/>
    <n v="73473.119999999995"/>
    <n v="5248.08"/>
    <n v="0.10100000000000001"/>
    <x v="1"/>
    <x v="0"/>
    <x v="1"/>
    <m/>
  </r>
  <r>
    <d v="2018-04-13T00:00:00"/>
    <x v="1"/>
    <x v="2"/>
    <x v="0"/>
    <x v="3"/>
    <n v="2491"/>
    <x v="20"/>
    <x v="0"/>
    <x v="3"/>
    <x v="1"/>
    <s v="Stipulated Price"/>
    <n v="199241"/>
    <s v="D"/>
    <n v="7"/>
    <n v="26080.76"/>
    <n v="3726"/>
    <n v="0.13089999999999999"/>
    <x v="0"/>
    <x v="3"/>
    <x v="0"/>
    <m/>
  </r>
  <r>
    <d v="2018-04-19T00:00:00"/>
    <x v="1"/>
    <x v="2"/>
    <x v="0"/>
    <x v="0"/>
    <n v="2492"/>
    <x v="21"/>
    <x v="0"/>
    <x v="4"/>
    <x v="1"/>
    <s v="Stipulated Price"/>
    <n v="552969.59"/>
    <s v="C"/>
    <n v="13"/>
    <n v="60614.81"/>
    <n v="4663"/>
    <n v="0.1096"/>
    <x v="0"/>
    <x v="3"/>
    <x v="0"/>
    <m/>
  </r>
  <r>
    <d v="2018-04-20T00:00:00"/>
    <x v="1"/>
    <x v="2"/>
    <x v="0"/>
    <x v="0"/>
    <n v="2495"/>
    <x v="22"/>
    <x v="0"/>
    <x v="5"/>
    <x v="2"/>
    <s v="Fixed Fee"/>
    <n v="186620.81"/>
    <s v="D"/>
    <n v="6"/>
    <n v="25964.65"/>
    <n v="4327.4399999999996"/>
    <n v="0.1391"/>
    <x v="0"/>
    <x v="3"/>
    <x v="0"/>
    <m/>
  </r>
  <r>
    <d v="2018-04-30T00:00:00"/>
    <x v="1"/>
    <x v="2"/>
    <x v="0"/>
    <x v="0"/>
    <n v="2496"/>
    <x v="23"/>
    <x v="0"/>
    <x v="6"/>
    <x v="1"/>
    <s v="Stipulated Price"/>
    <n v="124570.02"/>
    <s v="D"/>
    <n v="4"/>
    <n v="18108.240000000002"/>
    <n v="4527"/>
    <n v="0.1454"/>
    <x v="0"/>
    <x v="3"/>
    <x v="0"/>
    <m/>
  </r>
  <r>
    <d v="2018-04-30T00:00:00"/>
    <x v="1"/>
    <x v="2"/>
    <x v="0"/>
    <x v="0"/>
    <n v="2497"/>
    <x v="24"/>
    <x v="0"/>
    <x v="7"/>
    <x v="1"/>
    <s v="Stipulated Price"/>
    <n v="36936.47"/>
    <s v="D"/>
    <n v="2"/>
    <n v="8251.3700000000008"/>
    <n v="4126"/>
    <n v="0.22339999999999999"/>
    <x v="0"/>
    <x v="3"/>
    <x v="0"/>
    <m/>
  </r>
  <r>
    <d v="2018-04-30T00:00:00"/>
    <x v="1"/>
    <x v="2"/>
    <x v="0"/>
    <x v="0"/>
    <n v="2498"/>
    <x v="25"/>
    <x v="0"/>
    <x v="8"/>
    <x v="1"/>
    <s v="Stipulated Price"/>
    <n v="59495.99"/>
    <s v="D"/>
    <n v="3"/>
    <n v="12681.52"/>
    <n v="4227"/>
    <n v="0.21310000000000001"/>
    <x v="1"/>
    <x v="3"/>
    <x v="1"/>
    <m/>
  </r>
  <r>
    <d v="2018-05-01T00:00:00"/>
    <x v="1"/>
    <x v="2"/>
    <x v="1"/>
    <x v="4"/>
    <n v="2500"/>
    <x v="26"/>
    <x v="0"/>
    <x v="9"/>
    <x v="2"/>
    <s v="Fixed Fee"/>
    <n v="1178365.05"/>
    <s v="C"/>
    <n v="14"/>
    <n v="159830.87"/>
    <n v="11416.49"/>
    <n v="0.129"/>
    <x v="1"/>
    <x v="0"/>
    <x v="1"/>
    <m/>
  </r>
  <r>
    <d v="2018-05-04T00:00:00"/>
    <x v="1"/>
    <x v="2"/>
    <x v="0"/>
    <x v="2"/>
    <n v="2499"/>
    <x v="27"/>
    <x v="0"/>
    <x v="10"/>
    <x v="1"/>
    <s v="Stipulated Price"/>
    <n v="358055"/>
    <s v="D"/>
    <n v="8"/>
    <n v="48683.31"/>
    <n v="6085"/>
    <n v="0.13600000000000001"/>
    <x v="1"/>
    <x v="3"/>
    <x v="1"/>
    <m/>
  </r>
  <r>
    <d v="2018-05-04T00:00:00"/>
    <x v="1"/>
    <x v="2"/>
    <x v="0"/>
    <x v="0"/>
    <n v="2505"/>
    <x v="28"/>
    <x v="0"/>
    <x v="11"/>
    <x v="1"/>
    <s v="Stipulated Price"/>
    <n v="335891.5"/>
    <s v="D"/>
    <n v="8"/>
    <n v="47027.34"/>
    <n v="5878"/>
    <n v="0.14000000000000001"/>
    <x v="1"/>
    <x v="4"/>
    <x v="1"/>
    <m/>
  </r>
  <r>
    <d v="2018-05-04T00:00:00"/>
    <x v="1"/>
    <x v="2"/>
    <x v="0"/>
    <x v="0"/>
    <n v="2510"/>
    <x v="29"/>
    <x v="0"/>
    <x v="12"/>
    <x v="1"/>
    <s v="Stipulated Price"/>
    <n v="31401.64"/>
    <s v="D"/>
    <n v="2"/>
    <n v="7007.73"/>
    <n v="3504"/>
    <n v="0.22320000000000001"/>
    <x v="1"/>
    <x v="0"/>
    <x v="1"/>
    <m/>
  </r>
  <r>
    <d v="2018-05-09T00:00:00"/>
    <x v="1"/>
    <x v="2"/>
    <x v="0"/>
    <x v="0"/>
    <n v="2501"/>
    <x v="30"/>
    <x v="0"/>
    <x v="13"/>
    <x v="2"/>
    <s v="Fixed Fee"/>
    <n v="353665"/>
    <s v="D"/>
    <n v="8"/>
    <n v="57304.959999999999"/>
    <n v="7163"/>
    <n v="0.16200000000000001"/>
    <x v="0"/>
    <x v="0"/>
    <x v="0"/>
    <m/>
  </r>
  <r>
    <d v="2018-05-11T00:00:00"/>
    <x v="1"/>
    <x v="2"/>
    <x v="2"/>
    <x v="5"/>
    <n v="2502"/>
    <x v="31"/>
    <x v="0"/>
    <x v="14"/>
    <x v="1"/>
    <s v="Stipulated Price"/>
    <n v="407531.03"/>
    <s v="D"/>
    <n v="10"/>
    <n v="84022.68"/>
    <n v="8402"/>
    <n v="0.20619999999999999"/>
    <x v="1"/>
    <x v="3"/>
    <x v="1"/>
    <m/>
  </r>
  <r>
    <d v="2018-05-14T00:00:00"/>
    <x v="1"/>
    <x v="2"/>
    <x v="0"/>
    <x v="0"/>
    <n v="2503"/>
    <x v="32"/>
    <x v="0"/>
    <x v="15"/>
    <x v="2"/>
    <s v="Fixed Fee"/>
    <n v="380186.18"/>
    <s v="D"/>
    <n v="10"/>
    <n v="45784.09"/>
    <n v="4578"/>
    <n v="0.12039999999999999"/>
    <x v="1"/>
    <x v="4"/>
    <x v="1"/>
    <m/>
  </r>
  <r>
    <d v="2018-05-17T00:00:00"/>
    <x v="1"/>
    <x v="2"/>
    <x v="0"/>
    <x v="0"/>
    <n v="2506"/>
    <x v="33"/>
    <x v="0"/>
    <x v="16"/>
    <x v="1"/>
    <s v="Stipulated Price"/>
    <n v="104978.51"/>
    <s v="D"/>
    <n v="5"/>
    <n v="19072.77"/>
    <n v="3815"/>
    <n v="0.1817"/>
    <x v="1"/>
    <x v="3"/>
    <x v="1"/>
    <m/>
  </r>
  <r>
    <d v="2018-05-17T00:00:00"/>
    <x v="1"/>
    <x v="2"/>
    <x v="0"/>
    <x v="0"/>
    <n v="2507"/>
    <x v="34"/>
    <x v="0"/>
    <x v="17"/>
    <x v="1"/>
    <s v="Stipulated Price"/>
    <n v="65604"/>
    <s v="D"/>
    <n v="4"/>
    <n v="13887.63"/>
    <n v="3472"/>
    <n v="0.2117"/>
    <x v="1"/>
    <x v="3"/>
    <x v="1"/>
    <m/>
  </r>
  <r>
    <d v="2018-05-23T00:00:00"/>
    <x v="1"/>
    <x v="2"/>
    <x v="0"/>
    <x v="3"/>
    <n v="2508"/>
    <x v="35"/>
    <x v="0"/>
    <x v="18"/>
    <x v="1"/>
    <s v="Stipulated Price"/>
    <n v="1367831.28"/>
    <s v="C"/>
    <n v="14"/>
    <n v="93176.41"/>
    <n v="6655"/>
    <n v="6.8099999999999994E-2"/>
    <x v="1"/>
    <x v="3"/>
    <x v="1"/>
    <m/>
  </r>
  <r>
    <d v="2018-05-25T00:00:00"/>
    <x v="1"/>
    <x v="2"/>
    <x v="0"/>
    <x v="0"/>
    <n v="2512"/>
    <x v="36"/>
    <x v="0"/>
    <x v="19"/>
    <x v="2"/>
    <s v="Fixed Fee"/>
    <n v="1150000"/>
    <s v="C"/>
    <n v="14"/>
    <n v="91495.72"/>
    <n v="6535"/>
    <n v="9.0899999999999995E-2"/>
    <x v="0"/>
    <x v="3"/>
    <x v="0"/>
    <m/>
  </r>
  <r>
    <d v="2018-05-30T00:00:00"/>
    <x v="1"/>
    <x v="2"/>
    <x v="0"/>
    <x v="0"/>
    <n v="2514"/>
    <x v="37"/>
    <x v="0"/>
    <x v="20"/>
    <x v="1"/>
    <s v="Stipulated Price"/>
    <n v="90635"/>
    <s v="D"/>
    <n v="2"/>
    <n v="13780.32"/>
    <n v="6890"/>
    <n v="0.152"/>
    <x v="1"/>
    <x v="3"/>
    <x v="1"/>
    <m/>
  </r>
  <r>
    <d v="2018-06-12T00:00:00"/>
    <x v="1"/>
    <x v="3"/>
    <x v="0"/>
    <x v="0"/>
    <n v="2516"/>
    <x v="38"/>
    <x v="0"/>
    <x v="1"/>
    <x v="1"/>
    <s v="Stipulated Price"/>
    <n v="475505.76"/>
    <s v="D"/>
    <n v="9"/>
    <n v="54336.76"/>
    <n v="6037"/>
    <n v="0.11"/>
    <x v="0"/>
    <x v="3"/>
    <x v="0"/>
    <m/>
  </r>
  <r>
    <d v="2018-06-13T00:00:00"/>
    <x v="1"/>
    <x v="3"/>
    <x v="0"/>
    <x v="3"/>
    <n v="2519"/>
    <x v="39"/>
    <x v="0"/>
    <x v="1"/>
    <x v="2"/>
    <s v="Fixed Fee"/>
    <n v="300000"/>
    <s v="D"/>
    <n v="8"/>
    <n v="38500"/>
    <n v="4812.5"/>
    <n v="0.128"/>
    <x v="0"/>
    <x v="5"/>
    <x v="0"/>
    <m/>
  </r>
  <r>
    <d v="2018-06-15T00:00:00"/>
    <x v="1"/>
    <x v="3"/>
    <x v="0"/>
    <x v="3"/>
    <n v="2515"/>
    <x v="40"/>
    <x v="0"/>
    <x v="21"/>
    <x v="1"/>
    <s v="Stipulated Price"/>
    <n v="90521.03"/>
    <s v="D"/>
    <n v="5"/>
    <n v="22698.53"/>
    <n v="3243"/>
    <n v="0.25080000000000002"/>
    <x v="1"/>
    <x v="3"/>
    <x v="1"/>
    <m/>
  </r>
  <r>
    <d v="2018-06-21T00:00:00"/>
    <x v="1"/>
    <x v="3"/>
    <x v="1"/>
    <x v="6"/>
    <n v="2518"/>
    <x v="41"/>
    <x v="0"/>
    <x v="1"/>
    <x v="1"/>
    <s v="Stipulated Price"/>
    <n v="765780"/>
    <s v="C"/>
    <n v="12"/>
    <n v="78031.960000000006"/>
    <n v="6502.66"/>
    <n v="0.1019"/>
    <x v="1"/>
    <x v="3"/>
    <x v="1"/>
    <m/>
  </r>
  <r>
    <d v="2018-06-22T00:00:00"/>
    <x v="1"/>
    <x v="3"/>
    <x v="2"/>
    <x v="7"/>
    <n v="2517"/>
    <x v="42"/>
    <x v="0"/>
    <x v="1"/>
    <x v="1"/>
    <s v="Stipulated Price"/>
    <n v="57142.63"/>
    <s v="D"/>
    <n v="3"/>
    <n v="13071.3"/>
    <n v="4357"/>
    <n v="0.22869999999999999"/>
    <x v="0"/>
    <x v="3"/>
    <x v="0"/>
    <m/>
  </r>
  <r>
    <d v="2018-07-04T00:00:00"/>
    <x v="1"/>
    <x v="3"/>
    <x v="0"/>
    <x v="0"/>
    <n v="2522"/>
    <x v="43"/>
    <x v="0"/>
    <x v="1"/>
    <x v="1"/>
    <s v="Stipulated Price"/>
    <n v="374945"/>
    <s v="D"/>
    <n v="8"/>
    <n v="43404.08"/>
    <n v="5425.51"/>
    <n v="0.1158"/>
    <x v="1"/>
    <x v="3"/>
    <x v="1"/>
    <m/>
  </r>
  <r>
    <d v="2018-07-09T00:00:00"/>
    <x v="1"/>
    <x v="3"/>
    <x v="0"/>
    <x v="3"/>
    <n v="2525"/>
    <x v="44"/>
    <x v="0"/>
    <x v="1"/>
    <x v="2"/>
    <s v="Fixed Fee"/>
    <n v="750000"/>
    <s v="C"/>
    <n v="0"/>
    <n v="0"/>
    <n v="0"/>
    <n v="0"/>
    <x v="1"/>
    <x v="5"/>
    <x v="1"/>
    <m/>
  </r>
  <r>
    <d v="2018-07-16T00:00:00"/>
    <x v="1"/>
    <x v="3"/>
    <x v="0"/>
    <x v="3"/>
    <n v="2528"/>
    <x v="45"/>
    <x v="0"/>
    <x v="1"/>
    <x v="1"/>
    <s v="Stipulated Price"/>
    <n v="208100"/>
    <s v="D"/>
    <n v="8"/>
    <n v="42297.8"/>
    <n v="5287"/>
    <n v="0.20330000000000001"/>
    <x v="1"/>
    <x v="3"/>
    <x v="1"/>
    <m/>
  </r>
  <r>
    <d v="2018-07-20T00:00:00"/>
    <x v="1"/>
    <x v="3"/>
    <x v="0"/>
    <x v="3"/>
    <n v="2527"/>
    <x v="46"/>
    <x v="0"/>
    <x v="1"/>
    <x v="1"/>
    <s v="Stipulated Price"/>
    <n v="279540"/>
    <s v="D"/>
    <n v="10"/>
    <n v="55526.46"/>
    <n v="5553"/>
    <n v="0.1986"/>
    <x v="0"/>
    <x v="3"/>
    <x v="0"/>
    <m/>
  </r>
  <r>
    <d v="2018-07-24T00:00:00"/>
    <x v="1"/>
    <x v="3"/>
    <x v="0"/>
    <x v="0"/>
    <n v="2530"/>
    <x v="47"/>
    <x v="0"/>
    <x v="1"/>
    <x v="1"/>
    <s v="Stipulated Price"/>
    <n v="140632.63"/>
    <s v="D"/>
    <n v="6"/>
    <n v="29165.02"/>
    <n v="4861"/>
    <n v="0.2074"/>
    <x v="1"/>
    <x v="5"/>
    <x v="1"/>
    <m/>
  </r>
  <r>
    <d v="2018-08-01T00:00:00"/>
    <x v="1"/>
    <x v="3"/>
    <x v="0"/>
    <x v="3"/>
    <n v="2527"/>
    <x v="48"/>
    <x v="0"/>
    <x v="22"/>
    <x v="1"/>
    <s v="Stipulated Price"/>
    <n v="279540"/>
    <s v="D"/>
    <n v="10"/>
    <n v="55526.46"/>
    <n v="5553"/>
    <n v="0.1986"/>
    <x v="0"/>
    <x v="3"/>
    <x v="0"/>
    <m/>
  </r>
  <r>
    <d v="2018-08-22T00:00:00"/>
    <x v="1"/>
    <x v="3"/>
    <x v="0"/>
    <x v="0"/>
    <n v="2539"/>
    <x v="49"/>
    <x v="0"/>
    <x v="23"/>
    <x v="1"/>
    <s v="Stipulated Price"/>
    <n v="23862.003237499997"/>
    <s v="D"/>
    <n v="1"/>
    <n v="4754.5032375000001"/>
    <n v="4754.5032375000001"/>
    <n v="0.19924996196581379"/>
    <x v="1"/>
    <x v="5"/>
    <x v="1"/>
    <m/>
  </r>
  <r>
    <d v="2018-09-09T00:00:00"/>
    <x v="1"/>
    <x v="3"/>
    <x v="0"/>
    <x v="3"/>
    <n v="2540"/>
    <x v="50"/>
    <x v="0"/>
    <x v="24"/>
    <x v="1"/>
    <s v="Stipulated Price"/>
    <n v="291832.99880359502"/>
    <s v="D"/>
    <n v="5"/>
    <n v="32980.501453595003"/>
    <n v="6596.1002907190004"/>
    <n v="0.1130115565710615"/>
    <x v="0"/>
    <x v="3"/>
    <x v="0"/>
    <m/>
  </r>
  <r>
    <d v="2018-09-30T00:00:00"/>
    <x v="1"/>
    <x v="0"/>
    <x v="0"/>
    <x v="0"/>
    <n v="2542"/>
    <x v="51"/>
    <x v="0"/>
    <x v="25"/>
    <x v="2"/>
    <s v="Fixed Fee"/>
    <n v="1210847.5980999998"/>
    <s v="C"/>
    <n v="24"/>
    <n v="75851"/>
    <n v="3160.4583333333335"/>
    <n v="6.2642895868168305E-2"/>
    <x v="1"/>
    <x v="3"/>
    <x v="1"/>
    <m/>
  </r>
  <r>
    <d v="2018-10-11T00:00:00"/>
    <x v="1"/>
    <x v="0"/>
    <x v="0"/>
    <x v="0"/>
    <n v="2543"/>
    <x v="52"/>
    <x v="0"/>
    <x v="26"/>
    <x v="1"/>
    <s v="Stipulated Price"/>
    <n v="54753"/>
    <s v="D"/>
    <n v="3"/>
    <n v="7000"/>
    <n v="2333.3333333333335"/>
    <n v="0.12784687597026648"/>
    <x v="0"/>
    <x v="3"/>
    <x v="0"/>
    <m/>
  </r>
  <r>
    <d v="2018-10-16T00:00:00"/>
    <x v="1"/>
    <x v="0"/>
    <x v="0"/>
    <x v="0"/>
    <n v="2548"/>
    <x v="53"/>
    <x v="0"/>
    <x v="27"/>
    <x v="1"/>
    <s v="Stipulated Price"/>
    <n v="219672.116928"/>
    <s v="D"/>
    <n v="5"/>
    <n v="25968.576927999999"/>
    <n v="5193.7153855999995"/>
    <n v="0.11821517127961893"/>
    <x v="1"/>
    <x v="2"/>
    <x v="1"/>
    <m/>
  </r>
  <r>
    <d v="2018-10-18T00:00:00"/>
    <x v="1"/>
    <x v="0"/>
    <x v="0"/>
    <x v="0"/>
    <n v="2551"/>
    <x v="54"/>
    <x v="0"/>
    <x v="28"/>
    <x v="1"/>
    <s v="Stipulated Price"/>
    <n v="182511.003516"/>
    <s v="D"/>
    <n v="6"/>
    <n v="36165.011515999999"/>
    <n v="6027.5019193333328"/>
    <n v="0.19815249940713606"/>
    <x v="1"/>
    <x v="3"/>
    <x v="1"/>
    <m/>
  </r>
  <r>
    <d v="2018-10-22T00:00:00"/>
    <x v="1"/>
    <x v="0"/>
    <x v="0"/>
    <x v="3"/>
    <n v="2550"/>
    <x v="55"/>
    <x v="0"/>
    <x v="29"/>
    <x v="2"/>
    <s v="Fixed Fee"/>
    <n v="154318.95012990001"/>
    <s v="D"/>
    <n v="6"/>
    <n v="31863.191786899999"/>
    <n v="5310.5319644833335"/>
    <n v="0.20647620891717275"/>
    <x v="0"/>
    <x v="3"/>
    <x v="0"/>
    <m/>
  </r>
  <r>
    <d v="2018-10-24T00:00:00"/>
    <x v="1"/>
    <x v="0"/>
    <x v="0"/>
    <x v="0"/>
    <n v="2549"/>
    <x v="56"/>
    <x v="0"/>
    <x v="0"/>
    <x v="1"/>
    <s v="Stipulated Price"/>
    <n v="110000"/>
    <s v="D"/>
    <m/>
    <m/>
    <m/>
    <m/>
    <x v="0"/>
    <x v="6"/>
    <x v="0"/>
    <m/>
  </r>
  <r>
    <d v="2018-10-25T00:00:00"/>
    <x v="1"/>
    <x v="0"/>
    <x v="0"/>
    <x v="3"/>
    <n v="2547"/>
    <x v="57"/>
    <x v="0"/>
    <x v="30"/>
    <x v="1"/>
    <s v="Stipulated Price"/>
    <n v="1522574.4641886598"/>
    <s v="C"/>
    <n v="20"/>
    <n v="206147.43176783147"/>
    <n v="10307.371588391574"/>
    <n v="0.13539398999291771"/>
    <x v="0"/>
    <x v="3"/>
    <x v="0"/>
    <m/>
  </r>
  <r>
    <d v="2018-10-31T00:00:00"/>
    <x v="1"/>
    <x v="0"/>
    <x v="0"/>
    <x v="0"/>
    <n v="2554"/>
    <x v="58"/>
    <x v="0"/>
    <x v="31"/>
    <x v="1"/>
    <s v="Stipulated Price"/>
    <n v="296606.0002281497"/>
    <s v="D"/>
    <n v="8"/>
    <n v="36910.486936274683"/>
    <n v="4613.8108670343354"/>
    <n v="0.12444281945706794"/>
    <x v="1"/>
    <x v="2"/>
    <x v="1"/>
    <m/>
  </r>
  <r>
    <d v="2018-11-01T00:00:00"/>
    <x v="1"/>
    <x v="0"/>
    <x v="0"/>
    <x v="3"/>
    <n v="2555"/>
    <x v="59"/>
    <x v="0"/>
    <x v="32"/>
    <x v="1"/>
    <s v="Stipulated Price"/>
    <n v="744227.44"/>
    <s v="C"/>
    <m/>
    <m/>
    <m/>
    <m/>
    <x v="1"/>
    <x v="7"/>
    <x v="1"/>
    <m/>
  </r>
  <r>
    <d v="2018-11-11T00:00:00"/>
    <x v="1"/>
    <x v="0"/>
    <x v="1"/>
    <x v="1"/>
    <n v="2556"/>
    <x v="60"/>
    <x v="0"/>
    <x v="33"/>
    <x v="1"/>
    <s v="Stipulated Price"/>
    <n v="158676.62000000002"/>
    <s v="D"/>
    <n v="3.5"/>
    <n v="22203.59"/>
    <n v="6343.8828571428576"/>
    <n v="0.13992981448684749"/>
    <x v="0"/>
    <x v="7"/>
    <x v="0"/>
    <m/>
  </r>
  <r>
    <d v="2018-11-23T00:00:00"/>
    <x v="1"/>
    <x v="0"/>
    <x v="0"/>
    <x v="0"/>
    <n v="2564"/>
    <x v="61"/>
    <x v="0"/>
    <x v="8"/>
    <x v="2"/>
    <s v="Fixed Fee"/>
    <n v="264000"/>
    <s v="D"/>
    <m/>
    <m/>
    <m/>
    <m/>
    <x v="1"/>
    <x v="5"/>
    <x v="1"/>
    <m/>
  </r>
  <r>
    <d v="2018-12-04T00:00:00"/>
    <x v="2"/>
    <x v="1"/>
    <x v="0"/>
    <x v="0"/>
    <n v="2563"/>
    <x v="62"/>
    <x v="0"/>
    <x v="18"/>
    <x v="1"/>
    <s v="Stipulated Price"/>
    <n v="1000000"/>
    <s v="C"/>
    <n v="12"/>
    <n v="70156.533265920007"/>
    <n v="5846.3777721600009"/>
    <n v="0.1"/>
    <x v="0"/>
    <x v="3"/>
    <x v="0"/>
    <m/>
  </r>
  <r>
    <d v="2018-12-04T00:00:00"/>
    <x v="2"/>
    <x v="1"/>
    <x v="0"/>
    <x v="0"/>
    <n v="2561"/>
    <x v="63"/>
    <x v="0"/>
    <x v="34"/>
    <x v="1"/>
    <s v="Stipulated Price"/>
    <n v="549715.4595967218"/>
    <s v="C"/>
    <n v="12"/>
    <n v="50560.512479901845"/>
    <n v="4213.3760399918201"/>
    <n v="9.1975787832115324E-2"/>
    <x v="1"/>
    <x v="3"/>
    <x v="1"/>
    <m/>
  </r>
  <r>
    <d v="2018-12-06T00:00:00"/>
    <x v="2"/>
    <x v="1"/>
    <x v="1"/>
    <x v="1"/>
    <n v="2557"/>
    <x v="64"/>
    <x v="0"/>
    <x v="35"/>
    <x v="1"/>
    <s v="Stipulated Price"/>
    <n v="164062.82999999999"/>
    <s v="D"/>
    <m/>
    <m/>
    <m/>
    <n v="0.15"/>
    <x v="0"/>
    <x v="8"/>
    <x v="0"/>
    <m/>
  </r>
  <r>
    <d v="2018-12-06T00:00:00"/>
    <x v="2"/>
    <x v="1"/>
    <x v="0"/>
    <x v="3"/>
    <n v="2558"/>
    <x v="65"/>
    <x v="0"/>
    <x v="18"/>
    <x v="1"/>
    <s v="Stipulated Price"/>
    <n v="132162.07999999999"/>
    <s v="D"/>
    <m/>
    <m/>
    <m/>
    <n v="0.15"/>
    <x v="0"/>
    <x v="8"/>
    <x v="0"/>
    <m/>
  </r>
  <r>
    <d v="2018-12-07T00:00:00"/>
    <x v="2"/>
    <x v="1"/>
    <x v="0"/>
    <x v="0"/>
    <n v="2560"/>
    <x v="66"/>
    <x v="0"/>
    <x v="36"/>
    <x v="1"/>
    <s v="Stipulated Price"/>
    <n v="82620.000218724992"/>
    <s v="D"/>
    <n v="3"/>
    <n v="12220.855543725"/>
    <n v="4073.6185145750001"/>
    <n v="0.14791643078397457"/>
    <x v="1"/>
    <x v="2"/>
    <x v="1"/>
    <m/>
  </r>
  <r>
    <d v="2018-12-18T00:00:00"/>
    <x v="2"/>
    <x v="1"/>
    <x v="0"/>
    <x v="2"/>
    <n v="2567"/>
    <x v="67"/>
    <x v="0"/>
    <x v="37"/>
    <x v="1"/>
    <s v="Stipulated Price"/>
    <n v="135940.96919"/>
    <s v="D"/>
    <n v="5"/>
    <n v="19035.909189999998"/>
    <n v="3807.1818379999995"/>
    <n v="0.14003070085070649"/>
    <x v="1"/>
    <x v="9"/>
    <x v="1"/>
    <m/>
  </r>
  <r>
    <d v="2018-12-18T00:00:00"/>
    <x v="2"/>
    <x v="1"/>
    <x v="0"/>
    <x v="2"/>
    <n v="2565"/>
    <x v="68"/>
    <x v="0"/>
    <x v="38"/>
    <x v="1"/>
    <s v="Stipulated Price"/>
    <n v="2840169.998869685"/>
    <s v="B"/>
    <n v="24"/>
    <n v="218712.80886968502"/>
    <n v="9113.0337029035418"/>
    <n v="7.700694287902736E-2"/>
    <x v="1"/>
    <x v="2"/>
    <x v="1"/>
    <m/>
  </r>
  <r>
    <d v="2018-12-21T00:00:00"/>
    <x v="2"/>
    <x v="1"/>
    <x v="0"/>
    <x v="0"/>
    <n v="2568"/>
    <x v="69"/>
    <x v="0"/>
    <x v="29"/>
    <x v="1"/>
    <s v="Stipulated Price"/>
    <n v="57329.002033999997"/>
    <s v="D"/>
    <n v="2"/>
    <n v="10003.402034000001"/>
    <n v="5001.7010170000003"/>
    <n v="0.17449112454578056"/>
    <x v="1"/>
    <x v="7"/>
    <x v="1"/>
    <m/>
  </r>
  <r>
    <d v="2019-01-11T00:00:00"/>
    <x v="2"/>
    <x v="1"/>
    <x v="0"/>
    <x v="0"/>
    <n v="2569"/>
    <x v="70"/>
    <x v="0"/>
    <x v="6"/>
    <x v="1"/>
    <s v="Stipulated Price"/>
    <n v="571201.83332450001"/>
    <s v="C"/>
    <n v="12"/>
    <n v="55758.311324499999"/>
    <n v="4646.5259437083332"/>
    <n v="9.7615777946608376E-2"/>
    <x v="1"/>
    <x v="2"/>
    <x v="1"/>
    <m/>
  </r>
  <r>
    <d v="2019-01-16T00:00:00"/>
    <x v="2"/>
    <x v="1"/>
    <x v="0"/>
    <x v="0"/>
    <n v="2552"/>
    <x v="71"/>
    <x v="0"/>
    <x v="39"/>
    <x v="1"/>
    <s v="Stipulated Price"/>
    <n v="291889.24156140001"/>
    <s v="D"/>
    <n v="8"/>
    <n v="38025.481561399996"/>
    <n v="4753.1851951749995"/>
    <n v="0.13027366599053358"/>
    <x v="0"/>
    <x v="2"/>
    <x v="0"/>
    <m/>
  </r>
  <r>
    <d v="2019-01-24T00:00:00"/>
    <x v="2"/>
    <x v="1"/>
    <x v="0"/>
    <x v="0"/>
    <n v="2571"/>
    <x v="72"/>
    <x v="0"/>
    <x v="40"/>
    <x v="1"/>
    <s v="Stipulated Price"/>
    <n v="67432.736227999994"/>
    <s v="D"/>
    <n v="3"/>
    <n v="14408.636227999999"/>
    <n v="4802.8787426666668"/>
    <n v="0.21367420386564595"/>
    <x v="1"/>
    <x v="10"/>
    <x v="1"/>
    <m/>
  </r>
  <r>
    <d v="2019-02-01T00:00:00"/>
    <x v="2"/>
    <x v="1"/>
    <x v="0"/>
    <x v="2"/>
    <n v="2576"/>
    <x v="73"/>
    <x v="0"/>
    <x v="41"/>
    <x v="1"/>
    <s v="Stipulated Price"/>
    <n v="166550.20000000001"/>
    <s v="D"/>
    <n v="12"/>
    <m/>
    <m/>
    <m/>
    <x v="1"/>
    <x v="0"/>
    <x v="1"/>
    <m/>
  </r>
  <r>
    <d v="2019-02-07T00:00:00"/>
    <x v="2"/>
    <x v="1"/>
    <x v="0"/>
    <x v="0"/>
    <n v="2578"/>
    <x v="74"/>
    <x v="0"/>
    <x v="42"/>
    <x v="1"/>
    <s v="Stipulated Price"/>
    <n v="835849.99593021302"/>
    <s v="C"/>
    <n v="12"/>
    <n v="62270.398500212497"/>
    <n v="5189.1998750177081"/>
    <n v="7.7950051721164967E-2"/>
    <x v="0"/>
    <x v="2"/>
    <x v="0"/>
    <m/>
  </r>
  <r>
    <d v="2019-02-08T00:00:00"/>
    <x v="2"/>
    <x v="1"/>
    <x v="0"/>
    <x v="3"/>
    <n v="2579"/>
    <x v="75"/>
    <x v="0"/>
    <x v="43"/>
    <x v="1"/>
    <s v="Stipulated Price"/>
    <n v="56406.00462"/>
    <s v="D"/>
    <n v="3"/>
    <n v="13399.504620000002"/>
    <n v="4466.5015400000002"/>
    <n v="0.23755457792606907"/>
    <x v="1"/>
    <x v="11"/>
    <x v="1"/>
    <m/>
  </r>
  <r>
    <d v="2019-02-08T00:00:00"/>
    <x v="2"/>
    <x v="1"/>
    <x v="0"/>
    <x v="0"/>
    <n v="2509"/>
    <x v="76"/>
    <x v="0"/>
    <x v="44"/>
    <x v="1"/>
    <s v="Stipulated Price"/>
    <n v="99798.002146400002"/>
    <s v="D"/>
    <n v="6"/>
    <n v="20934.531546400001"/>
    <n v="3489.088591066667"/>
    <n v="0.2097690444312684"/>
    <x v="0"/>
    <x v="12"/>
    <x v="0"/>
    <m/>
  </r>
  <r>
    <d v="2019-02-11T00:00:00"/>
    <x v="2"/>
    <x v="1"/>
    <x v="0"/>
    <x v="3"/>
    <n v="2581"/>
    <x v="77"/>
    <x v="0"/>
    <x v="45"/>
    <x v="3"/>
    <s v="Fixed Fee"/>
    <n v="2000000"/>
    <s v="B"/>
    <m/>
    <m/>
    <m/>
    <n v="0.14000000000000001"/>
    <x v="0"/>
    <x v="1"/>
    <x v="0"/>
    <m/>
  </r>
  <r>
    <d v="2019-02-12T00:00:00"/>
    <x v="2"/>
    <x v="1"/>
    <x v="0"/>
    <x v="2"/>
    <n v="2577"/>
    <x v="78"/>
    <x v="0"/>
    <x v="46"/>
    <x v="1"/>
    <s v="Stipulated Price"/>
    <n v="244290.00425"/>
    <s v="D"/>
    <n v="8"/>
    <n v="38090.004250000005"/>
    <n v="4761.2505312500007"/>
    <n v="0.1559212558325542"/>
    <x v="1"/>
    <x v="13"/>
    <x v="1"/>
    <m/>
  </r>
  <r>
    <d v="2019-02-15T00:00:00"/>
    <x v="2"/>
    <x v="1"/>
    <x v="0"/>
    <x v="0"/>
    <n v="2583"/>
    <x v="79"/>
    <x v="0"/>
    <x v="47"/>
    <x v="1"/>
    <s v="Stipulated Price"/>
    <n v="108666.00200000001"/>
    <s v="D"/>
    <n v="3"/>
    <n v="18177.101999999999"/>
    <n v="6059.0339999999997"/>
    <n v="0.1672749679333928"/>
    <x v="1"/>
    <x v="14"/>
    <x v="1"/>
    <m/>
  </r>
  <r>
    <d v="2019-02-15T00:00:00"/>
    <x v="2"/>
    <x v="1"/>
    <x v="0"/>
    <x v="3"/>
    <n v="2574"/>
    <x v="80"/>
    <x v="0"/>
    <x v="48"/>
    <x v="1"/>
    <s v="Stipulated Price"/>
    <n v="17379.201239999999"/>
    <s v="D"/>
    <n v="2"/>
    <n v="4794.2012400000003"/>
    <n v="2397.1006200000002"/>
    <n v="0.27585854918151581"/>
    <x v="1"/>
    <x v="15"/>
    <x v="1"/>
    <m/>
  </r>
  <r>
    <d v="2019-02-15T00:00:00"/>
    <x v="2"/>
    <x v="1"/>
    <x v="0"/>
    <x v="0"/>
    <n v="2580"/>
    <x v="81"/>
    <x v="0"/>
    <x v="8"/>
    <x v="2"/>
    <s v="Fixed Fee"/>
    <n v="133156.00069650001"/>
    <s v="D"/>
    <n v="6"/>
    <n v="30907.838446500002"/>
    <n v="5151.3064077500003"/>
    <n v="0.23211750341576917"/>
    <x v="0"/>
    <x v="16"/>
    <x v="0"/>
    <m/>
  </r>
  <r>
    <d v="2019-02-19T00:00:00"/>
    <x v="2"/>
    <x v="1"/>
    <x v="0"/>
    <x v="0"/>
    <n v="2582"/>
    <x v="82"/>
    <x v="0"/>
    <x v="49"/>
    <x v="1"/>
    <s v="Stipulated Price"/>
    <n v="47810.002892000004"/>
    <s v="D"/>
    <n v="2"/>
    <n v="8062.509892"/>
    <n v="4031.254946"/>
    <n v="0.16863646526465889"/>
    <x v="0"/>
    <x v="15"/>
    <x v="0"/>
    <m/>
  </r>
  <r>
    <d v="2019-02-21T00:00:00"/>
    <x v="2"/>
    <x v="1"/>
    <x v="0"/>
    <x v="0"/>
    <n v="2584"/>
    <x v="83"/>
    <x v="0"/>
    <x v="50"/>
    <x v="2"/>
    <s v="Fixed Fee"/>
    <n v="2300000"/>
    <s v="B"/>
    <n v="26"/>
    <m/>
    <m/>
    <m/>
    <x v="1"/>
    <x v="7"/>
    <x v="1"/>
    <m/>
  </r>
  <r>
    <d v="2019-03-08T00:00:00"/>
    <x v="2"/>
    <x v="2"/>
    <x v="0"/>
    <x v="0"/>
    <n v="2589"/>
    <x v="84"/>
    <x v="0"/>
    <x v="51"/>
    <x v="1"/>
    <s v="Stipulated Price"/>
    <n v="375743.96081249998"/>
    <s v="D"/>
    <n v="10"/>
    <n v="45571.4983125"/>
    <n v="4557.1498312499998"/>
    <n v="0.12128338194433586"/>
    <x v="1"/>
    <x v="17"/>
    <x v="1"/>
    <m/>
  </r>
  <r>
    <d v="2019-03-15T00:00:00"/>
    <x v="2"/>
    <x v="2"/>
    <x v="0"/>
    <x v="2"/>
    <n v="2588"/>
    <x v="85"/>
    <x v="0"/>
    <x v="1"/>
    <x v="2"/>
    <s v="Fixed Fee"/>
    <n v="500000"/>
    <s v="C"/>
    <n v="10"/>
    <n v="87650"/>
    <n v="8462.5"/>
    <n v="0.16"/>
    <x v="1"/>
    <x v="0"/>
    <x v="1"/>
    <m/>
  </r>
  <r>
    <d v="2019-03-19T00:00:00"/>
    <x v="2"/>
    <x v="2"/>
    <x v="2"/>
    <x v="5"/>
    <n v="2587"/>
    <x v="86"/>
    <x v="0"/>
    <x v="52"/>
    <x v="1"/>
    <s v="Stipulated Price"/>
    <n v="875681.85251"/>
    <s v="C"/>
    <n v="15"/>
    <n v="130627.25023727273"/>
    <n v="8708.4833491515146"/>
    <n v="0.14917204217816196"/>
    <x v="1"/>
    <x v="2"/>
    <x v="1"/>
    <m/>
  </r>
  <r>
    <d v="2019-03-27T00:00:00"/>
    <x v="2"/>
    <x v="2"/>
    <x v="0"/>
    <x v="3"/>
    <n v="2593"/>
    <x v="87"/>
    <x v="0"/>
    <x v="53"/>
    <x v="1"/>
    <s v="Stipulated Price"/>
    <n v="6819.4140000000007"/>
    <s v="D"/>
    <n v="1"/>
    <n v="2124.7339999999999"/>
    <n v="2124.7339999999999"/>
    <n v="0.31157134615965532"/>
    <x v="1"/>
    <x v="18"/>
    <x v="1"/>
    <m/>
  </r>
  <r>
    <d v="2019-04-06T00:00:00"/>
    <x v="2"/>
    <x v="2"/>
    <x v="0"/>
    <x v="3"/>
    <n v="2520"/>
    <x v="88"/>
    <x v="0"/>
    <x v="1"/>
    <x v="2"/>
    <s v="Fixed Fee"/>
    <n v="800000"/>
    <s v="C"/>
    <n v="14"/>
    <n v="98150"/>
    <n v="7010"/>
    <n v="0.12"/>
    <x v="0"/>
    <x v="5"/>
    <x v="0"/>
    <m/>
  </r>
  <r>
    <d v="2019-04-18T00:00:00"/>
    <x v="2"/>
    <x v="2"/>
    <x v="0"/>
    <x v="0"/>
    <n v="2591"/>
    <x v="89"/>
    <x v="0"/>
    <x v="54"/>
    <x v="2"/>
    <s v="Fixed Fee"/>
    <n v="293313.26082696003"/>
    <s v="D"/>
    <n v="8"/>
    <n v="42039.004476960006"/>
    <n v="5254.8755596200008"/>
    <n v="0.14332459554824181"/>
    <x v="0"/>
    <x v="19"/>
    <x v="0"/>
    <m/>
  </r>
  <r>
    <d v="2019-04-24T00:00:00"/>
    <x v="2"/>
    <x v="2"/>
    <x v="0"/>
    <x v="3"/>
    <n v="2520"/>
    <x v="90"/>
    <x v="0"/>
    <x v="55"/>
    <x v="2"/>
    <s v="Fixed Fee"/>
    <n v="80741.763344250008"/>
    <s v="D"/>
    <n v="2"/>
    <n v="2772.0498442500007"/>
    <n v="1386.0249221250003"/>
    <n v="3.4332292600932041E-2"/>
    <x v="0"/>
    <x v="20"/>
    <x v="0"/>
    <m/>
  </r>
  <r>
    <d v="2019-05-07T00:00:00"/>
    <x v="2"/>
    <x v="2"/>
    <x v="0"/>
    <x v="2"/>
    <n v="2595"/>
    <x v="91"/>
    <x v="0"/>
    <x v="7"/>
    <x v="1"/>
    <s v="Stipulated Price"/>
    <n v="529241.99684536003"/>
    <s v="C"/>
    <n v="11"/>
    <n v="53609.800205359999"/>
    <n v="4873.6182004872726"/>
    <n v="0.1012954386177035"/>
    <x v="1"/>
    <x v="21"/>
    <x v="1"/>
    <m/>
  </r>
  <r>
    <d v="2019-05-07T00:00:00"/>
    <x v="2"/>
    <x v="2"/>
    <x v="0"/>
    <x v="0"/>
    <n v="2594"/>
    <x v="92"/>
    <x v="0"/>
    <x v="1"/>
    <x v="2"/>
    <s v="Fixed Fee"/>
    <n v="100000"/>
    <s v="D"/>
    <m/>
    <m/>
    <m/>
    <m/>
    <x v="1"/>
    <x v="7"/>
    <x v="1"/>
    <m/>
  </r>
  <r>
    <d v="2019-05-08T00:00:00"/>
    <x v="2"/>
    <x v="2"/>
    <x v="0"/>
    <x v="3"/>
    <n v="2596"/>
    <x v="93"/>
    <x v="0"/>
    <x v="56"/>
    <x v="1"/>
    <s v="Stipulated Price"/>
    <n v="552280.99659785861"/>
    <s v="C"/>
    <n v="14"/>
    <n v="53987.456789525277"/>
    <n v="3856.24691353752"/>
    <n v="9.7753602101279702E-2"/>
    <x v="1"/>
    <x v="2"/>
    <x v="1"/>
    <m/>
  </r>
  <r>
    <d v="2019-05-10T00:00:00"/>
    <x v="2"/>
    <x v="2"/>
    <x v="0"/>
    <x v="0"/>
    <n v="2597"/>
    <x v="94"/>
    <x v="0"/>
    <x v="8"/>
    <x v="1"/>
    <s v="Stipulated Price"/>
    <n v="461818.99806800002"/>
    <s v="D"/>
    <n v="10"/>
    <n v="108410.503668"/>
    <n v="10841.0503668"/>
    <n v="0.23474673870397428"/>
    <x v="1"/>
    <x v="2"/>
    <x v="1"/>
    <m/>
  </r>
  <r>
    <d v="2019-05-14T00:00:00"/>
    <x v="2"/>
    <x v="2"/>
    <x v="0"/>
    <x v="3"/>
    <n v="2600"/>
    <x v="95"/>
    <x v="0"/>
    <x v="29"/>
    <x v="1"/>
    <s v="Stipulated Price"/>
    <n v="3260"/>
    <s v="D"/>
    <m/>
    <m/>
    <m/>
    <m/>
    <x v="0"/>
    <x v="7"/>
    <x v="0"/>
    <m/>
  </r>
  <r>
    <d v="2019-05-17T00:00:00"/>
    <x v="2"/>
    <x v="2"/>
    <x v="1"/>
    <x v="6"/>
    <n v="2602"/>
    <x v="96"/>
    <x v="0"/>
    <x v="57"/>
    <x v="2"/>
    <s v="Fixed Fee"/>
    <n v="3441414.8243959877"/>
    <s v="B"/>
    <n v="26"/>
    <n v="205799.58428148428"/>
    <n v="7915.3686262109341"/>
    <n v="5.9800865278600852E-2"/>
    <x v="1"/>
    <x v="22"/>
    <x v="1"/>
    <m/>
  </r>
  <r>
    <d v="2019-05-22T00:00:00"/>
    <x v="2"/>
    <x v="2"/>
    <x v="0"/>
    <x v="0"/>
    <n v="2604"/>
    <x v="97"/>
    <x v="0"/>
    <x v="58"/>
    <x v="1"/>
    <s v="Stipulated Price"/>
    <n v="154870.15299999999"/>
    <s v="D"/>
    <n v="4"/>
    <n v="25649.442999999999"/>
    <n v="6412.3607499999998"/>
    <n v="0.16561902021237107"/>
    <x v="1"/>
    <x v="14"/>
    <x v="1"/>
    <m/>
  </r>
  <r>
    <d v="2019-05-31T00:00:00"/>
    <x v="2"/>
    <x v="2"/>
    <x v="0"/>
    <x v="3"/>
    <n v="2601"/>
    <x v="98"/>
    <x v="0"/>
    <x v="59"/>
    <x v="1"/>
    <s v="Stipulated Price"/>
    <n v="549159.00462130003"/>
    <s v="C"/>
    <n v="12"/>
    <n v="80091.18972129999"/>
    <n v="6674.2658101083325"/>
    <n v="0.14584335146526617"/>
    <x v="1"/>
    <x v="23"/>
    <x v="1"/>
    <m/>
  </r>
  <r>
    <d v="2019-06-07T00:00:00"/>
    <x v="2"/>
    <x v="3"/>
    <x v="0"/>
    <x v="0"/>
    <n v="2609"/>
    <x v="99"/>
    <x v="0"/>
    <x v="53"/>
    <x v="1"/>
    <s v="Stipulated Price"/>
    <n v="22890.001128"/>
    <s v="D"/>
    <n v="2"/>
    <n v="6203.0011279999999"/>
    <n v="3101.5005639999999"/>
    <n v="0.27099173535698218"/>
    <x v="1"/>
    <x v="6"/>
    <x v="1"/>
    <m/>
  </r>
  <r>
    <d v="2019-06-14T00:00:00"/>
    <x v="2"/>
    <x v="3"/>
    <x v="0"/>
    <x v="2"/>
    <n v="2605"/>
    <x v="100"/>
    <x v="0"/>
    <x v="60"/>
    <x v="1"/>
    <s v="Stipulated Price"/>
    <n v="6315259.0001290133"/>
    <s v="A"/>
    <n v="31"/>
    <n v="577544.84238901245"/>
    <n v="18630.478786742337"/>
    <n v="9.1452281272583424E-2"/>
    <x v="1"/>
    <x v="3"/>
    <x v="1"/>
    <m/>
  </r>
  <r>
    <d v="2019-06-17T00:00:00"/>
    <x v="2"/>
    <x v="3"/>
    <x v="0"/>
    <x v="0"/>
    <n v="2607"/>
    <x v="101"/>
    <x v="0"/>
    <x v="41"/>
    <x v="1"/>
    <s v="Stipulated Price"/>
    <n v="133446.7979838"/>
    <s v="D"/>
    <n v="4"/>
    <n v="15448.911183800001"/>
    <n v="3862.2277959500002"/>
    <n v="0.11576831679150104"/>
    <x v="0"/>
    <x v="2"/>
    <x v="0"/>
    <m/>
  </r>
  <r>
    <d v="2019-06-19T00:00:00"/>
    <x v="2"/>
    <x v="3"/>
    <x v="0"/>
    <x v="2"/>
    <n v="2512"/>
    <x v="102"/>
    <x v="0"/>
    <x v="7"/>
    <x v="1"/>
    <s v="Stipulated Price"/>
    <n v="71556.001806999993"/>
    <s v="D"/>
    <n v="3"/>
    <n v="17033.786607000002"/>
    <n v="5677.9288690000003"/>
    <n v="0.23804832825824074"/>
    <x v="1"/>
    <x v="17"/>
    <x v="1"/>
    <m/>
  </r>
  <r>
    <d v="2019-06-24T00:00:00"/>
    <x v="2"/>
    <x v="3"/>
    <x v="0"/>
    <x v="0"/>
    <n v="2508"/>
    <x v="103"/>
    <x v="0"/>
    <x v="61"/>
    <x v="2"/>
    <s v="Fixed Fee"/>
    <n v="174490.99884812499"/>
    <s v="D"/>
    <n v="6"/>
    <n v="27633.248848125"/>
    <n v="4605.5414746875003"/>
    <n v="0.15836489578569421"/>
    <x v="0"/>
    <x v="20"/>
    <x v="0"/>
    <m/>
  </r>
  <r>
    <d v="2019-06-25T00:00:00"/>
    <x v="2"/>
    <x v="3"/>
    <x v="0"/>
    <x v="2"/>
    <n v="2610"/>
    <x v="104"/>
    <x v="0"/>
    <x v="62"/>
    <x v="1"/>
    <s v="Stipulated Price"/>
    <n v="47035.004473749999"/>
    <s v="D"/>
    <n v="3"/>
    <n v="11549.360473750001"/>
    <n v="3849.7868245833338"/>
    <n v="0.24554819549758183"/>
    <x v="1"/>
    <x v="7"/>
    <x v="1"/>
    <m/>
  </r>
  <r>
    <d v="2019-07-10T00:00:00"/>
    <x v="2"/>
    <x v="3"/>
    <x v="0"/>
    <x v="2"/>
    <n v="2613"/>
    <x v="105"/>
    <x v="0"/>
    <x v="63"/>
    <x v="1"/>
    <s v="Stipulated Price"/>
    <n v="1795729.999365207"/>
    <s v="B"/>
    <n v="18"/>
    <n v="117880.57146520707"/>
    <n v="6548.9206369559488"/>
    <n v="6.5644930756226169E-2"/>
    <x v="1"/>
    <x v="9"/>
    <x v="1"/>
    <m/>
  </r>
  <r>
    <d v="2019-07-11T00:00:00"/>
    <x v="2"/>
    <x v="3"/>
    <x v="0"/>
    <x v="0"/>
    <n v="2615"/>
    <x v="106"/>
    <x v="0"/>
    <x v="64"/>
    <x v="1"/>
    <s v="Stipulated Price"/>
    <n v="172995.99622999999"/>
    <s v="D"/>
    <n v="6"/>
    <n v="32119.996230000001"/>
    <n v="5353.3327049999998"/>
    <n v="0.18566901506377134"/>
    <x v="0"/>
    <x v="3"/>
    <x v="0"/>
    <m/>
  </r>
  <r>
    <d v="2019-07-12T00:00:00"/>
    <x v="2"/>
    <x v="3"/>
    <x v="0"/>
    <x v="0"/>
    <n v="2613"/>
    <x v="70"/>
    <x v="0"/>
    <x v="6"/>
    <x v="2"/>
    <s v="Fixed Fee"/>
    <n v="559554.30508000008"/>
    <s v="C"/>
    <n v="12"/>
    <n v="71902.63308"/>
    <n v="5991.88609"/>
    <n v="0.12849983000259466"/>
    <x v="1"/>
    <x v="2"/>
    <x v="1"/>
    <m/>
  </r>
  <r>
    <d v="2019-07-30T00:00:00"/>
    <x v="2"/>
    <x v="3"/>
    <x v="0"/>
    <x v="2"/>
    <n v="2616"/>
    <x v="107"/>
    <x v="0"/>
    <x v="65"/>
    <x v="1"/>
    <s v="Stipulated Price"/>
    <n v="94147.00243475"/>
    <s v="D"/>
    <n v="4"/>
    <n v="19596.252434750004"/>
    <n v="4899.063108687501"/>
    <n v="0.20814526143125461"/>
    <x v="0"/>
    <x v="24"/>
    <x v="1"/>
    <m/>
  </r>
  <r>
    <d v="2019-08-01T00:00:00"/>
    <x v="2"/>
    <x v="3"/>
    <x v="0"/>
    <x v="0"/>
    <n v="2619"/>
    <x v="108"/>
    <x v="0"/>
    <x v="66"/>
    <x v="1"/>
    <s v="Stipulated Price"/>
    <n v="1573035.8770409725"/>
    <s v="C"/>
    <n v="27"/>
    <n v="148374.99249587499"/>
    <n v="5495.3700924398145"/>
    <n v="9.4951226717686729E-2"/>
    <x v="0"/>
    <x v="2"/>
    <x v="0"/>
    <m/>
  </r>
  <r>
    <d v="2019-08-02T00:00:00"/>
    <x v="2"/>
    <x v="3"/>
    <x v="0"/>
    <x v="0"/>
    <n v="2623"/>
    <x v="109"/>
    <x v="0"/>
    <x v="67"/>
    <x v="2"/>
    <s v="Fixed Fee"/>
    <n v="702515.73452431639"/>
    <s v="C"/>
    <n v="20"/>
    <n v="96840.453756254778"/>
    <n v="4842.0226878127387"/>
    <n v="0.13784809221650651"/>
    <x v="1"/>
    <x v="3"/>
    <x v="1"/>
    <m/>
  </r>
  <r>
    <d v="2019-08-14T00:00:00"/>
    <x v="2"/>
    <x v="3"/>
    <x v="0"/>
    <x v="0"/>
    <n v="2622"/>
    <x v="110"/>
    <x v="0"/>
    <x v="68"/>
    <x v="1"/>
    <s v="Stipulated Price"/>
    <n v="249619.99671760001"/>
    <s v="D"/>
    <n v="7"/>
    <n v="44677.968317600004"/>
    <n v="6382.5669025142861"/>
    <n v="0.17898393119580505"/>
    <x v="1"/>
    <x v="3"/>
    <x v="1"/>
    <m/>
  </r>
  <r>
    <d v="2019-08-23T00:00:00"/>
    <x v="2"/>
    <x v="3"/>
    <x v="0"/>
    <x v="2"/>
    <n v="2624"/>
    <x v="85"/>
    <x v="0"/>
    <x v="69"/>
    <x v="1"/>
    <s v="Stipulated Price"/>
    <n v="887800.99927816004"/>
    <s v="C"/>
    <n v="13"/>
    <n v="78446.219278159988"/>
    <n v="6034.3245598584608"/>
    <n v="8.8360138524220935E-2"/>
    <x v="0"/>
    <x v="2"/>
    <x v="0"/>
    <m/>
  </r>
  <r>
    <d v="2019-09-09T00:00:00"/>
    <x v="2"/>
    <x v="0"/>
    <x v="0"/>
    <x v="0"/>
    <n v="2627"/>
    <x v="111"/>
    <x v="0"/>
    <x v="70"/>
    <x v="2"/>
    <s v="Fixed Fee"/>
    <n v="667966.40724708128"/>
    <s v="C"/>
    <n v="8"/>
    <n v="71013.544747081265"/>
    <n v="8876.6930933851581"/>
    <n v="0.10631304804646156"/>
    <x v="1"/>
    <x v="25"/>
    <x v="1"/>
    <m/>
  </r>
  <r>
    <d v="2019-09-10T00:00:00"/>
    <x v="2"/>
    <x v="0"/>
    <x v="0"/>
    <x v="2"/>
    <n v="2626"/>
    <x v="112"/>
    <x v="0"/>
    <x v="71"/>
    <x v="1"/>
    <s v="Stipulated Price"/>
    <n v="630887.99970490008"/>
    <s v="C"/>
    <n v="11"/>
    <n v="67463.887224899998"/>
    <n v="6133.0806568090911"/>
    <n v="0.10693480816952684"/>
    <x v="1"/>
    <x v="2"/>
    <x v="1"/>
    <m/>
  </r>
  <r>
    <d v="2019-09-19T00:00:00"/>
    <x v="2"/>
    <x v="0"/>
    <x v="0"/>
    <x v="0"/>
    <n v="2631"/>
    <x v="113"/>
    <x v="0"/>
    <x v="8"/>
    <x v="1"/>
    <s v="Stipulated Price"/>
    <n v="10030.004150000001"/>
    <s v="D"/>
    <n v="1"/>
    <n v="1607.50415"/>
    <n v="1607.50415"/>
    <n v="0.16026953986853534"/>
    <x v="0"/>
    <x v="6"/>
    <x v="0"/>
    <m/>
  </r>
  <r>
    <d v="2019-09-20T00:00:00"/>
    <x v="2"/>
    <x v="0"/>
    <x v="0"/>
    <x v="0"/>
    <n v="2628"/>
    <x v="114"/>
    <x v="0"/>
    <x v="29"/>
    <x v="1"/>
    <s v="Stipulated Price"/>
    <n v="31631.687807500002"/>
    <s v="D"/>
    <n v="2"/>
    <n v="8388.0140575000005"/>
    <n v="4194.0070287500002"/>
    <n v="0.26517756841009188"/>
    <x v="1"/>
    <x v="6"/>
    <x v="1"/>
    <m/>
  </r>
  <r>
    <d v="2019-09-24T00:00:00"/>
    <x v="2"/>
    <x v="0"/>
    <x v="0"/>
    <x v="0"/>
    <n v="2629"/>
    <x v="115"/>
    <x v="0"/>
    <x v="72"/>
    <x v="1"/>
    <s v="Stipulated Price"/>
    <n v="22431.306700000001"/>
    <s v="D"/>
    <n v="2"/>
    <n v="5548.3067000000001"/>
    <n v="2774.15335"/>
    <n v="0.2473465667517265"/>
    <x v="1"/>
    <x v="20"/>
    <x v="1"/>
    <m/>
  </r>
  <r>
    <d v="2019-09-29T00:00:00"/>
    <x v="2"/>
    <x v="0"/>
    <x v="2"/>
    <x v="5"/>
    <n v="2631"/>
    <x v="116"/>
    <x v="0"/>
    <x v="73"/>
    <x v="2"/>
    <s v="Fixed Fee"/>
    <m/>
    <s v="D"/>
    <m/>
    <m/>
    <m/>
    <m/>
    <x v="1"/>
    <x v="7"/>
    <x v="1"/>
    <m/>
  </r>
  <r>
    <d v="2019-09-30T00:00:00"/>
    <x v="2"/>
    <x v="0"/>
    <x v="0"/>
    <x v="0"/>
    <n v="2625"/>
    <x v="117"/>
    <x v="0"/>
    <x v="56"/>
    <x v="2"/>
    <s v="Fixed Fee"/>
    <n v="112079.10049349999"/>
    <s v="D"/>
    <n v="5"/>
    <n v="25167.600470000001"/>
    <n v="5033.5200940000004"/>
    <n v="0.23577973393025731"/>
    <x v="0"/>
    <x v="25"/>
    <x v="0"/>
    <m/>
  </r>
  <r>
    <d v="2019-10-01T00:00:00"/>
    <x v="2"/>
    <x v="0"/>
    <x v="0"/>
    <x v="0"/>
    <n v="2606"/>
    <x v="118"/>
    <x v="0"/>
    <x v="74"/>
    <x v="2"/>
    <s v="Fixed Fee"/>
    <n v="282460.57420087501"/>
    <s v="D"/>
    <n v="6"/>
    <n v="32334.944075875002"/>
    <n v="5389.1573459791671"/>
    <n v="0.11447595533414034"/>
    <x v="0"/>
    <x v="20"/>
    <x v="0"/>
    <m/>
  </r>
  <r>
    <d v="2019-10-07T00:00:00"/>
    <x v="2"/>
    <x v="0"/>
    <x v="0"/>
    <x v="2"/>
    <n v="2631"/>
    <x v="119"/>
    <x v="0"/>
    <x v="44"/>
    <x v="1"/>
    <s v="Stipulated Price"/>
    <n v="56455.895375"/>
    <s v="D"/>
    <n v="3"/>
    <n v="7408.7953750000006"/>
    <n v="2469.5984583333334"/>
    <n v="0.13123156272322251"/>
    <x v="1"/>
    <x v="3"/>
    <x v="1"/>
    <m/>
  </r>
  <r>
    <d v="2019-10-17T00:00:00"/>
    <x v="2"/>
    <x v="0"/>
    <x v="0"/>
    <x v="3"/>
    <n v="2633"/>
    <x v="120"/>
    <x v="0"/>
    <x v="75"/>
    <x v="1"/>
    <s v="Stipulated Price"/>
    <n v="82194.997471499999"/>
    <s v="D"/>
    <n v="3"/>
    <n v="16195.7779715"/>
    <n v="5398.5926571666669"/>
    <n v="0.19704092061217796"/>
    <x v="1"/>
    <x v="2"/>
    <x v="1"/>
    <m/>
  </r>
  <r>
    <d v="2019-10-18T00:00:00"/>
    <x v="2"/>
    <x v="0"/>
    <x v="0"/>
    <x v="0"/>
    <n v="2636"/>
    <x v="121"/>
    <x v="0"/>
    <x v="76"/>
    <x v="1"/>
    <s v="Stipulated Price"/>
    <n v="31940.000260000001"/>
    <s v="D"/>
    <n v="2"/>
    <n v="6414.5002599999998"/>
    <n v="3207.2501299999999"/>
    <n v="0.20082968715667754"/>
    <x v="1"/>
    <x v="25"/>
    <x v="1"/>
    <m/>
  </r>
  <r>
    <d v="2019-10-19T00:00:00"/>
    <x v="2"/>
    <x v="0"/>
    <x v="0"/>
    <x v="0"/>
    <n v="2635"/>
    <x v="122"/>
    <x v="0"/>
    <x v="53"/>
    <x v="1"/>
    <s v="Stipulated Price"/>
    <n v="14709.923150000001"/>
    <s v="D"/>
    <n v="2"/>
    <n v="4755.0506500000001"/>
    <n v="2377.5253250000001"/>
    <n v="0.323254622169797"/>
    <x v="0"/>
    <x v="25"/>
    <x v="1"/>
    <m/>
  </r>
  <r>
    <d v="2019-10-21T00:00:00"/>
    <x v="2"/>
    <x v="0"/>
    <x v="0"/>
    <x v="0"/>
    <n v="2636"/>
    <x v="123"/>
    <x v="0"/>
    <x v="77"/>
    <x v="2"/>
    <s v="Fixed Fee"/>
    <n v="1095768.3278749122"/>
    <s v="C"/>
    <n v="18"/>
    <n v="113458.96418454911"/>
    <n v="6303.2757880305062"/>
    <n v="0.10354283957502837"/>
    <x v="1"/>
    <x v="25"/>
    <x v="1"/>
    <m/>
  </r>
  <r>
    <d v="2019-11-12T00:00:00"/>
    <x v="2"/>
    <x v="0"/>
    <x v="0"/>
    <x v="3"/>
    <n v="2640"/>
    <x v="124"/>
    <x v="0"/>
    <x v="78"/>
    <x v="1"/>
    <s v="Stipulated Price"/>
    <n v="739268.6714204828"/>
    <s v="C"/>
    <n v="9"/>
    <n v="56949.119275229132"/>
    <n v="6327.6799194699033"/>
    <n v="7.703440099227131E-2"/>
    <x v="1"/>
    <x v="2"/>
    <x v="1"/>
    <m/>
  </r>
  <r>
    <d v="2019-11-13T00:00:00"/>
    <x v="2"/>
    <x v="0"/>
    <x v="0"/>
    <x v="3"/>
    <n v="2645"/>
    <x v="125"/>
    <x v="0"/>
    <x v="1"/>
    <x v="2"/>
    <s v="Fixed Fee"/>
    <n v="400000"/>
    <s v="D"/>
    <n v="8"/>
    <m/>
    <m/>
    <n v="0.15"/>
    <x v="1"/>
    <x v="25"/>
    <x v="1"/>
    <m/>
  </r>
  <r>
    <d v="2019-11-18T00:00:00"/>
    <x v="2"/>
    <x v="0"/>
    <x v="0"/>
    <x v="0"/>
    <n v="2638"/>
    <x v="126"/>
    <x v="0"/>
    <x v="79"/>
    <x v="1"/>
    <s v="Stipulated Price"/>
    <n v="82250.000096000003"/>
    <s v="E"/>
    <n v="4"/>
    <n v="12199.740096"/>
    <n v="3049.9350239999999"/>
    <n v="0.14832510737703086"/>
    <x v="0"/>
    <x v="26"/>
    <x v="0"/>
    <m/>
  </r>
  <r>
    <d v="2019-11-25T00:00:00"/>
    <x v="2"/>
    <x v="0"/>
    <x v="0"/>
    <x v="3"/>
    <n v="2644"/>
    <x v="127"/>
    <x v="0"/>
    <x v="29"/>
    <x v="1"/>
    <s v="Stipulated Price"/>
    <n v="60908.513565900001"/>
    <s v="E"/>
    <n v="3"/>
    <n v="14295.193558000001"/>
    <n v="4765.0645193333339"/>
    <n v="0.24643440394683042"/>
    <x v="0"/>
    <x v="3"/>
    <x v="0"/>
    <m/>
  </r>
  <r>
    <d v="2019-11-29T00:00:00"/>
    <x v="2"/>
    <x v="0"/>
    <x v="0"/>
    <x v="2"/>
    <n v="2647"/>
    <x v="128"/>
    <x v="1"/>
    <x v="80"/>
    <x v="1"/>
    <s v="Stipulated Price"/>
    <n v="480660.00266619999"/>
    <s v="D"/>
    <n v="10"/>
    <n v="49961.622616199995"/>
    <n v="4996.1622616199993"/>
    <n v="0.10394379049445567"/>
    <x v="1"/>
    <x v="27"/>
    <x v="1"/>
    <m/>
  </r>
  <r>
    <d v="2019-12-16T00:00:00"/>
    <x v="3"/>
    <x v="1"/>
    <x v="1"/>
    <x v="1"/>
    <n v="2649"/>
    <x v="129"/>
    <x v="1"/>
    <x v="5"/>
    <x v="1"/>
    <s v="Stipulated Price"/>
    <n v="240298.21365679998"/>
    <s v="D"/>
    <n v="5"/>
    <n v="28428.389150800002"/>
    <n v="5685.6778301600007"/>
    <n v="0.11830462123785135"/>
    <x v="0"/>
    <x v="3"/>
    <x v="0"/>
    <n v="240298.21365679998"/>
  </r>
  <r>
    <d v="2020-01-08T00:00:00"/>
    <x v="3"/>
    <x v="1"/>
    <x v="0"/>
    <x v="2"/>
    <n v="2652"/>
    <x v="130"/>
    <x v="2"/>
    <x v="81"/>
    <x v="1"/>
    <s v="Stipulated Price"/>
    <n v="63379.997277499999"/>
    <s v="E"/>
    <n v="5"/>
    <n v="14293.5992775"/>
    <n v="2858.7198555"/>
    <n v="0.22552224505339716"/>
    <x v="1"/>
    <x v="25"/>
    <x v="1"/>
    <m/>
  </r>
  <r>
    <d v="2020-01-10T00:00:00"/>
    <x v="3"/>
    <x v="1"/>
    <x v="0"/>
    <x v="2"/>
    <n v="2654"/>
    <x v="131"/>
    <x v="2"/>
    <x v="82"/>
    <x v="2"/>
    <s v="Fixed Fee"/>
    <n v="3219139.7429162404"/>
    <s v="B"/>
    <n v="26"/>
    <n v="201721.24517840001"/>
    <n v="7758.5094299384618"/>
    <n v="6.8929399596435445E-2"/>
    <x v="1"/>
    <x v="20"/>
    <x v="1"/>
    <m/>
  </r>
  <r>
    <d v="2020-01-14T00:00:00"/>
    <x v="3"/>
    <x v="1"/>
    <x v="0"/>
    <x v="3"/>
    <n v="2651"/>
    <x v="132"/>
    <x v="3"/>
    <x v="83"/>
    <x v="1"/>
    <s v="Stipulated Price"/>
    <n v="164240.00208665"/>
    <s v="D"/>
    <n v="4"/>
    <n v="20395.342086650002"/>
    <n v="5098.8355216625005"/>
    <n v="0.12418011341652196"/>
    <x v="1"/>
    <x v="3"/>
    <x v="1"/>
    <m/>
  </r>
  <r>
    <d v="2020-01-20T00:00:00"/>
    <x v="3"/>
    <x v="1"/>
    <x v="0"/>
    <x v="0"/>
    <n v="2659"/>
    <x v="133"/>
    <x v="3"/>
    <x v="84"/>
    <x v="1"/>
    <s v="Stipulated Price"/>
    <n v="308639.53000000003"/>
    <s v="D"/>
    <n v="6"/>
    <n v="47210.75"/>
    <n v="7868"/>
    <n v="0.15"/>
    <x v="1"/>
    <x v="25"/>
    <x v="1"/>
    <m/>
  </r>
  <r>
    <d v="2020-01-22T00:00:00"/>
    <x v="3"/>
    <x v="1"/>
    <x v="0"/>
    <x v="0"/>
    <n v="2655"/>
    <x v="134"/>
    <x v="3"/>
    <x v="47"/>
    <x v="1"/>
    <s v="Stipulated Price"/>
    <n v="9349.9952499999999"/>
    <s v="E"/>
    <n v="1"/>
    <n v="1997.4952500000002"/>
    <n v="1997.4952500000002"/>
    <n v="0.21363596414661282"/>
    <x v="0"/>
    <x v="25"/>
    <x v="0"/>
    <n v="9349.9952499999999"/>
  </r>
  <r>
    <d v="2020-01-23T00:00:00"/>
    <x v="3"/>
    <x v="1"/>
    <x v="0"/>
    <x v="3"/>
    <n v="2656"/>
    <x v="135"/>
    <x v="2"/>
    <x v="85"/>
    <x v="1"/>
    <s v="Stipulated Price"/>
    <n v="994569.99645600002"/>
    <s v="C"/>
    <n v="10"/>
    <n v="60724.203256000001"/>
    <n v="6072.4203256000001"/>
    <n v="6.105573611951047E-2"/>
    <x v="1"/>
    <x v="28"/>
    <x v="1"/>
    <m/>
  </r>
  <r>
    <d v="2020-01-23T00:00:00"/>
    <x v="3"/>
    <x v="1"/>
    <x v="0"/>
    <x v="0"/>
    <n v="2657"/>
    <x v="136"/>
    <x v="3"/>
    <x v="79"/>
    <x v="2"/>
    <s v="Fixed Fee"/>
    <n v="180183.99573600001"/>
    <s v="D"/>
    <n v="6"/>
    <n v="25158.827366000001"/>
    <n v="4193.1378943333339"/>
    <n v="0.13962853506069392"/>
    <x v="1"/>
    <x v="25"/>
    <x v="1"/>
    <m/>
  </r>
  <r>
    <d v="2020-02-06T00:00:00"/>
    <x v="3"/>
    <x v="1"/>
    <x v="0"/>
    <x v="0"/>
    <n v="2658"/>
    <x v="137"/>
    <x v="3"/>
    <x v="86"/>
    <x v="2"/>
    <s v="Fixed Fee"/>
    <n v="584600"/>
    <s v="C"/>
    <n v="10"/>
    <n v="51051"/>
    <n v="5105"/>
    <n v="8.7300000000000003E-2"/>
    <x v="0"/>
    <x v="25"/>
    <x v="0"/>
    <n v="584600"/>
  </r>
  <r>
    <d v="2020-01-30T00:00:00"/>
    <x v="3"/>
    <x v="1"/>
    <x v="1"/>
    <x v="1"/>
    <n v="2653"/>
    <x v="138"/>
    <x v="1"/>
    <x v="7"/>
    <x v="1"/>
    <s v="Stipulated Price"/>
    <n v="205709.99707999997"/>
    <s v="D"/>
    <n v="5"/>
    <n v="34418.808530000002"/>
    <n v="6883.7617060000002"/>
    <n v="0.16731714072512788"/>
    <x v="1"/>
    <x v="25"/>
    <x v="1"/>
    <m/>
  </r>
  <r>
    <d v="2020-02-02T00:00:00"/>
    <x v="3"/>
    <x v="1"/>
    <x v="0"/>
    <x v="0"/>
    <n v="2661"/>
    <x v="139"/>
    <x v="3"/>
    <x v="87"/>
    <x v="1"/>
    <s v="Stipulated Price"/>
    <n v="20630.881590000001"/>
    <s v="E"/>
    <n v="2"/>
    <n v="6382.88159"/>
    <n v="3191.440795"/>
    <n v="0.3093848201374898"/>
    <x v="1"/>
    <x v="6"/>
    <x v="1"/>
    <m/>
  </r>
  <r>
    <d v="2020-02-06T00:00:00"/>
    <x v="3"/>
    <x v="1"/>
    <x v="2"/>
    <x v="5"/>
    <n v="2660"/>
    <x v="140"/>
    <x v="2"/>
    <x v="88"/>
    <x v="1"/>
    <s v="Stipulated Price"/>
    <n v="827424.95915640006"/>
    <s v="C"/>
    <n v="10"/>
    <n v="80984.398866400006"/>
    <n v="8098.4398866400006"/>
    <n v="9.787521873762127E-2"/>
    <x v="1"/>
    <x v="28"/>
    <x v="1"/>
    <m/>
  </r>
  <r>
    <d v="2020-02-10T00:00:00"/>
    <x v="3"/>
    <x v="1"/>
    <x v="0"/>
    <x v="0"/>
    <n v="2661"/>
    <x v="141"/>
    <x v="3"/>
    <x v="89"/>
    <x v="1"/>
    <s v="Stipulated Price"/>
    <n v="12160.995719999999"/>
    <s v="E"/>
    <n v="2"/>
    <n v="3859.7475200000003"/>
    <n v="1929.8737600000002"/>
    <n v="0.31738745813817298"/>
    <x v="1"/>
    <x v="6"/>
    <x v="1"/>
    <m/>
  </r>
  <r>
    <d v="2020-02-11T00:00:00"/>
    <x v="3"/>
    <x v="1"/>
    <x v="0"/>
    <x v="3"/>
    <n v="2666"/>
    <x v="142"/>
    <x v="2"/>
    <x v="5"/>
    <x v="1"/>
    <s v="Stipulated Price"/>
    <n v="160567.00299711997"/>
    <s v="D"/>
    <n v="6"/>
    <n v="25716.658446720001"/>
    <n v="4286.1097411199999"/>
    <n v="0.16016153983506357"/>
    <x v="0"/>
    <x v="3"/>
    <x v="0"/>
    <n v="160567.00299711997"/>
  </r>
  <r>
    <d v="2020-02-13T00:00:00"/>
    <x v="3"/>
    <x v="1"/>
    <x v="0"/>
    <x v="3"/>
    <n v="2665"/>
    <x v="143"/>
    <x v="3"/>
    <x v="90"/>
    <x v="2"/>
    <s v="Fixed Fee"/>
    <n v="11000000"/>
    <s v="A"/>
    <n v="86"/>
    <m/>
    <n v="6014"/>
    <n v="3.4000000000000002E-2"/>
    <x v="0"/>
    <x v="25"/>
    <x v="0"/>
    <n v="11000000"/>
  </r>
  <r>
    <d v="2020-02-20T00:00:00"/>
    <x v="3"/>
    <x v="1"/>
    <x v="2"/>
    <x v="5"/>
    <n v="2662"/>
    <x v="144"/>
    <x v="2"/>
    <x v="91"/>
    <x v="1"/>
    <s v="Stipulated Price"/>
    <n v="222827.99617568345"/>
    <s v="D"/>
    <n v="5"/>
    <n v="27715.076009529614"/>
    <n v="5543.0152019059224"/>
    <n v="0.12437878760835025"/>
    <x v="1"/>
    <x v="25"/>
    <x v="1"/>
    <m/>
  </r>
  <r>
    <d v="2020-02-20T00:00:00"/>
    <x v="3"/>
    <x v="1"/>
    <x v="2"/>
    <x v="5"/>
    <n v="2663"/>
    <x v="145"/>
    <x v="2"/>
    <x v="92"/>
    <x v="1"/>
    <s v="Stipulated Price"/>
    <n v="288179.99644706538"/>
    <s v="D"/>
    <n v="5"/>
    <n v="43202.394280911532"/>
    <n v="8640.4788561823061"/>
    <n v="0.14991461868814066"/>
    <x v="1"/>
    <x v="25"/>
    <x v="1"/>
    <m/>
  </r>
  <r>
    <d v="2020-02-20T00:00:00"/>
    <x v="3"/>
    <x v="1"/>
    <x v="0"/>
    <x v="2"/>
    <n v="2669"/>
    <x v="146"/>
    <x v="2"/>
    <x v="93"/>
    <x v="1"/>
    <s v="Stipulated Price"/>
    <n v="1148100.9983596641"/>
    <s v="C"/>
    <n v="12"/>
    <n v="82230.776251564006"/>
    <n v="6852.5646876303335"/>
    <n v="7.1623294787697481E-2"/>
    <x v="1"/>
    <x v="28"/>
    <x v="1"/>
    <m/>
  </r>
  <r>
    <d v="2020-02-20T00:00:00"/>
    <x v="3"/>
    <x v="1"/>
    <x v="0"/>
    <x v="3"/>
    <n v="2672"/>
    <x v="147"/>
    <x v="3"/>
    <x v="29"/>
    <x v="1"/>
    <s v="Stipulated Price"/>
    <n v="20273"/>
    <s v="E"/>
    <n v="2"/>
    <n v="5093"/>
    <n v="2547"/>
    <n v="0.25119999999999998"/>
    <x v="0"/>
    <x v="25"/>
    <x v="0"/>
    <n v="20273"/>
  </r>
  <r>
    <d v="2020-03-09T00:00:00"/>
    <x v="3"/>
    <x v="2"/>
    <x v="0"/>
    <x v="0"/>
    <n v="2675"/>
    <x v="148"/>
    <x v="2"/>
    <x v="94"/>
    <x v="1"/>
    <s v="Stipulated Price"/>
    <n v="310232.00123999995"/>
    <s v="D"/>
    <n v="7"/>
    <n v="36438.388740000002"/>
    <n v="5205.4841057142858"/>
    <n v="0.11745528699281652"/>
    <x v="1"/>
    <x v="3"/>
    <x v="1"/>
    <m/>
  </r>
  <r>
    <d v="2020-03-12T00:00:00"/>
    <x v="3"/>
    <x v="2"/>
    <x v="1"/>
    <x v="1"/>
    <n v="2673"/>
    <x v="149"/>
    <x v="2"/>
    <x v="0"/>
    <x v="1"/>
    <s v="Stipulated Price"/>
    <n v="120876.35"/>
    <s v="D"/>
    <n v="3"/>
    <m/>
    <m/>
    <n v="0.15"/>
    <x v="0"/>
    <x v="3"/>
    <x v="0"/>
    <m/>
  </r>
  <r>
    <d v="2020-03-13T00:00:00"/>
    <x v="3"/>
    <x v="2"/>
    <x v="0"/>
    <x v="0"/>
    <n v="2676"/>
    <x v="150"/>
    <x v="2"/>
    <x v="8"/>
    <x v="1"/>
    <s v="Stipulated Price"/>
    <n v="254091.86308799998"/>
    <s v="D"/>
    <n v="6"/>
    <n v="35440.723087999999"/>
    <n v="5906.7871813333331"/>
    <n v="0.13947996074052071"/>
    <x v="1"/>
    <x v="3"/>
    <x v="1"/>
    <m/>
  </r>
  <r>
    <d v="2020-03-18T00:00:00"/>
    <x v="3"/>
    <x v="2"/>
    <x v="2"/>
    <x v="5"/>
    <n v="2678"/>
    <x v="151"/>
    <x v="3"/>
    <x v="95"/>
    <x v="1"/>
    <s v="Stipulated Price"/>
    <n v="281324.99626709998"/>
    <s v="D"/>
    <n v="6"/>
    <n v="32557.296267099995"/>
    <n v="5426.2160445166655"/>
    <n v="0.11572841624136711"/>
    <x v="1"/>
    <x v="3"/>
    <x v="1"/>
    <m/>
  </r>
  <r>
    <d v="2020-03-25T00:00:00"/>
    <x v="3"/>
    <x v="2"/>
    <x v="0"/>
    <x v="0"/>
    <n v="2668"/>
    <x v="152"/>
    <x v="3"/>
    <x v="29"/>
    <x v="1"/>
    <s v="Stipulated Price"/>
    <n v="69213"/>
    <s v="E"/>
    <n v="4"/>
    <n v="14325"/>
    <n v="3581.25"/>
    <n v="0.20696978891248755"/>
    <x v="1"/>
    <x v="20"/>
    <x v="1"/>
    <m/>
  </r>
  <r>
    <d v="2020-03-25T00:00:00"/>
    <x v="3"/>
    <x v="2"/>
    <x v="1"/>
    <x v="1"/>
    <n v="2682"/>
    <x v="153"/>
    <x v="2"/>
    <x v="96"/>
    <x v="1"/>
    <s v="Stipulated Price"/>
    <n v="183595"/>
    <s v="D"/>
    <n v="6"/>
    <n v="28649"/>
    <n v="4774.833333333333"/>
    <n v="0.15604455459026662"/>
    <x v="1"/>
    <x v="3"/>
    <x v="1"/>
    <m/>
  </r>
  <r>
    <d v="2020-03-26T00:00:00"/>
    <x v="3"/>
    <x v="2"/>
    <x v="0"/>
    <x v="3"/>
    <n v="2679"/>
    <x v="154"/>
    <x v="2"/>
    <x v="97"/>
    <x v="1"/>
    <s v="Stipulated Price"/>
    <n v="126473.0041375"/>
    <s v="D"/>
    <n v="4"/>
    <n v="17081.204137500001"/>
    <n v="4270.3010343750002"/>
    <n v="0.13505810393283227"/>
    <x v="0"/>
    <x v="3"/>
    <x v="0"/>
    <m/>
  </r>
  <r>
    <d v="2020-03-26T00:00:00"/>
    <x v="3"/>
    <x v="2"/>
    <x v="0"/>
    <x v="3"/>
    <n v="2680"/>
    <x v="155"/>
    <x v="3"/>
    <x v="98"/>
    <x v="1"/>
    <s v="Stipulated Price"/>
    <n v="485388.9956577933"/>
    <s v="D"/>
    <n v="12"/>
    <n v="47375.922735387292"/>
    <n v="3947.9935612822742"/>
    <n v="9.7604031321690793E-2"/>
    <x v="1"/>
    <x v="3"/>
    <x v="1"/>
    <m/>
  </r>
  <r>
    <d v="2020-03-27T00:00:00"/>
    <x v="3"/>
    <x v="2"/>
    <x v="2"/>
    <x v="5"/>
    <n v="2671"/>
    <x v="156"/>
    <x v="2"/>
    <x v="7"/>
    <x v="2"/>
    <s v="Fixed Fee"/>
    <n v="266156.2184301372"/>
    <s v="D"/>
    <n v="6"/>
    <n v="34686.263370252003"/>
    <n v="5781.0438950420003"/>
    <n v="0.14335524427092206"/>
    <x v="1"/>
    <x v="0"/>
    <x v="1"/>
    <m/>
  </r>
  <r>
    <d v="2020-03-31T00:00:00"/>
    <x v="3"/>
    <x v="2"/>
    <x v="1"/>
    <x v="1"/>
    <n v="2683"/>
    <x v="157"/>
    <x v="1"/>
    <x v="7"/>
    <x v="1"/>
    <s v="Stipulated Price"/>
    <n v="236650.00412960001"/>
    <s v="D"/>
    <n v="5"/>
    <n v="33255.9800846"/>
    <n v="6651.1960169200001"/>
    <n v="0.14052811960395131"/>
    <x v="1"/>
    <x v="3"/>
    <x v="1"/>
    <m/>
  </r>
  <r>
    <d v="2020-04-03T00:00:00"/>
    <x v="3"/>
    <x v="2"/>
    <x v="0"/>
    <x v="0"/>
    <n v="2685"/>
    <x v="158"/>
    <x v="3"/>
    <x v="41"/>
    <x v="2"/>
    <s v="Fixed Fee"/>
    <n v="1000000"/>
    <s v="C"/>
    <m/>
    <m/>
    <m/>
    <n v="7.0000000000000007E-2"/>
    <x v="0"/>
    <x v="20"/>
    <x v="0"/>
    <m/>
  </r>
  <r>
    <d v="2020-04-08T00:00:00"/>
    <x v="3"/>
    <x v="2"/>
    <x v="0"/>
    <x v="0"/>
    <n v="2687"/>
    <x v="159"/>
    <x v="2"/>
    <x v="26"/>
    <x v="1"/>
    <s v="Stipulated Price"/>
    <n v="628837"/>
    <s v="C"/>
    <n v="12"/>
    <n v="56143"/>
    <n v="4678.583333333333"/>
    <n v="8.9280688000228994E-2"/>
    <x v="1"/>
    <x v="3"/>
    <x v="1"/>
    <m/>
  </r>
  <r>
    <d v="2020-04-13T00:00:00"/>
    <x v="3"/>
    <x v="2"/>
    <x v="0"/>
    <x v="0"/>
    <n v="2677"/>
    <x v="160"/>
    <x v="2"/>
    <x v="8"/>
    <x v="1"/>
    <s v="Stipulated Price"/>
    <n v="33646.99"/>
    <s v="E"/>
    <n v="0"/>
    <n v="6101.99"/>
    <m/>
    <n v="0.18135322060011907"/>
    <x v="0"/>
    <x v="3"/>
    <x v="0"/>
    <m/>
  </r>
  <r>
    <d v="2020-04-15T00:00:00"/>
    <x v="3"/>
    <x v="2"/>
    <x v="0"/>
    <x v="0"/>
    <n v="2689"/>
    <x v="161"/>
    <x v="2"/>
    <x v="8"/>
    <x v="1"/>
    <s v="Stipulated Price"/>
    <n v="52362"/>
    <s v="E"/>
    <n v="2"/>
    <n v="8018"/>
    <n v="4009"/>
    <n v="0.15312631297505824"/>
    <x v="1"/>
    <x v="3"/>
    <x v="1"/>
    <m/>
  </r>
  <r>
    <d v="2020-04-17T00:00:00"/>
    <x v="3"/>
    <x v="2"/>
    <x v="0"/>
    <x v="0"/>
    <n v="2684"/>
    <x v="162"/>
    <x v="2"/>
    <x v="99"/>
    <x v="1"/>
    <s v="Stipulated Price"/>
    <n v="195050.03"/>
    <s v="D"/>
    <n v="5"/>
    <n v="18289"/>
    <n v="3657.8"/>
    <n v="9.6600000000000005E-2"/>
    <x v="0"/>
    <x v="25"/>
    <x v="0"/>
    <m/>
  </r>
  <r>
    <d v="2020-04-22T00:00:00"/>
    <x v="3"/>
    <x v="2"/>
    <x v="0"/>
    <x v="0"/>
    <n v="2695"/>
    <x v="163"/>
    <x v="3"/>
    <x v="35"/>
    <x v="1"/>
    <s v="Stipulated Price"/>
    <n v="59007.000462200005"/>
    <s v="E"/>
    <n v="2"/>
    <n v="8387.3014621999992"/>
    <n v="4193.6507310999996"/>
    <n v="0.14214078662705318"/>
    <x v="1"/>
    <x v="3"/>
    <x v="1"/>
    <m/>
  </r>
  <r>
    <d v="2020-04-26T00:00:00"/>
    <x v="3"/>
    <x v="2"/>
    <x v="0"/>
    <x v="0"/>
    <n v="2686"/>
    <x v="164"/>
    <x v="3"/>
    <x v="100"/>
    <x v="2"/>
    <s v="Fixed Fee"/>
    <n v="1056000"/>
    <s v="C"/>
    <n v="10"/>
    <m/>
    <m/>
    <n v="0.09"/>
    <x v="1"/>
    <x v="0"/>
    <x v="1"/>
    <m/>
  </r>
  <r>
    <d v="2020-04-30T00:00:00"/>
    <x v="3"/>
    <x v="2"/>
    <x v="0"/>
    <x v="8"/>
    <n v="2690"/>
    <x v="165"/>
    <x v="3"/>
    <x v="101"/>
    <x v="1"/>
    <s v="Stipulated Price"/>
    <n v="275759.99744084803"/>
    <s v="D"/>
    <n v="7"/>
    <n v="34357.244504148002"/>
    <n v="4908.1777863068573"/>
    <n v="0.12459111119450098"/>
    <x v="0"/>
    <x v="3"/>
    <x v="0"/>
    <m/>
  </r>
  <r>
    <d v="2020-05-20T00:00:00"/>
    <x v="3"/>
    <x v="2"/>
    <x v="0"/>
    <x v="0"/>
    <n v="2699"/>
    <x v="166"/>
    <x v="4"/>
    <x v="102"/>
    <x v="2"/>
    <s v="Fixed Fee"/>
    <n v="5432871.79"/>
    <s v="A"/>
    <n v="45"/>
    <n v="384177.03"/>
    <n v="8537.27"/>
    <n v="7.0699999999999999E-2"/>
    <x v="0"/>
    <x v="3"/>
    <x v="0"/>
    <m/>
  </r>
  <r>
    <d v="2020-05-20T00:00:00"/>
    <x v="3"/>
    <x v="2"/>
    <x v="0"/>
    <x v="0"/>
    <n v="2699"/>
    <x v="167"/>
    <x v="4"/>
    <x v="103"/>
    <x v="2"/>
    <s v="Fixed Fee"/>
    <n v="3960000"/>
    <s v="B"/>
    <n v="52"/>
    <n v="359045.36946000002"/>
    <n v="6904.7186434615387"/>
    <n v="7.3417787124870251E-2"/>
    <x v="0"/>
    <x v="3"/>
    <x v="0"/>
    <m/>
  </r>
  <r>
    <d v="2020-05-26T00:00:00"/>
    <x v="3"/>
    <x v="2"/>
    <x v="0"/>
    <x v="0"/>
    <n v="2704"/>
    <x v="168"/>
    <x v="3"/>
    <x v="104"/>
    <x v="1"/>
    <s v="Stipulated Price"/>
    <n v="346794.00111339876"/>
    <s v="D"/>
    <n v="10"/>
    <n v="54087.21417353666"/>
    <n v="5408.7214173536659"/>
    <n v="0.15596352301333663"/>
    <x v="1"/>
    <x v="25"/>
    <x v="1"/>
    <m/>
  </r>
  <r>
    <d v="2020-06-05T00:00:00"/>
    <x v="3"/>
    <x v="3"/>
    <x v="0"/>
    <x v="0"/>
    <n v="2703"/>
    <x v="169"/>
    <x v="3"/>
    <x v="105"/>
    <x v="1"/>
    <s v="Stipulated Price"/>
    <n v="2936344.6088940077"/>
    <s v="B"/>
    <n v="42"/>
    <n v="282990.90941648255"/>
    <n v="6737.8787956305368"/>
    <n v="9.6375237620039703E-2"/>
    <x v="1"/>
    <x v="29"/>
    <x v="1"/>
    <m/>
  </r>
  <r>
    <d v="2020-05-29T00:00:00"/>
    <x v="3"/>
    <x v="2"/>
    <x v="0"/>
    <x v="0"/>
    <n v="2705"/>
    <x v="170"/>
    <x v="4"/>
    <x v="102"/>
    <x v="2"/>
    <s v="Fixed Fee"/>
    <n v="19570000"/>
    <s v="A"/>
    <n v="80"/>
    <n v="863224"/>
    <n v="6904.7186434615387"/>
    <n v="4.3999999999999997E-2"/>
    <x v="1"/>
    <x v="3"/>
    <x v="1"/>
    <m/>
  </r>
  <r>
    <d v="2020-05-29T00:00:00"/>
    <x v="3"/>
    <x v="2"/>
    <x v="0"/>
    <x v="3"/>
    <n v="2692"/>
    <x v="171"/>
    <x v="3"/>
    <x v="8"/>
    <x v="2"/>
    <s v="Fixed Fee"/>
    <n v="127045"/>
    <s v="D"/>
    <n v="5"/>
    <n v="21730"/>
    <n v="4346"/>
    <n v="0.17104175685780629"/>
    <x v="0"/>
    <x v="3"/>
    <x v="0"/>
    <m/>
  </r>
  <r>
    <d v="2020-06-06T00:00:00"/>
    <x v="3"/>
    <x v="3"/>
    <x v="0"/>
    <x v="3"/>
    <n v="2707"/>
    <x v="172"/>
    <x v="3"/>
    <x v="72"/>
    <x v="1"/>
    <s v="Stipulated Price"/>
    <n v="39508.004315999999"/>
    <s v="E"/>
    <n v="3"/>
    <n v="8482.5851060000005"/>
    <n v="2827.5283686666667"/>
    <n v="0.21470548191078112"/>
    <x v="0"/>
    <x v="20"/>
    <x v="0"/>
    <n v="39508.004315999999"/>
  </r>
  <r>
    <d v="2020-06-05T00:00:00"/>
    <x v="3"/>
    <x v="3"/>
    <x v="0"/>
    <x v="3"/>
    <n v="2707"/>
    <x v="173"/>
    <x v="3"/>
    <x v="106"/>
    <x v="1"/>
    <s v="Stipulated Price"/>
    <n v="59930.9960058"/>
    <s v="E"/>
    <n v="3"/>
    <n v="10349.295770300001"/>
    <n v="3449.7652567666669"/>
    <n v="0.17268686422796006"/>
    <x v="0"/>
    <x v="20"/>
    <x v="0"/>
    <n v="59930.9960058"/>
  </r>
  <r>
    <d v="2020-06-29T00:00:00"/>
    <x v="3"/>
    <x v="3"/>
    <x v="0"/>
    <x v="0"/>
    <n v="2710"/>
    <x v="174"/>
    <x v="4"/>
    <x v="107"/>
    <x v="2"/>
    <s v="Fixed Fee"/>
    <n v="16000000"/>
    <s v="A"/>
    <n v="80"/>
    <m/>
    <n v="10316"/>
    <n v="5.1499999999999997E-2"/>
    <x v="1"/>
    <x v="20"/>
    <x v="1"/>
    <m/>
  </r>
  <r>
    <d v="2020-06-15T00:00:00"/>
    <x v="3"/>
    <x v="3"/>
    <x v="0"/>
    <x v="0"/>
    <n v="2711"/>
    <x v="175"/>
    <x v="1"/>
    <x v="108"/>
    <x v="2"/>
    <s v="Fixed Fee"/>
    <n v="283278.41555999999"/>
    <s v="D"/>
    <n v="8"/>
    <n v="40617.469110000005"/>
    <n v="5077.1836387500007"/>
    <n v="0.14338356499807869"/>
    <x v="0"/>
    <x v="25"/>
    <x v="0"/>
    <n v="283278.41555999999"/>
  </r>
  <r>
    <d v="2020-05-29T00:00:00"/>
    <x v="3"/>
    <x v="2"/>
    <x v="0"/>
    <x v="0"/>
    <n v="2700"/>
    <x v="176"/>
    <x v="2"/>
    <x v="109"/>
    <x v="1"/>
    <s v="Stipulated Price"/>
    <n v="209041.99550676328"/>
    <s v="D"/>
    <n v="7"/>
    <n v="30092.003524549022"/>
    <n v="4298.8576463641457"/>
    <n v="0.15834730020333262"/>
    <x v="0"/>
    <x v="20"/>
    <x v="0"/>
    <m/>
  </r>
  <r>
    <d v="2020-06-10T00:00:00"/>
    <x v="3"/>
    <x v="3"/>
    <x v="0"/>
    <x v="0"/>
    <n v="2708"/>
    <x v="177"/>
    <x v="3"/>
    <x v="1"/>
    <x v="1"/>
    <s v="Stipulated Price"/>
    <n v="37069.996881999999"/>
    <s v="E"/>
    <n v="3"/>
    <n v="9193.9365319999997"/>
    <n v="3064.6455106666667"/>
    <n v="0.24801557338312807"/>
    <x v="1"/>
    <x v="20"/>
    <x v="1"/>
    <m/>
  </r>
  <r>
    <d v="2020-07-31T00:00:00"/>
    <x v="3"/>
    <x v="3"/>
    <x v="0"/>
    <x v="3"/>
    <n v="2718"/>
    <x v="178"/>
    <x v="4"/>
    <x v="1"/>
    <x v="2"/>
    <s v="Fixed Fee"/>
    <n v="6000000"/>
    <s v="A"/>
    <n v="52"/>
    <m/>
    <m/>
    <n v="0.08"/>
    <x v="1"/>
    <x v="25"/>
    <x v="1"/>
    <m/>
  </r>
  <r>
    <d v="2020-07-10T00:00:00"/>
    <x v="3"/>
    <x v="3"/>
    <x v="0"/>
    <x v="9"/>
    <n v="2714"/>
    <x v="179"/>
    <x v="3"/>
    <x v="110"/>
    <x v="2"/>
    <s v="Fixed Fee"/>
    <n v="3297897.2643975001"/>
    <s v="B"/>
    <n v="40"/>
    <n v="288755.9893975"/>
    <n v="7218.8997349375004"/>
    <n v="8.7557606028171239E-2"/>
    <x v="1"/>
    <x v="25"/>
    <x v="1"/>
    <m/>
  </r>
  <r>
    <d v="2020-07-07T00:00:00"/>
    <x v="3"/>
    <x v="3"/>
    <x v="0"/>
    <x v="0"/>
    <n v="2712"/>
    <x v="180"/>
    <x v="3"/>
    <x v="111"/>
    <x v="1"/>
    <s v="Stipulated Price"/>
    <n v="136339.9952032"/>
    <s v="D"/>
    <n v="6"/>
    <n v="21802.705173200004"/>
    <n v="3633.7841955333338"/>
    <n v="0.15991422869500202"/>
    <x v="0"/>
    <x v="25"/>
    <x v="0"/>
    <n v="136339.9952032"/>
  </r>
  <r>
    <d v="2020-07-30T00:00:00"/>
    <x v="3"/>
    <x v="3"/>
    <x v="0"/>
    <x v="3"/>
    <n v="2717"/>
    <x v="181"/>
    <x v="4"/>
    <x v="1"/>
    <x v="2"/>
    <s v="Fixed Fee"/>
    <n v="8967980"/>
    <s v="A"/>
    <n v="56"/>
    <m/>
    <n v="10012"/>
    <n v="0.08"/>
    <x v="1"/>
    <x v="25"/>
    <x v="1"/>
    <m/>
  </r>
  <r>
    <d v="2020-07-13T00:00:00"/>
    <x v="3"/>
    <x v="3"/>
    <x v="1"/>
    <x v="1"/>
    <n v="2713"/>
    <x v="182"/>
    <x v="2"/>
    <x v="112"/>
    <x v="1"/>
    <s v="Stipulated Price"/>
    <n v="1725296.0002663452"/>
    <s v="C"/>
    <n v="14"/>
    <n v="140826.87586562522"/>
    <n v="10059.062561830373"/>
    <n v="8.1624762269132289E-2"/>
    <x v="1"/>
    <x v="3"/>
    <x v="1"/>
    <m/>
  </r>
  <r>
    <d v="2020-07-28T00:00:00"/>
    <x v="3"/>
    <x v="3"/>
    <x v="0"/>
    <x v="3"/>
    <n v="2719"/>
    <x v="183"/>
    <x v="2"/>
    <x v="113"/>
    <x v="1"/>
    <s v="Stipulated Price"/>
    <n v="1168513.9980397499"/>
    <s v="C"/>
    <n v="16"/>
    <n v="117796.00340224999"/>
    <n v="7362.2502126406243"/>
    <n v="0.10080838021612032"/>
    <x v="1"/>
    <x v="3"/>
    <x v="1"/>
    <m/>
  </r>
  <r>
    <d v="2020-07-24T00:00:00"/>
    <x v="3"/>
    <x v="3"/>
    <x v="2"/>
    <x v="5"/>
    <n v="2716"/>
    <x v="184"/>
    <x v="2"/>
    <x v="1"/>
    <x v="1"/>
    <s v="Stipulated Price"/>
    <n v="24770.75"/>
    <s v="E"/>
    <n v="1"/>
    <m/>
    <m/>
    <n v="0.15"/>
    <x v="1"/>
    <x v="25"/>
    <x v="1"/>
    <m/>
  </r>
  <r>
    <d v="2020-08-07T00:00:00"/>
    <x v="3"/>
    <x v="3"/>
    <x v="0"/>
    <x v="0"/>
    <n v="2720"/>
    <x v="185"/>
    <x v="2"/>
    <x v="1"/>
    <x v="1"/>
    <s v="Stipulated Price"/>
    <n v="173456.99"/>
    <s v="D"/>
    <n v="1"/>
    <m/>
    <m/>
    <n v="0.15"/>
    <x v="1"/>
    <x v="25"/>
    <x v="1"/>
    <m/>
  </r>
  <r>
    <d v="2020-08-28T00:00:00"/>
    <x v="3"/>
    <x v="3"/>
    <x v="1"/>
    <x v="1"/>
    <n v="2721"/>
    <x v="186"/>
    <x v="2"/>
    <x v="114"/>
    <x v="1"/>
    <s v="Stipulated Price"/>
    <n v="211326.21813599998"/>
    <s v="D"/>
    <n v="8"/>
    <n v="46293.774725999996"/>
    <n v="5786.7218407499995"/>
    <n v="0.21906309181290237"/>
    <x v="1"/>
    <x v="3"/>
    <x v="1"/>
    <m/>
  </r>
  <r>
    <d v="2020-09-14T00:00:00"/>
    <x v="3"/>
    <x v="0"/>
    <x v="0"/>
    <x v="0"/>
    <n v="2723"/>
    <x v="187"/>
    <x v="3"/>
    <x v="35"/>
    <x v="1"/>
    <s v="Stipulated Price"/>
    <n v="15104.999860859998"/>
    <s v="D"/>
    <n v="2"/>
    <n v="5378.6366317600005"/>
    <n v="2689.3183158800002"/>
    <n v="0.35608319637904118"/>
    <x v="1"/>
    <x v="3"/>
    <x v="1"/>
    <m/>
  </r>
  <r>
    <d v="2020-10-13T00:00:00"/>
    <x v="3"/>
    <x v="0"/>
    <x v="0"/>
    <x v="0"/>
    <n v="2728"/>
    <x v="188"/>
    <x v="3"/>
    <x v="115"/>
    <x v="2"/>
    <s v="Fixed Fee"/>
    <n v="924030"/>
    <s v="C"/>
    <n v="16"/>
    <n v="65561"/>
    <n v="4098"/>
    <n v="7.0999999999999994E-2"/>
    <x v="0"/>
    <x v="3"/>
    <x v="0"/>
    <n v="924030"/>
  </r>
  <r>
    <s v="October 21,2020"/>
    <x v="3"/>
    <x v="0"/>
    <x v="0"/>
    <x v="0"/>
    <n v="2729"/>
    <x v="189"/>
    <x v="1"/>
    <x v="116"/>
    <x v="1"/>
    <s v="Stipulated Price"/>
    <n v="112345"/>
    <s v="D"/>
    <n v="5"/>
    <n v="20524.240000000002"/>
    <n v="4105"/>
    <n v="0.1827"/>
    <x v="0"/>
    <x v="3"/>
    <x v="0"/>
    <n v="112345"/>
  </r>
  <r>
    <d v="2020-11-10T00:00:00"/>
    <x v="3"/>
    <x v="0"/>
    <x v="0"/>
    <x v="0"/>
    <n v="2734"/>
    <x v="190"/>
    <x v="3"/>
    <x v="117"/>
    <x v="2"/>
    <s v="Fixed Fee"/>
    <n v="279799.03999999998"/>
    <s v="D"/>
    <n v="12"/>
    <n v="46429.93"/>
    <n v="3869"/>
    <n v="0.16589999999999999"/>
    <x v="1"/>
    <x v="20"/>
    <x v="1"/>
    <m/>
  </r>
  <r>
    <d v="2020-11-16T00:00:00"/>
    <x v="3"/>
    <x v="0"/>
    <x v="0"/>
    <x v="0"/>
    <n v="2737"/>
    <x v="191"/>
    <x v="3"/>
    <x v="48"/>
    <x v="2"/>
    <s v="Fixed Fee"/>
    <n v="95135.12"/>
    <s v="E"/>
    <n v="6"/>
    <n v="22199.86"/>
    <n v="3772"/>
    <n v="0.2475"/>
    <x v="1"/>
    <x v="20"/>
    <x v="1"/>
    <m/>
  </r>
  <r>
    <d v="2020-11-24T00:00:00"/>
    <x v="3"/>
    <x v="0"/>
    <x v="0"/>
    <x v="0"/>
    <n v="2736"/>
    <x v="192"/>
    <x v="3"/>
    <x v="2"/>
    <x v="2"/>
    <s v="Fixed Fee"/>
    <n v="441998.33"/>
    <s v="D"/>
    <n v="12"/>
    <n v="61743.32"/>
    <n v="5145"/>
    <n v="0.13969999999999999"/>
    <x v="1"/>
    <x v="20"/>
    <x v="1"/>
    <m/>
  </r>
  <r>
    <d v="2020-11-27T00:00:00"/>
    <x v="3"/>
    <x v="0"/>
    <x v="0"/>
    <x v="0"/>
    <n v="2738"/>
    <x v="193"/>
    <x v="4"/>
    <x v="118"/>
    <x v="2"/>
    <s v="Fixed Fee"/>
    <n v="3693802.71"/>
    <s v="B"/>
    <n v="45"/>
    <n v="284513.27"/>
    <n v="6323"/>
    <n v="7.6999999999999999E-2"/>
    <x v="1"/>
    <x v="25"/>
    <x v="1"/>
    <m/>
  </r>
  <r>
    <d v="2020-12-11T00:00:00"/>
    <x v="4"/>
    <x v="1"/>
    <x v="0"/>
    <x v="0"/>
    <n v="2739"/>
    <x v="194"/>
    <x v="3"/>
    <x v="119"/>
    <x v="1"/>
    <s v="Stipulated Price"/>
    <n v="113534.8"/>
    <s v="D"/>
    <n v="6"/>
    <n v="22114.48"/>
    <n v="3686"/>
    <n v="0.1948"/>
    <x v="1"/>
    <x v="3"/>
    <x v="1"/>
    <m/>
  </r>
  <r>
    <d v="2020-12-11T00:00:00"/>
    <x v="4"/>
    <x v="1"/>
    <x v="0"/>
    <x v="0"/>
    <n v="2735"/>
    <x v="195"/>
    <x v="3"/>
    <x v="7"/>
    <x v="2"/>
    <s v="Fixed Fee"/>
    <n v="684146.87"/>
    <s v="C"/>
    <n v="12"/>
    <n v="79399.16"/>
    <n v="6617"/>
    <n v="0.11609999999999999"/>
    <x v="0"/>
    <x v="3"/>
    <x v="0"/>
    <m/>
  </r>
  <r>
    <d v="2020-12-12T00:00:00"/>
    <x v="4"/>
    <x v="1"/>
    <x v="0"/>
    <x v="0"/>
    <n v="2730"/>
    <x v="196"/>
    <x v="3"/>
    <x v="53"/>
    <x v="2"/>
    <s v="Fixed Fee"/>
    <n v="11862.08"/>
    <s v="E"/>
    <n v="1"/>
    <n v="6089.21"/>
    <m/>
    <n v="0.35"/>
    <x v="0"/>
    <x v="20"/>
    <x v="0"/>
    <m/>
  </r>
  <r>
    <d v="2020-12-10T00:00:00"/>
    <x v="4"/>
    <x v="1"/>
    <x v="0"/>
    <x v="3"/>
    <n v="2741"/>
    <x v="197"/>
    <x v="3"/>
    <x v="41"/>
    <x v="2"/>
    <s v="Fixed Fee"/>
    <n v="1877937.34"/>
    <s v="C"/>
    <n v="16"/>
    <n v="136868.12"/>
    <n v="8554"/>
    <n v="7.2900000000000006E-2"/>
    <x v="0"/>
    <x v="25"/>
    <x v="0"/>
    <m/>
  </r>
  <r>
    <d v="2020-12-10T00:00:00"/>
    <x v="4"/>
    <x v="1"/>
    <x v="0"/>
    <x v="0"/>
    <n v="2731"/>
    <x v="198"/>
    <x v="3"/>
    <x v="41"/>
    <x v="2"/>
    <s v="Fixed Fee"/>
    <n v="1720221.66"/>
    <s v="C"/>
    <n v="26"/>
    <n v="118076.53"/>
    <n v="4541"/>
    <n v="6.8599999999999994E-2"/>
    <x v="1"/>
    <x v="25"/>
    <x v="1"/>
    <m/>
  </r>
  <r>
    <d v="2020-12-20T00:00:00"/>
    <x v="4"/>
    <x v="1"/>
    <x v="0"/>
    <x v="3"/>
    <n v="2743"/>
    <x v="199"/>
    <x v="2"/>
    <x v="120"/>
    <x v="1"/>
    <s v="Stipulated Price"/>
    <n v="578075"/>
    <s v="D"/>
    <n v="10"/>
    <n v="65577.77"/>
    <n v="6558"/>
    <n v="0.1134"/>
    <x v="1"/>
    <x v="3"/>
    <x v="1"/>
    <m/>
  </r>
  <r>
    <d v="2021-01-29T00:00:00"/>
    <x v="4"/>
    <x v="1"/>
    <x v="0"/>
    <x v="0"/>
    <n v="2746"/>
    <x v="200"/>
    <x v="2"/>
    <x v="8"/>
    <x v="1"/>
    <s v="Stipulated Price"/>
    <n v="105937.23"/>
    <s v="D"/>
    <n v="3"/>
    <n v="19125.830000000002"/>
    <m/>
    <n v="0.18049999999999999"/>
    <x v="0"/>
    <x v="25"/>
    <x v="0"/>
    <m/>
  </r>
  <r>
    <d v="2021-01-29T00:00:00"/>
    <x v="4"/>
    <x v="1"/>
    <x v="0"/>
    <x v="2"/>
    <n v="2746"/>
    <x v="201"/>
    <x v="2"/>
    <x v="8"/>
    <x v="1"/>
    <s v="Stipulated Price"/>
    <n v="106993.71"/>
    <s v="D"/>
    <n v="3"/>
    <n v="22142.240000000002"/>
    <m/>
    <n v="0.2069"/>
    <x v="0"/>
    <x v="25"/>
    <x v="0"/>
    <m/>
  </r>
  <r>
    <d v="2021-01-29T00:00:00"/>
    <x v="4"/>
    <x v="1"/>
    <x v="1"/>
    <x v="10"/>
    <n v="2746"/>
    <x v="202"/>
    <x v="2"/>
    <x v="8"/>
    <x v="1"/>
    <s v="Stipulated Price"/>
    <n v="248084.49"/>
    <s v="D"/>
    <n v="3"/>
    <n v="35072.239999999998"/>
    <m/>
    <n v="0.14000000000000001"/>
    <x v="1"/>
    <x v="25"/>
    <x v="1"/>
    <m/>
  </r>
  <r>
    <d v="2021-01-29T00:00:00"/>
    <x v="4"/>
    <x v="1"/>
    <x v="2"/>
    <x v="5"/>
    <n v="2746"/>
    <x v="203"/>
    <x v="2"/>
    <x v="8"/>
    <x v="1"/>
    <s v="Stipulated Price"/>
    <n v="108665.45"/>
    <s v="D"/>
    <n v="3"/>
    <n v="22254.61"/>
    <m/>
    <n v="0.20480000000000001"/>
    <x v="0"/>
    <x v="25"/>
    <x v="0"/>
    <m/>
  </r>
  <r>
    <d v="2021-01-08T00:00:00"/>
    <x v="4"/>
    <x v="1"/>
    <x v="0"/>
    <x v="0"/>
    <n v="2745"/>
    <x v="204"/>
    <x v="2"/>
    <x v="121"/>
    <x v="1"/>
    <s v="Stipulated Price"/>
    <n v="55355.35"/>
    <s v="E"/>
    <n v="3"/>
    <n v="13302.01"/>
    <n v="4434"/>
    <n v="0.24030000000000001"/>
    <x v="1"/>
    <x v="25"/>
    <x v="1"/>
    <m/>
  </r>
  <r>
    <d v="2021-01-19T00:00:00"/>
    <x v="4"/>
    <x v="1"/>
    <x v="0"/>
    <x v="0"/>
    <n v="2744"/>
    <x v="205"/>
    <x v="2"/>
    <x v="56"/>
    <x v="1"/>
    <s v="Stipulated Price"/>
    <n v="371824.73"/>
    <s v="D"/>
    <n v="8"/>
    <n v="41873.370000000003"/>
    <n v="5234"/>
    <n v="0.11260000000000001"/>
    <x v="1"/>
    <x v="25"/>
    <x v="1"/>
    <m/>
  </r>
  <r>
    <d v="2021-01-11T00:00:00"/>
    <x v="4"/>
    <x v="1"/>
    <x v="0"/>
    <x v="0"/>
    <n v="2742"/>
    <x v="206"/>
    <x v="2"/>
    <x v="122"/>
    <x v="1"/>
    <s v="Stipulated Price"/>
    <n v="198916.5"/>
    <s v="D"/>
    <n v="8"/>
    <n v="34558.25"/>
    <n v="4320"/>
    <n v="0.17369999999999999"/>
    <x v="0"/>
    <x v="25"/>
    <x v="0"/>
    <m/>
  </r>
  <r>
    <d v="2021-01-12T00:00:00"/>
    <x v="4"/>
    <x v="1"/>
    <x v="0"/>
    <x v="0"/>
    <n v="2740"/>
    <x v="207"/>
    <x v="2"/>
    <x v="1"/>
    <x v="1"/>
    <s v="Stipulated Price"/>
    <n v="13400"/>
    <s v="E"/>
    <n v="5"/>
    <m/>
    <m/>
    <n v="0.33"/>
    <x v="0"/>
    <x v="25"/>
    <x v="0"/>
    <m/>
  </r>
  <r>
    <d v="2021-02-09T00:00:00"/>
    <x v="4"/>
    <x v="1"/>
    <x v="0"/>
    <x v="2"/>
    <n v="2752"/>
    <x v="208"/>
    <x v="2"/>
    <x v="123"/>
    <x v="1"/>
    <s v="Stipulated Price"/>
    <n v="84517.22"/>
    <s v="E"/>
    <n v="3"/>
    <n v="19717.560000000001"/>
    <n v="6573"/>
    <n v="0.23330000000000001"/>
    <x v="0"/>
    <x v="25"/>
    <x v="0"/>
    <m/>
  </r>
  <r>
    <d v="2021-02-09T00:00:00"/>
    <x v="4"/>
    <x v="1"/>
    <x v="0"/>
    <x v="2"/>
    <n v="2748"/>
    <x v="209"/>
    <x v="2"/>
    <x v="89"/>
    <x v="1"/>
    <s v="Stipulated Price"/>
    <n v="25922.31"/>
    <s v="E"/>
    <n v="1"/>
    <n v="7590.13"/>
    <n v="7590"/>
    <n v="0.2928"/>
    <x v="0"/>
    <x v="25"/>
    <x v="0"/>
    <m/>
  </r>
  <r>
    <d v="2021-02-11T00:00:00"/>
    <x v="4"/>
    <x v="1"/>
    <x v="0"/>
    <x v="3"/>
    <n v="2750"/>
    <x v="210"/>
    <x v="2"/>
    <x v="124"/>
    <x v="1"/>
    <s v="Stipulated Price"/>
    <n v="73408.59"/>
    <s v="E"/>
    <n v="2"/>
    <n v="15853.86"/>
    <n v="7927"/>
    <n v="0.216"/>
    <x v="0"/>
    <x v="25"/>
    <x v="0"/>
    <m/>
  </r>
  <r>
    <s v="Februray 11, 2021"/>
    <x v="4"/>
    <x v="1"/>
    <x v="0"/>
    <x v="3"/>
    <n v="2751"/>
    <x v="211"/>
    <x v="2"/>
    <x v="125"/>
    <x v="1"/>
    <s v="Stipulated Price"/>
    <n v="69694.03"/>
    <s v="E"/>
    <n v="2"/>
    <n v="15514.3"/>
    <n v="7757"/>
    <n v="0.22259999999999999"/>
    <x v="0"/>
    <x v="25"/>
    <x v="0"/>
    <m/>
  </r>
  <r>
    <s v="Februrary 10, 2021"/>
    <x v="4"/>
    <x v="1"/>
    <x v="0"/>
    <x v="3"/>
    <n v="2749"/>
    <x v="212"/>
    <x v="2"/>
    <x v="126"/>
    <x v="1"/>
    <s v="Stipulated Price"/>
    <n v="37362.44"/>
    <s v="E"/>
    <n v="2"/>
    <n v="12109.25"/>
    <n v="6055"/>
    <n v="0.3241"/>
    <x v="0"/>
    <x v="25"/>
    <x v="0"/>
    <m/>
  </r>
  <r>
    <s v="Februrary 19, 2021"/>
    <x v="4"/>
    <x v="1"/>
    <x v="0"/>
    <x v="3"/>
    <n v="2667"/>
    <x v="213"/>
    <x v="4"/>
    <x v="127"/>
    <x v="1"/>
    <s v="Stipulated Price"/>
    <n v="980405"/>
    <s v="C"/>
    <n v="18"/>
    <n v="120045.5"/>
    <n v="6669"/>
    <n v="0.12239999999999999"/>
    <x v="1"/>
    <x v="3"/>
    <x v="1"/>
    <m/>
  </r>
  <r>
    <d v="2021-03-10T00:00:00"/>
    <x v="4"/>
    <x v="2"/>
    <x v="0"/>
    <x v="0"/>
    <n v="2701"/>
    <x v="214"/>
    <x v="1"/>
    <x v="35"/>
    <x v="2"/>
    <s v="Fixed Fee"/>
    <n v="568323.80000000005"/>
    <s v="C"/>
    <n v="12"/>
    <n v="82903.649999999994"/>
    <n v="6909"/>
    <n v="0.1459"/>
    <x v="0"/>
    <x v="3"/>
    <x v="0"/>
    <m/>
  </r>
  <r>
    <d v="2021-03-30T00:00:00"/>
    <x v="4"/>
    <x v="2"/>
    <x v="0"/>
    <x v="0"/>
    <n v="2763"/>
    <x v="215"/>
    <x v="2"/>
    <x v="128"/>
    <x v="2"/>
    <s v="Fixed Fee"/>
    <n v="260217.19071920001"/>
    <s v="D"/>
    <n v="8"/>
    <n v="38324.317809200002"/>
    <n v="4790.5397261500002"/>
    <n v="0.14727819366306094"/>
    <x v="1"/>
    <x v="25"/>
    <x v="1"/>
    <m/>
  </r>
  <r>
    <d v="2021-03-26T00:00:00"/>
    <x v="4"/>
    <x v="2"/>
    <x v="0"/>
    <x v="0"/>
    <n v="2757"/>
    <x v="216"/>
    <x v="1"/>
    <x v="129"/>
    <x v="2"/>
    <s v="Fixed Fee"/>
    <n v="225544.58"/>
    <s v="D"/>
    <n v="6"/>
    <n v="30053.59"/>
    <n v="5009"/>
    <n v="0.13320000000000001"/>
    <x v="0"/>
    <x v="25"/>
    <x v="0"/>
    <m/>
  </r>
  <r>
    <d v="2021-04-26T00:00:00"/>
    <x v="4"/>
    <x v="2"/>
    <x v="0"/>
    <x v="2"/>
    <n v="2766"/>
    <x v="217"/>
    <x v="3"/>
    <x v="29"/>
    <x v="1"/>
    <s v="Stipulated Price"/>
    <n v="63200"/>
    <s v="E"/>
    <n v="3"/>
    <n v="12035.28"/>
    <n v="4012"/>
    <n v="0.19020000000000001"/>
    <x v="1"/>
    <x v="25"/>
    <x v="1"/>
    <m/>
  </r>
  <r>
    <d v="2021-04-20T00:00:00"/>
    <x v="4"/>
    <x v="2"/>
    <x v="0"/>
    <x v="3"/>
    <n v="2767"/>
    <x v="218"/>
    <x v="4"/>
    <x v="130"/>
    <x v="2"/>
    <s v="Fixed Fee"/>
    <n v="1167611.1299999999"/>
    <s v="C"/>
    <n v="26"/>
    <n v="141588.28"/>
    <n v="5446"/>
    <n v="0.12130000000000001"/>
    <x v="1"/>
    <x v="3"/>
    <x v="1"/>
    <m/>
  </r>
  <r>
    <d v="2021-04-19T00:00:00"/>
    <x v="4"/>
    <x v="2"/>
    <x v="0"/>
    <x v="2"/>
    <n v="2769"/>
    <x v="219"/>
    <x v="3"/>
    <x v="53"/>
    <x v="1"/>
    <s v="Stipulated Price"/>
    <n v="138815.04000000001"/>
    <s v="D"/>
    <n v="2"/>
    <n v="24913.18"/>
    <n v="12457"/>
    <n v="0.17949999999999999"/>
    <x v="0"/>
    <x v="25"/>
    <x v="0"/>
    <m/>
  </r>
  <r>
    <d v="2021-05-04T00:00:00"/>
    <x v="4"/>
    <x v="2"/>
    <x v="0"/>
    <x v="0"/>
    <n v="2770"/>
    <x v="220"/>
    <x v="3"/>
    <x v="43"/>
    <x v="1"/>
    <s v="Stipulated Price"/>
    <n v="319880"/>
    <s v="D"/>
    <n v="7"/>
    <n v="48064.73"/>
    <n v="6866"/>
    <n v="0.15029999999999999"/>
    <x v="0"/>
    <x v="3"/>
    <x v="0"/>
    <m/>
  </r>
  <r>
    <d v="2021-05-14T00:00:00"/>
    <x v="4"/>
    <x v="2"/>
    <x v="0"/>
    <x v="0"/>
    <n v="2776"/>
    <x v="221"/>
    <x v="3"/>
    <x v="131"/>
    <x v="2"/>
    <s v="Fixed Fee"/>
    <n v="413643.51"/>
    <s v="D"/>
    <n v="12"/>
    <n v="58502.48"/>
    <n v="4875"/>
    <n v="0.1414"/>
    <x v="0"/>
    <x v="3"/>
    <x v="0"/>
    <m/>
  </r>
  <r>
    <d v="2021-05-17T00:00:00"/>
    <x v="4"/>
    <x v="2"/>
    <x v="0"/>
    <x v="3"/>
    <n v="2777"/>
    <x v="222"/>
    <x v="4"/>
    <x v="132"/>
    <x v="2"/>
    <s v="Fixed Fee"/>
    <n v="11964000"/>
    <s v="A"/>
    <n v="65"/>
    <m/>
    <m/>
    <n v="0.05"/>
    <x v="1"/>
    <x v="25"/>
    <x v="1"/>
    <m/>
  </r>
  <r>
    <d v="2021-05-31T00:00:00"/>
    <x v="4"/>
    <x v="2"/>
    <x v="0"/>
    <x v="3"/>
    <n v="2756"/>
    <x v="223"/>
    <x v="3"/>
    <x v="133"/>
    <x v="2"/>
    <s v="Fixed Fee"/>
    <n v="745662.1"/>
    <s v="C"/>
    <n v="11"/>
    <n v="58602.18"/>
    <n v="5327"/>
    <n v="7.8600000000000003E-2"/>
    <x v="0"/>
    <x v="3"/>
    <x v="0"/>
    <m/>
  </r>
  <r>
    <d v="2021-05-25T00:00:00"/>
    <x v="4"/>
    <x v="2"/>
    <x v="0"/>
    <x v="0"/>
    <n v="2772"/>
    <x v="224"/>
    <x v="2"/>
    <x v="134"/>
    <x v="2"/>
    <s v="Fixed Fee"/>
    <n v="151551.65"/>
    <s v="D"/>
    <n v="4"/>
    <n v="22818.33"/>
    <n v="5705"/>
    <n v="0.15060000000000001"/>
    <x v="0"/>
    <x v="25"/>
    <x v="0"/>
    <m/>
  </r>
  <r>
    <d v="2021-06-29T00:00:00"/>
    <x v="4"/>
    <x v="3"/>
    <x v="0"/>
    <x v="0"/>
    <n v="2783"/>
    <x v="225"/>
    <x v="3"/>
    <x v="77"/>
    <x v="2"/>
    <s v="Fixed Fee"/>
    <n v="658782.94999999995"/>
    <s v="D"/>
    <n v="12"/>
    <n v="89597.95"/>
    <n v="7466.5"/>
    <n v="0.13600000000000001"/>
    <x v="1"/>
    <x v="25"/>
    <x v="1"/>
    <m/>
  </r>
  <r>
    <d v="2021-06-15T00:00:00"/>
    <x v="4"/>
    <x v="3"/>
    <x v="0"/>
    <x v="0"/>
    <s v="21-1174"/>
    <x v="226"/>
    <x v="2"/>
    <x v="135"/>
    <x v="2"/>
    <s v="Fixed Fee"/>
    <n v="4481107.32"/>
    <s v="B"/>
    <n v="40"/>
    <n v="359575.85"/>
    <n v="8989"/>
    <n v="0.08"/>
    <x v="1"/>
    <x v="25"/>
    <x v="1"/>
    <m/>
  </r>
  <r>
    <d v="2021-06-07T00:00:00"/>
    <x v="4"/>
    <x v="3"/>
    <x v="0"/>
    <x v="0"/>
    <s v="21-1175"/>
    <x v="227"/>
    <x v="3"/>
    <x v="136"/>
    <x v="2"/>
    <s v="Fixed Fee"/>
    <n v="2588388.37"/>
    <s v="B"/>
    <n v="20"/>
    <n v="214754.97"/>
    <n v="10738"/>
    <n v="8.3000000000000004E-2"/>
    <x v="0"/>
    <x v="25"/>
    <x v="0"/>
    <m/>
  </r>
  <r>
    <d v="2021-06-28T00:00:00"/>
    <x v="4"/>
    <x v="3"/>
    <x v="0"/>
    <x v="0"/>
    <s v="21-1178"/>
    <x v="228"/>
    <x v="3"/>
    <x v="18"/>
    <x v="2"/>
    <s v="Fixed Fee"/>
    <n v="348764"/>
    <s v="D"/>
    <n v="8"/>
    <n v="47351.91"/>
    <n v="5918.99"/>
    <n v="0.1358"/>
    <x v="0"/>
    <x v="3"/>
    <x v="0"/>
    <m/>
  </r>
  <r>
    <d v="2021-06-29T00:00:00"/>
    <x v="4"/>
    <x v="3"/>
    <x v="0"/>
    <x v="0"/>
    <s v="21-1179"/>
    <x v="229"/>
    <x v="3"/>
    <x v="84"/>
    <x v="2"/>
    <s v="Fixed Fee"/>
    <n v="33000"/>
    <s v="E"/>
    <n v="3"/>
    <n v="4950"/>
    <n v="1650"/>
    <n v="0.15"/>
    <x v="0"/>
    <x v="25"/>
    <x v="0"/>
    <m/>
  </r>
  <r>
    <d v="2021-06-16T00:00:00"/>
    <x v="4"/>
    <x v="3"/>
    <x v="0"/>
    <x v="0"/>
    <n v="2781"/>
    <x v="230"/>
    <x v="2"/>
    <x v="137"/>
    <x v="2"/>
    <s v="Fixed Fee"/>
    <n v="498873.36618064001"/>
    <s v="D"/>
    <n v="12"/>
    <n v="78567.405544740002"/>
    <n v="6547.2837953950002"/>
    <n v="0.15748967748318532"/>
    <x v="1"/>
    <x v="25"/>
    <x v="1"/>
    <m/>
  </r>
  <r>
    <d v="2021-06-10T00:00:00"/>
    <x v="4"/>
    <x v="3"/>
    <x v="1"/>
    <x v="1"/>
    <n v="2782"/>
    <x v="231"/>
    <x v="3"/>
    <x v="138"/>
    <x v="2"/>
    <s v="Fixed Fee"/>
    <n v="1700000"/>
    <s v="C"/>
    <n v="21"/>
    <n v="164150"/>
    <n v="7816.67"/>
    <n v="9.6600000000000005E-2"/>
    <x v="1"/>
    <x v="25"/>
    <x v="1"/>
    <m/>
  </r>
  <r>
    <d v="2021-07-07T00:00:00"/>
    <x v="4"/>
    <x v="3"/>
    <x v="0"/>
    <x v="0"/>
    <n v="2762"/>
    <x v="232"/>
    <x v="3"/>
    <x v="23"/>
    <x v="2"/>
    <s v="Fixed Fee"/>
    <n v="156998.00417600002"/>
    <s v="D"/>
    <n v="3"/>
    <n v="27373.69"/>
    <n v="9125"/>
    <n v="0.1744"/>
    <x v="0"/>
    <x v="3"/>
    <x v="0"/>
    <m/>
  </r>
  <r>
    <d v="2021-07-09T00:00:00"/>
    <x v="4"/>
    <x v="3"/>
    <x v="0"/>
    <x v="0"/>
    <n v="2774"/>
    <x v="233"/>
    <x v="4"/>
    <x v="139"/>
    <x v="2"/>
    <s v="Fixed Fee"/>
    <n v="4837152.3600000003"/>
    <s v="B"/>
    <n v="42"/>
    <n v="391642.79"/>
    <n v="9325"/>
    <n v="8.1000000000000003E-2"/>
    <x v="0"/>
    <x v="3"/>
    <x v="0"/>
    <m/>
  </r>
  <r>
    <d v="2021-07-09T00:00:00"/>
    <x v="4"/>
    <x v="3"/>
    <x v="0"/>
    <x v="0"/>
    <s v="21-1167"/>
    <x v="234"/>
    <x v="3"/>
    <x v="140"/>
    <x v="2"/>
    <s v="Fixed Fee"/>
    <n v="862159.91"/>
    <s v="C"/>
    <n v="13"/>
    <n v="76921.600000000006"/>
    <n v="5917"/>
    <n v="8.9200000000000002E-2"/>
    <x v="0"/>
    <x v="3"/>
    <x v="0"/>
    <m/>
  </r>
  <r>
    <d v="2021-07-20T00:00:00"/>
    <x v="4"/>
    <x v="3"/>
    <x v="0"/>
    <x v="0"/>
    <n v="2784"/>
    <x v="235"/>
    <x v="4"/>
    <x v="141"/>
    <x v="2"/>
    <s v="Fixed Fee"/>
    <n v="3215733.8873239146"/>
    <s v="B"/>
    <n v="42"/>
    <n v="363052.56887003954"/>
    <n v="8644.1087826199891"/>
    <n v="0.11289882235005659"/>
    <x v="1"/>
    <x v="3"/>
    <x v="1"/>
    <m/>
  </r>
  <r>
    <d v="2021-07-20T00:00:00"/>
    <x v="4"/>
    <x v="3"/>
    <x v="0"/>
    <x v="0"/>
    <n v="2780"/>
    <x v="236"/>
    <x v="2"/>
    <x v="72"/>
    <x v="3"/>
    <s v="Stipulated Price"/>
    <n v="34373"/>
    <s v="E"/>
    <n v="4"/>
    <n v="9138.51"/>
    <n v="2285"/>
    <n v="0.26590000000000003"/>
    <x v="0"/>
    <x v="25"/>
    <x v="0"/>
    <m/>
  </r>
  <r>
    <d v="2021-07-15T00:00:00"/>
    <x v="4"/>
    <x v="3"/>
    <x v="0"/>
    <x v="0"/>
    <n v="2795"/>
    <x v="237"/>
    <x v="2"/>
    <x v="142"/>
    <x v="2"/>
    <s v="Fixed Fee"/>
    <n v="272532.84999999998"/>
    <s v="D"/>
    <n v="6"/>
    <n v="41393.46"/>
    <n v="6899"/>
    <n v="0.15190000000000001"/>
    <x v="0"/>
    <x v="25"/>
    <x v="0"/>
    <m/>
  </r>
  <r>
    <d v="2021-07-08T00:00:00"/>
    <x v="4"/>
    <x v="3"/>
    <x v="0"/>
    <x v="3"/>
    <n v="2785"/>
    <x v="238"/>
    <x v="3"/>
    <x v="143"/>
    <x v="2"/>
    <s v="Fixed Fee"/>
    <n v="170080"/>
    <s v="D"/>
    <n v="4"/>
    <n v="26167.69"/>
    <n v="6542"/>
    <n v="0.15390000000000001"/>
    <x v="0"/>
    <x v="25"/>
    <x v="0"/>
    <m/>
  </r>
  <r>
    <d v="2021-07-23T00:00:00"/>
    <x v="4"/>
    <x v="3"/>
    <x v="0"/>
    <x v="0"/>
    <n v="2788"/>
    <x v="239"/>
    <x v="3"/>
    <x v="18"/>
    <x v="2"/>
    <s v="Fixed Fee"/>
    <n v="165294.81"/>
    <s v="D"/>
    <n v="8"/>
    <n v="40892.379999999997"/>
    <n v="5112"/>
    <n v="0.24740000000000001"/>
    <x v="1"/>
    <x v="3"/>
    <x v="1"/>
    <m/>
  </r>
  <r>
    <d v="2021-07-22T00:00:00"/>
    <x v="4"/>
    <x v="3"/>
    <x v="0"/>
    <x v="3"/>
    <n v="2786"/>
    <x v="240"/>
    <x v="3"/>
    <x v="144"/>
    <x v="1"/>
    <s v="Stipulated Price"/>
    <n v="59510"/>
    <s v="E"/>
    <n v="2"/>
    <n v="11685.48"/>
    <n v="5843"/>
    <n v="0.19639999999999999"/>
    <x v="0"/>
    <x v="25"/>
    <x v="0"/>
    <m/>
  </r>
  <r>
    <d v="2021-07-30T00:00:00"/>
    <x v="4"/>
    <x v="3"/>
    <x v="0"/>
    <x v="2"/>
    <s v="21-1187"/>
    <x v="241"/>
    <x v="2"/>
    <x v="29"/>
    <x v="1"/>
    <s v="Stipulated Price"/>
    <n v="17009.3"/>
    <s v="E"/>
    <n v="2"/>
    <n v="4252.32"/>
    <n v="2126.16"/>
    <n v="0.25"/>
    <x v="0"/>
    <x v="25"/>
    <x v="0"/>
    <m/>
  </r>
  <r>
    <d v="2021-07-14T00:00:00"/>
    <x v="4"/>
    <x v="3"/>
    <x v="0"/>
    <x v="0"/>
    <n v="2789"/>
    <x v="242"/>
    <x v="2"/>
    <x v="145"/>
    <x v="1"/>
    <s v="Stipulated Price"/>
    <n v="65534.67"/>
    <s v="E"/>
    <n v="3"/>
    <n v="16855.669999999998"/>
    <n v="5619"/>
    <n v="0.25719999999999998"/>
    <x v="1"/>
    <x v="25"/>
    <x v="1"/>
    <m/>
  </r>
  <r>
    <d v="2021-06-28T00:00:00"/>
    <x v="4"/>
    <x v="3"/>
    <x v="0"/>
    <x v="0"/>
    <n v="2768"/>
    <x v="243"/>
    <x v="4"/>
    <x v="146"/>
    <x v="2"/>
    <s v="Fixed Fee"/>
    <n v="3530326.63"/>
    <s v="B"/>
    <n v="40"/>
    <n v="263638.92"/>
    <n v="6591"/>
    <n v="7.4700000000000003E-2"/>
    <x v="1"/>
    <x v="3"/>
    <x v="1"/>
    <m/>
  </r>
  <r>
    <d v="2021-08-19T00:00:00"/>
    <x v="4"/>
    <x v="3"/>
    <x v="0"/>
    <x v="0"/>
    <n v="2791"/>
    <x v="244"/>
    <x v="3"/>
    <x v="147"/>
    <x v="2"/>
    <s v="Fixed Fee"/>
    <n v="5193210.9600960203"/>
    <s v="A"/>
    <n v="40"/>
    <n v="384860.71488322254"/>
    <n v="9621.5178720805634"/>
    <n v="7.4108430764789623E-2"/>
    <x v="1"/>
    <x v="25"/>
    <x v="1"/>
    <m/>
  </r>
  <r>
    <d v="2021-08-18T00:00:00"/>
    <x v="4"/>
    <x v="3"/>
    <x v="0"/>
    <x v="0"/>
    <n v="2793"/>
    <x v="245"/>
    <x v="3"/>
    <x v="29"/>
    <x v="1"/>
    <s v="Stipulated Price"/>
    <n v="22858.94"/>
    <s v="E"/>
    <n v="2"/>
    <n v="7983.58"/>
    <n v="3992"/>
    <n v="0.3493"/>
    <x v="1"/>
    <x v="3"/>
    <x v="1"/>
    <m/>
  </r>
  <r>
    <d v="2021-09-20T00:00:00"/>
    <x v="4"/>
    <x v="0"/>
    <x v="2"/>
    <x v="5"/>
    <n v="2797"/>
    <x v="246"/>
    <x v="4"/>
    <x v="148"/>
    <x v="1"/>
    <s v="Stipulated Price"/>
    <n v="997476.57"/>
    <s v="C"/>
    <n v="20"/>
    <n v="198635.53"/>
    <n v="9932"/>
    <n v="0.1991"/>
    <x v="1"/>
    <x v="25"/>
    <x v="1"/>
    <m/>
  </r>
  <r>
    <d v="2021-09-14T00:00:00"/>
    <x v="4"/>
    <x v="0"/>
    <x v="0"/>
    <x v="0"/>
    <n v="2799"/>
    <x v="247"/>
    <x v="3"/>
    <x v="149"/>
    <x v="2"/>
    <s v="Fixed Fee"/>
    <n v="1416325.66"/>
    <s v="C"/>
    <n v="26"/>
    <n v="193735.59"/>
    <n v="7451"/>
    <n v="0.1368"/>
    <x v="1"/>
    <x v="25"/>
    <x v="1"/>
    <m/>
  </r>
  <r>
    <d v="2021-09-30T00:00:00"/>
    <x v="4"/>
    <x v="0"/>
    <x v="0"/>
    <x v="2"/>
    <n v="2800"/>
    <x v="248"/>
    <x v="3"/>
    <x v="150"/>
    <x v="2"/>
    <s v="Fixed Fee"/>
    <n v="1206753.97"/>
    <s v="C"/>
    <n v="16"/>
    <n v="158349.73000000001"/>
    <n v="9897"/>
    <n v="0.13120000000000001"/>
    <x v="1"/>
    <x v="3"/>
    <x v="1"/>
    <m/>
  </r>
  <r>
    <d v="2021-09-28T00:00:00"/>
    <x v="4"/>
    <x v="0"/>
    <x v="0"/>
    <x v="0"/>
    <n v="2802"/>
    <x v="249"/>
    <x v="4"/>
    <x v="151"/>
    <x v="2"/>
    <s v="Fixed Fee"/>
    <n v="8161085.4699999997"/>
    <s v="A"/>
    <n v="52"/>
    <n v="639282"/>
    <n v="12294"/>
    <n v="7.8299999999999995E-2"/>
    <x v="1"/>
    <x v="3"/>
    <x v="1"/>
    <m/>
  </r>
  <r>
    <d v="2021-09-30T00:00:00"/>
    <x v="4"/>
    <x v="0"/>
    <x v="0"/>
    <x v="3"/>
    <s v="21-1186"/>
    <x v="250"/>
    <x v="3"/>
    <x v="152"/>
    <x v="2"/>
    <s v="Fixed Fee"/>
    <n v="275084.98"/>
    <s v="D"/>
    <n v="7"/>
    <n v="32776.080000000002"/>
    <n v="4682"/>
    <n v="0.1191"/>
    <x v="0"/>
    <x v="3"/>
    <x v="0"/>
    <m/>
  </r>
  <r>
    <s v="October 21,2020"/>
    <x v="4"/>
    <x v="0"/>
    <x v="0"/>
    <x v="0"/>
    <n v="2806"/>
    <x v="251"/>
    <x v="2"/>
    <x v="153"/>
    <x v="1"/>
    <s v="Stipulated Price"/>
    <n v="260302.6860176"/>
    <s v="D"/>
    <n v="8"/>
    <n v="37132.528517599996"/>
    <n v="4641.57"/>
    <n v="0.1401"/>
    <x v="0"/>
    <x v="3"/>
    <x v="0"/>
    <m/>
  </r>
  <r>
    <d v="2021-11-05T00:00:00"/>
    <x v="4"/>
    <x v="0"/>
    <x v="0"/>
    <x v="0"/>
    <n v="2810"/>
    <x v="252"/>
    <x v="2"/>
    <x v="8"/>
    <x v="1"/>
    <s v="Stipulated Price"/>
    <n v="187766.32"/>
    <s v="D"/>
    <n v="4"/>
    <n v="28164.948"/>
    <n v="7041.2370000000001"/>
    <n v="0.15"/>
    <x v="0"/>
    <x v="7"/>
    <x v="1"/>
    <m/>
  </r>
  <r>
    <d v="2021-11-05T00:00:00"/>
    <x v="4"/>
    <x v="0"/>
    <x v="0"/>
    <x v="0"/>
    <n v="2810"/>
    <x v="253"/>
    <x v="2"/>
    <x v="8"/>
    <x v="1"/>
    <s v="Stipulated Price"/>
    <n v="536061.68000000005"/>
    <s v="C"/>
    <n v="12"/>
    <n v="80409.252000000008"/>
    <n v="6700.7710000000006"/>
    <n v="0.15"/>
    <x v="1"/>
    <x v="7"/>
    <x v="1"/>
    <m/>
  </r>
  <r>
    <d v="2021-11-04T00:00:00"/>
    <x v="4"/>
    <x v="0"/>
    <x v="0"/>
    <x v="0"/>
    <n v="2811"/>
    <x v="254"/>
    <x v="3"/>
    <x v="154"/>
    <x v="1"/>
    <s v="Stipulated Price"/>
    <n v="63945.995643999995"/>
    <s v="E"/>
    <n v="3"/>
    <n v="14145.120643999999"/>
    <n v="4715.0402146666665"/>
    <n v="0.22120416613338359"/>
    <x v="0"/>
    <x v="7"/>
    <x v="0"/>
    <m/>
  </r>
  <r>
    <d v="2021-11-25T00:00:00"/>
    <x v="4"/>
    <x v="0"/>
    <x v="0"/>
    <x v="0"/>
    <n v="2812"/>
    <x v="255"/>
    <x v="3"/>
    <x v="155"/>
    <x v="1"/>
    <s v="Stipulated Price"/>
    <n v="238091"/>
    <s v="D"/>
    <n v="6"/>
    <n v="36953.07"/>
    <n v="6159"/>
    <n v="0.1552"/>
    <x v="0"/>
    <x v="3"/>
    <x v="0"/>
    <m/>
  </r>
  <r>
    <d v="2021-11-29T00:00:00"/>
    <x v="4"/>
    <x v="0"/>
    <x v="0"/>
    <x v="0"/>
    <n v="2817"/>
    <x v="256"/>
    <x v="4"/>
    <x v="130"/>
    <x v="2"/>
    <s v="Fixed Fee"/>
    <n v="1184577.22"/>
    <s v="C"/>
    <n v="26"/>
    <n v="142265.85"/>
    <n v="5472"/>
    <n v="0.1201"/>
    <x v="1"/>
    <x v="3"/>
    <x v="1"/>
    <m/>
  </r>
  <r>
    <d v="2021-11-19T00:00:00"/>
    <x v="4"/>
    <x v="0"/>
    <x v="0"/>
    <x v="0"/>
    <n v="2814"/>
    <x v="257"/>
    <x v="2"/>
    <x v="1"/>
    <x v="2"/>
    <s v="Fixed Fee"/>
    <n v="1000000"/>
    <s v="C"/>
    <n v="20"/>
    <n v="100000"/>
    <n v="5000"/>
    <n v="0.1"/>
    <x v="1"/>
    <x v="7"/>
    <x v="1"/>
    <m/>
  </r>
  <r>
    <d v="2021-12-09T00:00:00"/>
    <x v="5"/>
    <x v="1"/>
    <x v="0"/>
    <x v="0"/>
    <n v="2796"/>
    <x v="258"/>
    <x v="4"/>
    <x v="156"/>
    <x v="2"/>
    <s v="Fixed Fee"/>
    <n v="26311987.539999999"/>
    <s v="A"/>
    <n v="96"/>
    <n v="1289031.74"/>
    <n v="13427"/>
    <n v="4.9000000000000002E-2"/>
    <x v="0"/>
    <x v="3"/>
    <x v="0"/>
    <m/>
  </r>
  <r>
    <d v="2021-12-03T00:00:00"/>
    <x v="5"/>
    <x v="1"/>
    <x v="0"/>
    <x v="0"/>
    <n v="2816"/>
    <x v="259"/>
    <x v="2"/>
    <x v="53"/>
    <x v="1"/>
    <s v="Stipulated Price"/>
    <n v="62430.47"/>
    <s v="E"/>
    <n v="2"/>
    <n v="15150.19"/>
    <n v="7575"/>
    <n v="0.2427"/>
    <x v="0"/>
    <x v="7"/>
    <x v="0"/>
    <m/>
  </r>
  <r>
    <d v="2021-12-03T00:00:00"/>
    <x v="5"/>
    <x v="1"/>
    <x v="0"/>
    <x v="3"/>
    <n v="2775"/>
    <x v="260"/>
    <x v="2"/>
    <x v="126"/>
    <x v="1"/>
    <s v="Stipulated Price"/>
    <n v="53989.63"/>
    <s v="E"/>
    <n v="2"/>
    <n v="14378.51"/>
    <n v="7189"/>
    <n v="0.26629999999999998"/>
    <x v="0"/>
    <x v="7"/>
    <x v="0"/>
    <m/>
  </r>
  <r>
    <d v="2021-12-21T00:00:00"/>
    <x v="5"/>
    <x v="1"/>
    <x v="0"/>
    <x v="0"/>
    <n v="2822"/>
    <x v="261"/>
    <x v="2"/>
    <x v="157"/>
    <x v="1"/>
    <s v="Stipulated Price"/>
    <n v="593016"/>
    <s v="D"/>
    <n v="12"/>
    <n v="90893.42"/>
    <n v="7574"/>
    <n v="0.15329999999999999"/>
    <x v="1"/>
    <x v="3"/>
    <x v="1"/>
    <m/>
  </r>
  <r>
    <d v="2022-01-10T00:00:00"/>
    <x v="5"/>
    <x v="1"/>
    <x v="0"/>
    <x v="0"/>
    <n v="2820"/>
    <x v="262"/>
    <x v="4"/>
    <x v="158"/>
    <x v="2"/>
    <s v="Fixed Fee"/>
    <n v="14012854.080626331"/>
    <s v="A"/>
    <n v="68"/>
    <n v="850957.34085073054"/>
    <n v="12514.078541922509"/>
    <n v="6.0726910874440175E-2"/>
    <x v="0"/>
    <x v="3"/>
    <x v="0"/>
    <m/>
  </r>
  <r>
    <d v="2022-01-12T00:00:00"/>
    <x v="5"/>
    <x v="1"/>
    <x v="0"/>
    <x v="8"/>
    <n v="2771"/>
    <x v="263"/>
    <x v="2"/>
    <x v="159"/>
    <x v="2"/>
    <s v="Fixed Fee"/>
    <n v="2796514.208439765"/>
    <s v="B"/>
    <n v="30"/>
    <n v="239902.13905976497"/>
    <n v="7996.7379686588329"/>
    <n v="8.5786132727575695E-2"/>
    <x v="1"/>
    <x v="3"/>
    <x v="1"/>
    <m/>
  </r>
  <r>
    <d v="2022-01-31T00:00:00"/>
    <x v="5"/>
    <x v="1"/>
    <x v="0"/>
    <x v="3"/>
    <n v="2826"/>
    <x v="264"/>
    <x v="3"/>
    <x v="35"/>
    <x v="1"/>
    <s v="Stipulated Price"/>
    <n v="141928.70851500001"/>
    <s v="D"/>
    <n v="6"/>
    <n v="37230.708514999998"/>
    <n v="6205.1180858333328"/>
    <n v="0.26231978649383114"/>
    <x v="0"/>
    <x v="3"/>
    <x v="0"/>
    <m/>
  </r>
  <r>
    <d v="2022-02-28T00:00:00"/>
    <x v="5"/>
    <x v="1"/>
    <x v="0"/>
    <x v="0"/>
    <n v="2834"/>
    <x v="265"/>
    <x v="3"/>
    <x v="64"/>
    <x v="1"/>
    <s v="Stipulated Price"/>
    <n v="1269524.4737333602"/>
    <s v="C"/>
    <n v="20"/>
    <n v="133909.39091336"/>
    <n v="6695.4695456680001"/>
    <n v="0.10547996016143377"/>
    <x v="1"/>
    <x v="3"/>
    <x v="1"/>
    <m/>
  </r>
  <r>
    <d v="2022-02-17T00:00:00"/>
    <x v="5"/>
    <x v="1"/>
    <x v="0"/>
    <x v="0"/>
    <n v="2828"/>
    <x v="266"/>
    <x v="3"/>
    <x v="160"/>
    <x v="2"/>
    <s v="Fixed Fee"/>
    <n v="1012063.9171650001"/>
    <s v="C"/>
    <n v="16"/>
    <n v="117019.57216500001"/>
    <n v="7313.7232603125003"/>
    <n v="0.11562468553645898"/>
    <x v="1"/>
    <x v="3"/>
    <x v="1"/>
    <m/>
  </r>
  <r>
    <d v="2022-02-01T00:00:00"/>
    <x v="5"/>
    <x v="1"/>
    <x v="0"/>
    <x v="0"/>
    <n v="2825"/>
    <x v="267"/>
    <x v="3"/>
    <x v="161"/>
    <x v="1"/>
    <s v="Stipulated Price"/>
    <n v="519010.00331489998"/>
    <s v="C"/>
    <n v="13"/>
    <n v="78533.71003490001"/>
    <n v="6041.0546180692318"/>
    <n v="0.15131444390918819"/>
    <x v="0"/>
    <x v="3"/>
    <x v="0"/>
    <m/>
  </r>
  <r>
    <d v="2022-03-29T00:00:00"/>
    <x v="5"/>
    <x v="2"/>
    <x v="0"/>
    <x v="0"/>
    <n v="2835"/>
    <x v="268"/>
    <x v="2"/>
    <x v="162"/>
    <x v="1"/>
    <s v="Stipulated Price"/>
    <n v="1955300.0043330372"/>
    <s v="C"/>
    <n v="20"/>
    <n v="172715.66376769915"/>
    <n v="8635.7831883849576"/>
    <n v="8.8332053078787443E-2"/>
    <x v="1"/>
    <x v="3"/>
    <x v="1"/>
    <m/>
  </r>
  <r>
    <d v="2022-03-31T00:00:00"/>
    <x v="5"/>
    <x v="2"/>
    <x v="0"/>
    <x v="0"/>
    <n v="2834"/>
    <x v="269"/>
    <x v="3"/>
    <x v="137"/>
    <x v="1"/>
    <s v="Fixed Fee"/>
    <n v="1020056.00087598"/>
    <s v="C"/>
    <n v="16"/>
    <n v="143499.66951597997"/>
    <n v="8968.7293447487482"/>
    <n v="0.14067822687455264"/>
    <x v="1"/>
    <x v="3"/>
    <x v="1"/>
    <m/>
  </r>
  <r>
    <d v="2022-04-20T00:00:00"/>
    <x v="5"/>
    <x v="2"/>
    <x v="0"/>
    <x v="0"/>
    <s v="22-1214"/>
    <x v="270"/>
    <x v="4"/>
    <x v="163"/>
    <x v="2"/>
    <s v="Fixed Fee"/>
    <n v="15455577.47790879"/>
    <s v="A"/>
    <n v="72"/>
    <n v="871326.18105573021"/>
    <n v="12101.75251466292"/>
    <n v="5.6376164675900849E-2"/>
    <x v="0"/>
    <x v="3"/>
    <x v="0"/>
    <m/>
  </r>
  <r>
    <d v="2022-04-26T00:00:00"/>
    <x v="5"/>
    <x v="2"/>
    <x v="0"/>
    <x v="0"/>
    <n v="2843"/>
    <x v="271"/>
    <x v="3"/>
    <x v="164"/>
    <x v="1"/>
    <s v="Stipulated Price"/>
    <n v="2157984.3458886663"/>
    <s v="B"/>
    <n v="25"/>
    <n v="171561.85786485628"/>
    <n v="6862.4743145942512"/>
    <n v="7.9659976175496708E-2"/>
    <x v="1"/>
    <x v="3"/>
    <x v="1"/>
    <m/>
  </r>
  <r>
    <d v="2022-04-14T00:00:00"/>
    <x v="5"/>
    <x v="2"/>
    <x v="0"/>
    <x v="0"/>
    <n v="2838"/>
    <x v="272"/>
    <x v="3"/>
    <x v="142"/>
    <x v="1"/>
    <s v="Stipulated Price"/>
    <n v="296098.48635949998"/>
    <s v="D"/>
    <n v="6"/>
    <n v="41656.955159499994"/>
    <n v="6942.8258599166656"/>
    <n v="0.14068614693600065"/>
    <x v="0"/>
    <x v="7"/>
    <x v="0"/>
    <m/>
  </r>
  <r>
    <d v="2022-04-08T00:00:00"/>
    <x v="5"/>
    <x v="2"/>
    <x v="0"/>
    <x v="0"/>
    <n v="2841"/>
    <x v="273"/>
    <x v="3"/>
    <x v="165"/>
    <x v="2"/>
    <s v="Fixed Fee"/>
    <n v="711396.63535500003"/>
    <s v="C"/>
    <n v="16"/>
    <n v="78907.076355000012"/>
    <n v="4931.6922721875007"/>
    <n v="0.11091854028185547"/>
    <x v="0"/>
    <x v="3"/>
    <x v="0"/>
    <m/>
  </r>
  <r>
    <d v="2022-04-08T00:00:00"/>
    <x v="5"/>
    <x v="2"/>
    <x v="0"/>
    <x v="0"/>
    <n v="2842"/>
    <x v="274"/>
    <x v="3"/>
    <x v="166"/>
    <x v="2"/>
    <s v="Fixed Fee"/>
    <n v="849002.48"/>
    <s v="C"/>
    <n v="16"/>
    <n v="85529.39"/>
    <n v="5346"/>
    <n v="0.1007"/>
    <x v="0"/>
    <x v="3"/>
    <x v="0"/>
    <m/>
  </r>
  <r>
    <d v="2022-05-17T00:00:00"/>
    <x v="5"/>
    <x v="2"/>
    <x v="0"/>
    <x v="2"/>
    <n v="2853"/>
    <x v="275"/>
    <x v="2"/>
    <x v="167"/>
    <x v="2"/>
    <s v="Fixed Fee"/>
    <n v="7567650.3183946665"/>
    <s v="A"/>
    <n v="40"/>
    <n v="418633.35422799998"/>
    <n v="10465.833855699999"/>
    <n v="5.5318802615711385E-2"/>
    <x v="0"/>
    <x v="3"/>
    <x v="0"/>
    <m/>
  </r>
  <r>
    <d v="2022-05-18T00:00:00"/>
    <x v="5"/>
    <x v="2"/>
    <x v="0"/>
    <x v="3"/>
    <n v="2847"/>
    <x v="276"/>
    <x v="2"/>
    <x v="168"/>
    <x v="2"/>
    <s v="Fixed Fee"/>
    <n v="622573.39"/>
    <s v="C"/>
    <n v="12"/>
    <n v="81090.64"/>
    <n v="6758"/>
    <n v="0.12239999999999999"/>
    <x v="0"/>
    <x v="3"/>
    <x v="0"/>
    <m/>
  </r>
  <r>
    <d v="2022-08-11T00:00:00"/>
    <x v="5"/>
    <x v="3"/>
    <x v="0"/>
    <x v="0"/>
    <n v="2862"/>
    <x v="277"/>
    <x v="2"/>
    <x v="169"/>
    <x v="1"/>
    <s v="Stipulated Price"/>
    <n v="433851.50789893331"/>
    <s v="D"/>
    <n v="5"/>
    <n v="32733.194565599999"/>
    <n v="6546.6389131199994"/>
    <n v="7.5447921626736095E-2"/>
    <x v="0"/>
    <x v="3"/>
    <x v="0"/>
    <m/>
  </r>
  <r>
    <d v="2022-07-29T00:00:00"/>
    <x v="5"/>
    <x v="3"/>
    <x v="0"/>
    <x v="0"/>
    <n v="2796"/>
    <x v="278"/>
    <x v="2"/>
    <x v="48"/>
    <x v="1"/>
    <s v="Stipulated Price"/>
    <n v="349173.64437816665"/>
    <s v="D"/>
    <n v="8"/>
    <n v="67258.064419833347"/>
    <n v="8407.2580524791683"/>
    <n v="0.1926206788591141"/>
    <x v="1"/>
    <x v="3"/>
    <x v="1"/>
    <m/>
  </r>
  <r>
    <d v="2022-06-17T00:00:00"/>
    <x v="5"/>
    <x v="3"/>
    <x v="0"/>
    <x v="0"/>
    <n v="2854"/>
    <x v="279"/>
    <x v="2"/>
    <x v="170"/>
    <x v="1"/>
    <s v="Fixed Fee"/>
    <n v="1243248.73"/>
    <s v="C"/>
    <n v="16"/>
    <n v="81623.761367466679"/>
    <n v="5101.4850854666674"/>
    <n v="6.5653605266475262E-2"/>
    <x v="0"/>
    <x v="3"/>
    <x v="0"/>
    <m/>
  </r>
  <r>
    <d v="2022-06-20T00:00:00"/>
    <x v="5"/>
    <x v="3"/>
    <x v="0"/>
    <x v="0"/>
    <n v="2856"/>
    <x v="280"/>
    <x v="2"/>
    <x v="56"/>
    <x v="1"/>
    <s v="Stipulated Price"/>
    <n v="48713.999016666661"/>
    <s v="E"/>
    <n v="2"/>
    <n v="11106.203183333335"/>
    <n v="5553.1015916666674"/>
    <n v="0.22798791738558638"/>
    <x v="0"/>
    <x v="3"/>
    <x v="0"/>
    <m/>
  </r>
  <r>
    <d v="2022-09-07T00:00:00"/>
    <x v="5"/>
    <x v="3"/>
    <x v="0"/>
    <x v="3"/>
    <n v="2845"/>
    <x v="281"/>
    <x v="2"/>
    <x v="171"/>
    <x v="2"/>
    <s v="Fixed Fee"/>
    <n v="483564.17"/>
    <s v="C"/>
    <n v="8"/>
    <n v="56145.81"/>
    <n v="7018"/>
    <n v="0.11609999999999999"/>
    <x v="0"/>
    <x v="3"/>
    <x v="0"/>
    <m/>
  </r>
  <r>
    <d v="2022-08-18T00:00:00"/>
    <x v="5"/>
    <x v="3"/>
    <x v="0"/>
    <x v="0"/>
    <n v="2868"/>
    <x v="282"/>
    <x v="2"/>
    <x v="172"/>
    <x v="1"/>
    <s v="Stipulated Price"/>
    <n v="2117115.0024230238"/>
    <s v="B"/>
    <n v="26"/>
    <n v="165179.42634729069"/>
    <n v="6353.0548595111804"/>
    <n v="7.8020998461700922E-2"/>
    <x v="0"/>
    <x v="3"/>
    <x v="0"/>
    <m/>
  </r>
  <r>
    <d v="2022-08-24T00:00:00"/>
    <x v="5"/>
    <x v="3"/>
    <x v="0"/>
    <x v="0"/>
    <n v="2867"/>
    <x v="283"/>
    <x v="3"/>
    <x v="173"/>
    <x v="1"/>
    <s v="Stipulated Price"/>
    <n v="2699812.8285205336"/>
    <s v="B"/>
    <n v="41"/>
    <n v="327028.91726720001"/>
    <n v="7976.3150552975612"/>
    <n v="0.12113021829235773"/>
    <x v="1"/>
    <x v="3"/>
    <x v="1"/>
    <m/>
  </r>
  <r>
    <d v="2022-08-30T00:00:00"/>
    <x v="5"/>
    <x v="3"/>
    <x v="0"/>
    <x v="2"/>
    <n v="2864"/>
    <x v="284"/>
    <x v="2"/>
    <x v="174"/>
    <x v="2"/>
    <s v="Fixed Fee"/>
    <n v="3084501.6664732867"/>
    <s v="B"/>
    <n v="32"/>
    <n v="293571.43786164577"/>
    <n v="9174.1074331764303"/>
    <n v="9.5176294132888334E-2"/>
    <x v="1"/>
    <x v="3"/>
    <x v="1"/>
    <m/>
  </r>
  <r>
    <d v="2022-08-01T00:00:00"/>
    <x v="5"/>
    <x v="3"/>
    <x v="0"/>
    <x v="0"/>
    <n v="2863"/>
    <x v="285"/>
    <x v="4"/>
    <x v="175"/>
    <x v="2"/>
    <s v="Fixed Fee"/>
    <n v="905681.42209346546"/>
    <s v="C"/>
    <n v="16"/>
    <n v="132001.95654490936"/>
    <n v="8250.1222840568353"/>
    <n v="0.14574877360274138"/>
    <x v="1"/>
    <x v="3"/>
    <x v="1"/>
    <m/>
  </r>
  <r>
    <d v="2022-10-05T00:00:00"/>
    <x v="5"/>
    <x v="0"/>
    <x v="0"/>
    <x v="0"/>
    <n v="2872"/>
    <x v="286"/>
    <x v="2"/>
    <x v="2"/>
    <x v="2"/>
    <s v="Fixed Fee"/>
    <n v="300000"/>
    <s v="D"/>
    <n v="8"/>
    <n v="45000"/>
    <n v="5625"/>
    <n v="0.15"/>
    <x v="1"/>
    <x v="3"/>
    <x v="1"/>
    <m/>
  </r>
  <r>
    <d v="2022-10-31T00:00:00"/>
    <x v="5"/>
    <x v="0"/>
    <x v="0"/>
    <x v="2"/>
    <n v="2869"/>
    <x v="287"/>
    <x v="2"/>
    <x v="176"/>
    <x v="1"/>
    <s v="Fixed Fee"/>
    <n v="323804.51"/>
    <s v="D"/>
    <n v="8"/>
    <n v="62433.8"/>
    <n v="7804"/>
    <n v="0.1928"/>
    <x v="0"/>
    <x v="3"/>
    <x v="0"/>
    <m/>
  </r>
  <r>
    <d v="2022-10-11T00:00:00"/>
    <x v="5"/>
    <x v="0"/>
    <x v="0"/>
    <x v="0"/>
    <n v="2813"/>
    <x v="288"/>
    <x v="2"/>
    <x v="177"/>
    <x v="2"/>
    <s v="Fixed Fee"/>
    <n v="520075.22302105092"/>
    <s v="C"/>
    <n v="10"/>
    <n v="64208.940289050879"/>
    <n v="6420.8940289050879"/>
    <n v="0.12346087151791101"/>
    <x v="0"/>
    <x v="3"/>
    <x v="0"/>
    <m/>
  </r>
  <r>
    <d v="2022-09-29T00:00:00"/>
    <x v="5"/>
    <x v="3"/>
    <x v="0"/>
    <x v="0"/>
    <s v="22-1230"/>
    <x v="289"/>
    <x v="2"/>
    <x v="178"/>
    <x v="2"/>
    <s v="Fixed Fee"/>
    <n v="1584862.7097893036"/>
    <s v="C"/>
    <n v="18"/>
    <n v="146346.66613010401"/>
    <n v="8130.3703405613342"/>
    <n v="9.2340279840112949E-2"/>
    <x v="1"/>
    <x v="3"/>
    <x v="1"/>
    <m/>
  </r>
  <r>
    <d v="2022-10-21T00:00:00"/>
    <x v="5"/>
    <x v="0"/>
    <x v="0"/>
    <x v="0"/>
    <n v="2873"/>
    <x v="290"/>
    <x v="2"/>
    <x v="179"/>
    <x v="1"/>
    <s v="Stipulated Price"/>
    <n v="170903.926404"/>
    <s v="D"/>
    <n v="4"/>
    <n v="26315.618904000003"/>
    <n v="6578.9047260000007"/>
    <n v="0.15397901884239032"/>
    <x v="0"/>
    <x v="3"/>
    <x v="0"/>
    <m/>
  </r>
  <r>
    <d v="2022-11-18T00:00:00"/>
    <x v="5"/>
    <x v="0"/>
    <x v="0"/>
    <x v="0"/>
    <n v="2877"/>
    <x v="291"/>
    <x v="2"/>
    <x v="180"/>
    <x v="1"/>
    <s v="Stipulated Price"/>
    <n v="98414.190755999996"/>
    <s v="E"/>
    <n v="3"/>
    <n v="14824.249236"/>
    <n v="4941.4164119999996"/>
    <n v="0.15063121610941269"/>
    <x v="0"/>
    <x v="3"/>
    <x v="0"/>
    <m/>
  </r>
  <r>
    <d v="2022-11-23T00:00:00"/>
    <x v="5"/>
    <x v="0"/>
    <x v="0"/>
    <x v="0"/>
    <n v="2878"/>
    <x v="292"/>
    <x v="3"/>
    <x v="72"/>
    <x v="1"/>
    <s v="Stipulated Price"/>
    <n v="82860.399064666679"/>
    <s v="E"/>
    <n v="2"/>
    <n v="15226.268351333334"/>
    <n v="7613.134175666667"/>
    <n v="0.18375808616912778"/>
    <x v="1"/>
    <x v="3"/>
    <x v="1"/>
    <m/>
  </r>
  <r>
    <d v="2022-11-15T00:00:00"/>
    <x v="5"/>
    <x v="0"/>
    <x v="0"/>
    <x v="11"/>
    <n v="2879"/>
    <x v="293"/>
    <x v="3"/>
    <x v="181"/>
    <x v="2"/>
    <s v="Fixed Fee "/>
    <n v="166080.29172000001"/>
    <s v="D"/>
    <n v="3"/>
    <n v="18342.287719999997"/>
    <n v="6114.0959066666655"/>
    <n v="0.11044228987099708"/>
    <x v="0"/>
    <x v="3"/>
    <x v="0"/>
    <m/>
  </r>
  <r>
    <d v="2022-11-15T00:00:00"/>
    <x v="5"/>
    <x v="0"/>
    <x v="0"/>
    <x v="0"/>
    <n v="2879"/>
    <x v="294"/>
    <x v="3"/>
    <x v="181"/>
    <x v="2"/>
    <s v="Fixed Fee"/>
    <n v="437092.24776"/>
    <s v="D"/>
    <n v="12"/>
    <n v="70132.015759999995"/>
    <n v="5844.3346466666662"/>
    <n v="0.1604512917339781"/>
    <x v="0"/>
    <x v="3"/>
    <x v="0"/>
    <m/>
  </r>
  <r>
    <d v="2022-12-07T00:00:00"/>
    <x v="6"/>
    <x v="1"/>
    <x v="0"/>
    <x v="0"/>
    <n v="2881"/>
    <x v="295"/>
    <x v="2"/>
    <x v="182"/>
    <x v="1"/>
    <s v="Stipulated Price"/>
    <n v="694106.45674702502"/>
    <s v="C"/>
    <n v="13"/>
    <n v="87562.198984524992"/>
    <n v="6735.5537680403841"/>
    <n v="0.12615096450030291"/>
    <x v="0"/>
    <x v="3"/>
    <x v="0"/>
    <m/>
  </r>
  <r>
    <d v="2022-12-09T00:00:00"/>
    <x v="6"/>
    <x v="1"/>
    <x v="0"/>
    <x v="0"/>
    <n v="2833"/>
    <x v="296"/>
    <x v="4"/>
    <x v="183"/>
    <x v="2"/>
    <s v="Fixed Fee"/>
    <n v="5042864.2984370552"/>
    <s v="A"/>
    <n v="44"/>
    <n v="483072.58166559954"/>
    <n v="10978.922310581807"/>
    <n v="9.5793293865813353E-2"/>
    <x v="0"/>
    <x v="3"/>
    <x v="0"/>
    <m/>
  </r>
  <r>
    <d v="2022-12-10T00:00:00"/>
    <x v="6"/>
    <x v="1"/>
    <x v="0"/>
    <x v="0"/>
    <n v="2876"/>
    <x v="297"/>
    <x v="3"/>
    <x v="184"/>
    <x v="1"/>
    <s v="Stipulated Price "/>
    <n v="663650.03045600001"/>
    <s v="C"/>
    <n v="14"/>
    <n v="100118.898456"/>
    <n v="7151.3498897142854"/>
    <n v="0.15086098675714274"/>
    <x v="0"/>
    <x v="3"/>
    <x v="0"/>
    <m/>
  </r>
  <r>
    <d v="2022-12-10T00:00:00"/>
    <x v="6"/>
    <x v="1"/>
    <x v="0"/>
    <x v="0"/>
    <n v="2876"/>
    <x v="298"/>
    <x v="3"/>
    <x v="184"/>
    <x v="1"/>
    <s v="Stipulated Price"/>
    <n v="205650.80122786667"/>
    <s v="D"/>
    <n v="5"/>
    <n v="14354.208334533336"/>
    <n v="2870.8416669066673"/>
    <n v="6.9798941938614106E-2"/>
    <x v="0"/>
    <x v="3"/>
    <x v="0"/>
    <m/>
  </r>
  <r>
    <d v="2023-01-11T00:00:00"/>
    <x v="6"/>
    <x v="1"/>
    <x v="0"/>
    <x v="0"/>
    <n v="2882"/>
    <x v="299"/>
    <x v="2"/>
    <x v="185"/>
    <x v="2"/>
    <s v="Fixed Fee"/>
    <n v="298278.18940000003"/>
    <s v="D"/>
    <n v="7"/>
    <n v="33959.942733333337"/>
    <n v="4851.4203904761907"/>
    <n v="0.11385325491496809"/>
    <x v="1"/>
    <x v="3"/>
    <x v="1"/>
    <m/>
  </r>
  <r>
    <d v="2022-12-23T00:00:00"/>
    <x v="6"/>
    <x v="1"/>
    <x v="0"/>
    <x v="0"/>
    <n v="2859"/>
    <x v="300"/>
    <x v="2"/>
    <x v="186"/>
    <x v="1"/>
    <s v="Stipulated Price"/>
    <n v="507450.76"/>
    <s v="C"/>
    <n v="10"/>
    <n v="55657.68"/>
    <n v="5566"/>
    <n v="0.10970000000000001"/>
    <x v="0"/>
    <x v="3"/>
    <x v="0"/>
    <m/>
  </r>
  <r>
    <d v="2023-01-31T00:00:00"/>
    <x v="6"/>
    <x v="1"/>
    <x v="0"/>
    <x v="0"/>
    <n v="2886"/>
    <x v="301"/>
    <x v="2"/>
    <x v="18"/>
    <x v="1"/>
    <s v="Stipulated Price"/>
    <n v="284699.99632000003"/>
    <s v="D"/>
    <n v="6"/>
    <n v="51440.964319999999"/>
    <n v="8573.4940533333338"/>
    <n v="0.18068480851745727"/>
    <x v="1"/>
    <x v="3"/>
    <x v="1"/>
    <m/>
  </r>
  <r>
    <d v="2023-01-13T00:00:00"/>
    <x v="6"/>
    <x v="1"/>
    <x v="0"/>
    <x v="2"/>
    <n v="2885"/>
    <x v="302"/>
    <x v="2"/>
    <x v="2"/>
    <x v="1"/>
    <s v="Stipulated Price"/>
    <n v="506311.16"/>
    <s v="D"/>
    <n v="6"/>
    <m/>
    <m/>
    <n v="0.15"/>
    <x v="1"/>
    <x v="3"/>
    <x v="1"/>
    <m/>
  </r>
  <r>
    <d v="2023-02-23T00:00:00"/>
    <x v="6"/>
    <x v="1"/>
    <x v="0"/>
    <x v="0"/>
    <n v="2880"/>
    <x v="303"/>
    <x v="3"/>
    <x v="187"/>
    <x v="1"/>
    <s v="Stipulated Price"/>
    <n v="1319031.81"/>
    <s v="C"/>
    <n v="20"/>
    <n v="147564.24"/>
    <n v="7378"/>
    <n v="0.1119"/>
    <x v="0"/>
    <x v="3"/>
    <x v="0"/>
    <m/>
  </r>
  <r>
    <d v="2023-02-08T00:00:00"/>
    <x v="6"/>
    <x v="1"/>
    <x v="0"/>
    <x v="3"/>
    <n v="2897"/>
    <x v="304"/>
    <x v="2"/>
    <x v="188"/>
    <x v="1"/>
    <s v="Stipulated Price"/>
    <n v="487553.99670533562"/>
    <s v="D"/>
    <n v="10"/>
    <n v="73181.837294130004"/>
    <n v="7318.183729413"/>
    <n v="0.15190116344471161"/>
    <x v="1"/>
    <x v="3"/>
    <x v="1"/>
    <m/>
  </r>
  <r>
    <d v="2023-02-15T00:00:00"/>
    <x v="6"/>
    <x v="1"/>
    <x v="0"/>
    <x v="0"/>
    <n v="2888"/>
    <x v="305"/>
    <x v="2"/>
    <x v="189"/>
    <x v="1"/>
    <s v="Stipulated Price"/>
    <n v="237294.52205"/>
    <s v="D"/>
    <n v="6"/>
    <n v="34148.484550000001"/>
    <n v="5691.4140916666665"/>
    <n v="0.14390759742361275"/>
    <x v="0"/>
    <x v="3"/>
    <x v="0"/>
    <m/>
  </r>
  <r>
    <d v="2023-02-23T00:00:00"/>
    <x v="6"/>
    <x v="1"/>
    <x v="0"/>
    <x v="0"/>
    <n v="2890"/>
    <x v="306"/>
    <x v="2"/>
    <x v="190"/>
    <x v="1"/>
    <s v="Stipulated Price"/>
    <n v="352648.20903010003"/>
    <s v="D"/>
    <n v="8"/>
    <n v="44229.016980100001"/>
    <n v="5528.6271225125001"/>
    <n v="0.12541965575763031"/>
    <x v="0"/>
    <x v="3"/>
    <x v="0"/>
    <m/>
  </r>
  <r>
    <d v="2023-02-08T00:00:00"/>
    <x v="6"/>
    <x v="1"/>
    <x v="1"/>
    <x v="1"/>
    <n v="2887"/>
    <x v="307"/>
    <x v="2"/>
    <x v="90"/>
    <x v="1"/>
    <s v="Stipulated Price"/>
    <n v="2065872.5530943219"/>
    <s v="B"/>
    <n v="15"/>
    <n v="208406.19430534961"/>
    <n v="13893.746287023307"/>
    <n v="0.10209103573263088"/>
    <x v="1"/>
    <x v="3"/>
    <x v="1"/>
    <m/>
  </r>
  <r>
    <d v="2023-03-03T00:00:00"/>
    <x v="6"/>
    <x v="2"/>
    <x v="0"/>
    <x v="0"/>
    <n v="2899"/>
    <x v="308"/>
    <x v="2"/>
    <x v="191"/>
    <x v="1"/>
    <s v="Stipulated Price"/>
    <n v="92087.856724999991"/>
    <s v="E"/>
    <n v="5"/>
    <n v="19613.919225000005"/>
    <n v="3922.7838450000008"/>
    <n v="0.21299137500368409"/>
    <x v="0"/>
    <x v="3"/>
    <x v="0"/>
    <m/>
  </r>
  <r>
    <d v="2023-03-13T00:00:00"/>
    <x v="6"/>
    <x v="2"/>
    <x v="0"/>
    <x v="0"/>
    <n v="2902"/>
    <x v="309"/>
    <x v="2"/>
    <x v="2"/>
    <x v="1"/>
    <s v="Stipulated Price"/>
    <n v="189420.47"/>
    <s v="D"/>
    <n v="6"/>
    <n v="28413.07"/>
    <m/>
    <n v="0.15"/>
    <x v="0"/>
    <x v="3"/>
    <x v="0"/>
    <m/>
  </r>
  <r>
    <d v="2023-03-13T00:00:00"/>
    <x v="6"/>
    <x v="2"/>
    <x v="0"/>
    <x v="0"/>
    <n v="2902"/>
    <x v="310"/>
    <x v="2"/>
    <x v="2"/>
    <x v="1"/>
    <s v="Stipulated Price"/>
    <n v="188915.83"/>
    <s v="D"/>
    <n v="6"/>
    <m/>
    <m/>
    <n v="0.15"/>
    <x v="1"/>
    <x v="3"/>
    <x v="1"/>
    <m/>
  </r>
  <r>
    <d v="2023-03-23T00:00:00"/>
    <x v="6"/>
    <x v="2"/>
    <x v="0"/>
    <x v="0"/>
    <n v="2901"/>
    <x v="311"/>
    <x v="3"/>
    <x v="192"/>
    <x v="1"/>
    <s v="Stipulated Price"/>
    <n v="1271250.7189886128"/>
    <s v="C"/>
    <n v="20"/>
    <n v="113585.13251647723"/>
    <n v="5679.2566258238612"/>
    <n v="8.9349119587396414E-2"/>
    <x v="0"/>
    <x v="3"/>
    <x v="0"/>
    <m/>
  </r>
  <r>
    <d v="2023-03-24T00:00:00"/>
    <x v="6"/>
    <x v="2"/>
    <x v="0"/>
    <x v="3"/>
    <n v="2898"/>
    <x v="312"/>
    <x v="1"/>
    <x v="193"/>
    <x v="1"/>
    <s v="Stipulated Price"/>
    <n v="2361700.0044348501"/>
    <s v="B"/>
    <n v="26"/>
    <n v="218254.79406451667"/>
    <n v="8394.4151563275645"/>
    <n v="9.2414275163938353E-2"/>
    <x v="0"/>
    <x v="3"/>
    <x v="0"/>
    <m/>
  </r>
  <r>
    <d v="2023-04-24T00:00:00"/>
    <x v="6"/>
    <x v="2"/>
    <x v="0"/>
    <x v="0"/>
    <n v="2858"/>
    <x v="313"/>
    <x v="4"/>
    <x v="194"/>
    <x v="2"/>
    <s v="Fixed Fee"/>
    <n v="11310253.003362015"/>
    <s v="A"/>
    <n v="78"/>
    <n v="926066.48504028784"/>
    <n v="11872.647244106254"/>
    <n v="8.1878494209193298E-2"/>
    <x v="0"/>
    <x v="3"/>
    <x v="0"/>
    <m/>
  </r>
  <r>
    <d v="2023-04-12T00:00:00"/>
    <x v="6"/>
    <x v="2"/>
    <x v="0"/>
    <x v="0"/>
    <n v="2895"/>
    <x v="314"/>
    <x v="2"/>
    <x v="195"/>
    <x v="1"/>
    <s v="Stipulated Price"/>
    <n v="80651.996614000003"/>
    <s v="E"/>
    <n v="3"/>
    <n v="15987.841614000001"/>
    <n v="5329.280538"/>
    <n v="0.1982324342262439"/>
    <x v="1"/>
    <x v="3"/>
    <x v="1"/>
    <m/>
  </r>
  <r>
    <d v="2023-04-27T00:00:00"/>
    <x v="6"/>
    <x v="2"/>
    <x v="0"/>
    <x v="0"/>
    <n v="2905"/>
    <x v="315"/>
    <x v="2"/>
    <x v="196"/>
    <x v="1"/>
    <s v="Stipulated Price"/>
    <n v="12499189.739990529"/>
    <s v="A"/>
    <n v="36"/>
    <n v="593149.37760626327"/>
    <n v="16476.371600173981"/>
    <n v="4.7455026281304595E-2"/>
    <x v="1"/>
    <x v="3"/>
    <x v="1"/>
    <m/>
  </r>
  <r>
    <d v="2023-04-28T00:00:00"/>
    <x v="6"/>
    <x v="2"/>
    <x v="0"/>
    <x v="0"/>
    <n v="2894"/>
    <x v="316"/>
    <x v="2"/>
    <x v="197"/>
    <x v="1"/>
    <s v="Stipulated Price"/>
    <n v="625497.63"/>
    <s v="C"/>
    <n v="12"/>
    <n v="78714.320000000007"/>
    <n v="6560"/>
    <n v="0.1258"/>
    <x v="0"/>
    <x v="3"/>
    <x v="0"/>
    <m/>
  </r>
  <r>
    <d v="2023-04-25T00:00:00"/>
    <x v="6"/>
    <x v="2"/>
    <x v="0"/>
    <x v="0"/>
    <n v="2907"/>
    <x v="317"/>
    <x v="2"/>
    <x v="35"/>
    <x v="1"/>
    <s v="Stipulated Price"/>
    <n v="142487.02977200001"/>
    <s v="D"/>
    <n v="5"/>
    <n v="21848.074772"/>
    <n v="4369.6149544"/>
    <n v="0.15333377927071748"/>
    <x v="0"/>
    <x v="3"/>
    <x v="0"/>
    <m/>
  </r>
  <r>
    <d v="2023-05-03T00:00:00"/>
    <x v="6"/>
    <x v="2"/>
    <x v="0"/>
    <x v="12"/>
    <n v="2909"/>
    <x v="318"/>
    <x v="2"/>
    <x v="35"/>
    <x v="1"/>
    <s v="Stipulated Price"/>
    <n v="91518.997560000003"/>
    <s v="E"/>
    <n v="3"/>
    <n v="17761.852559999996"/>
    <n v="5920.6175199999989"/>
    <n v="0.19407831197402808"/>
    <x v="1"/>
    <x v="3"/>
    <x v="1"/>
    <m/>
  </r>
  <r>
    <d v="2023-03-31T00:00:00"/>
    <x v="6"/>
    <x v="2"/>
    <x v="0"/>
    <x v="0"/>
    <n v="2883"/>
    <x v="319"/>
    <x v="3"/>
    <x v="198"/>
    <x v="2"/>
    <s v="Fixed Fee"/>
    <n v="33116.224221919998"/>
    <s v="E"/>
    <n v="2"/>
    <n v="6996.7100021866672"/>
    <n v="3498.3550010933336"/>
    <n v="0.21127740757219135"/>
    <x v="0"/>
    <x v="3"/>
    <x v="0"/>
    <m/>
  </r>
  <r>
    <d v="2023-05-11T00:00:00"/>
    <x v="6"/>
    <x v="2"/>
    <x v="0"/>
    <x v="0"/>
    <n v="2908"/>
    <x v="320"/>
    <x v="4"/>
    <x v="199"/>
    <x v="2"/>
    <s v="Fixed Fee"/>
    <n v="9426950.3380961902"/>
    <s v="A"/>
    <n v="52"/>
    <n v="622209.84767122439"/>
    <n v="11965.573993677392"/>
    <n v="6.6003301741895254E-2"/>
    <x v="1"/>
    <x v="3"/>
    <x v="1"/>
    <m/>
  </r>
  <r>
    <d v="2023-05-10T00:00:00"/>
    <x v="6"/>
    <x v="2"/>
    <x v="0"/>
    <x v="0"/>
    <n v="2906"/>
    <x v="321"/>
    <x v="1"/>
    <x v="200"/>
    <x v="1"/>
    <s v="Stipulated Price"/>
    <n v="120355.81472520001"/>
    <s v="D"/>
    <n v="3"/>
    <n v="21303.374975200004"/>
    <n v="7101.1249917333344"/>
    <n v="0.17700328832338103"/>
    <x v="1"/>
    <x v="3"/>
    <x v="1"/>
    <m/>
  </r>
  <r>
    <d v="2023-05-23T00:00:00"/>
    <x v="6"/>
    <x v="3"/>
    <x v="0"/>
    <x v="3"/>
    <n v="2911"/>
    <x v="322"/>
    <x v="2"/>
    <x v="201"/>
    <x v="1"/>
    <s v="Stipulated Price"/>
    <n v="1404356.9760622745"/>
    <s v="C"/>
    <n v="17"/>
    <n v="215291.88292733335"/>
    <n v="12664.228407490198"/>
    <n v="0.15514245255032644"/>
    <x v="1"/>
    <x v="3"/>
    <x v="1"/>
    <m/>
  </r>
  <r>
    <d v="2023-06-01T00:00:00"/>
    <x v="6"/>
    <x v="3"/>
    <x v="0"/>
    <x v="2"/>
    <n v="2912"/>
    <x v="323"/>
    <x v="1"/>
    <x v="202"/>
    <x v="1"/>
    <s v="Stipulated Price"/>
    <n v="2632400.0046775527"/>
    <s v="B"/>
    <n v="26"/>
    <n v="239845.82466508745"/>
    <n v="9224.839410195671"/>
    <n v="9.1112985959163367E-2"/>
    <x v="1"/>
    <x v="3"/>
    <x v="1"/>
    <m/>
  </r>
  <r>
    <d v="2023-06-06T00:00:00"/>
    <x v="6"/>
    <x v="3"/>
    <x v="0"/>
    <x v="0"/>
    <n v="2910"/>
    <x v="324"/>
    <x v="3"/>
    <x v="203"/>
    <x v="2"/>
    <s v="Fixed Fee"/>
    <n v="259246.46407103998"/>
    <s v="D"/>
    <n v="5"/>
    <n v="40102.496391039997"/>
    <n v="8020.4992782079989"/>
    <n v="0.15468869183901737"/>
    <x v="0"/>
    <x v="3"/>
    <x v="0"/>
    <m/>
  </r>
  <r>
    <d v="2023-06-08T00:00:00"/>
    <x v="6"/>
    <x v="3"/>
    <x v="0"/>
    <x v="3"/>
    <n v="2913"/>
    <x v="325"/>
    <x v="2"/>
    <x v="204"/>
    <x v="1"/>
    <s v="Stipulated Price"/>
    <n v="62143.998399999997"/>
    <s v="E"/>
    <n v="3"/>
    <n v="12780.3984"/>
    <n v="4260.1328000000003"/>
    <n v="0.20565780653083951"/>
    <x v="0"/>
    <x v="3"/>
    <x v="0"/>
    <m/>
  </r>
  <r>
    <d v="2023-06-08T00:00:00"/>
    <x v="6"/>
    <x v="3"/>
    <x v="0"/>
    <x v="3"/>
    <n v="2914"/>
    <x v="326"/>
    <x v="2"/>
    <x v="205"/>
    <x v="1"/>
    <s v="Stipulated Price"/>
    <n v="480359.99874120933"/>
    <s v="D"/>
    <n v="12"/>
    <n v="80059.492927255822"/>
    <n v="6671.6244106046515"/>
    <n v="0.16666561149357345"/>
    <x v="0"/>
    <x v="3"/>
    <x v="0"/>
    <m/>
  </r>
  <r>
    <d v="2023-06-21T00:00:00"/>
    <x v="6"/>
    <x v="3"/>
    <x v="0"/>
    <x v="0"/>
    <n v="2798"/>
    <x v="327"/>
    <x v="1"/>
    <x v="206"/>
    <x v="2"/>
    <s v="Fixed Fee"/>
    <n v="2442554.4387959507"/>
    <s v="B"/>
    <n v="22"/>
    <n v="264896.42265003652"/>
    <n v="12040.74648409257"/>
    <n v="0.10845057061680735"/>
    <x v="1"/>
    <x v="3"/>
    <x v="1"/>
    <m/>
  </r>
  <r>
    <d v="2023-07-05T00:00:00"/>
    <x v="6"/>
    <x v="3"/>
    <x v="0"/>
    <x v="3"/>
    <n v="2921"/>
    <x v="328"/>
    <x v="1"/>
    <x v="207"/>
    <x v="1"/>
    <s v="Stipulated Price"/>
    <n v="420089.99584464001"/>
    <s v="D"/>
    <n v="3"/>
    <n v="60627.975844640008"/>
    <n v="20209.325281546669"/>
    <n v="0.14432139885345371"/>
    <x v="1"/>
    <x v="3"/>
    <x v="1"/>
    <m/>
  </r>
  <r>
    <d v="2023-07-06T00:00:00"/>
    <x v="6"/>
    <x v="3"/>
    <x v="0"/>
    <x v="0"/>
    <n v="2922"/>
    <x v="329"/>
    <x v="2"/>
    <x v="208"/>
    <x v="1"/>
    <s v="Stipulated Price"/>
    <n v="58137.826702247999"/>
    <s v="E"/>
    <n v="3"/>
    <n v="17766.225372247998"/>
    <n v="5922.0751240826658"/>
    <n v="0.30558805480014678"/>
    <x v="1"/>
    <x v="3"/>
    <x v="1"/>
    <m/>
  </r>
  <r>
    <d v="2023-07-20T00:00:00"/>
    <x v="6"/>
    <x v="3"/>
    <x v="0"/>
    <x v="0"/>
    <n v="2923"/>
    <x v="330"/>
    <x v="2"/>
    <x v="209"/>
    <x v="1"/>
    <s v="Stipulated Price"/>
    <n v="162658.63"/>
    <s v="D"/>
    <n v="4"/>
    <n v="34690.29"/>
    <n v="8673"/>
    <n v="0.21329999999999999"/>
    <x v="0"/>
    <x v="3"/>
    <x v="0"/>
    <m/>
  </r>
  <r>
    <d v="2023-07-17T00:00:00"/>
    <x v="6"/>
    <x v="3"/>
    <x v="0"/>
    <x v="0"/>
    <n v="2924"/>
    <x v="331"/>
    <x v="2"/>
    <x v="210"/>
    <x v="1"/>
    <s v="Stipulated Price"/>
    <n v="291004.69780794933"/>
    <s v="D"/>
    <n v="8"/>
    <n v="47580.869699208"/>
    <n v="5947.608712401"/>
    <n v="0.16350550371736383"/>
    <x v="0"/>
    <x v="3"/>
    <x v="0"/>
    <m/>
  </r>
  <r>
    <d v="2023-07-28T00:00:00"/>
    <x v="6"/>
    <x v="3"/>
    <x v="0"/>
    <x v="13"/>
    <n v="2857"/>
    <x v="332"/>
    <x v="3"/>
    <x v="211"/>
    <x v="2"/>
    <s v="Fixed Fee"/>
    <n v="1543019.7543880499"/>
    <s v="C"/>
    <n v="22"/>
    <n v="166062.4011258625"/>
    <n v="7548.2909602664768"/>
    <n v="0.10762169483158794"/>
    <x v="0"/>
    <x v="3"/>
    <x v="0"/>
    <m/>
  </r>
  <r>
    <d v="2023-07-26T00:00:00"/>
    <x v="6"/>
    <x v="3"/>
    <x v="0"/>
    <x v="0"/>
    <n v="2925"/>
    <x v="333"/>
    <x v="1"/>
    <x v="212"/>
    <x v="1"/>
    <s v="Stipulated Price"/>
    <n v="142961.72164604001"/>
    <s v="D"/>
    <n v="3"/>
    <n v="28517.735406040003"/>
    <n v="9505.9118020133337"/>
    <n v="0.19947811958117906"/>
    <x v="1"/>
    <x v="3"/>
    <x v="1"/>
    <m/>
  </r>
  <r>
    <d v="2023-08-15T00:00:00"/>
    <x v="6"/>
    <x v="3"/>
    <x v="0"/>
    <x v="0"/>
    <n v="2928"/>
    <x v="334"/>
    <x v="2"/>
    <x v="213"/>
    <x v="1"/>
    <s v="Stipulated Price"/>
    <n v="51204.003190399999"/>
    <s v="E"/>
    <n v="3"/>
    <n v="12930.336150399999"/>
    <n v="4310.1120501333326"/>
    <n v="0.25252588361732325"/>
    <x v="1"/>
    <x v="3"/>
    <x v="1"/>
    <m/>
  </r>
  <r>
    <d v="2023-08-12T00:00:00"/>
    <x v="6"/>
    <x v="3"/>
    <x v="0"/>
    <x v="0"/>
    <n v="2929"/>
    <x v="335"/>
    <x v="3"/>
    <x v="214"/>
    <x v="1"/>
    <s v="Stipulated Price"/>
    <n v="58064.99796552"/>
    <s v="E"/>
    <n v="3"/>
    <n v="13570.057694319999"/>
    <n v="4523.3525647733331"/>
    <n v="0.23370460983014474"/>
    <x v="1"/>
    <x v="3"/>
    <x v="1"/>
    <m/>
  </r>
  <r>
    <d v="2023-08-15T00:00:00"/>
    <x v="6"/>
    <x v="3"/>
    <x v="0"/>
    <x v="0"/>
    <s v="22-1216"/>
    <x v="336"/>
    <x v="3"/>
    <x v="8"/>
    <x v="2"/>
    <s v="Fixed Fee"/>
    <n v="2642188.54"/>
    <s v="B"/>
    <n v="12"/>
    <n v="184443.54"/>
    <n v="15370"/>
    <n v="6.9800000000000001E-2"/>
    <x v="0"/>
    <x v="3"/>
    <x v="0"/>
    <m/>
  </r>
  <r>
    <d v="2023-09-14T00:00:00"/>
    <x v="6"/>
    <x v="0"/>
    <x v="0"/>
    <x v="0"/>
    <s v="23-1274"/>
    <x v="337"/>
    <x v="3"/>
    <x v="215"/>
    <x v="2"/>
    <s v="Fixed Fee"/>
    <n v="210946.00114064"/>
    <s v="D"/>
    <n v="6"/>
    <n v="35324.905034639996"/>
    <n v="5887.4841724399994"/>
    <n v="0.1674594675586597"/>
    <x v="0"/>
    <x v="3"/>
    <x v="0"/>
    <m/>
  </r>
  <r>
    <d v="2023-09-14T00:00:00"/>
    <x v="6"/>
    <x v="0"/>
    <x v="0"/>
    <x v="0"/>
    <s v="23-1275"/>
    <x v="338"/>
    <x v="3"/>
    <x v="216"/>
    <x v="2"/>
    <s v="Fixed Fee"/>
    <n v="269273.29502700001"/>
    <s v="D"/>
    <n v="8"/>
    <n v="52642.664570000001"/>
    <n v="6580.3330712500001"/>
    <n v="0.21504891905895709"/>
    <x v="0"/>
    <x v="3"/>
    <x v="0"/>
    <m/>
  </r>
  <r>
    <d v="2023-09-19T00:00:00"/>
    <x v="6"/>
    <x v="0"/>
    <x v="0"/>
    <x v="0"/>
    <n v="2945"/>
    <x v="339"/>
    <x v="2"/>
    <x v="8"/>
    <x v="1"/>
    <s v="Stipulated Price"/>
    <n v="30803.241333333332"/>
    <s v="E"/>
    <n v="1"/>
    <n v="8651.0946666666659"/>
    <n v="8651.0946666666659"/>
    <n v="0.28085014083582804"/>
    <x v="0"/>
    <x v="3"/>
    <x v="0"/>
    <m/>
  </r>
  <r>
    <d v="2023-09-19T00:00:00"/>
    <x v="6"/>
    <x v="0"/>
    <x v="0"/>
    <x v="2"/>
    <n v="2946"/>
    <x v="340"/>
    <x v="2"/>
    <x v="8"/>
    <x v="1"/>
    <s v="Stipulated Price"/>
    <n v="39098.558253333329"/>
    <s v="E"/>
    <n v="1"/>
    <n v="9440.2063866666667"/>
    <n v="9440.2063866666667"/>
    <n v="0.24144640642502072"/>
    <x v="0"/>
    <x v="3"/>
    <x v="0"/>
    <m/>
  </r>
  <r>
    <d v="2023-09-01T00:00:00"/>
    <x v="6"/>
    <x v="0"/>
    <x v="0"/>
    <x v="0"/>
    <n v="2927"/>
    <x v="341"/>
    <x v="2"/>
    <x v="195"/>
    <x v="1"/>
    <s v="Stipulated Price"/>
    <n v="89932.557579333326"/>
    <s v="E"/>
    <n v="4"/>
    <n v="18456.376652666666"/>
    <n v="4614.0941631666665"/>
    <n v="0.20522463887881218"/>
    <x v="1"/>
    <x v="3"/>
    <x v="1"/>
    <m/>
  </r>
  <r>
    <d v="2023-09-01T00:00:00"/>
    <x v="6"/>
    <x v="0"/>
    <x v="0"/>
    <x v="0"/>
    <n v="2936"/>
    <x v="342"/>
    <x v="2"/>
    <x v="106"/>
    <x v="1"/>
    <s v="Stipulated Price"/>
    <n v="24914.0305744"/>
    <s v="E"/>
    <n v="2"/>
    <n v="5901.0451344000003"/>
    <n v="2950.5225672000001"/>
    <n v="0.23685630138318614"/>
    <x v="1"/>
    <x v="3"/>
    <x v="1"/>
    <m/>
  </r>
  <r>
    <d v="2023-09-25T00:00:00"/>
    <x v="6"/>
    <x v="0"/>
    <x v="1"/>
    <x v="1"/>
    <n v="2937"/>
    <x v="343"/>
    <x v="2"/>
    <x v="137"/>
    <x v="1"/>
    <s v="Stipulated Price"/>
    <n v="6797749.995657647"/>
    <s v="A"/>
    <n v="37"/>
    <n v="554699.65892947197"/>
    <n v="14991.882673769513"/>
    <n v="8.1600479465089193E-2"/>
    <x v="1"/>
    <x v="3"/>
    <x v="1"/>
    <m/>
  </r>
  <r>
    <d v="2023-09-14T00:00:00"/>
    <x v="6"/>
    <x v="0"/>
    <x v="0"/>
    <x v="0"/>
    <n v="2938"/>
    <x v="344"/>
    <x v="2"/>
    <x v="217"/>
    <x v="1"/>
    <s v="Stipulated Price"/>
    <n v="113919.995228"/>
    <s v="D"/>
    <n v="6"/>
    <n v="20479.533228000004"/>
    <n v="3413.2555380000008"/>
    <n v="0.17977119106274692"/>
    <x v="1"/>
    <x v="3"/>
    <x v="1"/>
    <m/>
  </r>
  <r>
    <d v="2023-09-28T00:00:00"/>
    <x v="6"/>
    <x v="0"/>
    <x v="0"/>
    <x v="2"/>
    <n v="2941"/>
    <x v="345"/>
    <x v="3"/>
    <x v="218"/>
    <x v="1"/>
    <s v="Stipulated Price"/>
    <n v="161032.00270779998"/>
    <s v="D"/>
    <n v="5"/>
    <n v="38365.758647800001"/>
    <n v="7673.1517295600006"/>
    <n v="0.23824927966285339"/>
    <x v="1"/>
    <x v="3"/>
    <x v="1"/>
    <m/>
  </r>
  <r>
    <d v="2023-09-28T00:00:00"/>
    <x v="6"/>
    <x v="0"/>
    <x v="0"/>
    <x v="14"/>
    <n v="2942"/>
    <x v="346"/>
    <x v="2"/>
    <x v="219"/>
    <x v="1"/>
    <s v="Stipulated Price"/>
    <n v="4343400.5648058997"/>
    <s v="B"/>
    <n v="22"/>
    <n v="413905.0506172108"/>
    <n v="18813.865937145947"/>
    <n v="9.5295159735217197E-2"/>
    <x v="1"/>
    <x v="3"/>
    <x v="1"/>
    <m/>
  </r>
  <r>
    <d v="2023-10-03T00:00:00"/>
    <x v="6"/>
    <x v="0"/>
    <x v="0"/>
    <x v="12"/>
    <n v="2948"/>
    <x v="347"/>
    <x v="2"/>
    <x v="220"/>
    <x v="1"/>
    <s v="Stipulated Price"/>
    <n v="213036.94237760003"/>
    <s v="D"/>
    <n v="6"/>
    <n v="46465.592617599999"/>
    <n v="7744.2654362666663"/>
    <n v="0.21811049341499406"/>
    <x v="1"/>
    <x v="3"/>
    <x v="1"/>
    <m/>
  </r>
  <r>
    <d v="2023-10-12T00:00:00"/>
    <x v="6"/>
    <x v="0"/>
    <x v="0"/>
    <x v="0"/>
    <n v="2949"/>
    <x v="348"/>
    <x v="3"/>
    <x v="221"/>
    <x v="1"/>
    <s v="Stipulated Price"/>
    <n v="251397.39634399998"/>
    <s v="D"/>
    <n v="6"/>
    <n v="45649.029554000001"/>
    <n v="7608.1715923333331"/>
    <n v="0.18158115484830276"/>
    <x v="0"/>
    <x v="3"/>
    <x v="0"/>
    <m/>
  </r>
  <r>
    <d v="2023-10-24T00:00:00"/>
    <x v="6"/>
    <x v="0"/>
    <x v="1"/>
    <x v="1"/>
    <n v="2952"/>
    <x v="349"/>
    <x v="3"/>
    <x v="222"/>
    <x v="1"/>
    <s v="Stipulated Price"/>
    <n v="437527.91281100002"/>
    <s v="D"/>
    <n v="8"/>
    <n v="88069.199123000013"/>
    <n v="11008.649890375002"/>
    <n v="0.20128818423761566"/>
    <x v="0"/>
    <x v="3"/>
    <x v="0"/>
    <m/>
  </r>
  <r>
    <d v="2023-10-03T00:00:00"/>
    <x v="6"/>
    <x v="0"/>
    <x v="0"/>
    <x v="0"/>
    <n v="2947"/>
    <x v="350"/>
    <x v="3"/>
    <x v="198"/>
    <x v="1"/>
    <s v="Stipulated Price"/>
    <n v="49855"/>
    <s v="E"/>
    <n v="2"/>
    <n v="11793.5"/>
    <n v="5896.75"/>
    <n v="0.23655601243606458"/>
    <x v="0"/>
    <x v="3"/>
    <x v="0"/>
    <m/>
  </r>
  <r>
    <d v="2023-10-23T00:00:00"/>
    <x v="6"/>
    <x v="0"/>
    <x v="0"/>
    <x v="0"/>
    <n v="2931"/>
    <x v="351"/>
    <x v="3"/>
    <x v="223"/>
    <x v="2"/>
    <s v="Fixed Fee"/>
    <n v="122705.84915072001"/>
    <s v="D"/>
    <n v="3"/>
    <n v="16437.20979072"/>
    <n v="5479.0699302399998"/>
    <n v="0.13395620424361451"/>
    <x v="1"/>
    <x v="3"/>
    <x v="1"/>
    <m/>
  </r>
  <r>
    <d v="2023-10-13T00:00:00"/>
    <x v="6"/>
    <x v="0"/>
    <x v="0"/>
    <x v="0"/>
    <n v="2943"/>
    <x v="352"/>
    <x v="2"/>
    <x v="224"/>
    <x v="2"/>
    <s v="Fixed Fee"/>
    <n v="894068.55592704006"/>
    <s v="C"/>
    <n v="12"/>
    <n v="97089.675927040007"/>
    <n v="8090.8063272533336"/>
    <n v="0.10859309980583072"/>
    <x v="0"/>
    <x v="3"/>
    <x v="0"/>
    <m/>
  </r>
  <r>
    <d v="2023-10-16T00:00:00"/>
    <x v="6"/>
    <x v="0"/>
    <x v="0"/>
    <x v="0"/>
    <n v="2958"/>
    <x v="353"/>
    <x v="2"/>
    <x v="225"/>
    <x v="2"/>
    <s v="Fixed Fee"/>
    <n v="12624700.003236862"/>
    <s v="A"/>
    <n v="49"/>
    <n v="876048.17303746485"/>
    <n v="17878.534143621731"/>
    <n v="6.9391603191589019E-2"/>
    <x v="1"/>
    <x v="3"/>
    <x v="1"/>
    <m/>
  </r>
  <r>
    <d v="2023-10-23T00:00:00"/>
    <x v="6"/>
    <x v="0"/>
    <x v="0"/>
    <x v="0"/>
    <n v="2933"/>
    <x v="354"/>
    <x v="3"/>
    <x v="226"/>
    <x v="2"/>
    <s v="Fixed Fee"/>
    <n v="1291488.6828066192"/>
    <s v="C"/>
    <n v="20"/>
    <n v="172969.53252602948"/>
    <n v="8648.4766263014735"/>
    <n v="0.1339303509420911"/>
    <x v="1"/>
    <x v="3"/>
    <x v="1"/>
    <m/>
  </r>
  <r>
    <d v="2023-11-01T00:00:00"/>
    <x v="6"/>
    <x v="0"/>
    <x v="0"/>
    <x v="3"/>
    <n v="2954"/>
    <x v="355"/>
    <x v="3"/>
    <x v="227"/>
    <x v="1"/>
    <s v="Stipulated Price"/>
    <n v="318233.00280878"/>
    <s v="D"/>
    <n v="8"/>
    <n v="58044.705180679994"/>
    <n v="7255.5881475849992"/>
    <n v="0.18239687483185998"/>
    <x v="0"/>
    <x v="3"/>
    <x v="0"/>
    <m/>
  </r>
  <r>
    <d v="2023-11-20T00:00:00"/>
    <x v="6"/>
    <x v="0"/>
    <x v="0"/>
    <x v="0"/>
    <n v="2879"/>
    <x v="356"/>
    <x v="3"/>
    <x v="181"/>
    <x v="2"/>
    <s v="Fixed Fee"/>
    <n v="1225357.4024160001"/>
    <s v="C"/>
    <n v="16"/>
    <n v="145918.07121599998"/>
    <n v="9119.8794509999989"/>
    <n v="0.11908204979893844"/>
    <x v="0"/>
    <x v="3"/>
    <x v="0"/>
    <m/>
  </r>
  <r>
    <d v="2023-11-01T00:00:00"/>
    <x v="6"/>
    <x v="0"/>
    <x v="0"/>
    <x v="0"/>
    <n v="2919"/>
    <x v="357"/>
    <x v="1"/>
    <x v="228"/>
    <x v="2"/>
    <s v="Stipulated Price"/>
    <n v="369736.67131833336"/>
    <s v="D"/>
    <n v="8"/>
    <n v="61193.273359999999"/>
    <n v="7649.1591699999999"/>
    <n v="0.1655050150741316"/>
    <x v="0"/>
    <x v="3"/>
    <x v="0"/>
    <m/>
  </r>
  <r>
    <d v="2023-11-01T00:00:00"/>
    <x v="6"/>
    <x v="0"/>
    <x v="0"/>
    <x v="0"/>
    <s v="23-1274"/>
    <x v="358"/>
    <x v="3"/>
    <x v="215"/>
    <x v="2"/>
    <s v="Fixed Fee"/>
    <n v="210946.00114064"/>
    <s v="D"/>
    <n v="6"/>
    <n v="35324.905034639996"/>
    <n v="5887.4841724399994"/>
    <n v="0.1674594675586597"/>
    <x v="0"/>
    <x v="3"/>
    <x v="0"/>
    <m/>
  </r>
  <r>
    <d v="2023-11-07T00:00:00"/>
    <x v="6"/>
    <x v="0"/>
    <x v="0"/>
    <x v="3"/>
    <n v="2956"/>
    <x v="359"/>
    <x v="3"/>
    <x v="229"/>
    <x v="2"/>
    <s v="Fixed Fee"/>
    <n v="152743.98632630002"/>
    <s v="D"/>
    <n v="6"/>
    <n v="39312.021226300007"/>
    <n v="6552.0035377166678"/>
    <n v="0.25737197366526449"/>
    <x v="0"/>
    <x v="3"/>
    <x v="0"/>
    <m/>
  </r>
  <r>
    <d v="2023-11-23T00:00:00"/>
    <x v="6"/>
    <x v="0"/>
    <x v="0"/>
    <x v="0"/>
    <n v="2960"/>
    <x v="360"/>
    <x v="1"/>
    <x v="230"/>
    <x v="1"/>
    <s v="Stipulated Price"/>
    <n v="161205.01185164999"/>
    <s v="D"/>
    <n v="4"/>
    <n v="21623.011851650001"/>
    <n v="5405.7529629125002"/>
    <n v="0.13413362030920431"/>
    <x v="0"/>
    <x v="3"/>
    <x v="0"/>
    <m/>
  </r>
  <r>
    <d v="2023-11-24T00:00:00"/>
    <x v="6"/>
    <x v="0"/>
    <x v="0"/>
    <x v="0"/>
    <n v="2961"/>
    <x v="361"/>
    <x v="4"/>
    <x v="231"/>
    <x v="2"/>
    <s v="Fixed Fee"/>
    <n v="7374630.5502305031"/>
    <s v="A"/>
    <n v="70"/>
    <n v="618260.59929367714"/>
    <n v="8832.294275623959"/>
    <n v="8.3836145428919512E-2"/>
    <x v="1"/>
    <x v="3"/>
    <x v="1"/>
    <m/>
  </r>
  <r>
    <d v="2023-12-15T00:00:00"/>
    <x v="7"/>
    <x v="1"/>
    <x v="0"/>
    <x v="0"/>
    <n v="2962"/>
    <x v="362"/>
    <x v="3"/>
    <x v="232"/>
    <x v="2"/>
    <s v="Fixed Fee"/>
    <n v="638625.63688979996"/>
    <s v="C"/>
    <n v="12"/>
    <n v="85108.286134999988"/>
    <n v="7092.3571779166659"/>
    <n v="0.13326788218131949"/>
    <x v="1"/>
    <x v="3"/>
    <x v="1"/>
    <m/>
  </r>
  <r>
    <d v="2023-12-05T00:00:00"/>
    <x v="7"/>
    <x v="1"/>
    <x v="0"/>
    <x v="0"/>
    <n v="2951"/>
    <x v="363"/>
    <x v="3"/>
    <x v="233"/>
    <x v="1"/>
    <s v="Stipulated Price"/>
    <n v="4194000.0036756597"/>
    <s v="B"/>
    <n v="38"/>
    <n v="364976.65968971461"/>
    <n v="9604.6489392030162"/>
    <n v="8.8019958938840556E-2"/>
    <x v="1"/>
    <x v="3"/>
    <x v="1"/>
    <m/>
  </r>
  <r>
    <d v="2023-12-20T00:00:00"/>
    <x v="7"/>
    <x v="1"/>
    <x v="0"/>
    <x v="0"/>
    <n v="2968"/>
    <x v="364"/>
    <x v="3"/>
    <x v="234"/>
    <x v="1"/>
    <s v="Stipulated Price"/>
    <n v="97449.99855413333"/>
    <s v="E"/>
    <n v="4"/>
    <n v="26687.889355466668"/>
    <n v="6671.9723388666671"/>
    <n v="0.27386238841903715"/>
    <x v="1"/>
    <x v="3"/>
    <x v="1"/>
    <m/>
  </r>
  <r>
    <d v="2024-01-03T00:00:00"/>
    <x v="7"/>
    <x v="1"/>
    <x v="0"/>
    <x v="0"/>
    <n v="2964"/>
    <x v="365"/>
    <x v="2"/>
    <x v="235"/>
    <x v="1"/>
    <s v="Stipulated Price"/>
    <n v="202990.00271120001"/>
    <s v="D"/>
    <n v="6"/>
    <n v="36618.984779500002"/>
    <n v="6103.1641299166668"/>
    <n v="0.18039797177400374"/>
    <x v="1"/>
    <x v="3"/>
    <x v="1"/>
    <m/>
  </r>
  <r>
    <d v="2024-01-23T00:00:00"/>
    <x v="7"/>
    <x v="1"/>
    <x v="0"/>
    <x v="0"/>
    <n v="2973"/>
    <x v="366"/>
    <x v="1"/>
    <x v="236"/>
    <x v="2"/>
    <s v="Stipulated Price"/>
    <n v="281482.34465759998"/>
    <s v="D"/>
    <n v="6"/>
    <n v="40620.226991000003"/>
    <n v="6770.0378318333342"/>
    <n v="0.14430825862421728"/>
    <x v="1"/>
    <x v="3"/>
    <x v="1"/>
    <m/>
  </r>
  <r>
    <d v="2024-01-23T00:00:00"/>
    <x v="7"/>
    <x v="1"/>
    <x v="0"/>
    <x v="0"/>
    <n v="2971"/>
    <x v="367"/>
    <x v="3"/>
    <x v="8"/>
    <x v="2"/>
    <s v="Fixed Fee"/>
    <n v="197464.71945599999"/>
    <s v="D"/>
    <n v="7"/>
    <n v="45942.877446000006"/>
    <n v="6563.2682065714298"/>
    <n v="0.23266372632320889"/>
    <x v="0"/>
    <x v="3"/>
    <x v="0"/>
    <m/>
  </r>
  <r>
    <d v="2024-01-23T00:00:00"/>
    <x v="7"/>
    <x v="1"/>
    <x v="0"/>
    <x v="0"/>
    <n v="2977"/>
    <x v="368"/>
    <x v="4"/>
    <x v="237"/>
    <x v="2"/>
    <s v="Fixed Fee"/>
    <n v="1100654.4627591788"/>
    <s v="C"/>
    <n v="20"/>
    <n v="110464.21581875652"/>
    <n v="5523.2107909378265"/>
    <n v="0.10036230220866864"/>
    <x v="1"/>
    <x v="3"/>
    <x v="1"/>
    <m/>
  </r>
  <r>
    <d v="2024-01-10T00:00:00"/>
    <x v="7"/>
    <x v="1"/>
    <x v="0"/>
    <x v="0"/>
    <n v="2970"/>
    <x v="369"/>
    <x v="1"/>
    <x v="238"/>
    <x v="1"/>
    <s v="Stipulated Price"/>
    <n v="157649.99952000001"/>
    <s v="D"/>
    <n v="4"/>
    <n v="22177.767812499998"/>
    <n v="5544.4419531249996"/>
    <n v="0.14067724630526529"/>
    <x v="0"/>
    <x v="3"/>
    <x v="0"/>
    <m/>
  </r>
  <r>
    <d v="2024-02-23T00:00:00"/>
    <x v="7"/>
    <x v="1"/>
    <x v="0"/>
    <x v="0"/>
    <n v="2983"/>
    <x v="370"/>
    <x v="3"/>
    <x v="239"/>
    <x v="1"/>
    <s v="Stipulated Price"/>
    <n v="1989863.9963005045"/>
    <s v="C"/>
    <n v="26"/>
    <n v="228123.34865941698"/>
    <n v="8773.9749484391141"/>
    <n v="0.11464268366257044"/>
    <x v="1"/>
    <x v="3"/>
    <x v="1"/>
    <m/>
  </r>
  <r>
    <d v="2024-02-07T00:00:00"/>
    <x v="7"/>
    <x v="1"/>
    <x v="0"/>
    <x v="0"/>
    <n v="2981"/>
    <x v="371"/>
    <x v="3"/>
    <x v="240"/>
    <x v="2"/>
    <s v="Fixed Fee"/>
    <n v="144617.748345"/>
    <s v="D"/>
    <n v="4"/>
    <n v="9266.2734449999989"/>
    <n v="2316.5683612499997"/>
    <n v="6.4074247808743254E-2"/>
    <x v="0"/>
    <x v="3"/>
    <x v="0"/>
    <m/>
  </r>
  <r>
    <d v="2024-02-01T00:00:00"/>
    <x v="7"/>
    <x v="1"/>
    <x v="0"/>
    <x v="0"/>
    <n v="2980"/>
    <x v="372"/>
    <x v="2"/>
    <x v="23"/>
    <x v="1"/>
    <s v="Stipulated Price"/>
    <n v="142384.7550528"/>
    <s v="D"/>
    <n v="4"/>
    <n v="25148.210839799998"/>
    <n v="6287.0527099499996"/>
    <n v="0.17662151281908223"/>
    <x v="1"/>
    <x v="3"/>
    <x v="1"/>
    <m/>
  </r>
  <r>
    <d v="2024-02-13T00:00:00"/>
    <x v="7"/>
    <x v="1"/>
    <x v="0"/>
    <x v="3"/>
    <n v="2978"/>
    <x v="373"/>
    <x v="2"/>
    <x v="241"/>
    <x v="1"/>
    <s v="Stipulated Price"/>
    <n v="967599.99758061313"/>
    <s v="C"/>
    <n v="13"/>
    <n v="120743.5621427"/>
    <n v="9287.9663186692305"/>
    <n v="0.12628420585664113"/>
    <x v="1"/>
    <x v="3"/>
    <x v="1"/>
    <m/>
  </r>
  <r>
    <d v="2024-02-20T00:00:00"/>
    <x v="7"/>
    <x v="1"/>
    <x v="0"/>
    <x v="0"/>
    <n v="2982"/>
    <x v="374"/>
    <x v="3"/>
    <x v="120"/>
    <x v="2"/>
    <s v="Stipulated Price"/>
    <n v="125026"/>
    <s v="D"/>
    <n v="4"/>
    <n v="25868.383749999997"/>
    <n v="6467.0959374999993"/>
    <n v="0.2069040339609361"/>
    <x v="0"/>
    <x v="3"/>
    <x v="0"/>
    <m/>
  </r>
  <r>
    <d v="2024-03-22T00:00:00"/>
    <x v="7"/>
    <x v="2"/>
    <x v="0"/>
    <x v="2"/>
    <n v="2988"/>
    <x v="375"/>
    <x v="1"/>
    <x v="44"/>
    <x v="1"/>
    <s v="Stipulated Price"/>
    <n v="260681.7864864"/>
    <s v="D"/>
    <n v="8"/>
    <n v="38172.990888285713"/>
    <n v="4771.6238610357141"/>
    <n v="0.14643520517025929"/>
    <x v="1"/>
    <x v="3"/>
    <x v="1"/>
    <m/>
  </r>
  <r>
    <d v="2024-03-09T00:00:00"/>
    <x v="7"/>
    <x v="2"/>
    <x v="0"/>
    <x v="0"/>
    <n v="2965"/>
    <x v="376"/>
    <x v="2"/>
    <x v="242"/>
    <x v="1"/>
    <s v="Stipulated Price"/>
    <n v="467680.00235343998"/>
    <s v="D"/>
    <n v="12"/>
    <n v="74547.553975339993"/>
    <n v="6212.2961646116664"/>
    <n v="0.15939863496451606"/>
    <x v="1"/>
    <x v="3"/>
    <x v="1"/>
    <m/>
  </r>
  <r>
    <d v="2024-03-19T00:00:00"/>
    <x v="7"/>
    <x v="2"/>
    <x v="0"/>
    <x v="0"/>
    <n v="2957"/>
    <x v="377"/>
    <x v="3"/>
    <x v="243"/>
    <x v="1"/>
    <s v="Stipluated Price"/>
    <n v="994486.01828855998"/>
    <s v="C"/>
    <n v="16"/>
    <n v="117346.01554576"/>
    <n v="7334.1259716100003"/>
    <n v="0.11799664689877107"/>
    <x v="0"/>
    <x v="3"/>
    <x v="0"/>
    <m/>
  </r>
  <r>
    <d v="2024-03-28T00:00:00"/>
    <x v="7"/>
    <x v="2"/>
    <x v="0"/>
    <x v="0"/>
    <n v="2989"/>
    <x v="378"/>
    <x v="4"/>
    <x v="244"/>
    <x v="2"/>
    <s v="Fixed Fee"/>
    <n v="11119373.088187641"/>
    <s v="A"/>
    <n v="60"/>
    <n v="737710.07884726429"/>
    <n v="12295.167980787739"/>
    <n v="6.6344574734249206E-2"/>
    <x v="0"/>
    <x v="3"/>
    <x v="0"/>
    <m/>
  </r>
  <r>
    <d v="2024-03-07T00:00:00"/>
    <x v="7"/>
    <x v="2"/>
    <x v="0"/>
    <x v="3"/>
    <s v="24-1303"/>
    <x v="379"/>
    <x v="2"/>
    <x v="245"/>
    <x v="2"/>
    <s v="Fixed Fee"/>
    <n v="850331.24867200002"/>
    <s v="C"/>
    <n v="12"/>
    <n v="114568.43791199998"/>
    <n v="9547.3698259999983"/>
    <n v="0.13473389116409232"/>
    <x v="0"/>
    <x v="3"/>
    <x v="0"/>
    <m/>
  </r>
  <r>
    <s v=" April 9, 2024"/>
    <x v="7"/>
    <x v="2"/>
    <x v="0"/>
    <x v="2"/>
    <n v="2991"/>
    <x v="380"/>
    <x v="2"/>
    <x v="246"/>
    <x v="1"/>
    <s v="Stipulated Price"/>
    <n v="2593979.0002475749"/>
    <s v="B"/>
    <n v="26"/>
    <n v="271845.31562391663"/>
    <n v="10455.589062458332"/>
    <n v="0.10479857994146102"/>
    <x v="0"/>
    <x v="3"/>
    <x v="0"/>
    <m/>
  </r>
  <r>
    <d v="2024-05-15T00:00:00"/>
    <x v="7"/>
    <x v="2"/>
    <x v="0"/>
    <x v="0"/>
    <n v="2995"/>
    <x v="381"/>
    <x v="3"/>
    <x v="72"/>
    <x v="1"/>
    <s v="Stipulated Price"/>
    <n v="95321.62154303999"/>
    <s v="E"/>
    <n v="4"/>
    <n v="24890.670067139996"/>
    <n v="6222.667516784999"/>
    <n v="0.26112302397102283"/>
    <x v="1"/>
    <x v="3"/>
    <x v="1"/>
    <m/>
  </r>
  <r>
    <d v="2024-05-16T00:00:00"/>
    <x v="7"/>
    <x v="2"/>
    <x v="0"/>
    <x v="3"/>
    <n v="3000"/>
    <x v="382"/>
    <x v="2"/>
    <x v="247"/>
    <x v="1"/>
    <s v="Stipulated Price"/>
    <n v="403340.00238000002"/>
    <s v="D"/>
    <n v="10"/>
    <n v="64238.764659999993"/>
    <n v="6423.8764659999997"/>
    <n v="0.15926703099356487"/>
    <x v="1"/>
    <x v="3"/>
    <x v="1"/>
    <m/>
  </r>
  <r>
    <d v="2024-05-29T00:00:00"/>
    <x v="7"/>
    <x v="2"/>
    <x v="0"/>
    <x v="2"/>
    <n v="3003"/>
    <x v="383"/>
    <x v="2"/>
    <x v="248"/>
    <x v="1"/>
    <s v="Stipulated Price"/>
    <n v="4801586.9995879419"/>
    <s v="B"/>
    <n v="40"/>
    <n v="477273.11150600953"/>
    <n v="11931.827787650238"/>
    <n v="9.9399034433192132E-2"/>
    <x v="1"/>
    <x v="3"/>
    <x v="1"/>
    <m/>
  </r>
  <r>
    <s v="May 8, 20224"/>
    <x v="7"/>
    <x v="2"/>
    <x v="0"/>
    <x v="0"/>
    <n v="2996"/>
    <x v="384"/>
    <x v="3"/>
    <x v="249"/>
    <x v="1"/>
    <s v="Stipulated Price"/>
    <n v="67359.99997759999"/>
    <s v="E"/>
    <n v="3"/>
    <n v="14017.565065999997"/>
    <n v="4672.5216886666658"/>
    <n v="0.20809924392312087"/>
    <x v="0"/>
    <x v="3"/>
    <x v="0"/>
    <m/>
  </r>
  <r>
    <d v="2024-06-04T00:00:00"/>
    <x v="7"/>
    <x v="3"/>
    <x v="0"/>
    <x v="0"/>
    <n v="3002"/>
    <x v="385"/>
    <x v="3"/>
    <x v="89"/>
    <x v="1"/>
    <s v="Stipluated Price"/>
    <n v="86763.00378544"/>
    <s v="E"/>
    <n v="3"/>
    <n v="20598.15535234"/>
    <n v="6866.0517841133333"/>
    <n v="0.2374"/>
    <x v="0"/>
    <x v="3"/>
    <x v="0"/>
    <m/>
  </r>
  <r>
    <d v="2024-06-25T00:00:00"/>
    <x v="7"/>
    <x v="3"/>
    <x v="0"/>
    <x v="0"/>
    <n v="3007"/>
    <x v="386"/>
    <x v="2"/>
    <x v="250"/>
    <x v="1"/>
    <s v="Stipulated Price"/>
    <n v="613575.00011999998"/>
    <s v="C"/>
    <n v="12"/>
    <n v="80326.188769999993"/>
    <n v="6693.8490641666658"/>
    <n v="0.13091502873208685"/>
    <x v="1"/>
    <x v="3"/>
    <x v="1"/>
    <m/>
  </r>
  <r>
    <d v="2023-07-05T00:00:00"/>
    <x v="6"/>
    <x v="4"/>
    <x v="0"/>
    <x v="15"/>
    <n v="2921"/>
    <x v="387"/>
    <x v="1"/>
    <x v="207"/>
    <x v="4"/>
    <s v=" Stipulated Price "/>
    <n v="663503"/>
    <s v=" C "/>
    <n v="3"/>
    <n v="76219.350000000006"/>
    <n v="25406"/>
    <n v="0.1149"/>
    <x v="1"/>
    <x v="3"/>
    <x v="1"/>
    <m/>
  </r>
  <r>
    <d v="2024-08-02T00:00:00"/>
    <x v="7"/>
    <x v="0"/>
    <x v="0"/>
    <x v="0"/>
    <n v="3014"/>
    <x v="388"/>
    <x v="2"/>
    <x v="251"/>
    <x v="1"/>
    <s v="Stipulated Price"/>
    <n v="95692.66"/>
    <s v=" E "/>
    <n v="3"/>
    <n v="18340.919999999998"/>
    <n v="6114"/>
    <n v="0.19170000000000001"/>
    <x v="1"/>
    <x v="3"/>
    <x v="1"/>
    <m/>
  </r>
  <r>
    <d v="2024-08-29T00:00:00"/>
    <x v="7"/>
    <x v="0"/>
    <x v="0"/>
    <x v="3"/>
    <n v="0"/>
    <x v="305"/>
    <x v="2"/>
    <x v="252"/>
    <x v="1"/>
    <s v="Stipulated Price"/>
    <n v="179930.00284155001"/>
    <s v="D"/>
    <n v="6"/>
    <n v="38635.002806050004"/>
    <n v="6439.1671343416674"/>
    <n v="0.21472240424557079"/>
    <x v="1"/>
    <x v="3"/>
    <x v="1"/>
    <m/>
  </r>
  <r>
    <d v="2024-08-10T00:00:00"/>
    <x v="7"/>
    <x v="0"/>
    <x v="0"/>
    <x v="0"/>
    <s v="24-1315"/>
    <x v="389"/>
    <x v="3"/>
    <x v="1"/>
    <x v="2"/>
    <s v="Fixed Fee"/>
    <n v="1274304.6439536"/>
    <s v="C"/>
    <n v="24"/>
    <n v="166700.27835099999"/>
    <n v="6945.8449312916664"/>
    <n v="0.13081666078984319"/>
    <x v="0"/>
    <x v="3"/>
    <x v="0"/>
    <m/>
  </r>
  <r>
    <d v="2024-08-28T00:00:00"/>
    <x v="7"/>
    <x v="0"/>
    <x v="0"/>
    <x v="0"/>
    <n v="3008"/>
    <x v="390"/>
    <x v="3"/>
    <x v="7"/>
    <x v="1"/>
    <s v="Stipulated Price"/>
    <n v="97298.58920799999"/>
    <s v="E"/>
    <n v="3"/>
    <n v="23958.487754000002"/>
    <n v="7986.1625846666675"/>
    <n v="0.24623674350285554"/>
    <x v="0"/>
    <x v="3"/>
    <x v="0"/>
    <m/>
  </r>
  <r>
    <d v="2024-10-01T00:00:00"/>
    <x v="7"/>
    <x v="0"/>
    <x v="0"/>
    <x v="3"/>
    <n v="3018"/>
    <x v="391"/>
    <x v="1"/>
    <x v="253"/>
    <x v="1"/>
    <s v="Stipulated Price"/>
    <n v="556804.10703119996"/>
    <s v="C"/>
    <n v="12"/>
    <n v="70796.161221874994"/>
    <n v="5899.6801018229162"/>
    <n v="0.12714734020075755"/>
    <x v="1"/>
    <x v="3"/>
    <x v="1"/>
    <m/>
  </r>
  <r>
    <d v="2024-10-24T00:00:00"/>
    <x v="7"/>
    <x v="0"/>
    <x v="0"/>
    <x v="3"/>
    <n v="2693"/>
    <x v="392"/>
    <x v="3"/>
    <x v="254"/>
    <x v="2"/>
    <s v="Fixed Fee"/>
    <n v="303378.37312199996"/>
    <s v="D"/>
    <n v="7"/>
    <n v="61482.600052000002"/>
    <n v="8783.2285788571426"/>
    <n v="0.20265979878293933"/>
    <x v="1"/>
    <x v="3"/>
    <x v="1"/>
    <m/>
  </r>
  <r>
    <s v="October 21,2020"/>
    <x v="7"/>
    <x v="0"/>
    <x v="0"/>
    <x v="0"/>
    <n v="3019"/>
    <x v="393"/>
    <x v="3"/>
    <x v="53"/>
    <x v="1"/>
    <s v="Stipulated Price"/>
    <n v="7150"/>
    <s v="E"/>
    <n v="1"/>
    <n v="715"/>
    <n v="715"/>
    <n v="0.15"/>
    <x v="0"/>
    <x v="3"/>
    <x v="0"/>
    <m/>
  </r>
  <r>
    <d v="2024-10-07T00:00:00"/>
    <x v="7"/>
    <x v="0"/>
    <x v="0"/>
    <x v="0"/>
    <n v="3001"/>
    <x v="394"/>
    <x v="3"/>
    <x v="43"/>
    <x v="1"/>
    <s v="Stipulated Price"/>
    <n v="78547"/>
    <s v="E"/>
    <n v="4"/>
    <n v="9036.6141384000002"/>
    <n v="2259.1535346000001"/>
    <n v="9.3806393504009947E-2"/>
    <x v="1"/>
    <x v="3"/>
    <x v="1"/>
    <m/>
  </r>
  <r>
    <d v="2024-10-07T00:00:00"/>
    <x v="7"/>
    <x v="0"/>
    <x v="0"/>
    <x v="0"/>
    <n v="3001"/>
    <x v="395"/>
    <x v="3"/>
    <x v="43"/>
    <x v="1"/>
    <s v="Stipulated Price"/>
    <n v="28639"/>
    <s v="E"/>
    <n v="4"/>
    <n v="9036.6141384000002"/>
    <n v="2259.1535346000001"/>
    <n v="9.3806393504009947E-2"/>
    <x v="1"/>
    <x v="3"/>
    <x v="1"/>
    <m/>
  </r>
  <r>
    <d v="2024-10-07T00:00:00"/>
    <x v="7"/>
    <x v="0"/>
    <x v="0"/>
    <x v="0"/>
    <n v="3001"/>
    <x v="396"/>
    <x v="3"/>
    <x v="43"/>
    <x v="1"/>
    <s v="Stipulated Price"/>
    <n v="6695"/>
    <s v="E"/>
    <n v="1"/>
    <n v="670"/>
    <n v="670"/>
    <n v="0.1"/>
    <x v="0"/>
    <x v="3"/>
    <x v="0"/>
    <m/>
  </r>
  <r>
    <d v="2024-10-07T00:00:00"/>
    <x v="7"/>
    <x v="0"/>
    <x v="0"/>
    <x v="0"/>
    <n v="3001"/>
    <x v="397"/>
    <x v="3"/>
    <x v="43"/>
    <x v="1"/>
    <s v="Stipulated Price"/>
    <n v="5431.5"/>
    <s v="E"/>
    <n v="1"/>
    <n v="543"/>
    <n v="543"/>
    <n v="0.1"/>
    <x v="1"/>
    <x v="3"/>
    <x v="1"/>
    <m/>
  </r>
  <r>
    <d v="2024-11-07T00:00:00"/>
    <x v="7"/>
    <x v="0"/>
    <x v="0"/>
    <x v="0"/>
    <n v="3023"/>
    <x v="398"/>
    <x v="2"/>
    <x v="255"/>
    <x v="1"/>
    <s v="Stipulated Price"/>
    <n v="285935.2026182175"/>
    <s v="D"/>
    <n v="6"/>
    <n v="39099.174746062497"/>
    <n v="6516.5291243437496"/>
    <n v="0.13674138192165153"/>
    <x v="1"/>
    <x v="3"/>
    <x v="1"/>
    <m/>
  </r>
  <r>
    <d v="2024-11-19T00:00:00"/>
    <x v="7"/>
    <x v="0"/>
    <x v="0"/>
    <x v="0"/>
    <n v="3029"/>
    <x v="399"/>
    <x v="2"/>
    <x v="109"/>
    <x v="1"/>
    <s v="Stipulated Price"/>
    <n v="155999.99926834999"/>
    <s v="D"/>
    <n v="5"/>
    <n v="25169.672521249999"/>
    <n v="5033.9345042499999"/>
    <n v="0.1613440553801114"/>
    <x v="0"/>
    <x v="3"/>
    <x v="0"/>
    <m/>
  </r>
  <r>
    <d v="2024-11-12T00:00:00"/>
    <x v="7"/>
    <x v="0"/>
    <x v="0"/>
    <x v="0"/>
    <n v="3021"/>
    <x v="400"/>
    <x v="4"/>
    <x v="256"/>
    <x v="2"/>
    <s v="Fixed Fee"/>
    <n v="9398802.416762935"/>
    <s v="A"/>
    <n v="68"/>
    <n v="660338.70884201222"/>
    <n v="9710.8633653237084"/>
    <n v="7.0257749823986734E-2"/>
    <x v="0"/>
    <x v="3"/>
    <x v="0"/>
    <m/>
  </r>
  <r>
    <d v="2024-11-19T00:00:00"/>
    <x v="7"/>
    <x v="0"/>
    <x v="0"/>
    <x v="0"/>
    <n v="2998"/>
    <x v="401"/>
    <x v="4"/>
    <x v="257"/>
    <x v="2"/>
    <s v="Fixed Fee"/>
    <n v="9807366.7182234321"/>
    <s v="A"/>
    <n v="78"/>
    <n v="705137.67719616601"/>
    <n v="9040.2266307200771"/>
    <n v="7.1898777465506977E-2"/>
    <x v="1"/>
    <x v="3"/>
    <x v="1"/>
    <m/>
  </r>
  <r>
    <d v="2024-11-19T00:00:00"/>
    <x v="7"/>
    <x v="0"/>
    <x v="0"/>
    <x v="0"/>
    <n v="2998"/>
    <x v="402"/>
    <x v="4"/>
    <x v="258"/>
    <x v="2"/>
    <s v="Fixed Fee"/>
    <n v="5260729.9382227231"/>
    <s v="A"/>
    <n v="52"/>
    <n v="411061.43655044929"/>
    <n v="7905.0276259701786"/>
    <n v="7.8137718791419591E-2"/>
    <x v="1"/>
    <x v="3"/>
    <x v="1"/>
    <m/>
  </r>
  <r>
    <d v="2024-11-19T00:00:00"/>
    <x v="7"/>
    <x v="0"/>
    <x v="0"/>
    <x v="0"/>
    <n v="2998"/>
    <x v="403"/>
    <x v="4"/>
    <x v="257"/>
    <x v="2"/>
    <s v="Fixed Fee"/>
    <n v="9807732.5662020035"/>
    <s v="A"/>
    <n v="78"/>
    <n v="705154.62772863894"/>
    <n v="9040.4439452389615"/>
    <n v="7.1897823780252876E-2"/>
    <x v="1"/>
    <x v="3"/>
    <x v="1"/>
    <m/>
  </r>
  <r>
    <d v="2024-12-10T00:00:00"/>
    <x v="8"/>
    <x v="1"/>
    <x v="0"/>
    <x v="3"/>
    <n v="3027"/>
    <x v="404"/>
    <x v="2"/>
    <x v="259"/>
    <x v="1"/>
    <s v="Stipulated Price"/>
    <n v="309801.00248542504"/>
    <s v="D"/>
    <n v="7"/>
    <n v="41788.545723525"/>
    <n v="5969.7922462178567"/>
    <n v="0.13488834893454224"/>
    <x v="0"/>
    <x v="13"/>
    <x v="0"/>
    <m/>
  </r>
  <r>
    <d v="2024-12-20T00:00:00"/>
    <x v="8"/>
    <x v="1"/>
    <x v="0"/>
    <x v="0"/>
    <n v="3024"/>
    <x v="405"/>
    <x v="3"/>
    <x v="195"/>
    <x v="2"/>
    <s v="Fixed Fee"/>
    <n v="375592.08962879999"/>
    <s v="D"/>
    <n v="7"/>
    <n v="66156.629768300001"/>
    <n v="9450.9471097571422"/>
    <n v="0.17613957161260507"/>
    <x v="1"/>
    <x v="3"/>
    <x v="1"/>
    <m/>
  </r>
  <r>
    <d v="2024-12-20T00:00:00"/>
    <x v="8"/>
    <x v="1"/>
    <x v="0"/>
    <x v="3"/>
    <n v="3022"/>
    <x v="406"/>
    <x v="3"/>
    <x v="260"/>
    <x v="2"/>
    <s v="Fixed Fee"/>
    <n v="391471.279155"/>
    <s v="D"/>
    <n v="10"/>
    <n v="77735.077856500022"/>
    <n v="7773.507785650002"/>
    <n v="0.19857159897986137"/>
    <x v="0"/>
    <x v="3"/>
    <x v="0"/>
    <m/>
  </r>
  <r>
    <d v="2024-12-12T00:00:00"/>
    <x v="8"/>
    <x v="1"/>
    <x v="0"/>
    <x v="0"/>
    <n v="3028"/>
    <x v="407"/>
    <x v="4"/>
    <x v="261"/>
    <x v="2"/>
    <s v="Fixed Fee"/>
    <n v="888307.7198352"/>
    <s v="C"/>
    <n v="16"/>
    <n v="115324.85280700002"/>
    <n v="7207.8033004375011"/>
    <n v="0.12982534118739308"/>
    <x v="1"/>
    <x v="3"/>
    <x v="1"/>
    <m/>
  </r>
  <r>
    <d v="2025-01-17T00:00:00"/>
    <x v="8"/>
    <x v="1"/>
    <x v="0"/>
    <x v="2"/>
    <n v="3031"/>
    <x v="408"/>
    <x v="2"/>
    <x v="262"/>
    <x v="2"/>
    <s v="Fixed Fee"/>
    <n v="2697903.27"/>
    <s v="B"/>
    <n v="24"/>
    <n v="223523.95"/>
    <n v="9313.4979166666672"/>
    <n v="8.2900000000000001E-2"/>
    <x v="0"/>
    <x v="3"/>
    <x v="0"/>
    <m/>
  </r>
  <r>
    <d v="2025-01-20T00:00:00"/>
    <x v="8"/>
    <x v="1"/>
    <x v="0"/>
    <x v="0"/>
    <n v="3029"/>
    <x v="409"/>
    <x v="1"/>
    <x v="263"/>
    <x v="1"/>
    <s v="Stipulated Price"/>
    <n v="235259.99786319997"/>
    <s v="D"/>
    <n v="6"/>
    <n v="30642.318349499998"/>
    <n v="5107.0530582499996"/>
    <n v="0.13024874023555008"/>
    <x v="0"/>
    <x v="3"/>
    <x v="0"/>
    <m/>
  </r>
  <r>
    <d v="2025-02-20T00:00:00"/>
    <x v="8"/>
    <x v="1"/>
    <x v="0"/>
    <x v="3"/>
    <n v="3037"/>
    <x v="410"/>
    <x v="1"/>
    <x v="264"/>
    <x v="1"/>
    <s v="Stipulated Price"/>
    <n v="156848.62119675"/>
    <s v="D"/>
    <n v="5"/>
    <n v="22518.31130225"/>
    <n v="4503.6622604499998"/>
    <n v="0.1435671613204885"/>
    <x v="0"/>
    <x v="3"/>
    <x v="0"/>
    <m/>
  </r>
  <r>
    <d v="2025-02-07T00:00:00"/>
    <x v="8"/>
    <x v="1"/>
    <x v="0"/>
    <x v="0"/>
    <s v="25-1350"/>
    <x v="411"/>
    <x v="3"/>
    <x v="265"/>
    <x v="2"/>
    <s v="Fixed Fee"/>
    <n v="7300768.6076119905"/>
    <s v="A"/>
    <n v="40"/>
    <n v="452231.04911163647"/>
    <n v="11305.776227790911"/>
    <n v="6.1942936890251175E-2"/>
    <x v="1"/>
    <x v="3"/>
    <x v="1"/>
    <m/>
  </r>
  <r>
    <s v="February 21 2025"/>
    <x v="8"/>
    <x v="1"/>
    <x v="0"/>
    <x v="0"/>
    <n v="3035"/>
    <x v="412"/>
    <x v="3"/>
    <x v="266"/>
    <x v="1"/>
    <s v="Stipulated Price"/>
    <n v="77095.099119999999"/>
    <s v="E"/>
    <n v="4"/>
    <n v="17064.410520000001"/>
    <n v="4266.1026300000003"/>
    <n v="0.22134235139173916"/>
    <x v="1"/>
    <x v="3"/>
    <x v="1"/>
    <m/>
  </r>
  <r>
    <d v="2025-04-15T00:00:00"/>
    <x v="8"/>
    <x v="2"/>
    <x v="0"/>
    <x v="0"/>
    <n v="3045"/>
    <x v="413"/>
    <x v="4"/>
    <x v="267"/>
    <x v="2"/>
    <s v="Fixed Fee"/>
    <n v="23523374.60675355"/>
    <s v="A"/>
    <n v="80"/>
    <n v="1440450.8783237806"/>
    <n v="18005.635979047256"/>
    <n v="6.1234873924518797E-2"/>
    <x v="1"/>
    <x v="3"/>
    <x v="1"/>
    <m/>
  </r>
  <r>
    <d v="2025-04-30T00:00:00"/>
    <x v="8"/>
    <x v="2"/>
    <x v="0"/>
    <x v="2"/>
    <n v="3048"/>
    <x v="414"/>
    <x v="3"/>
    <x v="268"/>
    <x v="1"/>
    <s v="Stipulated Price"/>
    <n v="965399.9957760002"/>
    <s v="C"/>
    <n v="14"/>
    <n v="110466.44556250001"/>
    <n v="7890.4603973214298"/>
    <n v="0.1144255707953528"/>
    <x v="1"/>
    <x v="3"/>
    <x v="1"/>
    <m/>
  </r>
  <r>
    <s v=" April 10, 2025"/>
    <x v="8"/>
    <x v="2"/>
    <x v="0"/>
    <x v="2"/>
    <n v="3044"/>
    <x v="415"/>
    <x v="1"/>
    <x v="269"/>
    <x v="1"/>
    <s v="Stipulated Price"/>
    <n v="492100.84642816003"/>
    <s v="D"/>
    <n v="11"/>
    <n v="77543.857390360005"/>
    <n v="7049.4415809418188"/>
    <n v="0.15757716726805171"/>
    <x v="1"/>
    <x v="3"/>
    <x v="1"/>
    <m/>
  </r>
  <r>
    <d v="2025-05-22T00:00:00"/>
    <x v="8"/>
    <x v="2"/>
    <x v="0"/>
    <x v="0"/>
    <s v="25-1352"/>
    <x v="416"/>
    <x v="2"/>
    <x v="2"/>
    <x v="1"/>
    <s v="Stipulated Price"/>
    <n v="67373.899999999994"/>
    <s v="E"/>
    <n v="3"/>
    <n v="15024.9"/>
    <n v="5008.3"/>
    <n v="0.223"/>
    <x v="0"/>
    <x v="3"/>
    <x v="0"/>
    <m/>
  </r>
  <r>
    <s v="June 4 2025"/>
    <x v="8"/>
    <x v="3"/>
    <x v="0"/>
    <x v="0"/>
    <n v="3055"/>
    <x v="417"/>
    <x v="2"/>
    <x v="270"/>
    <x v="1"/>
    <s v="Stipulated Price"/>
    <n v="105470.002592"/>
    <s v="D"/>
    <n v="6"/>
    <n v="22438.050832000001"/>
    <n v="3739.675138666667"/>
    <n v="0.21274343681206989"/>
    <x v="0"/>
    <x v="3"/>
    <x v="0"/>
    <m/>
  </r>
  <r>
    <s v="June 5 2025"/>
    <x v="8"/>
    <x v="3"/>
    <x v="0"/>
    <x v="8"/>
    <n v="3053"/>
    <x v="418"/>
    <x v="1"/>
    <x v="271"/>
    <x v="1"/>
    <s v="Stipulated Price"/>
    <n v="1698769.90102656"/>
    <s v="C"/>
    <n v="30"/>
    <n v="247945.42762176"/>
    <n v="8264.8475873919997"/>
    <n v="0.14595586339970326"/>
    <x v="1"/>
    <x v="3"/>
    <x v="1"/>
    <m/>
  </r>
  <r>
    <d v="2025-06-13T00:00:00"/>
    <x v="8"/>
    <x v="3"/>
    <x v="0"/>
    <x v="3"/>
    <n v="3054"/>
    <x v="419"/>
    <x v="3"/>
    <x v="272"/>
    <x v="2"/>
    <s v="Fixed Fee"/>
    <n v="929842.82984775002"/>
    <s v="C"/>
    <n v="16"/>
    <n v="132247.17845925002"/>
    <n v="8265.4486537031262"/>
    <n v="0.14222530326001848"/>
    <x v="1"/>
    <x v="3"/>
    <x v="1"/>
    <m/>
  </r>
  <r>
    <d v="2025-07-17T00:00:00"/>
    <x v="8"/>
    <x v="3"/>
    <x v="0"/>
    <x v="3"/>
    <n v="2839"/>
    <x v="420"/>
    <x v="4"/>
    <x v="273"/>
    <x v="2"/>
    <s v="Fixed Fee"/>
    <n v="5233879.0849899165"/>
    <s v="A"/>
    <n v="48"/>
    <n v="494856.23316926591"/>
    <n v="10309.50485769304"/>
    <n v="9.4548656003240333E-2"/>
    <x v="0"/>
    <x v="3"/>
    <x v="0"/>
    <m/>
  </r>
  <r>
    <d v="2025-07-13T00:00:00"/>
    <x v="8"/>
    <x v="3"/>
    <x v="0"/>
    <x v="0"/>
    <n v="3041"/>
    <x v="421"/>
    <x v="3"/>
    <x v="274"/>
    <x v="2"/>
    <s v="Fixed Fee"/>
    <n v="762566.11698960001"/>
    <s v="C"/>
    <n v="13"/>
    <n v="95620.3649"/>
    <n v="7355.4126846153849"/>
    <n v="0.1253928843278308"/>
    <x v="0"/>
    <x v="3"/>
    <x v="1"/>
    <m/>
  </r>
  <r>
    <d v="2025-07-24T00:00:00"/>
    <x v="8"/>
    <x v="3"/>
    <x v="0"/>
    <x v="0"/>
    <n v="3060"/>
    <x v="422"/>
    <x v="3"/>
    <x v="275"/>
    <x v="2"/>
    <s v="Fixed Fee"/>
    <n v="622531.14322560001"/>
    <s v="C"/>
    <n v="11"/>
    <n v="79886.696121000001"/>
    <n v="7262.4269200909093"/>
    <n v="0.12832562192322278"/>
    <x v="2"/>
    <x v="3"/>
    <x v="1"/>
    <m/>
  </r>
  <r>
    <d v="2025-08-20T00:00:00"/>
    <x v="8"/>
    <x v="3"/>
    <x v="0"/>
    <x v="0"/>
    <n v="3063"/>
    <x v="423"/>
    <x v="2"/>
    <x v="276"/>
    <x v="1"/>
    <s v="Stipulated Price"/>
    <n v="107220.00475759999"/>
    <s v="D"/>
    <n v="6"/>
    <n v="21596.9589285"/>
    <n v="3599.49315475"/>
    <n v="0.2014265805837801"/>
    <x v="0"/>
    <x v="3"/>
    <x v="0"/>
    <m/>
  </r>
  <r>
    <d v="2025-08-07T00:00:00"/>
    <x v="8"/>
    <x v="3"/>
    <x v="0"/>
    <x v="3"/>
    <n v="3062"/>
    <x v="424"/>
    <x v="3"/>
    <x v="277"/>
    <x v="2"/>
    <s v="Fixed Fee"/>
    <n v="139180.20965838153"/>
    <s v="D"/>
    <n v="6"/>
    <n v="33354.668213315854"/>
    <n v="5559.1113688859759"/>
    <n v="0.23965094100077189"/>
    <x v="1"/>
    <x v="3"/>
    <x v="1"/>
    <m/>
  </r>
  <r>
    <d v="2025-08-15T00:00:00"/>
    <x v="8"/>
    <x v="3"/>
    <x v="0"/>
    <x v="0"/>
    <n v="3059"/>
    <x v="425"/>
    <x v="2"/>
    <x v="278"/>
    <x v="2"/>
    <s v="Fixed Fee"/>
    <n v="3160200"/>
    <s v="A"/>
    <n v="26"/>
    <n v="169000"/>
    <n v="6500"/>
    <n v="0.08"/>
    <x v="1"/>
    <x v="3"/>
    <x v="1"/>
    <m/>
  </r>
  <r>
    <d v="2025-08-08T00:00:00"/>
    <x v="8"/>
    <x v="3"/>
    <x v="0"/>
    <x v="0"/>
    <s v="25-1359"/>
    <x v="426"/>
    <x v="4"/>
    <x v="279"/>
    <x v="2"/>
    <s v="Fixed Fee"/>
    <n v="10197054.917884193"/>
    <s v="A"/>
    <n v="78"/>
    <n v="723498.87488646002"/>
    <n v="9275.6266011084626"/>
    <n v="7.0951748393307687E-2"/>
    <x v="2"/>
    <x v="3"/>
    <x v="1"/>
    <m/>
  </r>
  <r>
    <d v="2025-09-26T00:00:00"/>
    <x v="8"/>
    <x v="0"/>
    <x v="0"/>
    <x v="0"/>
    <n v="3066"/>
    <x v="427"/>
    <x v="3"/>
    <x v="280"/>
    <x v="2"/>
    <s v="Fixed Fee"/>
    <n v="201980.19576"/>
    <s v="D"/>
    <n v="6"/>
    <n v="39057.517850000004"/>
    <n v="6509.5863083333343"/>
    <n v="0.19337300720516939"/>
    <x v="0"/>
    <x v="3"/>
    <x v="0"/>
    <m/>
  </r>
  <r>
    <d v="2025-09-26T00:00:00"/>
    <x v="8"/>
    <x v="3"/>
    <x v="0"/>
    <x v="0"/>
    <n v="3066"/>
    <x v="428"/>
    <x v="3"/>
    <x v="280"/>
    <x v="2"/>
    <s v="Fixed Fee"/>
    <n v="37072.430640000006"/>
    <s v="E"/>
    <n v="1"/>
    <n v="6266.2874000000002"/>
    <n v="6266.2874000000002"/>
    <n v="0.16902823181059162"/>
    <x v="0"/>
    <x v="3"/>
    <x v="0"/>
    <m/>
  </r>
  <r>
    <d v="2025-10-22T00:00:00"/>
    <x v="8"/>
    <x v="0"/>
    <x v="0"/>
    <x v="0"/>
    <n v="3069"/>
    <x v="429"/>
    <x v="3"/>
    <x v="281"/>
    <x v="2"/>
    <s v="Fixed Fee"/>
    <n v="1433284.7403362002"/>
    <s v="C"/>
    <n v="26"/>
    <n v="243020.77395570002"/>
    <n v="9346.9528444500011"/>
    <n v="0.16955512545169185"/>
    <x v="1"/>
    <x v="3"/>
    <x v="1"/>
    <m/>
  </r>
  <r>
    <d v="2025-10-25T00:00:00"/>
    <x v="8"/>
    <x v="0"/>
    <x v="0"/>
    <x v="0"/>
    <n v="3074"/>
    <x v="430"/>
    <x v="4"/>
    <x v="282"/>
    <x v="2"/>
    <s v="Fixed Fee"/>
    <n v="32774597.774034686"/>
    <s v="A"/>
    <n v="96"/>
    <n v="1962679.5340346878"/>
    <n v="20444.578479527998"/>
    <n v="5.9884168451629298E-2"/>
    <x v="1"/>
    <x v="3"/>
    <x v="1"/>
    <m/>
  </r>
  <r>
    <d v="2025-10-30T00:00:00"/>
    <x v="8"/>
    <x v="0"/>
    <x v="0"/>
    <x v="16"/>
    <n v="3075"/>
    <x v="431"/>
    <x v="3"/>
    <x v="7"/>
    <x v="2"/>
    <s v="Fixed Fee"/>
    <n v="1004487.3999006001"/>
    <s v="C"/>
    <n v="20"/>
    <n v="143871.00615"/>
    <n v="7193.5503074999997"/>
    <n v="0.15755111192102617"/>
    <x v="1"/>
    <x v="3"/>
    <x v="1"/>
    <m/>
  </r>
  <r>
    <d v="2025-11-11T00:00:00"/>
    <x v="8"/>
    <x v="0"/>
    <x v="2"/>
    <x v="17"/>
    <n v="3077"/>
    <x v="432"/>
    <x v="2"/>
    <x v="283"/>
    <x v="1"/>
    <s v="Stipulated Price"/>
    <n v="4265482.0013007997"/>
    <s v="B"/>
    <n v="32"/>
    <n v="448357.35620657145"/>
    <n v="14011.167381455358"/>
    <n v="0.10511294059378062"/>
    <x v="1"/>
    <x v="3"/>
    <x v="1"/>
    <m/>
  </r>
  <r>
    <d v="2025-10-31T00:00:00"/>
    <x v="8"/>
    <x v="0"/>
    <x v="0"/>
    <x v="18"/>
    <n v="3078"/>
    <x v="433"/>
    <x v="2"/>
    <x v="41"/>
    <x v="1"/>
    <s v="Stipulated Price"/>
    <n v="510789.56939999998"/>
    <s v="C"/>
    <n v="8"/>
    <n v="74731.728399999993"/>
    <n v="9341.4660499999991"/>
    <n v="0.14630629299612319"/>
    <x v="1"/>
    <x v="3"/>
    <x v="1"/>
    <m/>
  </r>
  <r>
    <d v="2025-11-19T00:00:00"/>
    <x v="8"/>
    <x v="0"/>
    <x v="2"/>
    <x v="17"/>
    <n v="3081"/>
    <x v="434"/>
    <x v="1"/>
    <x v="238"/>
    <x v="1"/>
    <s v="Stipulated Price"/>
    <n v="162832.44600000003"/>
    <s v="D"/>
    <n v="5"/>
    <n v="29166"/>
    <n v="5833.2"/>
    <n v="0.17911663625073834"/>
    <x v="1"/>
    <x v="3"/>
    <x v="1"/>
    <m/>
  </r>
  <r>
    <d v="2025-11-24T00:00:00"/>
    <x v="8"/>
    <x v="0"/>
    <x v="0"/>
    <x v="0"/>
    <n v="3082"/>
    <x v="435"/>
    <x v="4"/>
    <x v="284"/>
    <x v="2"/>
    <s v="Fixed Fee"/>
    <n v="8038332.8524526274"/>
    <s v="A"/>
    <n v="60"/>
    <n v="602332.15274166944"/>
    <n v="10038.869212361158"/>
    <n v="7.4932472167768965E-2"/>
    <x v="2"/>
    <x v="3"/>
    <x v="1"/>
    <m/>
  </r>
  <r>
    <d v="2025-11-17T00:00:00"/>
    <x v="8"/>
    <x v="0"/>
    <x v="0"/>
    <x v="0"/>
    <s v="25-1363"/>
    <x v="436"/>
    <x v="3"/>
    <x v="285"/>
    <x v="2"/>
    <s v="Fixed Fee"/>
    <n v="2638646.3235833584"/>
    <s v="B"/>
    <n v="40"/>
    <n v="352985.46912631381"/>
    <n v="8824.6367281578459"/>
    <n v="0.13377521116469648"/>
    <x v="1"/>
    <x v="3"/>
    <x v="1"/>
    <m/>
  </r>
  <r>
    <d v="2025-11-06T00:00:00"/>
    <x v="8"/>
    <x v="0"/>
    <x v="0"/>
    <x v="0"/>
    <n v="3071"/>
    <x v="437"/>
    <x v="3"/>
    <x v="286"/>
    <x v="4"/>
    <s v=" Stipulated Price "/>
    <n v="965021.23"/>
    <s v=" C "/>
    <n v="16"/>
    <n v="117233.58"/>
    <n v="7327"/>
    <n v="0.1215"/>
    <x v="0"/>
    <x v="3"/>
    <x v="0"/>
    <m/>
  </r>
  <r>
    <d v="2025-12-03T00:00:00"/>
    <x v="9"/>
    <x v="1"/>
    <x v="0"/>
    <x v="3"/>
    <n v="3083"/>
    <x v="438"/>
    <x v="3"/>
    <x v="287"/>
    <x v="1"/>
    <s v="Stipulated Price"/>
    <n v="161879.99614"/>
    <s v="D"/>
    <n v="5"/>
    <n v="33592.14084"/>
    <n v="6718.4281680000004"/>
    <n v="0.20751261206448407"/>
    <x v="1"/>
    <x v="3"/>
    <x v="1"/>
    <m/>
  </r>
  <r>
    <d v="2025-12-04T00:00:00"/>
    <x v="9"/>
    <x v="1"/>
    <x v="0"/>
    <x v="0"/>
    <n v="3085"/>
    <x v="439"/>
    <x v="3"/>
    <x v="288"/>
    <x v="1"/>
    <s v="Stipulated Price"/>
    <n v="1457188.1781089827"/>
    <s v="C"/>
    <n v="20"/>
    <n v="220206.49419293046"/>
    <n v="11010.324709646524"/>
    <n v="0.15111740371013446"/>
    <x v="1"/>
    <x v="3"/>
    <x v="1"/>
    <m/>
  </r>
  <r>
    <d v="2025-12-19T00:00:00"/>
    <x v="9"/>
    <x v="1"/>
    <x v="0"/>
    <x v="3"/>
    <n v="3088"/>
    <x v="440"/>
    <x v="2"/>
    <x v="86"/>
    <x v="1"/>
    <s v="Stipulated Price"/>
    <n v="64396.240873868745"/>
    <s v="E"/>
    <n v="2"/>
    <n v="14814.83144435"/>
    <n v="7407.4157221750002"/>
    <n v="0.23005739532789543"/>
    <x v="1"/>
    <x v="3"/>
    <x v="1"/>
    <m/>
  </r>
  <r>
    <d v="2026-01-19T00:00:00"/>
    <x v="9"/>
    <x v="1"/>
    <x v="0"/>
    <x v="0"/>
    <n v="3086"/>
    <x v="441"/>
    <x v="3"/>
    <x v="289"/>
    <x v="2"/>
    <s v="Fixed Fee"/>
    <n v="1202154.4098649765"/>
    <s v="C"/>
    <n v="20"/>
    <n v="143236.25668382092"/>
    <n v="7161.812834191046"/>
    <n v="0.13106459624425434"/>
    <x v="0"/>
    <x v="3"/>
    <x v="0"/>
    <m/>
  </r>
  <r>
    <d v="2026-01-07T00:00:00"/>
    <x v="9"/>
    <x v="1"/>
    <x v="0"/>
    <x v="2"/>
    <n v="3090"/>
    <x v="442"/>
    <x v="2"/>
    <x v="290"/>
    <x v="1"/>
    <s v="Stipulated Price"/>
    <n v="294943.9987"/>
    <s v="D"/>
    <n v="6"/>
    <n v="41215.679499999998"/>
    <n v="6869.2799166666664"/>
    <n v="0.13974069545969031"/>
    <x v="1"/>
    <x v="3"/>
    <x v="1"/>
    <m/>
  </r>
  <r>
    <d v="2026-01-29T00:00:00"/>
    <x v="9"/>
    <x v="1"/>
    <x v="0"/>
    <x v="0"/>
    <n v="3092"/>
    <x v="443"/>
    <x v="4"/>
    <x v="291"/>
    <x v="2"/>
    <s v="Fixed Fee"/>
    <n v="14171304.288817581"/>
    <s v="A"/>
    <n v="75"/>
    <n v="923613.35321734648"/>
    <n v="12314.844709564619"/>
    <n v="7.4951136081248593E-2"/>
    <x v="2"/>
    <x v="3"/>
    <x v="1"/>
    <m/>
  </r>
  <r>
    <d v="2026-01-27T00:00:00"/>
    <x v="9"/>
    <x v="1"/>
    <x v="1"/>
    <x v="10"/>
    <n v="3100"/>
    <x v="444"/>
    <x v="2"/>
    <x v="292"/>
    <x v="1"/>
    <s v="Stipulated Price"/>
    <n v="1046918.99510752"/>
    <s v="C"/>
    <n v="16"/>
    <n v="183162.61720028502"/>
    <n v="11447.663575017814"/>
    <n v="0.17495395351144047"/>
    <x v="1"/>
    <x v="3"/>
    <x v="1"/>
    <m/>
  </r>
  <r>
    <d v="2026-01-29T00:00:00"/>
    <x v="9"/>
    <x v="1"/>
    <x v="0"/>
    <x v="3"/>
    <n v="3091"/>
    <x v="445"/>
    <x v="3"/>
    <x v="293"/>
    <x v="1"/>
    <s v="Stipulated Price"/>
    <n v="2386429.9989058063"/>
    <s v="B"/>
    <n v="38"/>
    <n v="280996.92598095752"/>
    <n v="7394.6559468673031"/>
    <n v="0.11774781833525241"/>
    <x v="1"/>
    <x v="3"/>
    <x v="1"/>
    <m/>
  </r>
  <r>
    <d v="2026-01-27T00:00:00"/>
    <x v="9"/>
    <x v="1"/>
    <x v="1"/>
    <x v="10"/>
    <n v="3100"/>
    <x v="444"/>
    <x v="2"/>
    <x v="292"/>
    <x v="1"/>
    <s v="Stipulated Price"/>
    <n v="1046918.99510752"/>
    <s v="C"/>
    <n v="16"/>
    <n v="183162.61720028502"/>
    <n v="11447.663575017814"/>
    <n v="0.17495395351144047"/>
    <x v="1"/>
    <x v="3"/>
    <x v="1"/>
    <m/>
  </r>
  <r>
    <d v="2026-02-09T00:00:00"/>
    <x v="9"/>
    <x v="2"/>
    <x v="0"/>
    <x v="0"/>
    <n v="3087"/>
    <x v="446"/>
    <x v="1"/>
    <x v="294"/>
    <x v="2"/>
    <s v="Fixed Fee"/>
    <n v="183293.99910358002"/>
    <s v="D"/>
    <n v="4"/>
    <n v="29148.702109680002"/>
    <n v="7287.1755274200004"/>
    <n v="0.15902703990438868"/>
    <x v="0"/>
    <x v="3"/>
    <x v="0"/>
    <m/>
  </r>
  <r>
    <d v="2026-02-02T00:00:00"/>
    <x v="9"/>
    <x v="2"/>
    <x v="0"/>
    <x v="19"/>
    <n v="3093"/>
    <x v="447"/>
    <x v="1"/>
    <x v="295"/>
    <x v="1"/>
    <s v="Stipulated Price"/>
    <n v="448670.00257224194"/>
    <s v="D"/>
    <n v="6"/>
    <n v="45722.864435997886"/>
    <n v="7620.477405999648"/>
    <n v="0.10190755828084559"/>
    <x v="1"/>
    <x v="3"/>
    <x v="1"/>
    <m/>
  </r>
  <r>
    <d v="2026-02-27T00:00:00"/>
    <x v="9"/>
    <x v="2"/>
    <x v="0"/>
    <x v="0"/>
    <n v="3107"/>
    <x v="448"/>
    <x v="3"/>
    <x v="296"/>
    <x v="2"/>
    <s v="Fixed Fee"/>
    <n v="1316576.0848864985"/>
    <s v="C"/>
    <n v="28"/>
    <n v="236333.82841893696"/>
    <n v="8440.4938721048911"/>
    <n v="0.17950639627432638"/>
    <x v="2"/>
    <x v="3"/>
    <x v="1"/>
    <m/>
  </r>
  <r>
    <s v=" February 27, 2026"/>
    <x v="9"/>
    <x v="2"/>
    <x v="0"/>
    <x v="3"/>
    <n v="3106"/>
    <x v="449"/>
    <x v="4"/>
    <x v="297"/>
    <x v="2"/>
    <s v="Fixed Fee"/>
    <n v="2750004.1219069967"/>
    <s v="B"/>
    <n v="30"/>
    <n v="236607.84548909339"/>
    <n v="7886.9281829697802"/>
    <n v="8.6039087579627749E-2"/>
    <x v="2"/>
    <x v="3"/>
    <x v="1"/>
    <m/>
  </r>
  <r>
    <d v="2026-03-11T00:00:00"/>
    <x v="9"/>
    <x v="2"/>
    <x v="0"/>
    <x v="0"/>
    <n v="3094"/>
    <x v="450"/>
    <x v="3"/>
    <x v="298"/>
    <x v="2"/>
    <s v="Fixed Fee"/>
    <n v="6896262.5420955103"/>
    <s v="A"/>
    <n v="40"/>
    <n v="625362.17134340468"/>
    <n v="15634.054283585117"/>
    <n v="9.9749448962933362E-2"/>
    <x v="2"/>
    <x v="3"/>
    <x v="1"/>
    <m/>
  </r>
  <r>
    <d v="2026-03-11T00:00:00"/>
    <x v="9"/>
    <x v="2"/>
    <x v="0"/>
    <x v="0"/>
    <n v="3095"/>
    <x v="451"/>
    <x v="3"/>
    <x v="299"/>
    <x v="2"/>
    <s v="Fixed Fee"/>
    <n v="4738767.0938645368"/>
    <s v="B"/>
    <n v="42"/>
    <n v="383575.60881186859"/>
    <n v="9132.7525907587751"/>
    <n v="8.9038596186621716E-2"/>
    <x v="2"/>
    <x v="3"/>
    <x v="1"/>
    <m/>
  </r>
  <r>
    <d v="2026-03-11T00:00:00"/>
    <x v="9"/>
    <x v="2"/>
    <x v="0"/>
    <x v="3"/>
    <n v="3105"/>
    <x v="452"/>
    <x v="3"/>
    <x v="300"/>
    <x v="1"/>
    <s v="Stipulated Price"/>
    <n v="4383237.0088144429"/>
    <s v="B"/>
    <n v="42"/>
    <n v="384684.44597698713"/>
    <n v="9159.1534756425499"/>
    <n v="8.7762638708198615E-2"/>
    <x v="1"/>
    <x v="3"/>
    <x v="1"/>
    <m/>
  </r>
  <r>
    <d v="2026-03-24T00:00:00"/>
    <x v="9"/>
    <x v="2"/>
    <x v="0"/>
    <x v="8"/>
    <n v="3108"/>
    <x v="453"/>
    <x v="1"/>
    <x v="301"/>
    <x v="1"/>
    <s v="Stipulated Price"/>
    <n v="1640749.9953475962"/>
    <s v="C"/>
    <n v="26"/>
    <n v="208250.72267594488"/>
    <n v="8009.6431798440335"/>
    <n v="0.1269241037735469"/>
    <x v="2"/>
    <x v="3"/>
    <x v="1"/>
    <m/>
  </r>
  <r>
    <d v="2026-04-01T00:00:00"/>
    <x v="9"/>
    <x v="2"/>
    <x v="0"/>
    <x v="0"/>
    <n v="3104"/>
    <x v="454"/>
    <x v="4"/>
    <x v="302"/>
    <x v="2"/>
    <s v="Fixed Fee"/>
    <n v="15111676.483680254"/>
    <s v="A"/>
    <n v="79"/>
    <n v="863052.14613802638"/>
    <n v="10924.710710607929"/>
    <n v="6.5678349396282032E-2"/>
    <x v="2"/>
    <x v="3"/>
    <x v="1"/>
    <m/>
  </r>
  <r>
    <d v="2026-04-01T00:00:00"/>
    <x v="9"/>
    <x v="2"/>
    <x v="0"/>
    <x v="0"/>
    <n v="3104"/>
    <x v="455"/>
    <x v="4"/>
    <x v="302"/>
    <x v="2"/>
    <s v="Fixed Fee"/>
    <n v="14842822.863444587"/>
    <s v="A"/>
    <n v="79"/>
    <n v="852216.40471352637"/>
    <n v="10787.549426753498"/>
    <n v="6.6028468737860724E-2"/>
    <x v="2"/>
    <x v="3"/>
    <x v="1"/>
    <m/>
  </r>
  <r>
    <d v="2026-04-13T00:00:00"/>
    <x v="9"/>
    <x v="2"/>
    <x v="0"/>
    <x v="0"/>
    <n v="3099"/>
    <x v="456"/>
    <x v="2"/>
    <x v="303"/>
    <x v="2"/>
    <s v="Fixed Fee"/>
    <n v="11358293.2555281"/>
    <s v="A"/>
    <n v="52"/>
    <n v="827528.68426281738"/>
    <n v="15914.013158900334"/>
    <n v="7.2856781000971052E-2"/>
    <x v="2"/>
    <x v="3"/>
    <x v="1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  <r>
    <m/>
    <x v="10"/>
    <x v="5"/>
    <x v="3"/>
    <x v="20"/>
    <m/>
    <x v="457"/>
    <x v="0"/>
    <x v="1"/>
    <x v="5"/>
    <m/>
    <m/>
    <m/>
    <m/>
    <m/>
    <m/>
    <m/>
    <x v="3"/>
    <x v="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9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N56:Q523" firstHeaderRow="0" firstDataRow="1" firstDataCol="1" rowPageCount="1" colPageCount="1"/>
  <pivotFields count="23">
    <pivotField showAll="0"/>
    <pivotField showAll="0"/>
    <pivotField axis="axisRow" showAll="0">
      <items count="9">
        <item x="1"/>
        <item x="2"/>
        <item x="3"/>
        <item x="0"/>
        <item x="5"/>
        <item m="1" x="7"/>
        <item m="1" x="6"/>
        <item x="4"/>
        <item t="default"/>
      </items>
    </pivotField>
    <pivotField showAll="0"/>
    <pivotField showAll="0"/>
    <pivotField showAll="0"/>
    <pivotField axis="axisRow" showAll="0">
      <items count="512">
        <item m="1" x="489"/>
        <item x="81"/>
        <item m="1" x="502"/>
        <item x="97"/>
        <item x="21"/>
        <item x="82"/>
        <item x="36"/>
        <item x="49"/>
        <item x="109"/>
        <item x="6"/>
        <item x="79"/>
        <item x="119"/>
        <item x="83"/>
        <item x="10"/>
        <item x="30"/>
        <item x="52"/>
        <item x="80"/>
        <item x="44"/>
        <item x="46"/>
        <item x="48"/>
        <item m="1" x="497"/>
        <item x="71"/>
        <item x="62"/>
        <item x="12"/>
        <item x="29"/>
        <item x="51"/>
        <item m="1" x="487"/>
        <item x="16"/>
        <item x="53"/>
        <item x="41"/>
        <item x="0"/>
        <item x="110"/>
        <item x="19"/>
        <item x="43"/>
        <item x="8"/>
        <item m="1" x="508"/>
        <item x="32"/>
        <item x="33"/>
        <item x="34"/>
        <item x="23"/>
        <item x="24"/>
        <item x="25"/>
        <item x="58"/>
        <item x="7"/>
        <item x="14"/>
        <item x="114"/>
        <item x="66"/>
        <item x="1"/>
        <item x="47"/>
        <item x="117"/>
        <item x="123"/>
        <item x="96"/>
        <item m="1" x="509"/>
        <item x="56"/>
        <item x="3"/>
        <item x="2"/>
        <item x="118"/>
        <item x="122"/>
        <item x="74"/>
        <item x="15"/>
        <item x="108"/>
        <item x="99"/>
        <item x="11"/>
        <item x="76"/>
        <item x="94"/>
        <item m="1" x="483"/>
        <item x="59"/>
        <item x="65"/>
        <item x="60"/>
        <item x="64"/>
        <item x="88"/>
        <item x="39"/>
        <item x="55"/>
        <item x="90"/>
        <item x="35"/>
        <item x="20"/>
        <item x="13"/>
        <item x="102"/>
        <item m="1" x="498"/>
        <item x="106"/>
        <item x="85"/>
        <item x="73"/>
        <item x="63"/>
        <item x="61"/>
        <item x="17"/>
        <item x="22"/>
        <item m="1" x="504"/>
        <item x="124"/>
        <item x="68"/>
        <item x="69"/>
        <item x="87"/>
        <item x="111"/>
        <item x="84"/>
        <item x="57"/>
        <item x="127"/>
        <item x="120"/>
        <item x="105"/>
        <item x="5"/>
        <item x="89"/>
        <item x="70"/>
        <item x="128"/>
        <item m="1" x="507"/>
        <item x="104"/>
        <item x="67"/>
        <item x="100"/>
        <item x="98"/>
        <item x="31"/>
        <item x="86"/>
        <item x="101"/>
        <item x="78"/>
        <item x="28"/>
        <item x="45"/>
        <item x="95"/>
        <item x="42"/>
        <item x="91"/>
        <item x="112"/>
        <item x="93"/>
        <item x="77"/>
        <item x="18"/>
        <item x="37"/>
        <item x="40"/>
        <item x="4"/>
        <item x="9"/>
        <item x="27"/>
        <item x="54"/>
        <item x="103"/>
        <item x="115"/>
        <item x="26"/>
        <item x="107"/>
        <item x="38"/>
        <item x="121"/>
        <item m="1" x="495"/>
        <item x="113"/>
        <item x="75"/>
        <item x="457"/>
        <item x="126"/>
        <item x="129"/>
        <item m="1" x="484"/>
        <item x="131"/>
        <item x="134"/>
        <item x="146"/>
        <item x="137"/>
        <item x="132"/>
        <item x="130"/>
        <item x="125"/>
        <item x="72"/>
        <item x="116"/>
        <item x="92"/>
        <item x="135"/>
        <item x="136"/>
        <item x="133"/>
        <item x="138"/>
        <item x="140"/>
        <item x="144"/>
        <item x="145"/>
        <item x="141"/>
        <item m="1" x="500"/>
        <item x="142"/>
        <item x="147"/>
        <item x="143"/>
        <item x="139"/>
        <item x="152"/>
        <item x="156"/>
        <item m="1" x="510"/>
        <item x="148"/>
        <item x="150"/>
        <item x="151"/>
        <item x="154"/>
        <item x="155"/>
        <item x="153"/>
        <item x="157"/>
        <item x="50"/>
        <item x="162"/>
        <item x="159"/>
        <item x="161"/>
        <item x="165"/>
        <item x="164"/>
        <item m="1" x="488"/>
        <item x="163"/>
        <item x="160"/>
        <item x="166"/>
        <item x="167"/>
        <item x="168"/>
        <item x="169"/>
        <item x="170"/>
        <item x="171"/>
        <item x="172"/>
        <item m="1" x="503"/>
        <item x="174"/>
        <item m="1" x="486"/>
        <item x="176"/>
        <item x="177"/>
        <item x="178"/>
        <item x="179"/>
        <item x="180"/>
        <item x="181"/>
        <item x="182"/>
        <item x="183"/>
        <item m="1" x="493"/>
        <item m="1" x="490"/>
        <item m="1" x="496"/>
        <item x="186"/>
        <item x="187"/>
        <item x="149"/>
        <item x="184"/>
        <item x="185"/>
        <item x="158"/>
        <item x="173"/>
        <item x="175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32"/>
        <item x="225"/>
        <item m="1" x="491"/>
        <item m="1" x="505"/>
        <item m="1" x="485"/>
        <item x="228"/>
        <item m="1" x="499"/>
        <item x="234"/>
        <item x="230"/>
        <item x="231"/>
        <item x="227"/>
        <item x="229"/>
        <item m="1" x="492"/>
        <item x="236"/>
        <item x="237"/>
        <item x="238"/>
        <item x="239"/>
        <item x="240"/>
        <item x="241"/>
        <item x="242"/>
        <item x="243"/>
        <item x="226"/>
        <item x="244"/>
        <item x="245"/>
        <item x="246"/>
        <item x="247"/>
        <item x="248"/>
        <item x="249"/>
        <item x="250"/>
        <item x="233"/>
        <item x="251"/>
        <item m="1" x="494"/>
        <item x="254"/>
        <item x="235"/>
        <item x="255"/>
        <item x="256"/>
        <item x="257"/>
        <item x="258"/>
        <item x="259"/>
        <item x="260"/>
        <item x="261"/>
        <item x="262"/>
        <item m="1" x="501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64"/>
        <item x="252"/>
        <item x="253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80"/>
        <item x="290"/>
        <item x="291"/>
        <item x="292"/>
        <item m="1" x="506"/>
        <item x="295"/>
        <item x="296"/>
        <item x="297"/>
        <item x="299"/>
        <item x="300"/>
        <item x="301"/>
        <item x="302"/>
        <item m="1" x="479"/>
        <item m="1" x="482"/>
        <item x="304"/>
        <item x="305"/>
        <item x="306"/>
        <item x="307"/>
        <item x="308"/>
        <item m="1" x="466"/>
        <item m="1" x="48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03"/>
        <item x="322"/>
        <item x="323"/>
        <item x="324"/>
        <item x="325"/>
        <item x="328"/>
        <item x="329"/>
        <item m="1" x="480"/>
        <item x="331"/>
        <item x="333"/>
        <item m="1" x="469"/>
        <item x="334"/>
        <item x="335"/>
        <item x="309"/>
        <item x="310"/>
        <item m="1" x="478"/>
        <item x="330"/>
        <item x="294"/>
        <item x="332"/>
        <item m="1" x="477"/>
        <item m="1" x="475"/>
        <item x="293"/>
        <item m="1" x="476"/>
        <item x="298"/>
        <item x="327"/>
        <item x="336"/>
        <item m="1" x="468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m="1" x="474"/>
        <item x="326"/>
        <item x="353"/>
        <item x="354"/>
        <item x="355"/>
        <item x="356"/>
        <item x="357"/>
        <item x="358"/>
        <item x="359"/>
        <item x="360"/>
        <item m="1" x="470"/>
        <item x="361"/>
        <item x="362"/>
        <item m="1" x="471"/>
        <item x="363"/>
        <item x="364"/>
        <item x="365"/>
        <item m="1" x="467"/>
        <item x="366"/>
        <item m="1" x="472"/>
        <item x="367"/>
        <item m="1" x="473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464"/>
        <item m="1" x="46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m="1" x="461"/>
        <item x="412"/>
        <item x="413"/>
        <item x="414"/>
        <item x="415"/>
        <item x="416"/>
        <item x="417"/>
        <item x="418"/>
        <item x="419"/>
        <item m="1" x="462"/>
        <item m="1" x="463"/>
        <item m="1" x="460"/>
        <item x="420"/>
        <item x="421"/>
        <item x="422"/>
        <item x="411"/>
        <item x="423"/>
        <item x="424"/>
        <item m="1" x="458"/>
        <item x="426"/>
        <item m="1" x="459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25"/>
        <item x="427"/>
        <item x="42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showAll="0">
      <items count="9">
        <item x="0"/>
        <item x="1"/>
        <item m="1" x="6"/>
        <item m="1" x="3"/>
        <item m="1" x="4"/>
        <item x="2"/>
        <item m="1" x="7"/>
        <item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2">
    <field x="2"/>
    <field x="6"/>
  </rowFields>
  <rowItems count="467">
    <i>
      <x/>
    </i>
    <i r="1">
      <x v="1"/>
    </i>
    <i r="1">
      <x v="5"/>
    </i>
    <i r="1">
      <x v="9"/>
    </i>
    <i r="1">
      <x v="10"/>
    </i>
    <i r="1">
      <x v="12"/>
    </i>
    <i r="1">
      <x v="13"/>
    </i>
    <i r="1">
      <x v="16"/>
    </i>
    <i r="1">
      <x v="21"/>
    </i>
    <i r="1">
      <x v="22"/>
    </i>
    <i r="1">
      <x v="23"/>
    </i>
    <i r="1">
      <x v="34"/>
    </i>
    <i r="1">
      <x v="43"/>
    </i>
    <i r="1">
      <x v="46"/>
    </i>
    <i r="1">
      <x v="47"/>
    </i>
    <i r="1">
      <x v="54"/>
    </i>
    <i r="1">
      <x v="55"/>
    </i>
    <i r="1">
      <x v="58"/>
    </i>
    <i r="1">
      <x v="62"/>
    </i>
    <i r="1">
      <x v="63"/>
    </i>
    <i r="1">
      <x v="67"/>
    </i>
    <i r="1">
      <x v="69"/>
    </i>
    <i r="1">
      <x v="76"/>
    </i>
    <i r="1">
      <x v="81"/>
    </i>
    <i r="1">
      <x v="82"/>
    </i>
    <i r="1">
      <x v="88"/>
    </i>
    <i r="1">
      <x v="89"/>
    </i>
    <i r="1">
      <x v="97"/>
    </i>
    <i r="1">
      <x v="99"/>
    </i>
    <i r="1">
      <x v="103"/>
    </i>
    <i r="1">
      <x v="109"/>
    </i>
    <i r="1">
      <x v="117"/>
    </i>
    <i r="1">
      <x v="121"/>
    </i>
    <i r="1">
      <x v="122"/>
    </i>
    <i r="1">
      <x v="133"/>
    </i>
    <i r="1">
      <x v="136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5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59"/>
    </i>
    <i r="1">
      <x v="160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0"/>
    </i>
    <i r="1">
      <x v="291"/>
    </i>
    <i r="1">
      <x v="292"/>
    </i>
    <i r="1">
      <x v="30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31"/>
    </i>
    <i r="1">
      <x v="332"/>
    </i>
    <i r="1">
      <x v="333"/>
    </i>
    <i r="1">
      <x v="334"/>
    </i>
    <i r="1">
      <x v="349"/>
    </i>
    <i r="1">
      <x v="372"/>
    </i>
    <i r="1">
      <x v="404"/>
    </i>
    <i r="1">
      <x v="406"/>
    </i>
    <i r="1">
      <x v="407"/>
    </i>
    <i r="1">
      <x v="408"/>
    </i>
    <i r="1">
      <x v="410"/>
    </i>
    <i r="1">
      <x v="412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60"/>
    </i>
    <i r="1">
      <x v="474"/>
    </i>
    <i r="1">
      <x v="487"/>
    </i>
    <i r="1">
      <x v="488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"/>
    </i>
    <i r="1">
      <x v="3"/>
    </i>
    <i r="1">
      <x v="4"/>
    </i>
    <i r="1">
      <x v="6"/>
    </i>
    <i r="1">
      <x v="14"/>
    </i>
    <i r="1">
      <x v="24"/>
    </i>
    <i r="1">
      <x v="27"/>
    </i>
    <i r="1">
      <x v="32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51"/>
    </i>
    <i r="1">
      <x v="59"/>
    </i>
    <i r="1">
      <x v="64"/>
    </i>
    <i r="1">
      <x v="70"/>
    </i>
    <i r="1">
      <x v="73"/>
    </i>
    <i r="1">
      <x v="74"/>
    </i>
    <i r="1">
      <x v="75"/>
    </i>
    <i r="1">
      <x v="80"/>
    </i>
    <i r="1">
      <x v="84"/>
    </i>
    <i r="1">
      <x v="85"/>
    </i>
    <i r="1">
      <x v="90"/>
    </i>
    <i r="1">
      <x v="92"/>
    </i>
    <i r="1">
      <x v="98"/>
    </i>
    <i r="1">
      <x v="105"/>
    </i>
    <i r="1">
      <x v="106"/>
    </i>
    <i r="1">
      <x v="107"/>
    </i>
    <i r="1">
      <x v="110"/>
    </i>
    <i r="1">
      <x v="112"/>
    </i>
    <i r="1">
      <x v="114"/>
    </i>
    <i r="1">
      <x v="116"/>
    </i>
    <i r="1">
      <x v="118"/>
    </i>
    <i r="1">
      <x v="119"/>
    </i>
    <i r="1">
      <x v="123"/>
    </i>
    <i r="1">
      <x v="127"/>
    </i>
    <i r="1">
      <x v="147"/>
    </i>
    <i r="1">
      <x v="161"/>
    </i>
    <i r="1">
      <x v="162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78"/>
    </i>
    <i r="1">
      <x v="179"/>
    </i>
    <i r="1">
      <x v="180"/>
    </i>
    <i r="1">
      <x v="181"/>
    </i>
    <i r="1">
      <x v="182"/>
    </i>
    <i r="1">
      <x v="184"/>
    </i>
    <i r="1">
      <x v="185"/>
    </i>
    <i r="1">
      <x v="190"/>
    </i>
    <i r="1">
      <x v="203"/>
    </i>
    <i r="1">
      <x v="206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3"/>
    </i>
    <i r="1">
      <x v="304"/>
    </i>
    <i r="1">
      <x v="335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62"/>
    </i>
    <i r="1">
      <x v="363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61"/>
    </i>
    <i r="1">
      <x v="462"/>
    </i>
    <i r="1">
      <x v="463"/>
    </i>
    <i r="1">
      <x v="464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>
      <x v="2"/>
    </i>
    <i r="1">
      <x v="7"/>
    </i>
    <i r="1">
      <x v="8"/>
    </i>
    <i r="1">
      <x v="17"/>
    </i>
    <i r="1">
      <x v="18"/>
    </i>
    <i r="1">
      <x v="19"/>
    </i>
    <i r="1">
      <x v="29"/>
    </i>
    <i r="1">
      <x v="31"/>
    </i>
    <i r="1">
      <x v="33"/>
    </i>
    <i r="1">
      <x v="48"/>
    </i>
    <i r="1">
      <x v="60"/>
    </i>
    <i r="1">
      <x v="61"/>
    </i>
    <i r="1">
      <x v="71"/>
    </i>
    <i r="1">
      <x v="77"/>
    </i>
    <i r="1">
      <x v="79"/>
    </i>
    <i r="1">
      <x v="80"/>
    </i>
    <i r="1">
      <x v="96"/>
    </i>
    <i r="1">
      <x v="99"/>
    </i>
    <i r="1">
      <x v="102"/>
    </i>
    <i r="1">
      <x v="104"/>
    </i>
    <i r="1">
      <x v="108"/>
    </i>
    <i r="1">
      <x v="111"/>
    </i>
    <i r="1">
      <x v="113"/>
    </i>
    <i r="1">
      <x v="120"/>
    </i>
    <i r="1">
      <x v="125"/>
    </i>
    <i r="1">
      <x v="128"/>
    </i>
    <i r="1">
      <x v="129"/>
    </i>
    <i r="1">
      <x v="171"/>
    </i>
    <i r="1">
      <x v="183"/>
    </i>
    <i r="1">
      <x v="186"/>
    </i>
    <i r="1">
      <x v="188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201"/>
    </i>
    <i r="1">
      <x v="204"/>
    </i>
    <i r="1">
      <x v="205"/>
    </i>
    <i r="1">
      <x v="207"/>
    </i>
    <i r="1">
      <x v="208"/>
    </i>
    <i r="1">
      <x v="246"/>
    </i>
    <i r="1">
      <x v="247"/>
    </i>
    <i r="1">
      <x v="251"/>
    </i>
    <i r="1">
      <x v="253"/>
    </i>
    <i r="1">
      <x v="254"/>
    </i>
    <i r="1">
      <x v="255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5"/>
    </i>
    <i r="1">
      <x v="279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6"/>
    </i>
    <i r="1">
      <x v="317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7"/>
    </i>
    <i r="1">
      <x v="358"/>
    </i>
    <i r="1">
      <x v="360"/>
    </i>
    <i r="1">
      <x v="361"/>
    </i>
    <i r="1">
      <x v="365"/>
    </i>
    <i r="1">
      <x v="367"/>
    </i>
    <i r="1">
      <x v="373"/>
    </i>
    <i r="1">
      <x v="374"/>
    </i>
    <i r="1">
      <x v="393"/>
    </i>
    <i r="1">
      <x v="431"/>
    </i>
    <i r="1">
      <x v="432"/>
    </i>
    <i r="1">
      <x v="465"/>
    </i>
    <i r="1">
      <x v="466"/>
    </i>
    <i r="1">
      <x v="467"/>
    </i>
    <i r="1">
      <x v="471"/>
    </i>
    <i r="1">
      <x v="472"/>
    </i>
    <i r="1">
      <x v="473"/>
    </i>
    <i r="1">
      <x v="475"/>
    </i>
    <i r="1">
      <x v="476"/>
    </i>
    <i r="1">
      <x v="478"/>
    </i>
    <i r="1">
      <x v="491"/>
    </i>
    <i r="1">
      <x v="493"/>
    </i>
    <i>
      <x v="3"/>
    </i>
    <i r="1">
      <x v="11"/>
    </i>
    <i r="1">
      <x v="15"/>
    </i>
    <i r="1">
      <x v="25"/>
    </i>
    <i r="1">
      <x v="28"/>
    </i>
    <i r="1">
      <x v="30"/>
    </i>
    <i r="1">
      <x v="42"/>
    </i>
    <i r="1">
      <x v="45"/>
    </i>
    <i r="1">
      <x v="49"/>
    </i>
    <i r="1">
      <x v="50"/>
    </i>
    <i r="1">
      <x v="53"/>
    </i>
    <i r="1">
      <x v="56"/>
    </i>
    <i r="1">
      <x v="57"/>
    </i>
    <i r="1">
      <x v="66"/>
    </i>
    <i r="1">
      <x v="68"/>
    </i>
    <i r="1">
      <x v="72"/>
    </i>
    <i r="1">
      <x v="83"/>
    </i>
    <i r="1">
      <x v="87"/>
    </i>
    <i r="1">
      <x v="91"/>
    </i>
    <i r="1">
      <x v="93"/>
    </i>
    <i r="1">
      <x v="94"/>
    </i>
    <i r="1">
      <x v="95"/>
    </i>
    <i r="1">
      <x v="100"/>
    </i>
    <i r="1">
      <x v="115"/>
    </i>
    <i r="1">
      <x v="124"/>
    </i>
    <i r="1">
      <x v="126"/>
    </i>
    <i r="1">
      <x v="130"/>
    </i>
    <i r="1">
      <x v="132"/>
    </i>
    <i r="1">
      <x v="135"/>
    </i>
    <i r="1">
      <x v="144"/>
    </i>
    <i r="1">
      <x v="146"/>
    </i>
    <i r="1">
      <x v="202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70"/>
    </i>
    <i r="1">
      <x v="271"/>
    </i>
    <i r="1">
      <x v="272"/>
    </i>
    <i r="1">
      <x v="273"/>
    </i>
    <i r="1">
      <x v="274"/>
    </i>
    <i r="1">
      <x v="276"/>
    </i>
    <i r="1">
      <x v="278"/>
    </i>
    <i r="1">
      <x v="280"/>
    </i>
    <i r="1">
      <x v="281"/>
    </i>
    <i r="1">
      <x v="282"/>
    </i>
    <i r="1">
      <x v="301"/>
    </i>
    <i r="1">
      <x v="302"/>
    </i>
    <i r="1">
      <x v="313"/>
    </i>
    <i r="1">
      <x v="314"/>
    </i>
    <i r="1">
      <x v="315"/>
    </i>
    <i r="1">
      <x v="318"/>
    </i>
    <i r="1">
      <x v="319"/>
    </i>
    <i r="1">
      <x v="320"/>
    </i>
    <i r="1">
      <x v="332"/>
    </i>
    <i r="1">
      <x v="366"/>
    </i>
    <i r="1">
      <x v="370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3"/>
    </i>
    <i r="1">
      <x v="434"/>
    </i>
    <i r="1">
      <x v="435"/>
    </i>
    <i r="1">
      <x v="436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9"/>
    </i>
    <i r="1">
      <x v="490"/>
    </i>
    <i r="1">
      <x v="492"/>
    </i>
    <i>
      <x v="4"/>
    </i>
    <i r="1">
      <x v="134"/>
    </i>
    <i>
      <x v="7"/>
    </i>
    <i r="1">
      <x v="433"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Sum of Estimate Price" fld="11" baseField="0" baseItem="0" numFmtId="165"/>
    <dataField name="Average of Cost per Week" fld="15" subtotal="average" baseField="0" baseItem="0" numFmtId="165"/>
    <dataField name="Average of Margin" fld="16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N41:P42" firstHeaderRow="0" firstDataRow="1" firstDataCol="0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9">
        <item h="1" x="0"/>
        <item x="1"/>
        <item h="1" m="1" x="6"/>
        <item h="1" m="1" x="3"/>
        <item h="1" m="1" x="4"/>
        <item h="1" x="2"/>
        <item h="1" m="1" x="7"/>
        <item h="1"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Sum of Estimate Price" fld="11" baseField="0" baseItem="0" numFmtId="165"/>
    <dataField name="Average of Margin" fld="16" subtotal="average" baseField="0" baseItem="0" numFmtId="171"/>
    <dataField name="Average of Cost per Week" fld="15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J7:J8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Min of Estimate Price" fld="11" subtotal="min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J22:J27" firstHeaderRow="1" firstDataRow="1" firstDataCol="1"/>
  <pivotFields count="23">
    <pivotField showAll="0"/>
    <pivotField showAll="0"/>
    <pivotField axis="axisRow" showAll="0">
      <items count="9">
        <item x="1"/>
        <item x="2"/>
        <item x="3"/>
        <item x="0"/>
        <item h="1" x="5"/>
        <item h="1" m="1" x="7"/>
        <item h="1" m="1" x="6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J10:J11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Max of Estimate Price" fld="11" subtotal="max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6:F9" firstHeaderRow="1" firstDataRow="3" firstDataCol="0" rowPageCount="3" colPageCount="1"/>
  <pivotFields count="23">
    <pivotField showAll="0"/>
    <pivotField axis="axisPage" showAll="0">
      <items count="13">
        <item x="0"/>
        <item x="1"/>
        <item x="2"/>
        <item m="1" x="11"/>
        <item x="10"/>
        <item x="3"/>
        <item x="4"/>
        <item x="5"/>
        <item x="6"/>
        <item x="7"/>
        <item x="8"/>
        <item x="9"/>
        <item t="default"/>
      </items>
    </pivotField>
    <pivotField showAll="0"/>
    <pivotField axis="axisPage" showAll="0">
      <items count="6">
        <item x="0"/>
        <item m="1" x="4"/>
        <item x="1"/>
        <item x="2"/>
        <item x="3"/>
        <item t="default"/>
      </items>
    </pivotField>
    <pivotField axis="axisPage" showAll="0">
      <items count="32">
        <item x="6"/>
        <item x="8"/>
        <item x="5"/>
        <item x="4"/>
        <item x="16"/>
        <item m="1" x="30"/>
        <item x="2"/>
        <item x="1"/>
        <item x="0"/>
        <item x="7"/>
        <item x="3"/>
        <item m="1" x="27"/>
        <item m="1" x="25"/>
        <item x="20"/>
        <item x="9"/>
        <item x="10"/>
        <item m="1" x="29"/>
        <item m="1" x="28"/>
        <item x="11"/>
        <item m="1" x="26"/>
        <item x="12"/>
        <item x="19"/>
        <item m="1" x="24"/>
        <item x="13"/>
        <item x="14"/>
        <item m="1" x="23"/>
        <item x="15"/>
        <item m="1" x="21"/>
        <item m="1" x="22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Col" showAll="0">
      <items count="9">
        <item x="0"/>
        <item x="1"/>
        <item h="1" m="1" x="6"/>
        <item h="1" m="1" x="3"/>
        <item h="1" m="1" x="4"/>
        <item h="1" x="2"/>
        <item h="1" m="1" x="7"/>
        <item h="1"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2">
    <field x="1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3">
    <pageField fld="1" hier="-1"/>
    <pageField fld="3" hier="-1"/>
    <pageField fld="4" hier="-1"/>
  </pageFields>
  <dataFields count="2">
    <dataField name="Average of Margin" fld="16" subtotal="average" baseField="0" baseItem="0" numFmtId="9"/>
    <dataField name="Average of Cost per Week" fld="15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J4:J5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Estimate Price" fld="11" subtotal="average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N30:P31" firstHeaderRow="0" firstDataRow="1" firstDataCol="0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9">
        <item x="0"/>
        <item h="1" x="1"/>
        <item h="1" m="1" x="6"/>
        <item h="1" m="1" x="3"/>
        <item h="1" m="1" x="4"/>
        <item h="1" x="2"/>
        <item h="1" m="1" x="7"/>
        <item h="1"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Sum of Estimate Price" fld="11" baseField="0" baseItem="0" numFmtId="165"/>
    <dataField name="Average of Margin" fld="16" subtotal="average" baseField="0" baseItem="0" numFmtId="171"/>
    <dataField name="Average of Cost per Week" fld="15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N19:P20" firstHeaderRow="0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e Price" fld="11" baseField="0" baseItem="0" numFmtId="165"/>
    <dataField name="Average of Margin" fld="16" subtotal="average" baseField="0" baseItem="0" numFmtId="171"/>
    <dataField name="Average of Cost per Week" fld="15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Estimate Status - Current Year" cacheId="1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10">
  <location ref="A3" firstHeaderRow="0" firstDataRow="0" firstDataCol="0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m="1" x="1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13"/>
        <item m="1" x="7"/>
        <item x="0"/>
        <item m="1" x="11"/>
        <item m="1" x="12"/>
        <item x="1"/>
        <item m="1" x="8"/>
        <item x="5"/>
        <item x="2"/>
        <item m="1" x="9"/>
        <item x="3"/>
        <item m="1" x="10"/>
        <item x="4"/>
        <item m="1" x="6"/>
        <item t="default"/>
      </items>
    </pivotField>
    <pivotField showAll="0"/>
    <pivotField dataField="1" numFmtId="166" showAll="0"/>
    <pivotField showAll="0"/>
    <pivotField showAll="0"/>
    <pivotField numFmtId="166" showAll="0"/>
    <pivotField numFmtId="166" showAll="0"/>
    <pivotField numFmtId="166"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9"/>
    <field x="17"/>
  </rowFields>
  <rowItems count="18">
    <i>
      <x v="2"/>
    </i>
    <i r="1">
      <x/>
    </i>
    <i>
      <x v="5"/>
    </i>
    <i r="1">
      <x/>
    </i>
    <i r="1">
      <x v="1"/>
    </i>
    <i r="1">
      <x v="2"/>
    </i>
    <i>
      <x v="7"/>
    </i>
    <i r="1">
      <x v="3"/>
    </i>
    <i>
      <x v="8"/>
    </i>
    <i r="1">
      <x/>
    </i>
    <i r="1">
      <x v="1"/>
    </i>
    <i r="1">
      <x v="2"/>
    </i>
    <i>
      <x v="10"/>
    </i>
    <i r="1">
      <x/>
    </i>
    <i>
      <x v="12"/>
    </i>
    <i r="1">
      <x/>
    </i>
    <i r="1">
      <x v="1"/>
    </i>
    <i t="grand">
      <x/>
    </i>
  </rowItems>
  <colItems count="1">
    <i/>
  </colItems>
  <dataFields count="1">
    <dataField name="Percent of Total" fld="11" showDataAs="percentOfTotal" baseField="0" baseItem="0" numFmtId="9"/>
  </dataFields>
  <formats count="3">
    <format dxfId="82">
      <pivotArea dataOnly="0" labelOnly="1" grandRow="1" outline="0" fieldPosition="0"/>
    </format>
    <format dxfId="81">
      <pivotArea outline="0" fieldPosition="0">
        <references count="1">
          <reference field="4294967294" count="1">
            <x v="0"/>
          </reference>
        </references>
      </pivotArea>
    </format>
    <format dxfId="80">
      <pivotArea outline="0" collapsedLevelsAreSubtotals="1" fieldPosition="0"/>
    </format>
  </formats>
  <chartFormats count="8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7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7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7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7" count="1" selected="0">
            <x v="0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7" count="1" selected="0">
            <x v="1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7" count="1" selected="0">
            <x v="2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Estimate Contract Type - Previous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D21:E28" firstHeaderRow="1" firstDataRow="1" firstDataCol="1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m="1" x="1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9"/>
        <item x="1"/>
        <item x="2"/>
        <item m="1" x="11"/>
        <item m="1" x="8"/>
        <item m="1" x="13"/>
        <item x="0"/>
        <item m="1" x="12"/>
        <item m="1" x="7"/>
        <item x="5"/>
        <item x="3"/>
        <item m="1" x="10"/>
        <item x="4"/>
        <item m="1"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7">
    <i>
      <x v="1"/>
    </i>
    <i>
      <x v="2"/>
    </i>
    <i>
      <x v="6"/>
    </i>
    <i>
      <x v="9"/>
    </i>
    <i>
      <x v="10"/>
    </i>
    <i>
      <x v="12"/>
    </i>
    <i t="grand">
      <x/>
    </i>
  </rowItems>
  <colItems count="1">
    <i/>
  </colItems>
  <dataFields count="1">
    <dataField name="Sum of Estimate Price" fld="11" showDataAs="percentOfTotal" baseField="0" baseItem="0" numFmtId="10"/>
  </dataFields>
  <formats count="3">
    <format dxfId="85">
      <pivotArea collapsedLevelsAreSubtotals="1" fieldPosition="0">
        <references count="1">
          <reference field="9" count="1">
            <x v="1"/>
          </reference>
        </references>
      </pivotArea>
    </format>
    <format dxfId="84">
      <pivotArea collapsedLevelsAreSubtotals="1" fieldPosition="0">
        <references count="1">
          <reference field="9" count="1">
            <x v="2"/>
          </reference>
        </references>
      </pivotArea>
    </format>
    <format dxfId="8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Estimate Contract Type - Current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D3:E9" firstHeaderRow="1" firstDataRow="1" firstDataCol="1" rowPageCount="1" colPageCount="1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m="1" x="1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9"/>
        <item x="1"/>
        <item x="2"/>
        <item m="1" x="11"/>
        <item m="1" x="8"/>
        <item m="1" x="13"/>
        <item x="0"/>
        <item m="1" x="12"/>
        <item m="1" x="7"/>
        <item x="5"/>
        <item x="3"/>
        <item m="1" x="10"/>
        <item x="4"/>
        <item m="1"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h="1" x="1"/>
        <item h="1" x="2"/>
        <item h="1" x="3"/>
        <item h="1" m="1" x="4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6">
    <i>
      <x v="1"/>
    </i>
    <i>
      <x v="2"/>
    </i>
    <i>
      <x v="6"/>
    </i>
    <i>
      <x v="10"/>
    </i>
    <i>
      <x v="12"/>
    </i>
    <i t="grand">
      <x/>
    </i>
  </rowItems>
  <colItems count="1">
    <i/>
  </colItems>
  <pageFields count="1">
    <pageField fld="17" hier="-1"/>
  </pageFields>
  <dataFields count="1">
    <dataField name="Sum of Estimate Price" fld="11" showDataAs="percentOfTotal" baseField="0" baseItem="0" numFmtId="10"/>
  </dataFields>
  <formats count="3">
    <format dxfId="88">
      <pivotArea collapsedLevelsAreSubtotals="1" fieldPosition="0">
        <references count="1">
          <reference field="9" count="1">
            <x v="1"/>
          </reference>
        </references>
      </pivotArea>
    </format>
    <format dxfId="87">
      <pivotArea collapsedLevelsAreSubtotals="1" fieldPosition="0">
        <references count="1">
          <reference field="9" count="1">
            <x v="2"/>
          </reference>
        </references>
      </pivotArea>
    </format>
    <format dxfId="86">
      <pivotArea grandRow="1"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Estimate Status - Previous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3">
  <location ref="A21:B39" firstHeaderRow="1" firstDataRow="1" firstDataCol="1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m="1" x="1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m="1" x="13"/>
        <item m="1" x="7"/>
        <item x="0"/>
        <item m="1" x="11"/>
        <item m="1" x="12"/>
        <item x="1"/>
        <item m="1" x="8"/>
        <item x="5"/>
        <item x="2"/>
        <item m="1" x="9"/>
        <item x="3"/>
        <item m="1" x="10"/>
        <item x="4"/>
        <item m="1" x="6"/>
        <item t="default"/>
      </items>
    </pivotField>
    <pivotField showAll="0"/>
    <pivotField dataField="1" numFmtId="166" showAll="0"/>
    <pivotField showAll="0"/>
    <pivotField showAll="0"/>
    <pivotField numFmtId="166" showAll="0"/>
    <pivotField numFmtId="166" showAll="0"/>
    <pivotField numFmtId="166"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9"/>
    <field x="17"/>
  </rowFields>
  <rowItems count="18">
    <i>
      <x v="2"/>
    </i>
    <i r="1">
      <x/>
    </i>
    <i>
      <x v="5"/>
    </i>
    <i r="1">
      <x/>
    </i>
    <i r="1">
      <x v="1"/>
    </i>
    <i r="1">
      <x v="2"/>
    </i>
    <i>
      <x v="7"/>
    </i>
    <i r="1">
      <x v="3"/>
    </i>
    <i>
      <x v="8"/>
    </i>
    <i r="1">
      <x/>
    </i>
    <i r="1">
      <x v="1"/>
    </i>
    <i r="1">
      <x v="2"/>
    </i>
    <i>
      <x v="10"/>
    </i>
    <i r="1">
      <x/>
    </i>
    <i>
      <x v="12"/>
    </i>
    <i r="1">
      <x/>
    </i>
    <i r="1">
      <x v="1"/>
    </i>
    <i t="grand">
      <x/>
    </i>
  </rowItems>
  <colItems count="1">
    <i/>
  </colItems>
  <dataFields count="1">
    <dataField name="Percent of Total" fld="11" showDataAs="percentOfTotal" baseField="0" baseItem="0" numFmtId="9"/>
  </dataFields>
  <formats count="3">
    <format dxfId="91">
      <pivotArea dataOnly="0" labelOnly="1" grandRow="1" outline="0" fieldPosition="0"/>
    </format>
    <format dxfId="90">
      <pivotArea outline="0" fieldPosition="0">
        <references count="1">
          <reference field="4294967294" count="1">
            <x v="0"/>
          </reference>
        </references>
      </pivotArea>
    </format>
    <format dxfId="89">
      <pivotArea outline="0" collapsedLevelsAreSubtotals="1" fieldPosition="0"/>
    </format>
  </formats>
  <chartFormats count="3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Successful Estimate by Location - Previous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D30:E40" firstHeaderRow="1" firstDataRow="1" firstDataCol="1" rowPageCount="1" colPageCount="1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m="1" x="11"/>
        <item h="1" x="10"/>
        <item t="default"/>
      </items>
    </pivotField>
    <pivotField showAll="0"/>
    <pivotField axis="axisRow" showAll="0">
      <items count="6">
        <item x="0"/>
        <item h="1" m="1" x="4"/>
        <item sd="0" x="1"/>
        <item sd="0" x="2"/>
        <item h="1" sd="0" x="3"/>
        <item t="default"/>
      </items>
    </pivotField>
    <pivotField axis="axisRow" showAll="0">
      <items count="32">
        <item x="6"/>
        <item x="8"/>
        <item x="5"/>
        <item x="4"/>
        <item x="16"/>
        <item m="1" x="30"/>
        <item x="2"/>
        <item x="1"/>
        <item x="0"/>
        <item x="7"/>
        <item x="3"/>
        <item m="1" x="27"/>
        <item m="1" x="25"/>
        <item x="20"/>
        <item x="9"/>
        <item x="10"/>
        <item m="1" x="29"/>
        <item m="1" x="28"/>
        <item x="11"/>
        <item m="1" x="26"/>
        <item x="12"/>
        <item x="19"/>
        <item m="1" x="24"/>
        <item x="13"/>
        <item x="14"/>
        <item m="1" x="23"/>
        <item x="15"/>
        <item m="1" x="21"/>
        <item m="1" x="22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x="0"/>
        <item h="1" x="1"/>
        <item h="1" m="1" x="4"/>
        <item h="1" x="2"/>
        <item h="1" m="1" x="3"/>
        <item h="1" m="1" x="6"/>
        <item h="1" m="1" x="7"/>
        <item h="1"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2">
    <field x="3"/>
    <field x="4"/>
  </rowFields>
  <rowItems count="10">
    <i>
      <x/>
    </i>
    <i r="1">
      <x v="1"/>
    </i>
    <i r="1">
      <x v="6"/>
    </i>
    <i r="1">
      <x v="8"/>
    </i>
    <i r="1">
      <x v="10"/>
    </i>
    <i r="1">
      <x v="18"/>
    </i>
    <i r="1">
      <x v="23"/>
    </i>
    <i>
      <x v="2"/>
    </i>
    <i>
      <x v="3"/>
    </i>
    <i t="grand">
      <x/>
    </i>
  </rowItems>
  <colItems count="1">
    <i/>
  </colItems>
  <pageFields count="1">
    <pageField fld="19" hier="-1"/>
  </pageFields>
  <dataFields count="1">
    <dataField name="Sum of Estimate Price" fld="11" showDataAs="percentOfTotal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Estimate Total by Location - Current Year" cacheId="10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17">
  <location ref="A7" firstHeaderRow="0" firstDataRow="0" firstDataCol="0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m="1" x="11"/>
        <item h="1" x="10"/>
        <item t="default"/>
      </items>
    </pivotField>
    <pivotField showAll="0"/>
    <pivotField axis="axisRow" showAll="0">
      <items count="6">
        <item x="0"/>
        <item sd="0" x="2"/>
        <item sd="0" x="1"/>
        <item x="3"/>
        <item m="1" x="4"/>
        <item t="default"/>
      </items>
    </pivotField>
    <pivotField axis="axisRow" showAll="0">
      <items count="32">
        <item sd="0" x="3"/>
        <item x="5"/>
        <item sd="0" x="2"/>
        <item sd="0" x="0"/>
        <item x="4"/>
        <item x="7"/>
        <item x="6"/>
        <item sd="0" x="16"/>
        <item sd="0" x="1"/>
        <item x="20"/>
        <item sd="0" m="1" x="30"/>
        <item sd="0" m="1" x="27"/>
        <item sd="0" x="8"/>
        <item m="1" x="25"/>
        <item x="9"/>
        <item x="10"/>
        <item m="1" x="29"/>
        <item m="1" x="28"/>
        <item x="11"/>
        <item m="1" x="26"/>
        <item x="12"/>
        <item x="19"/>
        <item m="1" x="24"/>
        <item x="13"/>
        <item x="14"/>
        <item m="1" x="23"/>
        <item x="15"/>
        <item m="1" x="21"/>
        <item m="1" x="22"/>
        <item x="17"/>
        <item x="18"/>
        <item t="default"/>
      </items>
    </pivotField>
    <pivotField showAll="0"/>
    <pivotField axis="axisRow" showAll="0">
      <items count="512">
        <item m="1" x="502"/>
        <item x="21"/>
        <item x="82"/>
        <item x="36"/>
        <item x="49"/>
        <item x="6"/>
        <item x="79"/>
        <item x="10"/>
        <item x="30"/>
        <item x="52"/>
        <item x="80"/>
        <item x="44"/>
        <item x="46"/>
        <item m="1" x="497"/>
        <item x="71"/>
        <item x="62"/>
        <item x="12"/>
        <item x="29"/>
        <item x="51"/>
        <item x="16"/>
        <item x="53"/>
        <item x="41"/>
        <item x="0"/>
        <item x="19"/>
        <item x="43"/>
        <item x="8"/>
        <item m="1" x="508"/>
        <item x="32"/>
        <item x="33"/>
        <item x="34"/>
        <item x="23"/>
        <item x="24"/>
        <item x="25"/>
        <item x="58"/>
        <item x="7"/>
        <item x="14"/>
        <item x="66"/>
        <item x="1"/>
        <item x="47"/>
        <item m="1" x="509"/>
        <item x="3"/>
        <item x="2"/>
        <item x="74"/>
        <item x="15"/>
        <item x="11"/>
        <item x="76"/>
        <item x="59"/>
        <item x="65"/>
        <item x="60"/>
        <item x="64"/>
        <item x="88"/>
        <item x="39"/>
        <item x="55"/>
        <item x="35"/>
        <item x="20"/>
        <item x="13"/>
        <item x="73"/>
        <item x="63"/>
        <item x="61"/>
        <item x="17"/>
        <item x="22"/>
        <item x="68"/>
        <item x="69"/>
        <item x="57"/>
        <item x="5"/>
        <item x="70"/>
        <item x="67"/>
        <item x="31"/>
        <item x="78"/>
        <item x="28"/>
        <item x="45"/>
        <item x="42"/>
        <item x="77"/>
        <item x="18"/>
        <item x="37"/>
        <item x="40"/>
        <item x="4"/>
        <item x="9"/>
        <item x="27"/>
        <item x="54"/>
        <item x="26"/>
        <item x="38"/>
        <item x="75"/>
        <item x="457"/>
        <item x="86"/>
        <item m="1" x="498"/>
        <item x="87"/>
        <item x="84"/>
        <item x="89"/>
        <item m="1" x="489"/>
        <item x="85"/>
        <item x="83"/>
        <item x="90"/>
        <item x="91"/>
        <item x="95"/>
        <item x="98"/>
        <item x="96"/>
        <item x="97"/>
        <item m="1" x="483"/>
        <item x="93"/>
        <item x="81"/>
        <item x="94"/>
        <item x="101"/>
        <item x="103"/>
        <item x="102"/>
        <item x="104"/>
        <item x="99"/>
        <item m="1" x="507"/>
        <item x="100"/>
        <item x="107"/>
        <item x="108"/>
        <item x="106"/>
        <item x="110"/>
        <item x="109"/>
        <item x="112"/>
        <item x="111"/>
        <item x="114"/>
        <item x="115"/>
        <item x="117"/>
        <item m="1" x="495"/>
        <item x="105"/>
        <item m="1" x="487"/>
        <item x="120"/>
        <item x="122"/>
        <item x="121"/>
        <item x="119"/>
        <item x="118"/>
        <item x="123"/>
        <item m="1" x="504"/>
        <item x="127"/>
        <item x="128"/>
        <item x="124"/>
        <item x="48"/>
        <item x="56"/>
        <item x="113"/>
        <item x="126"/>
        <item x="129"/>
        <item m="1" x="484"/>
        <item x="131"/>
        <item x="134"/>
        <item x="146"/>
        <item x="137"/>
        <item x="132"/>
        <item x="130"/>
        <item x="125"/>
        <item x="72"/>
        <item x="116"/>
        <item x="92"/>
        <item x="135"/>
        <item x="136"/>
        <item x="133"/>
        <item x="138"/>
        <item x="140"/>
        <item x="144"/>
        <item x="145"/>
        <item x="141"/>
        <item m="1" x="500"/>
        <item x="142"/>
        <item x="147"/>
        <item x="143"/>
        <item x="139"/>
        <item x="152"/>
        <item x="156"/>
        <item m="1" x="510"/>
        <item x="148"/>
        <item x="150"/>
        <item x="151"/>
        <item x="154"/>
        <item x="155"/>
        <item x="153"/>
        <item x="157"/>
        <item x="50"/>
        <item x="162"/>
        <item x="159"/>
        <item x="161"/>
        <item x="165"/>
        <item x="164"/>
        <item m="1" x="488"/>
        <item x="163"/>
        <item x="160"/>
        <item x="166"/>
        <item x="167"/>
        <item x="168"/>
        <item x="169"/>
        <item x="170"/>
        <item x="171"/>
        <item x="172"/>
        <item m="1" x="503"/>
        <item x="174"/>
        <item m="1" x="486"/>
        <item x="176"/>
        <item x="177"/>
        <item x="178"/>
        <item x="179"/>
        <item x="180"/>
        <item x="181"/>
        <item x="182"/>
        <item x="183"/>
        <item m="1" x="493"/>
        <item m="1" x="490"/>
        <item m="1" x="496"/>
        <item x="186"/>
        <item x="187"/>
        <item x="149"/>
        <item x="184"/>
        <item x="185"/>
        <item x="158"/>
        <item x="173"/>
        <item x="175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32"/>
        <item x="225"/>
        <item m="1" x="491"/>
        <item m="1" x="505"/>
        <item m="1" x="485"/>
        <item x="228"/>
        <item m="1" x="499"/>
        <item x="234"/>
        <item x="230"/>
        <item x="231"/>
        <item x="227"/>
        <item x="229"/>
        <item m="1" x="492"/>
        <item x="236"/>
        <item x="237"/>
        <item x="238"/>
        <item x="239"/>
        <item x="240"/>
        <item x="241"/>
        <item x="242"/>
        <item x="243"/>
        <item x="226"/>
        <item x="244"/>
        <item x="245"/>
        <item x="246"/>
        <item x="247"/>
        <item x="248"/>
        <item x="249"/>
        <item x="250"/>
        <item x="233"/>
        <item x="251"/>
        <item m="1" x="494"/>
        <item x="254"/>
        <item x="235"/>
        <item x="255"/>
        <item x="256"/>
        <item x="257"/>
        <item x="258"/>
        <item x="259"/>
        <item x="260"/>
        <item x="261"/>
        <item x="262"/>
        <item m="1" x="501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64"/>
        <item x="252"/>
        <item x="253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80"/>
        <item x="290"/>
        <item x="291"/>
        <item x="292"/>
        <item m="1" x="506"/>
        <item x="295"/>
        <item x="296"/>
        <item x="297"/>
        <item x="299"/>
        <item x="300"/>
        <item x="301"/>
        <item x="302"/>
        <item m="1" x="479"/>
        <item m="1" x="482"/>
        <item x="304"/>
        <item x="305"/>
        <item x="306"/>
        <item x="307"/>
        <item x="308"/>
        <item m="1" x="466"/>
        <item m="1" x="48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03"/>
        <item x="322"/>
        <item x="323"/>
        <item x="324"/>
        <item x="325"/>
        <item x="328"/>
        <item x="329"/>
        <item m="1" x="480"/>
        <item x="331"/>
        <item x="333"/>
        <item m="1" x="469"/>
        <item x="334"/>
        <item x="335"/>
        <item x="309"/>
        <item x="310"/>
        <item m="1" x="478"/>
        <item x="330"/>
        <item x="294"/>
        <item x="332"/>
        <item m="1" x="477"/>
        <item m="1" x="475"/>
        <item x="293"/>
        <item m="1" x="476"/>
        <item x="298"/>
        <item x="327"/>
        <item x="336"/>
        <item m="1" x="468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m="1" x="474"/>
        <item x="326"/>
        <item x="353"/>
        <item x="354"/>
        <item x="355"/>
        <item x="356"/>
        <item x="357"/>
        <item x="358"/>
        <item x="359"/>
        <item x="360"/>
        <item m="1" x="470"/>
        <item x="361"/>
        <item x="362"/>
        <item m="1" x="471"/>
        <item x="363"/>
        <item x="364"/>
        <item x="365"/>
        <item m="1" x="467"/>
        <item x="366"/>
        <item m="1" x="472"/>
        <item x="367"/>
        <item m="1" x="473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464"/>
        <item m="1" x="46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m="1" x="461"/>
        <item x="412"/>
        <item x="413"/>
        <item x="414"/>
        <item x="415"/>
        <item x="416"/>
        <item x="417"/>
        <item x="418"/>
        <item x="419"/>
        <item m="1" x="462"/>
        <item m="1" x="463"/>
        <item m="1" x="460"/>
        <item x="420"/>
        <item x="421"/>
        <item x="422"/>
        <item x="411"/>
        <item x="423"/>
        <item x="424"/>
        <item m="1" x="458"/>
        <item x="426"/>
        <item m="1" x="459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25"/>
        <item x="427"/>
        <item x="42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3">
    <field x="3"/>
    <field x="4"/>
    <field x="6"/>
  </rowFields>
  <rowItems count="29">
    <i>
      <x/>
    </i>
    <i r="1">
      <x/>
    </i>
    <i r="1">
      <x v="2"/>
    </i>
    <i r="1">
      <x v="3"/>
    </i>
    <i r="1">
      <x v="7"/>
    </i>
    <i r="1">
      <x v="12"/>
    </i>
    <i r="1">
      <x v="14"/>
    </i>
    <i r="2">
      <x v="193"/>
    </i>
    <i r="1">
      <x v="18"/>
    </i>
    <i r="2">
      <x v="370"/>
    </i>
    <i r="1">
      <x v="20"/>
    </i>
    <i r="2">
      <x v="345"/>
    </i>
    <i r="2">
      <x v="386"/>
    </i>
    <i r="1">
      <x v="21"/>
    </i>
    <i r="2">
      <x v="501"/>
    </i>
    <i r="1">
      <x v="23"/>
    </i>
    <i r="2">
      <x v="367"/>
    </i>
    <i r="1">
      <x v="24"/>
    </i>
    <i r="2">
      <x v="385"/>
    </i>
    <i r="1">
      <x v="26"/>
    </i>
    <i r="2">
      <x v="433"/>
    </i>
    <i r="1">
      <x v="30"/>
    </i>
    <i r="2">
      <x v="484"/>
    </i>
    <i>
      <x v="1"/>
    </i>
    <i>
      <x v="2"/>
    </i>
    <i>
      <x v="3"/>
    </i>
    <i r="1">
      <x v="9"/>
    </i>
    <i r="2">
      <x v="83"/>
    </i>
    <i t="grand">
      <x/>
    </i>
  </rowItems>
  <colItems count="1">
    <i/>
  </colItems>
  <dataFields count="1">
    <dataField name="Sum of Estimate Price" fld="11" showDataAs="percentOfTotal" baseField="0" baseItem="0" numFmtId="9"/>
  </dataFields>
  <formats count="1">
    <format dxfId="7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Successful Estimates by Location - Current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D8" firstHeaderRow="0" firstDataRow="0" firstDataCol="0" rowPageCount="1" colPageCount="1"/>
  <pivotFields count="23"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x="0"/>
        <item h="1" x="1"/>
        <item h="1" m="1" x="4"/>
        <item h="1" x="2"/>
        <item h="1" m="1" x="3"/>
        <item h="1" m="1" x="6"/>
        <item h="1" m="1" x="7"/>
        <item h="1" m="1" x="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pageFields count="1">
    <pageField fld="1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Estimate Total by Location - Previous Year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29:B58" firstHeaderRow="1" firstDataRow="1" firstDataCol="1"/>
  <pivotFields count="23">
    <pivotField showAll="0"/>
    <pivotField multipleItemSelectionAllowed="1" showAll="0">
      <items count="13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m="1" x="11"/>
        <item h="1" x="10"/>
        <item t="default"/>
      </items>
    </pivotField>
    <pivotField showAll="0"/>
    <pivotField axis="axisRow" showAll="0">
      <items count="6">
        <item x="0"/>
        <item sd="0" x="2"/>
        <item sd="0" x="1"/>
        <item x="3"/>
        <item m="1" x="4"/>
        <item t="default"/>
      </items>
    </pivotField>
    <pivotField axis="axisRow" showAll="0">
      <items count="32">
        <item sd="0" x="3"/>
        <item sd="0" x="5"/>
        <item sd="0" x="2"/>
        <item sd="0" x="0"/>
        <item x="4"/>
        <item sd="0" x="7"/>
        <item x="6"/>
        <item sd="0" x="16"/>
        <item x="1"/>
        <item x="20"/>
        <item sd="0" m="1" x="30"/>
        <item sd="0" m="1" x="27"/>
        <item sd="0" x="8"/>
        <item m="1" x="25"/>
        <item x="9"/>
        <item x="10"/>
        <item m="1" x="29"/>
        <item m="1" x="28"/>
        <item x="11"/>
        <item m="1" x="26"/>
        <item x="12"/>
        <item x="19"/>
        <item m="1" x="24"/>
        <item x="13"/>
        <item x="14"/>
        <item m="1" x="23"/>
        <item x="15"/>
        <item m="1" x="21"/>
        <item m="1" x="22"/>
        <item x="17"/>
        <item x="18"/>
        <item t="default"/>
      </items>
    </pivotField>
    <pivotField showAll="0"/>
    <pivotField axis="axisRow" showAll="0">
      <items count="512">
        <item m="1" x="502"/>
        <item x="21"/>
        <item x="82"/>
        <item x="36"/>
        <item x="49"/>
        <item x="6"/>
        <item x="79"/>
        <item x="10"/>
        <item x="30"/>
        <item x="52"/>
        <item x="80"/>
        <item x="44"/>
        <item x="46"/>
        <item m="1" x="497"/>
        <item x="71"/>
        <item x="62"/>
        <item x="12"/>
        <item x="29"/>
        <item x="51"/>
        <item x="16"/>
        <item x="53"/>
        <item x="41"/>
        <item x="0"/>
        <item x="19"/>
        <item x="43"/>
        <item x="8"/>
        <item m="1" x="508"/>
        <item x="32"/>
        <item x="33"/>
        <item x="34"/>
        <item x="23"/>
        <item x="24"/>
        <item x="25"/>
        <item x="58"/>
        <item x="7"/>
        <item x="14"/>
        <item x="66"/>
        <item x="1"/>
        <item x="47"/>
        <item m="1" x="509"/>
        <item x="3"/>
        <item x="2"/>
        <item x="74"/>
        <item x="15"/>
        <item x="11"/>
        <item x="76"/>
        <item x="59"/>
        <item x="65"/>
        <item x="60"/>
        <item x="64"/>
        <item x="88"/>
        <item x="39"/>
        <item x="55"/>
        <item x="35"/>
        <item x="20"/>
        <item x="13"/>
        <item x="73"/>
        <item x="63"/>
        <item x="61"/>
        <item x="17"/>
        <item x="22"/>
        <item x="68"/>
        <item x="69"/>
        <item x="57"/>
        <item x="5"/>
        <item x="70"/>
        <item x="67"/>
        <item x="31"/>
        <item x="78"/>
        <item x="28"/>
        <item x="45"/>
        <item x="42"/>
        <item x="77"/>
        <item x="18"/>
        <item x="37"/>
        <item x="40"/>
        <item x="4"/>
        <item x="9"/>
        <item x="27"/>
        <item x="54"/>
        <item x="26"/>
        <item x="38"/>
        <item x="75"/>
        <item x="457"/>
        <item x="86"/>
        <item m="1" x="498"/>
        <item x="87"/>
        <item x="84"/>
        <item x="89"/>
        <item m="1" x="489"/>
        <item x="85"/>
        <item x="83"/>
        <item x="90"/>
        <item x="91"/>
        <item x="95"/>
        <item x="98"/>
        <item x="96"/>
        <item x="97"/>
        <item m="1" x="483"/>
        <item x="93"/>
        <item x="81"/>
        <item x="94"/>
        <item x="101"/>
        <item x="103"/>
        <item x="102"/>
        <item x="104"/>
        <item x="99"/>
        <item m="1" x="507"/>
        <item x="100"/>
        <item x="107"/>
        <item x="108"/>
        <item x="106"/>
        <item x="110"/>
        <item x="109"/>
        <item x="112"/>
        <item x="111"/>
        <item x="114"/>
        <item x="115"/>
        <item x="117"/>
        <item m="1" x="495"/>
        <item x="105"/>
        <item m="1" x="487"/>
        <item x="120"/>
        <item x="122"/>
        <item x="121"/>
        <item x="119"/>
        <item x="118"/>
        <item x="123"/>
        <item m="1" x="504"/>
        <item x="127"/>
        <item x="128"/>
        <item x="124"/>
        <item x="48"/>
        <item x="56"/>
        <item x="113"/>
        <item x="126"/>
        <item x="129"/>
        <item m="1" x="484"/>
        <item x="131"/>
        <item x="134"/>
        <item x="146"/>
        <item x="137"/>
        <item x="132"/>
        <item x="130"/>
        <item x="125"/>
        <item x="72"/>
        <item x="116"/>
        <item x="92"/>
        <item x="135"/>
        <item x="136"/>
        <item x="133"/>
        <item x="138"/>
        <item x="140"/>
        <item x="144"/>
        <item x="145"/>
        <item x="141"/>
        <item m="1" x="500"/>
        <item x="142"/>
        <item x="147"/>
        <item x="143"/>
        <item x="139"/>
        <item x="152"/>
        <item x="156"/>
        <item m="1" x="510"/>
        <item x="148"/>
        <item x="150"/>
        <item x="151"/>
        <item x="154"/>
        <item x="155"/>
        <item x="153"/>
        <item x="157"/>
        <item x="50"/>
        <item x="162"/>
        <item x="159"/>
        <item x="161"/>
        <item x="165"/>
        <item x="164"/>
        <item m="1" x="488"/>
        <item x="163"/>
        <item x="160"/>
        <item x="166"/>
        <item x="167"/>
        <item x="168"/>
        <item x="169"/>
        <item x="170"/>
        <item x="171"/>
        <item x="172"/>
        <item m="1" x="503"/>
        <item x="174"/>
        <item m="1" x="486"/>
        <item x="176"/>
        <item x="177"/>
        <item x="178"/>
        <item x="179"/>
        <item x="180"/>
        <item x="181"/>
        <item x="182"/>
        <item x="183"/>
        <item m="1" x="493"/>
        <item m="1" x="490"/>
        <item m="1" x="496"/>
        <item x="186"/>
        <item x="187"/>
        <item x="149"/>
        <item x="184"/>
        <item x="185"/>
        <item x="158"/>
        <item x="173"/>
        <item x="175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32"/>
        <item x="225"/>
        <item m="1" x="491"/>
        <item m="1" x="505"/>
        <item m="1" x="485"/>
        <item x="228"/>
        <item m="1" x="499"/>
        <item x="234"/>
        <item x="230"/>
        <item x="231"/>
        <item x="227"/>
        <item x="229"/>
        <item m="1" x="492"/>
        <item x="236"/>
        <item x="237"/>
        <item x="238"/>
        <item x="239"/>
        <item x="240"/>
        <item x="241"/>
        <item x="242"/>
        <item x="243"/>
        <item x="226"/>
        <item x="244"/>
        <item x="245"/>
        <item x="246"/>
        <item x="247"/>
        <item x="248"/>
        <item x="249"/>
        <item x="250"/>
        <item x="233"/>
        <item x="251"/>
        <item m="1" x="494"/>
        <item x="254"/>
        <item x="235"/>
        <item x="255"/>
        <item x="256"/>
        <item x="257"/>
        <item x="258"/>
        <item x="259"/>
        <item x="260"/>
        <item x="261"/>
        <item x="262"/>
        <item m="1" x="501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64"/>
        <item x="252"/>
        <item x="253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80"/>
        <item x="290"/>
        <item x="291"/>
        <item x="292"/>
        <item m="1" x="506"/>
        <item x="295"/>
        <item x="296"/>
        <item x="297"/>
        <item x="299"/>
        <item x="300"/>
        <item x="301"/>
        <item x="302"/>
        <item m="1" x="479"/>
        <item m="1" x="482"/>
        <item x="304"/>
        <item x="305"/>
        <item x="306"/>
        <item x="307"/>
        <item x="308"/>
        <item m="1" x="466"/>
        <item m="1" x="48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03"/>
        <item x="322"/>
        <item x="323"/>
        <item x="324"/>
        <item x="325"/>
        <item x="328"/>
        <item x="329"/>
        <item m="1" x="480"/>
        <item x="331"/>
        <item x="333"/>
        <item m="1" x="469"/>
        <item x="334"/>
        <item x="335"/>
        <item x="309"/>
        <item x="310"/>
        <item m="1" x="478"/>
        <item x="330"/>
        <item x="294"/>
        <item x="332"/>
        <item m="1" x="477"/>
        <item m="1" x="475"/>
        <item x="293"/>
        <item m="1" x="476"/>
        <item x="298"/>
        <item x="327"/>
        <item x="336"/>
        <item m="1" x="468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m="1" x="474"/>
        <item x="326"/>
        <item x="353"/>
        <item x="354"/>
        <item x="355"/>
        <item x="356"/>
        <item x="357"/>
        <item x="358"/>
        <item x="359"/>
        <item x="360"/>
        <item m="1" x="470"/>
        <item x="361"/>
        <item x="362"/>
        <item m="1" x="471"/>
        <item x="363"/>
        <item x="364"/>
        <item x="365"/>
        <item m="1" x="467"/>
        <item x="366"/>
        <item m="1" x="472"/>
        <item x="367"/>
        <item m="1" x="473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464"/>
        <item m="1" x="46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m="1" x="461"/>
        <item x="412"/>
        <item x="413"/>
        <item x="414"/>
        <item x="415"/>
        <item x="416"/>
        <item x="417"/>
        <item x="418"/>
        <item x="419"/>
        <item m="1" x="462"/>
        <item m="1" x="463"/>
        <item m="1" x="460"/>
        <item x="420"/>
        <item x="421"/>
        <item x="422"/>
        <item x="411"/>
        <item x="423"/>
        <item x="424"/>
        <item m="1" x="458"/>
        <item x="426"/>
        <item m="1" x="459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25"/>
        <item x="427"/>
        <item x="42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t="default"/>
      </items>
    </pivotField>
    <pivotField showAll="0"/>
    <pivotField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3">
    <field x="3"/>
    <field x="4"/>
    <field x="6"/>
  </rowFields>
  <rowItems count="29">
    <i>
      <x/>
    </i>
    <i r="1">
      <x/>
    </i>
    <i r="1">
      <x v="2"/>
    </i>
    <i r="1">
      <x v="3"/>
    </i>
    <i r="1">
      <x v="7"/>
    </i>
    <i r="1">
      <x v="12"/>
    </i>
    <i r="1">
      <x v="14"/>
    </i>
    <i r="2">
      <x v="193"/>
    </i>
    <i r="1">
      <x v="18"/>
    </i>
    <i r="2">
      <x v="370"/>
    </i>
    <i r="1">
      <x v="20"/>
    </i>
    <i r="2">
      <x v="345"/>
    </i>
    <i r="2">
      <x v="386"/>
    </i>
    <i r="1">
      <x v="21"/>
    </i>
    <i r="2">
      <x v="501"/>
    </i>
    <i r="1">
      <x v="23"/>
    </i>
    <i r="2">
      <x v="367"/>
    </i>
    <i r="1">
      <x v="24"/>
    </i>
    <i r="2">
      <x v="385"/>
    </i>
    <i r="1">
      <x v="26"/>
    </i>
    <i r="2">
      <x v="433"/>
    </i>
    <i r="1">
      <x v="30"/>
    </i>
    <i r="2">
      <x v="484"/>
    </i>
    <i>
      <x v="1"/>
    </i>
    <i>
      <x v="2"/>
    </i>
    <i>
      <x v="3"/>
    </i>
    <i r="1">
      <x v="9"/>
    </i>
    <i r="2">
      <x v="83"/>
    </i>
    <i t="grand">
      <x/>
    </i>
  </rowItems>
  <colItems count="1">
    <i/>
  </colItems>
  <dataFields count="1">
    <dataField name="Sum of Estimate Price" fld="11" showDataAs="percentOfTotal" baseField="0" baseItem="0" numFmtId="9"/>
  </dataFields>
  <formats count="1">
    <format dxfId="79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3:F15" firstHeaderRow="0" firstDataRow="1" firstDataCol="1"/>
  <pivotFields count="23"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subtotalTop="0" showAll="0" defaultSubtotal="0"/>
    <pivotField axis="axisRow" multipleItemSelectionAllowed="1" showAll="0" defaultSubtotal="0">
      <items count="511">
        <item h="1" m="1" x="489"/>
        <item h="1" x="81"/>
        <item h="1" m="1" x="502"/>
        <item h="1" x="97"/>
        <item h="1" x="21"/>
        <item h="1" x="82"/>
        <item h="1" x="36"/>
        <item h="1" x="49"/>
        <item h="1" x="109"/>
        <item h="1" x="6"/>
        <item h="1" x="79"/>
        <item h="1" x="83"/>
        <item h="1" x="10"/>
        <item h="1" x="30"/>
        <item h="1" x="52"/>
        <item h="1" x="80"/>
        <item h="1" x="44"/>
        <item h="1" x="46"/>
        <item h="1" m="1" x="497"/>
        <item h="1" x="71"/>
        <item h="1" x="62"/>
        <item h="1" x="12"/>
        <item h="1" x="29"/>
        <item h="1" x="51"/>
        <item h="1" x="16"/>
        <item h="1" x="53"/>
        <item h="1" x="41"/>
        <item h="1" x="0"/>
        <item h="1" x="110"/>
        <item h="1" x="19"/>
        <item h="1" x="43"/>
        <item h="1" x="8"/>
        <item h="1" m="1" x="508"/>
        <item h="1" x="32"/>
        <item x="33"/>
        <item x="34"/>
        <item x="23"/>
        <item x="24"/>
        <item x="25"/>
        <item x="58"/>
        <item x="7"/>
        <item x="14"/>
        <item x="114"/>
        <item x="66"/>
        <item h="1" x="1"/>
        <item h="1" x="47"/>
        <item h="1" x="117"/>
        <item h="1" x="96"/>
        <item h="1" m="1" x="509"/>
        <item h="1" x="3"/>
        <item h="1" x="2"/>
        <item h="1" x="74"/>
        <item h="1" x="15"/>
        <item h="1" x="108"/>
        <item h="1" x="99"/>
        <item h="1" x="11"/>
        <item h="1" x="76"/>
        <item h="1" x="94"/>
        <item h="1" m="1" x="483"/>
        <item h="1" x="59"/>
        <item h="1" x="65"/>
        <item h="1" x="60"/>
        <item h="1" x="64"/>
        <item h="1" x="88"/>
        <item h="1" x="39"/>
        <item h="1" x="55"/>
        <item h="1" x="90"/>
        <item h="1" x="35"/>
        <item h="1" x="20"/>
        <item h="1" x="13"/>
        <item h="1" x="102"/>
        <item h="1" m="1" x="498"/>
        <item h="1" x="106"/>
        <item h="1" x="85"/>
        <item h="1" x="73"/>
        <item h="1" x="63"/>
        <item h="1" x="61"/>
        <item h="1" x="17"/>
        <item h="1" x="22"/>
        <item h="1" x="68"/>
        <item h="1" x="69"/>
        <item h="1" x="87"/>
        <item h="1" x="111"/>
        <item h="1" x="84"/>
        <item h="1" x="57"/>
        <item h="1" x="5"/>
        <item h="1" x="89"/>
        <item h="1" x="70"/>
        <item h="1" m="1" x="507"/>
        <item h="1" x="104"/>
        <item h="1" x="67"/>
        <item h="1" x="100"/>
        <item h="1" x="98"/>
        <item h="1" x="31"/>
        <item h="1" x="86"/>
        <item h="1" x="101"/>
        <item h="1" x="78"/>
        <item h="1" x="28"/>
        <item h="1" x="45"/>
        <item h="1" x="95"/>
        <item h="1" x="42"/>
        <item h="1" x="91"/>
        <item h="1" x="112"/>
        <item h="1" x="93"/>
        <item h="1" x="77"/>
        <item h="1" x="18"/>
        <item h="1" x="37"/>
        <item h="1" x="40"/>
        <item h="1" x="4"/>
        <item h="1" x="9"/>
        <item h="1" x="27"/>
        <item h="1" x="54"/>
        <item h="1" x="103"/>
        <item h="1" x="115"/>
        <item h="1" x="26"/>
        <item h="1" x="107"/>
        <item h="1" x="38"/>
        <item h="1" m="1" x="495"/>
        <item h="1" x="75"/>
        <item h="1" x="457"/>
        <item h="1" x="105"/>
        <item h="1" m="1" x="487"/>
        <item h="1" x="120"/>
        <item h="1" x="122"/>
        <item h="1" x="121"/>
        <item h="1" x="119"/>
        <item h="1" x="118"/>
        <item h="1" x="123"/>
        <item h="1" m="1" x="504"/>
        <item h="1" x="127"/>
        <item h="1" x="128"/>
        <item h="1" x="124"/>
        <item h="1" x="48"/>
        <item h="1" x="56"/>
        <item h="1" x="113"/>
        <item h="1" x="126"/>
        <item h="1" x="129"/>
        <item h="1" m="1" x="484"/>
        <item h="1" x="131"/>
        <item h="1" x="134"/>
        <item h="1" x="146"/>
        <item h="1" x="137"/>
        <item h="1" x="132"/>
        <item h="1" x="130"/>
        <item h="1" x="125"/>
        <item h="1" x="72"/>
        <item h="1" x="116"/>
        <item h="1" x="92"/>
        <item h="1" x="135"/>
        <item h="1" x="136"/>
        <item h="1" x="133"/>
        <item h="1" x="138"/>
        <item h="1" x="140"/>
        <item h="1" x="144"/>
        <item h="1" x="145"/>
        <item h="1" x="141"/>
        <item h="1" m="1" x="500"/>
        <item h="1" x="142"/>
        <item h="1" x="147"/>
        <item h="1" x="143"/>
        <item h="1" x="139"/>
        <item h="1" x="152"/>
        <item h="1" x="156"/>
        <item h="1" m="1" x="510"/>
        <item h="1" x="148"/>
        <item h="1" x="150"/>
        <item h="1" x="151"/>
        <item h="1" x="154"/>
        <item h="1" x="155"/>
        <item h="1" x="153"/>
        <item h="1" x="157"/>
        <item h="1" x="50"/>
        <item h="1" x="162"/>
        <item h="1" x="159"/>
        <item h="1" x="161"/>
        <item h="1" x="165"/>
        <item h="1" x="164"/>
        <item h="1" m="1" x="488"/>
        <item h="1" x="163"/>
        <item h="1" x="160"/>
        <item h="1" x="166"/>
        <item h="1" x="167"/>
        <item h="1" x="168"/>
        <item h="1" x="169"/>
        <item h="1" x="170"/>
        <item h="1" x="171"/>
        <item h="1" x="172"/>
        <item h="1" m="1" x="503"/>
        <item h="1" x="174"/>
        <item h="1" m="1" x="486"/>
        <item h="1" x="176"/>
        <item h="1" x="177"/>
        <item h="1" x="178"/>
        <item h="1" x="179"/>
        <item h="1" x="180"/>
        <item h="1" x="181"/>
        <item h="1" x="182"/>
        <item h="1" x="183"/>
        <item h="1" m="1" x="493"/>
        <item h="1" m="1" x="490"/>
        <item h="1" m="1" x="496"/>
        <item h="1" x="186"/>
        <item h="1" x="187"/>
        <item h="1" x="149"/>
        <item h="1" x="184"/>
        <item h="1" x="185"/>
        <item h="1" x="158"/>
        <item h="1" x="173"/>
        <item h="1" x="175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32"/>
        <item h="1" x="225"/>
        <item h="1" m="1" x="491"/>
        <item h="1" m="1" x="505"/>
        <item h="1" m="1" x="485"/>
        <item h="1" x="228"/>
        <item h="1" m="1" x="499"/>
        <item h="1" x="234"/>
        <item h="1" x="230"/>
        <item h="1" x="231"/>
        <item h="1" x="227"/>
        <item h="1" x="229"/>
        <item h="1" m="1" x="492"/>
        <item h="1" x="236"/>
        <item h="1" x="237"/>
        <item h="1" x="238"/>
        <item h="1" x="239"/>
        <item h="1" x="240"/>
        <item h="1" x="241"/>
        <item h="1" x="242"/>
        <item h="1" x="243"/>
        <item h="1" x="226"/>
        <item h="1" x="244"/>
        <item h="1" x="245"/>
        <item h="1" x="246"/>
        <item h="1" x="247"/>
        <item h="1" x="248"/>
        <item h="1" x="249"/>
        <item h="1" x="250"/>
        <item h="1" x="233"/>
        <item h="1" x="251"/>
        <item h="1" m="1" x="494"/>
        <item h="1" x="254"/>
        <item h="1" x="235"/>
        <item h="1" x="255"/>
        <item h="1" x="256"/>
        <item h="1" x="257"/>
        <item h="1" x="258"/>
        <item h="1" x="259"/>
        <item h="1" x="260"/>
        <item h="1" x="261"/>
        <item h="1" x="262"/>
        <item h="1" m="1" x="501"/>
        <item h="1" x="263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64"/>
        <item h="1" x="252"/>
        <item h="1" x="253"/>
        <item h="1" x="275"/>
        <item h="1" x="276"/>
        <item h="1" x="277"/>
        <item h="1" x="278"/>
        <item h="1" x="279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80"/>
        <item h="1" x="290"/>
        <item h="1" x="291"/>
        <item h="1" x="292"/>
        <item h="1" m="1" x="506"/>
        <item h="1" x="295"/>
        <item h="1" x="296"/>
        <item h="1" x="297"/>
        <item h="1" x="299"/>
        <item h="1" x="300"/>
        <item h="1" x="301"/>
        <item h="1" x="302"/>
        <item h="1" m="1" x="479"/>
        <item h="1" m="1" x="482"/>
        <item h="1" x="304"/>
        <item h="1" x="305"/>
        <item h="1" x="306"/>
        <item h="1" x="307"/>
        <item h="1" x="308"/>
        <item h="1" m="1" x="466"/>
        <item h="1" m="1" x="481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03"/>
        <item h="1" x="322"/>
        <item h="1" x="323"/>
        <item h="1" x="324"/>
        <item h="1" x="325"/>
        <item h="1" x="328"/>
        <item h="1" x="329"/>
        <item h="1" m="1" x="480"/>
        <item h="1" x="331"/>
        <item h="1" x="333"/>
        <item h="1" m="1" x="469"/>
        <item h="1" x="334"/>
        <item h="1" x="335"/>
        <item h="1" x="309"/>
        <item h="1" x="310"/>
        <item h="1" m="1" x="478"/>
        <item h="1" x="330"/>
        <item h="1" x="294"/>
        <item h="1" x="332"/>
        <item h="1" m="1" x="477"/>
        <item h="1" m="1" x="475"/>
        <item h="1" x="293"/>
        <item h="1" m="1" x="476"/>
        <item h="1" x="298"/>
        <item h="1" x="327"/>
        <item h="1" x="336"/>
        <item h="1" m="1" x="468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m="1" x="474"/>
        <item h="1" x="326"/>
        <item h="1" x="353"/>
        <item h="1" x="354"/>
        <item h="1" x="355"/>
        <item h="1" x="356"/>
        <item h="1" x="357"/>
        <item h="1" x="358"/>
        <item h="1" x="359"/>
        <item h="1" x="360"/>
        <item h="1" m="1" x="470"/>
        <item h="1" x="361"/>
        <item h="1" x="362"/>
        <item h="1" m="1" x="471"/>
        <item h="1" x="363"/>
        <item h="1" x="364"/>
        <item h="1" x="365"/>
        <item h="1" m="1" x="467"/>
        <item h="1" x="366"/>
        <item h="1" m="1" x="472"/>
        <item h="1" x="367"/>
        <item h="1" m="1" x="473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m="1" x="464"/>
        <item h="1" m="1" x="465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m="1" x="461"/>
        <item h="1" x="412"/>
        <item h="1" x="413"/>
        <item h="1" x="414"/>
        <item h="1" x="415"/>
        <item h="1" x="416"/>
        <item h="1" x="417"/>
        <item h="1" x="418"/>
        <item h="1" x="419"/>
        <item h="1" m="1" x="462"/>
        <item h="1" m="1" x="463"/>
        <item h="1" m="1" x="460"/>
        <item h="1" x="420"/>
        <item h="1" x="421"/>
        <item h="1" x="422"/>
        <item h="1" x="411"/>
        <item h="1" x="423"/>
        <item h="1" x="424"/>
        <item h="1" m="1" x="458"/>
        <item h="1" x="426"/>
        <item h="1" m="1" x="459"/>
        <item h="1" x="429"/>
        <item h="1" x="430"/>
        <item h="1" x="431"/>
        <item h="1" x="432"/>
        <item h="1" x="433"/>
        <item h="1" x="434"/>
        <item h="1" x="435"/>
        <item h="1" x="438"/>
        <item h="1" x="439"/>
        <item h="1" x="436"/>
        <item h="1" x="437"/>
        <item h="1" x="425"/>
        <item h="1" x="427"/>
        <item h="1" x="428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</items>
    </pivotField>
    <pivotField subtotalTop="0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ubtotalTop="0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Row" showAll="0" defaultSubtotal="0">
      <items count="8">
        <item x="0"/>
        <item x="1"/>
        <item m="1" x="3"/>
        <item m="1" x="4"/>
        <item x="2"/>
        <item m="1" x="6"/>
        <item m="1" x="7"/>
        <item m="1" x="5"/>
      </items>
    </pivotField>
    <pivotField subtotalTop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9"/>
    <field x="6"/>
  </rowFields>
  <rowItems count="12">
    <i>
      <x/>
    </i>
    <i r="1">
      <x v="36"/>
    </i>
    <i r="1">
      <x v="37"/>
    </i>
    <i>
      <x v="1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rea" fld="8" baseField="0" baseItem="0"/>
    <dataField name="Sum of Estimate Price" fld="11" baseField="0" baseItem="0" numFmtId="166"/>
    <dataField name="Sum of Schedule" fld="13" baseField="0" baseItem="0"/>
    <dataField name="Sum of Cost per Week" fld="15" baseField="0" baseItem="0" numFmtId="166"/>
    <dataField name="Sum of Margin" fld="16" baseField="0" baseItem="0" numFmtId="10"/>
  </dataFields>
  <formats count="2">
    <format dxfId="4">
      <pivotArea field="19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PivotTable2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7:F434" firstHeaderRow="0" firstDataRow="1" firstDataCol="1" rowPageCount="3" colPageCount="1"/>
  <pivotFields count="23">
    <pivotField subtotalTop="0" showAll="0" defaultSubtotal="0"/>
    <pivotField axis="axisPage" subtotalTop="0" showAll="0" defaultSubtotal="0">
      <items count="12">
        <item x="0"/>
        <item x="1"/>
        <item x="2"/>
        <item m="1" x="11"/>
        <item x="10"/>
        <item x="3"/>
        <item x="4"/>
        <item x="5"/>
        <item x="6"/>
        <item x="7"/>
        <item x="8"/>
        <item x="9"/>
      </items>
    </pivotField>
    <pivotField subtotalTop="0" showAll="0" defaultSubtotal="0"/>
    <pivotField axis="axisPage" subtotalTop="0" multipleItemSelectionAllowed="1" showAll="0" defaultSubtotal="0">
      <items count="5">
        <item x="0"/>
        <item h="1" m="1" x="4"/>
        <item h="1" x="1"/>
        <item h="1" x="2"/>
        <item h="1" x="3"/>
      </items>
    </pivotField>
    <pivotField subtotalTop="0" showAll="0" defaultSubtotal="0"/>
    <pivotField subtotalTop="0" showAll="0" defaultSubtotal="0"/>
    <pivotField axis="axisRow" subtotalTop="0" showAll="0" defaultSubtotal="0">
      <items count="511">
        <item m="1" x="489"/>
        <item x="81"/>
        <item m="1" x="502"/>
        <item x="97"/>
        <item x="21"/>
        <item x="82"/>
        <item x="36"/>
        <item x="49"/>
        <item x="109"/>
        <item x="6"/>
        <item x="79"/>
        <item x="83"/>
        <item x="10"/>
        <item x="30"/>
        <item x="52"/>
        <item x="80"/>
        <item x="44"/>
        <item x="46"/>
        <item m="1" x="497"/>
        <item x="71"/>
        <item x="62"/>
        <item x="12"/>
        <item x="29"/>
        <item x="51"/>
        <item x="16"/>
        <item x="53"/>
        <item x="41"/>
        <item x="0"/>
        <item x="110"/>
        <item x="19"/>
        <item x="43"/>
        <item x="8"/>
        <item m="1" x="508"/>
        <item x="32"/>
        <item x="33"/>
        <item x="34"/>
        <item x="23"/>
        <item x="24"/>
        <item x="25"/>
        <item n="CF Champlain - E010" x="58"/>
        <item n="CF Champlain C009B" x="7"/>
        <item x="14"/>
        <item x="114"/>
        <item n="CF Champlain-  E008A" x="66"/>
        <item x="1"/>
        <item x="47"/>
        <item x="117"/>
        <item x="96"/>
        <item m="1" x="509"/>
        <item x="3"/>
        <item x="2"/>
        <item x="74"/>
        <item x="15"/>
        <item x="108"/>
        <item x="99"/>
        <item x="11"/>
        <item x="76"/>
        <item x="94"/>
        <item m="1" x="483"/>
        <item x="59"/>
        <item x="65"/>
        <item x="60"/>
        <item x="64"/>
        <item x="88"/>
        <item x="39"/>
        <item x="55"/>
        <item x="90"/>
        <item x="35"/>
        <item x="20"/>
        <item x="13"/>
        <item x="102"/>
        <item m="1" x="498"/>
        <item x="106"/>
        <item x="85"/>
        <item x="73"/>
        <item x="63"/>
        <item x="61"/>
        <item x="17"/>
        <item x="22"/>
        <item x="68"/>
        <item x="69"/>
        <item x="87"/>
        <item x="111"/>
        <item x="84"/>
        <item x="57"/>
        <item x="5"/>
        <item x="89"/>
        <item x="70"/>
        <item m="1" x="507"/>
        <item n="Regent Mall - L003A" x="104"/>
        <item x="67"/>
        <item x="100"/>
        <item x="98"/>
        <item x="31"/>
        <item x="86"/>
        <item x="101"/>
        <item x="78"/>
        <item x="28"/>
        <item x="45"/>
        <item x="95"/>
        <item x="42"/>
        <item x="91"/>
        <item x="112"/>
        <item x="93"/>
        <item x="77"/>
        <item x="18"/>
        <item x="37"/>
        <item x="40"/>
        <item x="4"/>
        <item x="9"/>
        <item x="27"/>
        <item x="54"/>
        <item x="103"/>
        <item x="115"/>
        <item x="26"/>
        <item x="107"/>
        <item x="38"/>
        <item m="1" x="495"/>
        <item x="75"/>
        <item x="457"/>
        <item x="105"/>
        <item m="1" x="487"/>
        <item x="120"/>
        <item x="122"/>
        <item x="121"/>
        <item x="119"/>
        <item x="118"/>
        <item x="123"/>
        <item m="1" x="504"/>
        <item x="127"/>
        <item x="128"/>
        <item x="124"/>
        <item x="48"/>
        <item x="56"/>
        <item x="113"/>
        <item n="CF Champlain - N009B" x="126"/>
        <item x="129"/>
        <item m="1" x="484"/>
        <item x="131"/>
        <item x="134"/>
        <item x="146"/>
        <item x="137"/>
        <item x="132"/>
        <item x="130"/>
        <item x="125"/>
        <item x="72"/>
        <item x="116"/>
        <item x="92"/>
        <item x="135"/>
        <item x="136"/>
        <item x="133"/>
        <item x="138"/>
        <item x="140"/>
        <item x="144"/>
        <item x="145"/>
        <item x="141"/>
        <item m="1" x="500"/>
        <item x="142"/>
        <item x="147"/>
        <item x="143"/>
        <item x="139"/>
        <item x="152"/>
        <item x="156"/>
        <item m="1" x="510"/>
        <item x="148"/>
        <item x="150"/>
        <item x="151"/>
        <item x="154"/>
        <item x="155"/>
        <item x="153"/>
        <item x="157"/>
        <item x="50"/>
        <item x="162"/>
        <item x="159"/>
        <item x="161"/>
        <item x="165"/>
        <item x="164"/>
        <item m="1" x="488"/>
        <item x="163"/>
        <item x="160"/>
        <item x="166"/>
        <item x="167"/>
        <item x="168"/>
        <item x="169"/>
        <item x="170"/>
        <item x="171"/>
        <item x="172"/>
        <item m="1" x="503"/>
        <item x="174"/>
        <item m="1" x="486"/>
        <item x="176"/>
        <item x="177"/>
        <item x="178"/>
        <item x="179"/>
        <item x="180"/>
        <item x="181"/>
        <item x="182"/>
        <item x="183"/>
        <item m="1" x="493"/>
        <item m="1" x="490"/>
        <item m="1" x="496"/>
        <item x="186"/>
        <item x="187"/>
        <item x="149"/>
        <item x="184"/>
        <item x="185"/>
        <item x="158"/>
        <item x="173"/>
        <item x="175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32"/>
        <item x="225"/>
        <item m="1" x="491"/>
        <item m="1" x="505"/>
        <item m="1" x="485"/>
        <item x="228"/>
        <item m="1" x="499"/>
        <item x="234"/>
        <item x="230"/>
        <item x="231"/>
        <item x="227"/>
        <item x="229"/>
        <item m="1" x="492"/>
        <item x="236"/>
        <item x="237"/>
        <item x="238"/>
        <item x="239"/>
        <item x="240"/>
        <item x="241"/>
        <item x="242"/>
        <item x="243"/>
        <item x="226"/>
        <item x="244"/>
        <item x="245"/>
        <item x="246"/>
        <item x="247"/>
        <item x="248"/>
        <item x="249"/>
        <item x="250"/>
        <item x="233"/>
        <item x="251"/>
        <item m="1" x="494"/>
        <item x="254"/>
        <item x="235"/>
        <item x="255"/>
        <item x="256"/>
        <item x="257"/>
        <item x="258"/>
        <item x="259"/>
        <item x="260"/>
        <item x="261"/>
        <item x="262"/>
        <item m="1" x="501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64"/>
        <item x="252"/>
        <item x="253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80"/>
        <item x="290"/>
        <item x="291"/>
        <item x="292"/>
        <item m="1" x="506"/>
        <item x="295"/>
        <item x="296"/>
        <item x="297"/>
        <item x="299"/>
        <item x="300"/>
        <item x="301"/>
        <item x="302"/>
        <item m="1" x="479"/>
        <item m="1" x="482"/>
        <item x="304"/>
        <item x="305"/>
        <item x="306"/>
        <item x="307"/>
        <item x="308"/>
        <item m="1" x="466"/>
        <item m="1" x="481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03"/>
        <item x="322"/>
        <item x="323"/>
        <item x="324"/>
        <item x="325"/>
        <item x="328"/>
        <item x="329"/>
        <item m="1" x="480"/>
        <item x="331"/>
        <item x="333"/>
        <item m="1" x="469"/>
        <item x="334"/>
        <item x="335"/>
        <item x="309"/>
        <item x="310"/>
        <item m="1" x="478"/>
        <item x="330"/>
        <item x="294"/>
        <item x="332"/>
        <item m="1" x="477"/>
        <item m="1" x="475"/>
        <item x="293"/>
        <item m="1" x="476"/>
        <item x="298"/>
        <item x="327"/>
        <item x="336"/>
        <item m="1" x="468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m="1" x="474"/>
        <item x="326"/>
        <item x="353"/>
        <item x="354"/>
        <item x="355"/>
        <item x="356"/>
        <item x="357"/>
        <item x="358"/>
        <item x="359"/>
        <item x="360"/>
        <item m="1" x="470"/>
        <item x="361"/>
        <item x="362"/>
        <item m="1" x="471"/>
        <item x="363"/>
        <item x="364"/>
        <item x="365"/>
        <item m="1" x="467"/>
        <item x="366"/>
        <item m="1" x="472"/>
        <item x="367"/>
        <item m="1" x="473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m="1" x="464"/>
        <item m="1" x="465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m="1" x="461"/>
        <item x="412"/>
        <item x="413"/>
        <item x="414"/>
        <item x="415"/>
        <item x="416"/>
        <item x="417"/>
        <item x="418"/>
        <item x="419"/>
        <item m="1" x="462"/>
        <item m="1" x="463"/>
        <item m="1" x="460"/>
        <item x="420"/>
        <item x="421"/>
        <item x="422"/>
        <item x="411"/>
        <item x="423"/>
        <item x="424"/>
        <item m="1" x="458"/>
        <item x="426"/>
        <item m="1" x="459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25"/>
        <item x="427"/>
        <item x="42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</items>
    </pivotField>
    <pivotField subtotalTop="0" showAll="0" defaultSubtotal="0"/>
    <pivotField axis="axisPage" dataField="1" subtotalTop="0" showAll="0" defaultSubtotal="0">
      <items count="320">
        <item x="53"/>
        <item x="72"/>
        <item x="76"/>
        <item x="75"/>
        <item x="28"/>
        <item x="49"/>
        <item x="29"/>
        <item x="21"/>
        <item x="44"/>
        <item x="12"/>
        <item x="27"/>
        <item x="33"/>
        <item x="8"/>
        <item x="55"/>
        <item x="43"/>
        <item x="23"/>
        <item x="16"/>
        <item x="3"/>
        <item x="15"/>
        <item x="48"/>
        <item x="17"/>
        <item x="5"/>
        <item x="35"/>
        <item x="11"/>
        <item x="31"/>
        <item x="56"/>
        <item x="58"/>
        <item x="47"/>
        <item x="22"/>
        <item x="39"/>
        <item x="14"/>
        <item x="26"/>
        <item x="80"/>
        <item x="7"/>
        <item x="79"/>
        <item x="62"/>
        <item x="6"/>
        <item x="71"/>
        <item x="67"/>
        <item x="54"/>
        <item x="36"/>
        <item x="18"/>
        <item x="74"/>
        <item x="34"/>
        <item x="64"/>
        <item x="59"/>
        <item x="51"/>
        <item x="61"/>
        <item x="2"/>
        <item x="70"/>
        <item x="69"/>
        <item x="0"/>
        <item x="42"/>
        <item x="45"/>
        <item x="30"/>
        <item x="65"/>
        <item x="77"/>
        <item x="32"/>
        <item x="13"/>
        <item x="52"/>
        <item x="68"/>
        <item x="41"/>
        <item x="25"/>
        <item x="10"/>
        <item x="4"/>
        <item x="19"/>
        <item x="66"/>
        <item x="20"/>
        <item x="63"/>
        <item x="37"/>
        <item x="78"/>
        <item x="57"/>
        <item x="9"/>
        <item x="38"/>
        <item x="50"/>
        <item x="46"/>
        <item x="60"/>
        <item x="1"/>
        <item x="83"/>
        <item x="81"/>
        <item x="82"/>
        <item x="85"/>
        <item x="86"/>
        <item x="40"/>
        <item x="73"/>
        <item x="84"/>
        <item x="88"/>
        <item x="87"/>
        <item x="91"/>
        <item x="92"/>
        <item x="89"/>
        <item x="93"/>
        <item x="90"/>
        <item x="94"/>
        <item x="95"/>
        <item x="97"/>
        <item x="98"/>
        <item x="96"/>
        <item x="24"/>
        <item x="99"/>
        <item x="101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319"/>
        <item x="120"/>
        <item x="121"/>
        <item m="1" x="318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9"/>
        <item x="136"/>
        <item x="140"/>
        <item x="137"/>
        <item x="138"/>
        <item x="141"/>
        <item x="142"/>
        <item x="143"/>
        <item x="144"/>
        <item x="145"/>
        <item x="146"/>
        <item x="122"/>
        <item x="13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m="1" x="31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m="1" x="310"/>
        <item x="192"/>
        <item x="193"/>
        <item m="1" x="316"/>
        <item x="195"/>
        <item x="196"/>
        <item x="197"/>
        <item x="198"/>
        <item x="199"/>
        <item x="200"/>
        <item x="201"/>
        <item x="202"/>
        <item x="203"/>
        <item x="204"/>
        <item x="207"/>
        <item x="208"/>
        <item x="209"/>
        <item x="210"/>
        <item x="212"/>
        <item m="1" x="312"/>
        <item x="213"/>
        <item x="214"/>
        <item x="211"/>
        <item m="1" x="311"/>
        <item x="167"/>
        <item x="206"/>
        <item x="215"/>
        <item x="216"/>
        <item x="217"/>
        <item x="218"/>
        <item x="219"/>
        <item x="220"/>
        <item x="221"/>
        <item x="222"/>
        <item x="223"/>
        <item x="224"/>
        <item m="1" x="309"/>
        <item x="194"/>
        <item x="205"/>
        <item x="226"/>
        <item x="227"/>
        <item x="228"/>
        <item x="229"/>
        <item x="230"/>
        <item m="1" x="313"/>
        <item x="231"/>
        <item x="232"/>
        <item m="1" x="314"/>
        <item x="233"/>
        <item x="234"/>
        <item x="235"/>
        <item x="236"/>
        <item m="1" x="315"/>
        <item x="237"/>
        <item x="238"/>
        <item x="239"/>
        <item x="240"/>
        <item x="241"/>
        <item x="225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m="1" x="307"/>
        <item m="1" x="308"/>
        <item x="253"/>
        <item x="254"/>
        <item x="255"/>
        <item x="256"/>
        <item x="257"/>
        <item x="258"/>
        <item x="259"/>
        <item x="260"/>
        <item x="261"/>
        <item m="1" x="306"/>
        <item x="263"/>
        <item x="264"/>
        <item x="266"/>
        <item x="262"/>
        <item x="267"/>
        <item x="268"/>
        <item x="269"/>
        <item x="270"/>
        <item x="271"/>
        <item x="272"/>
        <item x="265"/>
        <item x="273"/>
        <item x="274"/>
        <item x="275"/>
        <item x="276"/>
        <item x="277"/>
        <item x="278"/>
        <item m="1" x="304"/>
        <item x="280"/>
        <item x="281"/>
        <item x="282"/>
        <item x="283"/>
        <item m="1" x="305"/>
        <item x="287"/>
        <item x="288"/>
        <item x="285"/>
        <item x="286"/>
        <item x="279"/>
        <item x="284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</items>
    </pivotField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dataField="1" subtotalTop="0" showAll="0" defaultSubtotal="0"/>
    <pivotField subtotalTop="0" showAll="0" defaultSubtotal="0"/>
    <pivotField dataField="1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8">
        <item x="0"/>
        <item x="1"/>
        <item m="1" x="3"/>
        <item m="1" x="4"/>
        <item x="2"/>
        <item m="1" x="6"/>
        <item m="1" x="7"/>
        <item m="1" x="5"/>
      </items>
    </pivotField>
    <pivotField subtotalTop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2">
    <field x="19"/>
    <field x="6"/>
  </rowFields>
  <rowItems count="427">
    <i>
      <x/>
    </i>
    <i r="1">
      <x v="1"/>
    </i>
    <i r="1">
      <x v="4"/>
    </i>
    <i r="1">
      <x v="5"/>
    </i>
    <i r="1">
      <x v="6"/>
    </i>
    <i r="1">
      <x v="13"/>
    </i>
    <i r="1">
      <x v="14"/>
    </i>
    <i r="1">
      <x v="17"/>
    </i>
    <i r="1">
      <x v="19"/>
    </i>
    <i r="1">
      <x v="20"/>
    </i>
    <i r="1">
      <x v="27"/>
    </i>
    <i r="1">
      <x v="36"/>
    </i>
    <i r="1">
      <x v="37"/>
    </i>
    <i r="1">
      <x v="46"/>
    </i>
    <i r="1">
      <x v="50"/>
    </i>
    <i r="1">
      <x v="51"/>
    </i>
    <i r="1">
      <x v="53"/>
    </i>
    <i r="1">
      <x v="56"/>
    </i>
    <i r="1">
      <x v="60"/>
    </i>
    <i r="1">
      <x v="63"/>
    </i>
    <i r="1">
      <x v="64"/>
    </i>
    <i r="1">
      <x v="65"/>
    </i>
    <i r="1">
      <x v="66"/>
    </i>
    <i r="1">
      <x v="68"/>
    </i>
    <i r="1">
      <x v="72"/>
    </i>
    <i r="1">
      <x v="73"/>
    </i>
    <i r="1">
      <x v="78"/>
    </i>
    <i r="1">
      <x v="84"/>
    </i>
    <i r="1">
      <x v="86"/>
    </i>
    <i r="1">
      <x v="95"/>
    </i>
    <i r="1">
      <x v="99"/>
    </i>
    <i r="1">
      <x v="104"/>
    </i>
    <i r="1">
      <x v="109"/>
    </i>
    <i r="1">
      <x v="112"/>
    </i>
    <i r="1">
      <x v="116"/>
    </i>
    <i r="1">
      <x v="126"/>
    </i>
    <i r="1">
      <x v="129"/>
    </i>
    <i r="1">
      <x v="132"/>
    </i>
    <i r="1">
      <x v="133"/>
    </i>
    <i r="1">
      <x v="134"/>
    </i>
    <i r="1">
      <x v="135"/>
    </i>
    <i r="1">
      <x v="139"/>
    </i>
    <i r="1">
      <x v="141"/>
    </i>
    <i r="1">
      <x v="157"/>
    </i>
    <i r="1">
      <x v="158"/>
    </i>
    <i r="1">
      <x v="159"/>
    </i>
    <i r="1">
      <x v="167"/>
    </i>
    <i r="1">
      <x v="171"/>
    </i>
    <i r="1">
      <x v="172"/>
    </i>
    <i r="1">
      <x v="175"/>
    </i>
    <i r="1">
      <x v="179"/>
    </i>
    <i r="1">
      <x v="180"/>
    </i>
    <i r="1">
      <x v="181"/>
    </i>
    <i r="1">
      <x v="185"/>
    </i>
    <i r="1">
      <x v="186"/>
    </i>
    <i r="1">
      <x v="190"/>
    </i>
    <i r="1">
      <x v="194"/>
    </i>
    <i r="1">
      <x v="206"/>
    </i>
    <i r="1">
      <x v="207"/>
    </i>
    <i r="1">
      <x v="208"/>
    </i>
    <i r="1">
      <x v="209"/>
    </i>
    <i r="1">
      <x v="210"/>
    </i>
    <i r="1">
      <x v="216"/>
    </i>
    <i r="1">
      <x v="217"/>
    </i>
    <i r="1">
      <x v="218"/>
    </i>
    <i r="1">
      <x v="221"/>
    </i>
    <i r="1">
      <x v="222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5"/>
    </i>
    <i r="1">
      <x v="237"/>
    </i>
    <i r="1">
      <x v="240"/>
    </i>
    <i r="1">
      <x v="241"/>
    </i>
    <i r="1">
      <x v="242"/>
    </i>
    <i r="1">
      <x v="244"/>
    </i>
    <i r="1">
      <x v="245"/>
    </i>
    <i r="1">
      <x v="246"/>
    </i>
    <i r="1">
      <x v="251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3"/>
    </i>
    <i r="1">
      <x v="264"/>
    </i>
    <i r="1">
      <x v="274"/>
    </i>
    <i r="1">
      <x v="275"/>
    </i>
    <i r="1">
      <x v="276"/>
    </i>
    <i r="1">
      <x v="278"/>
    </i>
    <i r="1">
      <x v="280"/>
    </i>
    <i r="1">
      <x v="283"/>
    </i>
    <i r="1">
      <x v="284"/>
    </i>
    <i r="1">
      <x v="285"/>
    </i>
    <i r="1">
      <x v="287"/>
    </i>
    <i r="1">
      <x v="292"/>
    </i>
    <i r="1">
      <x v="295"/>
    </i>
    <i r="1">
      <x v="297"/>
    </i>
    <i r="1">
      <x v="298"/>
    </i>
    <i r="1">
      <x v="299"/>
    </i>
    <i r="1">
      <x v="300"/>
    </i>
    <i r="1">
      <x v="303"/>
    </i>
    <i r="1">
      <x v="304"/>
    </i>
    <i r="1">
      <x v="305"/>
    </i>
    <i r="1">
      <x v="307"/>
    </i>
    <i r="1">
      <x v="308"/>
    </i>
    <i r="1">
      <x v="309"/>
    </i>
    <i r="1">
      <x v="314"/>
    </i>
    <i r="1">
      <x v="315"/>
    </i>
    <i r="1">
      <x v="317"/>
    </i>
    <i r="1">
      <x v="318"/>
    </i>
    <i r="1">
      <x v="319"/>
    </i>
    <i r="1">
      <x v="322"/>
    </i>
    <i r="1">
      <x v="323"/>
    </i>
    <i r="1">
      <x v="324"/>
    </i>
    <i r="1">
      <x v="326"/>
    </i>
    <i r="1">
      <x v="332"/>
    </i>
    <i r="1">
      <x v="333"/>
    </i>
    <i r="1">
      <x v="335"/>
    </i>
    <i r="1">
      <x v="338"/>
    </i>
    <i r="1">
      <x v="339"/>
    </i>
    <i r="1">
      <x v="340"/>
    </i>
    <i r="1">
      <x v="343"/>
    </i>
    <i r="1">
      <x v="344"/>
    </i>
    <i r="1">
      <x v="346"/>
    </i>
    <i r="1">
      <x v="349"/>
    </i>
    <i r="1">
      <x v="352"/>
    </i>
    <i r="1">
      <x v="353"/>
    </i>
    <i r="1">
      <x v="357"/>
    </i>
    <i r="1">
      <x v="362"/>
    </i>
    <i r="1">
      <x v="365"/>
    </i>
    <i r="1">
      <x v="366"/>
    </i>
    <i r="1">
      <x v="367"/>
    </i>
    <i r="1">
      <x v="370"/>
    </i>
    <i r="1">
      <x v="372"/>
    </i>
    <i r="1">
      <x v="374"/>
    </i>
    <i r="1">
      <x v="376"/>
    </i>
    <i r="1">
      <x v="377"/>
    </i>
    <i r="1">
      <x v="378"/>
    </i>
    <i r="1">
      <x v="379"/>
    </i>
    <i r="1">
      <x v="387"/>
    </i>
    <i r="1">
      <x v="389"/>
    </i>
    <i r="1">
      <x v="391"/>
    </i>
    <i r="1">
      <x v="393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12"/>
    </i>
    <i r="1">
      <x v="415"/>
    </i>
    <i r="1">
      <x v="417"/>
    </i>
    <i r="1">
      <x v="420"/>
    </i>
    <i r="1">
      <x v="423"/>
    </i>
    <i r="1">
      <x v="424"/>
    </i>
    <i r="1">
      <x v="425"/>
    </i>
    <i r="1">
      <x v="426"/>
    </i>
    <i r="1">
      <x v="430"/>
    </i>
    <i r="1">
      <x v="431"/>
    </i>
    <i r="1">
      <x v="435"/>
    </i>
    <i r="1">
      <x v="436"/>
    </i>
    <i r="1">
      <x v="441"/>
    </i>
    <i r="1">
      <x v="444"/>
    </i>
    <i r="1">
      <x v="447"/>
    </i>
    <i r="1">
      <x v="448"/>
    </i>
    <i r="1">
      <x v="452"/>
    </i>
    <i r="1">
      <x v="454"/>
    </i>
    <i r="1">
      <x v="456"/>
    </i>
    <i r="1">
      <x v="457"/>
    </i>
    <i r="1">
      <x v="458"/>
    </i>
    <i r="1">
      <x v="464"/>
    </i>
    <i r="1">
      <x v="465"/>
    </i>
    <i r="1">
      <x v="471"/>
    </i>
    <i r="1">
      <x v="475"/>
    </i>
    <i r="1">
      <x v="490"/>
    </i>
    <i r="1">
      <x v="492"/>
    </i>
    <i r="1">
      <x v="493"/>
    </i>
    <i r="1">
      <x v="495"/>
    </i>
    <i r="1">
      <x v="500"/>
    </i>
    <i>
      <x v="1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9"/>
    </i>
    <i r="1">
      <x v="52"/>
    </i>
    <i r="1">
      <x v="54"/>
    </i>
    <i r="1">
      <x v="55"/>
    </i>
    <i r="1">
      <x v="57"/>
    </i>
    <i r="1">
      <x v="59"/>
    </i>
    <i r="1">
      <x v="67"/>
    </i>
    <i r="1">
      <x v="69"/>
    </i>
    <i r="1">
      <x v="70"/>
    </i>
    <i r="1">
      <x v="73"/>
    </i>
    <i r="1">
      <x v="74"/>
    </i>
    <i r="1">
      <x v="75"/>
    </i>
    <i r="1">
      <x v="76"/>
    </i>
    <i r="1">
      <x v="77"/>
    </i>
    <i r="1">
      <x v="79"/>
    </i>
    <i r="1">
      <x v="80"/>
    </i>
    <i r="1">
      <x v="81"/>
    </i>
    <i r="1">
      <x v="82"/>
    </i>
    <i r="1">
      <x v="83"/>
    </i>
    <i r="1">
      <x v="85"/>
    </i>
    <i r="1">
      <x v="87"/>
    </i>
    <i r="1">
      <x v="89"/>
    </i>
    <i r="1">
      <x v="90"/>
    </i>
    <i r="1">
      <x v="91"/>
    </i>
    <i r="1">
      <x v="92"/>
    </i>
    <i r="1">
      <x v="96"/>
    </i>
    <i r="1">
      <x v="97"/>
    </i>
    <i r="1">
      <x v="98"/>
    </i>
    <i r="1">
      <x v="101"/>
    </i>
    <i r="1">
      <x v="102"/>
    </i>
    <i r="1">
      <x v="103"/>
    </i>
    <i r="1">
      <x v="105"/>
    </i>
    <i r="1">
      <x v="106"/>
    </i>
    <i r="1">
      <x v="107"/>
    </i>
    <i r="1">
      <x v="110"/>
    </i>
    <i r="1">
      <x v="111"/>
    </i>
    <i r="1">
      <x v="113"/>
    </i>
    <i r="1">
      <x v="115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7"/>
    </i>
    <i r="1">
      <x v="130"/>
    </i>
    <i r="1">
      <x v="131"/>
    </i>
    <i r="1">
      <x v="138"/>
    </i>
    <i r="1">
      <x v="140"/>
    </i>
    <i r="1">
      <x v="142"/>
    </i>
    <i r="1">
      <x v="143"/>
    </i>
    <i r="1">
      <x v="144"/>
    </i>
    <i r="1">
      <x v="145"/>
    </i>
    <i r="1">
      <x v="147"/>
    </i>
    <i r="1">
      <x v="148"/>
    </i>
    <i r="1">
      <x v="149"/>
    </i>
    <i r="1">
      <x v="150"/>
    </i>
    <i r="1">
      <x v="155"/>
    </i>
    <i r="1">
      <x v="160"/>
    </i>
    <i r="1">
      <x v="161"/>
    </i>
    <i r="1">
      <x v="164"/>
    </i>
    <i r="1">
      <x v="165"/>
    </i>
    <i r="1">
      <x v="168"/>
    </i>
    <i r="1">
      <x v="173"/>
    </i>
    <i r="1">
      <x v="174"/>
    </i>
    <i r="1">
      <x v="176"/>
    </i>
    <i r="1">
      <x v="178"/>
    </i>
    <i r="1">
      <x v="182"/>
    </i>
    <i r="1">
      <x v="183"/>
    </i>
    <i r="1">
      <x v="184"/>
    </i>
    <i r="1">
      <x v="188"/>
    </i>
    <i r="1">
      <x v="191"/>
    </i>
    <i r="1">
      <x v="192"/>
    </i>
    <i r="1">
      <x v="193"/>
    </i>
    <i r="1">
      <x v="195"/>
    </i>
    <i r="1">
      <x v="197"/>
    </i>
    <i r="1">
      <x v="202"/>
    </i>
    <i r="1">
      <x v="205"/>
    </i>
    <i r="1">
      <x v="211"/>
    </i>
    <i r="1">
      <x v="212"/>
    </i>
    <i r="1">
      <x v="213"/>
    </i>
    <i r="1">
      <x v="214"/>
    </i>
    <i r="1">
      <x v="215"/>
    </i>
    <i r="1">
      <x v="219"/>
    </i>
    <i r="1">
      <x v="220"/>
    </i>
    <i r="1">
      <x v="225"/>
    </i>
    <i r="1">
      <x v="226"/>
    </i>
    <i r="1">
      <x v="234"/>
    </i>
    <i r="1">
      <x v="236"/>
    </i>
    <i r="1">
      <x v="238"/>
    </i>
    <i r="1">
      <x v="239"/>
    </i>
    <i r="1">
      <x v="243"/>
    </i>
    <i r="1">
      <x v="247"/>
    </i>
    <i r="1">
      <x v="254"/>
    </i>
    <i r="1">
      <x v="262"/>
    </i>
    <i r="1">
      <x v="265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9"/>
    </i>
    <i r="1">
      <x v="281"/>
    </i>
    <i r="1">
      <x v="282"/>
    </i>
    <i r="1">
      <x v="286"/>
    </i>
    <i r="1">
      <x v="289"/>
    </i>
    <i r="1">
      <x v="290"/>
    </i>
    <i r="1">
      <x v="291"/>
    </i>
    <i r="1">
      <x v="293"/>
    </i>
    <i r="1">
      <x v="294"/>
    </i>
    <i r="1">
      <x v="296"/>
    </i>
    <i r="1">
      <x v="301"/>
    </i>
    <i r="1">
      <x v="302"/>
    </i>
    <i r="1">
      <x v="306"/>
    </i>
    <i r="1">
      <x v="310"/>
    </i>
    <i r="1">
      <x v="311"/>
    </i>
    <i r="1">
      <x v="312"/>
    </i>
    <i r="1">
      <x v="313"/>
    </i>
    <i r="1">
      <x v="316"/>
    </i>
    <i r="1">
      <x v="320"/>
    </i>
    <i r="1">
      <x v="325"/>
    </i>
    <i r="1">
      <x v="327"/>
    </i>
    <i r="1">
      <x v="328"/>
    </i>
    <i r="1">
      <x v="331"/>
    </i>
    <i r="1">
      <x v="332"/>
    </i>
    <i r="1">
      <x v="341"/>
    </i>
    <i r="1">
      <x v="342"/>
    </i>
    <i r="1">
      <x v="345"/>
    </i>
    <i r="1">
      <x v="347"/>
    </i>
    <i r="1">
      <x v="348"/>
    </i>
    <i r="1">
      <x v="350"/>
    </i>
    <i r="1">
      <x v="351"/>
    </i>
    <i r="1">
      <x v="354"/>
    </i>
    <i r="1">
      <x v="355"/>
    </i>
    <i r="1">
      <x v="358"/>
    </i>
    <i r="1">
      <x v="360"/>
    </i>
    <i r="1">
      <x v="361"/>
    </i>
    <i r="1">
      <x v="363"/>
    </i>
    <i r="1">
      <x v="373"/>
    </i>
    <i r="1">
      <x v="380"/>
    </i>
    <i r="1">
      <x v="381"/>
    </i>
    <i r="1">
      <x v="383"/>
    </i>
    <i r="1">
      <x v="384"/>
    </i>
    <i r="1">
      <x v="385"/>
    </i>
    <i r="1">
      <x v="386"/>
    </i>
    <i r="1">
      <x v="390"/>
    </i>
    <i r="1">
      <x v="394"/>
    </i>
    <i r="1">
      <x v="395"/>
    </i>
    <i r="1">
      <x v="403"/>
    </i>
    <i r="1">
      <x v="404"/>
    </i>
    <i r="1">
      <x v="406"/>
    </i>
    <i r="1">
      <x v="407"/>
    </i>
    <i r="1">
      <x v="408"/>
    </i>
    <i r="1">
      <x v="410"/>
    </i>
    <i r="1">
      <x v="414"/>
    </i>
    <i r="1">
      <x v="416"/>
    </i>
    <i r="1">
      <x v="418"/>
    </i>
    <i r="1">
      <x v="419"/>
    </i>
    <i r="1">
      <x v="421"/>
    </i>
    <i r="1">
      <x v="422"/>
    </i>
    <i r="1">
      <x v="427"/>
    </i>
    <i r="1">
      <x v="428"/>
    </i>
    <i r="1">
      <x v="429"/>
    </i>
    <i r="1">
      <x v="432"/>
    </i>
    <i r="1">
      <x v="433"/>
    </i>
    <i r="1">
      <x v="434"/>
    </i>
    <i r="1">
      <x v="439"/>
    </i>
    <i r="1">
      <x v="440"/>
    </i>
    <i r="1">
      <x v="442"/>
    </i>
    <i r="1">
      <x v="443"/>
    </i>
    <i r="1">
      <x v="445"/>
    </i>
    <i r="1">
      <x v="446"/>
    </i>
    <i r="1">
      <x v="449"/>
    </i>
    <i r="1">
      <x v="450"/>
    </i>
    <i r="1">
      <x v="451"/>
    </i>
    <i r="1">
      <x v="453"/>
    </i>
    <i r="1">
      <x v="455"/>
    </i>
    <i r="1">
      <x v="460"/>
    </i>
    <i r="1">
      <x v="461"/>
    </i>
    <i r="1">
      <x v="462"/>
    </i>
    <i r="1">
      <x v="463"/>
    </i>
    <i r="1">
      <x v="466"/>
    </i>
    <i r="1">
      <x v="467"/>
    </i>
    <i r="1">
      <x v="472"/>
    </i>
    <i r="1">
      <x v="473"/>
    </i>
    <i r="1">
      <x v="474"/>
    </i>
    <i r="1">
      <x v="476"/>
    </i>
    <i r="1">
      <x v="478"/>
    </i>
    <i r="1">
      <x v="480"/>
    </i>
    <i r="1">
      <x v="481"/>
    </i>
    <i r="1">
      <x v="482"/>
    </i>
    <i r="1">
      <x v="484"/>
    </i>
    <i r="1">
      <x v="486"/>
    </i>
    <i r="1">
      <x v="487"/>
    </i>
    <i r="1">
      <x v="488"/>
    </i>
    <i r="1">
      <x v="489"/>
    </i>
    <i r="1">
      <x v="491"/>
    </i>
    <i r="1">
      <x v="494"/>
    </i>
    <i r="1">
      <x v="496"/>
    </i>
    <i r="1">
      <x v="497"/>
    </i>
    <i r="1">
      <x v="499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3" hier="-1"/>
    <pageField fld="1" hier="-1"/>
    <pageField fld="8" hier="-1"/>
  </pageFields>
  <dataFields count="5">
    <dataField name="Sum of Area" fld="8" baseField="0" baseItem="0"/>
    <dataField name="Sum of Schedule" fld="13" baseField="0" baseItem="0"/>
    <dataField name="Sum of Estimate Price" fld="11" baseField="0" baseItem="0" numFmtId="166"/>
    <dataField name="Sum of Cost per Week" fld="15" baseField="0" baseItem="0" numFmtId="166"/>
    <dataField name="Sum of Margin" fld="16" baseField="0" baseItem="0" numFmtId="10"/>
  </dataFields>
  <pivotTableStyleInfo name="PivotStyleLight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18</v>
    <v>7</v>
  </rv>
  <rv s="0">
    <v>1</v>
    <v>8</v>
    <v>29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e9" displayName="Table9" ref="A1:AY4" totalsRowShown="0">
  <autoFilter ref="A1:AY4" xr:uid="{00000000-0009-0000-0100-000009000000}"/>
  <tableColumns count="51">
    <tableColumn id="1" xr3:uid="{00000000-0010-0000-0000-000001000000}" name="Date" dataDxfId="77"/>
    <tableColumn id="2" xr3:uid="{00000000-0010-0000-0000-000002000000}" name="Budget Year"/>
    <tableColumn id="3" xr3:uid="{00000000-0010-0000-0000-000003000000}" name="Quarter"/>
    <tableColumn id="4" xr3:uid="{00000000-0010-0000-0000-000004000000}" name="FHP"/>
    <tableColumn id="5" xr3:uid="{00000000-0010-0000-0000-000005000000}" name="Lead "/>
    <tableColumn id="6" xr3:uid="{00000000-0010-0000-0000-000006000000}" name="Estimate Number"/>
    <tableColumn id="7" xr3:uid="{00000000-0010-0000-0000-000007000000}" name="Province"/>
    <tableColumn id="8" xr3:uid="{00000000-0010-0000-0000-000008000000}" name="City/Town"/>
    <tableColumn id="9" xr3:uid="{00000000-0010-0000-0000-000009000000}" name="Estimate Name"/>
    <tableColumn id="10" xr3:uid="{00000000-0010-0000-0000-00000A000000}" name="Area"/>
    <tableColumn id="11" xr3:uid="{00000000-0010-0000-0000-00000B000000}" name="Contract Type"/>
    <tableColumn id="12" xr3:uid="{00000000-0010-0000-0000-00000C000000}" name="Payment Method"/>
    <tableColumn id="13" xr3:uid="{00000000-0010-0000-0000-00000D000000}" name="General Requirements"/>
    <tableColumn id="14" xr3:uid="{00000000-0010-0000-0000-00000E000000}" name="General Requirements %"/>
    <tableColumn id="15" xr3:uid="{00000000-0010-0000-0000-00000F000000}" name="PM Time"/>
    <tableColumn id="16" xr3:uid="{00000000-0010-0000-0000-000010000000}" name="PM Cost"/>
    <tableColumn id="17" xr3:uid="{00000000-0010-0000-0000-000011000000}" name="Super Time"/>
    <tableColumn id="18" xr3:uid="{00000000-0010-0000-0000-000012000000}" name="Super Cost"/>
    <tableColumn id="19" xr3:uid="{00000000-0010-0000-0000-000013000000}" name="Project Coordinator Time"/>
    <tableColumn id="20" xr3:uid="{00000000-0010-0000-0000-000014000000}" name="Project Coordinator Cost"/>
    <tableColumn id="21" xr3:uid="{00000000-0010-0000-0000-000015000000}" name="Travel"/>
    <tableColumn id="22" xr3:uid="{00000000-0010-0000-0000-000016000000}" name="Design Cost"/>
    <tableColumn id="23" xr3:uid="{00000000-0010-0000-0000-000017000000}" name="Permits"/>
    <tableColumn id="24" xr3:uid="{00000000-0010-0000-0000-000018000000}" name="Quality Control"/>
    <tableColumn id="25" xr3:uid="{00000000-0010-0000-0000-000019000000}" name="Temporary Utility"/>
    <tableColumn id="26" xr3:uid="{00000000-0010-0000-0000-00001A000000}" name="Construction Facilities"/>
    <tableColumn id="27" xr3:uid="{00000000-0010-0000-0000-00001B000000}" name="Construction Aids"/>
    <tableColumn id="28" xr3:uid="{00000000-0010-0000-0000-00001C000000}" name="Winter Conditions"/>
    <tableColumn id="29" xr3:uid="{00000000-0010-0000-0000-00001D000000}" name="Temporary Barriers and Enclosures"/>
    <tableColumn id="30" xr3:uid="{00000000-0010-0000-0000-00001E000000}" name="Cleaning &amp; Waste Management"/>
    <tableColumn id="31" xr3:uid="{00000000-0010-0000-0000-00001F000000}" name="Total Construction Cost"/>
    <tableColumn id="32" xr3:uid="{00000000-0010-0000-0000-000020000000}" name="OH &amp; P"/>
    <tableColumn id="33" xr3:uid="{00000000-0010-0000-0000-000021000000}" name="OH &amp; P %"/>
    <tableColumn id="34" xr3:uid="{00000000-0010-0000-0000-000022000000}" name="Estimate Price"/>
    <tableColumn id="35" xr3:uid="{00000000-0010-0000-0000-000023000000}" name="Schedule"/>
    <tableColumn id="36" xr3:uid="{00000000-0010-0000-0000-000024000000}" name="Soft Cost"/>
    <tableColumn id="37" xr3:uid="{00000000-0010-0000-0000-000025000000}" name="Cost per Week"/>
    <tableColumn id="38" xr3:uid="{00000000-0010-0000-0000-000026000000}" name="Margin"/>
    <tableColumn id="39" xr3:uid="{00000000-0010-0000-0000-000027000000}" name="% of Buyouts"/>
    <tableColumn id="40" xr3:uid="{00000000-0010-0000-0000-000028000000}" name="Buyouts"/>
    <tableColumn id="41" xr3:uid="{00000000-0010-0000-0000-000029000000}" name="% of CO's"/>
    <tableColumn id="42" xr3:uid="{00000000-0010-0000-0000-00002A000000}" name="CO's"/>
    <tableColumn id="43" xr3:uid="{00000000-0010-0000-0000-00002B000000}" name="Competitors"/>
    <tableColumn id="44" xr3:uid="{00000000-0010-0000-0000-00002C000000}" name="Client"/>
    <tableColumn id="45" xr3:uid="{00000000-0010-0000-0000-00002D000000}" name="Client Type"/>
    <tableColumn id="46" xr3:uid="{00000000-0010-0000-0000-00002E000000}" name="Client Definition"/>
    <tableColumn id="47" xr3:uid="{00000000-0010-0000-0000-00002F000000}" name="Status"/>
    <tableColumn id="48" xr3:uid="{00000000-0010-0000-0000-000030000000}" name="Project Type"/>
    <tableColumn id="49" xr3:uid="{00000000-0010-0000-0000-000031000000}" name="Renovation / New Build"/>
    <tableColumn id="50" xr3:uid="{00000000-0010-0000-0000-000032000000}" name="Bid Docs"/>
    <tableColumn id="51" xr3:uid="{00000000-0010-0000-0000-000033000000}" name="Successful / Unsucessfu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e10" displayName="Table10" ref="A1:AY39" totalsRowShown="0">
  <autoFilter ref="A1:AY39" xr:uid="{00000000-0009-0000-0100-00000A000000}"/>
  <tableColumns count="51">
    <tableColumn id="1" xr3:uid="{00000000-0010-0000-0100-000001000000}" name="Date" dataDxfId="76"/>
    <tableColumn id="2" xr3:uid="{00000000-0010-0000-0100-000002000000}" name="Budget Year"/>
    <tableColumn id="3" xr3:uid="{00000000-0010-0000-0100-000003000000}" name="Quarter"/>
    <tableColumn id="4" xr3:uid="{00000000-0010-0000-0100-000004000000}" name="FHP"/>
    <tableColumn id="5" xr3:uid="{00000000-0010-0000-0100-000005000000}" name="Lead "/>
    <tableColumn id="6" xr3:uid="{00000000-0010-0000-0100-000006000000}" name="Estimate Number"/>
    <tableColumn id="7" xr3:uid="{00000000-0010-0000-0100-000007000000}" name="Province"/>
    <tableColumn id="8" xr3:uid="{00000000-0010-0000-0100-000008000000}" name="City/Town"/>
    <tableColumn id="9" xr3:uid="{00000000-0010-0000-0100-000009000000}" name="Estimate Name"/>
    <tableColumn id="10" xr3:uid="{00000000-0010-0000-0100-00000A000000}" name="Area"/>
    <tableColumn id="11" xr3:uid="{00000000-0010-0000-0100-00000B000000}" name="Contract Type"/>
    <tableColumn id="12" xr3:uid="{00000000-0010-0000-0100-00000C000000}" name="Payment Method"/>
    <tableColumn id="13" xr3:uid="{00000000-0010-0000-0100-00000D000000}" name="General Requirements"/>
    <tableColumn id="14" xr3:uid="{00000000-0010-0000-0100-00000E000000}" name="General Requirements %"/>
    <tableColumn id="15" xr3:uid="{00000000-0010-0000-0100-00000F000000}" name="PM Time"/>
    <tableColumn id="16" xr3:uid="{00000000-0010-0000-0100-000010000000}" name="PM Cost"/>
    <tableColumn id="17" xr3:uid="{00000000-0010-0000-0100-000011000000}" name="Super Time"/>
    <tableColumn id="18" xr3:uid="{00000000-0010-0000-0100-000012000000}" name="Super Cost"/>
    <tableColumn id="19" xr3:uid="{00000000-0010-0000-0100-000013000000}" name="Project Coordinator Time"/>
    <tableColumn id="20" xr3:uid="{00000000-0010-0000-0100-000014000000}" name="Project Coordinator Cost"/>
    <tableColumn id="21" xr3:uid="{00000000-0010-0000-0100-000015000000}" name="Travel"/>
    <tableColumn id="22" xr3:uid="{00000000-0010-0000-0100-000016000000}" name="Design Cost"/>
    <tableColumn id="23" xr3:uid="{00000000-0010-0000-0100-000017000000}" name="Permits"/>
    <tableColumn id="24" xr3:uid="{00000000-0010-0000-0100-000018000000}" name="Quality Control"/>
    <tableColumn id="25" xr3:uid="{00000000-0010-0000-0100-000019000000}" name="Temporary Utility"/>
    <tableColumn id="26" xr3:uid="{00000000-0010-0000-0100-00001A000000}" name="Construction Facilities"/>
    <tableColumn id="27" xr3:uid="{00000000-0010-0000-0100-00001B000000}" name="Construction Aids"/>
    <tableColumn id="28" xr3:uid="{00000000-0010-0000-0100-00001C000000}" name="Winter Conditions"/>
    <tableColumn id="29" xr3:uid="{00000000-0010-0000-0100-00001D000000}" name="Temporary Barriers and Enclosures"/>
    <tableColumn id="30" xr3:uid="{00000000-0010-0000-0100-00001E000000}" name="Cleaning &amp; Waste Management"/>
    <tableColumn id="31" xr3:uid="{00000000-0010-0000-0100-00001F000000}" name="Total Construction Cost"/>
    <tableColumn id="32" xr3:uid="{00000000-0010-0000-0100-000020000000}" name="OH &amp; P"/>
    <tableColumn id="33" xr3:uid="{00000000-0010-0000-0100-000021000000}" name="OH &amp; P %"/>
    <tableColumn id="34" xr3:uid="{00000000-0010-0000-0100-000022000000}" name="Estimate Price"/>
    <tableColumn id="35" xr3:uid="{00000000-0010-0000-0100-000023000000}" name="Schedule"/>
    <tableColumn id="36" xr3:uid="{00000000-0010-0000-0100-000024000000}" name="Soft Cost"/>
    <tableColumn id="37" xr3:uid="{00000000-0010-0000-0100-000025000000}" name="Cost per Week"/>
    <tableColumn id="38" xr3:uid="{00000000-0010-0000-0100-000026000000}" name="Margin"/>
    <tableColumn id="39" xr3:uid="{00000000-0010-0000-0100-000027000000}" name="% of Buyouts"/>
    <tableColumn id="40" xr3:uid="{00000000-0010-0000-0100-000028000000}" name="Buyouts"/>
    <tableColumn id="41" xr3:uid="{00000000-0010-0000-0100-000029000000}" name="% of CO's"/>
    <tableColumn id="42" xr3:uid="{00000000-0010-0000-0100-00002A000000}" name="CO's"/>
    <tableColumn id="43" xr3:uid="{00000000-0010-0000-0100-00002B000000}" name="Competitors"/>
    <tableColumn id="44" xr3:uid="{00000000-0010-0000-0100-00002C000000}" name="Client"/>
    <tableColumn id="45" xr3:uid="{00000000-0010-0000-0100-00002D000000}" name="Client Type"/>
    <tableColumn id="46" xr3:uid="{00000000-0010-0000-0100-00002E000000}" name="Client Definition"/>
    <tableColumn id="47" xr3:uid="{00000000-0010-0000-0100-00002F000000}" name="Status"/>
    <tableColumn id="48" xr3:uid="{00000000-0010-0000-0100-000030000000}" name="Project Type"/>
    <tableColumn id="49" xr3:uid="{00000000-0010-0000-0100-000031000000}" name="Renovation / New Build"/>
    <tableColumn id="50" xr3:uid="{00000000-0010-0000-0100-000032000000}" name="Bid Docs"/>
    <tableColumn id="51" xr3:uid="{00000000-0010-0000-0100-000033000000}" name="Successful / Unsucessfu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" displayName="DATA" ref="A10:U508" totalsRowShown="0" headerRowDxfId="75" dataDxfId="74" dataCellStyle="Currency">
  <tableColumns count="21">
    <tableColumn id="53" xr3:uid="{00000000-0010-0000-0200-000035000000}" name="Closing Date" dataDxfId="73"/>
    <tableColumn id="44" xr3:uid="{00000000-0010-0000-0200-00002C000000}" name="Budget Year" dataDxfId="72"/>
    <tableColumn id="47" xr3:uid="{00000000-0010-0000-0200-00002F000000}" name="Quarter" dataDxfId="71"/>
    <tableColumn id="3" xr3:uid="{00000000-0010-0000-0200-000003000000}" name="Province" dataDxfId="70"/>
    <tableColumn id="4" xr3:uid="{00000000-0010-0000-0200-000004000000}" name="City/Town" dataDxfId="69"/>
    <tableColumn id="62" xr3:uid="{00000000-0010-0000-0200-00003E000000}" name="Estimate Number2" dataDxfId="68"/>
    <tableColumn id="5" xr3:uid="{00000000-0010-0000-0200-000005000000}" name="Estimate Name" dataDxfId="67"/>
    <tableColumn id="1" xr3:uid="{64C14F6C-6C99-4B05-AFBD-5F55650AD0E5}" name="Type of Construction" dataDxfId="66"/>
    <tableColumn id="6" xr3:uid="{00000000-0010-0000-0200-000006000000}" name="Area" dataDxfId="65"/>
    <tableColumn id="7" xr3:uid="{00000000-0010-0000-0200-000007000000}" name="Contract Type" dataDxfId="64"/>
    <tableColumn id="37" xr3:uid="{00000000-0010-0000-0200-000025000000}" name="Payment Method" dataDxfId="63"/>
    <tableColumn id="23" xr3:uid="{00000000-0010-0000-0200-000017000000}" name="Estimate Price" dataDxfId="62" dataCellStyle="Currency"/>
    <tableColumn id="2" xr3:uid="{FD9E5725-5DB8-4915-8956-B3EC1A6BE1BE}" name="Price Category"/>
    <tableColumn id="24" xr3:uid="{00000000-0010-0000-0200-000018000000}" name="Schedule" dataDxfId="61" dataCellStyle="Currency"/>
    <tableColumn id="25" xr3:uid="{00000000-0010-0000-0200-000019000000}" name="Soft Cost" dataDxfId="60" dataCellStyle="Currency"/>
    <tableColumn id="26" xr3:uid="{00000000-0010-0000-0200-00001A000000}" name="Cost per Week" dataDxfId="59" dataCellStyle="Currency"/>
    <tableColumn id="27" xr3:uid="{00000000-0010-0000-0200-00001B000000}" name="Margin" dataDxfId="58" dataCellStyle="Percent"/>
    <tableColumn id="32" xr3:uid="{00000000-0010-0000-0200-000020000000}" name="Status" dataDxfId="57" dataCellStyle="Currency"/>
    <tableColumn id="34" xr3:uid="{00000000-0010-0000-0200-000022000000}" name="Bid Docs" dataDxfId="56" dataCellStyle="Currency"/>
    <tableColumn id="38" xr3:uid="{00000000-0010-0000-0200-000026000000}" name="Successful / Unsucessful" dataDxfId="55" dataCellStyle="Currency"/>
    <tableColumn id="8" xr3:uid="{BA5BAD84-A84B-49B2-AF33-B8B52F795885}" name="Column1" dataDxfId="54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H2:H6" totalsRowShown="0" headerRowDxfId="53" dataDxfId="52">
  <autoFilter ref="H2:H6" xr:uid="{00000000-0009-0000-0100-000004000000}"/>
  <tableColumns count="1">
    <tableColumn id="1" xr3:uid="{00000000-0010-0000-0500-000001000000}" name="Province" dataDxfId="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I2:I6" totalsRowShown="0" headerRowDxfId="50" dataDxfId="49">
  <autoFilter ref="I2:I6" xr:uid="{00000000-0009-0000-0100-000005000000}"/>
  <tableColumns count="1">
    <tableColumn id="1" xr3:uid="{00000000-0010-0000-0600-000001000000}" name="Contract  Type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J2:J4" totalsRowShown="0" headerRowDxfId="47" dataDxfId="46">
  <autoFilter ref="J2:J4" xr:uid="{00000000-0009-0000-0100-000006000000}"/>
  <tableColumns count="1">
    <tableColumn id="1" xr3:uid="{00000000-0010-0000-0700-000001000000}" name="Payment Method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T4:T6" totalsRowShown="0" headerRowDxfId="44" dataDxfId="43">
  <autoFilter ref="T4:T6" xr:uid="{00000000-0009-0000-0100-000008000000}"/>
  <tableColumns count="1">
    <tableColumn id="1" xr3:uid="{00000000-0010-0000-0800-000001000000}" name="Result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0B1E1-0F97-49ED-A63B-59B649953E92}" name="DATA2" displayName="DATA2" ref="A10:V154" totalsRowShown="0" headerRowDxfId="41" dataDxfId="40" dataCellStyle="Currency">
  <tableColumns count="22">
    <tableColumn id="53" xr3:uid="{A17A3440-A35E-48B4-8A38-C9C67C4A64A7}" name="Closing Date" dataDxfId="39"/>
    <tableColumn id="44" xr3:uid="{36ABDCA9-8D3B-4CA2-9DCF-CE25C846E4AC}" name="Budget Year" dataDxfId="38"/>
    <tableColumn id="47" xr3:uid="{FE23F0B3-63A3-4595-A183-27FBF743C409}" name="Quarter" dataDxfId="37"/>
    <tableColumn id="3" xr3:uid="{8A12EAEC-BBB8-4A2F-BB61-FEB5D6F19A0A}" name="Province" dataDxfId="36"/>
    <tableColumn id="4" xr3:uid="{2915D62B-C5E3-4E2E-B3EB-3AFF53F73371}" name="City/Town" dataDxfId="35"/>
    <tableColumn id="62" xr3:uid="{7CDAFC1E-95E4-46F0-8ACA-4229E98F5D81}" name="Estimate Number2" dataDxfId="34"/>
    <tableColumn id="5" xr3:uid="{BEA94E5A-EC50-46F2-AF15-3D2D04840053}" name="Estimate Name" dataDxfId="33"/>
    <tableColumn id="1" xr3:uid="{C1B696C1-F1C2-40F7-B33F-4EF71EFA85CB}" name="Type of Construction" dataDxfId="32"/>
    <tableColumn id="6" xr3:uid="{83FE47BA-E3DE-48FE-A568-8E38CD26422F}" name="Area" dataDxfId="31"/>
    <tableColumn id="7" xr3:uid="{38DCD206-9921-4C57-ADCD-8847B456A872}" name="Contract Type" dataDxfId="30"/>
    <tableColumn id="37" xr3:uid="{5B3E4D99-9AA7-4C08-805A-D40C384914CF}" name="Payment Method" dataDxfId="29"/>
    <tableColumn id="23" xr3:uid="{9E2C097F-504E-4D64-BDF8-8824718DE5CB}" name="Estimate Price" dataDxfId="28" dataCellStyle="Currency"/>
    <tableColumn id="2" xr3:uid="{C6EC445E-F3A4-4B6C-9061-53B5B51ECA9E}" name="Price Category"/>
    <tableColumn id="24" xr3:uid="{1C35872D-1FB7-4E9F-AC4D-B01113226F1F}" name="Schedule" dataDxfId="27" dataCellStyle="Currency"/>
    <tableColumn id="25" xr3:uid="{6AF5A6C5-E785-4D36-8B72-A3DE49069CFB}" name="Soft Cost" dataDxfId="26" dataCellStyle="Currency"/>
    <tableColumn id="26" xr3:uid="{7D00419C-F0EA-4DEE-8704-068194B6FE31}" name="Cost per Week" dataDxfId="25" dataCellStyle="Currency"/>
    <tableColumn id="27" xr3:uid="{3FED8096-45A0-4794-BAAC-216C9F9A2421}" name="Margin" dataDxfId="24" dataCellStyle="Percent"/>
    <tableColumn id="32" xr3:uid="{E34D6BD2-F52E-41A4-BFAE-F7170FFD06BB}" name="Status" dataDxfId="23" dataCellStyle="Currency"/>
    <tableColumn id="34" xr3:uid="{5DBADF8C-EC6D-4139-9290-79F6B413C6EE}" name="Bid Docs" dataDxfId="22" dataCellStyle="Currency"/>
    <tableColumn id="38" xr3:uid="{B2700998-D61C-4093-A15C-A960BF0AC931}" name="Successful / Unsucessful" dataDxfId="21" dataCellStyle="Currency"/>
    <tableColumn id="8" xr3:uid="{99B78E4A-43D5-4576-B3B2-06F08E0EDB19}" name="Column1" dataDxfId="20" dataCellStyle="Currency"/>
    <tableColumn id="9" xr3:uid="{DE578B6E-8110-4094-927A-1B36FBAAD502}" name="Column2" dataDxfId="19" dataCellStyle="Curren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B4C12-B1AD-4753-AEFC-F988A84513EF}" name="Table44" displayName="Table44" ref="H2:H6" totalsRowShown="0" headerRowDxfId="18" dataDxfId="17">
  <autoFilter ref="H2:H6" xr:uid="{00000000-0009-0000-0100-000004000000}"/>
  <tableColumns count="1">
    <tableColumn id="1" xr3:uid="{41FE2155-37D1-4AEB-B39A-F5DBBB3A8D9B}" name="Province" dataDxfId="1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70243-2DD1-45BB-B173-FF4BB113E479}" name="Table58" displayName="Table58" ref="I2:I6" totalsRowShown="0" headerRowDxfId="15" dataDxfId="14">
  <autoFilter ref="I2:I6" xr:uid="{00000000-0009-0000-0100-000005000000}"/>
  <tableColumns count="1">
    <tableColumn id="1" xr3:uid="{CA58FEBC-81D8-46FA-AD76-2429FE716E82}" name="Contract  Type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E594A9-29D2-439B-8B54-73B65F5D90DC}" name="Table613" displayName="Table613" ref="J2:J4" totalsRowShown="0" headerRowDxfId="12" dataDxfId="11">
  <autoFilter ref="J2:J4" xr:uid="{00000000-0009-0000-0100-000006000000}"/>
  <tableColumns count="1">
    <tableColumn id="1" xr3:uid="{E823A21B-D606-4BD9-996A-A486B68A0294}" name="Payment Method" dataDxf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1CB787-4380-42B2-B3C4-46CF6D486D0A}" name="Table814" displayName="Table814" ref="T4:T6" totalsRowShown="0" headerRowDxfId="9" dataDxfId="8">
  <autoFilter ref="T4:T6" xr:uid="{00000000-0009-0000-0100-000008000000}"/>
  <tableColumns count="1">
    <tableColumn id="1" xr3:uid="{ADB92196-19F5-4E0C-9013-39239360D1B2}" name="Result" dataDxfId="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E000000}" name="Table11" displayName="Table11" ref="A1:BB9" totalsRowShown="0">
  <autoFilter ref="A1:BB9" xr:uid="{00000000-0009-0000-0100-00000B000000}"/>
  <tableColumns count="54">
    <tableColumn id="1" xr3:uid="{00000000-0010-0000-0E00-000001000000}" name="Lead Date" dataDxfId="6"/>
    <tableColumn id="2" xr3:uid="{00000000-0010-0000-0E00-000002000000}" name="Lead ID"/>
    <tableColumn id="3" xr3:uid="{00000000-0010-0000-0E00-000003000000}" name="Lead Name"/>
    <tableColumn id="4" xr3:uid="{00000000-0010-0000-0E00-000004000000}" name="Lead Type"/>
    <tableColumn id="5" xr3:uid="{00000000-0010-0000-0E00-000005000000}" name="FHP"/>
    <tableColumn id="6" xr3:uid="{00000000-0010-0000-0E00-000006000000}" name="Client"/>
    <tableColumn id="7" xr3:uid="{00000000-0010-0000-0E00-000007000000}" name="Client Type"/>
    <tableColumn id="8" xr3:uid="{00000000-0010-0000-0E00-000008000000}" name="Client Definition"/>
    <tableColumn id="9" xr3:uid="{00000000-0010-0000-0E00-000009000000}" name="Project Type"/>
    <tableColumn id="10" xr3:uid="{00000000-0010-0000-0E00-00000A000000}" name="Reno / New Build"/>
    <tableColumn id="11" xr3:uid="{00000000-0010-0000-0E00-00000B000000}" name="Closing Date" dataDxfId="5"/>
    <tableColumn id="12" xr3:uid="{00000000-0010-0000-0E00-00000C000000}" name="Lead Time"/>
    <tableColumn id="13" xr3:uid="{00000000-0010-0000-0E00-00000D000000}" name="Budget Year"/>
    <tableColumn id="14" xr3:uid="{00000000-0010-0000-0E00-00000E000000}" name="Quarter"/>
    <tableColumn id="15" xr3:uid="{00000000-0010-0000-0E00-00000F000000}" name="Province"/>
    <tableColumn id="16" xr3:uid="{00000000-0010-0000-0E00-000010000000}" name="City/Town"/>
    <tableColumn id="17" xr3:uid="{00000000-0010-0000-0E00-000011000000}" name="Estimate Number2"/>
    <tableColumn id="18" xr3:uid="{00000000-0010-0000-0E00-000012000000}" name="Estimate Name"/>
    <tableColumn id="19" xr3:uid="{00000000-0010-0000-0E00-000013000000}" name="Area"/>
    <tableColumn id="20" xr3:uid="{00000000-0010-0000-0E00-000014000000}" name="Contract Type"/>
    <tableColumn id="21" xr3:uid="{00000000-0010-0000-0E00-000015000000}" name="Payment Method"/>
    <tableColumn id="22" xr3:uid="{00000000-0010-0000-0E00-000016000000}" name="General Requirements"/>
    <tableColumn id="23" xr3:uid="{00000000-0010-0000-0E00-000017000000}" name="General Requirements %"/>
    <tableColumn id="24" xr3:uid="{00000000-0010-0000-0E00-000018000000}" name="PM Time"/>
    <tableColumn id="25" xr3:uid="{00000000-0010-0000-0E00-000019000000}" name="PM Cost"/>
    <tableColumn id="26" xr3:uid="{00000000-0010-0000-0E00-00001A000000}" name="Super Time"/>
    <tableColumn id="27" xr3:uid="{00000000-0010-0000-0E00-00001B000000}" name="Super Cost"/>
    <tableColumn id="28" xr3:uid="{00000000-0010-0000-0E00-00001C000000}" name="Project Coordinator Time"/>
    <tableColumn id="29" xr3:uid="{00000000-0010-0000-0E00-00001D000000}" name="Project Coordinator Cost"/>
    <tableColumn id="30" xr3:uid="{00000000-0010-0000-0E00-00001E000000}" name="Travel"/>
    <tableColumn id="31" xr3:uid="{00000000-0010-0000-0E00-00001F000000}" name="Design Cost"/>
    <tableColumn id="32" xr3:uid="{00000000-0010-0000-0E00-000020000000}" name="Permits"/>
    <tableColumn id="33" xr3:uid="{00000000-0010-0000-0E00-000021000000}" name="Quality Control"/>
    <tableColumn id="34" xr3:uid="{00000000-0010-0000-0E00-000022000000}" name="Temporary Utility"/>
    <tableColumn id="35" xr3:uid="{00000000-0010-0000-0E00-000023000000}" name="Construction Facilities"/>
    <tableColumn id="36" xr3:uid="{00000000-0010-0000-0E00-000024000000}" name="Construction Aids"/>
    <tableColumn id="37" xr3:uid="{00000000-0010-0000-0E00-000025000000}" name="Winter Conditions"/>
    <tableColumn id="38" xr3:uid="{00000000-0010-0000-0E00-000026000000}" name="Temporary Barriers and Enclosures"/>
    <tableColumn id="39" xr3:uid="{00000000-0010-0000-0E00-000027000000}" name="Cleaning &amp; Waste Management"/>
    <tableColumn id="40" xr3:uid="{00000000-0010-0000-0E00-000028000000}" name="Total Construction Cost"/>
    <tableColumn id="41" xr3:uid="{00000000-0010-0000-0E00-000029000000}" name="OH &amp; P"/>
    <tableColumn id="42" xr3:uid="{00000000-0010-0000-0E00-00002A000000}" name="OH &amp; P %"/>
    <tableColumn id="43" xr3:uid="{00000000-0010-0000-0E00-00002B000000}" name="Estimate Price"/>
    <tableColumn id="44" xr3:uid="{00000000-0010-0000-0E00-00002C000000}" name="Schedule"/>
    <tableColumn id="45" xr3:uid="{00000000-0010-0000-0E00-00002D000000}" name="Soft Cost"/>
    <tableColumn id="46" xr3:uid="{00000000-0010-0000-0E00-00002E000000}" name="Cost per Week"/>
    <tableColumn id="47" xr3:uid="{00000000-0010-0000-0E00-00002F000000}" name="Margin"/>
    <tableColumn id="48" xr3:uid="{00000000-0010-0000-0E00-000030000000}" name="% of Buyouts"/>
    <tableColumn id="49" xr3:uid="{00000000-0010-0000-0E00-000031000000}" name="Buyouts"/>
    <tableColumn id="50" xr3:uid="{00000000-0010-0000-0E00-000032000000}" name="% of CO's"/>
    <tableColumn id="51" xr3:uid="{00000000-0010-0000-0E00-000033000000}" name="CO's"/>
    <tableColumn id="52" xr3:uid="{00000000-0010-0000-0E00-000034000000}" name="Status"/>
    <tableColumn id="53" xr3:uid="{00000000-0010-0000-0E00-000035000000}" name="Bid Docs"/>
    <tableColumn id="54" xr3:uid="{00000000-0010-0000-0E00-000036000000}" name="Successful / Unsucessfu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1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523"/>
  <sheetViews>
    <sheetView workbookViewId="0">
      <selection activeCell="H20" sqref="H19:H20"/>
    </sheetView>
  </sheetViews>
  <sheetFormatPr defaultColWidth="10.88671875" defaultRowHeight="17.25" x14ac:dyDescent="0.3"/>
  <cols>
    <col min="1" max="4" width="23.44140625" bestFit="1" customWidth="1"/>
    <col min="5" max="5" width="21.88671875" bestFit="1" customWidth="1"/>
    <col min="6" max="6" width="28" bestFit="1" customWidth="1"/>
    <col min="7" max="7" width="27.6640625" customWidth="1"/>
    <col min="8" max="8" width="16.5546875" customWidth="1"/>
    <col min="9" max="9" width="22.88671875" customWidth="1"/>
    <col min="10" max="10" width="18.44140625" bestFit="1" customWidth="1"/>
    <col min="11" max="11" width="15.44140625" customWidth="1"/>
    <col min="12" max="13" width="9.33203125" customWidth="1"/>
    <col min="14" max="14" width="19.109375" bestFit="1" customWidth="1"/>
    <col min="15" max="15" width="17.33203125" bestFit="1" customWidth="1"/>
    <col min="16" max="16" width="23.44140625" bestFit="1" customWidth="1"/>
    <col min="17" max="17" width="17.33203125" bestFit="1" customWidth="1"/>
    <col min="18" max="22" width="9.33203125" customWidth="1"/>
    <col min="23" max="23" width="10.6640625" customWidth="1"/>
    <col min="24" max="24" width="16.6640625" bestFit="1" customWidth="1"/>
    <col min="25" max="25" width="19.6640625" bestFit="1" customWidth="1"/>
    <col min="26" max="26" width="14.33203125" bestFit="1" customWidth="1"/>
    <col min="27" max="27" width="16.6640625" bestFit="1" customWidth="1"/>
    <col min="28" max="28" width="19.6640625" bestFit="1" customWidth="1"/>
    <col min="29" max="29" width="14.33203125" bestFit="1" customWidth="1"/>
    <col min="30" max="30" width="16.6640625" bestFit="1" customWidth="1"/>
    <col min="31" max="31" width="19.6640625" bestFit="1" customWidth="1"/>
    <col min="32" max="32" width="14.33203125" bestFit="1" customWidth="1"/>
    <col min="33" max="33" width="16.6640625" bestFit="1" customWidth="1"/>
    <col min="34" max="34" width="19.6640625" bestFit="1" customWidth="1"/>
    <col min="35" max="35" width="14.33203125" bestFit="1" customWidth="1"/>
    <col min="36" max="36" width="16.6640625" bestFit="1" customWidth="1"/>
    <col min="37" max="37" width="19.6640625" bestFit="1" customWidth="1"/>
    <col min="38" max="38" width="14.33203125" bestFit="1" customWidth="1"/>
    <col min="39" max="39" width="16.6640625" bestFit="1" customWidth="1"/>
    <col min="40" max="40" width="19.6640625" bestFit="1" customWidth="1"/>
    <col min="41" max="41" width="14.33203125" bestFit="1" customWidth="1"/>
    <col min="42" max="42" width="16.6640625" bestFit="1" customWidth="1"/>
    <col min="43" max="43" width="19.6640625" bestFit="1" customWidth="1"/>
    <col min="44" max="44" width="14.33203125" bestFit="1" customWidth="1"/>
    <col min="45" max="45" width="16.6640625" bestFit="1" customWidth="1"/>
    <col min="46" max="46" width="19.6640625" bestFit="1" customWidth="1"/>
    <col min="47" max="47" width="14.33203125" bestFit="1" customWidth="1"/>
    <col min="48" max="48" width="16.6640625" bestFit="1" customWidth="1"/>
    <col min="49" max="49" width="19.6640625" bestFit="1" customWidth="1"/>
    <col min="50" max="50" width="14.33203125" bestFit="1" customWidth="1"/>
    <col min="51" max="51" width="21.33203125" bestFit="1" customWidth="1"/>
  </cols>
  <sheetData>
    <row r="2" spans="1:22" x14ac:dyDescent="0.3">
      <c r="A2" s="2" t="s">
        <v>160</v>
      </c>
      <c r="B2" t="s">
        <v>217</v>
      </c>
    </row>
    <row r="3" spans="1:22" x14ac:dyDescent="0.3">
      <c r="A3" s="2" t="s">
        <v>1</v>
      </c>
      <c r="B3" t="s">
        <v>217</v>
      </c>
    </row>
    <row r="4" spans="1:22" x14ac:dyDescent="0.3">
      <c r="A4" s="2" t="s">
        <v>2</v>
      </c>
      <c r="B4" t="s">
        <v>217</v>
      </c>
      <c r="J4" t="s">
        <v>266</v>
      </c>
    </row>
    <row r="5" spans="1:22" x14ac:dyDescent="0.3">
      <c r="J5" s="25">
        <v>1514651.7018989089</v>
      </c>
    </row>
    <row r="6" spans="1:22" x14ac:dyDescent="0.3">
      <c r="A6" s="2" t="s">
        <v>87</v>
      </c>
    </row>
    <row r="7" spans="1:22" x14ac:dyDescent="0.3">
      <c r="A7" t="s">
        <v>89</v>
      </c>
      <c r="C7" t="s">
        <v>90</v>
      </c>
      <c r="E7" t="s">
        <v>263</v>
      </c>
      <c r="F7" t="s">
        <v>264</v>
      </c>
      <c r="J7" t="s">
        <v>268</v>
      </c>
    </row>
    <row r="8" spans="1:22" x14ac:dyDescent="0.3">
      <c r="A8" t="s">
        <v>128</v>
      </c>
      <c r="B8" t="s">
        <v>265</v>
      </c>
      <c r="C8" t="s">
        <v>128</v>
      </c>
      <c r="D8" t="s">
        <v>265</v>
      </c>
      <c r="J8" s="25">
        <v>3260</v>
      </c>
    </row>
    <row r="9" spans="1:22" x14ac:dyDescent="0.3">
      <c r="A9" s="8">
        <v>0.15329642550501774</v>
      </c>
      <c r="B9" s="10">
        <v>6176.764677833683</v>
      </c>
      <c r="C9" s="8">
        <v>0.14610059283590654</v>
      </c>
      <c r="D9" s="10">
        <v>7124.8730446672389</v>
      </c>
      <c r="E9" s="8">
        <v>0.14910282765811844</v>
      </c>
      <c r="F9" s="10">
        <v>6724.1025997496699</v>
      </c>
    </row>
    <row r="10" spans="1:22" x14ac:dyDescent="0.3">
      <c r="J10" t="s">
        <v>267</v>
      </c>
    </row>
    <row r="11" spans="1:22" x14ac:dyDescent="0.3">
      <c r="J11" s="25">
        <v>32774597.774034686</v>
      </c>
    </row>
    <row r="13" spans="1:22" x14ac:dyDescent="0.3">
      <c r="K13" s="33" t="e">
        <f>GETPIVOTDATA("Estimate Price",$J$10,"Date",1)-GETPIVOTDATA("Estimate Price",$J$4,"Date",1)</f>
        <v>#REF!</v>
      </c>
      <c r="L13" s="33" t="e">
        <f>GETPIVOTDATA("Estimate Price",$J$10,"Date",2)-GETPIVOTDATA("Estimate Price",$J$4,"Date",2)</f>
        <v>#REF!</v>
      </c>
      <c r="M13" s="33" t="e">
        <f>GETPIVOTDATA("Estimate Price",$J$10,"Date",3)-GETPIVOTDATA("Estimate Price",$J$4,"Date",3)</f>
        <v>#REF!</v>
      </c>
      <c r="N13" s="33" t="e">
        <f>GETPIVOTDATA("Estimate Price",$J$10,"Date",4)-GETPIVOTDATA("Estimate Price",$J$4,"Date",4)</f>
        <v>#REF!</v>
      </c>
      <c r="O13" s="33" t="e">
        <f>GETPIVOTDATA("Estimate Price",$J$10,"Date",5)-GETPIVOTDATA("Estimate Price",$J$4,"Date",5)</f>
        <v>#REF!</v>
      </c>
      <c r="P13" s="33" t="e">
        <f>GETPIVOTDATA("Estimate Price",$J$10,"Date",6)-GETPIVOTDATA("Estimate Price",$J$4,"Date",6)</f>
        <v>#REF!</v>
      </c>
      <c r="Q13" s="33" t="e">
        <f>GETPIVOTDATA("Estimate Price",$J$10,"Date",7)-GETPIVOTDATA("Estimate Price",$J$4,"Date",7)</f>
        <v>#REF!</v>
      </c>
      <c r="R13" s="33" t="e">
        <f>GETPIVOTDATA("Estimate Price",$J$10,"Date",8)-GETPIVOTDATA("Estimate Price",$J$4,"Date",8)</f>
        <v>#REF!</v>
      </c>
      <c r="S13" s="33" t="e">
        <f>GETPIVOTDATA("Estimate Price",$J$10,"Date",9)-GETPIVOTDATA("Estimate Price",$J$4,"Date",9)</f>
        <v>#REF!</v>
      </c>
      <c r="T13" s="33" t="e">
        <f>GETPIVOTDATA("Estimate Price",$J$10,"Date",10)-GETPIVOTDATA("Estimate Price",$J$4,"Date",10)</f>
        <v>#REF!</v>
      </c>
      <c r="U13" s="33" t="e">
        <f>GETPIVOTDATA("Estimate Price",$J$10,"Date",11)-GETPIVOTDATA("Estimate Price",$J$4,"Date",11)</f>
        <v>#REF!</v>
      </c>
      <c r="V13" s="33" t="e">
        <f>GETPIVOTDATA("Estimate Price",$J$10,"Date",12)-GETPIVOTDATA("Estimate Price",$J$4,"Date",12)</f>
        <v>#REF!</v>
      </c>
    </row>
    <row r="19" spans="10:16" x14ac:dyDescent="0.3">
      <c r="N19" t="s">
        <v>34</v>
      </c>
      <c r="O19" t="s">
        <v>128</v>
      </c>
      <c r="P19" t="s">
        <v>265</v>
      </c>
    </row>
    <row r="20" spans="10:16" x14ac:dyDescent="0.3">
      <c r="N20" s="10">
        <v>696739782.87349808</v>
      </c>
      <c r="O20" s="34">
        <v>0.14910282765811847</v>
      </c>
      <c r="P20" s="10">
        <v>6724.1025997496708</v>
      </c>
    </row>
    <row r="22" spans="10:16" x14ac:dyDescent="0.3">
      <c r="J22" s="2" t="s">
        <v>32</v>
      </c>
    </row>
    <row r="23" spans="10:16" x14ac:dyDescent="0.3">
      <c r="J23" s="3" t="s">
        <v>229</v>
      </c>
    </row>
    <row r="24" spans="10:16" x14ac:dyDescent="0.3">
      <c r="J24" s="3" t="s">
        <v>227</v>
      </c>
    </row>
    <row r="25" spans="10:16" x14ac:dyDescent="0.3">
      <c r="J25" s="3" t="s">
        <v>226</v>
      </c>
    </row>
    <row r="26" spans="10:16" x14ac:dyDescent="0.3">
      <c r="J26" s="3" t="s">
        <v>228</v>
      </c>
    </row>
    <row r="27" spans="10:16" x14ac:dyDescent="0.3">
      <c r="J27" s="3" t="s">
        <v>33</v>
      </c>
    </row>
    <row r="28" spans="10:16" x14ac:dyDescent="0.3">
      <c r="N28" s="2" t="s">
        <v>100</v>
      </c>
      <c r="O28" t="s">
        <v>89</v>
      </c>
    </row>
    <row r="30" spans="10:16" x14ac:dyDescent="0.3">
      <c r="N30" t="s">
        <v>34</v>
      </c>
      <c r="O30" t="s">
        <v>128</v>
      </c>
      <c r="P30" t="s">
        <v>265</v>
      </c>
    </row>
    <row r="31" spans="10:16" x14ac:dyDescent="0.3">
      <c r="N31" s="10">
        <v>205770790.90743262</v>
      </c>
      <c r="O31" s="34">
        <v>0.15329642550501765</v>
      </c>
      <c r="P31" s="10">
        <v>6176.764677833683</v>
      </c>
    </row>
    <row r="39" spans="6:16" x14ac:dyDescent="0.3">
      <c r="N39" s="2" t="s">
        <v>100</v>
      </c>
      <c r="O39" t="s">
        <v>90</v>
      </c>
    </row>
    <row r="41" spans="6:16" x14ac:dyDescent="0.3">
      <c r="H41" s="26"/>
      <c r="I41" s="26"/>
      <c r="N41" t="s">
        <v>34</v>
      </c>
      <c r="O41" t="s">
        <v>128</v>
      </c>
      <c r="P41" t="s">
        <v>265</v>
      </c>
    </row>
    <row r="42" spans="6:16" x14ac:dyDescent="0.3">
      <c r="F42" s="27"/>
      <c r="G42" s="28"/>
      <c r="H42" s="28"/>
      <c r="I42" s="28"/>
      <c r="J42" s="28"/>
      <c r="K42" s="29"/>
      <c r="N42" s="10">
        <v>490968991.96606565</v>
      </c>
      <c r="O42" s="34">
        <v>0.14610059283590662</v>
      </c>
      <c r="P42" s="10">
        <v>7124.8730446672389</v>
      </c>
    </row>
    <row r="43" spans="6:16" x14ac:dyDescent="0.3">
      <c r="F43" s="27"/>
      <c r="G43" s="28"/>
      <c r="H43" s="28"/>
      <c r="I43" s="28"/>
      <c r="J43" s="28"/>
      <c r="K43" s="29"/>
    </row>
    <row r="44" spans="6:16" x14ac:dyDescent="0.3">
      <c r="F44" s="27"/>
      <c r="G44" s="28"/>
      <c r="H44" s="28"/>
      <c r="I44" s="28"/>
      <c r="J44" s="28"/>
      <c r="K44" s="29"/>
    </row>
    <row r="45" spans="6:16" x14ac:dyDescent="0.3">
      <c r="F45" s="27"/>
      <c r="G45" s="28"/>
      <c r="H45" s="28"/>
      <c r="I45" s="28"/>
      <c r="J45" s="28"/>
      <c r="K45" s="29"/>
    </row>
    <row r="46" spans="6:16" x14ac:dyDescent="0.3">
      <c r="F46" s="27"/>
      <c r="G46" s="28"/>
      <c r="H46" s="28"/>
      <c r="I46" s="28"/>
      <c r="J46" s="28"/>
      <c r="K46" s="29"/>
    </row>
    <row r="47" spans="6:16" x14ac:dyDescent="0.3">
      <c r="F47" s="27"/>
      <c r="G47" s="28"/>
      <c r="H47" s="28"/>
      <c r="I47" s="28"/>
      <c r="J47" s="28"/>
      <c r="K47" s="29"/>
    </row>
    <row r="48" spans="6:16" x14ac:dyDescent="0.3">
      <c r="F48" s="27"/>
      <c r="G48" s="28"/>
      <c r="H48" s="28"/>
      <c r="I48" s="28"/>
      <c r="J48" s="28"/>
      <c r="K48" s="29"/>
    </row>
    <row r="49" spans="6:17" x14ac:dyDescent="0.3">
      <c r="F49" s="27"/>
      <c r="G49" s="28"/>
      <c r="H49" s="28"/>
      <c r="I49" s="28"/>
      <c r="J49" s="28"/>
      <c r="K49" s="29"/>
    </row>
    <row r="50" spans="6:17" x14ac:dyDescent="0.3">
      <c r="F50" s="27"/>
      <c r="G50" s="28"/>
      <c r="H50" s="28"/>
      <c r="I50" s="28"/>
      <c r="J50" s="28"/>
      <c r="K50" s="29"/>
    </row>
    <row r="51" spans="6:17" x14ac:dyDescent="0.3">
      <c r="F51" s="27"/>
      <c r="G51" s="28"/>
      <c r="H51" s="28"/>
      <c r="I51" s="28"/>
      <c r="J51" s="28"/>
      <c r="K51" s="29"/>
    </row>
    <row r="52" spans="6:17" x14ac:dyDescent="0.3">
      <c r="F52" s="27"/>
      <c r="G52" s="28"/>
      <c r="H52" s="28"/>
      <c r="I52" s="28"/>
      <c r="J52" s="28"/>
      <c r="K52" s="29"/>
    </row>
    <row r="53" spans="6:17" x14ac:dyDescent="0.3">
      <c r="F53" s="27"/>
      <c r="G53" s="28"/>
      <c r="H53" s="28"/>
      <c r="I53" s="28"/>
      <c r="J53" s="28"/>
      <c r="K53" s="29"/>
    </row>
    <row r="54" spans="6:17" x14ac:dyDescent="0.3">
      <c r="F54" s="27"/>
      <c r="G54" s="28"/>
      <c r="H54" s="28"/>
      <c r="I54" s="28"/>
      <c r="J54" s="28"/>
      <c r="K54" s="29"/>
      <c r="N54" s="2" t="s">
        <v>100</v>
      </c>
      <c r="O54" t="s">
        <v>217</v>
      </c>
    </row>
    <row r="55" spans="6:17" x14ac:dyDescent="0.3">
      <c r="F55" s="27"/>
      <c r="G55" s="28"/>
      <c r="H55" s="28"/>
      <c r="I55" s="28"/>
      <c r="J55" s="28"/>
      <c r="K55" s="29"/>
    </row>
    <row r="56" spans="6:17" x14ac:dyDescent="0.3">
      <c r="F56" s="27"/>
      <c r="G56" s="28"/>
      <c r="H56" s="28"/>
      <c r="I56" s="28"/>
      <c r="J56" s="28"/>
      <c r="K56" s="29"/>
      <c r="N56" s="2" t="s">
        <v>32</v>
      </c>
      <c r="O56" t="s">
        <v>34</v>
      </c>
      <c r="P56" t="s">
        <v>265</v>
      </c>
      <c r="Q56" t="s">
        <v>128</v>
      </c>
    </row>
    <row r="57" spans="6:17" x14ac:dyDescent="0.3">
      <c r="F57" s="27"/>
      <c r="G57" s="28"/>
      <c r="H57" s="28"/>
      <c r="I57" s="28"/>
      <c r="J57" s="28"/>
      <c r="K57" s="29"/>
      <c r="N57" s="3" t="s">
        <v>229</v>
      </c>
      <c r="O57" s="10">
        <v>147471749.41499048</v>
      </c>
      <c r="P57" s="10">
        <v>6521.2312882098613</v>
      </c>
      <c r="Q57" s="8">
        <v>0.15862057301528645</v>
      </c>
    </row>
    <row r="58" spans="6:17" x14ac:dyDescent="0.3">
      <c r="F58" s="30"/>
      <c r="G58" s="31"/>
      <c r="H58" s="31"/>
      <c r="I58" s="31"/>
      <c r="J58" s="31"/>
      <c r="K58" s="32"/>
      <c r="N58" s="4" t="s">
        <v>189</v>
      </c>
      <c r="O58" s="10">
        <v>133156.00069650001</v>
      </c>
      <c r="P58" s="10">
        <v>5151.3064077500003</v>
      </c>
      <c r="Q58" s="8">
        <v>0.23211750341576917</v>
      </c>
    </row>
    <row r="59" spans="6:17" x14ac:dyDescent="0.3">
      <c r="N59" s="4" t="s">
        <v>158</v>
      </c>
      <c r="O59" s="10">
        <v>47810.002892000004</v>
      </c>
      <c r="P59" s="10">
        <v>4031.254946</v>
      </c>
      <c r="Q59" s="8">
        <v>0.16863646526465889</v>
      </c>
    </row>
    <row r="60" spans="6:17" x14ac:dyDescent="0.3">
      <c r="N60" s="4" t="s">
        <v>140</v>
      </c>
      <c r="O60" s="10">
        <v>2400000</v>
      </c>
      <c r="P60" s="10"/>
      <c r="Q60" s="8">
        <v>0.08</v>
      </c>
    </row>
    <row r="61" spans="6:17" x14ac:dyDescent="0.3">
      <c r="N61" s="4" t="s">
        <v>153</v>
      </c>
      <c r="O61" s="10">
        <v>108666.00200000001</v>
      </c>
      <c r="P61" s="10">
        <v>6059.0339999999997</v>
      </c>
      <c r="Q61" s="8">
        <v>0.1672749679333928</v>
      </c>
    </row>
    <row r="62" spans="6:17" x14ac:dyDescent="0.3">
      <c r="N62" s="4" t="s">
        <v>175</v>
      </c>
      <c r="O62" s="10">
        <v>2300000</v>
      </c>
      <c r="P62" s="10"/>
      <c r="Q62" s="8"/>
    </row>
    <row r="63" spans="6:17" x14ac:dyDescent="0.3">
      <c r="N63" s="4" t="s">
        <v>144</v>
      </c>
      <c r="O63" s="10">
        <v>166349.51999999999</v>
      </c>
      <c r="P63" s="10"/>
      <c r="Q63" s="8">
        <v>0.16600000000000001</v>
      </c>
    </row>
    <row r="64" spans="6:17" x14ac:dyDescent="0.3">
      <c r="N64" s="4" t="s">
        <v>161</v>
      </c>
      <c r="O64" s="10">
        <v>17379.201239999999</v>
      </c>
      <c r="P64" s="10">
        <v>2397.1006200000002</v>
      </c>
      <c r="Q64" s="8">
        <v>0.27585854918151581</v>
      </c>
    </row>
    <row r="65" spans="14:17" x14ac:dyDescent="0.3">
      <c r="N65" s="4" t="s">
        <v>134</v>
      </c>
      <c r="O65" s="10">
        <v>291889.24156140001</v>
      </c>
      <c r="P65" s="10">
        <v>4753.1851951749995</v>
      </c>
      <c r="Q65" s="8">
        <v>0.13027366599053358</v>
      </c>
    </row>
    <row r="66" spans="14:17" x14ac:dyDescent="0.3">
      <c r="N66" s="4" t="s">
        <v>106</v>
      </c>
      <c r="O66" s="10">
        <v>1000000</v>
      </c>
      <c r="P66" s="10">
        <v>5846.3777721600009</v>
      </c>
      <c r="Q66" s="8">
        <v>0.1</v>
      </c>
    </row>
    <row r="67" spans="14:17" x14ac:dyDescent="0.3">
      <c r="N67" s="4" t="s">
        <v>146</v>
      </c>
      <c r="O67" s="10">
        <v>169062</v>
      </c>
      <c r="P67" s="10"/>
      <c r="Q67" s="8">
        <v>0.1368</v>
      </c>
    </row>
    <row r="68" spans="14:17" x14ac:dyDescent="0.3">
      <c r="N68" s="4" t="s">
        <v>142</v>
      </c>
      <c r="O68" s="10">
        <v>276288</v>
      </c>
      <c r="P68" s="10"/>
      <c r="Q68" s="8">
        <v>0.10150000000000001</v>
      </c>
    </row>
    <row r="69" spans="14:17" x14ac:dyDescent="0.3">
      <c r="N69" s="4" t="s">
        <v>141</v>
      </c>
      <c r="O69" s="10">
        <v>47640</v>
      </c>
      <c r="P69" s="10"/>
      <c r="Q69" s="8">
        <v>0.14799999999999999</v>
      </c>
    </row>
    <row r="70" spans="14:17" x14ac:dyDescent="0.3">
      <c r="N70" s="4" t="s">
        <v>109</v>
      </c>
      <c r="O70" s="10">
        <v>82620.000218724992</v>
      </c>
      <c r="P70" s="10">
        <v>4073.6185145750001</v>
      </c>
      <c r="Q70" s="8">
        <v>0.14791643078397457</v>
      </c>
    </row>
    <row r="71" spans="14:17" x14ac:dyDescent="0.3">
      <c r="N71" s="4" t="s">
        <v>135</v>
      </c>
      <c r="O71" s="10">
        <v>39432</v>
      </c>
      <c r="P71" s="10"/>
      <c r="Q71" s="8">
        <v>0.25</v>
      </c>
    </row>
    <row r="72" spans="14:17" x14ac:dyDescent="0.3">
      <c r="N72" s="4" t="s">
        <v>137</v>
      </c>
      <c r="O72" s="10">
        <v>155835</v>
      </c>
      <c r="P72" s="10"/>
      <c r="Q72" s="8">
        <v>0.17480000000000001</v>
      </c>
    </row>
    <row r="73" spans="14:17" x14ac:dyDescent="0.3">
      <c r="N73" s="4" t="s">
        <v>136</v>
      </c>
      <c r="O73" s="10">
        <v>232018</v>
      </c>
      <c r="P73" s="10"/>
      <c r="Q73" s="8">
        <v>0.1215</v>
      </c>
    </row>
    <row r="74" spans="14:17" x14ac:dyDescent="0.3">
      <c r="N74" s="4" t="s">
        <v>131</v>
      </c>
      <c r="O74" s="10">
        <v>835849.99593021302</v>
      </c>
      <c r="P74" s="10">
        <v>5189.1998750177081</v>
      </c>
      <c r="Q74" s="8">
        <v>7.7950051721164967E-2</v>
      </c>
    </row>
    <row r="75" spans="14:17" x14ac:dyDescent="0.3">
      <c r="N75" s="4" t="s">
        <v>145</v>
      </c>
      <c r="O75" s="10">
        <v>32338.560000000001</v>
      </c>
      <c r="P75" s="10"/>
      <c r="Q75" s="8">
        <v>0.34639999999999999</v>
      </c>
    </row>
    <row r="76" spans="14:17" x14ac:dyDescent="0.3">
      <c r="N76" s="4" t="s">
        <v>162</v>
      </c>
      <c r="O76" s="10">
        <v>99798.002146400002</v>
      </c>
      <c r="P76" s="10">
        <v>3489.088591066667</v>
      </c>
      <c r="Q76" s="8">
        <v>0.2097690444312684</v>
      </c>
    </row>
    <row r="77" spans="14:17" x14ac:dyDescent="0.3">
      <c r="N77" s="4" t="s">
        <v>120</v>
      </c>
      <c r="O77" s="10">
        <v>132162.07999999999</v>
      </c>
      <c r="P77" s="10"/>
      <c r="Q77" s="8">
        <v>0.15</v>
      </c>
    </row>
    <row r="78" spans="14:17" x14ac:dyDescent="0.3">
      <c r="N78" s="4" t="s">
        <v>119</v>
      </c>
      <c r="O78" s="10">
        <v>164062.82999999999</v>
      </c>
      <c r="P78" s="10"/>
      <c r="Q78" s="8">
        <v>0.15</v>
      </c>
    </row>
    <row r="79" spans="14:17" x14ac:dyDescent="0.3">
      <c r="N79" s="4" t="s">
        <v>147</v>
      </c>
      <c r="O79" s="10">
        <v>164616.4</v>
      </c>
      <c r="P79" s="10"/>
      <c r="Q79" s="8">
        <v>0.13880000000000001</v>
      </c>
    </row>
    <row r="80" spans="14:17" x14ac:dyDescent="0.3">
      <c r="N80" s="4" t="s">
        <v>132</v>
      </c>
      <c r="O80" s="10">
        <v>166550.20000000001</v>
      </c>
      <c r="P80" s="10"/>
      <c r="Q80" s="8"/>
    </row>
    <row r="81" spans="14:17" x14ac:dyDescent="0.3">
      <c r="N81" s="4" t="s">
        <v>107</v>
      </c>
      <c r="O81" s="10">
        <v>549715.4595967218</v>
      </c>
      <c r="P81" s="10">
        <v>4213.3760399918201</v>
      </c>
      <c r="Q81" s="8">
        <v>9.1975787832115324E-2</v>
      </c>
    </row>
    <row r="82" spans="14:17" x14ac:dyDescent="0.3">
      <c r="N82" s="4" t="s">
        <v>103</v>
      </c>
      <c r="O82" s="10">
        <v>2840169.998869685</v>
      </c>
      <c r="P82" s="10">
        <v>9113.0337029035418</v>
      </c>
      <c r="Q82" s="8">
        <v>7.700694287902736E-2</v>
      </c>
    </row>
    <row r="83" spans="14:17" x14ac:dyDescent="0.3">
      <c r="N83" s="4" t="s">
        <v>123</v>
      </c>
      <c r="O83" s="10">
        <v>57329.002033999997</v>
      </c>
      <c r="P83" s="10">
        <v>5001.7010170000003</v>
      </c>
      <c r="Q83" s="8">
        <v>0.17449112454578056</v>
      </c>
    </row>
    <row r="84" spans="14:17" x14ac:dyDescent="0.3">
      <c r="N84" s="4" t="s">
        <v>139</v>
      </c>
      <c r="O84" s="10">
        <v>477815</v>
      </c>
      <c r="P84" s="10"/>
      <c r="Q84" s="8">
        <v>0.14099999999999999</v>
      </c>
    </row>
    <row r="85" spans="14:17" x14ac:dyDescent="0.3">
      <c r="N85" s="4" t="s">
        <v>133</v>
      </c>
      <c r="O85" s="10">
        <v>571201.83332450001</v>
      </c>
      <c r="P85" s="10">
        <v>4646.5259437083332</v>
      </c>
      <c r="Q85" s="8">
        <v>9.7615777946608376E-2</v>
      </c>
    </row>
    <row r="86" spans="14:17" x14ac:dyDescent="0.3">
      <c r="N86" s="4" t="s">
        <v>101</v>
      </c>
      <c r="O86" s="10">
        <v>135940.96919</v>
      </c>
      <c r="P86" s="10">
        <v>3807.1818379999995</v>
      </c>
      <c r="Q86" s="8">
        <v>0.14003070085070649</v>
      </c>
    </row>
    <row r="87" spans="14:17" x14ac:dyDescent="0.3">
      <c r="N87" s="4" t="s">
        <v>164</v>
      </c>
      <c r="O87" s="10">
        <v>244290.00425</v>
      </c>
      <c r="P87" s="10">
        <v>4761.2505312500007</v>
      </c>
      <c r="Q87" s="8">
        <v>0.1559212558325542</v>
      </c>
    </row>
    <row r="88" spans="14:17" x14ac:dyDescent="0.3">
      <c r="N88" s="4" t="s">
        <v>155</v>
      </c>
      <c r="O88" s="10">
        <v>2000000</v>
      </c>
      <c r="P88" s="10"/>
      <c r="Q88" s="8">
        <v>0.14000000000000001</v>
      </c>
    </row>
    <row r="89" spans="14:17" x14ac:dyDescent="0.3">
      <c r="N89" s="4" t="s">
        <v>138</v>
      </c>
      <c r="O89" s="10">
        <v>253429</v>
      </c>
      <c r="P89" s="10"/>
      <c r="Q89" s="8">
        <v>0.21970000000000001</v>
      </c>
    </row>
    <row r="90" spans="14:17" x14ac:dyDescent="0.3">
      <c r="N90" s="4" t="s">
        <v>143</v>
      </c>
      <c r="O90" s="10">
        <v>74230</v>
      </c>
      <c r="P90" s="10"/>
      <c r="Q90" s="8">
        <v>0.24779999999999999</v>
      </c>
    </row>
    <row r="91" spans="14:17" x14ac:dyDescent="0.3">
      <c r="N91" s="4" t="s">
        <v>129</v>
      </c>
      <c r="O91" s="10">
        <v>56406.00462</v>
      </c>
      <c r="P91" s="10">
        <v>4466.5015400000002</v>
      </c>
      <c r="Q91" s="8">
        <v>0.23755457792606907</v>
      </c>
    </row>
    <row r="92" spans="14:17" x14ac:dyDescent="0.3">
      <c r="N92" s="4" t="s">
        <v>270</v>
      </c>
      <c r="O92" s="10">
        <v>240298.21365679998</v>
      </c>
      <c r="P92" s="10">
        <v>5685.6778301600007</v>
      </c>
      <c r="Q92" s="8">
        <v>0.11830462123785135</v>
      </c>
    </row>
    <row r="93" spans="14:17" x14ac:dyDescent="0.3">
      <c r="N93" s="4" t="s">
        <v>272</v>
      </c>
      <c r="O93" s="10">
        <v>3219139.7429162404</v>
      </c>
      <c r="P93" s="10">
        <v>7758.5094299384618</v>
      </c>
      <c r="Q93" s="8">
        <v>6.8929399596435445E-2</v>
      </c>
    </row>
    <row r="94" spans="14:17" x14ac:dyDescent="0.3">
      <c r="N94" s="4" t="s">
        <v>274</v>
      </c>
      <c r="O94" s="10">
        <v>9349.9952499999999</v>
      </c>
      <c r="P94" s="10">
        <v>1997.4952500000002</v>
      </c>
      <c r="Q94" s="8">
        <v>0.21363596414661282</v>
      </c>
    </row>
    <row r="95" spans="14:17" x14ac:dyDescent="0.3">
      <c r="N95" s="4" t="s">
        <v>297</v>
      </c>
      <c r="O95" s="10">
        <v>1148100.9983596641</v>
      </c>
      <c r="P95" s="10">
        <v>6852.5646876303335</v>
      </c>
      <c r="Q95" s="8">
        <v>7.1623294787697481E-2</v>
      </c>
    </row>
    <row r="96" spans="14:17" x14ac:dyDescent="0.3">
      <c r="N96" s="4" t="s">
        <v>277</v>
      </c>
      <c r="O96" s="10">
        <v>584600</v>
      </c>
      <c r="P96" s="10">
        <v>5105</v>
      </c>
      <c r="Q96" s="8">
        <v>8.7300000000000003E-2</v>
      </c>
    </row>
    <row r="97" spans="14:17" x14ac:dyDescent="0.3">
      <c r="N97" s="4" t="s">
        <v>279</v>
      </c>
      <c r="O97" s="10">
        <v>164240.00208665</v>
      </c>
      <c r="P97" s="10">
        <v>5098.8355216625005</v>
      </c>
      <c r="Q97" s="8">
        <v>0.12418011341652196</v>
      </c>
    </row>
    <row r="98" spans="14:17" x14ac:dyDescent="0.3">
      <c r="N98" s="4" t="s">
        <v>280</v>
      </c>
      <c r="O98" s="10">
        <v>63379.997277499999</v>
      </c>
      <c r="P98" s="10">
        <v>2858.7198555</v>
      </c>
      <c r="Q98" s="8">
        <v>0.22552224505339716</v>
      </c>
    </row>
    <row r="99" spans="14:17" x14ac:dyDescent="0.3">
      <c r="N99" s="4" t="s">
        <v>282</v>
      </c>
      <c r="O99" s="10">
        <v>67432.736227999994</v>
      </c>
      <c r="P99" s="10">
        <v>4802.8787426666668</v>
      </c>
      <c r="Q99" s="8">
        <v>0.21367420386564595</v>
      </c>
    </row>
    <row r="100" spans="14:17" x14ac:dyDescent="0.3">
      <c r="N100" s="4" t="s">
        <v>286</v>
      </c>
      <c r="O100" s="10">
        <v>994569.99645600002</v>
      </c>
      <c r="P100" s="10">
        <v>6072.4203256000001</v>
      </c>
      <c r="Q100" s="8">
        <v>6.105573611951047E-2</v>
      </c>
    </row>
    <row r="101" spans="14:17" x14ac:dyDescent="0.3">
      <c r="N101" s="4" t="s">
        <v>287</v>
      </c>
      <c r="O101" s="10">
        <v>180183.99573600001</v>
      </c>
      <c r="P101" s="10">
        <v>4193.1378943333339</v>
      </c>
      <c r="Q101" s="8">
        <v>0.13962853506069392</v>
      </c>
    </row>
    <row r="102" spans="14:17" x14ac:dyDescent="0.3">
      <c r="N102" s="4" t="s">
        <v>288</v>
      </c>
      <c r="O102" s="10">
        <v>308639.53000000003</v>
      </c>
      <c r="P102" s="10">
        <v>7868</v>
      </c>
      <c r="Q102" s="8">
        <v>0.15</v>
      </c>
    </row>
    <row r="103" spans="14:17" x14ac:dyDescent="0.3">
      <c r="N103" s="4" t="s">
        <v>289</v>
      </c>
      <c r="O103" s="10">
        <v>205709.99707999997</v>
      </c>
      <c r="P103" s="10">
        <v>6883.7617060000002</v>
      </c>
      <c r="Q103" s="8">
        <v>0.16731714072512788</v>
      </c>
    </row>
    <row r="104" spans="14:17" x14ac:dyDescent="0.3">
      <c r="N104" s="4" t="s">
        <v>291</v>
      </c>
      <c r="O104" s="10">
        <v>827424.95915640006</v>
      </c>
      <c r="P104" s="10">
        <v>8098.4398866400006</v>
      </c>
      <c r="Q104" s="8">
        <v>9.787521873762127E-2</v>
      </c>
    </row>
    <row r="105" spans="14:17" x14ac:dyDescent="0.3">
      <c r="N105" s="4" t="s">
        <v>292</v>
      </c>
      <c r="O105" s="10">
        <v>222827.99617568345</v>
      </c>
      <c r="P105" s="10">
        <v>5543.0152019059224</v>
      </c>
      <c r="Q105" s="8">
        <v>0.12437878760835025</v>
      </c>
    </row>
    <row r="106" spans="14:17" x14ac:dyDescent="0.3">
      <c r="N106" s="4" t="s">
        <v>294</v>
      </c>
      <c r="O106" s="10">
        <v>288179.99644706538</v>
      </c>
      <c r="P106" s="10">
        <v>8640.4788561823061</v>
      </c>
      <c r="Q106" s="8">
        <v>0.14991461868814066</v>
      </c>
    </row>
    <row r="107" spans="14:17" x14ac:dyDescent="0.3">
      <c r="N107" s="4" t="s">
        <v>295</v>
      </c>
      <c r="O107" s="10">
        <v>12160.995719999999</v>
      </c>
      <c r="P107" s="10">
        <v>1929.8737600000002</v>
      </c>
      <c r="Q107" s="8">
        <v>0.31738745813817298</v>
      </c>
    </row>
    <row r="108" spans="14:17" x14ac:dyDescent="0.3">
      <c r="N108" s="4" t="s">
        <v>300</v>
      </c>
      <c r="O108" s="10">
        <v>160567.00299711997</v>
      </c>
      <c r="P108" s="10">
        <v>4286.1097411199999</v>
      </c>
      <c r="Q108" s="8">
        <v>0.16016153983506357</v>
      </c>
    </row>
    <row r="109" spans="14:17" x14ac:dyDescent="0.3">
      <c r="N109" s="4" t="s">
        <v>302</v>
      </c>
      <c r="O109" s="10">
        <v>20273</v>
      </c>
      <c r="P109" s="10">
        <v>2547</v>
      </c>
      <c r="Q109" s="8">
        <v>0.25119999999999998</v>
      </c>
    </row>
    <row r="110" spans="14:17" x14ac:dyDescent="0.3">
      <c r="N110" s="4" t="s">
        <v>304</v>
      </c>
      <c r="O110" s="10">
        <v>11000000</v>
      </c>
      <c r="P110" s="10">
        <v>6014</v>
      </c>
      <c r="Q110" s="8">
        <v>3.4000000000000002E-2</v>
      </c>
    </row>
    <row r="111" spans="14:17" x14ac:dyDescent="0.3">
      <c r="N111" s="4" t="s">
        <v>305</v>
      </c>
      <c r="O111" s="10">
        <v>20630.881590000001</v>
      </c>
      <c r="P111" s="10">
        <v>3191.440795</v>
      </c>
      <c r="Q111" s="8">
        <v>0.3093848201374898</v>
      </c>
    </row>
    <row r="112" spans="14:17" x14ac:dyDescent="0.3">
      <c r="N112" s="4" t="s">
        <v>414</v>
      </c>
      <c r="O112" s="10">
        <v>113534.8</v>
      </c>
      <c r="P112" s="10">
        <v>3686</v>
      </c>
      <c r="Q112" s="8">
        <v>0.1948</v>
      </c>
    </row>
    <row r="113" spans="14:17" x14ac:dyDescent="0.3">
      <c r="N113" s="4" t="s">
        <v>417</v>
      </c>
      <c r="O113" s="10">
        <v>684146.87</v>
      </c>
      <c r="P113" s="10">
        <v>6617</v>
      </c>
      <c r="Q113" s="8">
        <v>0.11609999999999999</v>
      </c>
    </row>
    <row r="114" spans="14:17" x14ac:dyDescent="0.3">
      <c r="N114" s="4" t="s">
        <v>418</v>
      </c>
      <c r="O114" s="10">
        <v>11862.08</v>
      </c>
      <c r="P114" s="10"/>
      <c r="Q114" s="8">
        <v>0.35</v>
      </c>
    </row>
    <row r="115" spans="14:17" x14ac:dyDescent="0.3">
      <c r="N115" s="4" t="s">
        <v>419</v>
      </c>
      <c r="O115" s="10">
        <v>1877937.34</v>
      </c>
      <c r="P115" s="10">
        <v>8554</v>
      </c>
      <c r="Q115" s="8">
        <v>7.2900000000000006E-2</v>
      </c>
    </row>
    <row r="116" spans="14:17" x14ac:dyDescent="0.3">
      <c r="N116" s="4" t="s">
        <v>420</v>
      </c>
      <c r="O116" s="10">
        <v>1720221.66</v>
      </c>
      <c r="P116" s="10">
        <v>4541</v>
      </c>
      <c r="Q116" s="8">
        <v>6.8599999999999994E-2</v>
      </c>
    </row>
    <row r="117" spans="14:17" x14ac:dyDescent="0.3">
      <c r="N117" s="4" t="s">
        <v>422</v>
      </c>
      <c r="O117" s="10">
        <v>578075</v>
      </c>
      <c r="P117" s="10">
        <v>6558</v>
      </c>
      <c r="Q117" s="8">
        <v>0.1134</v>
      </c>
    </row>
    <row r="118" spans="14:17" x14ac:dyDescent="0.3">
      <c r="N118" s="4" t="s">
        <v>428</v>
      </c>
      <c r="O118" s="10">
        <v>105937.23</v>
      </c>
      <c r="P118" s="10"/>
      <c r="Q118" s="8">
        <v>0.18049999999999999</v>
      </c>
    </row>
    <row r="119" spans="14:17" x14ac:dyDescent="0.3">
      <c r="N119" s="4" t="s">
        <v>429</v>
      </c>
      <c r="O119" s="10">
        <v>106993.71</v>
      </c>
      <c r="P119" s="10"/>
      <c r="Q119" s="8">
        <v>0.2069</v>
      </c>
    </row>
    <row r="120" spans="14:17" x14ac:dyDescent="0.3">
      <c r="N120" s="4" t="s">
        <v>430</v>
      </c>
      <c r="O120" s="10">
        <v>248084.49</v>
      </c>
      <c r="P120" s="10"/>
      <c r="Q120" s="8">
        <v>0.14000000000000001</v>
      </c>
    </row>
    <row r="121" spans="14:17" x14ac:dyDescent="0.3">
      <c r="N121" s="4" t="s">
        <v>431</v>
      </c>
      <c r="O121" s="10">
        <v>108665.45</v>
      </c>
      <c r="P121" s="10"/>
      <c r="Q121" s="8">
        <v>0.20480000000000001</v>
      </c>
    </row>
    <row r="122" spans="14:17" x14ac:dyDescent="0.3">
      <c r="N122" s="4" t="s">
        <v>424</v>
      </c>
      <c r="O122" s="10">
        <v>55355.35</v>
      </c>
      <c r="P122" s="10">
        <v>4434</v>
      </c>
      <c r="Q122" s="8">
        <v>0.24030000000000001</v>
      </c>
    </row>
    <row r="123" spans="14:17" x14ac:dyDescent="0.3">
      <c r="N123" s="4" t="s">
        <v>425</v>
      </c>
      <c r="O123" s="10">
        <v>371824.73</v>
      </c>
      <c r="P123" s="10">
        <v>5234</v>
      </c>
      <c r="Q123" s="8">
        <v>0.11260000000000001</v>
      </c>
    </row>
    <row r="124" spans="14:17" x14ac:dyDescent="0.3">
      <c r="N124" s="4" t="s">
        <v>426</v>
      </c>
      <c r="O124" s="10">
        <v>198916.5</v>
      </c>
      <c r="P124" s="10">
        <v>4320</v>
      </c>
      <c r="Q124" s="8">
        <v>0.17369999999999999</v>
      </c>
    </row>
    <row r="125" spans="14:17" x14ac:dyDescent="0.3">
      <c r="N125" s="4" t="s">
        <v>427</v>
      </c>
      <c r="O125" s="10">
        <v>13400</v>
      </c>
      <c r="P125" s="10"/>
      <c r="Q125" s="8">
        <v>0.33</v>
      </c>
    </row>
    <row r="126" spans="14:17" x14ac:dyDescent="0.3">
      <c r="N126" s="4" t="s">
        <v>433</v>
      </c>
      <c r="O126" s="10">
        <v>84517.22</v>
      </c>
      <c r="P126" s="10">
        <v>6573</v>
      </c>
      <c r="Q126" s="8">
        <v>0.23330000000000001</v>
      </c>
    </row>
    <row r="127" spans="14:17" x14ac:dyDescent="0.3">
      <c r="N127" s="4" t="s">
        <v>435</v>
      </c>
      <c r="O127" s="10">
        <v>25922.31</v>
      </c>
      <c r="P127" s="10">
        <v>7590</v>
      </c>
      <c r="Q127" s="8">
        <v>0.2928</v>
      </c>
    </row>
    <row r="128" spans="14:17" x14ac:dyDescent="0.3">
      <c r="N128" s="4" t="s">
        <v>436</v>
      </c>
      <c r="O128" s="10">
        <v>73408.59</v>
      </c>
      <c r="P128" s="10">
        <v>7927</v>
      </c>
      <c r="Q128" s="8">
        <v>0.216</v>
      </c>
    </row>
    <row r="129" spans="14:17" x14ac:dyDescent="0.3">
      <c r="N129" s="4" t="s">
        <v>437</v>
      </c>
      <c r="O129" s="10">
        <v>69694.03</v>
      </c>
      <c r="P129" s="10">
        <v>7757</v>
      </c>
      <c r="Q129" s="8">
        <v>0.22259999999999999</v>
      </c>
    </row>
    <row r="130" spans="14:17" x14ac:dyDescent="0.3">
      <c r="N130" s="4" t="s">
        <v>439</v>
      </c>
      <c r="O130" s="10">
        <v>37362.44</v>
      </c>
      <c r="P130" s="10">
        <v>6055</v>
      </c>
      <c r="Q130" s="8">
        <v>0.3241</v>
      </c>
    </row>
    <row r="131" spans="14:17" x14ac:dyDescent="0.3">
      <c r="N131" s="4" t="s">
        <v>441</v>
      </c>
      <c r="O131" s="10">
        <v>980405</v>
      </c>
      <c r="P131" s="10">
        <v>6669</v>
      </c>
      <c r="Q131" s="8">
        <v>0.12239999999999999</v>
      </c>
    </row>
    <row r="132" spans="14:17" x14ac:dyDescent="0.3">
      <c r="N132" s="4" t="s">
        <v>491</v>
      </c>
      <c r="O132" s="10">
        <v>26311987.539999999</v>
      </c>
      <c r="P132" s="10">
        <v>13427</v>
      </c>
      <c r="Q132" s="8">
        <v>4.9000000000000002E-2</v>
      </c>
    </row>
    <row r="133" spans="14:17" x14ac:dyDescent="0.3">
      <c r="N133" s="4" t="s">
        <v>493</v>
      </c>
      <c r="O133" s="10">
        <v>62430.47</v>
      </c>
      <c r="P133" s="10">
        <v>7575</v>
      </c>
      <c r="Q133" s="8">
        <v>0.2427</v>
      </c>
    </row>
    <row r="134" spans="14:17" x14ac:dyDescent="0.3">
      <c r="N134" s="4" t="s">
        <v>494</v>
      </c>
      <c r="O134" s="10">
        <v>53989.63</v>
      </c>
      <c r="P134" s="10">
        <v>7189</v>
      </c>
      <c r="Q134" s="8">
        <v>0.26629999999999998</v>
      </c>
    </row>
    <row r="135" spans="14:17" x14ac:dyDescent="0.3">
      <c r="N135" s="4" t="s">
        <v>488</v>
      </c>
      <c r="O135" s="10">
        <v>593016</v>
      </c>
      <c r="P135" s="10">
        <v>7574</v>
      </c>
      <c r="Q135" s="8">
        <v>0.15329999999999999</v>
      </c>
    </row>
    <row r="136" spans="14:17" x14ac:dyDescent="0.3">
      <c r="N136" s="4" t="s">
        <v>496</v>
      </c>
      <c r="O136" s="10">
        <v>14012854.080626331</v>
      </c>
      <c r="P136" s="10">
        <v>12514.078541922509</v>
      </c>
      <c r="Q136" s="8">
        <v>6.0726910874440175E-2</v>
      </c>
    </row>
    <row r="137" spans="14:17" x14ac:dyDescent="0.3">
      <c r="N137" s="4" t="s">
        <v>497</v>
      </c>
      <c r="O137" s="10">
        <v>2796514.208439765</v>
      </c>
      <c r="P137" s="10">
        <v>7996.7379686588329</v>
      </c>
      <c r="Q137" s="8">
        <v>8.5786132727575695E-2</v>
      </c>
    </row>
    <row r="138" spans="14:17" x14ac:dyDescent="0.3">
      <c r="N138" s="4" t="s">
        <v>498</v>
      </c>
      <c r="O138" s="10">
        <v>1269524.4737333602</v>
      </c>
      <c r="P138" s="10">
        <v>6695.4695456680001</v>
      </c>
      <c r="Q138" s="8">
        <v>0.10547996016143377</v>
      </c>
    </row>
    <row r="139" spans="14:17" x14ac:dyDescent="0.3">
      <c r="N139" s="4" t="s">
        <v>499</v>
      </c>
      <c r="O139" s="10">
        <v>1012063.9171650001</v>
      </c>
      <c r="P139" s="10">
        <v>7313.7232603125003</v>
      </c>
      <c r="Q139" s="8">
        <v>0.11562468553645898</v>
      </c>
    </row>
    <row r="140" spans="14:17" x14ac:dyDescent="0.3">
      <c r="N140" s="4" t="s">
        <v>500</v>
      </c>
      <c r="O140" s="10">
        <v>519010.00331489998</v>
      </c>
      <c r="P140" s="10">
        <v>6041.0546180692318</v>
      </c>
      <c r="Q140" s="8">
        <v>0.15131444390918819</v>
      </c>
    </row>
    <row r="141" spans="14:17" x14ac:dyDescent="0.3">
      <c r="N141" s="4" t="s">
        <v>509</v>
      </c>
      <c r="O141" s="10">
        <v>141928.70851500001</v>
      </c>
      <c r="P141" s="10">
        <v>6205.1180858333328</v>
      </c>
      <c r="Q141" s="8">
        <v>0.26231978649383114</v>
      </c>
    </row>
    <row r="142" spans="14:17" x14ac:dyDescent="0.3">
      <c r="N142" s="4" t="s">
        <v>533</v>
      </c>
      <c r="O142" s="10">
        <v>694106.45674702502</v>
      </c>
      <c r="P142" s="10">
        <v>6735.5537680403841</v>
      </c>
      <c r="Q142" s="8">
        <v>0.12615096450030291</v>
      </c>
    </row>
    <row r="143" spans="14:17" x14ac:dyDescent="0.3">
      <c r="N143" s="4" t="s">
        <v>534</v>
      </c>
      <c r="O143" s="10">
        <v>5042864.2984370552</v>
      </c>
      <c r="P143" s="10">
        <v>10978.922310581807</v>
      </c>
      <c r="Q143" s="8">
        <v>9.5793293865813353E-2</v>
      </c>
    </row>
    <row r="144" spans="14:17" x14ac:dyDescent="0.3">
      <c r="N144" s="4" t="s">
        <v>535</v>
      </c>
      <c r="O144" s="10">
        <v>663650.03045600001</v>
      </c>
      <c r="P144" s="10">
        <v>7151.3498897142854</v>
      </c>
      <c r="Q144" s="8">
        <v>0.15086098675714274</v>
      </c>
    </row>
    <row r="145" spans="14:17" x14ac:dyDescent="0.3">
      <c r="N145" s="4" t="s">
        <v>536</v>
      </c>
      <c r="O145" s="10">
        <v>298278.18940000003</v>
      </c>
      <c r="P145" s="10">
        <v>4851.4203904761907</v>
      </c>
      <c r="Q145" s="8">
        <v>0.11385325491496809</v>
      </c>
    </row>
    <row r="146" spans="14:17" x14ac:dyDescent="0.3">
      <c r="N146" s="4" t="s">
        <v>528</v>
      </c>
      <c r="O146" s="10">
        <v>507450.76</v>
      </c>
      <c r="P146" s="10">
        <v>5566</v>
      </c>
      <c r="Q146" s="8">
        <v>0.10970000000000001</v>
      </c>
    </row>
    <row r="147" spans="14:17" x14ac:dyDescent="0.3">
      <c r="N147" s="4" t="s">
        <v>537</v>
      </c>
      <c r="O147" s="10">
        <v>284699.99632000003</v>
      </c>
      <c r="P147" s="10">
        <v>8573.4940533333338</v>
      </c>
      <c r="Q147" s="8">
        <v>0.18068480851745727</v>
      </c>
    </row>
    <row r="148" spans="14:17" x14ac:dyDescent="0.3">
      <c r="N148" s="4" t="s">
        <v>527</v>
      </c>
      <c r="O148" s="10">
        <v>506311.16</v>
      </c>
      <c r="P148" s="10"/>
      <c r="Q148" s="8">
        <v>0.15</v>
      </c>
    </row>
    <row r="149" spans="14:17" x14ac:dyDescent="0.3">
      <c r="N149" s="4" t="s">
        <v>548</v>
      </c>
      <c r="O149" s="10">
        <v>487553.99670533562</v>
      </c>
      <c r="P149" s="10">
        <v>7318.183729413</v>
      </c>
      <c r="Q149" s="8">
        <v>0.15190116344471161</v>
      </c>
    </row>
    <row r="150" spans="14:17" x14ac:dyDescent="0.3">
      <c r="N150" s="4" t="s">
        <v>544</v>
      </c>
      <c r="O150" s="10">
        <v>237294.52205</v>
      </c>
      <c r="P150" s="10">
        <v>5691.4140916666665</v>
      </c>
      <c r="Q150" s="8">
        <v>0.14390759742361275</v>
      </c>
    </row>
    <row r="151" spans="14:17" x14ac:dyDescent="0.3">
      <c r="N151" s="4" t="s">
        <v>545</v>
      </c>
      <c r="O151" s="10">
        <v>352648.20903010003</v>
      </c>
      <c r="P151" s="10">
        <v>5528.6271225125001</v>
      </c>
      <c r="Q151" s="8">
        <v>0.12541965575763031</v>
      </c>
    </row>
    <row r="152" spans="14:17" x14ac:dyDescent="0.3">
      <c r="N152" s="4" t="s">
        <v>543</v>
      </c>
      <c r="O152" s="10">
        <v>2065872.5530943219</v>
      </c>
      <c r="P152" s="10">
        <v>13893.746287023307</v>
      </c>
      <c r="Q152" s="8">
        <v>0.10209103573263088</v>
      </c>
    </row>
    <row r="153" spans="14:17" x14ac:dyDescent="0.3">
      <c r="N153" s="4" t="s">
        <v>569</v>
      </c>
      <c r="O153" s="10">
        <v>1319031.81</v>
      </c>
      <c r="P153" s="10">
        <v>7378</v>
      </c>
      <c r="Q153" s="8">
        <v>0.1119</v>
      </c>
    </row>
    <row r="154" spans="14:17" x14ac:dyDescent="0.3">
      <c r="N154" s="4" t="s">
        <v>578</v>
      </c>
      <c r="O154" s="10">
        <v>205650.80122786667</v>
      </c>
      <c r="P154" s="10">
        <v>2870.8416669066673</v>
      </c>
      <c r="Q154" s="8">
        <v>6.9798941938614106E-2</v>
      </c>
    </row>
    <row r="155" spans="14:17" x14ac:dyDescent="0.3">
      <c r="N155" s="4" t="s">
        <v>603</v>
      </c>
      <c r="O155" s="10">
        <v>638625.63688979996</v>
      </c>
      <c r="P155" s="10">
        <v>7092.3571779166659</v>
      </c>
      <c r="Q155" s="8">
        <v>0.13326788218131949</v>
      </c>
    </row>
    <row r="156" spans="14:17" x14ac:dyDescent="0.3">
      <c r="N156" s="4" t="s">
        <v>609</v>
      </c>
      <c r="O156" s="10">
        <v>4194000.0036756597</v>
      </c>
      <c r="P156" s="10">
        <v>9604.6489392030162</v>
      </c>
      <c r="Q156" s="8">
        <v>8.8019958938840556E-2</v>
      </c>
    </row>
    <row r="157" spans="14:17" x14ac:dyDescent="0.3">
      <c r="N157" s="4" t="s">
        <v>611</v>
      </c>
      <c r="O157" s="10">
        <v>97449.99855413333</v>
      </c>
      <c r="P157" s="10">
        <v>6671.9723388666671</v>
      </c>
      <c r="Q157" s="8">
        <v>0.27386238841903715</v>
      </c>
    </row>
    <row r="158" spans="14:17" x14ac:dyDescent="0.3">
      <c r="N158" s="4" t="s">
        <v>610</v>
      </c>
      <c r="O158" s="10">
        <v>202990.00271120001</v>
      </c>
      <c r="P158" s="10">
        <v>6103.1641299166668</v>
      </c>
      <c r="Q158" s="8">
        <v>0.18039797177400374</v>
      </c>
    </row>
    <row r="159" spans="14:17" x14ac:dyDescent="0.3">
      <c r="N159" s="4" t="s">
        <v>605</v>
      </c>
      <c r="O159" s="10">
        <v>281482.34465759998</v>
      </c>
      <c r="P159" s="10">
        <v>6770.0378318333342</v>
      </c>
      <c r="Q159" s="8">
        <v>0.14430825862421728</v>
      </c>
    </row>
    <row r="160" spans="14:17" x14ac:dyDescent="0.3">
      <c r="N160" s="4" t="s">
        <v>612</v>
      </c>
      <c r="O160" s="10">
        <v>197464.71945599999</v>
      </c>
      <c r="P160" s="10">
        <v>6563.2682065714298</v>
      </c>
      <c r="Q160" s="8">
        <v>0.23266372632320889</v>
      </c>
    </row>
    <row r="161" spans="14:17" x14ac:dyDescent="0.3">
      <c r="N161" s="4" t="s">
        <v>614</v>
      </c>
      <c r="O161" s="10">
        <v>1100654.4627591788</v>
      </c>
      <c r="P161" s="10">
        <v>5523.2107909378265</v>
      </c>
      <c r="Q161" s="8">
        <v>0.10036230220866864</v>
      </c>
    </row>
    <row r="162" spans="14:17" x14ac:dyDescent="0.3">
      <c r="N162" s="4" t="s">
        <v>620</v>
      </c>
      <c r="O162" s="10">
        <v>157649.99952000001</v>
      </c>
      <c r="P162" s="10">
        <v>5544.4419531249996</v>
      </c>
      <c r="Q162" s="8">
        <v>0.14067724630526529</v>
      </c>
    </row>
    <row r="163" spans="14:17" x14ac:dyDescent="0.3">
      <c r="N163" s="4" t="s">
        <v>625</v>
      </c>
      <c r="O163" s="10">
        <v>1989863.9963005045</v>
      </c>
      <c r="P163" s="10">
        <v>8773.9749484391141</v>
      </c>
      <c r="Q163" s="8">
        <v>0.11464268366257044</v>
      </c>
    </row>
    <row r="164" spans="14:17" x14ac:dyDescent="0.3">
      <c r="N164" s="4" t="s">
        <v>626</v>
      </c>
      <c r="O164" s="10">
        <v>144617.748345</v>
      </c>
      <c r="P164" s="10">
        <v>2316.5683612499997</v>
      </c>
      <c r="Q164" s="8">
        <v>6.4074247808743254E-2</v>
      </c>
    </row>
    <row r="165" spans="14:17" x14ac:dyDescent="0.3">
      <c r="N165" s="4" t="s">
        <v>628</v>
      </c>
      <c r="O165" s="10">
        <v>142384.7550528</v>
      </c>
      <c r="P165" s="10">
        <v>6287.0527099499996</v>
      </c>
      <c r="Q165" s="8">
        <v>0.17662151281908223</v>
      </c>
    </row>
    <row r="166" spans="14:17" x14ac:dyDescent="0.3">
      <c r="N166" s="4" t="s">
        <v>629</v>
      </c>
      <c r="O166" s="10">
        <v>967599.99758061313</v>
      </c>
      <c r="P166" s="10">
        <v>9287.9663186692305</v>
      </c>
      <c r="Q166" s="8">
        <v>0.12628420585664113</v>
      </c>
    </row>
    <row r="167" spans="14:17" x14ac:dyDescent="0.3">
      <c r="N167" s="4" t="s">
        <v>635</v>
      </c>
      <c r="O167" s="10">
        <v>125026</v>
      </c>
      <c r="P167" s="10">
        <v>6467.0959374999993</v>
      </c>
      <c r="Q167" s="8">
        <v>0.2069040339609361</v>
      </c>
    </row>
    <row r="168" spans="14:17" x14ac:dyDescent="0.3">
      <c r="N168" s="4" t="s">
        <v>682</v>
      </c>
      <c r="O168" s="10">
        <v>309801.00248542504</v>
      </c>
      <c r="P168" s="10">
        <v>5969.7922462178567</v>
      </c>
      <c r="Q168" s="8">
        <v>0.13488834893454224</v>
      </c>
    </row>
    <row r="169" spans="14:17" x14ac:dyDescent="0.3">
      <c r="N169" s="4" t="s">
        <v>675</v>
      </c>
      <c r="O169" s="10">
        <v>375592.08962879999</v>
      </c>
      <c r="P169" s="10">
        <v>9450.9471097571422</v>
      </c>
      <c r="Q169" s="8">
        <v>0.17613957161260507</v>
      </c>
    </row>
    <row r="170" spans="14:17" x14ac:dyDescent="0.3">
      <c r="N170" s="4" t="s">
        <v>673</v>
      </c>
      <c r="O170" s="10">
        <v>391471.279155</v>
      </c>
      <c r="P170" s="10">
        <v>7773.507785650002</v>
      </c>
      <c r="Q170" s="8">
        <v>0.19857159897986137</v>
      </c>
    </row>
    <row r="171" spans="14:17" x14ac:dyDescent="0.3">
      <c r="N171" s="4" t="s">
        <v>677</v>
      </c>
      <c r="O171" s="10">
        <v>888307.7198352</v>
      </c>
      <c r="P171" s="10">
        <v>7207.8033004375011</v>
      </c>
      <c r="Q171" s="8">
        <v>0.12982534118739308</v>
      </c>
    </row>
    <row r="172" spans="14:17" x14ac:dyDescent="0.3">
      <c r="N172" s="4" t="s">
        <v>683</v>
      </c>
      <c r="O172" s="10">
        <v>2697903.27</v>
      </c>
      <c r="P172" s="10">
        <v>9313.4979166666672</v>
      </c>
      <c r="Q172" s="8">
        <v>8.2900000000000001E-2</v>
      </c>
    </row>
    <row r="173" spans="14:17" x14ac:dyDescent="0.3">
      <c r="N173" s="4" t="s">
        <v>685</v>
      </c>
      <c r="O173" s="10">
        <v>235259.99786319997</v>
      </c>
      <c r="P173" s="10">
        <v>5107.0530582499996</v>
      </c>
      <c r="Q173" s="8">
        <v>0.13024874023555008</v>
      </c>
    </row>
    <row r="174" spans="14:17" x14ac:dyDescent="0.3">
      <c r="N174" s="4" t="s">
        <v>684</v>
      </c>
      <c r="O174" s="10">
        <v>156848.62119675</v>
      </c>
      <c r="P174" s="10">
        <v>4503.6622604499998</v>
      </c>
      <c r="Q174" s="8">
        <v>0.1435671613204885</v>
      </c>
    </row>
    <row r="175" spans="14:17" x14ac:dyDescent="0.3">
      <c r="N175" s="4" t="s">
        <v>688</v>
      </c>
      <c r="O175" s="10">
        <v>77095.099119999999</v>
      </c>
      <c r="P175" s="10">
        <v>4266.1026300000003</v>
      </c>
      <c r="Q175" s="8">
        <v>0.22134235139173916</v>
      </c>
    </row>
    <row r="176" spans="14:17" x14ac:dyDescent="0.3">
      <c r="N176" s="4" t="s">
        <v>708</v>
      </c>
      <c r="O176" s="10">
        <v>7300768.6076119905</v>
      </c>
      <c r="P176" s="10">
        <v>11305.776227790911</v>
      </c>
      <c r="Q176" s="8">
        <v>6.1942936890251175E-2</v>
      </c>
    </row>
    <row r="177" spans="14:17" x14ac:dyDescent="0.3">
      <c r="N177" s="4" t="s">
        <v>736</v>
      </c>
      <c r="O177" s="10">
        <v>161879.99614</v>
      </c>
      <c r="P177" s="10">
        <v>6718.4281680000004</v>
      </c>
      <c r="Q177" s="8">
        <v>0.20751261206448407</v>
      </c>
    </row>
    <row r="178" spans="14:17" x14ac:dyDescent="0.3">
      <c r="N178" s="4" t="s">
        <v>737</v>
      </c>
      <c r="O178" s="10">
        <v>1457188.1781089827</v>
      </c>
      <c r="P178" s="10">
        <v>11010.324709646524</v>
      </c>
      <c r="Q178" s="8">
        <v>0.15111740371013446</v>
      </c>
    </row>
    <row r="179" spans="14:17" x14ac:dyDescent="0.3">
      <c r="N179" s="4" t="s">
        <v>745</v>
      </c>
      <c r="O179" s="10">
        <v>64396.240873868745</v>
      </c>
      <c r="P179" s="10">
        <v>7407.4157221750002</v>
      </c>
      <c r="Q179" s="8">
        <v>0.23005739532789543</v>
      </c>
    </row>
    <row r="180" spans="14:17" x14ac:dyDescent="0.3">
      <c r="N180" s="4" t="s">
        <v>739</v>
      </c>
      <c r="O180" s="10">
        <v>1202154.4098649765</v>
      </c>
      <c r="P180" s="10">
        <v>7161.812834191046</v>
      </c>
      <c r="Q180" s="8">
        <v>0.13106459624425434</v>
      </c>
    </row>
    <row r="181" spans="14:17" x14ac:dyDescent="0.3">
      <c r="N181" s="4" t="s">
        <v>750</v>
      </c>
      <c r="O181" s="10">
        <v>294943.9987</v>
      </c>
      <c r="P181" s="10">
        <v>6869.2799166666664</v>
      </c>
      <c r="Q181" s="8">
        <v>0.13974069545969031</v>
      </c>
    </row>
    <row r="182" spans="14:17" x14ac:dyDescent="0.3">
      <c r="N182" s="4" t="s">
        <v>749</v>
      </c>
      <c r="O182" s="10">
        <v>14171304.288817581</v>
      </c>
      <c r="P182" s="10">
        <v>12314.844709564619</v>
      </c>
      <c r="Q182" s="8">
        <v>7.4951136081248593E-2</v>
      </c>
    </row>
    <row r="183" spans="14:17" x14ac:dyDescent="0.3">
      <c r="N183" s="4" t="s">
        <v>743</v>
      </c>
      <c r="O183" s="10">
        <v>2093837.99021504</v>
      </c>
      <c r="P183" s="10">
        <v>11447.663575017814</v>
      </c>
      <c r="Q183" s="8">
        <v>0.17495395351144047</v>
      </c>
    </row>
    <row r="184" spans="14:17" x14ac:dyDescent="0.3">
      <c r="N184" s="4" t="s">
        <v>746</v>
      </c>
      <c r="O184" s="10">
        <v>2386429.9989058063</v>
      </c>
      <c r="P184" s="10">
        <v>7394.6559468673031</v>
      </c>
      <c r="Q184" s="8">
        <v>0.11774781833525241</v>
      </c>
    </row>
    <row r="185" spans="14:17" x14ac:dyDescent="0.3">
      <c r="N185" s="3" t="s">
        <v>227</v>
      </c>
      <c r="O185" s="10">
        <v>250820747.14474693</v>
      </c>
      <c r="P185" s="10">
        <v>6840.9705587719609</v>
      </c>
      <c r="Q185" s="8">
        <v>0.13235621277214002</v>
      </c>
    </row>
    <row r="186" spans="14:17" x14ac:dyDescent="0.3">
      <c r="N186" s="4" t="s">
        <v>186</v>
      </c>
      <c r="O186" s="10">
        <v>154870.15299999999</v>
      </c>
      <c r="P186" s="10">
        <v>6412.3607499999998</v>
      </c>
      <c r="Q186" s="8">
        <v>0.16561902021237107</v>
      </c>
    </row>
    <row r="187" spans="14:17" x14ac:dyDescent="0.3">
      <c r="N187" s="4" t="s">
        <v>46</v>
      </c>
      <c r="O187" s="10">
        <v>552969.59</v>
      </c>
      <c r="P187" s="10">
        <v>4663</v>
      </c>
      <c r="Q187" s="8">
        <v>0.1096</v>
      </c>
    </row>
    <row r="188" spans="14:17" x14ac:dyDescent="0.3">
      <c r="N188" s="4" t="s">
        <v>69</v>
      </c>
      <c r="O188" s="10">
        <v>1150000</v>
      </c>
      <c r="P188" s="10">
        <v>6535</v>
      </c>
      <c r="Q188" s="8">
        <v>9.0899999999999995E-2</v>
      </c>
    </row>
    <row r="189" spans="14:17" x14ac:dyDescent="0.3">
      <c r="N189" s="4" t="s">
        <v>60</v>
      </c>
      <c r="O189" s="10">
        <v>353665</v>
      </c>
      <c r="P189" s="10">
        <v>7163</v>
      </c>
      <c r="Q189" s="8">
        <v>0.16200000000000001</v>
      </c>
    </row>
    <row r="190" spans="14:17" x14ac:dyDescent="0.3">
      <c r="N190" s="4" t="s">
        <v>68</v>
      </c>
      <c r="O190" s="10">
        <v>31401.64</v>
      </c>
      <c r="P190" s="10">
        <v>3504</v>
      </c>
      <c r="Q190" s="8">
        <v>0.22320000000000001</v>
      </c>
    </row>
    <row r="191" spans="14:17" x14ac:dyDescent="0.3">
      <c r="N191" s="4" t="s">
        <v>150</v>
      </c>
      <c r="O191" s="10">
        <v>532650</v>
      </c>
      <c r="P191" s="10"/>
      <c r="Q191" s="8">
        <v>9.7199999999999995E-2</v>
      </c>
    </row>
    <row r="192" spans="14:17" x14ac:dyDescent="0.3">
      <c r="N192" s="4" t="s">
        <v>47</v>
      </c>
      <c r="O192" s="10">
        <v>727727.98</v>
      </c>
      <c r="P192" s="10">
        <v>5248.08</v>
      </c>
      <c r="Q192" s="8">
        <v>0.10100000000000001</v>
      </c>
    </row>
    <row r="193" spans="14:17" x14ac:dyDescent="0.3">
      <c r="N193" s="4" t="s">
        <v>61</v>
      </c>
      <c r="O193" s="10">
        <v>380186.18</v>
      </c>
      <c r="P193" s="10">
        <v>4578</v>
      </c>
      <c r="Q193" s="8">
        <v>0.12039999999999999</v>
      </c>
    </row>
    <row r="194" spans="14:17" x14ac:dyDescent="0.3">
      <c r="N194" s="4" t="s">
        <v>65</v>
      </c>
      <c r="O194" s="10">
        <v>104978.51</v>
      </c>
      <c r="P194" s="10">
        <v>3815</v>
      </c>
      <c r="Q194" s="8">
        <v>0.1817</v>
      </c>
    </row>
    <row r="195" spans="14:17" x14ac:dyDescent="0.3">
      <c r="N195" s="4" t="s">
        <v>66</v>
      </c>
      <c r="O195" s="10">
        <v>65604</v>
      </c>
      <c r="P195" s="10">
        <v>3472</v>
      </c>
      <c r="Q195" s="8">
        <v>0.2117</v>
      </c>
    </row>
    <row r="196" spans="14:17" x14ac:dyDescent="0.3">
      <c r="N196" s="4" t="s">
        <v>53</v>
      </c>
      <c r="O196" s="10">
        <v>124570.02</v>
      </c>
      <c r="P196" s="10">
        <v>4527</v>
      </c>
      <c r="Q196" s="8">
        <v>0.1454</v>
      </c>
    </row>
    <row r="197" spans="14:17" x14ac:dyDescent="0.3">
      <c r="N197" s="4" t="s">
        <v>55</v>
      </c>
      <c r="O197" s="10">
        <v>36936.47</v>
      </c>
      <c r="P197" s="10">
        <v>4126</v>
      </c>
      <c r="Q197" s="8">
        <v>0.22339999999999999</v>
      </c>
    </row>
    <row r="198" spans="14:17" x14ac:dyDescent="0.3">
      <c r="N198" s="4" t="s">
        <v>54</v>
      </c>
      <c r="O198" s="10">
        <v>59495.99</v>
      </c>
      <c r="P198" s="10">
        <v>4227</v>
      </c>
      <c r="Q198" s="8">
        <v>0.21310000000000001</v>
      </c>
    </row>
    <row r="199" spans="14:17" x14ac:dyDescent="0.3">
      <c r="N199" s="4" t="s">
        <v>148</v>
      </c>
      <c r="O199" s="10">
        <v>274173.7</v>
      </c>
      <c r="P199" s="10"/>
      <c r="Q199" s="8">
        <v>0.16600000000000001</v>
      </c>
    </row>
    <row r="200" spans="14:17" x14ac:dyDescent="0.3">
      <c r="N200" s="4" t="s">
        <v>184</v>
      </c>
      <c r="O200" s="10">
        <v>3441414.8243959877</v>
      </c>
      <c r="P200" s="10">
        <v>7915.3686262109341</v>
      </c>
      <c r="Q200" s="8">
        <v>5.9800865278600852E-2</v>
      </c>
    </row>
    <row r="201" spans="14:17" x14ac:dyDescent="0.3">
      <c r="N201" s="4" t="s">
        <v>149</v>
      </c>
      <c r="O201" s="10">
        <v>282909.03000000003</v>
      </c>
      <c r="P201" s="10"/>
      <c r="Q201" s="8">
        <v>0.15939999999999999</v>
      </c>
    </row>
    <row r="202" spans="14:17" x14ac:dyDescent="0.3">
      <c r="N202" s="4" t="s">
        <v>188</v>
      </c>
      <c r="O202" s="10">
        <v>461818.99806800002</v>
      </c>
      <c r="P202" s="10">
        <v>10841.0503668</v>
      </c>
      <c r="Q202" s="8">
        <v>0.23474673870397428</v>
      </c>
    </row>
    <row r="203" spans="14:17" x14ac:dyDescent="0.3">
      <c r="N203" s="4" t="s">
        <v>78</v>
      </c>
      <c r="O203" s="10">
        <v>800000</v>
      </c>
      <c r="P203" s="10">
        <v>7010</v>
      </c>
      <c r="Q203" s="8">
        <v>0.12</v>
      </c>
    </row>
    <row r="204" spans="14:17" x14ac:dyDescent="0.3">
      <c r="N204" s="4" t="s">
        <v>176</v>
      </c>
      <c r="O204" s="10">
        <v>80741.763344250008</v>
      </c>
      <c r="P204" s="10">
        <v>1386.0249221250003</v>
      </c>
      <c r="Q204" s="8">
        <v>3.4332292600932041E-2</v>
      </c>
    </row>
    <row r="205" spans="14:17" x14ac:dyDescent="0.3">
      <c r="N205" s="4" t="s">
        <v>67</v>
      </c>
      <c r="O205" s="10">
        <v>1367831.28</v>
      </c>
      <c r="P205" s="10">
        <v>6655</v>
      </c>
      <c r="Q205" s="8">
        <v>6.8099999999999994E-2</v>
      </c>
    </row>
    <row r="206" spans="14:17" x14ac:dyDescent="0.3">
      <c r="N206" s="4" t="s">
        <v>44</v>
      </c>
      <c r="O206" s="10">
        <v>199241</v>
      </c>
      <c r="P206" s="10">
        <v>3726</v>
      </c>
      <c r="Q206" s="8">
        <v>0.13089999999999999</v>
      </c>
    </row>
    <row r="207" spans="14:17" x14ac:dyDescent="0.3">
      <c r="N207" s="4" t="s">
        <v>174</v>
      </c>
      <c r="O207" s="10">
        <v>500000</v>
      </c>
      <c r="P207" s="10">
        <v>8462.5</v>
      </c>
      <c r="Q207" s="8">
        <v>0.16</v>
      </c>
    </row>
    <row r="208" spans="14:17" x14ac:dyDescent="0.3">
      <c r="N208" s="4" t="s">
        <v>151</v>
      </c>
      <c r="O208" s="10">
        <v>846415</v>
      </c>
      <c r="P208" s="10"/>
      <c r="Q208" s="8">
        <v>0.15</v>
      </c>
    </row>
    <row r="209" spans="14:17" x14ac:dyDescent="0.3">
      <c r="N209" s="4" t="s">
        <v>52</v>
      </c>
      <c r="O209" s="10">
        <v>186620.81</v>
      </c>
      <c r="P209" s="10">
        <v>4327.4399999999996</v>
      </c>
      <c r="Q209" s="8">
        <v>0.1391</v>
      </c>
    </row>
    <row r="210" spans="14:17" x14ac:dyDescent="0.3">
      <c r="N210" s="4" t="s">
        <v>169</v>
      </c>
      <c r="O210" s="10">
        <v>6819.4140000000007</v>
      </c>
      <c r="P210" s="10">
        <v>2124.7339999999999</v>
      </c>
      <c r="Q210" s="8">
        <v>0.31157134615965532</v>
      </c>
    </row>
    <row r="211" spans="14:17" x14ac:dyDescent="0.3">
      <c r="N211" s="4" t="s">
        <v>171</v>
      </c>
      <c r="O211" s="10">
        <v>375743.96081249998</v>
      </c>
      <c r="P211" s="10">
        <v>4557.1498312499998</v>
      </c>
      <c r="Q211" s="8">
        <v>0.12128338194433586</v>
      </c>
    </row>
    <row r="212" spans="14:17" x14ac:dyDescent="0.3">
      <c r="N212" s="4" t="s">
        <v>173</v>
      </c>
      <c r="O212" s="10">
        <v>293313.26082696003</v>
      </c>
      <c r="P212" s="10">
        <v>5254.8755596200008</v>
      </c>
      <c r="Q212" s="8">
        <v>0.14332459554824181</v>
      </c>
    </row>
    <row r="213" spans="14:17" x14ac:dyDescent="0.3">
      <c r="N213" s="4" t="s">
        <v>182</v>
      </c>
      <c r="O213" s="10">
        <v>549159.00462130003</v>
      </c>
      <c r="P213" s="10">
        <v>6674.2658101083325</v>
      </c>
      <c r="Q213" s="8">
        <v>0.14584335146526617</v>
      </c>
    </row>
    <row r="214" spans="14:17" x14ac:dyDescent="0.3">
      <c r="N214" s="4" t="s">
        <v>37</v>
      </c>
      <c r="O214" s="10">
        <v>407531.03</v>
      </c>
      <c r="P214" s="10">
        <v>8402</v>
      </c>
      <c r="Q214" s="8">
        <v>0.20619999999999999</v>
      </c>
    </row>
    <row r="215" spans="14:17" x14ac:dyDescent="0.3">
      <c r="N215" s="4" t="s">
        <v>166</v>
      </c>
      <c r="O215" s="10">
        <v>875681.85251</v>
      </c>
      <c r="P215" s="10">
        <v>8708.4833491515146</v>
      </c>
      <c r="Q215" s="8">
        <v>0.14917204217816196</v>
      </c>
    </row>
    <row r="216" spans="14:17" x14ac:dyDescent="0.3">
      <c r="N216" s="4" t="s">
        <v>64</v>
      </c>
      <c r="O216" s="10">
        <v>335891.5</v>
      </c>
      <c r="P216" s="10">
        <v>5878</v>
      </c>
      <c r="Q216" s="8">
        <v>0.14000000000000001</v>
      </c>
    </row>
    <row r="217" spans="14:17" x14ac:dyDescent="0.3">
      <c r="N217" s="4" t="s">
        <v>180</v>
      </c>
      <c r="O217" s="10">
        <v>3260</v>
      </c>
      <c r="P217" s="10"/>
      <c r="Q217" s="8"/>
    </row>
    <row r="218" spans="14:17" x14ac:dyDescent="0.3">
      <c r="N218" s="4" t="s">
        <v>178</v>
      </c>
      <c r="O218" s="10">
        <v>529241.99684536003</v>
      </c>
      <c r="P218" s="10">
        <v>4873.6182004872726</v>
      </c>
      <c r="Q218" s="8">
        <v>0.1012954386177035</v>
      </c>
    </row>
    <row r="219" spans="14:17" x14ac:dyDescent="0.3">
      <c r="N219" s="4" t="s">
        <v>187</v>
      </c>
      <c r="O219" s="10">
        <v>552280.99659785861</v>
      </c>
      <c r="P219" s="10">
        <v>3856.24691353752</v>
      </c>
      <c r="Q219" s="8">
        <v>9.7753602101279702E-2</v>
      </c>
    </row>
    <row r="220" spans="14:17" x14ac:dyDescent="0.3">
      <c r="N220" s="4" t="s">
        <v>152</v>
      </c>
      <c r="O220" s="10">
        <v>1707903.54</v>
      </c>
      <c r="P220" s="10"/>
      <c r="Q220" s="8">
        <v>7.7399999999999997E-2</v>
      </c>
    </row>
    <row r="221" spans="14:17" x14ac:dyDescent="0.3">
      <c r="N221" s="4" t="s">
        <v>70</v>
      </c>
      <c r="O221" s="10">
        <v>90635</v>
      </c>
      <c r="P221" s="10">
        <v>6890</v>
      </c>
      <c r="Q221" s="8">
        <v>0.152</v>
      </c>
    </row>
    <row r="222" spans="14:17" x14ac:dyDescent="0.3">
      <c r="N222" s="4" t="s">
        <v>39</v>
      </c>
      <c r="O222" s="10">
        <v>358055</v>
      </c>
      <c r="P222" s="10">
        <v>6085</v>
      </c>
      <c r="Q222" s="8">
        <v>0.13600000000000001</v>
      </c>
    </row>
    <row r="223" spans="14:17" x14ac:dyDescent="0.3">
      <c r="N223" s="4" t="s">
        <v>59</v>
      </c>
      <c r="O223" s="10">
        <v>1178365.05</v>
      </c>
      <c r="P223" s="10">
        <v>11416.49</v>
      </c>
      <c r="Q223" s="8">
        <v>0.129</v>
      </c>
    </row>
    <row r="224" spans="14:17" x14ac:dyDescent="0.3">
      <c r="N224" s="4" t="s">
        <v>285</v>
      </c>
      <c r="O224" s="10">
        <v>100000</v>
      </c>
      <c r="P224" s="10"/>
      <c r="Q224" s="8"/>
    </row>
    <row r="225" spans="14:17" x14ac:dyDescent="0.3">
      <c r="N225" s="4" t="s">
        <v>311</v>
      </c>
      <c r="O225" s="10">
        <v>69213</v>
      </c>
      <c r="P225" s="10">
        <v>3581.25</v>
      </c>
      <c r="Q225" s="8">
        <v>0.20696978891248755</v>
      </c>
    </row>
    <row r="226" spans="14:17" x14ac:dyDescent="0.3">
      <c r="N226" s="4" t="s">
        <v>312</v>
      </c>
      <c r="O226" s="10">
        <v>266156.2184301372</v>
      </c>
      <c r="P226" s="10">
        <v>5781.0438950420003</v>
      </c>
      <c r="Q226" s="8">
        <v>0.14335524427092206</v>
      </c>
    </row>
    <row r="227" spans="14:17" x14ac:dyDescent="0.3">
      <c r="N227" s="4" t="s">
        <v>315</v>
      </c>
      <c r="O227" s="10">
        <v>310232.00123999995</v>
      </c>
      <c r="P227" s="10">
        <v>5205.4841057142858</v>
      </c>
      <c r="Q227" s="8">
        <v>0.11745528699281652</v>
      </c>
    </row>
    <row r="228" spans="14:17" x14ac:dyDescent="0.3">
      <c r="N228" s="4" t="s">
        <v>317</v>
      </c>
      <c r="O228" s="10">
        <v>254091.86308799998</v>
      </c>
      <c r="P228" s="10">
        <v>5906.7871813333331</v>
      </c>
      <c r="Q228" s="8">
        <v>0.13947996074052071</v>
      </c>
    </row>
    <row r="229" spans="14:17" x14ac:dyDescent="0.3">
      <c r="N229" s="4" t="s">
        <v>318</v>
      </c>
      <c r="O229" s="10">
        <v>281324.99626709998</v>
      </c>
      <c r="P229" s="10">
        <v>5426.2160445166655</v>
      </c>
      <c r="Q229" s="8">
        <v>0.11572841624136711</v>
      </c>
    </row>
    <row r="230" spans="14:17" x14ac:dyDescent="0.3">
      <c r="N230" s="4" t="s">
        <v>320</v>
      </c>
      <c r="O230" s="10">
        <v>126473.0041375</v>
      </c>
      <c r="P230" s="10">
        <v>4270.3010343750002</v>
      </c>
      <c r="Q230" s="8">
        <v>0.13505810393283227</v>
      </c>
    </row>
    <row r="231" spans="14:17" x14ac:dyDescent="0.3">
      <c r="N231" s="4" t="s">
        <v>322</v>
      </c>
      <c r="O231" s="10">
        <v>485388.9956577933</v>
      </c>
      <c r="P231" s="10">
        <v>3947.9935612822742</v>
      </c>
      <c r="Q231" s="8">
        <v>9.7604031321690793E-2</v>
      </c>
    </row>
    <row r="232" spans="14:17" x14ac:dyDescent="0.3">
      <c r="N232" s="4" t="s">
        <v>324</v>
      </c>
      <c r="O232" s="10">
        <v>183595</v>
      </c>
      <c r="P232" s="10">
        <v>4774.833333333333</v>
      </c>
      <c r="Q232" s="8">
        <v>0.15604455459026662</v>
      </c>
    </row>
    <row r="233" spans="14:17" x14ac:dyDescent="0.3">
      <c r="N233" s="4" t="s">
        <v>326</v>
      </c>
      <c r="O233" s="10">
        <v>236650.00412960001</v>
      </c>
      <c r="P233" s="10">
        <v>6651.1960169200001</v>
      </c>
      <c r="Q233" s="8">
        <v>0.14052811960395131</v>
      </c>
    </row>
    <row r="234" spans="14:17" x14ac:dyDescent="0.3">
      <c r="N234" s="4" t="s">
        <v>338</v>
      </c>
      <c r="O234" s="10">
        <v>195050.03</v>
      </c>
      <c r="P234" s="10">
        <v>3657.8</v>
      </c>
      <c r="Q234" s="8">
        <v>9.6600000000000005E-2</v>
      </c>
    </row>
    <row r="235" spans="14:17" x14ac:dyDescent="0.3">
      <c r="N235" s="4" t="s">
        <v>340</v>
      </c>
      <c r="O235" s="10">
        <v>628837</v>
      </c>
      <c r="P235" s="10">
        <v>4678.583333333333</v>
      </c>
      <c r="Q235" s="8">
        <v>8.9280688000228994E-2</v>
      </c>
    </row>
    <row r="236" spans="14:17" x14ac:dyDescent="0.3">
      <c r="N236" s="4" t="s">
        <v>342</v>
      </c>
      <c r="O236" s="10">
        <v>52362</v>
      </c>
      <c r="P236" s="10">
        <v>4009</v>
      </c>
      <c r="Q236" s="8">
        <v>0.15312631297505824</v>
      </c>
    </row>
    <row r="237" spans="14:17" x14ac:dyDescent="0.3">
      <c r="N237" s="4" t="s">
        <v>344</v>
      </c>
      <c r="O237" s="10">
        <v>275759.99744084803</v>
      </c>
      <c r="P237" s="10">
        <v>4908.1777863068573</v>
      </c>
      <c r="Q237" s="8">
        <v>0.12459111119450098</v>
      </c>
    </row>
    <row r="238" spans="14:17" x14ac:dyDescent="0.3">
      <c r="N238" s="4" t="s">
        <v>346</v>
      </c>
      <c r="O238" s="10">
        <v>1056000</v>
      </c>
      <c r="P238" s="10"/>
      <c r="Q238" s="8">
        <v>0.09</v>
      </c>
    </row>
    <row r="239" spans="14:17" x14ac:dyDescent="0.3">
      <c r="N239" s="4" t="s">
        <v>350</v>
      </c>
      <c r="O239" s="10">
        <v>59007.000462200005</v>
      </c>
      <c r="P239" s="10">
        <v>4193.6507310999996</v>
      </c>
      <c r="Q239" s="8">
        <v>0.14214078662705318</v>
      </c>
    </row>
    <row r="240" spans="14:17" x14ac:dyDescent="0.3">
      <c r="N240" s="4" t="s">
        <v>352</v>
      </c>
      <c r="O240" s="10">
        <v>33646.99</v>
      </c>
      <c r="P240" s="10"/>
      <c r="Q240" s="8">
        <v>0.18135322060011907</v>
      </c>
    </row>
    <row r="241" spans="14:17" x14ac:dyDescent="0.3">
      <c r="N241" s="4" t="s">
        <v>353</v>
      </c>
      <c r="O241" s="10">
        <v>5432871.79</v>
      </c>
      <c r="P241" s="10">
        <v>8537.27</v>
      </c>
      <c r="Q241" s="8">
        <v>7.0699999999999999E-2</v>
      </c>
    </row>
    <row r="242" spans="14:17" x14ac:dyDescent="0.3">
      <c r="N242" s="4" t="s">
        <v>354</v>
      </c>
      <c r="O242" s="10">
        <v>3960000</v>
      </c>
      <c r="P242" s="10">
        <v>6904.7186434615387</v>
      </c>
      <c r="Q242" s="8">
        <v>7.3417787124870251E-2</v>
      </c>
    </row>
    <row r="243" spans="14:17" x14ac:dyDescent="0.3">
      <c r="N243" s="4" t="s">
        <v>355</v>
      </c>
      <c r="O243" s="10">
        <v>346794.00111339876</v>
      </c>
      <c r="P243" s="10">
        <v>5408.7214173536659</v>
      </c>
      <c r="Q243" s="8">
        <v>0.15596352301333663</v>
      </c>
    </row>
    <row r="244" spans="14:17" x14ac:dyDescent="0.3">
      <c r="N244" s="4" t="s">
        <v>358</v>
      </c>
      <c r="O244" s="10">
        <v>19570000</v>
      </c>
      <c r="P244" s="10">
        <v>6904.7186434615387</v>
      </c>
      <c r="Q244" s="8">
        <v>4.3999999999999997E-2</v>
      </c>
    </row>
    <row r="245" spans="14:17" x14ac:dyDescent="0.3">
      <c r="N245" s="4" t="s">
        <v>359</v>
      </c>
      <c r="O245" s="10">
        <v>127045</v>
      </c>
      <c r="P245" s="10">
        <v>4346</v>
      </c>
      <c r="Q245" s="8">
        <v>0.17104175685780629</v>
      </c>
    </row>
    <row r="246" spans="14:17" x14ac:dyDescent="0.3">
      <c r="N246" s="4" t="s">
        <v>373</v>
      </c>
      <c r="O246" s="10">
        <v>209041.99550676328</v>
      </c>
      <c r="P246" s="10">
        <v>4298.8576463641457</v>
      </c>
      <c r="Q246" s="8">
        <v>0.15834730020333262</v>
      </c>
    </row>
    <row r="247" spans="14:17" x14ac:dyDescent="0.3">
      <c r="N247" s="4" t="s">
        <v>394</v>
      </c>
      <c r="O247" s="10">
        <v>120876.35</v>
      </c>
      <c r="P247" s="10"/>
      <c r="Q247" s="8">
        <v>0.15</v>
      </c>
    </row>
    <row r="248" spans="14:17" x14ac:dyDescent="0.3">
      <c r="N248" s="4" t="s">
        <v>421</v>
      </c>
      <c r="O248" s="10">
        <v>1000000</v>
      </c>
      <c r="P248" s="10"/>
      <c r="Q248" s="8">
        <v>7.0000000000000007E-2</v>
      </c>
    </row>
    <row r="249" spans="14:17" x14ac:dyDescent="0.3">
      <c r="N249" s="4" t="s">
        <v>443</v>
      </c>
      <c r="O249" s="10">
        <v>568323.80000000005</v>
      </c>
      <c r="P249" s="10">
        <v>6909</v>
      </c>
      <c r="Q249" s="8">
        <v>0.1459</v>
      </c>
    </row>
    <row r="250" spans="14:17" x14ac:dyDescent="0.3">
      <c r="N250" s="4" t="s">
        <v>444</v>
      </c>
      <c r="O250" s="10">
        <v>260217.19071920001</v>
      </c>
      <c r="P250" s="10">
        <v>4790.5397261500002</v>
      </c>
      <c r="Q250" s="8">
        <v>0.14727819366306094</v>
      </c>
    </row>
    <row r="251" spans="14:17" x14ac:dyDescent="0.3">
      <c r="N251" s="4" t="s">
        <v>445</v>
      </c>
      <c r="O251" s="10">
        <v>225544.58</v>
      </c>
      <c r="P251" s="10">
        <v>5009</v>
      </c>
      <c r="Q251" s="8">
        <v>0.13320000000000001</v>
      </c>
    </row>
    <row r="252" spans="14:17" x14ac:dyDescent="0.3">
      <c r="N252" s="4" t="s">
        <v>446</v>
      </c>
      <c r="O252" s="10">
        <v>63200</v>
      </c>
      <c r="P252" s="10">
        <v>4012</v>
      </c>
      <c r="Q252" s="8">
        <v>0.19020000000000001</v>
      </c>
    </row>
    <row r="253" spans="14:17" x14ac:dyDescent="0.3">
      <c r="N253" s="4" t="s">
        <v>447</v>
      </c>
      <c r="O253" s="10">
        <v>1167611.1299999999</v>
      </c>
      <c r="P253" s="10">
        <v>5446</v>
      </c>
      <c r="Q253" s="8">
        <v>0.12130000000000001</v>
      </c>
    </row>
    <row r="254" spans="14:17" x14ac:dyDescent="0.3">
      <c r="N254" s="4" t="s">
        <v>448</v>
      </c>
      <c r="O254" s="10">
        <v>138815.04000000001</v>
      </c>
      <c r="P254" s="10">
        <v>12457</v>
      </c>
      <c r="Q254" s="8">
        <v>0.17949999999999999</v>
      </c>
    </row>
    <row r="255" spans="14:17" x14ac:dyDescent="0.3">
      <c r="N255" s="4" t="s">
        <v>449</v>
      </c>
      <c r="O255" s="10">
        <v>319880</v>
      </c>
      <c r="P255" s="10">
        <v>6866</v>
      </c>
      <c r="Q255" s="8">
        <v>0.15029999999999999</v>
      </c>
    </row>
    <row r="256" spans="14:17" x14ac:dyDescent="0.3">
      <c r="N256" s="4" t="s">
        <v>450</v>
      </c>
      <c r="O256" s="10">
        <v>413643.51</v>
      </c>
      <c r="P256" s="10">
        <v>4875</v>
      </c>
      <c r="Q256" s="8">
        <v>0.1414</v>
      </c>
    </row>
    <row r="257" spans="14:17" x14ac:dyDescent="0.3">
      <c r="N257" s="4" t="s">
        <v>451</v>
      </c>
      <c r="O257" s="10">
        <v>11964000</v>
      </c>
      <c r="P257" s="10"/>
      <c r="Q257" s="8">
        <v>0.05</v>
      </c>
    </row>
    <row r="258" spans="14:17" x14ac:dyDescent="0.3">
      <c r="N258" s="4" t="s">
        <v>453</v>
      </c>
      <c r="O258" s="10">
        <v>745662.1</v>
      </c>
      <c r="P258" s="10">
        <v>5327</v>
      </c>
      <c r="Q258" s="8">
        <v>7.8600000000000003E-2</v>
      </c>
    </row>
    <row r="259" spans="14:17" x14ac:dyDescent="0.3">
      <c r="N259" s="4" t="s">
        <v>452</v>
      </c>
      <c r="O259" s="10">
        <v>151551.65</v>
      </c>
      <c r="P259" s="10">
        <v>5705</v>
      </c>
      <c r="Q259" s="8">
        <v>0.15060000000000001</v>
      </c>
    </row>
    <row r="260" spans="14:17" x14ac:dyDescent="0.3">
      <c r="N260" s="4" t="s">
        <v>501</v>
      </c>
      <c r="O260" s="10">
        <v>1955300.0043330372</v>
      </c>
      <c r="P260" s="10">
        <v>8635.7831883849576</v>
      </c>
      <c r="Q260" s="8">
        <v>8.8332053078787443E-2</v>
      </c>
    </row>
    <row r="261" spans="14:17" x14ac:dyDescent="0.3">
      <c r="N261" s="4" t="s">
        <v>502</v>
      </c>
      <c r="O261" s="10">
        <v>1020056.00087598</v>
      </c>
      <c r="P261" s="10">
        <v>8968.7293447487482</v>
      </c>
      <c r="Q261" s="8">
        <v>0.14067822687455264</v>
      </c>
    </row>
    <row r="262" spans="14:17" x14ac:dyDescent="0.3">
      <c r="N262" s="4" t="s">
        <v>504</v>
      </c>
      <c r="O262" s="10">
        <v>15455577.47790879</v>
      </c>
      <c r="P262" s="10">
        <v>12101.75251466292</v>
      </c>
      <c r="Q262" s="8">
        <v>5.6376164675900849E-2</v>
      </c>
    </row>
    <row r="263" spans="14:17" x14ac:dyDescent="0.3">
      <c r="N263" s="4" t="s">
        <v>505</v>
      </c>
      <c r="O263" s="10">
        <v>2157984.3458886663</v>
      </c>
      <c r="P263" s="10">
        <v>6862.4743145942512</v>
      </c>
      <c r="Q263" s="8">
        <v>7.9659976175496708E-2</v>
      </c>
    </row>
    <row r="264" spans="14:17" x14ac:dyDescent="0.3">
      <c r="N264" s="4" t="s">
        <v>506</v>
      </c>
      <c r="O264" s="10">
        <v>296098.48635949998</v>
      </c>
      <c r="P264" s="10">
        <v>6942.8258599166656</v>
      </c>
      <c r="Q264" s="8">
        <v>0.14068614693600065</v>
      </c>
    </row>
    <row r="265" spans="14:17" x14ac:dyDescent="0.3">
      <c r="N265" s="4" t="s">
        <v>507</v>
      </c>
      <c r="O265" s="10">
        <v>711396.63535500003</v>
      </c>
      <c r="P265" s="10">
        <v>4931.6922721875007</v>
      </c>
      <c r="Q265" s="8">
        <v>0.11091854028185547</v>
      </c>
    </row>
    <row r="266" spans="14:17" x14ac:dyDescent="0.3">
      <c r="N266" s="4" t="s">
        <v>508</v>
      </c>
      <c r="O266" s="10">
        <v>849002.48</v>
      </c>
      <c r="P266" s="10">
        <v>5346</v>
      </c>
      <c r="Q266" s="8">
        <v>0.1007</v>
      </c>
    </row>
    <row r="267" spans="14:17" x14ac:dyDescent="0.3">
      <c r="N267" s="4" t="s">
        <v>512</v>
      </c>
      <c r="O267" s="10">
        <v>7567650.3183946665</v>
      </c>
      <c r="P267" s="10">
        <v>10465.833855699999</v>
      </c>
      <c r="Q267" s="8">
        <v>5.5318802615711385E-2</v>
      </c>
    </row>
    <row r="268" spans="14:17" x14ac:dyDescent="0.3">
      <c r="N268" s="4" t="s">
        <v>513</v>
      </c>
      <c r="O268" s="10">
        <v>622573.39</v>
      </c>
      <c r="P268" s="10">
        <v>6758</v>
      </c>
      <c r="Q268" s="8">
        <v>0.12239999999999999</v>
      </c>
    </row>
    <row r="269" spans="14:17" x14ac:dyDescent="0.3">
      <c r="N269" s="4" t="s">
        <v>549</v>
      </c>
      <c r="O269" s="10">
        <v>92087.856724999991</v>
      </c>
      <c r="P269" s="10">
        <v>3922.7838450000008</v>
      </c>
      <c r="Q269" s="8">
        <v>0.21299137500368409</v>
      </c>
    </row>
    <row r="270" spans="14:17" x14ac:dyDescent="0.3">
      <c r="N270" s="4" t="s">
        <v>541</v>
      </c>
      <c r="O270" s="10">
        <v>1271250.7189886128</v>
      </c>
      <c r="P270" s="10">
        <v>5679.2566258238612</v>
      </c>
      <c r="Q270" s="8">
        <v>8.9349119587396414E-2</v>
      </c>
    </row>
    <row r="271" spans="14:17" x14ac:dyDescent="0.3">
      <c r="N271" s="4" t="s">
        <v>550</v>
      </c>
      <c r="O271" s="10">
        <v>2361700.0044348501</v>
      </c>
      <c r="P271" s="10">
        <v>8394.4151563275645</v>
      </c>
      <c r="Q271" s="8">
        <v>9.2414275163938353E-2</v>
      </c>
    </row>
    <row r="272" spans="14:17" x14ac:dyDescent="0.3">
      <c r="N272" s="4" t="s">
        <v>542</v>
      </c>
      <c r="O272" s="10">
        <v>11310253.003362015</v>
      </c>
      <c r="P272" s="10">
        <v>11872.647244106254</v>
      </c>
      <c r="Q272" s="8">
        <v>8.1878494209193298E-2</v>
      </c>
    </row>
    <row r="273" spans="14:17" x14ac:dyDescent="0.3">
      <c r="N273" s="4" t="s">
        <v>546</v>
      </c>
      <c r="O273" s="10">
        <v>80651.996614000003</v>
      </c>
      <c r="P273" s="10">
        <v>5329.280538</v>
      </c>
      <c r="Q273" s="8">
        <v>0.1982324342262439</v>
      </c>
    </row>
    <row r="274" spans="14:17" x14ac:dyDescent="0.3">
      <c r="N274" s="4" t="s">
        <v>551</v>
      </c>
      <c r="O274" s="10">
        <v>12499189.739990529</v>
      </c>
      <c r="P274" s="10">
        <v>16476.371600173981</v>
      </c>
      <c r="Q274" s="8">
        <v>4.7455026281304595E-2</v>
      </c>
    </row>
    <row r="275" spans="14:17" x14ac:dyDescent="0.3">
      <c r="N275" s="4" t="s">
        <v>552</v>
      </c>
      <c r="O275" s="10">
        <v>625497.63</v>
      </c>
      <c r="P275" s="10">
        <v>6560</v>
      </c>
      <c r="Q275" s="8">
        <v>0.1258</v>
      </c>
    </row>
    <row r="276" spans="14:17" x14ac:dyDescent="0.3">
      <c r="N276" s="4" t="s">
        <v>553</v>
      </c>
      <c r="O276" s="10">
        <v>142487.02977200001</v>
      </c>
      <c r="P276" s="10">
        <v>4369.6149544</v>
      </c>
      <c r="Q276" s="8">
        <v>0.15333377927071748</v>
      </c>
    </row>
    <row r="277" spans="14:17" x14ac:dyDescent="0.3">
      <c r="N277" s="4" t="s">
        <v>554</v>
      </c>
      <c r="O277" s="10">
        <v>91518.997560000003</v>
      </c>
      <c r="P277" s="10">
        <v>5920.6175199999989</v>
      </c>
      <c r="Q277" s="8">
        <v>0.19407831197402808</v>
      </c>
    </row>
    <row r="278" spans="14:17" x14ac:dyDescent="0.3">
      <c r="N278" s="4" t="s">
        <v>558</v>
      </c>
      <c r="O278" s="10">
        <v>33116.224221919998</v>
      </c>
      <c r="P278" s="10">
        <v>3498.3550010933336</v>
      </c>
      <c r="Q278" s="8">
        <v>0.21127740757219135</v>
      </c>
    </row>
    <row r="279" spans="14:17" x14ac:dyDescent="0.3">
      <c r="N279" s="4" t="s">
        <v>556</v>
      </c>
      <c r="O279" s="10">
        <v>9426950.3380961902</v>
      </c>
      <c r="P279" s="10">
        <v>11965.573993677392</v>
      </c>
      <c r="Q279" s="8">
        <v>6.6003301741895254E-2</v>
      </c>
    </row>
    <row r="280" spans="14:17" x14ac:dyDescent="0.3">
      <c r="N280" s="4" t="s">
        <v>557</v>
      </c>
      <c r="O280" s="10">
        <v>120355.81472520001</v>
      </c>
      <c r="P280" s="10">
        <v>7101.1249917333344</v>
      </c>
      <c r="Q280" s="8">
        <v>0.17700328832338103</v>
      </c>
    </row>
    <row r="281" spans="14:17" x14ac:dyDescent="0.3">
      <c r="N281" s="4" t="s">
        <v>571</v>
      </c>
      <c r="O281" s="10">
        <v>189420.47</v>
      </c>
      <c r="P281" s="10"/>
      <c r="Q281" s="8">
        <v>0.15</v>
      </c>
    </row>
    <row r="282" spans="14:17" x14ac:dyDescent="0.3">
      <c r="N282" s="4" t="s">
        <v>572</v>
      </c>
      <c r="O282" s="10">
        <v>188915.83</v>
      </c>
      <c r="P282" s="10"/>
      <c r="Q282" s="8">
        <v>0.15</v>
      </c>
    </row>
    <row r="283" spans="14:17" x14ac:dyDescent="0.3">
      <c r="N283" s="4" t="s">
        <v>630</v>
      </c>
      <c r="O283" s="10">
        <v>260681.7864864</v>
      </c>
      <c r="P283" s="10">
        <v>4771.6238610357141</v>
      </c>
      <c r="Q283" s="8">
        <v>0.14643520517025929</v>
      </c>
    </row>
    <row r="284" spans="14:17" x14ac:dyDescent="0.3">
      <c r="N284" s="4" t="s">
        <v>631</v>
      </c>
      <c r="O284" s="10">
        <v>467680.00235343998</v>
      </c>
      <c r="P284" s="10">
        <v>6212.2961646116664</v>
      </c>
      <c r="Q284" s="8">
        <v>0.15939863496451606</v>
      </c>
    </row>
    <row r="285" spans="14:17" x14ac:dyDescent="0.3">
      <c r="N285" s="4" t="s">
        <v>632</v>
      </c>
      <c r="O285" s="10">
        <v>994486.01828855998</v>
      </c>
      <c r="P285" s="10">
        <v>7334.1259716100003</v>
      </c>
      <c r="Q285" s="8">
        <v>0.11799664689877107</v>
      </c>
    </row>
    <row r="286" spans="14:17" x14ac:dyDescent="0.3">
      <c r="N286" s="4" t="s">
        <v>634</v>
      </c>
      <c r="O286" s="10">
        <v>11119373.088187641</v>
      </c>
      <c r="P286" s="10">
        <v>12295.167980787739</v>
      </c>
      <c r="Q286" s="8">
        <v>6.6344574734249206E-2</v>
      </c>
    </row>
    <row r="287" spans="14:17" x14ac:dyDescent="0.3">
      <c r="N287" s="4" t="s">
        <v>642</v>
      </c>
      <c r="O287" s="10">
        <v>850331.24867200002</v>
      </c>
      <c r="P287" s="10">
        <v>9547.3698259999983</v>
      </c>
      <c r="Q287" s="8">
        <v>0.13473389116409232</v>
      </c>
    </row>
    <row r="288" spans="14:17" x14ac:dyDescent="0.3">
      <c r="N288" s="4" t="s">
        <v>643</v>
      </c>
      <c r="O288" s="10">
        <v>2593979.0002475749</v>
      </c>
      <c r="P288" s="10">
        <v>10455.589062458332</v>
      </c>
      <c r="Q288" s="8">
        <v>0.10479857994146102</v>
      </c>
    </row>
    <row r="289" spans="14:17" x14ac:dyDescent="0.3">
      <c r="N289" s="4" t="s">
        <v>648</v>
      </c>
      <c r="O289" s="10">
        <v>95321.62154303999</v>
      </c>
      <c r="P289" s="10">
        <v>6222.667516784999</v>
      </c>
      <c r="Q289" s="8">
        <v>0.26112302397102283</v>
      </c>
    </row>
    <row r="290" spans="14:17" x14ac:dyDescent="0.3">
      <c r="N290" s="4" t="s">
        <v>647</v>
      </c>
      <c r="O290" s="10">
        <v>403340.00238000002</v>
      </c>
      <c r="P290" s="10">
        <v>6423.8764659999997</v>
      </c>
      <c r="Q290" s="8">
        <v>0.15926703099356487</v>
      </c>
    </row>
    <row r="291" spans="14:17" x14ac:dyDescent="0.3">
      <c r="N291" s="4" t="s">
        <v>640</v>
      </c>
      <c r="O291" s="10">
        <v>4801586.9995879419</v>
      </c>
      <c r="P291" s="10">
        <v>11931.827787650238</v>
      </c>
      <c r="Q291" s="8">
        <v>9.9399034433192132E-2</v>
      </c>
    </row>
    <row r="292" spans="14:17" x14ac:dyDescent="0.3">
      <c r="N292" s="4" t="s">
        <v>641</v>
      </c>
      <c r="O292" s="10">
        <v>67359.99997759999</v>
      </c>
      <c r="P292" s="10">
        <v>4672.5216886666658</v>
      </c>
      <c r="Q292" s="8">
        <v>0.20809924392312087</v>
      </c>
    </row>
    <row r="293" spans="14:17" x14ac:dyDescent="0.3">
      <c r="N293" s="4" t="s">
        <v>689</v>
      </c>
      <c r="O293" s="10">
        <v>23523374.60675355</v>
      </c>
      <c r="P293" s="10">
        <v>18005.635979047256</v>
      </c>
      <c r="Q293" s="8">
        <v>6.1234873924518797E-2</v>
      </c>
    </row>
    <row r="294" spans="14:17" x14ac:dyDescent="0.3">
      <c r="N294" s="4" t="s">
        <v>690</v>
      </c>
      <c r="O294" s="10">
        <v>965399.9957760002</v>
      </c>
      <c r="P294" s="10">
        <v>7890.4603973214298</v>
      </c>
      <c r="Q294" s="8">
        <v>0.1144255707953528</v>
      </c>
    </row>
    <row r="295" spans="14:17" x14ac:dyDescent="0.3">
      <c r="N295" s="4" t="s">
        <v>697</v>
      </c>
      <c r="O295" s="10">
        <v>492100.84642816003</v>
      </c>
      <c r="P295" s="10">
        <v>7049.4415809418188</v>
      </c>
      <c r="Q295" s="8">
        <v>0.15757716726805171</v>
      </c>
    </row>
    <row r="296" spans="14:17" x14ac:dyDescent="0.3">
      <c r="N296" s="4" t="s">
        <v>694</v>
      </c>
      <c r="O296" s="10">
        <v>67373.899999999994</v>
      </c>
      <c r="P296" s="10">
        <v>5008.3</v>
      </c>
      <c r="Q296" s="8">
        <v>0.223</v>
      </c>
    </row>
    <row r="297" spans="14:17" x14ac:dyDescent="0.3">
      <c r="N297" s="4" t="s">
        <v>747</v>
      </c>
      <c r="O297" s="10">
        <v>183293.99910358002</v>
      </c>
      <c r="P297" s="10">
        <v>7287.1755274200004</v>
      </c>
      <c r="Q297" s="8">
        <v>0.15902703990438868</v>
      </c>
    </row>
    <row r="298" spans="14:17" x14ac:dyDescent="0.3">
      <c r="N298" s="4" t="s">
        <v>744</v>
      </c>
      <c r="O298" s="10">
        <v>448670.00257224194</v>
      </c>
      <c r="P298" s="10">
        <v>7620.477405999648</v>
      </c>
      <c r="Q298" s="8">
        <v>0.10190755828084559</v>
      </c>
    </row>
    <row r="299" spans="14:17" x14ac:dyDescent="0.3">
      <c r="N299" s="4" t="s">
        <v>753</v>
      </c>
      <c r="O299" s="10">
        <v>1316576.0848864985</v>
      </c>
      <c r="P299" s="10">
        <v>8440.4938721048911</v>
      </c>
      <c r="Q299" s="8">
        <v>0.17950639627432638</v>
      </c>
    </row>
    <row r="300" spans="14:17" x14ac:dyDescent="0.3">
      <c r="N300" s="4" t="s">
        <v>754</v>
      </c>
      <c r="O300" s="10">
        <v>2750004.1219069967</v>
      </c>
      <c r="P300" s="10">
        <v>7886.9281829697802</v>
      </c>
      <c r="Q300" s="8">
        <v>8.6039087579627749E-2</v>
      </c>
    </row>
    <row r="301" spans="14:17" x14ac:dyDescent="0.3">
      <c r="N301" s="4" t="s">
        <v>755</v>
      </c>
      <c r="O301" s="10">
        <v>6896262.5420955103</v>
      </c>
      <c r="P301" s="10">
        <v>15634.054283585117</v>
      </c>
      <c r="Q301" s="8">
        <v>9.9749448962933362E-2</v>
      </c>
    </row>
    <row r="302" spans="14:17" x14ac:dyDescent="0.3">
      <c r="N302" s="4" t="s">
        <v>756</v>
      </c>
      <c r="O302" s="10">
        <v>4738767.0938645368</v>
      </c>
      <c r="P302" s="10">
        <v>9132.7525907587751</v>
      </c>
      <c r="Q302" s="8">
        <v>8.9038596186621716E-2</v>
      </c>
    </row>
    <row r="303" spans="14:17" x14ac:dyDescent="0.3">
      <c r="N303" s="4" t="s">
        <v>751</v>
      </c>
      <c r="O303" s="10">
        <v>4383237.0088144429</v>
      </c>
      <c r="P303" s="10">
        <v>9159.1534756425499</v>
      </c>
      <c r="Q303" s="8">
        <v>8.7762638708198615E-2</v>
      </c>
    </row>
    <row r="304" spans="14:17" x14ac:dyDescent="0.3">
      <c r="N304" s="4" t="s">
        <v>752</v>
      </c>
      <c r="O304" s="10">
        <v>1640749.9953475962</v>
      </c>
      <c r="P304" s="10">
        <v>8009.6431798440335</v>
      </c>
      <c r="Q304" s="8">
        <v>0.1269241037735469</v>
      </c>
    </row>
    <row r="305" spans="14:17" x14ac:dyDescent="0.3">
      <c r="N305" s="4" t="s">
        <v>760</v>
      </c>
      <c r="O305" s="10">
        <v>15111676.483680254</v>
      </c>
      <c r="P305" s="10">
        <v>10924.710710607929</v>
      </c>
      <c r="Q305" s="8">
        <v>6.5678349396282032E-2</v>
      </c>
    </row>
    <row r="306" spans="14:17" x14ac:dyDescent="0.3">
      <c r="N306" s="4" t="s">
        <v>761</v>
      </c>
      <c r="O306" s="10">
        <v>14842822.863444587</v>
      </c>
      <c r="P306" s="10">
        <v>10787.549426753498</v>
      </c>
      <c r="Q306" s="8">
        <v>6.6028468737860724E-2</v>
      </c>
    </row>
    <row r="307" spans="14:17" x14ac:dyDescent="0.3">
      <c r="N307" s="4" t="s">
        <v>763</v>
      </c>
      <c r="O307" s="10">
        <v>11358293.2555281</v>
      </c>
      <c r="P307" s="10">
        <v>15914.013158900334</v>
      </c>
      <c r="Q307" s="8">
        <v>7.2856781000971052E-2</v>
      </c>
    </row>
    <row r="308" spans="14:17" x14ac:dyDescent="0.3">
      <c r="N308" s="3" t="s">
        <v>226</v>
      </c>
      <c r="O308" s="10">
        <v>136105926.70696229</v>
      </c>
      <c r="P308" s="10">
        <v>6713.5827684596752</v>
      </c>
      <c r="Q308" s="8">
        <v>0.15224578007031817</v>
      </c>
    </row>
    <row r="309" spans="14:17" x14ac:dyDescent="0.3">
      <c r="N309" s="4" t="s">
        <v>113</v>
      </c>
      <c r="O309" s="10">
        <v>23862.003237499997</v>
      </c>
      <c r="P309" s="10">
        <v>4754.5032375000001</v>
      </c>
      <c r="Q309" s="8">
        <v>0.19924996196581379</v>
      </c>
    </row>
    <row r="310" spans="14:17" x14ac:dyDescent="0.3">
      <c r="N310" s="4" t="s">
        <v>205</v>
      </c>
      <c r="O310" s="10">
        <v>702515.73452431639</v>
      </c>
      <c r="P310" s="10">
        <v>4842.0226878127387</v>
      </c>
      <c r="Q310" s="8">
        <v>0.13784809221650651</v>
      </c>
    </row>
    <row r="311" spans="14:17" x14ac:dyDescent="0.3">
      <c r="N311" s="4" t="s">
        <v>79</v>
      </c>
      <c r="O311" s="10">
        <v>750000</v>
      </c>
      <c r="P311" s="10">
        <v>0</v>
      </c>
      <c r="Q311" s="8">
        <v>0</v>
      </c>
    </row>
    <row r="312" spans="14:17" x14ac:dyDescent="0.3">
      <c r="N312" s="4" t="s">
        <v>80</v>
      </c>
      <c r="O312" s="10">
        <v>279540</v>
      </c>
      <c r="P312" s="10">
        <v>5553</v>
      </c>
      <c r="Q312" s="8">
        <v>0.1986</v>
      </c>
    </row>
    <row r="313" spans="14:17" x14ac:dyDescent="0.3">
      <c r="N313" s="4" t="s">
        <v>258</v>
      </c>
      <c r="O313" s="10">
        <v>279540</v>
      </c>
      <c r="P313" s="10">
        <v>5553</v>
      </c>
      <c r="Q313" s="8">
        <v>0.1986</v>
      </c>
    </row>
    <row r="314" spans="14:17" x14ac:dyDescent="0.3">
      <c r="N314" s="4" t="s">
        <v>76</v>
      </c>
      <c r="O314" s="10">
        <v>765780</v>
      </c>
      <c r="P314" s="10">
        <v>6502.66</v>
      </c>
      <c r="Q314" s="8">
        <v>0.1019</v>
      </c>
    </row>
    <row r="315" spans="14:17" x14ac:dyDescent="0.3">
      <c r="N315" s="4" t="s">
        <v>204</v>
      </c>
      <c r="O315" s="10">
        <v>249619.99671760001</v>
      </c>
      <c r="P315" s="10">
        <v>6382.5669025142861</v>
      </c>
      <c r="Q315" s="8">
        <v>0.17898393119580505</v>
      </c>
    </row>
    <row r="316" spans="14:17" x14ac:dyDescent="0.3">
      <c r="N316" s="4" t="s">
        <v>83</v>
      </c>
      <c r="O316" s="10">
        <v>374945</v>
      </c>
      <c r="P316" s="10">
        <v>5425.51</v>
      </c>
      <c r="Q316" s="8">
        <v>0.1158</v>
      </c>
    </row>
    <row r="317" spans="14:17" x14ac:dyDescent="0.3">
      <c r="N317" s="4" t="s">
        <v>82</v>
      </c>
      <c r="O317" s="10">
        <v>140632.63</v>
      </c>
      <c r="P317" s="10">
        <v>4861</v>
      </c>
      <c r="Q317" s="8">
        <v>0.2074</v>
      </c>
    </row>
    <row r="318" spans="14:17" x14ac:dyDescent="0.3">
      <c r="N318" s="4" t="s">
        <v>201</v>
      </c>
      <c r="O318" s="10">
        <v>1573035.8770409725</v>
      </c>
      <c r="P318" s="10">
        <v>5495.3700924398145</v>
      </c>
      <c r="Q318" s="8">
        <v>9.4951226717686729E-2</v>
      </c>
    </row>
    <row r="319" spans="14:17" x14ac:dyDescent="0.3">
      <c r="N319" s="4" t="s">
        <v>196</v>
      </c>
      <c r="O319" s="10">
        <v>22890.001128</v>
      </c>
      <c r="P319" s="10">
        <v>3101.5005639999999</v>
      </c>
      <c r="Q319" s="8">
        <v>0.27099173535698218</v>
      </c>
    </row>
    <row r="320" spans="14:17" x14ac:dyDescent="0.3">
      <c r="N320" s="4" t="s">
        <v>77</v>
      </c>
      <c r="O320" s="10">
        <v>300000</v>
      </c>
      <c r="P320" s="10">
        <v>4812.5</v>
      </c>
      <c r="Q320" s="8">
        <v>0.128</v>
      </c>
    </row>
    <row r="321" spans="14:17" x14ac:dyDescent="0.3">
      <c r="N321" s="4" t="s">
        <v>193</v>
      </c>
      <c r="O321" s="10">
        <v>71556.001806999993</v>
      </c>
      <c r="P321" s="10">
        <v>5677.9288690000003</v>
      </c>
      <c r="Q321" s="8">
        <v>0.23804832825824074</v>
      </c>
    </row>
    <row r="322" spans="14:17" x14ac:dyDescent="0.3">
      <c r="N322" s="4" t="s">
        <v>203</v>
      </c>
      <c r="O322" s="10">
        <v>172995.99622999999</v>
      </c>
      <c r="P322" s="10">
        <v>5353.3327049999998</v>
      </c>
      <c r="Q322" s="8">
        <v>0.18566901506377134</v>
      </c>
    </row>
    <row r="323" spans="14:17" x14ac:dyDescent="0.3">
      <c r="N323" s="4" t="s">
        <v>174</v>
      </c>
      <c r="O323" s="10">
        <v>887800.99927816004</v>
      </c>
      <c r="P323" s="10">
        <v>6034.3245598584608</v>
      </c>
      <c r="Q323" s="8">
        <v>8.8360138524220935E-2</v>
      </c>
    </row>
    <row r="324" spans="14:17" x14ac:dyDescent="0.3">
      <c r="N324" s="4" t="s">
        <v>218</v>
      </c>
      <c r="O324" s="10">
        <v>1795729.999365207</v>
      </c>
      <c r="P324" s="10">
        <v>6548.9206369559488</v>
      </c>
      <c r="Q324" s="8">
        <v>6.5644930756226169E-2</v>
      </c>
    </row>
    <row r="325" spans="14:17" x14ac:dyDescent="0.3">
      <c r="N325" s="4" t="s">
        <v>133</v>
      </c>
      <c r="O325" s="10">
        <v>559554.30508000008</v>
      </c>
      <c r="P325" s="10">
        <v>5991.88609</v>
      </c>
      <c r="Q325" s="8">
        <v>0.12849983000259466</v>
      </c>
    </row>
    <row r="326" spans="14:17" x14ac:dyDescent="0.3">
      <c r="N326" s="4" t="s">
        <v>194</v>
      </c>
      <c r="O326" s="10">
        <v>47035.004473749999</v>
      </c>
      <c r="P326" s="10">
        <v>3849.7868245833338</v>
      </c>
      <c r="Q326" s="8">
        <v>0.24554819549758183</v>
      </c>
    </row>
    <row r="327" spans="14:17" x14ac:dyDescent="0.3">
      <c r="N327" s="4" t="s">
        <v>198</v>
      </c>
      <c r="O327" s="10">
        <v>6315259.0001290133</v>
      </c>
      <c r="P327" s="10">
        <v>18630.478786742337</v>
      </c>
      <c r="Q327" s="8">
        <v>9.1452281272583424E-2</v>
      </c>
    </row>
    <row r="328" spans="14:17" x14ac:dyDescent="0.3">
      <c r="N328" s="4" t="s">
        <v>191</v>
      </c>
      <c r="O328" s="10">
        <v>133446.7979838</v>
      </c>
      <c r="P328" s="10">
        <v>3862.2277959500002</v>
      </c>
      <c r="Q328" s="8">
        <v>0.11576831679150104</v>
      </c>
    </row>
    <row r="329" spans="14:17" x14ac:dyDescent="0.3">
      <c r="N329" s="4" t="s">
        <v>81</v>
      </c>
      <c r="O329" s="10">
        <v>208100</v>
      </c>
      <c r="P329" s="10">
        <v>5287</v>
      </c>
      <c r="Q329" s="8">
        <v>0.20330000000000001</v>
      </c>
    </row>
    <row r="330" spans="14:17" x14ac:dyDescent="0.3">
      <c r="N330" s="4" t="s">
        <v>75</v>
      </c>
      <c r="O330" s="10">
        <v>57142.63</v>
      </c>
      <c r="P330" s="10">
        <v>4357</v>
      </c>
      <c r="Q330" s="8">
        <v>0.22869999999999999</v>
      </c>
    </row>
    <row r="331" spans="14:17" x14ac:dyDescent="0.3">
      <c r="N331" s="4" t="s">
        <v>73</v>
      </c>
      <c r="O331" s="10">
        <v>90521.03</v>
      </c>
      <c r="P331" s="10">
        <v>3243</v>
      </c>
      <c r="Q331" s="8">
        <v>0.25080000000000002</v>
      </c>
    </row>
    <row r="332" spans="14:17" x14ac:dyDescent="0.3">
      <c r="N332" s="4" t="s">
        <v>192</v>
      </c>
      <c r="O332" s="10">
        <v>174490.99884812499</v>
      </c>
      <c r="P332" s="10">
        <v>4605.5414746875003</v>
      </c>
      <c r="Q332" s="8">
        <v>0.15836489578569421</v>
      </c>
    </row>
    <row r="333" spans="14:17" x14ac:dyDescent="0.3">
      <c r="N333" s="4" t="s">
        <v>199</v>
      </c>
      <c r="O333" s="10">
        <v>94147.00243475</v>
      </c>
      <c r="P333" s="10">
        <v>4899.063108687501</v>
      </c>
      <c r="Q333" s="8">
        <v>0.20814526143125461</v>
      </c>
    </row>
    <row r="334" spans="14:17" x14ac:dyDescent="0.3">
      <c r="N334" s="4" t="s">
        <v>74</v>
      </c>
      <c r="O334" s="10">
        <v>475505.76</v>
      </c>
      <c r="P334" s="10">
        <v>6037</v>
      </c>
      <c r="Q334" s="8">
        <v>0.11</v>
      </c>
    </row>
    <row r="335" spans="14:17" x14ac:dyDescent="0.3">
      <c r="N335" s="4" t="s">
        <v>327</v>
      </c>
      <c r="O335" s="10">
        <v>291832.99880359502</v>
      </c>
      <c r="P335" s="10">
        <v>6596.1002907190004</v>
      </c>
      <c r="Q335" s="8">
        <v>0.1130115565710615</v>
      </c>
    </row>
    <row r="336" spans="14:17" x14ac:dyDescent="0.3">
      <c r="N336" s="4" t="s">
        <v>356</v>
      </c>
      <c r="O336" s="10">
        <v>2936344.6088940077</v>
      </c>
      <c r="P336" s="10">
        <v>6737.8787956305368</v>
      </c>
      <c r="Q336" s="8">
        <v>9.6375237620039703E-2</v>
      </c>
    </row>
    <row r="337" spans="14:17" x14ac:dyDescent="0.3">
      <c r="N337" s="4" t="s">
        <v>371</v>
      </c>
      <c r="O337" s="10">
        <v>39508.004315999999</v>
      </c>
      <c r="P337" s="10">
        <v>2827.5283686666667</v>
      </c>
      <c r="Q337" s="8">
        <v>0.21470548191078112</v>
      </c>
    </row>
    <row r="338" spans="14:17" x14ac:dyDescent="0.3">
      <c r="N338" s="4" t="s">
        <v>372</v>
      </c>
      <c r="O338" s="10">
        <v>16000000</v>
      </c>
      <c r="P338" s="10">
        <v>10316</v>
      </c>
      <c r="Q338" s="8">
        <v>5.1499999999999997E-2</v>
      </c>
    </row>
    <row r="339" spans="14:17" x14ac:dyDescent="0.3">
      <c r="N339" s="4" t="s">
        <v>374</v>
      </c>
      <c r="O339" s="10">
        <v>37069.996881999999</v>
      </c>
      <c r="P339" s="10">
        <v>3064.6455106666667</v>
      </c>
      <c r="Q339" s="8">
        <v>0.24801557338312807</v>
      </c>
    </row>
    <row r="340" spans="14:17" x14ac:dyDescent="0.3">
      <c r="N340" s="4" t="s">
        <v>377</v>
      </c>
      <c r="O340" s="10">
        <v>6000000</v>
      </c>
      <c r="P340" s="10"/>
      <c r="Q340" s="8">
        <v>0.08</v>
      </c>
    </row>
    <row r="341" spans="14:17" x14ac:dyDescent="0.3">
      <c r="N341" s="4" t="s">
        <v>378</v>
      </c>
      <c r="O341" s="10">
        <v>3297897.2643975001</v>
      </c>
      <c r="P341" s="10">
        <v>7218.8997349375004</v>
      </c>
      <c r="Q341" s="8">
        <v>8.7557606028171239E-2</v>
      </c>
    </row>
    <row r="342" spans="14:17" x14ac:dyDescent="0.3">
      <c r="N342" s="4" t="s">
        <v>381</v>
      </c>
      <c r="O342" s="10">
        <v>136339.9952032</v>
      </c>
      <c r="P342" s="10">
        <v>3633.7841955333338</v>
      </c>
      <c r="Q342" s="8">
        <v>0.15991422869500202</v>
      </c>
    </row>
    <row r="343" spans="14:17" x14ac:dyDescent="0.3">
      <c r="N343" s="4" t="s">
        <v>379</v>
      </c>
      <c r="O343" s="10">
        <v>8967980</v>
      </c>
      <c r="P343" s="10">
        <v>10012</v>
      </c>
      <c r="Q343" s="8">
        <v>0.08</v>
      </c>
    </row>
    <row r="344" spans="14:17" x14ac:dyDescent="0.3">
      <c r="N344" s="4" t="s">
        <v>382</v>
      </c>
      <c r="O344" s="10">
        <v>1725296.0002663452</v>
      </c>
      <c r="P344" s="10">
        <v>10059.062561830373</v>
      </c>
      <c r="Q344" s="8">
        <v>8.1624762269132289E-2</v>
      </c>
    </row>
    <row r="345" spans="14:17" x14ac:dyDescent="0.3">
      <c r="N345" s="4" t="s">
        <v>380</v>
      </c>
      <c r="O345" s="10">
        <v>1168513.9980397499</v>
      </c>
      <c r="P345" s="10">
        <v>7362.2502126406243</v>
      </c>
      <c r="Q345" s="8">
        <v>0.10080838021612032</v>
      </c>
    </row>
    <row r="346" spans="14:17" x14ac:dyDescent="0.3">
      <c r="N346" s="4" t="s">
        <v>389</v>
      </c>
      <c r="O346" s="10">
        <v>211326.21813599998</v>
      </c>
      <c r="P346" s="10">
        <v>5786.7218407499995</v>
      </c>
      <c r="Q346" s="8">
        <v>0.21906309181290237</v>
      </c>
    </row>
    <row r="347" spans="14:17" x14ac:dyDescent="0.3">
      <c r="N347" s="4" t="s">
        <v>396</v>
      </c>
      <c r="O347" s="10">
        <v>24770.75</v>
      </c>
      <c r="P347" s="10"/>
      <c r="Q347" s="8">
        <v>0.15</v>
      </c>
    </row>
    <row r="348" spans="14:17" x14ac:dyDescent="0.3">
      <c r="N348" s="4" t="s">
        <v>395</v>
      </c>
      <c r="O348" s="10">
        <v>173456.99</v>
      </c>
      <c r="P348" s="10"/>
      <c r="Q348" s="8">
        <v>0.15</v>
      </c>
    </row>
    <row r="349" spans="14:17" x14ac:dyDescent="0.3">
      <c r="N349" s="4" t="s">
        <v>405</v>
      </c>
      <c r="O349" s="10">
        <v>59930.9960058</v>
      </c>
      <c r="P349" s="10">
        <v>3449.7652567666669</v>
      </c>
      <c r="Q349" s="8">
        <v>0.17268686422796006</v>
      </c>
    </row>
    <row r="350" spans="14:17" x14ac:dyDescent="0.3">
      <c r="N350" s="4" t="s">
        <v>404</v>
      </c>
      <c r="O350" s="10">
        <v>283278.41555999999</v>
      </c>
      <c r="P350" s="10">
        <v>5077.1836387500007</v>
      </c>
      <c r="Q350" s="8">
        <v>0.14338356499807869</v>
      </c>
    </row>
    <row r="351" spans="14:17" x14ac:dyDescent="0.3">
      <c r="N351" s="4" t="s">
        <v>454</v>
      </c>
      <c r="O351" s="10">
        <v>156998.00417600002</v>
      </c>
      <c r="P351" s="10">
        <v>9125</v>
      </c>
      <c r="Q351" s="8">
        <v>0.1744</v>
      </c>
    </row>
    <row r="352" spans="14:17" x14ac:dyDescent="0.3">
      <c r="N352" s="4" t="s">
        <v>455</v>
      </c>
      <c r="O352" s="10">
        <v>658782.94999999995</v>
      </c>
      <c r="P352" s="10">
        <v>7466.5</v>
      </c>
      <c r="Q352" s="8">
        <v>0.13600000000000001</v>
      </c>
    </row>
    <row r="353" spans="14:17" x14ac:dyDescent="0.3">
      <c r="N353" s="4" t="s">
        <v>456</v>
      </c>
      <c r="O353" s="10">
        <v>348764</v>
      </c>
      <c r="P353" s="10">
        <v>5918.99</v>
      </c>
      <c r="Q353" s="8">
        <v>0.1358</v>
      </c>
    </row>
    <row r="354" spans="14:17" x14ac:dyDescent="0.3">
      <c r="N354" s="4" t="s">
        <v>462</v>
      </c>
      <c r="O354" s="10">
        <v>862159.91</v>
      </c>
      <c r="P354" s="10">
        <v>5917</v>
      </c>
      <c r="Q354" s="8">
        <v>8.9200000000000002E-2</v>
      </c>
    </row>
    <row r="355" spans="14:17" x14ac:dyDescent="0.3">
      <c r="N355" s="4" t="s">
        <v>463</v>
      </c>
      <c r="O355" s="10">
        <v>498873.36618064001</v>
      </c>
      <c r="P355" s="10">
        <v>6547.2837953950002</v>
      </c>
      <c r="Q355" s="8">
        <v>0.15748967748318532</v>
      </c>
    </row>
    <row r="356" spans="14:17" x14ac:dyDescent="0.3">
      <c r="N356" s="4" t="s">
        <v>464</v>
      </c>
      <c r="O356" s="10">
        <v>1700000</v>
      </c>
      <c r="P356" s="10">
        <v>7816.67</v>
      </c>
      <c r="Q356" s="8">
        <v>9.6600000000000005E-2</v>
      </c>
    </row>
    <row r="357" spans="14:17" x14ac:dyDescent="0.3">
      <c r="N357" s="4" t="s">
        <v>465</v>
      </c>
      <c r="O357" s="10">
        <v>2588388.37</v>
      </c>
      <c r="P357" s="10">
        <v>10738</v>
      </c>
      <c r="Q357" s="8">
        <v>8.3000000000000004E-2</v>
      </c>
    </row>
    <row r="358" spans="14:17" x14ac:dyDescent="0.3">
      <c r="N358" s="4" t="s">
        <v>466</v>
      </c>
      <c r="O358" s="10">
        <v>33000</v>
      </c>
      <c r="P358" s="10">
        <v>1650</v>
      </c>
      <c r="Q358" s="8">
        <v>0.15</v>
      </c>
    </row>
    <row r="359" spans="14:17" x14ac:dyDescent="0.3">
      <c r="N359" s="4" t="s">
        <v>467</v>
      </c>
      <c r="O359" s="10">
        <v>34373</v>
      </c>
      <c r="P359" s="10">
        <v>2285</v>
      </c>
      <c r="Q359" s="8">
        <v>0.26590000000000003</v>
      </c>
    </row>
    <row r="360" spans="14:17" x14ac:dyDescent="0.3">
      <c r="N360" s="4" t="s">
        <v>468</v>
      </c>
      <c r="O360" s="10">
        <v>272532.84999999998</v>
      </c>
      <c r="P360" s="10">
        <v>6899</v>
      </c>
      <c r="Q360" s="8">
        <v>0.15190000000000001</v>
      </c>
    </row>
    <row r="361" spans="14:17" x14ac:dyDescent="0.3">
      <c r="N361" s="4" t="s">
        <v>469</v>
      </c>
      <c r="O361" s="10">
        <v>170080</v>
      </c>
      <c r="P361" s="10">
        <v>6542</v>
      </c>
      <c r="Q361" s="8">
        <v>0.15390000000000001</v>
      </c>
    </row>
    <row r="362" spans="14:17" x14ac:dyDescent="0.3">
      <c r="N362" s="4" t="s">
        <v>470</v>
      </c>
      <c r="O362" s="10">
        <v>165294.81</v>
      </c>
      <c r="P362" s="10">
        <v>5112</v>
      </c>
      <c r="Q362" s="8">
        <v>0.24740000000000001</v>
      </c>
    </row>
    <row r="363" spans="14:17" x14ac:dyDescent="0.3">
      <c r="N363" s="4" t="s">
        <v>471</v>
      </c>
      <c r="O363" s="10">
        <v>59510</v>
      </c>
      <c r="P363" s="10">
        <v>5843</v>
      </c>
      <c r="Q363" s="8">
        <v>0.19639999999999999</v>
      </c>
    </row>
    <row r="364" spans="14:17" x14ac:dyDescent="0.3">
      <c r="N364" s="4" t="s">
        <v>473</v>
      </c>
      <c r="O364" s="10">
        <v>17009.3</v>
      </c>
      <c r="P364" s="10">
        <v>2126.16</v>
      </c>
      <c r="Q364" s="8">
        <v>0.25</v>
      </c>
    </row>
    <row r="365" spans="14:17" x14ac:dyDescent="0.3">
      <c r="N365" s="4" t="s">
        <v>474</v>
      </c>
      <c r="O365" s="10">
        <v>65534.67</v>
      </c>
      <c r="P365" s="10">
        <v>5619</v>
      </c>
      <c r="Q365" s="8">
        <v>0.25719999999999998</v>
      </c>
    </row>
    <row r="366" spans="14:17" x14ac:dyDescent="0.3">
      <c r="N366" s="4" t="s">
        <v>475</v>
      </c>
      <c r="O366" s="10">
        <v>3530326.63</v>
      </c>
      <c r="P366" s="10">
        <v>6591</v>
      </c>
      <c r="Q366" s="8">
        <v>7.4700000000000003E-2</v>
      </c>
    </row>
    <row r="367" spans="14:17" x14ac:dyDescent="0.3">
      <c r="N367" s="4" t="s">
        <v>478</v>
      </c>
      <c r="O367" s="10">
        <v>4481107.32</v>
      </c>
      <c r="P367" s="10">
        <v>8989</v>
      </c>
      <c r="Q367" s="8">
        <v>0.08</v>
      </c>
    </row>
    <row r="368" spans="14:17" x14ac:dyDescent="0.3">
      <c r="N368" s="4" t="s">
        <v>476</v>
      </c>
      <c r="O368" s="10">
        <v>5193210.9600960203</v>
      </c>
      <c r="P368" s="10">
        <v>9621.5178720805634</v>
      </c>
      <c r="Q368" s="8">
        <v>7.4108430764789623E-2</v>
      </c>
    </row>
    <row r="369" spans="14:17" x14ac:dyDescent="0.3">
      <c r="N369" s="4" t="s">
        <v>477</v>
      </c>
      <c r="O369" s="10">
        <v>22858.94</v>
      </c>
      <c r="P369" s="10">
        <v>3992</v>
      </c>
      <c r="Q369" s="8">
        <v>0.3493</v>
      </c>
    </row>
    <row r="370" spans="14:17" x14ac:dyDescent="0.3">
      <c r="N370" s="4" t="s">
        <v>485</v>
      </c>
      <c r="O370" s="10">
        <v>4837152.3600000003</v>
      </c>
      <c r="P370" s="10">
        <v>9325</v>
      </c>
      <c r="Q370" s="8">
        <v>8.1000000000000003E-2</v>
      </c>
    </row>
    <row r="371" spans="14:17" x14ac:dyDescent="0.3">
      <c r="N371" s="4" t="s">
        <v>495</v>
      </c>
      <c r="O371" s="10">
        <v>3215733.8873239146</v>
      </c>
      <c r="P371" s="10">
        <v>8644.1087826199891</v>
      </c>
      <c r="Q371" s="8">
        <v>0.11289882235005659</v>
      </c>
    </row>
    <row r="372" spans="14:17" x14ac:dyDescent="0.3">
      <c r="N372" s="4" t="s">
        <v>514</v>
      </c>
      <c r="O372" s="10">
        <v>433851.50789893331</v>
      </c>
      <c r="P372" s="10">
        <v>6546.6389131199994</v>
      </c>
      <c r="Q372" s="8">
        <v>7.5447921626736095E-2</v>
      </c>
    </row>
    <row r="373" spans="14:17" x14ac:dyDescent="0.3">
      <c r="N373" s="4" t="s">
        <v>515</v>
      </c>
      <c r="O373" s="10">
        <v>349173.64437816665</v>
      </c>
      <c r="P373" s="10">
        <v>8407.2580524791683</v>
      </c>
      <c r="Q373" s="8">
        <v>0.1926206788591141</v>
      </c>
    </row>
    <row r="374" spans="14:17" x14ac:dyDescent="0.3">
      <c r="N374" s="4" t="s">
        <v>516</v>
      </c>
      <c r="O374" s="10">
        <v>1243248.73</v>
      </c>
      <c r="P374" s="10">
        <v>5101.4850854666674</v>
      </c>
      <c r="Q374" s="8">
        <v>6.5653605266475262E-2</v>
      </c>
    </row>
    <row r="375" spans="14:17" x14ac:dyDescent="0.3">
      <c r="N375" s="4" t="s">
        <v>517</v>
      </c>
      <c r="O375" s="10">
        <v>483564.17</v>
      </c>
      <c r="P375" s="10">
        <v>7018</v>
      </c>
      <c r="Q375" s="8">
        <v>0.11609999999999999</v>
      </c>
    </row>
    <row r="376" spans="14:17" x14ac:dyDescent="0.3">
      <c r="N376" s="4" t="s">
        <v>518</v>
      </c>
      <c r="O376" s="10">
        <v>2117115.0024230238</v>
      </c>
      <c r="P376" s="10">
        <v>6353.0548595111804</v>
      </c>
      <c r="Q376" s="8">
        <v>7.8020998461700922E-2</v>
      </c>
    </row>
    <row r="377" spans="14:17" x14ac:dyDescent="0.3">
      <c r="N377" s="4" t="s">
        <v>519</v>
      </c>
      <c r="O377" s="10">
        <v>2699812.8285205336</v>
      </c>
      <c r="P377" s="10">
        <v>7976.3150552975612</v>
      </c>
      <c r="Q377" s="8">
        <v>0.12113021829235773</v>
      </c>
    </row>
    <row r="378" spans="14:17" x14ac:dyDescent="0.3">
      <c r="N378" s="4" t="s">
        <v>520</v>
      </c>
      <c r="O378" s="10">
        <v>3084501.6664732867</v>
      </c>
      <c r="P378" s="10">
        <v>9174.1074331764303</v>
      </c>
      <c r="Q378" s="8">
        <v>9.5176294132888334E-2</v>
      </c>
    </row>
    <row r="379" spans="14:17" x14ac:dyDescent="0.3">
      <c r="N379" s="4" t="s">
        <v>521</v>
      </c>
      <c r="O379" s="10">
        <v>905681.42209346546</v>
      </c>
      <c r="P379" s="10">
        <v>8250.1222840568353</v>
      </c>
      <c r="Q379" s="8">
        <v>0.14574877360274138</v>
      </c>
    </row>
    <row r="380" spans="14:17" x14ac:dyDescent="0.3">
      <c r="N380" s="4" t="s">
        <v>526</v>
      </c>
      <c r="O380" s="10">
        <v>1584862.7097893036</v>
      </c>
      <c r="P380" s="10">
        <v>8130.3703405613342</v>
      </c>
      <c r="Q380" s="8">
        <v>9.2340279840112949E-2</v>
      </c>
    </row>
    <row r="381" spans="14:17" x14ac:dyDescent="0.3">
      <c r="N381" s="4" t="s">
        <v>529</v>
      </c>
      <c r="O381" s="10">
        <v>48713.999016666661</v>
      </c>
      <c r="P381" s="10">
        <v>5553.1015916666674</v>
      </c>
      <c r="Q381" s="8">
        <v>0.22798791738558638</v>
      </c>
    </row>
    <row r="382" spans="14:17" x14ac:dyDescent="0.3">
      <c r="N382" s="4" t="s">
        <v>559</v>
      </c>
      <c r="O382" s="10">
        <v>1404356.9760622745</v>
      </c>
      <c r="P382" s="10">
        <v>12664.228407490198</v>
      </c>
      <c r="Q382" s="8">
        <v>0.15514245255032644</v>
      </c>
    </row>
    <row r="383" spans="14:17" x14ac:dyDescent="0.3">
      <c r="N383" s="4" t="s">
        <v>560</v>
      </c>
      <c r="O383" s="10">
        <v>2632400.0046775527</v>
      </c>
      <c r="P383" s="10">
        <v>9224.839410195671</v>
      </c>
      <c r="Q383" s="8">
        <v>9.1112985959163367E-2</v>
      </c>
    </row>
    <row r="384" spans="14:17" x14ac:dyDescent="0.3">
      <c r="N384" s="4" t="s">
        <v>570</v>
      </c>
      <c r="O384" s="10">
        <v>259246.46407103998</v>
      </c>
      <c r="P384" s="10">
        <v>8020.4992782079989</v>
      </c>
      <c r="Q384" s="8">
        <v>0.15468869183901737</v>
      </c>
    </row>
    <row r="385" spans="14:17" x14ac:dyDescent="0.3">
      <c r="N385" s="4" t="s">
        <v>561</v>
      </c>
      <c r="O385" s="10">
        <v>62143.998399999997</v>
      </c>
      <c r="P385" s="10">
        <v>4260.1328000000003</v>
      </c>
      <c r="Q385" s="8">
        <v>0.20565780653083951</v>
      </c>
    </row>
    <row r="386" spans="14:17" x14ac:dyDescent="0.3">
      <c r="N386" s="4" t="s">
        <v>562</v>
      </c>
      <c r="O386" s="10">
        <v>420089.99584464001</v>
      </c>
      <c r="P386" s="10">
        <v>20209.325281546669</v>
      </c>
      <c r="Q386" s="8">
        <v>0.14432139885345371</v>
      </c>
    </row>
    <row r="387" spans="14:17" x14ac:dyDescent="0.3">
      <c r="N387" s="4" t="s">
        <v>563</v>
      </c>
      <c r="O387" s="10">
        <v>58137.826702247999</v>
      </c>
      <c r="P387" s="10">
        <v>5922.0751240826658</v>
      </c>
      <c r="Q387" s="8">
        <v>0.30558805480014678</v>
      </c>
    </row>
    <row r="388" spans="14:17" x14ac:dyDescent="0.3">
      <c r="N388" s="4" t="s">
        <v>564</v>
      </c>
      <c r="O388" s="10">
        <v>291004.69780794933</v>
      </c>
      <c r="P388" s="10">
        <v>5947.608712401</v>
      </c>
      <c r="Q388" s="8">
        <v>0.16350550371736383</v>
      </c>
    </row>
    <row r="389" spans="14:17" x14ac:dyDescent="0.3">
      <c r="N389" s="4" t="s">
        <v>565</v>
      </c>
      <c r="O389" s="10">
        <v>142961.72164604001</v>
      </c>
      <c r="P389" s="10">
        <v>9505.9118020133337</v>
      </c>
      <c r="Q389" s="8">
        <v>0.19947811958117906</v>
      </c>
    </row>
    <row r="390" spans="14:17" x14ac:dyDescent="0.3">
      <c r="N390" s="4" t="s">
        <v>567</v>
      </c>
      <c r="O390" s="10">
        <v>51204.003190399999</v>
      </c>
      <c r="P390" s="10">
        <v>4310.1120501333326</v>
      </c>
      <c r="Q390" s="8">
        <v>0.25252588361732325</v>
      </c>
    </row>
    <row r="391" spans="14:17" x14ac:dyDescent="0.3">
      <c r="N391" s="4" t="s">
        <v>568</v>
      </c>
      <c r="O391" s="10">
        <v>58064.99796552</v>
      </c>
      <c r="P391" s="10">
        <v>4523.3525647733331</v>
      </c>
      <c r="Q391" s="8">
        <v>0.23370460983014474</v>
      </c>
    </row>
    <row r="392" spans="14:17" x14ac:dyDescent="0.3">
      <c r="N392" s="4" t="s">
        <v>573</v>
      </c>
      <c r="O392" s="10">
        <v>162658.63</v>
      </c>
      <c r="P392" s="10">
        <v>8673</v>
      </c>
      <c r="Q392" s="8">
        <v>0.21329999999999999</v>
      </c>
    </row>
    <row r="393" spans="14:17" x14ac:dyDescent="0.3">
      <c r="N393" s="4" t="s">
        <v>576</v>
      </c>
      <c r="O393" s="10">
        <v>1543019.7543880499</v>
      </c>
      <c r="P393" s="10">
        <v>7548.2909602664768</v>
      </c>
      <c r="Q393" s="8">
        <v>0.10762169483158794</v>
      </c>
    </row>
    <row r="394" spans="14:17" x14ac:dyDescent="0.3">
      <c r="N394" s="4" t="s">
        <v>581</v>
      </c>
      <c r="O394" s="10">
        <v>2442554.4387959507</v>
      </c>
      <c r="P394" s="10">
        <v>12040.74648409257</v>
      </c>
      <c r="Q394" s="8">
        <v>0.10845057061680735</v>
      </c>
    </row>
    <row r="395" spans="14:17" x14ac:dyDescent="0.3">
      <c r="N395" s="4" t="s">
        <v>580</v>
      </c>
      <c r="O395" s="10">
        <v>2642188.54</v>
      </c>
      <c r="P395" s="10">
        <v>15370</v>
      </c>
      <c r="Q395" s="8">
        <v>6.9800000000000001E-2</v>
      </c>
    </row>
    <row r="396" spans="14:17" x14ac:dyDescent="0.3">
      <c r="N396" s="4" t="s">
        <v>622</v>
      </c>
      <c r="O396" s="10">
        <v>480359.99874120933</v>
      </c>
      <c r="P396" s="10">
        <v>6671.6244106046515</v>
      </c>
      <c r="Q396" s="8">
        <v>0.16666561149357345</v>
      </c>
    </row>
    <row r="397" spans="14:17" x14ac:dyDescent="0.3">
      <c r="N397" s="4" t="s">
        <v>651</v>
      </c>
      <c r="O397" s="10">
        <v>86763.00378544</v>
      </c>
      <c r="P397" s="10">
        <v>6866.0517841133333</v>
      </c>
      <c r="Q397" s="8">
        <v>0.2374</v>
      </c>
    </row>
    <row r="398" spans="14:17" x14ac:dyDescent="0.3">
      <c r="N398" s="4" t="s">
        <v>652</v>
      </c>
      <c r="O398" s="10">
        <v>613575.00011999998</v>
      </c>
      <c r="P398" s="10">
        <v>6693.8490641666658</v>
      </c>
      <c r="Q398" s="8">
        <v>0.13091502873208685</v>
      </c>
    </row>
    <row r="399" spans="14:17" x14ac:dyDescent="0.3">
      <c r="N399" s="4" t="s">
        <v>699</v>
      </c>
      <c r="O399" s="10">
        <v>105470.002592</v>
      </c>
      <c r="P399" s="10">
        <v>3739.675138666667</v>
      </c>
      <c r="Q399" s="8">
        <v>0.21274343681206989</v>
      </c>
    </row>
    <row r="400" spans="14:17" x14ac:dyDescent="0.3">
      <c r="N400" s="4" t="s">
        <v>693</v>
      </c>
      <c r="O400" s="10">
        <v>1698769.90102656</v>
      </c>
      <c r="P400" s="10">
        <v>8264.8475873919997</v>
      </c>
      <c r="Q400" s="8">
        <v>0.14595586339970326</v>
      </c>
    </row>
    <row r="401" spans="14:17" x14ac:dyDescent="0.3">
      <c r="N401" s="4" t="s">
        <v>701</v>
      </c>
      <c r="O401" s="10">
        <v>929842.82984775002</v>
      </c>
      <c r="P401" s="10">
        <v>8265.4486537031262</v>
      </c>
      <c r="Q401" s="8">
        <v>0.14222530326001848</v>
      </c>
    </row>
    <row r="402" spans="14:17" x14ac:dyDescent="0.3">
      <c r="N402" s="4" t="s">
        <v>705</v>
      </c>
      <c r="O402" s="10">
        <v>5233879.0849899165</v>
      </c>
      <c r="P402" s="10">
        <v>10309.50485769304</v>
      </c>
      <c r="Q402" s="8">
        <v>9.4548656003240333E-2</v>
      </c>
    </row>
    <row r="403" spans="14:17" x14ac:dyDescent="0.3">
      <c r="N403" s="4" t="s">
        <v>707</v>
      </c>
      <c r="O403" s="10">
        <v>762566.11698960001</v>
      </c>
      <c r="P403" s="10">
        <v>7355.4126846153849</v>
      </c>
      <c r="Q403" s="8">
        <v>0.1253928843278308</v>
      </c>
    </row>
    <row r="404" spans="14:17" x14ac:dyDescent="0.3">
      <c r="N404" s="4" t="s">
        <v>706</v>
      </c>
      <c r="O404" s="10">
        <v>622531.14322560001</v>
      </c>
      <c r="P404" s="10">
        <v>7262.4269200909093</v>
      </c>
      <c r="Q404" s="8">
        <v>0.12832562192322278</v>
      </c>
    </row>
    <row r="405" spans="14:17" x14ac:dyDescent="0.3">
      <c r="N405" s="4" t="s">
        <v>709</v>
      </c>
      <c r="O405" s="10">
        <v>107220.00475759999</v>
      </c>
      <c r="P405" s="10">
        <v>3599.49315475</v>
      </c>
      <c r="Q405" s="8">
        <v>0.2014265805837801</v>
      </c>
    </row>
    <row r="406" spans="14:17" x14ac:dyDescent="0.3">
      <c r="N406" s="4" t="s">
        <v>710</v>
      </c>
      <c r="O406" s="10">
        <v>139180.20965838153</v>
      </c>
      <c r="P406" s="10">
        <v>5559.1113688859759</v>
      </c>
      <c r="Q406" s="8">
        <v>0.23965094100077189</v>
      </c>
    </row>
    <row r="407" spans="14:17" x14ac:dyDescent="0.3">
      <c r="N407" s="4" t="s">
        <v>713</v>
      </c>
      <c r="O407" s="10">
        <v>10197054.917884193</v>
      </c>
      <c r="P407" s="10">
        <v>9275.6266011084626</v>
      </c>
      <c r="Q407" s="8">
        <v>7.0951748393307687E-2</v>
      </c>
    </row>
    <row r="408" spans="14:17" x14ac:dyDescent="0.3">
      <c r="N408" s="4" t="s">
        <v>762</v>
      </c>
      <c r="O408" s="10">
        <v>3160200</v>
      </c>
      <c r="P408" s="10">
        <v>6500</v>
      </c>
      <c r="Q408" s="8">
        <v>0.08</v>
      </c>
    </row>
    <row r="409" spans="14:17" x14ac:dyDescent="0.3">
      <c r="N409" s="4" t="s">
        <v>759</v>
      </c>
      <c r="O409" s="10">
        <v>37072.430640000006</v>
      </c>
      <c r="P409" s="10">
        <v>6266.2874000000002</v>
      </c>
      <c r="Q409" s="8">
        <v>0.16902823181059162</v>
      </c>
    </row>
    <row r="410" spans="14:17" x14ac:dyDescent="0.3">
      <c r="N410" s="3" t="s">
        <v>228</v>
      </c>
      <c r="O410" s="10">
        <v>161677856.60679847</v>
      </c>
      <c r="P410" s="10">
        <v>6633.9396341762367</v>
      </c>
      <c r="Q410" s="8">
        <v>0.15412304199469198</v>
      </c>
    </row>
    <row r="411" spans="14:17" x14ac:dyDescent="0.3">
      <c r="N411" s="4" t="s">
        <v>222</v>
      </c>
      <c r="O411" s="10">
        <v>56455.895375</v>
      </c>
      <c r="P411" s="10">
        <v>2469.5984583333334</v>
      </c>
      <c r="Q411" s="8">
        <v>0.13123156272322251</v>
      </c>
    </row>
    <row r="412" spans="14:17" x14ac:dyDescent="0.3">
      <c r="N412" s="4" t="s">
        <v>125</v>
      </c>
      <c r="O412" s="10">
        <v>54753</v>
      </c>
      <c r="P412" s="10">
        <v>2333.3333333333335</v>
      </c>
      <c r="Q412" s="8">
        <v>0.12784687597026648</v>
      </c>
    </row>
    <row r="413" spans="14:17" x14ac:dyDescent="0.3">
      <c r="N413" s="4" t="s">
        <v>165</v>
      </c>
      <c r="O413" s="10">
        <v>1210847.5980999998</v>
      </c>
      <c r="P413" s="10">
        <v>3160.4583333333335</v>
      </c>
      <c r="Q413" s="8">
        <v>6.2642895868168305E-2</v>
      </c>
    </row>
    <row r="414" spans="14:17" x14ac:dyDescent="0.3">
      <c r="N414" s="4" t="s">
        <v>111</v>
      </c>
      <c r="O414" s="10">
        <v>219672.116928</v>
      </c>
      <c r="P414" s="10">
        <v>5193.7153855999995</v>
      </c>
      <c r="Q414" s="8">
        <v>0.11821517127961893</v>
      </c>
    </row>
    <row r="415" spans="14:17" x14ac:dyDescent="0.3">
      <c r="N415" s="4" t="s">
        <v>91</v>
      </c>
      <c r="O415" s="10">
        <v>1644513</v>
      </c>
      <c r="P415" s="10">
        <v>8002</v>
      </c>
      <c r="Q415" s="8">
        <v>6.8099999999999994E-2</v>
      </c>
    </row>
    <row r="416" spans="14:17" x14ac:dyDescent="0.3">
      <c r="N416" s="4" t="s">
        <v>110</v>
      </c>
      <c r="O416" s="10">
        <v>296606.0002281497</v>
      </c>
      <c r="P416" s="10">
        <v>4613.8108670343354</v>
      </c>
      <c r="Q416" s="8">
        <v>0.12444281945706794</v>
      </c>
    </row>
    <row r="417" spans="14:17" x14ac:dyDescent="0.3">
      <c r="N417" s="4" t="s">
        <v>209</v>
      </c>
      <c r="O417" s="10">
        <v>31631.687807500002</v>
      </c>
      <c r="P417" s="10">
        <v>4194.0070287500002</v>
      </c>
      <c r="Q417" s="8">
        <v>0.26517756841009188</v>
      </c>
    </row>
    <row r="418" spans="14:17" x14ac:dyDescent="0.3">
      <c r="N418" s="4" t="s">
        <v>257</v>
      </c>
      <c r="O418" s="10">
        <v>112079.10049349999</v>
      </c>
      <c r="P418" s="10">
        <v>5033.5200940000004</v>
      </c>
      <c r="Q418" s="8">
        <v>0.23577973393025731</v>
      </c>
    </row>
    <row r="419" spans="14:17" x14ac:dyDescent="0.3">
      <c r="N419" s="4" t="s">
        <v>244</v>
      </c>
      <c r="O419" s="10">
        <v>1095768.3278749122</v>
      </c>
      <c r="P419" s="10">
        <v>6303.2757880305062</v>
      </c>
      <c r="Q419" s="8">
        <v>0.10354283957502837</v>
      </c>
    </row>
    <row r="420" spans="14:17" x14ac:dyDescent="0.3">
      <c r="N420" s="4" t="s">
        <v>259</v>
      </c>
      <c r="O420" s="10">
        <v>110000</v>
      </c>
      <c r="P420" s="10"/>
      <c r="Q420" s="8"/>
    </row>
    <row r="421" spans="14:17" x14ac:dyDescent="0.3">
      <c r="N421" s="4" t="s">
        <v>223</v>
      </c>
      <c r="O421" s="10">
        <v>282460.57420087501</v>
      </c>
      <c r="P421" s="10">
        <v>5389.1573459791671</v>
      </c>
      <c r="Q421" s="8">
        <v>0.11447595533414034</v>
      </c>
    </row>
    <row r="422" spans="14:17" x14ac:dyDescent="0.3">
      <c r="N422" s="4" t="s">
        <v>220</v>
      </c>
      <c r="O422" s="10">
        <v>14709.923150000001</v>
      </c>
      <c r="P422" s="10">
        <v>2377.5253250000001</v>
      </c>
      <c r="Q422" s="8">
        <v>0.323254622169797</v>
      </c>
    </row>
    <row r="423" spans="14:17" x14ac:dyDescent="0.3">
      <c r="N423" s="4" t="s">
        <v>127</v>
      </c>
      <c r="O423" s="10">
        <v>744227.44</v>
      </c>
      <c r="P423" s="10"/>
      <c r="Q423" s="8"/>
    </row>
    <row r="424" spans="14:17" x14ac:dyDescent="0.3">
      <c r="N424" s="4" t="s">
        <v>115</v>
      </c>
      <c r="O424" s="10">
        <v>158676.62000000002</v>
      </c>
      <c r="P424" s="10">
        <v>6343.8828571428576</v>
      </c>
      <c r="Q424" s="8">
        <v>0.13992981448684749</v>
      </c>
    </row>
    <row r="425" spans="14:17" x14ac:dyDescent="0.3">
      <c r="N425" s="4" t="s">
        <v>117</v>
      </c>
      <c r="O425" s="10">
        <v>154318.95012990001</v>
      </c>
      <c r="P425" s="10">
        <v>5310.5319644833335</v>
      </c>
      <c r="Q425" s="8">
        <v>0.20647620891717275</v>
      </c>
    </row>
    <row r="426" spans="14:17" x14ac:dyDescent="0.3">
      <c r="N426" s="4" t="s">
        <v>124</v>
      </c>
      <c r="O426" s="10">
        <v>264000</v>
      </c>
      <c r="P426" s="10"/>
      <c r="Q426" s="8"/>
    </row>
    <row r="427" spans="14:17" x14ac:dyDescent="0.3">
      <c r="N427" s="4" t="s">
        <v>251</v>
      </c>
      <c r="O427" s="10">
        <v>739268.6714204828</v>
      </c>
      <c r="P427" s="10">
        <v>6327.6799194699033</v>
      </c>
      <c r="Q427" s="8">
        <v>7.703440099227131E-2</v>
      </c>
    </row>
    <row r="428" spans="14:17" x14ac:dyDescent="0.3">
      <c r="N428" s="4" t="s">
        <v>207</v>
      </c>
      <c r="O428" s="10">
        <v>667966.40724708128</v>
      </c>
      <c r="P428" s="10">
        <v>8876.6930933851581</v>
      </c>
      <c r="Q428" s="8">
        <v>0.10631304804646156</v>
      </c>
    </row>
    <row r="429" spans="14:17" x14ac:dyDescent="0.3">
      <c r="N429" s="4" t="s">
        <v>118</v>
      </c>
      <c r="O429" s="10">
        <v>1522574.4641886598</v>
      </c>
      <c r="P429" s="10">
        <v>10307.371588391574</v>
      </c>
      <c r="Q429" s="8">
        <v>0.13539398999291771</v>
      </c>
    </row>
    <row r="430" spans="14:17" x14ac:dyDescent="0.3">
      <c r="N430" s="4" t="s">
        <v>248</v>
      </c>
      <c r="O430" s="10">
        <v>60908.513565900001</v>
      </c>
      <c r="P430" s="10">
        <v>4765.0645193333339</v>
      </c>
      <c r="Q430" s="8">
        <v>0.24643440394683042</v>
      </c>
    </row>
    <row r="431" spans="14:17" x14ac:dyDescent="0.3">
      <c r="N431" s="4" t="s">
        <v>219</v>
      </c>
      <c r="O431" s="10">
        <v>82194.997471499999</v>
      </c>
      <c r="P431" s="10">
        <v>5398.5926571666669</v>
      </c>
      <c r="Q431" s="8">
        <v>0.19704092061217796</v>
      </c>
    </row>
    <row r="432" spans="14:17" x14ac:dyDescent="0.3">
      <c r="N432" s="4" t="s">
        <v>249</v>
      </c>
      <c r="O432" s="10">
        <v>480660.00266619999</v>
      </c>
      <c r="P432" s="10">
        <v>4996.1622616199993</v>
      </c>
      <c r="Q432" s="8">
        <v>0.10394379049445567</v>
      </c>
    </row>
    <row r="433" spans="14:17" x14ac:dyDescent="0.3">
      <c r="N433" s="4" t="s">
        <v>206</v>
      </c>
      <c r="O433" s="10">
        <v>630887.99970490008</v>
      </c>
      <c r="P433" s="10">
        <v>6133.0806568090911</v>
      </c>
      <c r="Q433" s="8">
        <v>0.10693480816952684</v>
      </c>
    </row>
    <row r="434" spans="14:17" x14ac:dyDescent="0.3">
      <c r="N434" s="4" t="s">
        <v>112</v>
      </c>
      <c r="O434" s="10">
        <v>182511.003516</v>
      </c>
      <c r="P434" s="10">
        <v>6027.5019193333328</v>
      </c>
      <c r="Q434" s="8">
        <v>0.19815249940713606</v>
      </c>
    </row>
    <row r="435" spans="14:17" x14ac:dyDescent="0.3">
      <c r="N435" s="4" t="s">
        <v>210</v>
      </c>
      <c r="O435" s="10">
        <v>22431.306700000001</v>
      </c>
      <c r="P435" s="10">
        <v>2774.15335</v>
      </c>
      <c r="Q435" s="8">
        <v>0.2473465667517265</v>
      </c>
    </row>
    <row r="436" spans="14:17" x14ac:dyDescent="0.3">
      <c r="N436" s="4" t="s">
        <v>221</v>
      </c>
      <c r="O436" s="10">
        <v>31940.000260000001</v>
      </c>
      <c r="P436" s="10">
        <v>3207.2501299999999</v>
      </c>
      <c r="Q436" s="8">
        <v>0.20082968715667754</v>
      </c>
    </row>
    <row r="437" spans="14:17" x14ac:dyDescent="0.3">
      <c r="N437" s="4" t="s">
        <v>260</v>
      </c>
      <c r="O437" s="10">
        <v>10030.004150000001</v>
      </c>
      <c r="P437" s="10">
        <v>1607.50415</v>
      </c>
      <c r="Q437" s="8">
        <v>0.16026953986853534</v>
      </c>
    </row>
    <row r="438" spans="14:17" x14ac:dyDescent="0.3">
      <c r="N438" s="4" t="s">
        <v>269</v>
      </c>
      <c r="O438" s="10">
        <v>82250.000096000003</v>
      </c>
      <c r="P438" s="10">
        <v>3049.9350239999999</v>
      </c>
      <c r="Q438" s="8">
        <v>0.14832510737703086</v>
      </c>
    </row>
    <row r="439" spans="14:17" x14ac:dyDescent="0.3">
      <c r="N439" s="4" t="s">
        <v>281</v>
      </c>
      <c r="O439" s="10">
        <v>400000</v>
      </c>
      <c r="P439" s="10"/>
      <c r="Q439" s="8">
        <v>0.15</v>
      </c>
    </row>
    <row r="440" spans="14:17" x14ac:dyDescent="0.3">
      <c r="N440" s="4" t="s">
        <v>284</v>
      </c>
      <c r="O440" s="10"/>
      <c r="P440" s="10"/>
      <c r="Q440" s="8"/>
    </row>
    <row r="441" spans="14:17" x14ac:dyDescent="0.3">
      <c r="N441" s="4" t="s">
        <v>393</v>
      </c>
      <c r="O441" s="10">
        <v>15104.999860859998</v>
      </c>
      <c r="P441" s="10">
        <v>2689.3183158800002</v>
      </c>
      <c r="Q441" s="8">
        <v>0.35608319637904118</v>
      </c>
    </row>
    <row r="442" spans="14:17" x14ac:dyDescent="0.3">
      <c r="N442" s="4" t="s">
        <v>406</v>
      </c>
      <c r="O442" s="10">
        <v>924030</v>
      </c>
      <c r="P442" s="10">
        <v>4098</v>
      </c>
      <c r="Q442" s="8">
        <v>7.0999999999999994E-2</v>
      </c>
    </row>
    <row r="443" spans="14:17" x14ac:dyDescent="0.3">
      <c r="N443" s="4" t="s">
        <v>408</v>
      </c>
      <c r="O443" s="10">
        <v>112345</v>
      </c>
      <c r="P443" s="10">
        <v>4105</v>
      </c>
      <c r="Q443" s="8">
        <v>0.1827</v>
      </c>
    </row>
    <row r="444" spans="14:17" x14ac:dyDescent="0.3">
      <c r="N444" s="4" t="s">
        <v>410</v>
      </c>
      <c r="O444" s="10">
        <v>279799.03999999998</v>
      </c>
      <c r="P444" s="10">
        <v>3869</v>
      </c>
      <c r="Q444" s="8">
        <v>0.16589999999999999</v>
      </c>
    </row>
    <row r="445" spans="14:17" x14ac:dyDescent="0.3">
      <c r="N445" s="4" t="s">
        <v>411</v>
      </c>
      <c r="O445" s="10">
        <v>95135.12</v>
      </c>
      <c r="P445" s="10">
        <v>3772</v>
      </c>
      <c r="Q445" s="8">
        <v>0.2475</v>
      </c>
    </row>
    <row r="446" spans="14:17" x14ac:dyDescent="0.3">
      <c r="N446" s="4" t="s">
        <v>412</v>
      </c>
      <c r="O446" s="10">
        <v>441998.33</v>
      </c>
      <c r="P446" s="10">
        <v>5145</v>
      </c>
      <c r="Q446" s="8">
        <v>0.13969999999999999</v>
      </c>
    </row>
    <row r="447" spans="14:17" x14ac:dyDescent="0.3">
      <c r="N447" s="4" t="s">
        <v>413</v>
      </c>
      <c r="O447" s="10">
        <v>3693802.71</v>
      </c>
      <c r="P447" s="10">
        <v>6323</v>
      </c>
      <c r="Q447" s="8">
        <v>7.6999999999999999E-2</v>
      </c>
    </row>
    <row r="448" spans="14:17" x14ac:dyDescent="0.3">
      <c r="N448" s="4" t="s">
        <v>479</v>
      </c>
      <c r="O448" s="10">
        <v>997476.57</v>
      </c>
      <c r="P448" s="10">
        <v>9932</v>
      </c>
      <c r="Q448" s="8">
        <v>0.1991</v>
      </c>
    </row>
    <row r="449" spans="14:17" x14ac:dyDescent="0.3">
      <c r="N449" s="4" t="s">
        <v>480</v>
      </c>
      <c r="O449" s="10">
        <v>1416325.66</v>
      </c>
      <c r="P449" s="10">
        <v>7451</v>
      </c>
      <c r="Q449" s="8">
        <v>0.1368</v>
      </c>
    </row>
    <row r="450" spans="14:17" x14ac:dyDescent="0.3">
      <c r="N450" s="4" t="s">
        <v>481</v>
      </c>
      <c r="O450" s="10">
        <v>1206753.97</v>
      </c>
      <c r="P450" s="10">
        <v>9897</v>
      </c>
      <c r="Q450" s="8">
        <v>0.13120000000000001</v>
      </c>
    </row>
    <row r="451" spans="14:17" x14ac:dyDescent="0.3">
      <c r="N451" s="4" t="s">
        <v>482</v>
      </c>
      <c r="O451" s="10">
        <v>8161085.4699999997</v>
      </c>
      <c r="P451" s="10">
        <v>12294</v>
      </c>
      <c r="Q451" s="8">
        <v>7.8299999999999995E-2</v>
      </c>
    </row>
    <row r="452" spans="14:17" x14ac:dyDescent="0.3">
      <c r="N452" s="4" t="s">
        <v>484</v>
      </c>
      <c r="O452" s="10">
        <v>275084.98</v>
      </c>
      <c r="P452" s="10">
        <v>4682</v>
      </c>
      <c r="Q452" s="8">
        <v>0.1191</v>
      </c>
    </row>
    <row r="453" spans="14:17" x14ac:dyDescent="0.3">
      <c r="N453" s="4" t="s">
        <v>486</v>
      </c>
      <c r="O453" s="10">
        <v>260302.6860176</v>
      </c>
      <c r="P453" s="10">
        <v>4641.57</v>
      </c>
      <c r="Q453" s="8">
        <v>0.1401</v>
      </c>
    </row>
    <row r="454" spans="14:17" x14ac:dyDescent="0.3">
      <c r="N454" s="4" t="s">
        <v>487</v>
      </c>
      <c r="O454" s="10">
        <v>63945.995643999995</v>
      </c>
      <c r="P454" s="10">
        <v>4715.0402146666665</v>
      </c>
      <c r="Q454" s="8">
        <v>0.22120416613338359</v>
      </c>
    </row>
    <row r="455" spans="14:17" x14ac:dyDescent="0.3">
      <c r="N455" s="4" t="s">
        <v>490</v>
      </c>
      <c r="O455" s="10">
        <v>238091</v>
      </c>
      <c r="P455" s="10">
        <v>6159</v>
      </c>
      <c r="Q455" s="8">
        <v>0.1552</v>
      </c>
    </row>
    <row r="456" spans="14:17" x14ac:dyDescent="0.3">
      <c r="N456" s="4" t="s">
        <v>492</v>
      </c>
      <c r="O456" s="10">
        <v>1184577.22</v>
      </c>
      <c r="P456" s="10">
        <v>5472</v>
      </c>
      <c r="Q456" s="8">
        <v>0.1201</v>
      </c>
    </row>
    <row r="457" spans="14:17" x14ac:dyDescent="0.3">
      <c r="N457" s="4" t="s">
        <v>489</v>
      </c>
      <c r="O457" s="10">
        <v>1000000</v>
      </c>
      <c r="P457" s="10">
        <v>5000</v>
      </c>
      <c r="Q457" s="8">
        <v>0.1</v>
      </c>
    </row>
    <row r="458" spans="14:17" x14ac:dyDescent="0.3">
      <c r="N458" s="4" t="s">
        <v>510</v>
      </c>
      <c r="O458" s="10">
        <v>187766.32</v>
      </c>
      <c r="P458" s="10">
        <v>7041.2370000000001</v>
      </c>
      <c r="Q458" s="8">
        <v>0.15</v>
      </c>
    </row>
    <row r="459" spans="14:17" x14ac:dyDescent="0.3">
      <c r="N459" s="4" t="s">
        <v>511</v>
      </c>
      <c r="O459" s="10">
        <v>536061.68000000005</v>
      </c>
      <c r="P459" s="10">
        <v>6700.7710000000006</v>
      </c>
      <c r="Q459" s="8">
        <v>0.15</v>
      </c>
    </row>
    <row r="460" spans="14:17" x14ac:dyDescent="0.3">
      <c r="N460" s="4" t="s">
        <v>522</v>
      </c>
      <c r="O460" s="10">
        <v>300000</v>
      </c>
      <c r="P460" s="10">
        <v>5625</v>
      </c>
      <c r="Q460" s="8">
        <v>0.15</v>
      </c>
    </row>
    <row r="461" spans="14:17" x14ac:dyDescent="0.3">
      <c r="N461" s="4" t="s">
        <v>523</v>
      </c>
      <c r="O461" s="10">
        <v>323804.51</v>
      </c>
      <c r="P461" s="10">
        <v>7804</v>
      </c>
      <c r="Q461" s="8">
        <v>0.1928</v>
      </c>
    </row>
    <row r="462" spans="14:17" x14ac:dyDescent="0.3">
      <c r="N462" s="4" t="s">
        <v>524</v>
      </c>
      <c r="O462" s="10">
        <v>520075.22302105092</v>
      </c>
      <c r="P462" s="10">
        <v>6420.8940289050879</v>
      </c>
      <c r="Q462" s="8">
        <v>0.12346087151791101</v>
      </c>
    </row>
    <row r="463" spans="14:17" x14ac:dyDescent="0.3">
      <c r="N463" s="4" t="s">
        <v>530</v>
      </c>
      <c r="O463" s="10">
        <v>170903.926404</v>
      </c>
      <c r="P463" s="10">
        <v>6578.9047260000007</v>
      </c>
      <c r="Q463" s="8">
        <v>0.15397901884239032</v>
      </c>
    </row>
    <row r="464" spans="14:17" x14ac:dyDescent="0.3">
      <c r="N464" s="4" t="s">
        <v>531</v>
      </c>
      <c r="O464" s="10">
        <v>98414.190755999996</v>
      </c>
      <c r="P464" s="10">
        <v>4941.4164119999996</v>
      </c>
      <c r="Q464" s="8">
        <v>0.15063121610941269</v>
      </c>
    </row>
    <row r="465" spans="14:17" x14ac:dyDescent="0.3">
      <c r="N465" s="4" t="s">
        <v>532</v>
      </c>
      <c r="O465" s="10">
        <v>82860.399064666679</v>
      </c>
      <c r="P465" s="10">
        <v>7613.134175666667</v>
      </c>
      <c r="Q465" s="8">
        <v>0.18375808616912778</v>
      </c>
    </row>
    <row r="466" spans="14:17" x14ac:dyDescent="0.3">
      <c r="N466" s="4" t="s">
        <v>544</v>
      </c>
      <c r="O466" s="10">
        <v>179930.00284155001</v>
      </c>
      <c r="P466" s="10">
        <v>6439.1671343416674</v>
      </c>
      <c r="Q466" s="8">
        <v>0.21472240424557079</v>
      </c>
    </row>
    <row r="467" spans="14:17" x14ac:dyDescent="0.3">
      <c r="N467" s="4" t="s">
        <v>574</v>
      </c>
      <c r="O467" s="10">
        <v>437092.24776</v>
      </c>
      <c r="P467" s="10">
        <v>5844.3346466666662</v>
      </c>
      <c r="Q467" s="8">
        <v>0.1604512917339781</v>
      </c>
    </row>
    <row r="468" spans="14:17" x14ac:dyDescent="0.3">
      <c r="N468" s="4" t="s">
        <v>577</v>
      </c>
      <c r="O468" s="10">
        <v>166080.29172000001</v>
      </c>
      <c r="P468" s="10">
        <v>6114.0959066666655</v>
      </c>
      <c r="Q468" s="8">
        <v>0.11044228987099708</v>
      </c>
    </row>
    <row r="469" spans="14:17" x14ac:dyDescent="0.3">
      <c r="N469" s="4" t="s">
        <v>583</v>
      </c>
      <c r="O469" s="10">
        <v>210946.00114064</v>
      </c>
      <c r="P469" s="10">
        <v>5887.4841724399994</v>
      </c>
      <c r="Q469" s="8">
        <v>0.1674594675586597</v>
      </c>
    </row>
    <row r="470" spans="14:17" x14ac:dyDescent="0.3">
      <c r="N470" s="4" t="s">
        <v>585</v>
      </c>
      <c r="O470" s="10">
        <v>269273.29502700001</v>
      </c>
      <c r="P470" s="10">
        <v>6580.3330712500001</v>
      </c>
      <c r="Q470" s="8">
        <v>0.21504891905895709</v>
      </c>
    </row>
    <row r="471" spans="14:17" x14ac:dyDescent="0.3">
      <c r="N471" s="4" t="s">
        <v>586</v>
      </c>
      <c r="O471" s="10">
        <v>30803.241333333332</v>
      </c>
      <c r="P471" s="10">
        <v>8651.0946666666659</v>
      </c>
      <c r="Q471" s="8">
        <v>0.28085014083582804</v>
      </c>
    </row>
    <row r="472" spans="14:17" x14ac:dyDescent="0.3">
      <c r="N472" s="4" t="s">
        <v>587</v>
      </c>
      <c r="O472" s="10">
        <v>39098.558253333329</v>
      </c>
      <c r="P472" s="10">
        <v>9440.2063866666667</v>
      </c>
      <c r="Q472" s="8">
        <v>0.24144640642502072</v>
      </c>
    </row>
    <row r="473" spans="14:17" x14ac:dyDescent="0.3">
      <c r="N473" s="4" t="s">
        <v>590</v>
      </c>
      <c r="O473" s="10">
        <v>89932.557579333326</v>
      </c>
      <c r="P473" s="10">
        <v>4614.0941631666665</v>
      </c>
      <c r="Q473" s="8">
        <v>0.20522463887881218</v>
      </c>
    </row>
    <row r="474" spans="14:17" x14ac:dyDescent="0.3">
      <c r="N474" s="4" t="s">
        <v>594</v>
      </c>
      <c r="O474" s="10">
        <v>24914.0305744</v>
      </c>
      <c r="P474" s="10">
        <v>2950.5225672000001</v>
      </c>
      <c r="Q474" s="8">
        <v>0.23685630138318614</v>
      </c>
    </row>
    <row r="475" spans="14:17" x14ac:dyDescent="0.3">
      <c r="N475" s="4" t="s">
        <v>592</v>
      </c>
      <c r="O475" s="10">
        <v>6797749.995657647</v>
      </c>
      <c r="P475" s="10">
        <v>14991.882673769513</v>
      </c>
      <c r="Q475" s="8">
        <v>8.1600479465089193E-2</v>
      </c>
    </row>
    <row r="476" spans="14:17" x14ac:dyDescent="0.3">
      <c r="N476" s="4" t="s">
        <v>593</v>
      </c>
      <c r="O476" s="10">
        <v>113919.995228</v>
      </c>
      <c r="P476" s="10">
        <v>3413.2555380000008</v>
      </c>
      <c r="Q476" s="8">
        <v>0.17977119106274692</v>
      </c>
    </row>
    <row r="477" spans="14:17" x14ac:dyDescent="0.3">
      <c r="N477" s="4" t="s">
        <v>595</v>
      </c>
      <c r="O477" s="10">
        <v>161032.00270779998</v>
      </c>
      <c r="P477" s="10">
        <v>7673.1517295600006</v>
      </c>
      <c r="Q477" s="8">
        <v>0.23824927966285339</v>
      </c>
    </row>
    <row r="478" spans="14:17" x14ac:dyDescent="0.3">
      <c r="N478" s="4" t="s">
        <v>596</v>
      </c>
      <c r="O478" s="10">
        <v>4343400.5648058997</v>
      </c>
      <c r="P478" s="10">
        <v>18813.865937145947</v>
      </c>
      <c r="Q478" s="8">
        <v>9.5295159735217197E-2</v>
      </c>
    </row>
    <row r="479" spans="14:17" x14ac:dyDescent="0.3">
      <c r="N479" s="4" t="s">
        <v>598</v>
      </c>
      <c r="O479" s="10">
        <v>213036.94237760003</v>
      </c>
      <c r="P479" s="10">
        <v>7744.2654362666663</v>
      </c>
      <c r="Q479" s="8">
        <v>0.21811049341499406</v>
      </c>
    </row>
    <row r="480" spans="14:17" x14ac:dyDescent="0.3">
      <c r="N480" s="4" t="s">
        <v>599</v>
      </c>
      <c r="O480" s="10">
        <v>251397.39634399998</v>
      </c>
      <c r="P480" s="10">
        <v>7608.1715923333331</v>
      </c>
      <c r="Q480" s="8">
        <v>0.18158115484830276</v>
      </c>
    </row>
    <row r="481" spans="14:17" x14ac:dyDescent="0.3">
      <c r="N481" s="4" t="s">
        <v>600</v>
      </c>
      <c r="O481" s="10">
        <v>437527.91281100002</v>
      </c>
      <c r="P481" s="10">
        <v>11008.649890375002</v>
      </c>
      <c r="Q481" s="8">
        <v>0.20128818423761566</v>
      </c>
    </row>
    <row r="482" spans="14:17" x14ac:dyDescent="0.3">
      <c r="N482" s="4" t="s">
        <v>588</v>
      </c>
      <c r="O482" s="10">
        <v>49855</v>
      </c>
      <c r="P482" s="10">
        <v>5896.75</v>
      </c>
      <c r="Q482" s="8">
        <v>0.23655601243606458</v>
      </c>
    </row>
    <row r="483" spans="14:17" x14ac:dyDescent="0.3">
      <c r="N483" s="4" t="s">
        <v>591</v>
      </c>
      <c r="O483" s="10">
        <v>122705.84915072001</v>
      </c>
      <c r="P483" s="10">
        <v>5479.0699302399998</v>
      </c>
      <c r="Q483" s="8">
        <v>0.13395620424361451</v>
      </c>
    </row>
    <row r="484" spans="14:17" x14ac:dyDescent="0.3">
      <c r="N484" s="4" t="s">
        <v>601</v>
      </c>
      <c r="O484" s="10">
        <v>894068.55592704006</v>
      </c>
      <c r="P484" s="10">
        <v>8090.8063272533336</v>
      </c>
      <c r="Q484" s="8">
        <v>0.10859309980583072</v>
      </c>
    </row>
    <row r="485" spans="14:17" x14ac:dyDescent="0.3">
      <c r="N485" s="4" t="s">
        <v>602</v>
      </c>
      <c r="O485" s="10">
        <v>12624700.003236862</v>
      </c>
      <c r="P485" s="10">
        <v>17878.534143621731</v>
      </c>
      <c r="Q485" s="8">
        <v>6.9391603191589019E-2</v>
      </c>
    </row>
    <row r="486" spans="14:17" x14ac:dyDescent="0.3">
      <c r="N486" s="4" t="s">
        <v>608</v>
      </c>
      <c r="O486" s="10">
        <v>1291488.6828066192</v>
      </c>
      <c r="P486" s="10">
        <v>8648.4766263014735</v>
      </c>
      <c r="Q486" s="8">
        <v>0.1339303509420911</v>
      </c>
    </row>
    <row r="487" spans="14:17" x14ac:dyDescent="0.3">
      <c r="N487" s="4" t="s">
        <v>615</v>
      </c>
      <c r="O487" s="10">
        <v>318233.00280878</v>
      </c>
      <c r="P487" s="10">
        <v>7255.5881475849992</v>
      </c>
      <c r="Q487" s="8">
        <v>0.18239687483185998</v>
      </c>
    </row>
    <row r="488" spans="14:17" x14ac:dyDescent="0.3">
      <c r="N488" s="4" t="s">
        <v>607</v>
      </c>
      <c r="O488" s="10">
        <v>1225357.4024160001</v>
      </c>
      <c r="P488" s="10">
        <v>9119.8794509999989</v>
      </c>
      <c r="Q488" s="8">
        <v>0.11908204979893844</v>
      </c>
    </row>
    <row r="489" spans="14:17" x14ac:dyDescent="0.3">
      <c r="N489" s="4" t="s">
        <v>617</v>
      </c>
      <c r="O489" s="10">
        <v>369736.67131833336</v>
      </c>
      <c r="P489" s="10">
        <v>7649.1591699999999</v>
      </c>
      <c r="Q489" s="8">
        <v>0.1655050150741316</v>
      </c>
    </row>
    <row r="490" spans="14:17" x14ac:dyDescent="0.3">
      <c r="N490" s="4" t="s">
        <v>616</v>
      </c>
      <c r="O490" s="10">
        <v>210946.00114064</v>
      </c>
      <c r="P490" s="10">
        <v>5887.4841724399994</v>
      </c>
      <c r="Q490" s="8">
        <v>0.1674594675586597</v>
      </c>
    </row>
    <row r="491" spans="14:17" x14ac:dyDescent="0.3">
      <c r="N491" s="4" t="s">
        <v>618</v>
      </c>
      <c r="O491" s="10">
        <v>152743.98632630002</v>
      </c>
      <c r="P491" s="10">
        <v>6552.0035377166678</v>
      </c>
      <c r="Q491" s="8">
        <v>0.25737197366526449</v>
      </c>
    </row>
    <row r="492" spans="14:17" x14ac:dyDescent="0.3">
      <c r="N492" s="4" t="s">
        <v>619</v>
      </c>
      <c r="O492" s="10">
        <v>161205.01185164999</v>
      </c>
      <c r="P492" s="10">
        <v>5405.7529629125002</v>
      </c>
      <c r="Q492" s="8">
        <v>0.13413362030920431</v>
      </c>
    </row>
    <row r="493" spans="14:17" x14ac:dyDescent="0.3">
      <c r="N493" s="4" t="s">
        <v>621</v>
      </c>
      <c r="O493" s="10">
        <v>7374630.5502305031</v>
      </c>
      <c r="P493" s="10">
        <v>8832.294275623959</v>
      </c>
      <c r="Q493" s="8">
        <v>8.3836145428919512E-2</v>
      </c>
    </row>
    <row r="494" spans="14:17" x14ac:dyDescent="0.3">
      <c r="N494" s="4" t="s">
        <v>655</v>
      </c>
      <c r="O494" s="10">
        <v>95692.66</v>
      </c>
      <c r="P494" s="10">
        <v>6114</v>
      </c>
      <c r="Q494" s="8">
        <v>0.19170000000000001</v>
      </c>
    </row>
    <row r="495" spans="14:17" x14ac:dyDescent="0.3">
      <c r="N495" s="4" t="s">
        <v>664</v>
      </c>
      <c r="O495" s="10">
        <v>1274304.6439536</v>
      </c>
      <c r="P495" s="10">
        <v>6945.8449312916664</v>
      </c>
      <c r="Q495" s="8">
        <v>0.13081666078984319</v>
      </c>
    </row>
    <row r="496" spans="14:17" x14ac:dyDescent="0.3">
      <c r="N496" s="4" t="s">
        <v>665</v>
      </c>
      <c r="O496" s="10">
        <v>97298.58920799999</v>
      </c>
      <c r="P496" s="10">
        <v>7986.1625846666675</v>
      </c>
      <c r="Q496" s="8">
        <v>0.24623674350285554</v>
      </c>
    </row>
    <row r="497" spans="14:17" x14ac:dyDescent="0.3">
      <c r="N497" s="4" t="s">
        <v>666</v>
      </c>
      <c r="O497" s="10">
        <v>556804.10703119996</v>
      </c>
      <c r="P497" s="10">
        <v>5899.6801018229162</v>
      </c>
      <c r="Q497" s="8">
        <v>0.12714734020075755</v>
      </c>
    </row>
    <row r="498" spans="14:17" x14ac:dyDescent="0.3">
      <c r="N498" s="4" t="s">
        <v>667</v>
      </c>
      <c r="O498" s="10">
        <v>303378.37312199996</v>
      </c>
      <c r="P498" s="10">
        <v>8783.2285788571426</v>
      </c>
      <c r="Q498" s="8">
        <v>0.20265979878293933</v>
      </c>
    </row>
    <row r="499" spans="14:17" x14ac:dyDescent="0.3">
      <c r="N499" s="4" t="s">
        <v>668</v>
      </c>
      <c r="O499" s="10">
        <v>7150</v>
      </c>
      <c r="P499" s="10">
        <v>715</v>
      </c>
      <c r="Q499" s="8">
        <v>0.15</v>
      </c>
    </row>
    <row r="500" spans="14:17" x14ac:dyDescent="0.3">
      <c r="N500" s="4" t="s">
        <v>669</v>
      </c>
      <c r="O500" s="10">
        <v>78547</v>
      </c>
      <c r="P500" s="10">
        <v>2259.1535346000001</v>
      </c>
      <c r="Q500" s="8">
        <v>9.3806393504009947E-2</v>
      </c>
    </row>
    <row r="501" spans="14:17" x14ac:dyDescent="0.3">
      <c r="N501" s="4" t="s">
        <v>670</v>
      </c>
      <c r="O501" s="10">
        <v>28639</v>
      </c>
      <c r="P501" s="10">
        <v>2259.1535346000001</v>
      </c>
      <c r="Q501" s="8">
        <v>9.3806393504009947E-2</v>
      </c>
    </row>
    <row r="502" spans="14:17" x14ac:dyDescent="0.3">
      <c r="N502" s="4" t="s">
        <v>671</v>
      </c>
      <c r="O502" s="10">
        <v>6695</v>
      </c>
      <c r="P502" s="10">
        <v>670</v>
      </c>
      <c r="Q502" s="8">
        <v>0.1</v>
      </c>
    </row>
    <row r="503" spans="14:17" x14ac:dyDescent="0.3">
      <c r="N503" s="4" t="s">
        <v>672</v>
      </c>
      <c r="O503" s="10">
        <v>5431.5</v>
      </c>
      <c r="P503" s="10">
        <v>543</v>
      </c>
      <c r="Q503" s="8">
        <v>0.1</v>
      </c>
    </row>
    <row r="504" spans="14:17" x14ac:dyDescent="0.3">
      <c r="N504" s="4" t="s">
        <v>674</v>
      </c>
      <c r="O504" s="10">
        <v>285935.2026182175</v>
      </c>
      <c r="P504" s="10">
        <v>6516.5291243437496</v>
      </c>
      <c r="Q504" s="8">
        <v>0.13674138192165153</v>
      </c>
    </row>
    <row r="505" spans="14:17" x14ac:dyDescent="0.3">
      <c r="N505" s="4" t="s">
        <v>676</v>
      </c>
      <c r="O505" s="10">
        <v>155999.99926834999</v>
      </c>
      <c r="P505" s="10">
        <v>5033.9345042499999</v>
      </c>
      <c r="Q505" s="8">
        <v>0.1613440553801114</v>
      </c>
    </row>
    <row r="506" spans="14:17" x14ac:dyDescent="0.3">
      <c r="N506" s="4" t="s">
        <v>678</v>
      </c>
      <c r="O506" s="10">
        <v>9398802.416762935</v>
      </c>
      <c r="P506" s="10">
        <v>9710.8633653237084</v>
      </c>
      <c r="Q506" s="8">
        <v>7.0257749823986734E-2</v>
      </c>
    </row>
    <row r="507" spans="14:17" x14ac:dyDescent="0.3">
      <c r="N507" s="4" t="s">
        <v>679</v>
      </c>
      <c r="O507" s="10">
        <v>9807366.7182234321</v>
      </c>
      <c r="P507" s="10">
        <v>9040.2266307200771</v>
      </c>
      <c r="Q507" s="8">
        <v>7.1898777465506977E-2</v>
      </c>
    </row>
    <row r="508" spans="14:17" x14ac:dyDescent="0.3">
      <c r="N508" s="4" t="s">
        <v>680</v>
      </c>
      <c r="O508" s="10">
        <v>5260729.9382227231</v>
      </c>
      <c r="P508" s="10">
        <v>7905.0276259701786</v>
      </c>
      <c r="Q508" s="8">
        <v>7.8137718791419591E-2</v>
      </c>
    </row>
    <row r="509" spans="14:17" x14ac:dyDescent="0.3">
      <c r="N509" s="4" t="s">
        <v>681</v>
      </c>
      <c r="O509" s="10">
        <v>9807732.5662020035</v>
      </c>
      <c r="P509" s="10">
        <v>9040.4439452389615</v>
      </c>
      <c r="Q509" s="8">
        <v>7.1897823780252876E-2</v>
      </c>
    </row>
    <row r="510" spans="14:17" x14ac:dyDescent="0.3">
      <c r="N510" s="4" t="s">
        <v>722</v>
      </c>
      <c r="O510" s="10">
        <v>1433284.7403362002</v>
      </c>
      <c r="P510" s="10">
        <v>9346.9528444500011</v>
      </c>
      <c r="Q510" s="8">
        <v>0.16955512545169185</v>
      </c>
    </row>
    <row r="511" spans="14:17" x14ac:dyDescent="0.3">
      <c r="N511" s="4" t="s">
        <v>729</v>
      </c>
      <c r="O511" s="10">
        <v>32774597.774034686</v>
      </c>
      <c r="P511" s="10">
        <v>20444.578479527998</v>
      </c>
      <c r="Q511" s="8">
        <v>5.9884168451629298E-2</v>
      </c>
    </row>
    <row r="512" spans="14:17" x14ac:dyDescent="0.3">
      <c r="N512" s="4" t="s">
        <v>730</v>
      </c>
      <c r="O512" s="10">
        <v>1004487.3999006001</v>
      </c>
      <c r="P512" s="10">
        <v>7193.5503074999997</v>
      </c>
      <c r="Q512" s="8">
        <v>0.15755111192102617</v>
      </c>
    </row>
    <row r="513" spans="14:17" x14ac:dyDescent="0.3">
      <c r="N513" s="4" t="s">
        <v>731</v>
      </c>
      <c r="O513" s="10">
        <v>4265482.0013007997</v>
      </c>
      <c r="P513" s="10">
        <v>14011.167381455358</v>
      </c>
      <c r="Q513" s="8">
        <v>0.10511294059378062</v>
      </c>
    </row>
    <row r="514" spans="14:17" x14ac:dyDescent="0.3">
      <c r="N514" s="4" t="s">
        <v>733</v>
      </c>
      <c r="O514" s="10">
        <v>510789.56939999998</v>
      </c>
      <c r="P514" s="10">
        <v>9341.4660499999991</v>
      </c>
      <c r="Q514" s="8">
        <v>0.14630629299612319</v>
      </c>
    </row>
    <row r="515" spans="14:17" x14ac:dyDescent="0.3">
      <c r="N515" s="4" t="s">
        <v>734</v>
      </c>
      <c r="O515" s="10">
        <v>162832.44600000003</v>
      </c>
      <c r="P515" s="10">
        <v>5833.2</v>
      </c>
      <c r="Q515" s="8">
        <v>0.17911663625073834</v>
      </c>
    </row>
    <row r="516" spans="14:17" x14ac:dyDescent="0.3">
      <c r="N516" s="4" t="s">
        <v>735</v>
      </c>
      <c r="O516" s="10">
        <v>8038332.8524526274</v>
      </c>
      <c r="P516" s="10">
        <v>10038.869212361158</v>
      </c>
      <c r="Q516" s="8">
        <v>7.4932472167768965E-2</v>
      </c>
    </row>
    <row r="517" spans="14:17" x14ac:dyDescent="0.3">
      <c r="N517" s="4" t="s">
        <v>741</v>
      </c>
      <c r="O517" s="10">
        <v>2638646.3235833584</v>
      </c>
      <c r="P517" s="10">
        <v>8824.6367281578459</v>
      </c>
      <c r="Q517" s="8">
        <v>0.13377521116469648</v>
      </c>
    </row>
    <row r="518" spans="14:17" x14ac:dyDescent="0.3">
      <c r="N518" s="4" t="s">
        <v>742</v>
      </c>
      <c r="O518" s="10">
        <v>965021.23</v>
      </c>
      <c r="P518" s="10">
        <v>7327</v>
      </c>
      <c r="Q518" s="8">
        <v>0.1215</v>
      </c>
    </row>
    <row r="519" spans="14:17" x14ac:dyDescent="0.3">
      <c r="N519" s="4" t="s">
        <v>758</v>
      </c>
      <c r="O519" s="10">
        <v>201980.19576</v>
      </c>
      <c r="P519" s="10">
        <v>6509.5863083333343</v>
      </c>
      <c r="Q519" s="8">
        <v>0.19337300720516939</v>
      </c>
    </row>
    <row r="520" spans="14:17" x14ac:dyDescent="0.3">
      <c r="N520" s="3" t="s">
        <v>252</v>
      </c>
      <c r="O520" s="10"/>
      <c r="P520" s="10"/>
      <c r="Q520" s="8"/>
    </row>
    <row r="521" spans="14:17" x14ac:dyDescent="0.3">
      <c r="N521" s="4" t="s">
        <v>252</v>
      </c>
      <c r="O521" s="10"/>
      <c r="P521" s="10"/>
      <c r="Q521" s="8"/>
    </row>
    <row r="522" spans="14:17" x14ac:dyDescent="0.3">
      <c r="N522" s="3" t="s">
        <v>654</v>
      </c>
      <c r="O522" s="10">
        <v>663503</v>
      </c>
      <c r="P522" s="10">
        <v>25406</v>
      </c>
      <c r="Q522" s="8">
        <v>0.1149</v>
      </c>
    </row>
    <row r="523" spans="14:17" x14ac:dyDescent="0.3">
      <c r="N523" s="4" t="s">
        <v>658</v>
      </c>
      <c r="O523" s="10">
        <v>663503</v>
      </c>
      <c r="P523" s="10">
        <v>25406</v>
      </c>
      <c r="Q523" s="8">
        <v>0.1149</v>
      </c>
    </row>
  </sheetData>
  <conditionalFormatting sqref="K13:V13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0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'Estimating Metrics'!K6:W6</xm:f>
              <xm:sqref>Y6</xm:sqref>
            </x14:sparkline>
          </x14:sparklines>
        </x14:sparklineGroup>
        <x14:sparklineGroup manualMax="0" manualMin="0" displayEmptyCellsAs="gap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'Estimating Metrics'!K9:W9</xm:f>
              <xm:sqref>Y9</xm:sqref>
            </x14:sparkline>
          </x14:sparklines>
        </x14:sparklineGroup>
        <x14:sparklineGroup manualMax="0" manualMin="0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'Estimating Metrics'!K12:W12</xm:f>
              <xm:sqref>Y12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"/>
  <sheetViews>
    <sheetView workbookViewId="0">
      <selection activeCell="E4" sqref="E4"/>
    </sheetView>
  </sheetViews>
  <sheetFormatPr defaultColWidth="10.88671875" defaultRowHeight="17.25" x14ac:dyDescent="0.3"/>
  <cols>
    <col min="1" max="1" width="16.88671875" style="7" bestFit="1" customWidth="1"/>
    <col min="2" max="2" width="14" bestFit="1" customWidth="1"/>
    <col min="3" max="3" width="20.5546875" customWidth="1"/>
    <col min="4" max="4" width="12.21875" bestFit="1" customWidth="1"/>
    <col min="5" max="5" width="19.109375" bestFit="1" customWidth="1"/>
  </cols>
  <sheetData>
    <row r="1" spans="1:5" x14ac:dyDescent="0.3">
      <c r="A1"/>
      <c r="D1" s="2" t="s">
        <v>41</v>
      </c>
      <c r="E1" t="s">
        <v>42</v>
      </c>
    </row>
    <row r="3" spans="1:5" x14ac:dyDescent="0.3">
      <c r="A3" s="8" t="e" vm="1">
        <v>#VALUE!</v>
      </c>
      <c r="D3" s="2" t="s">
        <v>32</v>
      </c>
      <c r="E3" t="s">
        <v>34</v>
      </c>
    </row>
    <row r="4" spans="1:5" x14ac:dyDescent="0.3">
      <c r="A4"/>
      <c r="D4" s="3" t="s">
        <v>108</v>
      </c>
      <c r="E4" s="8">
        <v>0.17168069261977273</v>
      </c>
    </row>
    <row r="5" spans="1:5" x14ac:dyDescent="0.3">
      <c r="A5"/>
      <c r="D5" s="3" t="s">
        <v>156</v>
      </c>
      <c r="E5" s="8">
        <v>0.80586653131779384</v>
      </c>
    </row>
    <row r="6" spans="1:5" x14ac:dyDescent="0.3">
      <c r="A6"/>
      <c r="D6" s="3" t="s">
        <v>92</v>
      </c>
      <c r="E6" s="9">
        <v>7.9510378420631495E-3</v>
      </c>
    </row>
    <row r="7" spans="1:5" x14ac:dyDescent="0.3">
      <c r="A7"/>
      <c r="D7" s="3" t="s">
        <v>167</v>
      </c>
      <c r="E7" s="9">
        <v>9.8359676742424875E-3</v>
      </c>
    </row>
    <row r="8" spans="1:5" x14ac:dyDescent="0.3">
      <c r="A8"/>
      <c r="D8" s="3" t="s">
        <v>659</v>
      </c>
      <c r="E8" s="9">
        <v>4.6657705461278362E-3</v>
      </c>
    </row>
    <row r="9" spans="1:5" x14ac:dyDescent="0.3">
      <c r="A9"/>
      <c r="D9" s="3" t="s">
        <v>33</v>
      </c>
      <c r="E9" s="8">
        <v>1</v>
      </c>
    </row>
    <row r="10" spans="1:5" x14ac:dyDescent="0.3">
      <c r="A10"/>
    </row>
    <row r="11" spans="1:5" x14ac:dyDescent="0.3">
      <c r="A11"/>
    </row>
    <row r="12" spans="1:5" x14ac:dyDescent="0.3">
      <c r="A12"/>
    </row>
    <row r="13" spans="1:5" x14ac:dyDescent="0.3">
      <c r="A13"/>
    </row>
    <row r="14" spans="1:5" x14ac:dyDescent="0.3">
      <c r="A14"/>
    </row>
    <row r="15" spans="1:5" x14ac:dyDescent="0.3">
      <c r="A15"/>
    </row>
    <row r="16" spans="1:5" x14ac:dyDescent="0.3">
      <c r="A16"/>
    </row>
    <row r="17" spans="1:5" x14ac:dyDescent="0.3">
      <c r="A17"/>
    </row>
    <row r="18" spans="1:5" x14ac:dyDescent="0.3">
      <c r="A18"/>
    </row>
    <row r="19" spans="1:5" x14ac:dyDescent="0.3">
      <c r="A19"/>
    </row>
    <row r="21" spans="1:5" x14ac:dyDescent="0.3">
      <c r="A21" s="2" t="s">
        <v>32</v>
      </c>
      <c r="B21" t="s">
        <v>63</v>
      </c>
      <c r="D21" s="2" t="s">
        <v>32</v>
      </c>
      <c r="E21" t="s">
        <v>34</v>
      </c>
    </row>
    <row r="22" spans="1:5" x14ac:dyDescent="0.3">
      <c r="A22" s="3" t="s">
        <v>92</v>
      </c>
      <c r="B22" s="8">
        <v>2.3602972593551215E-3</v>
      </c>
      <c r="D22" s="3" t="s">
        <v>108</v>
      </c>
      <c r="E22" s="8">
        <v>0.23344917042372812</v>
      </c>
    </row>
    <row r="23" spans="1:5" x14ac:dyDescent="0.3">
      <c r="A23" s="4" t="s">
        <v>42</v>
      </c>
      <c r="B23" s="8">
        <v>2.3602972593551215E-3</v>
      </c>
      <c r="D23" s="3" t="s">
        <v>156</v>
      </c>
      <c r="E23" s="8">
        <v>0.75893333684733488</v>
      </c>
    </row>
    <row r="24" spans="1:5" x14ac:dyDescent="0.3">
      <c r="A24" s="3" t="s">
        <v>108</v>
      </c>
      <c r="B24" s="8">
        <v>0.23344917042372798</v>
      </c>
      <c r="D24" s="3" t="s">
        <v>92</v>
      </c>
      <c r="E24" s="9">
        <v>2.3602972593551206E-3</v>
      </c>
    </row>
    <row r="25" spans="1:5" x14ac:dyDescent="0.3">
      <c r="A25" s="4" t="s">
        <v>42</v>
      </c>
      <c r="B25" s="8">
        <v>5.0964097558551157E-2</v>
      </c>
      <c r="D25" s="3" t="s">
        <v>252</v>
      </c>
      <c r="E25" s="9">
        <v>0</v>
      </c>
    </row>
    <row r="26" spans="1:5" x14ac:dyDescent="0.3">
      <c r="A26" s="4" t="s">
        <v>43</v>
      </c>
      <c r="B26" s="8">
        <v>0.1801301764810766</v>
      </c>
      <c r="D26" s="3" t="s">
        <v>167</v>
      </c>
      <c r="E26" s="9">
        <v>2.9198461893618689E-3</v>
      </c>
    </row>
    <row r="27" spans="1:5" x14ac:dyDescent="0.3">
      <c r="A27" s="4" t="s">
        <v>85</v>
      </c>
      <c r="B27" s="8">
        <v>2.3548963841002533E-3</v>
      </c>
      <c r="D27" s="3" t="s">
        <v>659</v>
      </c>
      <c r="E27" s="9">
        <v>2.3373492802199851E-3</v>
      </c>
    </row>
    <row r="28" spans="1:5" x14ac:dyDescent="0.3">
      <c r="A28" s="3" t="s">
        <v>252</v>
      </c>
      <c r="B28" s="8">
        <v>0</v>
      </c>
      <c r="D28" s="3" t="s">
        <v>33</v>
      </c>
      <c r="E28" s="8">
        <v>1</v>
      </c>
    </row>
    <row r="29" spans="1:5" x14ac:dyDescent="0.3">
      <c r="A29" s="4" t="s">
        <v>252</v>
      </c>
      <c r="B29" s="8">
        <v>0</v>
      </c>
    </row>
    <row r="30" spans="1:5" x14ac:dyDescent="0.3">
      <c r="A30" s="3" t="s">
        <v>156</v>
      </c>
      <c r="B30" s="8">
        <v>0.75893333684733499</v>
      </c>
    </row>
    <row r="31" spans="1:5" x14ac:dyDescent="0.3">
      <c r="A31" s="4" t="s">
        <v>42</v>
      </c>
      <c r="B31" s="8">
        <v>0.23922469029299082</v>
      </c>
    </row>
    <row r="32" spans="1:5" x14ac:dyDescent="0.3">
      <c r="A32" s="4" t="s">
        <v>43</v>
      </c>
      <c r="B32" s="8">
        <v>0.3904729866119363</v>
      </c>
    </row>
    <row r="33" spans="1:2" x14ac:dyDescent="0.3">
      <c r="A33" s="4" t="s">
        <v>85</v>
      </c>
      <c r="B33" s="8">
        <v>0.12923565994240788</v>
      </c>
    </row>
    <row r="34" spans="1:2" x14ac:dyDescent="0.3">
      <c r="A34" s="3" t="s">
        <v>167</v>
      </c>
      <c r="B34" s="8">
        <v>2.9198461893618697E-3</v>
      </c>
    </row>
    <row r="35" spans="1:2" x14ac:dyDescent="0.3">
      <c r="A35" s="4" t="s">
        <v>42</v>
      </c>
      <c r="B35" s="8">
        <v>2.9198461893618697E-3</v>
      </c>
    </row>
    <row r="36" spans="1:2" x14ac:dyDescent="0.3">
      <c r="A36" s="3" t="s">
        <v>659</v>
      </c>
      <c r="B36" s="8">
        <v>2.337349280219986E-3</v>
      </c>
    </row>
    <row r="37" spans="1:2" x14ac:dyDescent="0.3">
      <c r="A37" s="4" t="s">
        <v>42</v>
      </c>
      <c r="B37" s="8">
        <v>1.3850525744633873E-3</v>
      </c>
    </row>
    <row r="38" spans="1:2" x14ac:dyDescent="0.3">
      <c r="A38" s="4" t="s">
        <v>43</v>
      </c>
      <c r="B38" s="8">
        <v>9.5229670575659861E-4</v>
      </c>
    </row>
    <row r="39" spans="1:2" x14ac:dyDescent="0.3">
      <c r="A39" s="6" t="s">
        <v>33</v>
      </c>
      <c r="B39" s="8">
        <v>1</v>
      </c>
    </row>
    <row r="40" spans="1:2" x14ac:dyDescent="0.3">
      <c r="A40"/>
    </row>
    <row r="41" spans="1:2" x14ac:dyDescent="0.3">
      <c r="A41"/>
    </row>
    <row r="42" spans="1:2" x14ac:dyDescent="0.3">
      <c r="A42"/>
    </row>
    <row r="43" spans="1:2" x14ac:dyDescent="0.3">
      <c r="A43"/>
    </row>
    <row r="44" spans="1:2" x14ac:dyDescent="0.3">
      <c r="A44"/>
    </row>
    <row r="45" spans="1:2" x14ac:dyDescent="0.3">
      <c r="A45"/>
    </row>
    <row r="46" spans="1:2" x14ac:dyDescent="0.3">
      <c r="A46"/>
    </row>
    <row r="47" spans="1:2" x14ac:dyDescent="0.3">
      <c r="A47"/>
    </row>
    <row r="48" spans="1:2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zoomScale="106" workbookViewId="0">
      <selection activeCell="D33" sqref="D33"/>
    </sheetView>
  </sheetViews>
  <sheetFormatPr defaultColWidth="10.88671875" defaultRowHeight="17.25" x14ac:dyDescent="0.3"/>
  <cols>
    <col min="1" max="1" width="41.33203125" bestFit="1" customWidth="1"/>
    <col min="2" max="2" width="19.44140625" bestFit="1" customWidth="1"/>
    <col min="3" max="3" width="21.5546875" customWidth="1"/>
    <col min="4" max="4" width="21.44140625" bestFit="1" customWidth="1"/>
    <col min="5" max="5" width="19.44140625" bestFit="1" customWidth="1"/>
    <col min="6" max="6" width="4.33203125" customWidth="1"/>
    <col min="7" max="7" width="9.33203125" bestFit="1" customWidth="1"/>
  </cols>
  <sheetData>
    <row r="1" spans="1:5" x14ac:dyDescent="0.3">
      <c r="A1" s="116" t="s">
        <v>376</v>
      </c>
      <c r="B1" s="116"/>
      <c r="C1" s="116"/>
      <c r="D1" s="116"/>
      <c r="E1" s="116"/>
    </row>
    <row r="2" spans="1:5" x14ac:dyDescent="0.3">
      <c r="A2" s="116"/>
      <c r="B2" s="116"/>
      <c r="C2" s="116"/>
      <c r="D2" s="116"/>
      <c r="E2" s="116"/>
    </row>
    <row r="6" spans="1:5" x14ac:dyDescent="0.3">
      <c r="D6" s="2" t="s">
        <v>100</v>
      </c>
      <c r="E6" t="s">
        <v>89</v>
      </c>
    </row>
    <row r="7" spans="1:5" x14ac:dyDescent="0.3">
      <c r="A7" s="8" t="e" vm="2">
        <v>#VALUE!</v>
      </c>
    </row>
    <row r="24" spans="1:5" x14ac:dyDescent="0.3">
      <c r="A24" s="116" t="s">
        <v>375</v>
      </c>
      <c r="B24" s="116"/>
      <c r="C24" s="116"/>
      <c r="D24" s="116"/>
      <c r="E24" s="116"/>
    </row>
    <row r="25" spans="1:5" x14ac:dyDescent="0.3">
      <c r="A25" s="116"/>
      <c r="B25" s="116"/>
      <c r="C25" s="116"/>
      <c r="D25" s="116"/>
      <c r="E25" s="116"/>
    </row>
    <row r="28" spans="1:5" x14ac:dyDescent="0.3">
      <c r="D28" s="2" t="s">
        <v>100</v>
      </c>
      <c r="E28" t="s">
        <v>89</v>
      </c>
    </row>
    <row r="29" spans="1:5" x14ac:dyDescent="0.3">
      <c r="A29" s="2" t="s">
        <v>32</v>
      </c>
      <c r="B29" t="s">
        <v>34</v>
      </c>
    </row>
    <row r="30" spans="1:5" x14ac:dyDescent="0.3">
      <c r="A30" s="3" t="s">
        <v>29</v>
      </c>
      <c r="B30" s="8">
        <v>0.9554303016577308</v>
      </c>
      <c r="D30" s="2" t="s">
        <v>32</v>
      </c>
      <c r="E30" t="s">
        <v>34</v>
      </c>
    </row>
    <row r="31" spans="1:5" x14ac:dyDescent="0.3">
      <c r="A31" s="4" t="s">
        <v>30</v>
      </c>
      <c r="B31" s="8">
        <v>0.12944498445485667</v>
      </c>
      <c r="D31" s="3" t="s">
        <v>29</v>
      </c>
      <c r="E31" s="8">
        <v>0.99374425300699309</v>
      </c>
    </row>
    <row r="32" spans="1:5" x14ac:dyDescent="0.3">
      <c r="A32" s="4" t="s">
        <v>38</v>
      </c>
      <c r="B32" s="8">
        <v>6.9704022512365738E-2</v>
      </c>
      <c r="D32" s="4" t="s">
        <v>343</v>
      </c>
      <c r="E32" s="8">
        <v>1.340131882784571E-3</v>
      </c>
    </row>
    <row r="33" spans="1:5" x14ac:dyDescent="0.3">
      <c r="A33" s="4" t="s">
        <v>45</v>
      </c>
      <c r="B33" s="8">
        <v>0.7294503337652144</v>
      </c>
      <c r="D33" s="4" t="s">
        <v>38</v>
      </c>
      <c r="E33" s="8">
        <v>7.0386541123269669E-2</v>
      </c>
    </row>
    <row r="34" spans="1:5" x14ac:dyDescent="0.3">
      <c r="A34" s="4" t="s">
        <v>726</v>
      </c>
      <c r="B34" s="8">
        <v>1.4416966342267513E-3</v>
      </c>
      <c r="D34" s="4" t="s">
        <v>45</v>
      </c>
      <c r="E34" s="8">
        <v>0.75508643162053335</v>
      </c>
    </row>
    <row r="35" spans="1:5" x14ac:dyDescent="0.3">
      <c r="A35" s="4" t="s">
        <v>343</v>
      </c>
      <c r="B35" s="8">
        <v>9.2025663811117677E-3</v>
      </c>
      <c r="D35" s="4" t="s">
        <v>30</v>
      </c>
      <c r="E35" s="8">
        <v>0.15862530458901467</v>
      </c>
    </row>
    <row r="36" spans="1:5" x14ac:dyDescent="0.3">
      <c r="A36" s="4" t="s">
        <v>383</v>
      </c>
      <c r="B36" s="8">
        <v>4.7333270547524828E-3</v>
      </c>
      <c r="D36" s="4" t="s">
        <v>538</v>
      </c>
      <c r="E36" s="8">
        <v>8.0711305519893877E-4</v>
      </c>
    </row>
    <row r="37" spans="1:5" x14ac:dyDescent="0.3">
      <c r="A37" s="11" t="s">
        <v>378</v>
      </c>
      <c r="B37" s="8">
        <v>4.7333270547524828E-3</v>
      </c>
      <c r="D37" s="4" t="s">
        <v>575</v>
      </c>
      <c r="E37" s="8">
        <v>7.4987307361917433E-3</v>
      </c>
    </row>
    <row r="38" spans="1:5" x14ac:dyDescent="0.3">
      <c r="A38" s="4" t="s">
        <v>538</v>
      </c>
      <c r="B38" s="8">
        <v>2.3836774618359052E-4</v>
      </c>
      <c r="D38" s="3" t="s">
        <v>57</v>
      </c>
      <c r="E38" s="8">
        <v>5.4499568258562408E-3</v>
      </c>
    </row>
    <row r="39" spans="1:5" x14ac:dyDescent="0.3">
      <c r="A39" s="11" t="s">
        <v>577</v>
      </c>
      <c r="B39" s="8">
        <v>2.3836774618359052E-4</v>
      </c>
      <c r="D39" s="3" t="s">
        <v>35</v>
      </c>
      <c r="E39" s="8">
        <v>8.0579016715054484E-4</v>
      </c>
    </row>
    <row r="40" spans="1:5" x14ac:dyDescent="0.3">
      <c r="A40" s="4" t="s">
        <v>555</v>
      </c>
      <c r="B40" s="8">
        <v>4.3711576032238125E-4</v>
      </c>
      <c r="D40" s="3" t="s">
        <v>33</v>
      </c>
      <c r="E40" s="8">
        <v>1</v>
      </c>
    </row>
    <row r="41" spans="1:5" x14ac:dyDescent="0.3">
      <c r="A41" s="11" t="s">
        <v>554</v>
      </c>
      <c r="B41" s="8">
        <v>1.3135319642945721E-4</v>
      </c>
    </row>
    <row r="42" spans="1:5" x14ac:dyDescent="0.3">
      <c r="A42" s="11" t="s">
        <v>598</v>
      </c>
      <c r="B42" s="8">
        <v>3.05762563892924E-4</v>
      </c>
    </row>
    <row r="43" spans="1:5" x14ac:dyDescent="0.3">
      <c r="A43" s="4" t="s">
        <v>748</v>
      </c>
      <c r="B43" s="8">
        <v>6.4395634295753065E-4</v>
      </c>
    </row>
    <row r="44" spans="1:5" x14ac:dyDescent="0.3">
      <c r="A44" s="11" t="s">
        <v>744</v>
      </c>
      <c r="B44" s="8">
        <v>6.4395634295753065E-4</v>
      </c>
    </row>
    <row r="45" spans="1:5" x14ac:dyDescent="0.3">
      <c r="A45" s="4" t="s">
        <v>575</v>
      </c>
      <c r="B45" s="8">
        <v>2.214628462902346E-3</v>
      </c>
    </row>
    <row r="46" spans="1:5" x14ac:dyDescent="0.3">
      <c r="A46" s="11" t="s">
        <v>576</v>
      </c>
      <c r="B46" s="8">
        <v>2.214628462902346E-3</v>
      </c>
    </row>
    <row r="47" spans="1:5" x14ac:dyDescent="0.3">
      <c r="A47" s="4" t="s">
        <v>597</v>
      </c>
      <c r="B47" s="8">
        <v>6.2338920089977084E-3</v>
      </c>
    </row>
    <row r="48" spans="1:5" x14ac:dyDescent="0.3">
      <c r="A48" s="11" t="s">
        <v>596</v>
      </c>
      <c r="B48" s="8">
        <v>6.2338920089977084E-3</v>
      </c>
    </row>
    <row r="49" spans="1:2" x14ac:dyDescent="0.3">
      <c r="A49" s="4" t="s">
        <v>657</v>
      </c>
      <c r="B49" s="8">
        <v>9.5229670575659828E-4</v>
      </c>
    </row>
    <row r="50" spans="1:2" x14ac:dyDescent="0.3">
      <c r="A50" s="11" t="s">
        <v>658</v>
      </c>
      <c r="B50" s="8">
        <v>9.5229670575659828E-4</v>
      </c>
    </row>
    <row r="51" spans="1:2" x14ac:dyDescent="0.3">
      <c r="A51" s="4" t="s">
        <v>732</v>
      </c>
      <c r="B51" s="8">
        <v>7.3311382808284413E-4</v>
      </c>
    </row>
    <row r="52" spans="1:2" x14ac:dyDescent="0.3">
      <c r="A52" s="11" t="s">
        <v>733</v>
      </c>
      <c r="B52" s="8">
        <v>7.3311382808284413E-4</v>
      </c>
    </row>
    <row r="53" spans="1:2" x14ac:dyDescent="0.3">
      <c r="A53" s="3" t="s">
        <v>35</v>
      </c>
      <c r="B53" s="8">
        <v>1.260943771583415E-2</v>
      </c>
    </row>
    <row r="54" spans="1:2" x14ac:dyDescent="0.3">
      <c r="A54" s="3" t="s">
        <v>57</v>
      </c>
      <c r="B54" s="8">
        <v>3.1960260626435005E-2</v>
      </c>
    </row>
    <row r="55" spans="1:2" x14ac:dyDescent="0.3">
      <c r="A55" s="3" t="s">
        <v>252</v>
      </c>
      <c r="B55" s="8">
        <v>0</v>
      </c>
    </row>
    <row r="56" spans="1:2" x14ac:dyDescent="0.3">
      <c r="A56" s="4" t="s">
        <v>252</v>
      </c>
      <c r="B56" s="8">
        <v>0</v>
      </c>
    </row>
    <row r="57" spans="1:2" x14ac:dyDescent="0.3">
      <c r="A57" s="11" t="s">
        <v>252</v>
      </c>
      <c r="B57" s="8">
        <v>0</v>
      </c>
    </row>
    <row r="58" spans="1:2" x14ac:dyDescent="0.3">
      <c r="A58" s="3" t="s">
        <v>33</v>
      </c>
      <c r="B58" s="8">
        <v>1</v>
      </c>
    </row>
  </sheetData>
  <mergeCells count="2">
    <mergeCell ref="A24:E25"/>
    <mergeCell ref="A1:E2"/>
  </mergeCell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"/>
  <sheetViews>
    <sheetView workbookViewId="0">
      <selection sqref="A1:AY4"/>
    </sheetView>
  </sheetViews>
  <sheetFormatPr defaultColWidth="8.6640625" defaultRowHeight="17.25" x14ac:dyDescent="0.3"/>
  <cols>
    <col min="2" max="2" width="13" customWidth="1"/>
    <col min="3" max="3" width="9.44140625" customWidth="1"/>
    <col min="6" max="6" width="17.5546875" customWidth="1"/>
    <col min="7" max="7" width="10" customWidth="1"/>
    <col min="8" max="8" width="11.5546875" customWidth="1"/>
    <col min="9" max="9" width="15.5546875" customWidth="1"/>
    <col min="11" max="11" width="14.5546875" customWidth="1"/>
    <col min="12" max="12" width="17.5546875" customWidth="1"/>
    <col min="13" max="13" width="21.5546875" customWidth="1"/>
    <col min="14" max="14" width="23.5546875" customWidth="1"/>
    <col min="15" max="15" width="10" customWidth="1"/>
    <col min="16" max="16" width="9.5546875" customWidth="1"/>
    <col min="17" max="17" width="12.33203125" customWidth="1"/>
    <col min="18" max="18" width="11.6640625" customWidth="1"/>
    <col min="19" max="19" width="24.33203125" customWidth="1"/>
    <col min="20" max="20" width="23.6640625" customWidth="1"/>
    <col min="22" max="22" width="12.44140625" customWidth="1"/>
    <col min="23" max="23" width="9" customWidth="1"/>
    <col min="24" max="24" width="15.6640625" customWidth="1"/>
    <col min="25" max="25" width="17.6640625" customWidth="1"/>
    <col min="26" max="26" width="21.44140625" customWidth="1"/>
    <col min="27" max="27" width="17.6640625" customWidth="1"/>
    <col min="28" max="28" width="18.33203125" customWidth="1"/>
    <col min="29" max="29" width="32.44140625" customWidth="1"/>
    <col min="30" max="30" width="29.5546875" customWidth="1"/>
    <col min="31" max="31" width="22.5546875" customWidth="1"/>
    <col min="33" max="33" width="10.6640625" customWidth="1"/>
    <col min="34" max="34" width="14.6640625" customWidth="1"/>
    <col min="35" max="35" width="10.44140625" customWidth="1"/>
    <col min="36" max="36" width="10.33203125" customWidth="1"/>
    <col min="37" max="37" width="15" customWidth="1"/>
    <col min="39" max="39" width="13.88671875" customWidth="1"/>
    <col min="40" max="40" width="9.5546875" customWidth="1"/>
    <col min="41" max="41" width="10.5546875" customWidth="1"/>
    <col min="43" max="43" width="13" customWidth="1"/>
    <col min="45" max="45" width="12" customWidth="1"/>
    <col min="46" max="46" width="16.5546875" customWidth="1"/>
    <col min="48" max="48" width="13.44140625" customWidth="1"/>
    <col min="49" max="49" width="23" customWidth="1"/>
    <col min="50" max="50" width="9.88671875" customWidth="1"/>
    <col min="51" max="51" width="23" customWidth="1"/>
  </cols>
  <sheetData>
    <row r="1" spans="1:51" x14ac:dyDescent="0.3">
      <c r="A1" t="s">
        <v>0</v>
      </c>
      <c r="B1" t="s">
        <v>160</v>
      </c>
      <c r="C1" t="s">
        <v>224</v>
      </c>
      <c r="D1" t="s">
        <v>225</v>
      </c>
      <c r="E1" t="s">
        <v>237</v>
      </c>
      <c r="F1" t="s">
        <v>3</v>
      </c>
      <c r="G1" t="s">
        <v>1</v>
      </c>
      <c r="H1" t="s">
        <v>2</v>
      </c>
      <c r="I1" t="s">
        <v>5</v>
      </c>
      <c r="J1" t="s">
        <v>4</v>
      </c>
      <c r="K1" t="s">
        <v>48</v>
      </c>
      <c r="L1" t="s">
        <v>88</v>
      </c>
      <c r="M1" t="s">
        <v>6</v>
      </c>
      <c r="N1" t="s">
        <v>18</v>
      </c>
      <c r="O1" t="s">
        <v>93</v>
      </c>
      <c r="P1" t="s">
        <v>7</v>
      </c>
      <c r="Q1" t="s">
        <v>94</v>
      </c>
      <c r="R1" t="s">
        <v>8</v>
      </c>
      <c r="S1" t="s">
        <v>97</v>
      </c>
      <c r="T1" t="s">
        <v>98</v>
      </c>
      <c r="U1" t="s">
        <v>86</v>
      </c>
      <c r="V1" t="s">
        <v>9</v>
      </c>
      <c r="W1" t="s">
        <v>11</v>
      </c>
      <c r="X1" t="s">
        <v>10</v>
      </c>
      <c r="Y1" t="s">
        <v>12</v>
      </c>
      <c r="Z1" t="s">
        <v>13</v>
      </c>
      <c r="AA1" t="s">
        <v>14</v>
      </c>
      <c r="AB1" t="s">
        <v>168</v>
      </c>
      <c r="AC1" t="s">
        <v>28</v>
      </c>
      <c r="AD1" t="s">
        <v>15</v>
      </c>
      <c r="AE1" t="s">
        <v>16</v>
      </c>
      <c r="AF1" t="s">
        <v>17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95</v>
      </c>
      <c r="AN1" t="s">
        <v>25</v>
      </c>
      <c r="AO1" t="s">
        <v>96</v>
      </c>
      <c r="AP1" t="s">
        <v>26</v>
      </c>
      <c r="AQ1" t="s">
        <v>27</v>
      </c>
      <c r="AR1" t="s">
        <v>40</v>
      </c>
      <c r="AS1" t="s">
        <v>238</v>
      </c>
      <c r="AT1" t="s">
        <v>239</v>
      </c>
      <c r="AU1" t="s">
        <v>41</v>
      </c>
      <c r="AV1" t="s">
        <v>99</v>
      </c>
      <c r="AW1" t="s">
        <v>240</v>
      </c>
      <c r="AX1" t="s">
        <v>49</v>
      </c>
      <c r="AY1" t="s">
        <v>100</v>
      </c>
    </row>
    <row r="2" spans="1:51" x14ac:dyDescent="0.3">
      <c r="A2" s="35">
        <v>43854</v>
      </c>
      <c r="B2">
        <v>2020</v>
      </c>
      <c r="C2" t="s">
        <v>229</v>
      </c>
      <c r="D2" t="s">
        <v>230</v>
      </c>
      <c r="E2" t="s">
        <v>254</v>
      </c>
      <c r="F2">
        <v>2658</v>
      </c>
      <c r="G2" t="s">
        <v>29</v>
      </c>
      <c r="H2" t="s">
        <v>45</v>
      </c>
      <c r="I2" t="s">
        <v>277</v>
      </c>
      <c r="J2">
        <v>2300</v>
      </c>
      <c r="K2" t="s">
        <v>156</v>
      </c>
      <c r="L2" t="s">
        <v>157</v>
      </c>
      <c r="P2">
        <v>7500</v>
      </c>
      <c r="R2">
        <v>22750</v>
      </c>
      <c r="AF2">
        <v>7500</v>
      </c>
      <c r="AG2">
        <v>0.03</v>
      </c>
      <c r="AH2">
        <v>250000</v>
      </c>
      <c r="AI2">
        <v>10</v>
      </c>
      <c r="AQ2">
        <v>2</v>
      </c>
      <c r="AR2" t="s">
        <v>278</v>
      </c>
      <c r="AT2" t="s">
        <v>261</v>
      </c>
      <c r="AU2" t="s">
        <v>42</v>
      </c>
      <c r="AV2" t="s">
        <v>235</v>
      </c>
      <c r="AW2" t="s">
        <v>104</v>
      </c>
      <c r="AX2" t="s">
        <v>208</v>
      </c>
      <c r="AY2" t="s">
        <v>89</v>
      </c>
    </row>
    <row r="3" spans="1:51" x14ac:dyDescent="0.3">
      <c r="A3" s="35">
        <v>43852</v>
      </c>
      <c r="B3">
        <v>2020</v>
      </c>
      <c r="C3" t="s">
        <v>229</v>
      </c>
      <c r="D3" t="s">
        <v>232</v>
      </c>
      <c r="E3" t="s">
        <v>254</v>
      </c>
      <c r="F3">
        <v>2655</v>
      </c>
      <c r="G3" t="s">
        <v>29</v>
      </c>
      <c r="H3" t="s">
        <v>45</v>
      </c>
      <c r="I3" t="s">
        <v>274</v>
      </c>
      <c r="J3">
        <v>2400</v>
      </c>
      <c r="K3" t="s">
        <v>108</v>
      </c>
      <c r="L3" t="s">
        <v>31</v>
      </c>
      <c r="M3">
        <v>1431.3775000000001</v>
      </c>
      <c r="N3">
        <v>0.16876710180628088</v>
      </c>
      <c r="O3">
        <v>5</v>
      </c>
      <c r="P3">
        <v>375</v>
      </c>
      <c r="Q3">
        <v>15</v>
      </c>
      <c r="R3">
        <v>750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66.377499999999998</v>
      </c>
      <c r="AA3">
        <v>0</v>
      </c>
      <c r="AB3">
        <v>0</v>
      </c>
      <c r="AC3">
        <v>0</v>
      </c>
      <c r="AD3">
        <v>240</v>
      </c>
      <c r="AE3">
        <v>8481.3775000000005</v>
      </c>
      <c r="AF3">
        <v>868.61775000000011</v>
      </c>
      <c r="AG3">
        <v>0.1</v>
      </c>
      <c r="AH3">
        <v>9349.9952499999999</v>
      </c>
      <c r="AI3">
        <v>1</v>
      </c>
      <c r="AJ3">
        <v>1997.4952500000002</v>
      </c>
      <c r="AK3">
        <v>1997.4952500000002</v>
      </c>
      <c r="AL3">
        <v>0.21363596414661282</v>
      </c>
      <c r="AM3">
        <v>0.01</v>
      </c>
      <c r="AN3">
        <v>93.499952500000006</v>
      </c>
      <c r="AO3">
        <v>0.05</v>
      </c>
      <c r="AP3">
        <v>467.49976250000003</v>
      </c>
      <c r="AQ3">
        <v>2</v>
      </c>
      <c r="AR3" t="s">
        <v>197</v>
      </c>
      <c r="AS3" t="s">
        <v>242</v>
      </c>
      <c r="AT3" t="s">
        <v>262</v>
      </c>
      <c r="AU3" t="s">
        <v>42</v>
      </c>
      <c r="AV3" t="s">
        <v>233</v>
      </c>
      <c r="AW3" t="s">
        <v>104</v>
      </c>
      <c r="AX3" t="s">
        <v>208</v>
      </c>
      <c r="AY3" t="s">
        <v>89</v>
      </c>
    </row>
    <row r="4" spans="1:51" x14ac:dyDescent="0.3">
      <c r="A4" s="35">
        <v>43815</v>
      </c>
      <c r="B4">
        <v>2020</v>
      </c>
      <c r="C4" t="s">
        <v>229</v>
      </c>
      <c r="D4" t="s">
        <v>230</v>
      </c>
      <c r="E4" t="s">
        <v>253</v>
      </c>
      <c r="F4">
        <v>2649</v>
      </c>
      <c r="G4" t="s">
        <v>57</v>
      </c>
      <c r="H4" t="s">
        <v>114</v>
      </c>
      <c r="I4" t="s">
        <v>270</v>
      </c>
      <c r="J4">
        <v>1900</v>
      </c>
      <c r="K4" t="s">
        <v>108</v>
      </c>
      <c r="L4" t="s">
        <v>31</v>
      </c>
      <c r="M4">
        <v>33867.492176</v>
      </c>
      <c r="N4">
        <v>0.10777118302569465</v>
      </c>
      <c r="O4">
        <v>75</v>
      </c>
      <c r="P4">
        <v>5625</v>
      </c>
      <c r="Q4">
        <v>225</v>
      </c>
      <c r="R4">
        <v>11250</v>
      </c>
      <c r="S4">
        <v>0</v>
      </c>
      <c r="T4">
        <v>0</v>
      </c>
      <c r="U4">
        <v>6400</v>
      </c>
      <c r="V4">
        <v>0</v>
      </c>
      <c r="W4">
        <v>1542.1241000000002</v>
      </c>
      <c r="X4">
        <v>0</v>
      </c>
      <c r="Y4">
        <v>0</v>
      </c>
      <c r="Z4">
        <v>1116.7124100000001</v>
      </c>
      <c r="AA4">
        <v>0</v>
      </c>
      <c r="AB4">
        <v>0</v>
      </c>
      <c r="AC4">
        <v>0</v>
      </c>
      <c r="AD4">
        <v>3070</v>
      </c>
      <c r="AE4">
        <v>314253.69217599998</v>
      </c>
      <c r="AF4">
        <v>15706.304608800001</v>
      </c>
      <c r="AG4">
        <v>0.05</v>
      </c>
      <c r="AH4">
        <v>329959.99678479997</v>
      </c>
      <c r="AI4">
        <v>5</v>
      </c>
      <c r="AJ4">
        <v>32735.517018800001</v>
      </c>
      <c r="AK4">
        <v>6547.1034037600002</v>
      </c>
      <c r="AL4">
        <v>9.9210562909994568E-2</v>
      </c>
      <c r="AM4">
        <v>0.01</v>
      </c>
      <c r="AN4">
        <v>3299.5999678479998</v>
      </c>
      <c r="AO4">
        <v>0.05</v>
      </c>
      <c r="AP4">
        <v>16497.999839239998</v>
      </c>
      <c r="AQ4">
        <v>2</v>
      </c>
      <c r="AR4" t="s">
        <v>271</v>
      </c>
      <c r="AS4" t="s">
        <v>242</v>
      </c>
      <c r="AT4" t="s">
        <v>262</v>
      </c>
      <c r="AU4" t="s">
        <v>42</v>
      </c>
      <c r="AV4" t="s">
        <v>235</v>
      </c>
      <c r="AW4" t="s">
        <v>104</v>
      </c>
      <c r="AX4" t="s">
        <v>50</v>
      </c>
      <c r="AY4" t="s">
        <v>89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39"/>
  <sheetViews>
    <sheetView workbookViewId="0">
      <selection sqref="A1:AY39"/>
    </sheetView>
  </sheetViews>
  <sheetFormatPr defaultColWidth="8.6640625" defaultRowHeight="17.25" x14ac:dyDescent="0.3"/>
  <cols>
    <col min="2" max="2" width="13" customWidth="1"/>
    <col min="3" max="3" width="9.44140625" customWidth="1"/>
    <col min="6" max="6" width="17.5546875" customWidth="1"/>
    <col min="7" max="7" width="10" customWidth="1"/>
    <col min="8" max="8" width="11.5546875" customWidth="1"/>
    <col min="9" max="9" width="15.5546875" customWidth="1"/>
    <col min="11" max="11" width="14.5546875" customWidth="1"/>
    <col min="12" max="12" width="17.5546875" customWidth="1"/>
    <col min="13" max="13" width="21.5546875" customWidth="1"/>
    <col min="14" max="14" width="23.5546875" customWidth="1"/>
    <col min="15" max="15" width="10" customWidth="1"/>
    <col min="16" max="16" width="9.5546875" customWidth="1"/>
    <col min="17" max="17" width="12.33203125" customWidth="1"/>
    <col min="18" max="18" width="11.6640625" customWidth="1"/>
    <col min="19" max="19" width="24.33203125" customWidth="1"/>
    <col min="20" max="20" width="23.6640625" customWidth="1"/>
    <col min="22" max="22" width="12.44140625" customWidth="1"/>
    <col min="23" max="23" width="9" customWidth="1"/>
    <col min="24" max="24" width="15.6640625" customWidth="1"/>
    <col min="25" max="25" width="17.6640625" customWidth="1"/>
    <col min="26" max="26" width="21.44140625" customWidth="1"/>
    <col min="27" max="27" width="17.6640625" customWidth="1"/>
    <col min="28" max="28" width="18.33203125" customWidth="1"/>
    <col min="29" max="29" width="32.44140625" customWidth="1"/>
    <col min="30" max="30" width="29.5546875" customWidth="1"/>
    <col min="31" max="31" width="22.5546875" customWidth="1"/>
    <col min="33" max="33" width="10.6640625" customWidth="1"/>
    <col min="34" max="34" width="14.6640625" customWidth="1"/>
    <col min="35" max="35" width="10.44140625" customWidth="1"/>
    <col min="36" max="36" width="10.33203125" customWidth="1"/>
    <col min="37" max="37" width="15" customWidth="1"/>
    <col min="39" max="39" width="13.88671875" customWidth="1"/>
    <col min="40" max="40" width="9.5546875" customWidth="1"/>
    <col min="41" max="41" width="10.5546875" customWidth="1"/>
    <col min="43" max="43" width="13" customWidth="1"/>
    <col min="45" max="45" width="12" customWidth="1"/>
    <col min="46" max="46" width="16.5546875" customWidth="1"/>
    <col min="48" max="48" width="13.44140625" customWidth="1"/>
    <col min="49" max="49" width="23" customWidth="1"/>
    <col min="50" max="50" width="9.88671875" customWidth="1"/>
    <col min="51" max="51" width="23" customWidth="1"/>
  </cols>
  <sheetData>
    <row r="1" spans="1:51" x14ac:dyDescent="0.3">
      <c r="A1" t="s">
        <v>0</v>
      </c>
      <c r="B1" t="s">
        <v>160</v>
      </c>
      <c r="C1" t="s">
        <v>224</v>
      </c>
      <c r="D1" t="s">
        <v>225</v>
      </c>
      <c r="E1" t="s">
        <v>237</v>
      </c>
      <c r="F1" t="s">
        <v>3</v>
      </c>
      <c r="G1" t="s">
        <v>1</v>
      </c>
      <c r="H1" t="s">
        <v>2</v>
      </c>
      <c r="I1" t="s">
        <v>5</v>
      </c>
      <c r="J1" t="s">
        <v>4</v>
      </c>
      <c r="K1" t="s">
        <v>48</v>
      </c>
      <c r="L1" t="s">
        <v>88</v>
      </c>
      <c r="M1" t="s">
        <v>6</v>
      </c>
      <c r="N1" t="s">
        <v>18</v>
      </c>
      <c r="O1" t="s">
        <v>93</v>
      </c>
      <c r="P1" t="s">
        <v>7</v>
      </c>
      <c r="Q1" t="s">
        <v>94</v>
      </c>
      <c r="R1" t="s">
        <v>8</v>
      </c>
      <c r="S1" t="s">
        <v>97</v>
      </c>
      <c r="T1" t="s">
        <v>98</v>
      </c>
      <c r="U1" t="s">
        <v>86</v>
      </c>
      <c r="V1" t="s">
        <v>9</v>
      </c>
      <c r="W1" t="s">
        <v>11</v>
      </c>
      <c r="X1" t="s">
        <v>10</v>
      </c>
      <c r="Y1" t="s">
        <v>12</v>
      </c>
      <c r="Z1" t="s">
        <v>13</v>
      </c>
      <c r="AA1" t="s">
        <v>14</v>
      </c>
      <c r="AB1" t="s">
        <v>168</v>
      </c>
      <c r="AC1" t="s">
        <v>28</v>
      </c>
      <c r="AD1" t="s">
        <v>15</v>
      </c>
      <c r="AE1" t="s">
        <v>16</v>
      </c>
      <c r="AF1" t="s">
        <v>17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95</v>
      </c>
      <c r="AN1" t="s">
        <v>25</v>
      </c>
      <c r="AO1" t="s">
        <v>96</v>
      </c>
      <c r="AP1" t="s">
        <v>26</v>
      </c>
      <c r="AQ1" t="s">
        <v>27</v>
      </c>
      <c r="AR1" t="s">
        <v>40</v>
      </c>
      <c r="AS1" t="s">
        <v>238</v>
      </c>
      <c r="AT1" t="s">
        <v>239</v>
      </c>
      <c r="AU1" t="s">
        <v>41</v>
      </c>
      <c r="AV1" t="s">
        <v>99</v>
      </c>
      <c r="AW1" t="s">
        <v>240</v>
      </c>
      <c r="AX1" t="s">
        <v>49</v>
      </c>
      <c r="AY1" t="s">
        <v>100</v>
      </c>
    </row>
    <row r="2" spans="1:51" x14ac:dyDescent="0.3">
      <c r="A2" s="35">
        <v>43934</v>
      </c>
      <c r="B2">
        <v>2020</v>
      </c>
      <c r="C2" t="s">
        <v>227</v>
      </c>
      <c r="D2" t="s">
        <v>231</v>
      </c>
      <c r="E2" t="s">
        <v>254</v>
      </c>
      <c r="F2">
        <v>2677</v>
      </c>
      <c r="G2" t="s">
        <v>29</v>
      </c>
      <c r="H2" t="s">
        <v>45</v>
      </c>
      <c r="I2" t="s">
        <v>352</v>
      </c>
      <c r="J2">
        <v>1000</v>
      </c>
      <c r="K2" t="s">
        <v>108</v>
      </c>
      <c r="L2" t="s">
        <v>31</v>
      </c>
      <c r="M2">
        <v>4500</v>
      </c>
      <c r="N2">
        <v>0.14042752379466375</v>
      </c>
      <c r="O2">
        <v>20</v>
      </c>
      <c r="P2">
        <v>1500</v>
      </c>
      <c r="Q2">
        <v>60</v>
      </c>
      <c r="R2">
        <v>3000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32045</v>
      </c>
      <c r="AF2">
        <v>1601.99</v>
      </c>
      <c r="AG2">
        <v>0.05</v>
      </c>
      <c r="AH2">
        <v>33646.99</v>
      </c>
      <c r="AI2">
        <v>0</v>
      </c>
      <c r="AJ2">
        <v>6101.99</v>
      </c>
      <c r="AL2">
        <v>0.18135322060011907</v>
      </c>
      <c r="AM2">
        <v>0.01</v>
      </c>
      <c r="AN2">
        <v>336.4699</v>
      </c>
      <c r="AO2">
        <v>0.05</v>
      </c>
      <c r="AP2">
        <v>1682.3495</v>
      </c>
      <c r="AQ2">
        <v>0</v>
      </c>
      <c r="AR2" t="s">
        <v>56</v>
      </c>
      <c r="AS2" t="s">
        <v>241</v>
      </c>
      <c r="AT2" t="s">
        <v>261</v>
      </c>
      <c r="AU2" t="s">
        <v>42</v>
      </c>
      <c r="AV2" t="s">
        <v>234</v>
      </c>
      <c r="AW2" t="s">
        <v>104</v>
      </c>
      <c r="AX2" t="s">
        <v>50</v>
      </c>
      <c r="AY2" t="s">
        <v>89</v>
      </c>
    </row>
    <row r="3" spans="1:51" x14ac:dyDescent="0.3">
      <c r="A3" s="35">
        <v>43951</v>
      </c>
      <c r="B3">
        <v>2020</v>
      </c>
      <c r="C3" t="s">
        <v>227</v>
      </c>
      <c r="D3" t="s">
        <v>230</v>
      </c>
      <c r="E3" t="s">
        <v>253</v>
      </c>
      <c r="F3">
        <v>2690</v>
      </c>
      <c r="G3" t="s">
        <v>29</v>
      </c>
      <c r="H3" t="s">
        <v>343</v>
      </c>
      <c r="I3" t="s">
        <v>344</v>
      </c>
      <c r="J3">
        <v>3121</v>
      </c>
      <c r="K3" t="s">
        <v>108</v>
      </c>
      <c r="L3" t="s">
        <v>31</v>
      </c>
      <c r="M3">
        <v>36666.730616200002</v>
      </c>
      <c r="N3">
        <v>0.1382849617062786</v>
      </c>
      <c r="O3">
        <v>105</v>
      </c>
      <c r="P3">
        <v>7875</v>
      </c>
      <c r="Q3">
        <v>315</v>
      </c>
      <c r="R3">
        <v>15750</v>
      </c>
      <c r="S3">
        <v>0</v>
      </c>
      <c r="T3">
        <v>0</v>
      </c>
      <c r="U3">
        <v>6571</v>
      </c>
      <c r="V3">
        <v>0</v>
      </c>
      <c r="W3">
        <v>1370.9201400000002</v>
      </c>
      <c r="X3">
        <v>0</v>
      </c>
      <c r="Y3">
        <v>0</v>
      </c>
      <c r="Z3">
        <v>563.16767950000008</v>
      </c>
      <c r="AA3">
        <v>0</v>
      </c>
      <c r="AB3">
        <v>0</v>
      </c>
      <c r="AC3">
        <v>500</v>
      </c>
      <c r="AD3">
        <v>2110.5</v>
      </c>
      <c r="AE3">
        <v>265153.42061620002</v>
      </c>
      <c r="AF3">
        <v>10606.576824648002</v>
      </c>
      <c r="AG3">
        <v>0.04</v>
      </c>
      <c r="AH3">
        <v>275759.99744084803</v>
      </c>
      <c r="AI3">
        <v>7</v>
      </c>
      <c r="AJ3">
        <v>34357.244504148002</v>
      </c>
      <c r="AK3">
        <v>4908.1777863068573</v>
      </c>
      <c r="AL3">
        <v>0.12459111119450098</v>
      </c>
      <c r="AM3">
        <v>0.01</v>
      </c>
      <c r="AN3">
        <v>2757.5999744084802</v>
      </c>
      <c r="AO3">
        <v>0.05</v>
      </c>
      <c r="AP3">
        <v>13787.999872042403</v>
      </c>
      <c r="AQ3">
        <v>3</v>
      </c>
      <c r="AR3" t="s">
        <v>345</v>
      </c>
      <c r="AS3" t="s">
        <v>242</v>
      </c>
      <c r="AT3" t="s">
        <v>262</v>
      </c>
      <c r="AU3" t="s">
        <v>42</v>
      </c>
      <c r="AV3" t="s">
        <v>233</v>
      </c>
      <c r="AW3" t="s">
        <v>104</v>
      </c>
      <c r="AX3" t="s">
        <v>50</v>
      </c>
      <c r="AY3" t="s">
        <v>89</v>
      </c>
    </row>
    <row r="4" spans="1:51" x14ac:dyDescent="0.3">
      <c r="A4" s="35">
        <v>43874</v>
      </c>
      <c r="B4">
        <v>2020</v>
      </c>
      <c r="C4" t="s">
        <v>229</v>
      </c>
      <c r="D4" t="s">
        <v>231</v>
      </c>
      <c r="E4" t="s">
        <v>254</v>
      </c>
      <c r="F4">
        <v>2665</v>
      </c>
      <c r="G4" t="s">
        <v>29</v>
      </c>
      <c r="H4" t="s">
        <v>30</v>
      </c>
      <c r="I4" t="s">
        <v>304</v>
      </c>
      <c r="J4">
        <v>12000</v>
      </c>
      <c r="K4" t="s">
        <v>156</v>
      </c>
      <c r="L4" t="s">
        <v>157</v>
      </c>
      <c r="S4">
        <v>0</v>
      </c>
      <c r="AB4">
        <v>0</v>
      </c>
      <c r="AF4">
        <v>60000</v>
      </c>
      <c r="AG4">
        <v>0.01</v>
      </c>
      <c r="AH4">
        <v>6000000</v>
      </c>
      <c r="AI4">
        <v>86</v>
      </c>
      <c r="AK4">
        <v>6014</v>
      </c>
      <c r="AL4">
        <v>3.4000000000000002E-2</v>
      </c>
      <c r="AQ4">
        <v>3</v>
      </c>
      <c r="AR4" t="s">
        <v>306</v>
      </c>
      <c r="AS4" t="s">
        <v>242</v>
      </c>
      <c r="AT4" t="s">
        <v>310</v>
      </c>
      <c r="AU4" t="s">
        <v>42</v>
      </c>
      <c r="AV4" t="s">
        <v>233</v>
      </c>
      <c r="AW4" t="s">
        <v>243</v>
      </c>
      <c r="AX4" t="s">
        <v>208</v>
      </c>
      <c r="AY4" t="s">
        <v>89</v>
      </c>
    </row>
    <row r="5" spans="1:51" x14ac:dyDescent="0.3">
      <c r="A5" s="35">
        <v>43881</v>
      </c>
      <c r="B5">
        <v>2020</v>
      </c>
      <c r="C5" t="s">
        <v>229</v>
      </c>
      <c r="D5" t="s">
        <v>231</v>
      </c>
      <c r="E5" t="s">
        <v>254</v>
      </c>
      <c r="F5">
        <v>2672</v>
      </c>
      <c r="G5" t="s">
        <v>29</v>
      </c>
      <c r="H5" t="s">
        <v>30</v>
      </c>
      <c r="I5" t="s">
        <v>302</v>
      </c>
      <c r="J5">
        <v>500</v>
      </c>
      <c r="K5" t="s">
        <v>108</v>
      </c>
      <c r="L5" t="s">
        <v>31</v>
      </c>
      <c r="M5">
        <v>3550</v>
      </c>
      <c r="N5">
        <v>0.19</v>
      </c>
      <c r="S5">
        <v>0</v>
      </c>
      <c r="AB5">
        <v>0</v>
      </c>
      <c r="AE5">
        <v>18430</v>
      </c>
      <c r="AF5">
        <v>1843</v>
      </c>
      <c r="AG5">
        <v>0.1</v>
      </c>
      <c r="AH5">
        <v>20273</v>
      </c>
      <c r="AI5">
        <v>2</v>
      </c>
      <c r="AJ5">
        <v>5093</v>
      </c>
      <c r="AK5">
        <v>2547</v>
      </c>
      <c r="AL5">
        <v>0.25119999999999998</v>
      </c>
      <c r="AR5" t="s">
        <v>303</v>
      </c>
      <c r="AS5" t="s">
        <v>242</v>
      </c>
      <c r="AT5" t="s">
        <v>261</v>
      </c>
      <c r="AU5" t="s">
        <v>42</v>
      </c>
      <c r="AV5" t="s">
        <v>234</v>
      </c>
      <c r="AW5" t="s">
        <v>104</v>
      </c>
      <c r="AX5" t="s">
        <v>208</v>
      </c>
      <c r="AY5" t="s">
        <v>89</v>
      </c>
    </row>
    <row r="6" spans="1:51" x14ac:dyDescent="0.3">
      <c r="A6" s="35">
        <v>43872</v>
      </c>
      <c r="B6">
        <v>2020</v>
      </c>
      <c r="C6" t="s">
        <v>229</v>
      </c>
      <c r="D6" t="s">
        <v>230</v>
      </c>
      <c r="E6" t="s">
        <v>253</v>
      </c>
      <c r="F6">
        <v>2666</v>
      </c>
      <c r="G6" t="s">
        <v>29</v>
      </c>
      <c r="H6" t="s">
        <v>30</v>
      </c>
      <c r="I6" t="s">
        <v>300</v>
      </c>
      <c r="J6">
        <v>1900</v>
      </c>
      <c r="K6" t="s">
        <v>108</v>
      </c>
      <c r="L6" t="s">
        <v>31</v>
      </c>
      <c r="M6">
        <v>24087.9228544</v>
      </c>
      <c r="N6">
        <v>0.15751852852828199</v>
      </c>
      <c r="O6">
        <v>60</v>
      </c>
      <c r="P6">
        <v>4500</v>
      </c>
      <c r="Q6">
        <v>270</v>
      </c>
      <c r="R6">
        <v>13500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1045.8583039999999</v>
      </c>
      <c r="AA6">
        <v>0</v>
      </c>
      <c r="AB6">
        <v>2456</v>
      </c>
      <c r="AC6">
        <v>0</v>
      </c>
      <c r="AD6">
        <v>1500</v>
      </c>
      <c r="AE6">
        <v>152921.20285439998</v>
      </c>
      <c r="AF6">
        <v>7645.8001427199988</v>
      </c>
      <c r="AG6">
        <v>0.05</v>
      </c>
      <c r="AH6">
        <v>160567.00299711997</v>
      </c>
      <c r="AI6">
        <v>6</v>
      </c>
      <c r="AJ6">
        <v>25716.658446720001</v>
      </c>
      <c r="AK6">
        <v>4286.1097411199999</v>
      </c>
      <c r="AL6">
        <v>0.16016153983506357</v>
      </c>
      <c r="AM6">
        <v>0.01</v>
      </c>
      <c r="AN6">
        <v>1605.6700299711997</v>
      </c>
      <c r="AO6">
        <v>0.05</v>
      </c>
      <c r="AP6">
        <v>8028.350149855999</v>
      </c>
      <c r="AQ6">
        <v>0</v>
      </c>
      <c r="AR6" t="s">
        <v>301</v>
      </c>
      <c r="AS6" t="s">
        <v>242</v>
      </c>
      <c r="AT6" t="s">
        <v>310</v>
      </c>
      <c r="AU6" t="s">
        <v>42</v>
      </c>
      <c r="AV6" t="s">
        <v>234</v>
      </c>
      <c r="AW6" t="s">
        <v>104</v>
      </c>
      <c r="AX6" t="s">
        <v>50</v>
      </c>
      <c r="AY6" t="s">
        <v>89</v>
      </c>
    </row>
    <row r="7" spans="1:51" x14ac:dyDescent="0.3">
      <c r="A7" s="35">
        <v>43854</v>
      </c>
      <c r="B7">
        <v>2020</v>
      </c>
      <c r="C7" t="s">
        <v>229</v>
      </c>
      <c r="D7" t="s">
        <v>230</v>
      </c>
      <c r="E7" t="s">
        <v>254</v>
      </c>
      <c r="F7">
        <v>2658</v>
      </c>
      <c r="G7" t="s">
        <v>29</v>
      </c>
      <c r="H7" t="s">
        <v>45</v>
      </c>
      <c r="I7" t="s">
        <v>277</v>
      </c>
      <c r="J7">
        <v>2300</v>
      </c>
      <c r="K7" t="s">
        <v>156</v>
      </c>
      <c r="L7" t="s">
        <v>157</v>
      </c>
      <c r="P7">
        <v>7500</v>
      </c>
      <c r="R7">
        <v>22750</v>
      </c>
      <c r="AF7">
        <v>7500</v>
      </c>
      <c r="AG7">
        <v>0.03</v>
      </c>
      <c r="AH7">
        <v>400000</v>
      </c>
      <c r="AI7">
        <v>10</v>
      </c>
      <c r="AQ7">
        <v>2</v>
      </c>
      <c r="AR7" t="s">
        <v>307</v>
      </c>
      <c r="AS7" t="s">
        <v>241</v>
      </c>
      <c r="AT7" t="s">
        <v>261</v>
      </c>
      <c r="AU7" t="s">
        <v>42</v>
      </c>
      <c r="AV7" t="s">
        <v>235</v>
      </c>
      <c r="AW7" t="s">
        <v>104</v>
      </c>
      <c r="AX7" t="s">
        <v>208</v>
      </c>
      <c r="AY7" t="s">
        <v>89</v>
      </c>
    </row>
    <row r="8" spans="1:51" x14ac:dyDescent="0.3">
      <c r="A8" s="35">
        <v>43852</v>
      </c>
      <c r="B8">
        <v>2020</v>
      </c>
      <c r="C8" t="s">
        <v>229</v>
      </c>
      <c r="D8" t="s">
        <v>231</v>
      </c>
      <c r="E8" t="s">
        <v>254</v>
      </c>
      <c r="F8">
        <v>2655</v>
      </c>
      <c r="G8" t="s">
        <v>29</v>
      </c>
      <c r="H8" t="s">
        <v>45</v>
      </c>
      <c r="I8" t="s">
        <v>274</v>
      </c>
      <c r="J8">
        <v>2400</v>
      </c>
      <c r="K8" t="s">
        <v>108</v>
      </c>
      <c r="L8" t="s">
        <v>31</v>
      </c>
      <c r="M8">
        <v>1431.3775000000001</v>
      </c>
      <c r="N8">
        <v>0.16876710180628088</v>
      </c>
      <c r="O8">
        <v>5</v>
      </c>
      <c r="P8">
        <v>375</v>
      </c>
      <c r="Q8">
        <v>15</v>
      </c>
      <c r="R8">
        <v>750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66.377499999999998</v>
      </c>
      <c r="AA8">
        <v>0</v>
      </c>
      <c r="AB8">
        <v>0</v>
      </c>
      <c r="AC8">
        <v>0</v>
      </c>
      <c r="AD8">
        <v>240</v>
      </c>
      <c r="AE8">
        <v>8481.3775000000005</v>
      </c>
      <c r="AF8">
        <v>868.61775000000011</v>
      </c>
      <c r="AG8">
        <v>0.1</v>
      </c>
      <c r="AH8">
        <v>9349.9952499999999</v>
      </c>
      <c r="AI8">
        <v>1</v>
      </c>
      <c r="AJ8">
        <v>1997.4952500000002</v>
      </c>
      <c r="AK8">
        <v>1997.4952500000002</v>
      </c>
      <c r="AL8">
        <v>0.21363596414661282</v>
      </c>
      <c r="AM8">
        <v>0.01</v>
      </c>
      <c r="AN8">
        <v>93.499952500000006</v>
      </c>
      <c r="AO8">
        <v>0.05</v>
      </c>
      <c r="AP8">
        <v>467.49976250000003</v>
      </c>
      <c r="AQ8">
        <v>2</v>
      </c>
      <c r="AR8" t="s">
        <v>197</v>
      </c>
      <c r="AS8" t="s">
        <v>242</v>
      </c>
      <c r="AT8" t="s">
        <v>262</v>
      </c>
      <c r="AU8" t="s">
        <v>42</v>
      </c>
      <c r="AV8" t="s">
        <v>233</v>
      </c>
      <c r="AW8" t="s">
        <v>104</v>
      </c>
      <c r="AX8" t="s">
        <v>208</v>
      </c>
      <c r="AY8" t="s">
        <v>89</v>
      </c>
    </row>
    <row r="9" spans="1:51" x14ac:dyDescent="0.3">
      <c r="A9" s="35">
        <v>43815</v>
      </c>
      <c r="B9">
        <v>2020</v>
      </c>
      <c r="C9" t="s">
        <v>229</v>
      </c>
      <c r="D9" t="s">
        <v>230</v>
      </c>
      <c r="E9" t="s">
        <v>253</v>
      </c>
      <c r="F9">
        <v>2649</v>
      </c>
      <c r="G9" t="s">
        <v>57</v>
      </c>
      <c r="H9" t="s">
        <v>114</v>
      </c>
      <c r="I9" t="s">
        <v>270</v>
      </c>
      <c r="J9">
        <v>1900</v>
      </c>
      <c r="K9" t="s">
        <v>108</v>
      </c>
      <c r="L9" t="s">
        <v>31</v>
      </c>
      <c r="M9">
        <v>33867.492176</v>
      </c>
      <c r="N9">
        <v>0.10777118302569465</v>
      </c>
      <c r="O9">
        <v>75</v>
      </c>
      <c r="P9">
        <v>5625</v>
      </c>
      <c r="Q9">
        <v>225</v>
      </c>
      <c r="R9">
        <v>11250</v>
      </c>
      <c r="S9">
        <v>0</v>
      </c>
      <c r="T9">
        <v>0</v>
      </c>
      <c r="U9">
        <v>6400</v>
      </c>
      <c r="V9">
        <v>0</v>
      </c>
      <c r="W9">
        <v>1542.1241000000002</v>
      </c>
      <c r="X9">
        <v>0</v>
      </c>
      <c r="Y9">
        <v>0</v>
      </c>
      <c r="Z9">
        <v>1116.7124100000001</v>
      </c>
      <c r="AA9">
        <v>0</v>
      </c>
      <c r="AB9">
        <v>0</v>
      </c>
      <c r="AC9">
        <v>0</v>
      </c>
      <c r="AD9">
        <v>3070</v>
      </c>
      <c r="AE9">
        <v>314253.69217599998</v>
      </c>
      <c r="AF9">
        <v>15706.304608800001</v>
      </c>
      <c r="AG9">
        <v>0.05</v>
      </c>
      <c r="AH9">
        <v>329959.99678479997</v>
      </c>
      <c r="AI9">
        <v>5</v>
      </c>
      <c r="AJ9">
        <v>32735.517018800001</v>
      </c>
      <c r="AK9">
        <v>6547.1034037600002</v>
      </c>
      <c r="AL9">
        <v>9.9210562909994568E-2</v>
      </c>
      <c r="AM9">
        <v>0.01</v>
      </c>
      <c r="AN9">
        <v>3299.5999678479998</v>
      </c>
      <c r="AO9">
        <v>0.05</v>
      </c>
      <c r="AP9">
        <v>16497.999839239998</v>
      </c>
      <c r="AQ9">
        <v>2</v>
      </c>
      <c r="AR9" t="s">
        <v>271</v>
      </c>
      <c r="AS9" t="s">
        <v>242</v>
      </c>
      <c r="AT9" t="s">
        <v>262</v>
      </c>
      <c r="AU9" t="s">
        <v>42</v>
      </c>
      <c r="AV9" t="s">
        <v>235</v>
      </c>
      <c r="AW9" t="s">
        <v>104</v>
      </c>
      <c r="AX9" t="s">
        <v>50</v>
      </c>
      <c r="AY9" t="s">
        <v>89</v>
      </c>
    </row>
    <row r="10" spans="1:51" x14ac:dyDescent="0.3">
      <c r="A10" s="35">
        <v>43943</v>
      </c>
      <c r="B10">
        <v>2020</v>
      </c>
      <c r="C10" t="s">
        <v>227</v>
      </c>
      <c r="D10" t="s">
        <v>230</v>
      </c>
      <c r="E10" t="s">
        <v>254</v>
      </c>
      <c r="F10">
        <v>2695</v>
      </c>
      <c r="G10" t="s">
        <v>29</v>
      </c>
      <c r="H10" t="s">
        <v>45</v>
      </c>
      <c r="I10" t="s">
        <v>350</v>
      </c>
      <c r="J10">
        <v>2000</v>
      </c>
      <c r="K10" t="s">
        <v>108</v>
      </c>
      <c r="L10" t="s">
        <v>31</v>
      </c>
      <c r="M10">
        <v>6070.0714600000001</v>
      </c>
      <c r="N10">
        <v>0.11007020473175737</v>
      </c>
      <c r="O10">
        <v>20</v>
      </c>
      <c r="P10">
        <v>1500</v>
      </c>
      <c r="Q10">
        <v>60</v>
      </c>
      <c r="R10">
        <v>3000</v>
      </c>
      <c r="S10">
        <v>0</v>
      </c>
      <c r="T10">
        <v>0</v>
      </c>
      <c r="U10">
        <v>0</v>
      </c>
      <c r="V10">
        <v>0</v>
      </c>
      <c r="W10">
        <v>468.07900000000001</v>
      </c>
      <c r="X10">
        <v>950</v>
      </c>
      <c r="Y10">
        <v>0</v>
      </c>
      <c r="Z10">
        <v>151.99245999999999</v>
      </c>
      <c r="AA10">
        <v>0</v>
      </c>
      <c r="AB10">
        <v>0</v>
      </c>
      <c r="AC10">
        <v>0</v>
      </c>
      <c r="AD10">
        <v>0</v>
      </c>
      <c r="AE10">
        <v>55147.271460000004</v>
      </c>
      <c r="AF10">
        <v>3860.3090022000006</v>
      </c>
      <c r="AG10">
        <v>7.0000000000000007E-2</v>
      </c>
      <c r="AH10">
        <v>59007.000462200005</v>
      </c>
      <c r="AI10">
        <v>2</v>
      </c>
      <c r="AJ10">
        <v>8387.3014621999992</v>
      </c>
      <c r="AK10">
        <v>4193.6507310999996</v>
      </c>
      <c r="AL10">
        <v>0.14214078662705318</v>
      </c>
      <c r="AM10">
        <v>0.01</v>
      </c>
      <c r="AN10">
        <v>590.07000462200006</v>
      </c>
      <c r="AO10">
        <v>0.05</v>
      </c>
      <c r="AP10">
        <v>2950.3500231100006</v>
      </c>
      <c r="AQ10">
        <v>0</v>
      </c>
      <c r="AR10" t="s">
        <v>351</v>
      </c>
      <c r="AS10" t="s">
        <v>241</v>
      </c>
      <c r="AT10" t="s">
        <v>261</v>
      </c>
      <c r="AU10" t="s">
        <v>43</v>
      </c>
      <c r="AV10" t="s">
        <v>233</v>
      </c>
      <c r="AW10" t="s">
        <v>104</v>
      </c>
      <c r="AX10" t="s">
        <v>50</v>
      </c>
      <c r="AY10" t="s">
        <v>90</v>
      </c>
    </row>
    <row r="11" spans="1:51" x14ac:dyDescent="0.3">
      <c r="A11" s="35">
        <v>43947</v>
      </c>
      <c r="B11">
        <v>2020</v>
      </c>
      <c r="C11" t="s">
        <v>227</v>
      </c>
      <c r="D11" t="s">
        <v>230</v>
      </c>
      <c r="E11" t="s">
        <v>253</v>
      </c>
      <c r="F11">
        <v>2686</v>
      </c>
      <c r="G11" t="s">
        <v>29</v>
      </c>
      <c r="H11" t="s">
        <v>45</v>
      </c>
      <c r="I11" t="s">
        <v>346</v>
      </c>
      <c r="J11">
        <v>9600</v>
      </c>
      <c r="K11" t="s">
        <v>156</v>
      </c>
      <c r="L11" t="s">
        <v>157</v>
      </c>
      <c r="M11">
        <v>1875</v>
      </c>
      <c r="P11">
        <v>17975</v>
      </c>
      <c r="R11">
        <v>24750</v>
      </c>
      <c r="AF11">
        <v>26250</v>
      </c>
      <c r="AH11">
        <v>1056000</v>
      </c>
      <c r="AI11">
        <v>10</v>
      </c>
      <c r="AL11">
        <v>0.09</v>
      </c>
      <c r="AR11" t="s">
        <v>347</v>
      </c>
      <c r="AS11" t="s">
        <v>242</v>
      </c>
      <c r="AT11" t="s">
        <v>262</v>
      </c>
      <c r="AU11" t="s">
        <v>43</v>
      </c>
      <c r="AV11" t="s">
        <v>233</v>
      </c>
      <c r="AW11" t="s">
        <v>104</v>
      </c>
      <c r="AX11" t="s">
        <v>51</v>
      </c>
      <c r="AY11" t="s">
        <v>90</v>
      </c>
    </row>
    <row r="12" spans="1:51" x14ac:dyDescent="0.3">
      <c r="A12" s="35">
        <v>43915</v>
      </c>
      <c r="B12">
        <v>2020</v>
      </c>
      <c r="C12" t="s">
        <v>227</v>
      </c>
      <c r="D12" t="s">
        <v>230</v>
      </c>
      <c r="E12" t="s">
        <v>254</v>
      </c>
      <c r="F12">
        <v>2682</v>
      </c>
      <c r="G12" t="s">
        <v>57</v>
      </c>
      <c r="H12" t="s">
        <v>114</v>
      </c>
      <c r="I12" t="s">
        <v>324</v>
      </c>
      <c r="J12">
        <v>5112</v>
      </c>
      <c r="K12" t="s">
        <v>108</v>
      </c>
      <c r="L12" t="s">
        <v>31</v>
      </c>
      <c r="M12">
        <v>29186</v>
      </c>
      <c r="N12">
        <v>0.1679518460546911</v>
      </c>
      <c r="O12">
        <v>90</v>
      </c>
      <c r="P12">
        <v>6750</v>
      </c>
      <c r="Q12">
        <v>240</v>
      </c>
      <c r="R12">
        <v>12000</v>
      </c>
      <c r="S12">
        <v>0</v>
      </c>
      <c r="T12">
        <v>0</v>
      </c>
      <c r="U12">
        <v>6393</v>
      </c>
      <c r="V12">
        <v>0</v>
      </c>
      <c r="W12">
        <v>796</v>
      </c>
      <c r="X12">
        <v>0</v>
      </c>
      <c r="Y12">
        <v>0</v>
      </c>
      <c r="Z12">
        <v>455</v>
      </c>
      <c r="AA12">
        <v>0</v>
      </c>
      <c r="AB12">
        <v>0</v>
      </c>
      <c r="AC12">
        <v>0</v>
      </c>
      <c r="AD12">
        <v>1573</v>
      </c>
      <c r="AE12">
        <v>173776</v>
      </c>
      <c r="AF12">
        <v>9819</v>
      </c>
      <c r="AG12">
        <v>5.6500000000000002E-2</v>
      </c>
      <c r="AH12">
        <v>183595</v>
      </c>
      <c r="AI12">
        <v>6</v>
      </c>
      <c r="AJ12">
        <v>28649</v>
      </c>
      <c r="AK12">
        <v>4774.833333333333</v>
      </c>
      <c r="AL12">
        <v>0.15604455459026662</v>
      </c>
      <c r="AM12">
        <v>0.01</v>
      </c>
      <c r="AN12">
        <v>1835.95</v>
      </c>
      <c r="AO12">
        <v>0.05</v>
      </c>
      <c r="AP12">
        <v>9179.75</v>
      </c>
      <c r="AQ12">
        <v>0</v>
      </c>
      <c r="AR12" t="s">
        <v>325</v>
      </c>
      <c r="AS12" t="s">
        <v>241</v>
      </c>
      <c r="AT12" t="s">
        <v>261</v>
      </c>
      <c r="AU12" t="s">
        <v>43</v>
      </c>
      <c r="AV12" t="s">
        <v>233</v>
      </c>
      <c r="AW12" t="s">
        <v>104</v>
      </c>
      <c r="AX12" t="s">
        <v>50</v>
      </c>
      <c r="AY12" t="s">
        <v>90</v>
      </c>
    </row>
    <row r="13" spans="1:51" x14ac:dyDescent="0.3">
      <c r="A13" s="35">
        <v>43916</v>
      </c>
      <c r="B13">
        <v>2020</v>
      </c>
      <c r="C13" t="s">
        <v>227</v>
      </c>
      <c r="D13" t="s">
        <v>230</v>
      </c>
      <c r="E13" t="s">
        <v>253</v>
      </c>
      <c r="F13">
        <v>2680</v>
      </c>
      <c r="G13" t="s">
        <v>29</v>
      </c>
      <c r="H13" t="s">
        <v>30</v>
      </c>
      <c r="I13" t="s">
        <v>322</v>
      </c>
      <c r="J13">
        <v>3500</v>
      </c>
      <c r="K13" t="s">
        <v>108</v>
      </c>
      <c r="L13" t="s">
        <v>31</v>
      </c>
      <c r="M13">
        <v>37922.987461030076</v>
      </c>
      <c r="N13">
        <v>8.0472943263935309E-2</v>
      </c>
      <c r="O13">
        <v>120</v>
      </c>
      <c r="P13">
        <v>9000</v>
      </c>
      <c r="Q13">
        <v>480</v>
      </c>
      <c r="R13">
        <v>24000</v>
      </c>
      <c r="S13">
        <v>0</v>
      </c>
      <c r="T13">
        <v>0</v>
      </c>
      <c r="U13">
        <v>0</v>
      </c>
      <c r="V13">
        <v>0</v>
      </c>
      <c r="W13">
        <v>1084.6568321804511</v>
      </c>
      <c r="X13">
        <v>0</v>
      </c>
      <c r="Y13">
        <v>0</v>
      </c>
      <c r="Z13">
        <v>988.33062884962408</v>
      </c>
      <c r="AA13">
        <v>0</v>
      </c>
      <c r="AB13">
        <v>0</v>
      </c>
      <c r="AC13">
        <v>0</v>
      </c>
      <c r="AD13">
        <v>2850</v>
      </c>
      <c r="AE13">
        <v>471251.40355125564</v>
      </c>
      <c r="AF13">
        <v>14137.592106537668</v>
      </c>
      <c r="AG13">
        <v>0.03</v>
      </c>
      <c r="AH13">
        <v>485388.9956577933</v>
      </c>
      <c r="AI13">
        <v>12</v>
      </c>
      <c r="AJ13">
        <v>47375.922735387292</v>
      </c>
      <c r="AK13">
        <v>3947.9935612822742</v>
      </c>
      <c r="AL13">
        <v>9.7604031321690793E-2</v>
      </c>
      <c r="AM13">
        <v>0.01</v>
      </c>
      <c r="AN13">
        <v>4853.8899565779329</v>
      </c>
      <c r="AO13">
        <v>0.05</v>
      </c>
      <c r="AP13">
        <v>24269.449782889667</v>
      </c>
      <c r="AQ13">
        <v>9</v>
      </c>
      <c r="AR13" t="s">
        <v>323</v>
      </c>
      <c r="AS13" t="s">
        <v>242</v>
      </c>
      <c r="AT13" t="s">
        <v>310</v>
      </c>
      <c r="AU13" t="s">
        <v>43</v>
      </c>
      <c r="AV13" t="s">
        <v>233</v>
      </c>
      <c r="AW13" t="s">
        <v>243</v>
      </c>
      <c r="AX13" t="s">
        <v>50</v>
      </c>
      <c r="AY13" t="s">
        <v>90</v>
      </c>
    </row>
    <row r="14" spans="1:51" x14ac:dyDescent="0.3">
      <c r="A14" s="35">
        <v>43903</v>
      </c>
      <c r="B14">
        <v>2020</v>
      </c>
      <c r="C14" t="s">
        <v>227</v>
      </c>
      <c r="D14" t="s">
        <v>231</v>
      </c>
      <c r="E14" t="s">
        <v>253</v>
      </c>
      <c r="F14">
        <v>2676</v>
      </c>
      <c r="G14" t="s">
        <v>29</v>
      </c>
      <c r="H14" t="s">
        <v>45</v>
      </c>
      <c r="I14" t="s">
        <v>317</v>
      </c>
      <c r="J14">
        <v>1000</v>
      </c>
      <c r="K14" t="s">
        <v>108</v>
      </c>
      <c r="L14" t="s">
        <v>31</v>
      </c>
      <c r="M14">
        <v>18718.243600000002</v>
      </c>
      <c r="N14">
        <v>7.9560607893211718E-2</v>
      </c>
      <c r="O14">
        <v>60</v>
      </c>
      <c r="P14">
        <v>4500</v>
      </c>
      <c r="Q14">
        <v>240</v>
      </c>
      <c r="R14">
        <v>12000</v>
      </c>
      <c r="S14">
        <v>0</v>
      </c>
      <c r="T14">
        <v>0</v>
      </c>
      <c r="U14">
        <v>0</v>
      </c>
      <c r="V14">
        <v>0</v>
      </c>
      <c r="W14">
        <v>1624.1399999999999</v>
      </c>
      <c r="X14">
        <v>0</v>
      </c>
      <c r="Y14">
        <v>0</v>
      </c>
      <c r="Z14">
        <v>494.10360000000003</v>
      </c>
      <c r="AA14">
        <v>0</v>
      </c>
      <c r="AB14">
        <v>0</v>
      </c>
      <c r="AC14">
        <v>0</v>
      </c>
      <c r="AD14">
        <v>100</v>
      </c>
      <c r="AE14">
        <v>235270.24359999999</v>
      </c>
      <c r="AF14">
        <v>18821.619488</v>
      </c>
      <c r="AG14">
        <v>0.08</v>
      </c>
      <c r="AH14">
        <v>254091.86308799998</v>
      </c>
      <c r="AI14">
        <v>6</v>
      </c>
      <c r="AJ14">
        <v>35440.723087999999</v>
      </c>
      <c r="AK14">
        <v>5906.7871813333331</v>
      </c>
      <c r="AL14">
        <v>0.13947996074052071</v>
      </c>
      <c r="AM14">
        <v>0.01</v>
      </c>
      <c r="AN14">
        <v>2540.9186308799999</v>
      </c>
      <c r="AO14">
        <v>0.05</v>
      </c>
      <c r="AP14">
        <v>12704.5931544</v>
      </c>
      <c r="AQ14">
        <v>0</v>
      </c>
      <c r="AR14" t="s">
        <v>56</v>
      </c>
      <c r="AS14" t="s">
        <v>241</v>
      </c>
      <c r="AT14" t="s">
        <v>261</v>
      </c>
      <c r="AU14" t="s">
        <v>43</v>
      </c>
      <c r="AV14" t="s">
        <v>234</v>
      </c>
      <c r="AW14" t="s">
        <v>104</v>
      </c>
      <c r="AX14" t="s">
        <v>50</v>
      </c>
      <c r="AY14" t="s">
        <v>90</v>
      </c>
    </row>
    <row r="15" spans="1:51" x14ac:dyDescent="0.3">
      <c r="A15" s="35">
        <v>43899</v>
      </c>
      <c r="B15">
        <v>2020</v>
      </c>
      <c r="C15" t="s">
        <v>227</v>
      </c>
      <c r="D15" t="s">
        <v>230</v>
      </c>
      <c r="E15" t="s">
        <v>253</v>
      </c>
      <c r="F15">
        <v>2675</v>
      </c>
      <c r="G15" t="s">
        <v>29</v>
      </c>
      <c r="H15" t="s">
        <v>45</v>
      </c>
      <c r="I15" t="s">
        <v>315</v>
      </c>
      <c r="J15">
        <v>4347</v>
      </c>
      <c r="K15" t="s">
        <v>108</v>
      </c>
      <c r="L15" t="s">
        <v>31</v>
      </c>
      <c r="M15">
        <v>26523.648799999999</v>
      </c>
      <c r="N15">
        <v>8.9771103021439133E-2</v>
      </c>
      <c r="O15">
        <v>70</v>
      </c>
      <c r="P15">
        <v>5250</v>
      </c>
      <c r="Q15">
        <v>280</v>
      </c>
      <c r="R15">
        <v>14000</v>
      </c>
      <c r="S15">
        <v>0</v>
      </c>
      <c r="T15">
        <v>0</v>
      </c>
      <c r="U15">
        <v>0</v>
      </c>
      <c r="V15">
        <v>0</v>
      </c>
      <c r="W15">
        <v>2017.0125</v>
      </c>
      <c r="X15">
        <v>0</v>
      </c>
      <c r="Y15">
        <v>0</v>
      </c>
      <c r="Z15">
        <v>585.41425000000004</v>
      </c>
      <c r="AA15">
        <v>0</v>
      </c>
      <c r="AB15">
        <v>0</v>
      </c>
      <c r="AC15">
        <v>0</v>
      </c>
      <c r="AD15">
        <v>2404.1</v>
      </c>
      <c r="AE15">
        <v>295458.64879999997</v>
      </c>
      <c r="AF15">
        <v>14773.352439999999</v>
      </c>
      <c r="AG15">
        <v>0.05</v>
      </c>
      <c r="AH15">
        <v>310232.00123999995</v>
      </c>
      <c r="AI15">
        <v>7</v>
      </c>
      <c r="AJ15">
        <v>36438.388740000002</v>
      </c>
      <c r="AK15">
        <v>5205.4841057142858</v>
      </c>
      <c r="AL15">
        <v>0.11745528699281652</v>
      </c>
      <c r="AM15">
        <v>0.01</v>
      </c>
      <c r="AN15">
        <v>3102.3200123999995</v>
      </c>
      <c r="AO15">
        <v>0.05</v>
      </c>
      <c r="AP15">
        <v>15511.600061999998</v>
      </c>
      <c r="AQ15">
        <v>0</v>
      </c>
      <c r="AR15" t="s">
        <v>316</v>
      </c>
      <c r="AS15" t="s">
        <v>242</v>
      </c>
      <c r="AT15" t="s">
        <v>262</v>
      </c>
      <c r="AU15" t="s">
        <v>43</v>
      </c>
      <c r="AV15" t="s">
        <v>234</v>
      </c>
      <c r="AW15" t="s">
        <v>104</v>
      </c>
      <c r="AX15" t="s">
        <v>50</v>
      </c>
      <c r="AY15" t="s">
        <v>90</v>
      </c>
    </row>
    <row r="16" spans="1:51" x14ac:dyDescent="0.3">
      <c r="A16" s="35">
        <v>43850</v>
      </c>
      <c r="B16">
        <v>2020</v>
      </c>
      <c r="C16" t="s">
        <v>229</v>
      </c>
      <c r="D16" t="s">
        <v>230</v>
      </c>
      <c r="E16" t="s">
        <v>254</v>
      </c>
      <c r="F16">
        <v>2659</v>
      </c>
      <c r="G16" t="s">
        <v>29</v>
      </c>
      <c r="H16" t="s">
        <v>45</v>
      </c>
      <c r="I16" t="s">
        <v>288</v>
      </c>
      <c r="J16">
        <v>150</v>
      </c>
      <c r="K16" t="s">
        <v>108</v>
      </c>
      <c r="L16" t="s">
        <v>31</v>
      </c>
      <c r="AE16">
        <v>281801.11</v>
      </c>
      <c r="AF16">
        <v>26838.22</v>
      </c>
      <c r="AG16">
        <v>0.1</v>
      </c>
      <c r="AH16">
        <v>308639.53000000003</v>
      </c>
      <c r="AI16">
        <v>6</v>
      </c>
      <c r="AJ16">
        <v>47210.75</v>
      </c>
      <c r="AK16">
        <v>7868</v>
      </c>
      <c r="AL16">
        <v>0.15</v>
      </c>
      <c r="AQ16">
        <v>0</v>
      </c>
      <c r="AR16" t="s">
        <v>288</v>
      </c>
      <c r="AS16" t="s">
        <v>241</v>
      </c>
      <c r="AT16" t="s">
        <v>261</v>
      </c>
      <c r="AU16" t="s">
        <v>43</v>
      </c>
      <c r="AV16" t="s">
        <v>234</v>
      </c>
      <c r="AW16" t="s">
        <v>243</v>
      </c>
      <c r="AX16" t="s">
        <v>208</v>
      </c>
      <c r="AY16" t="s">
        <v>90</v>
      </c>
    </row>
    <row r="17" spans="1:51" x14ac:dyDescent="0.3">
      <c r="A17" s="35">
        <v>43853</v>
      </c>
      <c r="B17">
        <v>2020</v>
      </c>
      <c r="C17" t="s">
        <v>229</v>
      </c>
      <c r="D17" t="s">
        <v>230</v>
      </c>
      <c r="E17" t="s">
        <v>253</v>
      </c>
      <c r="F17">
        <v>2657</v>
      </c>
      <c r="G17" t="s">
        <v>29</v>
      </c>
      <c r="H17" t="s">
        <v>45</v>
      </c>
      <c r="I17" t="s">
        <v>287</v>
      </c>
      <c r="J17">
        <v>3150</v>
      </c>
      <c r="K17" t="s">
        <v>156</v>
      </c>
      <c r="L17" t="s">
        <v>157</v>
      </c>
      <c r="M17">
        <v>29094.548320000002</v>
      </c>
      <c r="N17">
        <v>0.16954514405346419</v>
      </c>
      <c r="O17">
        <v>60</v>
      </c>
      <c r="P17">
        <v>4500</v>
      </c>
      <c r="Q17">
        <v>240</v>
      </c>
      <c r="R17">
        <v>12000</v>
      </c>
      <c r="S17">
        <v>0</v>
      </c>
      <c r="T17">
        <v>0</v>
      </c>
      <c r="U17">
        <v>0</v>
      </c>
      <c r="V17">
        <v>7500</v>
      </c>
      <c r="W17">
        <v>1168.8174999999999</v>
      </c>
      <c r="X17">
        <v>0</v>
      </c>
      <c r="Y17">
        <v>0</v>
      </c>
      <c r="Z17">
        <v>453.37995000000001</v>
      </c>
      <c r="AA17">
        <v>0</v>
      </c>
      <c r="AB17">
        <v>146</v>
      </c>
      <c r="AC17">
        <v>0</v>
      </c>
      <c r="AD17">
        <v>2125</v>
      </c>
      <c r="AE17">
        <v>171603.54832</v>
      </c>
      <c r="AF17">
        <v>8580.4474160000009</v>
      </c>
      <c r="AG17">
        <v>0.05</v>
      </c>
      <c r="AH17">
        <v>180183.99573600001</v>
      </c>
      <c r="AI17">
        <v>6</v>
      </c>
      <c r="AJ17">
        <v>25158.827366000001</v>
      </c>
      <c r="AK17">
        <v>4193.1378943333339</v>
      </c>
      <c r="AL17">
        <v>0.13962853506069392</v>
      </c>
      <c r="AM17">
        <v>0.01</v>
      </c>
      <c r="AN17">
        <v>1801.8399573600002</v>
      </c>
      <c r="AO17">
        <v>0.05</v>
      </c>
      <c r="AP17">
        <v>9009.1997868000017</v>
      </c>
      <c r="AQ17">
        <v>0</v>
      </c>
      <c r="AR17" t="s">
        <v>246</v>
      </c>
      <c r="AS17" t="s">
        <v>241</v>
      </c>
      <c r="AT17" t="s">
        <v>261</v>
      </c>
      <c r="AU17" t="s">
        <v>43</v>
      </c>
      <c r="AV17" t="s">
        <v>233</v>
      </c>
      <c r="AW17" t="s">
        <v>104</v>
      </c>
      <c r="AX17" t="s">
        <v>208</v>
      </c>
      <c r="AY17" t="s">
        <v>90</v>
      </c>
    </row>
    <row r="18" spans="1:51" x14ac:dyDescent="0.3">
      <c r="A18" s="35">
        <v>43881</v>
      </c>
      <c r="B18">
        <v>2020</v>
      </c>
      <c r="C18" t="s">
        <v>229</v>
      </c>
      <c r="D18" t="s">
        <v>230</v>
      </c>
      <c r="E18" t="s">
        <v>253</v>
      </c>
      <c r="F18">
        <v>2669</v>
      </c>
      <c r="G18" t="s">
        <v>29</v>
      </c>
      <c r="H18" t="s">
        <v>38</v>
      </c>
      <c r="I18" t="s">
        <v>297</v>
      </c>
      <c r="J18">
        <v>33314</v>
      </c>
      <c r="K18" t="s">
        <v>108</v>
      </c>
      <c r="L18" t="s">
        <v>31</v>
      </c>
      <c r="M18">
        <v>61221.049576599995</v>
      </c>
      <c r="N18">
        <v>5.5456676360349559E-2</v>
      </c>
      <c r="O18">
        <v>180</v>
      </c>
      <c r="P18">
        <v>13500</v>
      </c>
      <c r="Q18">
        <v>480</v>
      </c>
      <c r="R18">
        <v>24000</v>
      </c>
      <c r="S18">
        <v>0</v>
      </c>
      <c r="T18">
        <v>0</v>
      </c>
      <c r="U18">
        <v>7476</v>
      </c>
      <c r="V18">
        <v>0</v>
      </c>
      <c r="W18">
        <v>0</v>
      </c>
      <c r="X18">
        <v>0</v>
      </c>
      <c r="Y18">
        <v>0</v>
      </c>
      <c r="Z18">
        <v>1923.4974685</v>
      </c>
      <c r="AA18">
        <v>0</v>
      </c>
      <c r="AB18">
        <v>0</v>
      </c>
      <c r="AC18">
        <v>0</v>
      </c>
      <c r="AD18">
        <v>5531.4</v>
      </c>
      <c r="AE18">
        <v>1103943.7195766</v>
      </c>
      <c r="AF18">
        <v>44157.278783064001</v>
      </c>
      <c r="AG18">
        <v>0.04</v>
      </c>
      <c r="AH18">
        <v>1148100.9983596641</v>
      </c>
      <c r="AI18">
        <v>12</v>
      </c>
      <c r="AJ18">
        <v>82230.776251564006</v>
      </c>
      <c r="AK18">
        <v>6852.5646876303335</v>
      </c>
      <c r="AL18">
        <v>7.1623294787697481E-2</v>
      </c>
      <c r="AM18">
        <v>0.01</v>
      </c>
      <c r="AN18">
        <v>11481.009983596641</v>
      </c>
      <c r="AO18">
        <v>0.05</v>
      </c>
      <c r="AP18">
        <v>57405.049917983211</v>
      </c>
      <c r="AQ18">
        <v>4</v>
      </c>
      <c r="AR18" t="s">
        <v>275</v>
      </c>
      <c r="AS18" t="s">
        <v>242</v>
      </c>
      <c r="AT18" t="s">
        <v>262</v>
      </c>
      <c r="AU18" t="s">
        <v>43</v>
      </c>
      <c r="AV18" t="s">
        <v>234</v>
      </c>
      <c r="AW18" t="s">
        <v>104</v>
      </c>
      <c r="AX18" t="s">
        <v>276</v>
      </c>
      <c r="AY18" t="s">
        <v>90</v>
      </c>
    </row>
    <row r="19" spans="1:51" x14ac:dyDescent="0.3">
      <c r="A19" s="35">
        <v>43871</v>
      </c>
      <c r="B19">
        <v>2020</v>
      </c>
      <c r="C19" t="s">
        <v>229</v>
      </c>
      <c r="D19" t="s">
        <v>230</v>
      </c>
      <c r="E19" t="s">
        <v>254</v>
      </c>
      <c r="F19">
        <v>2661</v>
      </c>
      <c r="G19" t="s">
        <v>29</v>
      </c>
      <c r="H19" t="s">
        <v>45</v>
      </c>
      <c r="I19" t="s">
        <v>295</v>
      </c>
      <c r="J19">
        <v>300</v>
      </c>
      <c r="K19" t="s">
        <v>108</v>
      </c>
      <c r="L19" t="s">
        <v>31</v>
      </c>
      <c r="M19">
        <v>3315.5052000000001</v>
      </c>
      <c r="N19">
        <v>0.29989630867343814</v>
      </c>
      <c r="O19">
        <v>10</v>
      </c>
      <c r="P19">
        <v>750</v>
      </c>
      <c r="Q19">
        <v>40</v>
      </c>
      <c r="R19">
        <v>2000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129.25700000000001</v>
      </c>
      <c r="AA19">
        <v>0</v>
      </c>
      <c r="AB19">
        <v>146</v>
      </c>
      <c r="AC19">
        <v>0</v>
      </c>
      <c r="AD19">
        <v>225</v>
      </c>
      <c r="AE19">
        <v>11055.5052</v>
      </c>
      <c r="AF19">
        <v>1105.4905200000001</v>
      </c>
      <c r="AG19">
        <v>0.1</v>
      </c>
      <c r="AH19">
        <v>12160.995719999999</v>
      </c>
      <c r="AI19">
        <v>2</v>
      </c>
      <c r="AJ19">
        <v>3859.7475200000003</v>
      </c>
      <c r="AK19">
        <v>1929.8737600000002</v>
      </c>
      <c r="AL19">
        <v>0.31738745813817298</v>
      </c>
      <c r="AM19">
        <v>0.01</v>
      </c>
      <c r="AN19">
        <v>121.6099572</v>
      </c>
      <c r="AO19">
        <v>0.05</v>
      </c>
      <c r="AP19">
        <v>608.04978599999993</v>
      </c>
      <c r="AQ19">
        <v>0</v>
      </c>
      <c r="AR19" t="s">
        <v>296</v>
      </c>
      <c r="AS19" t="s">
        <v>242</v>
      </c>
      <c r="AT19" t="s">
        <v>262</v>
      </c>
      <c r="AU19" t="s">
        <v>43</v>
      </c>
      <c r="AV19" t="s">
        <v>233</v>
      </c>
      <c r="AW19" t="s">
        <v>104</v>
      </c>
      <c r="AX19" t="s">
        <v>126</v>
      </c>
      <c r="AY19" t="s">
        <v>90</v>
      </c>
    </row>
    <row r="20" spans="1:51" x14ac:dyDescent="0.3">
      <c r="A20" s="35">
        <v>43881</v>
      </c>
      <c r="B20">
        <v>2020</v>
      </c>
      <c r="C20" t="s">
        <v>229</v>
      </c>
      <c r="D20" t="s">
        <v>230</v>
      </c>
      <c r="E20" t="s">
        <v>253</v>
      </c>
      <c r="F20">
        <v>2663</v>
      </c>
      <c r="G20" t="s">
        <v>35</v>
      </c>
      <c r="H20" t="s">
        <v>36</v>
      </c>
      <c r="I20" t="s">
        <v>294</v>
      </c>
      <c r="J20">
        <v>1024</v>
      </c>
      <c r="K20" t="s">
        <v>108</v>
      </c>
      <c r="L20" t="s">
        <v>31</v>
      </c>
      <c r="M20">
        <v>26966.878098730769</v>
      </c>
      <c r="N20">
        <v>0.10293414229861547</v>
      </c>
      <c r="O20">
        <v>75</v>
      </c>
      <c r="P20">
        <v>5625</v>
      </c>
      <c r="Q20">
        <v>225</v>
      </c>
      <c r="R20">
        <v>11250</v>
      </c>
      <c r="S20">
        <v>0</v>
      </c>
      <c r="T20">
        <v>0</v>
      </c>
      <c r="U20">
        <v>5498</v>
      </c>
      <c r="V20">
        <v>0</v>
      </c>
      <c r="W20">
        <v>1930.1198584615383</v>
      </c>
      <c r="X20">
        <v>0</v>
      </c>
      <c r="Y20">
        <v>0</v>
      </c>
      <c r="Z20">
        <v>941.75824026923078</v>
      </c>
      <c r="AA20">
        <v>368</v>
      </c>
      <c r="AB20">
        <v>292</v>
      </c>
      <c r="AC20">
        <v>0</v>
      </c>
      <c r="AD20">
        <v>1062</v>
      </c>
      <c r="AE20">
        <v>261981.86040642307</v>
      </c>
      <c r="AF20">
        <v>26198.136040642308</v>
      </c>
      <c r="AG20">
        <v>0.1</v>
      </c>
      <c r="AH20">
        <v>288179.99644706538</v>
      </c>
      <c r="AI20">
        <v>5</v>
      </c>
      <c r="AJ20">
        <v>43202.394280911532</v>
      </c>
      <c r="AK20">
        <v>8640.4788561823061</v>
      </c>
      <c r="AL20">
        <v>0.14991461868814066</v>
      </c>
      <c r="AM20">
        <v>0.01</v>
      </c>
      <c r="AN20">
        <v>2881.7999644706538</v>
      </c>
      <c r="AO20">
        <v>0.05</v>
      </c>
      <c r="AP20">
        <v>14408.999822353269</v>
      </c>
      <c r="AQ20">
        <v>0</v>
      </c>
      <c r="AR20" t="s">
        <v>293</v>
      </c>
      <c r="AS20" t="s">
        <v>241</v>
      </c>
      <c r="AT20" t="s">
        <v>261</v>
      </c>
      <c r="AU20" t="s">
        <v>43</v>
      </c>
      <c r="AV20" t="s">
        <v>234</v>
      </c>
      <c r="AW20" t="s">
        <v>104</v>
      </c>
      <c r="AX20" t="s">
        <v>208</v>
      </c>
      <c r="AY20" t="s">
        <v>90</v>
      </c>
    </row>
    <row r="21" spans="1:51" x14ac:dyDescent="0.3">
      <c r="A21" s="35">
        <v>43881</v>
      </c>
      <c r="B21">
        <v>2020</v>
      </c>
      <c r="C21" t="s">
        <v>229</v>
      </c>
      <c r="D21" t="s">
        <v>230</v>
      </c>
      <c r="E21" t="s">
        <v>253</v>
      </c>
      <c r="F21">
        <v>2662</v>
      </c>
      <c r="G21" t="s">
        <v>35</v>
      </c>
      <c r="H21" t="s">
        <v>36</v>
      </c>
      <c r="I21" t="s">
        <v>292</v>
      </c>
      <c r="J21">
        <v>2016</v>
      </c>
      <c r="K21" t="s">
        <v>108</v>
      </c>
      <c r="L21" t="s">
        <v>31</v>
      </c>
      <c r="M21">
        <v>24176.134367480769</v>
      </c>
      <c r="N21">
        <v>0.11500657219155402</v>
      </c>
      <c r="O21">
        <v>50</v>
      </c>
      <c r="P21">
        <v>3750</v>
      </c>
      <c r="Q21">
        <v>225</v>
      </c>
      <c r="R21">
        <v>11250</v>
      </c>
      <c r="S21">
        <v>0</v>
      </c>
      <c r="T21">
        <v>0</v>
      </c>
      <c r="U21">
        <v>5165</v>
      </c>
      <c r="V21">
        <v>0</v>
      </c>
      <c r="W21">
        <v>1538.3128584615386</v>
      </c>
      <c r="X21">
        <v>0</v>
      </c>
      <c r="Y21">
        <v>0</v>
      </c>
      <c r="Z21">
        <v>914.8215090192308</v>
      </c>
      <c r="AA21">
        <v>0</v>
      </c>
      <c r="AB21">
        <v>0</v>
      </c>
      <c r="AC21">
        <v>0</v>
      </c>
      <c r="AD21">
        <v>1558</v>
      </c>
      <c r="AE21">
        <v>210215.24167517308</v>
      </c>
      <c r="AF21">
        <v>12612.754500510384</v>
      </c>
      <c r="AG21">
        <v>0.06</v>
      </c>
      <c r="AH21">
        <v>222827.99617568345</v>
      </c>
      <c r="AI21">
        <v>5</v>
      </c>
      <c r="AJ21">
        <v>27715.076009529614</v>
      </c>
      <c r="AK21">
        <v>5543.0152019059224</v>
      </c>
      <c r="AL21">
        <v>0.12437878760835025</v>
      </c>
      <c r="AM21">
        <v>0.01</v>
      </c>
      <c r="AN21">
        <v>2228.2799617568344</v>
      </c>
      <c r="AO21">
        <v>0.05</v>
      </c>
      <c r="AP21">
        <v>11141.399808784174</v>
      </c>
      <c r="AQ21">
        <v>0</v>
      </c>
      <c r="AR21" t="s">
        <v>293</v>
      </c>
      <c r="AS21" t="s">
        <v>241</v>
      </c>
      <c r="AT21" t="s">
        <v>261</v>
      </c>
      <c r="AU21" t="s">
        <v>43</v>
      </c>
      <c r="AV21" t="s">
        <v>234</v>
      </c>
      <c r="AW21" t="s">
        <v>104</v>
      </c>
      <c r="AX21" t="s">
        <v>208</v>
      </c>
      <c r="AY21" t="s">
        <v>90</v>
      </c>
    </row>
    <row r="22" spans="1:51" x14ac:dyDescent="0.3">
      <c r="A22" s="35">
        <v>43863</v>
      </c>
      <c r="B22">
        <v>2020</v>
      </c>
      <c r="C22" t="s">
        <v>229</v>
      </c>
      <c r="D22" t="s">
        <v>230</v>
      </c>
      <c r="E22" t="s">
        <v>253</v>
      </c>
      <c r="F22">
        <v>2661</v>
      </c>
      <c r="G22" t="s">
        <v>29</v>
      </c>
      <c r="H22" t="s">
        <v>45</v>
      </c>
      <c r="I22" t="s">
        <v>305</v>
      </c>
      <c r="J22">
        <v>1150</v>
      </c>
      <c r="K22" t="s">
        <v>108</v>
      </c>
      <c r="L22" t="s">
        <v>31</v>
      </c>
      <c r="M22">
        <v>5397.3469000000005</v>
      </c>
      <c r="N22">
        <v>0.2877764367024318</v>
      </c>
      <c r="O22">
        <v>20</v>
      </c>
      <c r="P22">
        <v>1500</v>
      </c>
      <c r="Q22">
        <v>60</v>
      </c>
      <c r="R22">
        <v>3000</v>
      </c>
      <c r="S22">
        <v>0</v>
      </c>
      <c r="T22">
        <v>0</v>
      </c>
      <c r="U22">
        <v>0</v>
      </c>
      <c r="V22">
        <v>0</v>
      </c>
      <c r="W22">
        <v>100</v>
      </c>
      <c r="X22">
        <v>0</v>
      </c>
      <c r="Y22">
        <v>0</v>
      </c>
      <c r="Z22">
        <v>132.34690000000001</v>
      </c>
      <c r="AA22">
        <v>0</v>
      </c>
      <c r="AB22">
        <v>0</v>
      </c>
      <c r="AC22">
        <v>0</v>
      </c>
      <c r="AD22">
        <v>665</v>
      </c>
      <c r="AE22">
        <v>18755.3469</v>
      </c>
      <c r="AF22">
        <v>1875.5346900000002</v>
      </c>
      <c r="AG22">
        <v>0.1</v>
      </c>
      <c r="AH22">
        <v>20630.881590000001</v>
      </c>
      <c r="AI22">
        <v>2</v>
      </c>
      <c r="AJ22">
        <v>6382.88159</v>
      </c>
      <c r="AK22">
        <v>3191.440795</v>
      </c>
      <c r="AL22">
        <v>0.3093848201374898</v>
      </c>
      <c r="AM22">
        <v>0.01</v>
      </c>
      <c r="AN22">
        <v>206.30881590000001</v>
      </c>
      <c r="AO22">
        <v>0.05</v>
      </c>
      <c r="AP22">
        <v>1031.5440795000002</v>
      </c>
      <c r="AQ22">
        <v>0</v>
      </c>
      <c r="AR22" t="s">
        <v>308</v>
      </c>
      <c r="AS22" t="s">
        <v>242</v>
      </c>
      <c r="AT22" t="s">
        <v>262</v>
      </c>
      <c r="AU22" t="s">
        <v>43</v>
      </c>
      <c r="AV22" t="s">
        <v>233</v>
      </c>
      <c r="AW22" t="s">
        <v>104</v>
      </c>
      <c r="AX22" t="s">
        <v>126</v>
      </c>
      <c r="AY22" t="s">
        <v>90</v>
      </c>
    </row>
    <row r="23" spans="1:51" x14ac:dyDescent="0.3">
      <c r="A23" s="35">
        <v>43867</v>
      </c>
      <c r="B23">
        <v>2020</v>
      </c>
      <c r="C23" t="s">
        <v>229</v>
      </c>
      <c r="D23" t="s">
        <v>230</v>
      </c>
      <c r="E23" t="s">
        <v>253</v>
      </c>
      <c r="F23">
        <v>2660</v>
      </c>
      <c r="G23" t="s">
        <v>35</v>
      </c>
      <c r="H23" t="s">
        <v>36</v>
      </c>
      <c r="I23" t="s">
        <v>291</v>
      </c>
      <c r="J23">
        <v>31200</v>
      </c>
      <c r="K23" t="s">
        <v>108</v>
      </c>
      <c r="L23" t="s">
        <v>31</v>
      </c>
      <c r="M23">
        <v>56086.036940000005</v>
      </c>
      <c r="N23">
        <v>7.1850915508452184E-2</v>
      </c>
      <c r="O23">
        <v>150</v>
      </c>
      <c r="P23">
        <v>11250</v>
      </c>
      <c r="Q23">
        <v>450</v>
      </c>
      <c r="R23">
        <v>22500</v>
      </c>
      <c r="S23">
        <v>0</v>
      </c>
      <c r="T23">
        <v>0</v>
      </c>
      <c r="U23">
        <v>9385</v>
      </c>
      <c r="V23">
        <v>0</v>
      </c>
      <c r="W23">
        <v>0</v>
      </c>
      <c r="X23">
        <v>0</v>
      </c>
      <c r="Y23">
        <v>0</v>
      </c>
      <c r="Z23">
        <v>1523.4766500000001</v>
      </c>
      <c r="AA23">
        <v>0</v>
      </c>
      <c r="AB23">
        <v>0</v>
      </c>
      <c r="AC23">
        <v>0</v>
      </c>
      <c r="AD23">
        <v>5320</v>
      </c>
      <c r="AE23">
        <v>780589.03694000002</v>
      </c>
      <c r="AF23">
        <v>46835.922216400002</v>
      </c>
      <c r="AG23">
        <v>0.06</v>
      </c>
      <c r="AH23">
        <v>827424.95915640006</v>
      </c>
      <c r="AI23">
        <v>10</v>
      </c>
      <c r="AJ23">
        <v>80984.398866400006</v>
      </c>
      <c r="AK23">
        <v>8098.4398866400006</v>
      </c>
      <c r="AL23">
        <v>9.787521873762127E-2</v>
      </c>
      <c r="AM23">
        <v>0.01</v>
      </c>
      <c r="AN23">
        <v>8274.2495915640011</v>
      </c>
      <c r="AO23">
        <v>0.05</v>
      </c>
      <c r="AP23">
        <v>41371.247957820007</v>
      </c>
      <c r="AQ23">
        <v>4</v>
      </c>
      <c r="AR23" t="s">
        <v>275</v>
      </c>
      <c r="AS23" t="s">
        <v>242</v>
      </c>
      <c r="AT23" t="s">
        <v>262</v>
      </c>
      <c r="AU23" t="s">
        <v>43</v>
      </c>
      <c r="AV23" t="s">
        <v>234</v>
      </c>
      <c r="AW23" t="s">
        <v>104</v>
      </c>
      <c r="AX23" t="s">
        <v>276</v>
      </c>
      <c r="AY23" t="s">
        <v>90</v>
      </c>
    </row>
    <row r="24" spans="1:51" x14ac:dyDescent="0.3">
      <c r="A24" s="35">
        <v>43853</v>
      </c>
      <c r="B24">
        <v>2020</v>
      </c>
      <c r="C24" t="s">
        <v>229</v>
      </c>
      <c r="D24" t="s">
        <v>230</v>
      </c>
      <c r="E24" t="s">
        <v>253</v>
      </c>
      <c r="F24">
        <v>2656</v>
      </c>
      <c r="G24" t="s">
        <v>29</v>
      </c>
      <c r="H24" t="s">
        <v>30</v>
      </c>
      <c r="I24" t="s">
        <v>286</v>
      </c>
      <c r="J24">
        <v>35316</v>
      </c>
      <c r="K24" t="s">
        <v>108</v>
      </c>
      <c r="L24" t="s">
        <v>31</v>
      </c>
      <c r="M24">
        <v>46361.375200000002</v>
      </c>
      <c r="N24">
        <v>4.8012954818335271E-2</v>
      </c>
      <c r="O24">
        <v>150</v>
      </c>
      <c r="P24">
        <v>11250</v>
      </c>
      <c r="Q24">
        <v>400</v>
      </c>
      <c r="R24">
        <v>20000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1630.5820000000001</v>
      </c>
      <c r="AA24">
        <v>0</v>
      </c>
      <c r="AB24">
        <v>0</v>
      </c>
      <c r="AC24">
        <v>0</v>
      </c>
      <c r="AD24">
        <v>5731.6</v>
      </c>
      <c r="AE24">
        <v>965601.37520000001</v>
      </c>
      <c r="AF24">
        <v>28968.621256000002</v>
      </c>
      <c r="AG24">
        <v>0.03</v>
      </c>
      <c r="AH24">
        <v>994569.99645600002</v>
      </c>
      <c r="AI24">
        <v>10</v>
      </c>
      <c r="AJ24">
        <v>60724.203256000001</v>
      </c>
      <c r="AK24">
        <v>6072.4203256000001</v>
      </c>
      <c r="AL24">
        <v>6.105573611951047E-2</v>
      </c>
      <c r="AM24">
        <v>0.01</v>
      </c>
      <c r="AN24">
        <v>9945.6999645600008</v>
      </c>
      <c r="AO24">
        <v>0.05</v>
      </c>
      <c r="AP24">
        <v>49728.499822800004</v>
      </c>
      <c r="AQ24">
        <v>4</v>
      </c>
      <c r="AR24" t="s">
        <v>275</v>
      </c>
      <c r="AS24" t="s">
        <v>242</v>
      </c>
      <c r="AT24" t="s">
        <v>262</v>
      </c>
      <c r="AU24" t="s">
        <v>43</v>
      </c>
      <c r="AV24" t="s">
        <v>234</v>
      </c>
      <c r="AW24" t="s">
        <v>104</v>
      </c>
      <c r="AX24" t="s">
        <v>276</v>
      </c>
      <c r="AY24" t="s">
        <v>90</v>
      </c>
    </row>
    <row r="25" spans="1:51" x14ac:dyDescent="0.3">
      <c r="A25" s="35">
        <v>43840</v>
      </c>
      <c r="B25">
        <v>2020</v>
      </c>
      <c r="C25" t="s">
        <v>229</v>
      </c>
      <c r="D25" t="s">
        <v>230</v>
      </c>
      <c r="E25" t="s">
        <v>253</v>
      </c>
      <c r="F25">
        <v>2654</v>
      </c>
      <c r="G25" t="s">
        <v>29</v>
      </c>
      <c r="H25" t="s">
        <v>38</v>
      </c>
      <c r="I25" t="s">
        <v>272</v>
      </c>
      <c r="J25">
        <v>17060</v>
      </c>
      <c r="K25" t="s">
        <v>156</v>
      </c>
      <c r="L25" t="s">
        <v>157</v>
      </c>
      <c r="M25">
        <v>243185.14171</v>
      </c>
      <c r="N25">
        <v>8.6421784803977886E-2</v>
      </c>
      <c r="O25">
        <v>390</v>
      </c>
      <c r="P25">
        <v>29250</v>
      </c>
      <c r="Q25">
        <v>1170</v>
      </c>
      <c r="R25">
        <v>58500</v>
      </c>
      <c r="S25">
        <v>0</v>
      </c>
      <c r="T25">
        <v>0</v>
      </c>
      <c r="U25">
        <v>18109</v>
      </c>
      <c r="V25">
        <v>78000</v>
      </c>
      <c r="W25">
        <v>20565.9856</v>
      </c>
      <c r="X25">
        <v>10500</v>
      </c>
      <c r="Y25">
        <v>2400</v>
      </c>
      <c r="Z25">
        <v>8288.9115099999999</v>
      </c>
      <c r="AA25">
        <v>0</v>
      </c>
      <c r="AB25">
        <v>0</v>
      </c>
      <c r="AC25">
        <v>0</v>
      </c>
      <c r="AD25">
        <v>7359</v>
      </c>
      <c r="AE25">
        <v>2813933.3417100003</v>
      </c>
      <c r="AF25">
        <v>112557.33366840001</v>
      </c>
      <c r="AG25">
        <v>0.04</v>
      </c>
      <c r="AH25">
        <v>3219139.7429162404</v>
      </c>
      <c r="AI25">
        <v>26</v>
      </c>
      <c r="AJ25">
        <v>201721.24517840001</v>
      </c>
      <c r="AK25">
        <v>7758.5094299384618</v>
      </c>
      <c r="AL25">
        <v>6.8929399596435445E-2</v>
      </c>
      <c r="AM25">
        <v>0.01</v>
      </c>
      <c r="AN25">
        <v>32191.397429162404</v>
      </c>
      <c r="AO25">
        <v>0.05</v>
      </c>
      <c r="AP25">
        <v>160956.98714581202</v>
      </c>
      <c r="AQ25">
        <v>0</v>
      </c>
      <c r="AR25" t="s">
        <v>273</v>
      </c>
      <c r="AS25" t="s">
        <v>241</v>
      </c>
      <c r="AT25" t="s">
        <v>261</v>
      </c>
      <c r="AU25" t="s">
        <v>43</v>
      </c>
      <c r="AV25" t="s">
        <v>234</v>
      </c>
      <c r="AW25" t="s">
        <v>243</v>
      </c>
      <c r="AX25" t="s">
        <v>177</v>
      </c>
      <c r="AY25" t="s">
        <v>90</v>
      </c>
    </row>
    <row r="26" spans="1:51" x14ac:dyDescent="0.3">
      <c r="A26" s="35">
        <v>43838</v>
      </c>
      <c r="B26">
        <v>2020</v>
      </c>
      <c r="C26" t="s">
        <v>229</v>
      </c>
      <c r="D26" t="s">
        <v>230</v>
      </c>
      <c r="E26" t="s">
        <v>253</v>
      </c>
      <c r="F26">
        <v>2652</v>
      </c>
      <c r="G26" t="s">
        <v>29</v>
      </c>
      <c r="H26" t="s">
        <v>38</v>
      </c>
      <c r="I26" t="s">
        <v>280</v>
      </c>
      <c r="J26">
        <v>3995</v>
      </c>
      <c r="K26" t="s">
        <v>108</v>
      </c>
      <c r="L26" t="s">
        <v>31</v>
      </c>
      <c r="M26">
        <v>13839.25455</v>
      </c>
      <c r="N26">
        <v>0.22927760416477569</v>
      </c>
      <c r="O26">
        <v>50</v>
      </c>
      <c r="P26">
        <v>3750</v>
      </c>
      <c r="Q26">
        <v>150</v>
      </c>
      <c r="R26">
        <v>7500</v>
      </c>
      <c r="S26">
        <v>0</v>
      </c>
      <c r="T26">
        <v>0</v>
      </c>
      <c r="U26">
        <v>1080</v>
      </c>
      <c r="V26">
        <v>0</v>
      </c>
      <c r="W26">
        <v>372.16800000000001</v>
      </c>
      <c r="X26">
        <v>0</v>
      </c>
      <c r="Y26">
        <v>0</v>
      </c>
      <c r="Z26">
        <v>338.08654999999999</v>
      </c>
      <c r="AA26">
        <v>0</v>
      </c>
      <c r="AB26">
        <v>0</v>
      </c>
      <c r="AC26">
        <v>0</v>
      </c>
      <c r="AD26">
        <v>799</v>
      </c>
      <c r="AE26">
        <v>60360.254549999998</v>
      </c>
      <c r="AF26">
        <v>3018.0127275</v>
      </c>
      <c r="AG26">
        <v>0.05</v>
      </c>
      <c r="AH26">
        <v>63379.997277499999</v>
      </c>
      <c r="AI26">
        <v>5</v>
      </c>
      <c r="AJ26">
        <v>14293.5992775</v>
      </c>
      <c r="AK26">
        <v>2858.7198555</v>
      </c>
      <c r="AL26">
        <v>0.22552224505339716</v>
      </c>
      <c r="AM26">
        <v>0.01</v>
      </c>
      <c r="AN26">
        <v>633.79997277500001</v>
      </c>
      <c r="AO26">
        <v>0.05</v>
      </c>
      <c r="AP26">
        <v>3168.9998638750003</v>
      </c>
      <c r="AQ26">
        <v>1</v>
      </c>
      <c r="AR26" t="s">
        <v>195</v>
      </c>
      <c r="AS26" t="s">
        <v>241</v>
      </c>
      <c r="AT26" t="s">
        <v>261</v>
      </c>
      <c r="AU26" t="s">
        <v>43</v>
      </c>
      <c r="AV26" t="s">
        <v>234</v>
      </c>
      <c r="AW26" t="s">
        <v>104</v>
      </c>
      <c r="AX26" t="s">
        <v>208</v>
      </c>
      <c r="AY26" t="s">
        <v>90</v>
      </c>
    </row>
    <row r="27" spans="1:51" x14ac:dyDescent="0.3">
      <c r="A27" s="35">
        <v>43844</v>
      </c>
      <c r="B27">
        <v>2020</v>
      </c>
      <c r="C27" t="s">
        <v>229</v>
      </c>
      <c r="D27" t="s">
        <v>230</v>
      </c>
      <c r="E27" t="s">
        <v>253</v>
      </c>
      <c r="F27">
        <v>2651</v>
      </c>
      <c r="G27" t="s">
        <v>29</v>
      </c>
      <c r="H27" t="s">
        <v>30</v>
      </c>
      <c r="I27" t="s">
        <v>279</v>
      </c>
      <c r="J27">
        <v>1944</v>
      </c>
      <c r="K27" t="s">
        <v>108</v>
      </c>
      <c r="L27" t="s">
        <v>31</v>
      </c>
      <c r="M27">
        <v>14865.656273000001</v>
      </c>
      <c r="N27">
        <v>9.503527131001635E-2</v>
      </c>
      <c r="O27">
        <v>60</v>
      </c>
      <c r="P27">
        <v>4500</v>
      </c>
      <c r="Q27">
        <v>160</v>
      </c>
      <c r="R27">
        <v>8000</v>
      </c>
      <c r="S27">
        <v>0</v>
      </c>
      <c r="T27">
        <v>0</v>
      </c>
      <c r="U27">
        <v>127</v>
      </c>
      <c r="V27">
        <v>0</v>
      </c>
      <c r="W27">
        <v>0</v>
      </c>
      <c r="X27">
        <v>0</v>
      </c>
      <c r="Y27">
        <v>0</v>
      </c>
      <c r="Z27">
        <v>327.85627299999999</v>
      </c>
      <c r="AA27">
        <v>0</v>
      </c>
      <c r="AB27">
        <v>0</v>
      </c>
      <c r="AC27">
        <v>0</v>
      </c>
      <c r="AD27">
        <v>1910.8</v>
      </c>
      <c r="AE27">
        <v>156422.51627299999</v>
      </c>
      <c r="AF27">
        <v>7817.4858136499997</v>
      </c>
      <c r="AG27">
        <v>0.05</v>
      </c>
      <c r="AH27">
        <v>164240.00208665</v>
      </c>
      <c r="AI27">
        <v>4</v>
      </c>
      <c r="AJ27">
        <v>20395.342086650002</v>
      </c>
      <c r="AK27">
        <v>5098.8355216625005</v>
      </c>
      <c r="AL27">
        <v>0.12418011341652196</v>
      </c>
      <c r="AM27">
        <v>0.01</v>
      </c>
      <c r="AN27">
        <v>1642.4000208665</v>
      </c>
      <c r="AO27">
        <v>0.05</v>
      </c>
      <c r="AP27">
        <v>8212.000104332501</v>
      </c>
      <c r="AQ27">
        <v>3</v>
      </c>
      <c r="AR27" t="s">
        <v>279</v>
      </c>
      <c r="AS27" t="s">
        <v>242</v>
      </c>
      <c r="AT27" t="s">
        <v>262</v>
      </c>
      <c r="AU27" t="s">
        <v>43</v>
      </c>
      <c r="AV27" t="s">
        <v>233</v>
      </c>
      <c r="AW27" t="s">
        <v>104</v>
      </c>
      <c r="AX27" t="s">
        <v>50</v>
      </c>
      <c r="AY27" t="s">
        <v>90</v>
      </c>
    </row>
    <row r="28" spans="1:51" x14ac:dyDescent="0.3">
      <c r="A28" s="35">
        <v>43924</v>
      </c>
      <c r="B28">
        <v>2020</v>
      </c>
      <c r="C28" t="s">
        <v>227</v>
      </c>
      <c r="D28" t="s">
        <v>230</v>
      </c>
      <c r="E28" t="s">
        <v>254</v>
      </c>
      <c r="F28">
        <v>2685</v>
      </c>
      <c r="G28" t="s">
        <v>29</v>
      </c>
      <c r="H28" t="s">
        <v>45</v>
      </c>
      <c r="I28" t="s">
        <v>348</v>
      </c>
      <c r="J28">
        <v>10000</v>
      </c>
      <c r="K28" t="s">
        <v>156</v>
      </c>
      <c r="L28" t="s">
        <v>157</v>
      </c>
      <c r="V28">
        <v>7500</v>
      </c>
      <c r="AE28">
        <v>1000000</v>
      </c>
      <c r="AF28">
        <v>65812</v>
      </c>
      <c r="AG28">
        <v>4.4999999999999998E-2</v>
      </c>
      <c r="AH28">
        <v>1500000</v>
      </c>
      <c r="AI28">
        <v>16</v>
      </c>
      <c r="AL28">
        <v>0.12</v>
      </c>
      <c r="AR28" t="s">
        <v>349</v>
      </c>
      <c r="AS28" t="s">
        <v>241</v>
      </c>
      <c r="AT28" t="s">
        <v>261</v>
      </c>
      <c r="AU28" t="s">
        <v>85</v>
      </c>
      <c r="AV28" t="s">
        <v>234</v>
      </c>
      <c r="AW28" t="s">
        <v>243</v>
      </c>
      <c r="AX28" t="s">
        <v>177</v>
      </c>
      <c r="AY28" t="s">
        <v>90</v>
      </c>
    </row>
    <row r="29" spans="1:51" x14ac:dyDescent="0.3">
      <c r="A29" s="35">
        <v>43936</v>
      </c>
      <c r="B29">
        <v>2020</v>
      </c>
      <c r="C29" t="s">
        <v>227</v>
      </c>
      <c r="D29" t="s">
        <v>231</v>
      </c>
      <c r="E29" t="s">
        <v>254</v>
      </c>
      <c r="F29">
        <v>2689</v>
      </c>
      <c r="G29" t="s">
        <v>29</v>
      </c>
      <c r="H29" t="s">
        <v>45</v>
      </c>
      <c r="I29" t="s">
        <v>342</v>
      </c>
      <c r="J29">
        <v>1000</v>
      </c>
      <c r="K29" t="s">
        <v>108</v>
      </c>
      <c r="L29" t="s">
        <v>31</v>
      </c>
      <c r="M29">
        <v>6343</v>
      </c>
      <c r="N29">
        <v>0.1271957969038261</v>
      </c>
      <c r="O29">
        <v>20</v>
      </c>
      <c r="P29">
        <v>1500</v>
      </c>
      <c r="Q29">
        <v>80</v>
      </c>
      <c r="R29">
        <v>4000</v>
      </c>
      <c r="S29">
        <v>0</v>
      </c>
      <c r="T29">
        <v>0</v>
      </c>
      <c r="U29">
        <v>0</v>
      </c>
      <c r="V29">
        <v>0</v>
      </c>
      <c r="W29">
        <v>327</v>
      </c>
      <c r="X29">
        <v>0</v>
      </c>
      <c r="Y29">
        <v>0</v>
      </c>
      <c r="Z29">
        <v>149</v>
      </c>
      <c r="AA29">
        <v>0</v>
      </c>
      <c r="AB29">
        <v>0</v>
      </c>
      <c r="AC29">
        <v>0</v>
      </c>
      <c r="AD29">
        <v>0</v>
      </c>
      <c r="AE29">
        <v>49868</v>
      </c>
      <c r="AF29">
        <v>2494</v>
      </c>
      <c r="AG29">
        <v>0.05</v>
      </c>
      <c r="AH29">
        <v>52362</v>
      </c>
      <c r="AI29">
        <v>2</v>
      </c>
      <c r="AJ29">
        <v>8018</v>
      </c>
      <c r="AK29">
        <v>4009</v>
      </c>
      <c r="AL29">
        <v>0.15312631297505824</v>
      </c>
      <c r="AM29">
        <v>0.01</v>
      </c>
      <c r="AN29">
        <v>523.62</v>
      </c>
      <c r="AO29">
        <v>0.05</v>
      </c>
      <c r="AP29">
        <v>2618.1000000000004</v>
      </c>
      <c r="AQ29">
        <v>0</v>
      </c>
      <c r="AR29" t="s">
        <v>56</v>
      </c>
      <c r="AS29" t="s">
        <v>241</v>
      </c>
      <c r="AT29" t="s">
        <v>261</v>
      </c>
      <c r="AU29" t="s">
        <v>85</v>
      </c>
      <c r="AV29" t="s">
        <v>234</v>
      </c>
      <c r="AW29" t="s">
        <v>104</v>
      </c>
      <c r="AX29" t="s">
        <v>50</v>
      </c>
      <c r="AY29" t="s">
        <v>90</v>
      </c>
    </row>
    <row r="30" spans="1:51" x14ac:dyDescent="0.3">
      <c r="A30" s="35">
        <v>43929</v>
      </c>
      <c r="B30">
        <v>2020</v>
      </c>
      <c r="C30" t="s">
        <v>227</v>
      </c>
      <c r="D30" t="s">
        <v>232</v>
      </c>
      <c r="E30" t="s">
        <v>254</v>
      </c>
      <c r="F30">
        <v>2687</v>
      </c>
      <c r="G30" t="s">
        <v>29</v>
      </c>
      <c r="H30" t="s">
        <v>45</v>
      </c>
      <c r="I30" t="s">
        <v>340</v>
      </c>
      <c r="J30">
        <v>2800</v>
      </c>
      <c r="K30" t="s">
        <v>108</v>
      </c>
      <c r="L30" t="s">
        <v>31</v>
      </c>
      <c r="M30">
        <v>60663</v>
      </c>
      <c r="N30">
        <v>9.8880356773197675E-2</v>
      </c>
      <c r="O30">
        <v>180</v>
      </c>
      <c r="P30">
        <v>13500</v>
      </c>
      <c r="Q30">
        <v>540</v>
      </c>
      <c r="R30">
        <v>27000</v>
      </c>
      <c r="S30">
        <v>0</v>
      </c>
      <c r="T30">
        <v>0</v>
      </c>
      <c r="U30">
        <v>0</v>
      </c>
      <c r="V30">
        <v>0</v>
      </c>
      <c r="W30">
        <v>4297</v>
      </c>
      <c r="X30">
        <v>1500</v>
      </c>
      <c r="Y30">
        <v>0</v>
      </c>
      <c r="Z30">
        <v>3605</v>
      </c>
      <c r="AA30">
        <v>0</v>
      </c>
      <c r="AB30">
        <v>0</v>
      </c>
      <c r="AC30">
        <v>3600</v>
      </c>
      <c r="AD30">
        <v>2500</v>
      </c>
      <c r="AE30">
        <v>613499</v>
      </c>
      <c r="AF30">
        <v>15338</v>
      </c>
      <c r="AG30">
        <v>2.5000000000000001E-2</v>
      </c>
      <c r="AH30">
        <v>628837</v>
      </c>
      <c r="AI30">
        <v>12</v>
      </c>
      <c r="AJ30">
        <v>56143</v>
      </c>
      <c r="AK30">
        <v>4678.583333333333</v>
      </c>
      <c r="AL30">
        <v>8.9280688000228994E-2</v>
      </c>
      <c r="AM30">
        <v>0.01</v>
      </c>
      <c r="AN30">
        <v>6288.37</v>
      </c>
      <c r="AO30">
        <v>0.05</v>
      </c>
      <c r="AP30">
        <v>31441.850000000002</v>
      </c>
      <c r="AQ30">
        <v>9</v>
      </c>
      <c r="AR30" t="s">
        <v>341</v>
      </c>
      <c r="AS30" t="s">
        <v>241</v>
      </c>
      <c r="AT30" t="s">
        <v>261</v>
      </c>
      <c r="AU30" t="s">
        <v>85</v>
      </c>
      <c r="AV30" t="s">
        <v>235</v>
      </c>
      <c r="AW30" t="s">
        <v>243</v>
      </c>
      <c r="AX30" t="s">
        <v>50</v>
      </c>
      <c r="AY30" t="s">
        <v>90</v>
      </c>
    </row>
    <row r="31" spans="1:51" x14ac:dyDescent="0.3">
      <c r="A31" s="35">
        <v>43938</v>
      </c>
      <c r="B31">
        <v>2020</v>
      </c>
      <c r="C31" t="s">
        <v>227</v>
      </c>
      <c r="D31" t="s">
        <v>230</v>
      </c>
      <c r="E31" t="s">
        <v>254</v>
      </c>
      <c r="F31">
        <v>2684</v>
      </c>
      <c r="G31" t="s">
        <v>29</v>
      </c>
      <c r="H31" t="s">
        <v>45</v>
      </c>
      <c r="I31" t="s">
        <v>338</v>
      </c>
      <c r="J31">
        <v>7199</v>
      </c>
      <c r="K31" t="s">
        <v>108</v>
      </c>
      <c r="L31" t="s">
        <v>31</v>
      </c>
      <c r="M31">
        <v>15111</v>
      </c>
      <c r="N31">
        <v>8.6968497789701754E-2</v>
      </c>
      <c r="O31">
        <v>50</v>
      </c>
      <c r="P31">
        <v>3750</v>
      </c>
      <c r="Q31">
        <v>150</v>
      </c>
      <c r="R31">
        <v>7500</v>
      </c>
      <c r="S31">
        <v>0</v>
      </c>
      <c r="T31">
        <v>0</v>
      </c>
      <c r="U31">
        <v>0</v>
      </c>
      <c r="V31">
        <v>0</v>
      </c>
      <c r="W31">
        <v>1280</v>
      </c>
      <c r="X31">
        <v>0</v>
      </c>
      <c r="Y31">
        <v>0</v>
      </c>
      <c r="Z31">
        <v>401</v>
      </c>
      <c r="AA31">
        <v>0</v>
      </c>
      <c r="AB31">
        <v>0</v>
      </c>
      <c r="AC31">
        <v>0</v>
      </c>
      <c r="AD31">
        <v>2180</v>
      </c>
      <c r="AE31">
        <v>173752.57</v>
      </c>
      <c r="AF31">
        <v>6951</v>
      </c>
      <c r="AG31">
        <v>0.04</v>
      </c>
      <c r="AH31">
        <v>180703.57</v>
      </c>
      <c r="AI31">
        <v>5</v>
      </c>
      <c r="AJ31">
        <v>18289</v>
      </c>
      <c r="AK31">
        <v>3657.8</v>
      </c>
      <c r="AL31">
        <v>0.10120995395940434</v>
      </c>
      <c r="AM31">
        <v>0.01</v>
      </c>
      <c r="AN31">
        <v>1807.0357000000001</v>
      </c>
      <c r="AO31">
        <v>0.05</v>
      </c>
      <c r="AP31">
        <v>9035.1785</v>
      </c>
      <c r="AQ31">
        <v>0</v>
      </c>
      <c r="AR31" t="s">
        <v>339</v>
      </c>
      <c r="AS31" t="s">
        <v>241</v>
      </c>
      <c r="AT31" t="s">
        <v>261</v>
      </c>
      <c r="AU31" t="s">
        <v>85</v>
      </c>
      <c r="AV31" t="s">
        <v>234</v>
      </c>
      <c r="AW31" t="s">
        <v>104</v>
      </c>
      <c r="AX31" t="s">
        <v>208</v>
      </c>
      <c r="AY31" t="s">
        <v>90</v>
      </c>
    </row>
    <row r="32" spans="1:51" x14ac:dyDescent="0.3">
      <c r="A32" s="35">
        <v>43921</v>
      </c>
      <c r="B32">
        <v>2020</v>
      </c>
      <c r="C32" t="s">
        <v>227</v>
      </c>
      <c r="D32" t="s">
        <v>230</v>
      </c>
      <c r="E32" t="s">
        <v>254</v>
      </c>
      <c r="F32">
        <v>2683</v>
      </c>
      <c r="G32" t="s">
        <v>57</v>
      </c>
      <c r="H32" t="s">
        <v>114</v>
      </c>
      <c r="I32" t="s">
        <v>326</v>
      </c>
      <c r="J32">
        <v>3000</v>
      </c>
      <c r="K32" t="s">
        <v>108</v>
      </c>
      <c r="L32" t="s">
        <v>31</v>
      </c>
      <c r="M32">
        <v>28167.55012</v>
      </c>
      <c r="N32">
        <v>0.12854613678678567</v>
      </c>
      <c r="O32">
        <v>75</v>
      </c>
      <c r="P32">
        <v>5625</v>
      </c>
      <c r="Q32">
        <v>200</v>
      </c>
      <c r="R32">
        <v>10000</v>
      </c>
      <c r="S32">
        <v>0</v>
      </c>
      <c r="T32">
        <v>0</v>
      </c>
      <c r="U32">
        <v>5665</v>
      </c>
      <c r="V32">
        <v>0</v>
      </c>
      <c r="W32">
        <v>1050.2607499999999</v>
      </c>
      <c r="X32">
        <v>0</v>
      </c>
      <c r="Y32">
        <v>0</v>
      </c>
      <c r="Z32">
        <v>667.52607499999999</v>
      </c>
      <c r="AA32">
        <v>0</v>
      </c>
      <c r="AB32">
        <v>0</v>
      </c>
      <c r="AC32">
        <v>950</v>
      </c>
      <c r="AD32">
        <v>2600</v>
      </c>
      <c r="AE32">
        <v>219124.05012</v>
      </c>
      <c r="AF32">
        <v>17525.954009599998</v>
      </c>
      <c r="AG32">
        <v>0.08</v>
      </c>
      <c r="AH32">
        <v>236650.00412960001</v>
      </c>
      <c r="AI32">
        <v>5</v>
      </c>
      <c r="AJ32">
        <v>33255.9800846</v>
      </c>
      <c r="AK32">
        <v>6651.1960169200001</v>
      </c>
      <c r="AL32">
        <v>0.14052811960395131</v>
      </c>
      <c r="AM32">
        <v>0.01</v>
      </c>
      <c r="AN32">
        <v>2366.5000412960003</v>
      </c>
      <c r="AO32">
        <v>0.05</v>
      </c>
      <c r="AP32">
        <v>11832.500206480001</v>
      </c>
      <c r="AQ32">
        <v>1</v>
      </c>
      <c r="AR32" t="s">
        <v>325</v>
      </c>
      <c r="AS32" t="s">
        <v>241</v>
      </c>
      <c r="AT32" t="s">
        <v>261</v>
      </c>
      <c r="AU32" t="s">
        <v>85</v>
      </c>
      <c r="AV32" t="s">
        <v>234</v>
      </c>
      <c r="AW32" t="s">
        <v>104</v>
      </c>
      <c r="AX32" t="s">
        <v>50</v>
      </c>
      <c r="AY32" t="s">
        <v>90</v>
      </c>
    </row>
    <row r="33" spans="1:51" x14ac:dyDescent="0.3">
      <c r="A33" s="35">
        <v>43916</v>
      </c>
      <c r="B33">
        <v>2020</v>
      </c>
      <c r="C33" t="s">
        <v>227</v>
      </c>
      <c r="D33" t="s">
        <v>230</v>
      </c>
      <c r="E33" t="s">
        <v>254</v>
      </c>
      <c r="F33">
        <v>2679</v>
      </c>
      <c r="G33" t="s">
        <v>29</v>
      </c>
      <c r="H33" t="s">
        <v>30</v>
      </c>
      <c r="I33" t="s">
        <v>320</v>
      </c>
      <c r="J33">
        <v>21736</v>
      </c>
      <c r="K33" t="s">
        <v>108</v>
      </c>
      <c r="L33" t="s">
        <v>31</v>
      </c>
      <c r="M33">
        <v>12945.927750000001</v>
      </c>
      <c r="N33">
        <v>0.10747885459935778</v>
      </c>
      <c r="O33">
        <v>40</v>
      </c>
      <c r="P33">
        <v>3000</v>
      </c>
      <c r="Q33">
        <v>160</v>
      </c>
      <c r="R33">
        <v>8000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309.12774999999999</v>
      </c>
      <c r="AA33">
        <v>0</v>
      </c>
      <c r="AB33">
        <v>0</v>
      </c>
      <c r="AC33">
        <v>0</v>
      </c>
      <c r="AD33">
        <v>1636.8</v>
      </c>
      <c r="AE33">
        <v>120450.92775</v>
      </c>
      <c r="AF33">
        <v>6022.0763875000002</v>
      </c>
      <c r="AG33">
        <v>0.05</v>
      </c>
      <c r="AH33">
        <v>126473.0041375</v>
      </c>
      <c r="AI33">
        <v>4</v>
      </c>
      <c r="AJ33">
        <v>17081.204137500001</v>
      </c>
      <c r="AK33">
        <v>4270.3010343750002</v>
      </c>
      <c r="AL33">
        <v>0.13505810393283227</v>
      </c>
      <c r="AM33">
        <v>0.01</v>
      </c>
      <c r="AN33">
        <v>1264.7300413749999</v>
      </c>
      <c r="AO33">
        <v>0.05</v>
      </c>
      <c r="AP33">
        <v>6323.6502068750005</v>
      </c>
      <c r="AQ33">
        <v>2</v>
      </c>
      <c r="AR33" t="s">
        <v>321</v>
      </c>
      <c r="AS33" t="s">
        <v>241</v>
      </c>
      <c r="AT33" t="s">
        <v>261</v>
      </c>
      <c r="AU33" t="s">
        <v>85</v>
      </c>
      <c r="AV33" t="s">
        <v>234</v>
      </c>
      <c r="AW33" t="s">
        <v>104</v>
      </c>
      <c r="AX33" t="s">
        <v>50</v>
      </c>
      <c r="AY33" t="s">
        <v>90</v>
      </c>
    </row>
    <row r="34" spans="1:51" x14ac:dyDescent="0.3">
      <c r="A34" s="35">
        <v>43908</v>
      </c>
      <c r="B34">
        <v>2020</v>
      </c>
      <c r="C34" t="s">
        <v>227</v>
      </c>
      <c r="D34" t="s">
        <v>230</v>
      </c>
      <c r="E34" t="s">
        <v>254</v>
      </c>
      <c r="F34">
        <v>2678</v>
      </c>
      <c r="G34" t="s">
        <v>35</v>
      </c>
      <c r="H34" t="s">
        <v>36</v>
      </c>
      <c r="I34" t="s">
        <v>318</v>
      </c>
      <c r="J34">
        <v>1089</v>
      </c>
      <c r="K34" t="s">
        <v>108</v>
      </c>
      <c r="L34" t="s">
        <v>31</v>
      </c>
      <c r="M34">
        <v>24226.645535</v>
      </c>
      <c r="N34">
        <v>9.1283398618654338E-2</v>
      </c>
      <c r="O34">
        <v>60</v>
      </c>
      <c r="P34">
        <v>4500</v>
      </c>
      <c r="Q34">
        <v>240</v>
      </c>
      <c r="R34">
        <v>12000</v>
      </c>
      <c r="S34">
        <v>0</v>
      </c>
      <c r="T34">
        <v>0</v>
      </c>
      <c r="U34">
        <v>5580</v>
      </c>
      <c r="V34">
        <v>0</v>
      </c>
      <c r="W34">
        <v>0</v>
      </c>
      <c r="X34">
        <v>0</v>
      </c>
      <c r="Y34">
        <v>0</v>
      </c>
      <c r="Z34">
        <v>507.645535</v>
      </c>
      <c r="AA34">
        <v>0</v>
      </c>
      <c r="AB34">
        <v>0</v>
      </c>
      <c r="AC34">
        <v>0</v>
      </c>
      <c r="AD34">
        <v>1639</v>
      </c>
      <c r="AE34">
        <v>265400.34553499997</v>
      </c>
      <c r="AF34">
        <v>15924.650732099997</v>
      </c>
      <c r="AG34">
        <v>0.06</v>
      </c>
      <c r="AH34">
        <v>281324.99626709998</v>
      </c>
      <c r="AI34">
        <v>6</v>
      </c>
      <c r="AJ34">
        <v>32557.296267099995</v>
      </c>
      <c r="AK34">
        <v>5426.2160445166655</v>
      </c>
      <c r="AL34">
        <v>0.11572841624136711</v>
      </c>
      <c r="AM34">
        <v>0.01</v>
      </c>
      <c r="AN34">
        <v>2813.249962671</v>
      </c>
      <c r="AO34">
        <v>0.05</v>
      </c>
      <c r="AP34">
        <v>14066.249813355</v>
      </c>
      <c r="AQ34">
        <v>0</v>
      </c>
      <c r="AR34" t="s">
        <v>319</v>
      </c>
      <c r="AS34" t="s">
        <v>242</v>
      </c>
      <c r="AT34" t="s">
        <v>310</v>
      </c>
      <c r="AU34" t="s">
        <v>85</v>
      </c>
      <c r="AV34" t="s">
        <v>233</v>
      </c>
      <c r="AW34" t="s">
        <v>104</v>
      </c>
      <c r="AX34" t="s">
        <v>50</v>
      </c>
      <c r="AY34" t="s">
        <v>90</v>
      </c>
    </row>
    <row r="35" spans="1:51" x14ac:dyDescent="0.3">
      <c r="A35" s="35">
        <v>43902</v>
      </c>
      <c r="B35">
        <v>2020</v>
      </c>
      <c r="C35" t="s">
        <v>227</v>
      </c>
      <c r="D35" t="s">
        <v>231</v>
      </c>
      <c r="E35" t="s">
        <v>253</v>
      </c>
      <c r="F35">
        <v>2673</v>
      </c>
      <c r="G35" t="s">
        <v>57</v>
      </c>
      <c r="H35" t="s">
        <v>114</v>
      </c>
      <c r="I35" t="s">
        <v>314</v>
      </c>
      <c r="J35">
        <v>6000</v>
      </c>
      <c r="K35" t="s">
        <v>108</v>
      </c>
      <c r="L35" t="s">
        <v>31</v>
      </c>
      <c r="AH35">
        <v>243152.55</v>
      </c>
      <c r="AI35">
        <v>6</v>
      </c>
      <c r="AL35">
        <v>0.15</v>
      </c>
      <c r="AR35" t="s">
        <v>122</v>
      </c>
      <c r="AS35" t="s">
        <v>242</v>
      </c>
      <c r="AT35" t="s">
        <v>262</v>
      </c>
      <c r="AU35" t="s">
        <v>85</v>
      </c>
      <c r="AV35" t="s">
        <v>234</v>
      </c>
      <c r="AW35" t="s">
        <v>104</v>
      </c>
      <c r="AX35" t="s">
        <v>50</v>
      </c>
      <c r="AY35" t="s">
        <v>90</v>
      </c>
    </row>
    <row r="36" spans="1:51" x14ac:dyDescent="0.3">
      <c r="A36" s="35">
        <v>43917</v>
      </c>
      <c r="B36">
        <v>2020</v>
      </c>
      <c r="C36" t="s">
        <v>227</v>
      </c>
      <c r="D36" t="s">
        <v>230</v>
      </c>
      <c r="E36" t="s">
        <v>254</v>
      </c>
      <c r="F36">
        <v>2671</v>
      </c>
      <c r="G36" t="s">
        <v>35</v>
      </c>
      <c r="H36" t="s">
        <v>36</v>
      </c>
      <c r="I36" t="s">
        <v>312</v>
      </c>
      <c r="J36">
        <v>3000</v>
      </c>
      <c r="K36" t="s">
        <v>156</v>
      </c>
      <c r="L36" t="s">
        <v>157</v>
      </c>
      <c r="M36">
        <v>31419.206703600001</v>
      </c>
      <c r="N36">
        <v>0.13894248463649594</v>
      </c>
      <c r="O36">
        <v>90</v>
      </c>
      <c r="P36">
        <v>6750</v>
      </c>
      <c r="Q36">
        <v>240</v>
      </c>
      <c r="R36">
        <v>12000</v>
      </c>
      <c r="S36">
        <v>0</v>
      </c>
      <c r="T36">
        <v>0</v>
      </c>
      <c r="U36">
        <v>5988</v>
      </c>
      <c r="V36">
        <v>0</v>
      </c>
      <c r="W36">
        <v>1657.6945600000001</v>
      </c>
      <c r="X36">
        <v>0</v>
      </c>
      <c r="Y36">
        <v>0</v>
      </c>
      <c r="Z36">
        <v>782.09150099999999</v>
      </c>
      <c r="AA36">
        <v>0</v>
      </c>
      <c r="AB36">
        <v>0</v>
      </c>
      <c r="AC36">
        <v>0</v>
      </c>
      <c r="AD36">
        <v>2600</v>
      </c>
      <c r="AE36">
        <v>226131.02670360002</v>
      </c>
      <c r="AF36">
        <v>15829.171869252003</v>
      </c>
      <c r="AG36">
        <v>7.0000000000000007E-2</v>
      </c>
      <c r="AH36">
        <v>266156.2184301372</v>
      </c>
      <c r="AI36">
        <v>6</v>
      </c>
      <c r="AJ36">
        <v>34686.263370252003</v>
      </c>
      <c r="AK36">
        <v>5781.0438950420003</v>
      </c>
      <c r="AL36">
        <v>0.14335524427092206</v>
      </c>
      <c r="AM36">
        <v>0.01</v>
      </c>
      <c r="AN36">
        <v>2661.5621843013719</v>
      </c>
      <c r="AO36">
        <v>0.05</v>
      </c>
      <c r="AP36">
        <v>13307.810921506862</v>
      </c>
      <c r="AQ36">
        <v>0</v>
      </c>
      <c r="AR36" t="s">
        <v>313</v>
      </c>
      <c r="AS36" t="s">
        <v>242</v>
      </c>
      <c r="AT36" t="s">
        <v>262</v>
      </c>
      <c r="AU36" t="s">
        <v>85</v>
      </c>
      <c r="AV36" t="s">
        <v>234</v>
      </c>
      <c r="AW36" t="s">
        <v>104</v>
      </c>
      <c r="AX36" t="s">
        <v>51</v>
      </c>
      <c r="AY36" t="s">
        <v>90</v>
      </c>
    </row>
    <row r="37" spans="1:51" x14ac:dyDescent="0.3">
      <c r="A37" s="35">
        <v>43915</v>
      </c>
      <c r="B37">
        <v>2020</v>
      </c>
      <c r="C37" t="s">
        <v>227</v>
      </c>
      <c r="D37" t="s">
        <v>231</v>
      </c>
      <c r="E37" t="s">
        <v>254</v>
      </c>
      <c r="F37">
        <v>2668</v>
      </c>
      <c r="G37" t="s">
        <v>29</v>
      </c>
      <c r="H37" t="s">
        <v>45</v>
      </c>
      <c r="I37" t="s">
        <v>311</v>
      </c>
      <c r="J37">
        <v>500</v>
      </c>
      <c r="K37" t="s">
        <v>108</v>
      </c>
      <c r="L37" t="s">
        <v>31</v>
      </c>
      <c r="M37">
        <v>13268</v>
      </c>
      <c r="N37">
        <v>0.20128343219503314</v>
      </c>
      <c r="O37">
        <v>40</v>
      </c>
      <c r="P37">
        <v>3000</v>
      </c>
      <c r="Q37">
        <v>160</v>
      </c>
      <c r="R37">
        <v>8000</v>
      </c>
      <c r="S37">
        <v>0</v>
      </c>
      <c r="T37">
        <v>0</v>
      </c>
      <c r="U37">
        <v>0</v>
      </c>
      <c r="V37">
        <v>0</v>
      </c>
      <c r="W37">
        <v>495</v>
      </c>
      <c r="X37">
        <v>0</v>
      </c>
      <c r="Y37">
        <v>0</v>
      </c>
      <c r="Z37">
        <v>279</v>
      </c>
      <c r="AA37">
        <v>0</v>
      </c>
      <c r="AB37">
        <v>0</v>
      </c>
      <c r="AC37">
        <v>0</v>
      </c>
      <c r="AD37">
        <v>1050</v>
      </c>
      <c r="AE37">
        <v>65917</v>
      </c>
      <c r="AF37">
        <v>3296</v>
      </c>
      <c r="AG37">
        <v>0.05</v>
      </c>
      <c r="AH37">
        <v>69213</v>
      </c>
      <c r="AI37">
        <v>4</v>
      </c>
      <c r="AJ37">
        <v>14325</v>
      </c>
      <c r="AK37">
        <v>3581.25</v>
      </c>
      <c r="AL37">
        <v>0.20696978891248755</v>
      </c>
      <c r="AM37">
        <v>0.01</v>
      </c>
      <c r="AN37">
        <v>692.13</v>
      </c>
      <c r="AO37">
        <v>0.05</v>
      </c>
      <c r="AP37">
        <v>3460.65</v>
      </c>
      <c r="AQ37">
        <v>0</v>
      </c>
      <c r="AR37" t="s">
        <v>211</v>
      </c>
      <c r="AS37" t="s">
        <v>242</v>
      </c>
      <c r="AT37" t="s">
        <v>310</v>
      </c>
      <c r="AU37" t="s">
        <v>85</v>
      </c>
      <c r="AV37" t="s">
        <v>233</v>
      </c>
      <c r="AW37" t="s">
        <v>104</v>
      </c>
      <c r="AX37" t="s">
        <v>177</v>
      </c>
      <c r="AY37" t="s">
        <v>90</v>
      </c>
    </row>
    <row r="38" spans="1:51" x14ac:dyDescent="0.3">
      <c r="A38" s="35">
        <v>43860</v>
      </c>
      <c r="B38">
        <v>2020</v>
      </c>
      <c r="C38" t="s">
        <v>229</v>
      </c>
      <c r="D38" t="s">
        <v>230</v>
      </c>
      <c r="E38" t="s">
        <v>253</v>
      </c>
      <c r="F38">
        <v>2653</v>
      </c>
      <c r="G38" t="s">
        <v>57</v>
      </c>
      <c r="H38" t="s">
        <v>114</v>
      </c>
      <c r="I38" t="s">
        <v>289</v>
      </c>
      <c r="J38">
        <v>3000</v>
      </c>
      <c r="K38" t="s">
        <v>108</v>
      </c>
      <c r="L38" t="s">
        <v>31</v>
      </c>
      <c r="M38">
        <v>21272.342799999999</v>
      </c>
      <c r="N38">
        <v>0.11375137725340698</v>
      </c>
      <c r="O38">
        <v>75</v>
      </c>
      <c r="P38">
        <v>5625</v>
      </c>
      <c r="Q38">
        <v>200</v>
      </c>
      <c r="R38">
        <v>10000</v>
      </c>
      <c r="S38">
        <v>0</v>
      </c>
      <c r="T38">
        <v>0</v>
      </c>
      <c r="U38">
        <v>2385</v>
      </c>
      <c r="V38">
        <v>0</v>
      </c>
      <c r="W38">
        <v>911.54250000000002</v>
      </c>
      <c r="X38">
        <v>0</v>
      </c>
      <c r="Y38">
        <v>0</v>
      </c>
      <c r="Z38">
        <v>403.65425000000005</v>
      </c>
      <c r="AA38">
        <v>0</v>
      </c>
      <c r="AB38">
        <v>0</v>
      </c>
      <c r="AC38">
        <v>0</v>
      </c>
      <c r="AD38">
        <v>550</v>
      </c>
      <c r="AE38">
        <v>187007.34279999998</v>
      </c>
      <c r="AF38">
        <v>18702.654279999999</v>
      </c>
      <c r="AG38">
        <v>0.1</v>
      </c>
      <c r="AH38">
        <v>205709.99707999997</v>
      </c>
      <c r="AI38">
        <v>5</v>
      </c>
      <c r="AJ38">
        <v>34418.808530000002</v>
      </c>
      <c r="AK38">
        <v>6883.7617060000002</v>
      </c>
      <c r="AL38">
        <v>0.16731714072512788</v>
      </c>
      <c r="AM38">
        <v>0.01</v>
      </c>
      <c r="AN38">
        <v>2057.0999707999999</v>
      </c>
      <c r="AO38">
        <v>0.05</v>
      </c>
      <c r="AP38">
        <v>10285.499854</v>
      </c>
      <c r="AQ38">
        <v>0</v>
      </c>
      <c r="AR38" t="s">
        <v>290</v>
      </c>
      <c r="AS38" t="s">
        <v>241</v>
      </c>
      <c r="AT38" t="s">
        <v>261</v>
      </c>
      <c r="AU38" t="s">
        <v>85</v>
      </c>
      <c r="AV38" t="s">
        <v>234</v>
      </c>
      <c r="AW38" t="s">
        <v>243</v>
      </c>
      <c r="AX38" t="s">
        <v>208</v>
      </c>
      <c r="AY38" t="s">
        <v>90</v>
      </c>
    </row>
    <row r="39" spans="1:51" x14ac:dyDescent="0.3">
      <c r="A39" s="35">
        <v>43887</v>
      </c>
      <c r="B39">
        <v>2020</v>
      </c>
      <c r="C39" t="s">
        <v>229</v>
      </c>
      <c r="D39" t="s">
        <v>230</v>
      </c>
      <c r="E39" t="s">
        <v>253</v>
      </c>
      <c r="F39">
        <v>2674</v>
      </c>
      <c r="G39" t="s">
        <v>29</v>
      </c>
      <c r="H39" t="s">
        <v>38</v>
      </c>
      <c r="I39" t="s">
        <v>298</v>
      </c>
      <c r="J39">
        <v>10000</v>
      </c>
      <c r="K39" t="s">
        <v>156</v>
      </c>
      <c r="L39" t="s">
        <v>157</v>
      </c>
      <c r="O39">
        <v>450</v>
      </c>
      <c r="P39">
        <v>38250</v>
      </c>
      <c r="R39">
        <v>13500</v>
      </c>
      <c r="S39">
        <v>0</v>
      </c>
      <c r="AB39">
        <v>0</v>
      </c>
      <c r="AG39">
        <v>0.03</v>
      </c>
      <c r="AH39">
        <v>3500000</v>
      </c>
      <c r="AI39">
        <v>30</v>
      </c>
      <c r="AK39">
        <v>8483</v>
      </c>
      <c r="AL39">
        <v>6.4000000000000001E-2</v>
      </c>
      <c r="AR39" t="s">
        <v>299</v>
      </c>
      <c r="AS39" t="s">
        <v>241</v>
      </c>
      <c r="AT39" t="s">
        <v>261</v>
      </c>
      <c r="AU39" t="s">
        <v>85</v>
      </c>
      <c r="AV39" t="s">
        <v>309</v>
      </c>
      <c r="AW39" t="s">
        <v>243</v>
      </c>
      <c r="AX39" t="s">
        <v>50</v>
      </c>
      <c r="AY39" t="s">
        <v>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U508"/>
  <sheetViews>
    <sheetView tabSelected="1" topLeftCell="A330" zoomScale="70" zoomScaleNormal="70" workbookViewId="0">
      <selection activeCell="N455" sqref="N455"/>
    </sheetView>
  </sheetViews>
  <sheetFormatPr defaultColWidth="10.88671875" defaultRowHeight="17.25" x14ac:dyDescent="0.3"/>
  <cols>
    <col min="1" max="1" width="19.21875" style="51" customWidth="1"/>
    <col min="2" max="2" width="13.88671875" style="51" customWidth="1"/>
    <col min="3" max="3" width="19.5546875" style="14" customWidth="1"/>
    <col min="4" max="4" width="16" customWidth="1"/>
    <col min="5" max="5" width="11" customWidth="1"/>
    <col min="6" max="6" width="11.88671875" customWidth="1"/>
    <col min="7" max="7" width="52.88671875" customWidth="1"/>
    <col min="8" max="8" width="22.44140625" customWidth="1"/>
    <col min="9" max="9" width="36.88671875" customWidth="1"/>
    <col min="10" max="10" width="20.88671875" customWidth="1"/>
    <col min="11" max="11" width="17.6640625" customWidth="1"/>
    <col min="12" max="13" width="16.109375" style="16" customWidth="1"/>
    <col min="14" max="14" width="19.6640625" style="15" customWidth="1"/>
    <col min="15" max="15" width="13.77734375" customWidth="1"/>
    <col min="16" max="16" width="14" style="15" customWidth="1"/>
    <col min="17" max="17" width="19.88671875" style="15" customWidth="1"/>
    <col min="18" max="18" width="15.6640625" style="15" customWidth="1"/>
    <col min="19" max="19" width="12.5546875" customWidth="1"/>
    <col min="20" max="20" width="25" customWidth="1"/>
    <col min="21" max="21" width="17.33203125" customWidth="1"/>
  </cols>
  <sheetData>
    <row r="2" spans="1:21" x14ac:dyDescent="0.3">
      <c r="B2" s="51" t="s">
        <v>399</v>
      </c>
      <c r="C2" t="s">
        <v>390</v>
      </c>
      <c r="H2" t="s">
        <v>1</v>
      </c>
      <c r="I2" t="s">
        <v>255</v>
      </c>
      <c r="J2" t="s">
        <v>88</v>
      </c>
    </row>
    <row r="3" spans="1:21" x14ac:dyDescent="0.3">
      <c r="A3"/>
      <c r="B3" s="51" t="s">
        <v>400</v>
      </c>
      <c r="C3" t="s">
        <v>391</v>
      </c>
      <c r="H3" t="s">
        <v>29</v>
      </c>
      <c r="I3" t="s">
        <v>108</v>
      </c>
      <c r="J3" t="s">
        <v>31</v>
      </c>
    </row>
    <row r="4" spans="1:21" x14ac:dyDescent="0.3">
      <c r="A4"/>
      <c r="B4" s="51" t="s">
        <v>401</v>
      </c>
      <c r="C4" t="s">
        <v>392</v>
      </c>
      <c r="H4" t="s">
        <v>35</v>
      </c>
      <c r="I4" t="s">
        <v>156</v>
      </c>
      <c r="J4" t="s">
        <v>157</v>
      </c>
      <c r="R4" s="52" t="s">
        <v>41</v>
      </c>
      <c r="T4" t="s">
        <v>256</v>
      </c>
    </row>
    <row r="5" spans="1:21" x14ac:dyDescent="0.3">
      <c r="A5"/>
      <c r="B5" s="51" t="s">
        <v>402</v>
      </c>
      <c r="C5" t="s">
        <v>415</v>
      </c>
      <c r="H5" t="s">
        <v>57</v>
      </c>
      <c r="I5" t="s">
        <v>167</v>
      </c>
      <c r="R5" s="49" t="s">
        <v>42</v>
      </c>
      <c r="T5" t="s">
        <v>89</v>
      </c>
    </row>
    <row r="6" spans="1:21" x14ac:dyDescent="0.3">
      <c r="A6"/>
      <c r="B6" s="51" t="s">
        <v>409</v>
      </c>
      <c r="C6" s="14" t="s">
        <v>416</v>
      </c>
      <c r="H6" t="s">
        <v>236</v>
      </c>
      <c r="I6" t="s">
        <v>92</v>
      </c>
      <c r="R6" s="50" t="s">
        <v>43</v>
      </c>
      <c r="T6" t="s">
        <v>90</v>
      </c>
    </row>
    <row r="7" spans="1:21" x14ac:dyDescent="0.3">
      <c r="A7"/>
      <c r="R7" s="49" t="s">
        <v>85</v>
      </c>
    </row>
    <row r="8" spans="1:21" x14ac:dyDescent="0.3">
      <c r="A8"/>
      <c r="R8" s="50"/>
    </row>
    <row r="9" spans="1:21" x14ac:dyDescent="0.3">
      <c r="R9" s="49"/>
    </row>
    <row r="10" spans="1:21" s="19" customFormat="1" ht="16.5" customHeight="1" x14ac:dyDescent="0.2">
      <c r="A10" s="17" t="s">
        <v>364</v>
      </c>
      <c r="B10" s="18" t="s">
        <v>160</v>
      </c>
      <c r="C10" s="18" t="s">
        <v>224</v>
      </c>
      <c r="D10" s="19" t="s">
        <v>1</v>
      </c>
      <c r="E10" s="19" t="s">
        <v>2</v>
      </c>
      <c r="F10" s="19" t="s">
        <v>365</v>
      </c>
      <c r="G10" s="19" t="s">
        <v>5</v>
      </c>
      <c r="H10" s="19" t="s">
        <v>397</v>
      </c>
      <c r="I10" s="19" t="s">
        <v>4</v>
      </c>
      <c r="J10" s="19" t="s">
        <v>48</v>
      </c>
      <c r="K10" s="19" t="s">
        <v>88</v>
      </c>
      <c r="L10" s="20" t="s">
        <v>20</v>
      </c>
      <c r="M10" s="20" t="s">
        <v>403</v>
      </c>
      <c r="N10" s="19" t="s">
        <v>21</v>
      </c>
      <c r="O10" s="20" t="s">
        <v>22</v>
      </c>
      <c r="P10" s="20" t="s">
        <v>23</v>
      </c>
      <c r="Q10" s="21" t="s">
        <v>24</v>
      </c>
      <c r="R10" s="19" t="s">
        <v>41</v>
      </c>
      <c r="S10" s="19" t="s">
        <v>49</v>
      </c>
      <c r="T10" s="19" t="s">
        <v>100</v>
      </c>
      <c r="U10" s="64" t="s">
        <v>423</v>
      </c>
    </row>
    <row r="11" spans="1:21" x14ac:dyDescent="0.3">
      <c r="A11" s="14">
        <v>43055</v>
      </c>
      <c r="B11">
        <v>2017</v>
      </c>
      <c r="C11" t="s">
        <v>228</v>
      </c>
      <c r="D11" t="s">
        <v>29</v>
      </c>
      <c r="E11" t="s">
        <v>45</v>
      </c>
      <c r="F11">
        <v>2456</v>
      </c>
      <c r="G11" t="s">
        <v>91</v>
      </c>
      <c r="I11">
        <v>6000</v>
      </c>
      <c r="J11" t="s">
        <v>92</v>
      </c>
      <c r="K11" t="s">
        <v>31</v>
      </c>
      <c r="L11" s="22">
        <v>1644513</v>
      </c>
      <c r="M11" s="22" t="s">
        <v>401</v>
      </c>
      <c r="N11" s="24">
        <v>16</v>
      </c>
      <c r="O11" s="22">
        <v>112033.87</v>
      </c>
      <c r="P11" s="22">
        <v>8002</v>
      </c>
      <c r="Q11" s="23">
        <v>6.8099999999999994E-2</v>
      </c>
      <c r="R11" s="22" t="s">
        <v>42</v>
      </c>
      <c r="S11" s="22" t="s">
        <v>51</v>
      </c>
      <c r="T11" s="22" t="s">
        <v>89</v>
      </c>
      <c r="U11" s="63"/>
    </row>
    <row r="12" spans="1:21" x14ac:dyDescent="0.3">
      <c r="A12" s="14">
        <v>43070</v>
      </c>
      <c r="B12">
        <v>2018</v>
      </c>
      <c r="C12" t="s">
        <v>229</v>
      </c>
      <c r="D12" t="s">
        <v>57</v>
      </c>
      <c r="E12" t="s">
        <v>114</v>
      </c>
      <c r="F12">
        <v>2460</v>
      </c>
      <c r="G12" t="s">
        <v>135</v>
      </c>
      <c r="J12" t="s">
        <v>108</v>
      </c>
      <c r="K12" t="s">
        <v>31</v>
      </c>
      <c r="L12" s="22">
        <v>39432</v>
      </c>
      <c r="M12" s="22" t="s">
        <v>402</v>
      </c>
      <c r="N12" s="24"/>
      <c r="O12" s="22"/>
      <c r="P12" s="22"/>
      <c r="Q12" s="23">
        <v>0.25</v>
      </c>
      <c r="R12" s="22" t="s">
        <v>43</v>
      </c>
      <c r="S12" s="22"/>
      <c r="T12" s="22" t="s">
        <v>90</v>
      </c>
      <c r="U12" s="63"/>
    </row>
    <row r="13" spans="1:21" x14ac:dyDescent="0.3">
      <c r="A13" s="14">
        <v>43084</v>
      </c>
      <c r="B13">
        <v>2018</v>
      </c>
      <c r="C13" t="s">
        <v>229</v>
      </c>
      <c r="D13" t="s">
        <v>29</v>
      </c>
      <c r="E13" t="s">
        <v>45</v>
      </c>
      <c r="F13">
        <v>2461</v>
      </c>
      <c r="G13" t="s">
        <v>136</v>
      </c>
      <c r="J13" t="s">
        <v>108</v>
      </c>
      <c r="K13" t="s">
        <v>31</v>
      </c>
      <c r="L13" s="22">
        <v>232018</v>
      </c>
      <c r="M13" s="22" t="s">
        <v>402</v>
      </c>
      <c r="N13" s="24"/>
      <c r="O13" s="22"/>
      <c r="P13" s="22"/>
      <c r="Q13" s="23">
        <v>0.1215</v>
      </c>
      <c r="R13" s="22" t="s">
        <v>42</v>
      </c>
      <c r="S13" s="22" t="s">
        <v>105</v>
      </c>
      <c r="T13" s="22" t="s">
        <v>89</v>
      </c>
      <c r="U13" s="63"/>
    </row>
    <row r="14" spans="1:21" x14ac:dyDescent="0.3">
      <c r="A14" s="14">
        <v>43090</v>
      </c>
      <c r="B14">
        <v>2018</v>
      </c>
      <c r="C14" t="s">
        <v>229</v>
      </c>
      <c r="D14" t="s">
        <v>29</v>
      </c>
      <c r="E14" t="s">
        <v>38</v>
      </c>
      <c r="F14">
        <v>2462</v>
      </c>
      <c r="G14" t="s">
        <v>137</v>
      </c>
      <c r="J14" t="s">
        <v>108</v>
      </c>
      <c r="K14" t="s">
        <v>31</v>
      </c>
      <c r="L14" s="22">
        <v>155835</v>
      </c>
      <c r="M14" s="22" t="s">
        <v>402</v>
      </c>
      <c r="N14" s="24"/>
      <c r="O14" s="22"/>
      <c r="P14" s="22"/>
      <c r="Q14" s="23">
        <v>0.17480000000000001</v>
      </c>
      <c r="R14" s="22" t="s">
        <v>43</v>
      </c>
      <c r="S14" s="22"/>
      <c r="T14" s="22" t="s">
        <v>90</v>
      </c>
      <c r="U14" s="63"/>
    </row>
    <row r="15" spans="1:21" x14ac:dyDescent="0.3">
      <c r="A15" s="14">
        <v>43090</v>
      </c>
      <c r="B15">
        <v>2018</v>
      </c>
      <c r="C15" t="s">
        <v>229</v>
      </c>
      <c r="D15" t="s">
        <v>57</v>
      </c>
      <c r="E15" t="s">
        <v>114</v>
      </c>
      <c r="F15">
        <v>2463</v>
      </c>
      <c r="G15" t="s">
        <v>138</v>
      </c>
      <c r="J15" t="s">
        <v>108</v>
      </c>
      <c r="K15" t="s">
        <v>31</v>
      </c>
      <c r="L15" s="22">
        <v>253429</v>
      </c>
      <c r="M15" s="22" t="s">
        <v>402</v>
      </c>
      <c r="N15" s="24"/>
      <c r="O15" s="22"/>
      <c r="P15" s="22"/>
      <c r="Q15" s="23">
        <v>0.21970000000000001</v>
      </c>
      <c r="R15" s="22" t="s">
        <v>43</v>
      </c>
      <c r="S15" s="22"/>
      <c r="T15" s="22" t="s">
        <v>90</v>
      </c>
      <c r="U15" s="63"/>
    </row>
    <row r="16" spans="1:21" x14ac:dyDescent="0.3">
      <c r="A16" s="14">
        <v>43101</v>
      </c>
      <c r="B16">
        <v>2018</v>
      </c>
      <c r="C16" t="s">
        <v>229</v>
      </c>
      <c r="D16" t="s">
        <v>29</v>
      </c>
      <c r="E16" t="s">
        <v>38</v>
      </c>
      <c r="F16">
        <v>2464</v>
      </c>
      <c r="G16" t="s">
        <v>139</v>
      </c>
      <c r="J16" t="s">
        <v>108</v>
      </c>
      <c r="K16" t="s">
        <v>31</v>
      </c>
      <c r="L16" s="22">
        <v>477815</v>
      </c>
      <c r="M16" s="22" t="s">
        <v>402</v>
      </c>
      <c r="N16" s="24"/>
      <c r="O16" s="22"/>
      <c r="P16" s="22"/>
      <c r="Q16" s="23">
        <v>0.14099999999999999</v>
      </c>
      <c r="R16" s="22" t="s">
        <v>43</v>
      </c>
      <c r="S16" s="22"/>
      <c r="T16" s="22" t="s">
        <v>90</v>
      </c>
      <c r="U16" s="63"/>
    </row>
    <row r="17" spans="1:21" x14ac:dyDescent="0.3">
      <c r="A17" s="14">
        <v>43101</v>
      </c>
      <c r="B17">
        <v>2018</v>
      </c>
      <c r="C17" t="s">
        <v>229</v>
      </c>
      <c r="D17" t="s">
        <v>29</v>
      </c>
      <c r="E17" t="s">
        <v>30</v>
      </c>
      <c r="F17">
        <v>2467</v>
      </c>
      <c r="G17" t="s">
        <v>140</v>
      </c>
      <c r="J17" t="s">
        <v>108</v>
      </c>
      <c r="K17" t="s">
        <v>31</v>
      </c>
      <c r="L17" s="22">
        <v>2400000</v>
      </c>
      <c r="M17" s="22" t="s">
        <v>400</v>
      </c>
      <c r="N17" s="24"/>
      <c r="O17" s="22"/>
      <c r="P17" s="22"/>
      <c r="Q17" s="23">
        <v>0.08</v>
      </c>
      <c r="R17" s="22" t="s">
        <v>43</v>
      </c>
      <c r="S17" s="22"/>
      <c r="T17" s="22" t="s">
        <v>90</v>
      </c>
      <c r="U17" s="63"/>
    </row>
    <row r="18" spans="1:21" x14ac:dyDescent="0.3">
      <c r="A18" s="14">
        <v>43101</v>
      </c>
      <c r="B18">
        <v>2018</v>
      </c>
      <c r="C18" t="s">
        <v>229</v>
      </c>
      <c r="D18" t="s">
        <v>29</v>
      </c>
      <c r="E18" t="s">
        <v>45</v>
      </c>
      <c r="F18">
        <v>2468</v>
      </c>
      <c r="G18" t="s">
        <v>141</v>
      </c>
      <c r="J18" t="s">
        <v>108</v>
      </c>
      <c r="K18" t="s">
        <v>31</v>
      </c>
      <c r="L18" s="22">
        <v>47640</v>
      </c>
      <c r="M18" s="22" t="s">
        <v>402</v>
      </c>
      <c r="N18" s="24"/>
      <c r="O18" s="22"/>
      <c r="P18" s="22"/>
      <c r="Q18" s="23">
        <v>0.14799999999999999</v>
      </c>
      <c r="R18" s="22" t="s">
        <v>43</v>
      </c>
      <c r="S18" s="22"/>
      <c r="T18" s="22" t="s">
        <v>90</v>
      </c>
      <c r="U18" s="63"/>
    </row>
    <row r="19" spans="1:21" x14ac:dyDescent="0.3">
      <c r="A19" s="14">
        <v>43101</v>
      </c>
      <c r="B19">
        <v>2018</v>
      </c>
      <c r="C19" t="s">
        <v>229</v>
      </c>
      <c r="D19" t="s">
        <v>29</v>
      </c>
      <c r="E19" t="s">
        <v>45</v>
      </c>
      <c r="F19">
        <v>2469</v>
      </c>
      <c r="G19" t="s">
        <v>142</v>
      </c>
      <c r="J19" t="s">
        <v>108</v>
      </c>
      <c r="K19" t="s">
        <v>31</v>
      </c>
      <c r="L19" s="22">
        <v>276288</v>
      </c>
      <c r="M19" s="22" t="s">
        <v>402</v>
      </c>
      <c r="N19" s="24"/>
      <c r="O19" s="22"/>
      <c r="P19" s="22"/>
      <c r="Q19" s="23">
        <v>0.10150000000000001</v>
      </c>
      <c r="R19" s="22" t="s">
        <v>43</v>
      </c>
      <c r="S19" s="22"/>
      <c r="T19" s="22" t="s">
        <v>90</v>
      </c>
      <c r="U19" s="63"/>
    </row>
    <row r="20" spans="1:21" x14ac:dyDescent="0.3">
      <c r="A20" s="14">
        <v>43101</v>
      </c>
      <c r="B20">
        <v>2018</v>
      </c>
      <c r="C20" t="s">
        <v>229</v>
      </c>
      <c r="D20" t="s">
        <v>29</v>
      </c>
      <c r="E20" t="s">
        <v>30</v>
      </c>
      <c r="F20">
        <v>2471</v>
      </c>
      <c r="G20" t="s">
        <v>143</v>
      </c>
      <c r="J20" t="s">
        <v>108</v>
      </c>
      <c r="K20" t="s">
        <v>31</v>
      </c>
      <c r="L20" s="22">
        <v>74230</v>
      </c>
      <c r="M20" s="22" t="s">
        <v>402</v>
      </c>
      <c r="N20" s="24"/>
      <c r="O20" s="22"/>
      <c r="P20" s="22"/>
      <c r="Q20" s="23">
        <v>0.24779999999999999</v>
      </c>
      <c r="R20" s="22" t="s">
        <v>42</v>
      </c>
      <c r="S20" s="22"/>
      <c r="T20" s="22" t="s">
        <v>89</v>
      </c>
      <c r="U20" s="63"/>
    </row>
    <row r="21" spans="1:21" x14ac:dyDescent="0.3">
      <c r="A21" s="14">
        <v>43132</v>
      </c>
      <c r="B21">
        <v>2018</v>
      </c>
      <c r="C21" t="s">
        <v>229</v>
      </c>
      <c r="D21" t="s">
        <v>29</v>
      </c>
      <c r="E21" t="s">
        <v>45</v>
      </c>
      <c r="F21">
        <v>2480</v>
      </c>
      <c r="G21" t="s">
        <v>144</v>
      </c>
      <c r="J21" t="s">
        <v>108</v>
      </c>
      <c r="K21" t="s">
        <v>31</v>
      </c>
      <c r="L21" s="22">
        <v>166349.51999999999</v>
      </c>
      <c r="M21" s="22" t="s">
        <v>402</v>
      </c>
      <c r="N21" s="24"/>
      <c r="O21" s="22"/>
      <c r="P21" s="22"/>
      <c r="Q21" s="23">
        <v>0.16600000000000001</v>
      </c>
      <c r="R21" s="22" t="s">
        <v>43</v>
      </c>
      <c r="S21" s="22"/>
      <c r="T21" s="22" t="s">
        <v>90</v>
      </c>
      <c r="U21" s="63"/>
    </row>
    <row r="22" spans="1:21" x14ac:dyDescent="0.3">
      <c r="A22" s="14">
        <v>43132</v>
      </c>
      <c r="B22">
        <v>2018</v>
      </c>
      <c r="C22" t="s">
        <v>229</v>
      </c>
      <c r="D22" t="s">
        <v>29</v>
      </c>
      <c r="E22" t="s">
        <v>30</v>
      </c>
      <c r="F22">
        <v>2482</v>
      </c>
      <c r="G22" t="s">
        <v>145</v>
      </c>
      <c r="J22" t="s">
        <v>108</v>
      </c>
      <c r="K22" t="s">
        <v>31</v>
      </c>
      <c r="L22" s="22">
        <v>32338.560000000001</v>
      </c>
      <c r="M22" s="22" t="s">
        <v>402</v>
      </c>
      <c r="N22" s="24"/>
      <c r="O22" s="22"/>
      <c r="P22" s="22"/>
      <c r="Q22" s="23">
        <v>0.34639999999999999</v>
      </c>
      <c r="R22" s="22" t="s">
        <v>43</v>
      </c>
      <c r="S22" s="22"/>
      <c r="T22" s="22" t="s">
        <v>90</v>
      </c>
      <c r="U22" s="63"/>
    </row>
    <row r="23" spans="1:21" x14ac:dyDescent="0.3">
      <c r="A23" s="14">
        <v>43132</v>
      </c>
      <c r="B23">
        <v>2018</v>
      </c>
      <c r="C23" t="s">
        <v>229</v>
      </c>
      <c r="D23" t="s">
        <v>29</v>
      </c>
      <c r="E23" t="s">
        <v>45</v>
      </c>
      <c r="F23">
        <v>2484</v>
      </c>
      <c r="G23" t="s">
        <v>146</v>
      </c>
      <c r="J23" t="s">
        <v>108</v>
      </c>
      <c r="K23" t="s">
        <v>31</v>
      </c>
      <c r="L23" s="22">
        <v>169062</v>
      </c>
      <c r="M23" s="22" t="s">
        <v>402</v>
      </c>
      <c r="N23" s="24"/>
      <c r="O23" s="22"/>
      <c r="P23" s="22"/>
      <c r="Q23" s="23">
        <v>0.1368</v>
      </c>
      <c r="R23" s="22" t="s">
        <v>43</v>
      </c>
      <c r="S23" s="22"/>
      <c r="T23" s="22" t="s">
        <v>90</v>
      </c>
      <c r="U23" s="63"/>
    </row>
    <row r="24" spans="1:21" x14ac:dyDescent="0.3">
      <c r="A24" s="14">
        <v>43132</v>
      </c>
      <c r="B24">
        <v>2018</v>
      </c>
      <c r="C24" t="s">
        <v>229</v>
      </c>
      <c r="D24" t="s">
        <v>29</v>
      </c>
      <c r="E24" t="s">
        <v>30</v>
      </c>
      <c r="F24">
        <v>2481</v>
      </c>
      <c r="G24" t="s">
        <v>147</v>
      </c>
      <c r="J24" t="s">
        <v>108</v>
      </c>
      <c r="K24" t="s">
        <v>31</v>
      </c>
      <c r="L24" s="22">
        <v>164616.4</v>
      </c>
      <c r="M24" s="22" t="s">
        <v>402</v>
      </c>
      <c r="N24" s="24"/>
      <c r="O24" s="22"/>
      <c r="P24" s="22"/>
      <c r="Q24" s="23">
        <v>0.13880000000000001</v>
      </c>
      <c r="R24" s="22" t="s">
        <v>43</v>
      </c>
      <c r="S24" s="22"/>
      <c r="T24" s="22" t="s">
        <v>90</v>
      </c>
      <c r="U24" s="63"/>
    </row>
    <row r="25" spans="1:21" x14ac:dyDescent="0.3">
      <c r="A25" s="14">
        <v>43160</v>
      </c>
      <c r="B25">
        <v>2018</v>
      </c>
      <c r="C25" t="s">
        <v>227</v>
      </c>
      <c r="D25" t="s">
        <v>29</v>
      </c>
      <c r="E25" t="s">
        <v>45</v>
      </c>
      <c r="F25">
        <v>2485</v>
      </c>
      <c r="G25" t="s">
        <v>148</v>
      </c>
      <c r="J25" t="s">
        <v>108</v>
      </c>
      <c r="K25" t="s">
        <v>31</v>
      </c>
      <c r="L25" s="22">
        <v>274173.7</v>
      </c>
      <c r="M25" s="22" t="s">
        <v>402</v>
      </c>
      <c r="N25" s="24"/>
      <c r="O25" s="22"/>
      <c r="P25" s="22"/>
      <c r="Q25" s="23">
        <v>0.16600000000000001</v>
      </c>
      <c r="R25" s="22" t="s">
        <v>43</v>
      </c>
      <c r="S25" s="22"/>
      <c r="T25" s="22" t="s">
        <v>90</v>
      </c>
      <c r="U25" s="63"/>
    </row>
    <row r="26" spans="1:21" x14ac:dyDescent="0.3">
      <c r="A26" s="14">
        <v>43160</v>
      </c>
      <c r="B26">
        <v>2018</v>
      </c>
      <c r="C26" t="s">
        <v>227</v>
      </c>
      <c r="D26" t="s">
        <v>29</v>
      </c>
      <c r="E26" t="s">
        <v>38</v>
      </c>
      <c r="F26">
        <v>2486</v>
      </c>
      <c r="G26" t="s">
        <v>149</v>
      </c>
      <c r="J26" t="s">
        <v>108</v>
      </c>
      <c r="K26" t="s">
        <v>31</v>
      </c>
      <c r="L26" s="22">
        <v>282909.03000000003</v>
      </c>
      <c r="M26" s="22" t="s">
        <v>402</v>
      </c>
      <c r="N26" s="24"/>
      <c r="O26" s="22"/>
      <c r="P26" s="22"/>
      <c r="Q26" s="23">
        <v>0.15939999999999999</v>
      </c>
      <c r="R26" s="22" t="s">
        <v>43</v>
      </c>
      <c r="S26" s="22"/>
      <c r="T26" s="22" t="s">
        <v>90</v>
      </c>
      <c r="U26" s="63"/>
    </row>
    <row r="27" spans="1:21" x14ac:dyDescent="0.3">
      <c r="A27" s="14">
        <v>43160</v>
      </c>
      <c r="B27">
        <v>2018</v>
      </c>
      <c r="C27" t="s">
        <v>227</v>
      </c>
      <c r="D27" t="s">
        <v>29</v>
      </c>
      <c r="E27" t="s">
        <v>30</v>
      </c>
      <c r="F27">
        <v>2487</v>
      </c>
      <c r="G27" t="s">
        <v>150</v>
      </c>
      <c r="J27" t="s">
        <v>108</v>
      </c>
      <c r="K27" t="s">
        <v>31</v>
      </c>
      <c r="L27" s="22">
        <v>532650</v>
      </c>
      <c r="M27" s="22" t="s">
        <v>401</v>
      </c>
      <c r="N27" s="24"/>
      <c r="O27" s="22"/>
      <c r="P27" s="22"/>
      <c r="Q27" s="23">
        <v>9.7199999999999995E-2</v>
      </c>
      <c r="R27" s="22" t="s">
        <v>43</v>
      </c>
      <c r="S27" s="22"/>
      <c r="T27" s="22" t="s">
        <v>90</v>
      </c>
      <c r="U27" s="63"/>
    </row>
    <row r="28" spans="1:21" x14ac:dyDescent="0.3">
      <c r="A28" s="14">
        <v>43160</v>
      </c>
      <c r="B28">
        <v>2018</v>
      </c>
      <c r="C28" t="s">
        <v>227</v>
      </c>
      <c r="D28" t="s">
        <v>29</v>
      </c>
      <c r="E28" t="s">
        <v>30</v>
      </c>
      <c r="F28">
        <v>2488</v>
      </c>
      <c r="G28" t="s">
        <v>151</v>
      </c>
      <c r="J28" t="s">
        <v>156</v>
      </c>
      <c r="K28" t="s">
        <v>157</v>
      </c>
      <c r="L28" s="22">
        <v>846415</v>
      </c>
      <c r="M28" s="22" t="s">
        <v>401</v>
      </c>
      <c r="N28" s="24"/>
      <c r="O28" s="22"/>
      <c r="P28" s="22"/>
      <c r="Q28" s="23">
        <v>0.15</v>
      </c>
      <c r="R28" s="22" t="s">
        <v>43</v>
      </c>
      <c r="S28" s="22"/>
      <c r="T28" s="22" t="s">
        <v>90</v>
      </c>
      <c r="U28" s="63"/>
    </row>
    <row r="29" spans="1:21" x14ac:dyDescent="0.3">
      <c r="A29" s="14">
        <v>43160</v>
      </c>
      <c r="B29">
        <v>2018</v>
      </c>
      <c r="C29" t="s">
        <v>227</v>
      </c>
      <c r="D29" t="s">
        <v>29</v>
      </c>
      <c r="E29" t="s">
        <v>45</v>
      </c>
      <c r="F29">
        <v>2490</v>
      </c>
      <c r="G29" t="s">
        <v>152</v>
      </c>
      <c r="J29" t="s">
        <v>156</v>
      </c>
      <c r="K29" t="s">
        <v>157</v>
      </c>
      <c r="L29" s="22">
        <v>1707903.54</v>
      </c>
      <c r="M29" s="22" t="s">
        <v>401</v>
      </c>
      <c r="N29" s="24"/>
      <c r="O29" s="22"/>
      <c r="P29" s="22"/>
      <c r="Q29" s="23">
        <v>7.7399999999999997E-2</v>
      </c>
      <c r="R29" s="22" t="s">
        <v>43</v>
      </c>
      <c r="S29" s="22"/>
      <c r="T29" s="22" t="s">
        <v>90</v>
      </c>
      <c r="U29" s="63"/>
    </row>
    <row r="30" spans="1:21" x14ac:dyDescent="0.3">
      <c r="A30" s="14">
        <v>43199</v>
      </c>
      <c r="B30">
        <v>2018</v>
      </c>
      <c r="C30" t="s">
        <v>227</v>
      </c>
      <c r="D30" t="s">
        <v>29</v>
      </c>
      <c r="E30" t="s">
        <v>45</v>
      </c>
      <c r="F30">
        <v>2493</v>
      </c>
      <c r="G30" t="s">
        <v>47</v>
      </c>
      <c r="I30">
        <v>5000</v>
      </c>
      <c r="J30" t="s">
        <v>156</v>
      </c>
      <c r="K30" t="s">
        <v>157</v>
      </c>
      <c r="L30" s="22">
        <v>727727.98</v>
      </c>
      <c r="M30" s="22" t="s">
        <v>401</v>
      </c>
      <c r="N30" s="24">
        <v>14</v>
      </c>
      <c r="O30" s="22">
        <v>73473.119999999995</v>
      </c>
      <c r="P30" s="22">
        <v>5248.08</v>
      </c>
      <c r="Q30" s="23">
        <v>0.10100000000000001</v>
      </c>
      <c r="R30" s="22" t="s">
        <v>43</v>
      </c>
      <c r="S30" s="22" t="s">
        <v>51</v>
      </c>
      <c r="T30" s="22" t="s">
        <v>90</v>
      </c>
      <c r="U30" s="63"/>
    </row>
    <row r="31" spans="1:21" x14ac:dyDescent="0.3">
      <c r="A31" s="14">
        <v>43203</v>
      </c>
      <c r="B31">
        <v>2018</v>
      </c>
      <c r="C31" t="s">
        <v>227</v>
      </c>
      <c r="D31" t="s">
        <v>29</v>
      </c>
      <c r="E31" t="s">
        <v>30</v>
      </c>
      <c r="F31">
        <v>2491</v>
      </c>
      <c r="G31" t="s">
        <v>44</v>
      </c>
      <c r="I31">
        <v>1534</v>
      </c>
      <c r="J31" t="s">
        <v>108</v>
      </c>
      <c r="K31" t="s">
        <v>31</v>
      </c>
      <c r="L31" s="22">
        <v>199241</v>
      </c>
      <c r="M31" s="22" t="s">
        <v>402</v>
      </c>
      <c r="N31" s="24">
        <v>7</v>
      </c>
      <c r="O31" s="22">
        <v>26080.76</v>
      </c>
      <c r="P31" s="22">
        <v>3726</v>
      </c>
      <c r="Q31" s="23">
        <v>0.13089999999999999</v>
      </c>
      <c r="R31" s="22" t="s">
        <v>42</v>
      </c>
      <c r="S31" s="22" t="s">
        <v>50</v>
      </c>
      <c r="T31" s="22" t="s">
        <v>89</v>
      </c>
      <c r="U31" s="63"/>
    </row>
    <row r="32" spans="1:21" x14ac:dyDescent="0.3">
      <c r="A32" s="14">
        <v>43209</v>
      </c>
      <c r="B32">
        <v>2018</v>
      </c>
      <c r="C32" t="s">
        <v>227</v>
      </c>
      <c r="D32" t="s">
        <v>29</v>
      </c>
      <c r="E32" t="s">
        <v>45</v>
      </c>
      <c r="F32">
        <v>2492</v>
      </c>
      <c r="G32" t="s">
        <v>46</v>
      </c>
      <c r="I32">
        <v>12863</v>
      </c>
      <c r="J32" t="s">
        <v>108</v>
      </c>
      <c r="K32" t="s">
        <v>31</v>
      </c>
      <c r="L32" s="22">
        <v>552969.59</v>
      </c>
      <c r="M32" s="22" t="s">
        <v>401</v>
      </c>
      <c r="N32" s="24">
        <v>13</v>
      </c>
      <c r="O32" s="22">
        <v>60614.81</v>
      </c>
      <c r="P32" s="22">
        <v>4663</v>
      </c>
      <c r="Q32" s="23">
        <v>0.1096</v>
      </c>
      <c r="R32" s="22" t="s">
        <v>42</v>
      </c>
      <c r="S32" s="22" t="s">
        <v>50</v>
      </c>
      <c r="T32" s="22" t="s">
        <v>89</v>
      </c>
      <c r="U32" s="63"/>
    </row>
    <row r="33" spans="1:21" x14ac:dyDescent="0.3">
      <c r="A33" s="14">
        <v>43210</v>
      </c>
      <c r="B33">
        <v>2018</v>
      </c>
      <c r="C33" t="s">
        <v>227</v>
      </c>
      <c r="D33" t="s">
        <v>29</v>
      </c>
      <c r="E33" t="s">
        <v>45</v>
      </c>
      <c r="F33">
        <v>2495</v>
      </c>
      <c r="G33" t="s">
        <v>52</v>
      </c>
      <c r="I33">
        <v>1900</v>
      </c>
      <c r="J33" t="s">
        <v>156</v>
      </c>
      <c r="K33" t="s">
        <v>157</v>
      </c>
      <c r="L33" s="22">
        <v>186620.81</v>
      </c>
      <c r="M33" s="22" t="s">
        <v>402</v>
      </c>
      <c r="N33" s="24">
        <v>6</v>
      </c>
      <c r="O33" s="22">
        <v>25964.65</v>
      </c>
      <c r="P33" s="22">
        <v>4327.4399999999996</v>
      </c>
      <c r="Q33" s="23">
        <v>0.1391</v>
      </c>
      <c r="R33" s="22" t="s">
        <v>42</v>
      </c>
      <c r="S33" s="22" t="s">
        <v>50</v>
      </c>
      <c r="T33" s="22" t="s">
        <v>89</v>
      </c>
      <c r="U33" s="63"/>
    </row>
    <row r="34" spans="1:21" x14ac:dyDescent="0.3">
      <c r="A34" s="14">
        <v>43220</v>
      </c>
      <c r="B34">
        <v>2018</v>
      </c>
      <c r="C34" t="s">
        <v>227</v>
      </c>
      <c r="D34" t="s">
        <v>29</v>
      </c>
      <c r="E34" t="s">
        <v>45</v>
      </c>
      <c r="F34">
        <v>2496</v>
      </c>
      <c r="G34" t="s">
        <v>53</v>
      </c>
      <c r="I34">
        <v>3312</v>
      </c>
      <c r="J34" t="s">
        <v>108</v>
      </c>
      <c r="K34" t="s">
        <v>31</v>
      </c>
      <c r="L34" s="22">
        <v>124570.02</v>
      </c>
      <c r="M34" s="22" t="s">
        <v>402</v>
      </c>
      <c r="N34" s="24">
        <v>4</v>
      </c>
      <c r="O34" s="22">
        <v>18108.240000000002</v>
      </c>
      <c r="P34" s="22">
        <v>4527</v>
      </c>
      <c r="Q34" s="23">
        <v>0.1454</v>
      </c>
      <c r="R34" s="22" t="s">
        <v>42</v>
      </c>
      <c r="S34" s="22" t="s">
        <v>50</v>
      </c>
      <c r="T34" s="22" t="s">
        <v>89</v>
      </c>
      <c r="U34" s="63"/>
    </row>
    <row r="35" spans="1:21" x14ac:dyDescent="0.3">
      <c r="A35" s="14">
        <v>43220</v>
      </c>
      <c r="B35">
        <v>2018</v>
      </c>
      <c r="C35" t="s">
        <v>227</v>
      </c>
      <c r="D35" t="s">
        <v>29</v>
      </c>
      <c r="E35" t="s">
        <v>45</v>
      </c>
      <c r="F35">
        <v>2497</v>
      </c>
      <c r="G35" t="s">
        <v>55</v>
      </c>
      <c r="I35">
        <v>3000</v>
      </c>
      <c r="J35" t="s">
        <v>108</v>
      </c>
      <c r="K35" t="s">
        <v>31</v>
      </c>
      <c r="L35" s="22">
        <v>36936.47</v>
      </c>
      <c r="M35" s="22" t="s">
        <v>402</v>
      </c>
      <c r="N35" s="24">
        <v>2</v>
      </c>
      <c r="O35" s="22">
        <v>8251.3700000000008</v>
      </c>
      <c r="P35" s="22">
        <v>4126</v>
      </c>
      <c r="Q35" s="23">
        <v>0.22339999999999999</v>
      </c>
      <c r="R35" s="22" t="s">
        <v>42</v>
      </c>
      <c r="S35" s="22" t="s">
        <v>50</v>
      </c>
      <c r="T35" s="22" t="s">
        <v>89</v>
      </c>
      <c r="U35" s="63"/>
    </row>
    <row r="36" spans="1:21" x14ac:dyDescent="0.3">
      <c r="A36" s="14">
        <v>43220</v>
      </c>
      <c r="B36">
        <v>2018</v>
      </c>
      <c r="C36" t="s">
        <v>227</v>
      </c>
      <c r="D36" t="s">
        <v>29</v>
      </c>
      <c r="E36" t="s">
        <v>45</v>
      </c>
      <c r="F36">
        <v>2498</v>
      </c>
      <c r="G36" t="s">
        <v>54</v>
      </c>
      <c r="I36">
        <v>1000</v>
      </c>
      <c r="J36" t="s">
        <v>108</v>
      </c>
      <c r="K36" t="s">
        <v>31</v>
      </c>
      <c r="L36" s="22">
        <v>59495.99</v>
      </c>
      <c r="M36" s="22" t="s">
        <v>402</v>
      </c>
      <c r="N36" s="24">
        <v>3</v>
      </c>
      <c r="O36" s="22">
        <v>12681.52</v>
      </c>
      <c r="P36" s="22">
        <v>4227</v>
      </c>
      <c r="Q36" s="23">
        <v>0.21310000000000001</v>
      </c>
      <c r="R36" s="22" t="s">
        <v>43</v>
      </c>
      <c r="S36" s="22" t="s">
        <v>50</v>
      </c>
      <c r="T36" s="22" t="s">
        <v>90</v>
      </c>
      <c r="U36" s="63"/>
    </row>
    <row r="37" spans="1:21" x14ac:dyDescent="0.3">
      <c r="A37" s="14">
        <v>43221</v>
      </c>
      <c r="B37">
        <v>2018</v>
      </c>
      <c r="C37" s="48" t="s">
        <v>227</v>
      </c>
      <c r="D37" t="s">
        <v>57</v>
      </c>
      <c r="E37" t="s">
        <v>58</v>
      </c>
      <c r="F37">
        <v>2500</v>
      </c>
      <c r="G37" t="s">
        <v>59</v>
      </c>
      <c r="I37">
        <v>23094</v>
      </c>
      <c r="J37" t="s">
        <v>156</v>
      </c>
      <c r="K37" t="s">
        <v>157</v>
      </c>
      <c r="L37" s="22">
        <v>1178365.05</v>
      </c>
      <c r="M37" s="22" t="s">
        <v>401</v>
      </c>
      <c r="N37" s="24">
        <v>14</v>
      </c>
      <c r="O37" s="22">
        <v>159830.87</v>
      </c>
      <c r="P37" s="22">
        <v>11416.49</v>
      </c>
      <c r="Q37" s="23">
        <v>0.129</v>
      </c>
      <c r="R37" s="22" t="s">
        <v>43</v>
      </c>
      <c r="S37" s="22" t="s">
        <v>51</v>
      </c>
      <c r="T37" s="22" t="s">
        <v>90</v>
      </c>
      <c r="U37" s="63"/>
    </row>
    <row r="38" spans="1:21" x14ac:dyDescent="0.3">
      <c r="A38" s="14">
        <v>43224</v>
      </c>
      <c r="B38">
        <v>2018</v>
      </c>
      <c r="C38" s="48" t="s">
        <v>227</v>
      </c>
      <c r="D38" t="s">
        <v>29</v>
      </c>
      <c r="E38" t="s">
        <v>38</v>
      </c>
      <c r="F38">
        <v>2499</v>
      </c>
      <c r="G38" t="s">
        <v>39</v>
      </c>
      <c r="I38">
        <v>12730</v>
      </c>
      <c r="J38" t="s">
        <v>108</v>
      </c>
      <c r="K38" t="s">
        <v>31</v>
      </c>
      <c r="L38" s="22">
        <v>358055</v>
      </c>
      <c r="M38" s="22" t="s">
        <v>402</v>
      </c>
      <c r="N38" s="24">
        <v>8</v>
      </c>
      <c r="O38" s="22">
        <v>48683.31</v>
      </c>
      <c r="P38" s="22">
        <v>6085</v>
      </c>
      <c r="Q38" s="23">
        <v>0.13600000000000001</v>
      </c>
      <c r="R38" s="22" t="s">
        <v>43</v>
      </c>
      <c r="S38" s="22" t="s">
        <v>50</v>
      </c>
      <c r="T38" s="22" t="s">
        <v>90</v>
      </c>
      <c r="U38" s="63"/>
    </row>
    <row r="39" spans="1:21" x14ac:dyDescent="0.3">
      <c r="A39" s="14">
        <v>43224</v>
      </c>
      <c r="B39">
        <v>2018</v>
      </c>
      <c r="C39" s="48" t="s">
        <v>227</v>
      </c>
      <c r="D39" t="s">
        <v>29</v>
      </c>
      <c r="E39" t="s">
        <v>45</v>
      </c>
      <c r="F39">
        <v>2505</v>
      </c>
      <c r="G39" t="s">
        <v>64</v>
      </c>
      <c r="I39">
        <v>2030</v>
      </c>
      <c r="J39" t="s">
        <v>108</v>
      </c>
      <c r="K39" t="s">
        <v>31</v>
      </c>
      <c r="L39" s="22">
        <v>335891.5</v>
      </c>
      <c r="M39" s="22" t="s">
        <v>402</v>
      </c>
      <c r="N39" s="24">
        <v>8</v>
      </c>
      <c r="O39" s="22">
        <v>47027.34</v>
      </c>
      <c r="P39" s="22">
        <v>5878</v>
      </c>
      <c r="Q39" s="23">
        <v>0.14000000000000001</v>
      </c>
      <c r="R39" s="22" t="s">
        <v>43</v>
      </c>
      <c r="S39" s="22" t="s">
        <v>62</v>
      </c>
      <c r="T39" s="22" t="s">
        <v>90</v>
      </c>
      <c r="U39" s="63"/>
    </row>
    <row r="40" spans="1:21" x14ac:dyDescent="0.3">
      <c r="A40" s="14">
        <v>43224</v>
      </c>
      <c r="B40">
        <v>2018</v>
      </c>
      <c r="C40" s="48" t="s">
        <v>227</v>
      </c>
      <c r="D40" t="s">
        <v>29</v>
      </c>
      <c r="E40" t="s">
        <v>45</v>
      </c>
      <c r="F40">
        <v>2510</v>
      </c>
      <c r="G40" t="s">
        <v>68</v>
      </c>
      <c r="I40">
        <v>850</v>
      </c>
      <c r="J40" t="s">
        <v>108</v>
      </c>
      <c r="K40" t="s">
        <v>31</v>
      </c>
      <c r="L40" s="22">
        <v>31401.64</v>
      </c>
      <c r="M40" s="22" t="s">
        <v>402</v>
      </c>
      <c r="N40" s="24">
        <v>2</v>
      </c>
      <c r="O40" s="22">
        <v>7007.73</v>
      </c>
      <c r="P40" s="22">
        <v>3504</v>
      </c>
      <c r="Q40" s="23">
        <v>0.22320000000000001</v>
      </c>
      <c r="R40" s="22" t="s">
        <v>43</v>
      </c>
      <c r="S40" s="22" t="s">
        <v>51</v>
      </c>
      <c r="T40" s="22" t="s">
        <v>90</v>
      </c>
      <c r="U40" s="63"/>
    </row>
    <row r="41" spans="1:21" x14ac:dyDescent="0.3">
      <c r="A41" s="14">
        <v>43229</v>
      </c>
      <c r="B41">
        <v>2018</v>
      </c>
      <c r="C41" s="48" t="s">
        <v>227</v>
      </c>
      <c r="D41" t="s">
        <v>29</v>
      </c>
      <c r="E41" t="s">
        <v>45</v>
      </c>
      <c r="F41">
        <v>2501</v>
      </c>
      <c r="G41" t="s">
        <v>60</v>
      </c>
      <c r="I41">
        <v>8863</v>
      </c>
      <c r="J41" t="s">
        <v>156</v>
      </c>
      <c r="K41" t="s">
        <v>157</v>
      </c>
      <c r="L41" s="22">
        <v>353665</v>
      </c>
      <c r="M41" s="22" t="s">
        <v>402</v>
      </c>
      <c r="N41" s="24">
        <v>8</v>
      </c>
      <c r="O41" s="22">
        <v>57304.959999999999</v>
      </c>
      <c r="P41" s="22">
        <v>7163</v>
      </c>
      <c r="Q41" s="23">
        <v>0.16200000000000001</v>
      </c>
      <c r="R41" s="22" t="s">
        <v>42</v>
      </c>
      <c r="S41" s="22" t="s">
        <v>51</v>
      </c>
      <c r="T41" s="22" t="s">
        <v>89</v>
      </c>
      <c r="U41" s="63"/>
    </row>
    <row r="42" spans="1:21" x14ac:dyDescent="0.3">
      <c r="A42" s="14">
        <v>43231</v>
      </c>
      <c r="B42">
        <v>2018</v>
      </c>
      <c r="C42" t="s">
        <v>227</v>
      </c>
      <c r="D42" t="s">
        <v>35</v>
      </c>
      <c r="E42" t="s">
        <v>36</v>
      </c>
      <c r="F42">
        <v>2502</v>
      </c>
      <c r="G42" t="s">
        <v>37</v>
      </c>
      <c r="I42">
        <v>2698</v>
      </c>
      <c r="J42" t="s">
        <v>108</v>
      </c>
      <c r="K42" t="s">
        <v>31</v>
      </c>
      <c r="L42" s="22">
        <v>407531.03</v>
      </c>
      <c r="M42" s="22" t="s">
        <v>402</v>
      </c>
      <c r="N42" s="24">
        <v>10</v>
      </c>
      <c r="O42" s="22">
        <v>84022.68</v>
      </c>
      <c r="P42" s="22">
        <v>8402</v>
      </c>
      <c r="Q42" s="23">
        <v>0.20619999999999999</v>
      </c>
      <c r="R42" s="22" t="s">
        <v>43</v>
      </c>
      <c r="S42" s="22" t="s">
        <v>50</v>
      </c>
      <c r="T42" s="22" t="s">
        <v>90</v>
      </c>
      <c r="U42" s="63"/>
    </row>
    <row r="43" spans="1:21" x14ac:dyDescent="0.3">
      <c r="A43" s="14">
        <v>43234</v>
      </c>
      <c r="B43">
        <v>2018</v>
      </c>
      <c r="C43" t="s">
        <v>227</v>
      </c>
      <c r="D43" t="s">
        <v>29</v>
      </c>
      <c r="E43" t="s">
        <v>45</v>
      </c>
      <c r="F43">
        <v>2503</v>
      </c>
      <c r="G43" t="s">
        <v>61</v>
      </c>
      <c r="I43">
        <v>1587</v>
      </c>
      <c r="J43" t="s">
        <v>156</v>
      </c>
      <c r="K43" t="s">
        <v>157</v>
      </c>
      <c r="L43" s="22">
        <v>380186.18</v>
      </c>
      <c r="M43" s="22" t="s">
        <v>402</v>
      </c>
      <c r="N43" s="24">
        <v>10</v>
      </c>
      <c r="O43" s="22">
        <v>45784.09</v>
      </c>
      <c r="P43" s="22">
        <v>4578</v>
      </c>
      <c r="Q43" s="23">
        <v>0.12039999999999999</v>
      </c>
      <c r="R43" s="22" t="s">
        <v>43</v>
      </c>
      <c r="S43" s="22" t="s">
        <v>62</v>
      </c>
      <c r="T43" s="22" t="s">
        <v>90</v>
      </c>
      <c r="U43" s="63"/>
    </row>
    <row r="44" spans="1:21" x14ac:dyDescent="0.3">
      <c r="A44" s="14">
        <v>43237</v>
      </c>
      <c r="B44">
        <v>2018</v>
      </c>
      <c r="C44" t="s">
        <v>227</v>
      </c>
      <c r="D44" t="s">
        <v>29</v>
      </c>
      <c r="E44" t="s">
        <v>45</v>
      </c>
      <c r="F44">
        <v>2506</v>
      </c>
      <c r="G44" t="s">
        <v>65</v>
      </c>
      <c r="I44">
        <v>1404</v>
      </c>
      <c r="J44" t="s">
        <v>108</v>
      </c>
      <c r="K44" t="s">
        <v>31</v>
      </c>
      <c r="L44" s="22">
        <v>104978.51</v>
      </c>
      <c r="M44" s="22" t="s">
        <v>402</v>
      </c>
      <c r="N44" s="24">
        <v>5</v>
      </c>
      <c r="O44" s="22">
        <v>19072.77</v>
      </c>
      <c r="P44" s="22">
        <v>3815</v>
      </c>
      <c r="Q44" s="23">
        <v>0.1817</v>
      </c>
      <c r="R44" s="22" t="s">
        <v>43</v>
      </c>
      <c r="S44" s="22" t="s">
        <v>50</v>
      </c>
      <c r="T44" s="22" t="s">
        <v>90</v>
      </c>
      <c r="U44" s="63"/>
    </row>
    <row r="45" spans="1:21" x14ac:dyDescent="0.3">
      <c r="A45" s="14">
        <v>43237</v>
      </c>
      <c r="B45">
        <v>2018</v>
      </c>
      <c r="C45" t="s">
        <v>227</v>
      </c>
      <c r="D45" t="s">
        <v>29</v>
      </c>
      <c r="E45" t="s">
        <v>45</v>
      </c>
      <c r="F45">
        <v>2507</v>
      </c>
      <c r="G45" t="s">
        <v>66</v>
      </c>
      <c r="I45">
        <v>1706</v>
      </c>
      <c r="J45" t="s">
        <v>108</v>
      </c>
      <c r="K45" t="s">
        <v>31</v>
      </c>
      <c r="L45" s="22">
        <v>65604</v>
      </c>
      <c r="M45" s="22" t="s">
        <v>402</v>
      </c>
      <c r="N45" s="24">
        <v>4</v>
      </c>
      <c r="O45" s="22">
        <v>13887.63</v>
      </c>
      <c r="P45" s="22">
        <v>3472</v>
      </c>
      <c r="Q45" s="23">
        <v>0.2117</v>
      </c>
      <c r="R45" s="22" t="s">
        <v>43</v>
      </c>
      <c r="S45" s="22" t="s">
        <v>50</v>
      </c>
      <c r="T45" s="22" t="s">
        <v>90</v>
      </c>
      <c r="U45" s="63"/>
    </row>
    <row r="46" spans="1:21" x14ac:dyDescent="0.3">
      <c r="A46" s="14">
        <v>43243</v>
      </c>
      <c r="B46">
        <v>2018</v>
      </c>
      <c r="C46" t="s">
        <v>227</v>
      </c>
      <c r="D46" t="s">
        <v>29</v>
      </c>
      <c r="E46" t="s">
        <v>30</v>
      </c>
      <c r="F46">
        <v>2508</v>
      </c>
      <c r="G46" t="s">
        <v>67</v>
      </c>
      <c r="I46">
        <v>4000</v>
      </c>
      <c r="J46" t="s">
        <v>108</v>
      </c>
      <c r="K46" t="s">
        <v>31</v>
      </c>
      <c r="L46" s="22">
        <v>1367831.28</v>
      </c>
      <c r="M46" s="22" t="s">
        <v>401</v>
      </c>
      <c r="N46" s="24">
        <v>14</v>
      </c>
      <c r="O46" s="22">
        <v>93176.41</v>
      </c>
      <c r="P46" s="22">
        <v>6655</v>
      </c>
      <c r="Q46" s="23">
        <v>6.8099999999999994E-2</v>
      </c>
      <c r="R46" s="22" t="s">
        <v>43</v>
      </c>
      <c r="S46" s="22" t="s">
        <v>50</v>
      </c>
      <c r="T46" s="22" t="s">
        <v>90</v>
      </c>
      <c r="U46" s="63"/>
    </row>
    <row r="47" spans="1:21" x14ac:dyDescent="0.3">
      <c r="A47" s="14">
        <v>43245</v>
      </c>
      <c r="B47">
        <v>2018</v>
      </c>
      <c r="C47" t="s">
        <v>227</v>
      </c>
      <c r="D47" t="s">
        <v>29</v>
      </c>
      <c r="E47" t="s">
        <v>45</v>
      </c>
      <c r="F47">
        <v>2512</v>
      </c>
      <c r="G47" t="s">
        <v>69</v>
      </c>
      <c r="I47">
        <v>13549</v>
      </c>
      <c r="J47" t="s">
        <v>156</v>
      </c>
      <c r="K47" t="s">
        <v>157</v>
      </c>
      <c r="L47" s="22">
        <v>1150000</v>
      </c>
      <c r="M47" s="22" t="s">
        <v>401</v>
      </c>
      <c r="N47" s="24">
        <v>14</v>
      </c>
      <c r="O47" s="22">
        <v>91495.72</v>
      </c>
      <c r="P47" s="22">
        <v>6535</v>
      </c>
      <c r="Q47" s="23">
        <v>9.0899999999999995E-2</v>
      </c>
      <c r="R47" s="22" t="s">
        <v>42</v>
      </c>
      <c r="S47" s="22" t="s">
        <v>50</v>
      </c>
      <c r="T47" s="22" t="s">
        <v>89</v>
      </c>
      <c r="U47" s="63"/>
    </row>
    <row r="48" spans="1:21" x14ac:dyDescent="0.3">
      <c r="A48" s="14">
        <v>43250</v>
      </c>
      <c r="B48">
        <v>2018</v>
      </c>
      <c r="C48" t="s">
        <v>227</v>
      </c>
      <c r="D48" t="s">
        <v>29</v>
      </c>
      <c r="E48" t="s">
        <v>45</v>
      </c>
      <c r="F48">
        <v>2514</v>
      </c>
      <c r="G48" t="s">
        <v>70</v>
      </c>
      <c r="I48">
        <v>14850</v>
      </c>
      <c r="J48" t="s">
        <v>108</v>
      </c>
      <c r="K48" t="s">
        <v>31</v>
      </c>
      <c r="L48" s="22">
        <v>90635</v>
      </c>
      <c r="M48" s="22" t="s">
        <v>402</v>
      </c>
      <c r="N48" s="24">
        <v>2</v>
      </c>
      <c r="O48" s="22">
        <v>13780.32</v>
      </c>
      <c r="P48" s="22">
        <v>6890</v>
      </c>
      <c r="Q48" s="23">
        <v>0.152</v>
      </c>
      <c r="R48" s="22" t="s">
        <v>43</v>
      </c>
      <c r="S48" s="22" t="s">
        <v>50</v>
      </c>
      <c r="T48" s="22" t="s">
        <v>90</v>
      </c>
      <c r="U48" s="63"/>
    </row>
    <row r="49" spans="1:21" x14ac:dyDescent="0.3">
      <c r="A49" s="14">
        <v>43263</v>
      </c>
      <c r="B49">
        <v>2018</v>
      </c>
      <c r="C49" t="s">
        <v>226</v>
      </c>
      <c r="D49" t="s">
        <v>29</v>
      </c>
      <c r="E49" t="s">
        <v>45</v>
      </c>
      <c r="F49">
        <v>2516</v>
      </c>
      <c r="G49" t="s">
        <v>74</v>
      </c>
      <c r="J49" t="s">
        <v>108</v>
      </c>
      <c r="K49" t="s">
        <v>31</v>
      </c>
      <c r="L49" s="22">
        <v>475505.76</v>
      </c>
      <c r="M49" s="22" t="s">
        <v>402</v>
      </c>
      <c r="N49" s="24">
        <v>9</v>
      </c>
      <c r="O49" s="22">
        <v>54336.76</v>
      </c>
      <c r="P49" s="22">
        <v>6037</v>
      </c>
      <c r="Q49" s="23">
        <v>0.11</v>
      </c>
      <c r="R49" s="22" t="s">
        <v>42</v>
      </c>
      <c r="S49" s="22" t="s">
        <v>50</v>
      </c>
      <c r="T49" s="22" t="s">
        <v>89</v>
      </c>
      <c r="U49" s="63"/>
    </row>
    <row r="50" spans="1:21" x14ac:dyDescent="0.3">
      <c r="A50" s="14">
        <v>43264</v>
      </c>
      <c r="B50">
        <v>2018</v>
      </c>
      <c r="C50" t="s">
        <v>226</v>
      </c>
      <c r="D50" t="s">
        <v>29</v>
      </c>
      <c r="E50" t="s">
        <v>30</v>
      </c>
      <c r="F50">
        <v>2519</v>
      </c>
      <c r="G50" t="s">
        <v>77</v>
      </c>
      <c r="J50" t="s">
        <v>156</v>
      </c>
      <c r="K50" t="s">
        <v>157</v>
      </c>
      <c r="L50" s="22">
        <v>300000</v>
      </c>
      <c r="M50" s="22" t="s">
        <v>402</v>
      </c>
      <c r="N50" s="24">
        <v>8</v>
      </c>
      <c r="O50" s="22">
        <v>38500</v>
      </c>
      <c r="P50" s="22">
        <v>4812.5</v>
      </c>
      <c r="Q50" s="23">
        <v>0.128</v>
      </c>
      <c r="R50" s="22" t="s">
        <v>42</v>
      </c>
      <c r="S50" s="22" t="s">
        <v>84</v>
      </c>
      <c r="T50" s="22" t="s">
        <v>89</v>
      </c>
      <c r="U50" s="63"/>
    </row>
    <row r="51" spans="1:21" x14ac:dyDescent="0.3">
      <c r="A51" s="14">
        <v>43266</v>
      </c>
      <c r="B51">
        <v>2018</v>
      </c>
      <c r="C51" t="s">
        <v>226</v>
      </c>
      <c r="D51" t="s">
        <v>29</v>
      </c>
      <c r="E51" t="s">
        <v>30</v>
      </c>
      <c r="F51">
        <v>2515</v>
      </c>
      <c r="G51" t="s">
        <v>73</v>
      </c>
      <c r="I51">
        <v>600</v>
      </c>
      <c r="J51" t="s">
        <v>108</v>
      </c>
      <c r="K51" t="s">
        <v>31</v>
      </c>
      <c r="L51" s="22">
        <v>90521.03</v>
      </c>
      <c r="M51" s="22" t="s">
        <v>402</v>
      </c>
      <c r="N51" s="24">
        <v>5</v>
      </c>
      <c r="O51" s="22">
        <v>22698.53</v>
      </c>
      <c r="P51" s="22">
        <v>3243</v>
      </c>
      <c r="Q51" s="23">
        <v>0.25080000000000002</v>
      </c>
      <c r="R51" s="22" t="s">
        <v>43</v>
      </c>
      <c r="S51" s="22" t="s">
        <v>50</v>
      </c>
      <c r="T51" s="22" t="s">
        <v>90</v>
      </c>
      <c r="U51" s="63"/>
    </row>
    <row r="52" spans="1:21" x14ac:dyDescent="0.3">
      <c r="A52" s="14">
        <v>43272</v>
      </c>
      <c r="B52">
        <v>2018</v>
      </c>
      <c r="C52" t="s">
        <v>226</v>
      </c>
      <c r="D52" t="s">
        <v>57</v>
      </c>
      <c r="E52" t="s">
        <v>72</v>
      </c>
      <c r="F52">
        <v>2518</v>
      </c>
      <c r="G52" t="s">
        <v>76</v>
      </c>
      <c r="J52" t="s">
        <v>108</v>
      </c>
      <c r="K52" t="s">
        <v>31</v>
      </c>
      <c r="L52" s="22">
        <v>765780</v>
      </c>
      <c r="M52" s="22" t="s">
        <v>401</v>
      </c>
      <c r="N52" s="24">
        <v>12</v>
      </c>
      <c r="O52" s="22">
        <v>78031.960000000006</v>
      </c>
      <c r="P52" s="22">
        <v>6502.66</v>
      </c>
      <c r="Q52" s="23">
        <v>0.1019</v>
      </c>
      <c r="R52" s="22" t="s">
        <v>43</v>
      </c>
      <c r="S52" s="22" t="s">
        <v>50</v>
      </c>
      <c r="T52" s="22" t="s">
        <v>90</v>
      </c>
      <c r="U52" s="63"/>
    </row>
    <row r="53" spans="1:21" x14ac:dyDescent="0.3">
      <c r="A53" s="14">
        <v>43273</v>
      </c>
      <c r="B53">
        <v>2018</v>
      </c>
      <c r="C53" t="s">
        <v>226</v>
      </c>
      <c r="D53" t="s">
        <v>35</v>
      </c>
      <c r="E53" t="s">
        <v>71</v>
      </c>
      <c r="F53">
        <v>2517</v>
      </c>
      <c r="G53" t="s">
        <v>75</v>
      </c>
      <c r="J53" t="s">
        <v>108</v>
      </c>
      <c r="K53" t="s">
        <v>31</v>
      </c>
      <c r="L53" s="22">
        <v>57142.63</v>
      </c>
      <c r="M53" s="22" t="s">
        <v>402</v>
      </c>
      <c r="N53" s="24">
        <v>3</v>
      </c>
      <c r="O53" s="22">
        <v>13071.3</v>
      </c>
      <c r="P53" s="22">
        <v>4357</v>
      </c>
      <c r="Q53" s="23">
        <v>0.22869999999999999</v>
      </c>
      <c r="R53" s="22" t="s">
        <v>42</v>
      </c>
      <c r="S53" s="22" t="s">
        <v>50</v>
      </c>
      <c r="T53" s="22" t="s">
        <v>89</v>
      </c>
      <c r="U53" s="63"/>
    </row>
    <row r="54" spans="1:21" x14ac:dyDescent="0.3">
      <c r="A54" s="14">
        <v>43285</v>
      </c>
      <c r="B54">
        <v>2018</v>
      </c>
      <c r="C54" s="47" t="s">
        <v>226</v>
      </c>
      <c r="D54" t="s">
        <v>29</v>
      </c>
      <c r="E54" t="s">
        <v>45</v>
      </c>
      <c r="F54">
        <v>2522</v>
      </c>
      <c r="G54" t="s">
        <v>83</v>
      </c>
      <c r="J54" t="s">
        <v>108</v>
      </c>
      <c r="K54" t="s">
        <v>31</v>
      </c>
      <c r="L54" s="22">
        <v>374945</v>
      </c>
      <c r="M54" s="22" t="s">
        <v>402</v>
      </c>
      <c r="N54" s="24">
        <v>8</v>
      </c>
      <c r="O54" s="22">
        <v>43404.08</v>
      </c>
      <c r="P54" s="22">
        <v>5425.51</v>
      </c>
      <c r="Q54" s="23">
        <v>0.1158</v>
      </c>
      <c r="R54" s="22" t="s">
        <v>43</v>
      </c>
      <c r="S54" s="22" t="s">
        <v>50</v>
      </c>
      <c r="T54" s="22" t="s">
        <v>90</v>
      </c>
      <c r="U54" s="63"/>
    </row>
    <row r="55" spans="1:21" x14ac:dyDescent="0.3">
      <c r="A55" s="14">
        <v>43290</v>
      </c>
      <c r="B55">
        <v>2018</v>
      </c>
      <c r="C55" s="47" t="s">
        <v>226</v>
      </c>
      <c r="D55" t="s">
        <v>29</v>
      </c>
      <c r="E55" t="s">
        <v>30</v>
      </c>
      <c r="F55">
        <v>2525</v>
      </c>
      <c r="G55" t="s">
        <v>79</v>
      </c>
      <c r="J55" t="s">
        <v>156</v>
      </c>
      <c r="K55" t="s">
        <v>157</v>
      </c>
      <c r="L55" s="22">
        <v>750000</v>
      </c>
      <c r="M55" s="22" t="s">
        <v>401</v>
      </c>
      <c r="N55" s="24">
        <v>0</v>
      </c>
      <c r="O55" s="22">
        <v>0</v>
      </c>
      <c r="P55" s="22">
        <v>0</v>
      </c>
      <c r="Q55" s="23">
        <v>0</v>
      </c>
      <c r="R55" s="22" t="s">
        <v>43</v>
      </c>
      <c r="S55" s="22" t="s">
        <v>84</v>
      </c>
      <c r="T55" s="22" t="s">
        <v>90</v>
      </c>
      <c r="U55" s="63"/>
    </row>
    <row r="56" spans="1:21" x14ac:dyDescent="0.3">
      <c r="A56" s="14">
        <v>43297</v>
      </c>
      <c r="B56">
        <v>2018</v>
      </c>
      <c r="C56" s="47" t="s">
        <v>226</v>
      </c>
      <c r="D56" t="s">
        <v>29</v>
      </c>
      <c r="E56" t="s">
        <v>30</v>
      </c>
      <c r="F56">
        <v>2528</v>
      </c>
      <c r="G56" t="s">
        <v>81</v>
      </c>
      <c r="J56" t="s">
        <v>108</v>
      </c>
      <c r="K56" t="s">
        <v>31</v>
      </c>
      <c r="L56" s="22">
        <v>208100</v>
      </c>
      <c r="M56" s="22" t="s">
        <v>402</v>
      </c>
      <c r="N56" s="24">
        <v>8</v>
      </c>
      <c r="O56" s="22">
        <v>42297.8</v>
      </c>
      <c r="P56" s="22">
        <v>5287</v>
      </c>
      <c r="Q56" s="23">
        <v>0.20330000000000001</v>
      </c>
      <c r="R56" s="22" t="s">
        <v>43</v>
      </c>
      <c r="S56" s="22" t="s">
        <v>50</v>
      </c>
      <c r="T56" s="22" t="s">
        <v>90</v>
      </c>
      <c r="U56" s="63"/>
    </row>
    <row r="57" spans="1:21" x14ac:dyDescent="0.3">
      <c r="A57" s="14">
        <v>43301</v>
      </c>
      <c r="B57">
        <v>2018</v>
      </c>
      <c r="C57" s="47" t="s">
        <v>226</v>
      </c>
      <c r="D57" t="s">
        <v>29</v>
      </c>
      <c r="E57" t="s">
        <v>30</v>
      </c>
      <c r="F57">
        <v>2527</v>
      </c>
      <c r="G57" t="s">
        <v>80</v>
      </c>
      <c r="J57" t="s">
        <v>108</v>
      </c>
      <c r="K57" t="s">
        <v>31</v>
      </c>
      <c r="L57" s="22">
        <v>279540</v>
      </c>
      <c r="M57" s="22" t="s">
        <v>402</v>
      </c>
      <c r="N57" s="24">
        <v>10</v>
      </c>
      <c r="O57" s="22">
        <v>55526.46</v>
      </c>
      <c r="P57" s="22">
        <v>5553</v>
      </c>
      <c r="Q57" s="23">
        <v>0.1986</v>
      </c>
      <c r="R57" s="22" t="s">
        <v>42</v>
      </c>
      <c r="S57" s="22" t="s">
        <v>50</v>
      </c>
      <c r="T57" s="22" t="s">
        <v>89</v>
      </c>
      <c r="U57" s="63"/>
    </row>
    <row r="58" spans="1:21" x14ac:dyDescent="0.3">
      <c r="A58" s="14">
        <v>43305</v>
      </c>
      <c r="B58">
        <v>2018</v>
      </c>
      <c r="C58" s="47" t="s">
        <v>226</v>
      </c>
      <c r="D58" t="s">
        <v>29</v>
      </c>
      <c r="E58" t="s">
        <v>45</v>
      </c>
      <c r="F58">
        <v>2530</v>
      </c>
      <c r="G58" t="s">
        <v>82</v>
      </c>
      <c r="J58" t="s">
        <v>108</v>
      </c>
      <c r="K58" t="s">
        <v>31</v>
      </c>
      <c r="L58" s="22">
        <v>140632.63</v>
      </c>
      <c r="M58" s="22" t="s">
        <v>402</v>
      </c>
      <c r="N58" s="24">
        <v>6</v>
      </c>
      <c r="O58" s="22">
        <v>29165.02</v>
      </c>
      <c r="P58" s="22">
        <v>4861</v>
      </c>
      <c r="Q58" s="23">
        <v>0.2074</v>
      </c>
      <c r="R58" s="22" t="s">
        <v>43</v>
      </c>
      <c r="S58" s="22" t="s">
        <v>84</v>
      </c>
      <c r="T58" s="22" t="s">
        <v>90</v>
      </c>
      <c r="U58" s="63"/>
    </row>
    <row r="59" spans="1:21" x14ac:dyDescent="0.3">
      <c r="A59" s="14">
        <v>43313</v>
      </c>
      <c r="B59">
        <v>2018</v>
      </c>
      <c r="C59" t="s">
        <v>226</v>
      </c>
      <c r="D59" t="s">
        <v>29</v>
      </c>
      <c r="E59" t="s">
        <v>30</v>
      </c>
      <c r="F59">
        <v>2527</v>
      </c>
      <c r="G59" t="s">
        <v>258</v>
      </c>
      <c r="I59">
        <v>2500</v>
      </c>
      <c r="J59" t="s">
        <v>108</v>
      </c>
      <c r="K59" t="s">
        <v>31</v>
      </c>
      <c r="L59" s="22">
        <v>279540</v>
      </c>
      <c r="M59" s="22" t="s">
        <v>402</v>
      </c>
      <c r="N59" s="24">
        <v>10</v>
      </c>
      <c r="O59" s="22">
        <v>55526.46</v>
      </c>
      <c r="P59" s="22">
        <v>5553</v>
      </c>
      <c r="Q59" s="23">
        <v>0.1986</v>
      </c>
      <c r="R59" s="22" t="s">
        <v>42</v>
      </c>
      <c r="S59" s="22" t="s">
        <v>50</v>
      </c>
      <c r="T59" s="22" t="s">
        <v>89</v>
      </c>
      <c r="U59" s="63"/>
    </row>
    <row r="60" spans="1:21" x14ac:dyDescent="0.3">
      <c r="A60" s="14">
        <v>43334</v>
      </c>
      <c r="B60">
        <v>2018</v>
      </c>
      <c r="C60" t="s">
        <v>226</v>
      </c>
      <c r="D60" t="s">
        <v>29</v>
      </c>
      <c r="E60" t="s">
        <v>45</v>
      </c>
      <c r="F60">
        <v>2539</v>
      </c>
      <c r="G60" t="s">
        <v>113</v>
      </c>
      <c r="I60">
        <v>1300</v>
      </c>
      <c r="J60" t="s">
        <v>108</v>
      </c>
      <c r="K60" t="s">
        <v>31</v>
      </c>
      <c r="L60" s="22">
        <v>23862.003237499997</v>
      </c>
      <c r="M60" s="22" t="s">
        <v>402</v>
      </c>
      <c r="N60" s="24">
        <v>1</v>
      </c>
      <c r="O60" s="22">
        <v>4754.5032375000001</v>
      </c>
      <c r="P60" s="22">
        <v>4754.5032375000001</v>
      </c>
      <c r="Q60" s="23">
        <v>0.19924996196581379</v>
      </c>
      <c r="R60" s="22" t="s">
        <v>43</v>
      </c>
      <c r="S60" s="22" t="s">
        <v>84</v>
      </c>
      <c r="T60" s="22" t="s">
        <v>90</v>
      </c>
      <c r="U60" s="63"/>
    </row>
    <row r="61" spans="1:21" x14ac:dyDescent="0.3">
      <c r="A61" s="14">
        <v>43352</v>
      </c>
      <c r="B61">
        <v>2018</v>
      </c>
      <c r="C61" t="s">
        <v>226</v>
      </c>
      <c r="D61" t="s">
        <v>29</v>
      </c>
      <c r="E61" t="s">
        <v>30</v>
      </c>
      <c r="F61">
        <v>2540</v>
      </c>
      <c r="G61" t="s">
        <v>327</v>
      </c>
      <c r="I61">
        <v>3021</v>
      </c>
      <c r="J61" t="s">
        <v>108</v>
      </c>
      <c r="K61" t="s">
        <v>31</v>
      </c>
      <c r="L61" s="44">
        <v>291832.99880359502</v>
      </c>
      <c r="M61" s="22" t="s">
        <v>402</v>
      </c>
      <c r="N61" s="46">
        <v>5</v>
      </c>
      <c r="O61" s="44">
        <v>32980.501453595003</v>
      </c>
      <c r="P61" s="44">
        <v>6596.1002907190004</v>
      </c>
      <c r="Q61" s="45">
        <v>0.1130115565710615</v>
      </c>
      <c r="R61" s="22" t="s">
        <v>42</v>
      </c>
      <c r="S61" s="22" t="s">
        <v>50</v>
      </c>
      <c r="T61" s="22" t="s">
        <v>89</v>
      </c>
      <c r="U61" s="63"/>
    </row>
    <row r="62" spans="1:21" x14ac:dyDescent="0.3">
      <c r="A62" s="14">
        <v>43373</v>
      </c>
      <c r="B62">
        <v>2018</v>
      </c>
      <c r="C62" t="s">
        <v>228</v>
      </c>
      <c r="D62" t="s">
        <v>29</v>
      </c>
      <c r="E62" t="s">
        <v>45</v>
      </c>
      <c r="F62">
        <v>2542</v>
      </c>
      <c r="G62" t="s">
        <v>165</v>
      </c>
      <c r="I62">
        <v>10821.73</v>
      </c>
      <c r="J62" t="s">
        <v>156</v>
      </c>
      <c r="K62" t="s">
        <v>157</v>
      </c>
      <c r="L62" s="22">
        <v>1210847.5980999998</v>
      </c>
      <c r="M62" s="22" t="s">
        <v>401</v>
      </c>
      <c r="N62" s="24">
        <v>24</v>
      </c>
      <c r="O62" s="22">
        <v>75851</v>
      </c>
      <c r="P62" s="22">
        <v>3160.4583333333335</v>
      </c>
      <c r="Q62" s="23">
        <v>6.2642895868168305E-2</v>
      </c>
      <c r="R62" s="22" t="s">
        <v>43</v>
      </c>
      <c r="S62" s="22" t="s">
        <v>50</v>
      </c>
      <c r="T62" s="22" t="s">
        <v>90</v>
      </c>
      <c r="U62" s="63"/>
    </row>
    <row r="63" spans="1:21" x14ac:dyDescent="0.3">
      <c r="A63" s="14">
        <v>43384</v>
      </c>
      <c r="B63">
        <v>2018</v>
      </c>
      <c r="C63" t="s">
        <v>228</v>
      </c>
      <c r="D63" t="s">
        <v>29</v>
      </c>
      <c r="E63" t="s">
        <v>45</v>
      </c>
      <c r="F63">
        <v>2543</v>
      </c>
      <c r="G63" t="s">
        <v>125</v>
      </c>
      <c r="I63">
        <v>2800</v>
      </c>
      <c r="J63" t="s">
        <v>108</v>
      </c>
      <c r="K63" t="s">
        <v>31</v>
      </c>
      <c r="L63" s="22">
        <v>54753</v>
      </c>
      <c r="M63" s="22" t="s">
        <v>402</v>
      </c>
      <c r="N63" s="24">
        <v>3</v>
      </c>
      <c r="O63" s="22">
        <v>7000</v>
      </c>
      <c r="P63" s="22">
        <v>2333.3333333333335</v>
      </c>
      <c r="Q63" s="23">
        <v>0.12784687597026648</v>
      </c>
      <c r="R63" s="22" t="s">
        <v>42</v>
      </c>
      <c r="S63" s="22" t="s">
        <v>50</v>
      </c>
      <c r="T63" s="22" t="s">
        <v>89</v>
      </c>
      <c r="U63" s="63"/>
    </row>
    <row r="64" spans="1:21" x14ac:dyDescent="0.3">
      <c r="A64" s="14">
        <v>43389</v>
      </c>
      <c r="B64">
        <v>2018</v>
      </c>
      <c r="C64" t="s">
        <v>228</v>
      </c>
      <c r="D64" t="s">
        <v>29</v>
      </c>
      <c r="E64" t="s">
        <v>45</v>
      </c>
      <c r="F64">
        <v>2548</v>
      </c>
      <c r="G64" t="s">
        <v>111</v>
      </c>
      <c r="I64">
        <v>950</v>
      </c>
      <c r="J64" t="s">
        <v>108</v>
      </c>
      <c r="K64" t="s">
        <v>31</v>
      </c>
      <c r="L64" s="22">
        <v>219672.116928</v>
      </c>
      <c r="M64" s="22" t="s">
        <v>402</v>
      </c>
      <c r="N64" s="24">
        <v>5</v>
      </c>
      <c r="O64" s="22">
        <v>25968.576927999999</v>
      </c>
      <c r="P64" s="22">
        <v>5193.7153855999995</v>
      </c>
      <c r="Q64" s="23">
        <v>0.11821517127961893</v>
      </c>
      <c r="R64" s="22" t="s">
        <v>43</v>
      </c>
      <c r="S64" s="22" t="s">
        <v>105</v>
      </c>
      <c r="T64" s="22" t="s">
        <v>90</v>
      </c>
      <c r="U64" s="63"/>
    </row>
    <row r="65" spans="1:21" x14ac:dyDescent="0.3">
      <c r="A65" s="14">
        <v>43391</v>
      </c>
      <c r="B65">
        <v>2018</v>
      </c>
      <c r="C65" t="s">
        <v>228</v>
      </c>
      <c r="D65" t="s">
        <v>29</v>
      </c>
      <c r="E65" t="s">
        <v>45</v>
      </c>
      <c r="F65">
        <v>2551</v>
      </c>
      <c r="G65" t="s">
        <v>112</v>
      </c>
      <c r="I65">
        <v>450</v>
      </c>
      <c r="J65" t="s">
        <v>108</v>
      </c>
      <c r="K65" t="s">
        <v>31</v>
      </c>
      <c r="L65" s="22">
        <v>182511.003516</v>
      </c>
      <c r="M65" s="22" t="s">
        <v>402</v>
      </c>
      <c r="N65" s="24">
        <v>6</v>
      </c>
      <c r="O65" s="22">
        <v>36165.011515999999</v>
      </c>
      <c r="P65" s="22">
        <v>6027.5019193333328</v>
      </c>
      <c r="Q65" s="23">
        <v>0.19815249940713606</v>
      </c>
      <c r="R65" s="22" t="s">
        <v>43</v>
      </c>
      <c r="S65" s="22" t="s">
        <v>50</v>
      </c>
      <c r="T65" s="22" t="s">
        <v>90</v>
      </c>
      <c r="U65" s="63"/>
    </row>
    <row r="66" spans="1:21" x14ac:dyDescent="0.3">
      <c r="A66" s="14">
        <v>43395</v>
      </c>
      <c r="B66">
        <v>2018</v>
      </c>
      <c r="C66" t="s">
        <v>228</v>
      </c>
      <c r="D66" t="s">
        <v>29</v>
      </c>
      <c r="E66" t="s">
        <v>30</v>
      </c>
      <c r="F66">
        <v>2550</v>
      </c>
      <c r="G66" t="s">
        <v>117</v>
      </c>
      <c r="I66">
        <v>500</v>
      </c>
      <c r="J66" t="s">
        <v>156</v>
      </c>
      <c r="K66" t="s">
        <v>157</v>
      </c>
      <c r="L66" s="22">
        <v>154318.95012990001</v>
      </c>
      <c r="M66" s="22" t="s">
        <v>402</v>
      </c>
      <c r="N66" s="24">
        <v>6</v>
      </c>
      <c r="O66" s="22">
        <v>31863.191786899999</v>
      </c>
      <c r="P66" s="22">
        <v>5310.5319644833335</v>
      </c>
      <c r="Q66" s="23">
        <v>0.20647620891717275</v>
      </c>
      <c r="R66" s="22" t="s">
        <v>42</v>
      </c>
      <c r="S66" s="22" t="s">
        <v>50</v>
      </c>
      <c r="T66" s="22" t="s">
        <v>89</v>
      </c>
      <c r="U66" s="63"/>
    </row>
    <row r="67" spans="1:21" x14ac:dyDescent="0.3">
      <c r="A67" s="14">
        <v>43397</v>
      </c>
      <c r="B67">
        <v>2018</v>
      </c>
      <c r="C67" t="s">
        <v>228</v>
      </c>
      <c r="D67" t="s">
        <v>29</v>
      </c>
      <c r="E67" t="s">
        <v>45</v>
      </c>
      <c r="F67">
        <v>2549</v>
      </c>
      <c r="G67" t="s">
        <v>259</v>
      </c>
      <c r="I67">
        <v>6000</v>
      </c>
      <c r="J67" t="s">
        <v>108</v>
      </c>
      <c r="K67" t="s">
        <v>31</v>
      </c>
      <c r="L67" s="22">
        <v>110000</v>
      </c>
      <c r="M67" s="22" t="s">
        <v>402</v>
      </c>
      <c r="N67" s="24"/>
      <c r="O67" s="22"/>
      <c r="P67" s="22"/>
      <c r="Q67" s="23"/>
      <c r="R67" s="22" t="s">
        <v>42</v>
      </c>
      <c r="S67" s="22" t="s">
        <v>126</v>
      </c>
      <c r="T67" s="22" t="s">
        <v>89</v>
      </c>
      <c r="U67" s="63"/>
    </row>
    <row r="68" spans="1:21" x14ac:dyDescent="0.3">
      <c r="A68" s="14">
        <v>43398</v>
      </c>
      <c r="B68">
        <v>2018</v>
      </c>
      <c r="C68" t="s">
        <v>228</v>
      </c>
      <c r="D68" t="s">
        <v>29</v>
      </c>
      <c r="E68" t="s">
        <v>30</v>
      </c>
      <c r="F68">
        <v>2547</v>
      </c>
      <c r="G68" t="s">
        <v>118</v>
      </c>
      <c r="I68">
        <v>6984</v>
      </c>
      <c r="J68" t="s">
        <v>108</v>
      </c>
      <c r="K68" t="s">
        <v>31</v>
      </c>
      <c r="L68" s="22">
        <v>1522574.4641886598</v>
      </c>
      <c r="M68" s="22" t="s">
        <v>401</v>
      </c>
      <c r="N68" s="24">
        <v>20</v>
      </c>
      <c r="O68" s="22">
        <v>206147.43176783147</v>
      </c>
      <c r="P68" s="22">
        <v>10307.371588391574</v>
      </c>
      <c r="Q68" s="23">
        <v>0.13539398999291771</v>
      </c>
      <c r="R68" s="22" t="s">
        <v>42</v>
      </c>
      <c r="S68" s="22" t="s">
        <v>50</v>
      </c>
      <c r="T68" s="22" t="s">
        <v>89</v>
      </c>
      <c r="U68" s="63"/>
    </row>
    <row r="69" spans="1:21" x14ac:dyDescent="0.3">
      <c r="A69" s="14">
        <v>43404</v>
      </c>
      <c r="B69">
        <v>2018</v>
      </c>
      <c r="C69" t="s">
        <v>228</v>
      </c>
      <c r="D69" t="s">
        <v>29</v>
      </c>
      <c r="E69" t="s">
        <v>45</v>
      </c>
      <c r="F69">
        <v>2554</v>
      </c>
      <c r="G69" t="s">
        <v>110</v>
      </c>
      <c r="I69">
        <v>2040</v>
      </c>
      <c r="J69" t="s">
        <v>108</v>
      </c>
      <c r="K69" t="s">
        <v>31</v>
      </c>
      <c r="L69" s="22">
        <v>296606.0002281497</v>
      </c>
      <c r="M69" s="22" t="s">
        <v>402</v>
      </c>
      <c r="N69" s="24">
        <v>8</v>
      </c>
      <c r="O69" s="22">
        <v>36910.486936274683</v>
      </c>
      <c r="P69" s="22">
        <v>4613.8108670343354</v>
      </c>
      <c r="Q69" s="23">
        <v>0.12444281945706794</v>
      </c>
      <c r="R69" s="22" t="s">
        <v>43</v>
      </c>
      <c r="S69" s="22" t="s">
        <v>105</v>
      </c>
      <c r="T69" s="22" t="s">
        <v>90</v>
      </c>
      <c r="U69" s="63"/>
    </row>
    <row r="70" spans="1:21" x14ac:dyDescent="0.3">
      <c r="A70" s="14">
        <v>43405</v>
      </c>
      <c r="B70">
        <v>2018</v>
      </c>
      <c r="C70" t="s">
        <v>228</v>
      </c>
      <c r="D70" t="s">
        <v>29</v>
      </c>
      <c r="E70" t="s">
        <v>30</v>
      </c>
      <c r="F70">
        <v>2555</v>
      </c>
      <c r="G70" t="s">
        <v>127</v>
      </c>
      <c r="I70">
        <v>8000</v>
      </c>
      <c r="J70" t="s">
        <v>108</v>
      </c>
      <c r="K70" t="s">
        <v>31</v>
      </c>
      <c r="L70" s="22">
        <v>744227.44</v>
      </c>
      <c r="M70" s="22" t="s">
        <v>401</v>
      </c>
      <c r="N70" s="24"/>
      <c r="O70" s="22"/>
      <c r="P70" s="22"/>
      <c r="Q70" s="23"/>
      <c r="R70" s="22" t="s">
        <v>43</v>
      </c>
      <c r="S70" s="22" t="s">
        <v>116</v>
      </c>
      <c r="T70" s="22" t="s">
        <v>90</v>
      </c>
      <c r="U70" s="63"/>
    </row>
    <row r="71" spans="1:21" x14ac:dyDescent="0.3">
      <c r="A71" s="14">
        <v>43415</v>
      </c>
      <c r="B71">
        <v>2018</v>
      </c>
      <c r="C71" t="s">
        <v>228</v>
      </c>
      <c r="D71" t="s">
        <v>57</v>
      </c>
      <c r="E71" t="s">
        <v>114</v>
      </c>
      <c r="F71">
        <v>2556</v>
      </c>
      <c r="G71" t="s">
        <v>115</v>
      </c>
      <c r="I71">
        <v>980</v>
      </c>
      <c r="J71" t="s">
        <v>108</v>
      </c>
      <c r="K71" t="s">
        <v>31</v>
      </c>
      <c r="L71" s="22">
        <v>158676.62000000002</v>
      </c>
      <c r="M71" s="22" t="s">
        <v>402</v>
      </c>
      <c r="N71" s="24">
        <v>3.5</v>
      </c>
      <c r="O71" s="22">
        <v>22203.59</v>
      </c>
      <c r="P71" s="22">
        <v>6343.8828571428576</v>
      </c>
      <c r="Q71" s="23">
        <v>0.13992981448684749</v>
      </c>
      <c r="R71" s="22" t="s">
        <v>42</v>
      </c>
      <c r="S71" s="22" t="s">
        <v>116</v>
      </c>
      <c r="T71" s="22" t="s">
        <v>89</v>
      </c>
      <c r="U71" s="63"/>
    </row>
    <row r="72" spans="1:21" x14ac:dyDescent="0.3">
      <c r="A72" s="14">
        <v>43427</v>
      </c>
      <c r="B72">
        <v>2018</v>
      </c>
      <c r="C72" t="s">
        <v>228</v>
      </c>
      <c r="D72" t="s">
        <v>29</v>
      </c>
      <c r="E72" t="s">
        <v>45</v>
      </c>
      <c r="F72">
        <v>2564</v>
      </c>
      <c r="G72" t="s">
        <v>124</v>
      </c>
      <c r="I72">
        <v>1000</v>
      </c>
      <c r="J72" t="s">
        <v>156</v>
      </c>
      <c r="K72" t="s">
        <v>157</v>
      </c>
      <c r="L72" s="22">
        <v>264000</v>
      </c>
      <c r="M72" s="22" t="s">
        <v>402</v>
      </c>
      <c r="N72" s="24"/>
      <c r="O72" s="22"/>
      <c r="P72" s="22"/>
      <c r="Q72" s="23"/>
      <c r="R72" s="22" t="s">
        <v>43</v>
      </c>
      <c r="S72" s="22" t="s">
        <v>84</v>
      </c>
      <c r="T72" s="22" t="s">
        <v>90</v>
      </c>
      <c r="U72" s="63"/>
    </row>
    <row r="73" spans="1:21" x14ac:dyDescent="0.3">
      <c r="A73" s="14">
        <v>43438</v>
      </c>
      <c r="B73">
        <v>2019</v>
      </c>
      <c r="C73" t="s">
        <v>229</v>
      </c>
      <c r="D73" t="s">
        <v>29</v>
      </c>
      <c r="E73" t="s">
        <v>45</v>
      </c>
      <c r="F73">
        <v>2563</v>
      </c>
      <c r="G73" t="s">
        <v>106</v>
      </c>
      <c r="I73">
        <v>4000</v>
      </c>
      <c r="J73" t="s">
        <v>108</v>
      </c>
      <c r="K73" t="s">
        <v>31</v>
      </c>
      <c r="L73" s="22">
        <v>1000000</v>
      </c>
      <c r="M73" s="22" t="s">
        <v>401</v>
      </c>
      <c r="N73">
        <v>12</v>
      </c>
      <c r="O73" s="22">
        <v>70156.533265920007</v>
      </c>
      <c r="P73" s="22">
        <v>5846.3777721600009</v>
      </c>
      <c r="Q73" s="23">
        <v>0.1</v>
      </c>
      <c r="R73" t="s">
        <v>42</v>
      </c>
      <c r="S73" t="s">
        <v>50</v>
      </c>
      <c r="T73" s="22" t="s">
        <v>89</v>
      </c>
      <c r="U73" s="63"/>
    </row>
    <row r="74" spans="1:21" x14ac:dyDescent="0.3">
      <c r="A74" s="14">
        <v>43438</v>
      </c>
      <c r="B74">
        <v>2019</v>
      </c>
      <c r="C74" t="s">
        <v>229</v>
      </c>
      <c r="D74" t="s">
        <v>29</v>
      </c>
      <c r="E74" t="s">
        <v>45</v>
      </c>
      <c r="F74">
        <v>2561</v>
      </c>
      <c r="G74" t="s">
        <v>107</v>
      </c>
      <c r="I74">
        <v>4144.1399999999994</v>
      </c>
      <c r="J74" t="s">
        <v>108</v>
      </c>
      <c r="K74" t="s">
        <v>31</v>
      </c>
      <c r="L74" s="22">
        <v>549715.4595967218</v>
      </c>
      <c r="M74" s="22" t="s">
        <v>401</v>
      </c>
      <c r="N74">
        <v>12</v>
      </c>
      <c r="O74" s="22">
        <v>50560.512479901845</v>
      </c>
      <c r="P74" s="22">
        <v>4213.3760399918201</v>
      </c>
      <c r="Q74" s="23">
        <v>9.1975787832115324E-2</v>
      </c>
      <c r="R74" t="s">
        <v>43</v>
      </c>
      <c r="S74" t="s">
        <v>50</v>
      </c>
      <c r="T74" t="s">
        <v>90</v>
      </c>
      <c r="U74" s="63"/>
    </row>
    <row r="75" spans="1:21" x14ac:dyDescent="0.3">
      <c r="A75" s="14">
        <v>43440</v>
      </c>
      <c r="B75">
        <v>2019</v>
      </c>
      <c r="C75" t="s">
        <v>229</v>
      </c>
      <c r="D75" t="s">
        <v>57</v>
      </c>
      <c r="E75" t="s">
        <v>114</v>
      </c>
      <c r="F75">
        <v>2557</v>
      </c>
      <c r="G75" t="s">
        <v>119</v>
      </c>
      <c r="I75">
        <v>2000</v>
      </c>
      <c r="J75" t="s">
        <v>108</v>
      </c>
      <c r="K75" t="s">
        <v>31</v>
      </c>
      <c r="L75" s="22">
        <v>164062.82999999999</v>
      </c>
      <c r="M75" s="22" t="s">
        <v>402</v>
      </c>
      <c r="N75" s="24"/>
      <c r="O75" s="22"/>
      <c r="P75" s="22"/>
      <c r="Q75" s="23">
        <v>0.15</v>
      </c>
      <c r="R75" s="22" t="s">
        <v>42</v>
      </c>
      <c r="S75" s="22" t="s">
        <v>121</v>
      </c>
      <c r="T75" s="22" t="s">
        <v>89</v>
      </c>
      <c r="U75" s="63"/>
    </row>
    <row r="76" spans="1:21" x14ac:dyDescent="0.3">
      <c r="A76" s="14">
        <v>43440</v>
      </c>
      <c r="B76">
        <v>2019</v>
      </c>
      <c r="C76" t="s">
        <v>229</v>
      </c>
      <c r="D76" t="s">
        <v>29</v>
      </c>
      <c r="E76" t="s">
        <v>30</v>
      </c>
      <c r="F76">
        <v>2558</v>
      </c>
      <c r="G76" t="s">
        <v>120</v>
      </c>
      <c r="I76">
        <v>4000</v>
      </c>
      <c r="J76" t="s">
        <v>108</v>
      </c>
      <c r="K76" t="s">
        <v>31</v>
      </c>
      <c r="L76" s="22">
        <v>132162.07999999999</v>
      </c>
      <c r="M76" s="22" t="s">
        <v>402</v>
      </c>
      <c r="N76" s="24"/>
      <c r="O76" s="22"/>
      <c r="P76" s="22"/>
      <c r="Q76" s="23">
        <v>0.15</v>
      </c>
      <c r="R76" s="22" t="s">
        <v>42</v>
      </c>
      <c r="S76" s="22" t="s">
        <v>121</v>
      </c>
      <c r="T76" s="22" t="s">
        <v>89</v>
      </c>
      <c r="U76" s="63"/>
    </row>
    <row r="77" spans="1:21" x14ac:dyDescent="0.3">
      <c r="A77" s="14">
        <v>43441</v>
      </c>
      <c r="B77">
        <v>2019</v>
      </c>
      <c r="C77" t="s">
        <v>229</v>
      </c>
      <c r="D77" t="s">
        <v>29</v>
      </c>
      <c r="E77" t="s">
        <v>45</v>
      </c>
      <c r="F77">
        <v>2560</v>
      </c>
      <c r="G77" t="s">
        <v>109</v>
      </c>
      <c r="I77">
        <v>3760</v>
      </c>
      <c r="J77" t="s">
        <v>108</v>
      </c>
      <c r="K77" t="s">
        <v>31</v>
      </c>
      <c r="L77" s="22">
        <v>82620.000218724992</v>
      </c>
      <c r="M77" s="22" t="s">
        <v>402</v>
      </c>
      <c r="N77" s="24">
        <v>3</v>
      </c>
      <c r="O77" s="22">
        <v>12220.855543725</v>
      </c>
      <c r="P77" s="22">
        <v>4073.6185145750001</v>
      </c>
      <c r="Q77" s="23">
        <v>0.14791643078397457</v>
      </c>
      <c r="R77" s="22" t="s">
        <v>43</v>
      </c>
      <c r="S77" s="22" t="s">
        <v>105</v>
      </c>
      <c r="T77" s="22" t="s">
        <v>90</v>
      </c>
      <c r="U77" s="63"/>
    </row>
    <row r="78" spans="1:21" x14ac:dyDescent="0.3">
      <c r="A78" s="14">
        <v>43452</v>
      </c>
      <c r="B78">
        <v>2019</v>
      </c>
      <c r="C78" t="s">
        <v>229</v>
      </c>
      <c r="D78" t="s">
        <v>29</v>
      </c>
      <c r="E78" t="s">
        <v>38</v>
      </c>
      <c r="F78">
        <v>2567</v>
      </c>
      <c r="G78" t="s">
        <v>101</v>
      </c>
      <c r="I78">
        <v>16500</v>
      </c>
      <c r="J78" t="s">
        <v>108</v>
      </c>
      <c r="K78" t="s">
        <v>31</v>
      </c>
      <c r="L78" s="22">
        <v>135940.96919</v>
      </c>
      <c r="M78" s="22" t="s">
        <v>402</v>
      </c>
      <c r="N78" s="24">
        <v>5</v>
      </c>
      <c r="O78" s="22">
        <v>19035.909189999998</v>
      </c>
      <c r="P78" s="22">
        <v>3807.1818379999995</v>
      </c>
      <c r="Q78" s="23">
        <v>0.14003070085070649</v>
      </c>
      <c r="R78" s="22" t="s">
        <v>43</v>
      </c>
      <c r="S78" s="22" t="s">
        <v>102</v>
      </c>
      <c r="T78" s="22" t="s">
        <v>90</v>
      </c>
      <c r="U78" s="63"/>
    </row>
    <row r="79" spans="1:21" x14ac:dyDescent="0.3">
      <c r="A79" s="14">
        <v>43452</v>
      </c>
      <c r="B79">
        <v>2019</v>
      </c>
      <c r="C79" t="s">
        <v>229</v>
      </c>
      <c r="D79" t="s">
        <v>29</v>
      </c>
      <c r="E79" t="s">
        <v>38</v>
      </c>
      <c r="F79">
        <v>2565</v>
      </c>
      <c r="G79" t="s">
        <v>103</v>
      </c>
      <c r="I79">
        <v>25629.65</v>
      </c>
      <c r="J79" t="s">
        <v>108</v>
      </c>
      <c r="K79" t="s">
        <v>31</v>
      </c>
      <c r="L79" s="22">
        <v>2840169.998869685</v>
      </c>
      <c r="M79" s="22" t="s">
        <v>400</v>
      </c>
      <c r="N79">
        <v>24</v>
      </c>
      <c r="O79" s="22">
        <v>218712.80886968502</v>
      </c>
      <c r="P79" s="22">
        <v>9113.0337029035418</v>
      </c>
      <c r="Q79" s="23">
        <v>7.700694287902736E-2</v>
      </c>
      <c r="R79" t="s">
        <v>43</v>
      </c>
      <c r="S79" t="s">
        <v>105</v>
      </c>
      <c r="T79" t="s">
        <v>90</v>
      </c>
      <c r="U79" s="63"/>
    </row>
    <row r="80" spans="1:21" x14ac:dyDescent="0.3">
      <c r="A80" s="14">
        <v>43455</v>
      </c>
      <c r="B80">
        <v>2019</v>
      </c>
      <c r="C80" t="s">
        <v>229</v>
      </c>
      <c r="D80" t="s">
        <v>29</v>
      </c>
      <c r="E80" t="s">
        <v>45</v>
      </c>
      <c r="F80">
        <v>2568</v>
      </c>
      <c r="G80" t="s">
        <v>123</v>
      </c>
      <c r="I80">
        <v>500</v>
      </c>
      <c r="J80" t="s">
        <v>108</v>
      </c>
      <c r="K80" t="s">
        <v>31</v>
      </c>
      <c r="L80" s="22">
        <v>57329.002033999997</v>
      </c>
      <c r="M80" s="22" t="s">
        <v>402</v>
      </c>
      <c r="N80" s="24">
        <v>2</v>
      </c>
      <c r="O80" s="22">
        <v>10003.402034000001</v>
      </c>
      <c r="P80" s="22">
        <v>5001.7010170000003</v>
      </c>
      <c r="Q80" s="23">
        <v>0.17449112454578056</v>
      </c>
      <c r="R80" s="22" t="s">
        <v>43</v>
      </c>
      <c r="S80" s="22" t="s">
        <v>116</v>
      </c>
      <c r="T80" s="22" t="s">
        <v>90</v>
      </c>
      <c r="U80" s="63"/>
    </row>
    <row r="81" spans="1:21" x14ac:dyDescent="0.3">
      <c r="A81" s="14">
        <v>43476</v>
      </c>
      <c r="B81">
        <v>2019</v>
      </c>
      <c r="C81" t="s">
        <v>229</v>
      </c>
      <c r="D81" t="s">
        <v>29</v>
      </c>
      <c r="E81" t="s">
        <v>45</v>
      </c>
      <c r="F81">
        <v>2569</v>
      </c>
      <c r="G81" t="s">
        <v>133</v>
      </c>
      <c r="I81">
        <v>3312</v>
      </c>
      <c r="J81" t="s">
        <v>108</v>
      </c>
      <c r="K81" t="s">
        <v>31</v>
      </c>
      <c r="L81" s="22">
        <v>571201.83332450001</v>
      </c>
      <c r="M81" s="22" t="s">
        <v>401</v>
      </c>
      <c r="N81" s="24">
        <v>12</v>
      </c>
      <c r="O81" s="22">
        <v>55758.311324499999</v>
      </c>
      <c r="P81" s="22">
        <v>4646.5259437083332</v>
      </c>
      <c r="Q81" s="23">
        <v>9.7615777946608376E-2</v>
      </c>
      <c r="R81" s="22" t="s">
        <v>43</v>
      </c>
      <c r="S81" s="22" t="s">
        <v>105</v>
      </c>
      <c r="T81" s="22" t="s">
        <v>90</v>
      </c>
      <c r="U81" s="63"/>
    </row>
    <row r="82" spans="1:21" x14ac:dyDescent="0.3">
      <c r="A82" s="14">
        <v>43481</v>
      </c>
      <c r="B82">
        <v>2019</v>
      </c>
      <c r="C82" t="s">
        <v>229</v>
      </c>
      <c r="D82" t="s">
        <v>29</v>
      </c>
      <c r="E82" t="s">
        <v>45</v>
      </c>
      <c r="F82">
        <v>2552</v>
      </c>
      <c r="G82" t="s">
        <v>134</v>
      </c>
      <c r="I82">
        <v>2623</v>
      </c>
      <c r="J82" t="s">
        <v>108</v>
      </c>
      <c r="K82" t="s">
        <v>31</v>
      </c>
      <c r="L82" s="22">
        <v>291889.24156140001</v>
      </c>
      <c r="M82" s="22" t="s">
        <v>402</v>
      </c>
      <c r="N82" s="24">
        <v>8</v>
      </c>
      <c r="O82" s="22">
        <v>38025.481561399996</v>
      </c>
      <c r="P82" s="22">
        <v>4753.1851951749995</v>
      </c>
      <c r="Q82" s="23">
        <v>0.13027366599053358</v>
      </c>
      <c r="R82" s="22" t="s">
        <v>42</v>
      </c>
      <c r="S82" s="22" t="s">
        <v>105</v>
      </c>
      <c r="T82" s="22" t="s">
        <v>89</v>
      </c>
      <c r="U82" s="63"/>
    </row>
    <row r="83" spans="1:21" x14ac:dyDescent="0.3">
      <c r="A83" s="14">
        <v>43489</v>
      </c>
      <c r="B83">
        <v>2019</v>
      </c>
      <c r="C83" t="s">
        <v>229</v>
      </c>
      <c r="D83" t="s">
        <v>29</v>
      </c>
      <c r="E83" t="s">
        <v>45</v>
      </c>
      <c r="F83">
        <v>2571</v>
      </c>
      <c r="G83" s="22" t="s">
        <v>282</v>
      </c>
      <c r="H83" s="22"/>
      <c r="I83" s="36">
        <v>173</v>
      </c>
      <c r="J83" t="s">
        <v>108</v>
      </c>
      <c r="K83" t="s">
        <v>31</v>
      </c>
      <c r="L83" s="22">
        <v>67432.736227999994</v>
      </c>
      <c r="M83" s="22" t="s">
        <v>402</v>
      </c>
      <c r="N83" s="24">
        <v>3</v>
      </c>
      <c r="O83" s="22">
        <v>14408.636227999999</v>
      </c>
      <c r="P83" s="22">
        <v>4802.8787426666668</v>
      </c>
      <c r="Q83" s="23">
        <v>0.21367420386564595</v>
      </c>
      <c r="R83" s="43" t="s">
        <v>43</v>
      </c>
      <c r="S83" s="24" t="s">
        <v>283</v>
      </c>
      <c r="T83" s="22" t="s">
        <v>90</v>
      </c>
      <c r="U83" s="63"/>
    </row>
    <row r="84" spans="1:21" x14ac:dyDescent="0.3">
      <c r="A84" s="14">
        <v>43497</v>
      </c>
      <c r="B84">
        <v>2019</v>
      </c>
      <c r="C84" t="s">
        <v>229</v>
      </c>
      <c r="D84" t="s">
        <v>29</v>
      </c>
      <c r="E84" t="s">
        <v>38</v>
      </c>
      <c r="F84">
        <v>2576</v>
      </c>
      <c r="G84" t="s">
        <v>132</v>
      </c>
      <c r="I84">
        <v>10000</v>
      </c>
      <c r="J84" t="s">
        <v>108</v>
      </c>
      <c r="K84" t="s">
        <v>31</v>
      </c>
      <c r="L84" s="22">
        <v>166550.20000000001</v>
      </c>
      <c r="M84" s="22" t="s">
        <v>402</v>
      </c>
      <c r="N84" s="24">
        <v>12</v>
      </c>
      <c r="O84" s="22"/>
      <c r="P84" s="22"/>
      <c r="Q84" s="23"/>
      <c r="R84" s="22" t="s">
        <v>43</v>
      </c>
      <c r="S84" s="22" t="s">
        <v>51</v>
      </c>
      <c r="T84" s="22" t="s">
        <v>90</v>
      </c>
      <c r="U84" s="63"/>
    </row>
    <row r="85" spans="1:21" x14ac:dyDescent="0.3">
      <c r="A85" s="14">
        <v>43503</v>
      </c>
      <c r="B85">
        <v>2019</v>
      </c>
      <c r="C85" t="s">
        <v>229</v>
      </c>
      <c r="D85" t="s">
        <v>29</v>
      </c>
      <c r="E85" t="s">
        <v>45</v>
      </c>
      <c r="F85">
        <v>2578</v>
      </c>
      <c r="G85" t="s">
        <v>131</v>
      </c>
      <c r="I85">
        <v>6295</v>
      </c>
      <c r="J85" t="s">
        <v>108</v>
      </c>
      <c r="K85" t="s">
        <v>31</v>
      </c>
      <c r="L85" s="22">
        <v>835849.99593021302</v>
      </c>
      <c r="M85" s="22" t="s">
        <v>401</v>
      </c>
      <c r="N85" s="24">
        <v>12</v>
      </c>
      <c r="O85" s="22">
        <v>62270.398500212497</v>
      </c>
      <c r="P85" s="22">
        <v>5189.1998750177081</v>
      </c>
      <c r="Q85" s="23">
        <v>7.7950051721164967E-2</v>
      </c>
      <c r="R85" s="22" t="s">
        <v>42</v>
      </c>
      <c r="S85" s="22" t="s">
        <v>105</v>
      </c>
      <c r="T85" s="22" t="s">
        <v>89</v>
      </c>
      <c r="U85" s="63"/>
    </row>
    <row r="86" spans="1:21" x14ac:dyDescent="0.3">
      <c r="A86" s="14">
        <v>43504</v>
      </c>
      <c r="B86">
        <v>2019</v>
      </c>
      <c r="C86" t="s">
        <v>229</v>
      </c>
      <c r="D86" t="s">
        <v>29</v>
      </c>
      <c r="E86" t="s">
        <v>30</v>
      </c>
      <c r="F86">
        <v>2579</v>
      </c>
      <c r="G86" t="s">
        <v>129</v>
      </c>
      <c r="I86">
        <v>1200</v>
      </c>
      <c r="J86" t="s">
        <v>108</v>
      </c>
      <c r="K86" t="s">
        <v>31</v>
      </c>
      <c r="L86" s="22">
        <v>56406.00462</v>
      </c>
      <c r="M86" s="22" t="s">
        <v>402</v>
      </c>
      <c r="N86" s="24">
        <v>3</v>
      </c>
      <c r="O86" s="22">
        <v>13399.504620000002</v>
      </c>
      <c r="P86" s="22">
        <v>4466.5015400000002</v>
      </c>
      <c r="Q86" s="23">
        <v>0.23755457792606907</v>
      </c>
      <c r="R86" s="22" t="s">
        <v>43</v>
      </c>
      <c r="S86" s="22" t="s">
        <v>130</v>
      </c>
      <c r="T86" s="22" t="s">
        <v>90</v>
      </c>
      <c r="U86" s="63"/>
    </row>
    <row r="87" spans="1:21" x14ac:dyDescent="0.3">
      <c r="A87" s="14">
        <v>43504</v>
      </c>
      <c r="B87">
        <v>2019</v>
      </c>
      <c r="C87" t="s">
        <v>229</v>
      </c>
      <c r="D87" t="s">
        <v>29</v>
      </c>
      <c r="E87" t="s">
        <v>45</v>
      </c>
      <c r="F87">
        <v>2509</v>
      </c>
      <c r="G87" t="s">
        <v>162</v>
      </c>
      <c r="I87">
        <v>800</v>
      </c>
      <c r="J87" t="s">
        <v>108</v>
      </c>
      <c r="K87" t="s">
        <v>31</v>
      </c>
      <c r="L87" s="22">
        <v>99798.002146400002</v>
      </c>
      <c r="M87" s="22" t="s">
        <v>402</v>
      </c>
      <c r="N87" s="24">
        <v>6</v>
      </c>
      <c r="O87" s="22">
        <v>20934.531546400001</v>
      </c>
      <c r="P87" s="22">
        <v>3489.088591066667</v>
      </c>
      <c r="Q87" s="23">
        <v>0.2097690444312684</v>
      </c>
      <c r="R87" s="22" t="s">
        <v>42</v>
      </c>
      <c r="S87" s="22" t="s">
        <v>163</v>
      </c>
      <c r="T87" s="22" t="s">
        <v>89</v>
      </c>
      <c r="U87" s="63"/>
    </row>
    <row r="88" spans="1:21" x14ac:dyDescent="0.3">
      <c r="A88" s="14">
        <v>43507</v>
      </c>
      <c r="B88">
        <v>2019</v>
      </c>
      <c r="C88" t="s">
        <v>229</v>
      </c>
      <c r="D88" t="s">
        <v>29</v>
      </c>
      <c r="E88" t="s">
        <v>30</v>
      </c>
      <c r="F88">
        <v>2581</v>
      </c>
      <c r="G88" t="s">
        <v>155</v>
      </c>
      <c r="I88">
        <v>6500</v>
      </c>
      <c r="J88" t="s">
        <v>167</v>
      </c>
      <c r="K88" t="s">
        <v>157</v>
      </c>
      <c r="L88" s="22">
        <v>2000000</v>
      </c>
      <c r="M88" s="22" t="s">
        <v>400</v>
      </c>
      <c r="N88" s="24"/>
      <c r="O88" s="22"/>
      <c r="P88" s="22"/>
      <c r="Q88" s="23">
        <v>0.14000000000000001</v>
      </c>
      <c r="R88" s="22" t="s">
        <v>42</v>
      </c>
      <c r="S88" s="22"/>
      <c r="T88" s="22" t="s">
        <v>89</v>
      </c>
      <c r="U88" s="63"/>
    </row>
    <row r="89" spans="1:21" x14ac:dyDescent="0.3">
      <c r="A89" s="14">
        <v>43508</v>
      </c>
      <c r="B89">
        <v>2019</v>
      </c>
      <c r="C89" t="s">
        <v>229</v>
      </c>
      <c r="D89" t="s">
        <v>29</v>
      </c>
      <c r="E89" t="s">
        <v>38</v>
      </c>
      <c r="F89">
        <v>2577</v>
      </c>
      <c r="G89" t="s">
        <v>164</v>
      </c>
      <c r="I89">
        <v>53057</v>
      </c>
      <c r="J89" t="s">
        <v>108</v>
      </c>
      <c r="K89" t="s">
        <v>31</v>
      </c>
      <c r="L89" s="22">
        <v>244290.00425</v>
      </c>
      <c r="M89" s="22" t="s">
        <v>402</v>
      </c>
      <c r="N89" s="24">
        <v>8</v>
      </c>
      <c r="O89" s="22">
        <v>38090.004250000005</v>
      </c>
      <c r="P89" s="22">
        <v>4761.2505312500007</v>
      </c>
      <c r="Q89" s="23">
        <v>0.1559212558325542</v>
      </c>
      <c r="R89" s="22" t="s">
        <v>43</v>
      </c>
      <c r="S89" s="22">
        <v>0</v>
      </c>
      <c r="T89" s="22" t="s">
        <v>90</v>
      </c>
      <c r="U89" s="63"/>
    </row>
    <row r="90" spans="1:21" x14ac:dyDescent="0.3">
      <c r="A90" s="14">
        <v>43511</v>
      </c>
      <c r="B90">
        <v>2019</v>
      </c>
      <c r="C90" t="s">
        <v>229</v>
      </c>
      <c r="D90" t="s">
        <v>29</v>
      </c>
      <c r="E90" t="s">
        <v>45</v>
      </c>
      <c r="F90">
        <v>2583</v>
      </c>
      <c r="G90" t="s">
        <v>153</v>
      </c>
      <c r="I90">
        <v>2400</v>
      </c>
      <c r="J90" t="s">
        <v>108</v>
      </c>
      <c r="K90" t="s">
        <v>31</v>
      </c>
      <c r="L90" s="22">
        <v>108666.00200000001</v>
      </c>
      <c r="M90" s="22" t="s">
        <v>402</v>
      </c>
      <c r="N90" s="24">
        <v>3</v>
      </c>
      <c r="O90" s="22">
        <v>18177.101999999999</v>
      </c>
      <c r="P90" s="22">
        <v>6059.0339999999997</v>
      </c>
      <c r="Q90" s="23">
        <v>0.1672749679333928</v>
      </c>
      <c r="R90" s="22" t="s">
        <v>43</v>
      </c>
      <c r="S90" s="22" t="s">
        <v>154</v>
      </c>
      <c r="T90" s="22" t="s">
        <v>90</v>
      </c>
      <c r="U90" s="63"/>
    </row>
    <row r="91" spans="1:21" x14ac:dyDescent="0.3">
      <c r="A91" s="14">
        <v>43511</v>
      </c>
      <c r="B91">
        <v>2019</v>
      </c>
      <c r="C91" t="s">
        <v>229</v>
      </c>
      <c r="D91" t="s">
        <v>29</v>
      </c>
      <c r="E91" t="s">
        <v>30</v>
      </c>
      <c r="F91">
        <v>2574</v>
      </c>
      <c r="G91" t="s">
        <v>161</v>
      </c>
      <c r="I91">
        <v>1600</v>
      </c>
      <c r="J91" t="s">
        <v>108</v>
      </c>
      <c r="K91" t="s">
        <v>31</v>
      </c>
      <c r="L91" s="22">
        <v>17379.201239999999</v>
      </c>
      <c r="M91" s="22" t="s">
        <v>402</v>
      </c>
      <c r="N91" s="24">
        <v>2</v>
      </c>
      <c r="O91" s="22">
        <v>4794.2012400000003</v>
      </c>
      <c r="P91" s="22">
        <v>2397.1006200000002</v>
      </c>
      <c r="Q91" s="23">
        <v>0.27585854918151581</v>
      </c>
      <c r="R91" s="22" t="s">
        <v>43</v>
      </c>
      <c r="S91" s="22" t="s">
        <v>159</v>
      </c>
      <c r="T91" s="22" t="s">
        <v>90</v>
      </c>
      <c r="U91" s="63"/>
    </row>
    <row r="92" spans="1:21" x14ac:dyDescent="0.3">
      <c r="A92" s="14">
        <v>43511</v>
      </c>
      <c r="B92">
        <v>2019</v>
      </c>
      <c r="C92" t="s">
        <v>229</v>
      </c>
      <c r="D92" t="s">
        <v>29</v>
      </c>
      <c r="E92" t="s">
        <v>45</v>
      </c>
      <c r="F92">
        <v>2580</v>
      </c>
      <c r="G92" t="s">
        <v>189</v>
      </c>
      <c r="I92">
        <v>1000</v>
      </c>
      <c r="J92" t="s">
        <v>156</v>
      </c>
      <c r="K92" t="s">
        <v>157</v>
      </c>
      <c r="L92" s="22">
        <v>133156.00069650001</v>
      </c>
      <c r="M92" s="22" t="s">
        <v>402</v>
      </c>
      <c r="N92" s="24">
        <v>6</v>
      </c>
      <c r="O92" s="22">
        <v>30907.838446500002</v>
      </c>
      <c r="P92" s="22">
        <v>5151.3064077500003</v>
      </c>
      <c r="Q92" s="23">
        <v>0.23211750341576917</v>
      </c>
      <c r="R92" s="22" t="s">
        <v>42</v>
      </c>
      <c r="S92" s="22" t="s">
        <v>190</v>
      </c>
      <c r="T92" s="22" t="s">
        <v>89</v>
      </c>
      <c r="U92" s="63"/>
    </row>
    <row r="93" spans="1:21" x14ac:dyDescent="0.3">
      <c r="A93" s="14">
        <v>43515</v>
      </c>
      <c r="B93">
        <v>2019</v>
      </c>
      <c r="C93" t="s">
        <v>229</v>
      </c>
      <c r="D93" t="s">
        <v>29</v>
      </c>
      <c r="E93" t="s">
        <v>45</v>
      </c>
      <c r="F93">
        <v>2582</v>
      </c>
      <c r="G93" t="s">
        <v>158</v>
      </c>
      <c r="I93">
        <v>465</v>
      </c>
      <c r="J93" t="s">
        <v>108</v>
      </c>
      <c r="K93" t="s">
        <v>31</v>
      </c>
      <c r="L93" s="22">
        <v>47810.002892000004</v>
      </c>
      <c r="M93" s="22" t="s">
        <v>402</v>
      </c>
      <c r="N93" s="24">
        <v>2</v>
      </c>
      <c r="O93" s="22">
        <v>8062.509892</v>
      </c>
      <c r="P93" s="22">
        <v>4031.254946</v>
      </c>
      <c r="Q93" s="23">
        <v>0.16863646526465889</v>
      </c>
      <c r="R93" s="22" t="s">
        <v>42</v>
      </c>
      <c r="S93" s="22" t="s">
        <v>159</v>
      </c>
      <c r="T93" s="22" t="s">
        <v>89</v>
      </c>
      <c r="U93" s="63"/>
    </row>
    <row r="94" spans="1:21" x14ac:dyDescent="0.3">
      <c r="A94" s="14">
        <v>43517</v>
      </c>
      <c r="B94">
        <v>2019</v>
      </c>
      <c r="C94" t="s">
        <v>229</v>
      </c>
      <c r="D94" t="s">
        <v>29</v>
      </c>
      <c r="E94" t="s">
        <v>45</v>
      </c>
      <c r="F94">
        <v>2584</v>
      </c>
      <c r="G94" t="s">
        <v>175</v>
      </c>
      <c r="I94">
        <v>35000</v>
      </c>
      <c r="J94" t="s">
        <v>156</v>
      </c>
      <c r="K94" t="s">
        <v>157</v>
      </c>
      <c r="L94" s="22">
        <v>2300000</v>
      </c>
      <c r="M94" s="22" t="s">
        <v>400</v>
      </c>
      <c r="N94" s="24">
        <v>26</v>
      </c>
      <c r="O94" s="22"/>
      <c r="P94" s="22"/>
      <c r="Q94" s="23"/>
      <c r="R94" s="22" t="s">
        <v>43</v>
      </c>
      <c r="S94" s="22" t="s">
        <v>116</v>
      </c>
      <c r="T94" s="22" t="s">
        <v>90</v>
      </c>
      <c r="U94" s="63"/>
    </row>
    <row r="95" spans="1:21" x14ac:dyDescent="0.3">
      <c r="A95" s="14">
        <v>43532</v>
      </c>
      <c r="B95">
        <v>2019</v>
      </c>
      <c r="C95" t="s">
        <v>227</v>
      </c>
      <c r="D95" t="s">
        <v>29</v>
      </c>
      <c r="E95" t="s">
        <v>45</v>
      </c>
      <c r="F95">
        <v>2589</v>
      </c>
      <c r="G95" t="s">
        <v>171</v>
      </c>
      <c r="I95">
        <v>4536</v>
      </c>
      <c r="J95" t="s">
        <v>108</v>
      </c>
      <c r="K95" s="22" t="s">
        <v>31</v>
      </c>
      <c r="L95" s="22">
        <v>375743.96081249998</v>
      </c>
      <c r="M95" s="22" t="s">
        <v>402</v>
      </c>
      <c r="N95" s="24">
        <v>10</v>
      </c>
      <c r="O95" s="22">
        <v>45571.4983125</v>
      </c>
      <c r="P95" s="22">
        <v>4557.1498312499998</v>
      </c>
      <c r="Q95" s="23">
        <v>0.12128338194433586</v>
      </c>
      <c r="R95" s="22" t="s">
        <v>43</v>
      </c>
      <c r="S95" s="22" t="s">
        <v>172</v>
      </c>
      <c r="T95" s="22" t="s">
        <v>90</v>
      </c>
      <c r="U95" s="63"/>
    </row>
    <row r="96" spans="1:21" x14ac:dyDescent="0.3">
      <c r="A96" s="14">
        <v>43539</v>
      </c>
      <c r="B96">
        <v>2019</v>
      </c>
      <c r="C96" t="s">
        <v>227</v>
      </c>
      <c r="D96" t="s">
        <v>29</v>
      </c>
      <c r="E96" t="s">
        <v>38</v>
      </c>
      <c r="F96">
        <v>2588</v>
      </c>
      <c r="G96" t="s">
        <v>174</v>
      </c>
      <c r="J96" t="s">
        <v>156</v>
      </c>
      <c r="K96" t="s">
        <v>157</v>
      </c>
      <c r="L96" s="22">
        <v>500000</v>
      </c>
      <c r="M96" s="22" t="s">
        <v>401</v>
      </c>
      <c r="N96" s="24">
        <v>10</v>
      </c>
      <c r="O96" s="22">
        <v>87650</v>
      </c>
      <c r="P96" s="22">
        <v>8462.5</v>
      </c>
      <c r="Q96" s="23">
        <v>0.16</v>
      </c>
      <c r="R96" s="22" t="s">
        <v>43</v>
      </c>
      <c r="S96" s="22" t="s">
        <v>51</v>
      </c>
      <c r="T96" s="22" t="s">
        <v>90</v>
      </c>
      <c r="U96" s="63"/>
    </row>
    <row r="97" spans="1:21" x14ac:dyDescent="0.3">
      <c r="A97" s="14">
        <v>43543</v>
      </c>
      <c r="B97">
        <v>2019</v>
      </c>
      <c r="C97" t="s">
        <v>227</v>
      </c>
      <c r="D97" t="s">
        <v>35</v>
      </c>
      <c r="E97" t="s">
        <v>36</v>
      </c>
      <c r="F97">
        <v>2587</v>
      </c>
      <c r="G97" t="s">
        <v>166</v>
      </c>
      <c r="I97">
        <v>9740</v>
      </c>
      <c r="J97" t="s">
        <v>108</v>
      </c>
      <c r="K97" t="s">
        <v>31</v>
      </c>
      <c r="L97" s="22">
        <v>875681.85251</v>
      </c>
      <c r="M97" s="22" t="s">
        <v>401</v>
      </c>
      <c r="N97" s="24">
        <v>15</v>
      </c>
      <c r="O97" s="22">
        <v>130627.25023727273</v>
      </c>
      <c r="P97" s="22">
        <v>8708.4833491515146</v>
      </c>
      <c r="Q97" s="23">
        <v>0.14917204217816196</v>
      </c>
      <c r="R97" s="22" t="s">
        <v>43</v>
      </c>
      <c r="S97" s="22" t="s">
        <v>105</v>
      </c>
      <c r="T97" s="22" t="s">
        <v>90</v>
      </c>
      <c r="U97" s="63"/>
    </row>
    <row r="98" spans="1:21" x14ac:dyDescent="0.3">
      <c r="A98" s="14">
        <v>43551</v>
      </c>
      <c r="B98" s="36">
        <v>2019</v>
      </c>
      <c r="C98" t="s">
        <v>227</v>
      </c>
      <c r="D98" t="s">
        <v>29</v>
      </c>
      <c r="E98" t="s">
        <v>30</v>
      </c>
      <c r="F98">
        <v>2593</v>
      </c>
      <c r="G98" t="s">
        <v>169</v>
      </c>
      <c r="I98">
        <v>100</v>
      </c>
      <c r="J98" t="s">
        <v>108</v>
      </c>
      <c r="K98" s="5" t="s">
        <v>31</v>
      </c>
      <c r="L98" s="22">
        <v>6819.4140000000007</v>
      </c>
      <c r="M98" s="22" t="s">
        <v>402</v>
      </c>
      <c r="N98" s="24">
        <v>1</v>
      </c>
      <c r="O98" s="22">
        <v>2124.7339999999999</v>
      </c>
      <c r="P98" s="22">
        <v>2124.7339999999999</v>
      </c>
      <c r="Q98" s="23">
        <v>0.31157134615965532</v>
      </c>
      <c r="R98" s="22" t="s">
        <v>43</v>
      </c>
      <c r="S98" s="22" t="s">
        <v>170</v>
      </c>
      <c r="T98" t="s">
        <v>90</v>
      </c>
      <c r="U98" s="63"/>
    </row>
    <row r="99" spans="1:21" x14ac:dyDescent="0.3">
      <c r="A99" s="14">
        <v>43561</v>
      </c>
      <c r="B99">
        <v>2019</v>
      </c>
      <c r="C99" t="s">
        <v>227</v>
      </c>
      <c r="D99" t="s">
        <v>29</v>
      </c>
      <c r="E99" t="s">
        <v>30</v>
      </c>
      <c r="F99">
        <v>2520</v>
      </c>
      <c r="G99" t="s">
        <v>78</v>
      </c>
      <c r="J99" t="s">
        <v>156</v>
      </c>
      <c r="K99" t="s">
        <v>157</v>
      </c>
      <c r="L99" s="22">
        <v>800000</v>
      </c>
      <c r="M99" s="22" t="s">
        <v>401</v>
      </c>
      <c r="N99" s="24">
        <v>14</v>
      </c>
      <c r="O99" s="22">
        <v>98150</v>
      </c>
      <c r="P99" s="22">
        <v>7010</v>
      </c>
      <c r="Q99" s="23">
        <v>0.12</v>
      </c>
      <c r="R99" s="22" t="s">
        <v>42</v>
      </c>
      <c r="S99" s="22" t="s">
        <v>84</v>
      </c>
      <c r="T99" s="22" t="s">
        <v>89</v>
      </c>
      <c r="U99" s="63"/>
    </row>
    <row r="100" spans="1:21" x14ac:dyDescent="0.3">
      <c r="A100" s="14">
        <v>43573</v>
      </c>
      <c r="B100">
        <v>2019</v>
      </c>
      <c r="C100" t="s">
        <v>227</v>
      </c>
      <c r="D100" t="s">
        <v>29</v>
      </c>
      <c r="E100" t="s">
        <v>45</v>
      </c>
      <c r="F100">
        <v>2591</v>
      </c>
      <c r="G100" t="s">
        <v>173</v>
      </c>
      <c r="I100">
        <v>3650</v>
      </c>
      <c r="J100" t="s">
        <v>156</v>
      </c>
      <c r="K100" t="s">
        <v>157</v>
      </c>
      <c r="L100" s="22">
        <v>293313.26082696003</v>
      </c>
      <c r="M100" s="22" t="s">
        <v>402</v>
      </c>
      <c r="N100" s="24">
        <v>8</v>
      </c>
      <c r="O100" s="22">
        <v>42039.004476960006</v>
      </c>
      <c r="P100" s="22">
        <v>5254.8755596200008</v>
      </c>
      <c r="Q100" s="23">
        <v>0.14332459554824181</v>
      </c>
      <c r="R100" s="22" t="s">
        <v>42</v>
      </c>
      <c r="S100" s="22" t="s">
        <v>202</v>
      </c>
      <c r="T100" s="22" t="s">
        <v>89</v>
      </c>
      <c r="U100" s="63"/>
    </row>
    <row r="101" spans="1:21" x14ac:dyDescent="0.3">
      <c r="A101" s="14">
        <v>43579</v>
      </c>
      <c r="B101">
        <v>2019</v>
      </c>
      <c r="C101" s="48" t="s">
        <v>227</v>
      </c>
      <c r="D101" t="s">
        <v>29</v>
      </c>
      <c r="E101" t="s">
        <v>30</v>
      </c>
      <c r="F101">
        <v>2520</v>
      </c>
      <c r="G101" t="s">
        <v>176</v>
      </c>
      <c r="I101">
        <v>1080</v>
      </c>
      <c r="J101" t="s">
        <v>156</v>
      </c>
      <c r="K101" t="s">
        <v>157</v>
      </c>
      <c r="L101" s="22">
        <v>80741.763344250008</v>
      </c>
      <c r="M101" s="22" t="s">
        <v>402</v>
      </c>
      <c r="N101" s="24">
        <v>2</v>
      </c>
      <c r="O101" s="22">
        <v>2772.0498442500007</v>
      </c>
      <c r="P101" s="22">
        <v>1386.0249221250003</v>
      </c>
      <c r="Q101" s="23">
        <v>3.4332292600932041E-2</v>
      </c>
      <c r="R101" s="22" t="s">
        <v>42</v>
      </c>
      <c r="S101" s="22" t="s">
        <v>177</v>
      </c>
      <c r="T101" s="22" t="s">
        <v>89</v>
      </c>
      <c r="U101" s="63"/>
    </row>
    <row r="102" spans="1:21" x14ac:dyDescent="0.3">
      <c r="A102" s="14">
        <v>43592</v>
      </c>
      <c r="B102">
        <v>2019</v>
      </c>
      <c r="C102" t="s">
        <v>227</v>
      </c>
      <c r="D102" t="s">
        <v>29</v>
      </c>
      <c r="E102" t="s">
        <v>38</v>
      </c>
      <c r="F102">
        <v>2595</v>
      </c>
      <c r="G102" t="s">
        <v>178</v>
      </c>
      <c r="I102">
        <v>3000</v>
      </c>
      <c r="J102" t="s">
        <v>108</v>
      </c>
      <c r="K102" s="37" t="s">
        <v>31</v>
      </c>
      <c r="L102" s="37">
        <v>529241.99684536003</v>
      </c>
      <c r="M102" s="22" t="s">
        <v>401</v>
      </c>
      <c r="N102" s="39">
        <v>11</v>
      </c>
      <c r="O102" s="37">
        <v>53609.800205359999</v>
      </c>
      <c r="P102" s="37">
        <v>4873.6182004872726</v>
      </c>
      <c r="Q102" s="38">
        <v>0.1012954386177035</v>
      </c>
      <c r="R102" s="22" t="s">
        <v>43</v>
      </c>
      <c r="S102" s="22" t="s">
        <v>179</v>
      </c>
      <c r="T102" s="22" t="s">
        <v>90</v>
      </c>
      <c r="U102" s="63"/>
    </row>
    <row r="103" spans="1:21" x14ac:dyDescent="0.3">
      <c r="A103" s="14">
        <v>43592</v>
      </c>
      <c r="B103">
        <v>2019</v>
      </c>
      <c r="C103" t="s">
        <v>227</v>
      </c>
      <c r="D103" t="s">
        <v>29</v>
      </c>
      <c r="E103" t="s">
        <v>45</v>
      </c>
      <c r="F103">
        <v>2594</v>
      </c>
      <c r="G103" t="s">
        <v>285</v>
      </c>
      <c r="J103" t="s">
        <v>156</v>
      </c>
      <c r="K103" t="s">
        <v>157</v>
      </c>
      <c r="L103" s="22">
        <v>100000</v>
      </c>
      <c r="M103" s="22" t="s">
        <v>402</v>
      </c>
      <c r="N103" s="24"/>
      <c r="O103" s="22"/>
      <c r="P103" s="22"/>
      <c r="Q103" s="23"/>
      <c r="R103" s="22" t="s">
        <v>43</v>
      </c>
      <c r="S103" s="22" t="s">
        <v>116</v>
      </c>
      <c r="T103" s="22" t="s">
        <v>90</v>
      </c>
      <c r="U103" s="63"/>
    </row>
    <row r="104" spans="1:21" x14ac:dyDescent="0.3">
      <c r="A104" s="14">
        <v>43593</v>
      </c>
      <c r="B104">
        <v>2019</v>
      </c>
      <c r="C104" t="s">
        <v>227</v>
      </c>
      <c r="D104" t="s">
        <v>29</v>
      </c>
      <c r="E104" t="s">
        <v>30</v>
      </c>
      <c r="F104">
        <v>2596</v>
      </c>
      <c r="G104" t="s">
        <v>187</v>
      </c>
      <c r="I104">
        <v>2100</v>
      </c>
      <c r="J104" t="s">
        <v>108</v>
      </c>
      <c r="K104" t="s">
        <v>31</v>
      </c>
      <c r="L104" s="22">
        <v>552280.99659785861</v>
      </c>
      <c r="M104" s="22" t="s">
        <v>401</v>
      </c>
      <c r="N104" s="24">
        <v>14</v>
      </c>
      <c r="O104" s="22">
        <v>53987.456789525277</v>
      </c>
      <c r="P104" s="22">
        <v>3856.24691353752</v>
      </c>
      <c r="Q104" s="23">
        <v>9.7753602101279702E-2</v>
      </c>
      <c r="R104" s="22" t="s">
        <v>43</v>
      </c>
      <c r="S104" s="22" t="s">
        <v>105</v>
      </c>
      <c r="T104" s="22" t="s">
        <v>90</v>
      </c>
      <c r="U104" s="63"/>
    </row>
    <row r="105" spans="1:21" x14ac:dyDescent="0.3">
      <c r="A105" s="14">
        <v>43595</v>
      </c>
      <c r="B105">
        <v>2019</v>
      </c>
      <c r="C105" t="s">
        <v>227</v>
      </c>
      <c r="D105" t="s">
        <v>29</v>
      </c>
      <c r="E105" t="s">
        <v>45</v>
      </c>
      <c r="F105">
        <v>2597</v>
      </c>
      <c r="G105" t="s">
        <v>188</v>
      </c>
      <c r="I105">
        <v>1000</v>
      </c>
      <c r="J105" t="s">
        <v>108</v>
      </c>
      <c r="K105" t="s">
        <v>31</v>
      </c>
      <c r="L105" s="22">
        <v>461818.99806800002</v>
      </c>
      <c r="M105" s="22" t="s">
        <v>402</v>
      </c>
      <c r="N105" s="24">
        <v>10</v>
      </c>
      <c r="O105" s="22">
        <v>108410.503668</v>
      </c>
      <c r="P105" s="22">
        <v>10841.0503668</v>
      </c>
      <c r="Q105" s="23">
        <v>0.23474673870397428</v>
      </c>
      <c r="R105" s="22" t="s">
        <v>43</v>
      </c>
      <c r="S105" s="22" t="s">
        <v>105</v>
      </c>
      <c r="T105" s="22" t="s">
        <v>90</v>
      </c>
      <c r="U105" s="63"/>
    </row>
    <row r="106" spans="1:21" x14ac:dyDescent="0.3">
      <c r="A106" s="14">
        <v>43599</v>
      </c>
      <c r="B106">
        <v>2019</v>
      </c>
      <c r="C106" s="47" t="s">
        <v>227</v>
      </c>
      <c r="D106" t="s">
        <v>29</v>
      </c>
      <c r="E106" t="s">
        <v>30</v>
      </c>
      <c r="F106">
        <v>2600</v>
      </c>
      <c r="G106" t="s">
        <v>180</v>
      </c>
      <c r="I106">
        <v>500</v>
      </c>
      <c r="J106" t="s">
        <v>108</v>
      </c>
      <c r="K106" t="s">
        <v>31</v>
      </c>
      <c r="L106" s="22">
        <v>3260</v>
      </c>
      <c r="M106" s="22" t="s">
        <v>402</v>
      </c>
      <c r="N106" s="24"/>
      <c r="O106" s="22"/>
      <c r="P106" s="22"/>
      <c r="Q106" s="23"/>
      <c r="R106" s="22" t="s">
        <v>42</v>
      </c>
      <c r="S106" s="22" t="s">
        <v>181</v>
      </c>
      <c r="T106" s="22" t="s">
        <v>89</v>
      </c>
      <c r="U106" s="63"/>
    </row>
    <row r="107" spans="1:21" x14ac:dyDescent="0.3">
      <c r="A107" s="14">
        <v>43602</v>
      </c>
      <c r="B107">
        <v>2019</v>
      </c>
      <c r="C107" t="s">
        <v>227</v>
      </c>
      <c r="D107" t="s">
        <v>57</v>
      </c>
      <c r="E107" t="s">
        <v>72</v>
      </c>
      <c r="F107">
        <v>2602</v>
      </c>
      <c r="G107" t="s">
        <v>184</v>
      </c>
      <c r="I107">
        <v>21510</v>
      </c>
      <c r="J107" t="s">
        <v>156</v>
      </c>
      <c r="K107" t="s">
        <v>157</v>
      </c>
      <c r="L107" s="22">
        <v>3441414.8243959877</v>
      </c>
      <c r="M107" s="22" t="s">
        <v>400</v>
      </c>
      <c r="N107" s="24">
        <v>26</v>
      </c>
      <c r="O107" s="22">
        <v>205799.58428148428</v>
      </c>
      <c r="P107" s="22">
        <v>7915.3686262109341</v>
      </c>
      <c r="Q107" s="23">
        <v>5.9800865278600852E-2</v>
      </c>
      <c r="R107" s="22" t="s">
        <v>43</v>
      </c>
      <c r="S107" s="22" t="s">
        <v>185</v>
      </c>
      <c r="T107" s="22" t="s">
        <v>90</v>
      </c>
      <c r="U107" s="63"/>
    </row>
    <row r="108" spans="1:21" x14ac:dyDescent="0.3">
      <c r="A108" s="14">
        <v>43607</v>
      </c>
      <c r="B108">
        <v>2019</v>
      </c>
      <c r="C108" t="s">
        <v>227</v>
      </c>
      <c r="D108" t="s">
        <v>29</v>
      </c>
      <c r="E108" t="s">
        <v>45</v>
      </c>
      <c r="F108">
        <v>2604</v>
      </c>
      <c r="G108" t="s">
        <v>186</v>
      </c>
      <c r="I108">
        <v>2175</v>
      </c>
      <c r="J108" t="s">
        <v>108</v>
      </c>
      <c r="K108" t="s">
        <v>31</v>
      </c>
      <c r="L108" s="5">
        <v>154870.15299999999</v>
      </c>
      <c r="M108" s="22" t="s">
        <v>402</v>
      </c>
      <c r="N108" s="5">
        <v>4</v>
      </c>
      <c r="O108" s="5">
        <v>25649.442999999999</v>
      </c>
      <c r="P108" s="40">
        <v>6412.3607499999998</v>
      </c>
      <c r="Q108" s="9">
        <v>0.16561902021237107</v>
      </c>
      <c r="R108" t="s">
        <v>43</v>
      </c>
      <c r="S108" t="s">
        <v>154</v>
      </c>
      <c r="T108" t="s">
        <v>90</v>
      </c>
      <c r="U108" s="63"/>
    </row>
    <row r="109" spans="1:21" x14ac:dyDescent="0.3">
      <c r="A109" s="14">
        <v>43616</v>
      </c>
      <c r="B109">
        <v>2019</v>
      </c>
      <c r="C109" t="s">
        <v>227</v>
      </c>
      <c r="D109" t="s">
        <v>29</v>
      </c>
      <c r="E109" t="s">
        <v>30</v>
      </c>
      <c r="F109">
        <v>2601</v>
      </c>
      <c r="G109" t="s">
        <v>182</v>
      </c>
      <c r="I109">
        <v>4520</v>
      </c>
      <c r="J109" t="s">
        <v>108</v>
      </c>
      <c r="K109" t="s">
        <v>31</v>
      </c>
      <c r="L109" s="22">
        <v>549159.00462130003</v>
      </c>
      <c r="M109" s="22" t="s">
        <v>401</v>
      </c>
      <c r="N109" s="24">
        <v>12</v>
      </c>
      <c r="O109" s="22">
        <v>80091.18972129999</v>
      </c>
      <c r="P109" s="22">
        <v>6674.2658101083325</v>
      </c>
      <c r="Q109" s="23">
        <v>0.14584335146526617</v>
      </c>
      <c r="R109" s="22" t="s">
        <v>43</v>
      </c>
      <c r="S109" s="22" t="s">
        <v>183</v>
      </c>
      <c r="T109" s="22" t="s">
        <v>90</v>
      </c>
      <c r="U109" s="63"/>
    </row>
    <row r="110" spans="1:21" x14ac:dyDescent="0.3">
      <c r="A110" s="14">
        <v>43623</v>
      </c>
      <c r="B110">
        <v>2019</v>
      </c>
      <c r="C110" t="s">
        <v>226</v>
      </c>
      <c r="D110" t="s">
        <v>29</v>
      </c>
      <c r="E110" t="s">
        <v>45</v>
      </c>
      <c r="F110">
        <v>2609</v>
      </c>
      <c r="G110" t="s">
        <v>196</v>
      </c>
      <c r="I110">
        <v>100</v>
      </c>
      <c r="J110" t="s">
        <v>108</v>
      </c>
      <c r="K110" t="s">
        <v>31</v>
      </c>
      <c r="L110" s="22">
        <v>22890.001128</v>
      </c>
      <c r="M110" s="22" t="s">
        <v>402</v>
      </c>
      <c r="N110" s="24">
        <v>2</v>
      </c>
      <c r="O110" s="22">
        <v>6203.0011279999999</v>
      </c>
      <c r="P110" s="22">
        <v>3101.5005639999999</v>
      </c>
      <c r="Q110" s="23">
        <v>0.27099173535698218</v>
      </c>
      <c r="R110" s="22" t="s">
        <v>43</v>
      </c>
      <c r="S110" s="22" t="s">
        <v>126</v>
      </c>
      <c r="T110" s="22" t="s">
        <v>90</v>
      </c>
      <c r="U110" s="63"/>
    </row>
    <row r="111" spans="1:21" x14ac:dyDescent="0.3">
      <c r="A111" s="14">
        <v>43630</v>
      </c>
      <c r="B111">
        <v>2019</v>
      </c>
      <c r="C111" t="s">
        <v>226</v>
      </c>
      <c r="D111" t="s">
        <v>29</v>
      </c>
      <c r="E111" t="s">
        <v>38</v>
      </c>
      <c r="F111">
        <v>2605</v>
      </c>
      <c r="G111" t="s">
        <v>198</v>
      </c>
      <c r="I111">
        <v>82944</v>
      </c>
      <c r="J111" t="s">
        <v>108</v>
      </c>
      <c r="K111" t="s">
        <v>31</v>
      </c>
      <c r="L111" s="22">
        <v>6315259.0001290133</v>
      </c>
      <c r="M111" s="22" t="s">
        <v>399</v>
      </c>
      <c r="N111" s="24">
        <v>31</v>
      </c>
      <c r="O111" s="22">
        <v>577544.84238901245</v>
      </c>
      <c r="P111" s="22">
        <v>18630.478786742337</v>
      </c>
      <c r="Q111" s="23">
        <v>9.1452281272583424E-2</v>
      </c>
      <c r="R111" s="22" t="s">
        <v>43</v>
      </c>
      <c r="S111" s="22" t="s">
        <v>50</v>
      </c>
      <c r="T111" s="22" t="s">
        <v>90</v>
      </c>
      <c r="U111" s="63"/>
    </row>
    <row r="112" spans="1:21" x14ac:dyDescent="0.3">
      <c r="A112" s="14">
        <v>43633</v>
      </c>
      <c r="B112">
        <v>2019</v>
      </c>
      <c r="C112" t="s">
        <v>226</v>
      </c>
      <c r="D112" t="s">
        <v>29</v>
      </c>
      <c r="E112" t="s">
        <v>45</v>
      </c>
      <c r="F112">
        <v>2607</v>
      </c>
      <c r="G112" t="s">
        <v>191</v>
      </c>
      <c r="I112">
        <v>10000</v>
      </c>
      <c r="J112" t="s">
        <v>108</v>
      </c>
      <c r="K112" t="s">
        <v>31</v>
      </c>
      <c r="L112" s="22">
        <v>133446.7979838</v>
      </c>
      <c r="M112" s="22" t="s">
        <v>402</v>
      </c>
      <c r="N112" s="24">
        <v>4</v>
      </c>
      <c r="O112" s="22">
        <v>15448.911183800001</v>
      </c>
      <c r="P112" s="22">
        <v>3862.2277959500002</v>
      </c>
      <c r="Q112" s="23">
        <v>0.11576831679150104</v>
      </c>
      <c r="R112" s="22" t="s">
        <v>42</v>
      </c>
      <c r="S112" s="22" t="s">
        <v>105</v>
      </c>
      <c r="T112" s="22" t="s">
        <v>89</v>
      </c>
      <c r="U112" s="63"/>
    </row>
    <row r="113" spans="1:21" x14ac:dyDescent="0.3">
      <c r="A113" s="14">
        <v>43635</v>
      </c>
      <c r="B113">
        <v>2019</v>
      </c>
      <c r="C113" t="s">
        <v>226</v>
      </c>
      <c r="D113" t="s">
        <v>29</v>
      </c>
      <c r="E113" t="s">
        <v>38</v>
      </c>
      <c r="F113">
        <v>2512</v>
      </c>
      <c r="G113" t="s">
        <v>193</v>
      </c>
      <c r="I113">
        <v>3000</v>
      </c>
      <c r="J113" t="s">
        <v>108</v>
      </c>
      <c r="K113" t="s">
        <v>31</v>
      </c>
      <c r="L113" s="22">
        <v>71556.001806999993</v>
      </c>
      <c r="M113" s="22" t="s">
        <v>402</v>
      </c>
      <c r="N113" s="24">
        <v>3</v>
      </c>
      <c r="O113" s="22">
        <v>17033.786607000002</v>
      </c>
      <c r="P113" s="22">
        <v>5677.9288690000003</v>
      </c>
      <c r="Q113" s="23">
        <v>0.23804832825824074</v>
      </c>
      <c r="R113" s="22" t="s">
        <v>43</v>
      </c>
      <c r="S113" s="22" t="s">
        <v>172</v>
      </c>
      <c r="T113" s="22" t="s">
        <v>90</v>
      </c>
      <c r="U113" s="63"/>
    </row>
    <row r="114" spans="1:21" x14ac:dyDescent="0.3">
      <c r="A114" s="14">
        <v>43640</v>
      </c>
      <c r="B114">
        <v>2019</v>
      </c>
      <c r="C114" t="s">
        <v>226</v>
      </c>
      <c r="D114" t="s">
        <v>29</v>
      </c>
      <c r="E114" t="s">
        <v>45</v>
      </c>
      <c r="F114">
        <v>2508</v>
      </c>
      <c r="G114" t="s">
        <v>192</v>
      </c>
      <c r="I114">
        <v>4600</v>
      </c>
      <c r="J114" t="s">
        <v>156</v>
      </c>
      <c r="K114" t="s">
        <v>157</v>
      </c>
      <c r="L114" s="22">
        <v>174490.99884812499</v>
      </c>
      <c r="M114" s="22" t="s">
        <v>402</v>
      </c>
      <c r="N114" s="24">
        <v>6</v>
      </c>
      <c r="O114" s="22">
        <v>27633.248848125</v>
      </c>
      <c r="P114" s="22">
        <v>4605.5414746875003</v>
      </c>
      <c r="Q114" s="23">
        <v>0.15836489578569421</v>
      </c>
      <c r="R114" s="22" t="s">
        <v>42</v>
      </c>
      <c r="S114" s="22" t="s">
        <v>177</v>
      </c>
      <c r="T114" s="22" t="s">
        <v>89</v>
      </c>
      <c r="U114" s="63"/>
    </row>
    <row r="115" spans="1:21" x14ac:dyDescent="0.3">
      <c r="A115" s="14">
        <v>43641</v>
      </c>
      <c r="B115">
        <v>2019</v>
      </c>
      <c r="C115" t="s">
        <v>226</v>
      </c>
      <c r="D115" t="s">
        <v>29</v>
      </c>
      <c r="E115" t="s">
        <v>38</v>
      </c>
      <c r="F115">
        <v>2610</v>
      </c>
      <c r="G115" t="s">
        <v>194</v>
      </c>
      <c r="I115">
        <v>3268</v>
      </c>
      <c r="J115" t="s">
        <v>108</v>
      </c>
      <c r="K115" t="s">
        <v>31</v>
      </c>
      <c r="L115" s="22">
        <v>47035.004473749999</v>
      </c>
      <c r="M115" s="22" t="s">
        <v>402</v>
      </c>
      <c r="N115" s="24">
        <v>3</v>
      </c>
      <c r="O115" s="22">
        <v>11549.360473750001</v>
      </c>
      <c r="P115" s="22">
        <v>3849.7868245833338</v>
      </c>
      <c r="Q115" s="23">
        <v>0.24554819549758183</v>
      </c>
      <c r="R115" s="22" t="s">
        <v>43</v>
      </c>
      <c r="S115" s="22" t="s">
        <v>116</v>
      </c>
      <c r="T115" s="22" t="s">
        <v>90</v>
      </c>
      <c r="U115" s="63"/>
    </row>
    <row r="116" spans="1:21" x14ac:dyDescent="0.3">
      <c r="A116" s="14">
        <v>43656</v>
      </c>
      <c r="B116">
        <v>2019</v>
      </c>
      <c r="C116" t="s">
        <v>226</v>
      </c>
      <c r="D116" t="s">
        <v>29</v>
      </c>
      <c r="E116" t="s">
        <v>38</v>
      </c>
      <c r="F116">
        <v>2613</v>
      </c>
      <c r="G116" t="s">
        <v>218</v>
      </c>
      <c r="I116">
        <v>15755</v>
      </c>
      <c r="J116" t="s">
        <v>108</v>
      </c>
      <c r="K116" t="s">
        <v>31</v>
      </c>
      <c r="L116" s="22">
        <v>1795729.999365207</v>
      </c>
      <c r="M116" s="22" t="s">
        <v>400</v>
      </c>
      <c r="N116" s="24">
        <v>18</v>
      </c>
      <c r="O116" s="22">
        <v>117880.57146520707</v>
      </c>
      <c r="P116" s="22">
        <v>6548.9206369559488</v>
      </c>
      <c r="Q116" s="23">
        <v>6.5644930756226169E-2</v>
      </c>
      <c r="R116" s="22" t="s">
        <v>43</v>
      </c>
      <c r="S116" s="22" t="s">
        <v>102</v>
      </c>
      <c r="T116" s="22" t="s">
        <v>90</v>
      </c>
      <c r="U116" s="63"/>
    </row>
    <row r="117" spans="1:21" x14ac:dyDescent="0.3">
      <c r="A117" s="14">
        <v>43657</v>
      </c>
      <c r="B117">
        <v>2019</v>
      </c>
      <c r="C117" t="s">
        <v>226</v>
      </c>
      <c r="D117" t="s">
        <v>29</v>
      </c>
      <c r="E117" t="s">
        <v>45</v>
      </c>
      <c r="F117">
        <v>2615</v>
      </c>
      <c r="G117" t="s">
        <v>203</v>
      </c>
      <c r="I117">
        <v>4250</v>
      </c>
      <c r="J117" t="s">
        <v>108</v>
      </c>
      <c r="K117" t="s">
        <v>31</v>
      </c>
      <c r="L117" s="22">
        <v>172995.99622999999</v>
      </c>
      <c r="M117" s="22" t="s">
        <v>402</v>
      </c>
      <c r="N117" s="24">
        <v>6</v>
      </c>
      <c r="O117" s="22">
        <v>32119.996230000001</v>
      </c>
      <c r="P117" s="22">
        <v>5353.3327049999998</v>
      </c>
      <c r="Q117" s="23">
        <v>0.18566901506377134</v>
      </c>
      <c r="R117" s="22" t="s">
        <v>42</v>
      </c>
      <c r="S117" s="22" t="s">
        <v>50</v>
      </c>
      <c r="T117" s="22" t="s">
        <v>89</v>
      </c>
      <c r="U117" s="63"/>
    </row>
    <row r="118" spans="1:21" x14ac:dyDescent="0.3">
      <c r="A118" s="14">
        <v>43658</v>
      </c>
      <c r="B118">
        <v>2019</v>
      </c>
      <c r="C118" t="s">
        <v>226</v>
      </c>
      <c r="D118" t="s">
        <v>29</v>
      </c>
      <c r="E118" t="s">
        <v>45</v>
      </c>
      <c r="F118">
        <v>2613</v>
      </c>
      <c r="G118" t="s">
        <v>133</v>
      </c>
      <c r="I118">
        <v>3312</v>
      </c>
      <c r="J118" t="s">
        <v>156</v>
      </c>
      <c r="K118" t="s">
        <v>157</v>
      </c>
      <c r="L118" s="37">
        <v>559554.30508000008</v>
      </c>
      <c r="M118" s="22" t="s">
        <v>401</v>
      </c>
      <c r="N118" s="39">
        <v>12</v>
      </c>
      <c r="O118" s="37">
        <v>71902.63308</v>
      </c>
      <c r="P118" s="37">
        <v>5991.88609</v>
      </c>
      <c r="Q118" s="38">
        <v>0.12849983000259466</v>
      </c>
      <c r="R118" s="22" t="s">
        <v>43</v>
      </c>
      <c r="S118" s="37" t="s">
        <v>105</v>
      </c>
      <c r="T118" s="22" t="s">
        <v>90</v>
      </c>
      <c r="U118" s="63"/>
    </row>
    <row r="119" spans="1:21" x14ac:dyDescent="0.3">
      <c r="A119" s="14">
        <v>43676</v>
      </c>
      <c r="B119">
        <v>2019</v>
      </c>
      <c r="C119" t="s">
        <v>226</v>
      </c>
      <c r="D119" t="s">
        <v>29</v>
      </c>
      <c r="E119" t="s">
        <v>38</v>
      </c>
      <c r="F119">
        <v>2616</v>
      </c>
      <c r="G119" t="s">
        <v>199</v>
      </c>
      <c r="I119">
        <v>7098</v>
      </c>
      <c r="J119" t="s">
        <v>108</v>
      </c>
      <c r="K119" t="s">
        <v>31</v>
      </c>
      <c r="L119" s="22">
        <v>94147.00243475</v>
      </c>
      <c r="M119" s="22" t="s">
        <v>402</v>
      </c>
      <c r="N119" s="24">
        <v>4</v>
      </c>
      <c r="O119" s="22">
        <v>19596.252434750004</v>
      </c>
      <c r="P119" s="22">
        <v>4899.063108687501</v>
      </c>
      <c r="Q119" s="23">
        <v>0.20814526143125461</v>
      </c>
      <c r="R119" s="22" t="s">
        <v>42</v>
      </c>
      <c r="S119" s="22" t="s">
        <v>200</v>
      </c>
      <c r="T119" s="22" t="s">
        <v>90</v>
      </c>
      <c r="U119" s="63"/>
    </row>
    <row r="120" spans="1:21" x14ac:dyDescent="0.3">
      <c r="A120" s="14">
        <v>43678</v>
      </c>
      <c r="B120">
        <v>2019</v>
      </c>
      <c r="C120" t="s">
        <v>226</v>
      </c>
      <c r="D120" t="s">
        <v>29</v>
      </c>
      <c r="E120" t="s">
        <v>45</v>
      </c>
      <c r="F120">
        <v>2619</v>
      </c>
      <c r="G120" t="s">
        <v>201</v>
      </c>
      <c r="I120">
        <v>13720</v>
      </c>
      <c r="J120" t="s">
        <v>108</v>
      </c>
      <c r="K120" t="s">
        <v>31</v>
      </c>
      <c r="L120" s="22">
        <v>1573035.8770409725</v>
      </c>
      <c r="M120" s="22" t="s">
        <v>401</v>
      </c>
      <c r="N120" s="24">
        <v>27</v>
      </c>
      <c r="O120" s="22">
        <v>148374.99249587499</v>
      </c>
      <c r="P120" s="22">
        <v>5495.3700924398145</v>
      </c>
      <c r="Q120" s="23">
        <v>9.4951226717686729E-2</v>
      </c>
      <c r="R120" s="22" t="s">
        <v>42</v>
      </c>
      <c r="S120" s="22" t="s">
        <v>105</v>
      </c>
      <c r="T120" s="22" t="s">
        <v>89</v>
      </c>
      <c r="U120" s="63"/>
    </row>
    <row r="121" spans="1:21" x14ac:dyDescent="0.3">
      <c r="A121" s="14">
        <v>43679</v>
      </c>
      <c r="B121">
        <v>2019</v>
      </c>
      <c r="C121" t="s">
        <v>226</v>
      </c>
      <c r="D121" t="s">
        <v>29</v>
      </c>
      <c r="E121" t="s">
        <v>45</v>
      </c>
      <c r="F121">
        <v>2623</v>
      </c>
      <c r="G121" t="s">
        <v>205</v>
      </c>
      <c r="I121">
        <v>3596</v>
      </c>
      <c r="J121" t="s">
        <v>156</v>
      </c>
      <c r="K121" t="s">
        <v>157</v>
      </c>
      <c r="L121" s="22">
        <v>702515.73452431639</v>
      </c>
      <c r="M121" s="22" t="s">
        <v>401</v>
      </c>
      <c r="N121" s="22">
        <v>20</v>
      </c>
      <c r="O121" s="22">
        <v>96840.453756254778</v>
      </c>
      <c r="P121" s="41">
        <v>4842.0226878127387</v>
      </c>
      <c r="Q121" s="42">
        <v>0.13784809221650651</v>
      </c>
      <c r="R121" s="24" t="s">
        <v>43</v>
      </c>
      <c r="S121" s="24" t="s">
        <v>50</v>
      </c>
      <c r="T121" s="24" t="s">
        <v>90</v>
      </c>
      <c r="U121" s="63"/>
    </row>
    <row r="122" spans="1:21" x14ac:dyDescent="0.3">
      <c r="A122" s="14">
        <v>43691</v>
      </c>
      <c r="B122">
        <v>2019</v>
      </c>
      <c r="C122" t="s">
        <v>226</v>
      </c>
      <c r="D122" t="s">
        <v>29</v>
      </c>
      <c r="E122" t="s">
        <v>45</v>
      </c>
      <c r="F122">
        <v>2622</v>
      </c>
      <c r="G122" t="s">
        <v>204</v>
      </c>
      <c r="I122">
        <v>9968</v>
      </c>
      <c r="J122" t="s">
        <v>108</v>
      </c>
      <c r="K122" t="s">
        <v>31</v>
      </c>
      <c r="L122" s="22">
        <v>249619.99671760001</v>
      </c>
      <c r="M122" s="22" t="s">
        <v>402</v>
      </c>
      <c r="N122" s="22">
        <v>7</v>
      </c>
      <c r="O122" s="22">
        <v>44677.968317600004</v>
      </c>
      <c r="P122" s="41">
        <v>6382.5669025142861</v>
      </c>
      <c r="Q122" s="42">
        <v>0.17898393119580505</v>
      </c>
      <c r="R122" s="24" t="s">
        <v>43</v>
      </c>
      <c r="S122" s="24" t="s">
        <v>50</v>
      </c>
      <c r="T122" s="24" t="s">
        <v>90</v>
      </c>
      <c r="U122" s="63"/>
    </row>
    <row r="123" spans="1:21" x14ac:dyDescent="0.3">
      <c r="A123" s="14">
        <v>43700</v>
      </c>
      <c r="B123">
        <v>2019</v>
      </c>
      <c r="C123" t="s">
        <v>226</v>
      </c>
      <c r="D123" t="s">
        <v>29</v>
      </c>
      <c r="E123" t="s">
        <v>38</v>
      </c>
      <c r="F123">
        <v>2624</v>
      </c>
      <c r="G123" t="s">
        <v>174</v>
      </c>
      <c r="I123">
        <v>5855</v>
      </c>
      <c r="J123" t="s">
        <v>108</v>
      </c>
      <c r="K123" t="s">
        <v>31</v>
      </c>
      <c r="L123" s="5">
        <v>887800.99927816004</v>
      </c>
      <c r="M123" s="22" t="s">
        <v>401</v>
      </c>
      <c r="N123" s="5">
        <v>13</v>
      </c>
      <c r="O123" s="5">
        <v>78446.219278159988</v>
      </c>
      <c r="P123" s="40">
        <v>6034.3245598584608</v>
      </c>
      <c r="Q123" s="9">
        <v>8.8360138524220935E-2</v>
      </c>
      <c r="R123" t="s">
        <v>42</v>
      </c>
      <c r="S123" t="s">
        <v>105</v>
      </c>
      <c r="T123" t="s">
        <v>89</v>
      </c>
      <c r="U123" s="63"/>
    </row>
    <row r="124" spans="1:21" x14ac:dyDescent="0.3">
      <c r="A124" s="14">
        <v>43717</v>
      </c>
      <c r="B124">
        <v>2019</v>
      </c>
      <c r="C124" t="s">
        <v>228</v>
      </c>
      <c r="D124" t="s">
        <v>29</v>
      </c>
      <c r="E124" t="s">
        <v>45</v>
      </c>
      <c r="F124">
        <v>2627</v>
      </c>
      <c r="G124" t="s">
        <v>207</v>
      </c>
      <c r="I124">
        <v>5100</v>
      </c>
      <c r="J124" t="s">
        <v>156</v>
      </c>
      <c r="K124" t="s">
        <v>157</v>
      </c>
      <c r="L124" s="22">
        <v>667966.40724708128</v>
      </c>
      <c r="M124" s="22" t="s">
        <v>401</v>
      </c>
      <c r="N124" s="22">
        <v>8</v>
      </c>
      <c r="O124" s="22">
        <v>71013.544747081265</v>
      </c>
      <c r="P124" s="41">
        <v>8876.6930933851581</v>
      </c>
      <c r="Q124" s="42">
        <v>0.10631304804646156</v>
      </c>
      <c r="R124" s="24" t="s">
        <v>43</v>
      </c>
      <c r="S124" s="24" t="s">
        <v>208</v>
      </c>
      <c r="T124" s="24" t="s">
        <v>90</v>
      </c>
      <c r="U124" s="63"/>
    </row>
    <row r="125" spans="1:21" x14ac:dyDescent="0.3">
      <c r="A125" s="14">
        <v>43718</v>
      </c>
      <c r="B125">
        <v>2019</v>
      </c>
      <c r="C125" t="s">
        <v>228</v>
      </c>
      <c r="D125" t="s">
        <v>29</v>
      </c>
      <c r="E125" t="s">
        <v>38</v>
      </c>
      <c r="F125">
        <v>2626</v>
      </c>
      <c r="G125" t="s">
        <v>206</v>
      </c>
      <c r="I125">
        <v>3482</v>
      </c>
      <c r="J125" t="s">
        <v>108</v>
      </c>
      <c r="K125" t="s">
        <v>31</v>
      </c>
      <c r="L125" s="5">
        <v>630887.99970490008</v>
      </c>
      <c r="M125" s="22" t="s">
        <v>401</v>
      </c>
      <c r="N125" s="5">
        <v>11</v>
      </c>
      <c r="O125" s="5">
        <v>67463.887224899998</v>
      </c>
      <c r="P125" s="40">
        <v>6133.0806568090911</v>
      </c>
      <c r="Q125" s="9">
        <v>0.10693480816952684</v>
      </c>
      <c r="R125" t="s">
        <v>43</v>
      </c>
      <c r="S125" t="s">
        <v>105</v>
      </c>
      <c r="T125" t="s">
        <v>90</v>
      </c>
      <c r="U125" s="63"/>
    </row>
    <row r="126" spans="1:21" x14ac:dyDescent="0.3">
      <c r="A126" s="14">
        <v>43727</v>
      </c>
      <c r="B126">
        <v>2019</v>
      </c>
      <c r="C126" t="s">
        <v>228</v>
      </c>
      <c r="D126" t="s">
        <v>29</v>
      </c>
      <c r="E126" t="s">
        <v>45</v>
      </c>
      <c r="F126">
        <v>2631</v>
      </c>
      <c r="G126" t="s">
        <v>260</v>
      </c>
      <c r="I126">
        <v>1000</v>
      </c>
      <c r="J126" t="s">
        <v>108</v>
      </c>
      <c r="K126" t="s">
        <v>31</v>
      </c>
      <c r="L126" s="22">
        <v>10030.004150000001</v>
      </c>
      <c r="M126" s="22" t="s">
        <v>402</v>
      </c>
      <c r="N126" s="22">
        <v>1</v>
      </c>
      <c r="O126" s="22">
        <v>1607.50415</v>
      </c>
      <c r="P126" s="41">
        <v>1607.50415</v>
      </c>
      <c r="Q126" s="42">
        <v>0.16026953986853534</v>
      </c>
      <c r="R126" s="24" t="s">
        <v>42</v>
      </c>
      <c r="S126" s="24" t="s">
        <v>212</v>
      </c>
      <c r="T126" s="24" t="s">
        <v>89</v>
      </c>
      <c r="U126" s="63"/>
    </row>
    <row r="127" spans="1:21" x14ac:dyDescent="0.3">
      <c r="A127" s="14">
        <v>43728</v>
      </c>
      <c r="B127">
        <v>2019</v>
      </c>
      <c r="C127" t="s">
        <v>228</v>
      </c>
      <c r="D127" t="s">
        <v>29</v>
      </c>
      <c r="E127" t="s">
        <v>45</v>
      </c>
      <c r="F127">
        <v>2628</v>
      </c>
      <c r="G127" t="s">
        <v>209</v>
      </c>
      <c r="I127">
        <v>500</v>
      </c>
      <c r="J127" t="s">
        <v>108</v>
      </c>
      <c r="K127" t="s">
        <v>31</v>
      </c>
      <c r="L127" s="22">
        <v>31631.687807500002</v>
      </c>
      <c r="M127" s="22" t="s">
        <v>402</v>
      </c>
      <c r="N127" s="22">
        <v>2</v>
      </c>
      <c r="O127" s="22">
        <v>8388.0140575000005</v>
      </c>
      <c r="P127" s="41">
        <v>4194.0070287500002</v>
      </c>
      <c r="Q127" s="42">
        <v>0.26517756841009188</v>
      </c>
      <c r="R127" s="24" t="s">
        <v>43</v>
      </c>
      <c r="S127" s="24" t="s">
        <v>126</v>
      </c>
      <c r="T127" s="24" t="s">
        <v>90</v>
      </c>
      <c r="U127" s="63"/>
    </row>
    <row r="128" spans="1:21" x14ac:dyDescent="0.3">
      <c r="A128" s="14">
        <v>43732</v>
      </c>
      <c r="B128">
        <v>2019</v>
      </c>
      <c r="C128" t="s">
        <v>228</v>
      </c>
      <c r="D128" t="s">
        <v>29</v>
      </c>
      <c r="E128" t="s">
        <v>45</v>
      </c>
      <c r="F128">
        <v>2629</v>
      </c>
      <c r="G128" t="s">
        <v>210</v>
      </c>
      <c r="I128">
        <v>200</v>
      </c>
      <c r="J128" t="s">
        <v>108</v>
      </c>
      <c r="K128" t="s">
        <v>31</v>
      </c>
      <c r="L128" s="22">
        <v>22431.306700000001</v>
      </c>
      <c r="M128" s="22" t="s">
        <v>402</v>
      </c>
      <c r="N128" s="22">
        <v>2</v>
      </c>
      <c r="O128" s="22">
        <v>5548.3067000000001</v>
      </c>
      <c r="P128" s="41">
        <v>2774.15335</v>
      </c>
      <c r="Q128" s="42">
        <v>0.2473465667517265</v>
      </c>
      <c r="R128" s="24" t="s">
        <v>43</v>
      </c>
      <c r="S128" s="24" t="s">
        <v>177</v>
      </c>
      <c r="T128" s="24" t="s">
        <v>90</v>
      </c>
      <c r="U128" s="63"/>
    </row>
    <row r="129" spans="1:21" x14ac:dyDescent="0.3">
      <c r="A129" s="14">
        <v>43737</v>
      </c>
      <c r="B129">
        <v>2019</v>
      </c>
      <c r="C129" t="s">
        <v>228</v>
      </c>
      <c r="D129" t="s">
        <v>35</v>
      </c>
      <c r="E129" t="s">
        <v>36</v>
      </c>
      <c r="F129">
        <v>2631</v>
      </c>
      <c r="G129" t="s">
        <v>284</v>
      </c>
      <c r="I129">
        <v>118200</v>
      </c>
      <c r="J129" t="s">
        <v>156</v>
      </c>
      <c r="K129" t="s">
        <v>157</v>
      </c>
      <c r="L129" s="22"/>
      <c r="M129" s="22" t="s">
        <v>402</v>
      </c>
      <c r="N129" s="24"/>
      <c r="O129" s="22"/>
      <c r="P129" s="22"/>
      <c r="Q129" s="23"/>
      <c r="R129" s="22" t="s">
        <v>43</v>
      </c>
      <c r="S129" s="22" t="s">
        <v>116</v>
      </c>
      <c r="T129" s="22" t="s">
        <v>90</v>
      </c>
      <c r="U129" s="63"/>
    </row>
    <row r="130" spans="1:21" x14ac:dyDescent="0.3">
      <c r="A130" s="14">
        <v>43738</v>
      </c>
      <c r="B130">
        <v>2019</v>
      </c>
      <c r="C130" t="s">
        <v>228</v>
      </c>
      <c r="D130" t="s">
        <v>29</v>
      </c>
      <c r="E130" t="s">
        <v>45</v>
      </c>
      <c r="F130">
        <v>2625</v>
      </c>
      <c r="G130" t="s">
        <v>257</v>
      </c>
      <c r="I130">
        <v>2100</v>
      </c>
      <c r="J130" t="s">
        <v>156</v>
      </c>
      <c r="K130" t="s">
        <v>157</v>
      </c>
      <c r="L130" s="22">
        <v>112079.10049349999</v>
      </c>
      <c r="M130" s="22" t="s">
        <v>402</v>
      </c>
      <c r="N130" s="22">
        <v>5</v>
      </c>
      <c r="O130" s="22">
        <v>25167.600470000001</v>
      </c>
      <c r="P130" s="41">
        <v>5033.5200940000004</v>
      </c>
      <c r="Q130" s="42">
        <v>0.23577973393025731</v>
      </c>
      <c r="R130" s="24" t="s">
        <v>42</v>
      </c>
      <c r="S130" s="24" t="s">
        <v>208</v>
      </c>
      <c r="T130" s="24" t="s">
        <v>89</v>
      </c>
      <c r="U130" s="63"/>
    </row>
    <row r="131" spans="1:21" x14ac:dyDescent="0.3">
      <c r="A131" s="14">
        <v>43739</v>
      </c>
      <c r="B131">
        <v>2019</v>
      </c>
      <c r="C131" t="s">
        <v>228</v>
      </c>
      <c r="D131" t="s">
        <v>29</v>
      </c>
      <c r="E131" t="s">
        <v>45</v>
      </c>
      <c r="F131">
        <v>2606</v>
      </c>
      <c r="G131" t="s">
        <v>223</v>
      </c>
      <c r="I131">
        <v>4100</v>
      </c>
      <c r="J131" t="s">
        <v>156</v>
      </c>
      <c r="K131" t="s">
        <v>157</v>
      </c>
      <c r="L131" s="22">
        <v>282460.57420087501</v>
      </c>
      <c r="M131" s="22" t="s">
        <v>402</v>
      </c>
      <c r="N131" s="22">
        <v>6</v>
      </c>
      <c r="O131" s="22">
        <v>32334.944075875002</v>
      </c>
      <c r="P131" s="41">
        <v>5389.1573459791671</v>
      </c>
      <c r="Q131" s="42">
        <v>0.11447595533414034</v>
      </c>
      <c r="R131" s="24" t="s">
        <v>42</v>
      </c>
      <c r="S131" s="24" t="s">
        <v>177</v>
      </c>
      <c r="T131" s="24" t="s">
        <v>89</v>
      </c>
      <c r="U131" s="63"/>
    </row>
    <row r="132" spans="1:21" x14ac:dyDescent="0.3">
      <c r="A132" s="14">
        <v>43745</v>
      </c>
      <c r="B132">
        <v>2019</v>
      </c>
      <c r="C132" t="s">
        <v>228</v>
      </c>
      <c r="D132" t="s">
        <v>29</v>
      </c>
      <c r="E132" t="s">
        <v>38</v>
      </c>
      <c r="F132">
        <v>2631</v>
      </c>
      <c r="G132" t="s">
        <v>222</v>
      </c>
      <c r="I132">
        <v>800</v>
      </c>
      <c r="J132" t="s">
        <v>108</v>
      </c>
      <c r="K132" t="s">
        <v>31</v>
      </c>
      <c r="L132" s="22">
        <v>56455.895375</v>
      </c>
      <c r="M132" s="22" t="s">
        <v>402</v>
      </c>
      <c r="N132" s="22">
        <v>3</v>
      </c>
      <c r="O132" s="22">
        <v>7408.7953750000006</v>
      </c>
      <c r="P132" s="41">
        <v>2469.5984583333334</v>
      </c>
      <c r="Q132" s="42">
        <v>0.13123156272322251</v>
      </c>
      <c r="R132" s="24" t="s">
        <v>43</v>
      </c>
      <c r="S132" s="24" t="s">
        <v>50</v>
      </c>
      <c r="T132" s="24" t="s">
        <v>90</v>
      </c>
      <c r="U132" s="63"/>
    </row>
    <row r="133" spans="1:21" x14ac:dyDescent="0.3">
      <c r="A133" s="14">
        <v>43755</v>
      </c>
      <c r="B133">
        <v>2019</v>
      </c>
      <c r="C133" t="s">
        <v>228</v>
      </c>
      <c r="D133" t="s">
        <v>29</v>
      </c>
      <c r="E133" t="s">
        <v>30</v>
      </c>
      <c r="F133">
        <v>2633</v>
      </c>
      <c r="G133" t="s">
        <v>219</v>
      </c>
      <c r="I133">
        <v>350</v>
      </c>
      <c r="J133" t="s">
        <v>108</v>
      </c>
      <c r="K133" t="s">
        <v>31</v>
      </c>
      <c r="L133" s="22">
        <v>82194.997471499999</v>
      </c>
      <c r="M133" s="22" t="s">
        <v>402</v>
      </c>
      <c r="N133" s="22">
        <v>3</v>
      </c>
      <c r="O133" s="22">
        <v>16195.7779715</v>
      </c>
      <c r="P133" s="41">
        <v>5398.5926571666669</v>
      </c>
      <c r="Q133" s="42">
        <v>0.19704092061217796</v>
      </c>
      <c r="R133" s="24" t="s">
        <v>43</v>
      </c>
      <c r="S133" s="24" t="s">
        <v>105</v>
      </c>
      <c r="T133" s="24" t="s">
        <v>90</v>
      </c>
      <c r="U133" s="63"/>
    </row>
    <row r="134" spans="1:21" x14ac:dyDescent="0.3">
      <c r="A134" s="14">
        <v>43756</v>
      </c>
      <c r="B134">
        <v>2019</v>
      </c>
      <c r="C134" t="s">
        <v>228</v>
      </c>
      <c r="D134" t="s">
        <v>29</v>
      </c>
      <c r="E134" t="s">
        <v>45</v>
      </c>
      <c r="F134">
        <v>2636</v>
      </c>
      <c r="G134" t="s">
        <v>221</v>
      </c>
      <c r="I134">
        <v>294</v>
      </c>
      <c r="J134" t="s">
        <v>108</v>
      </c>
      <c r="K134" t="s">
        <v>31</v>
      </c>
      <c r="L134" s="22">
        <v>31940.000260000001</v>
      </c>
      <c r="M134" s="22" t="s">
        <v>402</v>
      </c>
      <c r="N134" s="22">
        <v>2</v>
      </c>
      <c r="O134" s="22">
        <v>6414.5002599999998</v>
      </c>
      <c r="P134" s="41">
        <v>3207.2501299999999</v>
      </c>
      <c r="Q134" s="42">
        <v>0.20082968715667754</v>
      </c>
      <c r="R134" s="24" t="s">
        <v>43</v>
      </c>
      <c r="S134" s="24" t="s">
        <v>208</v>
      </c>
      <c r="T134" s="24" t="s">
        <v>90</v>
      </c>
      <c r="U134" s="63"/>
    </row>
    <row r="135" spans="1:21" x14ac:dyDescent="0.3">
      <c r="A135" s="14">
        <v>43757</v>
      </c>
      <c r="B135">
        <v>2019</v>
      </c>
      <c r="C135" t="s">
        <v>228</v>
      </c>
      <c r="D135" t="s">
        <v>29</v>
      </c>
      <c r="E135" t="s">
        <v>45</v>
      </c>
      <c r="F135">
        <v>2635</v>
      </c>
      <c r="G135" t="s">
        <v>220</v>
      </c>
      <c r="I135">
        <v>100</v>
      </c>
      <c r="J135" t="s">
        <v>108</v>
      </c>
      <c r="K135" t="s">
        <v>31</v>
      </c>
      <c r="L135" s="22">
        <v>14709.923150000001</v>
      </c>
      <c r="M135" s="22" t="s">
        <v>402</v>
      </c>
      <c r="N135" s="22">
        <v>2</v>
      </c>
      <c r="O135" s="22">
        <v>4755.0506500000001</v>
      </c>
      <c r="P135" s="41">
        <v>2377.5253250000001</v>
      </c>
      <c r="Q135" s="42">
        <v>0.323254622169797</v>
      </c>
      <c r="R135" s="24" t="s">
        <v>42</v>
      </c>
      <c r="S135" s="24" t="s">
        <v>208</v>
      </c>
      <c r="T135" s="24" t="s">
        <v>90</v>
      </c>
      <c r="U135" s="63"/>
    </row>
    <row r="136" spans="1:21" x14ac:dyDescent="0.3">
      <c r="A136" s="14">
        <v>43759</v>
      </c>
      <c r="B136">
        <v>2019</v>
      </c>
      <c r="C136" t="s">
        <v>228</v>
      </c>
      <c r="D136" t="s">
        <v>29</v>
      </c>
      <c r="E136" t="s">
        <v>45</v>
      </c>
      <c r="F136">
        <v>2636</v>
      </c>
      <c r="G136" t="s">
        <v>244</v>
      </c>
      <c r="I136">
        <v>7500</v>
      </c>
      <c r="J136" t="s">
        <v>245</v>
      </c>
      <c r="K136" t="s">
        <v>157</v>
      </c>
      <c r="L136" s="37">
        <v>1095768.3278749122</v>
      </c>
      <c r="M136" s="22" t="s">
        <v>401</v>
      </c>
      <c r="N136" s="39">
        <v>18</v>
      </c>
      <c r="O136" s="37">
        <v>113458.96418454911</v>
      </c>
      <c r="P136" s="37">
        <v>6303.2757880305062</v>
      </c>
      <c r="Q136" s="38">
        <v>0.10354283957502837</v>
      </c>
      <c r="R136" s="22" t="s">
        <v>43</v>
      </c>
      <c r="S136" s="37" t="s">
        <v>208</v>
      </c>
      <c r="T136" s="37" t="s">
        <v>90</v>
      </c>
      <c r="U136" s="63"/>
    </row>
    <row r="137" spans="1:21" x14ac:dyDescent="0.3">
      <c r="A137" s="14">
        <v>43781</v>
      </c>
      <c r="B137">
        <v>2019</v>
      </c>
      <c r="C137" t="s">
        <v>228</v>
      </c>
      <c r="D137" t="s">
        <v>29</v>
      </c>
      <c r="E137" t="s">
        <v>30</v>
      </c>
      <c r="F137">
        <v>2640</v>
      </c>
      <c r="G137" t="s">
        <v>251</v>
      </c>
      <c r="I137">
        <v>18960</v>
      </c>
      <c r="J137" t="s">
        <v>108</v>
      </c>
      <c r="K137" t="s">
        <v>31</v>
      </c>
      <c r="L137" s="37">
        <v>739268.6714204828</v>
      </c>
      <c r="M137" s="22" t="s">
        <v>401</v>
      </c>
      <c r="N137" s="39">
        <v>9</v>
      </c>
      <c r="O137" s="37">
        <v>56949.119275229132</v>
      </c>
      <c r="P137" s="37">
        <v>6327.6799194699033</v>
      </c>
      <c r="Q137" s="38">
        <v>7.703440099227131E-2</v>
      </c>
      <c r="R137" s="22" t="s">
        <v>43</v>
      </c>
      <c r="S137" s="22" t="s">
        <v>105</v>
      </c>
      <c r="T137" s="22" t="s">
        <v>90</v>
      </c>
      <c r="U137" s="63"/>
    </row>
    <row r="138" spans="1:21" x14ac:dyDescent="0.3">
      <c r="A138" s="14">
        <v>43782</v>
      </c>
      <c r="B138">
        <v>2019</v>
      </c>
      <c r="C138" t="s">
        <v>228</v>
      </c>
      <c r="D138" t="s">
        <v>29</v>
      </c>
      <c r="E138" t="s">
        <v>30</v>
      </c>
      <c r="F138">
        <v>2645</v>
      </c>
      <c r="G138" t="s">
        <v>281</v>
      </c>
      <c r="J138" t="s">
        <v>156</v>
      </c>
      <c r="K138" t="s">
        <v>157</v>
      </c>
      <c r="L138" s="22">
        <v>400000</v>
      </c>
      <c r="M138" s="22" t="s">
        <v>402</v>
      </c>
      <c r="N138" s="24">
        <v>8</v>
      </c>
      <c r="O138" s="22"/>
      <c r="P138" s="22"/>
      <c r="Q138" s="23">
        <v>0.15</v>
      </c>
      <c r="R138" s="22" t="s">
        <v>43</v>
      </c>
      <c r="S138" s="22" t="s">
        <v>208</v>
      </c>
      <c r="T138" s="22" t="s">
        <v>90</v>
      </c>
      <c r="U138" s="63"/>
    </row>
    <row r="139" spans="1:21" x14ac:dyDescent="0.3">
      <c r="A139" s="14">
        <v>43787</v>
      </c>
      <c r="B139">
        <v>2019</v>
      </c>
      <c r="C139" t="s">
        <v>228</v>
      </c>
      <c r="D139" t="s">
        <v>29</v>
      </c>
      <c r="E139" t="s">
        <v>45</v>
      </c>
      <c r="F139">
        <v>2638</v>
      </c>
      <c r="G139" t="s">
        <v>269</v>
      </c>
      <c r="I139">
        <v>3150</v>
      </c>
      <c r="J139" t="s">
        <v>108</v>
      </c>
      <c r="K139" t="s">
        <v>31</v>
      </c>
      <c r="L139" s="37">
        <v>82250.000096000003</v>
      </c>
      <c r="M139" s="22" t="s">
        <v>409</v>
      </c>
      <c r="N139" s="39">
        <v>4</v>
      </c>
      <c r="O139" s="37">
        <v>12199.740096</v>
      </c>
      <c r="P139" s="37">
        <v>3049.9350239999999</v>
      </c>
      <c r="Q139" s="38">
        <v>0.14832510737703086</v>
      </c>
      <c r="R139" s="22" t="s">
        <v>42</v>
      </c>
      <c r="S139" s="22" t="s">
        <v>247</v>
      </c>
      <c r="T139" s="22" t="s">
        <v>89</v>
      </c>
      <c r="U139" s="63"/>
    </row>
    <row r="140" spans="1:21" x14ac:dyDescent="0.3">
      <c r="A140" s="14">
        <v>43794</v>
      </c>
      <c r="B140">
        <v>2019</v>
      </c>
      <c r="C140" t="s">
        <v>228</v>
      </c>
      <c r="D140" t="s">
        <v>29</v>
      </c>
      <c r="E140" t="s">
        <v>30</v>
      </c>
      <c r="F140">
        <v>2644</v>
      </c>
      <c r="G140" t="s">
        <v>248</v>
      </c>
      <c r="I140">
        <v>500</v>
      </c>
      <c r="J140" t="s">
        <v>108</v>
      </c>
      <c r="K140" t="s">
        <v>31</v>
      </c>
      <c r="L140" s="37">
        <v>60908.513565900001</v>
      </c>
      <c r="M140" s="22" t="s">
        <v>409</v>
      </c>
      <c r="N140" s="39">
        <v>3</v>
      </c>
      <c r="O140" s="37">
        <v>14295.193558000001</v>
      </c>
      <c r="P140" s="37">
        <v>4765.0645193333339</v>
      </c>
      <c r="Q140" s="38">
        <v>0.24643440394683042</v>
      </c>
      <c r="R140" s="22" t="s">
        <v>42</v>
      </c>
      <c r="S140" s="37" t="s">
        <v>50</v>
      </c>
      <c r="T140" s="22" t="s">
        <v>89</v>
      </c>
      <c r="U140" s="63"/>
    </row>
    <row r="141" spans="1:21" x14ac:dyDescent="0.3">
      <c r="A141" s="14">
        <v>43798</v>
      </c>
      <c r="B141">
        <v>2019</v>
      </c>
      <c r="C141" t="s">
        <v>228</v>
      </c>
      <c r="D141" t="s">
        <v>29</v>
      </c>
      <c r="E141" t="s">
        <v>38</v>
      </c>
      <c r="F141">
        <v>2647</v>
      </c>
      <c r="G141" t="s">
        <v>249</v>
      </c>
      <c r="H141" t="s">
        <v>235</v>
      </c>
      <c r="I141">
        <v>2863.0625</v>
      </c>
      <c r="J141" t="s">
        <v>108</v>
      </c>
      <c r="K141" t="s">
        <v>31</v>
      </c>
      <c r="L141" s="37">
        <v>480660.00266619999</v>
      </c>
      <c r="M141" s="22" t="s">
        <v>402</v>
      </c>
      <c r="N141" s="39">
        <v>10</v>
      </c>
      <c r="O141" s="37">
        <v>49961.622616199995</v>
      </c>
      <c r="P141" s="37">
        <v>4996.1622616199993</v>
      </c>
      <c r="Q141" s="38">
        <v>0.10394379049445567</v>
      </c>
      <c r="R141" s="22" t="s">
        <v>43</v>
      </c>
      <c r="S141" s="22" t="s">
        <v>250</v>
      </c>
      <c r="T141" s="22" t="s">
        <v>90</v>
      </c>
      <c r="U141" s="63"/>
    </row>
    <row r="142" spans="1:21" x14ac:dyDescent="0.3">
      <c r="A142" s="14">
        <v>43815</v>
      </c>
      <c r="B142">
        <v>2020</v>
      </c>
      <c r="C142" t="s">
        <v>229</v>
      </c>
      <c r="D142" t="s">
        <v>57</v>
      </c>
      <c r="E142" t="s">
        <v>114</v>
      </c>
      <c r="F142">
        <v>2649</v>
      </c>
      <c r="G142" t="s">
        <v>270</v>
      </c>
      <c r="H142" t="s">
        <v>235</v>
      </c>
      <c r="I142">
        <v>1900</v>
      </c>
      <c r="J142" t="s">
        <v>108</v>
      </c>
      <c r="K142" t="s">
        <v>31</v>
      </c>
      <c r="L142" s="22">
        <v>240298.21365679998</v>
      </c>
      <c r="M142" s="22" t="s">
        <v>402</v>
      </c>
      <c r="N142" s="24">
        <v>5</v>
      </c>
      <c r="O142" s="22">
        <v>28428.389150800002</v>
      </c>
      <c r="P142" s="22">
        <v>5685.6778301600007</v>
      </c>
      <c r="Q142" s="23">
        <v>0.11830462123785135</v>
      </c>
      <c r="R142" s="22" t="s">
        <v>42</v>
      </c>
      <c r="S142" s="22" t="s">
        <v>50</v>
      </c>
      <c r="T142" s="22" t="s">
        <v>89</v>
      </c>
      <c r="U142" s="63">
        <f>+DATA[[#This Row],[Estimate Price]]</f>
        <v>240298.21365679998</v>
      </c>
    </row>
    <row r="143" spans="1:21" x14ac:dyDescent="0.3">
      <c r="A143" s="14">
        <v>43838</v>
      </c>
      <c r="B143">
        <v>2020</v>
      </c>
      <c r="C143" t="s">
        <v>229</v>
      </c>
      <c r="D143" t="s">
        <v>29</v>
      </c>
      <c r="E143" t="s">
        <v>38</v>
      </c>
      <c r="F143">
        <v>2652</v>
      </c>
      <c r="G143" t="s">
        <v>280</v>
      </c>
      <c r="H143" t="s">
        <v>234</v>
      </c>
      <c r="I143">
        <v>3995</v>
      </c>
      <c r="J143" t="s">
        <v>108</v>
      </c>
      <c r="K143" t="s">
        <v>31</v>
      </c>
      <c r="L143" s="66">
        <v>63379.997277499999</v>
      </c>
      <c r="M143" s="22" t="s">
        <v>409</v>
      </c>
      <c r="N143" s="67">
        <v>5</v>
      </c>
      <c r="O143" s="66">
        <v>14293.5992775</v>
      </c>
      <c r="P143" s="66">
        <v>2858.7198555</v>
      </c>
      <c r="Q143" s="68">
        <v>0.22552224505339716</v>
      </c>
      <c r="R143" s="66" t="s">
        <v>43</v>
      </c>
      <c r="S143" s="66" t="s">
        <v>208</v>
      </c>
      <c r="T143" s="66" t="s">
        <v>90</v>
      </c>
      <c r="U143" s="63"/>
    </row>
    <row r="144" spans="1:21" x14ac:dyDescent="0.3">
      <c r="A144" s="14">
        <v>43840</v>
      </c>
      <c r="B144">
        <v>2020</v>
      </c>
      <c r="C144" t="s">
        <v>229</v>
      </c>
      <c r="D144" t="s">
        <v>29</v>
      </c>
      <c r="E144" t="s">
        <v>38</v>
      </c>
      <c r="F144">
        <v>2654</v>
      </c>
      <c r="G144" t="s">
        <v>272</v>
      </c>
      <c r="H144" t="s">
        <v>234</v>
      </c>
      <c r="I144">
        <v>17060</v>
      </c>
      <c r="J144" t="s">
        <v>156</v>
      </c>
      <c r="K144" t="s">
        <v>157</v>
      </c>
      <c r="L144" s="66">
        <v>3219139.7429162404</v>
      </c>
      <c r="M144" s="22" t="s">
        <v>400</v>
      </c>
      <c r="N144" s="67">
        <v>26</v>
      </c>
      <c r="O144" s="66">
        <v>201721.24517840001</v>
      </c>
      <c r="P144" s="66">
        <v>7758.5094299384618</v>
      </c>
      <c r="Q144" s="68">
        <v>6.8929399596435445E-2</v>
      </c>
      <c r="R144" s="22" t="s">
        <v>43</v>
      </c>
      <c r="S144" s="66" t="s">
        <v>177</v>
      </c>
      <c r="T144" s="66" t="s">
        <v>90</v>
      </c>
      <c r="U144" s="63"/>
    </row>
    <row r="145" spans="1:21" x14ac:dyDescent="0.3">
      <c r="A145" s="14">
        <v>43844</v>
      </c>
      <c r="B145">
        <v>2020</v>
      </c>
      <c r="C145" t="s">
        <v>229</v>
      </c>
      <c r="D145" t="s">
        <v>29</v>
      </c>
      <c r="E145" t="s">
        <v>30</v>
      </c>
      <c r="F145">
        <v>2651</v>
      </c>
      <c r="G145" t="s">
        <v>279</v>
      </c>
      <c r="H145" t="s">
        <v>233</v>
      </c>
      <c r="I145">
        <v>1944</v>
      </c>
      <c r="J145" t="s">
        <v>108</v>
      </c>
      <c r="K145" t="s">
        <v>31</v>
      </c>
      <c r="L145" s="66">
        <v>164240.00208665</v>
      </c>
      <c r="M145" s="22" t="s">
        <v>402</v>
      </c>
      <c r="N145" s="67">
        <v>4</v>
      </c>
      <c r="O145" s="66">
        <v>20395.342086650002</v>
      </c>
      <c r="P145" s="66">
        <v>5098.8355216625005</v>
      </c>
      <c r="Q145" s="68">
        <v>0.12418011341652196</v>
      </c>
      <c r="R145" s="66" t="s">
        <v>43</v>
      </c>
      <c r="S145" s="66" t="s">
        <v>50</v>
      </c>
      <c r="T145" s="66" t="s">
        <v>90</v>
      </c>
      <c r="U145" s="63"/>
    </row>
    <row r="146" spans="1:21" x14ac:dyDescent="0.3">
      <c r="A146" s="14">
        <v>43850</v>
      </c>
      <c r="B146">
        <v>2020</v>
      </c>
      <c r="C146" t="s">
        <v>229</v>
      </c>
      <c r="D146" t="s">
        <v>29</v>
      </c>
      <c r="E146" t="s">
        <v>45</v>
      </c>
      <c r="F146">
        <v>2659</v>
      </c>
      <c r="G146" t="s">
        <v>288</v>
      </c>
      <c r="H146" t="s">
        <v>233</v>
      </c>
      <c r="I146">
        <v>150</v>
      </c>
      <c r="J146" t="s">
        <v>108</v>
      </c>
      <c r="K146" t="s">
        <v>31</v>
      </c>
      <c r="L146" s="22">
        <v>308639.53000000003</v>
      </c>
      <c r="M146" s="22" t="s">
        <v>402</v>
      </c>
      <c r="N146" s="24">
        <v>6</v>
      </c>
      <c r="O146" s="22">
        <v>47210.75</v>
      </c>
      <c r="P146" s="22">
        <v>7868</v>
      </c>
      <c r="Q146" s="23">
        <v>0.15</v>
      </c>
      <c r="R146" s="22" t="s">
        <v>43</v>
      </c>
      <c r="S146" s="22" t="s">
        <v>208</v>
      </c>
      <c r="T146" s="22" t="s">
        <v>90</v>
      </c>
      <c r="U146" s="63"/>
    </row>
    <row r="147" spans="1:21" x14ac:dyDescent="0.3">
      <c r="A147" s="14">
        <v>43852</v>
      </c>
      <c r="B147">
        <v>2020</v>
      </c>
      <c r="C147" t="s">
        <v>229</v>
      </c>
      <c r="D147" t="s">
        <v>29</v>
      </c>
      <c r="E147" t="s">
        <v>45</v>
      </c>
      <c r="F147">
        <v>2655</v>
      </c>
      <c r="G147" t="s">
        <v>274</v>
      </c>
      <c r="H147" t="s">
        <v>233</v>
      </c>
      <c r="I147">
        <v>2400</v>
      </c>
      <c r="J147" t="s">
        <v>108</v>
      </c>
      <c r="K147" t="s">
        <v>31</v>
      </c>
      <c r="L147" s="66">
        <v>9349.9952499999999</v>
      </c>
      <c r="M147" s="22" t="s">
        <v>409</v>
      </c>
      <c r="N147" s="67">
        <v>1</v>
      </c>
      <c r="O147" s="66">
        <v>1997.4952500000002</v>
      </c>
      <c r="P147" s="66">
        <v>1997.4952500000002</v>
      </c>
      <c r="Q147" s="68">
        <v>0.21363596414661282</v>
      </c>
      <c r="R147" s="22" t="s">
        <v>42</v>
      </c>
      <c r="S147" s="66" t="s">
        <v>208</v>
      </c>
      <c r="T147" s="22" t="s">
        <v>89</v>
      </c>
      <c r="U147" s="63">
        <f>+DATA[[#This Row],[Estimate Price]]</f>
        <v>9349.9952499999999</v>
      </c>
    </row>
    <row r="148" spans="1:21" x14ac:dyDescent="0.3">
      <c r="A148" s="14">
        <v>43853</v>
      </c>
      <c r="B148">
        <v>2020</v>
      </c>
      <c r="C148" t="s">
        <v>229</v>
      </c>
      <c r="D148" t="s">
        <v>29</v>
      </c>
      <c r="E148" t="s">
        <v>30</v>
      </c>
      <c r="F148">
        <v>2656</v>
      </c>
      <c r="G148" t="s">
        <v>286</v>
      </c>
      <c r="H148" t="s">
        <v>234</v>
      </c>
      <c r="I148">
        <v>35316</v>
      </c>
      <c r="J148" t="s">
        <v>108</v>
      </c>
      <c r="K148" t="s">
        <v>31</v>
      </c>
      <c r="L148" s="66">
        <v>994569.99645600002</v>
      </c>
      <c r="M148" s="22" t="s">
        <v>401</v>
      </c>
      <c r="N148" s="67">
        <v>10</v>
      </c>
      <c r="O148" s="66">
        <v>60724.203256000001</v>
      </c>
      <c r="P148" s="66">
        <v>6072.4203256000001</v>
      </c>
      <c r="Q148" s="68">
        <v>6.105573611951047E-2</v>
      </c>
      <c r="R148" s="22" t="s">
        <v>43</v>
      </c>
      <c r="S148" s="66" t="s">
        <v>276</v>
      </c>
      <c r="T148" s="66" t="s">
        <v>90</v>
      </c>
      <c r="U148" s="63"/>
    </row>
    <row r="149" spans="1:21" x14ac:dyDescent="0.3">
      <c r="A149" s="14">
        <v>43853</v>
      </c>
      <c r="B149">
        <v>2020</v>
      </c>
      <c r="C149" t="s">
        <v>229</v>
      </c>
      <c r="D149" t="s">
        <v>29</v>
      </c>
      <c r="E149" t="s">
        <v>45</v>
      </c>
      <c r="F149">
        <v>2657</v>
      </c>
      <c r="G149" t="s">
        <v>287</v>
      </c>
      <c r="H149" t="s">
        <v>233</v>
      </c>
      <c r="I149">
        <v>3150</v>
      </c>
      <c r="J149" t="s">
        <v>156</v>
      </c>
      <c r="K149" t="s">
        <v>157</v>
      </c>
      <c r="L149" s="22">
        <v>180183.99573600001</v>
      </c>
      <c r="M149" s="22" t="s">
        <v>402</v>
      </c>
      <c r="N149" s="24">
        <v>6</v>
      </c>
      <c r="O149" s="22">
        <v>25158.827366000001</v>
      </c>
      <c r="P149" s="22">
        <v>4193.1378943333339</v>
      </c>
      <c r="Q149" s="23">
        <v>0.13962853506069392</v>
      </c>
      <c r="R149" s="22" t="s">
        <v>43</v>
      </c>
      <c r="S149" s="22" t="s">
        <v>208</v>
      </c>
      <c r="T149" s="22" t="s">
        <v>90</v>
      </c>
      <c r="U149" s="63"/>
    </row>
    <row r="150" spans="1:21" x14ac:dyDescent="0.3">
      <c r="A150" s="14">
        <v>43867</v>
      </c>
      <c r="B150">
        <v>2020</v>
      </c>
      <c r="C150" t="s">
        <v>229</v>
      </c>
      <c r="D150" t="s">
        <v>29</v>
      </c>
      <c r="E150" t="s">
        <v>45</v>
      </c>
      <c r="F150">
        <v>2658</v>
      </c>
      <c r="G150" t="s">
        <v>277</v>
      </c>
      <c r="H150" t="s">
        <v>233</v>
      </c>
      <c r="I150">
        <v>2300</v>
      </c>
      <c r="J150" t="s">
        <v>156</v>
      </c>
      <c r="K150" t="s">
        <v>157</v>
      </c>
      <c r="L150" s="66">
        <v>584600</v>
      </c>
      <c r="M150" s="22" t="s">
        <v>401</v>
      </c>
      <c r="N150" s="67">
        <v>10</v>
      </c>
      <c r="O150" s="66">
        <v>51051</v>
      </c>
      <c r="P150" s="66">
        <v>5105</v>
      </c>
      <c r="Q150" s="68">
        <v>8.7300000000000003E-2</v>
      </c>
      <c r="R150" s="22" t="s">
        <v>42</v>
      </c>
      <c r="S150" s="22" t="s">
        <v>208</v>
      </c>
      <c r="T150" s="22" t="s">
        <v>89</v>
      </c>
      <c r="U150" s="63">
        <f>+DATA[[#This Row],[Estimate Price]]</f>
        <v>584600</v>
      </c>
    </row>
    <row r="151" spans="1:21" x14ac:dyDescent="0.3">
      <c r="A151" s="14">
        <v>43860</v>
      </c>
      <c r="B151">
        <v>2020</v>
      </c>
      <c r="C151" t="s">
        <v>229</v>
      </c>
      <c r="D151" t="s">
        <v>57</v>
      </c>
      <c r="E151" t="s">
        <v>114</v>
      </c>
      <c r="F151">
        <v>2653</v>
      </c>
      <c r="G151" t="s">
        <v>289</v>
      </c>
      <c r="H151" t="s">
        <v>235</v>
      </c>
      <c r="I151">
        <v>3000</v>
      </c>
      <c r="J151" t="s">
        <v>108</v>
      </c>
      <c r="K151" t="s">
        <v>31</v>
      </c>
      <c r="L151" s="22">
        <v>205709.99707999997</v>
      </c>
      <c r="M151" s="22" t="s">
        <v>402</v>
      </c>
      <c r="N151" s="24">
        <v>5</v>
      </c>
      <c r="O151" s="22">
        <v>34418.808530000002</v>
      </c>
      <c r="P151" s="22">
        <v>6883.7617060000002</v>
      </c>
      <c r="Q151" s="23">
        <v>0.16731714072512788</v>
      </c>
      <c r="R151" s="22" t="s">
        <v>43</v>
      </c>
      <c r="S151" s="22" t="s">
        <v>208</v>
      </c>
      <c r="T151" s="22" t="s">
        <v>90</v>
      </c>
      <c r="U151" s="63"/>
    </row>
    <row r="152" spans="1:21" x14ac:dyDescent="0.3">
      <c r="A152" s="14">
        <v>43863</v>
      </c>
      <c r="B152">
        <v>2020</v>
      </c>
      <c r="C152" t="s">
        <v>229</v>
      </c>
      <c r="D152" t="s">
        <v>29</v>
      </c>
      <c r="E152" t="s">
        <v>45</v>
      </c>
      <c r="F152">
        <v>2661</v>
      </c>
      <c r="G152" t="s">
        <v>305</v>
      </c>
      <c r="H152" t="s">
        <v>233</v>
      </c>
      <c r="I152">
        <v>1150</v>
      </c>
      <c r="J152" t="s">
        <v>108</v>
      </c>
      <c r="K152" t="s">
        <v>31</v>
      </c>
      <c r="L152" s="22">
        <v>20630.881590000001</v>
      </c>
      <c r="M152" s="22" t="s">
        <v>409</v>
      </c>
      <c r="N152" s="24">
        <v>2</v>
      </c>
      <c r="O152" s="22">
        <v>6382.88159</v>
      </c>
      <c r="P152" s="22">
        <v>3191.440795</v>
      </c>
      <c r="Q152" s="23">
        <v>0.3093848201374898</v>
      </c>
      <c r="R152" s="22" t="s">
        <v>43</v>
      </c>
      <c r="S152" s="22" t="s">
        <v>126</v>
      </c>
      <c r="T152" s="22" t="s">
        <v>90</v>
      </c>
      <c r="U152" s="63"/>
    </row>
    <row r="153" spans="1:21" x14ac:dyDescent="0.3">
      <c r="A153" s="14">
        <v>43867</v>
      </c>
      <c r="B153">
        <v>2020</v>
      </c>
      <c r="C153" t="s">
        <v>229</v>
      </c>
      <c r="D153" t="s">
        <v>35</v>
      </c>
      <c r="E153" t="s">
        <v>36</v>
      </c>
      <c r="F153">
        <v>2660</v>
      </c>
      <c r="G153" t="s">
        <v>291</v>
      </c>
      <c r="H153" t="s">
        <v>234</v>
      </c>
      <c r="I153">
        <v>31200</v>
      </c>
      <c r="J153" t="s">
        <v>108</v>
      </c>
      <c r="K153" t="s">
        <v>31</v>
      </c>
      <c r="L153" s="22">
        <v>827424.95915640006</v>
      </c>
      <c r="M153" s="22" t="s">
        <v>401</v>
      </c>
      <c r="N153" s="24">
        <v>10</v>
      </c>
      <c r="O153" s="22">
        <v>80984.398866400006</v>
      </c>
      <c r="P153" s="22">
        <v>8098.4398866400006</v>
      </c>
      <c r="Q153" s="23">
        <v>9.787521873762127E-2</v>
      </c>
      <c r="R153" s="22" t="s">
        <v>43</v>
      </c>
      <c r="S153" s="22" t="s">
        <v>276</v>
      </c>
      <c r="T153" s="22" t="s">
        <v>90</v>
      </c>
      <c r="U153" s="63"/>
    </row>
    <row r="154" spans="1:21" x14ac:dyDescent="0.3">
      <c r="A154" s="14">
        <v>43871</v>
      </c>
      <c r="B154">
        <v>2020</v>
      </c>
      <c r="C154" t="s">
        <v>229</v>
      </c>
      <c r="D154" t="s">
        <v>29</v>
      </c>
      <c r="E154" t="s">
        <v>45</v>
      </c>
      <c r="F154">
        <v>2661</v>
      </c>
      <c r="G154" t="s">
        <v>295</v>
      </c>
      <c r="H154" t="s">
        <v>233</v>
      </c>
      <c r="I154">
        <v>300</v>
      </c>
      <c r="J154" t="s">
        <v>108</v>
      </c>
      <c r="K154" t="s">
        <v>31</v>
      </c>
      <c r="L154" s="22">
        <v>12160.995719999999</v>
      </c>
      <c r="M154" s="22" t="s">
        <v>409</v>
      </c>
      <c r="N154" s="24">
        <v>2</v>
      </c>
      <c r="O154" s="22">
        <v>3859.7475200000003</v>
      </c>
      <c r="P154" s="22">
        <v>1929.8737600000002</v>
      </c>
      <c r="Q154" s="23">
        <v>0.31738745813817298</v>
      </c>
      <c r="R154" s="22" t="s">
        <v>43</v>
      </c>
      <c r="S154" s="22" t="s">
        <v>126</v>
      </c>
      <c r="T154" s="22" t="s">
        <v>90</v>
      </c>
      <c r="U154" s="63"/>
    </row>
    <row r="155" spans="1:21" x14ac:dyDescent="0.3">
      <c r="A155" s="14">
        <v>43872</v>
      </c>
      <c r="B155">
        <v>2020</v>
      </c>
      <c r="C155" t="s">
        <v>229</v>
      </c>
      <c r="D155" t="s">
        <v>29</v>
      </c>
      <c r="E155" t="s">
        <v>30</v>
      </c>
      <c r="F155">
        <v>2666</v>
      </c>
      <c r="G155" t="s">
        <v>300</v>
      </c>
      <c r="H155" t="s">
        <v>234</v>
      </c>
      <c r="I155">
        <v>1900</v>
      </c>
      <c r="J155" t="s">
        <v>108</v>
      </c>
      <c r="K155" t="s">
        <v>31</v>
      </c>
      <c r="L155" s="22">
        <v>160567.00299711997</v>
      </c>
      <c r="M155" s="22" t="s">
        <v>402</v>
      </c>
      <c r="N155" s="24">
        <v>6</v>
      </c>
      <c r="O155" s="22">
        <v>25716.658446720001</v>
      </c>
      <c r="P155" s="22">
        <v>4286.1097411199999</v>
      </c>
      <c r="Q155" s="23">
        <v>0.16016153983506357</v>
      </c>
      <c r="R155" s="22" t="s">
        <v>42</v>
      </c>
      <c r="S155" s="22" t="s">
        <v>50</v>
      </c>
      <c r="T155" s="22" t="s">
        <v>89</v>
      </c>
      <c r="U155" s="63">
        <f>+DATA[[#This Row],[Estimate Price]]</f>
        <v>160567.00299711997</v>
      </c>
    </row>
    <row r="156" spans="1:21" x14ac:dyDescent="0.3">
      <c r="A156" s="14">
        <v>43874</v>
      </c>
      <c r="B156">
        <v>2020</v>
      </c>
      <c r="C156" t="s">
        <v>229</v>
      </c>
      <c r="D156" t="s">
        <v>29</v>
      </c>
      <c r="E156" t="s">
        <v>30</v>
      </c>
      <c r="F156">
        <v>2665</v>
      </c>
      <c r="G156" t="s">
        <v>304</v>
      </c>
      <c r="H156" t="s">
        <v>233</v>
      </c>
      <c r="I156">
        <v>12000</v>
      </c>
      <c r="J156" t="s">
        <v>156</v>
      </c>
      <c r="K156" t="s">
        <v>157</v>
      </c>
      <c r="L156" s="22">
        <v>11000000</v>
      </c>
      <c r="M156" s="22" t="s">
        <v>399</v>
      </c>
      <c r="N156" s="24">
        <v>86</v>
      </c>
      <c r="O156" s="22"/>
      <c r="P156" s="22">
        <v>6014</v>
      </c>
      <c r="Q156" s="23">
        <v>3.4000000000000002E-2</v>
      </c>
      <c r="R156" s="22" t="s">
        <v>42</v>
      </c>
      <c r="S156" s="22" t="s">
        <v>208</v>
      </c>
      <c r="T156" s="22" t="s">
        <v>89</v>
      </c>
      <c r="U156" s="63">
        <f>+DATA[[#This Row],[Estimate Price]]</f>
        <v>11000000</v>
      </c>
    </row>
    <row r="157" spans="1:21" x14ac:dyDescent="0.3">
      <c r="A157" s="14">
        <v>43881</v>
      </c>
      <c r="B157">
        <v>2020</v>
      </c>
      <c r="C157" t="s">
        <v>229</v>
      </c>
      <c r="D157" t="s">
        <v>35</v>
      </c>
      <c r="E157" t="s">
        <v>36</v>
      </c>
      <c r="F157">
        <v>2662</v>
      </c>
      <c r="G157" t="s">
        <v>292</v>
      </c>
      <c r="H157" t="s">
        <v>234</v>
      </c>
      <c r="I157">
        <v>2016</v>
      </c>
      <c r="J157" t="s">
        <v>108</v>
      </c>
      <c r="K157" t="s">
        <v>31</v>
      </c>
      <c r="L157" s="22">
        <v>222827.99617568345</v>
      </c>
      <c r="M157" s="22" t="s">
        <v>402</v>
      </c>
      <c r="N157" s="24">
        <v>5</v>
      </c>
      <c r="O157" s="22">
        <v>27715.076009529614</v>
      </c>
      <c r="P157" s="22">
        <v>5543.0152019059224</v>
      </c>
      <c r="Q157" s="23">
        <v>0.12437878760835025</v>
      </c>
      <c r="R157" s="22" t="s">
        <v>43</v>
      </c>
      <c r="S157" s="22" t="s">
        <v>208</v>
      </c>
      <c r="T157" s="22" t="s">
        <v>90</v>
      </c>
      <c r="U157" s="63"/>
    </row>
    <row r="158" spans="1:21" x14ac:dyDescent="0.3">
      <c r="A158" s="14">
        <v>43881</v>
      </c>
      <c r="B158">
        <v>2020</v>
      </c>
      <c r="C158" t="s">
        <v>229</v>
      </c>
      <c r="D158" t="s">
        <v>35</v>
      </c>
      <c r="E158" t="s">
        <v>36</v>
      </c>
      <c r="F158">
        <v>2663</v>
      </c>
      <c r="G158" t="s">
        <v>294</v>
      </c>
      <c r="H158" t="s">
        <v>234</v>
      </c>
      <c r="I158">
        <v>1024</v>
      </c>
      <c r="J158" t="s">
        <v>108</v>
      </c>
      <c r="K158" t="s">
        <v>31</v>
      </c>
      <c r="L158" s="22">
        <v>288179.99644706538</v>
      </c>
      <c r="M158" s="22" t="s">
        <v>402</v>
      </c>
      <c r="N158" s="24">
        <v>5</v>
      </c>
      <c r="O158" s="22">
        <v>43202.394280911532</v>
      </c>
      <c r="P158" s="22">
        <v>8640.4788561823061</v>
      </c>
      <c r="Q158" s="23">
        <v>0.14991461868814066</v>
      </c>
      <c r="R158" s="22" t="s">
        <v>43</v>
      </c>
      <c r="S158" s="22" t="s">
        <v>208</v>
      </c>
      <c r="T158" s="22" t="s">
        <v>90</v>
      </c>
      <c r="U158" s="63"/>
    </row>
    <row r="159" spans="1:21" x14ac:dyDescent="0.3">
      <c r="A159" s="14">
        <v>43881</v>
      </c>
      <c r="B159">
        <v>2020</v>
      </c>
      <c r="C159" t="s">
        <v>229</v>
      </c>
      <c r="D159" t="s">
        <v>29</v>
      </c>
      <c r="E159" t="s">
        <v>38</v>
      </c>
      <c r="F159">
        <v>2669</v>
      </c>
      <c r="G159" t="s">
        <v>297</v>
      </c>
      <c r="H159" t="s">
        <v>234</v>
      </c>
      <c r="I159">
        <v>33314</v>
      </c>
      <c r="J159" t="s">
        <v>108</v>
      </c>
      <c r="K159" t="s">
        <v>31</v>
      </c>
      <c r="L159" s="22">
        <v>1148100.9983596641</v>
      </c>
      <c r="M159" s="22" t="s">
        <v>401</v>
      </c>
      <c r="N159" s="24">
        <v>12</v>
      </c>
      <c r="O159" s="22">
        <v>82230.776251564006</v>
      </c>
      <c r="P159" s="22">
        <v>6852.5646876303335</v>
      </c>
      <c r="Q159" s="23">
        <v>7.1623294787697481E-2</v>
      </c>
      <c r="R159" s="22" t="s">
        <v>43</v>
      </c>
      <c r="S159" s="22" t="s">
        <v>276</v>
      </c>
      <c r="T159" s="22" t="s">
        <v>90</v>
      </c>
      <c r="U159" s="63"/>
    </row>
    <row r="160" spans="1:21" x14ac:dyDescent="0.3">
      <c r="A160" s="14">
        <v>43881</v>
      </c>
      <c r="B160">
        <v>2020</v>
      </c>
      <c r="C160" t="s">
        <v>229</v>
      </c>
      <c r="D160" t="s">
        <v>29</v>
      </c>
      <c r="E160" t="s">
        <v>30</v>
      </c>
      <c r="F160">
        <v>2672</v>
      </c>
      <c r="G160" t="s">
        <v>302</v>
      </c>
      <c r="H160" t="s">
        <v>233</v>
      </c>
      <c r="I160">
        <v>500</v>
      </c>
      <c r="J160" t="s">
        <v>108</v>
      </c>
      <c r="K160" t="s">
        <v>31</v>
      </c>
      <c r="L160" s="22">
        <v>20273</v>
      </c>
      <c r="M160" s="22" t="s">
        <v>409</v>
      </c>
      <c r="N160" s="24">
        <v>2</v>
      </c>
      <c r="O160" s="22">
        <v>5093</v>
      </c>
      <c r="P160" s="22">
        <v>2547</v>
      </c>
      <c r="Q160" s="23">
        <v>0.25119999999999998</v>
      </c>
      <c r="R160" s="22" t="s">
        <v>42</v>
      </c>
      <c r="S160" s="22" t="s">
        <v>208</v>
      </c>
      <c r="T160" s="22" t="s">
        <v>89</v>
      </c>
      <c r="U160" s="63">
        <f>+DATA[[#This Row],[Estimate Price]]</f>
        <v>20273</v>
      </c>
    </row>
    <row r="161" spans="1:21" x14ac:dyDescent="0.3">
      <c r="A161" s="14">
        <v>43899</v>
      </c>
      <c r="B161">
        <v>2020</v>
      </c>
      <c r="C161" t="s">
        <v>227</v>
      </c>
      <c r="D161" t="s">
        <v>29</v>
      </c>
      <c r="E161" t="s">
        <v>45</v>
      </c>
      <c r="F161">
        <v>2675</v>
      </c>
      <c r="G161" t="s">
        <v>315</v>
      </c>
      <c r="H161" t="s">
        <v>234</v>
      </c>
      <c r="I161">
        <v>4347</v>
      </c>
      <c r="J161" t="s">
        <v>108</v>
      </c>
      <c r="K161" t="s">
        <v>31</v>
      </c>
      <c r="L161" s="22">
        <v>310232.00123999995</v>
      </c>
      <c r="M161" s="22" t="s">
        <v>402</v>
      </c>
      <c r="N161" s="24">
        <v>7</v>
      </c>
      <c r="O161" s="22">
        <v>36438.388740000002</v>
      </c>
      <c r="P161" s="22">
        <v>5205.4841057142858</v>
      </c>
      <c r="Q161" s="23">
        <v>0.11745528699281652</v>
      </c>
      <c r="R161" s="22" t="s">
        <v>43</v>
      </c>
      <c r="S161" s="22" t="s">
        <v>50</v>
      </c>
      <c r="T161" s="22" t="s">
        <v>90</v>
      </c>
      <c r="U161" s="63"/>
    </row>
    <row r="162" spans="1:21" x14ac:dyDescent="0.3">
      <c r="A162" s="14">
        <v>43902</v>
      </c>
      <c r="B162">
        <v>2020</v>
      </c>
      <c r="C162" t="s">
        <v>227</v>
      </c>
      <c r="D162" t="s">
        <v>57</v>
      </c>
      <c r="E162" t="s">
        <v>114</v>
      </c>
      <c r="F162">
        <v>2673</v>
      </c>
      <c r="G162" t="s">
        <v>394</v>
      </c>
      <c r="H162" t="s">
        <v>234</v>
      </c>
      <c r="I162">
        <v>6000</v>
      </c>
      <c r="J162" t="s">
        <v>108</v>
      </c>
      <c r="K162" t="s">
        <v>31</v>
      </c>
      <c r="L162" s="22">
        <v>120876.35</v>
      </c>
      <c r="M162" s="22" t="s">
        <v>402</v>
      </c>
      <c r="N162" s="24">
        <v>3</v>
      </c>
      <c r="O162" s="22"/>
      <c r="P162" s="22"/>
      <c r="Q162" s="23">
        <v>0.15</v>
      </c>
      <c r="R162" s="22" t="s">
        <v>42</v>
      </c>
      <c r="S162" s="22" t="s">
        <v>50</v>
      </c>
      <c r="T162" s="22" t="s">
        <v>89</v>
      </c>
      <c r="U162" s="63"/>
    </row>
    <row r="163" spans="1:21" x14ac:dyDescent="0.3">
      <c r="A163" s="14">
        <v>43903</v>
      </c>
      <c r="B163">
        <v>2020</v>
      </c>
      <c r="C163" t="s">
        <v>227</v>
      </c>
      <c r="D163" t="s">
        <v>29</v>
      </c>
      <c r="E163" t="s">
        <v>45</v>
      </c>
      <c r="F163">
        <v>2676</v>
      </c>
      <c r="G163" t="s">
        <v>317</v>
      </c>
      <c r="H163" t="s">
        <v>234</v>
      </c>
      <c r="I163">
        <v>1000</v>
      </c>
      <c r="J163" t="s">
        <v>108</v>
      </c>
      <c r="K163" t="s">
        <v>31</v>
      </c>
      <c r="L163" s="22">
        <v>254091.86308799998</v>
      </c>
      <c r="M163" s="22" t="s">
        <v>402</v>
      </c>
      <c r="N163" s="24">
        <v>6</v>
      </c>
      <c r="O163" s="22">
        <v>35440.723087999999</v>
      </c>
      <c r="P163" s="22">
        <v>5906.7871813333331</v>
      </c>
      <c r="Q163" s="23">
        <v>0.13947996074052071</v>
      </c>
      <c r="R163" s="22" t="s">
        <v>43</v>
      </c>
      <c r="S163" s="22" t="s">
        <v>50</v>
      </c>
      <c r="T163" s="22" t="s">
        <v>90</v>
      </c>
      <c r="U163" s="63"/>
    </row>
    <row r="164" spans="1:21" x14ac:dyDescent="0.3">
      <c r="A164" s="14">
        <v>43908</v>
      </c>
      <c r="B164">
        <v>2020</v>
      </c>
      <c r="C164" t="s">
        <v>227</v>
      </c>
      <c r="D164" t="s">
        <v>35</v>
      </c>
      <c r="E164" t="s">
        <v>36</v>
      </c>
      <c r="F164">
        <v>2678</v>
      </c>
      <c r="G164" t="s">
        <v>318</v>
      </c>
      <c r="H164" t="s">
        <v>233</v>
      </c>
      <c r="I164">
        <v>1089</v>
      </c>
      <c r="J164" t="s">
        <v>108</v>
      </c>
      <c r="K164" t="s">
        <v>31</v>
      </c>
      <c r="L164" s="22">
        <v>281324.99626709998</v>
      </c>
      <c r="M164" s="22" t="s">
        <v>402</v>
      </c>
      <c r="N164" s="24">
        <v>6</v>
      </c>
      <c r="O164" s="22">
        <v>32557.296267099995</v>
      </c>
      <c r="P164" s="22">
        <v>5426.2160445166655</v>
      </c>
      <c r="Q164" s="23">
        <v>0.11572841624136711</v>
      </c>
      <c r="R164" s="22" t="s">
        <v>43</v>
      </c>
      <c r="S164" s="22" t="s">
        <v>50</v>
      </c>
      <c r="T164" s="22" t="s">
        <v>90</v>
      </c>
      <c r="U164" s="63"/>
    </row>
    <row r="165" spans="1:21" x14ac:dyDescent="0.3">
      <c r="A165" s="14">
        <v>43915</v>
      </c>
      <c r="B165">
        <v>2020</v>
      </c>
      <c r="C165" t="s">
        <v>227</v>
      </c>
      <c r="D165" t="s">
        <v>29</v>
      </c>
      <c r="E165" t="s">
        <v>45</v>
      </c>
      <c r="F165">
        <v>2668</v>
      </c>
      <c r="G165" t="s">
        <v>311</v>
      </c>
      <c r="H165" t="s">
        <v>233</v>
      </c>
      <c r="I165">
        <v>500</v>
      </c>
      <c r="J165" t="s">
        <v>108</v>
      </c>
      <c r="K165" t="s">
        <v>31</v>
      </c>
      <c r="L165" s="5">
        <v>69213</v>
      </c>
      <c r="M165" s="22" t="s">
        <v>409</v>
      </c>
      <c r="N165" s="5">
        <v>4</v>
      </c>
      <c r="O165" s="5">
        <v>14325</v>
      </c>
      <c r="P165" s="40">
        <v>3581.25</v>
      </c>
      <c r="Q165" s="9">
        <v>0.20696978891248755</v>
      </c>
      <c r="R165" t="s">
        <v>43</v>
      </c>
      <c r="S165" t="s">
        <v>177</v>
      </c>
      <c r="T165" t="s">
        <v>90</v>
      </c>
      <c r="U165" s="63"/>
    </row>
    <row r="166" spans="1:21" x14ac:dyDescent="0.3">
      <c r="A166" s="14">
        <v>43915</v>
      </c>
      <c r="B166">
        <v>2020</v>
      </c>
      <c r="C166" t="s">
        <v>227</v>
      </c>
      <c r="D166" t="s">
        <v>57</v>
      </c>
      <c r="E166" t="s">
        <v>114</v>
      </c>
      <c r="F166">
        <v>2682</v>
      </c>
      <c r="G166" t="s">
        <v>324</v>
      </c>
      <c r="H166" t="s">
        <v>234</v>
      </c>
      <c r="I166">
        <v>5112</v>
      </c>
      <c r="J166" t="s">
        <v>108</v>
      </c>
      <c r="K166" t="s">
        <v>31</v>
      </c>
      <c r="L166" s="22">
        <v>183595</v>
      </c>
      <c r="M166" s="22" t="s">
        <v>402</v>
      </c>
      <c r="N166" s="24">
        <v>6</v>
      </c>
      <c r="O166" s="22">
        <v>28649</v>
      </c>
      <c r="P166" s="22">
        <v>4774.833333333333</v>
      </c>
      <c r="Q166" s="23">
        <v>0.15604455459026662</v>
      </c>
      <c r="R166" s="22" t="s">
        <v>43</v>
      </c>
      <c r="S166" s="22" t="s">
        <v>50</v>
      </c>
      <c r="T166" s="22" t="s">
        <v>90</v>
      </c>
      <c r="U166" s="63"/>
    </row>
    <row r="167" spans="1:21" x14ac:dyDescent="0.3">
      <c r="A167" s="14">
        <v>43916</v>
      </c>
      <c r="B167">
        <v>2020</v>
      </c>
      <c r="C167" t="s">
        <v>227</v>
      </c>
      <c r="D167" t="s">
        <v>29</v>
      </c>
      <c r="E167" t="s">
        <v>30</v>
      </c>
      <c r="F167">
        <v>2679</v>
      </c>
      <c r="G167" t="s">
        <v>320</v>
      </c>
      <c r="H167" t="s">
        <v>234</v>
      </c>
      <c r="I167">
        <v>21736</v>
      </c>
      <c r="J167" t="s">
        <v>108</v>
      </c>
      <c r="K167" t="s">
        <v>31</v>
      </c>
      <c r="L167" s="22">
        <v>126473.0041375</v>
      </c>
      <c r="M167" s="22" t="s">
        <v>402</v>
      </c>
      <c r="N167" s="24">
        <v>4</v>
      </c>
      <c r="O167" s="22">
        <v>17081.204137500001</v>
      </c>
      <c r="P167" s="22">
        <v>4270.3010343750002</v>
      </c>
      <c r="Q167" s="23">
        <v>0.13505810393283227</v>
      </c>
      <c r="R167" s="22" t="s">
        <v>42</v>
      </c>
      <c r="S167" s="22" t="s">
        <v>50</v>
      </c>
      <c r="T167" s="22" t="s">
        <v>89</v>
      </c>
      <c r="U167" s="63"/>
    </row>
    <row r="168" spans="1:21" x14ac:dyDescent="0.3">
      <c r="A168" s="14">
        <v>43916</v>
      </c>
      <c r="B168">
        <v>2020</v>
      </c>
      <c r="C168" t="s">
        <v>227</v>
      </c>
      <c r="D168" t="s">
        <v>29</v>
      </c>
      <c r="E168" t="s">
        <v>30</v>
      </c>
      <c r="F168">
        <v>2680</v>
      </c>
      <c r="G168" t="s">
        <v>322</v>
      </c>
      <c r="H168" t="s">
        <v>233</v>
      </c>
      <c r="I168">
        <v>3500</v>
      </c>
      <c r="J168" t="s">
        <v>108</v>
      </c>
      <c r="K168" t="s">
        <v>31</v>
      </c>
      <c r="L168" s="22">
        <v>485388.9956577933</v>
      </c>
      <c r="M168" s="22" t="s">
        <v>402</v>
      </c>
      <c r="N168" s="24">
        <v>12</v>
      </c>
      <c r="O168" s="22">
        <v>47375.922735387292</v>
      </c>
      <c r="P168" s="22">
        <v>3947.9935612822742</v>
      </c>
      <c r="Q168" s="23">
        <v>9.7604031321690793E-2</v>
      </c>
      <c r="R168" s="22" t="s">
        <v>43</v>
      </c>
      <c r="S168" s="22" t="s">
        <v>50</v>
      </c>
      <c r="T168" s="22" t="s">
        <v>90</v>
      </c>
      <c r="U168" s="63"/>
    </row>
    <row r="169" spans="1:21" x14ac:dyDescent="0.3">
      <c r="A169" s="14">
        <v>43917</v>
      </c>
      <c r="B169">
        <v>2020</v>
      </c>
      <c r="C169" t="s">
        <v>227</v>
      </c>
      <c r="D169" t="s">
        <v>35</v>
      </c>
      <c r="E169" t="s">
        <v>36</v>
      </c>
      <c r="F169">
        <v>2671</v>
      </c>
      <c r="G169" t="s">
        <v>312</v>
      </c>
      <c r="H169" t="s">
        <v>234</v>
      </c>
      <c r="I169">
        <v>3000</v>
      </c>
      <c r="J169" t="s">
        <v>156</v>
      </c>
      <c r="K169" t="s">
        <v>157</v>
      </c>
      <c r="L169" s="22">
        <v>266156.2184301372</v>
      </c>
      <c r="M169" s="22" t="s">
        <v>402</v>
      </c>
      <c r="N169" s="24">
        <v>6</v>
      </c>
      <c r="O169" s="22">
        <v>34686.263370252003</v>
      </c>
      <c r="P169" s="22">
        <v>5781.0438950420003</v>
      </c>
      <c r="Q169" s="23">
        <v>0.14335524427092206</v>
      </c>
      <c r="R169" s="22" t="s">
        <v>43</v>
      </c>
      <c r="S169" s="22" t="s">
        <v>51</v>
      </c>
      <c r="T169" s="22" t="s">
        <v>90</v>
      </c>
      <c r="U169" s="63"/>
    </row>
    <row r="170" spans="1:21" x14ac:dyDescent="0.3">
      <c r="A170" s="14">
        <v>43921</v>
      </c>
      <c r="B170">
        <v>2020</v>
      </c>
      <c r="C170" t="s">
        <v>227</v>
      </c>
      <c r="D170" t="s">
        <v>57</v>
      </c>
      <c r="E170" t="s">
        <v>114</v>
      </c>
      <c r="F170">
        <v>2683</v>
      </c>
      <c r="G170" t="s">
        <v>326</v>
      </c>
      <c r="H170" t="s">
        <v>235</v>
      </c>
      <c r="I170">
        <v>3000</v>
      </c>
      <c r="J170" t="s">
        <v>108</v>
      </c>
      <c r="K170" t="s">
        <v>31</v>
      </c>
      <c r="L170" s="22">
        <v>236650.00412960001</v>
      </c>
      <c r="M170" s="22" t="s">
        <v>402</v>
      </c>
      <c r="N170" s="24">
        <v>5</v>
      </c>
      <c r="O170" s="22">
        <v>33255.9800846</v>
      </c>
      <c r="P170" s="22">
        <v>6651.1960169200001</v>
      </c>
      <c r="Q170" s="23">
        <v>0.14052811960395131</v>
      </c>
      <c r="R170" s="22" t="s">
        <v>43</v>
      </c>
      <c r="S170" s="22" t="s">
        <v>50</v>
      </c>
      <c r="T170" s="22" t="s">
        <v>90</v>
      </c>
      <c r="U170" s="63"/>
    </row>
    <row r="171" spans="1:21" x14ac:dyDescent="0.3">
      <c r="A171" s="14">
        <v>43924</v>
      </c>
      <c r="B171">
        <v>2020</v>
      </c>
      <c r="C171" t="s">
        <v>227</v>
      </c>
      <c r="D171" t="s">
        <v>29</v>
      </c>
      <c r="E171" t="s">
        <v>45</v>
      </c>
      <c r="F171">
        <v>2685</v>
      </c>
      <c r="G171" t="s">
        <v>421</v>
      </c>
      <c r="H171" t="s">
        <v>233</v>
      </c>
      <c r="I171">
        <v>10000</v>
      </c>
      <c r="J171" t="s">
        <v>156</v>
      </c>
      <c r="K171" t="s">
        <v>157</v>
      </c>
      <c r="L171" s="22">
        <v>1000000</v>
      </c>
      <c r="M171" s="22" t="s">
        <v>401</v>
      </c>
      <c r="N171" s="24"/>
      <c r="O171" s="22"/>
      <c r="P171" s="22"/>
      <c r="Q171" s="23">
        <v>7.0000000000000007E-2</v>
      </c>
      <c r="R171" s="22" t="s">
        <v>42</v>
      </c>
      <c r="S171" s="22" t="s">
        <v>177</v>
      </c>
      <c r="T171" s="22" t="s">
        <v>89</v>
      </c>
      <c r="U171" s="63"/>
    </row>
    <row r="172" spans="1:21" x14ac:dyDescent="0.3">
      <c r="A172" s="14">
        <v>43929</v>
      </c>
      <c r="B172">
        <v>2020</v>
      </c>
      <c r="C172" t="s">
        <v>227</v>
      </c>
      <c r="D172" t="s">
        <v>29</v>
      </c>
      <c r="E172" t="s">
        <v>45</v>
      </c>
      <c r="F172">
        <v>2687</v>
      </c>
      <c r="G172" t="s">
        <v>340</v>
      </c>
      <c r="H172" t="s">
        <v>234</v>
      </c>
      <c r="I172">
        <v>2800</v>
      </c>
      <c r="J172" t="s">
        <v>108</v>
      </c>
      <c r="K172" t="s">
        <v>31</v>
      </c>
      <c r="L172" s="22">
        <v>628837</v>
      </c>
      <c r="M172" s="22" t="s">
        <v>401</v>
      </c>
      <c r="N172" s="22">
        <v>12</v>
      </c>
      <c r="O172" s="22">
        <v>56143</v>
      </c>
      <c r="P172" s="41">
        <v>4678.583333333333</v>
      </c>
      <c r="Q172" s="42">
        <v>8.9280688000228994E-2</v>
      </c>
      <c r="R172" s="24" t="s">
        <v>43</v>
      </c>
      <c r="S172" s="24" t="s">
        <v>50</v>
      </c>
      <c r="T172" s="24" t="s">
        <v>90</v>
      </c>
      <c r="U172" s="63"/>
    </row>
    <row r="173" spans="1:21" x14ac:dyDescent="0.3">
      <c r="A173" s="14">
        <v>43934</v>
      </c>
      <c r="B173">
        <v>2020</v>
      </c>
      <c r="C173" t="s">
        <v>227</v>
      </c>
      <c r="D173" t="s">
        <v>29</v>
      </c>
      <c r="E173" t="s">
        <v>45</v>
      </c>
      <c r="F173">
        <v>2677</v>
      </c>
      <c r="G173" t="s">
        <v>352</v>
      </c>
      <c r="H173" t="s">
        <v>234</v>
      </c>
      <c r="I173">
        <v>1000</v>
      </c>
      <c r="J173" t="s">
        <v>108</v>
      </c>
      <c r="K173" t="s">
        <v>31</v>
      </c>
      <c r="L173" s="22">
        <v>33646.99</v>
      </c>
      <c r="M173" s="22" t="s">
        <v>409</v>
      </c>
      <c r="N173" s="22">
        <v>0</v>
      </c>
      <c r="O173" s="22">
        <v>6101.99</v>
      </c>
      <c r="P173" s="41"/>
      <c r="Q173" s="42">
        <v>0.18135322060011907</v>
      </c>
      <c r="R173" s="24" t="s">
        <v>42</v>
      </c>
      <c r="S173" s="24" t="s">
        <v>50</v>
      </c>
      <c r="T173" s="24" t="s">
        <v>89</v>
      </c>
      <c r="U173" s="63"/>
    </row>
    <row r="174" spans="1:21" x14ac:dyDescent="0.3">
      <c r="A174" s="14">
        <v>43936</v>
      </c>
      <c r="B174">
        <v>2020</v>
      </c>
      <c r="C174" t="s">
        <v>227</v>
      </c>
      <c r="D174" t="s">
        <v>29</v>
      </c>
      <c r="E174" t="s">
        <v>45</v>
      </c>
      <c r="F174">
        <v>2689</v>
      </c>
      <c r="G174" t="s">
        <v>342</v>
      </c>
      <c r="H174" t="s">
        <v>234</v>
      </c>
      <c r="I174">
        <v>1000</v>
      </c>
      <c r="J174" t="s">
        <v>108</v>
      </c>
      <c r="K174" t="s">
        <v>31</v>
      </c>
      <c r="L174" s="22">
        <v>52362</v>
      </c>
      <c r="M174" s="22" t="s">
        <v>409</v>
      </c>
      <c r="N174" s="22">
        <v>2</v>
      </c>
      <c r="O174" s="22">
        <v>8018</v>
      </c>
      <c r="P174" s="41">
        <v>4009</v>
      </c>
      <c r="Q174" s="42">
        <v>0.15312631297505824</v>
      </c>
      <c r="R174" s="24" t="s">
        <v>43</v>
      </c>
      <c r="S174" s="24" t="s">
        <v>50</v>
      </c>
      <c r="T174" s="24" t="s">
        <v>90</v>
      </c>
      <c r="U174" s="63"/>
    </row>
    <row r="175" spans="1:21" x14ac:dyDescent="0.3">
      <c r="A175" s="14">
        <v>43938</v>
      </c>
      <c r="B175">
        <v>2020</v>
      </c>
      <c r="C175" t="s">
        <v>227</v>
      </c>
      <c r="D175" t="s">
        <v>29</v>
      </c>
      <c r="E175" t="s">
        <v>45</v>
      </c>
      <c r="F175">
        <v>2684</v>
      </c>
      <c r="G175" t="s">
        <v>338</v>
      </c>
      <c r="H175" t="s">
        <v>234</v>
      </c>
      <c r="I175">
        <v>7199</v>
      </c>
      <c r="J175" t="s">
        <v>108</v>
      </c>
      <c r="K175" t="s">
        <v>31</v>
      </c>
      <c r="L175" s="22">
        <v>195050.03</v>
      </c>
      <c r="M175" s="22" t="s">
        <v>402</v>
      </c>
      <c r="N175" s="22">
        <v>5</v>
      </c>
      <c r="O175" s="22">
        <v>18289</v>
      </c>
      <c r="P175" s="41">
        <v>3657.8</v>
      </c>
      <c r="Q175" s="42">
        <v>9.6600000000000005E-2</v>
      </c>
      <c r="R175" s="24" t="s">
        <v>42</v>
      </c>
      <c r="S175" s="24" t="s">
        <v>208</v>
      </c>
      <c r="T175" s="24" t="s">
        <v>89</v>
      </c>
      <c r="U175" s="63"/>
    </row>
    <row r="176" spans="1:21" x14ac:dyDescent="0.3">
      <c r="A176" s="14">
        <v>43943</v>
      </c>
      <c r="B176">
        <v>2020</v>
      </c>
      <c r="C176" t="s">
        <v>227</v>
      </c>
      <c r="D176" t="s">
        <v>29</v>
      </c>
      <c r="E176" t="s">
        <v>45</v>
      </c>
      <c r="F176">
        <v>2695</v>
      </c>
      <c r="G176" t="s">
        <v>350</v>
      </c>
      <c r="H176" t="s">
        <v>233</v>
      </c>
      <c r="I176">
        <v>2000</v>
      </c>
      <c r="J176" t="s">
        <v>108</v>
      </c>
      <c r="K176" t="s">
        <v>31</v>
      </c>
      <c r="L176" s="22">
        <v>59007.000462200005</v>
      </c>
      <c r="M176" s="22" t="s">
        <v>409</v>
      </c>
      <c r="N176" s="22">
        <v>2</v>
      </c>
      <c r="O176" s="22">
        <v>8387.3014621999992</v>
      </c>
      <c r="P176" s="41">
        <v>4193.6507310999996</v>
      </c>
      <c r="Q176" s="42">
        <v>0.14214078662705318</v>
      </c>
      <c r="R176" s="24" t="s">
        <v>43</v>
      </c>
      <c r="S176" s="24" t="s">
        <v>50</v>
      </c>
      <c r="T176" s="24" t="s">
        <v>90</v>
      </c>
      <c r="U176" s="63"/>
    </row>
    <row r="177" spans="1:21" x14ac:dyDescent="0.3">
      <c r="A177" s="14">
        <v>43947</v>
      </c>
      <c r="B177">
        <v>2020</v>
      </c>
      <c r="C177" t="s">
        <v>227</v>
      </c>
      <c r="D177" t="s">
        <v>29</v>
      </c>
      <c r="E177" t="s">
        <v>45</v>
      </c>
      <c r="F177">
        <v>2686</v>
      </c>
      <c r="G177" t="s">
        <v>346</v>
      </c>
      <c r="H177" t="s">
        <v>233</v>
      </c>
      <c r="I177">
        <v>9600</v>
      </c>
      <c r="J177" t="s">
        <v>156</v>
      </c>
      <c r="K177" t="s">
        <v>157</v>
      </c>
      <c r="L177" s="22">
        <f>9600*110</f>
        <v>1056000</v>
      </c>
      <c r="M177" s="22" t="s">
        <v>401</v>
      </c>
      <c r="N177" s="24">
        <f>24750/2475</f>
        <v>10</v>
      </c>
      <c r="O177" s="22"/>
      <c r="P177" s="22"/>
      <c r="Q177" s="23">
        <v>0.09</v>
      </c>
      <c r="R177" s="22" t="s">
        <v>43</v>
      </c>
      <c r="S177" s="22" t="s">
        <v>51</v>
      </c>
      <c r="T177" s="22" t="s">
        <v>90</v>
      </c>
      <c r="U177" s="63"/>
    </row>
    <row r="178" spans="1:21" x14ac:dyDescent="0.3">
      <c r="A178" s="14">
        <v>43951</v>
      </c>
      <c r="B178">
        <v>2020</v>
      </c>
      <c r="C178" t="s">
        <v>227</v>
      </c>
      <c r="D178" t="s">
        <v>29</v>
      </c>
      <c r="E178" t="s">
        <v>343</v>
      </c>
      <c r="F178">
        <v>2690</v>
      </c>
      <c r="G178" t="s">
        <v>344</v>
      </c>
      <c r="H178" t="s">
        <v>233</v>
      </c>
      <c r="I178">
        <v>3121</v>
      </c>
      <c r="J178" t="s">
        <v>108</v>
      </c>
      <c r="K178" t="s">
        <v>31</v>
      </c>
      <c r="L178" s="22">
        <v>275759.99744084803</v>
      </c>
      <c r="M178" s="22" t="s">
        <v>402</v>
      </c>
      <c r="N178" s="22">
        <v>7</v>
      </c>
      <c r="O178" s="22">
        <v>34357.244504148002</v>
      </c>
      <c r="P178" s="41">
        <v>4908.1777863068573</v>
      </c>
      <c r="Q178" s="42">
        <v>0.12459111119450098</v>
      </c>
      <c r="R178" s="24" t="s">
        <v>42</v>
      </c>
      <c r="S178" s="24" t="s">
        <v>50</v>
      </c>
      <c r="T178" s="24" t="s">
        <v>89</v>
      </c>
      <c r="U178" s="63"/>
    </row>
    <row r="179" spans="1:21" x14ac:dyDescent="0.3">
      <c r="A179" s="14">
        <v>43971</v>
      </c>
      <c r="B179">
        <v>2020</v>
      </c>
      <c r="C179" t="s">
        <v>227</v>
      </c>
      <c r="D179" t="s">
        <v>29</v>
      </c>
      <c r="E179" t="s">
        <v>45</v>
      </c>
      <c r="F179">
        <v>2699</v>
      </c>
      <c r="G179" t="s">
        <v>353</v>
      </c>
      <c r="H179" t="s">
        <v>398</v>
      </c>
      <c r="I179">
        <v>43500</v>
      </c>
      <c r="J179" t="s">
        <v>156</v>
      </c>
      <c r="K179" t="s">
        <v>157</v>
      </c>
      <c r="L179" s="22">
        <v>5432871.79</v>
      </c>
      <c r="M179" s="22" t="s">
        <v>399</v>
      </c>
      <c r="N179" s="24">
        <v>45</v>
      </c>
      <c r="O179" s="22">
        <v>384177.03</v>
      </c>
      <c r="P179" s="22">
        <v>8537.27</v>
      </c>
      <c r="Q179" s="42">
        <v>7.0699999999999999E-2</v>
      </c>
      <c r="R179" s="22" t="s">
        <v>42</v>
      </c>
      <c r="S179" s="22" t="s">
        <v>50</v>
      </c>
      <c r="T179" s="22" t="s">
        <v>89</v>
      </c>
      <c r="U179" s="63"/>
    </row>
    <row r="180" spans="1:21" x14ac:dyDescent="0.3">
      <c r="A180" s="14">
        <v>43971</v>
      </c>
      <c r="B180">
        <v>2020</v>
      </c>
      <c r="C180" t="s">
        <v>227</v>
      </c>
      <c r="D180" t="s">
        <v>29</v>
      </c>
      <c r="E180" t="s">
        <v>45</v>
      </c>
      <c r="F180">
        <v>2699</v>
      </c>
      <c r="G180" t="s">
        <v>354</v>
      </c>
      <c r="H180" t="s">
        <v>398</v>
      </c>
      <c r="I180" s="40">
        <f>43500/42*24</f>
        <v>24857.142857142859</v>
      </c>
      <c r="J180" t="s">
        <v>156</v>
      </c>
      <c r="K180" t="s">
        <v>157</v>
      </c>
      <c r="L180" s="22">
        <v>3960000</v>
      </c>
      <c r="M180" s="22" t="s">
        <v>400</v>
      </c>
      <c r="N180" s="24">
        <v>52</v>
      </c>
      <c r="O180" s="22">
        <v>359045.36946000002</v>
      </c>
      <c r="P180" s="22">
        <v>6904.7186434615387</v>
      </c>
      <c r="Q180" s="42">
        <v>7.3417787124870251E-2</v>
      </c>
      <c r="R180" s="22" t="s">
        <v>42</v>
      </c>
      <c r="S180" s="22" t="s">
        <v>50</v>
      </c>
      <c r="T180" s="22" t="s">
        <v>89</v>
      </c>
      <c r="U180" s="63"/>
    </row>
    <row r="181" spans="1:21" x14ac:dyDescent="0.3">
      <c r="A181" s="14">
        <v>43977</v>
      </c>
      <c r="B181">
        <v>2020</v>
      </c>
      <c r="C181" t="s">
        <v>227</v>
      </c>
      <c r="D181" t="s">
        <v>29</v>
      </c>
      <c r="E181" t="s">
        <v>45</v>
      </c>
      <c r="F181">
        <v>2704</v>
      </c>
      <c r="G181" t="s">
        <v>355</v>
      </c>
      <c r="H181" t="s">
        <v>233</v>
      </c>
      <c r="I181">
        <v>4532</v>
      </c>
      <c r="J181" t="s">
        <v>108</v>
      </c>
      <c r="K181" t="s">
        <v>31</v>
      </c>
      <c r="L181" s="5">
        <v>346794.00111339876</v>
      </c>
      <c r="M181" s="22" t="s">
        <v>402</v>
      </c>
      <c r="N181" s="5">
        <v>10</v>
      </c>
      <c r="O181" s="5">
        <v>54087.21417353666</v>
      </c>
      <c r="P181" s="40">
        <v>5408.7214173536659</v>
      </c>
      <c r="Q181" s="9">
        <v>0.15596352301333663</v>
      </c>
      <c r="R181" t="s">
        <v>43</v>
      </c>
      <c r="S181" t="s">
        <v>208</v>
      </c>
      <c r="T181" t="s">
        <v>90</v>
      </c>
      <c r="U181" s="63"/>
    </row>
    <row r="182" spans="1:21" x14ac:dyDescent="0.3">
      <c r="A182" s="14">
        <v>43987</v>
      </c>
      <c r="B182">
        <v>2020</v>
      </c>
      <c r="C182" t="s">
        <v>226</v>
      </c>
      <c r="D182" t="s">
        <v>29</v>
      </c>
      <c r="E182" t="s">
        <v>45</v>
      </c>
      <c r="F182">
        <v>2703</v>
      </c>
      <c r="G182" t="s">
        <v>356</v>
      </c>
      <c r="H182" t="s">
        <v>233</v>
      </c>
      <c r="I182">
        <v>11475</v>
      </c>
      <c r="J182" t="s">
        <v>108</v>
      </c>
      <c r="K182" t="s">
        <v>31</v>
      </c>
      <c r="L182" s="22">
        <v>2936344.6088940077</v>
      </c>
      <c r="M182" s="22" t="s">
        <v>400</v>
      </c>
      <c r="N182" s="24">
        <v>42</v>
      </c>
      <c r="O182" s="22">
        <v>282990.90941648255</v>
      </c>
      <c r="P182" s="22">
        <v>6737.8787956305368</v>
      </c>
      <c r="Q182" s="42">
        <v>9.6375237620039703E-2</v>
      </c>
      <c r="R182" s="22" t="s">
        <v>43</v>
      </c>
      <c r="S182" s="22" t="s">
        <v>357</v>
      </c>
      <c r="T182" s="22" t="s">
        <v>90</v>
      </c>
      <c r="U182" s="63"/>
    </row>
    <row r="183" spans="1:21" x14ac:dyDescent="0.3">
      <c r="A183" s="14">
        <v>43980</v>
      </c>
      <c r="B183">
        <v>2020</v>
      </c>
      <c r="C183" t="s">
        <v>227</v>
      </c>
      <c r="D183" t="s">
        <v>29</v>
      </c>
      <c r="E183" t="s">
        <v>45</v>
      </c>
      <c r="F183">
        <v>2705</v>
      </c>
      <c r="G183" t="s">
        <v>358</v>
      </c>
      <c r="H183" t="s">
        <v>398</v>
      </c>
      <c r="I183">
        <v>43500</v>
      </c>
      <c r="J183" t="s">
        <v>156</v>
      </c>
      <c r="K183" t="s">
        <v>157</v>
      </c>
      <c r="L183" s="22">
        <v>19570000</v>
      </c>
      <c r="M183" s="22" t="s">
        <v>399</v>
      </c>
      <c r="N183" s="24">
        <v>80</v>
      </c>
      <c r="O183" s="22">
        <v>863224</v>
      </c>
      <c r="P183" s="22">
        <v>6904.7186434615387</v>
      </c>
      <c r="Q183" s="42">
        <v>4.3999999999999997E-2</v>
      </c>
      <c r="R183" s="22" t="s">
        <v>43</v>
      </c>
      <c r="S183" s="22" t="s">
        <v>50</v>
      </c>
      <c r="T183" s="22" t="s">
        <v>90</v>
      </c>
      <c r="U183" s="63"/>
    </row>
    <row r="184" spans="1:21" x14ac:dyDescent="0.3">
      <c r="A184" s="14">
        <v>43980</v>
      </c>
      <c r="B184">
        <v>2020</v>
      </c>
      <c r="C184" t="s">
        <v>227</v>
      </c>
      <c r="D184" t="s">
        <v>29</v>
      </c>
      <c r="E184" t="s">
        <v>30</v>
      </c>
      <c r="F184">
        <v>2692</v>
      </c>
      <c r="G184" t="s">
        <v>359</v>
      </c>
      <c r="H184" t="s">
        <v>233</v>
      </c>
      <c r="I184">
        <v>1000</v>
      </c>
      <c r="J184" t="s">
        <v>156</v>
      </c>
      <c r="K184" t="s">
        <v>157</v>
      </c>
      <c r="L184" s="22">
        <v>127045</v>
      </c>
      <c r="M184" s="22" t="s">
        <v>402</v>
      </c>
      <c r="N184" s="24">
        <v>5</v>
      </c>
      <c r="O184" s="22">
        <v>21730</v>
      </c>
      <c r="P184" s="22">
        <v>4346</v>
      </c>
      <c r="Q184" s="42">
        <v>0.17104175685780629</v>
      </c>
      <c r="R184" s="22" t="s">
        <v>42</v>
      </c>
      <c r="S184" s="22" t="s">
        <v>50</v>
      </c>
      <c r="T184" s="22" t="s">
        <v>89</v>
      </c>
      <c r="U184" s="63"/>
    </row>
    <row r="185" spans="1:21" x14ac:dyDescent="0.3">
      <c r="A185" s="14">
        <v>43988</v>
      </c>
      <c r="B185" s="40">
        <v>2020</v>
      </c>
      <c r="C185" s="14" t="s">
        <v>226</v>
      </c>
      <c r="D185" s="22" t="s">
        <v>29</v>
      </c>
      <c r="E185" t="s">
        <v>30</v>
      </c>
      <c r="F185">
        <v>2707</v>
      </c>
      <c r="G185" s="22" t="s">
        <v>371</v>
      </c>
      <c r="H185" s="22" t="s">
        <v>233</v>
      </c>
      <c r="I185" s="69">
        <v>200</v>
      </c>
      <c r="J185" s="14" t="s">
        <v>108</v>
      </c>
      <c r="K185" s="51" t="s">
        <v>31</v>
      </c>
      <c r="L185" s="22">
        <v>39508.004315999999</v>
      </c>
      <c r="M185" s="22" t="s">
        <v>409</v>
      </c>
      <c r="N185" s="70">
        <v>3</v>
      </c>
      <c r="O185" s="22">
        <v>8482.5851060000005</v>
      </c>
      <c r="P185" s="22">
        <v>2827.5283686666667</v>
      </c>
      <c r="Q185" s="42">
        <v>0.21470548191078112</v>
      </c>
      <c r="R185" s="23" t="s">
        <v>42</v>
      </c>
      <c r="S185" s="23" t="s">
        <v>177</v>
      </c>
      <c r="T185" s="22" t="s">
        <v>89</v>
      </c>
      <c r="U185" s="63">
        <f>+DATA[[#This Row],[Estimate Price]]</f>
        <v>39508.004315999999</v>
      </c>
    </row>
    <row r="186" spans="1:21" x14ac:dyDescent="0.3">
      <c r="A186" s="14">
        <v>43987</v>
      </c>
      <c r="B186">
        <v>2020</v>
      </c>
      <c r="C186" t="s">
        <v>226</v>
      </c>
      <c r="D186" s="22" t="s">
        <v>29</v>
      </c>
      <c r="E186" t="s">
        <v>30</v>
      </c>
      <c r="F186">
        <v>2707</v>
      </c>
      <c r="G186" t="s">
        <v>405</v>
      </c>
      <c r="H186" t="s">
        <v>233</v>
      </c>
      <c r="I186">
        <v>700</v>
      </c>
      <c r="J186" t="s">
        <v>108</v>
      </c>
      <c r="K186" t="s">
        <v>31</v>
      </c>
      <c r="L186" s="71">
        <v>59930.9960058</v>
      </c>
      <c r="M186" s="22" t="s">
        <v>409</v>
      </c>
      <c r="N186" s="72">
        <v>3</v>
      </c>
      <c r="O186" s="71">
        <v>10349.295770300001</v>
      </c>
      <c r="P186" s="73">
        <v>3449.7652567666669</v>
      </c>
      <c r="Q186" s="74">
        <v>0.17268686422796006</v>
      </c>
      <c r="R186" s="23" t="s">
        <v>42</v>
      </c>
      <c r="S186" s="23" t="s">
        <v>177</v>
      </c>
      <c r="T186" s="22" t="s">
        <v>89</v>
      </c>
      <c r="U186" s="63">
        <f>+DATA[[#This Row],[Estimate Price]]</f>
        <v>59930.9960058</v>
      </c>
    </row>
    <row r="187" spans="1:21" x14ac:dyDescent="0.3">
      <c r="A187" s="14">
        <v>44011</v>
      </c>
      <c r="B187">
        <v>2020</v>
      </c>
      <c r="C187" t="s">
        <v>226</v>
      </c>
      <c r="D187" s="22" t="s">
        <v>29</v>
      </c>
      <c r="E187" t="s">
        <v>45</v>
      </c>
      <c r="F187">
        <v>2710</v>
      </c>
      <c r="G187" t="s">
        <v>372</v>
      </c>
      <c r="H187" t="s">
        <v>398</v>
      </c>
      <c r="I187">
        <v>60000</v>
      </c>
      <c r="J187" t="s">
        <v>156</v>
      </c>
      <c r="K187" t="s">
        <v>157</v>
      </c>
      <c r="L187" s="71">
        <v>16000000</v>
      </c>
      <c r="M187" s="22" t="s">
        <v>399</v>
      </c>
      <c r="N187" s="72">
        <v>80</v>
      </c>
      <c r="O187" s="71"/>
      <c r="P187" s="75">
        <v>10316</v>
      </c>
      <c r="Q187" s="77">
        <v>5.1499999999999997E-2</v>
      </c>
      <c r="R187" s="22" t="s">
        <v>43</v>
      </c>
      <c r="S187" s="22" t="s">
        <v>177</v>
      </c>
      <c r="T187" s="22" t="s">
        <v>90</v>
      </c>
      <c r="U187" s="63"/>
    </row>
    <row r="188" spans="1:21" x14ac:dyDescent="0.3">
      <c r="A188" s="14">
        <v>43997</v>
      </c>
      <c r="B188">
        <v>2020</v>
      </c>
      <c r="C188" t="s">
        <v>226</v>
      </c>
      <c r="D188" t="s">
        <v>29</v>
      </c>
      <c r="E188" t="s">
        <v>45</v>
      </c>
      <c r="F188" s="24">
        <v>2711</v>
      </c>
      <c r="G188" s="24" t="s">
        <v>404</v>
      </c>
      <c r="H188" s="24" t="s">
        <v>235</v>
      </c>
      <c r="I188" s="24">
        <v>3376</v>
      </c>
      <c r="J188" t="s">
        <v>156</v>
      </c>
      <c r="K188" t="s">
        <v>157</v>
      </c>
      <c r="L188" s="22">
        <v>283278.41555999999</v>
      </c>
      <c r="M188" s="22" t="s">
        <v>402</v>
      </c>
      <c r="N188" s="70">
        <v>8</v>
      </c>
      <c r="O188" s="22">
        <v>40617.469110000005</v>
      </c>
      <c r="P188" s="41">
        <v>5077.1836387500007</v>
      </c>
      <c r="Q188" s="76">
        <v>0.14338356499807869</v>
      </c>
      <c r="R188" s="24" t="s">
        <v>42</v>
      </c>
      <c r="S188" s="24" t="s">
        <v>208</v>
      </c>
      <c r="T188" s="22" t="s">
        <v>89</v>
      </c>
      <c r="U188" s="63">
        <f>+DATA[[#This Row],[Estimate Price]]</f>
        <v>283278.41555999999</v>
      </c>
    </row>
    <row r="189" spans="1:21" x14ac:dyDescent="0.3">
      <c r="A189" s="14">
        <v>43980</v>
      </c>
      <c r="B189">
        <v>2020</v>
      </c>
      <c r="C189" t="s">
        <v>227</v>
      </c>
      <c r="D189" t="s">
        <v>29</v>
      </c>
      <c r="E189" t="s">
        <v>45</v>
      </c>
      <c r="F189">
        <v>2700</v>
      </c>
      <c r="G189" t="s">
        <v>373</v>
      </c>
      <c r="H189" t="s">
        <v>234</v>
      </c>
      <c r="I189">
        <v>1715</v>
      </c>
      <c r="J189" t="s">
        <v>108</v>
      </c>
      <c r="K189" t="s">
        <v>31</v>
      </c>
      <c r="L189" s="71">
        <v>209041.99550676328</v>
      </c>
      <c r="M189" s="22" t="s">
        <v>402</v>
      </c>
      <c r="N189" s="72">
        <v>7</v>
      </c>
      <c r="O189" s="71">
        <v>30092.003524549022</v>
      </c>
      <c r="P189" s="73">
        <v>4298.8576463641457</v>
      </c>
      <c r="Q189" s="74">
        <v>0.15834730020333262</v>
      </c>
      <c r="R189" s="24" t="s">
        <v>42</v>
      </c>
      <c r="S189" s="24" t="s">
        <v>177</v>
      </c>
      <c r="T189" s="22" t="s">
        <v>89</v>
      </c>
      <c r="U189" s="63"/>
    </row>
    <row r="190" spans="1:21" x14ac:dyDescent="0.3">
      <c r="A190" s="14">
        <v>43992</v>
      </c>
      <c r="B190">
        <v>2020</v>
      </c>
      <c r="C190" t="s">
        <v>226</v>
      </c>
      <c r="D190" s="24" t="s">
        <v>29</v>
      </c>
      <c r="E190" s="24" t="s">
        <v>45</v>
      </c>
      <c r="F190" s="24">
        <v>2708</v>
      </c>
      <c r="G190" s="24" t="s">
        <v>374</v>
      </c>
      <c r="H190" s="24" t="s">
        <v>233</v>
      </c>
      <c r="J190" t="s">
        <v>108</v>
      </c>
      <c r="K190" t="s">
        <v>31</v>
      </c>
      <c r="L190" s="22">
        <v>37069.996881999999</v>
      </c>
      <c r="M190" s="22" t="s">
        <v>409</v>
      </c>
      <c r="N190" s="70">
        <v>3</v>
      </c>
      <c r="O190" s="22">
        <v>9193.9365319999997</v>
      </c>
      <c r="P190" s="41">
        <v>3064.6455106666667</v>
      </c>
      <c r="Q190" s="76">
        <v>0.24801557338312807</v>
      </c>
      <c r="R190" s="24" t="s">
        <v>43</v>
      </c>
      <c r="S190" s="24" t="s">
        <v>177</v>
      </c>
      <c r="T190" s="22" t="s">
        <v>90</v>
      </c>
      <c r="U190" s="63"/>
    </row>
    <row r="191" spans="1:21" x14ac:dyDescent="0.3">
      <c r="A191" s="14">
        <v>44043</v>
      </c>
      <c r="B191">
        <v>2020</v>
      </c>
      <c r="C191" t="s">
        <v>226</v>
      </c>
      <c r="D191" t="s">
        <v>29</v>
      </c>
      <c r="E191" t="s">
        <v>30</v>
      </c>
      <c r="F191">
        <v>2718</v>
      </c>
      <c r="G191" s="14" t="s">
        <v>377</v>
      </c>
      <c r="H191" s="14" t="s">
        <v>398</v>
      </c>
      <c r="J191" t="s">
        <v>156</v>
      </c>
      <c r="K191" t="s">
        <v>157</v>
      </c>
      <c r="L191" s="22">
        <v>6000000</v>
      </c>
      <c r="M191" s="22" t="s">
        <v>399</v>
      </c>
      <c r="N191" s="24">
        <v>52</v>
      </c>
      <c r="O191" s="22"/>
      <c r="P191" s="22"/>
      <c r="Q191" s="42">
        <v>0.08</v>
      </c>
      <c r="R191" s="22" t="s">
        <v>43</v>
      </c>
      <c r="S191" s="22" t="s">
        <v>208</v>
      </c>
      <c r="T191" s="22" t="s">
        <v>90</v>
      </c>
      <c r="U191" s="63"/>
    </row>
    <row r="192" spans="1:21" x14ac:dyDescent="0.3">
      <c r="A192" s="14">
        <v>44022</v>
      </c>
      <c r="B192">
        <v>2020</v>
      </c>
      <c r="C192" t="s">
        <v>226</v>
      </c>
      <c r="D192" t="s">
        <v>29</v>
      </c>
      <c r="E192" t="s">
        <v>383</v>
      </c>
      <c r="F192">
        <v>2714</v>
      </c>
      <c r="G192" t="s">
        <v>378</v>
      </c>
      <c r="H192" t="s">
        <v>233</v>
      </c>
      <c r="I192">
        <v>33000</v>
      </c>
      <c r="J192" t="s">
        <v>156</v>
      </c>
      <c r="K192" t="s">
        <v>157</v>
      </c>
      <c r="L192" s="22">
        <v>3297897.2643975001</v>
      </c>
      <c r="M192" s="22" t="s">
        <v>400</v>
      </c>
      <c r="N192" s="24">
        <v>40</v>
      </c>
      <c r="O192" s="22">
        <v>288755.9893975</v>
      </c>
      <c r="P192" s="22">
        <v>7218.8997349375004</v>
      </c>
      <c r="Q192" s="42">
        <v>8.7557606028171239E-2</v>
      </c>
      <c r="R192" s="22" t="s">
        <v>43</v>
      </c>
      <c r="S192" s="22" t="s">
        <v>208</v>
      </c>
      <c r="T192" s="22" t="s">
        <v>90</v>
      </c>
      <c r="U192" s="63"/>
    </row>
    <row r="193" spans="1:21" x14ac:dyDescent="0.3">
      <c r="A193" s="14">
        <v>44019</v>
      </c>
      <c r="B193">
        <v>2020</v>
      </c>
      <c r="C193" t="s">
        <v>226</v>
      </c>
      <c r="D193" t="s">
        <v>29</v>
      </c>
      <c r="E193" t="s">
        <v>45</v>
      </c>
      <c r="F193">
        <v>2712</v>
      </c>
      <c r="G193" t="s">
        <v>381</v>
      </c>
      <c r="H193" t="s">
        <v>233</v>
      </c>
      <c r="I193">
        <v>3524.9580000000005</v>
      </c>
      <c r="J193" t="s">
        <v>108</v>
      </c>
      <c r="K193" t="s">
        <v>31</v>
      </c>
      <c r="L193" s="22">
        <v>136339.9952032</v>
      </c>
      <c r="M193" s="22" t="s">
        <v>402</v>
      </c>
      <c r="N193" s="24">
        <v>6</v>
      </c>
      <c r="O193" s="22">
        <v>21802.705173200004</v>
      </c>
      <c r="P193" s="22">
        <v>3633.7841955333338</v>
      </c>
      <c r="Q193" s="42">
        <v>0.15991422869500202</v>
      </c>
      <c r="R193" s="22" t="s">
        <v>42</v>
      </c>
      <c r="S193" s="22" t="s">
        <v>208</v>
      </c>
      <c r="T193" s="22" t="s">
        <v>89</v>
      </c>
      <c r="U193" s="63">
        <f>+DATA[[#This Row],[Estimate Price]]</f>
        <v>136339.9952032</v>
      </c>
    </row>
    <row r="194" spans="1:21" x14ac:dyDescent="0.3">
      <c r="A194" s="14">
        <v>44042</v>
      </c>
      <c r="B194">
        <v>2020</v>
      </c>
      <c r="C194" t="s">
        <v>226</v>
      </c>
      <c r="D194" t="s">
        <v>29</v>
      </c>
      <c r="E194" t="s">
        <v>30</v>
      </c>
      <c r="F194">
        <v>2717</v>
      </c>
      <c r="G194" s="14" t="s">
        <v>379</v>
      </c>
      <c r="H194" s="14" t="s">
        <v>398</v>
      </c>
      <c r="J194" t="s">
        <v>156</v>
      </c>
      <c r="K194" t="s">
        <v>157</v>
      </c>
      <c r="L194" s="22">
        <v>8967980</v>
      </c>
      <c r="M194" s="22" t="s">
        <v>399</v>
      </c>
      <c r="N194">
        <v>56</v>
      </c>
      <c r="O194" s="22"/>
      <c r="P194" s="22">
        <v>10012</v>
      </c>
      <c r="Q194" s="42">
        <v>0.08</v>
      </c>
      <c r="R194" t="s">
        <v>43</v>
      </c>
      <c r="S194" t="s">
        <v>208</v>
      </c>
      <c r="T194" t="s">
        <v>90</v>
      </c>
      <c r="U194" s="63"/>
    </row>
    <row r="195" spans="1:21" x14ac:dyDescent="0.3">
      <c r="A195" s="14">
        <v>44025</v>
      </c>
      <c r="B195">
        <v>2020</v>
      </c>
      <c r="C195" t="s">
        <v>226</v>
      </c>
      <c r="D195" t="s">
        <v>57</v>
      </c>
      <c r="E195" t="s">
        <v>114</v>
      </c>
      <c r="F195">
        <v>2713</v>
      </c>
      <c r="G195" t="s">
        <v>382</v>
      </c>
      <c r="H195" t="s">
        <v>234</v>
      </c>
      <c r="I195">
        <v>50319.790247199999</v>
      </c>
      <c r="J195" t="s">
        <v>108</v>
      </c>
      <c r="K195" t="s">
        <v>31</v>
      </c>
      <c r="L195" s="22">
        <v>1725296.0002663452</v>
      </c>
      <c r="M195" s="22" t="s">
        <v>401</v>
      </c>
      <c r="N195">
        <v>14</v>
      </c>
      <c r="O195" s="22">
        <v>140826.87586562522</v>
      </c>
      <c r="P195" s="22">
        <v>10059.062561830373</v>
      </c>
      <c r="Q195" s="42">
        <v>8.1624762269132289E-2</v>
      </c>
      <c r="R195" t="s">
        <v>43</v>
      </c>
      <c r="S195" t="s">
        <v>50</v>
      </c>
      <c r="T195" t="s">
        <v>90</v>
      </c>
      <c r="U195" s="63"/>
    </row>
    <row r="196" spans="1:21" x14ac:dyDescent="0.3">
      <c r="A196" s="14">
        <v>44040</v>
      </c>
      <c r="B196">
        <v>2020</v>
      </c>
      <c r="C196" t="s">
        <v>226</v>
      </c>
      <c r="D196" t="s">
        <v>29</v>
      </c>
      <c r="E196" t="s">
        <v>30</v>
      </c>
      <c r="F196">
        <v>2719</v>
      </c>
      <c r="G196" t="s">
        <v>380</v>
      </c>
      <c r="H196" t="s">
        <v>234</v>
      </c>
      <c r="I196">
        <v>14636</v>
      </c>
      <c r="J196" t="s">
        <v>108</v>
      </c>
      <c r="K196" t="s">
        <v>31</v>
      </c>
      <c r="L196" s="22">
        <v>1168513.9980397499</v>
      </c>
      <c r="M196" s="22" t="s">
        <v>401</v>
      </c>
      <c r="N196" s="24">
        <v>16</v>
      </c>
      <c r="O196" s="22">
        <v>117796.00340224999</v>
      </c>
      <c r="P196" s="22">
        <v>7362.2502126406243</v>
      </c>
      <c r="Q196" s="42">
        <v>0.10080838021612032</v>
      </c>
      <c r="R196" s="22" t="s">
        <v>43</v>
      </c>
      <c r="S196" s="22" t="s">
        <v>50</v>
      </c>
      <c r="T196" s="22" t="s">
        <v>90</v>
      </c>
      <c r="U196" s="63"/>
    </row>
    <row r="197" spans="1:21" x14ac:dyDescent="0.3">
      <c r="A197" s="14">
        <v>44036</v>
      </c>
      <c r="B197">
        <v>2020</v>
      </c>
      <c r="C197" t="s">
        <v>226</v>
      </c>
      <c r="D197" t="s">
        <v>35</v>
      </c>
      <c r="E197" t="s">
        <v>36</v>
      </c>
      <c r="F197">
        <v>2716</v>
      </c>
      <c r="G197" s="14" t="s">
        <v>396</v>
      </c>
      <c r="H197" s="14" t="s">
        <v>234</v>
      </c>
      <c r="J197" t="s">
        <v>108</v>
      </c>
      <c r="K197" t="s">
        <v>31</v>
      </c>
      <c r="L197" s="22">
        <v>24770.75</v>
      </c>
      <c r="M197" s="22" t="s">
        <v>409</v>
      </c>
      <c r="N197" s="24">
        <v>1</v>
      </c>
      <c r="O197" s="22"/>
      <c r="P197" s="22"/>
      <c r="Q197" s="42">
        <v>0.15</v>
      </c>
      <c r="R197" s="22" t="s">
        <v>43</v>
      </c>
      <c r="S197" s="22" t="s">
        <v>208</v>
      </c>
      <c r="T197" s="22" t="s">
        <v>90</v>
      </c>
      <c r="U197" s="63"/>
    </row>
    <row r="198" spans="1:21" x14ac:dyDescent="0.3">
      <c r="A198" s="14">
        <v>44050</v>
      </c>
      <c r="B198">
        <v>2020</v>
      </c>
      <c r="C198" t="s">
        <v>226</v>
      </c>
      <c r="D198" t="s">
        <v>29</v>
      </c>
      <c r="E198" t="s">
        <v>45</v>
      </c>
      <c r="F198">
        <v>2720</v>
      </c>
      <c r="G198" t="s">
        <v>395</v>
      </c>
      <c r="H198" t="s">
        <v>234</v>
      </c>
      <c r="J198" t="s">
        <v>108</v>
      </c>
      <c r="K198" t="s">
        <v>31</v>
      </c>
      <c r="L198" s="22">
        <v>173456.99</v>
      </c>
      <c r="M198" s="22" t="s">
        <v>402</v>
      </c>
      <c r="N198" s="24">
        <v>1</v>
      </c>
      <c r="O198" s="22"/>
      <c r="P198" s="22"/>
      <c r="Q198" s="42">
        <v>0.15</v>
      </c>
      <c r="R198" s="22" t="s">
        <v>43</v>
      </c>
      <c r="S198" s="22" t="s">
        <v>208</v>
      </c>
      <c r="T198" s="22" t="s">
        <v>90</v>
      </c>
      <c r="U198" s="63"/>
    </row>
    <row r="199" spans="1:21" x14ac:dyDescent="0.3">
      <c r="A199" s="14">
        <v>44071</v>
      </c>
      <c r="B199">
        <v>2020</v>
      </c>
      <c r="C199" t="s">
        <v>226</v>
      </c>
      <c r="D199" t="s">
        <v>57</v>
      </c>
      <c r="E199" t="s">
        <v>114</v>
      </c>
      <c r="F199">
        <v>2721</v>
      </c>
      <c r="G199" t="s">
        <v>389</v>
      </c>
      <c r="H199" t="s">
        <v>234</v>
      </c>
      <c r="I199">
        <v>4385</v>
      </c>
      <c r="J199" t="s">
        <v>108</v>
      </c>
      <c r="K199" t="s">
        <v>31</v>
      </c>
      <c r="L199" s="22">
        <v>211326.21813599998</v>
      </c>
      <c r="M199" s="22" t="s">
        <v>402</v>
      </c>
      <c r="N199" s="24">
        <v>8</v>
      </c>
      <c r="O199" s="22">
        <v>46293.774725999996</v>
      </c>
      <c r="P199" s="22">
        <v>5786.7218407499995</v>
      </c>
      <c r="Q199" s="42">
        <v>0.21906309181290237</v>
      </c>
      <c r="R199" s="22" t="s">
        <v>43</v>
      </c>
      <c r="S199" s="22" t="s">
        <v>50</v>
      </c>
      <c r="T199" s="22" t="s">
        <v>90</v>
      </c>
      <c r="U199" s="63"/>
    </row>
    <row r="200" spans="1:21" x14ac:dyDescent="0.3">
      <c r="A200" s="14">
        <v>44088</v>
      </c>
      <c r="B200">
        <v>2020</v>
      </c>
      <c r="C200" t="s">
        <v>228</v>
      </c>
      <c r="D200" t="s">
        <v>29</v>
      </c>
      <c r="E200" t="s">
        <v>45</v>
      </c>
      <c r="F200">
        <v>2723</v>
      </c>
      <c r="G200" t="s">
        <v>393</v>
      </c>
      <c r="H200" t="s">
        <v>233</v>
      </c>
      <c r="I200">
        <v>2000</v>
      </c>
      <c r="J200" t="s">
        <v>108</v>
      </c>
      <c r="K200" t="s">
        <v>31</v>
      </c>
      <c r="L200" s="22">
        <v>15104.999860859998</v>
      </c>
      <c r="M200" s="22" t="s">
        <v>402</v>
      </c>
      <c r="N200" s="24">
        <v>2</v>
      </c>
      <c r="O200" s="22">
        <v>5378.6366317600005</v>
      </c>
      <c r="P200" s="22">
        <v>2689.3183158800002</v>
      </c>
      <c r="Q200" s="42">
        <v>0.35608319637904118</v>
      </c>
      <c r="R200" s="24" t="s">
        <v>43</v>
      </c>
      <c r="S200" s="22" t="s">
        <v>50</v>
      </c>
      <c r="T200" s="22" t="s">
        <v>90</v>
      </c>
      <c r="U200" s="63"/>
    </row>
    <row r="201" spans="1:21" x14ac:dyDescent="0.3">
      <c r="A201" s="14">
        <v>44117</v>
      </c>
      <c r="B201">
        <v>2020</v>
      </c>
      <c r="C201" t="s">
        <v>228</v>
      </c>
      <c r="D201" t="s">
        <v>29</v>
      </c>
      <c r="E201" t="s">
        <v>45</v>
      </c>
      <c r="F201">
        <v>2728</v>
      </c>
      <c r="G201" t="s">
        <v>406</v>
      </c>
      <c r="H201" t="s">
        <v>233</v>
      </c>
      <c r="I201">
        <v>5316</v>
      </c>
      <c r="J201" t="s">
        <v>156</v>
      </c>
      <c r="K201" t="s">
        <v>157</v>
      </c>
      <c r="L201" s="22">
        <v>924030</v>
      </c>
      <c r="M201" s="22" t="s">
        <v>401</v>
      </c>
      <c r="N201" s="24">
        <v>16</v>
      </c>
      <c r="O201" s="22">
        <v>65561</v>
      </c>
      <c r="P201" s="22">
        <v>4098</v>
      </c>
      <c r="Q201" s="42">
        <v>7.0999999999999994E-2</v>
      </c>
      <c r="R201" s="22" t="s">
        <v>42</v>
      </c>
      <c r="S201" s="22" t="s">
        <v>50</v>
      </c>
      <c r="T201" s="22" t="s">
        <v>89</v>
      </c>
      <c r="U201" s="63">
        <f>+DATA[[#This Row],[Estimate Price]]</f>
        <v>924030</v>
      </c>
    </row>
    <row r="202" spans="1:21" x14ac:dyDescent="0.3">
      <c r="A202" s="14" t="s">
        <v>407</v>
      </c>
      <c r="B202">
        <v>2020</v>
      </c>
      <c r="C202" t="s">
        <v>228</v>
      </c>
      <c r="D202" t="s">
        <v>29</v>
      </c>
      <c r="E202" t="s">
        <v>45</v>
      </c>
      <c r="F202">
        <v>2729</v>
      </c>
      <c r="G202" t="s">
        <v>408</v>
      </c>
      <c r="H202" t="s">
        <v>235</v>
      </c>
      <c r="I202">
        <v>775</v>
      </c>
      <c r="J202" t="s">
        <v>108</v>
      </c>
      <c r="K202" t="s">
        <v>31</v>
      </c>
      <c r="L202" s="22">
        <v>112345</v>
      </c>
      <c r="M202" s="22" t="s">
        <v>402</v>
      </c>
      <c r="N202" s="24">
        <v>5</v>
      </c>
      <c r="O202" s="22">
        <v>20524.240000000002</v>
      </c>
      <c r="P202" s="22">
        <v>4105</v>
      </c>
      <c r="Q202" s="42">
        <v>0.1827</v>
      </c>
      <c r="R202" s="22" t="s">
        <v>42</v>
      </c>
      <c r="S202" s="22" t="s">
        <v>50</v>
      </c>
      <c r="T202" s="22" t="s">
        <v>89</v>
      </c>
      <c r="U202" s="63">
        <f>+DATA[[#This Row],[Estimate Price]]</f>
        <v>112345</v>
      </c>
    </row>
    <row r="203" spans="1:21" x14ac:dyDescent="0.3">
      <c r="A203" s="14">
        <v>44145</v>
      </c>
      <c r="B203">
        <v>2020</v>
      </c>
      <c r="C203" t="s">
        <v>228</v>
      </c>
      <c r="D203" t="s">
        <v>29</v>
      </c>
      <c r="E203" t="s">
        <v>45</v>
      </c>
      <c r="F203">
        <v>2734</v>
      </c>
      <c r="G203" t="s">
        <v>410</v>
      </c>
      <c r="H203" t="s">
        <v>233</v>
      </c>
      <c r="I203">
        <v>320</v>
      </c>
      <c r="J203" t="s">
        <v>156</v>
      </c>
      <c r="K203" t="s">
        <v>157</v>
      </c>
      <c r="L203" s="22">
        <v>279799.03999999998</v>
      </c>
      <c r="M203" s="22" t="s">
        <v>402</v>
      </c>
      <c r="N203" s="24">
        <v>12</v>
      </c>
      <c r="O203" s="22">
        <v>46429.93</v>
      </c>
      <c r="P203" s="22">
        <v>3869</v>
      </c>
      <c r="Q203" s="42">
        <v>0.16589999999999999</v>
      </c>
      <c r="R203" s="22" t="s">
        <v>43</v>
      </c>
      <c r="S203" s="22" t="s">
        <v>177</v>
      </c>
      <c r="T203" s="22" t="s">
        <v>90</v>
      </c>
      <c r="U203" s="63"/>
    </row>
    <row r="204" spans="1:21" x14ac:dyDescent="0.3">
      <c r="A204" s="14">
        <v>44151</v>
      </c>
      <c r="B204">
        <v>2020</v>
      </c>
      <c r="C204" t="s">
        <v>228</v>
      </c>
      <c r="D204" t="s">
        <v>29</v>
      </c>
      <c r="E204" t="s">
        <v>45</v>
      </c>
      <c r="F204">
        <v>2737</v>
      </c>
      <c r="G204" t="s">
        <v>411</v>
      </c>
      <c r="H204" t="s">
        <v>233</v>
      </c>
      <c r="I204">
        <v>1600</v>
      </c>
      <c r="J204" t="s">
        <v>156</v>
      </c>
      <c r="K204" t="s">
        <v>157</v>
      </c>
      <c r="L204" s="22">
        <v>95135.12</v>
      </c>
      <c r="M204" s="22" t="s">
        <v>409</v>
      </c>
      <c r="N204" s="24">
        <v>6</v>
      </c>
      <c r="O204" s="22">
        <v>22199.86</v>
      </c>
      <c r="P204" s="22">
        <v>3772</v>
      </c>
      <c r="Q204" s="42">
        <v>0.2475</v>
      </c>
      <c r="R204" s="22" t="s">
        <v>43</v>
      </c>
      <c r="S204" s="22" t="s">
        <v>177</v>
      </c>
      <c r="T204" s="22" t="s">
        <v>90</v>
      </c>
      <c r="U204" s="63"/>
    </row>
    <row r="205" spans="1:21" x14ac:dyDescent="0.3">
      <c r="A205" s="14">
        <v>44159</v>
      </c>
      <c r="B205">
        <v>2020</v>
      </c>
      <c r="C205" t="s">
        <v>228</v>
      </c>
      <c r="D205" t="s">
        <v>29</v>
      </c>
      <c r="E205" t="s">
        <v>45</v>
      </c>
      <c r="F205">
        <v>2736</v>
      </c>
      <c r="G205" t="s">
        <v>412</v>
      </c>
      <c r="H205" t="s">
        <v>233</v>
      </c>
      <c r="I205">
        <v>5000</v>
      </c>
      <c r="J205" t="s">
        <v>156</v>
      </c>
      <c r="K205" t="s">
        <v>157</v>
      </c>
      <c r="L205" s="22">
        <v>441998.33</v>
      </c>
      <c r="M205" s="22" t="s">
        <v>402</v>
      </c>
      <c r="N205" s="24">
        <v>12</v>
      </c>
      <c r="O205" s="22">
        <v>61743.32</v>
      </c>
      <c r="P205" s="22">
        <v>5145</v>
      </c>
      <c r="Q205" s="42">
        <v>0.13969999999999999</v>
      </c>
      <c r="R205" s="22" t="s">
        <v>43</v>
      </c>
      <c r="S205" s="22" t="s">
        <v>177</v>
      </c>
      <c r="T205" s="22" t="s">
        <v>90</v>
      </c>
      <c r="U205" s="63"/>
    </row>
    <row r="206" spans="1:21" x14ac:dyDescent="0.3">
      <c r="A206" s="14">
        <v>44162</v>
      </c>
      <c r="B206">
        <v>2020</v>
      </c>
      <c r="C206" t="s">
        <v>228</v>
      </c>
      <c r="D206" t="s">
        <v>29</v>
      </c>
      <c r="E206" t="s">
        <v>45</v>
      </c>
      <c r="F206">
        <v>2738</v>
      </c>
      <c r="G206" t="s">
        <v>413</v>
      </c>
      <c r="H206" t="s">
        <v>398</v>
      </c>
      <c r="I206">
        <v>29698</v>
      </c>
      <c r="J206" t="s">
        <v>156</v>
      </c>
      <c r="K206" t="s">
        <v>157</v>
      </c>
      <c r="L206" s="22">
        <v>3693802.71</v>
      </c>
      <c r="M206" s="22" t="s">
        <v>400</v>
      </c>
      <c r="N206" s="24">
        <v>45</v>
      </c>
      <c r="O206" s="22">
        <v>284513.27</v>
      </c>
      <c r="P206" s="22">
        <v>6323</v>
      </c>
      <c r="Q206" s="42">
        <v>7.6999999999999999E-2</v>
      </c>
      <c r="R206" s="22" t="s">
        <v>43</v>
      </c>
      <c r="S206" s="22" t="s">
        <v>208</v>
      </c>
      <c r="T206" s="22" t="s">
        <v>90</v>
      </c>
      <c r="U206" s="63"/>
    </row>
    <row r="207" spans="1:21" x14ac:dyDescent="0.3">
      <c r="A207" s="14">
        <v>44176</v>
      </c>
      <c r="B207">
        <v>2021</v>
      </c>
      <c r="C207" t="s">
        <v>229</v>
      </c>
      <c r="D207" t="s">
        <v>29</v>
      </c>
      <c r="E207" t="s">
        <v>45</v>
      </c>
      <c r="F207">
        <v>2739</v>
      </c>
      <c r="G207" t="s">
        <v>414</v>
      </c>
      <c r="H207" t="s">
        <v>233</v>
      </c>
      <c r="I207">
        <v>1700</v>
      </c>
      <c r="J207" t="s">
        <v>108</v>
      </c>
      <c r="K207" t="s">
        <v>31</v>
      </c>
      <c r="L207" s="22">
        <v>113534.8</v>
      </c>
      <c r="M207" s="22" t="s">
        <v>402</v>
      </c>
      <c r="N207" s="24">
        <v>6</v>
      </c>
      <c r="O207" s="22">
        <v>22114.48</v>
      </c>
      <c r="P207" s="22">
        <v>3686</v>
      </c>
      <c r="Q207" s="42">
        <v>0.1948</v>
      </c>
      <c r="R207" s="22" t="s">
        <v>43</v>
      </c>
      <c r="S207" s="22" t="s">
        <v>50</v>
      </c>
      <c r="T207" s="22" t="s">
        <v>90</v>
      </c>
      <c r="U207" s="63"/>
    </row>
    <row r="208" spans="1:21" x14ac:dyDescent="0.3">
      <c r="A208" s="14">
        <v>44176</v>
      </c>
      <c r="B208">
        <v>2021</v>
      </c>
      <c r="C208" t="s">
        <v>229</v>
      </c>
      <c r="D208" t="s">
        <v>29</v>
      </c>
      <c r="E208" t="s">
        <v>45</v>
      </c>
      <c r="F208">
        <v>2735</v>
      </c>
      <c r="G208" t="s">
        <v>417</v>
      </c>
      <c r="H208" t="s">
        <v>233</v>
      </c>
      <c r="I208">
        <v>3000</v>
      </c>
      <c r="J208" t="s">
        <v>156</v>
      </c>
      <c r="K208" t="s">
        <v>157</v>
      </c>
      <c r="L208" s="22">
        <v>684146.87</v>
      </c>
      <c r="M208" s="22" t="s">
        <v>401</v>
      </c>
      <c r="N208" s="24">
        <v>12</v>
      </c>
      <c r="O208" s="22">
        <v>79399.16</v>
      </c>
      <c r="P208" s="22">
        <v>6617</v>
      </c>
      <c r="Q208" s="42">
        <v>0.11609999999999999</v>
      </c>
      <c r="R208" s="22" t="s">
        <v>42</v>
      </c>
      <c r="S208" s="22" t="s">
        <v>50</v>
      </c>
      <c r="T208" s="22" t="s">
        <v>89</v>
      </c>
      <c r="U208" s="63"/>
    </row>
    <row r="209" spans="1:21" x14ac:dyDescent="0.3">
      <c r="A209" s="14">
        <v>44177</v>
      </c>
      <c r="B209">
        <v>2021</v>
      </c>
      <c r="C209" t="s">
        <v>229</v>
      </c>
      <c r="D209" t="s">
        <v>29</v>
      </c>
      <c r="E209" t="s">
        <v>45</v>
      </c>
      <c r="F209">
        <v>2730</v>
      </c>
      <c r="G209" t="s">
        <v>418</v>
      </c>
      <c r="H209" t="s">
        <v>233</v>
      </c>
      <c r="I209">
        <v>100</v>
      </c>
      <c r="J209" t="s">
        <v>156</v>
      </c>
      <c r="K209" t="s">
        <v>157</v>
      </c>
      <c r="L209" s="22">
        <v>11862.08</v>
      </c>
      <c r="M209" s="22" t="s">
        <v>409</v>
      </c>
      <c r="N209" s="24">
        <v>1</v>
      </c>
      <c r="O209" s="22">
        <v>6089.21</v>
      </c>
      <c r="P209" s="22"/>
      <c r="Q209" s="42">
        <v>0.35</v>
      </c>
      <c r="R209" s="22" t="s">
        <v>42</v>
      </c>
      <c r="S209" s="22" t="s">
        <v>177</v>
      </c>
      <c r="T209" s="22" t="s">
        <v>89</v>
      </c>
      <c r="U209" s="63"/>
    </row>
    <row r="210" spans="1:21" x14ac:dyDescent="0.3">
      <c r="A210" s="14">
        <v>44175</v>
      </c>
      <c r="B210">
        <v>2021</v>
      </c>
      <c r="C210" t="s">
        <v>229</v>
      </c>
      <c r="D210" t="s">
        <v>29</v>
      </c>
      <c r="E210" t="s">
        <v>30</v>
      </c>
      <c r="F210">
        <v>2741</v>
      </c>
      <c r="G210" t="s">
        <v>419</v>
      </c>
      <c r="H210" t="s">
        <v>233</v>
      </c>
      <c r="I210">
        <v>10000</v>
      </c>
      <c r="J210" t="s">
        <v>156</v>
      </c>
      <c r="K210" t="s">
        <v>157</v>
      </c>
      <c r="L210" s="22">
        <v>1877937.34</v>
      </c>
      <c r="M210" s="22" t="s">
        <v>401</v>
      </c>
      <c r="N210" s="24">
        <v>16</v>
      </c>
      <c r="O210" s="22">
        <v>136868.12</v>
      </c>
      <c r="P210" s="22">
        <v>8554</v>
      </c>
      <c r="Q210" s="42">
        <v>7.2900000000000006E-2</v>
      </c>
      <c r="R210" s="22" t="s">
        <v>42</v>
      </c>
      <c r="S210" s="22" t="s">
        <v>208</v>
      </c>
      <c r="T210" s="22" t="s">
        <v>89</v>
      </c>
      <c r="U210" s="63"/>
    </row>
    <row r="211" spans="1:21" x14ac:dyDescent="0.3">
      <c r="A211" s="14">
        <v>44175</v>
      </c>
      <c r="B211">
        <v>2021</v>
      </c>
      <c r="C211" t="s">
        <v>229</v>
      </c>
      <c r="D211" t="s">
        <v>29</v>
      </c>
      <c r="E211" t="s">
        <v>45</v>
      </c>
      <c r="F211">
        <v>2731</v>
      </c>
      <c r="G211" t="s">
        <v>420</v>
      </c>
      <c r="H211" t="s">
        <v>233</v>
      </c>
      <c r="I211">
        <v>10000</v>
      </c>
      <c r="J211" t="s">
        <v>156</v>
      </c>
      <c r="K211" t="s">
        <v>157</v>
      </c>
      <c r="L211" s="22">
        <v>1720221.66</v>
      </c>
      <c r="M211" s="22" t="s">
        <v>401</v>
      </c>
      <c r="N211" s="24">
        <v>26</v>
      </c>
      <c r="O211" s="22">
        <v>118076.53</v>
      </c>
      <c r="P211" s="22">
        <v>4541</v>
      </c>
      <c r="Q211" s="42">
        <v>6.8599999999999994E-2</v>
      </c>
      <c r="R211" s="22" t="s">
        <v>43</v>
      </c>
      <c r="S211" s="22" t="s">
        <v>208</v>
      </c>
      <c r="T211" s="22" t="s">
        <v>90</v>
      </c>
      <c r="U211" s="63"/>
    </row>
    <row r="212" spans="1:21" x14ac:dyDescent="0.3">
      <c r="A212" s="14">
        <v>44185</v>
      </c>
      <c r="B212">
        <v>2021</v>
      </c>
      <c r="C212" t="s">
        <v>229</v>
      </c>
      <c r="D212" t="s">
        <v>29</v>
      </c>
      <c r="E212" t="s">
        <v>30</v>
      </c>
      <c r="F212">
        <v>2743</v>
      </c>
      <c r="G212" t="s">
        <v>422</v>
      </c>
      <c r="H212" t="s">
        <v>234</v>
      </c>
      <c r="I212">
        <v>11000</v>
      </c>
      <c r="J212" t="s">
        <v>108</v>
      </c>
      <c r="K212" t="s">
        <v>31</v>
      </c>
      <c r="L212" s="22">
        <v>578075</v>
      </c>
      <c r="M212" s="22" t="s">
        <v>402</v>
      </c>
      <c r="N212" s="24">
        <v>10</v>
      </c>
      <c r="O212" s="22">
        <v>65577.77</v>
      </c>
      <c r="P212" s="22">
        <v>6558</v>
      </c>
      <c r="Q212" s="42">
        <v>0.1134</v>
      </c>
      <c r="R212" s="22" t="s">
        <v>43</v>
      </c>
      <c r="S212" s="22" t="s">
        <v>50</v>
      </c>
      <c r="T212" s="22" t="s">
        <v>90</v>
      </c>
      <c r="U212" s="63"/>
    </row>
    <row r="213" spans="1:21" x14ac:dyDescent="0.3">
      <c r="A213" s="14">
        <v>44225</v>
      </c>
      <c r="B213">
        <v>2021</v>
      </c>
      <c r="C213" t="s">
        <v>229</v>
      </c>
      <c r="D213" t="s">
        <v>29</v>
      </c>
      <c r="E213" t="s">
        <v>45</v>
      </c>
      <c r="F213">
        <v>2746</v>
      </c>
      <c r="G213" t="s">
        <v>428</v>
      </c>
      <c r="H213" t="s">
        <v>234</v>
      </c>
      <c r="I213">
        <v>1000</v>
      </c>
      <c r="J213" t="s">
        <v>108</v>
      </c>
      <c r="K213" t="s">
        <v>31</v>
      </c>
      <c r="L213" s="22">
        <v>105937.23</v>
      </c>
      <c r="M213" s="22" t="s">
        <v>402</v>
      </c>
      <c r="N213" s="24">
        <v>3</v>
      </c>
      <c r="O213" s="22">
        <v>19125.830000000002</v>
      </c>
      <c r="P213" s="22"/>
      <c r="Q213" s="42">
        <v>0.18049999999999999</v>
      </c>
      <c r="R213" s="22" t="s">
        <v>42</v>
      </c>
      <c r="S213" s="22" t="s">
        <v>208</v>
      </c>
      <c r="T213" s="22" t="s">
        <v>89</v>
      </c>
      <c r="U213" s="63"/>
    </row>
    <row r="214" spans="1:21" x14ac:dyDescent="0.3">
      <c r="A214" s="14">
        <v>44225</v>
      </c>
      <c r="B214">
        <v>2021</v>
      </c>
      <c r="C214" t="s">
        <v>229</v>
      </c>
      <c r="D214" t="s">
        <v>29</v>
      </c>
      <c r="E214" t="s">
        <v>38</v>
      </c>
      <c r="F214">
        <v>2746</v>
      </c>
      <c r="G214" t="s">
        <v>429</v>
      </c>
      <c r="H214" t="s">
        <v>234</v>
      </c>
      <c r="I214">
        <v>1000</v>
      </c>
      <c r="J214" t="s">
        <v>108</v>
      </c>
      <c r="K214" t="s">
        <v>31</v>
      </c>
      <c r="L214" s="63">
        <v>106993.71</v>
      </c>
      <c r="M214" s="22" t="s">
        <v>402</v>
      </c>
      <c r="N214" s="65">
        <v>3</v>
      </c>
      <c r="O214" s="63">
        <v>22142.240000000002</v>
      </c>
      <c r="P214" s="63"/>
      <c r="Q214" s="78">
        <v>0.2069</v>
      </c>
      <c r="R214" s="22" t="s">
        <v>42</v>
      </c>
      <c r="S214" s="22" t="s">
        <v>208</v>
      </c>
      <c r="T214" s="22" t="s">
        <v>89</v>
      </c>
      <c r="U214" s="63"/>
    </row>
    <row r="215" spans="1:21" x14ac:dyDescent="0.3">
      <c r="A215" s="14">
        <v>44225</v>
      </c>
      <c r="B215">
        <v>2021</v>
      </c>
      <c r="C215" t="s">
        <v>229</v>
      </c>
      <c r="D215" t="s">
        <v>57</v>
      </c>
      <c r="E215" t="s">
        <v>432</v>
      </c>
      <c r="F215">
        <v>2746</v>
      </c>
      <c r="G215" t="s">
        <v>430</v>
      </c>
      <c r="H215" t="s">
        <v>234</v>
      </c>
      <c r="I215">
        <v>1000</v>
      </c>
      <c r="J215" t="s">
        <v>108</v>
      </c>
      <c r="K215" t="s">
        <v>31</v>
      </c>
      <c r="L215" s="63">
        <v>248084.49</v>
      </c>
      <c r="M215" s="22" t="s">
        <v>402</v>
      </c>
      <c r="N215" s="65">
        <v>3</v>
      </c>
      <c r="O215" s="63">
        <v>35072.239999999998</v>
      </c>
      <c r="P215" s="63"/>
      <c r="Q215" s="78">
        <v>0.14000000000000001</v>
      </c>
      <c r="R215" s="22" t="s">
        <v>43</v>
      </c>
      <c r="S215" s="22" t="s">
        <v>208</v>
      </c>
      <c r="T215" s="22" t="s">
        <v>90</v>
      </c>
      <c r="U215" s="63"/>
    </row>
    <row r="216" spans="1:21" x14ac:dyDescent="0.3">
      <c r="A216" s="14">
        <v>44225</v>
      </c>
      <c r="B216">
        <v>2021</v>
      </c>
      <c r="C216" t="s">
        <v>229</v>
      </c>
      <c r="D216" t="s">
        <v>35</v>
      </c>
      <c r="E216" t="s">
        <v>36</v>
      </c>
      <c r="F216">
        <v>2746</v>
      </c>
      <c r="G216" t="s">
        <v>431</v>
      </c>
      <c r="H216" t="s">
        <v>234</v>
      </c>
      <c r="I216">
        <v>1000</v>
      </c>
      <c r="J216" t="s">
        <v>108</v>
      </c>
      <c r="K216" t="s">
        <v>31</v>
      </c>
      <c r="L216" s="63">
        <v>108665.45</v>
      </c>
      <c r="M216" s="22" t="s">
        <v>402</v>
      </c>
      <c r="N216" s="65">
        <v>3</v>
      </c>
      <c r="O216" s="63">
        <v>22254.61</v>
      </c>
      <c r="P216" s="63"/>
      <c r="Q216" s="78">
        <v>0.20480000000000001</v>
      </c>
      <c r="R216" s="22" t="s">
        <v>42</v>
      </c>
      <c r="S216" s="22" t="s">
        <v>208</v>
      </c>
      <c r="T216" s="22" t="s">
        <v>89</v>
      </c>
      <c r="U216" s="63"/>
    </row>
    <row r="217" spans="1:21" x14ac:dyDescent="0.3">
      <c r="A217" s="14">
        <v>44204</v>
      </c>
      <c r="B217" s="36">
        <v>2021</v>
      </c>
      <c r="C217" s="36" t="s">
        <v>229</v>
      </c>
      <c r="D217" t="s">
        <v>29</v>
      </c>
      <c r="E217" t="s">
        <v>45</v>
      </c>
      <c r="F217">
        <v>2745</v>
      </c>
      <c r="G217" t="s">
        <v>424</v>
      </c>
      <c r="H217" t="s">
        <v>234</v>
      </c>
      <c r="I217">
        <v>1044</v>
      </c>
      <c r="J217" t="s">
        <v>108</v>
      </c>
      <c r="K217" s="5" t="s">
        <v>31</v>
      </c>
      <c r="L217" s="22">
        <v>55355.35</v>
      </c>
      <c r="M217" s="22" t="s">
        <v>409</v>
      </c>
      <c r="N217" s="24">
        <v>3</v>
      </c>
      <c r="O217" s="22">
        <v>13302.01</v>
      </c>
      <c r="P217" s="22">
        <v>4434</v>
      </c>
      <c r="Q217" s="42">
        <v>0.24030000000000001</v>
      </c>
      <c r="R217" s="22" t="s">
        <v>43</v>
      </c>
      <c r="S217" s="22" t="s">
        <v>208</v>
      </c>
      <c r="T217" t="s">
        <v>90</v>
      </c>
      <c r="U217" s="63"/>
    </row>
    <row r="218" spans="1:21" x14ac:dyDescent="0.3">
      <c r="A218" s="14">
        <v>44215</v>
      </c>
      <c r="B218">
        <v>2021</v>
      </c>
      <c r="C218" t="s">
        <v>229</v>
      </c>
      <c r="D218" t="s">
        <v>29</v>
      </c>
      <c r="E218" t="s">
        <v>45</v>
      </c>
      <c r="F218">
        <v>2744</v>
      </c>
      <c r="G218" t="s">
        <v>425</v>
      </c>
      <c r="H218" t="s">
        <v>234</v>
      </c>
      <c r="I218">
        <v>2100</v>
      </c>
      <c r="J218" t="s">
        <v>108</v>
      </c>
      <c r="K218" s="22" t="s">
        <v>31</v>
      </c>
      <c r="L218" s="22">
        <v>371824.73</v>
      </c>
      <c r="M218" s="22" t="s">
        <v>402</v>
      </c>
      <c r="N218" s="24">
        <v>8</v>
      </c>
      <c r="O218" s="22">
        <v>41873.370000000003</v>
      </c>
      <c r="P218" s="22">
        <v>5234</v>
      </c>
      <c r="Q218" s="42">
        <v>0.11260000000000001</v>
      </c>
      <c r="R218" s="22" t="s">
        <v>43</v>
      </c>
      <c r="S218" s="22" t="s">
        <v>208</v>
      </c>
      <c r="T218" s="22" t="s">
        <v>90</v>
      </c>
      <c r="U218" s="63"/>
    </row>
    <row r="219" spans="1:21" x14ac:dyDescent="0.3">
      <c r="A219" s="14">
        <v>44207</v>
      </c>
      <c r="B219">
        <v>2021</v>
      </c>
      <c r="C219" t="s">
        <v>229</v>
      </c>
      <c r="D219" t="s">
        <v>29</v>
      </c>
      <c r="E219" t="s">
        <v>45</v>
      </c>
      <c r="F219">
        <v>2742</v>
      </c>
      <c r="G219" t="s">
        <v>426</v>
      </c>
      <c r="H219" t="s">
        <v>234</v>
      </c>
      <c r="I219">
        <v>1480</v>
      </c>
      <c r="J219" t="s">
        <v>108</v>
      </c>
      <c r="K219" t="s">
        <v>31</v>
      </c>
      <c r="L219" s="22">
        <v>198916.5</v>
      </c>
      <c r="M219" s="22" t="s">
        <v>402</v>
      </c>
      <c r="N219" s="24">
        <v>8</v>
      </c>
      <c r="O219" s="22">
        <v>34558.25</v>
      </c>
      <c r="P219" s="22">
        <v>4320</v>
      </c>
      <c r="Q219" s="42">
        <v>0.17369999999999999</v>
      </c>
      <c r="R219" s="22" t="s">
        <v>42</v>
      </c>
      <c r="S219" s="22" t="s">
        <v>208</v>
      </c>
      <c r="T219" s="22" t="s">
        <v>89</v>
      </c>
      <c r="U219" s="63"/>
    </row>
    <row r="220" spans="1:21" x14ac:dyDescent="0.3">
      <c r="A220" s="14">
        <v>44208</v>
      </c>
      <c r="B220">
        <v>2021</v>
      </c>
      <c r="C220" t="s">
        <v>229</v>
      </c>
      <c r="D220" t="s">
        <v>29</v>
      </c>
      <c r="E220" t="s">
        <v>45</v>
      </c>
      <c r="F220">
        <v>2740</v>
      </c>
      <c r="G220" t="s">
        <v>427</v>
      </c>
      <c r="H220" t="s">
        <v>234</v>
      </c>
      <c r="J220" t="s">
        <v>108</v>
      </c>
      <c r="K220" t="s">
        <v>31</v>
      </c>
      <c r="L220" s="22">
        <v>13400</v>
      </c>
      <c r="M220" s="22" t="s">
        <v>409</v>
      </c>
      <c r="N220" s="24">
        <v>5</v>
      </c>
      <c r="O220" s="22"/>
      <c r="P220" s="22"/>
      <c r="Q220" s="42">
        <v>0.33</v>
      </c>
      <c r="R220" s="22" t="s">
        <v>42</v>
      </c>
      <c r="S220" s="22" t="s">
        <v>208</v>
      </c>
      <c r="T220" s="22" t="s">
        <v>89</v>
      </c>
      <c r="U220" s="63"/>
    </row>
    <row r="221" spans="1:21" x14ac:dyDescent="0.3">
      <c r="A221" s="14">
        <v>44236</v>
      </c>
      <c r="B221">
        <v>2021</v>
      </c>
      <c r="C221" t="s">
        <v>229</v>
      </c>
      <c r="D221" t="s">
        <v>29</v>
      </c>
      <c r="E221" t="s">
        <v>38</v>
      </c>
      <c r="F221">
        <v>2752</v>
      </c>
      <c r="G221" t="s">
        <v>433</v>
      </c>
      <c r="H221" t="s">
        <v>234</v>
      </c>
      <c r="I221">
        <v>767</v>
      </c>
      <c r="J221" t="s">
        <v>108</v>
      </c>
      <c r="K221" t="s">
        <v>31</v>
      </c>
      <c r="L221" s="22">
        <v>84517.22</v>
      </c>
      <c r="M221" s="22" t="s">
        <v>409</v>
      </c>
      <c r="N221" s="24">
        <v>3</v>
      </c>
      <c r="O221" s="22">
        <v>19717.560000000001</v>
      </c>
      <c r="P221" s="22">
        <v>6573</v>
      </c>
      <c r="Q221" s="42">
        <v>0.23330000000000001</v>
      </c>
      <c r="R221" s="22" t="s">
        <v>42</v>
      </c>
      <c r="S221" s="22" t="s">
        <v>434</v>
      </c>
      <c r="T221" s="22" t="s">
        <v>89</v>
      </c>
      <c r="U221" s="63"/>
    </row>
    <row r="222" spans="1:21" x14ac:dyDescent="0.3">
      <c r="A222" s="14">
        <v>44236</v>
      </c>
      <c r="B222">
        <v>2021</v>
      </c>
      <c r="C222" t="s">
        <v>229</v>
      </c>
      <c r="D222" t="s">
        <v>29</v>
      </c>
      <c r="E222" t="s">
        <v>38</v>
      </c>
      <c r="F222">
        <v>2748</v>
      </c>
      <c r="G222" t="s">
        <v>435</v>
      </c>
      <c r="H222" t="s">
        <v>234</v>
      </c>
      <c r="I222">
        <v>300</v>
      </c>
      <c r="J222" t="s">
        <v>108</v>
      </c>
      <c r="K222" t="s">
        <v>31</v>
      </c>
      <c r="L222" s="22">
        <v>25922.31</v>
      </c>
      <c r="M222" s="22" t="s">
        <v>409</v>
      </c>
      <c r="N222" s="24">
        <v>1</v>
      </c>
      <c r="O222" s="22">
        <v>7590.13</v>
      </c>
      <c r="P222" s="22">
        <v>7590</v>
      </c>
      <c r="Q222" s="42">
        <v>0.2928</v>
      </c>
      <c r="R222" s="22" t="s">
        <v>42</v>
      </c>
      <c r="S222" s="22" t="s">
        <v>208</v>
      </c>
      <c r="T222" s="22" t="s">
        <v>89</v>
      </c>
      <c r="U222" s="63"/>
    </row>
    <row r="223" spans="1:21" x14ac:dyDescent="0.3">
      <c r="A223" s="14">
        <v>44238</v>
      </c>
      <c r="B223">
        <v>2021</v>
      </c>
      <c r="C223" t="s">
        <v>229</v>
      </c>
      <c r="D223" t="s">
        <v>29</v>
      </c>
      <c r="E223" t="s">
        <v>30</v>
      </c>
      <c r="F223">
        <v>2750</v>
      </c>
      <c r="G223" t="s">
        <v>436</v>
      </c>
      <c r="H223" t="s">
        <v>234</v>
      </c>
      <c r="I223">
        <v>693</v>
      </c>
      <c r="J223" t="s">
        <v>108</v>
      </c>
      <c r="K223" t="s">
        <v>31</v>
      </c>
      <c r="L223" s="22">
        <v>73408.59</v>
      </c>
      <c r="M223" s="22" t="s">
        <v>409</v>
      </c>
      <c r="N223" s="24">
        <v>2</v>
      </c>
      <c r="O223" s="22">
        <v>15853.86</v>
      </c>
      <c r="P223" s="22">
        <v>7927</v>
      </c>
      <c r="Q223" s="42">
        <v>0.216</v>
      </c>
      <c r="R223" s="22" t="s">
        <v>42</v>
      </c>
      <c r="S223" s="22" t="s">
        <v>208</v>
      </c>
      <c r="T223" s="22" t="s">
        <v>89</v>
      </c>
      <c r="U223" s="63"/>
    </row>
    <row r="224" spans="1:21" x14ac:dyDescent="0.3">
      <c r="A224" s="80" t="s">
        <v>438</v>
      </c>
      <c r="B224">
        <v>2021</v>
      </c>
      <c r="C224" t="s">
        <v>229</v>
      </c>
      <c r="D224" t="s">
        <v>29</v>
      </c>
      <c r="E224" t="s">
        <v>30</v>
      </c>
      <c r="F224">
        <v>2751</v>
      </c>
      <c r="G224" t="s">
        <v>437</v>
      </c>
      <c r="H224" t="s">
        <v>234</v>
      </c>
      <c r="I224">
        <v>776</v>
      </c>
      <c r="J224" t="s">
        <v>108</v>
      </c>
      <c r="K224" t="s">
        <v>31</v>
      </c>
      <c r="L224" s="5">
        <v>69694.03</v>
      </c>
      <c r="M224" s="5" t="s">
        <v>409</v>
      </c>
      <c r="N224" s="70">
        <v>2</v>
      </c>
      <c r="O224" s="5">
        <v>15514.3</v>
      </c>
      <c r="P224" s="22">
        <v>7757</v>
      </c>
      <c r="Q224" s="9">
        <v>0.22259999999999999</v>
      </c>
      <c r="R224" t="s">
        <v>42</v>
      </c>
      <c r="S224" t="s">
        <v>208</v>
      </c>
      <c r="T224" t="s">
        <v>89</v>
      </c>
      <c r="U224" s="63"/>
    </row>
    <row r="225" spans="1:21" x14ac:dyDescent="0.3">
      <c r="A225" s="80" t="s">
        <v>440</v>
      </c>
      <c r="B225">
        <v>2021</v>
      </c>
      <c r="C225" t="s">
        <v>229</v>
      </c>
      <c r="D225" t="s">
        <v>29</v>
      </c>
      <c r="E225" t="s">
        <v>30</v>
      </c>
      <c r="F225">
        <v>2749</v>
      </c>
      <c r="G225" t="s">
        <v>439</v>
      </c>
      <c r="H225" t="s">
        <v>234</v>
      </c>
      <c r="I225">
        <v>1100</v>
      </c>
      <c r="J225" t="s">
        <v>108</v>
      </c>
      <c r="K225" t="s">
        <v>31</v>
      </c>
      <c r="L225" s="22">
        <v>37362.44</v>
      </c>
      <c r="M225" s="22" t="s">
        <v>409</v>
      </c>
      <c r="N225" s="24">
        <v>2</v>
      </c>
      <c r="O225" s="22">
        <v>12109.25</v>
      </c>
      <c r="P225" s="22">
        <v>6055</v>
      </c>
      <c r="Q225" s="42">
        <v>0.3241</v>
      </c>
      <c r="R225" s="22" t="s">
        <v>42</v>
      </c>
      <c r="S225" s="22" t="s">
        <v>208</v>
      </c>
      <c r="T225" s="22" t="s">
        <v>89</v>
      </c>
      <c r="U225" s="63"/>
    </row>
    <row r="226" spans="1:21" x14ac:dyDescent="0.3">
      <c r="A226" s="80" t="s">
        <v>442</v>
      </c>
      <c r="B226">
        <v>2021</v>
      </c>
      <c r="C226" t="s">
        <v>229</v>
      </c>
      <c r="D226" t="s">
        <v>29</v>
      </c>
      <c r="E226" t="s">
        <v>30</v>
      </c>
      <c r="F226">
        <v>2667</v>
      </c>
      <c r="G226" t="s">
        <v>441</v>
      </c>
      <c r="H226" t="s">
        <v>398</v>
      </c>
      <c r="I226">
        <v>9042</v>
      </c>
      <c r="J226" t="s">
        <v>108</v>
      </c>
      <c r="K226" t="s">
        <v>31</v>
      </c>
      <c r="L226" s="22">
        <v>980405</v>
      </c>
      <c r="M226" s="22" t="s">
        <v>401</v>
      </c>
      <c r="N226" s="24">
        <v>18</v>
      </c>
      <c r="O226" s="22">
        <v>120045.5</v>
      </c>
      <c r="P226" s="22">
        <v>6669</v>
      </c>
      <c r="Q226" s="42">
        <v>0.12239999999999999</v>
      </c>
      <c r="R226" s="22" t="s">
        <v>43</v>
      </c>
      <c r="S226" s="22" t="s">
        <v>50</v>
      </c>
      <c r="T226" s="22" t="s">
        <v>90</v>
      </c>
      <c r="U226" s="63"/>
    </row>
    <row r="227" spans="1:21" x14ac:dyDescent="0.3">
      <c r="A227" s="14">
        <v>44265</v>
      </c>
      <c r="B227">
        <v>2021</v>
      </c>
      <c r="C227" t="s">
        <v>227</v>
      </c>
      <c r="D227" t="s">
        <v>29</v>
      </c>
      <c r="E227" t="s">
        <v>45</v>
      </c>
      <c r="F227">
        <v>2701</v>
      </c>
      <c r="G227" t="s">
        <v>443</v>
      </c>
      <c r="H227" t="s">
        <v>235</v>
      </c>
      <c r="I227">
        <v>2000</v>
      </c>
      <c r="J227" t="s">
        <v>156</v>
      </c>
      <c r="K227" t="s">
        <v>157</v>
      </c>
      <c r="L227" s="22">
        <v>568323.80000000005</v>
      </c>
      <c r="M227" s="22" t="s">
        <v>401</v>
      </c>
      <c r="N227" s="24">
        <v>12</v>
      </c>
      <c r="O227" s="22">
        <v>82903.649999999994</v>
      </c>
      <c r="P227" s="22">
        <v>6909</v>
      </c>
      <c r="Q227" s="42">
        <v>0.1459</v>
      </c>
      <c r="R227" s="22" t="s">
        <v>42</v>
      </c>
      <c r="S227" s="22" t="s">
        <v>50</v>
      </c>
      <c r="T227" s="22" t="s">
        <v>89</v>
      </c>
      <c r="U227" s="63"/>
    </row>
    <row r="228" spans="1:21" x14ac:dyDescent="0.3">
      <c r="A228" s="14">
        <v>44285</v>
      </c>
      <c r="B228">
        <v>2021</v>
      </c>
      <c r="C228" t="s">
        <v>227</v>
      </c>
      <c r="D228" t="s">
        <v>29</v>
      </c>
      <c r="E228" t="s">
        <v>45</v>
      </c>
      <c r="F228">
        <v>2763</v>
      </c>
      <c r="G228" t="s">
        <v>444</v>
      </c>
      <c r="H228" t="s">
        <v>234</v>
      </c>
      <c r="I228">
        <v>5076</v>
      </c>
      <c r="J228" t="s">
        <v>156</v>
      </c>
      <c r="K228" t="s">
        <v>157</v>
      </c>
      <c r="L228" s="22">
        <v>260217.19071920001</v>
      </c>
      <c r="M228" s="22" t="s">
        <v>402</v>
      </c>
      <c r="N228" s="24">
        <v>8</v>
      </c>
      <c r="O228" s="22">
        <v>38324.317809200002</v>
      </c>
      <c r="P228" s="22">
        <v>4790.5397261500002</v>
      </c>
      <c r="Q228" s="42">
        <v>0.14727819366306094</v>
      </c>
      <c r="R228" s="22" t="s">
        <v>43</v>
      </c>
      <c r="S228" s="22" t="s">
        <v>208</v>
      </c>
      <c r="T228" s="22" t="s">
        <v>90</v>
      </c>
      <c r="U228" s="63"/>
    </row>
    <row r="229" spans="1:21" x14ac:dyDescent="0.3">
      <c r="A229" s="14">
        <v>44281</v>
      </c>
      <c r="B229">
        <v>2021</v>
      </c>
      <c r="C229" t="s">
        <v>227</v>
      </c>
      <c r="D229" t="s">
        <v>29</v>
      </c>
      <c r="E229" t="s">
        <v>45</v>
      </c>
      <c r="F229">
        <v>2757</v>
      </c>
      <c r="G229" t="s">
        <v>445</v>
      </c>
      <c r="H229" t="s">
        <v>235</v>
      </c>
      <c r="I229">
        <v>1670</v>
      </c>
      <c r="J229" t="s">
        <v>156</v>
      </c>
      <c r="K229" t="s">
        <v>157</v>
      </c>
      <c r="L229" s="22">
        <v>225544.58</v>
      </c>
      <c r="M229" s="22" t="s">
        <v>402</v>
      </c>
      <c r="N229" s="24">
        <v>6</v>
      </c>
      <c r="O229" s="22">
        <v>30053.59</v>
      </c>
      <c r="P229" s="22">
        <v>5009</v>
      </c>
      <c r="Q229" s="42">
        <v>0.13320000000000001</v>
      </c>
      <c r="R229" s="22" t="s">
        <v>42</v>
      </c>
      <c r="S229" s="22" t="s">
        <v>208</v>
      </c>
      <c r="T229" s="22" t="s">
        <v>89</v>
      </c>
      <c r="U229" s="63"/>
    </row>
    <row r="230" spans="1:21" x14ac:dyDescent="0.3">
      <c r="A230" s="14">
        <v>44312</v>
      </c>
      <c r="B230">
        <v>2021</v>
      </c>
      <c r="C230" t="s">
        <v>227</v>
      </c>
      <c r="D230" t="s">
        <v>29</v>
      </c>
      <c r="E230" t="s">
        <v>38</v>
      </c>
      <c r="F230">
        <v>2766</v>
      </c>
      <c r="G230" t="s">
        <v>446</v>
      </c>
      <c r="H230" t="s">
        <v>233</v>
      </c>
      <c r="I230">
        <v>500</v>
      </c>
      <c r="J230" t="s">
        <v>108</v>
      </c>
      <c r="K230" t="s">
        <v>31</v>
      </c>
      <c r="L230" s="22">
        <v>63200</v>
      </c>
      <c r="M230" s="22" t="s">
        <v>409</v>
      </c>
      <c r="N230" s="24">
        <v>3</v>
      </c>
      <c r="O230" s="22">
        <v>12035.28</v>
      </c>
      <c r="P230" s="22">
        <v>4012</v>
      </c>
      <c r="Q230" s="42">
        <v>0.19020000000000001</v>
      </c>
      <c r="R230" s="22" t="s">
        <v>43</v>
      </c>
      <c r="S230" s="22" t="s">
        <v>208</v>
      </c>
      <c r="T230" s="22" t="s">
        <v>90</v>
      </c>
      <c r="U230" s="63"/>
    </row>
    <row r="231" spans="1:21" x14ac:dyDescent="0.3">
      <c r="A231" s="14">
        <v>44306</v>
      </c>
      <c r="B231">
        <v>2021</v>
      </c>
      <c r="C231" t="s">
        <v>227</v>
      </c>
      <c r="D231" t="s">
        <v>29</v>
      </c>
      <c r="E231" t="s">
        <v>30</v>
      </c>
      <c r="F231">
        <v>2767</v>
      </c>
      <c r="G231" t="s">
        <v>447</v>
      </c>
      <c r="H231" t="s">
        <v>398</v>
      </c>
      <c r="I231">
        <v>14074</v>
      </c>
      <c r="J231" t="s">
        <v>156</v>
      </c>
      <c r="K231" t="s">
        <v>157</v>
      </c>
      <c r="L231" s="22">
        <v>1167611.1299999999</v>
      </c>
      <c r="M231" s="22" t="s">
        <v>401</v>
      </c>
      <c r="N231" s="24">
        <v>26</v>
      </c>
      <c r="O231" s="22">
        <v>141588.28</v>
      </c>
      <c r="P231" s="22">
        <v>5446</v>
      </c>
      <c r="Q231" s="23">
        <v>0.12130000000000001</v>
      </c>
      <c r="R231" s="22" t="s">
        <v>43</v>
      </c>
      <c r="S231" s="22" t="s">
        <v>50</v>
      </c>
      <c r="T231" s="22" t="s">
        <v>90</v>
      </c>
      <c r="U231" s="63"/>
    </row>
    <row r="232" spans="1:21" x14ac:dyDescent="0.3">
      <c r="A232" s="14">
        <v>44305</v>
      </c>
      <c r="B232">
        <v>2021</v>
      </c>
      <c r="C232" t="s">
        <v>227</v>
      </c>
      <c r="D232" t="s">
        <v>29</v>
      </c>
      <c r="E232" t="s">
        <v>38</v>
      </c>
      <c r="F232">
        <v>2769</v>
      </c>
      <c r="G232" t="s">
        <v>448</v>
      </c>
      <c r="H232" t="s">
        <v>233</v>
      </c>
      <c r="I232">
        <v>100</v>
      </c>
      <c r="J232" t="s">
        <v>108</v>
      </c>
      <c r="K232" t="s">
        <v>31</v>
      </c>
      <c r="L232" s="22">
        <v>138815.04000000001</v>
      </c>
      <c r="M232" s="22" t="s">
        <v>402</v>
      </c>
      <c r="N232" s="24">
        <v>2</v>
      </c>
      <c r="O232" s="22">
        <v>24913.18</v>
      </c>
      <c r="P232" s="22">
        <v>12457</v>
      </c>
      <c r="Q232" s="23">
        <v>0.17949999999999999</v>
      </c>
      <c r="R232" s="22" t="s">
        <v>42</v>
      </c>
      <c r="S232" s="22" t="s">
        <v>208</v>
      </c>
      <c r="T232" s="22" t="s">
        <v>89</v>
      </c>
      <c r="U232" s="63"/>
    </row>
    <row r="233" spans="1:21" x14ac:dyDescent="0.3">
      <c r="A233" s="14">
        <v>44320</v>
      </c>
      <c r="B233">
        <v>2021</v>
      </c>
      <c r="C233" t="s">
        <v>227</v>
      </c>
      <c r="D233" t="s">
        <v>29</v>
      </c>
      <c r="E233" t="s">
        <v>45</v>
      </c>
      <c r="F233">
        <v>2770</v>
      </c>
      <c r="G233" t="s">
        <v>449</v>
      </c>
      <c r="H233" t="s">
        <v>233</v>
      </c>
      <c r="I233">
        <v>1200</v>
      </c>
      <c r="J233" t="s">
        <v>108</v>
      </c>
      <c r="K233" t="s">
        <v>31</v>
      </c>
      <c r="L233" s="22">
        <v>319880</v>
      </c>
      <c r="M233" s="22" t="s">
        <v>402</v>
      </c>
      <c r="N233" s="24">
        <v>7</v>
      </c>
      <c r="O233" s="5">
        <v>48064.73</v>
      </c>
      <c r="P233" s="1">
        <v>6866</v>
      </c>
      <c r="Q233" s="9">
        <v>0.15029999999999999</v>
      </c>
      <c r="R233" s="22" t="s">
        <v>42</v>
      </c>
      <c r="S233" s="22" t="s">
        <v>50</v>
      </c>
      <c r="T233" s="22" t="s">
        <v>89</v>
      </c>
      <c r="U233" s="63"/>
    </row>
    <row r="234" spans="1:21" x14ac:dyDescent="0.3">
      <c r="A234" s="14">
        <v>44330</v>
      </c>
      <c r="B234">
        <v>2021</v>
      </c>
      <c r="C234" t="s">
        <v>227</v>
      </c>
      <c r="D234" t="s">
        <v>29</v>
      </c>
      <c r="E234" t="s">
        <v>45</v>
      </c>
      <c r="F234">
        <v>2776</v>
      </c>
      <c r="G234" t="s">
        <v>450</v>
      </c>
      <c r="H234" t="s">
        <v>233</v>
      </c>
      <c r="I234">
        <v>17812.400000000001</v>
      </c>
      <c r="J234" t="s">
        <v>156</v>
      </c>
      <c r="K234" t="s">
        <v>157</v>
      </c>
      <c r="L234" s="22">
        <v>413643.51</v>
      </c>
      <c r="M234" s="22" t="s">
        <v>402</v>
      </c>
      <c r="N234" s="24">
        <v>12</v>
      </c>
      <c r="O234" s="22">
        <v>58502.48</v>
      </c>
      <c r="P234" s="22">
        <v>4875</v>
      </c>
      <c r="Q234" s="23">
        <v>0.1414</v>
      </c>
      <c r="R234" s="22" t="s">
        <v>42</v>
      </c>
      <c r="S234" s="22" t="s">
        <v>50</v>
      </c>
      <c r="T234" s="22" t="s">
        <v>89</v>
      </c>
      <c r="U234" s="63"/>
    </row>
    <row r="235" spans="1:21" x14ac:dyDescent="0.3">
      <c r="A235" s="14">
        <v>44333</v>
      </c>
      <c r="B235">
        <v>2021</v>
      </c>
      <c r="C235" t="s">
        <v>227</v>
      </c>
      <c r="D235" t="s">
        <v>29</v>
      </c>
      <c r="E235" t="s">
        <v>30</v>
      </c>
      <c r="F235">
        <v>2777</v>
      </c>
      <c r="G235" t="s">
        <v>451</v>
      </c>
      <c r="H235" t="s">
        <v>398</v>
      </c>
      <c r="I235">
        <v>92760</v>
      </c>
      <c r="J235" t="s">
        <v>156</v>
      </c>
      <c r="K235" t="s">
        <v>157</v>
      </c>
      <c r="L235" s="22">
        <v>11964000</v>
      </c>
      <c r="M235" s="22" t="s">
        <v>399</v>
      </c>
      <c r="N235" s="24">
        <v>65</v>
      </c>
      <c r="O235" s="22"/>
      <c r="P235" s="22"/>
      <c r="Q235" s="79">
        <v>0.05</v>
      </c>
      <c r="R235" s="22" t="s">
        <v>43</v>
      </c>
      <c r="S235" s="22" t="s">
        <v>208</v>
      </c>
      <c r="T235" s="22" t="s">
        <v>90</v>
      </c>
      <c r="U235" s="63"/>
    </row>
    <row r="236" spans="1:21" x14ac:dyDescent="0.3">
      <c r="A236" s="14">
        <v>44347</v>
      </c>
      <c r="B236">
        <v>2021</v>
      </c>
      <c r="C236" t="s">
        <v>227</v>
      </c>
      <c r="D236" t="s">
        <v>29</v>
      </c>
      <c r="E236" t="s">
        <v>30</v>
      </c>
      <c r="F236">
        <v>2756</v>
      </c>
      <c r="G236" t="s">
        <v>453</v>
      </c>
      <c r="H236" t="s">
        <v>233</v>
      </c>
      <c r="I236">
        <v>3351</v>
      </c>
      <c r="J236" t="s">
        <v>156</v>
      </c>
      <c r="K236" t="s">
        <v>157</v>
      </c>
      <c r="L236" s="22">
        <v>745662.1</v>
      </c>
      <c r="M236" s="22" t="s">
        <v>401</v>
      </c>
      <c r="N236" s="24">
        <v>11</v>
      </c>
      <c r="O236" s="22">
        <v>58602.18</v>
      </c>
      <c r="P236" s="22">
        <v>5327</v>
      </c>
      <c r="Q236" s="42">
        <v>7.8600000000000003E-2</v>
      </c>
      <c r="R236" s="22" t="s">
        <v>42</v>
      </c>
      <c r="S236" s="22" t="s">
        <v>50</v>
      </c>
      <c r="T236" s="22" t="s">
        <v>89</v>
      </c>
      <c r="U236" s="63"/>
    </row>
    <row r="237" spans="1:21" x14ac:dyDescent="0.3">
      <c r="A237" s="14">
        <v>44341</v>
      </c>
      <c r="B237">
        <v>2021</v>
      </c>
      <c r="C237" t="s">
        <v>227</v>
      </c>
      <c r="D237" t="s">
        <v>29</v>
      </c>
      <c r="E237" t="s">
        <v>45</v>
      </c>
      <c r="F237">
        <v>2772</v>
      </c>
      <c r="G237" t="s">
        <v>452</v>
      </c>
      <c r="H237" t="s">
        <v>234</v>
      </c>
      <c r="I237">
        <v>8335</v>
      </c>
      <c r="J237" t="s">
        <v>156</v>
      </c>
      <c r="K237" t="s">
        <v>157</v>
      </c>
      <c r="L237" s="22">
        <v>151551.65</v>
      </c>
      <c r="M237" s="22" t="s">
        <v>402</v>
      </c>
      <c r="N237" s="24">
        <v>4</v>
      </c>
      <c r="O237" s="22">
        <v>22818.33</v>
      </c>
      <c r="P237" s="22">
        <v>5705</v>
      </c>
      <c r="Q237" s="42">
        <v>0.15060000000000001</v>
      </c>
      <c r="R237" s="22" t="s">
        <v>42</v>
      </c>
      <c r="S237" s="22" t="s">
        <v>208</v>
      </c>
      <c r="T237" s="22" t="s">
        <v>89</v>
      </c>
      <c r="U237" s="63"/>
    </row>
    <row r="238" spans="1:21" x14ac:dyDescent="0.3">
      <c r="A238" s="14">
        <v>44376</v>
      </c>
      <c r="B238">
        <v>2021</v>
      </c>
      <c r="C238" t="s">
        <v>226</v>
      </c>
      <c r="D238" t="s">
        <v>29</v>
      </c>
      <c r="E238" t="s">
        <v>45</v>
      </c>
      <c r="F238">
        <v>2783</v>
      </c>
      <c r="G238" t="s">
        <v>455</v>
      </c>
      <c r="H238" t="s">
        <v>233</v>
      </c>
      <c r="I238">
        <v>7500</v>
      </c>
      <c r="J238" t="s">
        <v>156</v>
      </c>
      <c r="K238" t="s">
        <v>157</v>
      </c>
      <c r="L238" s="22">
        <v>658782.94999999995</v>
      </c>
      <c r="M238" s="22" t="s">
        <v>402</v>
      </c>
      <c r="N238" s="24">
        <v>12</v>
      </c>
      <c r="O238" s="22">
        <v>89597.95</v>
      </c>
      <c r="P238" s="22">
        <v>7466.5</v>
      </c>
      <c r="Q238" s="42">
        <v>0.13600000000000001</v>
      </c>
      <c r="R238" s="22" t="s">
        <v>43</v>
      </c>
      <c r="S238" s="22" t="s">
        <v>208</v>
      </c>
      <c r="T238" s="22" t="s">
        <v>90</v>
      </c>
      <c r="U238" s="63"/>
    </row>
    <row r="239" spans="1:21" x14ac:dyDescent="0.3">
      <c r="A239" s="14">
        <v>44362</v>
      </c>
      <c r="B239">
        <v>2021</v>
      </c>
      <c r="C239" t="s">
        <v>226</v>
      </c>
      <c r="D239" t="s">
        <v>29</v>
      </c>
      <c r="E239" t="s">
        <v>45</v>
      </c>
      <c r="F239" s="62" t="s">
        <v>457</v>
      </c>
      <c r="G239" t="s">
        <v>478</v>
      </c>
      <c r="H239" t="s">
        <v>234</v>
      </c>
      <c r="I239">
        <v>28293</v>
      </c>
      <c r="J239" t="s">
        <v>156</v>
      </c>
      <c r="K239" t="s">
        <v>157</v>
      </c>
      <c r="L239" s="22">
        <v>4481107.32</v>
      </c>
      <c r="M239" s="22" t="s">
        <v>400</v>
      </c>
      <c r="N239" s="24">
        <v>40</v>
      </c>
      <c r="O239" s="22">
        <v>359575.85</v>
      </c>
      <c r="P239" s="22">
        <v>8989</v>
      </c>
      <c r="Q239" s="42">
        <v>0.08</v>
      </c>
      <c r="R239" s="22" t="s">
        <v>43</v>
      </c>
      <c r="S239" s="22" t="s">
        <v>208</v>
      </c>
      <c r="T239" s="22" t="s">
        <v>90</v>
      </c>
      <c r="U239" s="63"/>
    </row>
    <row r="240" spans="1:21" x14ac:dyDescent="0.3">
      <c r="A240" s="14">
        <v>44354</v>
      </c>
      <c r="B240">
        <v>2021</v>
      </c>
      <c r="C240" t="s">
        <v>226</v>
      </c>
      <c r="D240" t="s">
        <v>29</v>
      </c>
      <c r="E240" t="s">
        <v>45</v>
      </c>
      <c r="F240" s="62" t="s">
        <v>458</v>
      </c>
      <c r="G240" t="s">
        <v>465</v>
      </c>
      <c r="H240" t="s">
        <v>233</v>
      </c>
      <c r="I240">
        <v>2939</v>
      </c>
      <c r="J240" t="s">
        <v>156</v>
      </c>
      <c r="K240" t="s">
        <v>157</v>
      </c>
      <c r="L240" s="22">
        <v>2588388.37</v>
      </c>
      <c r="M240" s="22" t="s">
        <v>400</v>
      </c>
      <c r="N240" s="24">
        <v>20</v>
      </c>
      <c r="O240" s="22">
        <v>214754.97</v>
      </c>
      <c r="P240" s="22">
        <v>10738</v>
      </c>
      <c r="Q240" s="42">
        <v>8.3000000000000004E-2</v>
      </c>
      <c r="R240" s="22" t="s">
        <v>42</v>
      </c>
      <c r="S240" s="22" t="s">
        <v>208</v>
      </c>
      <c r="T240" s="22" t="s">
        <v>89</v>
      </c>
      <c r="U240" s="63"/>
    </row>
    <row r="241" spans="1:21" x14ac:dyDescent="0.3">
      <c r="A241" s="14">
        <v>44375</v>
      </c>
      <c r="B241">
        <v>2021</v>
      </c>
      <c r="C241" t="s">
        <v>226</v>
      </c>
      <c r="D241" t="s">
        <v>29</v>
      </c>
      <c r="E241" t="s">
        <v>45</v>
      </c>
      <c r="F241" s="62" t="s">
        <v>459</v>
      </c>
      <c r="G241" t="s">
        <v>456</v>
      </c>
      <c r="H241" t="s">
        <v>233</v>
      </c>
      <c r="I241">
        <v>4000</v>
      </c>
      <c r="J241" t="s">
        <v>156</v>
      </c>
      <c r="K241" t="s">
        <v>157</v>
      </c>
      <c r="L241" s="22">
        <v>348764</v>
      </c>
      <c r="M241" s="22" t="s">
        <v>402</v>
      </c>
      <c r="N241" s="24">
        <v>8</v>
      </c>
      <c r="O241" s="22">
        <v>47351.91</v>
      </c>
      <c r="P241" s="22">
        <v>5918.99</v>
      </c>
      <c r="Q241" s="42">
        <v>0.1358</v>
      </c>
      <c r="R241" s="22" t="s">
        <v>42</v>
      </c>
      <c r="S241" s="22" t="s">
        <v>50</v>
      </c>
      <c r="T241" s="22" t="s">
        <v>89</v>
      </c>
      <c r="U241" s="63"/>
    </row>
    <row r="242" spans="1:21" x14ac:dyDescent="0.3">
      <c r="A242" s="14">
        <v>44376</v>
      </c>
      <c r="B242">
        <v>2021</v>
      </c>
      <c r="C242" t="s">
        <v>226</v>
      </c>
      <c r="D242" t="s">
        <v>29</v>
      </c>
      <c r="E242" t="s">
        <v>45</v>
      </c>
      <c r="F242" s="62" t="s">
        <v>460</v>
      </c>
      <c r="G242" t="s">
        <v>466</v>
      </c>
      <c r="H242" t="s">
        <v>233</v>
      </c>
      <c r="I242">
        <v>150</v>
      </c>
      <c r="J242" t="s">
        <v>156</v>
      </c>
      <c r="K242" t="s">
        <v>157</v>
      </c>
      <c r="L242" s="22">
        <v>33000</v>
      </c>
      <c r="M242" s="22" t="s">
        <v>409</v>
      </c>
      <c r="N242" s="24">
        <v>3</v>
      </c>
      <c r="O242" s="22">
        <v>4950</v>
      </c>
      <c r="P242" s="22">
        <v>1650</v>
      </c>
      <c r="Q242" s="42">
        <v>0.15</v>
      </c>
      <c r="R242" s="22" t="s">
        <v>42</v>
      </c>
      <c r="S242" s="22" t="s">
        <v>208</v>
      </c>
      <c r="T242" s="22" t="s">
        <v>89</v>
      </c>
      <c r="U242" s="63"/>
    </row>
    <row r="243" spans="1:21" x14ac:dyDescent="0.3">
      <c r="A243" s="14">
        <v>44363</v>
      </c>
      <c r="B243">
        <v>2021</v>
      </c>
      <c r="C243" t="s">
        <v>226</v>
      </c>
      <c r="D243" t="s">
        <v>29</v>
      </c>
      <c r="E243" t="s">
        <v>45</v>
      </c>
      <c r="F243">
        <v>2781</v>
      </c>
      <c r="G243" t="s">
        <v>463</v>
      </c>
      <c r="H243" t="s">
        <v>234</v>
      </c>
      <c r="I243">
        <v>9000</v>
      </c>
      <c r="J243" t="s">
        <v>156</v>
      </c>
      <c r="K243" t="s">
        <v>157</v>
      </c>
      <c r="L243" s="22">
        <v>498873.36618064001</v>
      </c>
      <c r="M243" s="22" t="s">
        <v>402</v>
      </c>
      <c r="N243" s="24">
        <v>12</v>
      </c>
      <c r="O243" s="22">
        <v>78567.405544740002</v>
      </c>
      <c r="P243" s="22">
        <v>6547.2837953950002</v>
      </c>
      <c r="Q243" s="42">
        <v>0.15748967748318532</v>
      </c>
      <c r="R243" s="22" t="s">
        <v>43</v>
      </c>
      <c r="S243" s="22" t="s">
        <v>208</v>
      </c>
      <c r="T243" s="22" t="s">
        <v>90</v>
      </c>
      <c r="U243" s="63"/>
    </row>
    <row r="244" spans="1:21" x14ac:dyDescent="0.3">
      <c r="A244" s="14">
        <v>44357</v>
      </c>
      <c r="B244">
        <v>2021</v>
      </c>
      <c r="C244" t="s">
        <v>226</v>
      </c>
      <c r="D244" t="s">
        <v>57</v>
      </c>
      <c r="E244" t="s">
        <v>114</v>
      </c>
      <c r="F244">
        <v>2782</v>
      </c>
      <c r="G244" t="s">
        <v>464</v>
      </c>
      <c r="H244" t="s">
        <v>233</v>
      </c>
      <c r="I244">
        <v>22248</v>
      </c>
      <c r="J244" t="s">
        <v>156</v>
      </c>
      <c r="K244" t="s">
        <v>157</v>
      </c>
      <c r="L244" s="22">
        <v>1700000</v>
      </c>
      <c r="M244" s="22" t="s">
        <v>401</v>
      </c>
      <c r="N244" s="24">
        <v>21</v>
      </c>
      <c r="O244" s="22">
        <v>164150</v>
      </c>
      <c r="P244" s="22">
        <v>7816.67</v>
      </c>
      <c r="Q244" s="42">
        <v>9.6600000000000005E-2</v>
      </c>
      <c r="R244" s="22" t="s">
        <v>43</v>
      </c>
      <c r="S244" s="22" t="s">
        <v>208</v>
      </c>
      <c r="T244" s="22" t="s">
        <v>90</v>
      </c>
      <c r="U244" s="63"/>
    </row>
    <row r="245" spans="1:21" x14ac:dyDescent="0.3">
      <c r="A245" s="14">
        <v>44384</v>
      </c>
      <c r="B245">
        <v>2021</v>
      </c>
      <c r="C245" t="s">
        <v>226</v>
      </c>
      <c r="D245" t="s">
        <v>29</v>
      </c>
      <c r="E245" t="s">
        <v>45</v>
      </c>
      <c r="F245">
        <v>2762</v>
      </c>
      <c r="G245" t="s">
        <v>454</v>
      </c>
      <c r="H245" t="s">
        <v>233</v>
      </c>
      <c r="I245">
        <v>1300</v>
      </c>
      <c r="J245" t="s">
        <v>156</v>
      </c>
      <c r="K245" t="s">
        <v>157</v>
      </c>
      <c r="L245" s="22">
        <v>156998.00417600002</v>
      </c>
      <c r="M245" s="22" t="s">
        <v>402</v>
      </c>
      <c r="N245" s="24">
        <v>3</v>
      </c>
      <c r="O245" s="22">
        <v>27373.69</v>
      </c>
      <c r="P245" s="22">
        <v>9125</v>
      </c>
      <c r="Q245" s="42">
        <v>0.1744</v>
      </c>
      <c r="R245" s="22" t="s">
        <v>42</v>
      </c>
      <c r="S245" s="22" t="s">
        <v>50</v>
      </c>
      <c r="T245" s="22" t="s">
        <v>89</v>
      </c>
      <c r="U245" s="63"/>
    </row>
    <row r="246" spans="1:21" x14ac:dyDescent="0.3">
      <c r="A246" s="14">
        <v>44386</v>
      </c>
      <c r="B246">
        <v>2021</v>
      </c>
      <c r="C246" t="s">
        <v>226</v>
      </c>
      <c r="D246" t="s">
        <v>29</v>
      </c>
      <c r="E246" t="s">
        <v>45</v>
      </c>
      <c r="F246">
        <v>2774</v>
      </c>
      <c r="G246" t="s">
        <v>485</v>
      </c>
      <c r="H246" t="s">
        <v>398</v>
      </c>
      <c r="I246">
        <v>35914</v>
      </c>
      <c r="J246" t="s">
        <v>156</v>
      </c>
      <c r="K246" t="s">
        <v>157</v>
      </c>
      <c r="L246" s="22">
        <v>4837152.3600000003</v>
      </c>
      <c r="M246" s="5" t="s">
        <v>400</v>
      </c>
      <c r="N246">
        <v>42</v>
      </c>
      <c r="O246" s="5">
        <v>391642.79</v>
      </c>
      <c r="P246" s="1">
        <v>9325</v>
      </c>
      <c r="Q246" s="9">
        <v>8.1000000000000003E-2</v>
      </c>
      <c r="R246" s="22" t="s">
        <v>42</v>
      </c>
      <c r="S246" s="22" t="s">
        <v>50</v>
      </c>
      <c r="T246" s="22" t="s">
        <v>89</v>
      </c>
      <c r="U246" s="63"/>
    </row>
    <row r="247" spans="1:21" x14ac:dyDescent="0.3">
      <c r="A247" s="14">
        <v>44386</v>
      </c>
      <c r="B247">
        <v>2021</v>
      </c>
      <c r="C247" t="s">
        <v>226</v>
      </c>
      <c r="D247" t="s">
        <v>29</v>
      </c>
      <c r="E247" t="s">
        <v>45</v>
      </c>
      <c r="F247" s="62" t="s">
        <v>461</v>
      </c>
      <c r="G247" t="s">
        <v>462</v>
      </c>
      <c r="H247" t="s">
        <v>233</v>
      </c>
      <c r="I247">
        <v>3894</v>
      </c>
      <c r="J247" t="s">
        <v>156</v>
      </c>
      <c r="K247" t="s">
        <v>157</v>
      </c>
      <c r="L247" s="22">
        <v>862159.91</v>
      </c>
      <c r="M247" s="22" t="s">
        <v>401</v>
      </c>
      <c r="N247" s="24">
        <v>13</v>
      </c>
      <c r="O247" s="22">
        <v>76921.600000000006</v>
      </c>
      <c r="P247" s="22">
        <v>5917</v>
      </c>
      <c r="Q247" s="42">
        <v>8.9200000000000002E-2</v>
      </c>
      <c r="R247" s="22" t="s">
        <v>42</v>
      </c>
      <c r="S247" s="22" t="s">
        <v>50</v>
      </c>
      <c r="T247" s="22" t="s">
        <v>89</v>
      </c>
      <c r="U247" s="63"/>
    </row>
    <row r="248" spans="1:21" x14ac:dyDescent="0.3">
      <c r="A248" s="14">
        <v>44397</v>
      </c>
      <c r="B248">
        <v>2021</v>
      </c>
      <c r="C248" t="s">
        <v>226</v>
      </c>
      <c r="D248" t="s">
        <v>29</v>
      </c>
      <c r="E248" t="s">
        <v>45</v>
      </c>
      <c r="F248">
        <v>2784</v>
      </c>
      <c r="G248" s="5" t="s">
        <v>495</v>
      </c>
      <c r="H248" s="5" t="s">
        <v>398</v>
      </c>
      <c r="I248" s="81">
        <v>16800</v>
      </c>
      <c r="J248" t="s">
        <v>156</v>
      </c>
      <c r="K248" s="5" t="s">
        <v>157</v>
      </c>
      <c r="L248" s="5">
        <v>3215733.8873239146</v>
      </c>
      <c r="M248" s="5" t="s">
        <v>400</v>
      </c>
      <c r="N248">
        <v>42</v>
      </c>
      <c r="O248" s="5">
        <v>363052.56887003954</v>
      </c>
      <c r="P248" s="1">
        <v>8644.1087826199891</v>
      </c>
      <c r="Q248" s="9">
        <v>0.11289882235005659</v>
      </c>
      <c r="R248" s="22" t="s">
        <v>43</v>
      </c>
      <c r="S248" s="22" t="s">
        <v>50</v>
      </c>
      <c r="T248" s="22" t="s">
        <v>90</v>
      </c>
      <c r="U248" s="63"/>
    </row>
    <row r="249" spans="1:21" x14ac:dyDescent="0.3">
      <c r="A249" s="14">
        <v>44397</v>
      </c>
      <c r="B249">
        <v>2021</v>
      </c>
      <c r="C249" t="s">
        <v>226</v>
      </c>
      <c r="D249" t="s">
        <v>29</v>
      </c>
      <c r="E249" t="s">
        <v>45</v>
      </c>
      <c r="F249">
        <v>2780</v>
      </c>
      <c r="G249" t="s">
        <v>467</v>
      </c>
      <c r="H249" t="s">
        <v>234</v>
      </c>
      <c r="I249">
        <v>200</v>
      </c>
      <c r="J249" t="s">
        <v>167</v>
      </c>
      <c r="K249" t="s">
        <v>31</v>
      </c>
      <c r="L249" s="22">
        <v>34373</v>
      </c>
      <c r="M249" s="22" t="s">
        <v>409</v>
      </c>
      <c r="N249" s="24">
        <v>4</v>
      </c>
      <c r="O249" s="22">
        <v>9138.51</v>
      </c>
      <c r="P249" s="22">
        <v>2285</v>
      </c>
      <c r="Q249" s="42">
        <v>0.26590000000000003</v>
      </c>
      <c r="R249" s="22" t="s">
        <v>42</v>
      </c>
      <c r="S249" s="22" t="s">
        <v>208</v>
      </c>
      <c r="T249" s="22" t="s">
        <v>89</v>
      </c>
      <c r="U249" s="63"/>
    </row>
    <row r="250" spans="1:21" x14ac:dyDescent="0.3">
      <c r="A250" s="14">
        <v>44392</v>
      </c>
      <c r="B250">
        <v>2021</v>
      </c>
      <c r="C250" t="s">
        <v>226</v>
      </c>
      <c r="D250" t="s">
        <v>29</v>
      </c>
      <c r="E250" t="s">
        <v>45</v>
      </c>
      <c r="F250">
        <v>2795</v>
      </c>
      <c r="G250" t="s">
        <v>468</v>
      </c>
      <c r="H250" t="s">
        <v>234</v>
      </c>
      <c r="I250">
        <v>4200</v>
      </c>
      <c r="J250" t="s">
        <v>156</v>
      </c>
      <c r="K250" t="s">
        <v>157</v>
      </c>
      <c r="L250" s="22">
        <v>272532.84999999998</v>
      </c>
      <c r="M250" s="22" t="s">
        <v>402</v>
      </c>
      <c r="N250" s="24">
        <v>6</v>
      </c>
      <c r="O250" s="22">
        <v>41393.46</v>
      </c>
      <c r="P250" s="22">
        <v>6899</v>
      </c>
      <c r="Q250" s="42">
        <v>0.15190000000000001</v>
      </c>
      <c r="R250" s="22" t="s">
        <v>42</v>
      </c>
      <c r="S250" s="22" t="s">
        <v>208</v>
      </c>
      <c r="T250" s="22" t="s">
        <v>89</v>
      </c>
      <c r="U250" s="63"/>
    </row>
    <row r="251" spans="1:21" x14ac:dyDescent="0.3">
      <c r="A251" s="14">
        <v>44385</v>
      </c>
      <c r="B251">
        <v>2021</v>
      </c>
      <c r="C251" t="s">
        <v>226</v>
      </c>
      <c r="D251" t="s">
        <v>29</v>
      </c>
      <c r="E251" t="s">
        <v>30</v>
      </c>
      <c r="F251">
        <v>2785</v>
      </c>
      <c r="G251" t="s">
        <v>469</v>
      </c>
      <c r="H251" t="s">
        <v>233</v>
      </c>
      <c r="I251">
        <v>1326</v>
      </c>
      <c r="J251" t="s">
        <v>156</v>
      </c>
      <c r="K251" t="s">
        <v>157</v>
      </c>
      <c r="L251" s="22">
        <v>170080</v>
      </c>
      <c r="M251" s="22" t="s">
        <v>402</v>
      </c>
      <c r="N251" s="24">
        <v>4</v>
      </c>
      <c r="O251" s="22">
        <v>26167.69</v>
      </c>
      <c r="P251" s="22">
        <v>6542</v>
      </c>
      <c r="Q251" s="42">
        <v>0.15390000000000001</v>
      </c>
      <c r="R251" s="22" t="s">
        <v>42</v>
      </c>
      <c r="S251" s="22" t="s">
        <v>208</v>
      </c>
      <c r="T251" s="22" t="s">
        <v>89</v>
      </c>
      <c r="U251" s="63"/>
    </row>
    <row r="252" spans="1:21" x14ac:dyDescent="0.3">
      <c r="A252" s="14">
        <v>44400</v>
      </c>
      <c r="B252">
        <v>2021</v>
      </c>
      <c r="C252" t="s">
        <v>226</v>
      </c>
      <c r="D252" t="s">
        <v>29</v>
      </c>
      <c r="E252" t="s">
        <v>45</v>
      </c>
      <c r="F252">
        <v>2788</v>
      </c>
      <c r="G252" t="s">
        <v>470</v>
      </c>
      <c r="H252" t="s">
        <v>233</v>
      </c>
      <c r="I252">
        <v>4000</v>
      </c>
      <c r="J252" t="s">
        <v>156</v>
      </c>
      <c r="K252" t="s">
        <v>157</v>
      </c>
      <c r="L252" s="22">
        <v>165294.81</v>
      </c>
      <c r="M252" s="22" t="s">
        <v>402</v>
      </c>
      <c r="N252" s="24">
        <v>8</v>
      </c>
      <c r="O252" s="22">
        <v>40892.379999999997</v>
      </c>
      <c r="P252" s="22">
        <v>5112</v>
      </c>
      <c r="Q252" s="42">
        <v>0.24740000000000001</v>
      </c>
      <c r="R252" s="22" t="s">
        <v>43</v>
      </c>
      <c r="S252" s="22" t="s">
        <v>50</v>
      </c>
      <c r="T252" s="22" t="s">
        <v>90</v>
      </c>
      <c r="U252" s="63"/>
    </row>
    <row r="253" spans="1:21" x14ac:dyDescent="0.3">
      <c r="A253" s="14">
        <v>44399</v>
      </c>
      <c r="B253">
        <v>2021</v>
      </c>
      <c r="C253" t="s">
        <v>226</v>
      </c>
      <c r="D253" t="s">
        <v>29</v>
      </c>
      <c r="E253" t="s">
        <v>30</v>
      </c>
      <c r="F253">
        <v>2786</v>
      </c>
      <c r="G253" t="s">
        <v>471</v>
      </c>
      <c r="H253" t="s">
        <v>233</v>
      </c>
      <c r="I253">
        <v>5167</v>
      </c>
      <c r="J253" t="s">
        <v>108</v>
      </c>
      <c r="K253" t="s">
        <v>31</v>
      </c>
      <c r="L253" s="22">
        <v>59510</v>
      </c>
      <c r="M253" s="22" t="s">
        <v>409</v>
      </c>
      <c r="N253" s="24">
        <v>2</v>
      </c>
      <c r="O253" s="22">
        <v>11685.48</v>
      </c>
      <c r="P253" s="22">
        <v>5843</v>
      </c>
      <c r="Q253" s="42">
        <v>0.19639999999999999</v>
      </c>
      <c r="R253" s="22" t="s">
        <v>42</v>
      </c>
      <c r="S253" s="22" t="s">
        <v>208</v>
      </c>
      <c r="T253" s="22" t="s">
        <v>89</v>
      </c>
      <c r="U253" s="63"/>
    </row>
    <row r="254" spans="1:21" x14ac:dyDescent="0.3">
      <c r="A254" s="14">
        <v>44407</v>
      </c>
      <c r="B254">
        <v>2021</v>
      </c>
      <c r="C254" t="s">
        <v>226</v>
      </c>
      <c r="D254" t="s">
        <v>29</v>
      </c>
      <c r="E254" t="s">
        <v>38</v>
      </c>
      <c r="F254" s="61" t="s">
        <v>472</v>
      </c>
      <c r="G254" t="s">
        <v>473</v>
      </c>
      <c r="H254" t="s">
        <v>234</v>
      </c>
      <c r="I254">
        <v>500</v>
      </c>
      <c r="J254" t="s">
        <v>108</v>
      </c>
      <c r="K254" t="s">
        <v>31</v>
      </c>
      <c r="L254" s="22">
        <v>17009.3</v>
      </c>
      <c r="M254" s="22" t="s">
        <v>409</v>
      </c>
      <c r="N254" s="24">
        <v>2</v>
      </c>
      <c r="O254" s="22">
        <v>4252.32</v>
      </c>
      <c r="P254" s="22">
        <v>2126.16</v>
      </c>
      <c r="Q254" s="42">
        <v>0.25</v>
      </c>
      <c r="R254" s="22" t="s">
        <v>42</v>
      </c>
      <c r="S254" s="22" t="s">
        <v>208</v>
      </c>
      <c r="T254" s="22" t="s">
        <v>89</v>
      </c>
      <c r="U254" s="63"/>
    </row>
    <row r="255" spans="1:21" x14ac:dyDescent="0.3">
      <c r="A255" s="14">
        <v>44391</v>
      </c>
      <c r="B255">
        <v>2021</v>
      </c>
      <c r="C255" t="s">
        <v>226</v>
      </c>
      <c r="D255" t="s">
        <v>29</v>
      </c>
      <c r="E255" t="s">
        <v>45</v>
      </c>
      <c r="F255">
        <v>2789</v>
      </c>
      <c r="G255" t="s">
        <v>474</v>
      </c>
      <c r="H255" t="s">
        <v>234</v>
      </c>
      <c r="I255">
        <v>625</v>
      </c>
      <c r="J255" t="s">
        <v>108</v>
      </c>
      <c r="K255" t="s">
        <v>31</v>
      </c>
      <c r="L255" s="22">
        <v>65534.67</v>
      </c>
      <c r="M255" s="22" t="s">
        <v>409</v>
      </c>
      <c r="N255" s="24">
        <v>3</v>
      </c>
      <c r="O255" s="22">
        <v>16855.669999999998</v>
      </c>
      <c r="P255" s="22">
        <v>5619</v>
      </c>
      <c r="Q255" s="42">
        <v>0.25719999999999998</v>
      </c>
      <c r="R255" s="22" t="s">
        <v>43</v>
      </c>
      <c r="S255" s="22" t="s">
        <v>208</v>
      </c>
      <c r="T255" s="22" t="s">
        <v>90</v>
      </c>
      <c r="U255" s="63"/>
    </row>
    <row r="256" spans="1:21" x14ac:dyDescent="0.3">
      <c r="A256" s="14">
        <v>44375</v>
      </c>
      <c r="B256">
        <v>2021</v>
      </c>
      <c r="C256" t="s">
        <v>226</v>
      </c>
      <c r="D256" t="s">
        <v>29</v>
      </c>
      <c r="E256" t="s">
        <v>45</v>
      </c>
      <c r="F256">
        <v>2768</v>
      </c>
      <c r="G256" t="s">
        <v>475</v>
      </c>
      <c r="H256" t="s">
        <v>398</v>
      </c>
      <c r="I256">
        <v>22937</v>
      </c>
      <c r="J256" t="s">
        <v>156</v>
      </c>
      <c r="K256" t="s">
        <v>157</v>
      </c>
      <c r="L256" s="22">
        <v>3530326.63</v>
      </c>
      <c r="M256" s="22" t="s">
        <v>400</v>
      </c>
      <c r="N256" s="24">
        <v>40</v>
      </c>
      <c r="O256" s="22">
        <v>263638.92</v>
      </c>
      <c r="P256" s="22">
        <v>6591</v>
      </c>
      <c r="Q256" s="42">
        <v>7.4700000000000003E-2</v>
      </c>
      <c r="R256" s="22" t="s">
        <v>43</v>
      </c>
      <c r="S256" s="22" t="s">
        <v>50</v>
      </c>
      <c r="T256" s="22" t="s">
        <v>90</v>
      </c>
      <c r="U256" s="63"/>
    </row>
    <row r="257" spans="1:21" x14ac:dyDescent="0.3">
      <c r="A257" s="82">
        <v>44427</v>
      </c>
      <c r="B257" s="83">
        <v>2021</v>
      </c>
      <c r="C257" s="8" t="s">
        <v>226</v>
      </c>
      <c r="D257" t="s">
        <v>29</v>
      </c>
      <c r="E257" t="s">
        <v>45</v>
      </c>
      <c r="F257">
        <v>2791</v>
      </c>
      <c r="G257" s="5" t="s">
        <v>476</v>
      </c>
      <c r="H257" s="5" t="s">
        <v>233</v>
      </c>
      <c r="I257" s="81">
        <v>48055</v>
      </c>
      <c r="J257" t="s">
        <v>156</v>
      </c>
      <c r="K257" s="5" t="s">
        <v>157</v>
      </c>
      <c r="L257" s="5">
        <v>5193210.9600960203</v>
      </c>
      <c r="M257" s="5" t="s">
        <v>399</v>
      </c>
      <c r="N257">
        <v>40</v>
      </c>
      <c r="O257" s="5">
        <v>384860.71488322254</v>
      </c>
      <c r="P257" s="1">
        <v>9621.5178720805634</v>
      </c>
      <c r="Q257" s="9">
        <v>7.4108430764789623E-2</v>
      </c>
      <c r="R257" t="s">
        <v>43</v>
      </c>
      <c r="S257" t="s">
        <v>208</v>
      </c>
      <c r="T257" t="s">
        <v>90</v>
      </c>
    </row>
    <row r="258" spans="1:21" x14ac:dyDescent="0.3">
      <c r="A258" s="14">
        <v>44426</v>
      </c>
      <c r="B258">
        <v>2021</v>
      </c>
      <c r="C258" t="s">
        <v>226</v>
      </c>
      <c r="D258" t="s">
        <v>29</v>
      </c>
      <c r="E258" t="s">
        <v>45</v>
      </c>
      <c r="F258">
        <v>2793</v>
      </c>
      <c r="G258" t="s">
        <v>477</v>
      </c>
      <c r="H258" t="s">
        <v>233</v>
      </c>
      <c r="I258">
        <v>500</v>
      </c>
      <c r="J258" t="s">
        <v>108</v>
      </c>
      <c r="K258" t="s">
        <v>31</v>
      </c>
      <c r="L258" s="22">
        <v>22858.94</v>
      </c>
      <c r="M258" s="22" t="s">
        <v>409</v>
      </c>
      <c r="N258" s="24">
        <v>2</v>
      </c>
      <c r="O258" s="22">
        <v>7983.58</v>
      </c>
      <c r="P258" s="22">
        <v>3992</v>
      </c>
      <c r="Q258" s="42">
        <v>0.3493</v>
      </c>
      <c r="R258" s="22" t="s">
        <v>43</v>
      </c>
      <c r="S258" s="22" t="s">
        <v>50</v>
      </c>
      <c r="T258" s="22" t="s">
        <v>90</v>
      </c>
      <c r="U258" s="63"/>
    </row>
    <row r="259" spans="1:21" x14ac:dyDescent="0.3">
      <c r="A259" s="14">
        <v>44459</v>
      </c>
      <c r="B259">
        <v>2021</v>
      </c>
      <c r="C259" t="s">
        <v>228</v>
      </c>
      <c r="D259" t="s">
        <v>35</v>
      </c>
      <c r="E259" t="s">
        <v>36</v>
      </c>
      <c r="F259">
        <v>2797</v>
      </c>
      <c r="G259" t="s">
        <v>479</v>
      </c>
      <c r="H259" t="s">
        <v>398</v>
      </c>
      <c r="I259">
        <v>5153</v>
      </c>
      <c r="J259" t="s">
        <v>108</v>
      </c>
      <c r="K259" t="s">
        <v>31</v>
      </c>
      <c r="L259" s="22">
        <v>997476.57</v>
      </c>
      <c r="M259" s="22" t="s">
        <v>401</v>
      </c>
      <c r="N259" s="24">
        <v>20</v>
      </c>
      <c r="O259" s="22">
        <v>198635.53</v>
      </c>
      <c r="P259" s="22">
        <v>9932</v>
      </c>
      <c r="Q259" s="42">
        <v>0.1991</v>
      </c>
      <c r="R259" s="22" t="s">
        <v>43</v>
      </c>
      <c r="S259" s="22" t="s">
        <v>208</v>
      </c>
      <c r="T259" s="22" t="s">
        <v>90</v>
      </c>
      <c r="U259" s="63"/>
    </row>
    <row r="260" spans="1:21" x14ac:dyDescent="0.3">
      <c r="A260" s="14">
        <v>44453</v>
      </c>
      <c r="B260">
        <v>2021</v>
      </c>
      <c r="C260" t="s">
        <v>228</v>
      </c>
      <c r="D260" t="s">
        <v>29</v>
      </c>
      <c r="E260" t="s">
        <v>45</v>
      </c>
      <c r="F260">
        <v>2799</v>
      </c>
      <c r="G260" t="s">
        <v>480</v>
      </c>
      <c r="H260" t="s">
        <v>233</v>
      </c>
      <c r="I260">
        <v>7984</v>
      </c>
      <c r="J260" t="s">
        <v>156</v>
      </c>
      <c r="K260" t="s">
        <v>157</v>
      </c>
      <c r="L260" s="22">
        <v>1416325.66</v>
      </c>
      <c r="M260" s="22" t="s">
        <v>401</v>
      </c>
      <c r="N260" s="24">
        <v>26</v>
      </c>
      <c r="O260" s="22">
        <v>193735.59</v>
      </c>
      <c r="P260" s="22">
        <v>7451</v>
      </c>
      <c r="Q260" s="42">
        <v>0.1368</v>
      </c>
      <c r="R260" s="22" t="s">
        <v>43</v>
      </c>
      <c r="S260" s="22" t="s">
        <v>208</v>
      </c>
      <c r="T260" s="22" t="s">
        <v>90</v>
      </c>
      <c r="U260" s="63"/>
    </row>
    <row r="261" spans="1:21" x14ac:dyDescent="0.3">
      <c r="A261" s="14">
        <v>44469</v>
      </c>
      <c r="B261">
        <v>2021</v>
      </c>
      <c r="C261" t="s">
        <v>228</v>
      </c>
      <c r="D261" t="s">
        <v>29</v>
      </c>
      <c r="E261" t="s">
        <v>38</v>
      </c>
      <c r="F261">
        <v>2800</v>
      </c>
      <c r="G261" t="s">
        <v>481</v>
      </c>
      <c r="H261" t="s">
        <v>233</v>
      </c>
      <c r="I261">
        <v>4500</v>
      </c>
      <c r="J261" t="s">
        <v>156</v>
      </c>
      <c r="K261" t="s">
        <v>157</v>
      </c>
      <c r="L261" s="22">
        <v>1206753.97</v>
      </c>
      <c r="M261" s="22" t="s">
        <v>401</v>
      </c>
      <c r="N261" s="24">
        <v>16</v>
      </c>
      <c r="O261" s="22">
        <v>158349.73000000001</v>
      </c>
      <c r="P261" s="22">
        <v>9897</v>
      </c>
      <c r="Q261" s="42">
        <v>0.13120000000000001</v>
      </c>
      <c r="R261" s="22" t="s">
        <v>43</v>
      </c>
      <c r="S261" s="22" t="s">
        <v>50</v>
      </c>
      <c r="T261" s="22" t="s">
        <v>90</v>
      </c>
      <c r="U261" s="63"/>
    </row>
    <row r="262" spans="1:21" x14ac:dyDescent="0.3">
      <c r="A262" s="14">
        <v>44467</v>
      </c>
      <c r="B262">
        <v>2021</v>
      </c>
      <c r="C262" t="s">
        <v>228</v>
      </c>
      <c r="D262" t="s">
        <v>29</v>
      </c>
      <c r="E262" t="s">
        <v>45</v>
      </c>
      <c r="F262">
        <v>2802</v>
      </c>
      <c r="G262" t="s">
        <v>482</v>
      </c>
      <c r="H262" t="s">
        <v>398</v>
      </c>
      <c r="I262">
        <v>61693</v>
      </c>
      <c r="J262" t="s">
        <v>156</v>
      </c>
      <c r="K262" t="s">
        <v>157</v>
      </c>
      <c r="L262" s="22">
        <v>8161085.4699999997</v>
      </c>
      <c r="M262" s="22" t="s">
        <v>399</v>
      </c>
      <c r="N262" s="24">
        <v>52</v>
      </c>
      <c r="O262" s="22">
        <v>639282</v>
      </c>
      <c r="P262" s="22">
        <v>12294</v>
      </c>
      <c r="Q262" s="42">
        <v>7.8299999999999995E-2</v>
      </c>
      <c r="R262" s="22" t="s">
        <v>43</v>
      </c>
      <c r="S262" s="22" t="s">
        <v>50</v>
      </c>
      <c r="T262" s="22" t="s">
        <v>90</v>
      </c>
      <c r="U262" s="63"/>
    </row>
    <row r="263" spans="1:21" x14ac:dyDescent="0.3">
      <c r="A263" s="14">
        <v>44469</v>
      </c>
      <c r="B263">
        <v>2021</v>
      </c>
      <c r="C263" t="s">
        <v>228</v>
      </c>
      <c r="D263" t="s">
        <v>29</v>
      </c>
      <c r="E263" t="s">
        <v>30</v>
      </c>
      <c r="F263" s="62" t="s">
        <v>483</v>
      </c>
      <c r="G263" t="s">
        <v>484</v>
      </c>
      <c r="H263" t="s">
        <v>233</v>
      </c>
      <c r="I263">
        <v>2850</v>
      </c>
      <c r="J263" t="s">
        <v>156</v>
      </c>
      <c r="K263" t="s">
        <v>157</v>
      </c>
      <c r="L263" s="22">
        <v>275084.98</v>
      </c>
      <c r="M263" s="22" t="s">
        <v>402</v>
      </c>
      <c r="N263" s="24">
        <v>7</v>
      </c>
      <c r="O263" s="22">
        <v>32776.080000000002</v>
      </c>
      <c r="P263" s="22">
        <v>4682</v>
      </c>
      <c r="Q263" s="42">
        <v>0.1191</v>
      </c>
      <c r="R263" s="22" t="s">
        <v>42</v>
      </c>
      <c r="S263" s="22" t="s">
        <v>50</v>
      </c>
      <c r="T263" s="22" t="s">
        <v>89</v>
      </c>
      <c r="U263" s="63"/>
    </row>
    <row r="264" spans="1:21" x14ac:dyDescent="0.3">
      <c r="A264" s="80" t="s">
        <v>407</v>
      </c>
      <c r="B264">
        <v>2021</v>
      </c>
      <c r="C264" t="s">
        <v>228</v>
      </c>
      <c r="D264" t="s">
        <v>29</v>
      </c>
      <c r="E264" t="s">
        <v>45</v>
      </c>
      <c r="F264">
        <v>2806</v>
      </c>
      <c r="G264" t="s">
        <v>486</v>
      </c>
      <c r="H264" t="s">
        <v>234</v>
      </c>
      <c r="I264">
        <v>3486</v>
      </c>
      <c r="J264" t="s">
        <v>108</v>
      </c>
      <c r="K264" t="s">
        <v>31</v>
      </c>
      <c r="L264" s="22">
        <f>68493.9960176+191808.69</f>
        <v>260302.6860176</v>
      </c>
      <c r="M264" s="22" t="s">
        <v>402</v>
      </c>
      <c r="N264" s="24">
        <v>8</v>
      </c>
      <c r="O264" s="22">
        <f>10669.4285176+26463.1</f>
        <v>37132.528517599996</v>
      </c>
      <c r="P264" s="22">
        <v>4641.57</v>
      </c>
      <c r="Q264" s="42">
        <v>0.1401</v>
      </c>
      <c r="R264" s="22" t="s">
        <v>42</v>
      </c>
      <c r="S264" s="22" t="s">
        <v>50</v>
      </c>
      <c r="T264" s="22" t="s">
        <v>89</v>
      </c>
      <c r="U264" s="63"/>
    </row>
    <row r="265" spans="1:21" x14ac:dyDescent="0.3">
      <c r="A265" s="14">
        <v>44505</v>
      </c>
      <c r="B265">
        <v>2021</v>
      </c>
      <c r="C265" t="s">
        <v>228</v>
      </c>
      <c r="D265" t="s">
        <v>29</v>
      </c>
      <c r="E265" t="s">
        <v>45</v>
      </c>
      <c r="F265">
        <v>2810</v>
      </c>
      <c r="G265" t="s">
        <v>510</v>
      </c>
      <c r="H265" t="s">
        <v>234</v>
      </c>
      <c r="I265">
        <v>1000</v>
      </c>
      <c r="J265" t="s">
        <v>108</v>
      </c>
      <c r="K265" t="s">
        <v>31</v>
      </c>
      <c r="L265" s="22">
        <v>187766.32</v>
      </c>
      <c r="M265" s="22" t="s">
        <v>402</v>
      </c>
      <c r="N265" s="24">
        <v>4</v>
      </c>
      <c r="O265" s="22">
        <f>+DATA[[#This Row],[Estimate Price]]*0.15</f>
        <v>28164.948</v>
      </c>
      <c r="P265" s="22">
        <f>+DATA[[#This Row],[Soft Cost]]/4</f>
        <v>7041.2370000000001</v>
      </c>
      <c r="Q265" s="42">
        <v>0.15</v>
      </c>
      <c r="R265" s="22" t="s">
        <v>42</v>
      </c>
      <c r="S265" s="22" t="s">
        <v>116</v>
      </c>
      <c r="T265" s="22" t="s">
        <v>90</v>
      </c>
      <c r="U265" s="63"/>
    </row>
    <row r="266" spans="1:21" x14ac:dyDescent="0.3">
      <c r="A266" s="14">
        <v>44505</v>
      </c>
      <c r="B266">
        <v>2021</v>
      </c>
      <c r="C266" t="s">
        <v>228</v>
      </c>
      <c r="D266" t="s">
        <v>29</v>
      </c>
      <c r="E266" t="s">
        <v>45</v>
      </c>
      <c r="F266">
        <v>2810</v>
      </c>
      <c r="G266" t="s">
        <v>511</v>
      </c>
      <c r="H266" t="s">
        <v>234</v>
      </c>
      <c r="I266">
        <v>1000</v>
      </c>
      <c r="J266" t="s">
        <v>108</v>
      </c>
      <c r="K266" t="s">
        <v>31</v>
      </c>
      <c r="L266" s="22">
        <v>536061.68000000005</v>
      </c>
      <c r="M266" s="22" t="s">
        <v>401</v>
      </c>
      <c r="N266" s="24">
        <v>12</v>
      </c>
      <c r="O266" s="22">
        <f>+DATA[[#This Row],[Estimate Price]]*0.15</f>
        <v>80409.252000000008</v>
      </c>
      <c r="P266" s="22">
        <f>+DATA[[#This Row],[Soft Cost]]/12</f>
        <v>6700.7710000000006</v>
      </c>
      <c r="Q266" s="42">
        <v>0.15</v>
      </c>
      <c r="R266" s="22" t="s">
        <v>43</v>
      </c>
      <c r="S266" s="22" t="s">
        <v>116</v>
      </c>
      <c r="T266" s="22" t="s">
        <v>90</v>
      </c>
      <c r="U266" s="63"/>
    </row>
    <row r="267" spans="1:21" x14ac:dyDescent="0.3">
      <c r="A267" s="14">
        <v>44504</v>
      </c>
      <c r="B267">
        <v>2021</v>
      </c>
      <c r="C267" t="s">
        <v>228</v>
      </c>
      <c r="D267" t="s">
        <v>29</v>
      </c>
      <c r="E267" t="s">
        <v>45</v>
      </c>
      <c r="F267">
        <v>2811</v>
      </c>
      <c r="G267" t="s">
        <v>487</v>
      </c>
      <c r="H267" s="5" t="s">
        <v>233</v>
      </c>
      <c r="I267" s="81">
        <v>250</v>
      </c>
      <c r="J267" t="s">
        <v>108</v>
      </c>
      <c r="K267" s="5" t="s">
        <v>31</v>
      </c>
      <c r="L267" s="5">
        <v>63945.995643999995</v>
      </c>
      <c r="M267" s="5" t="s">
        <v>409</v>
      </c>
      <c r="N267">
        <v>3</v>
      </c>
      <c r="O267" s="5">
        <v>14145.120643999999</v>
      </c>
      <c r="P267" s="40">
        <v>4715.0402146666665</v>
      </c>
      <c r="Q267" s="9">
        <v>0.22120416613338359</v>
      </c>
      <c r="R267" t="s">
        <v>42</v>
      </c>
      <c r="S267" t="s">
        <v>116</v>
      </c>
      <c r="T267" t="s">
        <v>89</v>
      </c>
      <c r="U267" s="63"/>
    </row>
    <row r="268" spans="1:21" x14ac:dyDescent="0.3">
      <c r="A268" s="14">
        <v>44525</v>
      </c>
      <c r="B268">
        <v>2021</v>
      </c>
      <c r="C268" t="s">
        <v>228</v>
      </c>
      <c r="D268" t="s">
        <v>29</v>
      </c>
      <c r="E268" t="s">
        <v>45</v>
      </c>
      <c r="F268">
        <v>2812</v>
      </c>
      <c r="G268" t="s">
        <v>490</v>
      </c>
      <c r="H268" t="s">
        <v>233</v>
      </c>
      <c r="I268">
        <v>672</v>
      </c>
      <c r="J268" t="s">
        <v>108</v>
      </c>
      <c r="K268" t="s">
        <v>31</v>
      </c>
      <c r="L268" s="22">
        <v>238091</v>
      </c>
      <c r="M268" s="22" t="s">
        <v>402</v>
      </c>
      <c r="N268" s="24">
        <v>6</v>
      </c>
      <c r="O268" s="22">
        <v>36953.07</v>
      </c>
      <c r="P268" s="22">
        <v>6159</v>
      </c>
      <c r="Q268" s="23">
        <v>0.1552</v>
      </c>
      <c r="R268" s="22" t="s">
        <v>42</v>
      </c>
      <c r="S268" s="22" t="s">
        <v>50</v>
      </c>
      <c r="T268" s="22" t="s">
        <v>89</v>
      </c>
      <c r="U268" s="63"/>
    </row>
    <row r="269" spans="1:21" x14ac:dyDescent="0.3">
      <c r="A269" s="14">
        <v>44529</v>
      </c>
      <c r="B269">
        <v>2021</v>
      </c>
      <c r="C269" t="s">
        <v>228</v>
      </c>
      <c r="D269" t="s">
        <v>29</v>
      </c>
      <c r="E269" t="s">
        <v>45</v>
      </c>
      <c r="F269">
        <v>2817</v>
      </c>
      <c r="G269" t="s">
        <v>492</v>
      </c>
      <c r="H269" t="s">
        <v>398</v>
      </c>
      <c r="I269">
        <v>14074</v>
      </c>
      <c r="J269" t="s">
        <v>156</v>
      </c>
      <c r="K269" t="s">
        <v>157</v>
      </c>
      <c r="L269" s="22">
        <v>1184577.22</v>
      </c>
      <c r="M269" s="22" t="s">
        <v>401</v>
      </c>
      <c r="N269" s="24">
        <v>26</v>
      </c>
      <c r="O269" s="22">
        <v>142265.85</v>
      </c>
      <c r="P269" s="22">
        <v>5472</v>
      </c>
      <c r="Q269" s="42">
        <v>0.1201</v>
      </c>
      <c r="R269" s="22" t="s">
        <v>43</v>
      </c>
      <c r="S269" s="22" t="s">
        <v>50</v>
      </c>
      <c r="T269" s="22" t="s">
        <v>90</v>
      </c>
      <c r="U269" s="63"/>
    </row>
    <row r="270" spans="1:21" x14ac:dyDescent="0.3">
      <c r="A270" s="14">
        <v>44519</v>
      </c>
      <c r="B270">
        <v>2021</v>
      </c>
      <c r="C270" t="s">
        <v>228</v>
      </c>
      <c r="D270" t="s">
        <v>29</v>
      </c>
      <c r="E270" t="s">
        <v>45</v>
      </c>
      <c r="F270">
        <v>2814</v>
      </c>
      <c r="G270" t="s">
        <v>489</v>
      </c>
      <c r="H270" t="s">
        <v>234</v>
      </c>
      <c r="J270" t="s">
        <v>156</v>
      </c>
      <c r="K270" t="s">
        <v>157</v>
      </c>
      <c r="L270" s="22">
        <v>1000000</v>
      </c>
      <c r="M270" s="22" t="s">
        <v>401</v>
      </c>
      <c r="N270" s="24">
        <v>20</v>
      </c>
      <c r="O270" s="22">
        <v>100000</v>
      </c>
      <c r="P270" s="22">
        <v>5000</v>
      </c>
      <c r="Q270" s="23">
        <v>0.1</v>
      </c>
      <c r="R270" s="22" t="s">
        <v>43</v>
      </c>
      <c r="S270" s="22" t="s">
        <v>116</v>
      </c>
      <c r="T270" s="22" t="s">
        <v>90</v>
      </c>
      <c r="U270" s="63"/>
    </row>
    <row r="271" spans="1:21" x14ac:dyDescent="0.3">
      <c r="A271" s="14">
        <v>44539</v>
      </c>
      <c r="B271">
        <v>2022</v>
      </c>
      <c r="C271" t="s">
        <v>229</v>
      </c>
      <c r="D271" t="s">
        <v>29</v>
      </c>
      <c r="E271" t="s">
        <v>45</v>
      </c>
      <c r="F271">
        <v>2796</v>
      </c>
      <c r="G271" t="s">
        <v>491</v>
      </c>
      <c r="H271" t="s">
        <v>398</v>
      </c>
      <c r="I271">
        <v>144193</v>
      </c>
      <c r="J271" t="s">
        <v>156</v>
      </c>
      <c r="K271" t="s">
        <v>157</v>
      </c>
      <c r="L271" s="22">
        <v>26311987.539999999</v>
      </c>
      <c r="M271" s="22" t="s">
        <v>399</v>
      </c>
      <c r="N271" s="24">
        <v>96</v>
      </c>
      <c r="O271" s="22">
        <v>1289031.74</v>
      </c>
      <c r="P271" s="22">
        <v>13427</v>
      </c>
      <c r="Q271" s="23">
        <v>4.9000000000000002E-2</v>
      </c>
      <c r="R271" s="22" t="s">
        <v>42</v>
      </c>
      <c r="S271" s="22" t="s">
        <v>50</v>
      </c>
      <c r="T271" s="22" t="s">
        <v>89</v>
      </c>
      <c r="U271" s="63"/>
    </row>
    <row r="272" spans="1:21" x14ac:dyDescent="0.3">
      <c r="A272" s="14">
        <v>44533</v>
      </c>
      <c r="B272">
        <v>2022</v>
      </c>
      <c r="C272" t="s">
        <v>229</v>
      </c>
      <c r="D272" t="s">
        <v>29</v>
      </c>
      <c r="E272" t="s">
        <v>45</v>
      </c>
      <c r="F272">
        <v>2816</v>
      </c>
      <c r="G272" t="s">
        <v>493</v>
      </c>
      <c r="H272" t="s">
        <v>234</v>
      </c>
      <c r="I272">
        <v>100</v>
      </c>
      <c r="J272" t="s">
        <v>108</v>
      </c>
      <c r="K272" t="s">
        <v>31</v>
      </c>
      <c r="L272" s="22">
        <v>62430.47</v>
      </c>
      <c r="M272" s="22" t="s">
        <v>409</v>
      </c>
      <c r="N272" s="24">
        <v>2</v>
      </c>
      <c r="O272" s="22">
        <v>15150.19</v>
      </c>
      <c r="P272" s="22">
        <v>7575</v>
      </c>
      <c r="Q272" s="23">
        <v>0.2427</v>
      </c>
      <c r="R272" s="22" t="s">
        <v>42</v>
      </c>
      <c r="S272" s="22" t="s">
        <v>116</v>
      </c>
      <c r="T272" s="22" t="s">
        <v>89</v>
      </c>
      <c r="U272" s="63"/>
    </row>
    <row r="273" spans="1:21" x14ac:dyDescent="0.3">
      <c r="A273" s="14">
        <v>44533</v>
      </c>
      <c r="B273">
        <v>2022</v>
      </c>
      <c r="C273" t="s">
        <v>229</v>
      </c>
      <c r="D273" t="s">
        <v>29</v>
      </c>
      <c r="E273" t="s">
        <v>30</v>
      </c>
      <c r="F273">
        <v>2775</v>
      </c>
      <c r="G273" t="s">
        <v>494</v>
      </c>
      <c r="H273" t="s">
        <v>234</v>
      </c>
      <c r="I273">
        <v>1100</v>
      </c>
      <c r="J273" t="s">
        <v>108</v>
      </c>
      <c r="K273" t="s">
        <v>31</v>
      </c>
      <c r="L273" s="22">
        <v>53989.63</v>
      </c>
      <c r="M273" s="22" t="s">
        <v>409</v>
      </c>
      <c r="N273" s="24">
        <v>2</v>
      </c>
      <c r="O273" s="22">
        <v>14378.51</v>
      </c>
      <c r="P273" s="22">
        <v>7189</v>
      </c>
      <c r="Q273" s="23">
        <v>0.26629999999999998</v>
      </c>
      <c r="R273" s="22" t="s">
        <v>42</v>
      </c>
      <c r="S273" s="22" t="s">
        <v>116</v>
      </c>
      <c r="T273" s="22" t="s">
        <v>89</v>
      </c>
      <c r="U273" s="63"/>
    </row>
    <row r="274" spans="1:21" x14ac:dyDescent="0.3">
      <c r="A274" s="14">
        <v>44551</v>
      </c>
      <c r="B274">
        <v>2022</v>
      </c>
      <c r="C274" t="s">
        <v>229</v>
      </c>
      <c r="D274" t="s">
        <v>29</v>
      </c>
      <c r="E274" t="s">
        <v>45</v>
      </c>
      <c r="F274">
        <v>2822</v>
      </c>
      <c r="G274" t="s">
        <v>488</v>
      </c>
      <c r="H274" t="s">
        <v>234</v>
      </c>
      <c r="I274">
        <v>12970</v>
      </c>
      <c r="J274" t="s">
        <v>108</v>
      </c>
      <c r="K274" t="s">
        <v>31</v>
      </c>
      <c r="L274" s="22">
        <v>593016</v>
      </c>
      <c r="M274" s="22" t="s">
        <v>402</v>
      </c>
      <c r="N274" s="24">
        <v>12</v>
      </c>
      <c r="O274" s="22">
        <v>90893.42</v>
      </c>
      <c r="P274" s="22">
        <v>7574</v>
      </c>
      <c r="Q274" s="42">
        <v>0.15329999999999999</v>
      </c>
      <c r="R274" s="22" t="s">
        <v>43</v>
      </c>
      <c r="S274" s="22" t="s">
        <v>50</v>
      </c>
      <c r="T274" s="22" t="s">
        <v>90</v>
      </c>
      <c r="U274" s="63"/>
    </row>
    <row r="275" spans="1:21" x14ac:dyDescent="0.3">
      <c r="A275" s="14">
        <v>44571</v>
      </c>
      <c r="B275">
        <v>2022</v>
      </c>
      <c r="C275" t="s">
        <v>229</v>
      </c>
      <c r="D275" t="s">
        <v>29</v>
      </c>
      <c r="E275" t="s">
        <v>45</v>
      </c>
      <c r="F275">
        <v>2820</v>
      </c>
      <c r="G275" t="s">
        <v>496</v>
      </c>
      <c r="H275" t="s">
        <v>398</v>
      </c>
      <c r="I275">
        <v>78220</v>
      </c>
      <c r="J275" t="s">
        <v>156</v>
      </c>
      <c r="K275" t="s">
        <v>157</v>
      </c>
      <c r="L275" s="22">
        <v>14012854.080626331</v>
      </c>
      <c r="M275" s="22" t="s">
        <v>399</v>
      </c>
      <c r="N275" s="24">
        <v>68</v>
      </c>
      <c r="O275" s="22">
        <v>850957.34085073054</v>
      </c>
      <c r="P275" s="22">
        <v>12514.078541922509</v>
      </c>
      <c r="Q275" s="23">
        <v>6.0726910874440175E-2</v>
      </c>
      <c r="R275" s="22" t="s">
        <v>42</v>
      </c>
      <c r="S275" s="22" t="s">
        <v>50</v>
      </c>
      <c r="T275" s="22" t="s">
        <v>89</v>
      </c>
      <c r="U275" s="63"/>
    </row>
    <row r="276" spans="1:21" x14ac:dyDescent="0.3">
      <c r="A276" s="14">
        <v>44573</v>
      </c>
      <c r="B276">
        <v>2022</v>
      </c>
      <c r="C276" t="s">
        <v>229</v>
      </c>
      <c r="D276" t="s">
        <v>29</v>
      </c>
      <c r="E276" t="s">
        <v>343</v>
      </c>
      <c r="F276">
        <v>2771</v>
      </c>
      <c r="G276" t="s">
        <v>497</v>
      </c>
      <c r="H276" t="s">
        <v>234</v>
      </c>
      <c r="I276">
        <v>19380</v>
      </c>
      <c r="J276" t="s">
        <v>156</v>
      </c>
      <c r="K276" t="s">
        <v>157</v>
      </c>
      <c r="L276" s="22">
        <v>2796514.208439765</v>
      </c>
      <c r="M276" s="22" t="s">
        <v>400</v>
      </c>
      <c r="N276" s="24">
        <v>30</v>
      </c>
      <c r="O276" s="22">
        <v>239902.13905976497</v>
      </c>
      <c r="P276" s="22">
        <v>7996.7379686588329</v>
      </c>
      <c r="Q276" s="23">
        <v>8.5786132727575695E-2</v>
      </c>
      <c r="R276" s="22" t="s">
        <v>43</v>
      </c>
      <c r="S276" s="22" t="s">
        <v>50</v>
      </c>
      <c r="T276" s="22" t="s">
        <v>90</v>
      </c>
      <c r="U276" s="63"/>
    </row>
    <row r="277" spans="1:21" x14ac:dyDescent="0.3">
      <c r="A277" s="14">
        <v>44592</v>
      </c>
      <c r="B277">
        <v>2022</v>
      </c>
      <c r="C277" t="s">
        <v>229</v>
      </c>
      <c r="D277" t="s">
        <v>29</v>
      </c>
      <c r="E277" t="s">
        <v>30</v>
      </c>
      <c r="F277">
        <v>2826</v>
      </c>
      <c r="G277" t="s">
        <v>509</v>
      </c>
      <c r="H277" t="s">
        <v>233</v>
      </c>
      <c r="I277">
        <v>2000</v>
      </c>
      <c r="J277" t="s">
        <v>108</v>
      </c>
      <c r="K277" t="s">
        <v>31</v>
      </c>
      <c r="L277" s="22">
        <v>141928.70851500001</v>
      </c>
      <c r="M277" s="22" t="s">
        <v>402</v>
      </c>
      <c r="N277" s="24">
        <v>6</v>
      </c>
      <c r="O277" s="22">
        <v>37230.708514999998</v>
      </c>
      <c r="P277" s="22">
        <v>6205.1180858333328</v>
      </c>
      <c r="Q277" s="23">
        <v>0.26231978649383114</v>
      </c>
      <c r="R277" s="22" t="s">
        <v>42</v>
      </c>
      <c r="S277" s="22" t="s">
        <v>50</v>
      </c>
      <c r="T277" s="22" t="s">
        <v>89</v>
      </c>
      <c r="U277" s="22"/>
    </row>
    <row r="278" spans="1:21" x14ac:dyDescent="0.3">
      <c r="A278" s="14">
        <v>44620</v>
      </c>
      <c r="B278">
        <v>2022</v>
      </c>
      <c r="C278" t="s">
        <v>229</v>
      </c>
      <c r="D278" t="s">
        <v>29</v>
      </c>
      <c r="E278" t="s">
        <v>45</v>
      </c>
      <c r="F278">
        <v>2834</v>
      </c>
      <c r="G278" t="s">
        <v>498</v>
      </c>
      <c r="H278" t="s">
        <v>233</v>
      </c>
      <c r="I278">
        <v>4250</v>
      </c>
      <c r="J278" t="s">
        <v>108</v>
      </c>
      <c r="K278" t="s">
        <v>31</v>
      </c>
      <c r="L278" s="22">
        <v>1269524.4737333602</v>
      </c>
      <c r="M278" s="22" t="s">
        <v>401</v>
      </c>
      <c r="N278" s="24">
        <v>20</v>
      </c>
      <c r="O278" s="22">
        <v>133909.39091336</v>
      </c>
      <c r="P278" s="22">
        <v>6695.4695456680001</v>
      </c>
      <c r="Q278" s="23">
        <v>0.10547996016143377</v>
      </c>
      <c r="R278" s="22" t="s">
        <v>43</v>
      </c>
      <c r="S278" s="22" t="s">
        <v>50</v>
      </c>
      <c r="T278" s="22" t="s">
        <v>90</v>
      </c>
      <c r="U278" s="63"/>
    </row>
    <row r="279" spans="1:21" x14ac:dyDescent="0.3">
      <c r="A279" s="14">
        <v>44609</v>
      </c>
      <c r="B279">
        <v>2022</v>
      </c>
      <c r="C279" t="s">
        <v>229</v>
      </c>
      <c r="D279" t="s">
        <v>29</v>
      </c>
      <c r="E279" t="s">
        <v>45</v>
      </c>
      <c r="F279">
        <v>2828</v>
      </c>
      <c r="G279" t="s">
        <v>499</v>
      </c>
      <c r="H279" t="s">
        <v>233</v>
      </c>
      <c r="I279">
        <v>7250</v>
      </c>
      <c r="J279" t="s">
        <v>156</v>
      </c>
      <c r="K279" t="s">
        <v>157</v>
      </c>
      <c r="L279" s="5">
        <v>1012063.9171650001</v>
      </c>
      <c r="M279" s="5" t="s">
        <v>401</v>
      </c>
      <c r="N279">
        <v>16</v>
      </c>
      <c r="O279" s="5">
        <v>117019.57216500001</v>
      </c>
      <c r="P279" s="1">
        <v>7313.7232603125003</v>
      </c>
      <c r="Q279" s="59">
        <v>0.11562468553645898</v>
      </c>
      <c r="R279" s="22" t="s">
        <v>43</v>
      </c>
      <c r="S279" s="22" t="s">
        <v>50</v>
      </c>
      <c r="T279" s="22" t="s">
        <v>90</v>
      </c>
      <c r="U279" s="63"/>
    </row>
    <row r="280" spans="1:21" x14ac:dyDescent="0.3">
      <c r="A280" s="14">
        <v>44593</v>
      </c>
      <c r="B280">
        <v>2022</v>
      </c>
      <c r="C280" t="s">
        <v>229</v>
      </c>
      <c r="D280" t="s">
        <v>29</v>
      </c>
      <c r="E280" t="s">
        <v>45</v>
      </c>
      <c r="F280">
        <v>2825</v>
      </c>
      <c r="G280" t="s">
        <v>500</v>
      </c>
      <c r="H280" t="s">
        <v>233</v>
      </c>
      <c r="I280">
        <v>4770</v>
      </c>
      <c r="J280" t="s">
        <v>108</v>
      </c>
      <c r="K280" t="s">
        <v>31</v>
      </c>
      <c r="L280" s="22">
        <v>519010.00331489998</v>
      </c>
      <c r="M280" s="22" t="s">
        <v>401</v>
      </c>
      <c r="N280" s="24">
        <v>13</v>
      </c>
      <c r="O280" s="22">
        <v>78533.71003490001</v>
      </c>
      <c r="P280" s="22">
        <v>6041.0546180692318</v>
      </c>
      <c r="Q280" s="23">
        <v>0.15131444390918819</v>
      </c>
      <c r="R280" s="22" t="s">
        <v>42</v>
      </c>
      <c r="S280" s="22" t="s">
        <v>50</v>
      </c>
      <c r="T280" s="22" t="s">
        <v>89</v>
      </c>
      <c r="U280" s="63"/>
    </row>
    <row r="281" spans="1:21" x14ac:dyDescent="0.3">
      <c r="A281" s="14">
        <v>44649</v>
      </c>
      <c r="B281">
        <v>2022</v>
      </c>
      <c r="C281" t="s">
        <v>227</v>
      </c>
      <c r="D281" t="s">
        <v>29</v>
      </c>
      <c r="E281" t="s">
        <v>45</v>
      </c>
      <c r="F281">
        <v>2835</v>
      </c>
      <c r="G281" t="s">
        <v>501</v>
      </c>
      <c r="H281" t="s">
        <v>234</v>
      </c>
      <c r="I281">
        <v>9800</v>
      </c>
      <c r="J281" t="s">
        <v>108</v>
      </c>
      <c r="K281" t="s">
        <v>31</v>
      </c>
      <c r="L281" s="22">
        <v>1955300.0043330372</v>
      </c>
      <c r="M281" s="22" t="s">
        <v>401</v>
      </c>
      <c r="N281" s="24">
        <v>20</v>
      </c>
      <c r="O281" s="22">
        <v>172715.66376769915</v>
      </c>
      <c r="P281" s="22">
        <v>8635.7831883849576</v>
      </c>
      <c r="Q281" s="23">
        <v>8.8332053078787443E-2</v>
      </c>
      <c r="R281" s="22" t="s">
        <v>43</v>
      </c>
      <c r="S281" s="22" t="s">
        <v>50</v>
      </c>
      <c r="T281" s="22" t="s">
        <v>90</v>
      </c>
      <c r="U281" s="63"/>
    </row>
    <row r="282" spans="1:21" x14ac:dyDescent="0.3">
      <c r="A282" s="14">
        <v>44651</v>
      </c>
      <c r="B282">
        <v>2022</v>
      </c>
      <c r="C282" t="s">
        <v>227</v>
      </c>
      <c r="D282" t="s">
        <v>29</v>
      </c>
      <c r="E282" t="s">
        <v>45</v>
      </c>
      <c r="F282">
        <v>2834</v>
      </c>
      <c r="G282" t="s">
        <v>502</v>
      </c>
      <c r="H282" t="s">
        <v>233</v>
      </c>
      <c r="I282">
        <v>9000</v>
      </c>
      <c r="J282" t="s">
        <v>108</v>
      </c>
      <c r="K282" t="s">
        <v>157</v>
      </c>
      <c r="L282" s="22">
        <v>1020056.00087598</v>
      </c>
      <c r="M282" s="22" t="s">
        <v>401</v>
      </c>
      <c r="N282" s="24">
        <v>16</v>
      </c>
      <c r="O282" s="22">
        <v>143499.66951597997</v>
      </c>
      <c r="P282" s="22">
        <v>8968.7293447487482</v>
      </c>
      <c r="Q282" s="23">
        <v>0.14067822687455264</v>
      </c>
      <c r="R282" s="22" t="s">
        <v>43</v>
      </c>
      <c r="S282" s="22" t="s">
        <v>50</v>
      </c>
      <c r="T282" s="22" t="s">
        <v>90</v>
      </c>
      <c r="U282" s="63"/>
    </row>
    <row r="283" spans="1:21" x14ac:dyDescent="0.3">
      <c r="A283" s="14">
        <v>44671</v>
      </c>
      <c r="B283">
        <v>2022</v>
      </c>
      <c r="C283" t="s">
        <v>227</v>
      </c>
      <c r="D283" t="s">
        <v>29</v>
      </c>
      <c r="E283" t="s">
        <v>45</v>
      </c>
      <c r="F283" s="62" t="s">
        <v>503</v>
      </c>
      <c r="G283" t="s">
        <v>504</v>
      </c>
      <c r="H283" t="s">
        <v>398</v>
      </c>
      <c r="I283">
        <v>68427</v>
      </c>
      <c r="J283" t="s">
        <v>156</v>
      </c>
      <c r="K283" t="s">
        <v>157</v>
      </c>
      <c r="L283" s="22">
        <v>15455577.47790879</v>
      </c>
      <c r="M283" s="22" t="s">
        <v>399</v>
      </c>
      <c r="N283" s="24">
        <v>72</v>
      </c>
      <c r="O283" s="22">
        <v>871326.18105573021</v>
      </c>
      <c r="P283" s="22">
        <v>12101.75251466292</v>
      </c>
      <c r="Q283" s="23">
        <v>5.6376164675900849E-2</v>
      </c>
      <c r="R283" s="22" t="s">
        <v>42</v>
      </c>
      <c r="S283" s="22" t="s">
        <v>50</v>
      </c>
      <c r="T283" s="22" t="s">
        <v>89</v>
      </c>
      <c r="U283" s="63"/>
    </row>
    <row r="284" spans="1:21" x14ac:dyDescent="0.3">
      <c r="A284" s="14">
        <v>44677</v>
      </c>
      <c r="B284">
        <v>2022</v>
      </c>
      <c r="C284" t="s">
        <v>227</v>
      </c>
      <c r="D284" t="s">
        <v>29</v>
      </c>
      <c r="E284" t="s">
        <v>45</v>
      </c>
      <c r="F284">
        <v>2843</v>
      </c>
      <c r="G284" t="s">
        <v>505</v>
      </c>
      <c r="H284" t="s">
        <v>233</v>
      </c>
      <c r="I284" s="40">
        <v>13175.025839999998</v>
      </c>
      <c r="J284" t="s">
        <v>108</v>
      </c>
      <c r="K284" t="s">
        <v>31</v>
      </c>
      <c r="L284" s="22">
        <v>2157984.3458886663</v>
      </c>
      <c r="M284" s="22" t="s">
        <v>400</v>
      </c>
      <c r="N284" s="24">
        <v>25</v>
      </c>
      <c r="O284" s="22">
        <v>171561.85786485628</v>
      </c>
      <c r="P284" s="22">
        <v>6862.4743145942512</v>
      </c>
      <c r="Q284" s="23">
        <v>7.9659976175496708E-2</v>
      </c>
      <c r="R284" s="22" t="s">
        <v>43</v>
      </c>
      <c r="S284" s="22" t="s">
        <v>50</v>
      </c>
      <c r="T284" s="22" t="s">
        <v>90</v>
      </c>
      <c r="U284" s="63"/>
    </row>
    <row r="285" spans="1:21" x14ac:dyDescent="0.3">
      <c r="A285" s="14">
        <v>44665</v>
      </c>
      <c r="B285">
        <v>2022</v>
      </c>
      <c r="C285" t="s">
        <v>227</v>
      </c>
      <c r="D285" t="s">
        <v>29</v>
      </c>
      <c r="E285" t="s">
        <v>45</v>
      </c>
      <c r="F285">
        <v>2838</v>
      </c>
      <c r="G285" t="s">
        <v>506</v>
      </c>
      <c r="H285" t="s">
        <v>233</v>
      </c>
      <c r="I285">
        <v>4200</v>
      </c>
      <c r="J285" t="s">
        <v>108</v>
      </c>
      <c r="K285" t="s">
        <v>31</v>
      </c>
      <c r="L285" s="22">
        <v>296098.48635949998</v>
      </c>
      <c r="M285" s="22" t="s">
        <v>402</v>
      </c>
      <c r="N285" s="24">
        <v>6</v>
      </c>
      <c r="O285" s="22">
        <v>41656.955159499994</v>
      </c>
      <c r="P285" s="22">
        <v>6942.8258599166656</v>
      </c>
      <c r="Q285" s="23">
        <v>0.14068614693600065</v>
      </c>
      <c r="R285" s="22" t="s">
        <v>42</v>
      </c>
      <c r="S285" s="22" t="s">
        <v>116</v>
      </c>
      <c r="T285" s="22" t="s">
        <v>89</v>
      </c>
      <c r="U285" s="63"/>
    </row>
    <row r="286" spans="1:21" x14ac:dyDescent="0.3">
      <c r="A286" s="14">
        <v>44659</v>
      </c>
      <c r="B286">
        <v>2022</v>
      </c>
      <c r="C286" t="s">
        <v>227</v>
      </c>
      <c r="D286" t="s">
        <v>29</v>
      </c>
      <c r="E286" t="s">
        <v>45</v>
      </c>
      <c r="F286">
        <v>2841</v>
      </c>
      <c r="G286" t="s">
        <v>507</v>
      </c>
      <c r="H286" t="s">
        <v>233</v>
      </c>
      <c r="I286">
        <v>4638</v>
      </c>
      <c r="J286" t="s">
        <v>156</v>
      </c>
      <c r="K286" t="s">
        <v>157</v>
      </c>
      <c r="L286" s="22">
        <v>711396.63535500003</v>
      </c>
      <c r="M286" s="22" t="s">
        <v>401</v>
      </c>
      <c r="N286" s="24">
        <v>16</v>
      </c>
      <c r="O286" s="22">
        <v>78907.076355000012</v>
      </c>
      <c r="P286" s="22">
        <v>4931.6922721875007</v>
      </c>
      <c r="Q286" s="23">
        <v>0.11091854028185547</v>
      </c>
      <c r="R286" s="22" t="s">
        <v>42</v>
      </c>
      <c r="S286" s="22" t="s">
        <v>50</v>
      </c>
      <c r="T286" s="22" t="s">
        <v>89</v>
      </c>
      <c r="U286" s="63"/>
    </row>
    <row r="287" spans="1:21" x14ac:dyDescent="0.3">
      <c r="A287" s="14">
        <v>44659</v>
      </c>
      <c r="B287">
        <v>2022</v>
      </c>
      <c r="C287" t="s">
        <v>227</v>
      </c>
      <c r="D287" t="s">
        <v>29</v>
      </c>
      <c r="E287" t="s">
        <v>45</v>
      </c>
      <c r="F287">
        <v>2842</v>
      </c>
      <c r="G287" t="s">
        <v>508</v>
      </c>
      <c r="H287" t="s">
        <v>233</v>
      </c>
      <c r="I287">
        <v>5050</v>
      </c>
      <c r="J287" t="s">
        <v>156</v>
      </c>
      <c r="K287" t="s">
        <v>157</v>
      </c>
      <c r="L287" s="22">
        <v>849002.48</v>
      </c>
      <c r="M287" s="22" t="s">
        <v>401</v>
      </c>
      <c r="N287" s="24">
        <v>16</v>
      </c>
      <c r="O287" s="22">
        <v>85529.39</v>
      </c>
      <c r="P287" s="22">
        <v>5346</v>
      </c>
      <c r="Q287" s="23">
        <v>0.1007</v>
      </c>
      <c r="R287" s="22" t="s">
        <v>42</v>
      </c>
      <c r="S287" s="22" t="s">
        <v>50</v>
      </c>
      <c r="T287" s="22" t="s">
        <v>89</v>
      </c>
      <c r="U287" s="63"/>
    </row>
    <row r="288" spans="1:21" x14ac:dyDescent="0.3">
      <c r="A288" s="14">
        <v>44698</v>
      </c>
      <c r="B288">
        <v>2022</v>
      </c>
      <c r="C288" t="s">
        <v>227</v>
      </c>
      <c r="D288" t="s">
        <v>29</v>
      </c>
      <c r="E288" t="s">
        <v>38</v>
      </c>
      <c r="F288">
        <v>2853</v>
      </c>
      <c r="G288" t="s">
        <v>512</v>
      </c>
      <c r="H288" t="s">
        <v>234</v>
      </c>
      <c r="I288">
        <v>20875</v>
      </c>
      <c r="J288" t="s">
        <v>156</v>
      </c>
      <c r="K288" t="s">
        <v>157</v>
      </c>
      <c r="L288" s="22">
        <v>7567650.3183946665</v>
      </c>
      <c r="M288" s="22" t="s">
        <v>399</v>
      </c>
      <c r="N288" s="24">
        <v>40</v>
      </c>
      <c r="O288" s="22">
        <v>418633.35422799998</v>
      </c>
      <c r="P288" s="22">
        <v>10465.833855699999</v>
      </c>
      <c r="Q288" s="23">
        <v>5.5318802615711385E-2</v>
      </c>
      <c r="R288" s="22" t="s">
        <v>42</v>
      </c>
      <c r="S288" s="22" t="s">
        <v>50</v>
      </c>
      <c r="T288" s="22" t="s">
        <v>89</v>
      </c>
      <c r="U288" s="63"/>
    </row>
    <row r="289" spans="1:21" x14ac:dyDescent="0.3">
      <c r="A289" s="14">
        <v>44699</v>
      </c>
      <c r="B289">
        <v>2022</v>
      </c>
      <c r="C289" t="s">
        <v>227</v>
      </c>
      <c r="D289" t="s">
        <v>29</v>
      </c>
      <c r="E289" t="s">
        <v>30</v>
      </c>
      <c r="F289">
        <v>2847</v>
      </c>
      <c r="G289" t="s">
        <v>513</v>
      </c>
      <c r="H289" t="s">
        <v>234</v>
      </c>
      <c r="I289">
        <v>4114</v>
      </c>
      <c r="J289" t="s">
        <v>156</v>
      </c>
      <c r="K289" t="s">
        <v>157</v>
      </c>
      <c r="L289" s="22">
        <v>622573.39</v>
      </c>
      <c r="M289" s="22" t="s">
        <v>401</v>
      </c>
      <c r="N289" s="24">
        <v>12</v>
      </c>
      <c r="O289" s="22">
        <v>81090.64</v>
      </c>
      <c r="P289" s="22">
        <v>6758</v>
      </c>
      <c r="Q289" s="23">
        <v>0.12239999999999999</v>
      </c>
      <c r="R289" s="22" t="s">
        <v>42</v>
      </c>
      <c r="S289" s="22" t="s">
        <v>50</v>
      </c>
      <c r="T289" s="22" t="s">
        <v>89</v>
      </c>
      <c r="U289" s="63"/>
    </row>
    <row r="290" spans="1:21" x14ac:dyDescent="0.3">
      <c r="A290" s="14">
        <v>44784</v>
      </c>
      <c r="B290">
        <v>2022</v>
      </c>
      <c r="C290" t="s">
        <v>226</v>
      </c>
      <c r="D290" t="s">
        <v>29</v>
      </c>
      <c r="E290" t="s">
        <v>45</v>
      </c>
      <c r="F290">
        <v>2862</v>
      </c>
      <c r="G290" t="s">
        <v>514</v>
      </c>
      <c r="H290" t="s">
        <v>234</v>
      </c>
      <c r="I290">
        <v>1401</v>
      </c>
      <c r="J290" t="s">
        <v>108</v>
      </c>
      <c r="K290" t="s">
        <v>31</v>
      </c>
      <c r="L290" s="22">
        <v>433851.50789893331</v>
      </c>
      <c r="M290" s="22" t="s">
        <v>402</v>
      </c>
      <c r="N290" s="24">
        <v>5</v>
      </c>
      <c r="O290" s="22">
        <v>32733.194565599999</v>
      </c>
      <c r="P290" s="22">
        <v>6546.6389131199994</v>
      </c>
      <c r="Q290" s="23">
        <v>7.5447921626736095E-2</v>
      </c>
      <c r="R290" s="22" t="s">
        <v>42</v>
      </c>
      <c r="S290" s="22" t="s">
        <v>50</v>
      </c>
      <c r="T290" s="22" t="s">
        <v>89</v>
      </c>
      <c r="U290" s="63"/>
    </row>
    <row r="291" spans="1:21" x14ac:dyDescent="0.3">
      <c r="A291" s="14">
        <v>44771</v>
      </c>
      <c r="B291">
        <v>2022</v>
      </c>
      <c r="C291" t="s">
        <v>226</v>
      </c>
      <c r="D291" t="s">
        <v>29</v>
      </c>
      <c r="E291" t="s">
        <v>45</v>
      </c>
      <c r="F291">
        <v>2796</v>
      </c>
      <c r="G291" t="s">
        <v>515</v>
      </c>
      <c r="H291" t="s">
        <v>234</v>
      </c>
      <c r="I291">
        <v>1600</v>
      </c>
      <c r="J291" t="s">
        <v>108</v>
      </c>
      <c r="K291" t="s">
        <v>31</v>
      </c>
      <c r="L291" s="22">
        <v>349173.64437816665</v>
      </c>
      <c r="M291" s="22" t="s">
        <v>402</v>
      </c>
      <c r="N291" s="24">
        <v>8</v>
      </c>
      <c r="O291" s="22">
        <v>67258.064419833347</v>
      </c>
      <c r="P291" s="22">
        <v>8407.2580524791683</v>
      </c>
      <c r="Q291" s="23">
        <v>0.1926206788591141</v>
      </c>
      <c r="R291" s="22" t="s">
        <v>43</v>
      </c>
      <c r="S291" s="22" t="s">
        <v>50</v>
      </c>
      <c r="T291" s="22" t="s">
        <v>90</v>
      </c>
      <c r="U291" s="63"/>
    </row>
    <row r="292" spans="1:21" x14ac:dyDescent="0.3">
      <c r="A292" s="14">
        <v>44729</v>
      </c>
      <c r="B292">
        <v>2022</v>
      </c>
      <c r="C292" t="s">
        <v>226</v>
      </c>
      <c r="D292" t="s">
        <v>29</v>
      </c>
      <c r="E292" t="s">
        <v>45</v>
      </c>
      <c r="F292">
        <v>2854</v>
      </c>
      <c r="G292" t="s">
        <v>516</v>
      </c>
      <c r="H292" t="s">
        <v>234</v>
      </c>
      <c r="I292">
        <v>1954</v>
      </c>
      <c r="J292" t="s">
        <v>108</v>
      </c>
      <c r="K292" t="s">
        <v>157</v>
      </c>
      <c r="L292" s="22">
        <v>1243248.73</v>
      </c>
      <c r="M292" s="22" t="s">
        <v>401</v>
      </c>
      <c r="N292" s="24">
        <v>16</v>
      </c>
      <c r="O292" s="22">
        <v>81623.761367466679</v>
      </c>
      <c r="P292" s="22">
        <f>+DATA[[#This Row],[Soft Cost]]/DATA[[#This Row],[Schedule]]</f>
        <v>5101.4850854666674</v>
      </c>
      <c r="Q292" s="42">
        <f>+DATA[[#This Row],[Soft Cost]]/DATA[[#This Row],[Estimate Price]]</f>
        <v>6.5653605266475262E-2</v>
      </c>
      <c r="R292" s="22" t="s">
        <v>42</v>
      </c>
      <c r="S292" s="22" t="s">
        <v>50</v>
      </c>
      <c r="T292" s="22" t="s">
        <v>89</v>
      </c>
      <c r="U292" s="63"/>
    </row>
    <row r="293" spans="1:21" x14ac:dyDescent="0.3">
      <c r="A293" s="14">
        <v>44732</v>
      </c>
      <c r="B293">
        <v>2022</v>
      </c>
      <c r="C293" t="s">
        <v>226</v>
      </c>
      <c r="D293" t="s">
        <v>29</v>
      </c>
      <c r="E293" t="s">
        <v>45</v>
      </c>
      <c r="F293">
        <v>2856</v>
      </c>
      <c r="G293" t="s">
        <v>529</v>
      </c>
      <c r="H293" t="s">
        <v>234</v>
      </c>
      <c r="I293">
        <v>2100</v>
      </c>
      <c r="J293" t="s">
        <v>108</v>
      </c>
      <c r="K293" t="s">
        <v>31</v>
      </c>
      <c r="L293" s="84">
        <v>48713.999016666661</v>
      </c>
      <c r="M293" s="22" t="s">
        <v>409</v>
      </c>
      <c r="N293" s="85">
        <v>2</v>
      </c>
      <c r="O293" s="84">
        <v>11106.203183333335</v>
      </c>
      <c r="P293" s="84">
        <v>5553.1015916666674</v>
      </c>
      <c r="Q293" s="86">
        <v>0.22798791738558638</v>
      </c>
      <c r="R293" s="22" t="s">
        <v>42</v>
      </c>
      <c r="S293" s="22" t="s">
        <v>50</v>
      </c>
      <c r="T293" s="22" t="s">
        <v>89</v>
      </c>
      <c r="U293" s="84"/>
    </row>
    <row r="294" spans="1:21" x14ac:dyDescent="0.3">
      <c r="A294" s="14">
        <v>44811</v>
      </c>
      <c r="B294">
        <v>2022</v>
      </c>
      <c r="C294" t="s">
        <v>226</v>
      </c>
      <c r="D294" t="s">
        <v>29</v>
      </c>
      <c r="E294" t="s">
        <v>30</v>
      </c>
      <c r="F294">
        <v>2845</v>
      </c>
      <c r="G294" t="s">
        <v>517</v>
      </c>
      <c r="H294" t="s">
        <v>234</v>
      </c>
      <c r="I294">
        <v>1864</v>
      </c>
      <c r="J294" t="s">
        <v>156</v>
      </c>
      <c r="K294" t="s">
        <v>157</v>
      </c>
      <c r="L294" s="22">
        <v>483564.17</v>
      </c>
      <c r="M294" s="22" t="s">
        <v>401</v>
      </c>
      <c r="N294" s="24">
        <v>8</v>
      </c>
      <c r="O294" s="22">
        <v>56145.81</v>
      </c>
      <c r="P294" s="22">
        <v>7018</v>
      </c>
      <c r="Q294" s="23">
        <v>0.11609999999999999</v>
      </c>
      <c r="R294" s="22" t="s">
        <v>42</v>
      </c>
      <c r="S294" s="22" t="s">
        <v>50</v>
      </c>
      <c r="T294" s="22" t="s">
        <v>89</v>
      </c>
      <c r="U294" s="63"/>
    </row>
    <row r="295" spans="1:21" x14ac:dyDescent="0.3">
      <c r="A295" s="14">
        <v>44791</v>
      </c>
      <c r="B295">
        <v>2022</v>
      </c>
      <c r="C295" t="s">
        <v>226</v>
      </c>
      <c r="D295" t="s">
        <v>29</v>
      </c>
      <c r="E295" t="s">
        <v>45</v>
      </c>
      <c r="F295">
        <v>2868</v>
      </c>
      <c r="G295" t="s">
        <v>518</v>
      </c>
      <c r="H295" t="s">
        <v>234</v>
      </c>
      <c r="I295">
        <v>10064</v>
      </c>
      <c r="J295" t="s">
        <v>108</v>
      </c>
      <c r="K295" t="s">
        <v>31</v>
      </c>
      <c r="L295" s="22">
        <v>2117115.0024230238</v>
      </c>
      <c r="M295" s="22" t="s">
        <v>400</v>
      </c>
      <c r="N295" s="24">
        <v>26</v>
      </c>
      <c r="O295" s="22">
        <v>165179.42634729069</v>
      </c>
      <c r="P295" s="22">
        <v>6353.0548595111804</v>
      </c>
      <c r="Q295" s="23">
        <v>7.8020998461700922E-2</v>
      </c>
      <c r="R295" s="22" t="s">
        <v>42</v>
      </c>
      <c r="S295" s="22" t="s">
        <v>50</v>
      </c>
      <c r="T295" s="22" t="s">
        <v>89</v>
      </c>
      <c r="U295" s="63"/>
    </row>
    <row r="296" spans="1:21" x14ac:dyDescent="0.3">
      <c r="A296" s="14">
        <v>44797</v>
      </c>
      <c r="B296">
        <v>2022</v>
      </c>
      <c r="C296" t="s">
        <v>226</v>
      </c>
      <c r="D296" t="s">
        <v>29</v>
      </c>
      <c r="E296" t="s">
        <v>45</v>
      </c>
      <c r="F296">
        <v>2867</v>
      </c>
      <c r="G296" t="s">
        <v>519</v>
      </c>
      <c r="H296" t="s">
        <v>233</v>
      </c>
      <c r="I296">
        <v>17815</v>
      </c>
      <c r="J296" t="s">
        <v>108</v>
      </c>
      <c r="K296" t="s">
        <v>31</v>
      </c>
      <c r="L296" s="22">
        <v>2699812.8285205336</v>
      </c>
      <c r="M296" s="22" t="s">
        <v>400</v>
      </c>
      <c r="N296" s="24">
        <v>41</v>
      </c>
      <c r="O296" s="22">
        <v>327028.91726720001</v>
      </c>
      <c r="P296" s="22">
        <v>7976.3150552975612</v>
      </c>
      <c r="Q296" s="23">
        <v>0.12113021829235773</v>
      </c>
      <c r="R296" s="22" t="s">
        <v>43</v>
      </c>
      <c r="S296" s="22" t="s">
        <v>50</v>
      </c>
      <c r="T296" s="22" t="s">
        <v>90</v>
      </c>
      <c r="U296" s="63"/>
    </row>
    <row r="297" spans="1:21" x14ac:dyDescent="0.3">
      <c r="A297" s="14">
        <v>44803</v>
      </c>
      <c r="B297">
        <v>2022</v>
      </c>
      <c r="C297" t="s">
        <v>226</v>
      </c>
      <c r="D297" t="s">
        <v>29</v>
      </c>
      <c r="E297" t="s">
        <v>38</v>
      </c>
      <c r="F297">
        <v>2864</v>
      </c>
      <c r="G297" t="s">
        <v>520</v>
      </c>
      <c r="H297" t="s">
        <v>234</v>
      </c>
      <c r="I297">
        <v>12680</v>
      </c>
      <c r="J297" t="s">
        <v>156</v>
      </c>
      <c r="K297" t="s">
        <v>157</v>
      </c>
      <c r="L297" s="22">
        <v>3084501.6664732867</v>
      </c>
      <c r="M297" s="22" t="s">
        <v>400</v>
      </c>
      <c r="N297" s="24">
        <v>32</v>
      </c>
      <c r="O297" s="22">
        <v>293571.43786164577</v>
      </c>
      <c r="P297" s="22">
        <v>9174.1074331764303</v>
      </c>
      <c r="Q297" s="23">
        <v>9.5176294132888334E-2</v>
      </c>
      <c r="R297" s="22" t="s">
        <v>43</v>
      </c>
      <c r="S297" s="22" t="s">
        <v>50</v>
      </c>
      <c r="T297" s="22" t="s">
        <v>90</v>
      </c>
      <c r="U297" s="63"/>
    </row>
    <row r="298" spans="1:21" x14ac:dyDescent="0.3">
      <c r="A298" s="14">
        <v>44774</v>
      </c>
      <c r="B298">
        <v>2022</v>
      </c>
      <c r="C298" t="s">
        <v>226</v>
      </c>
      <c r="D298" t="s">
        <v>29</v>
      </c>
      <c r="E298" t="s">
        <v>45</v>
      </c>
      <c r="F298">
        <v>2863</v>
      </c>
      <c r="G298" t="s">
        <v>521</v>
      </c>
      <c r="H298" t="s">
        <v>398</v>
      </c>
      <c r="I298">
        <v>4830</v>
      </c>
      <c r="J298" t="s">
        <v>156</v>
      </c>
      <c r="K298" t="s">
        <v>157</v>
      </c>
      <c r="L298" s="22">
        <v>905681.42209346546</v>
      </c>
      <c r="M298" s="22" t="s">
        <v>401</v>
      </c>
      <c r="N298" s="24">
        <v>16</v>
      </c>
      <c r="O298" s="22">
        <v>132001.95654490936</v>
      </c>
      <c r="P298" s="22">
        <v>8250.1222840568353</v>
      </c>
      <c r="Q298" s="23">
        <v>0.14574877360274138</v>
      </c>
      <c r="R298" s="22" t="s">
        <v>43</v>
      </c>
      <c r="S298" s="22" t="s">
        <v>50</v>
      </c>
      <c r="T298" s="22" t="s">
        <v>90</v>
      </c>
      <c r="U298" s="63"/>
    </row>
    <row r="299" spans="1:21" x14ac:dyDescent="0.3">
      <c r="A299" s="14">
        <v>44839</v>
      </c>
      <c r="B299">
        <v>2022</v>
      </c>
      <c r="C299" t="s">
        <v>228</v>
      </c>
      <c r="D299" t="s">
        <v>29</v>
      </c>
      <c r="E299" t="s">
        <v>45</v>
      </c>
      <c r="F299">
        <v>2872</v>
      </c>
      <c r="G299" t="s">
        <v>522</v>
      </c>
      <c r="H299" t="s">
        <v>234</v>
      </c>
      <c r="I299">
        <v>5000</v>
      </c>
      <c r="J299" t="s">
        <v>156</v>
      </c>
      <c r="K299" t="s">
        <v>157</v>
      </c>
      <c r="L299" s="22">
        <v>300000</v>
      </c>
      <c r="M299" s="22" t="s">
        <v>402</v>
      </c>
      <c r="N299" s="24">
        <v>8</v>
      </c>
      <c r="O299" s="22">
        <v>45000</v>
      </c>
      <c r="P299" s="22">
        <v>5625</v>
      </c>
      <c r="Q299" s="23">
        <v>0.15</v>
      </c>
      <c r="R299" s="22" t="s">
        <v>43</v>
      </c>
      <c r="S299" s="22" t="s">
        <v>50</v>
      </c>
      <c r="T299" s="22" t="s">
        <v>90</v>
      </c>
      <c r="U299" s="63"/>
    </row>
    <row r="300" spans="1:21" x14ac:dyDescent="0.3">
      <c r="A300" s="14">
        <v>44865</v>
      </c>
      <c r="B300">
        <v>2022</v>
      </c>
      <c r="C300" t="s">
        <v>228</v>
      </c>
      <c r="D300" t="s">
        <v>29</v>
      </c>
      <c r="E300" t="s">
        <v>38</v>
      </c>
      <c r="F300">
        <v>2869</v>
      </c>
      <c r="G300" t="s">
        <v>523</v>
      </c>
      <c r="H300" t="s">
        <v>234</v>
      </c>
      <c r="I300">
        <v>9910</v>
      </c>
      <c r="J300" t="s">
        <v>108</v>
      </c>
      <c r="K300" t="s">
        <v>157</v>
      </c>
      <c r="L300" s="22">
        <v>323804.51</v>
      </c>
      <c r="M300" s="22" t="s">
        <v>402</v>
      </c>
      <c r="N300" s="24">
        <v>8</v>
      </c>
      <c r="O300" s="22">
        <v>62433.8</v>
      </c>
      <c r="P300" s="22">
        <v>7804</v>
      </c>
      <c r="Q300" s="23">
        <v>0.1928</v>
      </c>
      <c r="R300" s="22" t="s">
        <v>42</v>
      </c>
      <c r="S300" s="22" t="s">
        <v>50</v>
      </c>
      <c r="T300" s="22" t="s">
        <v>89</v>
      </c>
      <c r="U300" s="63"/>
    </row>
    <row r="301" spans="1:21" x14ac:dyDescent="0.3">
      <c r="A301" s="14">
        <v>44845</v>
      </c>
      <c r="B301">
        <v>2022</v>
      </c>
      <c r="C301" t="s">
        <v>228</v>
      </c>
      <c r="D301" t="s">
        <v>29</v>
      </c>
      <c r="E301" t="s">
        <v>45</v>
      </c>
      <c r="F301">
        <v>2813</v>
      </c>
      <c r="G301" t="s">
        <v>524</v>
      </c>
      <c r="H301" t="s">
        <v>234</v>
      </c>
      <c r="I301">
        <v>14190</v>
      </c>
      <c r="J301" t="s">
        <v>156</v>
      </c>
      <c r="K301" t="s">
        <v>157</v>
      </c>
      <c r="L301" s="22">
        <v>520075.22302105092</v>
      </c>
      <c r="M301" s="22" t="s">
        <v>401</v>
      </c>
      <c r="N301" s="24">
        <v>10</v>
      </c>
      <c r="O301" s="22">
        <v>64208.940289050879</v>
      </c>
      <c r="P301" s="22">
        <v>6420.8940289050879</v>
      </c>
      <c r="Q301" s="23">
        <v>0.12346087151791101</v>
      </c>
      <c r="R301" s="22" t="s">
        <v>42</v>
      </c>
      <c r="S301" s="22" t="s">
        <v>50</v>
      </c>
      <c r="T301" s="22" t="s">
        <v>89</v>
      </c>
      <c r="U301" s="63"/>
    </row>
    <row r="302" spans="1:21" x14ac:dyDescent="0.3">
      <c r="A302" s="14">
        <v>44833</v>
      </c>
      <c r="B302">
        <v>2022</v>
      </c>
      <c r="C302" t="s">
        <v>226</v>
      </c>
      <c r="D302" t="s">
        <v>29</v>
      </c>
      <c r="E302" t="s">
        <v>45</v>
      </c>
      <c r="F302" s="62" t="s">
        <v>525</v>
      </c>
      <c r="G302" t="s">
        <v>526</v>
      </c>
      <c r="H302" t="s">
        <v>234</v>
      </c>
      <c r="I302">
        <v>21526</v>
      </c>
      <c r="J302" t="s">
        <v>156</v>
      </c>
      <c r="K302" t="s">
        <v>157</v>
      </c>
      <c r="L302" s="22">
        <v>1584862.7097893036</v>
      </c>
      <c r="M302" s="22" t="s">
        <v>401</v>
      </c>
      <c r="N302" s="24">
        <v>18</v>
      </c>
      <c r="O302" s="22">
        <v>146346.66613010401</v>
      </c>
      <c r="P302" s="22">
        <v>8130.3703405613342</v>
      </c>
      <c r="Q302" s="23">
        <v>9.2340279840112949E-2</v>
      </c>
      <c r="R302" s="22" t="s">
        <v>43</v>
      </c>
      <c r="S302" s="22" t="s">
        <v>50</v>
      </c>
      <c r="T302" s="22" t="s">
        <v>90</v>
      </c>
      <c r="U302" s="63"/>
    </row>
    <row r="303" spans="1:21" x14ac:dyDescent="0.3">
      <c r="A303" s="14">
        <v>44855</v>
      </c>
      <c r="B303">
        <v>2022</v>
      </c>
      <c r="C303" t="s">
        <v>228</v>
      </c>
      <c r="D303" t="s">
        <v>29</v>
      </c>
      <c r="E303" t="s">
        <v>45</v>
      </c>
      <c r="F303">
        <v>2873</v>
      </c>
      <c r="G303" t="s">
        <v>530</v>
      </c>
      <c r="H303" t="s">
        <v>234</v>
      </c>
      <c r="I303">
        <v>3322</v>
      </c>
      <c r="J303" t="s">
        <v>108</v>
      </c>
      <c r="K303" t="s">
        <v>31</v>
      </c>
      <c r="L303" s="22">
        <v>170903.926404</v>
      </c>
      <c r="M303" s="22" t="s">
        <v>402</v>
      </c>
      <c r="N303" s="24">
        <v>4</v>
      </c>
      <c r="O303" s="22">
        <v>26315.618904000003</v>
      </c>
      <c r="P303" s="22">
        <v>6578.9047260000007</v>
      </c>
      <c r="Q303" s="23">
        <v>0.15397901884239032</v>
      </c>
      <c r="R303" s="22" t="s">
        <v>42</v>
      </c>
      <c r="S303" s="22" t="s">
        <v>50</v>
      </c>
      <c r="T303" s="22" t="s">
        <v>89</v>
      </c>
      <c r="U303" s="63"/>
    </row>
    <row r="304" spans="1:21" x14ac:dyDescent="0.3">
      <c r="A304" s="14">
        <v>44883</v>
      </c>
      <c r="B304">
        <v>2022</v>
      </c>
      <c r="C304" t="s">
        <v>228</v>
      </c>
      <c r="D304" t="s">
        <v>29</v>
      </c>
      <c r="E304" t="s">
        <v>45</v>
      </c>
      <c r="F304">
        <v>2877</v>
      </c>
      <c r="G304" t="s">
        <v>531</v>
      </c>
      <c r="H304" t="s">
        <v>234</v>
      </c>
      <c r="I304">
        <v>760</v>
      </c>
      <c r="J304" t="s">
        <v>108</v>
      </c>
      <c r="K304" t="s">
        <v>31</v>
      </c>
      <c r="L304" s="22">
        <v>98414.190755999996</v>
      </c>
      <c r="M304" s="22" t="s">
        <v>409</v>
      </c>
      <c r="N304" s="24">
        <v>3</v>
      </c>
      <c r="O304" s="22">
        <v>14824.249236</v>
      </c>
      <c r="P304" s="22">
        <v>4941.4164119999996</v>
      </c>
      <c r="Q304" s="23">
        <v>0.15063121610941269</v>
      </c>
      <c r="R304" s="22" t="s">
        <v>42</v>
      </c>
      <c r="S304" s="22" t="s">
        <v>50</v>
      </c>
      <c r="T304" s="22" t="s">
        <v>89</v>
      </c>
      <c r="U304" s="63"/>
    </row>
    <row r="305" spans="1:21" x14ac:dyDescent="0.3">
      <c r="A305" s="14">
        <v>44888</v>
      </c>
      <c r="B305">
        <v>2022</v>
      </c>
      <c r="C305" t="s">
        <v>228</v>
      </c>
      <c r="D305" t="s">
        <v>29</v>
      </c>
      <c r="E305" t="s">
        <v>45</v>
      </c>
      <c r="F305">
        <v>2878</v>
      </c>
      <c r="G305" t="s">
        <v>532</v>
      </c>
      <c r="H305" t="s">
        <v>233</v>
      </c>
      <c r="I305">
        <v>200</v>
      </c>
      <c r="J305" t="s">
        <v>108</v>
      </c>
      <c r="K305" t="s">
        <v>31</v>
      </c>
      <c r="L305" s="22">
        <v>82860.399064666679</v>
      </c>
      <c r="M305" s="22" t="s">
        <v>409</v>
      </c>
      <c r="N305" s="24">
        <v>2</v>
      </c>
      <c r="O305" s="22">
        <v>15226.268351333334</v>
      </c>
      <c r="P305" s="22">
        <v>7613.134175666667</v>
      </c>
      <c r="Q305" s="23">
        <v>0.18375808616912778</v>
      </c>
      <c r="R305" s="22" t="s">
        <v>43</v>
      </c>
      <c r="S305" s="22" t="s">
        <v>50</v>
      </c>
      <c r="T305" s="22" t="s">
        <v>90</v>
      </c>
      <c r="U305" s="63"/>
    </row>
    <row r="306" spans="1:21" x14ac:dyDescent="0.3">
      <c r="A306" s="14">
        <v>44880</v>
      </c>
      <c r="B306">
        <v>2022</v>
      </c>
      <c r="C306" t="s">
        <v>228</v>
      </c>
      <c r="D306" t="s">
        <v>29</v>
      </c>
      <c r="E306" t="s">
        <v>538</v>
      </c>
      <c r="F306">
        <v>2879</v>
      </c>
      <c r="G306" t="s">
        <v>577</v>
      </c>
      <c r="H306" t="s">
        <v>233</v>
      </c>
      <c r="I306" s="87">
        <v>3998</v>
      </c>
      <c r="J306" t="s">
        <v>156</v>
      </c>
      <c r="K306" t="s">
        <v>539</v>
      </c>
      <c r="L306" s="22">
        <v>166080.29172000001</v>
      </c>
      <c r="M306" s="22" t="s">
        <v>402</v>
      </c>
      <c r="N306">
        <v>3</v>
      </c>
      <c r="O306" s="22">
        <v>18342.287719999997</v>
      </c>
      <c r="P306" s="22">
        <v>6114.0959066666655</v>
      </c>
      <c r="Q306" s="23">
        <v>0.11044228987099708</v>
      </c>
      <c r="R306" t="s">
        <v>42</v>
      </c>
      <c r="S306" t="s">
        <v>50</v>
      </c>
      <c r="T306" s="22" t="s">
        <v>89</v>
      </c>
      <c r="U306" s="63"/>
    </row>
    <row r="307" spans="1:21" x14ac:dyDescent="0.3">
      <c r="A307" s="14">
        <v>44880</v>
      </c>
      <c r="B307">
        <v>2022</v>
      </c>
      <c r="C307" t="s">
        <v>228</v>
      </c>
      <c r="D307" t="s">
        <v>29</v>
      </c>
      <c r="E307" t="s">
        <v>45</v>
      </c>
      <c r="F307">
        <v>2879</v>
      </c>
      <c r="G307" t="s">
        <v>574</v>
      </c>
      <c r="H307" t="s">
        <v>233</v>
      </c>
      <c r="I307" s="87">
        <v>3998</v>
      </c>
      <c r="J307" t="s">
        <v>156</v>
      </c>
      <c r="K307" t="s">
        <v>157</v>
      </c>
      <c r="L307" s="88">
        <v>437092.24776</v>
      </c>
      <c r="M307" s="22" t="s">
        <v>402</v>
      </c>
      <c r="N307" s="89">
        <v>12</v>
      </c>
      <c r="O307" s="88">
        <v>70132.015759999995</v>
      </c>
      <c r="P307" s="88">
        <v>5844.3346466666662</v>
      </c>
      <c r="Q307" s="90">
        <v>0.1604512917339781</v>
      </c>
      <c r="R307" s="22" t="s">
        <v>42</v>
      </c>
      <c r="S307" s="22" t="s">
        <v>50</v>
      </c>
      <c r="T307" s="22" t="s">
        <v>89</v>
      </c>
      <c r="U307" s="88"/>
    </row>
    <row r="308" spans="1:21" x14ac:dyDescent="0.3">
      <c r="A308" s="14">
        <v>44902</v>
      </c>
      <c r="B308">
        <v>2023</v>
      </c>
      <c r="C308" t="s">
        <v>229</v>
      </c>
      <c r="D308" t="s">
        <v>29</v>
      </c>
      <c r="E308" t="s">
        <v>45</v>
      </c>
      <c r="F308">
        <v>2881</v>
      </c>
      <c r="G308" t="s">
        <v>533</v>
      </c>
      <c r="H308" t="s">
        <v>234</v>
      </c>
      <c r="I308">
        <v>17862</v>
      </c>
      <c r="J308" t="s">
        <v>108</v>
      </c>
      <c r="K308" t="s">
        <v>31</v>
      </c>
      <c r="L308" s="22">
        <v>694106.45674702502</v>
      </c>
      <c r="M308" s="22" t="s">
        <v>401</v>
      </c>
      <c r="N308" s="24">
        <v>13</v>
      </c>
      <c r="O308" s="22">
        <v>87562.198984524992</v>
      </c>
      <c r="P308" s="22">
        <v>6735.5537680403841</v>
      </c>
      <c r="Q308" s="23">
        <v>0.12615096450030291</v>
      </c>
      <c r="R308" s="22" t="s">
        <v>42</v>
      </c>
      <c r="S308" s="22" t="s">
        <v>50</v>
      </c>
      <c r="T308" s="22" t="s">
        <v>89</v>
      </c>
      <c r="U308" s="22"/>
    </row>
    <row r="309" spans="1:21" x14ac:dyDescent="0.3">
      <c r="A309" s="14">
        <v>44904</v>
      </c>
      <c r="B309">
        <v>2023</v>
      </c>
      <c r="C309" t="s">
        <v>229</v>
      </c>
      <c r="D309" t="s">
        <v>29</v>
      </c>
      <c r="E309" t="s">
        <v>45</v>
      </c>
      <c r="F309">
        <v>2833</v>
      </c>
      <c r="G309" t="s">
        <v>534</v>
      </c>
      <c r="H309" t="s">
        <v>398</v>
      </c>
      <c r="I309">
        <v>28688</v>
      </c>
      <c r="J309" t="s">
        <v>156</v>
      </c>
      <c r="K309" t="s">
        <v>157</v>
      </c>
      <c r="L309" s="22">
        <v>5042864.2984370552</v>
      </c>
      <c r="M309" s="22" t="s">
        <v>399</v>
      </c>
      <c r="N309">
        <v>44</v>
      </c>
      <c r="O309" s="22">
        <v>483072.58166559954</v>
      </c>
      <c r="P309" s="22">
        <v>10978.922310581807</v>
      </c>
      <c r="Q309" s="23">
        <v>9.5793293865813353E-2</v>
      </c>
      <c r="R309" t="s">
        <v>42</v>
      </c>
      <c r="S309" t="s">
        <v>50</v>
      </c>
      <c r="T309" s="22" t="s">
        <v>89</v>
      </c>
      <c r="U309" s="63"/>
    </row>
    <row r="310" spans="1:21" x14ac:dyDescent="0.3">
      <c r="A310" s="14">
        <v>44905</v>
      </c>
      <c r="B310">
        <v>2023</v>
      </c>
      <c r="C310" t="s">
        <v>229</v>
      </c>
      <c r="D310" t="s">
        <v>29</v>
      </c>
      <c r="E310" t="s">
        <v>45</v>
      </c>
      <c r="F310">
        <v>2876</v>
      </c>
      <c r="G310" t="s">
        <v>535</v>
      </c>
      <c r="H310" t="s">
        <v>233</v>
      </c>
      <c r="I310" s="87">
        <v>3929</v>
      </c>
      <c r="J310" t="s">
        <v>108</v>
      </c>
      <c r="K310" t="s">
        <v>540</v>
      </c>
      <c r="L310" s="22">
        <v>663650.03045600001</v>
      </c>
      <c r="M310" s="22" t="s">
        <v>401</v>
      </c>
      <c r="N310">
        <v>14</v>
      </c>
      <c r="O310" s="22">
        <v>100118.898456</v>
      </c>
      <c r="P310" s="22">
        <v>7151.3498897142854</v>
      </c>
      <c r="Q310" s="23">
        <v>0.15086098675714274</v>
      </c>
      <c r="R310" t="s">
        <v>42</v>
      </c>
      <c r="S310" t="s">
        <v>50</v>
      </c>
      <c r="T310" s="22" t="s">
        <v>89</v>
      </c>
      <c r="U310" s="63"/>
    </row>
    <row r="311" spans="1:21" x14ac:dyDescent="0.3">
      <c r="A311" s="14">
        <v>44905</v>
      </c>
      <c r="B311">
        <v>2023</v>
      </c>
      <c r="C311" t="s">
        <v>229</v>
      </c>
      <c r="D311" t="s">
        <v>29</v>
      </c>
      <c r="E311" t="s">
        <v>45</v>
      </c>
      <c r="F311">
        <v>2876</v>
      </c>
      <c r="G311" t="s">
        <v>578</v>
      </c>
      <c r="H311" t="s">
        <v>233</v>
      </c>
      <c r="I311" s="87">
        <v>3929</v>
      </c>
      <c r="J311" t="s">
        <v>108</v>
      </c>
      <c r="K311" t="s">
        <v>31</v>
      </c>
      <c r="L311" s="88">
        <v>205650.80122786667</v>
      </c>
      <c r="M311" s="22" t="s">
        <v>402</v>
      </c>
      <c r="N311" s="89">
        <v>5</v>
      </c>
      <c r="O311" s="88">
        <v>14354.208334533336</v>
      </c>
      <c r="P311" s="88">
        <v>2870.8416669066673</v>
      </c>
      <c r="Q311" s="90">
        <v>6.9798941938614106E-2</v>
      </c>
      <c r="R311" s="22" t="s">
        <v>42</v>
      </c>
      <c r="S311" s="22" t="s">
        <v>50</v>
      </c>
      <c r="T311" s="22" t="s">
        <v>89</v>
      </c>
      <c r="U311" s="88"/>
    </row>
    <row r="312" spans="1:21" x14ac:dyDescent="0.3">
      <c r="A312" s="14">
        <v>44937</v>
      </c>
      <c r="B312">
        <v>2023</v>
      </c>
      <c r="C312" t="s">
        <v>229</v>
      </c>
      <c r="D312" t="s">
        <v>29</v>
      </c>
      <c r="E312" t="s">
        <v>45</v>
      </c>
      <c r="F312">
        <v>2882</v>
      </c>
      <c r="G312" t="s">
        <v>536</v>
      </c>
      <c r="H312" t="s">
        <v>234</v>
      </c>
      <c r="I312">
        <v>1694</v>
      </c>
      <c r="J312" t="s">
        <v>156</v>
      </c>
      <c r="K312" t="s">
        <v>157</v>
      </c>
      <c r="L312" s="22">
        <v>298278.18940000003</v>
      </c>
      <c r="M312" s="22" t="s">
        <v>402</v>
      </c>
      <c r="N312" s="24">
        <v>7</v>
      </c>
      <c r="O312" s="22">
        <v>33959.942733333337</v>
      </c>
      <c r="P312" s="22">
        <v>4851.4203904761907</v>
      </c>
      <c r="Q312" s="23">
        <v>0.11385325491496809</v>
      </c>
      <c r="R312" s="22" t="s">
        <v>43</v>
      </c>
      <c r="S312" s="22" t="s">
        <v>50</v>
      </c>
      <c r="T312" s="22" t="s">
        <v>90</v>
      </c>
      <c r="U312" s="63"/>
    </row>
    <row r="313" spans="1:21" x14ac:dyDescent="0.3">
      <c r="A313" s="14">
        <v>44918</v>
      </c>
      <c r="B313">
        <v>2023</v>
      </c>
      <c r="C313" t="s">
        <v>229</v>
      </c>
      <c r="D313" t="s">
        <v>29</v>
      </c>
      <c r="E313" t="s">
        <v>45</v>
      </c>
      <c r="F313">
        <v>2859</v>
      </c>
      <c r="G313" t="s">
        <v>528</v>
      </c>
      <c r="H313" t="s">
        <v>234</v>
      </c>
      <c r="I313">
        <v>2505</v>
      </c>
      <c r="J313" t="s">
        <v>108</v>
      </c>
      <c r="K313" t="s">
        <v>31</v>
      </c>
      <c r="L313" s="22">
        <v>507450.76</v>
      </c>
      <c r="M313" s="22" t="s">
        <v>401</v>
      </c>
      <c r="N313" s="24">
        <v>10</v>
      </c>
      <c r="O313" s="22">
        <v>55657.68</v>
      </c>
      <c r="P313" s="22">
        <v>5566</v>
      </c>
      <c r="Q313" s="23">
        <v>0.10970000000000001</v>
      </c>
      <c r="R313" s="22" t="s">
        <v>42</v>
      </c>
      <c r="S313" s="22" t="s">
        <v>50</v>
      </c>
      <c r="T313" s="22" t="s">
        <v>89</v>
      </c>
      <c r="U313" s="63"/>
    </row>
    <row r="314" spans="1:21" x14ac:dyDescent="0.3">
      <c r="A314" s="14">
        <v>44957</v>
      </c>
      <c r="B314">
        <v>2023</v>
      </c>
      <c r="C314" t="s">
        <v>229</v>
      </c>
      <c r="D314" t="s">
        <v>29</v>
      </c>
      <c r="E314" t="s">
        <v>45</v>
      </c>
      <c r="F314">
        <v>2886</v>
      </c>
      <c r="G314" t="s">
        <v>537</v>
      </c>
      <c r="H314" t="s">
        <v>234</v>
      </c>
      <c r="I314">
        <v>4000</v>
      </c>
      <c r="J314" t="s">
        <v>108</v>
      </c>
      <c r="K314" t="s">
        <v>31</v>
      </c>
      <c r="L314" s="22">
        <v>284699.99632000003</v>
      </c>
      <c r="M314" s="22" t="s">
        <v>402</v>
      </c>
      <c r="N314" s="24">
        <v>6</v>
      </c>
      <c r="O314" s="22">
        <v>51440.964319999999</v>
      </c>
      <c r="P314" s="22">
        <v>8573.4940533333338</v>
      </c>
      <c r="Q314" s="23">
        <v>0.18068480851745727</v>
      </c>
      <c r="R314" s="22" t="s">
        <v>43</v>
      </c>
      <c r="S314" s="22" t="s">
        <v>50</v>
      </c>
      <c r="T314" s="22" t="s">
        <v>90</v>
      </c>
      <c r="U314" s="63"/>
    </row>
    <row r="315" spans="1:21" x14ac:dyDescent="0.3">
      <c r="A315" s="14">
        <v>44939</v>
      </c>
      <c r="B315">
        <v>2023</v>
      </c>
      <c r="C315" t="s">
        <v>229</v>
      </c>
      <c r="D315" t="s">
        <v>29</v>
      </c>
      <c r="E315" t="s">
        <v>38</v>
      </c>
      <c r="F315">
        <v>2885</v>
      </c>
      <c r="G315" t="s">
        <v>527</v>
      </c>
      <c r="H315" t="s">
        <v>234</v>
      </c>
      <c r="I315">
        <v>5000</v>
      </c>
      <c r="J315" t="s">
        <v>108</v>
      </c>
      <c r="K315" t="s">
        <v>31</v>
      </c>
      <c r="L315" s="22">
        <f>253155.58+253155.58</f>
        <v>506311.16</v>
      </c>
      <c r="M315" s="22" t="s">
        <v>402</v>
      </c>
      <c r="N315" s="24">
        <v>6</v>
      </c>
      <c r="O315" s="22"/>
      <c r="P315" s="22"/>
      <c r="Q315" s="23">
        <v>0.15</v>
      </c>
      <c r="R315" s="22" t="s">
        <v>43</v>
      </c>
      <c r="S315" s="22" t="s">
        <v>50</v>
      </c>
      <c r="T315" s="22" t="s">
        <v>90</v>
      </c>
      <c r="U315" s="63"/>
    </row>
    <row r="316" spans="1:21" x14ac:dyDescent="0.3">
      <c r="A316" s="14">
        <v>44980</v>
      </c>
      <c r="B316">
        <v>2023</v>
      </c>
      <c r="C316" t="s">
        <v>229</v>
      </c>
      <c r="D316" t="s">
        <v>29</v>
      </c>
      <c r="E316" t="s">
        <v>45</v>
      </c>
      <c r="F316">
        <v>2880</v>
      </c>
      <c r="G316" t="s">
        <v>569</v>
      </c>
      <c r="H316" t="s">
        <v>233</v>
      </c>
      <c r="I316">
        <v>2226</v>
      </c>
      <c r="J316" t="s">
        <v>108</v>
      </c>
      <c r="K316" t="s">
        <v>31</v>
      </c>
      <c r="L316" s="88">
        <v>1319031.81</v>
      </c>
      <c r="M316" s="22" t="s">
        <v>401</v>
      </c>
      <c r="N316" s="89">
        <v>20</v>
      </c>
      <c r="O316" s="88">
        <v>147564.24</v>
      </c>
      <c r="P316" s="88">
        <v>7378</v>
      </c>
      <c r="Q316" s="90">
        <v>0.1119</v>
      </c>
      <c r="R316" s="22" t="s">
        <v>42</v>
      </c>
      <c r="S316" s="22" t="s">
        <v>50</v>
      </c>
      <c r="T316" s="22" t="s">
        <v>89</v>
      </c>
      <c r="U316" s="88"/>
    </row>
    <row r="317" spans="1:21" x14ac:dyDescent="0.3">
      <c r="A317" s="14">
        <v>44965</v>
      </c>
      <c r="B317">
        <v>2023</v>
      </c>
      <c r="C317" t="s">
        <v>229</v>
      </c>
      <c r="D317" t="s">
        <v>29</v>
      </c>
      <c r="E317" t="s">
        <v>30</v>
      </c>
      <c r="F317">
        <v>2897</v>
      </c>
      <c r="G317" t="s">
        <v>548</v>
      </c>
      <c r="H317" t="s">
        <v>234</v>
      </c>
      <c r="I317">
        <v>8471</v>
      </c>
      <c r="J317" t="s">
        <v>108</v>
      </c>
      <c r="K317" t="s">
        <v>31</v>
      </c>
      <c r="L317" s="88">
        <v>487553.99670533562</v>
      </c>
      <c r="M317" s="22" t="s">
        <v>402</v>
      </c>
      <c r="N317" s="89">
        <v>10</v>
      </c>
      <c r="O317" s="88">
        <v>73181.837294130004</v>
      </c>
      <c r="P317" s="88">
        <v>7318.183729413</v>
      </c>
      <c r="Q317" s="90">
        <v>0.15190116344471161</v>
      </c>
      <c r="R317" s="22" t="s">
        <v>43</v>
      </c>
      <c r="S317" s="22" t="s">
        <v>50</v>
      </c>
      <c r="T317" s="22" t="s">
        <v>90</v>
      </c>
      <c r="U317" s="88"/>
    </row>
    <row r="318" spans="1:21" x14ac:dyDescent="0.3">
      <c r="A318" s="14">
        <v>44972</v>
      </c>
      <c r="B318">
        <v>2023</v>
      </c>
      <c r="C318" t="s">
        <v>229</v>
      </c>
      <c r="D318" t="s">
        <v>29</v>
      </c>
      <c r="E318" t="s">
        <v>45</v>
      </c>
      <c r="F318">
        <v>2888</v>
      </c>
      <c r="G318" t="s">
        <v>544</v>
      </c>
      <c r="H318" t="s">
        <v>234</v>
      </c>
      <c r="I318">
        <v>720</v>
      </c>
      <c r="J318" t="s">
        <v>108</v>
      </c>
      <c r="K318" t="s">
        <v>31</v>
      </c>
      <c r="L318" s="88">
        <v>237294.52205</v>
      </c>
      <c r="M318" s="22" t="s">
        <v>402</v>
      </c>
      <c r="N318" s="89">
        <v>6</v>
      </c>
      <c r="O318" s="88">
        <v>34148.484550000001</v>
      </c>
      <c r="P318" s="88">
        <v>5691.4140916666665</v>
      </c>
      <c r="Q318" s="90">
        <v>0.14390759742361275</v>
      </c>
      <c r="R318" s="22" t="s">
        <v>42</v>
      </c>
      <c r="S318" s="22" t="s">
        <v>50</v>
      </c>
      <c r="T318" s="22" t="s">
        <v>89</v>
      </c>
      <c r="U318" s="88"/>
    </row>
    <row r="319" spans="1:21" x14ac:dyDescent="0.3">
      <c r="A319" s="14">
        <v>44980</v>
      </c>
      <c r="B319">
        <v>2023</v>
      </c>
      <c r="C319" t="s">
        <v>229</v>
      </c>
      <c r="D319" t="s">
        <v>29</v>
      </c>
      <c r="E319" t="s">
        <v>45</v>
      </c>
      <c r="F319">
        <v>2890</v>
      </c>
      <c r="G319" t="s">
        <v>545</v>
      </c>
      <c r="H319" t="s">
        <v>234</v>
      </c>
      <c r="I319">
        <v>7185</v>
      </c>
      <c r="J319" t="s">
        <v>108</v>
      </c>
      <c r="K319" t="s">
        <v>31</v>
      </c>
      <c r="L319" s="88">
        <v>352648.20903010003</v>
      </c>
      <c r="M319" s="22" t="s">
        <v>402</v>
      </c>
      <c r="N319" s="89">
        <v>8</v>
      </c>
      <c r="O319" s="88">
        <v>44229.016980100001</v>
      </c>
      <c r="P319" s="88">
        <v>5528.6271225125001</v>
      </c>
      <c r="Q319" s="90">
        <v>0.12541965575763031</v>
      </c>
      <c r="R319" s="22" t="s">
        <v>42</v>
      </c>
      <c r="S319" s="22" t="s">
        <v>50</v>
      </c>
      <c r="T319" s="22" t="s">
        <v>89</v>
      </c>
      <c r="U319" s="88"/>
    </row>
    <row r="320" spans="1:21" x14ac:dyDescent="0.3">
      <c r="A320" s="14">
        <v>44965</v>
      </c>
      <c r="B320">
        <v>2023</v>
      </c>
      <c r="C320" t="s">
        <v>229</v>
      </c>
      <c r="D320" t="s">
        <v>57</v>
      </c>
      <c r="E320" t="s">
        <v>114</v>
      </c>
      <c r="F320">
        <v>2887</v>
      </c>
      <c r="G320" t="s">
        <v>543</v>
      </c>
      <c r="H320" t="s">
        <v>234</v>
      </c>
      <c r="I320">
        <v>12000</v>
      </c>
      <c r="J320" t="s">
        <v>108</v>
      </c>
      <c r="K320" t="s">
        <v>31</v>
      </c>
      <c r="L320" s="88">
        <v>2065872.5530943219</v>
      </c>
      <c r="M320" s="22" t="s">
        <v>400</v>
      </c>
      <c r="N320" s="89">
        <v>15</v>
      </c>
      <c r="O320" s="88">
        <v>208406.19430534961</v>
      </c>
      <c r="P320" s="88">
        <v>13893.746287023307</v>
      </c>
      <c r="Q320" s="90">
        <v>0.10209103573263088</v>
      </c>
      <c r="R320" s="22" t="s">
        <v>43</v>
      </c>
      <c r="S320" s="22" t="s">
        <v>50</v>
      </c>
      <c r="T320" s="22" t="s">
        <v>90</v>
      </c>
      <c r="U320" s="88"/>
    </row>
    <row r="321" spans="1:21" x14ac:dyDescent="0.3">
      <c r="A321" s="14">
        <v>44988</v>
      </c>
      <c r="B321">
        <v>2023</v>
      </c>
      <c r="C321" t="s">
        <v>227</v>
      </c>
      <c r="D321" t="s">
        <v>29</v>
      </c>
      <c r="E321" t="s">
        <v>45</v>
      </c>
      <c r="F321">
        <v>2899</v>
      </c>
      <c r="G321" t="s">
        <v>549</v>
      </c>
      <c r="H321" t="s">
        <v>234</v>
      </c>
      <c r="I321">
        <v>712</v>
      </c>
      <c r="J321" t="s">
        <v>108</v>
      </c>
      <c r="K321" t="s">
        <v>31</v>
      </c>
      <c r="L321" s="88">
        <v>92087.856724999991</v>
      </c>
      <c r="M321" s="22" t="s">
        <v>409</v>
      </c>
      <c r="N321" s="89">
        <v>5</v>
      </c>
      <c r="O321" s="88">
        <v>19613.919225000005</v>
      </c>
      <c r="P321" s="88">
        <v>3922.7838450000008</v>
      </c>
      <c r="Q321" s="90">
        <v>0.21299137500368409</v>
      </c>
      <c r="R321" s="22" t="s">
        <v>42</v>
      </c>
      <c r="S321" s="22" t="s">
        <v>50</v>
      </c>
      <c r="T321" s="22" t="s">
        <v>89</v>
      </c>
      <c r="U321" s="88"/>
    </row>
    <row r="322" spans="1:21" x14ac:dyDescent="0.3">
      <c r="A322" s="14">
        <v>44998</v>
      </c>
      <c r="B322">
        <v>2023</v>
      </c>
      <c r="C322" t="s">
        <v>227</v>
      </c>
      <c r="D322" t="s">
        <v>29</v>
      </c>
      <c r="E322" t="s">
        <v>45</v>
      </c>
      <c r="F322">
        <v>2902</v>
      </c>
      <c r="G322" t="s">
        <v>571</v>
      </c>
      <c r="H322" t="s">
        <v>234</v>
      </c>
      <c r="I322">
        <v>5000</v>
      </c>
      <c r="J322" t="s">
        <v>108</v>
      </c>
      <c r="K322" t="s">
        <v>31</v>
      </c>
      <c r="L322" s="88">
        <v>189420.47</v>
      </c>
      <c r="M322" s="22" t="s">
        <v>402</v>
      </c>
      <c r="N322" s="89">
        <v>6</v>
      </c>
      <c r="O322" s="88">
        <v>28413.07</v>
      </c>
      <c r="P322" s="88"/>
      <c r="Q322" s="90">
        <v>0.15</v>
      </c>
      <c r="R322" s="22" t="s">
        <v>42</v>
      </c>
      <c r="S322" s="22" t="s">
        <v>50</v>
      </c>
      <c r="T322" s="22" t="s">
        <v>89</v>
      </c>
      <c r="U322" s="88"/>
    </row>
    <row r="323" spans="1:21" x14ac:dyDescent="0.3">
      <c r="A323" s="14">
        <v>44998</v>
      </c>
      <c r="B323">
        <v>2023</v>
      </c>
      <c r="C323" t="s">
        <v>227</v>
      </c>
      <c r="D323" t="s">
        <v>29</v>
      </c>
      <c r="E323" t="s">
        <v>45</v>
      </c>
      <c r="F323">
        <v>2902</v>
      </c>
      <c r="G323" t="s">
        <v>572</v>
      </c>
      <c r="H323" t="s">
        <v>234</v>
      </c>
      <c r="I323">
        <v>5000</v>
      </c>
      <c r="J323" t="s">
        <v>108</v>
      </c>
      <c r="K323" t="s">
        <v>31</v>
      </c>
      <c r="L323" s="88">
        <v>188915.83</v>
      </c>
      <c r="M323" s="22" t="s">
        <v>402</v>
      </c>
      <c r="N323" s="89">
        <v>6</v>
      </c>
      <c r="O323" s="88"/>
      <c r="P323" s="88"/>
      <c r="Q323" s="90">
        <v>0.15</v>
      </c>
      <c r="R323" s="22" t="s">
        <v>43</v>
      </c>
      <c r="S323" s="22" t="s">
        <v>50</v>
      </c>
      <c r="T323" s="22" t="s">
        <v>90</v>
      </c>
      <c r="U323" s="88"/>
    </row>
    <row r="324" spans="1:21" x14ac:dyDescent="0.3">
      <c r="A324" s="14">
        <v>45008</v>
      </c>
      <c r="B324">
        <v>2023</v>
      </c>
      <c r="C324" t="s">
        <v>227</v>
      </c>
      <c r="D324" t="s">
        <v>29</v>
      </c>
      <c r="E324" t="s">
        <v>45</v>
      </c>
      <c r="F324">
        <v>2901</v>
      </c>
      <c r="G324" t="s">
        <v>541</v>
      </c>
      <c r="H324" t="s">
        <v>233</v>
      </c>
      <c r="I324">
        <v>6960</v>
      </c>
      <c r="J324" t="s">
        <v>108</v>
      </c>
      <c r="K324" t="s">
        <v>31</v>
      </c>
      <c r="L324" s="22">
        <v>1271250.7189886128</v>
      </c>
      <c r="M324" s="22" t="s">
        <v>401</v>
      </c>
      <c r="N324" s="24">
        <v>20</v>
      </c>
      <c r="O324" s="22">
        <v>113585.13251647723</v>
      </c>
      <c r="P324" s="22">
        <v>5679.2566258238612</v>
      </c>
      <c r="Q324" s="23">
        <v>8.9349119587396414E-2</v>
      </c>
      <c r="R324" s="22" t="s">
        <v>42</v>
      </c>
      <c r="S324" s="22" t="s">
        <v>50</v>
      </c>
      <c r="T324" s="22" t="s">
        <v>89</v>
      </c>
      <c r="U324" s="63"/>
    </row>
    <row r="325" spans="1:21" x14ac:dyDescent="0.3">
      <c r="A325" s="14">
        <v>45009</v>
      </c>
      <c r="B325">
        <v>2023</v>
      </c>
      <c r="C325" t="s">
        <v>227</v>
      </c>
      <c r="D325" t="s">
        <v>29</v>
      </c>
      <c r="E325" t="s">
        <v>30</v>
      </c>
      <c r="F325">
        <v>2898</v>
      </c>
      <c r="G325" t="s">
        <v>550</v>
      </c>
      <c r="H325" t="s">
        <v>235</v>
      </c>
      <c r="I325">
        <v>2368</v>
      </c>
      <c r="J325" t="s">
        <v>108</v>
      </c>
      <c r="K325" t="s">
        <v>31</v>
      </c>
      <c r="L325" s="88">
        <v>2361700.0044348501</v>
      </c>
      <c r="M325" s="22" t="s">
        <v>400</v>
      </c>
      <c r="N325" s="89">
        <v>26</v>
      </c>
      <c r="O325" s="88">
        <v>218254.79406451667</v>
      </c>
      <c r="P325" s="88">
        <v>8394.4151563275645</v>
      </c>
      <c r="Q325" s="90">
        <v>9.2414275163938353E-2</v>
      </c>
      <c r="R325" s="22" t="s">
        <v>42</v>
      </c>
      <c r="S325" s="22" t="s">
        <v>50</v>
      </c>
      <c r="T325" s="22" t="s">
        <v>89</v>
      </c>
      <c r="U325" s="88"/>
    </row>
    <row r="326" spans="1:21" x14ac:dyDescent="0.3">
      <c r="A326" s="14">
        <v>45040</v>
      </c>
      <c r="B326">
        <v>2023</v>
      </c>
      <c r="C326" t="s">
        <v>227</v>
      </c>
      <c r="D326" t="s">
        <v>29</v>
      </c>
      <c r="E326" t="s">
        <v>45</v>
      </c>
      <c r="F326">
        <v>2858</v>
      </c>
      <c r="G326" t="s">
        <v>542</v>
      </c>
      <c r="H326" t="s">
        <v>398</v>
      </c>
      <c r="I326">
        <v>63450</v>
      </c>
      <c r="J326" t="s">
        <v>156</v>
      </c>
      <c r="K326" t="s">
        <v>157</v>
      </c>
      <c r="L326" s="22">
        <v>11310253.003362015</v>
      </c>
      <c r="M326" s="22" t="s">
        <v>399</v>
      </c>
      <c r="N326" s="24">
        <v>78</v>
      </c>
      <c r="O326" s="22">
        <v>926066.48504028784</v>
      </c>
      <c r="P326" s="22">
        <v>11872.647244106254</v>
      </c>
      <c r="Q326" s="23">
        <v>8.1878494209193298E-2</v>
      </c>
      <c r="R326" s="22" t="s">
        <v>42</v>
      </c>
      <c r="S326" s="22" t="s">
        <v>50</v>
      </c>
      <c r="T326" s="22" t="s">
        <v>89</v>
      </c>
      <c r="U326" s="63"/>
    </row>
    <row r="327" spans="1:21" x14ac:dyDescent="0.3">
      <c r="A327" s="14">
        <v>45028</v>
      </c>
      <c r="B327">
        <v>2023</v>
      </c>
      <c r="C327" t="s">
        <v>227</v>
      </c>
      <c r="D327" t="s">
        <v>29</v>
      </c>
      <c r="E327" t="s">
        <v>45</v>
      </c>
      <c r="F327">
        <v>2895</v>
      </c>
      <c r="G327" t="s">
        <v>546</v>
      </c>
      <c r="H327" t="s">
        <v>234</v>
      </c>
      <c r="I327">
        <v>1500</v>
      </c>
      <c r="J327" t="s">
        <v>108</v>
      </c>
      <c r="K327" t="s">
        <v>31</v>
      </c>
      <c r="L327" s="22">
        <v>80651.996614000003</v>
      </c>
      <c r="M327" s="22" t="s">
        <v>409</v>
      </c>
      <c r="N327" s="24">
        <v>3</v>
      </c>
      <c r="O327" s="22">
        <v>15987.841614000001</v>
      </c>
      <c r="P327" s="22">
        <v>5329.280538</v>
      </c>
      <c r="Q327" s="23">
        <v>0.1982324342262439</v>
      </c>
      <c r="R327" s="22" t="s">
        <v>43</v>
      </c>
      <c r="S327" s="22" t="s">
        <v>50</v>
      </c>
      <c r="T327" s="22" t="s">
        <v>90</v>
      </c>
      <c r="U327" s="63"/>
    </row>
    <row r="328" spans="1:21" x14ac:dyDescent="0.3">
      <c r="A328" s="14">
        <v>45043</v>
      </c>
      <c r="B328">
        <v>2023</v>
      </c>
      <c r="C328" t="s">
        <v>227</v>
      </c>
      <c r="D328" t="s">
        <v>29</v>
      </c>
      <c r="E328" t="s">
        <v>45</v>
      </c>
      <c r="F328">
        <v>2905</v>
      </c>
      <c r="G328" t="s">
        <v>551</v>
      </c>
      <c r="H328" t="s">
        <v>234</v>
      </c>
      <c r="I328">
        <v>62000</v>
      </c>
      <c r="J328" t="s">
        <v>108</v>
      </c>
      <c r="K328" t="s">
        <v>31</v>
      </c>
      <c r="L328" s="22">
        <v>12499189.739990529</v>
      </c>
      <c r="M328" s="22" t="s">
        <v>399</v>
      </c>
      <c r="N328" s="24">
        <v>36</v>
      </c>
      <c r="O328" s="22">
        <v>593149.37760626327</v>
      </c>
      <c r="P328" s="22">
        <v>16476.371600173981</v>
      </c>
      <c r="Q328" s="23">
        <v>4.7455026281304595E-2</v>
      </c>
      <c r="R328" s="22" t="s">
        <v>43</v>
      </c>
      <c r="S328" s="22" t="s">
        <v>50</v>
      </c>
      <c r="T328" s="22" t="s">
        <v>90</v>
      </c>
      <c r="U328" s="63"/>
    </row>
    <row r="329" spans="1:21" x14ac:dyDescent="0.3">
      <c r="A329" s="14">
        <v>45044</v>
      </c>
      <c r="B329">
        <v>2023</v>
      </c>
      <c r="C329" t="s">
        <v>227</v>
      </c>
      <c r="D329" t="s">
        <v>29</v>
      </c>
      <c r="E329" t="s">
        <v>45</v>
      </c>
      <c r="F329">
        <v>2894</v>
      </c>
      <c r="G329" t="s">
        <v>552</v>
      </c>
      <c r="H329" t="s">
        <v>234</v>
      </c>
      <c r="I329">
        <v>3800</v>
      </c>
      <c r="J329" t="s">
        <v>108</v>
      </c>
      <c r="K329" t="s">
        <v>31</v>
      </c>
      <c r="L329" s="22">
        <v>625497.63</v>
      </c>
      <c r="M329" s="22" t="s">
        <v>401</v>
      </c>
      <c r="N329" s="24">
        <v>12</v>
      </c>
      <c r="O329" s="22">
        <v>78714.320000000007</v>
      </c>
      <c r="P329" s="22">
        <v>6560</v>
      </c>
      <c r="Q329" s="23">
        <v>0.1258</v>
      </c>
      <c r="R329" s="22" t="s">
        <v>42</v>
      </c>
      <c r="S329" s="22" t="s">
        <v>50</v>
      </c>
      <c r="T329" s="22" t="s">
        <v>89</v>
      </c>
      <c r="U329" s="63"/>
    </row>
    <row r="330" spans="1:21" x14ac:dyDescent="0.3">
      <c r="A330" s="14">
        <v>45041</v>
      </c>
      <c r="B330">
        <v>2023</v>
      </c>
      <c r="C330" t="s">
        <v>227</v>
      </c>
      <c r="D330" t="s">
        <v>29</v>
      </c>
      <c r="E330" t="s">
        <v>45</v>
      </c>
      <c r="F330">
        <v>2907</v>
      </c>
      <c r="G330" t="s">
        <v>553</v>
      </c>
      <c r="H330" t="s">
        <v>234</v>
      </c>
      <c r="I330">
        <v>2000</v>
      </c>
      <c r="J330" t="s">
        <v>108</v>
      </c>
      <c r="K330" t="s">
        <v>31</v>
      </c>
      <c r="L330" s="22">
        <v>142487.02977200001</v>
      </c>
      <c r="M330" s="22" t="s">
        <v>402</v>
      </c>
      <c r="N330" s="24">
        <v>5</v>
      </c>
      <c r="O330" s="22">
        <v>21848.074772</v>
      </c>
      <c r="P330" s="22">
        <v>4369.6149544</v>
      </c>
      <c r="Q330" s="23">
        <v>0.15333377927071748</v>
      </c>
      <c r="R330" s="22" t="s">
        <v>42</v>
      </c>
      <c r="S330" s="22" t="s">
        <v>50</v>
      </c>
      <c r="T330" s="22" t="s">
        <v>89</v>
      </c>
      <c r="U330" s="63"/>
    </row>
    <row r="331" spans="1:21" x14ac:dyDescent="0.3">
      <c r="A331" s="14">
        <v>45049</v>
      </c>
      <c r="B331">
        <v>2023</v>
      </c>
      <c r="C331" t="s">
        <v>227</v>
      </c>
      <c r="D331" t="s">
        <v>29</v>
      </c>
      <c r="E331" t="s">
        <v>555</v>
      </c>
      <c r="F331">
        <v>2909</v>
      </c>
      <c r="G331" t="s">
        <v>554</v>
      </c>
      <c r="H331" t="s">
        <v>234</v>
      </c>
      <c r="I331">
        <v>2000</v>
      </c>
      <c r="J331" t="s">
        <v>108</v>
      </c>
      <c r="K331" t="s">
        <v>31</v>
      </c>
      <c r="L331" s="22">
        <v>91518.997560000003</v>
      </c>
      <c r="M331" s="22" t="s">
        <v>409</v>
      </c>
      <c r="N331" s="24">
        <v>3</v>
      </c>
      <c r="O331" s="22">
        <v>17761.852559999996</v>
      </c>
      <c r="P331" s="22">
        <v>5920.6175199999989</v>
      </c>
      <c r="Q331" s="23">
        <v>0.19407831197402808</v>
      </c>
      <c r="R331" s="22" t="s">
        <v>43</v>
      </c>
      <c r="S331" s="22" t="s">
        <v>50</v>
      </c>
      <c r="T331" s="22" t="s">
        <v>90</v>
      </c>
      <c r="U331" s="63"/>
    </row>
    <row r="332" spans="1:21" x14ac:dyDescent="0.3">
      <c r="A332" s="14">
        <v>45016</v>
      </c>
      <c r="B332">
        <v>2023</v>
      </c>
      <c r="C332" t="s">
        <v>227</v>
      </c>
      <c r="D332" t="s">
        <v>29</v>
      </c>
      <c r="E332" t="s">
        <v>45</v>
      </c>
      <c r="F332">
        <v>2883</v>
      </c>
      <c r="G332" t="s">
        <v>558</v>
      </c>
      <c r="H332" t="s">
        <v>233</v>
      </c>
      <c r="I332">
        <v>900</v>
      </c>
      <c r="J332" t="s">
        <v>156</v>
      </c>
      <c r="K332" t="s">
        <v>157</v>
      </c>
      <c r="L332" s="22">
        <v>33116.224221919998</v>
      </c>
      <c r="M332" s="22" t="s">
        <v>409</v>
      </c>
      <c r="N332" s="24">
        <v>2</v>
      </c>
      <c r="O332" s="22">
        <v>6996.7100021866672</v>
      </c>
      <c r="P332" s="22">
        <v>3498.3550010933336</v>
      </c>
      <c r="Q332" s="23">
        <v>0.21127740757219135</v>
      </c>
      <c r="R332" s="22" t="s">
        <v>42</v>
      </c>
      <c r="S332" s="22" t="s">
        <v>50</v>
      </c>
      <c r="T332" s="22" t="s">
        <v>89</v>
      </c>
      <c r="U332" s="63"/>
    </row>
    <row r="333" spans="1:21" x14ac:dyDescent="0.3">
      <c r="A333" s="14">
        <v>45057</v>
      </c>
      <c r="B333">
        <v>2023</v>
      </c>
      <c r="C333" t="s">
        <v>227</v>
      </c>
      <c r="D333" t="s">
        <v>29</v>
      </c>
      <c r="E333" t="s">
        <v>45</v>
      </c>
      <c r="F333">
        <v>2908</v>
      </c>
      <c r="G333" t="s">
        <v>556</v>
      </c>
      <c r="H333" t="s">
        <v>398</v>
      </c>
      <c r="I333">
        <v>49900</v>
      </c>
      <c r="J333" t="s">
        <v>156</v>
      </c>
      <c r="K333" t="s">
        <v>157</v>
      </c>
      <c r="L333" s="22">
        <v>9426950.3380961902</v>
      </c>
      <c r="M333" s="22" t="s">
        <v>399</v>
      </c>
      <c r="N333" s="24">
        <v>52</v>
      </c>
      <c r="O333" s="22">
        <v>622209.84767122439</v>
      </c>
      <c r="P333" s="22">
        <v>11965.573993677392</v>
      </c>
      <c r="Q333" s="23">
        <v>6.6003301741895254E-2</v>
      </c>
      <c r="R333" s="22" t="s">
        <v>43</v>
      </c>
      <c r="S333" s="22" t="s">
        <v>50</v>
      </c>
      <c r="T333" s="22" t="s">
        <v>90</v>
      </c>
      <c r="U333" s="63"/>
    </row>
    <row r="334" spans="1:21" x14ac:dyDescent="0.3">
      <c r="A334" s="14">
        <v>45056</v>
      </c>
      <c r="B334">
        <v>2023</v>
      </c>
      <c r="C334" t="s">
        <v>227</v>
      </c>
      <c r="D334" t="s">
        <v>29</v>
      </c>
      <c r="E334" t="s">
        <v>45</v>
      </c>
      <c r="F334">
        <v>2906</v>
      </c>
      <c r="G334" t="s">
        <v>557</v>
      </c>
      <c r="H334" t="s">
        <v>235</v>
      </c>
      <c r="I334">
        <v>1912</v>
      </c>
      <c r="J334" t="s">
        <v>108</v>
      </c>
      <c r="K334" t="s">
        <v>31</v>
      </c>
      <c r="L334" s="22">
        <v>120355.81472520001</v>
      </c>
      <c r="M334" s="22" t="s">
        <v>402</v>
      </c>
      <c r="N334" s="24">
        <v>3</v>
      </c>
      <c r="O334" s="22">
        <v>21303.374975200004</v>
      </c>
      <c r="P334" s="22">
        <v>7101.1249917333344</v>
      </c>
      <c r="Q334" s="23">
        <v>0.17700328832338103</v>
      </c>
      <c r="R334" s="22" t="s">
        <v>43</v>
      </c>
      <c r="S334" s="22" t="s">
        <v>50</v>
      </c>
      <c r="T334" s="22" t="s">
        <v>90</v>
      </c>
      <c r="U334" s="63"/>
    </row>
    <row r="335" spans="1:21" x14ac:dyDescent="0.3">
      <c r="A335" s="14">
        <v>45069</v>
      </c>
      <c r="B335">
        <v>2023</v>
      </c>
      <c r="C335" t="s">
        <v>226</v>
      </c>
      <c r="D335" t="s">
        <v>29</v>
      </c>
      <c r="E335" t="s">
        <v>30</v>
      </c>
      <c r="F335">
        <v>2911</v>
      </c>
      <c r="G335" t="s">
        <v>559</v>
      </c>
      <c r="H335" t="s">
        <v>234</v>
      </c>
      <c r="I335">
        <v>21780</v>
      </c>
      <c r="J335" t="s">
        <v>108</v>
      </c>
      <c r="K335" t="s">
        <v>31</v>
      </c>
      <c r="L335" s="22">
        <v>1404356.9760622745</v>
      </c>
      <c r="M335" s="22" t="s">
        <v>401</v>
      </c>
      <c r="N335" s="24">
        <v>17</v>
      </c>
      <c r="O335" s="22">
        <v>215291.88292733335</v>
      </c>
      <c r="P335" s="22">
        <v>12664.228407490198</v>
      </c>
      <c r="Q335" s="23">
        <v>0.15514245255032644</v>
      </c>
      <c r="R335" s="22" t="s">
        <v>43</v>
      </c>
      <c r="S335" s="22" t="s">
        <v>50</v>
      </c>
      <c r="T335" s="22" t="s">
        <v>90</v>
      </c>
      <c r="U335" s="63"/>
    </row>
    <row r="336" spans="1:21" x14ac:dyDescent="0.3">
      <c r="A336" s="14">
        <v>45078</v>
      </c>
      <c r="B336">
        <v>2023</v>
      </c>
      <c r="C336" t="s">
        <v>226</v>
      </c>
      <c r="D336" t="s">
        <v>29</v>
      </c>
      <c r="E336" t="s">
        <v>38</v>
      </c>
      <c r="F336">
        <v>2912</v>
      </c>
      <c r="G336" t="s">
        <v>560</v>
      </c>
      <c r="H336" t="s">
        <v>235</v>
      </c>
      <c r="I336">
        <v>2478</v>
      </c>
      <c r="J336" t="s">
        <v>108</v>
      </c>
      <c r="K336" t="s">
        <v>31</v>
      </c>
      <c r="L336" s="22">
        <v>2632400.0046775527</v>
      </c>
      <c r="M336" s="22" t="s">
        <v>400</v>
      </c>
      <c r="N336" s="24">
        <v>26</v>
      </c>
      <c r="O336" s="22">
        <v>239845.82466508745</v>
      </c>
      <c r="P336" s="22">
        <v>9224.839410195671</v>
      </c>
      <c r="Q336" s="23">
        <v>9.1112985959163367E-2</v>
      </c>
      <c r="R336" s="22" t="s">
        <v>43</v>
      </c>
      <c r="S336" s="22" t="s">
        <v>50</v>
      </c>
      <c r="T336" s="22" t="s">
        <v>90</v>
      </c>
      <c r="U336" s="63"/>
    </row>
    <row r="337" spans="1:21" x14ac:dyDescent="0.3">
      <c r="A337" s="14">
        <v>45083</v>
      </c>
      <c r="B337">
        <v>2023</v>
      </c>
      <c r="C337" t="s">
        <v>226</v>
      </c>
      <c r="D337" t="s">
        <v>29</v>
      </c>
      <c r="E337" t="s">
        <v>45</v>
      </c>
      <c r="F337">
        <v>2910</v>
      </c>
      <c r="G337" t="s">
        <v>570</v>
      </c>
      <c r="H337" t="s">
        <v>233</v>
      </c>
      <c r="I337">
        <v>6700</v>
      </c>
      <c r="J337" t="s">
        <v>156</v>
      </c>
      <c r="K337" t="s">
        <v>157</v>
      </c>
      <c r="L337" s="88">
        <v>259246.46407103998</v>
      </c>
      <c r="M337" s="22" t="s">
        <v>402</v>
      </c>
      <c r="N337" s="89">
        <v>5</v>
      </c>
      <c r="O337" s="88">
        <v>40102.496391039997</v>
      </c>
      <c r="P337" s="88">
        <v>8020.4992782079989</v>
      </c>
      <c r="Q337" s="90">
        <v>0.15468869183901737</v>
      </c>
      <c r="R337" s="22" t="s">
        <v>42</v>
      </c>
      <c r="S337" s="22" t="s">
        <v>50</v>
      </c>
      <c r="T337" s="22" t="s">
        <v>89</v>
      </c>
      <c r="U337" s="88"/>
    </row>
    <row r="338" spans="1:21" x14ac:dyDescent="0.3">
      <c r="A338" s="14">
        <v>45085</v>
      </c>
      <c r="B338">
        <v>2023</v>
      </c>
      <c r="C338" t="s">
        <v>226</v>
      </c>
      <c r="D338" t="s">
        <v>29</v>
      </c>
      <c r="E338" t="s">
        <v>30</v>
      </c>
      <c r="F338">
        <v>2913</v>
      </c>
      <c r="G338" t="s">
        <v>561</v>
      </c>
      <c r="H338" t="s">
        <v>234</v>
      </c>
      <c r="I338">
        <v>2011</v>
      </c>
      <c r="J338" t="s">
        <v>108</v>
      </c>
      <c r="K338" t="s">
        <v>31</v>
      </c>
      <c r="L338" s="22">
        <v>62143.998399999997</v>
      </c>
      <c r="M338" s="22" t="s">
        <v>409</v>
      </c>
      <c r="N338" s="24">
        <v>3</v>
      </c>
      <c r="O338" s="22">
        <v>12780.3984</v>
      </c>
      <c r="P338" s="22">
        <v>4260.1328000000003</v>
      </c>
      <c r="Q338" s="23">
        <v>0.20565780653083951</v>
      </c>
      <c r="R338" s="22" t="s">
        <v>42</v>
      </c>
      <c r="S338" s="22" t="s">
        <v>50</v>
      </c>
      <c r="T338" s="22" t="s">
        <v>89</v>
      </c>
      <c r="U338" s="63"/>
    </row>
    <row r="339" spans="1:21" x14ac:dyDescent="0.3">
      <c r="A339" s="14">
        <v>45085</v>
      </c>
      <c r="B339">
        <v>2023</v>
      </c>
      <c r="C339" t="s">
        <v>226</v>
      </c>
      <c r="D339" t="s">
        <v>29</v>
      </c>
      <c r="E339" t="s">
        <v>30</v>
      </c>
      <c r="F339">
        <v>2914</v>
      </c>
      <c r="G339" t="s">
        <v>622</v>
      </c>
      <c r="H339" t="s">
        <v>234</v>
      </c>
      <c r="I339">
        <v>6225</v>
      </c>
      <c r="J339" t="s">
        <v>108</v>
      </c>
      <c r="K339" t="s">
        <v>31</v>
      </c>
      <c r="L339" s="22">
        <v>480359.99874120933</v>
      </c>
      <c r="M339" s="22" t="s">
        <v>402</v>
      </c>
      <c r="N339" s="24">
        <v>12</v>
      </c>
      <c r="O339" s="22">
        <v>80059.492927255822</v>
      </c>
      <c r="P339" s="22">
        <v>6671.6244106046515</v>
      </c>
      <c r="Q339" s="23">
        <v>0.16666561149357345</v>
      </c>
      <c r="R339" s="22" t="s">
        <v>42</v>
      </c>
      <c r="S339" s="22" t="s">
        <v>50</v>
      </c>
      <c r="T339" s="22" t="s">
        <v>89</v>
      </c>
      <c r="U339" s="63"/>
    </row>
    <row r="340" spans="1:21" x14ac:dyDescent="0.3">
      <c r="A340" s="14">
        <v>45098</v>
      </c>
      <c r="B340">
        <v>2023</v>
      </c>
      <c r="C340" t="s">
        <v>226</v>
      </c>
      <c r="D340" t="s">
        <v>29</v>
      </c>
      <c r="E340" t="s">
        <v>45</v>
      </c>
      <c r="F340">
        <v>2798</v>
      </c>
      <c r="G340" t="s">
        <v>581</v>
      </c>
      <c r="H340" t="s">
        <v>235</v>
      </c>
      <c r="I340">
        <v>7191</v>
      </c>
      <c r="J340" t="s">
        <v>156</v>
      </c>
      <c r="K340" t="s">
        <v>157</v>
      </c>
      <c r="L340" s="88">
        <v>2442554.4387959507</v>
      </c>
      <c r="M340" s="22" t="s">
        <v>400</v>
      </c>
      <c r="N340" s="89">
        <v>22</v>
      </c>
      <c r="O340" s="88">
        <v>264896.42265003652</v>
      </c>
      <c r="P340" s="88">
        <v>12040.74648409257</v>
      </c>
      <c r="Q340" s="90">
        <v>0.10845057061680735</v>
      </c>
      <c r="R340" s="22" t="s">
        <v>43</v>
      </c>
      <c r="S340" s="22" t="s">
        <v>50</v>
      </c>
      <c r="T340" s="22" t="s">
        <v>90</v>
      </c>
      <c r="U340" s="88"/>
    </row>
    <row r="341" spans="1:21" x14ac:dyDescent="0.3">
      <c r="A341" s="14">
        <v>45112</v>
      </c>
      <c r="B341">
        <v>2023</v>
      </c>
      <c r="C341" t="s">
        <v>226</v>
      </c>
      <c r="D341" t="s">
        <v>29</v>
      </c>
      <c r="E341" t="s">
        <v>30</v>
      </c>
      <c r="F341">
        <v>2921</v>
      </c>
      <c r="G341" t="s">
        <v>562</v>
      </c>
      <c r="H341" t="s">
        <v>235</v>
      </c>
      <c r="I341">
        <v>8869</v>
      </c>
      <c r="J341" t="s">
        <v>108</v>
      </c>
      <c r="K341" t="s">
        <v>31</v>
      </c>
      <c r="L341" s="22">
        <v>420089.99584464001</v>
      </c>
      <c r="M341" s="22" t="s">
        <v>402</v>
      </c>
      <c r="N341" s="24">
        <v>3</v>
      </c>
      <c r="O341" s="22">
        <v>60627.975844640008</v>
      </c>
      <c r="P341" s="22">
        <v>20209.325281546669</v>
      </c>
      <c r="Q341" s="23">
        <v>0.14432139885345371</v>
      </c>
      <c r="R341" s="22" t="s">
        <v>43</v>
      </c>
      <c r="S341" s="22" t="s">
        <v>50</v>
      </c>
      <c r="T341" s="22" t="s">
        <v>90</v>
      </c>
      <c r="U341" s="63"/>
    </row>
    <row r="342" spans="1:21" x14ac:dyDescent="0.3">
      <c r="A342" s="14">
        <v>45113</v>
      </c>
      <c r="B342">
        <v>2023</v>
      </c>
      <c r="C342" t="s">
        <v>226</v>
      </c>
      <c r="D342" t="s">
        <v>29</v>
      </c>
      <c r="E342" t="s">
        <v>45</v>
      </c>
      <c r="F342">
        <v>2922</v>
      </c>
      <c r="G342" t="s">
        <v>563</v>
      </c>
      <c r="H342" t="s">
        <v>234</v>
      </c>
      <c r="I342">
        <v>758</v>
      </c>
      <c r="J342" t="s">
        <v>108</v>
      </c>
      <c r="K342" t="s">
        <v>31</v>
      </c>
      <c r="L342" s="22">
        <v>58137.826702247999</v>
      </c>
      <c r="M342" s="22" t="s">
        <v>409</v>
      </c>
      <c r="N342" s="24">
        <v>3</v>
      </c>
      <c r="O342" s="22">
        <v>17766.225372247998</v>
      </c>
      <c r="P342" s="22">
        <v>5922.0751240826658</v>
      </c>
      <c r="Q342" s="23">
        <v>0.30558805480014678</v>
      </c>
      <c r="R342" s="22" t="s">
        <v>43</v>
      </c>
      <c r="S342" s="22" t="s">
        <v>50</v>
      </c>
      <c r="T342" s="22" t="s">
        <v>90</v>
      </c>
      <c r="U342" s="63"/>
    </row>
    <row r="343" spans="1:21" x14ac:dyDescent="0.3">
      <c r="A343" s="14">
        <v>45127</v>
      </c>
      <c r="B343">
        <v>2023</v>
      </c>
      <c r="C343" t="s">
        <v>226</v>
      </c>
      <c r="D343" t="s">
        <v>29</v>
      </c>
      <c r="E343" t="s">
        <v>45</v>
      </c>
      <c r="F343">
        <v>2923</v>
      </c>
      <c r="G343" t="s">
        <v>573</v>
      </c>
      <c r="H343" t="s">
        <v>234</v>
      </c>
      <c r="I343" s="87">
        <v>5081</v>
      </c>
      <c r="J343" t="s">
        <v>108</v>
      </c>
      <c r="K343" t="s">
        <v>31</v>
      </c>
      <c r="L343" s="22">
        <v>162658.63</v>
      </c>
      <c r="M343" s="22" t="s">
        <v>402</v>
      </c>
      <c r="N343" s="24">
        <v>4</v>
      </c>
      <c r="O343" s="22">
        <v>34690.29</v>
      </c>
      <c r="P343" s="22">
        <v>8673</v>
      </c>
      <c r="Q343" s="23">
        <v>0.21329999999999999</v>
      </c>
      <c r="R343" s="22" t="s">
        <v>42</v>
      </c>
      <c r="S343" s="22" t="s">
        <v>50</v>
      </c>
      <c r="T343" s="22" t="s">
        <v>89</v>
      </c>
      <c r="U343" s="63"/>
    </row>
    <row r="344" spans="1:21" x14ac:dyDescent="0.3">
      <c r="A344" s="14">
        <v>45124</v>
      </c>
      <c r="B344">
        <v>2023</v>
      </c>
      <c r="C344" t="s">
        <v>226</v>
      </c>
      <c r="D344" t="s">
        <v>29</v>
      </c>
      <c r="E344" t="s">
        <v>45</v>
      </c>
      <c r="F344">
        <v>2924</v>
      </c>
      <c r="G344" t="s">
        <v>564</v>
      </c>
      <c r="H344" t="s">
        <v>234</v>
      </c>
      <c r="I344">
        <v>2137</v>
      </c>
      <c r="J344" t="s">
        <v>108</v>
      </c>
      <c r="K344" t="s">
        <v>31</v>
      </c>
      <c r="L344" s="22">
        <v>291004.69780794933</v>
      </c>
      <c r="M344" s="22" t="s">
        <v>402</v>
      </c>
      <c r="N344" s="24">
        <v>8</v>
      </c>
      <c r="O344" s="22">
        <v>47580.869699208</v>
      </c>
      <c r="P344" s="22">
        <v>5947.608712401</v>
      </c>
      <c r="Q344" s="23">
        <v>0.16350550371736383</v>
      </c>
      <c r="R344" s="22" t="s">
        <v>42</v>
      </c>
      <c r="S344" s="22" t="s">
        <v>50</v>
      </c>
      <c r="T344" s="22" t="s">
        <v>89</v>
      </c>
      <c r="U344" s="63"/>
    </row>
    <row r="345" spans="1:21" x14ac:dyDescent="0.3">
      <c r="A345" s="14">
        <v>45135</v>
      </c>
      <c r="B345">
        <v>2023</v>
      </c>
      <c r="C345" t="s">
        <v>226</v>
      </c>
      <c r="D345" t="s">
        <v>29</v>
      </c>
      <c r="E345" t="s">
        <v>575</v>
      </c>
      <c r="F345">
        <v>2857</v>
      </c>
      <c r="G345" t="s">
        <v>576</v>
      </c>
      <c r="H345" t="s">
        <v>233</v>
      </c>
      <c r="I345">
        <v>2700</v>
      </c>
      <c r="J345" t="s">
        <v>156</v>
      </c>
      <c r="K345" t="s">
        <v>157</v>
      </c>
      <c r="L345" s="88">
        <v>1543019.7543880499</v>
      </c>
      <c r="M345" s="22" t="s">
        <v>401</v>
      </c>
      <c r="N345" s="89">
        <v>22</v>
      </c>
      <c r="O345" s="88">
        <v>166062.4011258625</v>
      </c>
      <c r="P345" s="88">
        <v>7548.2909602664768</v>
      </c>
      <c r="Q345" s="90">
        <v>0.10762169483158794</v>
      </c>
      <c r="R345" s="22" t="s">
        <v>42</v>
      </c>
      <c r="S345" s="22" t="s">
        <v>50</v>
      </c>
      <c r="T345" s="22" t="s">
        <v>89</v>
      </c>
      <c r="U345" s="88"/>
    </row>
    <row r="346" spans="1:21" x14ac:dyDescent="0.3">
      <c r="A346" s="14">
        <v>45133</v>
      </c>
      <c r="B346">
        <v>2023</v>
      </c>
      <c r="C346" t="s">
        <v>226</v>
      </c>
      <c r="D346" t="s">
        <v>29</v>
      </c>
      <c r="E346" t="s">
        <v>45</v>
      </c>
      <c r="F346">
        <v>2925</v>
      </c>
      <c r="G346" t="s">
        <v>565</v>
      </c>
      <c r="H346" t="s">
        <v>235</v>
      </c>
      <c r="I346">
        <v>330</v>
      </c>
      <c r="J346" t="s">
        <v>108</v>
      </c>
      <c r="K346" t="s">
        <v>31</v>
      </c>
      <c r="L346" s="22">
        <v>142961.72164604001</v>
      </c>
      <c r="M346" s="22" t="s">
        <v>402</v>
      </c>
      <c r="N346" s="24">
        <v>3</v>
      </c>
      <c r="O346" s="22">
        <v>28517.735406040003</v>
      </c>
      <c r="P346" s="22">
        <v>9505.9118020133337</v>
      </c>
      <c r="Q346" s="23">
        <v>0.19947811958117906</v>
      </c>
      <c r="R346" s="22" t="s">
        <v>43</v>
      </c>
      <c r="S346" s="22" t="s">
        <v>50</v>
      </c>
      <c r="T346" s="22" t="s">
        <v>90</v>
      </c>
      <c r="U346" s="63"/>
    </row>
    <row r="347" spans="1:21" x14ac:dyDescent="0.3">
      <c r="A347" s="14">
        <v>45153</v>
      </c>
      <c r="B347">
        <v>2023</v>
      </c>
      <c r="C347" t="s">
        <v>226</v>
      </c>
      <c r="D347" t="s">
        <v>29</v>
      </c>
      <c r="E347" t="s">
        <v>45</v>
      </c>
      <c r="F347">
        <v>2928</v>
      </c>
      <c r="G347" t="s">
        <v>567</v>
      </c>
      <c r="H347" t="s">
        <v>234</v>
      </c>
      <c r="I347">
        <v>1216</v>
      </c>
      <c r="J347" t="s">
        <v>108</v>
      </c>
      <c r="K347" t="s">
        <v>31</v>
      </c>
      <c r="L347" s="22">
        <v>51204.003190399999</v>
      </c>
      <c r="M347" s="22" t="s">
        <v>409</v>
      </c>
      <c r="N347" s="24">
        <v>3</v>
      </c>
      <c r="O347" s="22">
        <v>12930.336150399999</v>
      </c>
      <c r="P347" s="22">
        <v>4310.1120501333326</v>
      </c>
      <c r="Q347" s="23">
        <v>0.25252588361732325</v>
      </c>
      <c r="R347" s="22" t="s">
        <v>43</v>
      </c>
      <c r="S347" s="22" t="s">
        <v>50</v>
      </c>
      <c r="T347" s="22" t="s">
        <v>90</v>
      </c>
      <c r="U347" s="63"/>
    </row>
    <row r="348" spans="1:21" x14ac:dyDescent="0.3">
      <c r="A348" s="14">
        <v>45150</v>
      </c>
      <c r="B348">
        <v>2023</v>
      </c>
      <c r="C348" t="s">
        <v>226</v>
      </c>
      <c r="D348" t="s">
        <v>29</v>
      </c>
      <c r="E348" t="s">
        <v>45</v>
      </c>
      <c r="F348">
        <v>2929</v>
      </c>
      <c r="G348" t="s">
        <v>568</v>
      </c>
      <c r="H348" t="s">
        <v>233</v>
      </c>
      <c r="I348">
        <v>400</v>
      </c>
      <c r="J348" t="s">
        <v>108</v>
      </c>
      <c r="K348" t="s">
        <v>31</v>
      </c>
      <c r="L348" s="22">
        <v>58064.99796552</v>
      </c>
      <c r="M348" s="22" t="s">
        <v>409</v>
      </c>
      <c r="N348" s="24">
        <v>3</v>
      </c>
      <c r="O348" s="22">
        <v>13570.057694319999</v>
      </c>
      <c r="P348" s="22">
        <v>4523.3525647733331</v>
      </c>
      <c r="Q348" s="23">
        <v>0.23370460983014474</v>
      </c>
      <c r="R348" s="22" t="s">
        <v>43</v>
      </c>
      <c r="S348" s="22" t="s">
        <v>50</v>
      </c>
      <c r="T348" s="22" t="s">
        <v>90</v>
      </c>
      <c r="U348" s="63"/>
    </row>
    <row r="349" spans="1:21" x14ac:dyDescent="0.3">
      <c r="A349" s="14">
        <v>45153</v>
      </c>
      <c r="B349">
        <v>2023</v>
      </c>
      <c r="C349" t="s">
        <v>226</v>
      </c>
      <c r="D349" t="s">
        <v>29</v>
      </c>
      <c r="E349" t="s">
        <v>45</v>
      </c>
      <c r="F349" s="62" t="s">
        <v>579</v>
      </c>
      <c r="G349" t="s">
        <v>580</v>
      </c>
      <c r="H349" t="s">
        <v>233</v>
      </c>
      <c r="I349">
        <v>1000</v>
      </c>
      <c r="J349" t="s">
        <v>156</v>
      </c>
      <c r="K349" t="s">
        <v>157</v>
      </c>
      <c r="L349" s="88">
        <v>2642188.54</v>
      </c>
      <c r="M349" s="16" t="s">
        <v>400</v>
      </c>
      <c r="N349" s="89">
        <v>12</v>
      </c>
      <c r="O349" s="22">
        <v>184443.54</v>
      </c>
      <c r="P349" s="22">
        <v>15370</v>
      </c>
      <c r="Q349" s="23">
        <v>6.9800000000000001E-2</v>
      </c>
      <c r="R349" s="22" t="s">
        <v>42</v>
      </c>
      <c r="S349" s="22" t="s">
        <v>50</v>
      </c>
      <c r="T349" s="22" t="s">
        <v>89</v>
      </c>
      <c r="U349" s="63"/>
    </row>
    <row r="350" spans="1:21" x14ac:dyDescent="0.3">
      <c r="A350" s="14">
        <v>45183</v>
      </c>
      <c r="B350">
        <v>2023</v>
      </c>
      <c r="C350" t="s">
        <v>228</v>
      </c>
      <c r="D350" t="s">
        <v>29</v>
      </c>
      <c r="E350" t="s">
        <v>45</v>
      </c>
      <c r="F350" s="62" t="s">
        <v>582</v>
      </c>
      <c r="G350" t="s">
        <v>583</v>
      </c>
      <c r="H350" t="s">
        <v>233</v>
      </c>
      <c r="I350">
        <v>1429</v>
      </c>
      <c r="J350" t="s">
        <v>156</v>
      </c>
      <c r="K350" t="s">
        <v>157</v>
      </c>
      <c r="L350" s="22">
        <v>210946.00114064</v>
      </c>
      <c r="M350" s="22" t="s">
        <v>402</v>
      </c>
      <c r="N350" s="24">
        <v>6</v>
      </c>
      <c r="O350" s="22">
        <v>35324.905034639996</v>
      </c>
      <c r="P350" s="22">
        <v>5887.4841724399994</v>
      </c>
      <c r="Q350" s="23">
        <v>0.1674594675586597</v>
      </c>
      <c r="R350" s="22" t="s">
        <v>42</v>
      </c>
      <c r="S350" s="22" t="s">
        <v>50</v>
      </c>
      <c r="T350" s="22" t="s">
        <v>89</v>
      </c>
      <c r="U350" s="63"/>
    </row>
    <row r="351" spans="1:21" x14ac:dyDescent="0.3">
      <c r="A351" s="14">
        <v>45183</v>
      </c>
      <c r="B351">
        <v>2023</v>
      </c>
      <c r="C351" t="s">
        <v>228</v>
      </c>
      <c r="D351" t="s">
        <v>29</v>
      </c>
      <c r="E351" t="s">
        <v>45</v>
      </c>
      <c r="F351" s="62" t="s">
        <v>584</v>
      </c>
      <c r="G351" t="s">
        <v>585</v>
      </c>
      <c r="H351" t="s">
        <v>233</v>
      </c>
      <c r="I351">
        <v>5500</v>
      </c>
      <c r="J351" t="s">
        <v>156</v>
      </c>
      <c r="K351" t="s">
        <v>157</v>
      </c>
      <c r="L351" s="22">
        <v>269273.29502700001</v>
      </c>
      <c r="M351" s="22" t="s">
        <v>402</v>
      </c>
      <c r="N351" s="24">
        <v>8</v>
      </c>
      <c r="O351" s="22">
        <v>52642.664570000001</v>
      </c>
      <c r="P351" s="22">
        <v>6580.3330712500001</v>
      </c>
      <c r="Q351" s="23">
        <v>0.21504891905895709</v>
      </c>
      <c r="R351" s="22" t="s">
        <v>42</v>
      </c>
      <c r="S351" s="22" t="s">
        <v>50</v>
      </c>
      <c r="T351" s="22" t="s">
        <v>89</v>
      </c>
      <c r="U351" s="63"/>
    </row>
    <row r="352" spans="1:21" x14ac:dyDescent="0.3">
      <c r="A352" s="14">
        <v>45188</v>
      </c>
      <c r="B352">
        <v>2023</v>
      </c>
      <c r="C352" t="s">
        <v>228</v>
      </c>
      <c r="D352" t="s">
        <v>29</v>
      </c>
      <c r="E352" t="s">
        <v>45</v>
      </c>
      <c r="F352">
        <v>2945</v>
      </c>
      <c r="G352" t="s">
        <v>586</v>
      </c>
      <c r="H352" t="s">
        <v>234</v>
      </c>
      <c r="I352">
        <v>1000</v>
      </c>
      <c r="J352" t="s">
        <v>108</v>
      </c>
      <c r="K352" t="s">
        <v>31</v>
      </c>
      <c r="L352" s="22">
        <v>30803.241333333332</v>
      </c>
      <c r="M352" s="22" t="s">
        <v>409</v>
      </c>
      <c r="N352" s="24">
        <v>1</v>
      </c>
      <c r="O352" s="22">
        <v>8651.0946666666659</v>
      </c>
      <c r="P352" s="22">
        <v>8651.0946666666659</v>
      </c>
      <c r="Q352" s="23">
        <v>0.28085014083582804</v>
      </c>
      <c r="R352" s="22" t="s">
        <v>42</v>
      </c>
      <c r="S352" s="22" t="s">
        <v>50</v>
      </c>
      <c r="T352" s="22" t="s">
        <v>89</v>
      </c>
      <c r="U352" s="63"/>
    </row>
    <row r="353" spans="1:21" x14ac:dyDescent="0.3">
      <c r="A353" s="14">
        <v>45188</v>
      </c>
      <c r="B353">
        <v>2023</v>
      </c>
      <c r="C353" t="s">
        <v>228</v>
      </c>
      <c r="D353" t="s">
        <v>29</v>
      </c>
      <c r="E353" t="s">
        <v>38</v>
      </c>
      <c r="F353">
        <v>2946</v>
      </c>
      <c r="G353" t="s">
        <v>587</v>
      </c>
      <c r="H353" t="s">
        <v>234</v>
      </c>
      <c r="I353">
        <v>1000</v>
      </c>
      <c r="J353" t="s">
        <v>108</v>
      </c>
      <c r="K353" t="s">
        <v>31</v>
      </c>
      <c r="L353" s="22">
        <v>39098.558253333329</v>
      </c>
      <c r="M353" s="22" t="s">
        <v>409</v>
      </c>
      <c r="N353" s="24">
        <v>1</v>
      </c>
      <c r="O353" s="22">
        <v>9440.2063866666667</v>
      </c>
      <c r="P353" s="22">
        <v>9440.2063866666667</v>
      </c>
      <c r="Q353" s="23">
        <v>0.24144640642502072</v>
      </c>
      <c r="R353" s="22" t="s">
        <v>42</v>
      </c>
      <c r="S353" s="22" t="s">
        <v>50</v>
      </c>
      <c r="T353" s="22" t="s">
        <v>89</v>
      </c>
      <c r="U353" s="63"/>
    </row>
    <row r="354" spans="1:21" x14ac:dyDescent="0.3">
      <c r="A354" s="14">
        <v>45170</v>
      </c>
      <c r="B354">
        <v>2023</v>
      </c>
      <c r="C354" t="s">
        <v>228</v>
      </c>
      <c r="D354" t="s">
        <v>29</v>
      </c>
      <c r="E354" t="s">
        <v>45</v>
      </c>
      <c r="F354">
        <v>2927</v>
      </c>
      <c r="G354" t="s">
        <v>590</v>
      </c>
      <c r="H354" t="s">
        <v>234</v>
      </c>
      <c r="I354">
        <v>1500</v>
      </c>
      <c r="J354" t="s">
        <v>108</v>
      </c>
      <c r="K354" t="s">
        <v>31</v>
      </c>
      <c r="L354" s="22">
        <v>89932.557579333326</v>
      </c>
      <c r="M354" s="22" t="s">
        <v>409</v>
      </c>
      <c r="N354" s="24">
        <v>4</v>
      </c>
      <c r="O354" s="22">
        <v>18456.376652666666</v>
      </c>
      <c r="P354" s="22">
        <v>4614.0941631666665</v>
      </c>
      <c r="Q354" s="23">
        <v>0.20522463887881218</v>
      </c>
      <c r="R354" s="22" t="s">
        <v>43</v>
      </c>
      <c r="S354" s="22" t="s">
        <v>50</v>
      </c>
      <c r="T354" s="22" t="s">
        <v>90</v>
      </c>
      <c r="U354" s="63"/>
    </row>
    <row r="355" spans="1:21" x14ac:dyDescent="0.3">
      <c r="A355" s="14">
        <v>45170</v>
      </c>
      <c r="B355">
        <v>2023</v>
      </c>
      <c r="C355" t="s">
        <v>228</v>
      </c>
      <c r="D355" t="s">
        <v>29</v>
      </c>
      <c r="E355" t="s">
        <v>45</v>
      </c>
      <c r="F355">
        <v>2936</v>
      </c>
      <c r="G355" t="s">
        <v>594</v>
      </c>
      <c r="H355" t="s">
        <v>234</v>
      </c>
      <c r="I355">
        <v>700</v>
      </c>
      <c r="J355" t="s">
        <v>108</v>
      </c>
      <c r="K355" t="s">
        <v>31</v>
      </c>
      <c r="L355" s="22">
        <v>24914.0305744</v>
      </c>
      <c r="M355" s="22" t="s">
        <v>409</v>
      </c>
      <c r="N355" s="24">
        <v>2</v>
      </c>
      <c r="O355" s="22">
        <v>5901.0451344000003</v>
      </c>
      <c r="P355" s="22">
        <v>2950.5225672000001</v>
      </c>
      <c r="Q355" s="23">
        <v>0.23685630138318614</v>
      </c>
      <c r="R355" s="22" t="s">
        <v>43</v>
      </c>
      <c r="S355" s="22" t="s">
        <v>50</v>
      </c>
      <c r="T355" s="22" t="s">
        <v>90</v>
      </c>
      <c r="U355" s="63"/>
    </row>
    <row r="356" spans="1:21" x14ac:dyDescent="0.3">
      <c r="A356" s="14">
        <v>45194</v>
      </c>
      <c r="B356">
        <v>2023</v>
      </c>
      <c r="C356" t="s">
        <v>228</v>
      </c>
      <c r="D356" t="s">
        <v>57</v>
      </c>
      <c r="E356" t="s">
        <v>114</v>
      </c>
      <c r="F356">
        <v>2937</v>
      </c>
      <c r="G356" t="s">
        <v>592</v>
      </c>
      <c r="H356" t="s">
        <v>234</v>
      </c>
      <c r="I356">
        <v>9000</v>
      </c>
      <c r="J356" t="s">
        <v>108</v>
      </c>
      <c r="K356" t="s">
        <v>31</v>
      </c>
      <c r="L356" s="22">
        <v>6797749.995657647</v>
      </c>
      <c r="M356" s="22" t="s">
        <v>399</v>
      </c>
      <c r="N356" s="24">
        <v>37</v>
      </c>
      <c r="O356" s="22">
        <v>554699.65892947197</v>
      </c>
      <c r="P356" s="22">
        <v>14991.882673769513</v>
      </c>
      <c r="Q356" s="23">
        <v>8.1600479465089193E-2</v>
      </c>
      <c r="R356" s="22" t="s">
        <v>43</v>
      </c>
      <c r="S356" s="22" t="s">
        <v>50</v>
      </c>
      <c r="T356" s="22" t="s">
        <v>90</v>
      </c>
      <c r="U356" s="63"/>
    </row>
    <row r="357" spans="1:21" x14ac:dyDescent="0.3">
      <c r="A357" s="14">
        <v>45183</v>
      </c>
      <c r="B357">
        <v>2023</v>
      </c>
      <c r="C357" t="s">
        <v>228</v>
      </c>
      <c r="D357" t="s">
        <v>29</v>
      </c>
      <c r="E357" t="s">
        <v>45</v>
      </c>
      <c r="F357">
        <v>2938</v>
      </c>
      <c r="G357" t="s">
        <v>593</v>
      </c>
      <c r="H357" t="s">
        <v>234</v>
      </c>
      <c r="I357">
        <v>1629</v>
      </c>
      <c r="J357" t="s">
        <v>108</v>
      </c>
      <c r="K357" t="s">
        <v>31</v>
      </c>
      <c r="L357" s="22">
        <v>113919.995228</v>
      </c>
      <c r="M357" s="22" t="s">
        <v>402</v>
      </c>
      <c r="N357" s="24">
        <v>6</v>
      </c>
      <c r="O357" s="22">
        <v>20479.533228000004</v>
      </c>
      <c r="P357" s="22">
        <v>3413.2555380000008</v>
      </c>
      <c r="Q357" s="23">
        <v>0.17977119106274692</v>
      </c>
      <c r="R357" s="22" t="s">
        <v>43</v>
      </c>
      <c r="S357" s="22" t="s">
        <v>50</v>
      </c>
      <c r="T357" s="22" t="s">
        <v>90</v>
      </c>
      <c r="U357" s="63"/>
    </row>
    <row r="358" spans="1:21" x14ac:dyDescent="0.3">
      <c r="A358" s="14">
        <v>45197</v>
      </c>
      <c r="B358">
        <v>2023</v>
      </c>
      <c r="C358" t="s">
        <v>228</v>
      </c>
      <c r="D358" t="s">
        <v>29</v>
      </c>
      <c r="E358" t="s">
        <v>38</v>
      </c>
      <c r="F358">
        <v>2941</v>
      </c>
      <c r="G358" t="s">
        <v>595</v>
      </c>
      <c r="H358" t="s">
        <v>233</v>
      </c>
      <c r="I358">
        <v>828</v>
      </c>
      <c r="J358" t="s">
        <v>108</v>
      </c>
      <c r="K358" t="s">
        <v>31</v>
      </c>
      <c r="L358" s="22">
        <v>161032.00270779998</v>
      </c>
      <c r="M358" s="22" t="s">
        <v>402</v>
      </c>
      <c r="N358" s="24">
        <v>5</v>
      </c>
      <c r="O358" s="22">
        <v>38365.758647800001</v>
      </c>
      <c r="P358" s="22">
        <v>7673.1517295600006</v>
      </c>
      <c r="Q358" s="23">
        <v>0.23824927966285339</v>
      </c>
      <c r="R358" s="22" t="s">
        <v>43</v>
      </c>
      <c r="S358" s="22" t="s">
        <v>50</v>
      </c>
      <c r="T358" s="22" t="s">
        <v>90</v>
      </c>
      <c r="U358" s="63"/>
    </row>
    <row r="359" spans="1:21" x14ac:dyDescent="0.3">
      <c r="A359" s="14">
        <v>45197</v>
      </c>
      <c r="B359">
        <v>2023</v>
      </c>
      <c r="C359" t="s">
        <v>228</v>
      </c>
      <c r="D359" t="s">
        <v>29</v>
      </c>
      <c r="E359" t="s">
        <v>597</v>
      </c>
      <c r="F359">
        <v>2942</v>
      </c>
      <c r="G359" t="s">
        <v>596</v>
      </c>
      <c r="H359" t="s">
        <v>234</v>
      </c>
      <c r="I359">
        <v>12745</v>
      </c>
      <c r="J359" t="s">
        <v>108</v>
      </c>
      <c r="K359" t="s">
        <v>31</v>
      </c>
      <c r="L359" s="22">
        <v>4343400.5648058997</v>
      </c>
      <c r="M359" s="22" t="s">
        <v>400</v>
      </c>
      <c r="N359" s="24">
        <v>22</v>
      </c>
      <c r="O359" s="22">
        <v>413905.0506172108</v>
      </c>
      <c r="P359" s="22">
        <v>18813.865937145947</v>
      </c>
      <c r="Q359" s="23">
        <v>9.5295159735217197E-2</v>
      </c>
      <c r="R359" s="22" t="s">
        <v>43</v>
      </c>
      <c r="S359" s="22" t="s">
        <v>50</v>
      </c>
      <c r="T359" s="22" t="s">
        <v>90</v>
      </c>
      <c r="U359" s="63"/>
    </row>
    <row r="360" spans="1:21" x14ac:dyDescent="0.3">
      <c r="A360" s="14">
        <v>45202</v>
      </c>
      <c r="B360">
        <v>2023</v>
      </c>
      <c r="C360" t="s">
        <v>228</v>
      </c>
      <c r="D360" t="s">
        <v>29</v>
      </c>
      <c r="E360" t="s">
        <v>555</v>
      </c>
      <c r="F360">
        <v>2948</v>
      </c>
      <c r="G360" t="s">
        <v>598</v>
      </c>
      <c r="H360" t="s">
        <v>234</v>
      </c>
      <c r="I360">
        <v>10612</v>
      </c>
      <c r="J360" t="s">
        <v>108</v>
      </c>
      <c r="K360" t="s">
        <v>31</v>
      </c>
      <c r="L360" s="22">
        <v>213036.94237760003</v>
      </c>
      <c r="M360" s="22" t="s">
        <v>402</v>
      </c>
      <c r="N360" s="24">
        <v>6</v>
      </c>
      <c r="O360" s="22">
        <v>46465.592617599999</v>
      </c>
      <c r="P360" s="22">
        <v>7744.2654362666663</v>
      </c>
      <c r="Q360" s="23">
        <v>0.21811049341499406</v>
      </c>
      <c r="R360" s="22" t="s">
        <v>43</v>
      </c>
      <c r="S360" s="22" t="s">
        <v>50</v>
      </c>
      <c r="T360" s="22" t="s">
        <v>90</v>
      </c>
      <c r="U360" s="63"/>
    </row>
    <row r="361" spans="1:21" x14ac:dyDescent="0.3">
      <c r="A361" s="14">
        <v>45211</v>
      </c>
      <c r="B361">
        <v>2023</v>
      </c>
      <c r="C361" t="s">
        <v>228</v>
      </c>
      <c r="D361" t="s">
        <v>29</v>
      </c>
      <c r="E361" t="s">
        <v>45</v>
      </c>
      <c r="F361">
        <v>2949</v>
      </c>
      <c r="G361" t="s">
        <v>599</v>
      </c>
      <c r="H361" t="s">
        <v>233</v>
      </c>
      <c r="I361">
        <v>1950</v>
      </c>
      <c r="J361" t="s">
        <v>108</v>
      </c>
      <c r="K361" t="s">
        <v>31</v>
      </c>
      <c r="L361" s="22">
        <v>251397.39634399998</v>
      </c>
      <c r="M361" s="22" t="s">
        <v>402</v>
      </c>
      <c r="N361" s="24">
        <v>6</v>
      </c>
      <c r="O361" s="22">
        <v>45649.029554000001</v>
      </c>
      <c r="P361" s="22">
        <v>7608.1715923333331</v>
      </c>
      <c r="Q361" s="23">
        <v>0.18158115484830276</v>
      </c>
      <c r="R361" s="22" t="s">
        <v>42</v>
      </c>
      <c r="S361" s="22" t="s">
        <v>50</v>
      </c>
      <c r="T361" s="22" t="s">
        <v>89</v>
      </c>
      <c r="U361" s="63"/>
    </row>
    <row r="362" spans="1:21" x14ac:dyDescent="0.3">
      <c r="A362" s="14">
        <v>45223</v>
      </c>
      <c r="B362">
        <v>2023</v>
      </c>
      <c r="C362" t="s">
        <v>228</v>
      </c>
      <c r="D362" t="s">
        <v>57</v>
      </c>
      <c r="E362" t="s">
        <v>114</v>
      </c>
      <c r="F362">
        <v>2952</v>
      </c>
      <c r="G362" t="s">
        <v>600</v>
      </c>
      <c r="H362" t="s">
        <v>233</v>
      </c>
      <c r="I362">
        <v>9276</v>
      </c>
      <c r="J362" t="s">
        <v>108</v>
      </c>
      <c r="K362" t="s">
        <v>31</v>
      </c>
      <c r="L362" s="22">
        <v>437527.91281100002</v>
      </c>
      <c r="M362" s="22" t="s">
        <v>402</v>
      </c>
      <c r="N362" s="24">
        <v>8</v>
      </c>
      <c r="O362" s="22">
        <v>88069.199123000013</v>
      </c>
      <c r="P362" s="22">
        <v>11008.649890375002</v>
      </c>
      <c r="Q362" s="23">
        <v>0.20128818423761566</v>
      </c>
      <c r="R362" s="22" t="s">
        <v>42</v>
      </c>
      <c r="S362" s="22" t="s">
        <v>50</v>
      </c>
      <c r="T362" s="22" t="s">
        <v>89</v>
      </c>
      <c r="U362" s="63"/>
    </row>
    <row r="363" spans="1:21" x14ac:dyDescent="0.3">
      <c r="A363" s="14">
        <v>45202</v>
      </c>
      <c r="B363">
        <v>2023</v>
      </c>
      <c r="C363" t="s">
        <v>228</v>
      </c>
      <c r="D363" t="s">
        <v>29</v>
      </c>
      <c r="E363" t="s">
        <v>45</v>
      </c>
      <c r="F363">
        <v>2947</v>
      </c>
      <c r="G363" t="s">
        <v>588</v>
      </c>
      <c r="H363" t="s">
        <v>233</v>
      </c>
      <c r="I363">
        <v>900</v>
      </c>
      <c r="J363" t="s">
        <v>108</v>
      </c>
      <c r="K363" t="s">
        <v>31</v>
      </c>
      <c r="L363" s="22">
        <v>49855</v>
      </c>
      <c r="M363" s="22" t="s">
        <v>409</v>
      </c>
      <c r="N363" s="24">
        <v>2</v>
      </c>
      <c r="O363" s="22">
        <v>11793.5</v>
      </c>
      <c r="P363" s="22">
        <v>5896.75</v>
      </c>
      <c r="Q363" s="23">
        <v>0.23655601243606458</v>
      </c>
      <c r="R363" s="22" t="s">
        <v>42</v>
      </c>
      <c r="S363" s="22" t="s">
        <v>50</v>
      </c>
      <c r="T363" s="22" t="s">
        <v>89</v>
      </c>
      <c r="U363" s="63"/>
    </row>
    <row r="364" spans="1:21" x14ac:dyDescent="0.3">
      <c r="A364" s="14">
        <v>45222</v>
      </c>
      <c r="B364">
        <v>2023</v>
      </c>
      <c r="C364" t="s">
        <v>228</v>
      </c>
      <c r="D364" t="s">
        <v>29</v>
      </c>
      <c r="E364" t="s">
        <v>45</v>
      </c>
      <c r="F364">
        <v>2931</v>
      </c>
      <c r="G364" t="s">
        <v>591</v>
      </c>
      <c r="H364" t="s">
        <v>233</v>
      </c>
      <c r="I364">
        <v>3200</v>
      </c>
      <c r="J364" t="s">
        <v>156</v>
      </c>
      <c r="K364" t="s">
        <v>157</v>
      </c>
      <c r="L364" s="22">
        <v>122705.84915072001</v>
      </c>
      <c r="M364" s="22" t="s">
        <v>402</v>
      </c>
      <c r="N364" s="24">
        <v>3</v>
      </c>
      <c r="O364" s="22">
        <v>16437.20979072</v>
      </c>
      <c r="P364" s="22">
        <v>5479.0699302399998</v>
      </c>
      <c r="Q364" s="23">
        <v>0.13395620424361451</v>
      </c>
      <c r="R364" s="22" t="s">
        <v>43</v>
      </c>
      <c r="S364" s="22" t="s">
        <v>50</v>
      </c>
      <c r="T364" s="22" t="s">
        <v>90</v>
      </c>
      <c r="U364" s="63"/>
    </row>
    <row r="365" spans="1:21" x14ac:dyDescent="0.3">
      <c r="A365" s="14">
        <v>45212</v>
      </c>
      <c r="B365">
        <v>2023</v>
      </c>
      <c r="C365" t="s">
        <v>228</v>
      </c>
      <c r="D365" t="s">
        <v>29</v>
      </c>
      <c r="E365" t="s">
        <v>45</v>
      </c>
      <c r="F365">
        <v>2943</v>
      </c>
      <c r="G365" t="s">
        <v>601</v>
      </c>
      <c r="H365" t="s">
        <v>234</v>
      </c>
      <c r="I365">
        <v>3520</v>
      </c>
      <c r="J365" t="s">
        <v>156</v>
      </c>
      <c r="K365" t="s">
        <v>157</v>
      </c>
      <c r="L365" s="22">
        <v>894068.55592704006</v>
      </c>
      <c r="M365" s="22" t="s">
        <v>401</v>
      </c>
      <c r="N365" s="24">
        <v>12</v>
      </c>
      <c r="O365" s="22">
        <v>97089.675927040007</v>
      </c>
      <c r="P365" s="22">
        <v>8090.8063272533336</v>
      </c>
      <c r="Q365" s="23">
        <v>0.10859309980583072</v>
      </c>
      <c r="R365" s="22" t="s">
        <v>42</v>
      </c>
      <c r="S365" s="22" t="s">
        <v>50</v>
      </c>
      <c r="T365" s="22" t="s">
        <v>89</v>
      </c>
      <c r="U365" s="63"/>
    </row>
    <row r="366" spans="1:21" x14ac:dyDescent="0.3">
      <c r="A366" s="14">
        <v>45215</v>
      </c>
      <c r="B366">
        <v>2023</v>
      </c>
      <c r="C366" t="s">
        <v>228</v>
      </c>
      <c r="D366" t="s">
        <v>29</v>
      </c>
      <c r="E366" t="s">
        <v>45</v>
      </c>
      <c r="F366" s="62">
        <v>2958</v>
      </c>
      <c r="G366" t="s">
        <v>602</v>
      </c>
      <c r="H366" t="s">
        <v>234</v>
      </c>
      <c r="I366">
        <v>99900</v>
      </c>
      <c r="J366" t="s">
        <v>156</v>
      </c>
      <c r="K366" t="s">
        <v>157</v>
      </c>
      <c r="L366" s="22">
        <v>12624700.003236862</v>
      </c>
      <c r="M366" s="22" t="s">
        <v>399</v>
      </c>
      <c r="N366" s="24">
        <v>49</v>
      </c>
      <c r="O366" s="22">
        <v>876048.17303746485</v>
      </c>
      <c r="P366" s="22">
        <v>17878.534143621731</v>
      </c>
      <c r="Q366" s="23">
        <v>6.9391603191589019E-2</v>
      </c>
      <c r="R366" s="22" t="s">
        <v>43</v>
      </c>
      <c r="S366" s="22" t="s">
        <v>50</v>
      </c>
      <c r="T366" s="22" t="s">
        <v>90</v>
      </c>
      <c r="U366" s="63"/>
    </row>
    <row r="367" spans="1:21" x14ac:dyDescent="0.3">
      <c r="A367" s="14">
        <v>45222</v>
      </c>
      <c r="B367">
        <v>2023</v>
      </c>
      <c r="C367" t="s">
        <v>228</v>
      </c>
      <c r="D367" t="s">
        <v>29</v>
      </c>
      <c r="E367" t="s">
        <v>45</v>
      </c>
      <c r="F367">
        <v>2933</v>
      </c>
      <c r="G367" t="s">
        <v>608</v>
      </c>
      <c r="H367" t="s">
        <v>233</v>
      </c>
      <c r="I367">
        <v>7700</v>
      </c>
      <c r="J367" t="s">
        <v>156</v>
      </c>
      <c r="K367" t="s">
        <v>157</v>
      </c>
      <c r="L367" s="22">
        <v>1291488.6828066192</v>
      </c>
      <c r="M367" s="22" t="s">
        <v>401</v>
      </c>
      <c r="N367" s="24">
        <v>20</v>
      </c>
      <c r="O367" s="22">
        <v>172969.53252602948</v>
      </c>
      <c r="P367" s="22">
        <v>8648.4766263014735</v>
      </c>
      <c r="Q367" s="23">
        <v>0.1339303509420911</v>
      </c>
      <c r="R367" s="22" t="s">
        <v>43</v>
      </c>
      <c r="S367" s="22" t="s">
        <v>50</v>
      </c>
      <c r="T367" s="22" t="s">
        <v>90</v>
      </c>
      <c r="U367" s="63"/>
    </row>
    <row r="368" spans="1:21" x14ac:dyDescent="0.3">
      <c r="A368" s="14">
        <v>45231</v>
      </c>
      <c r="B368">
        <v>2023</v>
      </c>
      <c r="C368" t="s">
        <v>228</v>
      </c>
      <c r="D368" t="s">
        <v>29</v>
      </c>
      <c r="E368" t="s">
        <v>30</v>
      </c>
      <c r="F368">
        <v>2954</v>
      </c>
      <c r="G368" t="s">
        <v>615</v>
      </c>
      <c r="H368" t="s">
        <v>233</v>
      </c>
      <c r="I368">
        <v>3341</v>
      </c>
      <c r="J368" t="s">
        <v>108</v>
      </c>
      <c r="K368" s="22" t="s">
        <v>31</v>
      </c>
      <c r="L368" s="37">
        <v>318233.00280878</v>
      </c>
      <c r="M368" s="37" t="s">
        <v>402</v>
      </c>
      <c r="N368" s="39">
        <v>8</v>
      </c>
      <c r="O368" s="37">
        <v>58044.705180679994</v>
      </c>
      <c r="P368" s="37">
        <v>7255.5881475849992</v>
      </c>
      <c r="Q368" s="38">
        <v>0.18239687483185998</v>
      </c>
      <c r="R368" s="22" t="s">
        <v>42</v>
      </c>
      <c r="S368" s="22" t="s">
        <v>50</v>
      </c>
      <c r="T368" s="22" t="s">
        <v>89</v>
      </c>
      <c r="U368" s="63"/>
    </row>
    <row r="369" spans="1:21" x14ac:dyDescent="0.3">
      <c r="A369" s="14">
        <v>45250</v>
      </c>
      <c r="B369">
        <v>2023</v>
      </c>
      <c r="C369" t="s">
        <v>228</v>
      </c>
      <c r="D369" t="s">
        <v>29</v>
      </c>
      <c r="E369" t="s">
        <v>45</v>
      </c>
      <c r="F369">
        <v>2879</v>
      </c>
      <c r="G369" t="s">
        <v>607</v>
      </c>
      <c r="H369" t="s">
        <v>233</v>
      </c>
      <c r="I369">
        <v>3998</v>
      </c>
      <c r="J369" t="s">
        <v>156</v>
      </c>
      <c r="K369" t="s">
        <v>157</v>
      </c>
      <c r="L369" s="22">
        <v>1225357.4024160001</v>
      </c>
      <c r="M369" s="22" t="s">
        <v>401</v>
      </c>
      <c r="N369" s="24">
        <v>16</v>
      </c>
      <c r="O369" s="22">
        <v>145918.07121599998</v>
      </c>
      <c r="P369" s="22">
        <v>9119.8794509999989</v>
      </c>
      <c r="Q369" s="23">
        <v>0.11908204979893844</v>
      </c>
      <c r="R369" s="22" t="s">
        <v>42</v>
      </c>
      <c r="S369" s="22" t="s">
        <v>50</v>
      </c>
      <c r="T369" s="22" t="s">
        <v>89</v>
      </c>
      <c r="U369" s="63"/>
    </row>
    <row r="370" spans="1:21" x14ac:dyDescent="0.3">
      <c r="A370" s="14">
        <v>45231</v>
      </c>
      <c r="B370">
        <v>2023</v>
      </c>
      <c r="C370" t="s">
        <v>228</v>
      </c>
      <c r="D370" t="s">
        <v>29</v>
      </c>
      <c r="E370" t="s">
        <v>45</v>
      </c>
      <c r="F370">
        <v>2919</v>
      </c>
      <c r="G370" t="s">
        <v>617</v>
      </c>
      <c r="H370" t="s">
        <v>235</v>
      </c>
      <c r="I370">
        <v>1755</v>
      </c>
      <c r="J370" t="s">
        <v>156</v>
      </c>
      <c r="K370" t="s">
        <v>31</v>
      </c>
      <c r="L370" s="5">
        <v>369736.67131833336</v>
      </c>
      <c r="M370" s="5" t="s">
        <v>402</v>
      </c>
      <c r="N370" s="60">
        <v>8</v>
      </c>
      <c r="O370" s="5">
        <v>61193.273359999999</v>
      </c>
      <c r="P370" s="1">
        <v>7649.1591699999999</v>
      </c>
      <c r="Q370" s="8">
        <v>0.1655050150741316</v>
      </c>
      <c r="R370" t="s">
        <v>42</v>
      </c>
      <c r="S370" t="s">
        <v>50</v>
      </c>
      <c r="T370" t="s">
        <v>89</v>
      </c>
      <c r="U370" s="63"/>
    </row>
    <row r="371" spans="1:21" x14ac:dyDescent="0.3">
      <c r="A371" s="14">
        <v>45231</v>
      </c>
      <c r="B371">
        <v>2023</v>
      </c>
      <c r="C371" t="s">
        <v>228</v>
      </c>
      <c r="D371" t="s">
        <v>29</v>
      </c>
      <c r="E371" t="s">
        <v>45</v>
      </c>
      <c r="F371" s="62" t="s">
        <v>582</v>
      </c>
      <c r="G371" t="s">
        <v>616</v>
      </c>
      <c r="H371" t="s">
        <v>233</v>
      </c>
      <c r="I371">
        <v>1429</v>
      </c>
      <c r="J371" t="s">
        <v>156</v>
      </c>
      <c r="K371" t="s">
        <v>157</v>
      </c>
      <c r="L371" s="22">
        <v>210946.00114064</v>
      </c>
      <c r="M371" s="22" t="s">
        <v>402</v>
      </c>
      <c r="N371" s="24">
        <v>6</v>
      </c>
      <c r="O371" s="22">
        <v>35324.905034639996</v>
      </c>
      <c r="P371" s="22">
        <v>5887.4841724399994</v>
      </c>
      <c r="Q371" s="23">
        <v>0.1674594675586597</v>
      </c>
      <c r="R371" s="22" t="s">
        <v>42</v>
      </c>
      <c r="S371" s="22" t="s">
        <v>50</v>
      </c>
      <c r="T371" s="22" t="s">
        <v>89</v>
      </c>
      <c r="U371" s="63"/>
    </row>
    <row r="372" spans="1:21" x14ac:dyDescent="0.3">
      <c r="A372" s="14">
        <v>45237</v>
      </c>
      <c r="B372">
        <v>2023</v>
      </c>
      <c r="C372" t="s">
        <v>228</v>
      </c>
      <c r="D372" t="s">
        <v>29</v>
      </c>
      <c r="E372" t="s">
        <v>30</v>
      </c>
      <c r="F372">
        <v>2956</v>
      </c>
      <c r="G372" t="s">
        <v>618</v>
      </c>
      <c r="H372" t="s">
        <v>233</v>
      </c>
      <c r="I372">
        <v>7424</v>
      </c>
      <c r="J372" t="s">
        <v>156</v>
      </c>
      <c r="K372" t="s">
        <v>157</v>
      </c>
      <c r="L372" s="22">
        <v>152743.98632630002</v>
      </c>
      <c r="M372" s="22" t="s">
        <v>402</v>
      </c>
      <c r="N372" s="24">
        <v>6</v>
      </c>
      <c r="O372" s="22">
        <v>39312.021226300007</v>
      </c>
      <c r="P372" s="22">
        <v>6552.0035377166678</v>
      </c>
      <c r="Q372" s="23">
        <v>0.25737197366526449</v>
      </c>
      <c r="R372" s="22" t="s">
        <v>42</v>
      </c>
      <c r="S372" s="22" t="s">
        <v>50</v>
      </c>
      <c r="T372" s="22" t="s">
        <v>89</v>
      </c>
      <c r="U372" s="63"/>
    </row>
    <row r="373" spans="1:21" x14ac:dyDescent="0.3">
      <c r="A373" s="14">
        <v>45253</v>
      </c>
      <c r="B373">
        <v>2023</v>
      </c>
      <c r="C373" t="s">
        <v>228</v>
      </c>
      <c r="D373" t="s">
        <v>29</v>
      </c>
      <c r="E373" t="s">
        <v>45</v>
      </c>
      <c r="F373">
        <v>2960</v>
      </c>
      <c r="G373" t="s">
        <v>619</v>
      </c>
      <c r="H373" t="s">
        <v>235</v>
      </c>
      <c r="I373">
        <v>2380</v>
      </c>
      <c r="J373" t="s">
        <v>108</v>
      </c>
      <c r="K373" t="s">
        <v>31</v>
      </c>
      <c r="L373" s="22">
        <v>161205.01185164999</v>
      </c>
      <c r="M373" s="22" t="s">
        <v>402</v>
      </c>
      <c r="N373" s="24">
        <v>4</v>
      </c>
      <c r="O373" s="22">
        <v>21623.011851650001</v>
      </c>
      <c r="P373" s="22">
        <v>5405.7529629125002</v>
      </c>
      <c r="Q373" s="23">
        <v>0.13413362030920431</v>
      </c>
      <c r="R373" s="22" t="s">
        <v>42</v>
      </c>
      <c r="S373" s="22" t="s">
        <v>50</v>
      </c>
      <c r="T373" s="22" t="s">
        <v>89</v>
      </c>
      <c r="U373" s="63"/>
    </row>
    <row r="374" spans="1:21" x14ac:dyDescent="0.3">
      <c r="A374" s="14">
        <v>45254</v>
      </c>
      <c r="B374">
        <v>2023</v>
      </c>
      <c r="C374" t="s">
        <v>228</v>
      </c>
      <c r="D374" t="s">
        <v>29</v>
      </c>
      <c r="E374" t="s">
        <v>45</v>
      </c>
      <c r="F374">
        <v>2961</v>
      </c>
      <c r="G374" t="s">
        <v>621</v>
      </c>
      <c r="H374" t="s">
        <v>398</v>
      </c>
      <c r="I374">
        <v>51596</v>
      </c>
      <c r="J374" t="s">
        <v>156</v>
      </c>
      <c r="K374" t="s">
        <v>157</v>
      </c>
      <c r="L374" s="22">
        <v>7374630.5502305031</v>
      </c>
      <c r="M374" s="22" t="s">
        <v>399</v>
      </c>
      <c r="N374" s="24">
        <v>70</v>
      </c>
      <c r="O374" s="22">
        <v>618260.59929367714</v>
      </c>
      <c r="P374" s="22">
        <v>8832.294275623959</v>
      </c>
      <c r="Q374" s="23">
        <v>8.3836145428919512E-2</v>
      </c>
      <c r="R374" s="22" t="s">
        <v>43</v>
      </c>
      <c r="S374" s="22" t="s">
        <v>50</v>
      </c>
      <c r="T374" s="22" t="s">
        <v>90</v>
      </c>
      <c r="U374" s="63"/>
    </row>
    <row r="375" spans="1:21" x14ac:dyDescent="0.3">
      <c r="A375" s="14">
        <v>45275</v>
      </c>
      <c r="B375">
        <v>2024</v>
      </c>
      <c r="C375" t="s">
        <v>229</v>
      </c>
      <c r="D375" t="s">
        <v>29</v>
      </c>
      <c r="E375" t="s">
        <v>45</v>
      </c>
      <c r="F375">
        <v>2962</v>
      </c>
      <c r="G375" t="s">
        <v>603</v>
      </c>
      <c r="H375" t="s">
        <v>233</v>
      </c>
      <c r="I375">
        <v>3773</v>
      </c>
      <c r="J375" t="s">
        <v>156</v>
      </c>
      <c r="K375" t="s">
        <v>157</v>
      </c>
      <c r="L375" s="22">
        <v>638625.63688979996</v>
      </c>
      <c r="M375" s="22" t="s">
        <v>401</v>
      </c>
      <c r="N375" s="24">
        <v>12</v>
      </c>
      <c r="O375" s="22">
        <v>85108.286134999988</v>
      </c>
      <c r="P375" s="22">
        <v>7092.3571779166659</v>
      </c>
      <c r="Q375" s="23">
        <v>0.13326788218131949</v>
      </c>
      <c r="R375" s="22" t="s">
        <v>43</v>
      </c>
      <c r="S375" s="22" t="s">
        <v>50</v>
      </c>
      <c r="T375" s="22" t="s">
        <v>90</v>
      </c>
      <c r="U375" s="63"/>
    </row>
    <row r="376" spans="1:21" x14ac:dyDescent="0.3">
      <c r="A376" s="14">
        <v>45265</v>
      </c>
      <c r="B376">
        <v>2024</v>
      </c>
      <c r="C376" t="s">
        <v>229</v>
      </c>
      <c r="D376" t="s">
        <v>29</v>
      </c>
      <c r="E376" t="s">
        <v>45</v>
      </c>
      <c r="F376">
        <v>2951</v>
      </c>
      <c r="G376" t="s">
        <v>609</v>
      </c>
      <c r="H376" t="s">
        <v>233</v>
      </c>
      <c r="I376">
        <v>18354</v>
      </c>
      <c r="J376" t="s">
        <v>108</v>
      </c>
      <c r="K376" t="s">
        <v>31</v>
      </c>
      <c r="L376" s="22">
        <v>4194000.0036756597</v>
      </c>
      <c r="M376" s="22" t="s">
        <v>400</v>
      </c>
      <c r="N376" s="24">
        <v>38</v>
      </c>
      <c r="O376" s="22">
        <v>364976.65968971461</v>
      </c>
      <c r="P376" s="22">
        <v>9604.6489392030162</v>
      </c>
      <c r="Q376" s="23">
        <v>8.8019958938840556E-2</v>
      </c>
      <c r="R376" s="22" t="s">
        <v>43</v>
      </c>
      <c r="S376" s="22" t="s">
        <v>50</v>
      </c>
      <c r="T376" s="22" t="s">
        <v>90</v>
      </c>
      <c r="U376" s="63"/>
    </row>
    <row r="377" spans="1:21" x14ac:dyDescent="0.3">
      <c r="A377" s="14">
        <v>45280</v>
      </c>
      <c r="B377">
        <v>2024</v>
      </c>
      <c r="C377" t="s">
        <v>229</v>
      </c>
      <c r="D377" t="s">
        <v>29</v>
      </c>
      <c r="E377" t="s">
        <v>45</v>
      </c>
      <c r="F377">
        <v>2968</v>
      </c>
      <c r="G377" t="s">
        <v>611</v>
      </c>
      <c r="H377" t="s">
        <v>233</v>
      </c>
      <c r="I377">
        <v>157</v>
      </c>
      <c r="J377" t="s">
        <v>108</v>
      </c>
      <c r="K377" t="s">
        <v>31</v>
      </c>
      <c r="L377" s="22">
        <v>97449.99855413333</v>
      </c>
      <c r="M377" s="22" t="s">
        <v>409</v>
      </c>
      <c r="N377" s="24">
        <v>4</v>
      </c>
      <c r="O377" s="22">
        <v>26687.889355466668</v>
      </c>
      <c r="P377" s="22">
        <v>6671.9723388666671</v>
      </c>
      <c r="Q377" s="23">
        <v>0.27386238841903715</v>
      </c>
      <c r="R377" s="22" t="s">
        <v>43</v>
      </c>
      <c r="S377" s="22" t="s">
        <v>50</v>
      </c>
      <c r="T377" s="22" t="s">
        <v>90</v>
      </c>
      <c r="U377" s="63"/>
    </row>
    <row r="378" spans="1:21" x14ac:dyDescent="0.3">
      <c r="A378" s="14">
        <v>45294</v>
      </c>
      <c r="B378">
        <v>2024</v>
      </c>
      <c r="C378" t="s">
        <v>229</v>
      </c>
      <c r="D378" t="s">
        <v>29</v>
      </c>
      <c r="E378" t="s">
        <v>45</v>
      </c>
      <c r="F378">
        <v>2964</v>
      </c>
      <c r="G378" t="s">
        <v>610</v>
      </c>
      <c r="H378" t="s">
        <v>234</v>
      </c>
      <c r="I378">
        <v>1697</v>
      </c>
      <c r="J378" t="s">
        <v>108</v>
      </c>
      <c r="K378" t="s">
        <v>31</v>
      </c>
      <c r="L378" s="22">
        <v>202990.00271120001</v>
      </c>
      <c r="M378" s="22" t="s">
        <v>402</v>
      </c>
      <c r="N378" s="24">
        <v>6</v>
      </c>
      <c r="O378" s="22">
        <v>36618.984779500002</v>
      </c>
      <c r="P378" s="22">
        <v>6103.1641299166668</v>
      </c>
      <c r="Q378" s="23">
        <v>0.18039797177400374</v>
      </c>
      <c r="R378" s="22" t="s">
        <v>43</v>
      </c>
      <c r="S378" s="22" t="s">
        <v>50</v>
      </c>
      <c r="T378" s="22" t="s">
        <v>90</v>
      </c>
      <c r="U378" s="63"/>
    </row>
    <row r="379" spans="1:21" x14ac:dyDescent="0.3">
      <c r="A379" s="14">
        <v>45314</v>
      </c>
      <c r="B379">
        <v>2024</v>
      </c>
      <c r="C379" t="s">
        <v>229</v>
      </c>
      <c r="D379" t="s">
        <v>29</v>
      </c>
      <c r="E379" t="s">
        <v>45</v>
      </c>
      <c r="F379">
        <v>2973</v>
      </c>
      <c r="G379" t="s">
        <v>605</v>
      </c>
      <c r="H379" t="s">
        <v>235</v>
      </c>
      <c r="I379">
        <v>1223</v>
      </c>
      <c r="J379" t="s">
        <v>156</v>
      </c>
      <c r="K379" t="s">
        <v>31</v>
      </c>
      <c r="L379" s="22">
        <v>281482.34465759998</v>
      </c>
      <c r="M379" s="22" t="s">
        <v>402</v>
      </c>
      <c r="N379" s="24">
        <v>6</v>
      </c>
      <c r="O379" s="22">
        <v>40620.226991000003</v>
      </c>
      <c r="P379" s="22">
        <v>6770.0378318333342</v>
      </c>
      <c r="Q379" s="23">
        <v>0.14430825862421728</v>
      </c>
      <c r="R379" s="22" t="s">
        <v>43</v>
      </c>
      <c r="S379" s="22" t="s">
        <v>50</v>
      </c>
      <c r="T379" s="22" t="s">
        <v>90</v>
      </c>
      <c r="U379" s="63"/>
    </row>
    <row r="380" spans="1:21" x14ac:dyDescent="0.3">
      <c r="A380" s="14">
        <v>45314</v>
      </c>
      <c r="B380">
        <v>2024</v>
      </c>
      <c r="C380" t="s">
        <v>229</v>
      </c>
      <c r="D380" t="s">
        <v>29</v>
      </c>
      <c r="E380" t="s">
        <v>45</v>
      </c>
      <c r="F380">
        <v>2971</v>
      </c>
      <c r="G380" t="s">
        <v>612</v>
      </c>
      <c r="H380" t="s">
        <v>233</v>
      </c>
      <c r="I380">
        <v>1000</v>
      </c>
      <c r="J380" t="s">
        <v>156</v>
      </c>
      <c r="K380" t="s">
        <v>157</v>
      </c>
      <c r="L380" s="22">
        <v>197464.71945599999</v>
      </c>
      <c r="M380" s="22" t="s">
        <v>402</v>
      </c>
      <c r="N380" s="24">
        <v>7</v>
      </c>
      <c r="O380" s="22">
        <v>45942.877446000006</v>
      </c>
      <c r="P380" s="22">
        <v>6563.2682065714298</v>
      </c>
      <c r="Q380" s="23">
        <v>0.23266372632320889</v>
      </c>
      <c r="R380" s="22" t="s">
        <v>42</v>
      </c>
      <c r="S380" s="22" t="s">
        <v>50</v>
      </c>
      <c r="T380" s="22" t="s">
        <v>89</v>
      </c>
      <c r="U380" s="63"/>
    </row>
    <row r="381" spans="1:21" x14ac:dyDescent="0.3">
      <c r="A381" s="14">
        <v>45314</v>
      </c>
      <c r="B381">
        <v>2024</v>
      </c>
      <c r="C381" t="s">
        <v>229</v>
      </c>
      <c r="D381" t="s">
        <v>29</v>
      </c>
      <c r="E381" t="s">
        <v>45</v>
      </c>
      <c r="F381">
        <v>2977</v>
      </c>
      <c r="G381" t="s">
        <v>614</v>
      </c>
      <c r="H381" t="s">
        <v>398</v>
      </c>
      <c r="I381">
        <v>3928</v>
      </c>
      <c r="J381" t="s">
        <v>156</v>
      </c>
      <c r="K381" t="s">
        <v>157</v>
      </c>
      <c r="L381" s="22">
        <v>1100654.4627591788</v>
      </c>
      <c r="M381" s="22" t="s">
        <v>401</v>
      </c>
      <c r="N381" s="24">
        <v>20</v>
      </c>
      <c r="O381" s="22">
        <v>110464.21581875652</v>
      </c>
      <c r="P381" s="22">
        <v>5523.2107909378265</v>
      </c>
      <c r="Q381" s="23">
        <v>0.10036230220866864</v>
      </c>
      <c r="R381" s="22" t="s">
        <v>43</v>
      </c>
      <c r="S381" s="22" t="s">
        <v>50</v>
      </c>
      <c r="T381" s="22" t="s">
        <v>90</v>
      </c>
      <c r="U381" s="63"/>
    </row>
    <row r="382" spans="1:21" x14ac:dyDescent="0.3">
      <c r="A382" s="14">
        <v>45301</v>
      </c>
      <c r="B382">
        <v>2024</v>
      </c>
      <c r="C382" t="s">
        <v>229</v>
      </c>
      <c r="D382" t="s">
        <v>29</v>
      </c>
      <c r="E382" t="s">
        <v>45</v>
      </c>
      <c r="F382">
        <v>2970</v>
      </c>
      <c r="G382" t="s">
        <v>620</v>
      </c>
      <c r="H382" t="s">
        <v>235</v>
      </c>
      <c r="I382">
        <v>2372</v>
      </c>
      <c r="J382" t="s">
        <v>108</v>
      </c>
      <c r="K382" t="s">
        <v>31</v>
      </c>
      <c r="L382" s="22">
        <v>157649.99952000001</v>
      </c>
      <c r="M382" s="22" t="s">
        <v>402</v>
      </c>
      <c r="N382" s="24">
        <v>4</v>
      </c>
      <c r="O382" s="22">
        <v>22177.767812499998</v>
      </c>
      <c r="P382" s="22">
        <v>5544.4419531249996</v>
      </c>
      <c r="Q382" s="23">
        <v>0.14067724630526529</v>
      </c>
      <c r="R382" s="22" t="s">
        <v>42</v>
      </c>
      <c r="S382" s="22" t="s">
        <v>50</v>
      </c>
      <c r="T382" s="22" t="s">
        <v>89</v>
      </c>
      <c r="U382" s="63"/>
    </row>
    <row r="383" spans="1:21" x14ac:dyDescent="0.3">
      <c r="A383" s="14">
        <v>45345</v>
      </c>
      <c r="B383">
        <v>2024</v>
      </c>
      <c r="C383" t="s">
        <v>229</v>
      </c>
      <c r="D383" t="s">
        <v>29</v>
      </c>
      <c r="E383" t="s">
        <v>45</v>
      </c>
      <c r="F383">
        <v>2983</v>
      </c>
      <c r="G383" t="s">
        <v>625</v>
      </c>
      <c r="H383" t="s">
        <v>233</v>
      </c>
      <c r="I383">
        <v>4416</v>
      </c>
      <c r="J383" t="s">
        <v>108</v>
      </c>
      <c r="K383" t="s">
        <v>31</v>
      </c>
      <c r="L383" s="22">
        <v>1989863.9963005045</v>
      </c>
      <c r="M383" s="22" t="s">
        <v>401</v>
      </c>
      <c r="N383" s="24">
        <v>26</v>
      </c>
      <c r="O383" s="22">
        <v>228123.34865941698</v>
      </c>
      <c r="P383" s="22">
        <v>8773.9749484391141</v>
      </c>
      <c r="Q383" s="23">
        <v>0.11464268366257044</v>
      </c>
      <c r="R383" s="22" t="s">
        <v>43</v>
      </c>
      <c r="S383" s="22" t="s">
        <v>50</v>
      </c>
      <c r="T383" s="22" t="s">
        <v>90</v>
      </c>
      <c r="U383" s="63"/>
    </row>
    <row r="384" spans="1:21" x14ac:dyDescent="0.3">
      <c r="A384" s="14">
        <v>45329</v>
      </c>
      <c r="B384">
        <v>2024</v>
      </c>
      <c r="C384" t="s">
        <v>229</v>
      </c>
      <c r="D384" t="s">
        <v>29</v>
      </c>
      <c r="E384" t="s">
        <v>45</v>
      </c>
      <c r="F384">
        <v>2981</v>
      </c>
      <c r="G384" t="s">
        <v>626</v>
      </c>
      <c r="H384" t="s">
        <v>233</v>
      </c>
      <c r="I384">
        <v>26500</v>
      </c>
      <c r="J384" t="s">
        <v>156</v>
      </c>
      <c r="K384" t="s">
        <v>157</v>
      </c>
      <c r="L384" s="22">
        <v>144617.748345</v>
      </c>
      <c r="M384" s="22" t="s">
        <v>402</v>
      </c>
      <c r="N384" s="24">
        <v>4</v>
      </c>
      <c r="O384" s="22">
        <v>9266.2734449999989</v>
      </c>
      <c r="P384" s="22">
        <v>2316.5683612499997</v>
      </c>
      <c r="Q384" s="23">
        <v>6.4074247808743254E-2</v>
      </c>
      <c r="R384" s="22" t="s">
        <v>42</v>
      </c>
      <c r="S384" s="22" t="s">
        <v>50</v>
      </c>
      <c r="T384" s="22" t="s">
        <v>89</v>
      </c>
      <c r="U384" s="63"/>
    </row>
    <row r="385" spans="1:21" x14ac:dyDescent="0.3">
      <c r="A385" s="14">
        <v>45323</v>
      </c>
      <c r="B385">
        <v>2024</v>
      </c>
      <c r="C385" t="s">
        <v>229</v>
      </c>
      <c r="D385" t="s">
        <v>29</v>
      </c>
      <c r="E385" t="s">
        <v>45</v>
      </c>
      <c r="F385">
        <v>2980</v>
      </c>
      <c r="G385" t="s">
        <v>628</v>
      </c>
      <c r="H385" t="s">
        <v>234</v>
      </c>
      <c r="I385">
        <v>1300</v>
      </c>
      <c r="J385" t="s">
        <v>108</v>
      </c>
      <c r="K385" t="s">
        <v>31</v>
      </c>
      <c r="L385" s="22">
        <v>142384.7550528</v>
      </c>
      <c r="M385" s="22" t="s">
        <v>402</v>
      </c>
      <c r="N385" s="24">
        <v>4</v>
      </c>
      <c r="O385" s="22">
        <v>25148.210839799998</v>
      </c>
      <c r="P385" s="22">
        <v>6287.0527099499996</v>
      </c>
      <c r="Q385" s="23">
        <v>0.17662151281908223</v>
      </c>
      <c r="R385" s="22" t="s">
        <v>43</v>
      </c>
      <c r="S385" s="22" t="s">
        <v>50</v>
      </c>
      <c r="T385" s="22" t="s">
        <v>90</v>
      </c>
      <c r="U385" s="63"/>
    </row>
    <row r="386" spans="1:21" x14ac:dyDescent="0.3">
      <c r="A386" s="14">
        <v>45335</v>
      </c>
      <c r="B386">
        <v>2024</v>
      </c>
      <c r="C386" t="s">
        <v>229</v>
      </c>
      <c r="D386" t="s">
        <v>29</v>
      </c>
      <c r="E386" t="s">
        <v>30</v>
      </c>
      <c r="F386">
        <v>2978</v>
      </c>
      <c r="G386" t="s">
        <v>629</v>
      </c>
      <c r="H386" t="s">
        <v>234</v>
      </c>
      <c r="I386">
        <v>7325</v>
      </c>
      <c r="J386" t="s">
        <v>108</v>
      </c>
      <c r="K386" t="s">
        <v>31</v>
      </c>
      <c r="L386" s="22">
        <v>967599.99758061313</v>
      </c>
      <c r="M386" s="22" t="s">
        <v>401</v>
      </c>
      <c r="N386" s="24">
        <v>13</v>
      </c>
      <c r="O386" s="22">
        <v>120743.5621427</v>
      </c>
      <c r="P386" s="22">
        <v>9287.9663186692305</v>
      </c>
      <c r="Q386" s="23">
        <v>0.12628420585664113</v>
      </c>
      <c r="R386" s="22" t="s">
        <v>43</v>
      </c>
      <c r="S386" s="22" t="s">
        <v>50</v>
      </c>
      <c r="T386" s="22" t="s">
        <v>90</v>
      </c>
      <c r="U386" s="63"/>
    </row>
    <row r="387" spans="1:21" x14ac:dyDescent="0.3">
      <c r="A387" s="14">
        <v>45342</v>
      </c>
      <c r="B387">
        <v>2024</v>
      </c>
      <c r="C387" t="s">
        <v>229</v>
      </c>
      <c r="D387" t="s">
        <v>29</v>
      </c>
      <c r="E387" t="s">
        <v>45</v>
      </c>
      <c r="F387">
        <v>2982</v>
      </c>
      <c r="G387" t="s">
        <v>635</v>
      </c>
      <c r="H387" t="s">
        <v>233</v>
      </c>
      <c r="I387">
        <v>11000</v>
      </c>
      <c r="J387" t="s">
        <v>156</v>
      </c>
      <c r="K387" t="s">
        <v>31</v>
      </c>
      <c r="L387" s="22">
        <v>125026</v>
      </c>
      <c r="M387" s="22" t="s">
        <v>402</v>
      </c>
      <c r="N387" s="24">
        <v>4</v>
      </c>
      <c r="O387" s="22">
        <v>25868.383749999997</v>
      </c>
      <c r="P387" s="22">
        <v>6467.0959374999993</v>
      </c>
      <c r="Q387" s="23">
        <v>0.2069040339609361</v>
      </c>
      <c r="R387" s="22" t="s">
        <v>42</v>
      </c>
      <c r="S387" s="22" t="s">
        <v>50</v>
      </c>
      <c r="T387" s="22" t="s">
        <v>89</v>
      </c>
      <c r="U387" s="22"/>
    </row>
    <row r="388" spans="1:21" x14ac:dyDescent="0.3">
      <c r="A388" s="14">
        <v>45373</v>
      </c>
      <c r="B388">
        <v>2024</v>
      </c>
      <c r="C388" t="s">
        <v>227</v>
      </c>
      <c r="D388" t="s">
        <v>29</v>
      </c>
      <c r="E388" t="s">
        <v>38</v>
      </c>
      <c r="F388">
        <v>2988</v>
      </c>
      <c r="G388" t="s">
        <v>630</v>
      </c>
      <c r="H388" t="s">
        <v>235</v>
      </c>
      <c r="I388">
        <v>800</v>
      </c>
      <c r="J388" t="s">
        <v>108</v>
      </c>
      <c r="K388" t="s">
        <v>31</v>
      </c>
      <c r="L388" s="22">
        <v>260681.7864864</v>
      </c>
      <c r="M388" s="22" t="s">
        <v>402</v>
      </c>
      <c r="N388" s="24">
        <v>8</v>
      </c>
      <c r="O388" s="22">
        <v>38172.990888285713</v>
      </c>
      <c r="P388" s="22">
        <v>4771.6238610357141</v>
      </c>
      <c r="Q388" s="23">
        <v>0.14643520517025929</v>
      </c>
      <c r="R388" s="22" t="s">
        <v>43</v>
      </c>
      <c r="S388" s="22" t="s">
        <v>50</v>
      </c>
      <c r="T388" s="22" t="s">
        <v>90</v>
      </c>
      <c r="U388" s="63"/>
    </row>
    <row r="389" spans="1:21" x14ac:dyDescent="0.3">
      <c r="A389" s="14">
        <v>45360</v>
      </c>
      <c r="B389">
        <v>2024</v>
      </c>
      <c r="C389" t="s">
        <v>227</v>
      </c>
      <c r="D389" t="s">
        <v>29</v>
      </c>
      <c r="E389" t="s">
        <v>45</v>
      </c>
      <c r="F389">
        <v>2965</v>
      </c>
      <c r="G389" t="s">
        <v>631</v>
      </c>
      <c r="H389" t="s">
        <v>234</v>
      </c>
      <c r="I389">
        <v>5313</v>
      </c>
      <c r="J389" t="s">
        <v>108</v>
      </c>
      <c r="K389" t="s">
        <v>31</v>
      </c>
      <c r="L389" s="22">
        <v>467680.00235343998</v>
      </c>
      <c r="M389" s="22" t="s">
        <v>402</v>
      </c>
      <c r="N389" s="24">
        <v>12</v>
      </c>
      <c r="O389" s="22">
        <v>74547.553975339993</v>
      </c>
      <c r="P389" s="22">
        <v>6212.2961646116664</v>
      </c>
      <c r="Q389" s="23">
        <v>0.15939863496451606</v>
      </c>
      <c r="R389" s="22" t="s">
        <v>43</v>
      </c>
      <c r="S389" s="22" t="s">
        <v>50</v>
      </c>
      <c r="T389" s="22" t="s">
        <v>90</v>
      </c>
      <c r="U389" s="63"/>
    </row>
    <row r="390" spans="1:21" x14ac:dyDescent="0.3">
      <c r="A390" s="14">
        <v>45370</v>
      </c>
      <c r="B390">
        <v>2024</v>
      </c>
      <c r="C390" t="s">
        <v>227</v>
      </c>
      <c r="D390" t="s">
        <v>29</v>
      </c>
      <c r="E390" t="s">
        <v>45</v>
      </c>
      <c r="F390">
        <v>2957</v>
      </c>
      <c r="G390" t="s">
        <v>632</v>
      </c>
      <c r="H390" t="s">
        <v>233</v>
      </c>
      <c r="I390">
        <v>4968</v>
      </c>
      <c r="J390" t="s">
        <v>108</v>
      </c>
      <c r="K390" t="s">
        <v>633</v>
      </c>
      <c r="L390" s="22">
        <v>994486.01828855998</v>
      </c>
      <c r="M390" s="22" t="s">
        <v>401</v>
      </c>
      <c r="N390" s="24">
        <v>16</v>
      </c>
      <c r="O390" s="22">
        <v>117346.01554576</v>
      </c>
      <c r="P390" s="22">
        <v>7334.1259716100003</v>
      </c>
      <c r="Q390" s="23">
        <v>0.11799664689877107</v>
      </c>
      <c r="R390" s="22" t="s">
        <v>42</v>
      </c>
      <c r="S390" s="22" t="s">
        <v>50</v>
      </c>
      <c r="T390" s="22" t="s">
        <v>89</v>
      </c>
      <c r="U390" s="63"/>
    </row>
    <row r="391" spans="1:21" ht="15.75" customHeight="1" x14ac:dyDescent="0.3">
      <c r="A391" s="14">
        <v>45379</v>
      </c>
      <c r="B391">
        <v>2024</v>
      </c>
      <c r="C391" t="s">
        <v>227</v>
      </c>
      <c r="D391" t="s">
        <v>29</v>
      </c>
      <c r="E391" t="s">
        <v>45</v>
      </c>
      <c r="F391">
        <v>2989</v>
      </c>
      <c r="G391" t="s">
        <v>634</v>
      </c>
      <c r="H391" t="s">
        <v>398</v>
      </c>
      <c r="I391">
        <v>65592</v>
      </c>
      <c r="J391" t="s">
        <v>156</v>
      </c>
      <c r="K391" t="s">
        <v>157</v>
      </c>
      <c r="L391" s="22">
        <v>11119373.088187641</v>
      </c>
      <c r="M391" s="22" t="s">
        <v>399</v>
      </c>
      <c r="N391" s="24">
        <v>60</v>
      </c>
      <c r="O391" s="22">
        <v>737710.07884726429</v>
      </c>
      <c r="P391" s="22">
        <v>12295.167980787739</v>
      </c>
      <c r="Q391" s="23">
        <v>6.6344574734249206E-2</v>
      </c>
      <c r="R391" s="22" t="s">
        <v>42</v>
      </c>
      <c r="S391" s="22" t="s">
        <v>50</v>
      </c>
      <c r="T391" s="22" t="s">
        <v>89</v>
      </c>
      <c r="U391" s="63"/>
    </row>
    <row r="392" spans="1:21" x14ac:dyDescent="0.3">
      <c r="A392" s="80">
        <v>45358</v>
      </c>
      <c r="B392">
        <v>2024</v>
      </c>
      <c r="C392" t="s">
        <v>227</v>
      </c>
      <c r="D392" t="s">
        <v>29</v>
      </c>
      <c r="E392" t="s">
        <v>30</v>
      </c>
      <c r="F392" s="62" t="s">
        <v>646</v>
      </c>
      <c r="G392" t="s">
        <v>642</v>
      </c>
      <c r="H392" t="s">
        <v>234</v>
      </c>
      <c r="I392">
        <v>8502</v>
      </c>
      <c r="J392" t="s">
        <v>156</v>
      </c>
      <c r="K392" t="s">
        <v>157</v>
      </c>
      <c r="L392" s="22">
        <v>850331.24867200002</v>
      </c>
      <c r="M392" s="22" t="s">
        <v>401</v>
      </c>
      <c r="N392" s="24">
        <v>12</v>
      </c>
      <c r="O392" s="22">
        <v>114568.43791199998</v>
      </c>
      <c r="P392" s="22">
        <v>9547.3698259999983</v>
      </c>
      <c r="Q392" s="23">
        <v>0.13473389116409232</v>
      </c>
      <c r="R392" s="22" t="s">
        <v>42</v>
      </c>
      <c r="S392" s="22" t="s">
        <v>50</v>
      </c>
      <c r="T392" s="22" t="s">
        <v>89</v>
      </c>
      <c r="U392" s="63"/>
    </row>
    <row r="393" spans="1:21" x14ac:dyDescent="0.3">
      <c r="A393" s="80" t="s">
        <v>645</v>
      </c>
      <c r="B393">
        <v>2024</v>
      </c>
      <c r="C393" t="s">
        <v>227</v>
      </c>
      <c r="D393" t="s">
        <v>29</v>
      </c>
      <c r="E393" t="s">
        <v>38</v>
      </c>
      <c r="F393">
        <v>2991</v>
      </c>
      <c r="G393" t="s">
        <v>643</v>
      </c>
      <c r="H393" t="s">
        <v>234</v>
      </c>
      <c r="I393">
        <v>47128</v>
      </c>
      <c r="J393" t="s">
        <v>108</v>
      </c>
      <c r="K393" t="s">
        <v>31</v>
      </c>
      <c r="L393" s="22">
        <v>2593979.0002475749</v>
      </c>
      <c r="M393" s="22" t="s">
        <v>400</v>
      </c>
      <c r="N393" s="24">
        <v>26</v>
      </c>
      <c r="O393" s="22">
        <v>271845.31562391663</v>
      </c>
      <c r="P393" s="22">
        <v>10455.589062458332</v>
      </c>
      <c r="Q393" s="23">
        <v>0.10479857994146102</v>
      </c>
      <c r="R393" s="22" t="s">
        <v>42</v>
      </c>
      <c r="S393" s="22" t="s">
        <v>50</v>
      </c>
      <c r="T393" s="22" t="s">
        <v>89</v>
      </c>
      <c r="U393" s="63"/>
    </row>
    <row r="394" spans="1:21" x14ac:dyDescent="0.3">
      <c r="A394" s="80">
        <v>45427</v>
      </c>
      <c r="B394">
        <v>2024</v>
      </c>
      <c r="C394" t="s">
        <v>227</v>
      </c>
      <c r="D394" t="s">
        <v>29</v>
      </c>
      <c r="E394" t="s">
        <v>45</v>
      </c>
      <c r="F394">
        <v>2995</v>
      </c>
      <c r="G394" t="s">
        <v>648</v>
      </c>
      <c r="H394" t="s">
        <v>233</v>
      </c>
      <c r="I394">
        <v>200</v>
      </c>
      <c r="J394" t="s">
        <v>108</v>
      </c>
      <c r="K394" t="s">
        <v>31</v>
      </c>
      <c r="L394" s="22">
        <v>95321.62154303999</v>
      </c>
      <c r="M394" s="22" t="s">
        <v>409</v>
      </c>
      <c r="N394" s="24">
        <v>4</v>
      </c>
      <c r="O394" s="22">
        <v>24890.670067139996</v>
      </c>
      <c r="P394" s="22">
        <v>6222.667516784999</v>
      </c>
      <c r="Q394" s="23">
        <v>0.26112302397102283</v>
      </c>
      <c r="R394" s="22" t="s">
        <v>43</v>
      </c>
      <c r="S394" s="22" t="s">
        <v>50</v>
      </c>
      <c r="T394" s="22" t="s">
        <v>90</v>
      </c>
      <c r="U394" s="63"/>
    </row>
    <row r="395" spans="1:21" x14ac:dyDescent="0.3">
      <c r="A395" s="80">
        <v>45428</v>
      </c>
      <c r="B395">
        <v>2024</v>
      </c>
      <c r="C395" t="s">
        <v>227</v>
      </c>
      <c r="D395" t="s">
        <v>29</v>
      </c>
      <c r="E395" t="s">
        <v>30</v>
      </c>
      <c r="F395">
        <v>3000</v>
      </c>
      <c r="G395" t="s">
        <v>647</v>
      </c>
      <c r="H395" t="s">
        <v>234</v>
      </c>
      <c r="I395">
        <v>4400</v>
      </c>
      <c r="J395" t="s">
        <v>108</v>
      </c>
      <c r="K395" t="s">
        <v>31</v>
      </c>
      <c r="L395" s="22">
        <v>403340.00238000002</v>
      </c>
      <c r="M395" s="22" t="s">
        <v>402</v>
      </c>
      <c r="N395" s="24">
        <v>10</v>
      </c>
      <c r="O395" s="22">
        <v>64238.764659999993</v>
      </c>
      <c r="P395" s="22">
        <v>6423.8764659999997</v>
      </c>
      <c r="Q395" s="23">
        <v>0.15926703099356487</v>
      </c>
      <c r="R395" s="22" t="s">
        <v>43</v>
      </c>
      <c r="S395" s="22" t="s">
        <v>50</v>
      </c>
      <c r="T395" s="22" t="s">
        <v>90</v>
      </c>
      <c r="U395" s="63"/>
    </row>
    <row r="396" spans="1:21" x14ac:dyDescent="0.3">
      <c r="A396" s="80">
        <v>45441</v>
      </c>
      <c r="B396">
        <v>2024</v>
      </c>
      <c r="C396" t="s">
        <v>227</v>
      </c>
      <c r="D396" t="s">
        <v>29</v>
      </c>
      <c r="E396" t="s">
        <v>38</v>
      </c>
      <c r="F396">
        <v>3003</v>
      </c>
      <c r="G396" t="s">
        <v>640</v>
      </c>
      <c r="H396" t="s">
        <v>234</v>
      </c>
      <c r="I396">
        <v>11236</v>
      </c>
      <c r="J396" t="s">
        <v>108</v>
      </c>
      <c r="K396" t="s">
        <v>31</v>
      </c>
      <c r="L396" s="22">
        <v>4801586.9995879419</v>
      </c>
      <c r="M396" s="22" t="s">
        <v>400</v>
      </c>
      <c r="N396" s="24">
        <v>40</v>
      </c>
      <c r="O396" s="22">
        <v>477273.11150600953</v>
      </c>
      <c r="P396" s="22">
        <v>11931.827787650238</v>
      </c>
      <c r="Q396" s="23">
        <v>9.9399034433192132E-2</v>
      </c>
      <c r="R396" s="22" t="s">
        <v>43</v>
      </c>
      <c r="S396" s="22" t="s">
        <v>50</v>
      </c>
      <c r="T396" s="22" t="s">
        <v>90</v>
      </c>
      <c r="U396" s="63"/>
    </row>
    <row r="397" spans="1:21" x14ac:dyDescent="0.3">
      <c r="A397" s="80" t="s">
        <v>644</v>
      </c>
      <c r="B397">
        <v>2024</v>
      </c>
      <c r="C397" t="s">
        <v>227</v>
      </c>
      <c r="D397" t="s">
        <v>29</v>
      </c>
      <c r="E397" t="s">
        <v>45</v>
      </c>
      <c r="F397">
        <v>2996</v>
      </c>
      <c r="G397" t="s">
        <v>641</v>
      </c>
      <c r="H397" t="s">
        <v>233</v>
      </c>
      <c r="I397">
        <v>1347</v>
      </c>
      <c r="J397" t="s">
        <v>108</v>
      </c>
      <c r="K397" t="s">
        <v>31</v>
      </c>
      <c r="L397" s="22">
        <v>67359.99997759999</v>
      </c>
      <c r="M397" s="22" t="s">
        <v>409</v>
      </c>
      <c r="N397" s="24">
        <v>3</v>
      </c>
      <c r="O397" s="22">
        <v>14017.565065999997</v>
      </c>
      <c r="P397" s="22">
        <v>4672.5216886666658</v>
      </c>
      <c r="Q397" s="23">
        <v>0.20809924392312087</v>
      </c>
      <c r="R397" s="22" t="s">
        <v>42</v>
      </c>
      <c r="S397" s="22" t="s">
        <v>50</v>
      </c>
      <c r="T397" s="22" t="s">
        <v>89</v>
      </c>
      <c r="U397" s="63"/>
    </row>
    <row r="398" spans="1:21" x14ac:dyDescent="0.3">
      <c r="A398" s="14">
        <v>45447</v>
      </c>
      <c r="B398">
        <v>2024</v>
      </c>
      <c r="C398" t="s">
        <v>226</v>
      </c>
      <c r="D398" t="s">
        <v>29</v>
      </c>
      <c r="E398" t="s">
        <v>45</v>
      </c>
      <c r="F398">
        <v>3002</v>
      </c>
      <c r="G398" t="s">
        <v>651</v>
      </c>
      <c r="H398" t="s">
        <v>233</v>
      </c>
      <c r="I398">
        <v>300</v>
      </c>
      <c r="J398" t="s">
        <v>108</v>
      </c>
      <c r="K398" t="s">
        <v>633</v>
      </c>
      <c r="L398" s="22">
        <v>86763.00378544</v>
      </c>
      <c r="M398" s="22" t="s">
        <v>409</v>
      </c>
      <c r="N398" s="24">
        <v>3</v>
      </c>
      <c r="O398" s="22">
        <v>20598.15535234</v>
      </c>
      <c r="P398" s="22">
        <v>6866.0517841133333</v>
      </c>
      <c r="Q398" s="23">
        <v>0.2374</v>
      </c>
      <c r="R398" s="22" t="s">
        <v>42</v>
      </c>
      <c r="S398" s="22" t="s">
        <v>50</v>
      </c>
      <c r="T398" s="22" t="s">
        <v>89</v>
      </c>
      <c r="U398" s="63"/>
    </row>
    <row r="399" spans="1:21" x14ac:dyDescent="0.3">
      <c r="A399" s="14">
        <v>45468</v>
      </c>
      <c r="B399">
        <v>2024</v>
      </c>
      <c r="C399" t="s">
        <v>226</v>
      </c>
      <c r="D399" t="s">
        <v>29</v>
      </c>
      <c r="E399" t="s">
        <v>45</v>
      </c>
      <c r="F399">
        <v>3007</v>
      </c>
      <c r="G399" t="s">
        <v>652</v>
      </c>
      <c r="H399" t="s">
        <v>234</v>
      </c>
      <c r="I399">
        <v>14000</v>
      </c>
      <c r="J399" t="s">
        <v>108</v>
      </c>
      <c r="K399" t="s">
        <v>31</v>
      </c>
      <c r="L399" s="22">
        <v>613575.00011999998</v>
      </c>
      <c r="M399" s="22" t="s">
        <v>401</v>
      </c>
      <c r="N399" s="24">
        <v>12</v>
      </c>
      <c r="O399" s="22">
        <v>80326.188769999993</v>
      </c>
      <c r="P399" s="22">
        <v>6693.8490641666658</v>
      </c>
      <c r="Q399" s="23">
        <v>0.13091502873208685</v>
      </c>
      <c r="R399" s="22" t="s">
        <v>43</v>
      </c>
      <c r="S399" s="22" t="s">
        <v>50</v>
      </c>
      <c r="T399" s="22" t="s">
        <v>90</v>
      </c>
      <c r="U399" s="63"/>
    </row>
    <row r="400" spans="1:21" x14ac:dyDescent="0.3">
      <c r="A400" s="14">
        <v>45112</v>
      </c>
      <c r="B400">
        <v>2023</v>
      </c>
      <c r="C400" t="s">
        <v>654</v>
      </c>
      <c r="D400" t="s">
        <v>29</v>
      </c>
      <c r="E400" t="s">
        <v>657</v>
      </c>
      <c r="F400">
        <v>2921</v>
      </c>
      <c r="G400" t="s">
        <v>658</v>
      </c>
      <c r="H400" t="s">
        <v>235</v>
      </c>
      <c r="I400" s="87">
        <v>8869</v>
      </c>
      <c r="J400" t="s">
        <v>659</v>
      </c>
      <c r="K400" t="s">
        <v>660</v>
      </c>
      <c r="L400" s="22">
        <v>663503</v>
      </c>
      <c r="M400" s="22" t="s">
        <v>661</v>
      </c>
      <c r="N400" s="24">
        <v>3</v>
      </c>
      <c r="O400" s="22">
        <v>76219.350000000006</v>
      </c>
      <c r="P400" s="22">
        <v>25406</v>
      </c>
      <c r="Q400" s="23">
        <v>0.1149</v>
      </c>
      <c r="R400" s="22" t="s">
        <v>43</v>
      </c>
      <c r="S400" s="22" t="s">
        <v>50</v>
      </c>
      <c r="T400" s="22" t="s">
        <v>90</v>
      </c>
      <c r="U400" s="63"/>
    </row>
    <row r="401" spans="1:21" x14ac:dyDescent="0.3">
      <c r="A401" s="14">
        <v>45506</v>
      </c>
      <c r="B401">
        <v>2024</v>
      </c>
      <c r="C401" t="s">
        <v>228</v>
      </c>
      <c r="D401" t="s">
        <v>29</v>
      </c>
      <c r="E401" t="s">
        <v>45</v>
      </c>
      <c r="F401">
        <v>3014</v>
      </c>
      <c r="G401" t="s">
        <v>655</v>
      </c>
      <c r="H401" t="s">
        <v>234</v>
      </c>
      <c r="I401" s="87">
        <v>1875</v>
      </c>
      <c r="J401" t="s">
        <v>108</v>
      </c>
      <c r="K401" t="s">
        <v>31</v>
      </c>
      <c r="L401" s="22">
        <v>95692.66</v>
      </c>
      <c r="M401" s="22" t="s">
        <v>656</v>
      </c>
      <c r="N401" s="24">
        <v>3</v>
      </c>
      <c r="O401" s="22">
        <v>18340.919999999998</v>
      </c>
      <c r="P401" s="22">
        <v>6114</v>
      </c>
      <c r="Q401" s="23">
        <v>0.19170000000000001</v>
      </c>
      <c r="R401" s="22" t="s">
        <v>43</v>
      </c>
      <c r="S401" s="22" t="s">
        <v>50</v>
      </c>
      <c r="T401" s="22" t="s">
        <v>90</v>
      </c>
      <c r="U401" s="63"/>
    </row>
    <row r="402" spans="1:21" x14ac:dyDescent="0.3">
      <c r="A402" s="14">
        <v>45533</v>
      </c>
      <c r="B402">
        <v>2024</v>
      </c>
      <c r="C402" t="s">
        <v>228</v>
      </c>
      <c r="D402" t="s">
        <v>29</v>
      </c>
      <c r="E402" t="s">
        <v>30</v>
      </c>
      <c r="F402">
        <v>0</v>
      </c>
      <c r="G402" t="s">
        <v>544</v>
      </c>
      <c r="H402" t="s">
        <v>234</v>
      </c>
      <c r="I402" s="87">
        <v>868</v>
      </c>
      <c r="J402" t="s">
        <v>108</v>
      </c>
      <c r="K402" t="s">
        <v>31</v>
      </c>
      <c r="L402" s="22">
        <v>179930.00284155001</v>
      </c>
      <c r="M402" s="22" t="s">
        <v>402</v>
      </c>
      <c r="N402" s="24">
        <v>6</v>
      </c>
      <c r="O402" s="22">
        <v>38635.002806050004</v>
      </c>
      <c r="P402" s="22">
        <v>6439.1671343416674</v>
      </c>
      <c r="Q402" s="23">
        <v>0.21472240424557079</v>
      </c>
      <c r="R402" s="22" t="s">
        <v>43</v>
      </c>
      <c r="S402" s="22" t="s">
        <v>50</v>
      </c>
      <c r="T402" s="22" t="s">
        <v>90</v>
      </c>
      <c r="U402" s="63"/>
    </row>
    <row r="403" spans="1:21" x14ac:dyDescent="0.3">
      <c r="A403" s="14">
        <v>45514</v>
      </c>
      <c r="B403">
        <v>2024</v>
      </c>
      <c r="C403" t="s">
        <v>228</v>
      </c>
      <c r="D403" t="s">
        <v>29</v>
      </c>
      <c r="E403" t="s">
        <v>45</v>
      </c>
      <c r="F403" s="62" t="s">
        <v>663</v>
      </c>
      <c r="G403" t="s">
        <v>664</v>
      </c>
      <c r="H403" t="s">
        <v>233</v>
      </c>
      <c r="J403" t="s">
        <v>156</v>
      </c>
      <c r="K403" t="s">
        <v>157</v>
      </c>
      <c r="L403" s="22">
        <v>1274304.6439536</v>
      </c>
      <c r="M403" s="22" t="s">
        <v>401</v>
      </c>
      <c r="N403" s="24">
        <v>24</v>
      </c>
      <c r="O403" s="22">
        <v>166700.27835099999</v>
      </c>
      <c r="P403" s="22">
        <v>6945.8449312916664</v>
      </c>
      <c r="Q403" s="23">
        <v>0.13081666078984319</v>
      </c>
      <c r="R403" s="22" t="s">
        <v>42</v>
      </c>
      <c r="S403" s="22" t="s">
        <v>50</v>
      </c>
      <c r="T403" s="22" t="s">
        <v>89</v>
      </c>
      <c r="U403" s="63"/>
    </row>
    <row r="404" spans="1:21" x14ac:dyDescent="0.3">
      <c r="A404" s="14">
        <v>45532</v>
      </c>
      <c r="B404">
        <v>2024</v>
      </c>
      <c r="C404" t="s">
        <v>228</v>
      </c>
      <c r="D404" t="s">
        <v>29</v>
      </c>
      <c r="E404" t="s">
        <v>45</v>
      </c>
      <c r="F404">
        <v>3008</v>
      </c>
      <c r="G404" t="s">
        <v>665</v>
      </c>
      <c r="H404" t="s">
        <v>233</v>
      </c>
      <c r="I404">
        <v>3000</v>
      </c>
      <c r="J404" t="s">
        <v>108</v>
      </c>
      <c r="K404" t="s">
        <v>31</v>
      </c>
      <c r="L404" s="22">
        <v>97298.58920799999</v>
      </c>
      <c r="M404" s="22" t="s">
        <v>409</v>
      </c>
      <c r="N404" s="24">
        <v>3</v>
      </c>
      <c r="O404" s="22">
        <v>23958.487754000002</v>
      </c>
      <c r="P404" s="22">
        <v>7986.1625846666675</v>
      </c>
      <c r="Q404" s="23">
        <v>0.24623674350285554</v>
      </c>
      <c r="R404" s="22" t="s">
        <v>42</v>
      </c>
      <c r="S404" s="22" t="s">
        <v>50</v>
      </c>
      <c r="T404" s="22" t="s">
        <v>89</v>
      </c>
      <c r="U404" s="63"/>
    </row>
    <row r="405" spans="1:21" x14ac:dyDescent="0.3">
      <c r="A405" s="14">
        <v>45566</v>
      </c>
      <c r="B405">
        <v>2024</v>
      </c>
      <c r="C405" t="s">
        <v>228</v>
      </c>
      <c r="D405" t="s">
        <v>29</v>
      </c>
      <c r="E405" t="s">
        <v>30</v>
      </c>
      <c r="F405">
        <v>3018</v>
      </c>
      <c r="G405" t="s">
        <v>666</v>
      </c>
      <c r="H405" t="s">
        <v>235</v>
      </c>
      <c r="I405">
        <v>1594</v>
      </c>
      <c r="J405" t="s">
        <v>108</v>
      </c>
      <c r="K405" t="s">
        <v>31</v>
      </c>
      <c r="L405" s="22">
        <v>556804.10703119996</v>
      </c>
      <c r="M405" s="22" t="s">
        <v>401</v>
      </c>
      <c r="N405" s="24">
        <v>12</v>
      </c>
      <c r="O405" s="22">
        <v>70796.161221874994</v>
      </c>
      <c r="P405" s="22">
        <v>5899.6801018229162</v>
      </c>
      <c r="Q405" s="23">
        <v>0.12714734020075755</v>
      </c>
      <c r="R405" s="22" t="s">
        <v>43</v>
      </c>
      <c r="S405" s="22" t="s">
        <v>50</v>
      </c>
      <c r="T405" s="22" t="s">
        <v>90</v>
      </c>
      <c r="U405" s="63"/>
    </row>
    <row r="406" spans="1:21" x14ac:dyDescent="0.3">
      <c r="A406" s="14">
        <v>45589</v>
      </c>
      <c r="B406">
        <v>2024</v>
      </c>
      <c r="C406" t="s">
        <v>228</v>
      </c>
      <c r="D406" t="s">
        <v>29</v>
      </c>
      <c r="E406" t="s">
        <v>30</v>
      </c>
      <c r="F406">
        <v>2693</v>
      </c>
      <c r="G406" t="s">
        <v>667</v>
      </c>
      <c r="H406" t="s">
        <v>233</v>
      </c>
      <c r="I406">
        <v>2692</v>
      </c>
      <c r="J406" t="s">
        <v>156</v>
      </c>
      <c r="K406" t="s">
        <v>157</v>
      </c>
      <c r="L406" s="22">
        <v>303378.37312199996</v>
      </c>
      <c r="M406" s="22" t="s">
        <v>402</v>
      </c>
      <c r="N406" s="24">
        <v>7</v>
      </c>
      <c r="O406" s="22">
        <v>61482.600052000002</v>
      </c>
      <c r="P406" s="22">
        <v>8783.2285788571426</v>
      </c>
      <c r="Q406" s="23">
        <v>0.20265979878293933</v>
      </c>
      <c r="R406" s="22" t="s">
        <v>43</v>
      </c>
      <c r="S406" s="22" t="s">
        <v>50</v>
      </c>
      <c r="T406" s="22" t="s">
        <v>90</v>
      </c>
      <c r="U406" s="63"/>
    </row>
    <row r="407" spans="1:21" x14ac:dyDescent="0.3">
      <c r="A407" s="80" t="s">
        <v>407</v>
      </c>
      <c r="B407">
        <v>2024</v>
      </c>
      <c r="C407" t="s">
        <v>228</v>
      </c>
      <c r="D407" t="s">
        <v>29</v>
      </c>
      <c r="E407" t="s">
        <v>45</v>
      </c>
      <c r="F407">
        <v>3019</v>
      </c>
      <c r="G407" t="s">
        <v>668</v>
      </c>
      <c r="H407" t="s">
        <v>233</v>
      </c>
      <c r="I407">
        <v>100</v>
      </c>
      <c r="J407" t="s">
        <v>108</v>
      </c>
      <c r="K407" t="s">
        <v>31</v>
      </c>
      <c r="L407" s="22">
        <v>7150</v>
      </c>
      <c r="M407" s="22" t="s">
        <v>409</v>
      </c>
      <c r="N407" s="24">
        <v>1</v>
      </c>
      <c r="O407" s="22">
        <v>715</v>
      </c>
      <c r="P407" s="22">
        <v>715</v>
      </c>
      <c r="Q407" s="23">
        <v>0.15</v>
      </c>
      <c r="R407" s="22" t="s">
        <v>42</v>
      </c>
      <c r="S407" s="22" t="s">
        <v>50</v>
      </c>
      <c r="T407" s="22" t="s">
        <v>89</v>
      </c>
      <c r="U407" s="63"/>
    </row>
    <row r="408" spans="1:21" x14ac:dyDescent="0.3">
      <c r="A408" s="14">
        <v>45572</v>
      </c>
      <c r="B408">
        <v>2024</v>
      </c>
      <c r="C408" t="s">
        <v>228</v>
      </c>
      <c r="D408" t="s">
        <v>29</v>
      </c>
      <c r="E408" t="s">
        <v>45</v>
      </c>
      <c r="F408">
        <v>3001</v>
      </c>
      <c r="G408" t="s">
        <v>669</v>
      </c>
      <c r="H408" t="s">
        <v>233</v>
      </c>
      <c r="I408">
        <v>1200</v>
      </c>
      <c r="J408" t="s">
        <v>108</v>
      </c>
      <c r="K408" t="s">
        <v>31</v>
      </c>
      <c r="L408" s="22">
        <v>78547</v>
      </c>
      <c r="M408" s="22" t="s">
        <v>409</v>
      </c>
      <c r="N408" s="24">
        <v>4</v>
      </c>
      <c r="O408" s="22">
        <v>9036.6141384000002</v>
      </c>
      <c r="P408" s="22">
        <v>2259.1535346000001</v>
      </c>
      <c r="Q408" s="23">
        <v>9.3806393504009947E-2</v>
      </c>
      <c r="R408" s="22" t="s">
        <v>43</v>
      </c>
      <c r="S408" s="22" t="s">
        <v>50</v>
      </c>
      <c r="T408" s="22" t="s">
        <v>90</v>
      </c>
      <c r="U408" s="63"/>
    </row>
    <row r="409" spans="1:21" x14ac:dyDescent="0.3">
      <c r="A409" s="14">
        <v>45572</v>
      </c>
      <c r="B409">
        <v>2024</v>
      </c>
      <c r="C409" t="s">
        <v>228</v>
      </c>
      <c r="D409" t="s">
        <v>29</v>
      </c>
      <c r="E409" t="s">
        <v>45</v>
      </c>
      <c r="F409">
        <v>3001</v>
      </c>
      <c r="G409" t="s">
        <v>670</v>
      </c>
      <c r="H409" t="s">
        <v>233</v>
      </c>
      <c r="I409">
        <v>1200</v>
      </c>
      <c r="J409" t="s">
        <v>108</v>
      </c>
      <c r="K409" t="s">
        <v>31</v>
      </c>
      <c r="L409" s="22">
        <v>28639</v>
      </c>
      <c r="M409" s="22" t="s">
        <v>409</v>
      </c>
      <c r="N409" s="24">
        <v>4</v>
      </c>
      <c r="O409" s="22">
        <v>9036.6141384000002</v>
      </c>
      <c r="P409" s="22">
        <v>2259.1535346000001</v>
      </c>
      <c r="Q409" s="23">
        <v>9.3806393504009947E-2</v>
      </c>
      <c r="R409" s="22" t="s">
        <v>43</v>
      </c>
      <c r="S409" s="22" t="s">
        <v>50</v>
      </c>
      <c r="T409" s="22" t="s">
        <v>90</v>
      </c>
      <c r="U409" s="63"/>
    </row>
    <row r="410" spans="1:21" x14ac:dyDescent="0.3">
      <c r="A410" s="14">
        <v>45572</v>
      </c>
      <c r="B410">
        <v>2024</v>
      </c>
      <c r="C410" t="s">
        <v>228</v>
      </c>
      <c r="D410" t="s">
        <v>29</v>
      </c>
      <c r="E410" t="s">
        <v>45</v>
      </c>
      <c r="F410">
        <v>3001</v>
      </c>
      <c r="G410" t="s">
        <v>671</v>
      </c>
      <c r="H410" t="s">
        <v>233</v>
      </c>
      <c r="I410">
        <v>1200</v>
      </c>
      <c r="J410" t="s">
        <v>108</v>
      </c>
      <c r="K410" t="s">
        <v>31</v>
      </c>
      <c r="L410" s="22">
        <v>6695</v>
      </c>
      <c r="M410" s="22" t="s">
        <v>409</v>
      </c>
      <c r="N410" s="24">
        <v>1</v>
      </c>
      <c r="O410" s="22">
        <v>670</v>
      </c>
      <c r="P410" s="22">
        <v>670</v>
      </c>
      <c r="Q410" s="23">
        <v>0.1</v>
      </c>
      <c r="R410" s="22" t="s">
        <v>42</v>
      </c>
      <c r="S410" s="22" t="s">
        <v>50</v>
      </c>
      <c r="T410" s="22" t="s">
        <v>89</v>
      </c>
      <c r="U410" s="63"/>
    </row>
    <row r="411" spans="1:21" x14ac:dyDescent="0.3">
      <c r="A411" s="14">
        <v>45572</v>
      </c>
      <c r="B411">
        <v>2024</v>
      </c>
      <c r="C411" t="s">
        <v>228</v>
      </c>
      <c r="D411" t="s">
        <v>29</v>
      </c>
      <c r="E411" t="s">
        <v>45</v>
      </c>
      <c r="F411">
        <v>3001</v>
      </c>
      <c r="G411" t="s">
        <v>672</v>
      </c>
      <c r="H411" t="s">
        <v>233</v>
      </c>
      <c r="I411">
        <v>1200</v>
      </c>
      <c r="J411" t="s">
        <v>108</v>
      </c>
      <c r="K411" t="s">
        <v>31</v>
      </c>
      <c r="L411" s="22">
        <v>5431.5</v>
      </c>
      <c r="M411" s="22" t="s">
        <v>409</v>
      </c>
      <c r="N411" s="24">
        <v>1</v>
      </c>
      <c r="O411" s="22">
        <v>543</v>
      </c>
      <c r="P411" s="22">
        <v>543</v>
      </c>
      <c r="Q411" s="23">
        <v>0.1</v>
      </c>
      <c r="R411" s="22" t="s">
        <v>43</v>
      </c>
      <c r="S411" s="22" t="s">
        <v>50</v>
      </c>
      <c r="T411" s="22" t="s">
        <v>90</v>
      </c>
      <c r="U411" s="63"/>
    </row>
    <row r="412" spans="1:21" x14ac:dyDescent="0.3">
      <c r="A412" s="93">
        <v>45603</v>
      </c>
      <c r="B412" s="83">
        <v>2024</v>
      </c>
      <c r="C412" s="92" t="s">
        <v>228</v>
      </c>
      <c r="D412" t="s">
        <v>29</v>
      </c>
      <c r="E412" s="5" t="s">
        <v>45</v>
      </c>
      <c r="F412">
        <v>3023</v>
      </c>
      <c r="G412" s="5" t="s">
        <v>674</v>
      </c>
      <c r="H412" s="5" t="s">
        <v>234</v>
      </c>
      <c r="I412" s="81">
        <v>852</v>
      </c>
      <c r="J412" s="5" t="s">
        <v>108</v>
      </c>
      <c r="K412" s="5" t="s">
        <v>31</v>
      </c>
      <c r="L412" s="5">
        <v>285935.2026182175</v>
      </c>
      <c r="M412" s="5" t="s">
        <v>402</v>
      </c>
      <c r="N412">
        <v>6</v>
      </c>
      <c r="O412" s="5">
        <v>39099.174746062497</v>
      </c>
      <c r="P412" s="40">
        <v>6516.5291243437496</v>
      </c>
      <c r="Q412" s="9">
        <v>0.13674138192165153</v>
      </c>
      <c r="R412" s="22" t="s">
        <v>43</v>
      </c>
      <c r="S412" s="22" t="s">
        <v>50</v>
      </c>
      <c r="T412" s="22" t="s">
        <v>90</v>
      </c>
      <c r="U412" s="63"/>
    </row>
    <row r="413" spans="1:21" x14ac:dyDescent="0.3">
      <c r="A413" s="14">
        <v>45615</v>
      </c>
      <c r="B413">
        <v>2024</v>
      </c>
      <c r="C413" t="s">
        <v>228</v>
      </c>
      <c r="D413" t="s">
        <v>29</v>
      </c>
      <c r="E413" t="s">
        <v>45</v>
      </c>
      <c r="F413">
        <v>3029</v>
      </c>
      <c r="G413" t="s">
        <v>676</v>
      </c>
      <c r="H413" t="s">
        <v>234</v>
      </c>
      <c r="I413">
        <v>1715</v>
      </c>
      <c r="J413" t="s">
        <v>108</v>
      </c>
      <c r="K413" t="s">
        <v>31</v>
      </c>
      <c r="L413" s="22">
        <v>155999.99926834999</v>
      </c>
      <c r="M413" s="22" t="s">
        <v>402</v>
      </c>
      <c r="N413" s="24">
        <v>5</v>
      </c>
      <c r="O413" s="22">
        <v>25169.672521249999</v>
      </c>
      <c r="P413" s="22">
        <v>5033.9345042499999</v>
      </c>
      <c r="Q413" s="23">
        <v>0.1613440553801114</v>
      </c>
      <c r="R413" s="22" t="s">
        <v>42</v>
      </c>
      <c r="S413" s="22" t="s">
        <v>50</v>
      </c>
      <c r="T413" s="22" t="s">
        <v>89</v>
      </c>
      <c r="U413" s="63"/>
    </row>
    <row r="414" spans="1:21" x14ac:dyDescent="0.3">
      <c r="A414" s="14">
        <v>45608</v>
      </c>
      <c r="B414">
        <v>2024</v>
      </c>
      <c r="C414" t="s">
        <v>228</v>
      </c>
      <c r="D414" t="s">
        <v>29</v>
      </c>
      <c r="E414" t="s">
        <v>45</v>
      </c>
      <c r="F414">
        <v>3021</v>
      </c>
      <c r="G414" t="s">
        <v>678</v>
      </c>
      <c r="H414" t="s">
        <v>398</v>
      </c>
      <c r="I414">
        <v>51456</v>
      </c>
      <c r="J414" t="s">
        <v>156</v>
      </c>
      <c r="K414" t="s">
        <v>157</v>
      </c>
      <c r="L414" s="22">
        <v>9398802.416762935</v>
      </c>
      <c r="M414" s="22" t="s">
        <v>399</v>
      </c>
      <c r="N414" s="24">
        <v>68</v>
      </c>
      <c r="O414" s="22">
        <v>660338.70884201222</v>
      </c>
      <c r="P414" s="22">
        <v>9710.8633653237084</v>
      </c>
      <c r="Q414" s="23">
        <v>7.0257749823986734E-2</v>
      </c>
      <c r="R414" s="22" t="s">
        <v>42</v>
      </c>
      <c r="S414" s="22" t="s">
        <v>50</v>
      </c>
      <c r="T414" s="22" t="s">
        <v>89</v>
      </c>
      <c r="U414" s="63"/>
    </row>
    <row r="415" spans="1:21" x14ac:dyDescent="0.3">
      <c r="A415" s="14">
        <v>45615</v>
      </c>
      <c r="B415">
        <v>2024</v>
      </c>
      <c r="C415" t="s">
        <v>228</v>
      </c>
      <c r="D415" t="s">
        <v>29</v>
      </c>
      <c r="E415" t="s">
        <v>45</v>
      </c>
      <c r="F415">
        <v>2998</v>
      </c>
      <c r="G415" t="s">
        <v>679</v>
      </c>
      <c r="H415" t="s">
        <v>398</v>
      </c>
      <c r="I415">
        <v>59130</v>
      </c>
      <c r="J415" t="s">
        <v>156</v>
      </c>
      <c r="K415" t="s">
        <v>157</v>
      </c>
      <c r="L415" s="22">
        <v>9807366.7182234321</v>
      </c>
      <c r="M415" s="22" t="s">
        <v>399</v>
      </c>
      <c r="N415" s="24">
        <v>78</v>
      </c>
      <c r="O415" s="22">
        <v>705137.67719616601</v>
      </c>
      <c r="P415" s="22">
        <v>9040.2266307200771</v>
      </c>
      <c r="Q415" s="23">
        <v>7.1898777465506977E-2</v>
      </c>
      <c r="R415" s="22" t="s">
        <v>43</v>
      </c>
      <c r="S415" s="22" t="s">
        <v>50</v>
      </c>
      <c r="T415" s="22" t="s">
        <v>90</v>
      </c>
      <c r="U415" s="63"/>
    </row>
    <row r="416" spans="1:21" x14ac:dyDescent="0.3">
      <c r="A416" s="14">
        <v>45615</v>
      </c>
      <c r="B416">
        <v>2024</v>
      </c>
      <c r="C416" t="s">
        <v>228</v>
      </c>
      <c r="D416" t="s">
        <v>29</v>
      </c>
      <c r="E416" t="s">
        <v>45</v>
      </c>
      <c r="F416">
        <v>2998</v>
      </c>
      <c r="G416" t="s">
        <v>680</v>
      </c>
      <c r="H416" t="s">
        <v>398</v>
      </c>
      <c r="I416">
        <v>31785</v>
      </c>
      <c r="J416" t="s">
        <v>156</v>
      </c>
      <c r="K416" t="s">
        <v>157</v>
      </c>
      <c r="L416" s="22">
        <v>5260729.9382227231</v>
      </c>
      <c r="M416" s="22" t="s">
        <v>399</v>
      </c>
      <c r="N416" s="24">
        <v>52</v>
      </c>
      <c r="O416" s="22">
        <v>411061.43655044929</v>
      </c>
      <c r="P416" s="22">
        <v>7905.0276259701786</v>
      </c>
      <c r="Q416" s="23">
        <v>7.8137718791419591E-2</v>
      </c>
      <c r="R416" s="22" t="s">
        <v>43</v>
      </c>
      <c r="S416" s="22" t="s">
        <v>50</v>
      </c>
      <c r="T416" s="22" t="s">
        <v>90</v>
      </c>
      <c r="U416" s="63"/>
    </row>
    <row r="417" spans="1:21" x14ac:dyDescent="0.3">
      <c r="A417" s="14">
        <v>45615</v>
      </c>
      <c r="B417">
        <v>2024</v>
      </c>
      <c r="C417" t="s">
        <v>228</v>
      </c>
      <c r="D417" t="s">
        <v>29</v>
      </c>
      <c r="E417" t="s">
        <v>45</v>
      </c>
      <c r="F417">
        <v>2998</v>
      </c>
      <c r="G417" t="s">
        <v>681</v>
      </c>
      <c r="H417" t="s">
        <v>398</v>
      </c>
      <c r="I417">
        <v>59130</v>
      </c>
      <c r="J417" t="s">
        <v>156</v>
      </c>
      <c r="K417" t="s">
        <v>157</v>
      </c>
      <c r="L417" s="22">
        <v>9807732.5662020035</v>
      </c>
      <c r="M417" s="22" t="s">
        <v>399</v>
      </c>
      <c r="N417" s="24">
        <v>78</v>
      </c>
      <c r="O417" s="22">
        <v>705154.62772863894</v>
      </c>
      <c r="P417" s="22">
        <v>9040.4439452389615</v>
      </c>
      <c r="Q417" s="23">
        <v>7.1897823780252876E-2</v>
      </c>
      <c r="R417" s="22" t="s">
        <v>43</v>
      </c>
      <c r="S417" s="22" t="s">
        <v>50</v>
      </c>
      <c r="T417" s="22" t="s">
        <v>90</v>
      </c>
      <c r="U417" s="63"/>
    </row>
    <row r="418" spans="1:21" x14ac:dyDescent="0.3">
      <c r="A418" s="14">
        <v>45636</v>
      </c>
      <c r="B418">
        <v>2025</v>
      </c>
      <c r="C418" t="s">
        <v>229</v>
      </c>
      <c r="D418" t="s">
        <v>29</v>
      </c>
      <c r="E418" t="s">
        <v>30</v>
      </c>
      <c r="F418">
        <v>3027</v>
      </c>
      <c r="G418" t="s">
        <v>682</v>
      </c>
      <c r="H418" t="s">
        <v>234</v>
      </c>
      <c r="I418">
        <v>3691</v>
      </c>
      <c r="J418" t="s">
        <v>108</v>
      </c>
      <c r="K418" t="s">
        <v>31</v>
      </c>
      <c r="L418" s="22">
        <v>309801.00248542504</v>
      </c>
      <c r="M418" s="22" t="s">
        <v>402</v>
      </c>
      <c r="N418" s="24">
        <v>7</v>
      </c>
      <c r="O418" s="22">
        <v>41788.545723525</v>
      </c>
      <c r="P418" s="22">
        <v>5969.7922462178567</v>
      </c>
      <c r="Q418" s="23">
        <v>0.13488834893454224</v>
      </c>
      <c r="R418" s="22" t="s">
        <v>42</v>
      </c>
      <c r="S418" s="22">
        <v>0</v>
      </c>
      <c r="T418" s="22" t="s">
        <v>89</v>
      </c>
      <c r="U418" s="63"/>
    </row>
    <row r="419" spans="1:21" x14ac:dyDescent="0.3">
      <c r="A419" s="14">
        <v>45646</v>
      </c>
      <c r="B419">
        <v>2025</v>
      </c>
      <c r="C419" t="s">
        <v>229</v>
      </c>
      <c r="D419" t="s">
        <v>29</v>
      </c>
      <c r="E419" t="s">
        <v>45</v>
      </c>
      <c r="F419">
        <v>3024</v>
      </c>
      <c r="G419" t="s">
        <v>675</v>
      </c>
      <c r="H419" t="s">
        <v>233</v>
      </c>
      <c r="I419">
        <v>1500</v>
      </c>
      <c r="J419" t="s">
        <v>156</v>
      </c>
      <c r="K419" t="s">
        <v>157</v>
      </c>
      <c r="L419" s="22">
        <v>375592.08962879999</v>
      </c>
      <c r="M419" s="22" t="s">
        <v>402</v>
      </c>
      <c r="N419" s="24">
        <v>7</v>
      </c>
      <c r="O419" s="22">
        <v>66156.629768300001</v>
      </c>
      <c r="P419" s="22">
        <v>9450.9471097571422</v>
      </c>
      <c r="Q419" s="23">
        <v>0.17613957161260507</v>
      </c>
      <c r="R419" s="22" t="s">
        <v>43</v>
      </c>
      <c r="S419" s="22" t="s">
        <v>50</v>
      </c>
      <c r="T419" s="22" t="s">
        <v>90</v>
      </c>
      <c r="U419" s="63"/>
    </row>
    <row r="420" spans="1:21" x14ac:dyDescent="0.3">
      <c r="A420" s="14">
        <v>45646</v>
      </c>
      <c r="B420">
        <v>2025</v>
      </c>
      <c r="C420" t="s">
        <v>229</v>
      </c>
      <c r="D420" t="s">
        <v>29</v>
      </c>
      <c r="E420" t="s">
        <v>30</v>
      </c>
      <c r="F420">
        <v>3022</v>
      </c>
      <c r="G420" t="s">
        <v>673</v>
      </c>
      <c r="H420" t="s">
        <v>233</v>
      </c>
      <c r="I420">
        <v>5905</v>
      </c>
      <c r="J420" t="s">
        <v>156</v>
      </c>
      <c r="K420" t="s">
        <v>157</v>
      </c>
      <c r="L420" s="22">
        <v>391471.279155</v>
      </c>
      <c r="M420" s="22" t="s">
        <v>402</v>
      </c>
      <c r="N420" s="24">
        <v>10</v>
      </c>
      <c r="O420" s="22">
        <v>77735.077856500022</v>
      </c>
      <c r="P420" s="22">
        <v>7773.507785650002</v>
      </c>
      <c r="Q420" s="23">
        <v>0.19857159897986137</v>
      </c>
      <c r="R420" s="22" t="s">
        <v>42</v>
      </c>
      <c r="S420" s="22" t="s">
        <v>50</v>
      </c>
      <c r="T420" s="22" t="s">
        <v>89</v>
      </c>
      <c r="U420" s="63"/>
    </row>
    <row r="421" spans="1:21" x14ac:dyDescent="0.3">
      <c r="A421" s="14">
        <v>45638</v>
      </c>
      <c r="B421">
        <v>2025</v>
      </c>
      <c r="C421" t="s">
        <v>229</v>
      </c>
      <c r="D421" t="s">
        <v>29</v>
      </c>
      <c r="E421" t="s">
        <v>45</v>
      </c>
      <c r="F421">
        <v>3028</v>
      </c>
      <c r="G421" t="s">
        <v>677</v>
      </c>
      <c r="H421" t="s">
        <v>398</v>
      </c>
      <c r="I421">
        <v>15040</v>
      </c>
      <c r="J421" t="s">
        <v>156</v>
      </c>
      <c r="K421" t="s">
        <v>157</v>
      </c>
      <c r="L421" s="22">
        <v>888307.7198352</v>
      </c>
      <c r="M421" s="22" t="s">
        <v>401</v>
      </c>
      <c r="N421" s="24">
        <v>16</v>
      </c>
      <c r="O421" s="22">
        <v>115324.85280700002</v>
      </c>
      <c r="P421" s="22">
        <v>7207.8033004375011</v>
      </c>
      <c r="Q421" s="23">
        <v>0.12982534118739308</v>
      </c>
      <c r="R421" s="22" t="s">
        <v>43</v>
      </c>
      <c r="S421" s="22" t="s">
        <v>50</v>
      </c>
      <c r="T421" s="22" t="s">
        <v>90</v>
      </c>
      <c r="U421" s="63"/>
    </row>
    <row r="422" spans="1:21" x14ac:dyDescent="0.3">
      <c r="A422" s="14">
        <v>45674</v>
      </c>
      <c r="B422">
        <v>2025</v>
      </c>
      <c r="C422" t="s">
        <v>229</v>
      </c>
      <c r="D422" t="s">
        <v>29</v>
      </c>
      <c r="E422" t="s">
        <v>38</v>
      </c>
      <c r="F422">
        <v>3031</v>
      </c>
      <c r="G422" t="s">
        <v>683</v>
      </c>
      <c r="H422" t="s">
        <v>234</v>
      </c>
      <c r="I422">
        <v>42700</v>
      </c>
      <c r="J422" t="s">
        <v>156</v>
      </c>
      <c r="K422" t="s">
        <v>157</v>
      </c>
      <c r="L422" s="22">
        <v>2697903.27</v>
      </c>
      <c r="M422" s="22" t="s">
        <v>400</v>
      </c>
      <c r="N422" s="24">
        <v>24</v>
      </c>
      <c r="O422" s="22">
        <v>223523.95</v>
      </c>
      <c r="P422" s="22">
        <f>+DATA[[#This Row],[Soft Cost]]/DATA[[#This Row],[Schedule]]</f>
        <v>9313.4979166666672</v>
      </c>
      <c r="Q422" s="23">
        <v>8.2900000000000001E-2</v>
      </c>
      <c r="R422" s="22" t="s">
        <v>42</v>
      </c>
      <c r="S422" s="22" t="s">
        <v>50</v>
      </c>
      <c r="T422" s="22" t="s">
        <v>89</v>
      </c>
      <c r="U422" s="63"/>
    </row>
    <row r="423" spans="1:21" x14ac:dyDescent="0.3">
      <c r="A423" s="14">
        <v>45677</v>
      </c>
      <c r="B423">
        <v>2025</v>
      </c>
      <c r="C423" t="s">
        <v>229</v>
      </c>
      <c r="D423" t="s">
        <v>29</v>
      </c>
      <c r="E423" t="s">
        <v>45</v>
      </c>
      <c r="F423">
        <v>3029</v>
      </c>
      <c r="G423" t="s">
        <v>685</v>
      </c>
      <c r="H423" t="s">
        <v>235</v>
      </c>
      <c r="I423">
        <v>1690</v>
      </c>
      <c r="J423" t="s">
        <v>108</v>
      </c>
      <c r="K423" t="s">
        <v>31</v>
      </c>
      <c r="L423" s="22">
        <v>235259.99786319997</v>
      </c>
      <c r="M423" s="22" t="s">
        <v>402</v>
      </c>
      <c r="N423" s="24">
        <v>6</v>
      </c>
      <c r="O423" s="22">
        <v>30642.318349499998</v>
      </c>
      <c r="P423" s="22">
        <v>5107.0530582499996</v>
      </c>
      <c r="Q423" s="23">
        <v>0.13024874023555008</v>
      </c>
      <c r="R423" s="22" t="s">
        <v>42</v>
      </c>
      <c r="S423" s="22" t="s">
        <v>50</v>
      </c>
      <c r="T423" s="22" t="s">
        <v>89</v>
      </c>
      <c r="U423" s="63"/>
    </row>
    <row r="424" spans="1:21" x14ac:dyDescent="0.3">
      <c r="A424" s="14">
        <v>45708</v>
      </c>
      <c r="B424">
        <v>2025</v>
      </c>
      <c r="C424" t="s">
        <v>229</v>
      </c>
      <c r="D424" t="s">
        <v>29</v>
      </c>
      <c r="E424" t="s">
        <v>30</v>
      </c>
      <c r="F424">
        <v>3037</v>
      </c>
      <c r="G424" t="s">
        <v>684</v>
      </c>
      <c r="H424" t="s">
        <v>235</v>
      </c>
      <c r="I424">
        <v>3080</v>
      </c>
      <c r="J424" t="s">
        <v>108</v>
      </c>
      <c r="K424" t="s">
        <v>31</v>
      </c>
      <c r="L424" s="22">
        <v>156848.62119675</v>
      </c>
      <c r="M424" s="22" t="s">
        <v>402</v>
      </c>
      <c r="N424" s="24">
        <v>5</v>
      </c>
      <c r="O424" s="22">
        <v>22518.31130225</v>
      </c>
      <c r="P424" s="22">
        <v>4503.6622604499998</v>
      </c>
      <c r="Q424" s="23">
        <v>0.1435671613204885</v>
      </c>
      <c r="R424" s="22" t="s">
        <v>42</v>
      </c>
      <c r="S424" s="22" t="s">
        <v>50</v>
      </c>
      <c r="T424" s="22" t="s">
        <v>89</v>
      </c>
      <c r="U424" s="63"/>
    </row>
    <row r="425" spans="1:21" x14ac:dyDescent="0.3">
      <c r="A425" s="14">
        <v>45695</v>
      </c>
      <c r="B425">
        <v>2025</v>
      </c>
      <c r="C425" t="s">
        <v>229</v>
      </c>
      <c r="D425" t="s">
        <v>29</v>
      </c>
      <c r="E425" t="s">
        <v>45</v>
      </c>
      <c r="F425" s="62" t="s">
        <v>704</v>
      </c>
      <c r="G425" t="s">
        <v>708</v>
      </c>
      <c r="H425" t="s">
        <v>233</v>
      </c>
      <c r="I425">
        <v>9383.2999999999993</v>
      </c>
      <c r="J425" t="s">
        <v>156</v>
      </c>
      <c r="K425" t="s">
        <v>157</v>
      </c>
      <c r="L425" s="22">
        <v>7300768.6076119905</v>
      </c>
      <c r="M425" s="22" t="s">
        <v>399</v>
      </c>
      <c r="N425" s="24">
        <v>40</v>
      </c>
      <c r="O425" s="22">
        <v>452231.04911163647</v>
      </c>
      <c r="P425" s="22">
        <v>11305.776227790911</v>
      </c>
      <c r="Q425" s="23">
        <v>6.1942936890251175E-2</v>
      </c>
      <c r="R425" s="22" t="s">
        <v>43</v>
      </c>
      <c r="S425" s="22" t="s">
        <v>50</v>
      </c>
      <c r="T425" s="22" t="s">
        <v>90</v>
      </c>
      <c r="U425" s="63"/>
    </row>
    <row r="426" spans="1:21" x14ac:dyDescent="0.3">
      <c r="A426" s="80" t="s">
        <v>687</v>
      </c>
      <c r="B426">
        <v>2025</v>
      </c>
      <c r="C426" t="s">
        <v>229</v>
      </c>
      <c r="D426" t="s">
        <v>29</v>
      </c>
      <c r="E426" t="s">
        <v>45</v>
      </c>
      <c r="F426" s="62">
        <v>3035</v>
      </c>
      <c r="G426" t="s">
        <v>688</v>
      </c>
      <c r="H426" t="s">
        <v>233</v>
      </c>
      <c r="I426">
        <v>336</v>
      </c>
      <c r="J426" t="s">
        <v>108</v>
      </c>
      <c r="K426" t="s">
        <v>31</v>
      </c>
      <c r="L426" s="22">
        <v>77095.099119999999</v>
      </c>
      <c r="M426" s="22" t="s">
        <v>409</v>
      </c>
      <c r="N426" s="24">
        <v>4</v>
      </c>
      <c r="O426" s="22">
        <v>17064.410520000001</v>
      </c>
      <c r="P426" s="22">
        <v>4266.1026300000003</v>
      </c>
      <c r="Q426" s="23">
        <v>0.22134235139173916</v>
      </c>
      <c r="R426" s="22" t="s">
        <v>43</v>
      </c>
      <c r="S426" s="22" t="s">
        <v>50</v>
      </c>
      <c r="T426" s="22" t="s">
        <v>90</v>
      </c>
      <c r="U426" s="63"/>
    </row>
    <row r="427" spans="1:21" x14ac:dyDescent="0.3">
      <c r="A427" s="14">
        <v>45762</v>
      </c>
      <c r="B427">
        <v>2025</v>
      </c>
      <c r="C427" t="s">
        <v>227</v>
      </c>
      <c r="D427" t="s">
        <v>29</v>
      </c>
      <c r="E427" t="s">
        <v>45</v>
      </c>
      <c r="F427" s="62">
        <v>3045</v>
      </c>
      <c r="G427" t="s">
        <v>689</v>
      </c>
      <c r="H427" t="s">
        <v>398</v>
      </c>
      <c r="I427">
        <v>102372</v>
      </c>
      <c r="J427" t="s">
        <v>156</v>
      </c>
      <c r="K427" t="s">
        <v>157</v>
      </c>
      <c r="L427" s="22">
        <v>23523374.60675355</v>
      </c>
      <c r="M427" s="22" t="s">
        <v>399</v>
      </c>
      <c r="N427" s="24">
        <v>80</v>
      </c>
      <c r="O427" s="22">
        <v>1440450.8783237806</v>
      </c>
      <c r="P427" s="22">
        <v>18005.635979047256</v>
      </c>
      <c r="Q427" s="23">
        <v>6.1234873924518797E-2</v>
      </c>
      <c r="R427" s="22" t="s">
        <v>43</v>
      </c>
      <c r="S427" s="22" t="s">
        <v>50</v>
      </c>
      <c r="T427" s="22" t="s">
        <v>90</v>
      </c>
      <c r="U427" s="63"/>
    </row>
    <row r="428" spans="1:21" x14ac:dyDescent="0.3">
      <c r="A428" s="14">
        <v>45777</v>
      </c>
      <c r="B428">
        <v>2025</v>
      </c>
      <c r="C428" t="s">
        <v>227</v>
      </c>
      <c r="D428" t="s">
        <v>29</v>
      </c>
      <c r="E428" t="s">
        <v>38</v>
      </c>
      <c r="F428">
        <v>3048</v>
      </c>
      <c r="G428" t="s">
        <v>690</v>
      </c>
      <c r="H428" t="s">
        <v>233</v>
      </c>
      <c r="I428">
        <v>3816</v>
      </c>
      <c r="J428" t="s">
        <v>108</v>
      </c>
      <c r="K428" t="s">
        <v>31</v>
      </c>
      <c r="L428" s="22">
        <v>965399.9957760002</v>
      </c>
      <c r="M428" s="22" t="s">
        <v>401</v>
      </c>
      <c r="N428" s="24">
        <v>14</v>
      </c>
      <c r="O428" s="22">
        <v>110466.44556250001</v>
      </c>
      <c r="P428" s="22">
        <v>7890.4603973214298</v>
      </c>
      <c r="Q428" s="23">
        <v>0.1144255707953528</v>
      </c>
      <c r="R428" s="22" t="s">
        <v>43</v>
      </c>
      <c r="S428" s="22" t="s">
        <v>50</v>
      </c>
      <c r="T428" s="22" t="s">
        <v>90</v>
      </c>
      <c r="U428" s="63"/>
    </row>
    <row r="429" spans="1:21" x14ac:dyDescent="0.3">
      <c r="A429" s="80" t="s">
        <v>696</v>
      </c>
      <c r="B429">
        <v>2025</v>
      </c>
      <c r="C429" t="s">
        <v>227</v>
      </c>
      <c r="D429" t="s">
        <v>29</v>
      </c>
      <c r="E429" t="s">
        <v>38</v>
      </c>
      <c r="F429">
        <v>3044</v>
      </c>
      <c r="G429" t="s">
        <v>697</v>
      </c>
      <c r="H429" t="s">
        <v>235</v>
      </c>
      <c r="I429">
        <v>4287</v>
      </c>
      <c r="J429" t="s">
        <v>108</v>
      </c>
      <c r="K429" t="s">
        <v>31</v>
      </c>
      <c r="L429" s="22">
        <v>492100.84642816003</v>
      </c>
      <c r="M429" s="22" t="s">
        <v>402</v>
      </c>
      <c r="N429" s="24">
        <v>11</v>
      </c>
      <c r="O429" s="22">
        <v>77543.857390360005</v>
      </c>
      <c r="P429" s="22">
        <v>7049.4415809418188</v>
      </c>
      <c r="Q429" s="23">
        <v>0.15757716726805171</v>
      </c>
      <c r="R429" s="22" t="s">
        <v>43</v>
      </c>
      <c r="S429" s="22" t="s">
        <v>50</v>
      </c>
      <c r="T429" s="22" t="s">
        <v>90</v>
      </c>
      <c r="U429" s="63"/>
    </row>
    <row r="430" spans="1:21" x14ac:dyDescent="0.3">
      <c r="A430" s="14">
        <v>45799</v>
      </c>
      <c r="B430">
        <v>2025</v>
      </c>
      <c r="C430" t="s">
        <v>227</v>
      </c>
      <c r="D430" t="s">
        <v>29</v>
      </c>
      <c r="E430" t="s">
        <v>45</v>
      </c>
      <c r="F430" s="62" t="s">
        <v>702</v>
      </c>
      <c r="G430" t="s">
        <v>694</v>
      </c>
      <c r="H430" t="s">
        <v>234</v>
      </c>
      <c r="I430">
        <v>5000</v>
      </c>
      <c r="J430" t="s">
        <v>108</v>
      </c>
      <c r="K430" t="s">
        <v>31</v>
      </c>
      <c r="L430" s="22">
        <v>67373.899999999994</v>
      </c>
      <c r="M430" s="22" t="s">
        <v>409</v>
      </c>
      <c r="N430" s="24">
        <v>3</v>
      </c>
      <c r="O430" s="22">
        <f>8900+6124.9</f>
        <v>15024.9</v>
      </c>
      <c r="P430" s="22">
        <f>+DATA[[#This Row],[Soft Cost]]/DATA[[#This Row],[Schedule]]</f>
        <v>5008.3</v>
      </c>
      <c r="Q430" s="23">
        <v>0.223</v>
      </c>
      <c r="R430" s="22" t="s">
        <v>42</v>
      </c>
      <c r="S430" s="22" t="s">
        <v>50</v>
      </c>
      <c r="T430" s="22" t="s">
        <v>89</v>
      </c>
      <c r="U430" s="63"/>
    </row>
    <row r="431" spans="1:21" x14ac:dyDescent="0.3">
      <c r="A431" s="80" t="s">
        <v>698</v>
      </c>
      <c r="B431">
        <v>2025</v>
      </c>
      <c r="C431" t="s">
        <v>226</v>
      </c>
      <c r="D431" t="s">
        <v>29</v>
      </c>
      <c r="E431" t="s">
        <v>45</v>
      </c>
      <c r="F431">
        <v>3055</v>
      </c>
      <c r="G431" t="s">
        <v>699</v>
      </c>
      <c r="H431" t="s">
        <v>234</v>
      </c>
      <c r="I431">
        <v>1400</v>
      </c>
      <c r="J431" t="s">
        <v>108</v>
      </c>
      <c r="K431" t="s">
        <v>31</v>
      </c>
      <c r="L431" s="22">
        <v>105470.002592</v>
      </c>
      <c r="M431" s="22" t="s">
        <v>402</v>
      </c>
      <c r="N431" s="24">
        <v>6</v>
      </c>
      <c r="O431" s="22">
        <v>22438.050832000001</v>
      </c>
      <c r="P431" s="22">
        <v>3739.675138666667</v>
      </c>
      <c r="Q431" s="23">
        <v>0.21274343681206989</v>
      </c>
      <c r="R431" s="22" t="s">
        <v>42</v>
      </c>
      <c r="S431" s="22" t="s">
        <v>50</v>
      </c>
      <c r="T431" s="22" t="s">
        <v>89</v>
      </c>
      <c r="U431" s="63"/>
    </row>
    <row r="432" spans="1:21" x14ac:dyDescent="0.3">
      <c r="A432" s="80" t="s">
        <v>700</v>
      </c>
      <c r="B432">
        <v>2025</v>
      </c>
      <c r="C432" t="s">
        <v>226</v>
      </c>
      <c r="D432" t="s">
        <v>29</v>
      </c>
      <c r="E432" t="s">
        <v>343</v>
      </c>
      <c r="F432">
        <v>3053</v>
      </c>
      <c r="G432" t="s">
        <v>693</v>
      </c>
      <c r="H432" t="s">
        <v>235</v>
      </c>
      <c r="I432">
        <v>2153</v>
      </c>
      <c r="J432" t="s">
        <v>108</v>
      </c>
      <c r="K432" t="s">
        <v>31</v>
      </c>
      <c r="L432" s="22">
        <v>1698769.90102656</v>
      </c>
      <c r="M432" s="22" t="s">
        <v>401</v>
      </c>
      <c r="N432" s="24">
        <v>30</v>
      </c>
      <c r="O432" s="22">
        <v>247945.42762176</v>
      </c>
      <c r="P432" s="22">
        <v>8264.8475873919997</v>
      </c>
      <c r="Q432" s="23">
        <v>0.14595586339970326</v>
      </c>
      <c r="R432" s="22" t="s">
        <v>43</v>
      </c>
      <c r="S432" s="22" t="s">
        <v>50</v>
      </c>
      <c r="T432" s="22" t="s">
        <v>90</v>
      </c>
      <c r="U432" s="63"/>
    </row>
    <row r="433" spans="1:21" x14ac:dyDescent="0.3">
      <c r="A433" s="14">
        <v>45821</v>
      </c>
      <c r="B433">
        <v>2025</v>
      </c>
      <c r="C433" t="s">
        <v>226</v>
      </c>
      <c r="D433" t="s">
        <v>29</v>
      </c>
      <c r="E433" t="s">
        <v>30</v>
      </c>
      <c r="F433">
        <v>3054</v>
      </c>
      <c r="G433" t="s">
        <v>701</v>
      </c>
      <c r="H433" t="s">
        <v>233</v>
      </c>
      <c r="I433">
        <v>16145</v>
      </c>
      <c r="J433" t="s">
        <v>156</v>
      </c>
      <c r="K433" t="s">
        <v>157</v>
      </c>
      <c r="L433" s="22">
        <v>929842.82984775002</v>
      </c>
      <c r="M433" s="22" t="s">
        <v>401</v>
      </c>
      <c r="N433" s="24">
        <v>16</v>
      </c>
      <c r="O433" s="22">
        <v>132247.17845925002</v>
      </c>
      <c r="P433" s="22">
        <v>8265.4486537031262</v>
      </c>
      <c r="Q433" s="23">
        <v>0.14222530326001848</v>
      </c>
      <c r="R433" s="22" t="s">
        <v>43</v>
      </c>
      <c r="S433" s="22" t="s">
        <v>50</v>
      </c>
      <c r="T433" s="22" t="s">
        <v>90</v>
      </c>
      <c r="U433" s="63"/>
    </row>
    <row r="434" spans="1:21" x14ac:dyDescent="0.3">
      <c r="A434" s="14">
        <v>45855</v>
      </c>
      <c r="B434">
        <v>2025</v>
      </c>
      <c r="C434" t="s">
        <v>226</v>
      </c>
      <c r="D434" t="s">
        <v>29</v>
      </c>
      <c r="E434" t="s">
        <v>30</v>
      </c>
      <c r="F434">
        <v>2839</v>
      </c>
      <c r="G434" t="s">
        <v>705</v>
      </c>
      <c r="H434" t="s">
        <v>398</v>
      </c>
      <c r="I434">
        <v>25500</v>
      </c>
      <c r="J434" t="s">
        <v>156</v>
      </c>
      <c r="K434" t="s">
        <v>157</v>
      </c>
      <c r="L434" s="22">
        <v>5233879.0849899165</v>
      </c>
      <c r="M434" s="22" t="s">
        <v>399</v>
      </c>
      <c r="N434" s="24">
        <v>48</v>
      </c>
      <c r="O434" s="22">
        <v>494856.23316926591</v>
      </c>
      <c r="P434" s="22">
        <v>10309.50485769304</v>
      </c>
      <c r="Q434" s="23">
        <v>9.4548656003240333E-2</v>
      </c>
      <c r="R434" s="22" t="s">
        <v>42</v>
      </c>
      <c r="S434" s="22" t="s">
        <v>50</v>
      </c>
      <c r="T434" s="22" t="s">
        <v>89</v>
      </c>
      <c r="U434" s="63"/>
    </row>
    <row r="435" spans="1:21" x14ac:dyDescent="0.3">
      <c r="A435" s="14">
        <v>45851</v>
      </c>
      <c r="B435">
        <v>2025</v>
      </c>
      <c r="C435" t="s">
        <v>226</v>
      </c>
      <c r="D435" t="s">
        <v>29</v>
      </c>
      <c r="E435" t="s">
        <v>45</v>
      </c>
      <c r="F435">
        <v>3041</v>
      </c>
      <c r="G435" t="s">
        <v>707</v>
      </c>
      <c r="H435" t="s">
        <v>233</v>
      </c>
      <c r="I435">
        <v>1747</v>
      </c>
      <c r="J435" t="s">
        <v>156</v>
      </c>
      <c r="K435" t="s">
        <v>157</v>
      </c>
      <c r="L435" s="22">
        <v>762566.11698960001</v>
      </c>
      <c r="M435" s="22" t="s">
        <v>401</v>
      </c>
      <c r="N435" s="24">
        <v>13</v>
      </c>
      <c r="O435" s="22">
        <v>95620.3649</v>
      </c>
      <c r="P435" s="22">
        <v>7355.4126846153849</v>
      </c>
      <c r="Q435" s="23">
        <v>0.1253928843278308</v>
      </c>
      <c r="R435" s="22" t="s">
        <v>42</v>
      </c>
      <c r="S435" s="22" t="s">
        <v>50</v>
      </c>
      <c r="T435" s="22" t="s">
        <v>90</v>
      </c>
      <c r="U435" s="63"/>
    </row>
    <row r="436" spans="1:21" x14ac:dyDescent="0.3">
      <c r="A436" s="14">
        <v>45862</v>
      </c>
      <c r="B436">
        <v>2025</v>
      </c>
      <c r="C436" t="s">
        <v>226</v>
      </c>
      <c r="D436" t="s">
        <v>29</v>
      </c>
      <c r="E436" t="s">
        <v>45</v>
      </c>
      <c r="F436">
        <v>3060</v>
      </c>
      <c r="G436" t="s">
        <v>706</v>
      </c>
      <c r="H436" t="s">
        <v>233</v>
      </c>
      <c r="I436">
        <v>5336</v>
      </c>
      <c r="J436" t="s">
        <v>156</v>
      </c>
      <c r="K436" t="s">
        <v>157</v>
      </c>
      <c r="L436" s="22">
        <v>622531.14322560001</v>
      </c>
      <c r="M436" s="22" t="s">
        <v>401</v>
      </c>
      <c r="N436" s="24">
        <v>11</v>
      </c>
      <c r="O436" s="22">
        <v>79886.696121000001</v>
      </c>
      <c r="P436" s="22">
        <v>7262.4269200909093</v>
      </c>
      <c r="Q436" s="23">
        <v>0.12832562192322278</v>
      </c>
      <c r="R436" s="22" t="s">
        <v>85</v>
      </c>
      <c r="S436" s="22" t="s">
        <v>50</v>
      </c>
      <c r="T436" s="22" t="s">
        <v>90</v>
      </c>
      <c r="U436" s="63"/>
    </row>
    <row r="437" spans="1:21" x14ac:dyDescent="0.3">
      <c r="A437" s="14">
        <v>45889</v>
      </c>
      <c r="B437">
        <v>2025</v>
      </c>
      <c r="C437" t="s">
        <v>226</v>
      </c>
      <c r="D437" t="s">
        <v>29</v>
      </c>
      <c r="E437" t="s">
        <v>45</v>
      </c>
      <c r="F437">
        <v>3063</v>
      </c>
      <c r="G437" t="s">
        <v>709</v>
      </c>
      <c r="H437" t="s">
        <v>234</v>
      </c>
      <c r="I437">
        <v>2880</v>
      </c>
      <c r="J437" t="s">
        <v>108</v>
      </c>
      <c r="K437" t="s">
        <v>31</v>
      </c>
      <c r="L437" s="22">
        <v>107220.00475759999</v>
      </c>
      <c r="M437" s="22" t="s">
        <v>402</v>
      </c>
      <c r="N437" s="24">
        <v>6</v>
      </c>
      <c r="O437" s="22">
        <v>21596.9589285</v>
      </c>
      <c r="P437" s="22">
        <v>3599.49315475</v>
      </c>
      <c r="Q437" s="23">
        <v>0.2014265805837801</v>
      </c>
      <c r="R437" s="22" t="s">
        <v>42</v>
      </c>
      <c r="S437" s="22" t="s">
        <v>50</v>
      </c>
      <c r="T437" s="22" t="s">
        <v>89</v>
      </c>
      <c r="U437" s="63"/>
    </row>
    <row r="438" spans="1:21" x14ac:dyDescent="0.3">
      <c r="A438" s="93">
        <v>45876</v>
      </c>
      <c r="B438" s="83">
        <v>2025</v>
      </c>
      <c r="C438" s="92" t="s">
        <v>226</v>
      </c>
      <c r="D438" t="s">
        <v>29</v>
      </c>
      <c r="E438" s="103" t="s">
        <v>30</v>
      </c>
      <c r="F438">
        <v>3062</v>
      </c>
      <c r="G438" s="5" t="s">
        <v>710</v>
      </c>
      <c r="H438" s="103" t="s">
        <v>233</v>
      </c>
      <c r="I438" s="81">
        <v>592.0695144</v>
      </c>
      <c r="J438" s="5" t="s">
        <v>156</v>
      </c>
      <c r="K438" s="5" t="s">
        <v>157</v>
      </c>
      <c r="L438" s="5">
        <v>139180.20965838153</v>
      </c>
      <c r="M438" s="5" t="s">
        <v>402</v>
      </c>
      <c r="N438">
        <v>6</v>
      </c>
      <c r="O438" s="5">
        <v>33354.668213315854</v>
      </c>
      <c r="P438" s="1">
        <v>5559.1113688859759</v>
      </c>
      <c r="Q438" s="9">
        <v>0.23965094100077189</v>
      </c>
      <c r="R438" s="22" t="s">
        <v>43</v>
      </c>
      <c r="S438" s="22" t="s">
        <v>50</v>
      </c>
      <c r="T438" s="22" t="s">
        <v>90</v>
      </c>
      <c r="U438" s="63"/>
    </row>
    <row r="439" spans="1:21" x14ac:dyDescent="0.3">
      <c r="A439" s="14">
        <v>45884</v>
      </c>
      <c r="B439">
        <v>2025</v>
      </c>
      <c r="C439" t="s">
        <v>226</v>
      </c>
      <c r="D439" t="s">
        <v>29</v>
      </c>
      <c r="E439" t="s">
        <v>45</v>
      </c>
      <c r="F439">
        <v>3059</v>
      </c>
      <c r="G439" t="s">
        <v>762</v>
      </c>
      <c r="H439" t="s">
        <v>234</v>
      </c>
      <c r="I439">
        <v>10534</v>
      </c>
      <c r="J439" t="s">
        <v>156</v>
      </c>
      <c r="K439" t="s">
        <v>157</v>
      </c>
      <c r="L439" s="22">
        <v>3160200</v>
      </c>
      <c r="M439" s="22" t="s">
        <v>399</v>
      </c>
      <c r="N439" s="24">
        <v>26</v>
      </c>
      <c r="O439" s="22">
        <v>169000</v>
      </c>
      <c r="P439" s="22">
        <v>6500</v>
      </c>
      <c r="Q439" s="23">
        <v>0.08</v>
      </c>
      <c r="R439" s="22" t="s">
        <v>43</v>
      </c>
      <c r="S439" s="22" t="s">
        <v>50</v>
      </c>
      <c r="T439" s="22" t="s">
        <v>90</v>
      </c>
      <c r="U439" s="63"/>
    </row>
    <row r="440" spans="1:21" x14ac:dyDescent="0.3">
      <c r="A440" s="14">
        <v>45877</v>
      </c>
      <c r="B440">
        <v>2025</v>
      </c>
      <c r="C440" t="s">
        <v>226</v>
      </c>
      <c r="D440" t="s">
        <v>29</v>
      </c>
      <c r="E440" t="s">
        <v>45</v>
      </c>
      <c r="F440" s="62" t="s">
        <v>712</v>
      </c>
      <c r="G440" t="s">
        <v>713</v>
      </c>
      <c r="H440" t="s">
        <v>398</v>
      </c>
      <c r="I440">
        <v>41859</v>
      </c>
      <c r="J440" t="s">
        <v>156</v>
      </c>
      <c r="K440" t="s">
        <v>157</v>
      </c>
      <c r="L440" s="22">
        <v>10197054.917884193</v>
      </c>
      <c r="M440" s="22" t="s">
        <v>399</v>
      </c>
      <c r="N440" s="24">
        <v>78</v>
      </c>
      <c r="O440" s="22">
        <v>723498.87488646002</v>
      </c>
      <c r="P440" s="22">
        <v>9275.6266011084626</v>
      </c>
      <c r="Q440" s="23">
        <v>7.0951748393307687E-2</v>
      </c>
      <c r="R440" s="22" t="s">
        <v>85</v>
      </c>
      <c r="S440" s="22" t="s">
        <v>50</v>
      </c>
      <c r="T440" s="22" t="s">
        <v>90</v>
      </c>
      <c r="U440" s="63"/>
    </row>
    <row r="441" spans="1:21" x14ac:dyDescent="0.3">
      <c r="A441" s="14">
        <v>45926</v>
      </c>
      <c r="B441">
        <v>2025</v>
      </c>
      <c r="C441" t="s">
        <v>228</v>
      </c>
      <c r="D441" t="s">
        <v>29</v>
      </c>
      <c r="E441" t="s">
        <v>45</v>
      </c>
      <c r="F441">
        <v>3066</v>
      </c>
      <c r="G441" t="s">
        <v>758</v>
      </c>
      <c r="H441" t="s">
        <v>233</v>
      </c>
      <c r="I441">
        <v>1630</v>
      </c>
      <c r="J441" t="s">
        <v>156</v>
      </c>
      <c r="K441" t="s">
        <v>157</v>
      </c>
      <c r="L441" s="114">
        <v>201980.19576</v>
      </c>
      <c r="M441" s="99" t="s">
        <v>402</v>
      </c>
      <c r="N441" s="98">
        <v>6</v>
      </c>
      <c r="O441" s="114">
        <v>39057.517850000004</v>
      </c>
      <c r="P441" s="101">
        <v>6509.5863083333343</v>
      </c>
      <c r="Q441" s="102">
        <v>0.19337300720516939</v>
      </c>
      <c r="R441" s="22" t="s">
        <v>42</v>
      </c>
      <c r="S441" s="22" t="s">
        <v>50</v>
      </c>
      <c r="T441" s="22" t="s">
        <v>89</v>
      </c>
      <c r="U441" s="63"/>
    </row>
    <row r="442" spans="1:21" x14ac:dyDescent="0.3">
      <c r="A442" s="14">
        <v>45926</v>
      </c>
      <c r="B442">
        <v>2025</v>
      </c>
      <c r="C442" t="s">
        <v>226</v>
      </c>
      <c r="D442" t="s">
        <v>29</v>
      </c>
      <c r="E442" t="s">
        <v>45</v>
      </c>
      <c r="F442">
        <v>3066</v>
      </c>
      <c r="G442" t="s">
        <v>759</v>
      </c>
      <c r="H442" t="s">
        <v>233</v>
      </c>
      <c r="I442">
        <v>1630</v>
      </c>
      <c r="J442" t="s">
        <v>156</v>
      </c>
      <c r="K442" t="s">
        <v>157</v>
      </c>
      <c r="L442" s="22">
        <v>37072.430640000006</v>
      </c>
      <c r="M442" s="99" t="s">
        <v>409</v>
      </c>
      <c r="N442" s="24">
        <v>1</v>
      </c>
      <c r="O442" s="22">
        <v>6266.2874000000002</v>
      </c>
      <c r="P442" s="22">
        <v>6266.2874000000002</v>
      </c>
      <c r="Q442" s="23">
        <v>0.16902823181059162</v>
      </c>
      <c r="R442" s="22" t="s">
        <v>42</v>
      </c>
      <c r="S442" s="22" t="s">
        <v>50</v>
      </c>
      <c r="T442" s="22" t="s">
        <v>89</v>
      </c>
      <c r="U442" s="22"/>
    </row>
    <row r="443" spans="1:21" x14ac:dyDescent="0.3">
      <c r="A443" s="14">
        <v>45952</v>
      </c>
      <c r="B443">
        <v>2025</v>
      </c>
      <c r="C443" t="s">
        <v>228</v>
      </c>
      <c r="D443" t="s">
        <v>29</v>
      </c>
      <c r="E443" t="s">
        <v>45</v>
      </c>
      <c r="F443">
        <v>3069</v>
      </c>
      <c r="G443" t="s">
        <v>722</v>
      </c>
      <c r="H443" t="s">
        <v>233</v>
      </c>
      <c r="I443">
        <v>12191</v>
      </c>
      <c r="J443" t="s">
        <v>156</v>
      </c>
      <c r="K443" t="s">
        <v>157</v>
      </c>
      <c r="L443" s="22">
        <v>1433284.7403362002</v>
      </c>
      <c r="M443" s="22" t="s">
        <v>401</v>
      </c>
      <c r="N443" s="24">
        <v>26</v>
      </c>
      <c r="O443" s="22">
        <v>243020.77395570002</v>
      </c>
      <c r="P443" s="22">
        <v>9346.9528444500011</v>
      </c>
      <c r="Q443" s="23">
        <v>0.16955512545169185</v>
      </c>
      <c r="R443" s="22" t="s">
        <v>43</v>
      </c>
      <c r="S443" s="22" t="s">
        <v>50</v>
      </c>
      <c r="T443" s="22" t="s">
        <v>90</v>
      </c>
      <c r="U443" s="63"/>
    </row>
    <row r="444" spans="1:21" x14ac:dyDescent="0.3">
      <c r="A444" s="14">
        <v>45953</v>
      </c>
      <c r="B444" s="83">
        <v>2025</v>
      </c>
      <c r="C444" s="92" t="s">
        <v>228</v>
      </c>
      <c r="D444" t="s">
        <v>29</v>
      </c>
      <c r="E444" s="5" t="s">
        <v>45</v>
      </c>
      <c r="F444">
        <v>3074</v>
      </c>
      <c r="G444" s="5" t="s">
        <v>729</v>
      </c>
      <c r="H444" s="5" t="s">
        <v>398</v>
      </c>
      <c r="I444" s="81">
        <v>139443</v>
      </c>
      <c r="J444" s="5" t="s">
        <v>156</v>
      </c>
      <c r="K444" s="5" t="s">
        <v>157</v>
      </c>
      <c r="L444" s="5">
        <v>32774597.774034686</v>
      </c>
      <c r="M444" s="5" t="s">
        <v>399</v>
      </c>
      <c r="N444">
        <v>96</v>
      </c>
      <c r="O444" s="5">
        <v>1962679.5340346878</v>
      </c>
      <c r="P444" s="40">
        <v>20444.578479527998</v>
      </c>
      <c r="Q444" s="9">
        <v>5.9884168451629298E-2</v>
      </c>
      <c r="R444" s="22" t="s">
        <v>43</v>
      </c>
      <c r="S444" s="22" t="s">
        <v>50</v>
      </c>
      <c r="T444" s="22" t="s">
        <v>90</v>
      </c>
      <c r="U444" s="63"/>
    </row>
    <row r="445" spans="1:21" x14ac:dyDescent="0.3">
      <c r="A445" s="14">
        <v>45960</v>
      </c>
      <c r="B445">
        <v>2025</v>
      </c>
      <c r="C445" t="s">
        <v>228</v>
      </c>
      <c r="D445" t="s">
        <v>29</v>
      </c>
      <c r="E445" t="s">
        <v>45</v>
      </c>
      <c r="F445">
        <v>3075</v>
      </c>
      <c r="G445" t="s">
        <v>730</v>
      </c>
      <c r="H445" t="s">
        <v>233</v>
      </c>
      <c r="I445">
        <v>3000</v>
      </c>
      <c r="J445" t="s">
        <v>156</v>
      </c>
      <c r="K445" t="s">
        <v>157</v>
      </c>
      <c r="L445" s="22">
        <v>1004487.3999006001</v>
      </c>
      <c r="M445" s="22" t="s">
        <v>401</v>
      </c>
      <c r="N445" s="24">
        <v>20</v>
      </c>
      <c r="O445" s="22">
        <v>143871.00615</v>
      </c>
      <c r="P445" s="22">
        <v>7193.5503074999997</v>
      </c>
      <c r="Q445" s="23">
        <v>0.15755111192102617</v>
      </c>
      <c r="R445" s="22" t="s">
        <v>43</v>
      </c>
      <c r="S445" s="22" t="s">
        <v>50</v>
      </c>
      <c r="T445" s="22" t="s">
        <v>90</v>
      </c>
      <c r="U445" s="63"/>
    </row>
    <row r="446" spans="1:21" x14ac:dyDescent="0.3">
      <c r="A446" s="14">
        <v>45972</v>
      </c>
      <c r="B446">
        <v>2025</v>
      </c>
      <c r="C446" t="s">
        <v>228</v>
      </c>
      <c r="D446" t="s">
        <v>35</v>
      </c>
      <c r="E446" t="s">
        <v>35</v>
      </c>
      <c r="F446">
        <v>3077</v>
      </c>
      <c r="G446" t="s">
        <v>731</v>
      </c>
      <c r="H446" t="s">
        <v>234</v>
      </c>
      <c r="I446">
        <v>22307</v>
      </c>
      <c r="J446" t="s">
        <v>108</v>
      </c>
      <c r="K446" t="s">
        <v>31</v>
      </c>
      <c r="L446" s="22">
        <v>4265482.0013007997</v>
      </c>
      <c r="M446" s="22" t="s">
        <v>400</v>
      </c>
      <c r="N446" s="24">
        <v>32</v>
      </c>
      <c r="O446" s="22">
        <v>448357.35620657145</v>
      </c>
      <c r="P446" s="22">
        <v>14011.167381455358</v>
      </c>
      <c r="Q446" s="23">
        <v>0.10511294059378062</v>
      </c>
      <c r="R446" s="22" t="s">
        <v>43</v>
      </c>
      <c r="S446" s="22" t="s">
        <v>50</v>
      </c>
      <c r="T446" s="22" t="s">
        <v>90</v>
      </c>
      <c r="U446" s="63"/>
    </row>
    <row r="447" spans="1:21" x14ac:dyDescent="0.3">
      <c r="A447" s="14">
        <v>45961</v>
      </c>
      <c r="B447">
        <v>2025</v>
      </c>
      <c r="C447" t="s">
        <v>228</v>
      </c>
      <c r="D447" t="s">
        <v>29</v>
      </c>
      <c r="E447" t="s">
        <v>732</v>
      </c>
      <c r="F447">
        <v>3078</v>
      </c>
      <c r="G447" t="s">
        <v>733</v>
      </c>
      <c r="H447" t="s">
        <v>234</v>
      </c>
      <c r="I447">
        <v>10000</v>
      </c>
      <c r="J447" t="s">
        <v>108</v>
      </c>
      <c r="K447" t="s">
        <v>31</v>
      </c>
      <c r="L447" s="22">
        <v>510789.56939999998</v>
      </c>
      <c r="M447" s="22" t="s">
        <v>401</v>
      </c>
      <c r="N447" s="24">
        <v>8</v>
      </c>
      <c r="O447" s="22">
        <v>74731.728399999993</v>
      </c>
      <c r="P447" s="22">
        <v>9341.4660499999991</v>
      </c>
      <c r="Q447" s="23">
        <v>0.14630629299612319</v>
      </c>
      <c r="R447" s="22" t="s">
        <v>43</v>
      </c>
      <c r="S447" s="22" t="s">
        <v>50</v>
      </c>
      <c r="T447" s="22" t="s">
        <v>90</v>
      </c>
      <c r="U447" s="63"/>
    </row>
    <row r="448" spans="1:21" x14ac:dyDescent="0.3">
      <c r="A448" s="14">
        <v>45980</v>
      </c>
      <c r="B448">
        <v>2025</v>
      </c>
      <c r="C448" t="s">
        <v>228</v>
      </c>
      <c r="D448" t="s">
        <v>35</v>
      </c>
      <c r="E448" t="s">
        <v>35</v>
      </c>
      <c r="F448">
        <v>3081</v>
      </c>
      <c r="G448" t="s">
        <v>734</v>
      </c>
      <c r="H448" t="s">
        <v>235</v>
      </c>
      <c r="I448">
        <v>2372</v>
      </c>
      <c r="J448" t="s">
        <v>108</v>
      </c>
      <c r="K448" t="s">
        <v>31</v>
      </c>
      <c r="L448" s="22">
        <v>162832.44600000003</v>
      </c>
      <c r="M448" s="22" t="s">
        <v>402</v>
      </c>
      <c r="N448" s="24">
        <v>5</v>
      </c>
      <c r="O448" s="22">
        <v>29166</v>
      </c>
      <c r="P448" s="22">
        <v>5833.2</v>
      </c>
      <c r="Q448" s="23">
        <v>0.17911663625073834</v>
      </c>
      <c r="R448" s="22" t="s">
        <v>43</v>
      </c>
      <c r="S448" s="22" t="s">
        <v>50</v>
      </c>
      <c r="T448" s="22" t="s">
        <v>90</v>
      </c>
      <c r="U448" s="63"/>
    </row>
    <row r="449" spans="1:21" x14ac:dyDescent="0.3">
      <c r="A449" s="14">
        <v>45985</v>
      </c>
      <c r="B449">
        <v>2025</v>
      </c>
      <c r="C449" t="s">
        <v>228</v>
      </c>
      <c r="D449" t="s">
        <v>29</v>
      </c>
      <c r="E449" t="s">
        <v>45</v>
      </c>
      <c r="F449">
        <v>3082</v>
      </c>
      <c r="G449" t="s">
        <v>735</v>
      </c>
      <c r="H449" t="s">
        <v>398</v>
      </c>
      <c r="I449">
        <v>42100</v>
      </c>
      <c r="J449" t="s">
        <v>156</v>
      </c>
      <c r="K449" t="s">
        <v>157</v>
      </c>
      <c r="L449" s="22">
        <v>8038332.8524526274</v>
      </c>
      <c r="M449" s="22" t="s">
        <v>399</v>
      </c>
      <c r="N449" s="24">
        <v>60</v>
      </c>
      <c r="O449" s="22">
        <v>602332.15274166944</v>
      </c>
      <c r="P449" s="22">
        <v>10038.869212361158</v>
      </c>
      <c r="Q449" s="23">
        <v>7.4932472167768965E-2</v>
      </c>
      <c r="R449" s="22" t="s">
        <v>85</v>
      </c>
      <c r="S449" s="22" t="s">
        <v>50</v>
      </c>
      <c r="T449" s="22" t="s">
        <v>90</v>
      </c>
      <c r="U449" s="63"/>
    </row>
    <row r="450" spans="1:21" x14ac:dyDescent="0.3">
      <c r="A450" s="14">
        <v>45978</v>
      </c>
      <c r="B450">
        <v>2025</v>
      </c>
      <c r="C450" t="s">
        <v>228</v>
      </c>
      <c r="D450" t="s">
        <v>29</v>
      </c>
      <c r="E450" t="s">
        <v>45</v>
      </c>
      <c r="F450" s="62" t="s">
        <v>740</v>
      </c>
      <c r="G450" t="s">
        <v>741</v>
      </c>
      <c r="H450" t="s">
        <v>233</v>
      </c>
      <c r="I450">
        <v>21053</v>
      </c>
      <c r="J450" t="s">
        <v>156</v>
      </c>
      <c r="K450" t="s">
        <v>157</v>
      </c>
      <c r="L450" s="22">
        <v>2638646.3235833584</v>
      </c>
      <c r="M450" s="22" t="s">
        <v>400</v>
      </c>
      <c r="N450" s="24">
        <v>40</v>
      </c>
      <c r="O450" s="22">
        <v>352985.46912631381</v>
      </c>
      <c r="P450" s="22">
        <v>8824.6367281578459</v>
      </c>
      <c r="Q450" s="23">
        <v>0.13377521116469648</v>
      </c>
      <c r="R450" s="22" t="s">
        <v>43</v>
      </c>
      <c r="S450" s="22" t="s">
        <v>50</v>
      </c>
      <c r="T450" s="22" t="s">
        <v>90</v>
      </c>
      <c r="U450" s="63"/>
    </row>
    <row r="451" spans="1:21" x14ac:dyDescent="0.3">
      <c r="A451" s="14">
        <v>45967</v>
      </c>
      <c r="B451">
        <v>2025</v>
      </c>
      <c r="C451" t="s">
        <v>228</v>
      </c>
      <c r="D451" t="s">
        <v>29</v>
      </c>
      <c r="E451" t="s">
        <v>45</v>
      </c>
      <c r="F451">
        <v>3071</v>
      </c>
      <c r="G451" t="s">
        <v>742</v>
      </c>
      <c r="H451" t="s">
        <v>233</v>
      </c>
      <c r="I451" s="87">
        <v>1085</v>
      </c>
      <c r="J451" t="s">
        <v>659</v>
      </c>
      <c r="K451" t="s">
        <v>660</v>
      </c>
      <c r="L451" s="22">
        <v>965021.23</v>
      </c>
      <c r="M451" s="22" t="s">
        <v>661</v>
      </c>
      <c r="N451" s="24">
        <v>16</v>
      </c>
      <c r="O451" s="22">
        <v>117233.58</v>
      </c>
      <c r="P451" s="22">
        <v>7327</v>
      </c>
      <c r="Q451" s="23">
        <v>0.1215</v>
      </c>
      <c r="R451" s="22" t="s">
        <v>42</v>
      </c>
      <c r="S451" s="22" t="s">
        <v>50</v>
      </c>
      <c r="T451" s="22" t="s">
        <v>89</v>
      </c>
      <c r="U451" s="63"/>
    </row>
    <row r="452" spans="1:21" x14ac:dyDescent="0.3">
      <c r="A452" s="14">
        <v>45994</v>
      </c>
      <c r="B452">
        <v>2026</v>
      </c>
      <c r="C452" t="s">
        <v>229</v>
      </c>
      <c r="D452" t="s">
        <v>29</v>
      </c>
      <c r="E452" t="s">
        <v>30</v>
      </c>
      <c r="F452">
        <v>3083</v>
      </c>
      <c r="G452" t="s">
        <v>736</v>
      </c>
      <c r="H452" t="s">
        <v>233</v>
      </c>
      <c r="I452">
        <v>5858</v>
      </c>
      <c r="J452" t="s">
        <v>108</v>
      </c>
      <c r="K452" t="s">
        <v>31</v>
      </c>
      <c r="L452" s="22">
        <v>161879.99614</v>
      </c>
      <c r="M452" s="22" t="s">
        <v>402</v>
      </c>
      <c r="N452" s="24">
        <v>5</v>
      </c>
      <c r="O452" s="22">
        <v>33592.14084</v>
      </c>
      <c r="P452" s="22">
        <v>6718.4281680000004</v>
      </c>
      <c r="Q452" s="23">
        <v>0.20751261206448407</v>
      </c>
      <c r="R452" s="22" t="s">
        <v>43</v>
      </c>
      <c r="S452" s="22" t="s">
        <v>50</v>
      </c>
      <c r="T452" s="22" t="s">
        <v>90</v>
      </c>
      <c r="U452" s="63"/>
    </row>
    <row r="453" spans="1:21" x14ac:dyDescent="0.3">
      <c r="A453" s="14">
        <v>45995</v>
      </c>
      <c r="B453">
        <v>2026</v>
      </c>
      <c r="C453" t="s">
        <v>229</v>
      </c>
      <c r="D453" t="s">
        <v>29</v>
      </c>
      <c r="E453" t="s">
        <v>45</v>
      </c>
      <c r="F453">
        <v>3085</v>
      </c>
      <c r="G453" t="s">
        <v>737</v>
      </c>
      <c r="H453" t="s">
        <v>233</v>
      </c>
      <c r="I453">
        <v>580</v>
      </c>
      <c r="J453" t="s">
        <v>108</v>
      </c>
      <c r="K453" t="s">
        <v>31</v>
      </c>
      <c r="L453" s="22">
        <v>1457188.1781089827</v>
      </c>
      <c r="M453" s="22" t="s">
        <v>401</v>
      </c>
      <c r="N453" s="24">
        <v>20</v>
      </c>
      <c r="O453" s="22">
        <v>220206.49419293046</v>
      </c>
      <c r="P453" s="22">
        <v>11010.324709646524</v>
      </c>
      <c r="Q453" s="23">
        <v>0.15111740371013446</v>
      </c>
      <c r="R453" s="22" t="s">
        <v>43</v>
      </c>
      <c r="S453" s="22" t="s">
        <v>50</v>
      </c>
      <c r="T453" s="22" t="s">
        <v>90</v>
      </c>
      <c r="U453" s="63"/>
    </row>
    <row r="454" spans="1:21" x14ac:dyDescent="0.3">
      <c r="A454" s="14">
        <v>46010</v>
      </c>
      <c r="B454">
        <v>2026</v>
      </c>
      <c r="C454" t="s">
        <v>229</v>
      </c>
      <c r="D454" t="s">
        <v>29</v>
      </c>
      <c r="E454" t="s">
        <v>30</v>
      </c>
      <c r="F454">
        <v>3088</v>
      </c>
      <c r="G454" t="s">
        <v>745</v>
      </c>
      <c r="H454" t="s">
        <v>234</v>
      </c>
      <c r="I454">
        <v>2300</v>
      </c>
      <c r="J454" t="s">
        <v>108</v>
      </c>
      <c r="K454" t="s">
        <v>31</v>
      </c>
      <c r="L454" s="22">
        <v>64396.240873868745</v>
      </c>
      <c r="M454" s="22" t="s">
        <v>409</v>
      </c>
      <c r="N454" s="24">
        <v>2</v>
      </c>
      <c r="O454" s="22">
        <v>14814.83144435</v>
      </c>
      <c r="P454" s="22">
        <v>7407.4157221750002</v>
      </c>
      <c r="Q454" s="23">
        <v>0.23005739532789543</v>
      </c>
      <c r="R454" s="22" t="s">
        <v>43</v>
      </c>
      <c r="S454" s="22" t="s">
        <v>50</v>
      </c>
      <c r="T454" s="22" t="s">
        <v>90</v>
      </c>
      <c r="U454" s="63"/>
    </row>
    <row r="455" spans="1:21" x14ac:dyDescent="0.3">
      <c r="A455" s="14">
        <v>46041</v>
      </c>
      <c r="B455">
        <v>2026</v>
      </c>
      <c r="C455" t="s">
        <v>229</v>
      </c>
      <c r="D455" t="s">
        <v>29</v>
      </c>
      <c r="E455" t="s">
        <v>45</v>
      </c>
      <c r="F455">
        <v>3086</v>
      </c>
      <c r="G455" t="s">
        <v>739</v>
      </c>
      <c r="H455" t="s">
        <v>233</v>
      </c>
      <c r="I455">
        <v>3818</v>
      </c>
      <c r="J455" t="s">
        <v>156</v>
      </c>
      <c r="K455" t="s">
        <v>157</v>
      </c>
      <c r="L455" s="22">
        <v>1202154.4098649765</v>
      </c>
      <c r="M455" s="22" t="s">
        <v>401</v>
      </c>
      <c r="N455" s="24">
        <v>20</v>
      </c>
      <c r="O455" s="22">
        <v>143236.25668382092</v>
      </c>
      <c r="P455" s="22">
        <v>7161.812834191046</v>
      </c>
      <c r="Q455" s="23">
        <v>0.13106459624425434</v>
      </c>
      <c r="R455" s="22" t="s">
        <v>42</v>
      </c>
      <c r="S455" s="22" t="s">
        <v>50</v>
      </c>
      <c r="T455" s="22" t="s">
        <v>89</v>
      </c>
      <c r="U455" s="63"/>
    </row>
    <row r="456" spans="1:21" x14ac:dyDescent="0.3">
      <c r="A456" s="14">
        <v>46029</v>
      </c>
      <c r="B456">
        <v>2026</v>
      </c>
      <c r="C456" t="s">
        <v>229</v>
      </c>
      <c r="D456" t="s">
        <v>29</v>
      </c>
      <c r="E456" t="s">
        <v>38</v>
      </c>
      <c r="F456">
        <v>3090</v>
      </c>
      <c r="G456" t="s">
        <v>750</v>
      </c>
      <c r="H456" t="s">
        <v>234</v>
      </c>
      <c r="I456">
        <v>30087</v>
      </c>
      <c r="J456" t="s">
        <v>108</v>
      </c>
      <c r="K456" t="s">
        <v>31</v>
      </c>
      <c r="L456" s="22">
        <v>294943.9987</v>
      </c>
      <c r="M456" s="22" t="s">
        <v>402</v>
      </c>
      <c r="N456">
        <v>6</v>
      </c>
      <c r="O456" s="22">
        <v>41215.679499999998</v>
      </c>
      <c r="P456" s="22">
        <v>6869.2799166666664</v>
      </c>
      <c r="Q456" s="23">
        <v>0.13974069545969031</v>
      </c>
      <c r="R456" t="s">
        <v>43</v>
      </c>
      <c r="S456" t="s">
        <v>50</v>
      </c>
      <c r="T456" t="s">
        <v>90</v>
      </c>
      <c r="U456" s="63"/>
    </row>
    <row r="457" spans="1:21" x14ac:dyDescent="0.3">
      <c r="A457" s="14">
        <v>46051</v>
      </c>
      <c r="B457">
        <v>2026</v>
      </c>
      <c r="C457" t="s">
        <v>229</v>
      </c>
      <c r="D457" t="s">
        <v>29</v>
      </c>
      <c r="E457" t="s">
        <v>45</v>
      </c>
      <c r="F457">
        <v>3092</v>
      </c>
      <c r="G457" t="s">
        <v>749</v>
      </c>
      <c r="H457" t="s">
        <v>398</v>
      </c>
      <c r="I457">
        <v>64000</v>
      </c>
      <c r="J457" t="s">
        <v>156</v>
      </c>
      <c r="K457" t="s">
        <v>157</v>
      </c>
      <c r="L457" s="22">
        <v>14171304.288817581</v>
      </c>
      <c r="M457" s="22" t="s">
        <v>399</v>
      </c>
      <c r="N457">
        <v>75</v>
      </c>
      <c r="O457" s="22">
        <v>923613.35321734648</v>
      </c>
      <c r="P457" s="22">
        <v>12314.844709564619</v>
      </c>
      <c r="Q457" s="23">
        <v>7.4951136081248593E-2</v>
      </c>
      <c r="R457" t="s">
        <v>85</v>
      </c>
      <c r="S457" t="s">
        <v>50</v>
      </c>
      <c r="T457" t="s">
        <v>90</v>
      </c>
      <c r="U457" s="63"/>
    </row>
    <row r="458" spans="1:21" x14ac:dyDescent="0.3">
      <c r="A458" s="14">
        <v>46049</v>
      </c>
      <c r="B458">
        <v>2026</v>
      </c>
      <c r="C458" t="s">
        <v>229</v>
      </c>
      <c r="D458" t="s">
        <v>57</v>
      </c>
      <c r="E458" t="s">
        <v>432</v>
      </c>
      <c r="F458">
        <v>3100</v>
      </c>
      <c r="G458" t="s">
        <v>743</v>
      </c>
      <c r="H458" t="s">
        <v>234</v>
      </c>
      <c r="I458">
        <v>9500</v>
      </c>
      <c r="J458" t="s">
        <v>108</v>
      </c>
      <c r="K458" t="s">
        <v>31</v>
      </c>
      <c r="L458" s="22">
        <v>1046918.99510752</v>
      </c>
      <c r="M458" s="22" t="s">
        <v>401</v>
      </c>
      <c r="N458" s="24">
        <v>16</v>
      </c>
      <c r="O458" s="22">
        <v>183162.61720028502</v>
      </c>
      <c r="P458" s="22">
        <v>11447.663575017814</v>
      </c>
      <c r="Q458" s="23">
        <v>0.17495395351144047</v>
      </c>
      <c r="R458" s="22" t="s">
        <v>43</v>
      </c>
      <c r="S458" s="22" t="s">
        <v>50</v>
      </c>
      <c r="T458" s="22" t="s">
        <v>90</v>
      </c>
      <c r="U458" s="63"/>
    </row>
    <row r="459" spans="1:21" x14ac:dyDescent="0.3">
      <c r="A459" s="14">
        <v>46051</v>
      </c>
      <c r="B459">
        <v>2026</v>
      </c>
      <c r="C459" t="s">
        <v>229</v>
      </c>
      <c r="D459" t="s">
        <v>29</v>
      </c>
      <c r="E459" t="s">
        <v>30</v>
      </c>
      <c r="F459">
        <v>3091</v>
      </c>
      <c r="G459" t="s">
        <v>746</v>
      </c>
      <c r="H459" t="s">
        <v>233</v>
      </c>
      <c r="I459">
        <v>6190</v>
      </c>
      <c r="J459" t="s">
        <v>108</v>
      </c>
      <c r="K459" t="s">
        <v>31</v>
      </c>
      <c r="L459" s="22">
        <v>2386429.9989058063</v>
      </c>
      <c r="M459" s="22" t="s">
        <v>400</v>
      </c>
      <c r="N459" s="24">
        <v>38</v>
      </c>
      <c r="O459" s="22">
        <v>280996.92598095752</v>
      </c>
      <c r="P459" s="22">
        <v>7394.6559468673031</v>
      </c>
      <c r="Q459" s="23">
        <v>0.11774781833525241</v>
      </c>
      <c r="R459" s="22" t="s">
        <v>43</v>
      </c>
      <c r="S459" s="22" t="s">
        <v>50</v>
      </c>
      <c r="T459" s="22" t="s">
        <v>90</v>
      </c>
      <c r="U459" s="63"/>
    </row>
    <row r="460" spans="1:21" x14ac:dyDescent="0.3">
      <c r="A460" s="14">
        <v>46049</v>
      </c>
      <c r="B460">
        <v>2026</v>
      </c>
      <c r="C460" t="s">
        <v>229</v>
      </c>
      <c r="D460" t="s">
        <v>57</v>
      </c>
      <c r="E460" t="s">
        <v>432</v>
      </c>
      <c r="F460">
        <v>3100</v>
      </c>
      <c r="G460" t="s">
        <v>743</v>
      </c>
      <c r="H460" t="s">
        <v>234</v>
      </c>
      <c r="I460">
        <v>9500</v>
      </c>
      <c r="J460" t="s">
        <v>108</v>
      </c>
      <c r="K460" t="s">
        <v>31</v>
      </c>
      <c r="L460" s="22">
        <v>1046918.99510752</v>
      </c>
      <c r="M460" s="22" t="s">
        <v>401</v>
      </c>
      <c r="N460" s="24">
        <v>16</v>
      </c>
      <c r="O460" s="22">
        <v>183162.61720028502</v>
      </c>
      <c r="P460" s="22">
        <v>11447.663575017814</v>
      </c>
      <c r="Q460" s="23">
        <v>0.17495395351144047</v>
      </c>
      <c r="R460" s="22" t="s">
        <v>43</v>
      </c>
      <c r="S460" s="22" t="s">
        <v>50</v>
      </c>
      <c r="T460" s="22" t="s">
        <v>90</v>
      </c>
      <c r="U460" s="63"/>
    </row>
    <row r="461" spans="1:21" x14ac:dyDescent="0.3">
      <c r="A461" s="14">
        <v>46062</v>
      </c>
      <c r="B461">
        <v>2026</v>
      </c>
      <c r="C461" t="s">
        <v>227</v>
      </c>
      <c r="D461" t="s">
        <v>29</v>
      </c>
      <c r="E461" t="s">
        <v>45</v>
      </c>
      <c r="F461">
        <v>3087</v>
      </c>
      <c r="G461" t="s">
        <v>747</v>
      </c>
      <c r="H461" t="s">
        <v>235</v>
      </c>
      <c r="I461">
        <v>734</v>
      </c>
      <c r="J461" t="s">
        <v>156</v>
      </c>
      <c r="K461" t="s">
        <v>157</v>
      </c>
      <c r="L461" s="22">
        <v>183293.99910358002</v>
      </c>
      <c r="M461" s="22" t="s">
        <v>402</v>
      </c>
      <c r="N461" s="24">
        <v>4</v>
      </c>
      <c r="O461" s="22">
        <v>29148.702109680002</v>
      </c>
      <c r="P461" s="22">
        <v>7287.1755274200004</v>
      </c>
      <c r="Q461" s="23">
        <v>0.15902703990438868</v>
      </c>
      <c r="R461" s="22" t="s">
        <v>42</v>
      </c>
      <c r="S461" s="22" t="s">
        <v>50</v>
      </c>
      <c r="T461" s="22" t="s">
        <v>89</v>
      </c>
      <c r="U461" s="63"/>
    </row>
    <row r="462" spans="1:21" x14ac:dyDescent="0.3">
      <c r="A462" s="14">
        <v>46055</v>
      </c>
      <c r="B462">
        <v>2026</v>
      </c>
      <c r="C462" t="s">
        <v>227</v>
      </c>
      <c r="D462" t="s">
        <v>29</v>
      </c>
      <c r="E462" t="s">
        <v>748</v>
      </c>
      <c r="F462">
        <v>3093</v>
      </c>
      <c r="G462" t="s">
        <v>744</v>
      </c>
      <c r="H462" t="s">
        <v>235</v>
      </c>
      <c r="I462">
        <v>2190</v>
      </c>
      <c r="J462" t="s">
        <v>108</v>
      </c>
      <c r="K462" t="s">
        <v>31</v>
      </c>
      <c r="L462" s="22">
        <v>448670.00257224194</v>
      </c>
      <c r="M462" s="22" t="s">
        <v>402</v>
      </c>
      <c r="N462">
        <v>6</v>
      </c>
      <c r="O462" s="22">
        <v>45722.864435997886</v>
      </c>
      <c r="P462" s="22">
        <v>7620.477405999648</v>
      </c>
      <c r="Q462" s="23">
        <v>0.10190755828084559</v>
      </c>
      <c r="R462" t="s">
        <v>43</v>
      </c>
      <c r="S462" t="s">
        <v>50</v>
      </c>
      <c r="T462" t="s">
        <v>90</v>
      </c>
      <c r="U462" s="63"/>
    </row>
    <row r="463" spans="1:21" x14ac:dyDescent="0.3">
      <c r="A463" s="14">
        <v>46080</v>
      </c>
      <c r="B463">
        <v>2026</v>
      </c>
      <c r="C463" t="s">
        <v>227</v>
      </c>
      <c r="D463" t="s">
        <v>29</v>
      </c>
      <c r="E463" t="s">
        <v>45</v>
      </c>
      <c r="F463">
        <v>3107</v>
      </c>
      <c r="G463" t="s">
        <v>753</v>
      </c>
      <c r="H463" t="s">
        <v>233</v>
      </c>
      <c r="I463">
        <v>4277</v>
      </c>
      <c r="J463" t="s">
        <v>156</v>
      </c>
      <c r="K463" t="s">
        <v>157</v>
      </c>
      <c r="L463" s="22">
        <v>1316576.0848864985</v>
      </c>
      <c r="M463" s="22" t="s">
        <v>401</v>
      </c>
      <c r="N463" s="24">
        <v>28</v>
      </c>
      <c r="O463" s="22">
        <v>236333.82841893696</v>
      </c>
      <c r="P463" s="22">
        <v>8440.4938721048911</v>
      </c>
      <c r="Q463" s="23">
        <v>0.17950639627432638</v>
      </c>
      <c r="R463" s="22" t="s">
        <v>85</v>
      </c>
      <c r="S463" s="22" t="s">
        <v>50</v>
      </c>
      <c r="T463" s="22" t="s">
        <v>90</v>
      </c>
      <c r="U463" s="63"/>
    </row>
    <row r="464" spans="1:21" x14ac:dyDescent="0.3">
      <c r="A464" s="80" t="s">
        <v>757</v>
      </c>
      <c r="B464">
        <v>2026</v>
      </c>
      <c r="C464" t="s">
        <v>227</v>
      </c>
      <c r="D464" t="s">
        <v>29</v>
      </c>
      <c r="E464" t="s">
        <v>30</v>
      </c>
      <c r="F464">
        <v>3106</v>
      </c>
      <c r="G464" t="s">
        <v>754</v>
      </c>
      <c r="H464" t="s">
        <v>398</v>
      </c>
      <c r="I464">
        <v>9591</v>
      </c>
      <c r="J464" t="s">
        <v>156</v>
      </c>
      <c r="K464" t="s">
        <v>157</v>
      </c>
      <c r="L464" s="22">
        <v>2750004.1219069967</v>
      </c>
      <c r="M464" s="22" t="s">
        <v>400</v>
      </c>
      <c r="N464" s="24">
        <v>30</v>
      </c>
      <c r="O464" s="22">
        <v>236607.84548909339</v>
      </c>
      <c r="P464" s="22">
        <v>7886.9281829697802</v>
      </c>
      <c r="Q464" s="23">
        <v>8.6039087579627749E-2</v>
      </c>
      <c r="R464" s="22" t="s">
        <v>85</v>
      </c>
      <c r="S464" s="22" t="s">
        <v>50</v>
      </c>
      <c r="T464" s="22" t="s">
        <v>90</v>
      </c>
      <c r="U464" s="63"/>
    </row>
    <row r="465" spans="1:21" x14ac:dyDescent="0.3">
      <c r="A465" s="14">
        <v>46092</v>
      </c>
      <c r="B465">
        <v>2026</v>
      </c>
      <c r="C465" t="s">
        <v>227</v>
      </c>
      <c r="D465" t="s">
        <v>29</v>
      </c>
      <c r="E465" t="s">
        <v>45</v>
      </c>
      <c r="F465">
        <v>3094</v>
      </c>
      <c r="G465" t="s">
        <v>755</v>
      </c>
      <c r="H465" t="s">
        <v>233</v>
      </c>
      <c r="I465">
        <v>9650</v>
      </c>
      <c r="J465" t="s">
        <v>156</v>
      </c>
      <c r="K465" t="s">
        <v>157</v>
      </c>
      <c r="L465" s="22">
        <v>6896262.5420955103</v>
      </c>
      <c r="M465" s="22" t="s">
        <v>399</v>
      </c>
      <c r="N465" s="24">
        <v>40</v>
      </c>
      <c r="O465" s="22">
        <v>625362.17134340468</v>
      </c>
      <c r="P465" s="22">
        <v>15634.054283585117</v>
      </c>
      <c r="Q465" s="23">
        <v>9.9749448962933362E-2</v>
      </c>
      <c r="R465" s="22" t="s">
        <v>85</v>
      </c>
      <c r="S465" s="22" t="s">
        <v>50</v>
      </c>
      <c r="T465" s="22" t="s">
        <v>90</v>
      </c>
      <c r="U465" s="63"/>
    </row>
    <row r="466" spans="1:21" x14ac:dyDescent="0.3">
      <c r="A466" s="14">
        <v>46092</v>
      </c>
      <c r="B466">
        <v>2026</v>
      </c>
      <c r="C466" t="s">
        <v>227</v>
      </c>
      <c r="D466" t="s">
        <v>29</v>
      </c>
      <c r="E466" t="s">
        <v>45</v>
      </c>
      <c r="F466">
        <v>3095</v>
      </c>
      <c r="G466" t="s">
        <v>756</v>
      </c>
      <c r="H466" t="s">
        <v>233</v>
      </c>
      <c r="I466">
        <v>19934</v>
      </c>
      <c r="J466" t="s">
        <v>156</v>
      </c>
      <c r="K466" t="s">
        <v>157</v>
      </c>
      <c r="L466" s="22">
        <v>4738767.0938645368</v>
      </c>
      <c r="M466" s="22" t="s">
        <v>400</v>
      </c>
      <c r="N466" s="24">
        <v>42</v>
      </c>
      <c r="O466" s="22">
        <v>383575.60881186859</v>
      </c>
      <c r="P466" s="22">
        <v>9132.7525907587751</v>
      </c>
      <c r="Q466" s="23">
        <v>8.9038596186621716E-2</v>
      </c>
      <c r="R466" s="22" t="s">
        <v>85</v>
      </c>
      <c r="S466" s="22" t="s">
        <v>50</v>
      </c>
      <c r="T466" s="22" t="s">
        <v>90</v>
      </c>
      <c r="U466" s="63"/>
    </row>
    <row r="467" spans="1:21" x14ac:dyDescent="0.3">
      <c r="A467" s="14">
        <v>46092</v>
      </c>
      <c r="B467">
        <v>2026</v>
      </c>
      <c r="C467" t="s">
        <v>227</v>
      </c>
      <c r="D467" t="s">
        <v>29</v>
      </c>
      <c r="E467" t="s">
        <v>30</v>
      </c>
      <c r="F467">
        <v>3105</v>
      </c>
      <c r="G467" t="s">
        <v>751</v>
      </c>
      <c r="H467" t="s">
        <v>233</v>
      </c>
      <c r="I467">
        <v>10474</v>
      </c>
      <c r="J467" t="s">
        <v>108</v>
      </c>
      <c r="K467" t="s">
        <v>31</v>
      </c>
      <c r="L467" s="22">
        <v>4383237.0088144429</v>
      </c>
      <c r="M467" s="22" t="s">
        <v>400</v>
      </c>
      <c r="N467" s="24">
        <v>42</v>
      </c>
      <c r="O467" s="22">
        <v>384684.44597698713</v>
      </c>
      <c r="P467" s="22">
        <v>9159.1534756425499</v>
      </c>
      <c r="Q467" s="23">
        <v>8.7762638708198615E-2</v>
      </c>
      <c r="R467" s="22" t="s">
        <v>43</v>
      </c>
      <c r="S467" s="22" t="s">
        <v>50</v>
      </c>
      <c r="T467" s="22" t="s">
        <v>90</v>
      </c>
      <c r="U467" s="63"/>
    </row>
    <row r="468" spans="1:21" x14ac:dyDescent="0.3">
      <c r="A468" s="14">
        <v>46105</v>
      </c>
      <c r="B468">
        <v>2026</v>
      </c>
      <c r="C468" t="s">
        <v>227</v>
      </c>
      <c r="D468" t="s">
        <v>29</v>
      </c>
      <c r="E468" t="s">
        <v>343</v>
      </c>
      <c r="F468">
        <v>3108</v>
      </c>
      <c r="G468" t="s">
        <v>752</v>
      </c>
      <c r="H468" t="s">
        <v>235</v>
      </c>
      <c r="I468">
        <v>2242</v>
      </c>
      <c r="J468" t="s">
        <v>108</v>
      </c>
      <c r="K468" t="s">
        <v>31</v>
      </c>
      <c r="L468" s="22">
        <v>1640749.9953475962</v>
      </c>
      <c r="M468" s="22" t="s">
        <v>401</v>
      </c>
      <c r="N468" s="24">
        <v>26</v>
      </c>
      <c r="O468" s="22">
        <v>208250.72267594488</v>
      </c>
      <c r="P468" s="22">
        <v>8009.6431798440335</v>
      </c>
      <c r="Q468" s="23">
        <v>0.1269241037735469</v>
      </c>
      <c r="R468" s="22" t="s">
        <v>85</v>
      </c>
      <c r="S468" s="22" t="s">
        <v>50</v>
      </c>
      <c r="T468" s="22" t="s">
        <v>90</v>
      </c>
      <c r="U468" s="63"/>
    </row>
    <row r="469" spans="1:21" x14ac:dyDescent="0.3">
      <c r="A469" s="14">
        <v>46113</v>
      </c>
      <c r="B469">
        <v>2026</v>
      </c>
      <c r="C469" t="s">
        <v>227</v>
      </c>
      <c r="D469" t="s">
        <v>29</v>
      </c>
      <c r="E469" t="s">
        <v>45</v>
      </c>
      <c r="F469">
        <v>3104</v>
      </c>
      <c r="G469" t="s">
        <v>760</v>
      </c>
      <c r="H469" t="s">
        <v>398</v>
      </c>
      <c r="I469">
        <v>67650</v>
      </c>
      <c r="J469" t="s">
        <v>156</v>
      </c>
      <c r="K469" t="s">
        <v>157</v>
      </c>
      <c r="L469" s="22">
        <v>15111676.483680254</v>
      </c>
      <c r="M469" s="22" t="s">
        <v>399</v>
      </c>
      <c r="N469" s="24">
        <v>79</v>
      </c>
      <c r="O469" s="22">
        <v>863052.14613802638</v>
      </c>
      <c r="P469" s="22">
        <v>10924.710710607929</v>
      </c>
      <c r="Q469" s="23">
        <v>6.5678349396282032E-2</v>
      </c>
      <c r="R469" s="22" t="s">
        <v>85</v>
      </c>
      <c r="S469" s="22" t="s">
        <v>50</v>
      </c>
      <c r="T469" s="22" t="s">
        <v>90</v>
      </c>
      <c r="U469" s="63"/>
    </row>
    <row r="470" spans="1:21" x14ac:dyDescent="0.3">
      <c r="A470" s="14">
        <v>46113</v>
      </c>
      <c r="B470">
        <v>2026</v>
      </c>
      <c r="C470" t="s">
        <v>227</v>
      </c>
      <c r="D470" t="s">
        <v>29</v>
      </c>
      <c r="E470" t="s">
        <v>45</v>
      </c>
      <c r="F470">
        <v>3104</v>
      </c>
      <c r="G470" t="s">
        <v>761</v>
      </c>
      <c r="H470" t="s">
        <v>398</v>
      </c>
      <c r="I470">
        <v>67650</v>
      </c>
      <c r="J470" t="s">
        <v>156</v>
      </c>
      <c r="K470" t="s">
        <v>157</v>
      </c>
      <c r="L470" s="22">
        <v>14842822.863444587</v>
      </c>
      <c r="M470" s="22" t="s">
        <v>399</v>
      </c>
      <c r="N470" s="24">
        <v>79</v>
      </c>
      <c r="O470" s="22">
        <v>852216.40471352637</v>
      </c>
      <c r="P470" s="22">
        <v>10787.549426753498</v>
      </c>
      <c r="Q470" s="23">
        <v>6.6028468737860724E-2</v>
      </c>
      <c r="R470" s="22" t="s">
        <v>85</v>
      </c>
      <c r="S470" s="22" t="s">
        <v>50</v>
      </c>
      <c r="T470" s="22" t="s">
        <v>90</v>
      </c>
      <c r="U470" s="63"/>
    </row>
    <row r="471" spans="1:21" x14ac:dyDescent="0.3">
      <c r="A471" s="14">
        <v>46125</v>
      </c>
      <c r="B471">
        <v>2026</v>
      </c>
      <c r="C471" t="s">
        <v>227</v>
      </c>
      <c r="D471" t="s">
        <v>29</v>
      </c>
      <c r="E471" t="s">
        <v>45</v>
      </c>
      <c r="F471">
        <v>3099</v>
      </c>
      <c r="G471" t="s">
        <v>763</v>
      </c>
      <c r="H471" t="s">
        <v>234</v>
      </c>
      <c r="I471">
        <v>50268</v>
      </c>
      <c r="J471" t="s">
        <v>156</v>
      </c>
      <c r="K471" t="s">
        <v>157</v>
      </c>
      <c r="L471" s="22">
        <v>11358293.2555281</v>
      </c>
      <c r="M471" s="22" t="s">
        <v>399</v>
      </c>
      <c r="N471" s="24">
        <v>52</v>
      </c>
      <c r="O471" s="22">
        <v>827528.68426281738</v>
      </c>
      <c r="P471" s="22">
        <v>15914.013158900334</v>
      </c>
      <c r="Q471" s="23">
        <v>7.2856781000971052E-2</v>
      </c>
      <c r="R471" s="22" t="s">
        <v>85</v>
      </c>
      <c r="S471" s="22" t="s">
        <v>50</v>
      </c>
      <c r="T471" s="22" t="s">
        <v>90</v>
      </c>
      <c r="U471" s="63"/>
    </row>
    <row r="472" spans="1:21" x14ac:dyDescent="0.3">
      <c r="A472" s="14">
        <v>46142</v>
      </c>
      <c r="B472">
        <v>2026</v>
      </c>
      <c r="C472" t="s">
        <v>227</v>
      </c>
      <c r="D472" t="s">
        <v>29</v>
      </c>
      <c r="E472" t="s">
        <v>45</v>
      </c>
      <c r="F472">
        <v>3115</v>
      </c>
      <c r="G472" t="s">
        <v>764</v>
      </c>
      <c r="H472" t="s">
        <v>398</v>
      </c>
      <c r="J472" t="s">
        <v>156</v>
      </c>
      <c r="K472" t="s">
        <v>157</v>
      </c>
      <c r="L472" s="22">
        <v>22000000</v>
      </c>
      <c r="M472" s="22" t="s">
        <v>399</v>
      </c>
      <c r="N472" s="24">
        <v>83</v>
      </c>
      <c r="O472" s="22">
        <f>888000+269750</f>
        <v>1157750</v>
      </c>
      <c r="P472" s="22">
        <f>+DATA[[#This Row],[Soft Cost]]/DATA[[#This Row],[Schedule]]</f>
        <v>13948.795180722891</v>
      </c>
      <c r="Q472" s="23">
        <v>5.2200000000000003E-2</v>
      </c>
      <c r="R472" s="22" t="s">
        <v>43</v>
      </c>
      <c r="S472" s="22" t="s">
        <v>50</v>
      </c>
      <c r="T472" s="22" t="s">
        <v>90</v>
      </c>
      <c r="U472" s="22"/>
    </row>
    <row r="473" spans="1:21" x14ac:dyDescent="0.3">
      <c r="A473" s="93">
        <v>46142</v>
      </c>
      <c r="B473" s="40">
        <v>2026</v>
      </c>
      <c r="C473" s="14" t="s">
        <v>227</v>
      </c>
      <c r="D473" t="s">
        <v>29</v>
      </c>
      <c r="E473" t="s">
        <v>45</v>
      </c>
      <c r="F473">
        <v>3057</v>
      </c>
      <c r="G473" t="s">
        <v>771</v>
      </c>
      <c r="H473" t="s">
        <v>233</v>
      </c>
      <c r="I473">
        <v>600</v>
      </c>
      <c r="J473" t="s">
        <v>108</v>
      </c>
      <c r="K473" t="s">
        <v>31</v>
      </c>
      <c r="L473" s="15">
        <v>936389.99789930007</v>
      </c>
      <c r="M473" s="16" t="s">
        <v>401</v>
      </c>
      <c r="N473" s="115">
        <v>15</v>
      </c>
      <c r="O473" s="1">
        <v>151264.35656480002</v>
      </c>
      <c r="P473" s="15">
        <v>10084.290437653335</v>
      </c>
      <c r="Q473" s="16">
        <v>0.16153991061859577</v>
      </c>
      <c r="R473" s="15" t="s">
        <v>43</v>
      </c>
      <c r="S473" t="s">
        <v>50</v>
      </c>
      <c r="T473" t="s">
        <v>90</v>
      </c>
    </row>
    <row r="474" spans="1:21" x14ac:dyDescent="0.3">
      <c r="A474" s="106">
        <v>46142</v>
      </c>
      <c r="B474" s="96">
        <v>2026</v>
      </c>
      <c r="C474" s="97" t="s">
        <v>227</v>
      </c>
      <c r="D474" s="98" t="s">
        <v>29</v>
      </c>
      <c r="E474" s="99" t="s">
        <v>45</v>
      </c>
      <c r="F474" s="98">
        <v>2877</v>
      </c>
      <c r="G474" s="99" t="s">
        <v>770</v>
      </c>
      <c r="H474" s="99" t="s">
        <v>234</v>
      </c>
      <c r="I474" s="100">
        <v>890</v>
      </c>
      <c r="J474" s="99" t="s">
        <v>769</v>
      </c>
      <c r="K474" s="99" t="s">
        <v>31</v>
      </c>
      <c r="L474" s="114">
        <v>67809</v>
      </c>
      <c r="M474" s="99" t="s">
        <v>656</v>
      </c>
      <c r="N474" s="98">
        <v>5</v>
      </c>
      <c r="O474" s="114">
        <v>15137.62</v>
      </c>
      <c r="P474" s="101">
        <v>3028</v>
      </c>
      <c r="Q474" s="102">
        <v>0.22320000000000001</v>
      </c>
      <c r="R474" s="94" t="s">
        <v>42</v>
      </c>
      <c r="S474" s="94" t="s">
        <v>50</v>
      </c>
      <c r="T474" s="94" t="s">
        <v>89</v>
      </c>
      <c r="U474" s="63"/>
    </row>
    <row r="475" spans="1:21" x14ac:dyDescent="0.3">
      <c r="A475" s="14">
        <v>46143</v>
      </c>
      <c r="B475">
        <v>2026</v>
      </c>
      <c r="C475" t="s">
        <v>227</v>
      </c>
      <c r="D475" t="s">
        <v>29</v>
      </c>
      <c r="E475" t="s">
        <v>45</v>
      </c>
      <c r="F475">
        <v>3117</v>
      </c>
      <c r="G475" t="s">
        <v>765</v>
      </c>
      <c r="H475" t="s">
        <v>233</v>
      </c>
      <c r="I475">
        <v>10527</v>
      </c>
      <c r="J475" t="s">
        <v>108</v>
      </c>
      <c r="K475" t="s">
        <v>31</v>
      </c>
      <c r="L475" s="22">
        <v>972790.99540467199</v>
      </c>
      <c r="M475" s="22" t="s">
        <v>401</v>
      </c>
      <c r="N475" s="24">
        <v>20</v>
      </c>
      <c r="O475" s="22">
        <v>135433.574979472</v>
      </c>
      <c r="P475" s="22">
        <v>6771.6787489735998</v>
      </c>
      <c r="Q475" s="23">
        <v>0.13922165770370118</v>
      </c>
      <c r="R475" s="22" t="s">
        <v>43</v>
      </c>
      <c r="S475" s="22" t="s">
        <v>50</v>
      </c>
      <c r="T475" s="22" t="s">
        <v>90</v>
      </c>
      <c r="U475" s="63"/>
    </row>
    <row r="476" spans="1:21" x14ac:dyDescent="0.3">
      <c r="A476" s="14">
        <v>46156</v>
      </c>
      <c r="B476">
        <v>2026</v>
      </c>
      <c r="C476" t="s">
        <v>227</v>
      </c>
      <c r="D476" t="s">
        <v>29</v>
      </c>
      <c r="E476" t="s">
        <v>45</v>
      </c>
      <c r="F476">
        <v>3119</v>
      </c>
      <c r="G476" t="s">
        <v>766</v>
      </c>
      <c r="H476" t="s">
        <v>233</v>
      </c>
      <c r="I476">
        <v>28234</v>
      </c>
      <c r="J476" t="s">
        <v>108</v>
      </c>
      <c r="K476" t="s">
        <v>31</v>
      </c>
      <c r="L476" s="22">
        <v>7494520.0009332448</v>
      </c>
      <c r="M476" s="22" t="s">
        <v>399</v>
      </c>
      <c r="N476" s="24">
        <v>45</v>
      </c>
      <c r="O476" s="22">
        <v>512344.17824555899</v>
      </c>
      <c r="P476" s="22">
        <v>11385.426183234644</v>
      </c>
      <c r="Q476" s="23">
        <v>6.9046132369194768E-2</v>
      </c>
      <c r="R476" s="22" t="s">
        <v>43</v>
      </c>
      <c r="S476" s="22" t="s">
        <v>50</v>
      </c>
      <c r="T476" s="22" t="s">
        <v>90</v>
      </c>
      <c r="U476" s="63"/>
    </row>
    <row r="477" spans="1:21" x14ac:dyDescent="0.3">
      <c r="A477" s="14">
        <v>46154</v>
      </c>
      <c r="B477">
        <v>2026</v>
      </c>
      <c r="C477" t="s">
        <v>227</v>
      </c>
      <c r="D477" t="s">
        <v>29</v>
      </c>
      <c r="E477" t="s">
        <v>45</v>
      </c>
      <c r="F477">
        <v>3121</v>
      </c>
      <c r="G477" t="s">
        <v>767</v>
      </c>
      <c r="H477" t="s">
        <v>233</v>
      </c>
      <c r="I477">
        <v>3600</v>
      </c>
      <c r="J477" t="s">
        <v>108</v>
      </c>
      <c r="K477" t="s">
        <v>633</v>
      </c>
      <c r="L477" s="22">
        <v>549994.99621599994</v>
      </c>
      <c r="M477" s="22" t="s">
        <v>401</v>
      </c>
      <c r="N477" s="24">
        <v>12</v>
      </c>
      <c r="O477" s="22">
        <v>70430.381685</v>
      </c>
      <c r="P477" s="22">
        <v>5869.1984737499997</v>
      </c>
      <c r="Q477" s="23">
        <v>0.12805640445743224</v>
      </c>
      <c r="R477" s="22" t="s">
        <v>85</v>
      </c>
      <c r="S477" s="22" t="s">
        <v>50</v>
      </c>
      <c r="T477" s="22" t="s">
        <v>90</v>
      </c>
      <c r="U477" s="63"/>
    </row>
    <row r="478" spans="1:21" x14ac:dyDescent="0.3">
      <c r="A478" s="14">
        <v>46169</v>
      </c>
      <c r="B478">
        <v>2026</v>
      </c>
      <c r="C478" t="s">
        <v>227</v>
      </c>
      <c r="D478" t="s">
        <v>29</v>
      </c>
      <c r="E478" t="s">
        <v>538</v>
      </c>
      <c r="F478">
        <v>3125</v>
      </c>
      <c r="G478" t="s">
        <v>768</v>
      </c>
      <c r="H478" t="s">
        <v>233</v>
      </c>
      <c r="I478" s="87">
        <v>6453</v>
      </c>
      <c r="J478" t="s">
        <v>108</v>
      </c>
      <c r="K478" t="s">
        <v>31</v>
      </c>
      <c r="L478" s="22">
        <v>1158477.07</v>
      </c>
      <c r="M478" s="22" t="s">
        <v>661</v>
      </c>
      <c r="N478" s="24">
        <v>12</v>
      </c>
      <c r="O478" s="22">
        <v>108931.52</v>
      </c>
      <c r="P478" s="22">
        <v>9078</v>
      </c>
      <c r="Q478" s="23">
        <v>9.5000000000000001E-2</v>
      </c>
      <c r="R478" s="22" t="s">
        <v>85</v>
      </c>
      <c r="S478" s="22" t="s">
        <v>50</v>
      </c>
      <c r="T478" s="22" t="s">
        <v>90</v>
      </c>
      <c r="U478" s="63"/>
    </row>
    <row r="480" spans="1:21" x14ac:dyDescent="0.3">
      <c r="A480" s="14"/>
      <c r="B480"/>
      <c r="C480"/>
      <c r="L480" s="22"/>
      <c r="M480" s="22"/>
      <c r="N480" s="24"/>
      <c r="O480" s="22"/>
      <c r="P480" s="22"/>
      <c r="Q480" s="23"/>
      <c r="R480" s="22"/>
      <c r="S480" s="22"/>
      <c r="T480" s="22"/>
      <c r="U480" s="63"/>
    </row>
    <row r="481" spans="1:21" x14ac:dyDescent="0.3">
      <c r="A481" s="14"/>
      <c r="B481"/>
      <c r="C481"/>
      <c r="L481" s="22"/>
      <c r="M481" s="22"/>
      <c r="N481" s="24"/>
      <c r="O481" s="22"/>
      <c r="P481" s="22"/>
      <c r="Q481" s="23"/>
      <c r="R481" s="22"/>
      <c r="S481" s="22"/>
      <c r="T481" s="22"/>
      <c r="U481" s="63"/>
    </row>
    <row r="482" spans="1:21" x14ac:dyDescent="0.3">
      <c r="A482" s="14"/>
      <c r="B482"/>
      <c r="C482"/>
      <c r="L482" s="22"/>
      <c r="M482" s="22"/>
      <c r="N482" s="24"/>
      <c r="O482" s="22"/>
      <c r="P482" s="22"/>
      <c r="Q482" s="23"/>
      <c r="R482" s="22"/>
      <c r="S482" s="22"/>
      <c r="T482" s="22"/>
      <c r="U482" s="63"/>
    </row>
    <row r="483" spans="1:21" x14ac:dyDescent="0.3">
      <c r="A483" s="14"/>
      <c r="B483"/>
      <c r="C483"/>
      <c r="L483" s="22"/>
      <c r="M483" s="22"/>
      <c r="N483" s="24"/>
      <c r="O483" s="22"/>
      <c r="P483" s="22"/>
      <c r="Q483" s="23"/>
      <c r="R483" s="22"/>
      <c r="S483" s="22"/>
      <c r="T483" s="22"/>
      <c r="U483" s="63"/>
    </row>
    <row r="484" spans="1:21" x14ac:dyDescent="0.3">
      <c r="A484" s="14"/>
      <c r="B484"/>
      <c r="C484"/>
      <c r="L484" s="22"/>
      <c r="M484" s="22"/>
      <c r="N484" s="24"/>
      <c r="O484" s="22"/>
      <c r="P484" s="22"/>
      <c r="Q484" s="23"/>
      <c r="R484" s="22"/>
      <c r="S484" s="22"/>
      <c r="T484" s="22"/>
      <c r="U484" s="63"/>
    </row>
    <row r="485" spans="1:21" x14ac:dyDescent="0.3">
      <c r="A485" s="14"/>
      <c r="B485"/>
      <c r="C485"/>
      <c r="L485" s="22"/>
      <c r="M485" s="22"/>
      <c r="N485" s="24"/>
      <c r="O485" s="22"/>
      <c r="P485" s="22"/>
      <c r="Q485" s="23"/>
      <c r="R485" s="22"/>
      <c r="S485" s="22"/>
      <c r="T485" s="22"/>
      <c r="U485" s="63"/>
    </row>
    <row r="486" spans="1:21" x14ac:dyDescent="0.3">
      <c r="A486" s="14"/>
      <c r="B486"/>
      <c r="C486"/>
      <c r="L486" s="22"/>
      <c r="M486" s="22"/>
      <c r="N486" s="24"/>
      <c r="O486" s="22"/>
      <c r="P486" s="22"/>
      <c r="Q486" s="23"/>
      <c r="R486" s="22"/>
      <c r="S486" s="22"/>
      <c r="T486" s="22"/>
      <c r="U486" s="63"/>
    </row>
    <row r="487" spans="1:21" x14ac:dyDescent="0.3">
      <c r="A487" s="14"/>
      <c r="B487"/>
      <c r="C487"/>
      <c r="L487" s="22"/>
      <c r="M487" s="22"/>
      <c r="N487" s="24"/>
      <c r="O487" s="22"/>
      <c r="P487" s="22"/>
      <c r="Q487" s="23"/>
      <c r="R487" s="22"/>
      <c r="S487" s="22"/>
      <c r="T487" s="22"/>
      <c r="U487" s="63"/>
    </row>
    <row r="488" spans="1:21" x14ac:dyDescent="0.3">
      <c r="A488" s="14"/>
      <c r="B488"/>
      <c r="C488"/>
      <c r="L488" s="22"/>
      <c r="M488" s="22"/>
      <c r="N488" s="24"/>
      <c r="O488" s="22"/>
      <c r="P488" s="22"/>
      <c r="Q488" s="23"/>
      <c r="R488" s="22"/>
      <c r="S488" s="22"/>
      <c r="T488" s="22"/>
      <c r="U488" s="63"/>
    </row>
    <row r="489" spans="1:21" x14ac:dyDescent="0.3">
      <c r="A489" s="14"/>
      <c r="B489"/>
      <c r="C489"/>
      <c r="L489" s="22"/>
      <c r="M489" s="22"/>
      <c r="N489" s="24"/>
      <c r="O489" s="22"/>
      <c r="P489" s="22"/>
      <c r="Q489" s="23"/>
      <c r="R489" s="22"/>
      <c r="S489" s="22"/>
      <c r="T489" s="22"/>
      <c r="U489" s="63"/>
    </row>
    <row r="490" spans="1:21" x14ac:dyDescent="0.3">
      <c r="A490" s="14"/>
      <c r="B490"/>
      <c r="C490"/>
      <c r="L490" s="22"/>
      <c r="M490" s="22"/>
      <c r="N490" s="24"/>
      <c r="O490" s="22"/>
      <c r="P490" s="22"/>
      <c r="Q490" s="23"/>
      <c r="R490" s="22"/>
      <c r="S490" s="22"/>
      <c r="T490" s="22"/>
      <c r="U490" s="63"/>
    </row>
    <row r="491" spans="1:21" x14ac:dyDescent="0.3">
      <c r="A491" s="14"/>
      <c r="B491"/>
      <c r="C491"/>
      <c r="L491" s="22"/>
      <c r="M491" s="22"/>
      <c r="N491" s="24"/>
      <c r="O491" s="22"/>
      <c r="P491" s="22"/>
      <c r="Q491" s="23"/>
      <c r="R491" s="22"/>
      <c r="S491" s="22"/>
      <c r="T491" s="22"/>
      <c r="U491" s="63"/>
    </row>
    <row r="492" spans="1:21" x14ac:dyDescent="0.3">
      <c r="A492" s="14"/>
      <c r="B492"/>
      <c r="C492"/>
      <c r="L492" s="22"/>
      <c r="M492" s="22"/>
      <c r="N492" s="24"/>
      <c r="O492" s="22"/>
      <c r="P492" s="22"/>
      <c r="Q492" s="23"/>
      <c r="R492" s="22"/>
      <c r="S492" s="22"/>
      <c r="T492" s="22"/>
      <c r="U492" s="63"/>
    </row>
    <row r="493" spans="1:21" x14ac:dyDescent="0.3">
      <c r="A493" s="14"/>
      <c r="B493"/>
      <c r="C493"/>
      <c r="L493" s="22"/>
      <c r="M493" s="22"/>
      <c r="N493" s="24"/>
      <c r="O493" s="22"/>
      <c r="P493" s="22"/>
      <c r="Q493" s="23"/>
      <c r="R493" s="22"/>
      <c r="S493" s="22"/>
      <c r="T493" s="22"/>
      <c r="U493" s="63"/>
    </row>
    <row r="494" spans="1:21" x14ac:dyDescent="0.3">
      <c r="A494" s="14"/>
      <c r="B494"/>
      <c r="C494"/>
      <c r="L494" s="22"/>
      <c r="M494" s="22"/>
      <c r="N494" s="24"/>
      <c r="O494" s="22"/>
      <c r="P494" s="22"/>
      <c r="Q494" s="23"/>
      <c r="R494" s="22"/>
      <c r="S494" s="22"/>
      <c r="T494" s="22"/>
      <c r="U494" s="63"/>
    </row>
    <row r="495" spans="1:21" x14ac:dyDescent="0.3">
      <c r="A495" s="14"/>
      <c r="B495"/>
      <c r="C495"/>
      <c r="L495" s="22"/>
      <c r="M495" s="22"/>
      <c r="N495" s="24"/>
      <c r="O495" s="22"/>
      <c r="P495" s="22"/>
      <c r="Q495" s="23"/>
      <c r="R495" s="22"/>
      <c r="S495" s="22"/>
      <c r="T495" s="22"/>
      <c r="U495" s="63"/>
    </row>
    <row r="496" spans="1:21" x14ac:dyDescent="0.3">
      <c r="A496" s="14"/>
      <c r="B496"/>
      <c r="C496"/>
      <c r="L496" s="22"/>
      <c r="M496" s="22"/>
      <c r="N496" s="24"/>
      <c r="O496" s="22"/>
      <c r="P496" s="22"/>
      <c r="Q496" s="23"/>
      <c r="R496" s="22"/>
      <c r="S496" s="22"/>
      <c r="T496" s="22"/>
      <c r="U496" s="63"/>
    </row>
    <row r="497" spans="1:21" x14ac:dyDescent="0.3">
      <c r="A497" s="14"/>
      <c r="B497"/>
      <c r="C497"/>
      <c r="L497" s="22"/>
      <c r="M497" s="22"/>
      <c r="N497" s="24"/>
      <c r="O497" s="22"/>
      <c r="P497" s="22"/>
      <c r="Q497" s="23"/>
      <c r="R497" s="22"/>
      <c r="S497" s="22"/>
      <c r="T497" s="22"/>
      <c r="U497" s="63"/>
    </row>
    <row r="498" spans="1:21" x14ac:dyDescent="0.3">
      <c r="A498" s="14"/>
      <c r="B498"/>
      <c r="C498"/>
      <c r="L498" s="22"/>
      <c r="M498" s="22"/>
      <c r="N498" s="24"/>
      <c r="O498" s="22"/>
      <c r="P498" s="22"/>
      <c r="Q498" s="23"/>
      <c r="R498" s="22"/>
      <c r="S498" s="22"/>
      <c r="T498" s="22"/>
      <c r="U498" s="63"/>
    </row>
    <row r="499" spans="1:21" x14ac:dyDescent="0.3">
      <c r="A499" s="14"/>
      <c r="B499"/>
      <c r="C499"/>
      <c r="L499" s="22"/>
      <c r="M499" s="22"/>
      <c r="N499" s="24"/>
      <c r="O499" s="22"/>
      <c r="P499" s="22"/>
      <c r="Q499" s="23"/>
      <c r="R499" s="22"/>
      <c r="S499" s="22"/>
      <c r="T499" s="22"/>
      <c r="U499" s="63"/>
    </row>
    <row r="500" spans="1:21" x14ac:dyDescent="0.3">
      <c r="A500" s="14"/>
      <c r="B500"/>
      <c r="C500"/>
      <c r="L500"/>
      <c r="M500"/>
      <c r="N500" s="22"/>
      <c r="O500" s="22"/>
      <c r="P500" s="23"/>
      <c r="Q500" s="23"/>
      <c r="R500"/>
      <c r="U500" s="63"/>
    </row>
    <row r="501" spans="1:21" x14ac:dyDescent="0.3">
      <c r="A501" s="14"/>
      <c r="B501"/>
      <c r="C501"/>
      <c r="L501"/>
      <c r="M501"/>
      <c r="N501" s="22"/>
      <c r="O501" s="22"/>
      <c r="P501" s="23"/>
      <c r="Q501" s="23"/>
      <c r="R501"/>
      <c r="U501" s="63"/>
    </row>
    <row r="502" spans="1:21" x14ac:dyDescent="0.3">
      <c r="A502" s="14"/>
      <c r="B502"/>
      <c r="C502"/>
      <c r="L502"/>
      <c r="M502"/>
      <c r="N502" s="22"/>
      <c r="O502" s="22"/>
      <c r="P502" s="23"/>
      <c r="Q502" s="23"/>
      <c r="R502"/>
      <c r="U502" s="63"/>
    </row>
    <row r="503" spans="1:21" x14ac:dyDescent="0.3">
      <c r="A503" s="14"/>
      <c r="B503"/>
      <c r="C503"/>
      <c r="L503"/>
      <c r="M503"/>
      <c r="N503" s="22"/>
      <c r="O503" s="22"/>
      <c r="P503" s="23"/>
      <c r="Q503" s="23"/>
      <c r="R503"/>
      <c r="U503" s="63"/>
    </row>
    <row r="504" spans="1:21" x14ac:dyDescent="0.3">
      <c r="A504" s="14"/>
      <c r="B504"/>
      <c r="C504"/>
      <c r="L504"/>
      <c r="M504"/>
      <c r="N504" s="22"/>
      <c r="O504" s="22"/>
      <c r="P504" s="23"/>
      <c r="Q504" s="23"/>
      <c r="R504"/>
      <c r="U504" s="63"/>
    </row>
    <row r="505" spans="1:21" x14ac:dyDescent="0.3">
      <c r="A505" s="14"/>
      <c r="B505"/>
      <c r="C505"/>
      <c r="L505"/>
      <c r="M505"/>
      <c r="N505" s="22"/>
      <c r="O505" s="22"/>
      <c r="P505" s="23"/>
      <c r="Q505" s="23"/>
      <c r="R505"/>
      <c r="U505" s="63"/>
    </row>
    <row r="506" spans="1:21" x14ac:dyDescent="0.3">
      <c r="A506" s="14"/>
      <c r="B506"/>
      <c r="C506"/>
      <c r="L506" s="53"/>
      <c r="M506" s="53"/>
      <c r="N506" s="55"/>
      <c r="O506" s="53"/>
      <c r="P506" s="53"/>
      <c r="Q506" s="54"/>
      <c r="R506" s="53"/>
      <c r="S506" s="53"/>
      <c r="T506" s="53"/>
      <c r="U506" s="63"/>
    </row>
    <row r="507" spans="1:21" x14ac:dyDescent="0.3">
      <c r="A507" s="14"/>
      <c r="B507"/>
      <c r="C507"/>
      <c r="L507" s="56"/>
      <c r="M507" s="56"/>
      <c r="N507" s="58"/>
      <c r="O507" s="56"/>
      <c r="P507" s="56"/>
      <c r="Q507" s="57"/>
      <c r="R507" s="22"/>
      <c r="S507" s="22"/>
      <c r="T507" s="56"/>
      <c r="U507" s="63"/>
    </row>
    <row r="508" spans="1:21" x14ac:dyDescent="0.3">
      <c r="A508" s="14"/>
      <c r="B508"/>
      <c r="C508"/>
      <c r="L508" s="56"/>
      <c r="M508" s="56"/>
      <c r="N508" s="58"/>
      <c r="O508" s="56"/>
      <c r="P508" s="56"/>
      <c r="Q508" s="57"/>
      <c r="R508" s="56"/>
      <c r="S508" s="56"/>
      <c r="T508" s="56"/>
      <c r="U508" s="63"/>
    </row>
  </sheetData>
  <phoneticPr fontId="4" type="noConversion"/>
  <pageMargins left="0.7" right="0.7" top="0.75" bottom="0.75" header="0.3" footer="0.3"/>
  <pageSetup orientation="landscape"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332C-3935-4AFE-B1F2-A7F00CCB68B8}">
  <dimension ref="A2:V154"/>
  <sheetViews>
    <sheetView topLeftCell="F1" zoomScale="70" zoomScaleNormal="70" workbookViewId="0">
      <selection activeCell="S29" sqref="S29"/>
    </sheetView>
  </sheetViews>
  <sheetFormatPr defaultColWidth="10.88671875" defaultRowHeight="17.25" x14ac:dyDescent="0.3"/>
  <cols>
    <col min="1" max="1" width="19.21875" style="51" customWidth="1"/>
    <col min="2" max="2" width="13.88671875" style="51" customWidth="1"/>
    <col min="3" max="3" width="19.5546875" style="14" customWidth="1"/>
    <col min="4" max="4" width="16" customWidth="1"/>
    <col min="5" max="5" width="11" customWidth="1"/>
    <col min="6" max="6" width="11.88671875" customWidth="1"/>
    <col min="7" max="7" width="52.88671875" customWidth="1"/>
    <col min="8" max="8" width="22.44140625" customWidth="1"/>
    <col min="9" max="9" width="36.88671875" customWidth="1"/>
    <col min="10" max="10" width="20.88671875" customWidth="1"/>
    <col min="11" max="11" width="17.6640625" customWidth="1"/>
    <col min="12" max="13" width="16.109375" style="16" customWidth="1"/>
    <col min="14" max="14" width="19.6640625" style="15" customWidth="1"/>
    <col min="15" max="15" width="17.21875" customWidth="1"/>
    <col min="16" max="16" width="14" style="15" customWidth="1"/>
    <col min="17" max="17" width="19.88671875" style="15" customWidth="1"/>
    <col min="18" max="18" width="15.6640625" style="15" customWidth="1"/>
    <col min="19" max="19" width="12.5546875" customWidth="1"/>
    <col min="20" max="20" width="25" customWidth="1"/>
    <col min="21" max="21" width="17.33203125" customWidth="1"/>
  </cols>
  <sheetData>
    <row r="2" spans="1:22" x14ac:dyDescent="0.3">
      <c r="B2" s="51" t="s">
        <v>399</v>
      </c>
      <c r="C2" t="s">
        <v>390</v>
      </c>
      <c r="H2" t="s">
        <v>1</v>
      </c>
      <c r="I2" t="s">
        <v>255</v>
      </c>
      <c r="J2" t="s">
        <v>88</v>
      </c>
    </row>
    <row r="3" spans="1:22" x14ac:dyDescent="0.3">
      <c r="A3"/>
      <c r="B3" s="51" t="s">
        <v>400</v>
      </c>
      <c r="C3" t="s">
        <v>391</v>
      </c>
      <c r="H3" t="s">
        <v>29</v>
      </c>
      <c r="I3" t="s">
        <v>108</v>
      </c>
      <c r="J3" t="s">
        <v>31</v>
      </c>
    </row>
    <row r="4" spans="1:22" x14ac:dyDescent="0.3">
      <c r="A4"/>
      <c r="B4" s="51" t="s">
        <v>401</v>
      </c>
      <c r="C4" t="s">
        <v>392</v>
      </c>
      <c r="H4" t="s">
        <v>35</v>
      </c>
      <c r="I4" t="s">
        <v>156</v>
      </c>
      <c r="J4" t="s">
        <v>157</v>
      </c>
      <c r="R4" s="52" t="s">
        <v>41</v>
      </c>
      <c r="T4" t="s">
        <v>256</v>
      </c>
    </row>
    <row r="5" spans="1:22" x14ac:dyDescent="0.3">
      <c r="A5"/>
      <c r="B5" s="51" t="s">
        <v>402</v>
      </c>
      <c r="C5" t="s">
        <v>415</v>
      </c>
      <c r="H5" t="s">
        <v>57</v>
      </c>
      <c r="I5" t="s">
        <v>167</v>
      </c>
      <c r="R5" s="49" t="s">
        <v>42</v>
      </c>
      <c r="T5" t="s">
        <v>89</v>
      </c>
    </row>
    <row r="6" spans="1:22" x14ac:dyDescent="0.3">
      <c r="A6"/>
      <c r="B6" s="51" t="s">
        <v>409</v>
      </c>
      <c r="C6" s="14" t="s">
        <v>416</v>
      </c>
      <c r="H6" t="s">
        <v>236</v>
      </c>
      <c r="I6" t="s">
        <v>92</v>
      </c>
      <c r="R6" s="50" t="s">
        <v>43</v>
      </c>
      <c r="T6" t="s">
        <v>90</v>
      </c>
    </row>
    <row r="7" spans="1:22" x14ac:dyDescent="0.3">
      <c r="A7"/>
      <c r="R7" s="49" t="s">
        <v>85</v>
      </c>
    </row>
    <row r="8" spans="1:22" x14ac:dyDescent="0.3">
      <c r="A8"/>
      <c r="R8" s="50"/>
    </row>
    <row r="9" spans="1:22" x14ac:dyDescent="0.3">
      <c r="R9" s="49"/>
    </row>
    <row r="10" spans="1:22" s="19" customFormat="1" ht="16.5" customHeight="1" x14ac:dyDescent="0.2">
      <c r="A10" s="17" t="s">
        <v>364</v>
      </c>
      <c r="B10" s="18" t="s">
        <v>160</v>
      </c>
      <c r="C10" s="18" t="s">
        <v>224</v>
      </c>
      <c r="D10" s="19" t="s">
        <v>1</v>
      </c>
      <c r="E10" s="19" t="s">
        <v>2</v>
      </c>
      <c r="F10" s="19" t="s">
        <v>365</v>
      </c>
      <c r="G10" s="19" t="s">
        <v>5</v>
      </c>
      <c r="H10" s="19" t="s">
        <v>397</v>
      </c>
      <c r="I10" s="19" t="s">
        <v>4</v>
      </c>
      <c r="J10" s="19" t="s">
        <v>48</v>
      </c>
      <c r="K10" s="19" t="s">
        <v>88</v>
      </c>
      <c r="L10" s="20" t="s">
        <v>20</v>
      </c>
      <c r="M10" s="20" t="s">
        <v>403</v>
      </c>
      <c r="N10" s="19" t="s">
        <v>21</v>
      </c>
      <c r="O10" s="20" t="s">
        <v>22</v>
      </c>
      <c r="P10" s="20" t="s">
        <v>23</v>
      </c>
      <c r="Q10" s="21" t="s">
        <v>24</v>
      </c>
      <c r="R10" s="19" t="s">
        <v>41</v>
      </c>
      <c r="S10" s="19" t="s">
        <v>49</v>
      </c>
      <c r="T10" s="19" t="s">
        <v>100</v>
      </c>
      <c r="U10" s="64" t="s">
        <v>423</v>
      </c>
      <c r="V10" s="105" t="s">
        <v>715</v>
      </c>
    </row>
    <row r="11" spans="1:22" x14ac:dyDescent="0.3">
      <c r="A11" s="14">
        <v>44993</v>
      </c>
      <c r="B11">
        <v>2023</v>
      </c>
      <c r="C11" t="s">
        <v>227</v>
      </c>
      <c r="D11" t="s">
        <v>29</v>
      </c>
      <c r="E11" t="s">
        <v>45</v>
      </c>
      <c r="F11">
        <v>2896</v>
      </c>
      <c r="G11" t="s">
        <v>547</v>
      </c>
      <c r="H11" t="s">
        <v>233</v>
      </c>
      <c r="I11">
        <v>808</v>
      </c>
      <c r="J11" t="s">
        <v>108</v>
      </c>
      <c r="K11" t="s">
        <v>31</v>
      </c>
      <c r="L11" s="88">
        <v>212622.52822399998</v>
      </c>
      <c r="M11" s="22" t="s">
        <v>402</v>
      </c>
      <c r="N11" s="89">
        <v>6</v>
      </c>
      <c r="O11" s="88">
        <v>36040.376224000007</v>
      </c>
      <c r="P11" s="88">
        <v>6006.7293706666678</v>
      </c>
      <c r="Q11" s="90">
        <v>0.16950403386244711</v>
      </c>
      <c r="R11" s="22" t="s">
        <v>42</v>
      </c>
      <c r="S11" s="22" t="s">
        <v>50</v>
      </c>
      <c r="T11" s="22" t="s">
        <v>89</v>
      </c>
      <c r="U11" s="88"/>
      <c r="V11" s="104"/>
    </row>
    <row r="12" spans="1:22" x14ac:dyDescent="0.3">
      <c r="A12" s="14">
        <v>45082</v>
      </c>
      <c r="B12">
        <v>2023</v>
      </c>
      <c r="C12" t="s">
        <v>226</v>
      </c>
      <c r="D12" t="s">
        <v>29</v>
      </c>
      <c r="E12" t="s">
        <v>575</v>
      </c>
      <c r="F12">
        <v>2904</v>
      </c>
      <c r="G12" t="s">
        <v>589</v>
      </c>
      <c r="H12" t="s">
        <v>233</v>
      </c>
      <c r="I12">
        <v>8763</v>
      </c>
      <c r="J12" t="s">
        <v>156</v>
      </c>
      <c r="K12" t="s">
        <v>157</v>
      </c>
      <c r="L12" s="88">
        <v>3061261.6345033199</v>
      </c>
      <c r="M12" s="22" t="s">
        <v>400</v>
      </c>
      <c r="N12" s="89">
        <v>20</v>
      </c>
      <c r="O12" s="88">
        <v>360950.46523432003</v>
      </c>
      <c r="P12" s="88">
        <v>18047.523261716</v>
      </c>
      <c r="Q12" s="90">
        <v>0.11790905460874895</v>
      </c>
      <c r="R12" s="22" t="s">
        <v>42</v>
      </c>
      <c r="S12" s="22" t="s">
        <v>50</v>
      </c>
      <c r="T12" s="22" t="s">
        <v>89</v>
      </c>
      <c r="U12" s="88"/>
      <c r="V12" s="104"/>
    </row>
    <row r="13" spans="1:22" x14ac:dyDescent="0.3">
      <c r="A13" s="14">
        <v>45148</v>
      </c>
      <c r="B13">
        <v>2023</v>
      </c>
      <c r="C13" t="s">
        <v>226</v>
      </c>
      <c r="D13" t="s">
        <v>57</v>
      </c>
      <c r="E13" t="s">
        <v>72</v>
      </c>
      <c r="F13">
        <v>2926</v>
      </c>
      <c r="G13" t="s">
        <v>566</v>
      </c>
      <c r="H13" t="s">
        <v>233</v>
      </c>
      <c r="I13">
        <v>2919</v>
      </c>
      <c r="J13" t="s">
        <v>108</v>
      </c>
      <c r="K13" t="s">
        <v>31</v>
      </c>
      <c r="L13" s="22">
        <v>2324757.0025814874</v>
      </c>
      <c r="M13" s="22" t="s">
        <v>400</v>
      </c>
      <c r="N13" s="24">
        <v>32</v>
      </c>
      <c r="O13" s="22">
        <v>291758.24214203755</v>
      </c>
      <c r="P13" s="22">
        <v>9117.4450669386733</v>
      </c>
      <c r="Q13" s="23">
        <v>0.12550053266559022</v>
      </c>
      <c r="R13" s="22" t="s">
        <v>43</v>
      </c>
      <c r="S13" s="22" t="s">
        <v>50</v>
      </c>
      <c r="T13" s="22" t="s">
        <v>90</v>
      </c>
      <c r="U13" s="63"/>
      <c r="V13" s="104"/>
    </row>
    <row r="14" spans="1:22" x14ac:dyDescent="0.3">
      <c r="A14" s="14">
        <v>45245</v>
      </c>
      <c r="B14">
        <v>2023</v>
      </c>
      <c r="C14" t="s">
        <v>228</v>
      </c>
      <c r="D14" t="s">
        <v>29</v>
      </c>
      <c r="E14" t="s">
        <v>45</v>
      </c>
      <c r="F14">
        <v>2959</v>
      </c>
      <c r="G14" t="s">
        <v>606</v>
      </c>
      <c r="H14" t="s">
        <v>233</v>
      </c>
      <c r="I14">
        <v>2607</v>
      </c>
      <c r="J14" t="s">
        <v>156</v>
      </c>
      <c r="K14" t="s">
        <v>157</v>
      </c>
      <c r="L14" s="22">
        <v>305249.93086760334</v>
      </c>
      <c r="M14" s="22" t="s">
        <v>402</v>
      </c>
      <c r="N14" s="24">
        <v>5</v>
      </c>
      <c r="O14" s="22">
        <v>55230.891665936666</v>
      </c>
      <c r="P14" s="22">
        <v>11046.178333187334</v>
      </c>
      <c r="Q14" s="23">
        <v>0.18093662301234745</v>
      </c>
      <c r="R14" s="22" t="s">
        <v>42</v>
      </c>
      <c r="S14" s="22" t="s">
        <v>50</v>
      </c>
      <c r="T14" s="22" t="s">
        <v>89</v>
      </c>
      <c r="U14" s="63"/>
      <c r="V14" s="104"/>
    </row>
    <row r="15" spans="1:22" x14ac:dyDescent="0.3">
      <c r="A15" s="14">
        <v>45261</v>
      </c>
      <c r="B15">
        <v>2024</v>
      </c>
      <c r="C15" t="s">
        <v>229</v>
      </c>
      <c r="D15" t="s">
        <v>29</v>
      </c>
      <c r="E15" t="s">
        <v>45</v>
      </c>
      <c r="F15">
        <v>2963</v>
      </c>
      <c r="G15" t="s">
        <v>623</v>
      </c>
      <c r="H15" t="s">
        <v>233</v>
      </c>
      <c r="I15">
        <v>3212</v>
      </c>
      <c r="J15" t="s">
        <v>156</v>
      </c>
      <c r="K15" t="s">
        <v>157</v>
      </c>
      <c r="L15" s="22">
        <v>510148.84058880003</v>
      </c>
      <c r="M15" s="22" t="s">
        <v>401</v>
      </c>
      <c r="N15" s="24">
        <v>8</v>
      </c>
      <c r="O15" s="22">
        <v>70241.075408000019</v>
      </c>
      <c r="P15" s="22">
        <v>8780.1344260000023</v>
      </c>
      <c r="Q15" s="23">
        <v>0.13768741555293876</v>
      </c>
      <c r="R15" s="22" t="s">
        <v>42</v>
      </c>
      <c r="S15" s="22" t="s">
        <v>50</v>
      </c>
      <c r="T15" s="22" t="s">
        <v>89</v>
      </c>
      <c r="U15" s="63"/>
      <c r="V15" s="104"/>
    </row>
    <row r="16" spans="1:22" x14ac:dyDescent="0.3">
      <c r="A16" s="14">
        <v>45295</v>
      </c>
      <c r="B16">
        <v>2024</v>
      </c>
      <c r="C16" t="s">
        <v>229</v>
      </c>
      <c r="D16" t="s">
        <v>29</v>
      </c>
      <c r="E16" t="s">
        <v>45</v>
      </c>
      <c r="F16">
        <v>2972</v>
      </c>
      <c r="G16" t="s">
        <v>604</v>
      </c>
      <c r="H16" t="s">
        <v>234</v>
      </c>
      <c r="I16">
        <v>4500</v>
      </c>
      <c r="J16" t="s">
        <v>156</v>
      </c>
      <c r="K16" s="22" t="s">
        <v>157</v>
      </c>
      <c r="L16" s="22">
        <v>139507.06324799999</v>
      </c>
      <c r="M16" s="22" t="s">
        <v>402</v>
      </c>
      <c r="N16" s="24">
        <v>4</v>
      </c>
      <c r="O16" s="22">
        <v>21237.977930000001</v>
      </c>
      <c r="P16" s="22">
        <v>5309.4944825000002</v>
      </c>
      <c r="Q16" s="23">
        <v>0.15223586129288313</v>
      </c>
      <c r="R16" s="22" t="s">
        <v>43</v>
      </c>
      <c r="S16" s="22" t="s">
        <v>50</v>
      </c>
      <c r="T16" s="22" t="s">
        <v>90</v>
      </c>
      <c r="U16" s="63"/>
      <c r="V16" s="104"/>
    </row>
    <row r="17" spans="1:22" x14ac:dyDescent="0.3">
      <c r="A17" s="14">
        <v>45320</v>
      </c>
      <c r="B17">
        <v>2024</v>
      </c>
      <c r="C17" t="s">
        <v>229</v>
      </c>
      <c r="D17" t="s">
        <v>29</v>
      </c>
      <c r="E17" t="s">
        <v>45</v>
      </c>
      <c r="F17">
        <v>2975</v>
      </c>
      <c r="G17" t="s">
        <v>703</v>
      </c>
      <c r="H17" t="s">
        <v>233</v>
      </c>
      <c r="I17">
        <v>44700</v>
      </c>
      <c r="J17" t="s">
        <v>156</v>
      </c>
      <c r="K17" t="s">
        <v>157</v>
      </c>
      <c r="L17" s="22">
        <v>10541934.238195067</v>
      </c>
      <c r="M17" s="22" t="s">
        <v>399</v>
      </c>
      <c r="N17" s="24">
        <v>48</v>
      </c>
      <c r="O17" s="22">
        <v>1248416.1013607334</v>
      </c>
      <c r="P17" s="22">
        <v>26008.668778348612</v>
      </c>
      <c r="Q17" s="23">
        <v>0.11842381797806399</v>
      </c>
      <c r="R17" s="22" t="s">
        <v>42</v>
      </c>
      <c r="S17" s="22" t="s">
        <v>50</v>
      </c>
      <c r="T17" s="22" t="s">
        <v>89</v>
      </c>
      <c r="U17" s="63"/>
      <c r="V17" s="104"/>
    </row>
    <row r="18" spans="1:22" x14ac:dyDescent="0.3">
      <c r="A18" s="14">
        <v>45303</v>
      </c>
      <c r="B18">
        <v>2024</v>
      </c>
      <c r="C18" t="s">
        <v>229</v>
      </c>
      <c r="D18" t="s">
        <v>29</v>
      </c>
      <c r="E18" t="s">
        <v>45</v>
      </c>
      <c r="F18">
        <v>2976</v>
      </c>
      <c r="G18" t="s">
        <v>613</v>
      </c>
      <c r="H18" t="s">
        <v>233</v>
      </c>
      <c r="I18">
        <v>2400</v>
      </c>
      <c r="J18" t="s">
        <v>156</v>
      </c>
      <c r="K18" t="s">
        <v>157</v>
      </c>
      <c r="L18" s="22">
        <v>222472.06025308502</v>
      </c>
      <c r="M18" s="22" t="s">
        <v>402</v>
      </c>
      <c r="N18" s="24">
        <v>4</v>
      </c>
      <c r="O18" s="22">
        <v>27943.242746485001</v>
      </c>
      <c r="P18" s="22">
        <v>6985.8106866212502</v>
      </c>
      <c r="Q18" s="23">
        <v>0.1256033801039855</v>
      </c>
      <c r="R18" s="22" t="s">
        <v>43</v>
      </c>
      <c r="S18" s="22" t="s">
        <v>50</v>
      </c>
      <c r="T18" s="22" t="s">
        <v>90</v>
      </c>
      <c r="U18" s="63"/>
      <c r="V18" s="104"/>
    </row>
    <row r="19" spans="1:22" x14ac:dyDescent="0.3">
      <c r="A19" s="14">
        <v>45351</v>
      </c>
      <c r="B19">
        <v>2024</v>
      </c>
      <c r="C19" t="s">
        <v>229</v>
      </c>
      <c r="D19" t="s">
        <v>29</v>
      </c>
      <c r="E19" t="s">
        <v>45</v>
      </c>
      <c r="F19">
        <v>2975</v>
      </c>
      <c r="G19" t="s">
        <v>624</v>
      </c>
      <c r="H19" t="s">
        <v>235</v>
      </c>
      <c r="I19">
        <v>2130</v>
      </c>
      <c r="J19" t="s">
        <v>156</v>
      </c>
      <c r="K19" t="s">
        <v>157</v>
      </c>
      <c r="L19" s="22">
        <v>1999972.3423658761</v>
      </c>
      <c r="M19" s="22" t="s">
        <v>401</v>
      </c>
      <c r="N19" s="24">
        <v>26</v>
      </c>
      <c r="O19" s="22">
        <v>264048.81888757023</v>
      </c>
      <c r="P19" s="22">
        <v>10155.723803368086</v>
      </c>
      <c r="Q19" s="23">
        <v>0.13202623521043921</v>
      </c>
      <c r="R19" s="22" t="s">
        <v>42</v>
      </c>
      <c r="S19" s="22" t="s">
        <v>50</v>
      </c>
      <c r="T19" s="22" t="s">
        <v>89</v>
      </c>
      <c r="U19" s="63"/>
      <c r="V19" s="104"/>
    </row>
    <row r="20" spans="1:22" x14ac:dyDescent="0.3">
      <c r="A20" s="14">
        <v>45343</v>
      </c>
      <c r="B20">
        <v>2024</v>
      </c>
      <c r="C20" t="s">
        <v>229</v>
      </c>
      <c r="D20" t="s">
        <v>29</v>
      </c>
      <c r="E20" t="s">
        <v>45</v>
      </c>
      <c r="F20">
        <v>2985</v>
      </c>
      <c r="G20" t="s">
        <v>627</v>
      </c>
      <c r="H20" t="s">
        <v>233</v>
      </c>
      <c r="I20">
        <v>4100</v>
      </c>
      <c r="J20" t="s">
        <v>156</v>
      </c>
      <c r="K20" t="s">
        <v>157</v>
      </c>
      <c r="L20" s="22">
        <v>523403.76921552001</v>
      </c>
      <c r="M20" s="22" t="s">
        <v>401</v>
      </c>
      <c r="N20" s="24">
        <v>12</v>
      </c>
      <c r="O20" s="22">
        <v>88415.623883220018</v>
      </c>
      <c r="P20" s="22">
        <v>7367.9686569350015</v>
      </c>
      <c r="Q20" s="23">
        <v>0.16892431633753377</v>
      </c>
      <c r="R20" s="22" t="s">
        <v>42</v>
      </c>
      <c r="S20" s="22" t="s">
        <v>50</v>
      </c>
      <c r="T20" s="22" t="s">
        <v>89</v>
      </c>
      <c r="U20" s="63"/>
      <c r="V20" s="104"/>
    </row>
    <row r="21" spans="1:22" x14ac:dyDescent="0.3">
      <c r="A21" s="14" t="s">
        <v>649</v>
      </c>
      <c r="B21">
        <v>2024</v>
      </c>
      <c r="C21" t="s">
        <v>227</v>
      </c>
      <c r="D21" t="s">
        <v>29</v>
      </c>
      <c r="E21" t="s">
        <v>45</v>
      </c>
      <c r="F21">
        <v>2993</v>
      </c>
      <c r="G21" t="s">
        <v>637</v>
      </c>
      <c r="H21" t="s">
        <v>235</v>
      </c>
      <c r="I21">
        <v>1114</v>
      </c>
      <c r="J21" t="s">
        <v>108</v>
      </c>
      <c r="K21" t="s">
        <v>31</v>
      </c>
      <c r="L21" s="22">
        <v>319017.20360160002</v>
      </c>
      <c r="M21" s="22" t="s">
        <v>402</v>
      </c>
      <c r="N21" s="24">
        <v>8</v>
      </c>
      <c r="O21" s="22">
        <v>51313.561212500004</v>
      </c>
      <c r="P21" s="22">
        <v>6414.1951515625005</v>
      </c>
      <c r="Q21" s="23">
        <v>0.16084888411404358</v>
      </c>
      <c r="R21" s="22" t="s">
        <v>42</v>
      </c>
      <c r="S21" s="22" t="s">
        <v>50</v>
      </c>
      <c r="T21" s="22" t="s">
        <v>89</v>
      </c>
      <c r="U21" s="63"/>
      <c r="V21" s="104"/>
    </row>
    <row r="22" spans="1:22" x14ac:dyDescent="0.3">
      <c r="A22" s="14"/>
      <c r="B22"/>
      <c r="C22"/>
      <c r="E22" t="s">
        <v>45</v>
      </c>
      <c r="F22">
        <v>2994</v>
      </c>
      <c r="G22" s="107" t="s">
        <v>638</v>
      </c>
      <c r="L22" s="22"/>
      <c r="M22" s="22"/>
      <c r="N22" s="24"/>
      <c r="O22" s="22"/>
      <c r="P22" s="22"/>
      <c r="Q22" s="23"/>
      <c r="R22" s="22"/>
      <c r="S22" s="22"/>
      <c r="T22" s="22"/>
      <c r="U22" s="63"/>
      <c r="V22" s="104"/>
    </row>
    <row r="23" spans="1:22" x14ac:dyDescent="0.3">
      <c r="A23" s="14"/>
      <c r="B23"/>
      <c r="C23"/>
      <c r="G23" t="s">
        <v>639</v>
      </c>
      <c r="L23" s="22"/>
      <c r="M23" s="22"/>
      <c r="N23" s="24"/>
      <c r="O23" s="22"/>
      <c r="P23" s="22"/>
      <c r="Q23" s="23"/>
      <c r="R23" s="22"/>
      <c r="S23" s="22"/>
      <c r="T23" s="22"/>
      <c r="U23" s="63"/>
      <c r="V23" s="104"/>
    </row>
    <row r="24" spans="1:22" x14ac:dyDescent="0.3">
      <c r="A24" s="14">
        <v>45461</v>
      </c>
      <c r="B24">
        <v>2024</v>
      </c>
      <c r="C24" t="s">
        <v>226</v>
      </c>
      <c r="D24" t="s">
        <v>29</v>
      </c>
      <c r="E24" t="s">
        <v>45</v>
      </c>
      <c r="F24">
        <v>3004</v>
      </c>
      <c r="G24" t="s">
        <v>650</v>
      </c>
      <c r="H24" t="s">
        <v>233</v>
      </c>
      <c r="I24">
        <v>60150</v>
      </c>
      <c r="J24" t="s">
        <v>156</v>
      </c>
      <c r="K24" t="s">
        <v>157</v>
      </c>
      <c r="L24" s="22">
        <v>6629323.8254437065</v>
      </c>
      <c r="M24" s="22" t="s">
        <v>399</v>
      </c>
      <c r="N24" s="24">
        <v>40</v>
      </c>
      <c r="O24" s="22">
        <v>630191.29562327336</v>
      </c>
      <c r="P24" s="22">
        <v>15754.782390581833</v>
      </c>
      <c r="Q24" s="23">
        <v>9.5061172484072171E-2</v>
      </c>
      <c r="R24" s="22" t="s">
        <v>43</v>
      </c>
      <c r="S24" s="22" t="s">
        <v>50</v>
      </c>
      <c r="T24" s="22" t="s">
        <v>90</v>
      </c>
      <c r="U24" s="63"/>
      <c r="V24" s="104"/>
    </row>
    <row r="25" spans="1:22" x14ac:dyDescent="0.3">
      <c r="A25" s="14">
        <v>45595</v>
      </c>
      <c r="B25">
        <v>2024</v>
      </c>
      <c r="C25" t="s">
        <v>228</v>
      </c>
      <c r="D25" t="s">
        <v>35</v>
      </c>
      <c r="E25" t="s">
        <v>36</v>
      </c>
      <c r="F25">
        <v>2992</v>
      </c>
      <c r="G25" t="s">
        <v>653</v>
      </c>
      <c r="H25" t="s">
        <v>398</v>
      </c>
      <c r="I25">
        <v>77397</v>
      </c>
      <c r="J25" t="s">
        <v>156</v>
      </c>
      <c r="K25" t="s">
        <v>157</v>
      </c>
      <c r="L25" s="22">
        <v>20811103.706209306</v>
      </c>
      <c r="M25" s="22" t="s">
        <v>399</v>
      </c>
      <c r="N25" s="24">
        <v>78</v>
      </c>
      <c r="O25" s="22">
        <v>984225.0105617143</v>
      </c>
      <c r="P25" s="22">
        <v>12618.269366175824</v>
      </c>
      <c r="Q25" s="23">
        <v>4.7293263464352253E-2</v>
      </c>
      <c r="R25" s="22" t="s">
        <v>43</v>
      </c>
      <c r="S25" s="22" t="s">
        <v>50</v>
      </c>
      <c r="T25" s="22" t="s">
        <v>90</v>
      </c>
      <c r="U25" s="63"/>
      <c r="V25" s="104"/>
    </row>
    <row r="26" spans="1:22" x14ac:dyDescent="0.3">
      <c r="A26" s="14">
        <v>45560</v>
      </c>
      <c r="B26">
        <v>2024</v>
      </c>
      <c r="C26" t="s">
        <v>228</v>
      </c>
      <c r="D26" t="s">
        <v>29</v>
      </c>
      <c r="E26" t="s">
        <v>38</v>
      </c>
      <c r="F26">
        <v>3017</v>
      </c>
      <c r="G26" t="s">
        <v>662</v>
      </c>
      <c r="H26" t="s">
        <v>233</v>
      </c>
      <c r="I26">
        <v>21678</v>
      </c>
      <c r="J26" t="s">
        <v>156</v>
      </c>
      <c r="K26" t="s">
        <v>157</v>
      </c>
      <c r="L26" s="22">
        <v>6175188.9340879992</v>
      </c>
      <c r="M26" s="22" t="s">
        <v>399</v>
      </c>
      <c r="N26" s="24">
        <v>40</v>
      </c>
      <c r="O26" s="22">
        <v>507179.60598710005</v>
      </c>
      <c r="P26" s="22">
        <v>12679.490149677502</v>
      </c>
      <c r="Q26" s="23">
        <v>8.2131836191665336E-2</v>
      </c>
      <c r="R26" s="22" t="s">
        <v>42</v>
      </c>
      <c r="S26" s="22" t="s">
        <v>50</v>
      </c>
      <c r="T26" s="22" t="s">
        <v>89</v>
      </c>
      <c r="U26" s="63"/>
      <c r="V26" s="104"/>
    </row>
    <row r="27" spans="1:22" x14ac:dyDescent="0.3">
      <c r="A27" s="14">
        <v>45723</v>
      </c>
      <c r="B27">
        <v>2025</v>
      </c>
      <c r="C27" t="s">
        <v>229</v>
      </c>
      <c r="D27" t="s">
        <v>29</v>
      </c>
      <c r="E27" t="s">
        <v>45</v>
      </c>
      <c r="F27">
        <v>3042</v>
      </c>
      <c r="G27" t="s">
        <v>686</v>
      </c>
      <c r="H27" t="s">
        <v>233</v>
      </c>
      <c r="I27">
        <v>8150</v>
      </c>
      <c r="J27" t="s">
        <v>108</v>
      </c>
      <c r="K27" t="s">
        <v>31</v>
      </c>
      <c r="L27" s="22">
        <v>4309699.9957807446</v>
      </c>
      <c r="M27" s="22" t="s">
        <v>400</v>
      </c>
      <c r="N27" s="24">
        <v>45</v>
      </c>
      <c r="O27" s="22">
        <v>362386.86108423839</v>
      </c>
      <c r="P27" s="22">
        <v>8053.0413574275199</v>
      </c>
      <c r="Q27" s="23">
        <v>8.50283968918219E-2</v>
      </c>
      <c r="R27" s="22" t="s">
        <v>43</v>
      </c>
      <c r="S27" s="22" t="s">
        <v>50</v>
      </c>
      <c r="T27" s="22" t="s">
        <v>90</v>
      </c>
      <c r="U27" s="63"/>
      <c r="V27" s="104"/>
    </row>
    <row r="28" spans="1:22" x14ac:dyDescent="0.3">
      <c r="A28" s="95">
        <v>45775</v>
      </c>
      <c r="B28" s="96">
        <v>2025</v>
      </c>
      <c r="C28" s="97" t="s">
        <v>227</v>
      </c>
      <c r="D28" s="98" t="s">
        <v>29</v>
      </c>
      <c r="E28" s="99" t="s">
        <v>45</v>
      </c>
      <c r="F28" s="98">
        <v>3047</v>
      </c>
      <c r="G28" s="99" t="s">
        <v>691</v>
      </c>
      <c r="H28" s="99" t="s">
        <v>233</v>
      </c>
      <c r="I28" s="100">
        <v>9900</v>
      </c>
      <c r="J28" s="99" t="s">
        <v>108</v>
      </c>
      <c r="K28" s="99" t="s">
        <v>31</v>
      </c>
      <c r="L28" s="99">
        <v>5857400.0031119352</v>
      </c>
      <c r="M28" s="99" t="s">
        <v>399</v>
      </c>
      <c r="N28" s="98">
        <v>52</v>
      </c>
      <c r="O28" s="99">
        <v>384132.40389972512</v>
      </c>
      <c r="P28" s="101">
        <v>7387.1616134562519</v>
      </c>
      <c r="Q28" s="102">
        <v>6.5525711223908448E-2</v>
      </c>
      <c r="R28" s="94" t="s">
        <v>42</v>
      </c>
      <c r="S28" s="22" t="s">
        <v>50</v>
      </c>
      <c r="T28" s="22" t="s">
        <v>89</v>
      </c>
      <c r="U28" s="63"/>
      <c r="V28" s="104"/>
    </row>
    <row r="29" spans="1:22" x14ac:dyDescent="0.3">
      <c r="A29" s="14">
        <v>45769</v>
      </c>
      <c r="B29">
        <v>2025</v>
      </c>
      <c r="C29" t="s">
        <v>227</v>
      </c>
      <c r="D29" t="s">
        <v>29</v>
      </c>
      <c r="E29" t="s">
        <v>45</v>
      </c>
      <c r="F29">
        <v>3046</v>
      </c>
      <c r="G29" t="s">
        <v>692</v>
      </c>
      <c r="H29" t="s">
        <v>233</v>
      </c>
      <c r="I29" s="87">
        <v>2180</v>
      </c>
      <c r="J29" t="s">
        <v>659</v>
      </c>
      <c r="K29" t="s">
        <v>660</v>
      </c>
      <c r="L29" s="22">
        <f>1678400+500000</f>
        <v>2178400</v>
      </c>
      <c r="M29" s="22" t="s">
        <v>400</v>
      </c>
      <c r="N29" s="24">
        <v>26</v>
      </c>
      <c r="O29" s="22">
        <v>162228.04999999999</v>
      </c>
      <c r="P29" s="22">
        <v>6240</v>
      </c>
      <c r="Q29" s="23">
        <v>9.6699999999999994E-2</v>
      </c>
      <c r="R29" s="22" t="s">
        <v>42</v>
      </c>
      <c r="S29" s="22" t="s">
        <v>50</v>
      </c>
      <c r="T29" s="22" t="s">
        <v>89</v>
      </c>
      <c r="U29" s="63"/>
      <c r="V29" s="104"/>
    </row>
    <row r="30" spans="1:22" x14ac:dyDescent="0.3">
      <c r="A30" s="35">
        <v>45785</v>
      </c>
      <c r="B30" s="83">
        <v>2025</v>
      </c>
      <c r="C30" s="92" t="s">
        <v>227</v>
      </c>
      <c r="D30" t="s">
        <v>29</v>
      </c>
      <c r="E30" s="5" t="s">
        <v>30</v>
      </c>
      <c r="F30">
        <v>3050</v>
      </c>
      <c r="G30" s="5" t="s">
        <v>695</v>
      </c>
      <c r="H30" s="5" t="s">
        <v>235</v>
      </c>
      <c r="I30" s="81">
        <v>1600</v>
      </c>
      <c r="J30" s="5" t="s">
        <v>108</v>
      </c>
      <c r="K30" s="5" t="s">
        <v>31</v>
      </c>
      <c r="L30" s="5">
        <v>421508.12619940803</v>
      </c>
      <c r="M30" s="5" t="s">
        <v>402</v>
      </c>
      <c r="N30">
        <v>10</v>
      </c>
      <c r="O30" s="5">
        <v>42149.094648008002</v>
      </c>
      <c r="P30" s="40">
        <v>4214.9094648008004</v>
      </c>
      <c r="Q30" s="9">
        <v>9.9995924225830965E-2</v>
      </c>
      <c r="R30" s="22" t="s">
        <v>43</v>
      </c>
      <c r="S30" s="22" t="s">
        <v>50</v>
      </c>
      <c r="T30" s="22" t="s">
        <v>90</v>
      </c>
      <c r="U30" s="63"/>
      <c r="V30" s="104"/>
    </row>
    <row r="31" spans="1:22" x14ac:dyDescent="0.3">
      <c r="A31" s="14">
        <v>45861</v>
      </c>
      <c r="B31">
        <v>2025</v>
      </c>
      <c r="C31"/>
      <c r="D31" t="s">
        <v>29</v>
      </c>
      <c r="E31" t="s">
        <v>555</v>
      </c>
      <c r="F31">
        <v>2903</v>
      </c>
      <c r="G31" t="s">
        <v>636</v>
      </c>
      <c r="H31" t="s">
        <v>234</v>
      </c>
      <c r="I31" s="110">
        <v>4870</v>
      </c>
      <c r="J31" s="111" t="s">
        <v>156</v>
      </c>
      <c r="K31" s="111" t="s">
        <v>157</v>
      </c>
      <c r="L31" s="111">
        <v>1490224.0237647232</v>
      </c>
      <c r="M31" s="111" t="s">
        <v>401</v>
      </c>
      <c r="N31" s="109">
        <v>20</v>
      </c>
      <c r="O31" s="111">
        <v>160849.13764578855</v>
      </c>
      <c r="P31" s="113">
        <v>8042.4568822894271</v>
      </c>
      <c r="Q31" s="112">
        <v>0.10793621299933052</v>
      </c>
      <c r="R31" s="94" t="s">
        <v>85</v>
      </c>
      <c r="S31" s="94" t="s">
        <v>50</v>
      </c>
      <c r="T31" s="94" t="s">
        <v>90</v>
      </c>
      <c r="U31" s="63"/>
      <c r="V31" s="104"/>
    </row>
    <row r="32" spans="1:22" x14ac:dyDescent="0.3">
      <c r="A32" s="14">
        <v>45897</v>
      </c>
      <c r="B32">
        <v>2025</v>
      </c>
      <c r="C32" t="s">
        <v>226</v>
      </c>
      <c r="D32" t="s">
        <v>29</v>
      </c>
      <c r="E32" t="s">
        <v>30</v>
      </c>
      <c r="F32">
        <v>3064</v>
      </c>
      <c r="G32" t="s">
        <v>716</v>
      </c>
      <c r="H32" t="s">
        <v>235</v>
      </c>
      <c r="I32">
        <v>2500</v>
      </c>
      <c r="J32" t="s">
        <v>108</v>
      </c>
      <c r="K32" t="s">
        <v>31</v>
      </c>
      <c r="L32" s="22">
        <v>499892.10834634001</v>
      </c>
      <c r="M32" s="22" t="s">
        <v>402</v>
      </c>
      <c r="N32" s="24">
        <v>6</v>
      </c>
      <c r="O32" s="22">
        <v>58438.389060839996</v>
      </c>
      <c r="P32" s="22">
        <v>9739.73151014</v>
      </c>
      <c r="Q32" s="23">
        <v>0.11690200362265402</v>
      </c>
      <c r="R32" s="22" t="s">
        <v>43</v>
      </c>
      <c r="S32" s="22" t="s">
        <v>50</v>
      </c>
      <c r="T32" s="22" t="s">
        <v>90</v>
      </c>
      <c r="U32" s="63"/>
      <c r="V32" s="104"/>
    </row>
    <row r="33" spans="1:22" x14ac:dyDescent="0.3">
      <c r="A33" s="14">
        <v>45874</v>
      </c>
      <c r="B33">
        <v>2025</v>
      </c>
      <c r="C33" t="s">
        <v>226</v>
      </c>
      <c r="D33" t="s">
        <v>57</v>
      </c>
      <c r="E33" t="s">
        <v>714</v>
      </c>
      <c r="F33">
        <v>3061</v>
      </c>
      <c r="G33" t="s">
        <v>711</v>
      </c>
      <c r="H33" t="s">
        <v>235</v>
      </c>
      <c r="I33">
        <v>2584</v>
      </c>
      <c r="J33" t="s">
        <v>108</v>
      </c>
      <c r="K33" t="s">
        <v>31</v>
      </c>
      <c r="L33" s="22">
        <v>537911.50490008004</v>
      </c>
      <c r="M33" s="22" t="s">
        <v>401</v>
      </c>
      <c r="N33" s="24">
        <v>6</v>
      </c>
      <c r="O33" s="22">
        <v>63388.954786680006</v>
      </c>
      <c r="P33" s="22">
        <v>10564.82579778</v>
      </c>
      <c r="Q33" s="23">
        <v>0.11784271986979503</v>
      </c>
      <c r="R33" s="22" t="s">
        <v>43</v>
      </c>
      <c r="S33" s="22" t="s">
        <v>50</v>
      </c>
      <c r="T33" s="22" t="s">
        <v>90</v>
      </c>
      <c r="U33" s="63"/>
      <c r="V33" s="104"/>
    </row>
    <row r="34" spans="1:22" x14ac:dyDescent="0.3">
      <c r="A34" s="14">
        <v>45924</v>
      </c>
      <c r="B34">
        <v>2026</v>
      </c>
      <c r="C34" t="s">
        <v>228</v>
      </c>
      <c r="D34" t="s">
        <v>29</v>
      </c>
      <c r="E34" t="s">
        <v>555</v>
      </c>
      <c r="F34">
        <v>3067</v>
      </c>
      <c r="G34" t="s">
        <v>717</v>
      </c>
      <c r="H34" t="s">
        <v>233</v>
      </c>
      <c r="I34">
        <v>10000</v>
      </c>
      <c r="J34" t="s">
        <v>108</v>
      </c>
      <c r="K34" t="s">
        <v>31</v>
      </c>
      <c r="L34" s="22">
        <v>796262.20852867106</v>
      </c>
      <c r="M34" s="22" t="s">
        <v>401</v>
      </c>
      <c r="N34" s="24">
        <v>8</v>
      </c>
      <c r="O34" s="22">
        <v>148334.53581630002</v>
      </c>
      <c r="P34" s="22">
        <v>18541.816977037503</v>
      </c>
      <c r="Q34" s="23">
        <v>0.18789529326548274</v>
      </c>
      <c r="R34" s="22" t="s">
        <v>42</v>
      </c>
      <c r="S34" s="22" t="s">
        <v>50</v>
      </c>
      <c r="T34" s="22" t="s">
        <v>90</v>
      </c>
      <c r="U34" s="63"/>
      <c r="V34" s="104"/>
    </row>
    <row r="35" spans="1:22" x14ac:dyDescent="0.3">
      <c r="A35" s="106">
        <v>45919</v>
      </c>
      <c r="B35" s="96">
        <v>2025</v>
      </c>
      <c r="C35" s="97" t="s">
        <v>228</v>
      </c>
      <c r="D35" s="98" t="s">
        <v>29</v>
      </c>
      <c r="E35" s="99" t="s">
        <v>718</v>
      </c>
      <c r="F35" s="98">
        <v>3065</v>
      </c>
      <c r="G35" s="99" t="s">
        <v>719</v>
      </c>
      <c r="H35" s="99" t="s">
        <v>233</v>
      </c>
      <c r="I35" s="100">
        <v>11140.74</v>
      </c>
      <c r="J35" s="99" t="s">
        <v>108</v>
      </c>
      <c r="K35" s="99" t="s">
        <v>31</v>
      </c>
      <c r="L35" s="99">
        <v>4659699.9984486438</v>
      </c>
      <c r="M35" s="99" t="s">
        <v>400</v>
      </c>
      <c r="N35" s="98">
        <v>56</v>
      </c>
      <c r="O35" s="99">
        <v>627400.58295452804</v>
      </c>
      <c r="P35" s="101">
        <v>11203.581838473716</v>
      </c>
      <c r="Q35" s="102">
        <v>0.13462244420972916</v>
      </c>
      <c r="R35" s="22" t="s">
        <v>43</v>
      </c>
      <c r="S35" s="22" t="s">
        <v>50</v>
      </c>
      <c r="T35" s="22" t="s">
        <v>90</v>
      </c>
      <c r="U35" s="63"/>
      <c r="V35" s="104"/>
    </row>
    <row r="36" spans="1:22" x14ac:dyDescent="0.3">
      <c r="A36" s="14">
        <v>45960</v>
      </c>
      <c r="B36">
        <v>2025</v>
      </c>
      <c r="C36" t="s">
        <v>228</v>
      </c>
      <c r="D36" t="s">
        <v>29</v>
      </c>
      <c r="E36" t="s">
        <v>720</v>
      </c>
      <c r="F36">
        <v>3068</v>
      </c>
      <c r="G36" t="s">
        <v>721</v>
      </c>
      <c r="H36" t="s">
        <v>233</v>
      </c>
      <c r="I36">
        <v>48004</v>
      </c>
      <c r="J36" t="s">
        <v>108</v>
      </c>
      <c r="K36" t="s">
        <v>31</v>
      </c>
      <c r="L36" s="22">
        <v>1211015.9976000001</v>
      </c>
      <c r="M36" s="22" t="s">
        <v>401</v>
      </c>
      <c r="N36" s="24">
        <v>16</v>
      </c>
      <c r="O36" s="22">
        <v>146143.95099999997</v>
      </c>
      <c r="P36" s="22">
        <v>9133.9969374999982</v>
      </c>
      <c r="Q36" s="23">
        <v>0.12067879473898699</v>
      </c>
      <c r="R36" s="22" t="s">
        <v>43</v>
      </c>
      <c r="S36" s="22" t="s">
        <v>50</v>
      </c>
      <c r="T36" s="22" t="s">
        <v>90</v>
      </c>
      <c r="U36" s="63"/>
      <c r="V36" s="104"/>
    </row>
    <row r="37" spans="1:22" x14ac:dyDescent="0.3">
      <c r="A37" s="14">
        <v>45961</v>
      </c>
      <c r="B37">
        <v>2025</v>
      </c>
      <c r="C37" t="s">
        <v>228</v>
      </c>
      <c r="D37" t="s">
        <v>29</v>
      </c>
      <c r="E37" t="s">
        <v>30</v>
      </c>
      <c r="F37">
        <v>3072</v>
      </c>
      <c r="G37" t="s">
        <v>723</v>
      </c>
      <c r="H37" t="s">
        <v>235</v>
      </c>
      <c r="I37">
        <v>2491</v>
      </c>
      <c r="J37" t="s">
        <v>108</v>
      </c>
      <c r="K37" t="s">
        <v>31</v>
      </c>
      <c r="L37" s="22">
        <v>506684.37059071998</v>
      </c>
      <c r="M37" s="22" t="s">
        <v>401</v>
      </c>
      <c r="N37" s="24">
        <v>6</v>
      </c>
      <c r="O37" s="22">
        <v>70608.362251519997</v>
      </c>
      <c r="P37" s="22">
        <v>11768.060375253333</v>
      </c>
      <c r="Q37" s="23">
        <v>0.13935374041476936</v>
      </c>
      <c r="R37" s="22" t="s">
        <v>43</v>
      </c>
      <c r="S37" s="22" t="s">
        <v>50</v>
      </c>
      <c r="T37" s="22" t="s">
        <v>90</v>
      </c>
      <c r="U37" s="63"/>
      <c r="V37" s="104"/>
    </row>
    <row r="38" spans="1:22" x14ac:dyDescent="0.3">
      <c r="A38" s="14">
        <v>45959</v>
      </c>
      <c r="B38">
        <v>2025</v>
      </c>
      <c r="C38" t="s">
        <v>228</v>
      </c>
      <c r="D38" t="s">
        <v>29</v>
      </c>
      <c r="E38" t="s">
        <v>724</v>
      </c>
      <c r="F38">
        <v>3073</v>
      </c>
      <c r="G38" t="s">
        <v>725</v>
      </c>
      <c r="H38" t="s">
        <v>235</v>
      </c>
      <c r="I38">
        <v>2590</v>
      </c>
      <c r="J38" t="s">
        <v>108</v>
      </c>
      <c r="K38" t="s">
        <v>31</v>
      </c>
      <c r="L38" s="22">
        <v>443700.00472087995</v>
      </c>
      <c r="M38" s="22" t="s">
        <v>402</v>
      </c>
      <c r="N38" s="24">
        <v>6</v>
      </c>
      <c r="O38" s="22">
        <v>51867.838921580005</v>
      </c>
      <c r="P38" s="22">
        <v>8644.6398202633336</v>
      </c>
      <c r="Q38" s="23">
        <v>0.11689844122090715</v>
      </c>
      <c r="R38" s="22" t="s">
        <v>43</v>
      </c>
      <c r="S38" s="22" t="s">
        <v>50</v>
      </c>
      <c r="T38" s="22" t="s">
        <v>90</v>
      </c>
      <c r="U38" s="63"/>
      <c r="V38" s="104"/>
    </row>
    <row r="39" spans="1:22" x14ac:dyDescent="0.3">
      <c r="A39" s="106">
        <v>45960</v>
      </c>
      <c r="B39" s="96">
        <v>2025</v>
      </c>
      <c r="C39" s="97" t="s">
        <v>228</v>
      </c>
      <c r="D39" s="98" t="s">
        <v>29</v>
      </c>
      <c r="E39" s="99" t="s">
        <v>45</v>
      </c>
      <c r="F39" s="98">
        <v>0</v>
      </c>
      <c r="G39" s="99" t="s">
        <v>728</v>
      </c>
      <c r="H39" s="99" t="s">
        <v>235</v>
      </c>
      <c r="I39" s="100">
        <v>1154</v>
      </c>
      <c r="J39" s="99" t="s">
        <v>108</v>
      </c>
      <c r="K39" s="99" t="s">
        <v>31</v>
      </c>
      <c r="L39" s="99">
        <v>393860.77383408003</v>
      </c>
      <c r="M39" s="99" t="s">
        <v>402</v>
      </c>
      <c r="N39" s="98">
        <v>6</v>
      </c>
      <c r="O39" s="99">
        <v>54797.953525680001</v>
      </c>
      <c r="P39" s="91">
        <v>9132.9922542799995</v>
      </c>
      <c r="Q39" s="102">
        <v>0.13913026421048086</v>
      </c>
      <c r="R39" s="22" t="s">
        <v>42</v>
      </c>
      <c r="S39" s="94" t="s">
        <v>50</v>
      </c>
      <c r="T39" s="94" t="s">
        <v>90</v>
      </c>
      <c r="U39" s="22"/>
      <c r="V39" s="108"/>
    </row>
    <row r="40" spans="1:22" x14ac:dyDescent="0.3">
      <c r="A40" s="14">
        <v>45964</v>
      </c>
      <c r="B40">
        <v>2025</v>
      </c>
      <c r="C40" t="s">
        <v>228</v>
      </c>
      <c r="D40" t="s">
        <v>29</v>
      </c>
      <c r="E40" t="s">
        <v>30</v>
      </c>
      <c r="F40">
        <v>3076</v>
      </c>
      <c r="G40" t="s">
        <v>727</v>
      </c>
      <c r="H40" t="s">
        <v>235</v>
      </c>
      <c r="I40">
        <v>2505</v>
      </c>
      <c r="J40" t="s">
        <v>108</v>
      </c>
      <c r="K40" t="s">
        <v>31</v>
      </c>
      <c r="L40" s="22">
        <v>403620.99835231993</v>
      </c>
      <c r="M40" s="22" t="s">
        <v>402</v>
      </c>
      <c r="N40" s="24">
        <v>6</v>
      </c>
      <c r="O40" s="22">
        <v>44323.495048619996</v>
      </c>
      <c r="P40" s="22">
        <v>7387.2491747699996</v>
      </c>
      <c r="Q40" s="23">
        <v>0.1098146410359208</v>
      </c>
      <c r="R40" s="22" t="s">
        <v>85</v>
      </c>
      <c r="S40" s="22" t="s">
        <v>50</v>
      </c>
      <c r="T40" s="22" t="s">
        <v>90</v>
      </c>
      <c r="U40" s="63"/>
      <c r="V40" s="104"/>
    </row>
    <row r="41" spans="1:22" x14ac:dyDescent="0.3">
      <c r="A41" s="14">
        <v>45980</v>
      </c>
      <c r="B41">
        <v>2025</v>
      </c>
      <c r="C41" t="s">
        <v>228</v>
      </c>
      <c r="D41" t="s">
        <v>29</v>
      </c>
      <c r="E41" t="s">
        <v>45</v>
      </c>
      <c r="F41">
        <v>3079</v>
      </c>
      <c r="G41" t="s">
        <v>738</v>
      </c>
      <c r="H41" t="s">
        <v>233</v>
      </c>
      <c r="I41">
        <v>2686</v>
      </c>
      <c r="J41" t="s">
        <v>108</v>
      </c>
      <c r="K41" t="s">
        <v>157</v>
      </c>
      <c r="L41" s="22">
        <v>371434.59108000004</v>
      </c>
      <c r="M41" s="22" t="s">
        <v>402</v>
      </c>
      <c r="N41" s="24">
        <v>8</v>
      </c>
      <c r="O41" s="22">
        <v>57957.892175000001</v>
      </c>
      <c r="P41" s="22">
        <v>7244.7365218750001</v>
      </c>
      <c r="Q41" s="23">
        <v>0.15603795006404494</v>
      </c>
      <c r="R41" s="22" t="s">
        <v>42</v>
      </c>
      <c r="S41" s="22" t="s">
        <v>50</v>
      </c>
      <c r="T41" s="22" t="s">
        <v>89</v>
      </c>
      <c r="U41" s="63"/>
      <c r="V41" s="104"/>
    </row>
    <row r="42" spans="1:22" x14ac:dyDescent="0.3">
      <c r="A42" s="14"/>
      <c r="B42"/>
      <c r="C42"/>
      <c r="L42" s="22"/>
      <c r="M42" s="22"/>
      <c r="N42" s="24"/>
      <c r="O42" s="22"/>
      <c r="P42" s="22"/>
      <c r="Q42" s="23"/>
      <c r="R42" s="22"/>
      <c r="S42" s="22"/>
      <c r="T42" s="22"/>
      <c r="U42" s="63"/>
      <c r="V42" s="104"/>
    </row>
    <row r="43" spans="1:22" x14ac:dyDescent="0.3">
      <c r="A43" s="14"/>
      <c r="B43"/>
      <c r="C43"/>
      <c r="L43" s="22"/>
      <c r="M43" s="22"/>
      <c r="N43" s="24"/>
      <c r="O43" s="22"/>
      <c r="P43" s="22"/>
      <c r="Q43" s="23"/>
      <c r="R43" s="22"/>
      <c r="S43" s="22"/>
      <c r="T43" s="22"/>
      <c r="U43" s="63"/>
      <c r="V43" s="104"/>
    </row>
    <row r="44" spans="1:22" x14ac:dyDescent="0.3">
      <c r="A44" s="14"/>
      <c r="B44"/>
      <c r="C44"/>
      <c r="L44" s="22"/>
      <c r="M44" s="22"/>
      <c r="N44" s="24"/>
      <c r="O44" s="22"/>
      <c r="P44" s="22"/>
      <c r="Q44" s="23"/>
      <c r="R44" s="22"/>
      <c r="S44" s="22"/>
      <c r="T44" s="22"/>
      <c r="U44" s="63"/>
      <c r="V44" s="104"/>
    </row>
    <row r="45" spans="1:22" x14ac:dyDescent="0.3">
      <c r="A45" s="14"/>
      <c r="B45"/>
      <c r="C45"/>
      <c r="L45" s="22"/>
      <c r="M45" s="22"/>
      <c r="N45" s="24"/>
      <c r="O45" s="22"/>
      <c r="P45" s="22"/>
      <c r="Q45" s="23"/>
      <c r="R45" s="22"/>
      <c r="S45" s="22"/>
      <c r="T45" s="22"/>
      <c r="U45" s="63"/>
      <c r="V45" s="104"/>
    </row>
    <row r="46" spans="1:22" x14ac:dyDescent="0.3">
      <c r="A46" s="14"/>
      <c r="B46"/>
      <c r="C46"/>
      <c r="L46" s="22"/>
      <c r="M46" s="22"/>
      <c r="N46" s="24"/>
      <c r="O46" s="22"/>
      <c r="P46" s="22"/>
      <c r="Q46" s="23"/>
      <c r="R46" s="22"/>
      <c r="S46" s="22"/>
      <c r="T46" s="22"/>
      <c r="U46" s="63"/>
      <c r="V46" s="104"/>
    </row>
    <row r="47" spans="1:22" x14ac:dyDescent="0.3">
      <c r="A47" s="14"/>
      <c r="B47"/>
      <c r="C47"/>
      <c r="L47" s="22"/>
      <c r="M47" s="22"/>
      <c r="N47" s="24"/>
      <c r="O47" s="22"/>
      <c r="P47" s="22"/>
      <c r="Q47" s="23"/>
      <c r="R47" s="22"/>
      <c r="S47" s="22"/>
      <c r="T47" s="22"/>
      <c r="U47" s="63"/>
      <c r="V47" s="104"/>
    </row>
    <row r="48" spans="1:22" x14ac:dyDescent="0.3">
      <c r="A48" s="14"/>
      <c r="B48"/>
      <c r="C48"/>
      <c r="L48" s="22"/>
      <c r="M48" s="22"/>
      <c r="N48" s="24"/>
      <c r="O48" s="22"/>
      <c r="P48" s="22"/>
      <c r="Q48" s="23"/>
      <c r="R48" s="22"/>
      <c r="S48" s="22"/>
      <c r="T48" s="22"/>
      <c r="U48" s="63"/>
      <c r="V48" s="104"/>
    </row>
    <row r="49" spans="1:22" x14ac:dyDescent="0.3">
      <c r="A49" s="14"/>
      <c r="B49"/>
      <c r="C49"/>
      <c r="L49" s="22"/>
      <c r="M49" s="22"/>
      <c r="N49" s="24"/>
      <c r="O49" s="22"/>
      <c r="P49" s="22"/>
      <c r="Q49" s="23"/>
      <c r="R49" s="22"/>
      <c r="S49" s="22"/>
      <c r="T49" s="22"/>
      <c r="U49" s="63"/>
      <c r="V49" s="104"/>
    </row>
    <row r="50" spans="1:22" x14ac:dyDescent="0.3">
      <c r="A50" s="14"/>
      <c r="B50"/>
      <c r="C50"/>
      <c r="L50" s="22"/>
      <c r="M50" s="22"/>
      <c r="N50" s="24"/>
      <c r="O50" s="22"/>
      <c r="P50" s="22"/>
      <c r="Q50" s="23"/>
      <c r="R50" s="22"/>
      <c r="S50" s="22"/>
      <c r="T50" s="22"/>
      <c r="U50" s="63"/>
      <c r="V50" s="104"/>
    </row>
    <row r="51" spans="1:22" x14ac:dyDescent="0.3">
      <c r="A51" s="14"/>
      <c r="B51"/>
      <c r="C51"/>
      <c r="L51" s="22"/>
      <c r="M51" s="22"/>
      <c r="N51" s="24"/>
      <c r="O51" s="22"/>
      <c r="P51" s="22"/>
      <c r="Q51" s="23"/>
      <c r="R51" s="22"/>
      <c r="S51" s="22"/>
      <c r="T51" s="22"/>
      <c r="U51" s="63"/>
      <c r="V51" s="104"/>
    </row>
    <row r="52" spans="1:22" x14ac:dyDescent="0.3">
      <c r="A52" s="14"/>
      <c r="B52"/>
      <c r="C52"/>
      <c r="L52" s="22"/>
      <c r="M52" s="22"/>
      <c r="N52" s="24"/>
      <c r="O52" s="22"/>
      <c r="P52" s="22"/>
      <c r="Q52" s="23"/>
      <c r="R52" s="22"/>
      <c r="S52" s="22"/>
      <c r="T52" s="22"/>
      <c r="U52" s="63"/>
      <c r="V52" s="104"/>
    </row>
    <row r="53" spans="1:22" x14ac:dyDescent="0.3">
      <c r="A53" s="14"/>
      <c r="B53"/>
      <c r="C53"/>
      <c r="L53" s="22"/>
      <c r="M53" s="22"/>
      <c r="N53" s="24"/>
      <c r="O53" s="22"/>
      <c r="P53" s="22"/>
      <c r="Q53" s="23"/>
      <c r="R53" s="22"/>
      <c r="S53" s="22"/>
      <c r="T53" s="22"/>
      <c r="U53" s="63"/>
      <c r="V53" s="104"/>
    </row>
    <row r="54" spans="1:22" x14ac:dyDescent="0.3">
      <c r="A54" s="14"/>
      <c r="B54"/>
      <c r="C54"/>
      <c r="L54" s="22"/>
      <c r="M54" s="22"/>
      <c r="N54" s="24"/>
      <c r="O54" s="22"/>
      <c r="P54" s="22"/>
      <c r="Q54" s="23"/>
      <c r="R54" s="22"/>
      <c r="S54" s="22"/>
      <c r="T54" s="22"/>
      <c r="U54" s="63"/>
      <c r="V54" s="104"/>
    </row>
    <row r="55" spans="1:22" x14ac:dyDescent="0.3">
      <c r="A55" s="14"/>
      <c r="B55"/>
      <c r="C55"/>
      <c r="L55" s="22"/>
      <c r="M55" s="22"/>
      <c r="N55" s="24"/>
      <c r="O55" s="22"/>
      <c r="P55" s="22"/>
      <c r="Q55" s="23"/>
      <c r="R55" s="22"/>
      <c r="S55" s="22"/>
      <c r="T55" s="22"/>
      <c r="U55" s="63"/>
      <c r="V55" s="104"/>
    </row>
    <row r="56" spans="1:22" x14ac:dyDescent="0.3">
      <c r="A56" s="14"/>
      <c r="B56"/>
      <c r="C56"/>
      <c r="L56" s="22"/>
      <c r="M56" s="22"/>
      <c r="N56" s="24"/>
      <c r="O56" s="22"/>
      <c r="P56" s="22"/>
      <c r="Q56" s="23"/>
      <c r="R56" s="22"/>
      <c r="S56" s="22"/>
      <c r="T56" s="22"/>
      <c r="U56" s="63"/>
      <c r="V56" s="104"/>
    </row>
    <row r="57" spans="1:22" x14ac:dyDescent="0.3">
      <c r="A57" s="14"/>
      <c r="B57"/>
      <c r="C57"/>
      <c r="L57" s="22"/>
      <c r="M57" s="22"/>
      <c r="N57" s="24"/>
      <c r="O57" s="22"/>
      <c r="P57" s="22"/>
      <c r="Q57" s="23"/>
      <c r="R57" s="22"/>
      <c r="S57" s="22"/>
      <c r="T57" s="22"/>
      <c r="U57" s="63"/>
      <c r="V57" s="104"/>
    </row>
    <row r="58" spans="1:22" x14ac:dyDescent="0.3">
      <c r="A58" s="14"/>
      <c r="B58"/>
      <c r="C58"/>
      <c r="L58" s="22"/>
      <c r="M58" s="22"/>
      <c r="N58" s="24"/>
      <c r="O58" s="22"/>
      <c r="P58" s="22"/>
      <c r="Q58" s="23"/>
      <c r="R58" s="22"/>
      <c r="S58" s="22"/>
      <c r="T58" s="22"/>
      <c r="U58" s="63"/>
      <c r="V58" s="104"/>
    </row>
    <row r="59" spans="1:22" x14ac:dyDescent="0.3">
      <c r="A59" s="14"/>
      <c r="B59"/>
      <c r="C59"/>
      <c r="L59" s="22"/>
      <c r="M59" s="22"/>
      <c r="N59" s="24"/>
      <c r="O59" s="22"/>
      <c r="P59" s="22"/>
      <c r="Q59" s="23"/>
      <c r="R59" s="22"/>
      <c r="S59" s="22"/>
      <c r="T59" s="22"/>
      <c r="U59" s="63"/>
      <c r="V59" s="104"/>
    </row>
    <row r="60" spans="1:22" x14ac:dyDescent="0.3">
      <c r="A60" s="14"/>
      <c r="B60"/>
      <c r="C60"/>
      <c r="L60" s="22"/>
      <c r="M60" s="22"/>
      <c r="N60" s="24"/>
      <c r="O60" s="22"/>
      <c r="P60" s="22"/>
      <c r="Q60" s="23"/>
      <c r="R60" s="22"/>
      <c r="S60" s="22"/>
      <c r="T60" s="22"/>
      <c r="U60" s="63"/>
      <c r="V60" s="104"/>
    </row>
    <row r="61" spans="1:22" x14ac:dyDescent="0.3">
      <c r="A61" s="14"/>
      <c r="B61"/>
      <c r="C61"/>
      <c r="L61" s="22"/>
      <c r="M61" s="22"/>
      <c r="N61" s="24"/>
      <c r="O61" s="22"/>
      <c r="P61" s="22"/>
      <c r="Q61" s="23"/>
      <c r="R61" s="22"/>
      <c r="S61" s="22"/>
      <c r="T61" s="22"/>
      <c r="U61" s="63"/>
      <c r="V61" s="104"/>
    </row>
    <row r="62" spans="1:22" x14ac:dyDescent="0.3">
      <c r="A62" s="14"/>
      <c r="B62"/>
      <c r="C62"/>
      <c r="L62" s="22"/>
      <c r="M62" s="22"/>
      <c r="N62" s="24"/>
      <c r="O62" s="22"/>
      <c r="P62" s="22"/>
      <c r="Q62" s="23"/>
      <c r="R62" s="22"/>
      <c r="S62" s="22"/>
      <c r="T62" s="22"/>
      <c r="U62" s="63"/>
      <c r="V62" s="104"/>
    </row>
    <row r="63" spans="1:22" x14ac:dyDescent="0.3">
      <c r="A63" s="14"/>
      <c r="B63"/>
      <c r="C63"/>
      <c r="L63" s="22"/>
      <c r="M63" s="22"/>
      <c r="N63" s="24"/>
      <c r="O63" s="22"/>
      <c r="P63" s="22"/>
      <c r="Q63" s="23"/>
      <c r="R63" s="22"/>
      <c r="S63" s="22"/>
      <c r="T63" s="22"/>
      <c r="U63" s="63"/>
      <c r="V63" s="104"/>
    </row>
    <row r="64" spans="1:22" x14ac:dyDescent="0.3">
      <c r="A64" s="14"/>
      <c r="B64"/>
      <c r="C64"/>
      <c r="L64" s="22"/>
      <c r="M64" s="22"/>
      <c r="N64" s="24"/>
      <c r="O64" s="22"/>
      <c r="P64" s="22"/>
      <c r="Q64" s="23"/>
      <c r="R64" s="22"/>
      <c r="S64" s="22"/>
      <c r="T64" s="22"/>
      <c r="U64" s="63"/>
      <c r="V64" s="104"/>
    </row>
    <row r="65" spans="1:22" x14ac:dyDescent="0.3">
      <c r="A65" s="14"/>
      <c r="B65"/>
      <c r="C65"/>
      <c r="L65" s="22"/>
      <c r="M65" s="22"/>
      <c r="N65" s="24"/>
      <c r="O65" s="22"/>
      <c r="P65" s="22"/>
      <c r="Q65" s="23"/>
      <c r="R65" s="22"/>
      <c r="S65" s="22"/>
      <c r="T65" s="22"/>
      <c r="U65" s="63"/>
      <c r="V65" s="104"/>
    </row>
    <row r="66" spans="1:22" x14ac:dyDescent="0.3">
      <c r="A66" s="14"/>
      <c r="B66"/>
      <c r="C66"/>
      <c r="L66" s="22"/>
      <c r="M66" s="22"/>
      <c r="N66" s="24"/>
      <c r="O66" s="22"/>
      <c r="P66" s="22"/>
      <c r="Q66" s="23"/>
      <c r="R66" s="22"/>
      <c r="S66" s="22"/>
      <c r="T66" s="22"/>
      <c r="U66" s="63"/>
      <c r="V66" s="104"/>
    </row>
    <row r="67" spans="1:22" x14ac:dyDescent="0.3">
      <c r="A67" s="14"/>
      <c r="B67"/>
      <c r="C67"/>
      <c r="L67" s="22"/>
      <c r="M67" s="22"/>
      <c r="N67" s="24"/>
      <c r="O67" s="22"/>
      <c r="P67" s="22"/>
      <c r="Q67" s="23"/>
      <c r="R67" s="22"/>
      <c r="S67" s="22"/>
      <c r="T67" s="22"/>
      <c r="U67" s="63"/>
      <c r="V67" s="104"/>
    </row>
    <row r="68" spans="1:22" x14ac:dyDescent="0.3">
      <c r="A68" s="14"/>
      <c r="B68"/>
      <c r="C68"/>
      <c r="L68" s="22"/>
      <c r="M68" s="22"/>
      <c r="N68" s="24"/>
      <c r="O68" s="22"/>
      <c r="P68" s="22"/>
      <c r="Q68" s="23"/>
      <c r="R68" s="22"/>
      <c r="S68" s="22"/>
      <c r="T68" s="22"/>
      <c r="U68" s="63"/>
      <c r="V68" s="104"/>
    </row>
    <row r="69" spans="1:22" x14ac:dyDescent="0.3">
      <c r="A69" s="14"/>
      <c r="B69"/>
      <c r="C69"/>
      <c r="L69" s="22"/>
      <c r="M69" s="22"/>
      <c r="N69" s="24"/>
      <c r="O69" s="22"/>
      <c r="P69" s="22"/>
      <c r="Q69" s="23"/>
      <c r="R69" s="22"/>
      <c r="S69" s="22"/>
      <c r="T69" s="22"/>
      <c r="U69" s="63"/>
      <c r="V69" s="104"/>
    </row>
    <row r="70" spans="1:22" x14ac:dyDescent="0.3">
      <c r="A70" s="14"/>
      <c r="B70"/>
      <c r="C70"/>
      <c r="L70" s="22"/>
      <c r="M70" s="22"/>
      <c r="N70" s="24"/>
      <c r="O70" s="22"/>
      <c r="P70" s="22"/>
      <c r="Q70" s="23"/>
      <c r="R70" s="22"/>
      <c r="S70" s="22"/>
      <c r="T70" s="22"/>
      <c r="U70" s="63"/>
      <c r="V70" s="104"/>
    </row>
    <row r="71" spans="1:22" x14ac:dyDescent="0.3">
      <c r="A71" s="14"/>
      <c r="B71"/>
      <c r="C71"/>
      <c r="L71" s="22"/>
      <c r="M71" s="22"/>
      <c r="N71" s="24"/>
      <c r="O71" s="22"/>
      <c r="P71" s="22"/>
      <c r="Q71" s="23"/>
      <c r="R71" s="22"/>
      <c r="S71" s="22"/>
      <c r="T71" s="22"/>
      <c r="U71" s="63"/>
      <c r="V71" s="104"/>
    </row>
    <row r="72" spans="1:22" x14ac:dyDescent="0.3">
      <c r="A72" s="14"/>
      <c r="B72"/>
      <c r="C72"/>
      <c r="L72" s="22"/>
      <c r="M72" s="22"/>
      <c r="N72" s="24"/>
      <c r="O72" s="22"/>
      <c r="P72" s="22"/>
      <c r="Q72" s="23"/>
      <c r="R72" s="22"/>
      <c r="S72" s="22"/>
      <c r="T72" s="22"/>
      <c r="U72" s="63"/>
      <c r="V72" s="104"/>
    </row>
    <row r="73" spans="1:22" x14ac:dyDescent="0.3">
      <c r="A73" s="14"/>
      <c r="B73"/>
      <c r="C73"/>
      <c r="L73" s="22"/>
      <c r="M73" s="22"/>
      <c r="N73" s="24"/>
      <c r="O73" s="22"/>
      <c r="P73" s="22"/>
      <c r="Q73" s="23"/>
      <c r="R73" s="22"/>
      <c r="S73" s="22"/>
      <c r="T73" s="22"/>
      <c r="U73" s="63"/>
      <c r="V73" s="104"/>
    </row>
    <row r="74" spans="1:22" x14ac:dyDescent="0.3">
      <c r="A74" s="14"/>
      <c r="B74"/>
      <c r="C74"/>
      <c r="L74" s="22"/>
      <c r="M74" s="22"/>
      <c r="N74" s="24"/>
      <c r="O74" s="22"/>
      <c r="P74" s="22"/>
      <c r="Q74" s="23"/>
      <c r="R74" s="22"/>
      <c r="S74" s="22"/>
      <c r="T74" s="22"/>
      <c r="U74" s="63"/>
      <c r="V74" s="104"/>
    </row>
    <row r="75" spans="1:22" x14ac:dyDescent="0.3">
      <c r="A75" s="14"/>
      <c r="B75"/>
      <c r="C75"/>
      <c r="L75" s="22"/>
      <c r="M75" s="22"/>
      <c r="N75" s="24"/>
      <c r="O75" s="22"/>
      <c r="P75" s="22"/>
      <c r="Q75" s="23"/>
      <c r="R75" s="22"/>
      <c r="S75" s="22"/>
      <c r="T75" s="22"/>
      <c r="U75" s="63"/>
      <c r="V75" s="104"/>
    </row>
    <row r="76" spans="1:22" x14ac:dyDescent="0.3">
      <c r="A76" s="14"/>
      <c r="B76"/>
      <c r="C76"/>
      <c r="L76" s="22"/>
      <c r="M76" s="22"/>
      <c r="N76" s="24"/>
      <c r="O76" s="22"/>
      <c r="P76" s="22"/>
      <c r="Q76" s="23"/>
      <c r="R76" s="22"/>
      <c r="S76" s="22"/>
      <c r="T76" s="22"/>
      <c r="U76" s="63"/>
      <c r="V76" s="104"/>
    </row>
    <row r="77" spans="1:22" x14ac:dyDescent="0.3">
      <c r="A77" s="14"/>
      <c r="B77"/>
      <c r="C77"/>
      <c r="L77" s="22"/>
      <c r="M77" s="22"/>
      <c r="N77" s="24"/>
      <c r="O77" s="22"/>
      <c r="P77" s="22"/>
      <c r="Q77" s="23"/>
      <c r="R77" s="22"/>
      <c r="S77" s="22"/>
      <c r="T77" s="22"/>
      <c r="U77" s="63"/>
      <c r="V77" s="104"/>
    </row>
    <row r="78" spans="1:22" x14ac:dyDescent="0.3">
      <c r="A78" s="14"/>
      <c r="B78"/>
      <c r="C78"/>
      <c r="L78" s="22"/>
      <c r="M78" s="22"/>
      <c r="N78" s="24"/>
      <c r="O78" s="22"/>
      <c r="P78" s="22"/>
      <c r="Q78" s="23"/>
      <c r="R78" s="22"/>
      <c r="S78" s="22"/>
      <c r="T78" s="22"/>
      <c r="U78" s="63"/>
      <c r="V78" s="104"/>
    </row>
    <row r="79" spans="1:22" x14ac:dyDescent="0.3">
      <c r="A79" s="14"/>
      <c r="B79"/>
      <c r="C79"/>
      <c r="L79" s="22"/>
      <c r="M79" s="22"/>
      <c r="N79" s="24"/>
      <c r="O79" s="22"/>
      <c r="P79" s="22"/>
      <c r="Q79" s="23"/>
      <c r="R79" s="22"/>
      <c r="S79" s="22"/>
      <c r="T79" s="22"/>
      <c r="U79" s="63"/>
      <c r="V79" s="104"/>
    </row>
    <row r="80" spans="1:22" x14ac:dyDescent="0.3">
      <c r="A80" s="14"/>
      <c r="B80"/>
      <c r="C80"/>
      <c r="L80" s="22"/>
      <c r="M80" s="22"/>
      <c r="N80" s="24"/>
      <c r="O80" s="22"/>
      <c r="P80" s="22"/>
      <c r="Q80" s="23"/>
      <c r="R80" s="22"/>
      <c r="S80" s="22"/>
      <c r="T80" s="22"/>
      <c r="U80" s="63"/>
      <c r="V80" s="104"/>
    </row>
    <row r="81" spans="1:22" x14ac:dyDescent="0.3">
      <c r="A81" s="14"/>
      <c r="B81"/>
      <c r="C81"/>
      <c r="L81" s="22"/>
      <c r="M81" s="22"/>
      <c r="N81" s="24"/>
      <c r="O81" s="22"/>
      <c r="P81" s="22"/>
      <c r="Q81" s="23"/>
      <c r="R81" s="22"/>
      <c r="S81" s="22"/>
      <c r="T81" s="22"/>
      <c r="U81" s="63"/>
      <c r="V81" s="104"/>
    </row>
    <row r="82" spans="1:22" x14ac:dyDescent="0.3">
      <c r="A82" s="14"/>
      <c r="B82"/>
      <c r="C82"/>
      <c r="L82" s="22"/>
      <c r="M82" s="22"/>
      <c r="N82" s="24"/>
      <c r="O82" s="22"/>
      <c r="P82" s="22"/>
      <c r="Q82" s="23"/>
      <c r="R82" s="22"/>
      <c r="S82" s="22"/>
      <c r="T82" s="22"/>
      <c r="U82" s="63"/>
      <c r="V82" s="104"/>
    </row>
    <row r="83" spans="1:22" x14ac:dyDescent="0.3">
      <c r="A83" s="14"/>
      <c r="B83"/>
      <c r="C83"/>
      <c r="L83" s="22"/>
      <c r="M83" s="22"/>
      <c r="N83" s="24"/>
      <c r="O83" s="22"/>
      <c r="P83" s="22"/>
      <c r="Q83" s="23"/>
      <c r="R83" s="22"/>
      <c r="S83" s="22"/>
      <c r="T83" s="22"/>
      <c r="U83" s="63"/>
      <c r="V83" s="104"/>
    </row>
    <row r="84" spans="1:22" x14ac:dyDescent="0.3">
      <c r="A84" s="14"/>
      <c r="B84"/>
      <c r="C84"/>
      <c r="L84" s="22"/>
      <c r="M84" s="22"/>
      <c r="N84" s="24"/>
      <c r="O84" s="22"/>
      <c r="P84" s="22"/>
      <c r="Q84" s="23"/>
      <c r="R84" s="22"/>
      <c r="S84" s="22"/>
      <c r="T84" s="22"/>
      <c r="U84" s="63"/>
      <c r="V84" s="104"/>
    </row>
    <row r="85" spans="1:22" x14ac:dyDescent="0.3">
      <c r="A85" s="14"/>
      <c r="B85"/>
      <c r="C85"/>
      <c r="L85" s="22"/>
      <c r="M85" s="22"/>
      <c r="N85" s="24"/>
      <c r="O85" s="22"/>
      <c r="P85" s="22"/>
      <c r="Q85" s="23"/>
      <c r="R85" s="22"/>
      <c r="S85" s="22"/>
      <c r="T85" s="22"/>
      <c r="U85" s="63"/>
      <c r="V85" s="104"/>
    </row>
    <row r="86" spans="1:22" x14ac:dyDescent="0.3">
      <c r="A86" s="14"/>
      <c r="B86"/>
      <c r="C86"/>
      <c r="L86" s="22"/>
      <c r="M86" s="22"/>
      <c r="N86" s="24"/>
      <c r="O86" s="22"/>
      <c r="P86" s="22"/>
      <c r="Q86" s="23"/>
      <c r="R86" s="22"/>
      <c r="S86" s="22"/>
      <c r="T86" s="22"/>
      <c r="U86" s="63"/>
      <c r="V86" s="104"/>
    </row>
    <row r="87" spans="1:22" x14ac:dyDescent="0.3">
      <c r="A87" s="14"/>
      <c r="B87"/>
      <c r="C87"/>
      <c r="L87" s="22"/>
      <c r="M87" s="22"/>
      <c r="N87" s="24"/>
      <c r="O87" s="22"/>
      <c r="P87" s="22"/>
      <c r="Q87" s="23"/>
      <c r="R87" s="22"/>
      <c r="S87" s="22"/>
      <c r="T87" s="22"/>
      <c r="U87" s="63"/>
      <c r="V87" s="104"/>
    </row>
    <row r="88" spans="1:22" x14ac:dyDescent="0.3">
      <c r="A88" s="14"/>
      <c r="B88"/>
      <c r="C88"/>
      <c r="L88" s="22"/>
      <c r="M88" s="22"/>
      <c r="N88" s="24"/>
      <c r="O88" s="22"/>
      <c r="P88" s="22"/>
      <c r="Q88" s="23"/>
      <c r="R88" s="22"/>
      <c r="S88" s="22"/>
      <c r="T88" s="22"/>
      <c r="U88" s="63"/>
      <c r="V88" s="104"/>
    </row>
    <row r="89" spans="1:22" x14ac:dyDescent="0.3">
      <c r="A89" s="14"/>
      <c r="B89"/>
      <c r="C89"/>
      <c r="L89" s="22"/>
      <c r="M89" s="22"/>
      <c r="N89" s="24"/>
      <c r="O89" s="22"/>
      <c r="P89" s="22"/>
      <c r="Q89" s="23"/>
      <c r="R89" s="22"/>
      <c r="S89" s="22"/>
      <c r="T89" s="22"/>
      <c r="U89" s="63"/>
      <c r="V89" s="104"/>
    </row>
    <row r="90" spans="1:22" x14ac:dyDescent="0.3">
      <c r="A90" s="14"/>
      <c r="B90"/>
      <c r="C90"/>
      <c r="L90" s="22"/>
      <c r="M90" s="22"/>
      <c r="N90" s="24"/>
      <c r="O90" s="22"/>
      <c r="P90" s="22"/>
      <c r="Q90" s="23"/>
      <c r="R90" s="22"/>
      <c r="S90" s="22"/>
      <c r="T90" s="22"/>
      <c r="U90" s="63"/>
      <c r="V90" s="104"/>
    </row>
    <row r="91" spans="1:22" x14ac:dyDescent="0.3">
      <c r="A91" s="14"/>
      <c r="B91"/>
      <c r="C91"/>
      <c r="L91" s="22"/>
      <c r="M91" s="22"/>
      <c r="N91" s="24"/>
      <c r="O91" s="22"/>
      <c r="P91" s="22"/>
      <c r="Q91" s="23"/>
      <c r="R91" s="22"/>
      <c r="S91" s="22"/>
      <c r="T91" s="22"/>
      <c r="U91" s="63"/>
      <c r="V91" s="104"/>
    </row>
    <row r="92" spans="1:22" x14ac:dyDescent="0.3">
      <c r="A92" s="14"/>
      <c r="B92"/>
      <c r="C92"/>
      <c r="L92" s="22"/>
      <c r="M92" s="22"/>
      <c r="N92" s="24"/>
      <c r="O92" s="22"/>
      <c r="P92" s="22"/>
      <c r="Q92" s="23"/>
      <c r="R92" s="22"/>
      <c r="S92" s="22"/>
      <c r="T92" s="22"/>
      <c r="U92" s="63"/>
      <c r="V92" s="104"/>
    </row>
    <row r="93" spans="1:22" x14ac:dyDescent="0.3">
      <c r="A93" s="14"/>
      <c r="B93"/>
      <c r="C93"/>
      <c r="L93" s="22"/>
      <c r="M93" s="22"/>
      <c r="N93" s="24"/>
      <c r="O93" s="22"/>
      <c r="P93" s="22"/>
      <c r="Q93" s="23"/>
      <c r="R93" s="22"/>
      <c r="S93" s="22"/>
      <c r="T93" s="22"/>
      <c r="U93" s="63"/>
      <c r="V93" s="104"/>
    </row>
    <row r="94" spans="1:22" x14ac:dyDescent="0.3">
      <c r="A94" s="14"/>
      <c r="B94"/>
      <c r="C94"/>
      <c r="L94" s="22"/>
      <c r="M94" s="22"/>
      <c r="N94" s="24"/>
      <c r="O94" s="22"/>
      <c r="P94" s="22"/>
      <c r="Q94" s="23"/>
      <c r="R94" s="22"/>
      <c r="S94" s="22"/>
      <c r="T94" s="22"/>
      <c r="U94" s="63"/>
      <c r="V94" s="104"/>
    </row>
    <row r="95" spans="1:22" x14ac:dyDescent="0.3">
      <c r="A95" s="14"/>
      <c r="B95"/>
      <c r="C95"/>
      <c r="L95" s="22"/>
      <c r="M95" s="22"/>
      <c r="N95" s="24"/>
      <c r="O95" s="22"/>
      <c r="P95" s="22"/>
      <c r="Q95" s="23"/>
      <c r="R95" s="22"/>
      <c r="S95" s="22"/>
      <c r="T95" s="22"/>
      <c r="U95" s="63"/>
      <c r="V95" s="104"/>
    </row>
    <row r="96" spans="1:22" x14ac:dyDescent="0.3">
      <c r="A96" s="14"/>
      <c r="B96"/>
      <c r="C96"/>
      <c r="L96" s="22"/>
      <c r="M96" s="22"/>
      <c r="N96" s="24"/>
      <c r="O96" s="22"/>
      <c r="P96" s="22"/>
      <c r="Q96" s="23"/>
      <c r="R96" s="22"/>
      <c r="S96" s="22"/>
      <c r="T96" s="22"/>
      <c r="U96" s="63"/>
      <c r="V96" s="104"/>
    </row>
    <row r="97" spans="1:22" x14ac:dyDescent="0.3">
      <c r="A97" s="14"/>
      <c r="B97"/>
      <c r="C97"/>
      <c r="L97" s="22"/>
      <c r="M97" s="22"/>
      <c r="N97" s="24"/>
      <c r="O97" s="22"/>
      <c r="P97" s="22"/>
      <c r="Q97" s="23"/>
      <c r="R97" s="22"/>
      <c r="S97" s="22"/>
      <c r="T97" s="22"/>
      <c r="U97" s="63"/>
      <c r="V97" s="104"/>
    </row>
    <row r="98" spans="1:22" x14ac:dyDescent="0.3">
      <c r="A98" s="14"/>
      <c r="B98"/>
      <c r="C98"/>
      <c r="L98" s="22"/>
      <c r="M98" s="22"/>
      <c r="N98" s="24"/>
      <c r="O98" s="22"/>
      <c r="P98" s="22"/>
      <c r="Q98" s="23"/>
      <c r="R98" s="22"/>
      <c r="S98" s="22"/>
      <c r="T98" s="22"/>
      <c r="U98" s="63"/>
      <c r="V98" s="104"/>
    </row>
    <row r="99" spans="1:22" x14ac:dyDescent="0.3">
      <c r="A99" s="14"/>
      <c r="B99"/>
      <c r="C99"/>
      <c r="L99" s="22"/>
      <c r="M99" s="22"/>
      <c r="N99" s="24"/>
      <c r="O99" s="22"/>
      <c r="P99" s="22"/>
      <c r="Q99" s="23"/>
      <c r="R99" s="22"/>
      <c r="S99" s="22"/>
      <c r="T99" s="22"/>
      <c r="U99" s="63"/>
      <c r="V99" s="104"/>
    </row>
    <row r="100" spans="1:22" x14ac:dyDescent="0.3">
      <c r="A100" s="14"/>
      <c r="B100"/>
      <c r="C100"/>
      <c r="L100" s="22"/>
      <c r="M100" s="22"/>
      <c r="N100" s="24"/>
      <c r="O100" s="22"/>
      <c r="P100" s="22"/>
      <c r="Q100" s="23"/>
      <c r="R100" s="22"/>
      <c r="S100" s="22"/>
      <c r="T100" s="22"/>
      <c r="U100" s="63"/>
      <c r="V100" s="104"/>
    </row>
    <row r="101" spans="1:22" x14ac:dyDescent="0.3">
      <c r="A101" s="14"/>
      <c r="B101"/>
      <c r="C101"/>
      <c r="L101" s="22"/>
      <c r="M101" s="22"/>
      <c r="N101" s="24"/>
      <c r="O101" s="22"/>
      <c r="P101" s="22"/>
      <c r="Q101" s="23"/>
      <c r="R101" s="22"/>
      <c r="S101" s="22"/>
      <c r="T101" s="22"/>
      <c r="U101" s="63"/>
      <c r="V101" s="104"/>
    </row>
    <row r="102" spans="1:22" x14ac:dyDescent="0.3">
      <c r="A102" s="14"/>
      <c r="B102"/>
      <c r="C102"/>
      <c r="L102" s="22"/>
      <c r="M102" s="22"/>
      <c r="N102"/>
      <c r="O102" s="22"/>
      <c r="P102" s="22"/>
      <c r="Q102" s="23"/>
      <c r="R102"/>
      <c r="U102" s="63"/>
      <c r="V102" s="104"/>
    </row>
    <row r="103" spans="1:22" x14ac:dyDescent="0.3">
      <c r="A103" s="14"/>
      <c r="B103"/>
      <c r="C103"/>
      <c r="L103" s="22"/>
      <c r="M103" s="22"/>
      <c r="N103"/>
      <c r="O103" s="22"/>
      <c r="P103" s="22"/>
      <c r="Q103" s="23"/>
      <c r="R103"/>
      <c r="U103" s="63"/>
      <c r="V103" s="104"/>
    </row>
    <row r="104" spans="1:22" x14ac:dyDescent="0.3">
      <c r="A104" s="14"/>
      <c r="B104"/>
      <c r="C104"/>
      <c r="L104" s="22"/>
      <c r="M104" s="22"/>
      <c r="N104"/>
      <c r="O104" s="22"/>
      <c r="P104" s="22"/>
      <c r="Q104" s="23"/>
      <c r="R104"/>
      <c r="U104" s="63"/>
      <c r="V104" s="104"/>
    </row>
    <row r="105" spans="1:22" x14ac:dyDescent="0.3">
      <c r="A105" s="14"/>
      <c r="B105"/>
      <c r="C105"/>
      <c r="L105" s="22"/>
      <c r="M105" s="22"/>
      <c r="N105" s="24"/>
      <c r="O105" s="22"/>
      <c r="P105" s="22"/>
      <c r="Q105" s="23"/>
      <c r="R105" s="22"/>
      <c r="S105" s="22"/>
      <c r="T105" s="22"/>
      <c r="U105" s="63"/>
      <c r="V105" s="104"/>
    </row>
    <row r="106" spans="1:22" x14ac:dyDescent="0.3">
      <c r="A106" s="14"/>
      <c r="B106"/>
      <c r="C106"/>
      <c r="L106" s="22"/>
      <c r="M106" s="22"/>
      <c r="N106" s="24"/>
      <c r="O106" s="22"/>
      <c r="P106" s="22"/>
      <c r="Q106" s="23"/>
      <c r="R106" s="22"/>
      <c r="S106" s="22"/>
      <c r="T106" s="22"/>
      <c r="U106" s="63"/>
      <c r="V106" s="104"/>
    </row>
    <row r="107" spans="1:22" x14ac:dyDescent="0.3">
      <c r="A107" s="14"/>
      <c r="B107"/>
      <c r="C107"/>
      <c r="L107" s="22"/>
      <c r="M107" s="22"/>
      <c r="N107" s="24"/>
      <c r="O107" s="22"/>
      <c r="P107" s="22"/>
      <c r="Q107" s="23"/>
      <c r="R107" s="22"/>
      <c r="S107" s="22"/>
      <c r="T107" s="22"/>
      <c r="U107" s="63"/>
      <c r="V107" s="104"/>
    </row>
    <row r="108" spans="1:22" x14ac:dyDescent="0.3">
      <c r="A108" s="14"/>
      <c r="B108"/>
      <c r="C108"/>
      <c r="L108" s="22"/>
      <c r="M108" s="22"/>
      <c r="N108" s="24"/>
      <c r="O108" s="22"/>
      <c r="P108" s="22"/>
      <c r="Q108" s="23"/>
      <c r="R108" s="22"/>
      <c r="S108" s="22"/>
      <c r="T108" s="22"/>
      <c r="U108" s="63"/>
      <c r="V108" s="104"/>
    </row>
    <row r="109" spans="1:22" x14ac:dyDescent="0.3">
      <c r="A109" s="14"/>
      <c r="B109"/>
      <c r="C109"/>
      <c r="L109" s="22"/>
      <c r="M109" s="22"/>
      <c r="N109" s="24"/>
      <c r="O109" s="22"/>
      <c r="P109" s="22"/>
      <c r="Q109" s="23"/>
      <c r="R109" s="22"/>
      <c r="S109" s="22"/>
      <c r="T109" s="22"/>
      <c r="U109" s="63"/>
      <c r="V109" s="104"/>
    </row>
    <row r="110" spans="1:22" x14ac:dyDescent="0.3">
      <c r="A110" s="14"/>
      <c r="B110"/>
      <c r="C110"/>
      <c r="L110" s="22"/>
      <c r="M110" s="22"/>
      <c r="N110" s="24"/>
      <c r="O110" s="22"/>
      <c r="P110" s="22"/>
      <c r="Q110" s="23"/>
      <c r="R110" s="22"/>
      <c r="S110" s="22"/>
      <c r="T110" s="22"/>
      <c r="U110" s="63"/>
      <c r="V110" s="104"/>
    </row>
    <row r="111" spans="1:22" x14ac:dyDescent="0.3">
      <c r="A111" s="14"/>
      <c r="B111"/>
      <c r="C111"/>
      <c r="L111" s="22"/>
      <c r="M111" s="22"/>
      <c r="N111" s="24"/>
      <c r="O111" s="22"/>
      <c r="P111" s="22"/>
      <c r="Q111" s="23"/>
      <c r="R111" s="22"/>
      <c r="S111" s="22"/>
      <c r="T111" s="22"/>
      <c r="U111" s="63"/>
      <c r="V111" s="104"/>
    </row>
    <row r="112" spans="1:22" x14ac:dyDescent="0.3">
      <c r="A112" s="14"/>
      <c r="B112"/>
      <c r="C112"/>
      <c r="L112" s="22"/>
      <c r="M112" s="22"/>
      <c r="N112" s="24"/>
      <c r="O112" s="22"/>
      <c r="P112" s="22"/>
      <c r="Q112" s="23"/>
      <c r="R112" s="22"/>
      <c r="S112" s="22"/>
      <c r="T112" s="22"/>
      <c r="U112" s="63"/>
      <c r="V112" s="104"/>
    </row>
    <row r="113" spans="1:22" x14ac:dyDescent="0.3">
      <c r="A113" s="14"/>
      <c r="B113"/>
      <c r="C113"/>
      <c r="L113" s="22"/>
      <c r="M113" s="22"/>
      <c r="N113" s="24"/>
      <c r="O113" s="22"/>
      <c r="P113" s="22"/>
      <c r="Q113" s="23"/>
      <c r="R113" s="22"/>
      <c r="S113" s="22"/>
      <c r="T113" s="22"/>
      <c r="U113" s="63"/>
      <c r="V113" s="104"/>
    </row>
    <row r="114" spans="1:22" x14ac:dyDescent="0.3">
      <c r="A114" s="14"/>
      <c r="B114"/>
      <c r="C114"/>
      <c r="L114" s="22"/>
      <c r="M114" s="22"/>
      <c r="N114" s="24"/>
      <c r="O114" s="22"/>
      <c r="P114" s="22"/>
      <c r="Q114" s="23"/>
      <c r="R114" s="22"/>
      <c r="S114" s="22"/>
      <c r="T114" s="22"/>
      <c r="U114" s="63"/>
      <c r="V114" s="104"/>
    </row>
    <row r="115" spans="1:22" x14ac:dyDescent="0.3">
      <c r="A115" s="14"/>
      <c r="B115"/>
      <c r="C115"/>
      <c r="L115" s="22"/>
      <c r="M115" s="22"/>
      <c r="N115" s="24"/>
      <c r="O115" s="22"/>
      <c r="P115" s="22"/>
      <c r="Q115" s="23"/>
      <c r="R115" s="22"/>
      <c r="S115" s="22"/>
      <c r="T115" s="22"/>
      <c r="U115" s="63"/>
      <c r="V115" s="104"/>
    </row>
    <row r="116" spans="1:22" x14ac:dyDescent="0.3">
      <c r="A116" s="14"/>
      <c r="B116"/>
      <c r="C116"/>
      <c r="L116" s="22"/>
      <c r="M116" s="22"/>
      <c r="N116" s="24"/>
      <c r="O116" s="22"/>
      <c r="P116" s="22"/>
      <c r="Q116" s="23"/>
      <c r="R116" s="22"/>
      <c r="S116" s="22"/>
      <c r="T116" s="22"/>
      <c r="U116" s="63"/>
      <c r="V116" s="104"/>
    </row>
    <row r="117" spans="1:22" x14ac:dyDescent="0.3">
      <c r="A117" s="14"/>
      <c r="B117"/>
      <c r="C117"/>
      <c r="L117" s="22"/>
      <c r="M117" s="22"/>
      <c r="N117" s="24"/>
      <c r="O117" s="22"/>
      <c r="P117" s="22"/>
      <c r="Q117" s="23"/>
      <c r="R117" s="22"/>
      <c r="S117" s="22"/>
      <c r="T117" s="22"/>
      <c r="U117" s="63"/>
      <c r="V117" s="104"/>
    </row>
    <row r="118" spans="1:22" x14ac:dyDescent="0.3">
      <c r="A118" s="14"/>
      <c r="B118"/>
      <c r="C118"/>
      <c r="L118" s="22"/>
      <c r="M118" s="22"/>
      <c r="N118" s="24"/>
      <c r="O118" s="22"/>
      <c r="P118" s="22"/>
      <c r="Q118" s="23"/>
      <c r="R118" s="22"/>
      <c r="S118" s="22"/>
      <c r="T118" s="22"/>
      <c r="U118" s="63"/>
      <c r="V118" s="104"/>
    </row>
    <row r="119" spans="1:22" x14ac:dyDescent="0.3">
      <c r="A119" s="14"/>
      <c r="B119"/>
      <c r="C119"/>
      <c r="L119" s="22"/>
      <c r="M119" s="22"/>
      <c r="N119" s="24"/>
      <c r="O119" s="22"/>
      <c r="P119" s="22"/>
      <c r="Q119" s="23"/>
      <c r="R119" s="22"/>
      <c r="S119" s="22"/>
      <c r="T119" s="22"/>
      <c r="U119" s="63"/>
      <c r="V119" s="104"/>
    </row>
    <row r="120" spans="1:22" x14ac:dyDescent="0.3">
      <c r="A120" s="14"/>
      <c r="B120"/>
      <c r="C120"/>
      <c r="L120" s="22"/>
      <c r="M120" s="22"/>
      <c r="N120" s="24"/>
      <c r="O120" s="22"/>
      <c r="P120" s="22"/>
      <c r="Q120" s="23"/>
      <c r="R120" s="22"/>
      <c r="S120" s="22"/>
      <c r="T120" s="22"/>
      <c r="U120" s="63"/>
      <c r="V120" s="104"/>
    </row>
    <row r="121" spans="1:22" x14ac:dyDescent="0.3">
      <c r="A121" s="14"/>
      <c r="B121"/>
      <c r="C121"/>
      <c r="L121" s="22"/>
      <c r="M121" s="22"/>
      <c r="N121" s="24"/>
      <c r="O121" s="22"/>
      <c r="P121" s="22"/>
      <c r="Q121" s="23"/>
      <c r="R121" s="22"/>
      <c r="S121" s="22"/>
      <c r="T121" s="22"/>
      <c r="U121" s="63"/>
      <c r="V121" s="104"/>
    </row>
    <row r="122" spans="1:22" x14ac:dyDescent="0.3">
      <c r="A122" s="14"/>
      <c r="B122"/>
      <c r="C122"/>
      <c r="L122" s="22"/>
      <c r="M122" s="22"/>
      <c r="N122" s="24"/>
      <c r="O122" s="22"/>
      <c r="P122" s="22"/>
      <c r="Q122" s="23"/>
      <c r="R122" s="22"/>
      <c r="S122" s="22"/>
      <c r="T122" s="22"/>
      <c r="U122" s="63"/>
      <c r="V122" s="104"/>
    </row>
    <row r="123" spans="1:22" x14ac:dyDescent="0.3">
      <c r="A123" s="14"/>
      <c r="B123"/>
      <c r="C123"/>
      <c r="L123" s="22"/>
      <c r="M123" s="22"/>
      <c r="N123" s="24"/>
      <c r="O123" s="22"/>
      <c r="P123" s="22"/>
      <c r="Q123" s="23"/>
      <c r="R123" s="22"/>
      <c r="S123" s="22"/>
      <c r="T123" s="22"/>
      <c r="U123" s="63"/>
      <c r="V123" s="104"/>
    </row>
    <row r="124" spans="1:22" x14ac:dyDescent="0.3">
      <c r="A124" s="14"/>
      <c r="B124"/>
      <c r="C124"/>
      <c r="L124" s="22"/>
      <c r="M124" s="22"/>
      <c r="N124" s="24"/>
      <c r="O124" s="22"/>
      <c r="P124" s="22"/>
      <c r="Q124" s="23"/>
      <c r="R124" s="22"/>
      <c r="S124" s="22"/>
      <c r="T124" s="22"/>
      <c r="U124" s="63"/>
      <c r="V124" s="104"/>
    </row>
    <row r="125" spans="1:22" x14ac:dyDescent="0.3">
      <c r="A125" s="14"/>
      <c r="B125"/>
      <c r="C125"/>
      <c r="L125" s="22"/>
      <c r="M125" s="22"/>
      <c r="N125" s="24"/>
      <c r="O125" s="22"/>
      <c r="P125" s="22"/>
      <c r="Q125" s="23"/>
      <c r="R125" s="22"/>
      <c r="S125" s="22"/>
      <c r="T125" s="22"/>
      <c r="U125" s="63"/>
      <c r="V125" s="104"/>
    </row>
    <row r="126" spans="1:22" x14ac:dyDescent="0.3">
      <c r="A126" s="14"/>
      <c r="B126"/>
      <c r="C126"/>
      <c r="L126" s="22"/>
      <c r="M126" s="22"/>
      <c r="N126" s="24"/>
      <c r="O126" s="22"/>
      <c r="P126" s="22"/>
      <c r="Q126" s="23"/>
      <c r="R126" s="22"/>
      <c r="S126" s="22"/>
      <c r="T126" s="22"/>
      <c r="U126" s="63"/>
      <c r="V126" s="104"/>
    </row>
    <row r="127" spans="1:22" x14ac:dyDescent="0.3">
      <c r="A127" s="14"/>
      <c r="B127"/>
      <c r="C127"/>
      <c r="L127" s="22"/>
      <c r="M127" s="22"/>
      <c r="N127" s="24"/>
      <c r="O127" s="22"/>
      <c r="P127" s="22"/>
      <c r="Q127" s="23"/>
      <c r="R127" s="22"/>
      <c r="S127" s="22"/>
      <c r="T127" s="22"/>
      <c r="U127" s="63"/>
      <c r="V127" s="104"/>
    </row>
    <row r="128" spans="1:22" x14ac:dyDescent="0.3">
      <c r="A128" s="14"/>
      <c r="B128"/>
      <c r="C128"/>
      <c r="L128" s="22"/>
      <c r="M128" s="22"/>
      <c r="N128" s="24"/>
      <c r="O128" s="22"/>
      <c r="P128" s="22"/>
      <c r="Q128" s="23"/>
      <c r="R128" s="22"/>
      <c r="S128" s="22"/>
      <c r="T128" s="22"/>
      <c r="U128" s="63"/>
      <c r="V128" s="104"/>
    </row>
    <row r="129" spans="1:22" x14ac:dyDescent="0.3">
      <c r="A129" s="14"/>
      <c r="B129"/>
      <c r="C129"/>
      <c r="L129" s="22"/>
      <c r="M129" s="22"/>
      <c r="N129" s="24"/>
      <c r="O129" s="22"/>
      <c r="P129" s="22"/>
      <c r="Q129" s="23"/>
      <c r="R129" s="22"/>
      <c r="S129" s="22"/>
      <c r="T129" s="22"/>
      <c r="U129" s="63"/>
      <c r="V129" s="104"/>
    </row>
    <row r="130" spans="1:22" x14ac:dyDescent="0.3">
      <c r="A130" s="14"/>
      <c r="B130"/>
      <c r="C130"/>
      <c r="L130" s="22"/>
      <c r="M130" s="22"/>
      <c r="N130" s="24"/>
      <c r="O130" s="22"/>
      <c r="P130" s="22"/>
      <c r="Q130" s="23"/>
      <c r="R130" s="22"/>
      <c r="S130" s="22"/>
      <c r="T130" s="22"/>
      <c r="U130" s="63"/>
      <c r="V130" s="104"/>
    </row>
    <row r="131" spans="1:22" x14ac:dyDescent="0.3">
      <c r="A131" s="14"/>
      <c r="B131"/>
      <c r="C131"/>
      <c r="L131" s="22"/>
      <c r="M131" s="22"/>
      <c r="N131" s="24"/>
      <c r="O131" s="22"/>
      <c r="P131" s="22"/>
      <c r="Q131" s="23"/>
      <c r="R131" s="22"/>
      <c r="S131" s="22"/>
      <c r="T131" s="22"/>
      <c r="U131" s="63"/>
      <c r="V131" s="104"/>
    </row>
    <row r="132" spans="1:22" x14ac:dyDescent="0.3">
      <c r="A132" s="14"/>
      <c r="B132"/>
      <c r="C132"/>
      <c r="L132" s="22"/>
      <c r="M132" s="22"/>
      <c r="N132" s="24"/>
      <c r="O132" s="22"/>
      <c r="P132" s="22"/>
      <c r="Q132" s="23"/>
      <c r="R132" s="22"/>
      <c r="S132" s="22"/>
      <c r="T132" s="22"/>
      <c r="U132" s="63"/>
      <c r="V132" s="104"/>
    </row>
    <row r="133" spans="1:22" x14ac:dyDescent="0.3">
      <c r="A133" s="14"/>
      <c r="B133"/>
      <c r="C133"/>
      <c r="L133" s="22"/>
      <c r="M133" s="22"/>
      <c r="N133" s="24"/>
      <c r="O133" s="22"/>
      <c r="P133" s="22"/>
      <c r="Q133" s="23"/>
      <c r="R133" s="22"/>
      <c r="S133" s="22"/>
      <c r="T133" s="22"/>
      <c r="U133" s="63"/>
      <c r="V133" s="104"/>
    </row>
    <row r="134" spans="1:22" x14ac:dyDescent="0.3">
      <c r="A134" s="14"/>
      <c r="B134"/>
      <c r="C134"/>
      <c r="L134" s="22"/>
      <c r="M134" s="22"/>
      <c r="N134" s="24"/>
      <c r="O134" s="22"/>
      <c r="P134" s="22"/>
      <c r="Q134" s="23"/>
      <c r="R134" s="22"/>
      <c r="S134" s="22"/>
      <c r="T134" s="22"/>
      <c r="U134" s="63"/>
      <c r="V134" s="104"/>
    </row>
    <row r="135" spans="1:22" x14ac:dyDescent="0.3">
      <c r="A135" s="14"/>
      <c r="B135"/>
      <c r="C135"/>
      <c r="L135" s="22"/>
      <c r="M135" s="22"/>
      <c r="N135" s="24"/>
      <c r="O135" s="22"/>
      <c r="P135" s="22"/>
      <c r="Q135" s="23"/>
      <c r="R135" s="22"/>
      <c r="S135" s="22"/>
      <c r="T135" s="22"/>
      <c r="U135" s="63"/>
      <c r="V135" s="104"/>
    </row>
    <row r="136" spans="1:22" x14ac:dyDescent="0.3">
      <c r="A136" s="14"/>
      <c r="B136"/>
      <c r="C136"/>
      <c r="L136" s="22"/>
      <c r="M136" s="22"/>
      <c r="N136" s="24"/>
      <c r="O136" s="22"/>
      <c r="P136" s="22"/>
      <c r="Q136" s="23"/>
      <c r="R136" s="22"/>
      <c r="S136" s="22"/>
      <c r="T136" s="22"/>
      <c r="U136" s="63"/>
      <c r="V136" s="104"/>
    </row>
    <row r="137" spans="1:22" x14ac:dyDescent="0.3">
      <c r="A137" s="14"/>
      <c r="B137"/>
      <c r="C137"/>
      <c r="L137" s="22"/>
      <c r="M137" s="22"/>
      <c r="N137" s="24"/>
      <c r="O137" s="22"/>
      <c r="P137" s="22"/>
      <c r="Q137" s="23"/>
      <c r="R137" s="22"/>
      <c r="S137" s="22"/>
      <c r="T137" s="22"/>
      <c r="U137" s="63"/>
      <c r="V137" s="104"/>
    </row>
    <row r="138" spans="1:22" x14ac:dyDescent="0.3">
      <c r="A138" s="14"/>
      <c r="B138"/>
      <c r="C138"/>
      <c r="L138" s="22"/>
      <c r="M138" s="22"/>
      <c r="N138" s="24"/>
      <c r="O138" s="22"/>
      <c r="P138" s="22"/>
      <c r="Q138" s="23"/>
      <c r="R138" s="22"/>
      <c r="S138" s="22"/>
      <c r="T138" s="22"/>
      <c r="U138" s="63"/>
      <c r="V138" s="104"/>
    </row>
    <row r="139" spans="1:22" x14ac:dyDescent="0.3">
      <c r="A139" s="14"/>
      <c r="B139"/>
      <c r="C139"/>
      <c r="L139" s="22"/>
      <c r="M139" s="22"/>
      <c r="N139" s="24"/>
      <c r="O139" s="22"/>
      <c r="P139" s="22"/>
      <c r="Q139" s="23"/>
      <c r="R139" s="22"/>
      <c r="S139" s="22"/>
      <c r="T139" s="22"/>
      <c r="U139" s="63"/>
      <c r="V139" s="104"/>
    </row>
    <row r="140" spans="1:22" x14ac:dyDescent="0.3">
      <c r="A140" s="14"/>
      <c r="B140"/>
      <c r="C140"/>
      <c r="L140" s="22"/>
      <c r="M140" s="22"/>
      <c r="N140" s="24"/>
      <c r="O140" s="22"/>
      <c r="P140" s="22"/>
      <c r="Q140" s="23"/>
      <c r="R140" s="22"/>
      <c r="S140" s="22"/>
      <c r="T140" s="22"/>
      <c r="U140" s="63"/>
      <c r="V140" s="104"/>
    </row>
    <row r="141" spans="1:22" x14ac:dyDescent="0.3">
      <c r="A141" s="14"/>
      <c r="B141"/>
      <c r="C141"/>
      <c r="L141" s="22"/>
      <c r="M141" s="22"/>
      <c r="N141" s="24"/>
      <c r="O141" s="22"/>
      <c r="P141" s="22"/>
      <c r="Q141" s="23"/>
      <c r="R141" s="22"/>
      <c r="S141" s="22"/>
      <c r="T141" s="22"/>
      <c r="U141" s="63"/>
      <c r="V141" s="104"/>
    </row>
    <row r="142" spans="1:22" x14ac:dyDescent="0.3">
      <c r="A142" s="14"/>
      <c r="B142"/>
      <c r="C142"/>
      <c r="L142" s="22"/>
      <c r="M142" s="22"/>
      <c r="N142" s="24"/>
      <c r="O142" s="22"/>
      <c r="P142" s="22"/>
      <c r="Q142" s="23"/>
      <c r="R142" s="22"/>
      <c r="S142" s="22"/>
      <c r="T142" s="22"/>
      <c r="U142" s="63"/>
      <c r="V142" s="104"/>
    </row>
    <row r="143" spans="1:22" x14ac:dyDescent="0.3">
      <c r="A143" s="14"/>
      <c r="B143"/>
      <c r="C143"/>
      <c r="L143" s="22"/>
      <c r="M143" s="22"/>
      <c r="N143" s="24"/>
      <c r="O143" s="22"/>
      <c r="P143" s="22"/>
      <c r="Q143" s="23"/>
      <c r="R143" s="22"/>
      <c r="S143" s="22"/>
      <c r="T143" s="22"/>
      <c r="U143" s="63"/>
      <c r="V143" s="104"/>
    </row>
    <row r="144" spans="1:22" x14ac:dyDescent="0.3">
      <c r="A144" s="14"/>
      <c r="B144"/>
      <c r="C144"/>
      <c r="L144" s="22"/>
      <c r="M144" s="22"/>
      <c r="N144" s="24"/>
      <c r="O144" s="22"/>
      <c r="P144" s="22"/>
      <c r="Q144" s="23"/>
      <c r="R144" s="22"/>
      <c r="S144" s="22"/>
      <c r="T144" s="22"/>
      <c r="U144" s="63"/>
      <c r="V144" s="104"/>
    </row>
    <row r="145" spans="1:22" x14ac:dyDescent="0.3">
      <c r="A145" s="14"/>
      <c r="B145"/>
      <c r="C145"/>
      <c r="L145" s="22"/>
      <c r="M145" s="22"/>
      <c r="N145" s="24"/>
      <c r="O145" s="22"/>
      <c r="P145" s="22"/>
      <c r="Q145" s="23"/>
      <c r="R145" s="22"/>
      <c r="S145" s="22"/>
      <c r="T145" s="22"/>
      <c r="U145" s="63"/>
      <c r="V145" s="104"/>
    </row>
    <row r="146" spans="1:22" x14ac:dyDescent="0.3">
      <c r="A146" s="14"/>
      <c r="B146"/>
      <c r="C146"/>
      <c r="L146"/>
      <c r="M146"/>
      <c r="N146" s="22"/>
      <c r="O146" s="22"/>
      <c r="P146" s="23"/>
      <c r="Q146" s="23"/>
      <c r="R146"/>
      <c r="U146" s="63"/>
      <c r="V146" s="104"/>
    </row>
    <row r="147" spans="1:22" x14ac:dyDescent="0.3">
      <c r="A147" s="14"/>
      <c r="B147"/>
      <c r="C147"/>
      <c r="L147"/>
      <c r="M147"/>
      <c r="N147" s="22"/>
      <c r="O147" s="22"/>
      <c r="P147" s="23"/>
      <c r="Q147" s="23"/>
      <c r="R147"/>
      <c r="U147" s="63"/>
      <c r="V147" s="104"/>
    </row>
    <row r="148" spans="1:22" x14ac:dyDescent="0.3">
      <c r="A148" s="14"/>
      <c r="B148"/>
      <c r="C148"/>
      <c r="L148"/>
      <c r="M148"/>
      <c r="N148" s="22"/>
      <c r="O148" s="22"/>
      <c r="P148" s="23"/>
      <c r="Q148" s="23"/>
      <c r="R148"/>
      <c r="U148" s="63"/>
      <c r="V148" s="104"/>
    </row>
    <row r="149" spans="1:22" x14ac:dyDescent="0.3">
      <c r="A149" s="14"/>
      <c r="B149"/>
      <c r="C149"/>
      <c r="L149"/>
      <c r="M149"/>
      <c r="N149" s="22"/>
      <c r="O149" s="22"/>
      <c r="P149" s="23"/>
      <c r="Q149" s="23"/>
      <c r="R149"/>
      <c r="U149" s="63"/>
      <c r="V149" s="104"/>
    </row>
    <row r="150" spans="1:22" x14ac:dyDescent="0.3">
      <c r="A150" s="14"/>
      <c r="B150"/>
      <c r="C150"/>
      <c r="L150"/>
      <c r="M150"/>
      <c r="N150" s="22"/>
      <c r="O150" s="22"/>
      <c r="P150" s="23"/>
      <c r="Q150" s="23"/>
      <c r="R150"/>
      <c r="U150" s="63"/>
      <c r="V150" s="104"/>
    </row>
    <row r="151" spans="1:22" x14ac:dyDescent="0.3">
      <c r="A151" s="14"/>
      <c r="B151"/>
      <c r="C151"/>
      <c r="L151"/>
      <c r="M151"/>
      <c r="N151" s="22"/>
      <c r="O151" s="22"/>
      <c r="P151" s="23"/>
      <c r="Q151" s="23"/>
      <c r="R151"/>
      <c r="U151" s="63"/>
      <c r="V151" s="104"/>
    </row>
    <row r="152" spans="1:22" x14ac:dyDescent="0.3">
      <c r="A152" s="14"/>
      <c r="B152"/>
      <c r="C152"/>
      <c r="L152" s="53"/>
      <c r="M152" s="53"/>
      <c r="N152" s="55"/>
      <c r="O152" s="53"/>
      <c r="P152" s="53"/>
      <c r="Q152" s="54"/>
      <c r="R152" s="53"/>
      <c r="S152" s="53"/>
      <c r="T152" s="53"/>
      <c r="U152" s="63"/>
      <c r="V152" s="104"/>
    </row>
    <row r="153" spans="1:22" x14ac:dyDescent="0.3">
      <c r="A153" s="14"/>
      <c r="B153"/>
      <c r="C153"/>
      <c r="L153" s="56"/>
      <c r="M153" s="56"/>
      <c r="N153" s="58"/>
      <c r="O153" s="56"/>
      <c r="P153" s="56"/>
      <c r="Q153" s="57"/>
      <c r="R153" s="22"/>
      <c r="S153" s="22"/>
      <c r="T153" s="56"/>
      <c r="U153" s="63"/>
      <c r="V153" s="104"/>
    </row>
    <row r="154" spans="1:22" x14ac:dyDescent="0.3">
      <c r="A154" s="14"/>
      <c r="B154"/>
      <c r="C154"/>
      <c r="L154" s="56"/>
      <c r="M154" s="56"/>
      <c r="N154" s="58"/>
      <c r="O154" s="56"/>
      <c r="P154" s="56"/>
      <c r="Q154" s="57"/>
      <c r="R154" s="56"/>
      <c r="S154" s="56"/>
      <c r="T154" s="56"/>
      <c r="U154" s="63"/>
      <c r="V154" s="104"/>
    </row>
  </sheetData>
  <phoneticPr fontId="4" type="noConversion"/>
  <pageMargins left="0.7" right="0.7" top="0.75" bottom="0.75" header="0.3" footer="0.3"/>
  <pageSetup orientation="landscape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B9"/>
  <sheetViews>
    <sheetView workbookViewId="0">
      <selection sqref="A1:BB9"/>
    </sheetView>
  </sheetViews>
  <sheetFormatPr defaultColWidth="10.88671875" defaultRowHeight="17.25" x14ac:dyDescent="0.3"/>
  <cols>
    <col min="1" max="1" width="11.6640625" customWidth="1"/>
    <col min="3" max="3" width="12.6640625" customWidth="1"/>
    <col min="4" max="4" width="11.6640625" customWidth="1"/>
    <col min="7" max="7" width="12.5546875" customWidth="1"/>
    <col min="8" max="8" width="16.6640625" customWidth="1"/>
    <col min="9" max="9" width="13.5546875" customWidth="1"/>
    <col min="10" max="10" width="17.88671875" customWidth="1"/>
    <col min="11" max="11" width="13.6640625" customWidth="1"/>
    <col min="12" max="12" width="11.88671875" customWidth="1"/>
    <col min="13" max="13" width="13.44140625" customWidth="1"/>
    <col min="16" max="16" width="11.88671875" customWidth="1"/>
    <col min="17" max="17" width="18.88671875" customWidth="1"/>
    <col min="18" max="18" width="16.33203125" customWidth="1"/>
    <col min="20" max="20" width="14.6640625" customWidth="1"/>
    <col min="21" max="21" width="17.5546875" customWidth="1"/>
    <col min="22" max="22" width="21.88671875" customWidth="1"/>
    <col min="23" max="23" width="23.88671875" customWidth="1"/>
    <col min="26" max="26" width="12.6640625" customWidth="1"/>
    <col min="27" max="27" width="12" customWidth="1"/>
    <col min="28" max="28" width="23.6640625" customWidth="1"/>
    <col min="29" max="29" width="23" customWidth="1"/>
    <col min="31" max="31" width="13" customWidth="1"/>
    <col min="33" max="33" width="15.6640625" customWidth="1"/>
    <col min="34" max="34" width="18" customWidth="1"/>
    <col min="35" max="35" width="21.44140625" customWidth="1"/>
    <col min="36" max="36" width="17.5546875" customWidth="1"/>
    <col min="37" max="37" width="18" customWidth="1"/>
    <col min="38" max="38" width="32" customWidth="1"/>
    <col min="39" max="39" width="29.5546875" customWidth="1"/>
    <col min="40" max="40" width="22.33203125" customWidth="1"/>
    <col min="42" max="42" width="11.44140625" customWidth="1"/>
    <col min="43" max="43" width="15.33203125" customWidth="1"/>
    <col min="46" max="46" width="15.44140625" customWidth="1"/>
    <col min="48" max="48" width="14.33203125" customWidth="1"/>
    <col min="50" max="50" width="11.33203125" customWidth="1"/>
    <col min="54" max="54" width="23.5546875" customWidth="1"/>
  </cols>
  <sheetData>
    <row r="1" spans="1:54" x14ac:dyDescent="0.3">
      <c r="A1" t="s">
        <v>360</v>
      </c>
      <c r="B1" t="s">
        <v>361</v>
      </c>
      <c r="C1" t="s">
        <v>362</v>
      </c>
      <c r="D1" t="s">
        <v>363</v>
      </c>
      <c r="E1" t="s">
        <v>225</v>
      </c>
      <c r="F1" t="s">
        <v>40</v>
      </c>
      <c r="G1" t="s">
        <v>238</v>
      </c>
      <c r="H1" t="s">
        <v>239</v>
      </c>
      <c r="I1" t="s">
        <v>99</v>
      </c>
      <c r="J1" t="s">
        <v>367</v>
      </c>
      <c r="K1" t="s">
        <v>364</v>
      </c>
      <c r="L1" t="s">
        <v>370</v>
      </c>
      <c r="M1" t="s">
        <v>160</v>
      </c>
      <c r="N1" t="s">
        <v>224</v>
      </c>
      <c r="O1" t="s">
        <v>1</v>
      </c>
      <c r="P1" t="s">
        <v>2</v>
      </c>
      <c r="Q1" t="s">
        <v>365</v>
      </c>
      <c r="R1" t="s">
        <v>5</v>
      </c>
      <c r="S1" t="s">
        <v>4</v>
      </c>
      <c r="T1" t="s">
        <v>48</v>
      </c>
      <c r="U1" t="s">
        <v>88</v>
      </c>
      <c r="V1" t="s">
        <v>6</v>
      </c>
      <c r="W1" t="s">
        <v>18</v>
      </c>
      <c r="X1" t="s">
        <v>93</v>
      </c>
      <c r="Y1" t="s">
        <v>7</v>
      </c>
      <c r="Z1" t="s">
        <v>94</v>
      </c>
      <c r="AA1" t="s">
        <v>8</v>
      </c>
      <c r="AB1" t="s">
        <v>97</v>
      </c>
      <c r="AC1" t="s">
        <v>98</v>
      </c>
      <c r="AD1" t="s">
        <v>86</v>
      </c>
      <c r="AE1" t="s">
        <v>9</v>
      </c>
      <c r="AF1" t="s">
        <v>11</v>
      </c>
      <c r="AG1" t="s">
        <v>10</v>
      </c>
      <c r="AH1" t="s">
        <v>12</v>
      </c>
      <c r="AI1" t="s">
        <v>13</v>
      </c>
      <c r="AJ1" t="s">
        <v>14</v>
      </c>
      <c r="AK1" t="s">
        <v>168</v>
      </c>
      <c r="AL1" t="s">
        <v>28</v>
      </c>
      <c r="AM1" t="s">
        <v>15</v>
      </c>
      <c r="AN1" t="s">
        <v>16</v>
      </c>
      <c r="AO1" t="s">
        <v>17</v>
      </c>
      <c r="AP1" t="s">
        <v>19</v>
      </c>
      <c r="AQ1" t="s">
        <v>20</v>
      </c>
      <c r="AR1" t="s">
        <v>21</v>
      </c>
      <c r="AS1" t="s">
        <v>22</v>
      </c>
      <c r="AT1" t="s">
        <v>23</v>
      </c>
      <c r="AU1" t="s">
        <v>24</v>
      </c>
      <c r="AV1" t="s">
        <v>95</v>
      </c>
      <c r="AW1" t="s">
        <v>25</v>
      </c>
      <c r="AX1" t="s">
        <v>96</v>
      </c>
      <c r="AY1" t="s">
        <v>26</v>
      </c>
      <c r="AZ1" t="s">
        <v>41</v>
      </c>
      <c r="BA1" t="s">
        <v>49</v>
      </c>
      <c r="BB1" t="s">
        <v>100</v>
      </c>
    </row>
    <row r="2" spans="1:54" x14ac:dyDescent="0.3">
      <c r="A2" s="35">
        <v>43920</v>
      </c>
      <c r="C2" t="s">
        <v>342</v>
      </c>
      <c r="D2" t="s">
        <v>368</v>
      </c>
      <c r="E2" t="s">
        <v>231</v>
      </c>
      <c r="F2" t="s">
        <v>56</v>
      </c>
      <c r="G2" t="s">
        <v>241</v>
      </c>
      <c r="H2" t="s">
        <v>261</v>
      </c>
      <c r="I2" t="s">
        <v>234</v>
      </c>
      <c r="J2" t="s">
        <v>104</v>
      </c>
      <c r="K2" s="35">
        <v>43936</v>
      </c>
      <c r="L2">
        <v>16</v>
      </c>
      <c r="M2">
        <v>2020</v>
      </c>
      <c r="N2" t="s">
        <v>227</v>
      </c>
      <c r="O2" t="s">
        <v>29</v>
      </c>
      <c r="P2" t="s">
        <v>45</v>
      </c>
      <c r="Q2">
        <v>2689</v>
      </c>
      <c r="R2" t="s">
        <v>342</v>
      </c>
      <c r="S2">
        <v>1000</v>
      </c>
      <c r="T2" t="s">
        <v>108</v>
      </c>
      <c r="U2" t="s">
        <v>31</v>
      </c>
      <c r="V2">
        <v>6343</v>
      </c>
      <c r="W2">
        <v>0.1271957969038261</v>
      </c>
      <c r="X2">
        <v>20</v>
      </c>
      <c r="Y2">
        <v>1500</v>
      </c>
      <c r="Z2">
        <v>80</v>
      </c>
      <c r="AA2">
        <v>4000</v>
      </c>
      <c r="AB2">
        <v>0</v>
      </c>
      <c r="AC2">
        <v>0</v>
      </c>
      <c r="AD2">
        <v>0</v>
      </c>
      <c r="AE2">
        <v>0</v>
      </c>
      <c r="AF2">
        <v>327</v>
      </c>
      <c r="AG2">
        <v>0</v>
      </c>
      <c r="AH2">
        <v>0</v>
      </c>
      <c r="AI2">
        <v>149</v>
      </c>
      <c r="AJ2">
        <v>0</v>
      </c>
      <c r="AK2">
        <v>0</v>
      </c>
      <c r="AL2">
        <v>0</v>
      </c>
      <c r="AM2">
        <v>0</v>
      </c>
      <c r="AN2">
        <v>49868</v>
      </c>
      <c r="AO2">
        <v>2494</v>
      </c>
      <c r="AP2">
        <v>0.05</v>
      </c>
      <c r="AQ2">
        <v>52362</v>
      </c>
      <c r="AR2">
        <v>2</v>
      </c>
      <c r="AS2">
        <v>8018</v>
      </c>
      <c r="AT2">
        <v>4009</v>
      </c>
      <c r="AU2">
        <v>0.15312631297505824</v>
      </c>
      <c r="AV2">
        <v>0.01</v>
      </c>
      <c r="AW2">
        <v>523.62</v>
      </c>
      <c r="AX2">
        <v>0.05</v>
      </c>
      <c r="AY2">
        <v>2618.1000000000004</v>
      </c>
      <c r="AZ2" t="s">
        <v>43</v>
      </c>
      <c r="BA2" t="s">
        <v>50</v>
      </c>
      <c r="BB2" t="s">
        <v>90</v>
      </c>
    </row>
    <row r="3" spans="1:54" x14ac:dyDescent="0.3">
      <c r="A3" s="35">
        <v>43917</v>
      </c>
      <c r="C3" t="s">
        <v>352</v>
      </c>
      <c r="D3" t="s">
        <v>368</v>
      </c>
      <c r="E3" t="s">
        <v>231</v>
      </c>
      <c r="F3" t="s">
        <v>56</v>
      </c>
      <c r="G3" t="s">
        <v>241</v>
      </c>
      <c r="H3" t="s">
        <v>261</v>
      </c>
      <c r="I3" t="s">
        <v>234</v>
      </c>
      <c r="J3" t="s">
        <v>104</v>
      </c>
      <c r="K3" s="35">
        <v>43934</v>
      </c>
      <c r="L3">
        <v>17</v>
      </c>
      <c r="M3">
        <v>2020</v>
      </c>
      <c r="N3" t="s">
        <v>227</v>
      </c>
      <c r="O3" t="s">
        <v>29</v>
      </c>
      <c r="P3" t="s">
        <v>45</v>
      </c>
      <c r="Q3">
        <v>2677</v>
      </c>
      <c r="R3" t="s">
        <v>352</v>
      </c>
      <c r="S3">
        <v>1000</v>
      </c>
      <c r="T3" t="s">
        <v>108</v>
      </c>
      <c r="U3" t="s">
        <v>31</v>
      </c>
      <c r="V3">
        <v>4500</v>
      </c>
      <c r="W3">
        <v>0.14042752379466375</v>
      </c>
      <c r="X3">
        <v>20</v>
      </c>
      <c r="Y3">
        <v>1500</v>
      </c>
      <c r="Z3">
        <v>60</v>
      </c>
      <c r="AA3">
        <v>3000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32045</v>
      </c>
      <c r="AO3">
        <v>1601.99</v>
      </c>
      <c r="AP3">
        <v>0.05</v>
      </c>
      <c r="AQ3">
        <v>33646.99</v>
      </c>
      <c r="AR3">
        <v>0</v>
      </c>
      <c r="AS3">
        <v>6101.99</v>
      </c>
      <c r="AU3">
        <v>0.18135322060011907</v>
      </c>
      <c r="AV3">
        <v>0.01</v>
      </c>
      <c r="AW3">
        <v>336.4699</v>
      </c>
      <c r="AX3">
        <v>0.05</v>
      </c>
      <c r="AY3">
        <v>1682.3495</v>
      </c>
      <c r="AZ3" t="s">
        <v>42</v>
      </c>
      <c r="BA3" t="s">
        <v>50</v>
      </c>
      <c r="BB3" t="s">
        <v>89</v>
      </c>
    </row>
    <row r="4" spans="1:54" x14ac:dyDescent="0.3">
      <c r="A4" s="35">
        <v>43906</v>
      </c>
      <c r="C4" t="s">
        <v>326</v>
      </c>
      <c r="D4" t="s">
        <v>368</v>
      </c>
      <c r="E4" t="s">
        <v>230</v>
      </c>
      <c r="F4" t="s">
        <v>325</v>
      </c>
      <c r="G4" t="s">
        <v>241</v>
      </c>
      <c r="H4" t="s">
        <v>261</v>
      </c>
      <c r="I4" t="s">
        <v>234</v>
      </c>
      <c r="J4" t="s">
        <v>104</v>
      </c>
      <c r="K4" s="35">
        <v>43921</v>
      </c>
      <c r="L4">
        <v>15</v>
      </c>
      <c r="M4">
        <v>2020</v>
      </c>
      <c r="N4" t="s">
        <v>227</v>
      </c>
      <c r="O4" t="s">
        <v>57</v>
      </c>
      <c r="P4" t="s">
        <v>114</v>
      </c>
      <c r="Q4">
        <v>2683</v>
      </c>
      <c r="R4" t="s">
        <v>326</v>
      </c>
      <c r="S4">
        <v>3000</v>
      </c>
      <c r="T4" t="s">
        <v>108</v>
      </c>
      <c r="U4" t="s">
        <v>31</v>
      </c>
      <c r="V4">
        <v>28167.55012</v>
      </c>
      <c r="W4">
        <v>0.12854613678678567</v>
      </c>
      <c r="X4">
        <v>75</v>
      </c>
      <c r="Y4">
        <v>5625</v>
      </c>
      <c r="Z4">
        <v>200</v>
      </c>
      <c r="AA4">
        <v>10000</v>
      </c>
      <c r="AB4">
        <v>0</v>
      </c>
      <c r="AC4">
        <v>0</v>
      </c>
      <c r="AD4">
        <v>5665</v>
      </c>
      <c r="AE4">
        <v>0</v>
      </c>
      <c r="AF4">
        <v>1050.2607499999999</v>
      </c>
      <c r="AG4">
        <v>0</v>
      </c>
      <c r="AH4">
        <v>0</v>
      </c>
      <c r="AI4">
        <v>667.52607499999999</v>
      </c>
      <c r="AJ4">
        <v>0</v>
      </c>
      <c r="AK4">
        <v>0</v>
      </c>
      <c r="AL4">
        <v>950</v>
      </c>
      <c r="AM4">
        <v>2600</v>
      </c>
      <c r="AN4">
        <v>219124.05012</v>
      </c>
      <c r="AO4">
        <v>17525.954009599998</v>
      </c>
      <c r="AP4">
        <v>0.08</v>
      </c>
      <c r="AQ4">
        <v>236650.00412960001</v>
      </c>
      <c r="AR4">
        <v>5</v>
      </c>
      <c r="AS4">
        <v>33255.9800846</v>
      </c>
      <c r="AT4">
        <v>6651.1960169200001</v>
      </c>
      <c r="AU4">
        <v>0.14052811960395131</v>
      </c>
      <c r="AV4">
        <v>0.01</v>
      </c>
      <c r="AW4">
        <v>2366.5000412960003</v>
      </c>
      <c r="AX4">
        <v>0.05</v>
      </c>
      <c r="AY4">
        <v>11832.500206480001</v>
      </c>
      <c r="AZ4" t="s">
        <v>43</v>
      </c>
      <c r="BA4" t="s">
        <v>50</v>
      </c>
      <c r="BB4" t="s">
        <v>90</v>
      </c>
    </row>
    <row r="5" spans="1:54" x14ac:dyDescent="0.3">
      <c r="A5" s="35">
        <v>43900</v>
      </c>
      <c r="C5" t="s">
        <v>324</v>
      </c>
      <c r="D5" t="s">
        <v>368</v>
      </c>
      <c r="E5" t="s">
        <v>230</v>
      </c>
      <c r="F5" t="s">
        <v>325</v>
      </c>
      <c r="G5" t="s">
        <v>241</v>
      </c>
      <c r="H5" t="s">
        <v>261</v>
      </c>
      <c r="I5" t="s">
        <v>233</v>
      </c>
      <c r="J5" t="s">
        <v>104</v>
      </c>
      <c r="K5" s="35">
        <v>43915</v>
      </c>
      <c r="L5">
        <v>15</v>
      </c>
      <c r="M5">
        <v>2020</v>
      </c>
      <c r="N5" t="s">
        <v>227</v>
      </c>
      <c r="O5" t="s">
        <v>57</v>
      </c>
      <c r="P5" t="s">
        <v>114</v>
      </c>
      <c r="Q5">
        <v>2682</v>
      </c>
      <c r="R5" t="s">
        <v>324</v>
      </c>
      <c r="S5">
        <v>5112</v>
      </c>
      <c r="T5" t="s">
        <v>108</v>
      </c>
      <c r="U5" t="s">
        <v>31</v>
      </c>
      <c r="V5">
        <v>29186</v>
      </c>
      <c r="W5">
        <v>0.1679518460546911</v>
      </c>
      <c r="X5">
        <v>90</v>
      </c>
      <c r="Y5">
        <v>6750</v>
      </c>
      <c r="Z5">
        <v>240</v>
      </c>
      <c r="AA5">
        <v>12000</v>
      </c>
      <c r="AB5">
        <v>0</v>
      </c>
      <c r="AC5">
        <v>0</v>
      </c>
      <c r="AD5">
        <v>6393</v>
      </c>
      <c r="AE5">
        <v>0</v>
      </c>
      <c r="AF5">
        <v>796</v>
      </c>
      <c r="AG5">
        <v>0</v>
      </c>
      <c r="AH5">
        <v>0</v>
      </c>
      <c r="AI5">
        <v>455</v>
      </c>
      <c r="AJ5">
        <v>0</v>
      </c>
      <c r="AK5">
        <v>0</v>
      </c>
      <c r="AL5">
        <v>0</v>
      </c>
      <c r="AM5">
        <v>1573</v>
      </c>
      <c r="AN5">
        <v>173776</v>
      </c>
      <c r="AO5">
        <v>9819</v>
      </c>
      <c r="AP5">
        <v>5.6500000000000002E-2</v>
      </c>
      <c r="AQ5">
        <v>183595</v>
      </c>
      <c r="AR5">
        <v>6</v>
      </c>
      <c r="AS5">
        <v>28649</v>
      </c>
      <c r="AT5">
        <v>4774.833333333333</v>
      </c>
      <c r="AU5">
        <v>0.15604455459026662</v>
      </c>
      <c r="AV5">
        <v>0.01</v>
      </c>
      <c r="AW5">
        <v>1835.95</v>
      </c>
      <c r="AX5">
        <v>0.05</v>
      </c>
      <c r="AY5">
        <v>9179.75</v>
      </c>
      <c r="AZ5" t="s">
        <v>43</v>
      </c>
      <c r="BA5" t="s">
        <v>50</v>
      </c>
      <c r="BB5" t="s">
        <v>90</v>
      </c>
    </row>
    <row r="6" spans="1:54" x14ac:dyDescent="0.3">
      <c r="A6" s="35">
        <v>43900</v>
      </c>
      <c r="C6" t="s">
        <v>311</v>
      </c>
      <c r="D6" t="s">
        <v>368</v>
      </c>
      <c r="E6" t="s">
        <v>231</v>
      </c>
      <c r="F6" t="s">
        <v>211</v>
      </c>
      <c r="G6" t="s">
        <v>242</v>
      </c>
      <c r="H6" t="s">
        <v>310</v>
      </c>
      <c r="I6" t="s">
        <v>233</v>
      </c>
      <c r="J6" t="s">
        <v>104</v>
      </c>
      <c r="K6" s="35">
        <v>43915</v>
      </c>
      <c r="L6">
        <v>15</v>
      </c>
      <c r="M6">
        <v>2020</v>
      </c>
      <c r="N6" t="s">
        <v>227</v>
      </c>
      <c r="O6" t="s">
        <v>29</v>
      </c>
      <c r="P6" t="s">
        <v>45</v>
      </c>
      <c r="Q6">
        <v>2668</v>
      </c>
      <c r="R6" t="s">
        <v>311</v>
      </c>
      <c r="S6">
        <v>500</v>
      </c>
      <c r="T6" t="s">
        <v>108</v>
      </c>
      <c r="U6" t="s">
        <v>31</v>
      </c>
      <c r="V6">
        <v>13268</v>
      </c>
      <c r="W6">
        <v>0.20128343219503314</v>
      </c>
      <c r="X6">
        <v>40</v>
      </c>
      <c r="Y6">
        <v>3000</v>
      </c>
      <c r="Z6">
        <v>160</v>
      </c>
      <c r="AA6">
        <v>8000</v>
      </c>
      <c r="AB6">
        <v>0</v>
      </c>
      <c r="AC6">
        <v>0</v>
      </c>
      <c r="AD6">
        <v>0</v>
      </c>
      <c r="AE6">
        <v>0</v>
      </c>
      <c r="AF6">
        <v>495</v>
      </c>
      <c r="AG6">
        <v>0</v>
      </c>
      <c r="AH6">
        <v>0</v>
      </c>
      <c r="AI6">
        <v>279</v>
      </c>
      <c r="AJ6">
        <v>0</v>
      </c>
      <c r="AK6">
        <v>0</v>
      </c>
      <c r="AL6">
        <v>0</v>
      </c>
      <c r="AM6">
        <v>1050</v>
      </c>
      <c r="AN6">
        <v>65917</v>
      </c>
      <c r="AO6">
        <v>3296</v>
      </c>
      <c r="AP6">
        <v>0.05</v>
      </c>
      <c r="AQ6">
        <v>69213</v>
      </c>
      <c r="AR6">
        <v>4</v>
      </c>
      <c r="AS6">
        <v>14325</v>
      </c>
      <c r="AT6">
        <v>3581.25</v>
      </c>
      <c r="AU6">
        <v>0.20696978891248755</v>
      </c>
      <c r="AV6">
        <v>0.01</v>
      </c>
      <c r="AW6">
        <v>692.13</v>
      </c>
      <c r="AX6">
        <v>0.05</v>
      </c>
      <c r="AY6">
        <v>3460.65</v>
      </c>
      <c r="AZ6" t="s">
        <v>85</v>
      </c>
      <c r="BA6" t="s">
        <v>177</v>
      </c>
      <c r="BB6" t="s">
        <v>90</v>
      </c>
    </row>
    <row r="7" spans="1:54" x14ac:dyDescent="0.3">
      <c r="A7" s="35">
        <v>43914</v>
      </c>
      <c r="C7" t="s">
        <v>340</v>
      </c>
      <c r="D7" t="s">
        <v>369</v>
      </c>
      <c r="E7" t="s">
        <v>232</v>
      </c>
      <c r="F7" t="s">
        <v>341</v>
      </c>
      <c r="G7" t="s">
        <v>241</v>
      </c>
      <c r="H7" t="s">
        <v>261</v>
      </c>
      <c r="I7" t="s">
        <v>235</v>
      </c>
      <c r="J7" t="s">
        <v>243</v>
      </c>
      <c r="K7" s="35">
        <v>43929</v>
      </c>
      <c r="L7">
        <v>15</v>
      </c>
      <c r="M7">
        <v>2020</v>
      </c>
      <c r="N7" t="s">
        <v>227</v>
      </c>
      <c r="O7" t="s">
        <v>29</v>
      </c>
      <c r="P7" t="s">
        <v>45</v>
      </c>
      <c r="Q7">
        <v>2687</v>
      </c>
      <c r="R7" t="s">
        <v>340</v>
      </c>
      <c r="S7">
        <v>2800</v>
      </c>
      <c r="T7" t="s">
        <v>108</v>
      </c>
      <c r="U7" t="s">
        <v>31</v>
      </c>
      <c r="V7">
        <v>60663</v>
      </c>
      <c r="W7">
        <v>9.8880356773197675E-2</v>
      </c>
      <c r="X7">
        <v>180</v>
      </c>
      <c r="Y7">
        <v>13500</v>
      </c>
      <c r="Z7">
        <v>540</v>
      </c>
      <c r="AA7">
        <v>27000</v>
      </c>
      <c r="AB7">
        <v>0</v>
      </c>
      <c r="AC7">
        <v>0</v>
      </c>
      <c r="AD7">
        <v>0</v>
      </c>
      <c r="AE7">
        <v>0</v>
      </c>
      <c r="AF7">
        <v>4297</v>
      </c>
      <c r="AG7">
        <v>1500</v>
      </c>
      <c r="AH7">
        <v>0</v>
      </c>
      <c r="AI7">
        <v>3605</v>
      </c>
      <c r="AJ7">
        <v>0</v>
      </c>
      <c r="AK7">
        <v>0</v>
      </c>
      <c r="AL7">
        <v>3600</v>
      </c>
      <c r="AM7">
        <v>2500</v>
      </c>
      <c r="AN7">
        <v>613499</v>
      </c>
      <c r="AO7">
        <v>15338</v>
      </c>
      <c r="AP7">
        <v>2.5000000000000001E-2</v>
      </c>
      <c r="AQ7">
        <v>628837</v>
      </c>
      <c r="AR7">
        <v>12</v>
      </c>
      <c r="AS7">
        <v>56143</v>
      </c>
      <c r="AT7">
        <v>4678.583333333333</v>
      </c>
      <c r="AU7">
        <v>8.9280688000228994E-2</v>
      </c>
      <c r="AV7">
        <v>0.01</v>
      </c>
      <c r="AW7">
        <v>6288.37</v>
      </c>
      <c r="AX7">
        <v>0.05</v>
      </c>
      <c r="AY7">
        <v>31441.850000000002</v>
      </c>
      <c r="AZ7" t="s">
        <v>43</v>
      </c>
      <c r="BA7" t="s">
        <v>50</v>
      </c>
      <c r="BB7" t="s">
        <v>90</v>
      </c>
    </row>
    <row r="8" spans="1:54" x14ac:dyDescent="0.3">
      <c r="A8" s="35">
        <v>43908</v>
      </c>
      <c r="B8">
        <v>507</v>
      </c>
      <c r="C8" t="s">
        <v>322</v>
      </c>
      <c r="D8" t="s">
        <v>366</v>
      </c>
      <c r="E8" t="s">
        <v>230</v>
      </c>
      <c r="F8" t="s">
        <v>323</v>
      </c>
      <c r="G8" t="s">
        <v>242</v>
      </c>
      <c r="H8" t="s">
        <v>310</v>
      </c>
      <c r="I8" t="s">
        <v>233</v>
      </c>
      <c r="J8" t="s">
        <v>243</v>
      </c>
      <c r="K8" s="35">
        <v>43916</v>
      </c>
      <c r="L8">
        <v>8</v>
      </c>
      <c r="M8">
        <v>2020</v>
      </c>
      <c r="N8" t="s">
        <v>227</v>
      </c>
      <c r="O8" t="s">
        <v>29</v>
      </c>
      <c r="P8" t="s">
        <v>30</v>
      </c>
      <c r="Q8">
        <v>2680</v>
      </c>
      <c r="R8" t="s">
        <v>322</v>
      </c>
      <c r="S8">
        <v>3500</v>
      </c>
      <c r="T8" t="s">
        <v>108</v>
      </c>
      <c r="U8" t="s">
        <v>31</v>
      </c>
      <c r="V8">
        <v>37922.987461030076</v>
      </c>
      <c r="W8">
        <v>8.0472943263935309E-2</v>
      </c>
      <c r="X8">
        <v>120</v>
      </c>
      <c r="Y8">
        <v>9000</v>
      </c>
      <c r="Z8">
        <v>480</v>
      </c>
      <c r="AA8">
        <v>24000</v>
      </c>
      <c r="AB8">
        <v>0</v>
      </c>
      <c r="AC8">
        <v>0</v>
      </c>
      <c r="AD8">
        <v>0</v>
      </c>
      <c r="AE8">
        <v>0</v>
      </c>
      <c r="AF8">
        <v>1084.6568321804511</v>
      </c>
      <c r="AG8">
        <v>0</v>
      </c>
      <c r="AH8">
        <v>0</v>
      </c>
      <c r="AI8">
        <v>988.33062884962408</v>
      </c>
      <c r="AJ8">
        <v>0</v>
      </c>
      <c r="AK8">
        <v>0</v>
      </c>
      <c r="AL8">
        <v>0</v>
      </c>
      <c r="AM8">
        <v>2850</v>
      </c>
      <c r="AN8">
        <v>471251.40355125564</v>
      </c>
      <c r="AO8">
        <v>14137.592106537668</v>
      </c>
      <c r="AP8">
        <v>0.03</v>
      </c>
      <c r="AQ8">
        <v>485388.9956577933</v>
      </c>
      <c r="AR8">
        <v>12</v>
      </c>
      <c r="AS8">
        <v>47375.922735387292</v>
      </c>
      <c r="AT8">
        <v>3947.9935612822742</v>
      </c>
      <c r="AU8">
        <v>9.7604031321690793E-2</v>
      </c>
      <c r="AV8">
        <v>0.01</v>
      </c>
      <c r="AW8">
        <v>4853.8899565779329</v>
      </c>
      <c r="AX8">
        <v>0.05</v>
      </c>
      <c r="AY8">
        <v>24269.449782889667</v>
      </c>
      <c r="AZ8" t="s">
        <v>43</v>
      </c>
      <c r="BA8" t="s">
        <v>50</v>
      </c>
      <c r="BB8" t="s">
        <v>90</v>
      </c>
    </row>
    <row r="9" spans="1:54" x14ac:dyDescent="0.3">
      <c r="A9" s="35">
        <v>43901</v>
      </c>
      <c r="C9" t="s">
        <v>320</v>
      </c>
      <c r="D9" t="s">
        <v>366</v>
      </c>
      <c r="E9" t="s">
        <v>230</v>
      </c>
      <c r="F9" t="s">
        <v>321</v>
      </c>
      <c r="G9" t="s">
        <v>241</v>
      </c>
      <c r="H9" t="s">
        <v>261</v>
      </c>
      <c r="I9" t="s">
        <v>234</v>
      </c>
      <c r="J9" t="s">
        <v>104</v>
      </c>
      <c r="K9" s="35">
        <v>43916</v>
      </c>
      <c r="L9">
        <v>15</v>
      </c>
      <c r="M9">
        <v>2020</v>
      </c>
      <c r="N9" t="s">
        <v>227</v>
      </c>
      <c r="O9" t="s">
        <v>29</v>
      </c>
      <c r="P9" t="s">
        <v>30</v>
      </c>
      <c r="Q9">
        <v>2679</v>
      </c>
      <c r="R9" t="s">
        <v>320</v>
      </c>
      <c r="S9">
        <v>21736</v>
      </c>
      <c r="T9" t="s">
        <v>108</v>
      </c>
      <c r="U9" t="s">
        <v>31</v>
      </c>
      <c r="V9">
        <v>12945.927750000001</v>
      </c>
      <c r="W9">
        <v>0.10747885459935778</v>
      </c>
      <c r="X9">
        <v>40</v>
      </c>
      <c r="Y9">
        <v>3000</v>
      </c>
      <c r="Z9">
        <v>160</v>
      </c>
      <c r="AA9">
        <v>8000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309.12774999999999</v>
      </c>
      <c r="AJ9">
        <v>0</v>
      </c>
      <c r="AK9">
        <v>0</v>
      </c>
      <c r="AL9">
        <v>0</v>
      </c>
      <c r="AM9">
        <v>1636.8</v>
      </c>
      <c r="AN9">
        <v>120450.92775</v>
      </c>
      <c r="AO9">
        <v>6022.0763875000002</v>
      </c>
      <c r="AP9">
        <v>0.05</v>
      </c>
      <c r="AQ9">
        <v>126473.0041375</v>
      </c>
      <c r="AR9">
        <v>4</v>
      </c>
      <c r="AS9">
        <v>17081.204137500001</v>
      </c>
      <c r="AT9">
        <v>4270.3010343750002</v>
      </c>
      <c r="AU9">
        <v>0.13505810393283227</v>
      </c>
      <c r="AV9">
        <v>0.01</v>
      </c>
      <c r="AW9">
        <v>1264.7300413749999</v>
      </c>
      <c r="AX9">
        <v>0.05</v>
      </c>
      <c r="AY9">
        <v>6323.6502068750005</v>
      </c>
      <c r="AZ9" t="s">
        <v>85</v>
      </c>
      <c r="BA9" t="s">
        <v>50</v>
      </c>
      <c r="BB9" t="s">
        <v>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3:N15"/>
  <sheetViews>
    <sheetView workbookViewId="0">
      <selection activeCell="A35" sqref="A35"/>
    </sheetView>
  </sheetViews>
  <sheetFormatPr defaultColWidth="10.88671875" defaultRowHeight="17.25" x14ac:dyDescent="0.3"/>
  <cols>
    <col min="1" max="1" width="35.88671875" bestFit="1" customWidth="1"/>
    <col min="2" max="2" width="6.77734375" bestFit="1" customWidth="1"/>
    <col min="3" max="3" width="13.21875" bestFit="1" customWidth="1"/>
    <col min="4" max="4" width="9" bestFit="1" customWidth="1"/>
    <col min="5" max="5" width="11.21875" bestFit="1" customWidth="1"/>
    <col min="6" max="6" width="7.109375" bestFit="1" customWidth="1"/>
    <col min="7" max="7" width="16.77734375" bestFit="1" customWidth="1"/>
    <col min="8" max="8" width="13.33203125" customWidth="1"/>
    <col min="9" max="9" width="8.77734375" bestFit="1" customWidth="1"/>
    <col min="10" max="10" width="13.21875" bestFit="1" customWidth="1"/>
    <col min="11" max="11" width="9" bestFit="1" customWidth="1"/>
    <col min="12" max="12" width="11.21875" bestFit="1" customWidth="1"/>
    <col min="13" max="13" width="7.109375" bestFit="1" customWidth="1"/>
    <col min="14" max="14" width="7" customWidth="1"/>
    <col min="15" max="15" width="13.33203125" customWidth="1"/>
  </cols>
  <sheetData>
    <row r="3" spans="1:14" s="13" customFormat="1" ht="50.1" customHeight="1" x14ac:dyDescent="0.3">
      <c r="A3" s="12" t="s">
        <v>32</v>
      </c>
      <c r="B3" s="13" t="s">
        <v>213</v>
      </c>
      <c r="C3" s="13" t="s">
        <v>34</v>
      </c>
      <c r="D3" s="13" t="s">
        <v>214</v>
      </c>
      <c r="E3" s="13" t="s">
        <v>215</v>
      </c>
      <c r="F3" s="13" t="s">
        <v>216</v>
      </c>
      <c r="G3"/>
      <c r="H3"/>
      <c r="I3"/>
      <c r="J3"/>
      <c r="K3"/>
      <c r="L3"/>
      <c r="M3"/>
      <c r="N3"/>
    </row>
    <row r="4" spans="1:14" x14ac:dyDescent="0.3">
      <c r="A4" s="3" t="s">
        <v>89</v>
      </c>
      <c r="C4" s="5"/>
      <c r="E4" s="5"/>
      <c r="F4" s="9"/>
    </row>
    <row r="5" spans="1:14" x14ac:dyDescent="0.3">
      <c r="A5" s="4" t="s">
        <v>53</v>
      </c>
      <c r="B5">
        <v>3312</v>
      </c>
      <c r="C5" s="5">
        <v>124570.02</v>
      </c>
      <c r="D5">
        <v>4</v>
      </c>
      <c r="E5" s="5">
        <v>4527</v>
      </c>
      <c r="F5" s="9">
        <v>0.1454</v>
      </c>
    </row>
    <row r="6" spans="1:14" x14ac:dyDescent="0.3">
      <c r="A6" s="4" t="s">
        <v>55</v>
      </c>
      <c r="B6">
        <v>3000</v>
      </c>
      <c r="C6" s="5">
        <v>36936.47</v>
      </c>
      <c r="D6">
        <v>2</v>
      </c>
      <c r="E6" s="5">
        <v>4126</v>
      </c>
      <c r="F6" s="9">
        <v>0.22339999999999999</v>
      </c>
    </row>
    <row r="7" spans="1:14" x14ac:dyDescent="0.3">
      <c r="A7" s="3" t="s">
        <v>90</v>
      </c>
      <c r="C7" s="5"/>
      <c r="E7" s="5"/>
      <c r="F7" s="9"/>
    </row>
    <row r="8" spans="1:14" x14ac:dyDescent="0.3">
      <c r="A8" s="4" t="s">
        <v>65</v>
      </c>
      <c r="B8">
        <v>1404</v>
      </c>
      <c r="C8" s="5">
        <v>104978.51</v>
      </c>
      <c r="D8">
        <v>5</v>
      </c>
      <c r="E8" s="5">
        <v>3815</v>
      </c>
      <c r="F8" s="9">
        <v>0.1817</v>
      </c>
    </row>
    <row r="9" spans="1:14" x14ac:dyDescent="0.3">
      <c r="A9" s="4" t="s">
        <v>66</v>
      </c>
      <c r="B9">
        <v>1706</v>
      </c>
      <c r="C9" s="5">
        <v>65604</v>
      </c>
      <c r="D9">
        <v>4</v>
      </c>
      <c r="E9" s="5">
        <v>3472</v>
      </c>
      <c r="F9" s="9">
        <v>0.2117</v>
      </c>
    </row>
    <row r="10" spans="1:14" x14ac:dyDescent="0.3">
      <c r="A10" s="4" t="s">
        <v>54</v>
      </c>
      <c r="B10">
        <v>1000</v>
      </c>
      <c r="C10" s="5">
        <v>59495.99</v>
      </c>
      <c r="D10">
        <v>3</v>
      </c>
      <c r="E10" s="5">
        <v>4227</v>
      </c>
      <c r="F10" s="9">
        <v>0.21310000000000001</v>
      </c>
    </row>
    <row r="11" spans="1:14" x14ac:dyDescent="0.3">
      <c r="A11" s="4" t="s">
        <v>110</v>
      </c>
      <c r="B11">
        <v>2040</v>
      </c>
      <c r="C11" s="5">
        <v>296606.0002281497</v>
      </c>
      <c r="D11">
        <v>8</v>
      </c>
      <c r="E11" s="5">
        <v>4613.8108670343354</v>
      </c>
      <c r="F11" s="9">
        <v>0.12444281945706794</v>
      </c>
    </row>
    <row r="12" spans="1:14" x14ac:dyDescent="0.3">
      <c r="A12" s="4" t="s">
        <v>141</v>
      </c>
      <c r="C12" s="5">
        <v>47640</v>
      </c>
      <c r="E12" s="5"/>
      <c r="F12" s="9">
        <v>0.14799999999999999</v>
      </c>
    </row>
    <row r="13" spans="1:14" x14ac:dyDescent="0.3">
      <c r="A13" s="4" t="s">
        <v>148</v>
      </c>
      <c r="C13" s="5">
        <v>274173.7</v>
      </c>
      <c r="E13" s="5"/>
      <c r="F13" s="9">
        <v>0.16600000000000001</v>
      </c>
    </row>
    <row r="14" spans="1:14" x14ac:dyDescent="0.3">
      <c r="A14" s="4" t="s">
        <v>209</v>
      </c>
      <c r="B14">
        <v>500</v>
      </c>
      <c r="C14" s="5">
        <v>31631.687807500002</v>
      </c>
      <c r="D14">
        <v>2</v>
      </c>
      <c r="E14" s="5">
        <v>4194.0070287500002</v>
      </c>
      <c r="F14" s="9">
        <v>0.26517756841009188</v>
      </c>
    </row>
    <row r="15" spans="1:14" x14ac:dyDescent="0.3">
      <c r="A15" s="4" t="s">
        <v>109</v>
      </c>
      <c r="B15">
        <v>3760</v>
      </c>
      <c r="C15" s="5">
        <v>82620.000218724992</v>
      </c>
      <c r="D15">
        <v>3</v>
      </c>
      <c r="E15" s="5">
        <v>4073.6185145750001</v>
      </c>
      <c r="F15" s="9">
        <v>0.14791643078397457</v>
      </c>
    </row>
  </sheetData>
  <pageMargins left="0.7" right="0.7" top="0.75" bottom="0.75" header="0.3" footer="0.3"/>
  <pageSetup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K434"/>
  <sheetViews>
    <sheetView zoomScale="157" workbookViewId="0">
      <selection activeCell="K13" sqref="A6:K13"/>
    </sheetView>
  </sheetViews>
  <sheetFormatPr defaultColWidth="10.88671875" defaultRowHeight="17.25" x14ac:dyDescent="0.3"/>
  <cols>
    <col min="1" max="1" width="70.5546875" bestFit="1" customWidth="1"/>
    <col min="2" max="2" width="12" bestFit="1" customWidth="1"/>
    <col min="3" max="3" width="15.44140625" bestFit="1" customWidth="1"/>
    <col min="4" max="4" width="19.109375" bestFit="1" customWidth="1"/>
    <col min="5" max="5" width="19.6640625" bestFit="1" customWidth="1"/>
    <col min="6" max="6" width="13.44140625" bestFit="1" customWidth="1"/>
    <col min="7" max="7" width="19.109375" bestFit="1" customWidth="1"/>
    <col min="8" max="8" width="13.109375" bestFit="1" customWidth="1"/>
    <col min="9" max="9" width="15.109375" bestFit="1" customWidth="1"/>
    <col min="10" max="10" width="19.6640625" bestFit="1" customWidth="1"/>
    <col min="11" max="11" width="13.44140625" bestFit="1" customWidth="1"/>
    <col min="12" max="12" width="13.33203125" customWidth="1"/>
    <col min="13" max="14" width="11.44140625" bestFit="1" customWidth="1"/>
    <col min="15" max="15" width="15" bestFit="1" customWidth="1"/>
    <col min="16" max="16" width="10.33203125" bestFit="1" customWidth="1"/>
    <col min="17" max="17" width="13.44140625" bestFit="1" customWidth="1"/>
    <col min="18" max="18" width="25" bestFit="1" customWidth="1"/>
    <col min="19" max="19" width="9.88671875" bestFit="1" customWidth="1"/>
    <col min="20" max="21" width="9.33203125" bestFit="1" customWidth="1"/>
    <col min="22" max="22" width="13.6640625" bestFit="1" customWidth="1"/>
    <col min="23" max="23" width="9" bestFit="1" customWidth="1"/>
    <col min="24" max="24" width="12.44140625" bestFit="1" customWidth="1"/>
    <col min="25" max="25" width="11.88671875" bestFit="1" customWidth="1"/>
    <col min="26" max="26" width="16.44140625" bestFit="1" customWidth="1"/>
    <col min="27" max="27" width="13.109375" bestFit="1" customWidth="1"/>
    <col min="28" max="28" width="13.6640625" bestFit="1" customWidth="1"/>
    <col min="29" max="29" width="6" bestFit="1" customWidth="1"/>
    <col min="30" max="30" width="12.6640625" bestFit="1" customWidth="1"/>
    <col min="31" max="31" width="14.44140625" bestFit="1" customWidth="1"/>
    <col min="32" max="32" width="13.44140625" bestFit="1" customWidth="1"/>
    <col min="33" max="33" width="16" bestFit="1" customWidth="1"/>
    <col min="34" max="34" width="8.88671875" bestFit="1" customWidth="1"/>
    <col min="35" max="35" width="13.109375" bestFit="1" customWidth="1"/>
    <col min="36" max="36" width="12" bestFit="1" customWidth="1"/>
    <col min="37" max="37" width="15.109375" bestFit="1" customWidth="1"/>
    <col min="38" max="38" width="12.33203125" bestFit="1" customWidth="1"/>
    <col min="39" max="39" width="5.109375" bestFit="1" customWidth="1"/>
    <col min="40" max="40" width="14.6640625" bestFit="1" customWidth="1"/>
    <col min="41" max="41" width="11.33203125" bestFit="1" customWidth="1"/>
    <col min="42" max="42" width="6.6640625" bestFit="1" customWidth="1"/>
    <col min="43" max="43" width="15" bestFit="1" customWidth="1"/>
    <col min="44" max="44" width="10.33203125" bestFit="1" customWidth="1"/>
    <col min="45" max="45" width="13.44140625" bestFit="1" customWidth="1"/>
    <col min="46" max="46" width="25" bestFit="1" customWidth="1"/>
    <col min="47" max="47" width="9.88671875" bestFit="1" customWidth="1"/>
    <col min="48" max="49" width="9.33203125" bestFit="1" customWidth="1"/>
    <col min="50" max="50" width="13.6640625" bestFit="1" customWidth="1"/>
    <col min="51" max="51" width="9" bestFit="1" customWidth="1"/>
    <col min="52" max="52" width="12.44140625" bestFit="1" customWidth="1"/>
    <col min="53" max="53" width="11.88671875" bestFit="1" customWidth="1"/>
    <col min="54" max="54" width="16.44140625" bestFit="1" customWidth="1"/>
    <col min="55" max="55" width="13.109375" bestFit="1" customWidth="1"/>
    <col min="56" max="56" width="13.6640625" bestFit="1" customWidth="1"/>
    <col min="57" max="57" width="6" bestFit="1" customWidth="1"/>
    <col min="58" max="58" width="14.5546875" bestFit="1" customWidth="1"/>
    <col min="59" max="59" width="14.44140625" bestFit="1" customWidth="1"/>
    <col min="60" max="60" width="13.44140625" bestFit="1" customWidth="1"/>
    <col min="61" max="61" width="16" bestFit="1" customWidth="1"/>
    <col min="62" max="62" width="8.88671875" bestFit="1" customWidth="1"/>
    <col min="63" max="63" width="13.109375" bestFit="1" customWidth="1"/>
    <col min="64" max="64" width="12" bestFit="1" customWidth="1"/>
    <col min="65" max="65" width="15.109375" bestFit="1" customWidth="1"/>
    <col min="66" max="66" width="12.33203125" bestFit="1" customWidth="1"/>
    <col min="67" max="67" width="5.109375" bestFit="1" customWidth="1"/>
    <col min="68" max="68" width="14.6640625" bestFit="1" customWidth="1"/>
    <col min="69" max="69" width="11.33203125" bestFit="1" customWidth="1"/>
    <col min="70" max="70" width="6.6640625" bestFit="1" customWidth="1"/>
    <col min="71" max="71" width="15" bestFit="1" customWidth="1"/>
    <col min="72" max="72" width="10.33203125" bestFit="1" customWidth="1"/>
    <col min="73" max="73" width="13.44140625" bestFit="1" customWidth="1"/>
    <col min="74" max="74" width="25" bestFit="1" customWidth="1"/>
    <col min="75" max="75" width="9.88671875" bestFit="1" customWidth="1"/>
    <col min="78" max="78" width="13.6640625" bestFit="1" customWidth="1"/>
    <col min="79" max="79" width="9" bestFit="1" customWidth="1"/>
    <col min="80" max="80" width="12.44140625" bestFit="1" customWidth="1"/>
    <col min="81" max="81" width="11.88671875" bestFit="1" customWidth="1"/>
    <col min="82" max="82" width="16.44140625" bestFit="1" customWidth="1"/>
    <col min="83" max="83" width="13.109375" bestFit="1" customWidth="1"/>
    <col min="84" max="84" width="13.6640625" bestFit="1" customWidth="1"/>
    <col min="85" max="85" width="6" bestFit="1" customWidth="1"/>
    <col min="86" max="86" width="10.88671875" bestFit="1" customWidth="1"/>
    <col min="87" max="87" width="14.44140625" bestFit="1" customWidth="1"/>
    <col min="88" max="88" width="13.44140625" bestFit="1" customWidth="1"/>
    <col min="89" max="89" width="16" bestFit="1" customWidth="1"/>
    <col min="90" max="90" width="8.88671875" bestFit="1" customWidth="1"/>
    <col min="91" max="91" width="13.109375" bestFit="1" customWidth="1"/>
    <col min="92" max="92" width="12" bestFit="1" customWidth="1"/>
    <col min="93" max="93" width="15.109375" bestFit="1" customWidth="1"/>
    <col min="94" max="94" width="12.33203125" bestFit="1" customWidth="1"/>
    <col min="95" max="95" width="5.33203125" bestFit="1" customWidth="1"/>
    <col min="96" max="96" width="14.6640625" bestFit="1" customWidth="1"/>
    <col min="97" max="97" width="11.33203125" bestFit="1" customWidth="1"/>
    <col min="98" max="98" width="6.6640625" bestFit="1" customWidth="1"/>
    <col min="99" max="99" width="15" bestFit="1" customWidth="1"/>
    <col min="100" max="100" width="10.33203125" bestFit="1" customWidth="1"/>
    <col min="101" max="101" width="13.44140625" bestFit="1" customWidth="1"/>
    <col min="102" max="102" width="25" bestFit="1" customWidth="1"/>
    <col min="103" max="103" width="9.88671875" bestFit="1" customWidth="1"/>
    <col min="106" max="106" width="13.6640625" bestFit="1" customWidth="1"/>
    <col min="107" max="107" width="9" bestFit="1" customWidth="1"/>
    <col min="108" max="108" width="12.44140625" bestFit="1" customWidth="1"/>
    <col min="109" max="109" width="11.88671875" bestFit="1" customWidth="1"/>
    <col min="110" max="110" width="16.44140625" bestFit="1" customWidth="1"/>
    <col min="111" max="111" width="13.109375" bestFit="1" customWidth="1"/>
    <col min="112" max="112" width="13.6640625" bestFit="1" customWidth="1"/>
    <col min="113" max="113" width="6" bestFit="1" customWidth="1"/>
    <col min="114" max="114" width="19.33203125" bestFit="1" customWidth="1"/>
    <col min="115" max="115" width="14.44140625" bestFit="1" customWidth="1"/>
    <col min="116" max="116" width="13.44140625" bestFit="1" customWidth="1"/>
    <col min="117" max="117" width="16" bestFit="1" customWidth="1"/>
    <col min="118" max="118" width="8.88671875" bestFit="1" customWidth="1"/>
    <col min="119" max="119" width="13.109375" bestFit="1" customWidth="1"/>
    <col min="120" max="120" width="12" bestFit="1" customWidth="1"/>
    <col min="121" max="121" width="15.109375" bestFit="1" customWidth="1"/>
    <col min="122" max="122" width="12.33203125" bestFit="1" customWidth="1"/>
    <col min="123" max="123" width="5.109375" bestFit="1" customWidth="1"/>
    <col min="124" max="124" width="14.6640625" bestFit="1" customWidth="1"/>
    <col min="125" max="125" width="11.33203125" bestFit="1" customWidth="1"/>
    <col min="126" max="126" width="6.6640625" bestFit="1" customWidth="1"/>
    <col min="127" max="127" width="15" bestFit="1" customWidth="1"/>
    <col min="128" max="128" width="10.33203125" bestFit="1" customWidth="1"/>
    <col min="129" max="129" width="13.44140625" bestFit="1" customWidth="1"/>
    <col min="130" max="130" width="25" bestFit="1" customWidth="1"/>
    <col min="131" max="131" width="9.88671875" bestFit="1" customWidth="1"/>
    <col min="134" max="134" width="13.6640625" bestFit="1" customWidth="1"/>
    <col min="135" max="135" width="9" bestFit="1" customWidth="1"/>
    <col min="136" max="136" width="12.44140625" bestFit="1" customWidth="1"/>
    <col min="137" max="137" width="11.88671875" bestFit="1" customWidth="1"/>
    <col min="138" max="138" width="16.44140625" bestFit="1" customWidth="1"/>
    <col min="139" max="139" width="13.109375" bestFit="1" customWidth="1"/>
    <col min="140" max="140" width="13.6640625" bestFit="1" customWidth="1"/>
    <col min="141" max="141" width="6" bestFit="1" customWidth="1"/>
    <col min="142" max="142" width="29.44140625" bestFit="1" customWidth="1"/>
    <col min="143" max="143" width="14.44140625" bestFit="1" customWidth="1"/>
    <col min="144" max="144" width="13.44140625" bestFit="1" customWidth="1"/>
    <col min="145" max="145" width="16" bestFit="1" customWidth="1"/>
    <col min="146" max="146" width="8.88671875" bestFit="1" customWidth="1"/>
    <col min="147" max="147" width="13.109375" bestFit="1" customWidth="1"/>
    <col min="148" max="148" width="12" bestFit="1" customWidth="1"/>
    <col min="149" max="149" width="15.109375" bestFit="1" customWidth="1"/>
    <col min="150" max="150" width="12.33203125" bestFit="1" customWidth="1"/>
    <col min="151" max="151" width="5.33203125" bestFit="1" customWidth="1"/>
    <col min="152" max="152" width="14.6640625" bestFit="1" customWidth="1"/>
    <col min="153" max="153" width="11.33203125" bestFit="1" customWidth="1"/>
    <col min="154" max="154" width="6.6640625" bestFit="1" customWidth="1"/>
    <col min="155" max="155" width="15" bestFit="1" customWidth="1"/>
    <col min="156" max="156" width="10.33203125" bestFit="1" customWidth="1"/>
    <col min="157" max="157" width="13.44140625" bestFit="1" customWidth="1"/>
    <col min="158" max="158" width="25" bestFit="1" customWidth="1"/>
    <col min="159" max="159" width="9.88671875" bestFit="1" customWidth="1"/>
    <col min="162" max="162" width="13.6640625" bestFit="1" customWidth="1"/>
    <col min="163" max="163" width="9" bestFit="1" customWidth="1"/>
    <col min="164" max="164" width="12.44140625" bestFit="1" customWidth="1"/>
    <col min="165" max="165" width="11.88671875" bestFit="1" customWidth="1"/>
    <col min="166" max="166" width="16.44140625" bestFit="1" customWidth="1"/>
    <col min="167" max="167" width="13.109375" bestFit="1" customWidth="1"/>
    <col min="168" max="168" width="13.6640625" bestFit="1" customWidth="1"/>
    <col min="169" max="169" width="6" bestFit="1" customWidth="1"/>
    <col min="170" max="170" width="23" bestFit="1" customWidth="1"/>
    <col min="171" max="171" width="14.44140625" bestFit="1" customWidth="1"/>
    <col min="172" max="172" width="13.44140625" bestFit="1" customWidth="1"/>
    <col min="173" max="173" width="16" bestFit="1" customWidth="1"/>
    <col min="174" max="174" width="9.5546875" bestFit="1" customWidth="1"/>
    <col min="175" max="175" width="13.109375" bestFit="1" customWidth="1"/>
    <col min="176" max="176" width="12" bestFit="1" customWidth="1"/>
    <col min="177" max="177" width="15.109375" bestFit="1" customWidth="1"/>
    <col min="178" max="178" width="12.33203125" bestFit="1" customWidth="1"/>
    <col min="179" max="179" width="10.44140625" bestFit="1" customWidth="1"/>
    <col min="180" max="180" width="14.6640625" bestFit="1" customWidth="1"/>
    <col min="181" max="181" width="11.33203125" bestFit="1" customWidth="1"/>
    <col min="182" max="182" width="10.44140625" bestFit="1" customWidth="1"/>
    <col min="183" max="183" width="15" bestFit="1" customWidth="1"/>
    <col min="184" max="184" width="10.44140625" bestFit="1" customWidth="1"/>
    <col min="185" max="185" width="13.44140625" bestFit="1" customWidth="1"/>
    <col min="186" max="186" width="25" bestFit="1" customWidth="1"/>
    <col min="187" max="188" width="10.44140625" bestFit="1" customWidth="1"/>
    <col min="189" max="189" width="9.5546875" bestFit="1" customWidth="1"/>
    <col min="190" max="190" width="13.6640625" bestFit="1" customWidth="1"/>
    <col min="191" max="191" width="10.44140625" bestFit="1" customWidth="1"/>
    <col min="192" max="192" width="12.44140625" bestFit="1" customWidth="1"/>
    <col min="193" max="193" width="11.88671875" bestFit="1" customWidth="1"/>
    <col min="194" max="194" width="16.44140625" bestFit="1" customWidth="1"/>
    <col min="195" max="195" width="13.109375" bestFit="1" customWidth="1"/>
    <col min="196" max="196" width="13.6640625" bestFit="1" customWidth="1"/>
    <col min="197" max="197" width="6" bestFit="1" customWidth="1"/>
    <col min="198" max="198" width="11.5546875" bestFit="1" customWidth="1"/>
    <col min="199" max="199" width="14.44140625" bestFit="1" customWidth="1"/>
    <col min="200" max="200" width="13.44140625" bestFit="1" customWidth="1"/>
    <col min="201" max="201" width="16" bestFit="1" customWidth="1"/>
    <col min="202" max="202" width="10.44140625" bestFit="1" customWidth="1"/>
    <col min="203" max="203" width="13.109375" bestFit="1" customWidth="1"/>
    <col min="204" max="204" width="12" bestFit="1" customWidth="1"/>
    <col min="205" max="205" width="15.109375" bestFit="1" customWidth="1"/>
    <col min="206" max="206" width="12.33203125" bestFit="1" customWidth="1"/>
    <col min="207" max="207" width="10.44140625" bestFit="1" customWidth="1"/>
    <col min="208" max="208" width="14.6640625" bestFit="1" customWidth="1"/>
    <col min="209" max="209" width="11.33203125" bestFit="1" customWidth="1"/>
    <col min="210" max="210" width="10.44140625" bestFit="1" customWidth="1"/>
    <col min="211" max="211" width="15" bestFit="1" customWidth="1"/>
    <col min="212" max="212" width="10.44140625" bestFit="1" customWidth="1"/>
    <col min="213" max="213" width="13.44140625" bestFit="1" customWidth="1"/>
    <col min="214" max="214" width="25" bestFit="1" customWidth="1"/>
    <col min="215" max="216" width="10.44140625" bestFit="1" customWidth="1"/>
    <col min="218" max="218" width="13.6640625" bestFit="1" customWidth="1"/>
    <col min="219" max="219" width="10.44140625" bestFit="1" customWidth="1"/>
    <col min="220" max="220" width="12.44140625" bestFit="1" customWidth="1"/>
    <col min="221" max="221" width="11.88671875" bestFit="1" customWidth="1"/>
    <col min="222" max="222" width="16.44140625" bestFit="1" customWidth="1"/>
    <col min="223" max="223" width="13.109375" bestFit="1" customWidth="1"/>
    <col min="224" max="224" width="13.6640625" bestFit="1" customWidth="1"/>
    <col min="225" max="225" width="6" bestFit="1" customWidth="1"/>
    <col min="226" max="226" width="13.33203125" bestFit="1" customWidth="1"/>
    <col min="227" max="227" width="14.44140625" bestFit="1" customWidth="1"/>
    <col min="228" max="228" width="13.44140625" bestFit="1" customWidth="1"/>
    <col min="229" max="229" width="16" bestFit="1" customWidth="1"/>
    <col min="230" max="230" width="8.88671875" bestFit="1" customWidth="1"/>
    <col min="231" max="231" width="13.109375" bestFit="1" customWidth="1"/>
    <col min="232" max="232" width="12" bestFit="1" customWidth="1"/>
    <col min="233" max="233" width="15.109375" bestFit="1" customWidth="1"/>
    <col min="234" max="234" width="12.33203125" bestFit="1" customWidth="1"/>
    <col min="235" max="235" width="6.109375" bestFit="1" customWidth="1"/>
    <col min="236" max="236" width="14.6640625" bestFit="1" customWidth="1"/>
    <col min="237" max="237" width="11.33203125" bestFit="1" customWidth="1"/>
    <col min="238" max="238" width="6.6640625" bestFit="1" customWidth="1"/>
    <col min="239" max="239" width="15" bestFit="1" customWidth="1"/>
    <col min="240" max="240" width="10.33203125" bestFit="1" customWidth="1"/>
    <col min="241" max="241" width="13.44140625" bestFit="1" customWidth="1"/>
    <col min="242" max="242" width="25" bestFit="1" customWidth="1"/>
    <col min="243" max="243" width="9.88671875" bestFit="1" customWidth="1"/>
    <col min="246" max="246" width="13.6640625" bestFit="1" customWidth="1"/>
    <col min="247" max="247" width="9" bestFit="1" customWidth="1"/>
    <col min="248" max="248" width="12.44140625" bestFit="1" customWidth="1"/>
    <col min="249" max="249" width="11.88671875" bestFit="1" customWidth="1"/>
    <col min="250" max="250" width="16.44140625" bestFit="1" customWidth="1"/>
    <col min="251" max="251" width="13.109375" bestFit="1" customWidth="1"/>
    <col min="252" max="252" width="13.6640625" bestFit="1" customWidth="1"/>
    <col min="253" max="253" width="6" bestFit="1" customWidth="1"/>
    <col min="254" max="254" width="16.6640625" bestFit="1" customWidth="1"/>
    <col min="255" max="255" width="14.44140625" bestFit="1" customWidth="1"/>
    <col min="256" max="256" width="13.44140625" bestFit="1" customWidth="1"/>
    <col min="257" max="257" width="16" bestFit="1" customWidth="1"/>
    <col min="258" max="258" width="10.44140625" bestFit="1" customWidth="1"/>
    <col min="259" max="259" width="13.109375" bestFit="1" customWidth="1"/>
    <col min="260" max="260" width="12" bestFit="1" customWidth="1"/>
    <col min="261" max="261" width="15.109375" bestFit="1" customWidth="1"/>
    <col min="262" max="262" width="12.33203125" bestFit="1" customWidth="1"/>
    <col min="263" max="263" width="10.44140625" bestFit="1" customWidth="1"/>
    <col min="264" max="264" width="14.6640625" bestFit="1" customWidth="1"/>
    <col min="265" max="265" width="11.33203125" bestFit="1" customWidth="1"/>
    <col min="266" max="266" width="10.44140625" bestFit="1" customWidth="1"/>
    <col min="267" max="267" width="15" bestFit="1" customWidth="1"/>
    <col min="268" max="268" width="10.44140625" bestFit="1" customWidth="1"/>
    <col min="269" max="269" width="13.44140625" bestFit="1" customWidth="1"/>
    <col min="270" max="270" width="25" bestFit="1" customWidth="1"/>
    <col min="271" max="272" width="10.44140625" bestFit="1" customWidth="1"/>
    <col min="273" max="273" width="9.5546875" bestFit="1" customWidth="1"/>
    <col min="274" max="274" width="13.6640625" bestFit="1" customWidth="1"/>
    <col min="275" max="275" width="10.44140625" bestFit="1" customWidth="1"/>
    <col min="276" max="276" width="12.44140625" bestFit="1" customWidth="1"/>
    <col min="277" max="277" width="11.88671875" bestFit="1" customWidth="1"/>
    <col min="278" max="278" width="16.44140625" bestFit="1" customWidth="1"/>
    <col min="279" max="279" width="13.109375" bestFit="1" customWidth="1"/>
    <col min="280" max="280" width="13.6640625" bestFit="1" customWidth="1"/>
    <col min="281" max="281" width="6" bestFit="1" customWidth="1"/>
    <col min="282" max="282" width="12.6640625" bestFit="1" customWidth="1"/>
    <col min="283" max="283" width="14.44140625" bestFit="1" customWidth="1"/>
    <col min="284" max="284" width="13.44140625" bestFit="1" customWidth="1"/>
    <col min="285" max="285" width="16" bestFit="1" customWidth="1"/>
    <col min="286" max="286" width="8.88671875" bestFit="1" customWidth="1"/>
    <col min="287" max="287" width="13.109375" bestFit="1" customWidth="1"/>
    <col min="288" max="288" width="12" bestFit="1" customWidth="1"/>
    <col min="289" max="289" width="15.109375" bestFit="1" customWidth="1"/>
    <col min="290" max="290" width="12.33203125" bestFit="1" customWidth="1"/>
    <col min="291" max="291" width="5.109375" bestFit="1" customWidth="1"/>
    <col min="292" max="292" width="14.6640625" bestFit="1" customWidth="1"/>
    <col min="293" max="293" width="11.33203125" bestFit="1" customWidth="1"/>
    <col min="294" max="294" width="6.6640625" bestFit="1" customWidth="1"/>
    <col min="295" max="295" width="15" bestFit="1" customWidth="1"/>
    <col min="296" max="296" width="10.33203125" bestFit="1" customWidth="1"/>
    <col min="297" max="297" width="13.44140625" bestFit="1" customWidth="1"/>
    <col min="298" max="298" width="25" bestFit="1" customWidth="1"/>
    <col min="299" max="299" width="9.88671875" bestFit="1" customWidth="1"/>
    <col min="302" max="302" width="13.6640625" bestFit="1" customWidth="1"/>
    <col min="303" max="303" width="9" bestFit="1" customWidth="1"/>
    <col min="304" max="304" width="12.44140625" bestFit="1" customWidth="1"/>
    <col min="305" max="305" width="11.88671875" bestFit="1" customWidth="1"/>
    <col min="306" max="306" width="16.44140625" bestFit="1" customWidth="1"/>
    <col min="307" max="307" width="13.109375" bestFit="1" customWidth="1"/>
    <col min="308" max="308" width="13.6640625" bestFit="1" customWidth="1"/>
    <col min="309" max="309" width="6" bestFit="1" customWidth="1"/>
    <col min="310" max="310" width="16.88671875" bestFit="1" customWidth="1"/>
    <col min="311" max="311" width="14.44140625" bestFit="1" customWidth="1"/>
    <col min="312" max="312" width="13.44140625" bestFit="1" customWidth="1"/>
    <col min="313" max="313" width="16" bestFit="1" customWidth="1"/>
    <col min="314" max="314" width="10.44140625" bestFit="1" customWidth="1"/>
    <col min="315" max="315" width="13.109375" bestFit="1" customWidth="1"/>
    <col min="316" max="316" width="12" bestFit="1" customWidth="1"/>
    <col min="317" max="317" width="15.109375" bestFit="1" customWidth="1"/>
    <col min="318" max="318" width="12.33203125" bestFit="1" customWidth="1"/>
    <col min="319" max="319" width="10.44140625" bestFit="1" customWidth="1"/>
    <col min="320" max="320" width="14.6640625" bestFit="1" customWidth="1"/>
    <col min="321" max="321" width="11.33203125" bestFit="1" customWidth="1"/>
    <col min="322" max="322" width="10.44140625" bestFit="1" customWidth="1"/>
    <col min="323" max="323" width="15" bestFit="1" customWidth="1"/>
    <col min="324" max="324" width="10.44140625" bestFit="1" customWidth="1"/>
    <col min="325" max="325" width="13.44140625" bestFit="1" customWidth="1"/>
    <col min="326" max="326" width="25" bestFit="1" customWidth="1"/>
    <col min="327" max="328" width="10.44140625" bestFit="1" customWidth="1"/>
    <col min="329" max="329" width="9.5546875" bestFit="1" customWidth="1"/>
    <col min="330" max="330" width="13.6640625" bestFit="1" customWidth="1"/>
    <col min="331" max="331" width="10.44140625" bestFit="1" customWidth="1"/>
    <col min="332" max="332" width="12.44140625" bestFit="1" customWidth="1"/>
    <col min="333" max="333" width="11.88671875" bestFit="1" customWidth="1"/>
    <col min="334" max="334" width="16.44140625" bestFit="1" customWidth="1"/>
    <col min="335" max="335" width="13.109375" bestFit="1" customWidth="1"/>
    <col min="336" max="336" width="13.6640625" bestFit="1" customWidth="1"/>
    <col min="337" max="337" width="6" bestFit="1" customWidth="1"/>
    <col min="338" max="338" width="11.44140625" bestFit="1" customWidth="1"/>
    <col min="339" max="339" width="14.44140625" bestFit="1" customWidth="1"/>
    <col min="340" max="340" width="13.44140625" bestFit="1" customWidth="1"/>
    <col min="341" max="341" width="16" bestFit="1" customWidth="1"/>
    <col min="342" max="342" width="10.44140625" bestFit="1" customWidth="1"/>
    <col min="343" max="343" width="13.109375" bestFit="1" customWidth="1"/>
    <col min="344" max="344" width="12" bestFit="1" customWidth="1"/>
    <col min="345" max="345" width="15.109375" bestFit="1" customWidth="1"/>
    <col min="346" max="346" width="12.33203125" bestFit="1" customWidth="1"/>
    <col min="347" max="347" width="10.44140625" bestFit="1" customWidth="1"/>
    <col min="348" max="348" width="14.6640625" bestFit="1" customWidth="1"/>
    <col min="349" max="349" width="11.33203125" bestFit="1" customWidth="1"/>
    <col min="350" max="350" width="10.44140625" bestFit="1" customWidth="1"/>
    <col min="351" max="351" width="15" bestFit="1" customWidth="1"/>
    <col min="352" max="352" width="10.44140625" bestFit="1" customWidth="1"/>
    <col min="353" max="353" width="13.44140625" bestFit="1" customWidth="1"/>
    <col min="354" max="354" width="25" bestFit="1" customWidth="1"/>
    <col min="355" max="356" width="10.44140625" bestFit="1" customWidth="1"/>
    <col min="357" max="357" width="9.5546875" bestFit="1" customWidth="1"/>
    <col min="358" max="358" width="13.6640625" bestFit="1" customWidth="1"/>
    <col min="359" max="359" width="10.44140625" bestFit="1" customWidth="1"/>
    <col min="360" max="360" width="12.44140625" bestFit="1" customWidth="1"/>
    <col min="361" max="361" width="11.88671875" bestFit="1" customWidth="1"/>
    <col min="362" max="362" width="16.44140625" bestFit="1" customWidth="1"/>
    <col min="363" max="363" width="13.109375" bestFit="1" customWidth="1"/>
    <col min="364" max="364" width="13.6640625" bestFit="1" customWidth="1"/>
    <col min="365" max="365" width="6" bestFit="1" customWidth="1"/>
    <col min="366" max="366" width="13.6640625" bestFit="1" customWidth="1"/>
    <col min="367" max="367" width="16.88671875" bestFit="1" customWidth="1"/>
    <col min="368" max="368" width="18.6640625" bestFit="1" customWidth="1"/>
    <col min="369" max="369" width="15" bestFit="1" customWidth="1"/>
    <col min="370" max="370" width="23.44140625" bestFit="1" customWidth="1"/>
    <col min="371" max="371" width="33.5546875" bestFit="1" customWidth="1"/>
    <col min="372" max="372" width="27" bestFit="1" customWidth="1"/>
    <col min="373" max="373" width="15.6640625" bestFit="1" customWidth="1"/>
    <col min="374" max="374" width="17.44140625" bestFit="1" customWidth="1"/>
    <col min="375" max="375" width="20.88671875" bestFit="1" customWidth="1"/>
    <col min="376" max="376" width="16.88671875" bestFit="1" customWidth="1"/>
    <col min="377" max="377" width="21" bestFit="1" customWidth="1"/>
    <col min="378" max="378" width="15.5546875" bestFit="1" customWidth="1"/>
  </cols>
  <sheetData>
    <row r="3" spans="1:11" x14ac:dyDescent="0.3">
      <c r="A3" s="2" t="s">
        <v>1</v>
      </c>
      <c r="B3" t="s">
        <v>29</v>
      </c>
    </row>
    <row r="4" spans="1:11" x14ac:dyDescent="0.3">
      <c r="A4" s="2" t="s">
        <v>160</v>
      </c>
      <c r="B4" t="s">
        <v>217</v>
      </c>
    </row>
    <row r="5" spans="1:11" x14ac:dyDescent="0.3">
      <c r="A5" s="2" t="s">
        <v>4</v>
      </c>
      <c r="B5" t="s">
        <v>217</v>
      </c>
    </row>
    <row r="6" spans="1:11" x14ac:dyDescent="0.3">
      <c r="B6" t="s">
        <v>328</v>
      </c>
      <c r="C6" t="s">
        <v>329</v>
      </c>
      <c r="D6" t="s">
        <v>330</v>
      </c>
      <c r="E6" t="s">
        <v>331</v>
      </c>
      <c r="F6" t="s">
        <v>332</v>
      </c>
      <c r="G6" t="s">
        <v>333</v>
      </c>
      <c r="H6" t="s">
        <v>334</v>
      </c>
      <c r="I6" t="s">
        <v>335</v>
      </c>
      <c r="J6" t="s">
        <v>336</v>
      </c>
      <c r="K6" t="s">
        <v>337</v>
      </c>
    </row>
    <row r="7" spans="1:11" hidden="1" x14ac:dyDescent="0.3">
      <c r="A7" s="2" t="s">
        <v>32</v>
      </c>
      <c r="B7" t="s">
        <v>213</v>
      </c>
      <c r="C7" t="s">
        <v>214</v>
      </c>
      <c r="D7" t="s">
        <v>34</v>
      </c>
      <c r="E7" t="s">
        <v>215</v>
      </c>
      <c r="F7" t="s">
        <v>216</v>
      </c>
    </row>
    <row r="8" spans="1:11" x14ac:dyDescent="0.3">
      <c r="A8" s="3" t="s">
        <v>89</v>
      </c>
      <c r="D8" s="5"/>
      <c r="E8" s="5"/>
      <c r="F8" s="9"/>
    </row>
    <row r="9" spans="1:11" x14ac:dyDescent="0.3">
      <c r="A9" s="4" t="s">
        <v>189</v>
      </c>
      <c r="B9">
        <v>1000</v>
      </c>
      <c r="C9">
        <v>6</v>
      </c>
      <c r="D9" s="5">
        <v>133156.00069650001</v>
      </c>
      <c r="E9" s="5">
        <v>5151.3064077500003</v>
      </c>
      <c r="F9" s="9">
        <v>0.23211750341576917</v>
      </c>
    </row>
    <row r="10" spans="1:11" x14ac:dyDescent="0.3">
      <c r="A10" s="4" t="s">
        <v>46</v>
      </c>
      <c r="B10">
        <v>12863</v>
      </c>
      <c r="C10">
        <v>13</v>
      </c>
      <c r="D10" s="5">
        <v>552969.59</v>
      </c>
      <c r="E10" s="5">
        <v>4663</v>
      </c>
      <c r="F10" s="9">
        <v>0.1096</v>
      </c>
    </row>
    <row r="11" spans="1:11" x14ac:dyDescent="0.3">
      <c r="A11" s="4" t="s">
        <v>158</v>
      </c>
      <c r="B11">
        <v>465</v>
      </c>
      <c r="C11">
        <v>2</v>
      </c>
      <c r="D11" s="5">
        <v>47810.002892000004</v>
      </c>
      <c r="E11" s="5">
        <v>4031.254946</v>
      </c>
      <c r="F11" s="9">
        <v>0.16863646526465889</v>
      </c>
    </row>
    <row r="12" spans="1:11" x14ac:dyDescent="0.3">
      <c r="A12" s="4" t="s">
        <v>69</v>
      </c>
      <c r="B12">
        <v>13549</v>
      </c>
      <c r="C12">
        <v>14</v>
      </c>
      <c r="D12" s="5">
        <v>1150000</v>
      </c>
      <c r="E12" s="5">
        <v>6535</v>
      </c>
      <c r="F12" s="9">
        <v>9.0899999999999995E-2</v>
      </c>
    </row>
    <row r="13" spans="1:11" x14ac:dyDescent="0.3">
      <c r="A13" s="4" t="s">
        <v>60</v>
      </c>
      <c r="B13">
        <v>8863</v>
      </c>
      <c r="C13">
        <v>8</v>
      </c>
      <c r="D13" s="5">
        <v>353665</v>
      </c>
      <c r="E13" s="5">
        <v>7163</v>
      </c>
      <c r="F13" s="9">
        <v>0.16200000000000001</v>
      </c>
    </row>
    <row r="14" spans="1:11" x14ac:dyDescent="0.3">
      <c r="A14" s="4" t="s">
        <v>125</v>
      </c>
      <c r="B14">
        <v>2800</v>
      </c>
      <c r="C14">
        <v>3</v>
      </c>
      <c r="D14" s="5">
        <v>54753</v>
      </c>
      <c r="E14" s="5">
        <v>2333.3333333333335</v>
      </c>
      <c r="F14" s="9">
        <v>0.12784687597026648</v>
      </c>
    </row>
    <row r="15" spans="1:11" x14ac:dyDescent="0.3">
      <c r="A15" s="4" t="s">
        <v>80</v>
      </c>
      <c r="C15">
        <v>10</v>
      </c>
      <c r="D15" s="5">
        <v>279540</v>
      </c>
      <c r="E15" s="5">
        <v>5553</v>
      </c>
      <c r="F15" s="9">
        <v>0.1986</v>
      </c>
    </row>
    <row r="16" spans="1:11" x14ac:dyDescent="0.3">
      <c r="A16" s="4" t="s">
        <v>134</v>
      </c>
      <c r="B16">
        <v>2623</v>
      </c>
      <c r="C16">
        <v>8</v>
      </c>
      <c r="D16" s="5">
        <v>291889.24156140001</v>
      </c>
      <c r="E16" s="5">
        <v>4753.1851951749995</v>
      </c>
      <c r="F16" s="9">
        <v>0.13027366599053358</v>
      </c>
    </row>
    <row r="17" spans="1:6" x14ac:dyDescent="0.3">
      <c r="A17" s="4" t="s">
        <v>106</v>
      </c>
      <c r="B17">
        <v>4000</v>
      </c>
      <c r="C17">
        <v>12</v>
      </c>
      <c r="D17" s="5">
        <v>1000000</v>
      </c>
      <c r="E17" s="5">
        <v>5846.3777721600009</v>
      </c>
      <c r="F17" s="9">
        <v>0.1</v>
      </c>
    </row>
    <row r="18" spans="1:6" x14ac:dyDescent="0.3">
      <c r="A18" s="4" t="s">
        <v>91</v>
      </c>
      <c r="B18">
        <v>6000</v>
      </c>
      <c r="C18">
        <v>16</v>
      </c>
      <c r="D18" s="5">
        <v>1644513</v>
      </c>
      <c r="E18" s="5">
        <v>8002</v>
      </c>
      <c r="F18" s="9">
        <v>6.8099999999999994E-2</v>
      </c>
    </row>
    <row r="19" spans="1:6" x14ac:dyDescent="0.3">
      <c r="A19" s="4" t="s">
        <v>53</v>
      </c>
      <c r="B19">
        <v>3312</v>
      </c>
      <c r="C19">
        <v>4</v>
      </c>
      <c r="D19" s="5">
        <v>124570.02</v>
      </c>
      <c r="E19" s="5">
        <v>4527</v>
      </c>
      <c r="F19" s="9">
        <v>0.1454</v>
      </c>
    </row>
    <row r="20" spans="1:6" x14ac:dyDescent="0.3">
      <c r="A20" s="4" t="s">
        <v>55</v>
      </c>
      <c r="B20">
        <v>3000</v>
      </c>
      <c r="C20">
        <v>2</v>
      </c>
      <c r="D20" s="5">
        <v>36936.47</v>
      </c>
      <c r="E20" s="5">
        <v>4126</v>
      </c>
      <c r="F20" s="9">
        <v>0.22339999999999999</v>
      </c>
    </row>
    <row r="21" spans="1:6" x14ac:dyDescent="0.3">
      <c r="A21" s="4" t="s">
        <v>257</v>
      </c>
      <c r="B21">
        <v>2100</v>
      </c>
      <c r="C21">
        <v>5</v>
      </c>
      <c r="D21" s="5">
        <v>112079.10049349999</v>
      </c>
      <c r="E21" s="5">
        <v>5033.5200940000004</v>
      </c>
      <c r="F21" s="9">
        <v>0.23577973393025731</v>
      </c>
    </row>
    <row r="22" spans="1:6" x14ac:dyDescent="0.3">
      <c r="A22" s="4" t="s">
        <v>136</v>
      </c>
      <c r="D22" s="5">
        <v>232018</v>
      </c>
      <c r="E22" s="5"/>
      <c r="F22" s="9">
        <v>0.1215</v>
      </c>
    </row>
    <row r="23" spans="1:6" x14ac:dyDescent="0.3">
      <c r="A23" s="4" t="s">
        <v>131</v>
      </c>
      <c r="B23">
        <v>6295</v>
      </c>
      <c r="C23">
        <v>12</v>
      </c>
      <c r="D23" s="5">
        <v>835849.99593021302</v>
      </c>
      <c r="E23" s="5">
        <v>5189.1998750177081</v>
      </c>
      <c r="F23" s="9">
        <v>7.7950051721164967E-2</v>
      </c>
    </row>
    <row r="24" spans="1:6" x14ac:dyDescent="0.3">
      <c r="A24" s="4" t="s">
        <v>201</v>
      </c>
      <c r="B24">
        <v>13720</v>
      </c>
      <c r="C24">
        <v>27</v>
      </c>
      <c r="D24" s="5">
        <v>1573035.8770409725</v>
      </c>
      <c r="E24" s="5">
        <v>5495.3700924398145</v>
      </c>
      <c r="F24" s="9">
        <v>9.4951226717686729E-2</v>
      </c>
    </row>
    <row r="25" spans="1:6" x14ac:dyDescent="0.3">
      <c r="A25" s="4" t="s">
        <v>162</v>
      </c>
      <c r="B25">
        <v>800</v>
      </c>
      <c r="C25">
        <v>6</v>
      </c>
      <c r="D25" s="5">
        <v>99798.002146400002</v>
      </c>
      <c r="E25" s="5">
        <v>3489.088591066667</v>
      </c>
      <c r="F25" s="9">
        <v>0.2097690444312684</v>
      </c>
    </row>
    <row r="26" spans="1:6" x14ac:dyDescent="0.3">
      <c r="A26" s="4" t="s">
        <v>120</v>
      </c>
      <c r="B26">
        <v>4000</v>
      </c>
      <c r="D26" s="5">
        <v>132162.07999999999</v>
      </c>
      <c r="E26" s="5"/>
      <c r="F26" s="9">
        <v>0.15</v>
      </c>
    </row>
    <row r="27" spans="1:6" x14ac:dyDescent="0.3">
      <c r="A27" s="4" t="s">
        <v>78</v>
      </c>
      <c r="C27">
        <v>14</v>
      </c>
      <c r="D27" s="5">
        <v>800000</v>
      </c>
      <c r="E27" s="5">
        <v>7010</v>
      </c>
      <c r="F27" s="9">
        <v>0.12</v>
      </c>
    </row>
    <row r="28" spans="1:6" x14ac:dyDescent="0.3">
      <c r="A28" s="4" t="s">
        <v>77</v>
      </c>
      <c r="C28">
        <v>8</v>
      </c>
      <c r="D28" s="5">
        <v>300000</v>
      </c>
      <c r="E28" s="5">
        <v>4812.5</v>
      </c>
      <c r="F28" s="9">
        <v>0.128</v>
      </c>
    </row>
    <row r="29" spans="1:6" x14ac:dyDescent="0.3">
      <c r="A29" s="4" t="s">
        <v>117</v>
      </c>
      <c r="B29">
        <v>500</v>
      </c>
      <c r="C29">
        <v>6</v>
      </c>
      <c r="D29" s="5">
        <v>154318.95012990001</v>
      </c>
      <c r="E29" s="5">
        <v>5310.5319644833335</v>
      </c>
      <c r="F29" s="9">
        <v>0.20647620891717275</v>
      </c>
    </row>
    <row r="30" spans="1:6" x14ac:dyDescent="0.3">
      <c r="A30" s="4" t="s">
        <v>176</v>
      </c>
      <c r="B30">
        <v>1080</v>
      </c>
      <c r="C30">
        <v>2</v>
      </c>
      <c r="D30" s="5">
        <v>80741.763344250008</v>
      </c>
      <c r="E30" s="5">
        <v>1386.0249221250003</v>
      </c>
      <c r="F30" s="9">
        <v>3.4332292600932041E-2</v>
      </c>
    </row>
    <row r="31" spans="1:6" x14ac:dyDescent="0.3">
      <c r="A31" s="4" t="s">
        <v>44</v>
      </c>
      <c r="B31">
        <v>1534</v>
      </c>
      <c r="C31">
        <v>7</v>
      </c>
      <c r="D31" s="5">
        <v>199241</v>
      </c>
      <c r="E31" s="5">
        <v>3726</v>
      </c>
      <c r="F31" s="9">
        <v>0.13089999999999999</v>
      </c>
    </row>
    <row r="32" spans="1:6" x14ac:dyDescent="0.3">
      <c r="A32" s="4" t="s">
        <v>203</v>
      </c>
      <c r="B32">
        <v>4250</v>
      </c>
      <c r="C32">
        <v>6</v>
      </c>
      <c r="D32" s="5">
        <v>172995.99622999999</v>
      </c>
      <c r="E32" s="5">
        <v>5353.3327049999998</v>
      </c>
      <c r="F32" s="9">
        <v>0.18566901506377134</v>
      </c>
    </row>
    <row r="33" spans="1:6" x14ac:dyDescent="0.3">
      <c r="A33" s="4" t="s">
        <v>174</v>
      </c>
      <c r="B33">
        <v>5855</v>
      </c>
      <c r="C33">
        <v>13</v>
      </c>
      <c r="D33" s="5">
        <v>887800.99927816004</v>
      </c>
      <c r="E33" s="5">
        <v>6034.3245598584608</v>
      </c>
      <c r="F33" s="9">
        <v>8.8360138524220935E-2</v>
      </c>
    </row>
    <row r="34" spans="1:6" x14ac:dyDescent="0.3">
      <c r="A34" s="4" t="s">
        <v>52</v>
      </c>
      <c r="B34">
        <v>1900</v>
      </c>
      <c r="C34">
        <v>6</v>
      </c>
      <c r="D34" s="5">
        <v>186620.81</v>
      </c>
      <c r="E34" s="5">
        <v>4327.4399999999996</v>
      </c>
      <c r="F34" s="9">
        <v>0.1391</v>
      </c>
    </row>
    <row r="35" spans="1:6" x14ac:dyDescent="0.3">
      <c r="A35" s="4" t="s">
        <v>118</v>
      </c>
      <c r="B35">
        <v>6984</v>
      </c>
      <c r="C35">
        <v>20</v>
      </c>
      <c r="D35" s="5">
        <v>1522574.4641886598</v>
      </c>
      <c r="E35" s="5">
        <v>10307.371588391574</v>
      </c>
      <c r="F35" s="9">
        <v>0.13539398999291771</v>
      </c>
    </row>
    <row r="36" spans="1:6" x14ac:dyDescent="0.3">
      <c r="A36" s="4" t="s">
        <v>173</v>
      </c>
      <c r="B36">
        <v>3650</v>
      </c>
      <c r="C36">
        <v>8</v>
      </c>
      <c r="D36" s="5">
        <v>293313.26082696003</v>
      </c>
      <c r="E36" s="5">
        <v>5254.8755596200008</v>
      </c>
      <c r="F36" s="9">
        <v>0.14332459554824181</v>
      </c>
    </row>
    <row r="37" spans="1:6" x14ac:dyDescent="0.3">
      <c r="A37" s="4" t="s">
        <v>191</v>
      </c>
      <c r="B37">
        <v>10000</v>
      </c>
      <c r="C37">
        <v>4</v>
      </c>
      <c r="D37" s="5">
        <v>133446.7979838</v>
      </c>
      <c r="E37" s="5">
        <v>3862.2277959500002</v>
      </c>
      <c r="F37" s="9">
        <v>0.11576831679150104</v>
      </c>
    </row>
    <row r="38" spans="1:6" x14ac:dyDescent="0.3">
      <c r="A38" s="4" t="s">
        <v>180</v>
      </c>
      <c r="B38">
        <v>500</v>
      </c>
      <c r="D38" s="5">
        <v>3260</v>
      </c>
      <c r="E38" s="5"/>
      <c r="F38" s="9"/>
    </row>
    <row r="39" spans="1:6" x14ac:dyDescent="0.3">
      <c r="A39" s="4" t="s">
        <v>155</v>
      </c>
      <c r="B39">
        <v>6500</v>
      </c>
      <c r="D39" s="5">
        <v>2000000</v>
      </c>
      <c r="E39" s="5"/>
      <c r="F39" s="9">
        <v>0.14000000000000001</v>
      </c>
    </row>
    <row r="40" spans="1:6" x14ac:dyDescent="0.3">
      <c r="A40" s="4" t="s">
        <v>143</v>
      </c>
      <c r="D40" s="5">
        <v>74230</v>
      </c>
      <c r="E40" s="5"/>
      <c r="F40" s="9">
        <v>0.24779999999999999</v>
      </c>
    </row>
    <row r="41" spans="1:6" x14ac:dyDescent="0.3">
      <c r="A41" s="4" t="s">
        <v>192</v>
      </c>
      <c r="B41">
        <v>4600</v>
      </c>
      <c r="C41">
        <v>6</v>
      </c>
      <c r="D41" s="5">
        <v>174490.99884812499</v>
      </c>
      <c r="E41" s="5">
        <v>4605.5414746875003</v>
      </c>
      <c r="F41" s="9">
        <v>0.15836489578569421</v>
      </c>
    </row>
    <row r="42" spans="1:6" x14ac:dyDescent="0.3">
      <c r="A42" s="4" t="s">
        <v>74</v>
      </c>
      <c r="C42">
        <v>9</v>
      </c>
      <c r="D42" s="5">
        <v>475505.76</v>
      </c>
      <c r="E42" s="5">
        <v>6037</v>
      </c>
      <c r="F42" s="9">
        <v>0.11</v>
      </c>
    </row>
    <row r="43" spans="1:6" x14ac:dyDescent="0.3">
      <c r="A43" s="4" t="s">
        <v>223</v>
      </c>
      <c r="B43">
        <v>4100</v>
      </c>
      <c r="C43">
        <v>6</v>
      </c>
      <c r="D43" s="5">
        <v>282460.57420087501</v>
      </c>
      <c r="E43" s="5">
        <v>5389.1573459791671</v>
      </c>
      <c r="F43" s="9">
        <v>0.11447595533414034</v>
      </c>
    </row>
    <row r="44" spans="1:6" x14ac:dyDescent="0.3">
      <c r="A44" s="4" t="s">
        <v>248</v>
      </c>
      <c r="B44">
        <v>500</v>
      </c>
      <c r="C44">
        <v>3</v>
      </c>
      <c r="D44" s="5">
        <v>60908.513565900001</v>
      </c>
      <c r="E44" s="5">
        <v>4765.0645193333339</v>
      </c>
      <c r="F44" s="9">
        <v>0.24643440394683042</v>
      </c>
    </row>
    <row r="45" spans="1:6" x14ac:dyDescent="0.3">
      <c r="A45" s="4" t="s">
        <v>258</v>
      </c>
      <c r="B45">
        <v>2500</v>
      </c>
      <c r="C45">
        <v>10</v>
      </c>
      <c r="D45" s="5">
        <v>279540</v>
      </c>
      <c r="E45" s="5">
        <v>5553</v>
      </c>
      <c r="F45" s="9">
        <v>0.1986</v>
      </c>
    </row>
    <row r="46" spans="1:6" x14ac:dyDescent="0.3">
      <c r="A46" s="4" t="s">
        <v>259</v>
      </c>
      <c r="B46">
        <v>6000</v>
      </c>
      <c r="D46" s="5">
        <v>110000</v>
      </c>
      <c r="E46" s="5"/>
      <c r="F46" s="9"/>
    </row>
    <row r="47" spans="1:6" x14ac:dyDescent="0.3">
      <c r="A47" s="4" t="s">
        <v>260</v>
      </c>
      <c r="B47">
        <v>1000</v>
      </c>
      <c r="C47">
        <v>1</v>
      </c>
      <c r="D47" s="5">
        <v>10030.004150000001</v>
      </c>
      <c r="E47" s="5">
        <v>1607.50415</v>
      </c>
      <c r="F47" s="9">
        <v>0.16026953986853534</v>
      </c>
    </row>
    <row r="48" spans="1:6" x14ac:dyDescent="0.3">
      <c r="A48" s="4" t="s">
        <v>384</v>
      </c>
      <c r="B48">
        <v>3150</v>
      </c>
      <c r="C48">
        <v>4</v>
      </c>
      <c r="D48" s="5">
        <v>82250.000096000003</v>
      </c>
      <c r="E48" s="5">
        <v>3049.9350239999999</v>
      </c>
      <c r="F48" s="9">
        <v>0.14832510737703086</v>
      </c>
    </row>
    <row r="49" spans="1:6" x14ac:dyDescent="0.3">
      <c r="A49" s="4" t="s">
        <v>274</v>
      </c>
      <c r="B49">
        <v>2400</v>
      </c>
      <c r="C49">
        <v>1</v>
      </c>
      <c r="D49" s="5">
        <v>9349.9952499999999</v>
      </c>
      <c r="E49" s="5">
        <v>1997.4952500000002</v>
      </c>
      <c r="F49" s="9">
        <v>0.21363596414661282</v>
      </c>
    </row>
    <row r="50" spans="1:6" x14ac:dyDescent="0.3">
      <c r="A50" s="4" t="s">
        <v>277</v>
      </c>
      <c r="B50">
        <v>2300</v>
      </c>
      <c r="C50">
        <v>10</v>
      </c>
      <c r="D50" s="5">
        <v>584600</v>
      </c>
      <c r="E50" s="5">
        <v>5105</v>
      </c>
      <c r="F50" s="9">
        <v>8.7300000000000003E-2</v>
      </c>
    </row>
    <row r="51" spans="1:6" x14ac:dyDescent="0.3">
      <c r="A51" s="4" t="s">
        <v>300</v>
      </c>
      <c r="B51">
        <v>1900</v>
      </c>
      <c r="C51">
        <v>6</v>
      </c>
      <c r="D51" s="5">
        <v>160567.00299711997</v>
      </c>
      <c r="E51" s="5">
        <v>4286.1097411199999</v>
      </c>
      <c r="F51" s="9">
        <v>0.16016153983506357</v>
      </c>
    </row>
    <row r="52" spans="1:6" x14ac:dyDescent="0.3">
      <c r="A52" s="4" t="s">
        <v>302</v>
      </c>
      <c r="B52">
        <v>500</v>
      </c>
      <c r="C52">
        <v>2</v>
      </c>
      <c r="D52" s="5">
        <v>20273</v>
      </c>
      <c r="E52" s="5">
        <v>2547</v>
      </c>
      <c r="F52" s="9">
        <v>0.25119999999999998</v>
      </c>
    </row>
    <row r="53" spans="1:6" x14ac:dyDescent="0.3">
      <c r="A53" s="4" t="s">
        <v>304</v>
      </c>
      <c r="B53">
        <v>12000</v>
      </c>
      <c r="C53">
        <v>86</v>
      </c>
      <c r="D53" s="5">
        <v>11000000</v>
      </c>
      <c r="E53" s="5">
        <v>6014</v>
      </c>
      <c r="F53" s="9">
        <v>3.4000000000000002E-2</v>
      </c>
    </row>
    <row r="54" spans="1:6" x14ac:dyDescent="0.3">
      <c r="A54" s="4" t="s">
        <v>320</v>
      </c>
      <c r="B54">
        <v>21736</v>
      </c>
      <c r="C54">
        <v>4</v>
      </c>
      <c r="D54" s="5">
        <v>126473.0041375</v>
      </c>
      <c r="E54" s="5">
        <v>4270.3010343750002</v>
      </c>
      <c r="F54" s="9">
        <v>0.13505810393283227</v>
      </c>
    </row>
    <row r="55" spans="1:6" x14ac:dyDescent="0.3">
      <c r="A55" s="4" t="s">
        <v>327</v>
      </c>
      <c r="B55">
        <v>3021</v>
      </c>
      <c r="C55">
        <v>5</v>
      </c>
      <c r="D55" s="5">
        <v>291832.99880359502</v>
      </c>
      <c r="E55" s="5">
        <v>6596.1002907190004</v>
      </c>
      <c r="F55" s="9">
        <v>0.1130115565710615</v>
      </c>
    </row>
    <row r="56" spans="1:6" x14ac:dyDescent="0.3">
      <c r="A56" s="4" t="s">
        <v>338</v>
      </c>
      <c r="B56">
        <v>7199</v>
      </c>
      <c r="C56">
        <v>5</v>
      </c>
      <c r="D56" s="5">
        <v>195050.03</v>
      </c>
      <c r="E56" s="5">
        <v>3657.8</v>
      </c>
      <c r="F56" s="9">
        <v>9.6600000000000005E-2</v>
      </c>
    </row>
    <row r="57" spans="1:6" x14ac:dyDescent="0.3">
      <c r="A57" s="4" t="s">
        <v>344</v>
      </c>
      <c r="B57">
        <v>3121</v>
      </c>
      <c r="C57">
        <v>7</v>
      </c>
      <c r="D57" s="5">
        <v>275759.99744084803</v>
      </c>
      <c r="E57" s="5">
        <v>4908.1777863068573</v>
      </c>
      <c r="F57" s="9">
        <v>0.12459111119450098</v>
      </c>
    </row>
    <row r="58" spans="1:6" x14ac:dyDescent="0.3">
      <c r="A58" s="4" t="s">
        <v>352</v>
      </c>
      <c r="B58">
        <v>1000</v>
      </c>
      <c r="C58">
        <v>0</v>
      </c>
      <c r="D58" s="5">
        <v>33646.99</v>
      </c>
      <c r="E58" s="5"/>
      <c r="F58" s="9">
        <v>0.18135322060011907</v>
      </c>
    </row>
    <row r="59" spans="1:6" x14ac:dyDescent="0.3">
      <c r="A59" s="4" t="s">
        <v>353</v>
      </c>
      <c r="B59">
        <v>43500</v>
      </c>
      <c r="C59">
        <v>45</v>
      </c>
      <c r="D59" s="5">
        <v>5432871.79</v>
      </c>
      <c r="E59" s="5">
        <v>8537.27</v>
      </c>
      <c r="F59" s="9">
        <v>7.0699999999999999E-2</v>
      </c>
    </row>
    <row r="60" spans="1:6" x14ac:dyDescent="0.3">
      <c r="A60" s="4" t="s">
        <v>354</v>
      </c>
      <c r="B60">
        <v>24857.142857142859</v>
      </c>
      <c r="C60">
        <v>52</v>
      </c>
      <c r="D60" s="5">
        <v>3960000</v>
      </c>
      <c r="E60" s="5">
        <v>6904.7186434615387</v>
      </c>
      <c r="F60" s="9">
        <v>7.3417787124870251E-2</v>
      </c>
    </row>
    <row r="61" spans="1:6" x14ac:dyDescent="0.3">
      <c r="A61" s="4" t="s">
        <v>359</v>
      </c>
      <c r="B61">
        <v>1000</v>
      </c>
      <c r="C61">
        <v>5</v>
      </c>
      <c r="D61" s="5">
        <v>127045</v>
      </c>
      <c r="E61" s="5">
        <v>4346</v>
      </c>
      <c r="F61" s="9">
        <v>0.17104175685780629</v>
      </c>
    </row>
    <row r="62" spans="1:6" x14ac:dyDescent="0.3">
      <c r="A62" s="4" t="s">
        <v>371</v>
      </c>
      <c r="B62">
        <v>200</v>
      </c>
      <c r="C62">
        <v>3</v>
      </c>
      <c r="D62" s="5">
        <v>39508.004315999999</v>
      </c>
      <c r="E62" s="5">
        <v>2827.5283686666667</v>
      </c>
      <c r="F62" s="9">
        <v>0.21470548191078112</v>
      </c>
    </row>
    <row r="63" spans="1:6" x14ac:dyDescent="0.3">
      <c r="A63" s="4" t="s">
        <v>373</v>
      </c>
      <c r="B63">
        <v>1715</v>
      </c>
      <c r="C63">
        <v>7</v>
      </c>
      <c r="D63" s="5">
        <v>209041.99550676328</v>
      </c>
      <c r="E63" s="5">
        <v>4298.8576463641457</v>
      </c>
      <c r="F63" s="9">
        <v>0.15834730020333262</v>
      </c>
    </row>
    <row r="64" spans="1:6" x14ac:dyDescent="0.3">
      <c r="A64" s="4" t="s">
        <v>381</v>
      </c>
      <c r="B64">
        <v>3524.9580000000005</v>
      </c>
      <c r="C64">
        <v>6</v>
      </c>
      <c r="D64" s="5">
        <v>136339.9952032</v>
      </c>
      <c r="E64" s="5">
        <v>3633.7841955333338</v>
      </c>
      <c r="F64" s="9">
        <v>0.15991422869500202</v>
      </c>
    </row>
    <row r="65" spans="1:6" x14ac:dyDescent="0.3">
      <c r="A65" s="4" t="s">
        <v>421</v>
      </c>
      <c r="B65">
        <v>10000</v>
      </c>
      <c r="D65" s="5">
        <v>1000000</v>
      </c>
      <c r="E65" s="5"/>
      <c r="F65" s="9">
        <v>7.0000000000000007E-2</v>
      </c>
    </row>
    <row r="66" spans="1:6" x14ac:dyDescent="0.3">
      <c r="A66" s="4" t="s">
        <v>405</v>
      </c>
      <c r="B66">
        <v>700</v>
      </c>
      <c r="C66">
        <v>3</v>
      </c>
      <c r="D66" s="5">
        <v>59930.9960058</v>
      </c>
      <c r="E66" s="5">
        <v>3449.7652567666669</v>
      </c>
      <c r="F66" s="9">
        <v>0.17268686422796006</v>
      </c>
    </row>
    <row r="67" spans="1:6" x14ac:dyDescent="0.3">
      <c r="A67" s="4" t="s">
        <v>404</v>
      </c>
      <c r="B67">
        <v>3376</v>
      </c>
      <c r="C67">
        <v>8</v>
      </c>
      <c r="D67" s="5">
        <v>283278.41555999999</v>
      </c>
      <c r="E67" s="5">
        <v>5077.1836387500007</v>
      </c>
      <c r="F67" s="9">
        <v>0.14338356499807869</v>
      </c>
    </row>
    <row r="68" spans="1:6" x14ac:dyDescent="0.3">
      <c r="A68" s="4" t="s">
        <v>406</v>
      </c>
      <c r="B68">
        <v>5316</v>
      </c>
      <c r="C68">
        <v>16</v>
      </c>
      <c r="D68" s="5">
        <v>924030</v>
      </c>
      <c r="E68" s="5">
        <v>4098</v>
      </c>
      <c r="F68" s="9">
        <v>7.0999999999999994E-2</v>
      </c>
    </row>
    <row r="69" spans="1:6" x14ac:dyDescent="0.3">
      <c r="A69" s="4" t="s">
        <v>408</v>
      </c>
      <c r="B69">
        <v>775</v>
      </c>
      <c r="C69">
        <v>5</v>
      </c>
      <c r="D69" s="5">
        <v>112345</v>
      </c>
      <c r="E69" s="5">
        <v>4105</v>
      </c>
      <c r="F69" s="9">
        <v>0.1827</v>
      </c>
    </row>
    <row r="70" spans="1:6" x14ac:dyDescent="0.3">
      <c r="A70" s="4" t="s">
        <v>417</v>
      </c>
      <c r="B70">
        <v>3000</v>
      </c>
      <c r="C70">
        <v>12</v>
      </c>
      <c r="D70" s="5">
        <v>684146.87</v>
      </c>
      <c r="E70" s="5">
        <v>6617</v>
      </c>
      <c r="F70" s="9">
        <v>0.11609999999999999</v>
      </c>
    </row>
    <row r="71" spans="1:6" x14ac:dyDescent="0.3">
      <c r="A71" s="4" t="s">
        <v>418</v>
      </c>
      <c r="B71">
        <v>100</v>
      </c>
      <c r="C71">
        <v>1</v>
      </c>
      <c r="D71" s="5">
        <v>11862.08</v>
      </c>
      <c r="E71" s="5"/>
      <c r="F71" s="9">
        <v>0.35</v>
      </c>
    </row>
    <row r="72" spans="1:6" x14ac:dyDescent="0.3">
      <c r="A72" s="4" t="s">
        <v>419</v>
      </c>
      <c r="B72">
        <v>10000</v>
      </c>
      <c r="C72">
        <v>16</v>
      </c>
      <c r="D72" s="5">
        <v>1877937.34</v>
      </c>
      <c r="E72" s="5">
        <v>8554</v>
      </c>
      <c r="F72" s="9">
        <v>7.2900000000000006E-2</v>
      </c>
    </row>
    <row r="73" spans="1:6" x14ac:dyDescent="0.3">
      <c r="A73" s="4" t="s">
        <v>428</v>
      </c>
      <c r="B73">
        <v>1000</v>
      </c>
      <c r="C73">
        <v>3</v>
      </c>
      <c r="D73" s="5">
        <v>105937.23</v>
      </c>
      <c r="E73" s="5"/>
      <c r="F73" s="9">
        <v>0.18049999999999999</v>
      </c>
    </row>
    <row r="74" spans="1:6" x14ac:dyDescent="0.3">
      <c r="A74" s="4" t="s">
        <v>429</v>
      </c>
      <c r="B74">
        <v>1000</v>
      </c>
      <c r="C74">
        <v>3</v>
      </c>
      <c r="D74" s="5">
        <v>106993.71</v>
      </c>
      <c r="E74" s="5"/>
      <c r="F74" s="9">
        <v>0.2069</v>
      </c>
    </row>
    <row r="75" spans="1:6" x14ac:dyDescent="0.3">
      <c r="A75" s="4" t="s">
        <v>426</v>
      </c>
      <c r="B75">
        <v>1480</v>
      </c>
      <c r="C75">
        <v>8</v>
      </c>
      <c r="D75" s="5">
        <v>198916.5</v>
      </c>
      <c r="E75" s="5">
        <v>4320</v>
      </c>
      <c r="F75" s="9">
        <v>0.17369999999999999</v>
      </c>
    </row>
    <row r="76" spans="1:6" x14ac:dyDescent="0.3">
      <c r="A76" s="4" t="s">
        <v>427</v>
      </c>
      <c r="C76">
        <v>5</v>
      </c>
      <c r="D76" s="5">
        <v>13400</v>
      </c>
      <c r="E76" s="5"/>
      <c r="F76" s="9">
        <v>0.33</v>
      </c>
    </row>
    <row r="77" spans="1:6" x14ac:dyDescent="0.3">
      <c r="A77" s="4" t="s">
        <v>433</v>
      </c>
      <c r="B77">
        <v>767</v>
      </c>
      <c r="C77">
        <v>3</v>
      </c>
      <c r="D77" s="5">
        <v>84517.22</v>
      </c>
      <c r="E77" s="5">
        <v>6573</v>
      </c>
      <c r="F77" s="9">
        <v>0.23330000000000001</v>
      </c>
    </row>
    <row r="78" spans="1:6" x14ac:dyDescent="0.3">
      <c r="A78" s="4" t="s">
        <v>435</v>
      </c>
      <c r="B78">
        <v>300</v>
      </c>
      <c r="C78">
        <v>1</v>
      </c>
      <c r="D78" s="5">
        <v>25922.31</v>
      </c>
      <c r="E78" s="5">
        <v>7590</v>
      </c>
      <c r="F78" s="9">
        <v>0.2928</v>
      </c>
    </row>
    <row r="79" spans="1:6" x14ac:dyDescent="0.3">
      <c r="A79" s="4" t="s">
        <v>436</v>
      </c>
      <c r="B79">
        <v>693</v>
      </c>
      <c r="C79">
        <v>2</v>
      </c>
      <c r="D79" s="5">
        <v>73408.59</v>
      </c>
      <c r="E79" s="5">
        <v>7927</v>
      </c>
      <c r="F79" s="9">
        <v>0.216</v>
      </c>
    </row>
    <row r="80" spans="1:6" x14ac:dyDescent="0.3">
      <c r="A80" s="4" t="s">
        <v>437</v>
      </c>
      <c r="B80">
        <v>776</v>
      </c>
      <c r="C80">
        <v>2</v>
      </c>
      <c r="D80" s="5">
        <v>69694.03</v>
      </c>
      <c r="E80" s="5">
        <v>7757</v>
      </c>
      <c r="F80" s="9">
        <v>0.22259999999999999</v>
      </c>
    </row>
    <row r="81" spans="1:6" x14ac:dyDescent="0.3">
      <c r="A81" s="4" t="s">
        <v>439</v>
      </c>
      <c r="B81">
        <v>1100</v>
      </c>
      <c r="C81">
        <v>2</v>
      </c>
      <c r="D81" s="5">
        <v>37362.44</v>
      </c>
      <c r="E81" s="5">
        <v>6055</v>
      </c>
      <c r="F81" s="9">
        <v>0.3241</v>
      </c>
    </row>
    <row r="82" spans="1:6" x14ac:dyDescent="0.3">
      <c r="A82" s="4" t="s">
        <v>443</v>
      </c>
      <c r="B82">
        <v>2000</v>
      </c>
      <c r="C82">
        <v>12</v>
      </c>
      <c r="D82" s="5">
        <v>568323.80000000005</v>
      </c>
      <c r="E82" s="5">
        <v>6909</v>
      </c>
      <c r="F82" s="9">
        <v>0.1459</v>
      </c>
    </row>
    <row r="83" spans="1:6" x14ac:dyDescent="0.3">
      <c r="A83" s="4" t="s">
        <v>445</v>
      </c>
      <c r="B83">
        <v>1670</v>
      </c>
      <c r="C83">
        <v>6</v>
      </c>
      <c r="D83" s="5">
        <v>225544.58</v>
      </c>
      <c r="E83" s="5">
        <v>5009</v>
      </c>
      <c r="F83" s="9">
        <v>0.13320000000000001</v>
      </c>
    </row>
    <row r="84" spans="1:6" x14ac:dyDescent="0.3">
      <c r="A84" s="4" t="s">
        <v>448</v>
      </c>
      <c r="B84">
        <v>100</v>
      </c>
      <c r="C84">
        <v>2</v>
      </c>
      <c r="D84" s="5">
        <v>138815.04000000001</v>
      </c>
      <c r="E84" s="5">
        <v>12457</v>
      </c>
      <c r="F84" s="9">
        <v>0.17949999999999999</v>
      </c>
    </row>
    <row r="85" spans="1:6" x14ac:dyDescent="0.3">
      <c r="A85" s="4" t="s">
        <v>449</v>
      </c>
      <c r="B85">
        <v>1200</v>
      </c>
      <c r="C85">
        <v>7</v>
      </c>
      <c r="D85" s="5">
        <v>319880</v>
      </c>
      <c r="E85" s="5">
        <v>6866</v>
      </c>
      <c r="F85" s="9">
        <v>0.15029999999999999</v>
      </c>
    </row>
    <row r="86" spans="1:6" x14ac:dyDescent="0.3">
      <c r="A86" s="4" t="s">
        <v>450</v>
      </c>
      <c r="B86">
        <v>17812.400000000001</v>
      </c>
      <c r="C86">
        <v>12</v>
      </c>
      <c r="D86" s="5">
        <v>413643.51</v>
      </c>
      <c r="E86" s="5">
        <v>4875</v>
      </c>
      <c r="F86" s="9">
        <v>0.1414</v>
      </c>
    </row>
    <row r="87" spans="1:6" x14ac:dyDescent="0.3">
      <c r="A87" s="4" t="s">
        <v>453</v>
      </c>
      <c r="B87">
        <v>3351</v>
      </c>
      <c r="C87">
        <v>11</v>
      </c>
      <c r="D87" s="5">
        <v>745662.1</v>
      </c>
      <c r="E87" s="5">
        <v>5327</v>
      </c>
      <c r="F87" s="9">
        <v>7.8600000000000003E-2</v>
      </c>
    </row>
    <row r="88" spans="1:6" x14ac:dyDescent="0.3">
      <c r="A88" s="4" t="s">
        <v>452</v>
      </c>
      <c r="B88">
        <v>8335</v>
      </c>
      <c r="C88">
        <v>4</v>
      </c>
      <c r="D88" s="5">
        <v>151551.65</v>
      </c>
      <c r="E88" s="5">
        <v>5705</v>
      </c>
      <c r="F88" s="9">
        <v>0.15060000000000001</v>
      </c>
    </row>
    <row r="89" spans="1:6" x14ac:dyDescent="0.3">
      <c r="A89" s="4" t="s">
        <v>454</v>
      </c>
      <c r="B89">
        <v>1300</v>
      </c>
      <c r="C89">
        <v>3</v>
      </c>
      <c r="D89" s="5">
        <v>156998.00417600002</v>
      </c>
      <c r="E89" s="5">
        <v>9125</v>
      </c>
      <c r="F89" s="9">
        <v>0.1744</v>
      </c>
    </row>
    <row r="90" spans="1:6" x14ac:dyDescent="0.3">
      <c r="A90" s="4" t="s">
        <v>456</v>
      </c>
      <c r="B90">
        <v>4000</v>
      </c>
      <c r="C90">
        <v>8</v>
      </c>
      <c r="D90" s="5">
        <v>348764</v>
      </c>
      <c r="E90" s="5">
        <v>5918.99</v>
      </c>
      <c r="F90" s="9">
        <v>0.1358</v>
      </c>
    </row>
    <row r="91" spans="1:6" x14ac:dyDescent="0.3">
      <c r="A91" s="4" t="s">
        <v>462</v>
      </c>
      <c r="B91">
        <v>3894</v>
      </c>
      <c r="C91">
        <v>13</v>
      </c>
      <c r="D91" s="5">
        <v>862159.91</v>
      </c>
      <c r="E91" s="5">
        <v>5917</v>
      </c>
      <c r="F91" s="9">
        <v>8.9200000000000002E-2</v>
      </c>
    </row>
    <row r="92" spans="1:6" x14ac:dyDescent="0.3">
      <c r="A92" s="4" t="s">
        <v>465</v>
      </c>
      <c r="B92">
        <v>2939</v>
      </c>
      <c r="C92">
        <v>20</v>
      </c>
      <c r="D92" s="5">
        <v>2588388.37</v>
      </c>
      <c r="E92" s="5">
        <v>10738</v>
      </c>
      <c r="F92" s="9">
        <v>8.3000000000000004E-2</v>
      </c>
    </row>
    <row r="93" spans="1:6" x14ac:dyDescent="0.3">
      <c r="A93" s="4" t="s">
        <v>466</v>
      </c>
      <c r="B93">
        <v>150</v>
      </c>
      <c r="C93">
        <v>3</v>
      </c>
      <c r="D93" s="5">
        <v>33000</v>
      </c>
      <c r="E93" s="5">
        <v>1650</v>
      </c>
      <c r="F93" s="9">
        <v>0.15</v>
      </c>
    </row>
    <row r="94" spans="1:6" x14ac:dyDescent="0.3">
      <c r="A94" s="4" t="s">
        <v>467</v>
      </c>
      <c r="B94">
        <v>200</v>
      </c>
      <c r="C94">
        <v>4</v>
      </c>
      <c r="D94" s="5">
        <v>34373</v>
      </c>
      <c r="E94" s="5">
        <v>2285</v>
      </c>
      <c r="F94" s="9">
        <v>0.26590000000000003</v>
      </c>
    </row>
    <row r="95" spans="1:6" x14ac:dyDescent="0.3">
      <c r="A95" s="4" t="s">
        <v>468</v>
      </c>
      <c r="B95">
        <v>4200</v>
      </c>
      <c r="C95">
        <v>6</v>
      </c>
      <c r="D95" s="5">
        <v>272532.84999999998</v>
      </c>
      <c r="E95" s="5">
        <v>6899</v>
      </c>
      <c r="F95" s="9">
        <v>0.15190000000000001</v>
      </c>
    </row>
    <row r="96" spans="1:6" x14ac:dyDescent="0.3">
      <c r="A96" s="4" t="s">
        <v>469</v>
      </c>
      <c r="B96">
        <v>1326</v>
      </c>
      <c r="C96">
        <v>4</v>
      </c>
      <c r="D96" s="5">
        <v>170080</v>
      </c>
      <c r="E96" s="5">
        <v>6542</v>
      </c>
      <c r="F96" s="9">
        <v>0.15390000000000001</v>
      </c>
    </row>
    <row r="97" spans="1:6" x14ac:dyDescent="0.3">
      <c r="A97" s="4" t="s">
        <v>471</v>
      </c>
      <c r="B97">
        <v>5167</v>
      </c>
      <c r="C97">
        <v>2</v>
      </c>
      <c r="D97" s="5">
        <v>59510</v>
      </c>
      <c r="E97" s="5">
        <v>5843</v>
      </c>
      <c r="F97" s="9">
        <v>0.19639999999999999</v>
      </c>
    </row>
    <row r="98" spans="1:6" x14ac:dyDescent="0.3">
      <c r="A98" s="4" t="s">
        <v>473</v>
      </c>
      <c r="B98">
        <v>500</v>
      </c>
      <c r="C98">
        <v>2</v>
      </c>
      <c r="D98" s="5">
        <v>17009.3</v>
      </c>
      <c r="E98" s="5">
        <v>2126.16</v>
      </c>
      <c r="F98" s="9">
        <v>0.25</v>
      </c>
    </row>
    <row r="99" spans="1:6" x14ac:dyDescent="0.3">
      <c r="A99" s="4" t="s">
        <v>484</v>
      </c>
      <c r="B99">
        <v>2850</v>
      </c>
      <c r="C99">
        <v>7</v>
      </c>
      <c r="D99" s="5">
        <v>275084.98</v>
      </c>
      <c r="E99" s="5">
        <v>4682</v>
      </c>
      <c r="F99" s="9">
        <v>0.1191</v>
      </c>
    </row>
    <row r="100" spans="1:6" x14ac:dyDescent="0.3">
      <c r="A100" s="4" t="s">
        <v>485</v>
      </c>
      <c r="B100">
        <v>35914</v>
      </c>
      <c r="C100">
        <v>42</v>
      </c>
      <c r="D100" s="5">
        <v>4837152.3600000003</v>
      </c>
      <c r="E100" s="5">
        <v>9325</v>
      </c>
      <c r="F100" s="9">
        <v>8.1000000000000003E-2</v>
      </c>
    </row>
    <row r="101" spans="1:6" x14ac:dyDescent="0.3">
      <c r="A101" s="4" t="s">
        <v>486</v>
      </c>
      <c r="B101">
        <v>3486</v>
      </c>
      <c r="C101">
        <v>8</v>
      </c>
      <c r="D101" s="5">
        <v>260302.6860176</v>
      </c>
      <c r="E101" s="5">
        <v>4641.57</v>
      </c>
      <c r="F101" s="9">
        <v>0.1401</v>
      </c>
    </row>
    <row r="102" spans="1:6" x14ac:dyDescent="0.3">
      <c r="A102" s="4" t="s">
        <v>487</v>
      </c>
      <c r="B102">
        <v>250</v>
      </c>
      <c r="C102">
        <v>3</v>
      </c>
      <c r="D102" s="5">
        <v>63945.995643999995</v>
      </c>
      <c r="E102" s="5">
        <v>4715.0402146666665</v>
      </c>
      <c r="F102" s="9">
        <v>0.22120416613338359</v>
      </c>
    </row>
    <row r="103" spans="1:6" x14ac:dyDescent="0.3">
      <c r="A103" s="4" t="s">
        <v>490</v>
      </c>
      <c r="B103">
        <v>672</v>
      </c>
      <c r="C103">
        <v>6</v>
      </c>
      <c r="D103" s="5">
        <v>238091</v>
      </c>
      <c r="E103" s="5">
        <v>6159</v>
      </c>
      <c r="F103" s="9">
        <v>0.1552</v>
      </c>
    </row>
    <row r="104" spans="1:6" x14ac:dyDescent="0.3">
      <c r="A104" s="4" t="s">
        <v>491</v>
      </c>
      <c r="B104">
        <v>144193</v>
      </c>
      <c r="C104">
        <v>96</v>
      </c>
      <c r="D104" s="5">
        <v>26311987.539999999</v>
      </c>
      <c r="E104" s="5">
        <v>13427</v>
      </c>
      <c r="F104" s="9">
        <v>4.9000000000000002E-2</v>
      </c>
    </row>
    <row r="105" spans="1:6" x14ac:dyDescent="0.3">
      <c r="A105" s="4" t="s">
        <v>493</v>
      </c>
      <c r="B105">
        <v>100</v>
      </c>
      <c r="C105">
        <v>2</v>
      </c>
      <c r="D105" s="5">
        <v>62430.47</v>
      </c>
      <c r="E105" s="5">
        <v>7575</v>
      </c>
      <c r="F105" s="9">
        <v>0.2427</v>
      </c>
    </row>
    <row r="106" spans="1:6" x14ac:dyDescent="0.3">
      <c r="A106" s="4" t="s">
        <v>494</v>
      </c>
      <c r="B106">
        <v>1100</v>
      </c>
      <c r="C106">
        <v>2</v>
      </c>
      <c r="D106" s="5">
        <v>53989.63</v>
      </c>
      <c r="E106" s="5">
        <v>7189</v>
      </c>
      <c r="F106" s="9">
        <v>0.26629999999999998</v>
      </c>
    </row>
    <row r="107" spans="1:6" x14ac:dyDescent="0.3">
      <c r="A107" s="4" t="s">
        <v>496</v>
      </c>
      <c r="B107">
        <v>78220</v>
      </c>
      <c r="C107">
        <v>68</v>
      </c>
      <c r="D107" s="5">
        <v>14012854.080626331</v>
      </c>
      <c r="E107" s="5">
        <v>12514.078541922509</v>
      </c>
      <c r="F107" s="9">
        <v>6.0726910874440175E-2</v>
      </c>
    </row>
    <row r="108" spans="1:6" x14ac:dyDescent="0.3">
      <c r="A108" s="4" t="s">
        <v>500</v>
      </c>
      <c r="B108">
        <v>4770</v>
      </c>
      <c r="C108">
        <v>13</v>
      </c>
      <c r="D108" s="5">
        <v>519010.00331489998</v>
      </c>
      <c r="E108" s="5">
        <v>6041.0546180692318</v>
      </c>
      <c r="F108" s="9">
        <v>0.15131444390918819</v>
      </c>
    </row>
    <row r="109" spans="1:6" x14ac:dyDescent="0.3">
      <c r="A109" s="4" t="s">
        <v>504</v>
      </c>
      <c r="B109">
        <v>68427</v>
      </c>
      <c r="C109">
        <v>72</v>
      </c>
      <c r="D109" s="5">
        <v>15455577.47790879</v>
      </c>
      <c r="E109" s="5">
        <v>12101.75251466292</v>
      </c>
      <c r="F109" s="9">
        <v>5.6376164675900849E-2</v>
      </c>
    </row>
    <row r="110" spans="1:6" x14ac:dyDescent="0.3">
      <c r="A110" s="4" t="s">
        <v>506</v>
      </c>
      <c r="B110">
        <v>4200</v>
      </c>
      <c r="C110">
        <v>6</v>
      </c>
      <c r="D110" s="5">
        <v>296098.48635949998</v>
      </c>
      <c r="E110" s="5">
        <v>6942.8258599166656</v>
      </c>
      <c r="F110" s="9">
        <v>0.14068614693600065</v>
      </c>
    </row>
    <row r="111" spans="1:6" x14ac:dyDescent="0.3">
      <c r="A111" s="4" t="s">
        <v>507</v>
      </c>
      <c r="B111">
        <v>4638</v>
      </c>
      <c r="C111">
        <v>16</v>
      </c>
      <c r="D111" s="5">
        <v>711396.63535500003</v>
      </c>
      <c r="E111" s="5">
        <v>4931.6922721875007</v>
      </c>
      <c r="F111" s="9">
        <v>0.11091854028185547</v>
      </c>
    </row>
    <row r="112" spans="1:6" x14ac:dyDescent="0.3">
      <c r="A112" s="4" t="s">
        <v>508</v>
      </c>
      <c r="B112">
        <v>5050</v>
      </c>
      <c r="C112">
        <v>16</v>
      </c>
      <c r="D112" s="5">
        <v>849002.48</v>
      </c>
      <c r="E112" s="5">
        <v>5346</v>
      </c>
      <c r="F112" s="9">
        <v>0.1007</v>
      </c>
    </row>
    <row r="113" spans="1:6" x14ac:dyDescent="0.3">
      <c r="A113" s="4" t="s">
        <v>509</v>
      </c>
      <c r="B113">
        <v>2000</v>
      </c>
      <c r="C113">
        <v>6</v>
      </c>
      <c r="D113" s="5">
        <v>141928.70851500001</v>
      </c>
      <c r="E113" s="5">
        <v>6205.1180858333328</v>
      </c>
      <c r="F113" s="9">
        <v>0.26231978649383114</v>
      </c>
    </row>
    <row r="114" spans="1:6" x14ac:dyDescent="0.3">
      <c r="A114" s="4" t="s">
        <v>512</v>
      </c>
      <c r="B114">
        <v>20875</v>
      </c>
      <c r="C114">
        <v>40</v>
      </c>
      <c r="D114" s="5">
        <v>7567650.3183946665</v>
      </c>
      <c r="E114" s="5">
        <v>10465.833855699999</v>
      </c>
      <c r="F114" s="9">
        <v>5.5318802615711385E-2</v>
      </c>
    </row>
    <row r="115" spans="1:6" x14ac:dyDescent="0.3">
      <c r="A115" s="4" t="s">
        <v>513</v>
      </c>
      <c r="B115">
        <v>4114</v>
      </c>
      <c r="C115">
        <v>12</v>
      </c>
      <c r="D115" s="5">
        <v>622573.39</v>
      </c>
      <c r="E115" s="5">
        <v>6758</v>
      </c>
      <c r="F115" s="9">
        <v>0.12239999999999999</v>
      </c>
    </row>
    <row r="116" spans="1:6" x14ac:dyDescent="0.3">
      <c r="A116" s="4" t="s">
        <v>514</v>
      </c>
      <c r="B116">
        <v>1401</v>
      </c>
      <c r="C116">
        <v>5</v>
      </c>
      <c r="D116" s="5">
        <v>433851.50789893331</v>
      </c>
      <c r="E116" s="5">
        <v>6546.6389131199994</v>
      </c>
      <c r="F116" s="9">
        <v>7.5447921626736095E-2</v>
      </c>
    </row>
    <row r="117" spans="1:6" x14ac:dyDescent="0.3">
      <c r="A117" s="4" t="s">
        <v>516</v>
      </c>
      <c r="B117">
        <v>1954</v>
      </c>
      <c r="C117">
        <v>16</v>
      </c>
      <c r="D117" s="5">
        <v>1243248.73</v>
      </c>
      <c r="E117" s="5">
        <v>5101.4850854666674</v>
      </c>
      <c r="F117" s="9">
        <v>6.5653605266475262E-2</v>
      </c>
    </row>
    <row r="118" spans="1:6" x14ac:dyDescent="0.3">
      <c r="A118" s="4" t="s">
        <v>517</v>
      </c>
      <c r="B118">
        <v>1864</v>
      </c>
      <c r="C118">
        <v>8</v>
      </c>
      <c r="D118" s="5">
        <v>483564.17</v>
      </c>
      <c r="E118" s="5">
        <v>7018</v>
      </c>
      <c r="F118" s="9">
        <v>0.11609999999999999</v>
      </c>
    </row>
    <row r="119" spans="1:6" x14ac:dyDescent="0.3">
      <c r="A119" s="4" t="s">
        <v>518</v>
      </c>
      <c r="B119">
        <v>10064</v>
      </c>
      <c r="C119">
        <v>26</v>
      </c>
      <c r="D119" s="5">
        <v>2117115.0024230238</v>
      </c>
      <c r="E119" s="5">
        <v>6353.0548595111804</v>
      </c>
      <c r="F119" s="9">
        <v>7.8020998461700922E-2</v>
      </c>
    </row>
    <row r="120" spans="1:6" x14ac:dyDescent="0.3">
      <c r="A120" s="4" t="s">
        <v>523</v>
      </c>
      <c r="B120">
        <v>9910</v>
      </c>
      <c r="C120">
        <v>8</v>
      </c>
      <c r="D120" s="5">
        <v>323804.51</v>
      </c>
      <c r="E120" s="5">
        <v>7804</v>
      </c>
      <c r="F120" s="9">
        <v>0.1928</v>
      </c>
    </row>
    <row r="121" spans="1:6" x14ac:dyDescent="0.3">
      <c r="A121" s="4" t="s">
        <v>524</v>
      </c>
      <c r="B121">
        <v>14190</v>
      </c>
      <c r="C121">
        <v>10</v>
      </c>
      <c r="D121" s="5">
        <v>520075.22302105092</v>
      </c>
      <c r="E121" s="5">
        <v>6420.8940289050879</v>
      </c>
      <c r="F121" s="9">
        <v>0.12346087151791101</v>
      </c>
    </row>
    <row r="122" spans="1:6" x14ac:dyDescent="0.3">
      <c r="A122" s="4" t="s">
        <v>529</v>
      </c>
      <c r="B122">
        <v>2100</v>
      </c>
      <c r="C122">
        <v>2</v>
      </c>
      <c r="D122" s="5">
        <v>48713.999016666661</v>
      </c>
      <c r="E122" s="5">
        <v>5553.1015916666674</v>
      </c>
      <c r="F122" s="9">
        <v>0.22798791738558638</v>
      </c>
    </row>
    <row r="123" spans="1:6" x14ac:dyDescent="0.3">
      <c r="A123" s="4" t="s">
        <v>530</v>
      </c>
      <c r="B123">
        <v>3322</v>
      </c>
      <c r="C123">
        <v>4</v>
      </c>
      <c r="D123" s="5">
        <v>170903.926404</v>
      </c>
      <c r="E123" s="5">
        <v>6578.9047260000007</v>
      </c>
      <c r="F123" s="9">
        <v>0.15397901884239032</v>
      </c>
    </row>
    <row r="124" spans="1:6" x14ac:dyDescent="0.3">
      <c r="A124" s="4" t="s">
        <v>531</v>
      </c>
      <c r="B124">
        <v>760</v>
      </c>
      <c r="C124">
        <v>3</v>
      </c>
      <c r="D124" s="5">
        <v>98414.190755999996</v>
      </c>
      <c r="E124" s="5">
        <v>4941.4164119999996</v>
      </c>
      <c r="F124" s="9">
        <v>0.15063121610941269</v>
      </c>
    </row>
    <row r="125" spans="1:6" x14ac:dyDescent="0.3">
      <c r="A125" s="4" t="s">
        <v>533</v>
      </c>
      <c r="B125">
        <v>17862</v>
      </c>
      <c r="C125">
        <v>13</v>
      </c>
      <c r="D125" s="5">
        <v>694106.45674702502</v>
      </c>
      <c r="E125" s="5">
        <v>6735.5537680403841</v>
      </c>
      <c r="F125" s="9">
        <v>0.12615096450030291</v>
      </c>
    </row>
    <row r="126" spans="1:6" x14ac:dyDescent="0.3">
      <c r="A126" s="4" t="s">
        <v>534</v>
      </c>
      <c r="B126">
        <v>28688</v>
      </c>
      <c r="C126">
        <v>44</v>
      </c>
      <c r="D126" s="5">
        <v>5042864.2984370552</v>
      </c>
      <c r="E126" s="5">
        <v>10978.922310581807</v>
      </c>
      <c r="F126" s="9">
        <v>9.5793293865813353E-2</v>
      </c>
    </row>
    <row r="127" spans="1:6" x14ac:dyDescent="0.3">
      <c r="A127" s="4" t="s">
        <v>535</v>
      </c>
      <c r="B127">
        <v>3929</v>
      </c>
      <c r="C127">
        <v>14</v>
      </c>
      <c r="D127" s="5">
        <v>663650.03045600001</v>
      </c>
      <c r="E127" s="5">
        <v>7151.3498897142854</v>
      </c>
      <c r="F127" s="9">
        <v>0.15086098675714274</v>
      </c>
    </row>
    <row r="128" spans="1:6" x14ac:dyDescent="0.3">
      <c r="A128" s="4" t="s">
        <v>528</v>
      </c>
      <c r="B128">
        <v>2505</v>
      </c>
      <c r="C128">
        <v>10</v>
      </c>
      <c r="D128" s="5">
        <v>507450.76</v>
      </c>
      <c r="E128" s="5">
        <v>5566</v>
      </c>
      <c r="F128" s="9">
        <v>0.10970000000000001</v>
      </c>
    </row>
    <row r="129" spans="1:6" x14ac:dyDescent="0.3">
      <c r="A129" s="4" t="s">
        <v>544</v>
      </c>
      <c r="B129">
        <v>720</v>
      </c>
      <c r="C129">
        <v>6</v>
      </c>
      <c r="D129" s="5">
        <v>237294.52205</v>
      </c>
      <c r="E129" s="5">
        <v>5691.4140916666665</v>
      </c>
      <c r="F129" s="9">
        <v>0.14390759742361275</v>
      </c>
    </row>
    <row r="130" spans="1:6" x14ac:dyDescent="0.3">
      <c r="A130" s="4" t="s">
        <v>545</v>
      </c>
      <c r="B130">
        <v>7185</v>
      </c>
      <c r="C130">
        <v>8</v>
      </c>
      <c r="D130" s="5">
        <v>352648.20903010003</v>
      </c>
      <c r="E130" s="5">
        <v>5528.6271225125001</v>
      </c>
      <c r="F130" s="9">
        <v>0.12541965575763031</v>
      </c>
    </row>
    <row r="131" spans="1:6" x14ac:dyDescent="0.3">
      <c r="A131" s="4" t="s">
        <v>549</v>
      </c>
      <c r="B131">
        <v>712</v>
      </c>
      <c r="C131">
        <v>5</v>
      </c>
      <c r="D131" s="5">
        <v>92087.856724999991</v>
      </c>
      <c r="E131" s="5">
        <v>3922.7838450000008</v>
      </c>
      <c r="F131" s="9">
        <v>0.21299137500368409</v>
      </c>
    </row>
    <row r="132" spans="1:6" x14ac:dyDescent="0.3">
      <c r="A132" s="4" t="s">
        <v>541</v>
      </c>
      <c r="B132">
        <v>6960</v>
      </c>
      <c r="C132">
        <v>20</v>
      </c>
      <c r="D132" s="5">
        <v>1271250.7189886128</v>
      </c>
      <c r="E132" s="5">
        <v>5679.2566258238612</v>
      </c>
      <c r="F132" s="9">
        <v>8.9349119587396414E-2</v>
      </c>
    </row>
    <row r="133" spans="1:6" x14ac:dyDescent="0.3">
      <c r="A133" s="4" t="s">
        <v>550</v>
      </c>
      <c r="B133">
        <v>2368</v>
      </c>
      <c r="C133">
        <v>26</v>
      </c>
      <c r="D133" s="5">
        <v>2361700.0044348501</v>
      </c>
      <c r="E133" s="5">
        <v>8394.4151563275645</v>
      </c>
      <c r="F133" s="9">
        <v>9.2414275163938353E-2</v>
      </c>
    </row>
    <row r="134" spans="1:6" x14ac:dyDescent="0.3">
      <c r="A134" s="4" t="s">
        <v>542</v>
      </c>
      <c r="B134">
        <v>63450</v>
      </c>
      <c r="C134">
        <v>78</v>
      </c>
      <c r="D134" s="5">
        <v>11310253.003362015</v>
      </c>
      <c r="E134" s="5">
        <v>11872.647244106254</v>
      </c>
      <c r="F134" s="9">
        <v>8.1878494209193298E-2</v>
      </c>
    </row>
    <row r="135" spans="1:6" x14ac:dyDescent="0.3">
      <c r="A135" s="4" t="s">
        <v>552</v>
      </c>
      <c r="B135">
        <v>3800</v>
      </c>
      <c r="C135">
        <v>12</v>
      </c>
      <c r="D135" s="5">
        <v>625497.63</v>
      </c>
      <c r="E135" s="5">
        <v>6560</v>
      </c>
      <c r="F135" s="9">
        <v>0.1258</v>
      </c>
    </row>
    <row r="136" spans="1:6" x14ac:dyDescent="0.3">
      <c r="A136" s="4" t="s">
        <v>553</v>
      </c>
      <c r="B136">
        <v>2000</v>
      </c>
      <c r="C136">
        <v>5</v>
      </c>
      <c r="D136" s="5">
        <v>142487.02977200001</v>
      </c>
      <c r="E136" s="5">
        <v>4369.6149544</v>
      </c>
      <c r="F136" s="9">
        <v>0.15333377927071748</v>
      </c>
    </row>
    <row r="137" spans="1:6" x14ac:dyDescent="0.3">
      <c r="A137" s="4" t="s">
        <v>558</v>
      </c>
      <c r="B137">
        <v>900</v>
      </c>
      <c r="C137">
        <v>2</v>
      </c>
      <c r="D137" s="5">
        <v>33116.224221919998</v>
      </c>
      <c r="E137" s="5">
        <v>3498.3550010933336</v>
      </c>
      <c r="F137" s="9">
        <v>0.21127740757219135</v>
      </c>
    </row>
    <row r="138" spans="1:6" x14ac:dyDescent="0.3">
      <c r="A138" s="4" t="s">
        <v>569</v>
      </c>
      <c r="B138">
        <v>2226</v>
      </c>
      <c r="C138">
        <v>20</v>
      </c>
      <c r="D138" s="5">
        <v>1319031.81</v>
      </c>
      <c r="E138" s="5">
        <v>7378</v>
      </c>
      <c r="F138" s="9">
        <v>0.1119</v>
      </c>
    </row>
    <row r="139" spans="1:6" x14ac:dyDescent="0.3">
      <c r="A139" s="4" t="s">
        <v>570</v>
      </c>
      <c r="B139">
        <v>6700</v>
      </c>
      <c r="C139">
        <v>5</v>
      </c>
      <c r="D139" s="5">
        <v>259246.46407103998</v>
      </c>
      <c r="E139" s="5">
        <v>8020.4992782079989</v>
      </c>
      <c r="F139" s="9">
        <v>0.15468869183901737</v>
      </c>
    </row>
    <row r="140" spans="1:6" x14ac:dyDescent="0.3">
      <c r="A140" s="4" t="s">
        <v>561</v>
      </c>
      <c r="B140">
        <v>2011</v>
      </c>
      <c r="C140">
        <v>3</v>
      </c>
      <c r="D140" s="5">
        <v>62143.998399999997</v>
      </c>
      <c r="E140" s="5">
        <v>4260.1328000000003</v>
      </c>
      <c r="F140" s="9">
        <v>0.20565780653083951</v>
      </c>
    </row>
    <row r="141" spans="1:6" x14ac:dyDescent="0.3">
      <c r="A141" s="4" t="s">
        <v>564</v>
      </c>
      <c r="B141">
        <v>2137</v>
      </c>
      <c r="C141">
        <v>8</v>
      </c>
      <c r="D141" s="5">
        <v>291004.69780794933</v>
      </c>
      <c r="E141" s="5">
        <v>5947.608712401</v>
      </c>
      <c r="F141" s="9">
        <v>0.16350550371736383</v>
      </c>
    </row>
    <row r="142" spans="1:6" x14ac:dyDescent="0.3">
      <c r="A142" s="4" t="s">
        <v>571</v>
      </c>
      <c r="B142">
        <v>5000</v>
      </c>
      <c r="C142">
        <v>6</v>
      </c>
      <c r="D142" s="5">
        <v>189420.47</v>
      </c>
      <c r="E142" s="5"/>
      <c r="F142" s="9">
        <v>0.15</v>
      </c>
    </row>
    <row r="143" spans="1:6" x14ac:dyDescent="0.3">
      <c r="A143" s="4" t="s">
        <v>573</v>
      </c>
      <c r="B143">
        <v>5081</v>
      </c>
      <c r="C143">
        <v>4</v>
      </c>
      <c r="D143" s="5">
        <v>162658.63</v>
      </c>
      <c r="E143" s="5">
        <v>8673</v>
      </c>
      <c r="F143" s="9">
        <v>0.21329999999999999</v>
      </c>
    </row>
    <row r="144" spans="1:6" x14ac:dyDescent="0.3">
      <c r="A144" s="4" t="s">
        <v>574</v>
      </c>
      <c r="B144">
        <v>3998</v>
      </c>
      <c r="C144">
        <v>12</v>
      </c>
      <c r="D144" s="5">
        <v>437092.24776</v>
      </c>
      <c r="E144" s="5">
        <v>5844.3346466666662</v>
      </c>
      <c r="F144" s="9">
        <v>0.1604512917339781</v>
      </c>
    </row>
    <row r="145" spans="1:6" x14ac:dyDescent="0.3">
      <c r="A145" s="4" t="s">
        <v>576</v>
      </c>
      <c r="B145">
        <v>2700</v>
      </c>
      <c r="C145">
        <v>22</v>
      </c>
      <c r="D145" s="5">
        <v>1543019.7543880499</v>
      </c>
      <c r="E145" s="5">
        <v>7548.2909602664768</v>
      </c>
      <c r="F145" s="9">
        <v>0.10762169483158794</v>
      </c>
    </row>
    <row r="146" spans="1:6" x14ac:dyDescent="0.3">
      <c r="A146" s="4" t="s">
        <v>577</v>
      </c>
      <c r="B146">
        <v>3998</v>
      </c>
      <c r="C146">
        <v>3</v>
      </c>
      <c r="D146" s="5">
        <v>166080.29172000001</v>
      </c>
      <c r="E146" s="5">
        <v>6114.0959066666655</v>
      </c>
      <c r="F146" s="9">
        <v>0.11044228987099708</v>
      </c>
    </row>
    <row r="147" spans="1:6" x14ac:dyDescent="0.3">
      <c r="A147" s="4" t="s">
        <v>578</v>
      </c>
      <c r="B147">
        <v>3929</v>
      </c>
      <c r="C147">
        <v>5</v>
      </c>
      <c r="D147" s="5">
        <v>205650.80122786667</v>
      </c>
      <c r="E147" s="5">
        <v>2870.8416669066673</v>
      </c>
      <c r="F147" s="9">
        <v>6.9798941938614106E-2</v>
      </c>
    </row>
    <row r="148" spans="1:6" x14ac:dyDescent="0.3">
      <c r="A148" s="4" t="s">
        <v>580</v>
      </c>
      <c r="B148">
        <v>1000</v>
      </c>
      <c r="C148">
        <v>12</v>
      </c>
      <c r="D148" s="5">
        <v>2642188.54</v>
      </c>
      <c r="E148" s="5">
        <v>15370</v>
      </c>
      <c r="F148" s="9">
        <v>6.9800000000000001E-2</v>
      </c>
    </row>
    <row r="149" spans="1:6" x14ac:dyDescent="0.3">
      <c r="A149" s="4" t="s">
        <v>583</v>
      </c>
      <c r="B149">
        <v>1429</v>
      </c>
      <c r="C149">
        <v>6</v>
      </c>
      <c r="D149" s="5">
        <v>210946.00114064</v>
      </c>
      <c r="E149" s="5">
        <v>5887.4841724399994</v>
      </c>
      <c r="F149" s="9">
        <v>0.1674594675586597</v>
      </c>
    </row>
    <row r="150" spans="1:6" x14ac:dyDescent="0.3">
      <c r="A150" s="4" t="s">
        <v>585</v>
      </c>
      <c r="B150">
        <v>5500</v>
      </c>
      <c r="C150">
        <v>8</v>
      </c>
      <c r="D150" s="5">
        <v>269273.29502700001</v>
      </c>
      <c r="E150" s="5">
        <v>6580.3330712500001</v>
      </c>
      <c r="F150" s="9">
        <v>0.21504891905895709</v>
      </c>
    </row>
    <row r="151" spans="1:6" x14ac:dyDescent="0.3">
      <c r="A151" s="4" t="s">
        <v>586</v>
      </c>
      <c r="B151">
        <v>1000</v>
      </c>
      <c r="C151">
        <v>1</v>
      </c>
      <c r="D151" s="5">
        <v>30803.241333333332</v>
      </c>
      <c r="E151" s="5">
        <v>8651.0946666666659</v>
      </c>
      <c r="F151" s="9">
        <v>0.28085014083582804</v>
      </c>
    </row>
    <row r="152" spans="1:6" x14ac:dyDescent="0.3">
      <c r="A152" s="4" t="s">
        <v>587</v>
      </c>
      <c r="B152">
        <v>1000</v>
      </c>
      <c r="C152">
        <v>1</v>
      </c>
      <c r="D152" s="5">
        <v>39098.558253333329</v>
      </c>
      <c r="E152" s="5">
        <v>9440.2063866666667</v>
      </c>
      <c r="F152" s="9">
        <v>0.24144640642502072</v>
      </c>
    </row>
    <row r="153" spans="1:6" x14ac:dyDescent="0.3">
      <c r="A153" s="4" t="s">
        <v>599</v>
      </c>
      <c r="B153">
        <v>1950</v>
      </c>
      <c r="C153">
        <v>6</v>
      </c>
      <c r="D153" s="5">
        <v>251397.39634399998</v>
      </c>
      <c r="E153" s="5">
        <v>7608.1715923333331</v>
      </c>
      <c r="F153" s="9">
        <v>0.18158115484830276</v>
      </c>
    </row>
    <row r="154" spans="1:6" x14ac:dyDescent="0.3">
      <c r="A154" s="4" t="s">
        <v>588</v>
      </c>
      <c r="B154">
        <v>900</v>
      </c>
      <c r="C154">
        <v>2</v>
      </c>
      <c r="D154" s="5">
        <v>49855</v>
      </c>
      <c r="E154" s="5">
        <v>5896.75</v>
      </c>
      <c r="F154" s="9">
        <v>0.23655601243606458</v>
      </c>
    </row>
    <row r="155" spans="1:6" x14ac:dyDescent="0.3">
      <c r="A155" s="4" t="s">
        <v>601</v>
      </c>
      <c r="B155">
        <v>3520</v>
      </c>
      <c r="C155">
        <v>12</v>
      </c>
      <c r="D155" s="5">
        <v>894068.55592704006</v>
      </c>
      <c r="E155" s="5">
        <v>8090.8063272533336</v>
      </c>
      <c r="F155" s="9">
        <v>0.10859309980583072</v>
      </c>
    </row>
    <row r="156" spans="1:6" x14ac:dyDescent="0.3">
      <c r="A156" s="4" t="s">
        <v>622</v>
      </c>
      <c r="B156">
        <v>6225</v>
      </c>
      <c r="C156">
        <v>12</v>
      </c>
      <c r="D156" s="5">
        <v>480359.99874120933</v>
      </c>
      <c r="E156" s="5">
        <v>6671.6244106046515</v>
      </c>
      <c r="F156" s="9">
        <v>0.16666561149357345</v>
      </c>
    </row>
    <row r="157" spans="1:6" x14ac:dyDescent="0.3">
      <c r="A157" s="4" t="s">
        <v>615</v>
      </c>
      <c r="B157">
        <v>3341</v>
      </c>
      <c r="C157">
        <v>8</v>
      </c>
      <c r="D157" s="5">
        <v>318233.00280878</v>
      </c>
      <c r="E157" s="5">
        <v>7255.5881475849992</v>
      </c>
      <c r="F157" s="9">
        <v>0.18239687483185998</v>
      </c>
    </row>
    <row r="158" spans="1:6" x14ac:dyDescent="0.3">
      <c r="A158" s="4" t="s">
        <v>607</v>
      </c>
      <c r="B158">
        <v>3998</v>
      </c>
      <c r="C158">
        <v>16</v>
      </c>
      <c r="D158" s="5">
        <v>1225357.4024160001</v>
      </c>
      <c r="E158" s="5">
        <v>9119.8794509999989</v>
      </c>
      <c r="F158" s="9">
        <v>0.11908204979893844</v>
      </c>
    </row>
    <row r="159" spans="1:6" x14ac:dyDescent="0.3">
      <c r="A159" s="4" t="s">
        <v>617</v>
      </c>
      <c r="B159">
        <v>1755</v>
      </c>
      <c r="C159">
        <v>8</v>
      </c>
      <c r="D159" s="5">
        <v>369736.67131833336</v>
      </c>
      <c r="E159" s="5">
        <v>7649.1591699999999</v>
      </c>
      <c r="F159" s="9">
        <v>0.1655050150741316</v>
      </c>
    </row>
    <row r="160" spans="1:6" x14ac:dyDescent="0.3">
      <c r="A160" s="4" t="s">
        <v>616</v>
      </c>
      <c r="B160">
        <v>1429</v>
      </c>
      <c r="C160">
        <v>6</v>
      </c>
      <c r="D160" s="5">
        <v>210946.00114064</v>
      </c>
      <c r="E160" s="5">
        <v>5887.4841724399994</v>
      </c>
      <c r="F160" s="9">
        <v>0.1674594675586597</v>
      </c>
    </row>
    <row r="161" spans="1:6" x14ac:dyDescent="0.3">
      <c r="A161" s="4" t="s">
        <v>618</v>
      </c>
      <c r="B161">
        <v>7424</v>
      </c>
      <c r="C161">
        <v>6</v>
      </c>
      <c r="D161" s="5">
        <v>152743.98632630002</v>
      </c>
      <c r="E161" s="5">
        <v>6552.0035377166678</v>
      </c>
      <c r="F161" s="9">
        <v>0.25737197366526449</v>
      </c>
    </row>
    <row r="162" spans="1:6" x14ac:dyDescent="0.3">
      <c r="A162" s="4" t="s">
        <v>619</v>
      </c>
      <c r="B162">
        <v>2380</v>
      </c>
      <c r="C162">
        <v>4</v>
      </c>
      <c r="D162" s="5">
        <v>161205.01185164999</v>
      </c>
      <c r="E162" s="5">
        <v>5405.7529629125002</v>
      </c>
      <c r="F162" s="9">
        <v>0.13413362030920431</v>
      </c>
    </row>
    <row r="163" spans="1:6" x14ac:dyDescent="0.3">
      <c r="A163" s="4" t="s">
        <v>612</v>
      </c>
      <c r="B163">
        <v>1000</v>
      </c>
      <c r="C163">
        <v>7</v>
      </c>
      <c r="D163" s="5">
        <v>197464.71945599999</v>
      </c>
      <c r="E163" s="5">
        <v>6563.2682065714298</v>
      </c>
      <c r="F163" s="9">
        <v>0.23266372632320889</v>
      </c>
    </row>
    <row r="164" spans="1:6" x14ac:dyDescent="0.3">
      <c r="A164" s="4" t="s">
        <v>620</v>
      </c>
      <c r="B164">
        <v>2372</v>
      </c>
      <c r="C164">
        <v>4</v>
      </c>
      <c r="D164" s="5">
        <v>157649.99952000001</v>
      </c>
      <c r="E164" s="5">
        <v>5544.4419531249996</v>
      </c>
      <c r="F164" s="9">
        <v>0.14067724630526529</v>
      </c>
    </row>
    <row r="165" spans="1:6" x14ac:dyDescent="0.3">
      <c r="A165" s="4" t="s">
        <v>626</v>
      </c>
      <c r="B165">
        <v>26500</v>
      </c>
      <c r="C165">
        <v>4</v>
      </c>
      <c r="D165" s="5">
        <v>144617.748345</v>
      </c>
      <c r="E165" s="5">
        <v>2316.5683612499997</v>
      </c>
      <c r="F165" s="9">
        <v>6.4074247808743254E-2</v>
      </c>
    </row>
    <row r="166" spans="1:6" x14ac:dyDescent="0.3">
      <c r="A166" s="4" t="s">
        <v>635</v>
      </c>
      <c r="B166">
        <v>11000</v>
      </c>
      <c r="C166">
        <v>4</v>
      </c>
      <c r="D166" s="5">
        <v>125026</v>
      </c>
      <c r="E166" s="5">
        <v>6467.0959374999993</v>
      </c>
      <c r="F166" s="9">
        <v>0.2069040339609361</v>
      </c>
    </row>
    <row r="167" spans="1:6" x14ac:dyDescent="0.3">
      <c r="A167" s="4" t="s">
        <v>632</v>
      </c>
      <c r="B167">
        <v>4968</v>
      </c>
      <c r="C167">
        <v>16</v>
      </c>
      <c r="D167" s="5">
        <v>994486.01828855998</v>
      </c>
      <c r="E167" s="5">
        <v>7334.1259716100003</v>
      </c>
      <c r="F167" s="9">
        <v>0.11799664689877107</v>
      </c>
    </row>
    <row r="168" spans="1:6" x14ac:dyDescent="0.3">
      <c r="A168" s="4" t="s">
        <v>634</v>
      </c>
      <c r="B168">
        <v>65592</v>
      </c>
      <c r="C168">
        <v>60</v>
      </c>
      <c r="D168" s="5">
        <v>11119373.088187641</v>
      </c>
      <c r="E168" s="5">
        <v>12295.167980787739</v>
      </c>
      <c r="F168" s="9">
        <v>6.6344574734249206E-2</v>
      </c>
    </row>
    <row r="169" spans="1:6" x14ac:dyDescent="0.3">
      <c r="A169" s="4" t="s">
        <v>642</v>
      </c>
      <c r="B169">
        <v>8502</v>
      </c>
      <c r="C169">
        <v>12</v>
      </c>
      <c r="D169" s="5">
        <v>850331.24867200002</v>
      </c>
      <c r="E169" s="5">
        <v>9547.3698259999983</v>
      </c>
      <c r="F169" s="9">
        <v>0.13473389116409232</v>
      </c>
    </row>
    <row r="170" spans="1:6" x14ac:dyDescent="0.3">
      <c r="A170" s="4" t="s">
        <v>643</v>
      </c>
      <c r="B170">
        <v>47128</v>
      </c>
      <c r="C170">
        <v>26</v>
      </c>
      <c r="D170" s="5">
        <v>2593979.0002475749</v>
      </c>
      <c r="E170" s="5">
        <v>10455.589062458332</v>
      </c>
      <c r="F170" s="9">
        <v>0.10479857994146102</v>
      </c>
    </row>
    <row r="171" spans="1:6" x14ac:dyDescent="0.3">
      <c r="A171" s="4" t="s">
        <v>641</v>
      </c>
      <c r="B171">
        <v>1347</v>
      </c>
      <c r="C171">
        <v>3</v>
      </c>
      <c r="D171" s="5">
        <v>67359.99997759999</v>
      </c>
      <c r="E171" s="5">
        <v>4672.5216886666658</v>
      </c>
      <c r="F171" s="9">
        <v>0.20809924392312087</v>
      </c>
    </row>
    <row r="172" spans="1:6" x14ac:dyDescent="0.3">
      <c r="A172" s="4" t="s">
        <v>651</v>
      </c>
      <c r="B172">
        <v>300</v>
      </c>
      <c r="C172">
        <v>3</v>
      </c>
      <c r="D172" s="5">
        <v>86763.00378544</v>
      </c>
      <c r="E172" s="5">
        <v>6866.0517841133333</v>
      </c>
      <c r="F172" s="9">
        <v>0.2374</v>
      </c>
    </row>
    <row r="173" spans="1:6" x14ac:dyDescent="0.3">
      <c r="A173" s="4" t="s">
        <v>664</v>
      </c>
      <c r="C173">
        <v>24</v>
      </c>
      <c r="D173" s="5">
        <v>1274304.6439536</v>
      </c>
      <c r="E173" s="5">
        <v>6945.8449312916664</v>
      </c>
      <c r="F173" s="9">
        <v>0.13081666078984319</v>
      </c>
    </row>
    <row r="174" spans="1:6" x14ac:dyDescent="0.3">
      <c r="A174" s="4" t="s">
        <v>665</v>
      </c>
      <c r="B174">
        <v>3000</v>
      </c>
      <c r="C174">
        <v>3</v>
      </c>
      <c r="D174" s="5">
        <v>97298.58920799999</v>
      </c>
      <c r="E174" s="5">
        <v>7986.1625846666675</v>
      </c>
      <c r="F174" s="9">
        <v>0.24623674350285554</v>
      </c>
    </row>
    <row r="175" spans="1:6" x14ac:dyDescent="0.3">
      <c r="A175" s="4" t="s">
        <v>668</v>
      </c>
      <c r="B175">
        <v>100</v>
      </c>
      <c r="C175">
        <v>1</v>
      </c>
      <c r="D175" s="5">
        <v>7150</v>
      </c>
      <c r="E175" s="5">
        <v>715</v>
      </c>
      <c r="F175" s="9">
        <v>0.15</v>
      </c>
    </row>
    <row r="176" spans="1:6" x14ac:dyDescent="0.3">
      <c r="A176" s="4" t="s">
        <v>671</v>
      </c>
      <c r="B176">
        <v>1200</v>
      </c>
      <c r="C176">
        <v>1</v>
      </c>
      <c r="D176" s="5">
        <v>6695</v>
      </c>
      <c r="E176" s="5">
        <v>670</v>
      </c>
      <c r="F176" s="9">
        <v>0.1</v>
      </c>
    </row>
    <row r="177" spans="1:6" x14ac:dyDescent="0.3">
      <c r="A177" s="4" t="s">
        <v>676</v>
      </c>
      <c r="B177">
        <v>1715</v>
      </c>
      <c r="C177">
        <v>5</v>
      </c>
      <c r="D177" s="5">
        <v>155999.99926834999</v>
      </c>
      <c r="E177" s="5">
        <v>5033.9345042499999</v>
      </c>
      <c r="F177" s="9">
        <v>0.1613440553801114</v>
      </c>
    </row>
    <row r="178" spans="1:6" x14ac:dyDescent="0.3">
      <c r="A178" s="4" t="s">
        <v>678</v>
      </c>
      <c r="B178">
        <v>51456</v>
      </c>
      <c r="C178">
        <v>68</v>
      </c>
      <c r="D178" s="5">
        <v>9398802.416762935</v>
      </c>
      <c r="E178" s="5">
        <v>9710.8633653237084</v>
      </c>
      <c r="F178" s="9">
        <v>7.0257749823986734E-2</v>
      </c>
    </row>
    <row r="179" spans="1:6" x14ac:dyDescent="0.3">
      <c r="A179" s="4" t="s">
        <v>682</v>
      </c>
      <c r="B179">
        <v>3691</v>
      </c>
      <c r="C179">
        <v>7</v>
      </c>
      <c r="D179" s="5">
        <v>309801.00248542504</v>
      </c>
      <c r="E179" s="5">
        <v>5969.7922462178567</v>
      </c>
      <c r="F179" s="9">
        <v>0.13488834893454224</v>
      </c>
    </row>
    <row r="180" spans="1:6" x14ac:dyDescent="0.3">
      <c r="A180" s="4" t="s">
        <v>673</v>
      </c>
      <c r="B180">
        <v>5905</v>
      </c>
      <c r="C180">
        <v>10</v>
      </c>
      <c r="D180" s="5">
        <v>391471.279155</v>
      </c>
      <c r="E180" s="5">
        <v>7773.507785650002</v>
      </c>
      <c r="F180" s="9">
        <v>0.19857159897986137</v>
      </c>
    </row>
    <row r="181" spans="1:6" x14ac:dyDescent="0.3">
      <c r="A181" s="4" t="s">
        <v>683</v>
      </c>
      <c r="B181">
        <v>42700</v>
      </c>
      <c r="C181">
        <v>24</v>
      </c>
      <c r="D181" s="5">
        <v>2697903.27</v>
      </c>
      <c r="E181" s="5">
        <v>9313.4979166666672</v>
      </c>
      <c r="F181" s="9">
        <v>8.2900000000000001E-2</v>
      </c>
    </row>
    <row r="182" spans="1:6" x14ac:dyDescent="0.3">
      <c r="A182" s="4" t="s">
        <v>685</v>
      </c>
      <c r="B182">
        <v>1690</v>
      </c>
      <c r="C182">
        <v>6</v>
      </c>
      <c r="D182" s="5">
        <v>235259.99786319997</v>
      </c>
      <c r="E182" s="5">
        <v>5107.0530582499996</v>
      </c>
      <c r="F182" s="9">
        <v>0.13024874023555008</v>
      </c>
    </row>
    <row r="183" spans="1:6" x14ac:dyDescent="0.3">
      <c r="A183" s="4" t="s">
        <v>684</v>
      </c>
      <c r="B183">
        <v>3080</v>
      </c>
      <c r="C183">
        <v>5</v>
      </c>
      <c r="D183" s="5">
        <v>156848.62119675</v>
      </c>
      <c r="E183" s="5">
        <v>4503.6622604499998</v>
      </c>
      <c r="F183" s="9">
        <v>0.1435671613204885</v>
      </c>
    </row>
    <row r="184" spans="1:6" x14ac:dyDescent="0.3">
      <c r="A184" s="4" t="s">
        <v>694</v>
      </c>
      <c r="B184">
        <v>5000</v>
      </c>
      <c r="C184">
        <v>3</v>
      </c>
      <c r="D184" s="5">
        <v>67373.899999999994</v>
      </c>
      <c r="E184" s="5">
        <v>5008.3</v>
      </c>
      <c r="F184" s="9">
        <v>0.223</v>
      </c>
    </row>
    <row r="185" spans="1:6" x14ac:dyDescent="0.3">
      <c r="A185" s="4" t="s">
        <v>699</v>
      </c>
      <c r="B185">
        <v>1400</v>
      </c>
      <c r="C185">
        <v>6</v>
      </c>
      <c r="D185" s="5">
        <v>105470.002592</v>
      </c>
      <c r="E185" s="5">
        <v>3739.675138666667</v>
      </c>
      <c r="F185" s="9">
        <v>0.21274343681206989</v>
      </c>
    </row>
    <row r="186" spans="1:6" x14ac:dyDescent="0.3">
      <c r="A186" s="4" t="s">
        <v>705</v>
      </c>
      <c r="B186">
        <v>25500</v>
      </c>
      <c r="C186">
        <v>48</v>
      </c>
      <c r="D186" s="5">
        <v>5233879.0849899165</v>
      </c>
      <c r="E186" s="5">
        <v>10309.50485769304</v>
      </c>
      <c r="F186" s="9">
        <v>9.4548656003240333E-2</v>
      </c>
    </row>
    <row r="187" spans="1:6" x14ac:dyDescent="0.3">
      <c r="A187" s="4" t="s">
        <v>709</v>
      </c>
      <c r="B187">
        <v>2880</v>
      </c>
      <c r="C187">
        <v>6</v>
      </c>
      <c r="D187" s="5">
        <v>107220.00475759999</v>
      </c>
      <c r="E187" s="5">
        <v>3599.49315475</v>
      </c>
      <c r="F187" s="9">
        <v>0.2014265805837801</v>
      </c>
    </row>
    <row r="188" spans="1:6" x14ac:dyDescent="0.3">
      <c r="A188" s="4" t="s">
        <v>742</v>
      </c>
      <c r="B188">
        <v>1085</v>
      </c>
      <c r="C188">
        <v>16</v>
      </c>
      <c r="D188" s="5">
        <v>965021.23</v>
      </c>
      <c r="E188" s="5">
        <v>7327</v>
      </c>
      <c r="F188" s="9">
        <v>0.1215</v>
      </c>
    </row>
    <row r="189" spans="1:6" x14ac:dyDescent="0.3">
      <c r="A189" s="4" t="s">
        <v>758</v>
      </c>
      <c r="B189">
        <v>1630</v>
      </c>
      <c r="C189">
        <v>6</v>
      </c>
      <c r="D189" s="5">
        <v>201980.19576</v>
      </c>
      <c r="E189" s="5">
        <v>6509.5863083333343</v>
      </c>
      <c r="F189" s="9">
        <v>0.19337300720516939</v>
      </c>
    </row>
    <row r="190" spans="1:6" x14ac:dyDescent="0.3">
      <c r="A190" s="4" t="s">
        <v>759</v>
      </c>
      <c r="B190">
        <v>1630</v>
      </c>
      <c r="C190">
        <v>1</v>
      </c>
      <c r="D190" s="5">
        <v>37072.430640000006</v>
      </c>
      <c r="E190" s="5">
        <v>6266.2874000000002</v>
      </c>
      <c r="F190" s="9">
        <v>0.16902823181059162</v>
      </c>
    </row>
    <row r="191" spans="1:6" x14ac:dyDescent="0.3">
      <c r="A191" s="4" t="s">
        <v>739</v>
      </c>
      <c r="B191">
        <v>3818</v>
      </c>
      <c r="C191">
        <v>20</v>
      </c>
      <c r="D191" s="5">
        <v>1202154.4098649765</v>
      </c>
      <c r="E191" s="5">
        <v>7161.812834191046</v>
      </c>
      <c r="F191" s="9">
        <v>0.13106459624425434</v>
      </c>
    </row>
    <row r="192" spans="1:6" x14ac:dyDescent="0.3">
      <c r="A192" s="4" t="s">
        <v>747</v>
      </c>
      <c r="B192">
        <v>734</v>
      </c>
      <c r="C192">
        <v>4</v>
      </c>
      <c r="D192" s="5">
        <v>183293.99910358002</v>
      </c>
      <c r="E192" s="5">
        <v>7287.1755274200004</v>
      </c>
      <c r="F192" s="9">
        <v>0.15902703990438868</v>
      </c>
    </row>
    <row r="193" spans="1:6" x14ac:dyDescent="0.3">
      <c r="A193" s="3" t="s">
        <v>90</v>
      </c>
      <c r="D193" s="5"/>
      <c r="E193" s="5"/>
      <c r="F193" s="9"/>
    </row>
    <row r="194" spans="1:6" x14ac:dyDescent="0.3">
      <c r="A194" s="4" t="s">
        <v>186</v>
      </c>
      <c r="B194">
        <v>2175</v>
      </c>
      <c r="C194">
        <v>4</v>
      </c>
      <c r="D194" s="5">
        <v>154870.15299999999</v>
      </c>
      <c r="E194" s="5">
        <v>6412.3607499999998</v>
      </c>
      <c r="F194" s="9">
        <v>0.16561902021237107</v>
      </c>
    </row>
    <row r="195" spans="1:6" x14ac:dyDescent="0.3">
      <c r="A195" s="4" t="s">
        <v>113</v>
      </c>
      <c r="B195">
        <v>1300</v>
      </c>
      <c r="C195">
        <v>1</v>
      </c>
      <c r="D195" s="5">
        <v>23862.003237499997</v>
      </c>
      <c r="E195" s="5">
        <v>4754.5032375000001</v>
      </c>
      <c r="F195" s="9">
        <v>0.19924996196581379</v>
      </c>
    </row>
    <row r="196" spans="1:6" x14ac:dyDescent="0.3">
      <c r="A196" s="4" t="s">
        <v>205</v>
      </c>
      <c r="B196">
        <v>3596</v>
      </c>
      <c r="C196">
        <v>20</v>
      </c>
      <c r="D196" s="5">
        <v>702515.73452431639</v>
      </c>
      <c r="E196" s="5">
        <v>4842.0226878127387</v>
      </c>
      <c r="F196" s="9">
        <v>0.13784809221650651</v>
      </c>
    </row>
    <row r="197" spans="1:6" x14ac:dyDescent="0.3">
      <c r="A197" s="4" t="s">
        <v>140</v>
      </c>
      <c r="D197" s="5">
        <v>2400000</v>
      </c>
      <c r="E197" s="5"/>
      <c r="F197" s="9">
        <v>0.08</v>
      </c>
    </row>
    <row r="198" spans="1:6" x14ac:dyDescent="0.3">
      <c r="A198" s="4" t="s">
        <v>153</v>
      </c>
      <c r="B198">
        <v>2400</v>
      </c>
      <c r="C198">
        <v>3</v>
      </c>
      <c r="D198" s="5">
        <v>108666.00200000001</v>
      </c>
      <c r="E198" s="5">
        <v>6059.0339999999997</v>
      </c>
      <c r="F198" s="9">
        <v>0.1672749679333928</v>
      </c>
    </row>
    <row r="199" spans="1:6" x14ac:dyDescent="0.3">
      <c r="A199" s="4" t="s">
        <v>175</v>
      </c>
      <c r="B199">
        <v>35000</v>
      </c>
      <c r="C199">
        <v>26</v>
      </c>
      <c r="D199" s="5">
        <v>2300000</v>
      </c>
      <c r="E199" s="5"/>
      <c r="F199" s="9"/>
    </row>
    <row r="200" spans="1:6" x14ac:dyDescent="0.3">
      <c r="A200" s="4" t="s">
        <v>144</v>
      </c>
      <c r="D200" s="5">
        <v>166349.51999999999</v>
      </c>
      <c r="E200" s="5"/>
      <c r="F200" s="9">
        <v>0.16600000000000001</v>
      </c>
    </row>
    <row r="201" spans="1:6" x14ac:dyDescent="0.3">
      <c r="A201" s="4" t="s">
        <v>161</v>
      </c>
      <c r="B201">
        <v>1600</v>
      </c>
      <c r="C201">
        <v>2</v>
      </c>
      <c r="D201" s="5">
        <v>17379.201239999999</v>
      </c>
      <c r="E201" s="5">
        <v>2397.1006200000002</v>
      </c>
      <c r="F201" s="9">
        <v>0.27585854918151581</v>
      </c>
    </row>
    <row r="202" spans="1:6" x14ac:dyDescent="0.3">
      <c r="A202" s="4" t="s">
        <v>79</v>
      </c>
      <c r="C202">
        <v>0</v>
      </c>
      <c r="D202" s="5">
        <v>750000</v>
      </c>
      <c r="E202" s="5">
        <v>0</v>
      </c>
      <c r="F202" s="9">
        <v>0</v>
      </c>
    </row>
    <row r="203" spans="1:6" x14ac:dyDescent="0.3">
      <c r="A203" s="4" t="s">
        <v>146</v>
      </c>
      <c r="D203" s="5">
        <v>169062</v>
      </c>
      <c r="E203" s="5"/>
      <c r="F203" s="9">
        <v>0.1368</v>
      </c>
    </row>
    <row r="204" spans="1:6" x14ac:dyDescent="0.3">
      <c r="A204" s="4" t="s">
        <v>68</v>
      </c>
      <c r="B204">
        <v>850</v>
      </c>
      <c r="C204">
        <v>2</v>
      </c>
      <c r="D204" s="5">
        <v>31401.64</v>
      </c>
      <c r="E204" s="5">
        <v>3504</v>
      </c>
      <c r="F204" s="9">
        <v>0.22320000000000001</v>
      </c>
    </row>
    <row r="205" spans="1:6" x14ac:dyDescent="0.3">
      <c r="A205" s="4" t="s">
        <v>165</v>
      </c>
      <c r="B205">
        <v>10821.73</v>
      </c>
      <c r="C205">
        <v>24</v>
      </c>
      <c r="D205" s="5">
        <v>1210847.5980999998</v>
      </c>
      <c r="E205" s="5">
        <v>3160.4583333333335</v>
      </c>
      <c r="F205" s="9">
        <v>6.2642895868168305E-2</v>
      </c>
    </row>
    <row r="206" spans="1:6" x14ac:dyDescent="0.3">
      <c r="A206" s="4" t="s">
        <v>150</v>
      </c>
      <c r="D206" s="5">
        <v>532650</v>
      </c>
      <c r="E206" s="5"/>
      <c r="F206" s="9">
        <v>9.7199999999999995E-2</v>
      </c>
    </row>
    <row r="207" spans="1:6" x14ac:dyDescent="0.3">
      <c r="A207" s="4" t="s">
        <v>111</v>
      </c>
      <c r="B207">
        <v>950</v>
      </c>
      <c r="C207">
        <v>5</v>
      </c>
      <c r="D207" s="5">
        <v>219672.116928</v>
      </c>
      <c r="E207" s="5">
        <v>5193.7153855999995</v>
      </c>
      <c r="F207" s="9">
        <v>0.11821517127961893</v>
      </c>
    </row>
    <row r="208" spans="1:6" x14ac:dyDescent="0.3">
      <c r="A208" s="4" t="s">
        <v>204</v>
      </c>
      <c r="B208">
        <v>9968</v>
      </c>
      <c r="C208">
        <v>7</v>
      </c>
      <c r="D208" s="5">
        <v>249619.99671760001</v>
      </c>
      <c r="E208" s="5">
        <v>6382.5669025142861</v>
      </c>
      <c r="F208" s="9">
        <v>0.17898393119580505</v>
      </c>
    </row>
    <row r="209" spans="1:6" x14ac:dyDescent="0.3">
      <c r="A209" s="4" t="s">
        <v>47</v>
      </c>
      <c r="B209">
        <v>5000</v>
      </c>
      <c r="C209">
        <v>14</v>
      </c>
      <c r="D209" s="5">
        <v>727727.98</v>
      </c>
      <c r="E209" s="5">
        <v>5248.08</v>
      </c>
      <c r="F209" s="9">
        <v>0.10100000000000001</v>
      </c>
    </row>
    <row r="210" spans="1:6" x14ac:dyDescent="0.3">
      <c r="A210" s="4" t="s">
        <v>83</v>
      </c>
      <c r="C210">
        <v>8</v>
      </c>
      <c r="D210" s="5">
        <v>374945</v>
      </c>
      <c r="E210" s="5">
        <v>5425.51</v>
      </c>
      <c r="F210" s="9">
        <v>0.1158</v>
      </c>
    </row>
    <row r="211" spans="1:6" x14ac:dyDescent="0.3">
      <c r="A211" s="4" t="s">
        <v>142</v>
      </c>
      <c r="D211" s="5">
        <v>276288</v>
      </c>
      <c r="E211" s="5"/>
      <c r="F211" s="9">
        <v>0.10150000000000001</v>
      </c>
    </row>
    <row r="212" spans="1:6" x14ac:dyDescent="0.3">
      <c r="A212" s="4" t="s">
        <v>61</v>
      </c>
      <c r="B212">
        <v>1587</v>
      </c>
      <c r="C212">
        <v>10</v>
      </c>
      <c r="D212" s="5">
        <v>380186.18</v>
      </c>
      <c r="E212" s="5">
        <v>4578</v>
      </c>
      <c r="F212" s="9">
        <v>0.12039999999999999</v>
      </c>
    </row>
    <row r="213" spans="1:6" x14ac:dyDescent="0.3">
      <c r="A213" s="4" t="s">
        <v>65</v>
      </c>
      <c r="B213">
        <v>1404</v>
      </c>
      <c r="C213">
        <v>5</v>
      </c>
      <c r="D213" s="5">
        <v>104978.51</v>
      </c>
      <c r="E213" s="5">
        <v>3815</v>
      </c>
      <c r="F213" s="9">
        <v>0.1817</v>
      </c>
    </row>
    <row r="214" spans="1:6" x14ac:dyDescent="0.3">
      <c r="A214" s="4" t="s">
        <v>66</v>
      </c>
      <c r="B214">
        <v>1706</v>
      </c>
      <c r="C214">
        <v>4</v>
      </c>
      <c r="D214" s="5">
        <v>65604</v>
      </c>
      <c r="E214" s="5">
        <v>3472</v>
      </c>
      <c r="F214" s="9">
        <v>0.2117</v>
      </c>
    </row>
    <row r="215" spans="1:6" x14ac:dyDescent="0.3">
      <c r="A215" s="4" t="s">
        <v>54</v>
      </c>
      <c r="B215">
        <v>1000</v>
      </c>
      <c r="C215">
        <v>3</v>
      </c>
      <c r="D215" s="5">
        <v>59495.99</v>
      </c>
      <c r="E215" s="5">
        <v>4227</v>
      </c>
      <c r="F215" s="9">
        <v>0.21310000000000001</v>
      </c>
    </row>
    <row r="216" spans="1:6" x14ac:dyDescent="0.3">
      <c r="A216" s="4" t="s">
        <v>385</v>
      </c>
      <c r="B216">
        <v>2040</v>
      </c>
      <c r="C216">
        <v>8</v>
      </c>
      <c r="D216" s="5">
        <v>296606.0002281497</v>
      </c>
      <c r="E216" s="5">
        <v>4613.8108670343354</v>
      </c>
      <c r="F216" s="9">
        <v>0.12444281945706794</v>
      </c>
    </row>
    <row r="217" spans="1:6" x14ac:dyDescent="0.3">
      <c r="A217" s="4" t="s">
        <v>386</v>
      </c>
      <c r="D217" s="5">
        <v>47640</v>
      </c>
      <c r="E217" s="5"/>
      <c r="F217" s="9">
        <v>0.14799999999999999</v>
      </c>
    </row>
    <row r="218" spans="1:6" x14ac:dyDescent="0.3">
      <c r="A218" s="4" t="s">
        <v>148</v>
      </c>
      <c r="D218" s="5">
        <v>274173.7</v>
      </c>
      <c r="E218" s="5"/>
      <c r="F218" s="9">
        <v>0.16600000000000001</v>
      </c>
    </row>
    <row r="219" spans="1:6" x14ac:dyDescent="0.3">
      <c r="A219" s="4" t="s">
        <v>209</v>
      </c>
      <c r="B219">
        <v>500</v>
      </c>
      <c r="C219">
        <v>2</v>
      </c>
      <c r="D219" s="5">
        <v>31631.687807500002</v>
      </c>
      <c r="E219" s="5">
        <v>4194.0070287500002</v>
      </c>
      <c r="F219" s="9">
        <v>0.26517756841009188</v>
      </c>
    </row>
    <row r="220" spans="1:6" x14ac:dyDescent="0.3">
      <c r="A220" s="4" t="s">
        <v>387</v>
      </c>
      <c r="B220">
        <v>3760</v>
      </c>
      <c r="C220">
        <v>3</v>
      </c>
      <c r="D220" s="5">
        <v>82620.000218724992</v>
      </c>
      <c r="E220" s="5">
        <v>4073.6185145750001</v>
      </c>
      <c r="F220" s="9">
        <v>0.14791643078397457</v>
      </c>
    </row>
    <row r="221" spans="1:6" x14ac:dyDescent="0.3">
      <c r="A221" s="4" t="s">
        <v>82</v>
      </c>
      <c r="C221">
        <v>6</v>
      </c>
      <c r="D221" s="5">
        <v>140632.63</v>
      </c>
      <c r="E221" s="5">
        <v>4861</v>
      </c>
      <c r="F221" s="9">
        <v>0.2074</v>
      </c>
    </row>
    <row r="222" spans="1:6" x14ac:dyDescent="0.3">
      <c r="A222" s="4" t="s">
        <v>137</v>
      </c>
      <c r="D222" s="5">
        <v>155835</v>
      </c>
      <c r="E222" s="5"/>
      <c r="F222" s="9">
        <v>0.17480000000000001</v>
      </c>
    </row>
    <row r="223" spans="1:6" x14ac:dyDescent="0.3">
      <c r="A223" s="4" t="s">
        <v>149</v>
      </c>
      <c r="D223" s="5">
        <v>282909.03000000003</v>
      </c>
      <c r="E223" s="5"/>
      <c r="F223" s="9">
        <v>0.15939999999999999</v>
      </c>
    </row>
    <row r="224" spans="1:6" x14ac:dyDescent="0.3">
      <c r="A224" s="4" t="s">
        <v>196</v>
      </c>
      <c r="B224">
        <v>100</v>
      </c>
      <c r="C224">
        <v>2</v>
      </c>
      <c r="D224" s="5">
        <v>22890.001128</v>
      </c>
      <c r="E224" s="5">
        <v>3101.5005639999999</v>
      </c>
      <c r="F224" s="9">
        <v>0.27099173535698218</v>
      </c>
    </row>
    <row r="225" spans="1:6" x14ac:dyDescent="0.3">
      <c r="A225" s="4" t="s">
        <v>145</v>
      </c>
      <c r="D225" s="5">
        <v>32338.560000000001</v>
      </c>
      <c r="E225" s="5"/>
      <c r="F225" s="9">
        <v>0.34639999999999999</v>
      </c>
    </row>
    <row r="226" spans="1:6" x14ac:dyDescent="0.3">
      <c r="A226" s="4" t="s">
        <v>188</v>
      </c>
      <c r="B226">
        <v>1000</v>
      </c>
      <c r="C226">
        <v>10</v>
      </c>
      <c r="D226" s="5">
        <v>461818.99806800002</v>
      </c>
      <c r="E226" s="5">
        <v>10841.0503668</v>
      </c>
      <c r="F226" s="9">
        <v>0.23474673870397428</v>
      </c>
    </row>
    <row r="227" spans="1:6" x14ac:dyDescent="0.3">
      <c r="A227" s="4" t="s">
        <v>127</v>
      </c>
      <c r="B227">
        <v>8000</v>
      </c>
      <c r="D227" s="5">
        <v>744227.44</v>
      </c>
      <c r="E227" s="5"/>
      <c r="F227" s="9"/>
    </row>
    <row r="228" spans="1:6" x14ac:dyDescent="0.3">
      <c r="A228" s="4" t="s">
        <v>67</v>
      </c>
      <c r="B228">
        <v>4000</v>
      </c>
      <c r="C228">
        <v>14</v>
      </c>
      <c r="D228" s="5">
        <v>1367831.28</v>
      </c>
      <c r="E228" s="5">
        <v>6655</v>
      </c>
      <c r="F228" s="9">
        <v>6.8099999999999994E-2</v>
      </c>
    </row>
    <row r="229" spans="1:6" x14ac:dyDescent="0.3">
      <c r="A229" s="4" t="s">
        <v>147</v>
      </c>
      <c r="D229" s="5">
        <v>164616.4</v>
      </c>
      <c r="E229" s="5"/>
      <c r="F229" s="9">
        <v>0.13880000000000001</v>
      </c>
    </row>
    <row r="230" spans="1:6" x14ac:dyDescent="0.3">
      <c r="A230" s="4" t="s">
        <v>193</v>
      </c>
      <c r="B230">
        <v>3000</v>
      </c>
      <c r="C230">
        <v>3</v>
      </c>
      <c r="D230" s="5">
        <v>71556.001806999993</v>
      </c>
      <c r="E230" s="5">
        <v>5677.9288690000003</v>
      </c>
      <c r="F230" s="9">
        <v>0.23804832825824074</v>
      </c>
    </row>
    <row r="231" spans="1:6" x14ac:dyDescent="0.3">
      <c r="A231" s="4" t="s">
        <v>174</v>
      </c>
      <c r="C231">
        <v>10</v>
      </c>
      <c r="D231" s="5">
        <v>500000</v>
      </c>
      <c r="E231" s="5">
        <v>8462.5</v>
      </c>
      <c r="F231" s="9">
        <v>0.16</v>
      </c>
    </row>
    <row r="232" spans="1:6" x14ac:dyDescent="0.3">
      <c r="A232" s="4" t="s">
        <v>132</v>
      </c>
      <c r="B232">
        <v>10000</v>
      </c>
      <c r="C232">
        <v>12</v>
      </c>
      <c r="D232" s="5">
        <v>166550.20000000001</v>
      </c>
      <c r="E232" s="5"/>
      <c r="F232" s="9"/>
    </row>
    <row r="233" spans="1:6" x14ac:dyDescent="0.3">
      <c r="A233" s="4" t="s">
        <v>107</v>
      </c>
      <c r="B233">
        <v>4144.1399999999994</v>
      </c>
      <c r="C233">
        <v>12</v>
      </c>
      <c r="D233" s="5">
        <v>549715.4595967218</v>
      </c>
      <c r="E233" s="5">
        <v>4213.3760399918201</v>
      </c>
      <c r="F233" s="9">
        <v>9.1975787832115324E-2</v>
      </c>
    </row>
    <row r="234" spans="1:6" x14ac:dyDescent="0.3">
      <c r="A234" s="4" t="s">
        <v>124</v>
      </c>
      <c r="B234">
        <v>1000</v>
      </c>
      <c r="D234" s="5">
        <v>264000</v>
      </c>
      <c r="E234" s="5"/>
      <c r="F234" s="9"/>
    </row>
    <row r="235" spans="1:6" x14ac:dyDescent="0.3">
      <c r="A235" s="4" t="s">
        <v>151</v>
      </c>
      <c r="D235" s="5">
        <v>846415</v>
      </c>
      <c r="E235" s="5"/>
      <c r="F235" s="9">
        <v>0.15</v>
      </c>
    </row>
    <row r="236" spans="1:6" x14ac:dyDescent="0.3">
      <c r="A236" s="4" t="s">
        <v>103</v>
      </c>
      <c r="B236">
        <v>25629.65</v>
      </c>
      <c r="C236">
        <v>24</v>
      </c>
      <c r="D236" s="5">
        <v>2840169.998869685</v>
      </c>
      <c r="E236" s="5">
        <v>9113.0337029035418</v>
      </c>
      <c r="F236" s="9">
        <v>7.700694287902736E-2</v>
      </c>
    </row>
    <row r="237" spans="1:6" x14ac:dyDescent="0.3">
      <c r="A237" s="4" t="s">
        <v>123</v>
      </c>
      <c r="B237">
        <v>500</v>
      </c>
      <c r="C237">
        <v>2</v>
      </c>
      <c r="D237" s="5">
        <v>57329.002033999997</v>
      </c>
      <c r="E237" s="5">
        <v>5001.7010170000003</v>
      </c>
      <c r="F237" s="9">
        <v>0.17449112454578056</v>
      </c>
    </row>
    <row r="238" spans="1:6" x14ac:dyDescent="0.3">
      <c r="A238" s="4" t="s">
        <v>169</v>
      </c>
      <c r="B238">
        <v>100</v>
      </c>
      <c r="C238">
        <v>1</v>
      </c>
      <c r="D238" s="5">
        <v>6819.4140000000007</v>
      </c>
      <c r="E238" s="5">
        <v>2124.7339999999999</v>
      </c>
      <c r="F238" s="9">
        <v>0.31157134615965532</v>
      </c>
    </row>
    <row r="239" spans="1:6" x14ac:dyDescent="0.3">
      <c r="A239" s="4" t="s">
        <v>207</v>
      </c>
      <c r="B239">
        <v>5100</v>
      </c>
      <c r="C239">
        <v>8</v>
      </c>
      <c r="D239" s="5">
        <v>667966.40724708128</v>
      </c>
      <c r="E239" s="5">
        <v>8876.6930933851581</v>
      </c>
      <c r="F239" s="9">
        <v>0.10631304804646156</v>
      </c>
    </row>
    <row r="240" spans="1:6" x14ac:dyDescent="0.3">
      <c r="A240" s="4" t="s">
        <v>171</v>
      </c>
      <c r="B240">
        <v>4536</v>
      </c>
      <c r="C240">
        <v>10</v>
      </c>
      <c r="D240" s="5">
        <v>375743.96081249998</v>
      </c>
      <c r="E240" s="5">
        <v>4557.1498312499998</v>
      </c>
      <c r="F240" s="9">
        <v>0.12128338194433586</v>
      </c>
    </row>
    <row r="241" spans="1:6" x14ac:dyDescent="0.3">
      <c r="A241" s="4" t="s">
        <v>139</v>
      </c>
      <c r="D241" s="5">
        <v>477815</v>
      </c>
      <c r="E241" s="5"/>
      <c r="F241" s="9">
        <v>0.14099999999999999</v>
      </c>
    </row>
    <row r="242" spans="1:6" x14ac:dyDescent="0.3">
      <c r="A242" s="4" t="s">
        <v>133</v>
      </c>
      <c r="B242">
        <v>6624</v>
      </c>
      <c r="C242">
        <v>24</v>
      </c>
      <c r="D242" s="5">
        <v>1130756.1384045002</v>
      </c>
      <c r="E242" s="5">
        <v>10638.412033708333</v>
      </c>
      <c r="F242" s="9">
        <v>0.22611560794920305</v>
      </c>
    </row>
    <row r="243" spans="1:6" x14ac:dyDescent="0.3">
      <c r="A243" s="4" t="s">
        <v>388</v>
      </c>
      <c r="B243">
        <v>3268</v>
      </c>
      <c r="C243">
        <v>3</v>
      </c>
      <c r="D243" s="5">
        <v>47035.004473749999</v>
      </c>
      <c r="E243" s="5">
        <v>3849.7868245833338</v>
      </c>
      <c r="F243" s="9">
        <v>0.24554819549758183</v>
      </c>
    </row>
    <row r="244" spans="1:6" x14ac:dyDescent="0.3">
      <c r="A244" s="4" t="s">
        <v>101</v>
      </c>
      <c r="B244">
        <v>16500</v>
      </c>
      <c r="C244">
        <v>5</v>
      </c>
      <c r="D244" s="5">
        <v>135940.96919</v>
      </c>
      <c r="E244" s="5">
        <v>3807.1818379999995</v>
      </c>
      <c r="F244" s="9">
        <v>0.14003070085070649</v>
      </c>
    </row>
    <row r="245" spans="1:6" x14ac:dyDescent="0.3">
      <c r="A245" s="4" t="s">
        <v>198</v>
      </c>
      <c r="B245">
        <v>82944</v>
      </c>
      <c r="C245">
        <v>31</v>
      </c>
      <c r="D245" s="5">
        <v>6315259.0001290133</v>
      </c>
      <c r="E245" s="5">
        <v>18630.478786742337</v>
      </c>
      <c r="F245" s="9">
        <v>9.1452281272583424E-2</v>
      </c>
    </row>
    <row r="246" spans="1:6" x14ac:dyDescent="0.3">
      <c r="A246" s="4" t="s">
        <v>182</v>
      </c>
      <c r="B246">
        <v>4520</v>
      </c>
      <c r="C246">
        <v>12</v>
      </c>
      <c r="D246" s="5">
        <v>549159.00462130003</v>
      </c>
      <c r="E246" s="5">
        <v>6674.2658101083325</v>
      </c>
      <c r="F246" s="9">
        <v>0.14584335146526617</v>
      </c>
    </row>
    <row r="247" spans="1:6" x14ac:dyDescent="0.3">
      <c r="A247" s="4" t="s">
        <v>164</v>
      </c>
      <c r="B247">
        <v>53057</v>
      </c>
      <c r="C247">
        <v>8</v>
      </c>
      <c r="D247" s="5">
        <v>244290.00425</v>
      </c>
      <c r="E247" s="5">
        <v>4761.2505312500007</v>
      </c>
      <c r="F247" s="9">
        <v>0.1559212558325542</v>
      </c>
    </row>
    <row r="248" spans="1:6" x14ac:dyDescent="0.3">
      <c r="A248" s="4" t="s">
        <v>64</v>
      </c>
      <c r="B248">
        <v>2030</v>
      </c>
      <c r="C248">
        <v>8</v>
      </c>
      <c r="D248" s="5">
        <v>335891.5</v>
      </c>
      <c r="E248" s="5">
        <v>5878</v>
      </c>
      <c r="F248" s="9">
        <v>0.14000000000000001</v>
      </c>
    </row>
    <row r="249" spans="1:6" x14ac:dyDescent="0.3">
      <c r="A249" s="4" t="s">
        <v>81</v>
      </c>
      <c r="C249">
        <v>8</v>
      </c>
      <c r="D249" s="5">
        <v>208100</v>
      </c>
      <c r="E249" s="5">
        <v>5287</v>
      </c>
      <c r="F249" s="9">
        <v>0.20330000000000001</v>
      </c>
    </row>
    <row r="250" spans="1:6" x14ac:dyDescent="0.3">
      <c r="A250" s="4" t="s">
        <v>178</v>
      </c>
      <c r="B250">
        <v>3000</v>
      </c>
      <c r="C250">
        <v>11</v>
      </c>
      <c r="D250" s="5">
        <v>529241.99684536003</v>
      </c>
      <c r="E250" s="5">
        <v>4873.6182004872726</v>
      </c>
      <c r="F250" s="9">
        <v>0.1012954386177035</v>
      </c>
    </row>
    <row r="251" spans="1:6" x14ac:dyDescent="0.3">
      <c r="A251" s="4" t="s">
        <v>206</v>
      </c>
      <c r="B251">
        <v>3482</v>
      </c>
      <c r="C251">
        <v>11</v>
      </c>
      <c r="D251" s="5">
        <v>630887.99970490008</v>
      </c>
      <c r="E251" s="5">
        <v>6133.0806568090911</v>
      </c>
      <c r="F251" s="9">
        <v>0.10693480816952684</v>
      </c>
    </row>
    <row r="252" spans="1:6" x14ac:dyDescent="0.3">
      <c r="A252" s="4" t="s">
        <v>187</v>
      </c>
      <c r="B252">
        <v>2100</v>
      </c>
      <c r="C252">
        <v>14</v>
      </c>
      <c r="D252" s="5">
        <v>552280.99659785861</v>
      </c>
      <c r="E252" s="5">
        <v>3856.24691353752</v>
      </c>
      <c r="F252" s="9">
        <v>9.7753602101279702E-2</v>
      </c>
    </row>
    <row r="253" spans="1:6" x14ac:dyDescent="0.3">
      <c r="A253" s="4" t="s">
        <v>152</v>
      </c>
      <c r="D253" s="5">
        <v>1707903.54</v>
      </c>
      <c r="E253" s="5"/>
      <c r="F253" s="9">
        <v>7.7399999999999997E-2</v>
      </c>
    </row>
    <row r="254" spans="1:6" x14ac:dyDescent="0.3">
      <c r="A254" s="4" t="s">
        <v>70</v>
      </c>
      <c r="B254">
        <v>14850</v>
      </c>
      <c r="C254">
        <v>2</v>
      </c>
      <c r="D254" s="5">
        <v>90635</v>
      </c>
      <c r="E254" s="5">
        <v>6890</v>
      </c>
      <c r="F254" s="9">
        <v>0.152</v>
      </c>
    </row>
    <row r="255" spans="1:6" x14ac:dyDescent="0.3">
      <c r="A255" s="4" t="s">
        <v>73</v>
      </c>
      <c r="B255">
        <v>600</v>
      </c>
      <c r="C255">
        <v>5</v>
      </c>
      <c r="D255" s="5">
        <v>90521.03</v>
      </c>
      <c r="E255" s="5">
        <v>3243</v>
      </c>
      <c r="F255" s="9">
        <v>0.25080000000000002</v>
      </c>
    </row>
    <row r="256" spans="1:6" x14ac:dyDescent="0.3">
      <c r="A256" s="4" t="s">
        <v>39</v>
      </c>
      <c r="B256">
        <v>12730</v>
      </c>
      <c r="C256">
        <v>8</v>
      </c>
      <c r="D256" s="5">
        <v>358055</v>
      </c>
      <c r="E256" s="5">
        <v>6085</v>
      </c>
      <c r="F256" s="9">
        <v>0.13600000000000001</v>
      </c>
    </row>
    <row r="257" spans="1:6" x14ac:dyDescent="0.3">
      <c r="A257" s="4" t="s">
        <v>112</v>
      </c>
      <c r="B257">
        <v>450</v>
      </c>
      <c r="C257">
        <v>6</v>
      </c>
      <c r="D257" s="5">
        <v>182511.003516</v>
      </c>
      <c r="E257" s="5">
        <v>6027.5019193333328</v>
      </c>
      <c r="F257" s="9">
        <v>0.19815249940713606</v>
      </c>
    </row>
    <row r="258" spans="1:6" x14ac:dyDescent="0.3">
      <c r="A258" s="4" t="s">
        <v>210</v>
      </c>
      <c r="B258">
        <v>200</v>
      </c>
      <c r="C258">
        <v>2</v>
      </c>
      <c r="D258" s="5">
        <v>22431.306700000001</v>
      </c>
      <c r="E258" s="5">
        <v>2774.15335</v>
      </c>
      <c r="F258" s="9">
        <v>0.2473465667517265</v>
      </c>
    </row>
    <row r="259" spans="1:6" x14ac:dyDescent="0.3">
      <c r="A259" s="4" t="s">
        <v>199</v>
      </c>
      <c r="B259">
        <v>7098</v>
      </c>
      <c r="C259">
        <v>4</v>
      </c>
      <c r="D259" s="5">
        <v>94147.00243475</v>
      </c>
      <c r="E259" s="5">
        <v>4899.063108687501</v>
      </c>
      <c r="F259" s="9">
        <v>0.20814526143125461</v>
      </c>
    </row>
    <row r="260" spans="1:6" x14ac:dyDescent="0.3">
      <c r="A260" s="4" t="s">
        <v>129</v>
      </c>
      <c r="B260">
        <v>1200</v>
      </c>
      <c r="C260">
        <v>3</v>
      </c>
      <c r="D260" s="5">
        <v>56406.00462</v>
      </c>
      <c r="E260" s="5">
        <v>4466.5015400000002</v>
      </c>
      <c r="F260" s="9">
        <v>0.23755457792606907</v>
      </c>
    </row>
    <row r="261" spans="1:6" x14ac:dyDescent="0.3">
      <c r="A261" s="4" t="s">
        <v>218</v>
      </c>
      <c r="B261">
        <v>15755</v>
      </c>
      <c r="C261">
        <v>18</v>
      </c>
      <c r="D261" s="5">
        <v>1795729.999365207</v>
      </c>
      <c r="E261" s="5">
        <v>6548.9206369559488</v>
      </c>
      <c r="F261" s="9">
        <v>6.5644930756226169E-2</v>
      </c>
    </row>
    <row r="262" spans="1:6" x14ac:dyDescent="0.3">
      <c r="A262" s="4" t="s">
        <v>219</v>
      </c>
      <c r="B262">
        <v>350</v>
      </c>
      <c r="C262">
        <v>3</v>
      </c>
      <c r="D262" s="5">
        <v>82194.997471499999</v>
      </c>
      <c r="E262" s="5">
        <v>5398.5926571666669</v>
      </c>
      <c r="F262" s="9">
        <v>0.19704092061217796</v>
      </c>
    </row>
    <row r="263" spans="1:6" x14ac:dyDescent="0.3">
      <c r="A263" s="4" t="s">
        <v>220</v>
      </c>
      <c r="B263">
        <v>100</v>
      </c>
      <c r="C263">
        <v>2</v>
      </c>
      <c r="D263" s="5">
        <v>14709.923150000001</v>
      </c>
      <c r="E263" s="5">
        <v>2377.5253250000001</v>
      </c>
      <c r="F263" s="9">
        <v>0.323254622169797</v>
      </c>
    </row>
    <row r="264" spans="1:6" x14ac:dyDescent="0.3">
      <c r="A264" s="4" t="s">
        <v>221</v>
      </c>
      <c r="B264">
        <v>294</v>
      </c>
      <c r="C264">
        <v>2</v>
      </c>
      <c r="D264" s="5">
        <v>31940.000260000001</v>
      </c>
      <c r="E264" s="5">
        <v>3207.2501299999999</v>
      </c>
      <c r="F264" s="9">
        <v>0.20082968715667754</v>
      </c>
    </row>
    <row r="265" spans="1:6" x14ac:dyDescent="0.3">
      <c r="A265" s="4" t="s">
        <v>222</v>
      </c>
      <c r="B265">
        <v>800</v>
      </c>
      <c r="C265">
        <v>3</v>
      </c>
      <c r="D265" s="5">
        <v>56455.895375</v>
      </c>
      <c r="E265" s="5">
        <v>2469.5984583333334</v>
      </c>
      <c r="F265" s="9">
        <v>0.13123156272322251</v>
      </c>
    </row>
    <row r="266" spans="1:6" x14ac:dyDescent="0.3">
      <c r="A266" s="4" t="s">
        <v>244</v>
      </c>
      <c r="B266">
        <v>7500</v>
      </c>
      <c r="C266">
        <v>18</v>
      </c>
      <c r="D266" s="5">
        <v>1095768.3278749122</v>
      </c>
      <c r="E266" s="5">
        <v>6303.2757880305062</v>
      </c>
      <c r="F266" s="9">
        <v>0.10354283957502837</v>
      </c>
    </row>
    <row r="267" spans="1:6" x14ac:dyDescent="0.3">
      <c r="A267" s="4" t="s">
        <v>249</v>
      </c>
      <c r="B267">
        <v>2863.0625</v>
      </c>
      <c r="C267">
        <v>10</v>
      </c>
      <c r="D267" s="5">
        <v>480660.00266619999</v>
      </c>
      <c r="E267" s="5">
        <v>4996.1622616199993</v>
      </c>
      <c r="F267" s="9">
        <v>0.10394379049445567</v>
      </c>
    </row>
    <row r="268" spans="1:6" x14ac:dyDescent="0.3">
      <c r="A268" s="4" t="s">
        <v>251</v>
      </c>
      <c r="B268">
        <v>18960</v>
      </c>
      <c r="C268">
        <v>9</v>
      </c>
      <c r="D268" s="5">
        <v>739268.6714204828</v>
      </c>
      <c r="E268" s="5">
        <v>6327.6799194699033</v>
      </c>
      <c r="F268" s="9">
        <v>7.703440099227131E-2</v>
      </c>
    </row>
    <row r="269" spans="1:6" x14ac:dyDescent="0.3">
      <c r="A269" s="4" t="s">
        <v>272</v>
      </c>
      <c r="B269">
        <v>17060</v>
      </c>
      <c r="C269">
        <v>26</v>
      </c>
      <c r="D269" s="5">
        <v>3219139.7429162404</v>
      </c>
      <c r="E269" s="5">
        <v>7758.5094299384618</v>
      </c>
      <c r="F269" s="9">
        <v>6.8929399596435445E-2</v>
      </c>
    </row>
    <row r="270" spans="1:6" x14ac:dyDescent="0.3">
      <c r="A270" s="4" t="s">
        <v>297</v>
      </c>
      <c r="B270">
        <v>33314</v>
      </c>
      <c r="C270">
        <v>12</v>
      </c>
      <c r="D270" s="5">
        <v>1148100.9983596641</v>
      </c>
      <c r="E270" s="5">
        <v>6852.5646876303335</v>
      </c>
      <c r="F270" s="9">
        <v>7.1623294787697481E-2</v>
      </c>
    </row>
    <row r="271" spans="1:6" x14ac:dyDescent="0.3">
      <c r="A271" s="4" t="s">
        <v>279</v>
      </c>
      <c r="B271">
        <v>1944</v>
      </c>
      <c r="C271">
        <v>4</v>
      </c>
      <c r="D271" s="5">
        <v>164240.00208665</v>
      </c>
      <c r="E271" s="5">
        <v>5098.8355216625005</v>
      </c>
      <c r="F271" s="9">
        <v>0.12418011341652196</v>
      </c>
    </row>
    <row r="272" spans="1:6" x14ac:dyDescent="0.3">
      <c r="A272" s="4" t="s">
        <v>280</v>
      </c>
      <c r="B272">
        <v>3995</v>
      </c>
      <c r="C272">
        <v>5</v>
      </c>
      <c r="D272" s="5">
        <v>63379.997277499999</v>
      </c>
      <c r="E272" s="5">
        <v>2858.7198555</v>
      </c>
      <c r="F272" s="9">
        <v>0.22552224505339716</v>
      </c>
    </row>
    <row r="273" spans="1:6" x14ac:dyDescent="0.3">
      <c r="A273" s="4" t="s">
        <v>281</v>
      </c>
      <c r="C273">
        <v>8</v>
      </c>
      <c r="D273" s="5">
        <v>400000</v>
      </c>
      <c r="E273" s="5"/>
      <c r="F273" s="9">
        <v>0.15</v>
      </c>
    </row>
    <row r="274" spans="1:6" x14ac:dyDescent="0.3">
      <c r="A274" s="4" t="s">
        <v>282</v>
      </c>
      <c r="B274">
        <v>173</v>
      </c>
      <c r="C274">
        <v>3</v>
      </c>
      <c r="D274" s="5">
        <v>67432.736227999994</v>
      </c>
      <c r="E274" s="5">
        <v>4802.8787426666668</v>
      </c>
      <c r="F274" s="9">
        <v>0.21367420386564595</v>
      </c>
    </row>
    <row r="275" spans="1:6" x14ac:dyDescent="0.3">
      <c r="A275" s="4" t="s">
        <v>285</v>
      </c>
      <c r="D275" s="5">
        <v>100000</v>
      </c>
      <c r="E275" s="5"/>
      <c r="F275" s="9"/>
    </row>
    <row r="276" spans="1:6" x14ac:dyDescent="0.3">
      <c r="A276" s="4" t="s">
        <v>286</v>
      </c>
      <c r="B276">
        <v>35316</v>
      </c>
      <c r="C276">
        <v>10</v>
      </c>
      <c r="D276" s="5">
        <v>994569.99645600002</v>
      </c>
      <c r="E276" s="5">
        <v>6072.4203256000001</v>
      </c>
      <c r="F276" s="9">
        <v>6.105573611951047E-2</v>
      </c>
    </row>
    <row r="277" spans="1:6" x14ac:dyDescent="0.3">
      <c r="A277" s="4" t="s">
        <v>287</v>
      </c>
      <c r="B277">
        <v>3150</v>
      </c>
      <c r="C277">
        <v>6</v>
      </c>
      <c r="D277" s="5">
        <v>180183.99573600001</v>
      </c>
      <c r="E277" s="5">
        <v>4193.1378943333339</v>
      </c>
      <c r="F277" s="9">
        <v>0.13962853506069392</v>
      </c>
    </row>
    <row r="278" spans="1:6" x14ac:dyDescent="0.3">
      <c r="A278" s="4" t="s">
        <v>288</v>
      </c>
      <c r="B278">
        <v>150</v>
      </c>
      <c r="C278">
        <v>6</v>
      </c>
      <c r="D278" s="5">
        <v>308639.53000000003</v>
      </c>
      <c r="E278" s="5">
        <v>7868</v>
      </c>
      <c r="F278" s="9">
        <v>0.15</v>
      </c>
    </row>
    <row r="279" spans="1:6" x14ac:dyDescent="0.3">
      <c r="A279" s="4" t="s">
        <v>295</v>
      </c>
      <c r="B279">
        <v>300</v>
      </c>
      <c r="C279">
        <v>2</v>
      </c>
      <c r="D279" s="5">
        <v>12160.995719999999</v>
      </c>
      <c r="E279" s="5">
        <v>1929.8737600000002</v>
      </c>
      <c r="F279" s="9">
        <v>0.31738745813817298</v>
      </c>
    </row>
    <row r="280" spans="1:6" x14ac:dyDescent="0.3">
      <c r="A280" s="4" t="s">
        <v>305</v>
      </c>
      <c r="B280">
        <v>1150</v>
      </c>
      <c r="C280">
        <v>2</v>
      </c>
      <c r="D280" s="5">
        <v>20630.881590000001</v>
      </c>
      <c r="E280" s="5">
        <v>3191.440795</v>
      </c>
      <c r="F280" s="9">
        <v>0.3093848201374898</v>
      </c>
    </row>
    <row r="281" spans="1:6" x14ac:dyDescent="0.3">
      <c r="A281" s="4" t="s">
        <v>311</v>
      </c>
      <c r="B281">
        <v>500</v>
      </c>
      <c r="C281">
        <v>4</v>
      </c>
      <c r="D281" s="5">
        <v>69213</v>
      </c>
      <c r="E281" s="5">
        <v>3581.25</v>
      </c>
      <c r="F281" s="9">
        <v>0.20696978891248755</v>
      </c>
    </row>
    <row r="282" spans="1:6" x14ac:dyDescent="0.3">
      <c r="A282" s="4" t="s">
        <v>315</v>
      </c>
      <c r="B282">
        <v>4347</v>
      </c>
      <c r="C282">
        <v>7</v>
      </c>
      <c r="D282" s="5">
        <v>310232.00123999995</v>
      </c>
      <c r="E282" s="5">
        <v>5205.4841057142858</v>
      </c>
      <c r="F282" s="9">
        <v>0.11745528699281652</v>
      </c>
    </row>
    <row r="283" spans="1:6" x14ac:dyDescent="0.3">
      <c r="A283" s="4" t="s">
        <v>317</v>
      </c>
      <c r="B283">
        <v>1000</v>
      </c>
      <c r="C283">
        <v>6</v>
      </c>
      <c r="D283" s="5">
        <v>254091.86308799998</v>
      </c>
      <c r="E283" s="5">
        <v>5906.7871813333331</v>
      </c>
      <c r="F283" s="9">
        <v>0.13947996074052071</v>
      </c>
    </row>
    <row r="284" spans="1:6" x14ac:dyDescent="0.3">
      <c r="A284" s="4" t="s">
        <v>322</v>
      </c>
      <c r="B284">
        <v>3500</v>
      </c>
      <c r="C284">
        <v>12</v>
      </c>
      <c r="D284" s="5">
        <v>485388.9956577933</v>
      </c>
      <c r="E284" s="5">
        <v>3947.9935612822742</v>
      </c>
      <c r="F284" s="9">
        <v>9.7604031321690793E-2</v>
      </c>
    </row>
    <row r="285" spans="1:6" x14ac:dyDescent="0.3">
      <c r="A285" s="4" t="s">
        <v>340</v>
      </c>
      <c r="B285">
        <v>2800</v>
      </c>
      <c r="C285">
        <v>12</v>
      </c>
      <c r="D285" s="5">
        <v>628837</v>
      </c>
      <c r="E285" s="5">
        <v>4678.583333333333</v>
      </c>
      <c r="F285" s="9">
        <v>8.9280688000228994E-2</v>
      </c>
    </row>
    <row r="286" spans="1:6" x14ac:dyDescent="0.3">
      <c r="A286" s="4" t="s">
        <v>342</v>
      </c>
      <c r="B286">
        <v>1000</v>
      </c>
      <c r="C286">
        <v>2</v>
      </c>
      <c r="D286" s="5">
        <v>52362</v>
      </c>
      <c r="E286" s="5">
        <v>4009</v>
      </c>
      <c r="F286" s="9">
        <v>0.15312631297505824</v>
      </c>
    </row>
    <row r="287" spans="1:6" x14ac:dyDescent="0.3">
      <c r="A287" s="4" t="s">
        <v>346</v>
      </c>
      <c r="B287">
        <v>9600</v>
      </c>
      <c r="C287">
        <v>10</v>
      </c>
      <c r="D287" s="5">
        <v>1056000</v>
      </c>
      <c r="E287" s="5"/>
      <c r="F287" s="9">
        <v>0.09</v>
      </c>
    </row>
    <row r="288" spans="1:6" x14ac:dyDescent="0.3">
      <c r="A288" s="4" t="s">
        <v>350</v>
      </c>
      <c r="B288">
        <v>2000</v>
      </c>
      <c r="C288">
        <v>2</v>
      </c>
      <c r="D288" s="5">
        <v>59007.000462200005</v>
      </c>
      <c r="E288" s="5">
        <v>4193.6507310999996</v>
      </c>
      <c r="F288" s="9">
        <v>0.14214078662705318</v>
      </c>
    </row>
    <row r="289" spans="1:6" x14ac:dyDescent="0.3">
      <c r="A289" s="4" t="s">
        <v>355</v>
      </c>
      <c r="B289">
        <v>4532</v>
      </c>
      <c r="C289">
        <v>10</v>
      </c>
      <c r="D289" s="5">
        <v>346794.00111339876</v>
      </c>
      <c r="E289" s="5">
        <v>5408.7214173536659</v>
      </c>
      <c r="F289" s="9">
        <v>0.15596352301333663</v>
      </c>
    </row>
    <row r="290" spans="1:6" x14ac:dyDescent="0.3">
      <c r="A290" s="4" t="s">
        <v>356</v>
      </c>
      <c r="B290">
        <v>11475</v>
      </c>
      <c r="C290">
        <v>42</v>
      </c>
      <c r="D290" s="5">
        <v>2936344.6088940077</v>
      </c>
      <c r="E290" s="5">
        <v>6737.8787956305368</v>
      </c>
      <c r="F290" s="9">
        <v>9.6375237620039703E-2</v>
      </c>
    </row>
    <row r="291" spans="1:6" x14ac:dyDescent="0.3">
      <c r="A291" s="4" t="s">
        <v>358</v>
      </c>
      <c r="B291">
        <v>43500</v>
      </c>
      <c r="C291">
        <v>80</v>
      </c>
      <c r="D291" s="5">
        <v>19570000</v>
      </c>
      <c r="E291" s="5">
        <v>6904.7186434615387</v>
      </c>
      <c r="F291" s="9">
        <v>4.3999999999999997E-2</v>
      </c>
    </row>
    <row r="292" spans="1:6" x14ac:dyDescent="0.3">
      <c r="A292" s="4" t="s">
        <v>372</v>
      </c>
      <c r="B292">
        <v>60000</v>
      </c>
      <c r="C292">
        <v>80</v>
      </c>
      <c r="D292" s="5">
        <v>16000000</v>
      </c>
      <c r="E292" s="5">
        <v>10316</v>
      </c>
      <c r="F292" s="9">
        <v>5.1499999999999997E-2</v>
      </c>
    </row>
    <row r="293" spans="1:6" x14ac:dyDescent="0.3">
      <c r="A293" s="4" t="s">
        <v>374</v>
      </c>
      <c r="C293">
        <v>3</v>
      </c>
      <c r="D293" s="5">
        <v>37069.996881999999</v>
      </c>
      <c r="E293" s="5">
        <v>3064.6455106666667</v>
      </c>
      <c r="F293" s="9">
        <v>0.24801557338312807</v>
      </c>
    </row>
    <row r="294" spans="1:6" x14ac:dyDescent="0.3">
      <c r="A294" s="4" t="s">
        <v>377</v>
      </c>
      <c r="C294">
        <v>52</v>
      </c>
      <c r="D294" s="5">
        <v>6000000</v>
      </c>
      <c r="E294" s="5"/>
      <c r="F294" s="9">
        <v>0.08</v>
      </c>
    </row>
    <row r="295" spans="1:6" x14ac:dyDescent="0.3">
      <c r="A295" s="4" t="s">
        <v>378</v>
      </c>
      <c r="B295">
        <v>33000</v>
      </c>
      <c r="C295">
        <v>40</v>
      </c>
      <c r="D295" s="5">
        <v>3297897.2643975001</v>
      </c>
      <c r="E295" s="5">
        <v>7218.8997349375004</v>
      </c>
      <c r="F295" s="9">
        <v>8.7557606028171239E-2</v>
      </c>
    </row>
    <row r="296" spans="1:6" x14ac:dyDescent="0.3">
      <c r="A296" s="4" t="s">
        <v>379</v>
      </c>
      <c r="C296">
        <v>56</v>
      </c>
      <c r="D296" s="5">
        <v>8967980</v>
      </c>
      <c r="E296" s="5">
        <v>10012</v>
      </c>
      <c r="F296" s="9">
        <v>0.08</v>
      </c>
    </row>
    <row r="297" spans="1:6" x14ac:dyDescent="0.3">
      <c r="A297" s="4" t="s">
        <v>380</v>
      </c>
      <c r="B297">
        <v>14636</v>
      </c>
      <c r="C297">
        <v>16</v>
      </c>
      <c r="D297" s="5">
        <v>1168513.9980397499</v>
      </c>
      <c r="E297" s="5">
        <v>7362.2502126406243</v>
      </c>
      <c r="F297" s="9">
        <v>0.10080838021612032</v>
      </c>
    </row>
    <row r="298" spans="1:6" x14ac:dyDescent="0.3">
      <c r="A298" s="4" t="s">
        <v>393</v>
      </c>
      <c r="B298">
        <v>2000</v>
      </c>
      <c r="C298">
        <v>2</v>
      </c>
      <c r="D298" s="5">
        <v>15104.999860859998</v>
      </c>
      <c r="E298" s="5">
        <v>2689.3183158800002</v>
      </c>
      <c r="F298" s="9">
        <v>0.35608319637904118</v>
      </c>
    </row>
    <row r="299" spans="1:6" x14ac:dyDescent="0.3">
      <c r="A299" s="4" t="s">
        <v>395</v>
      </c>
      <c r="C299">
        <v>1</v>
      </c>
      <c r="D299" s="5">
        <v>173456.99</v>
      </c>
      <c r="E299" s="5"/>
      <c r="F299" s="9">
        <v>0.15</v>
      </c>
    </row>
    <row r="300" spans="1:6" x14ac:dyDescent="0.3">
      <c r="A300" s="4" t="s">
        <v>410</v>
      </c>
      <c r="B300">
        <v>320</v>
      </c>
      <c r="C300">
        <v>12</v>
      </c>
      <c r="D300" s="5">
        <v>279799.03999999998</v>
      </c>
      <c r="E300" s="5">
        <v>3869</v>
      </c>
      <c r="F300" s="9">
        <v>0.16589999999999999</v>
      </c>
    </row>
    <row r="301" spans="1:6" x14ac:dyDescent="0.3">
      <c r="A301" s="4" t="s">
        <v>411</v>
      </c>
      <c r="B301">
        <v>1600</v>
      </c>
      <c r="C301">
        <v>6</v>
      </c>
      <c r="D301" s="5">
        <v>95135.12</v>
      </c>
      <c r="E301" s="5">
        <v>3772</v>
      </c>
      <c r="F301" s="9">
        <v>0.2475</v>
      </c>
    </row>
    <row r="302" spans="1:6" x14ac:dyDescent="0.3">
      <c r="A302" s="4" t="s">
        <v>412</v>
      </c>
      <c r="B302">
        <v>5000</v>
      </c>
      <c r="C302">
        <v>12</v>
      </c>
      <c r="D302" s="5">
        <v>441998.33</v>
      </c>
      <c r="E302" s="5">
        <v>5145</v>
      </c>
      <c r="F302" s="9">
        <v>0.13969999999999999</v>
      </c>
    </row>
    <row r="303" spans="1:6" x14ac:dyDescent="0.3">
      <c r="A303" s="4" t="s">
        <v>413</v>
      </c>
      <c r="B303">
        <v>29698</v>
      </c>
      <c r="C303">
        <v>45</v>
      </c>
      <c r="D303" s="5">
        <v>3693802.71</v>
      </c>
      <c r="E303" s="5">
        <v>6323</v>
      </c>
      <c r="F303" s="9">
        <v>7.6999999999999999E-2</v>
      </c>
    </row>
    <row r="304" spans="1:6" x14ac:dyDescent="0.3">
      <c r="A304" s="4" t="s">
        <v>414</v>
      </c>
      <c r="B304">
        <v>1700</v>
      </c>
      <c r="C304">
        <v>6</v>
      </c>
      <c r="D304" s="5">
        <v>113534.8</v>
      </c>
      <c r="E304" s="5">
        <v>3686</v>
      </c>
      <c r="F304" s="9">
        <v>0.1948</v>
      </c>
    </row>
    <row r="305" spans="1:6" x14ac:dyDescent="0.3">
      <c r="A305" s="4" t="s">
        <v>420</v>
      </c>
      <c r="B305">
        <v>10000</v>
      </c>
      <c r="C305">
        <v>26</v>
      </c>
      <c r="D305" s="5">
        <v>1720221.66</v>
      </c>
      <c r="E305" s="5">
        <v>4541</v>
      </c>
      <c r="F305" s="9">
        <v>6.8599999999999994E-2</v>
      </c>
    </row>
    <row r="306" spans="1:6" x14ac:dyDescent="0.3">
      <c r="A306" s="4" t="s">
        <v>422</v>
      </c>
      <c r="B306">
        <v>11000</v>
      </c>
      <c r="C306">
        <v>10</v>
      </c>
      <c r="D306" s="5">
        <v>578075</v>
      </c>
      <c r="E306" s="5">
        <v>6558</v>
      </c>
      <c r="F306" s="9">
        <v>0.1134</v>
      </c>
    </row>
    <row r="307" spans="1:6" x14ac:dyDescent="0.3">
      <c r="A307" s="4" t="s">
        <v>424</v>
      </c>
      <c r="B307">
        <v>1044</v>
      </c>
      <c r="C307">
        <v>3</v>
      </c>
      <c r="D307" s="5">
        <v>55355.35</v>
      </c>
      <c r="E307" s="5">
        <v>4434</v>
      </c>
      <c r="F307" s="9">
        <v>0.24030000000000001</v>
      </c>
    </row>
    <row r="308" spans="1:6" x14ac:dyDescent="0.3">
      <c r="A308" s="4" t="s">
        <v>425</v>
      </c>
      <c r="B308">
        <v>2100</v>
      </c>
      <c r="C308">
        <v>8</v>
      </c>
      <c r="D308" s="5">
        <v>371824.73</v>
      </c>
      <c r="E308" s="5">
        <v>5234</v>
      </c>
      <c r="F308" s="9">
        <v>0.11260000000000001</v>
      </c>
    </row>
    <row r="309" spans="1:6" x14ac:dyDescent="0.3">
      <c r="A309" s="4" t="s">
        <v>441</v>
      </c>
      <c r="B309">
        <v>9042</v>
      </c>
      <c r="C309">
        <v>18</v>
      </c>
      <c r="D309" s="5">
        <v>980405</v>
      </c>
      <c r="E309" s="5">
        <v>6669</v>
      </c>
      <c r="F309" s="9">
        <v>0.12239999999999999</v>
      </c>
    </row>
    <row r="310" spans="1:6" x14ac:dyDescent="0.3">
      <c r="A310" s="4" t="s">
        <v>444</v>
      </c>
      <c r="B310">
        <v>5076</v>
      </c>
      <c r="C310">
        <v>8</v>
      </c>
      <c r="D310" s="5">
        <v>260217.19071920001</v>
      </c>
      <c r="E310" s="5">
        <v>4790.5397261500002</v>
      </c>
      <c r="F310" s="9">
        <v>0.14727819366306094</v>
      </c>
    </row>
    <row r="311" spans="1:6" x14ac:dyDescent="0.3">
      <c r="A311" s="4" t="s">
        <v>446</v>
      </c>
      <c r="B311">
        <v>500</v>
      </c>
      <c r="C311">
        <v>3</v>
      </c>
      <c r="D311" s="5">
        <v>63200</v>
      </c>
      <c r="E311" s="5">
        <v>4012</v>
      </c>
      <c r="F311" s="9">
        <v>0.19020000000000001</v>
      </c>
    </row>
    <row r="312" spans="1:6" x14ac:dyDescent="0.3">
      <c r="A312" s="4" t="s">
        <v>447</v>
      </c>
      <c r="B312">
        <v>14074</v>
      </c>
      <c r="C312">
        <v>26</v>
      </c>
      <c r="D312" s="5">
        <v>1167611.1299999999</v>
      </c>
      <c r="E312" s="5">
        <v>5446</v>
      </c>
      <c r="F312" s="9">
        <v>0.12130000000000001</v>
      </c>
    </row>
    <row r="313" spans="1:6" x14ac:dyDescent="0.3">
      <c r="A313" s="4" t="s">
        <v>451</v>
      </c>
      <c r="B313">
        <v>92760</v>
      </c>
      <c r="C313">
        <v>65</v>
      </c>
      <c r="D313" s="5">
        <v>11964000</v>
      </c>
      <c r="E313" s="5"/>
      <c r="F313" s="9">
        <v>0.05</v>
      </c>
    </row>
    <row r="314" spans="1:6" x14ac:dyDescent="0.3">
      <c r="A314" s="4" t="s">
        <v>455</v>
      </c>
      <c r="B314">
        <v>7500</v>
      </c>
      <c r="C314">
        <v>12</v>
      </c>
      <c r="D314" s="5">
        <v>658782.94999999995</v>
      </c>
      <c r="E314" s="5">
        <v>7466.5</v>
      </c>
      <c r="F314" s="9">
        <v>0.13600000000000001</v>
      </c>
    </row>
    <row r="315" spans="1:6" x14ac:dyDescent="0.3">
      <c r="A315" s="4" t="s">
        <v>463</v>
      </c>
      <c r="B315">
        <v>9000</v>
      </c>
      <c r="C315">
        <v>12</v>
      </c>
      <c r="D315" s="5">
        <v>498873.36618064001</v>
      </c>
      <c r="E315" s="5">
        <v>6547.2837953950002</v>
      </c>
      <c r="F315" s="9">
        <v>0.15748967748318532</v>
      </c>
    </row>
    <row r="316" spans="1:6" x14ac:dyDescent="0.3">
      <c r="A316" s="4" t="s">
        <v>470</v>
      </c>
      <c r="B316">
        <v>4000</v>
      </c>
      <c r="C316">
        <v>8</v>
      </c>
      <c r="D316" s="5">
        <v>165294.81</v>
      </c>
      <c r="E316" s="5">
        <v>5112</v>
      </c>
      <c r="F316" s="9">
        <v>0.24740000000000001</v>
      </c>
    </row>
    <row r="317" spans="1:6" x14ac:dyDescent="0.3">
      <c r="A317" s="4" t="s">
        <v>474</v>
      </c>
      <c r="B317">
        <v>625</v>
      </c>
      <c r="C317">
        <v>3</v>
      </c>
      <c r="D317" s="5">
        <v>65534.67</v>
      </c>
      <c r="E317" s="5">
        <v>5619</v>
      </c>
      <c r="F317" s="9">
        <v>0.25719999999999998</v>
      </c>
    </row>
    <row r="318" spans="1:6" x14ac:dyDescent="0.3">
      <c r="A318" s="4" t="s">
        <v>475</v>
      </c>
      <c r="B318">
        <v>22937</v>
      </c>
      <c r="C318">
        <v>40</v>
      </c>
      <c r="D318" s="5">
        <v>3530326.63</v>
      </c>
      <c r="E318" s="5">
        <v>6591</v>
      </c>
      <c r="F318" s="9">
        <v>7.4700000000000003E-2</v>
      </c>
    </row>
    <row r="319" spans="1:6" x14ac:dyDescent="0.3">
      <c r="A319" s="4" t="s">
        <v>478</v>
      </c>
      <c r="B319">
        <v>28293</v>
      </c>
      <c r="C319">
        <v>40</v>
      </c>
      <c r="D319" s="5">
        <v>4481107.32</v>
      </c>
      <c r="E319" s="5">
        <v>8989</v>
      </c>
      <c r="F319" s="9">
        <v>0.08</v>
      </c>
    </row>
    <row r="320" spans="1:6" x14ac:dyDescent="0.3">
      <c r="A320" s="4" t="s">
        <v>476</v>
      </c>
      <c r="B320">
        <v>48055</v>
      </c>
      <c r="C320">
        <v>40</v>
      </c>
      <c r="D320" s="5">
        <v>5193210.9600960203</v>
      </c>
      <c r="E320" s="5">
        <v>9621.5178720805634</v>
      </c>
      <c r="F320" s="9">
        <v>7.4108430764789623E-2</v>
      </c>
    </row>
    <row r="321" spans="1:6" x14ac:dyDescent="0.3">
      <c r="A321" s="4" t="s">
        <v>477</v>
      </c>
      <c r="B321">
        <v>500</v>
      </c>
      <c r="C321">
        <v>2</v>
      </c>
      <c r="D321" s="5">
        <v>22858.94</v>
      </c>
      <c r="E321" s="5">
        <v>3992</v>
      </c>
      <c r="F321" s="9">
        <v>0.3493</v>
      </c>
    </row>
    <row r="322" spans="1:6" x14ac:dyDescent="0.3">
      <c r="A322" s="4" t="s">
        <v>480</v>
      </c>
      <c r="B322">
        <v>7984</v>
      </c>
      <c r="C322">
        <v>26</v>
      </c>
      <c r="D322" s="5">
        <v>1416325.66</v>
      </c>
      <c r="E322" s="5">
        <v>7451</v>
      </c>
      <c r="F322" s="9">
        <v>0.1368</v>
      </c>
    </row>
    <row r="323" spans="1:6" x14ac:dyDescent="0.3">
      <c r="A323" s="4" t="s">
        <v>481</v>
      </c>
      <c r="B323">
        <v>4500</v>
      </c>
      <c r="C323">
        <v>16</v>
      </c>
      <c r="D323" s="5">
        <v>1206753.97</v>
      </c>
      <c r="E323" s="5">
        <v>9897</v>
      </c>
      <c r="F323" s="9">
        <v>0.13120000000000001</v>
      </c>
    </row>
    <row r="324" spans="1:6" x14ac:dyDescent="0.3">
      <c r="A324" s="4" t="s">
        <v>482</v>
      </c>
      <c r="B324">
        <v>61693</v>
      </c>
      <c r="C324">
        <v>52</v>
      </c>
      <c r="D324" s="5">
        <v>8161085.4699999997</v>
      </c>
      <c r="E324" s="5">
        <v>12294</v>
      </c>
      <c r="F324" s="9">
        <v>7.8299999999999995E-2</v>
      </c>
    </row>
    <row r="325" spans="1:6" x14ac:dyDescent="0.3">
      <c r="A325" s="4" t="s">
        <v>495</v>
      </c>
      <c r="B325">
        <v>16800</v>
      </c>
      <c r="C325">
        <v>42</v>
      </c>
      <c r="D325" s="5">
        <v>3215733.8873239146</v>
      </c>
      <c r="E325" s="5">
        <v>8644.1087826199891</v>
      </c>
      <c r="F325" s="9">
        <v>0.11289882235005659</v>
      </c>
    </row>
    <row r="326" spans="1:6" x14ac:dyDescent="0.3">
      <c r="A326" s="4" t="s">
        <v>492</v>
      </c>
      <c r="B326">
        <v>14074</v>
      </c>
      <c r="C326">
        <v>26</v>
      </c>
      <c r="D326" s="5">
        <v>1184577.22</v>
      </c>
      <c r="E326" s="5">
        <v>5472</v>
      </c>
      <c r="F326" s="9">
        <v>0.1201</v>
      </c>
    </row>
    <row r="327" spans="1:6" x14ac:dyDescent="0.3">
      <c r="A327" s="4" t="s">
        <v>489</v>
      </c>
      <c r="C327">
        <v>20</v>
      </c>
      <c r="D327" s="5">
        <v>1000000</v>
      </c>
      <c r="E327" s="5">
        <v>5000</v>
      </c>
      <c r="F327" s="9">
        <v>0.1</v>
      </c>
    </row>
    <row r="328" spans="1:6" x14ac:dyDescent="0.3">
      <c r="A328" s="4" t="s">
        <v>488</v>
      </c>
      <c r="B328">
        <v>12970</v>
      </c>
      <c r="C328">
        <v>12</v>
      </c>
      <c r="D328" s="5">
        <v>593016</v>
      </c>
      <c r="E328" s="5">
        <v>7574</v>
      </c>
      <c r="F328" s="9">
        <v>0.15329999999999999</v>
      </c>
    </row>
    <row r="329" spans="1:6" x14ac:dyDescent="0.3">
      <c r="A329" s="4" t="s">
        <v>497</v>
      </c>
      <c r="B329">
        <v>19380</v>
      </c>
      <c r="C329">
        <v>30</v>
      </c>
      <c r="D329" s="5">
        <v>2796514.208439765</v>
      </c>
      <c r="E329" s="5">
        <v>7996.7379686588329</v>
      </c>
      <c r="F329" s="9">
        <v>8.5786132727575695E-2</v>
      </c>
    </row>
    <row r="330" spans="1:6" x14ac:dyDescent="0.3">
      <c r="A330" s="4" t="s">
        <v>498</v>
      </c>
      <c r="B330">
        <v>4250</v>
      </c>
      <c r="C330">
        <v>20</v>
      </c>
      <c r="D330" s="5">
        <v>1269524.4737333602</v>
      </c>
      <c r="E330" s="5">
        <v>6695.4695456680001</v>
      </c>
      <c r="F330" s="9">
        <v>0.10547996016143377</v>
      </c>
    </row>
    <row r="331" spans="1:6" x14ac:dyDescent="0.3">
      <c r="A331" s="4" t="s">
        <v>499</v>
      </c>
      <c r="B331">
        <v>7250</v>
      </c>
      <c r="C331">
        <v>16</v>
      </c>
      <c r="D331" s="5">
        <v>1012063.9171650001</v>
      </c>
      <c r="E331" s="5">
        <v>7313.7232603125003</v>
      </c>
      <c r="F331" s="9">
        <v>0.11562468553645898</v>
      </c>
    </row>
    <row r="332" spans="1:6" x14ac:dyDescent="0.3">
      <c r="A332" s="4" t="s">
        <v>501</v>
      </c>
      <c r="B332">
        <v>9800</v>
      </c>
      <c r="C332">
        <v>20</v>
      </c>
      <c r="D332" s="5">
        <v>1955300.0043330372</v>
      </c>
      <c r="E332" s="5">
        <v>8635.7831883849576</v>
      </c>
      <c r="F332" s="9">
        <v>8.8332053078787443E-2</v>
      </c>
    </row>
    <row r="333" spans="1:6" x14ac:dyDescent="0.3">
      <c r="A333" s="4" t="s">
        <v>502</v>
      </c>
      <c r="B333">
        <v>9000</v>
      </c>
      <c r="C333">
        <v>16</v>
      </c>
      <c r="D333" s="5">
        <v>1020056.00087598</v>
      </c>
      <c r="E333" s="5">
        <v>8968.7293447487482</v>
      </c>
      <c r="F333" s="9">
        <v>0.14067822687455264</v>
      </c>
    </row>
    <row r="334" spans="1:6" x14ac:dyDescent="0.3">
      <c r="A334" s="4" t="s">
        <v>505</v>
      </c>
      <c r="B334">
        <v>13175.025839999998</v>
      </c>
      <c r="C334">
        <v>25</v>
      </c>
      <c r="D334" s="5">
        <v>2157984.3458886663</v>
      </c>
      <c r="E334" s="5">
        <v>6862.4743145942512</v>
      </c>
      <c r="F334" s="9">
        <v>7.9659976175496708E-2</v>
      </c>
    </row>
    <row r="335" spans="1:6" x14ac:dyDescent="0.3">
      <c r="A335" s="4" t="s">
        <v>510</v>
      </c>
      <c r="B335">
        <v>1000</v>
      </c>
      <c r="C335">
        <v>4</v>
      </c>
      <c r="D335" s="5">
        <v>187766.32</v>
      </c>
      <c r="E335" s="5">
        <v>7041.2370000000001</v>
      </c>
      <c r="F335" s="9">
        <v>0.15</v>
      </c>
    </row>
    <row r="336" spans="1:6" x14ac:dyDescent="0.3">
      <c r="A336" s="4" t="s">
        <v>511</v>
      </c>
      <c r="B336">
        <v>1000</v>
      </c>
      <c r="C336">
        <v>12</v>
      </c>
      <c r="D336" s="5">
        <v>536061.68000000005</v>
      </c>
      <c r="E336" s="5">
        <v>6700.7710000000006</v>
      </c>
      <c r="F336" s="9">
        <v>0.15</v>
      </c>
    </row>
    <row r="337" spans="1:6" x14ac:dyDescent="0.3">
      <c r="A337" s="4" t="s">
        <v>515</v>
      </c>
      <c r="B337">
        <v>1600</v>
      </c>
      <c r="C337">
        <v>8</v>
      </c>
      <c r="D337" s="5">
        <v>349173.64437816665</v>
      </c>
      <c r="E337" s="5">
        <v>8407.2580524791683</v>
      </c>
      <c r="F337" s="9">
        <v>0.1926206788591141</v>
      </c>
    </row>
    <row r="338" spans="1:6" x14ac:dyDescent="0.3">
      <c r="A338" s="4" t="s">
        <v>519</v>
      </c>
      <c r="B338">
        <v>17815</v>
      </c>
      <c r="C338">
        <v>41</v>
      </c>
      <c r="D338" s="5">
        <v>2699812.8285205336</v>
      </c>
      <c r="E338" s="5">
        <v>7976.3150552975612</v>
      </c>
      <c r="F338" s="9">
        <v>0.12113021829235773</v>
      </c>
    </row>
    <row r="339" spans="1:6" x14ac:dyDescent="0.3">
      <c r="A339" s="4" t="s">
        <v>520</v>
      </c>
      <c r="B339">
        <v>12680</v>
      </c>
      <c r="C339">
        <v>32</v>
      </c>
      <c r="D339" s="5">
        <v>3084501.6664732867</v>
      </c>
      <c r="E339" s="5">
        <v>9174.1074331764303</v>
      </c>
      <c r="F339" s="9">
        <v>9.5176294132888334E-2</v>
      </c>
    </row>
    <row r="340" spans="1:6" x14ac:dyDescent="0.3">
      <c r="A340" s="4" t="s">
        <v>521</v>
      </c>
      <c r="B340">
        <v>4830</v>
      </c>
      <c r="C340">
        <v>16</v>
      </c>
      <c r="D340" s="5">
        <v>905681.42209346546</v>
      </c>
      <c r="E340" s="5">
        <v>8250.1222840568353</v>
      </c>
      <c r="F340" s="9">
        <v>0.14574877360274138</v>
      </c>
    </row>
    <row r="341" spans="1:6" x14ac:dyDescent="0.3">
      <c r="A341" s="4" t="s">
        <v>522</v>
      </c>
      <c r="B341">
        <v>5000</v>
      </c>
      <c r="C341">
        <v>8</v>
      </c>
      <c r="D341" s="5">
        <v>300000</v>
      </c>
      <c r="E341" s="5">
        <v>5625</v>
      </c>
      <c r="F341" s="9">
        <v>0.15</v>
      </c>
    </row>
    <row r="342" spans="1:6" x14ac:dyDescent="0.3">
      <c r="A342" s="4" t="s">
        <v>526</v>
      </c>
      <c r="B342">
        <v>21526</v>
      </c>
      <c r="C342">
        <v>18</v>
      </c>
      <c r="D342" s="5">
        <v>1584862.7097893036</v>
      </c>
      <c r="E342" s="5">
        <v>8130.3703405613342</v>
      </c>
      <c r="F342" s="9">
        <v>9.2340279840112949E-2</v>
      </c>
    </row>
    <row r="343" spans="1:6" x14ac:dyDescent="0.3">
      <c r="A343" s="4" t="s">
        <v>532</v>
      </c>
      <c r="B343">
        <v>200</v>
      </c>
      <c r="C343">
        <v>2</v>
      </c>
      <c r="D343" s="5">
        <v>82860.399064666679</v>
      </c>
      <c r="E343" s="5">
        <v>7613.134175666667</v>
      </c>
      <c r="F343" s="9">
        <v>0.18375808616912778</v>
      </c>
    </row>
    <row r="344" spans="1:6" x14ac:dyDescent="0.3">
      <c r="A344" s="4" t="s">
        <v>536</v>
      </c>
      <c r="B344">
        <v>1694</v>
      </c>
      <c r="C344">
        <v>7</v>
      </c>
      <c r="D344" s="5">
        <v>298278.18940000003</v>
      </c>
      <c r="E344" s="5">
        <v>4851.4203904761907</v>
      </c>
      <c r="F344" s="9">
        <v>0.11385325491496809</v>
      </c>
    </row>
    <row r="345" spans="1:6" x14ac:dyDescent="0.3">
      <c r="A345" s="4" t="s">
        <v>537</v>
      </c>
      <c r="B345">
        <v>4000</v>
      </c>
      <c r="C345">
        <v>6</v>
      </c>
      <c r="D345" s="5">
        <v>284699.99632000003</v>
      </c>
      <c r="E345" s="5">
        <v>8573.4940533333338</v>
      </c>
      <c r="F345" s="9">
        <v>0.18068480851745727</v>
      </c>
    </row>
    <row r="346" spans="1:6" x14ac:dyDescent="0.3">
      <c r="A346" s="4" t="s">
        <v>527</v>
      </c>
      <c r="B346">
        <v>5000</v>
      </c>
      <c r="C346">
        <v>6</v>
      </c>
      <c r="D346" s="5">
        <v>506311.16</v>
      </c>
      <c r="E346" s="5"/>
      <c r="F346" s="9">
        <v>0.15</v>
      </c>
    </row>
    <row r="347" spans="1:6" x14ac:dyDescent="0.3">
      <c r="A347" s="4" t="s">
        <v>548</v>
      </c>
      <c r="B347">
        <v>8471</v>
      </c>
      <c r="C347">
        <v>10</v>
      </c>
      <c r="D347" s="5">
        <v>487553.99670533562</v>
      </c>
      <c r="E347" s="5">
        <v>7318.183729413</v>
      </c>
      <c r="F347" s="9">
        <v>0.15190116344471161</v>
      </c>
    </row>
    <row r="348" spans="1:6" x14ac:dyDescent="0.3">
      <c r="A348" s="4" t="s">
        <v>544</v>
      </c>
      <c r="B348">
        <v>868</v>
      </c>
      <c r="C348">
        <v>6</v>
      </c>
      <c r="D348" s="5">
        <v>179930.00284155001</v>
      </c>
      <c r="E348" s="5">
        <v>6439.1671343416674</v>
      </c>
      <c r="F348" s="9">
        <v>0.21472240424557079</v>
      </c>
    </row>
    <row r="349" spans="1:6" x14ac:dyDescent="0.3">
      <c r="A349" s="4" t="s">
        <v>546</v>
      </c>
      <c r="B349">
        <v>1500</v>
      </c>
      <c r="C349">
        <v>3</v>
      </c>
      <c r="D349" s="5">
        <v>80651.996614000003</v>
      </c>
      <c r="E349" s="5">
        <v>5329.280538</v>
      </c>
      <c r="F349" s="9">
        <v>0.1982324342262439</v>
      </c>
    </row>
    <row r="350" spans="1:6" x14ac:dyDescent="0.3">
      <c r="A350" s="4" t="s">
        <v>551</v>
      </c>
      <c r="B350">
        <v>62000</v>
      </c>
      <c r="C350">
        <v>36</v>
      </c>
      <c r="D350" s="5">
        <v>12499189.739990529</v>
      </c>
      <c r="E350" s="5">
        <v>16476.371600173981</v>
      </c>
      <c r="F350" s="9">
        <v>4.7455026281304595E-2</v>
      </c>
    </row>
    <row r="351" spans="1:6" x14ac:dyDescent="0.3">
      <c r="A351" s="4" t="s">
        <v>554</v>
      </c>
      <c r="B351">
        <v>2000</v>
      </c>
      <c r="C351">
        <v>3</v>
      </c>
      <c r="D351" s="5">
        <v>91518.997560000003</v>
      </c>
      <c r="E351" s="5">
        <v>5920.6175199999989</v>
      </c>
      <c r="F351" s="9">
        <v>0.19407831197402808</v>
      </c>
    </row>
    <row r="352" spans="1:6" x14ac:dyDescent="0.3">
      <c r="A352" s="4" t="s">
        <v>556</v>
      </c>
      <c r="B352">
        <v>49900</v>
      </c>
      <c r="C352">
        <v>52</v>
      </c>
      <c r="D352" s="5">
        <v>9426950.3380961902</v>
      </c>
      <c r="E352" s="5">
        <v>11965.573993677392</v>
      </c>
      <c r="F352" s="9">
        <v>6.6003301741895254E-2</v>
      </c>
    </row>
    <row r="353" spans="1:6" x14ac:dyDescent="0.3">
      <c r="A353" s="4" t="s">
        <v>557</v>
      </c>
      <c r="B353">
        <v>1912</v>
      </c>
      <c r="C353">
        <v>3</v>
      </c>
      <c r="D353" s="5">
        <v>120355.81472520001</v>
      </c>
      <c r="E353" s="5">
        <v>7101.1249917333344</v>
      </c>
      <c r="F353" s="9">
        <v>0.17700328832338103</v>
      </c>
    </row>
    <row r="354" spans="1:6" x14ac:dyDescent="0.3">
      <c r="A354" s="4" t="s">
        <v>559</v>
      </c>
      <c r="B354">
        <v>21780</v>
      </c>
      <c r="C354">
        <v>17</v>
      </c>
      <c r="D354" s="5">
        <v>1404356.9760622745</v>
      </c>
      <c r="E354" s="5">
        <v>12664.228407490198</v>
      </c>
      <c r="F354" s="9">
        <v>0.15514245255032644</v>
      </c>
    </row>
    <row r="355" spans="1:6" x14ac:dyDescent="0.3">
      <c r="A355" s="4" t="s">
        <v>560</v>
      </c>
      <c r="B355">
        <v>2478</v>
      </c>
      <c r="C355">
        <v>26</v>
      </c>
      <c r="D355" s="5">
        <v>2632400.0046775527</v>
      </c>
      <c r="E355" s="5">
        <v>9224.839410195671</v>
      </c>
      <c r="F355" s="9">
        <v>9.1112985959163367E-2</v>
      </c>
    </row>
    <row r="356" spans="1:6" x14ac:dyDescent="0.3">
      <c r="A356" s="4" t="s">
        <v>562</v>
      </c>
      <c r="B356">
        <v>8869</v>
      </c>
      <c r="C356">
        <v>3</v>
      </c>
      <c r="D356" s="5">
        <v>420089.99584464001</v>
      </c>
      <c r="E356" s="5">
        <v>20209.325281546669</v>
      </c>
      <c r="F356" s="9">
        <v>0.14432139885345371</v>
      </c>
    </row>
    <row r="357" spans="1:6" x14ac:dyDescent="0.3">
      <c r="A357" s="4" t="s">
        <v>563</v>
      </c>
      <c r="B357">
        <v>758</v>
      </c>
      <c r="C357">
        <v>3</v>
      </c>
      <c r="D357" s="5">
        <v>58137.826702247999</v>
      </c>
      <c r="E357" s="5">
        <v>5922.0751240826658</v>
      </c>
      <c r="F357" s="9">
        <v>0.30558805480014678</v>
      </c>
    </row>
    <row r="358" spans="1:6" x14ac:dyDescent="0.3">
      <c r="A358" s="4" t="s">
        <v>565</v>
      </c>
      <c r="B358">
        <v>330</v>
      </c>
      <c r="C358">
        <v>3</v>
      </c>
      <c r="D358" s="5">
        <v>142961.72164604001</v>
      </c>
      <c r="E358" s="5">
        <v>9505.9118020133337</v>
      </c>
      <c r="F358" s="9">
        <v>0.19947811958117906</v>
      </c>
    </row>
    <row r="359" spans="1:6" x14ac:dyDescent="0.3">
      <c r="A359" s="4" t="s">
        <v>567</v>
      </c>
      <c r="B359">
        <v>1216</v>
      </c>
      <c r="C359">
        <v>3</v>
      </c>
      <c r="D359" s="5">
        <v>51204.003190399999</v>
      </c>
      <c r="E359" s="5">
        <v>4310.1120501333326</v>
      </c>
      <c r="F359" s="9">
        <v>0.25252588361732325</v>
      </c>
    </row>
    <row r="360" spans="1:6" x14ac:dyDescent="0.3">
      <c r="A360" s="4" t="s">
        <v>568</v>
      </c>
      <c r="B360">
        <v>400</v>
      </c>
      <c r="C360">
        <v>3</v>
      </c>
      <c r="D360" s="5">
        <v>58064.99796552</v>
      </c>
      <c r="E360" s="5">
        <v>4523.3525647733331</v>
      </c>
      <c r="F360" s="9">
        <v>0.23370460983014474</v>
      </c>
    </row>
    <row r="361" spans="1:6" x14ac:dyDescent="0.3">
      <c r="A361" s="4" t="s">
        <v>572</v>
      </c>
      <c r="B361">
        <v>5000</v>
      </c>
      <c r="C361">
        <v>6</v>
      </c>
      <c r="D361" s="5">
        <v>188915.83</v>
      </c>
      <c r="E361" s="5"/>
      <c r="F361" s="9">
        <v>0.15</v>
      </c>
    </row>
    <row r="362" spans="1:6" x14ac:dyDescent="0.3">
      <c r="A362" s="4" t="s">
        <v>581</v>
      </c>
      <c r="B362">
        <v>7191</v>
      </c>
      <c r="C362">
        <v>22</v>
      </c>
      <c r="D362" s="5">
        <v>2442554.4387959507</v>
      </c>
      <c r="E362" s="5">
        <v>12040.74648409257</v>
      </c>
      <c r="F362" s="9">
        <v>0.10845057061680735</v>
      </c>
    </row>
    <row r="363" spans="1:6" x14ac:dyDescent="0.3">
      <c r="A363" s="4" t="s">
        <v>590</v>
      </c>
      <c r="B363">
        <v>1500</v>
      </c>
      <c r="C363">
        <v>4</v>
      </c>
      <c r="D363" s="5">
        <v>89932.557579333326</v>
      </c>
      <c r="E363" s="5">
        <v>4614.0941631666665</v>
      </c>
      <c r="F363" s="9">
        <v>0.20522463887881218</v>
      </c>
    </row>
    <row r="364" spans="1:6" x14ac:dyDescent="0.3">
      <c r="A364" s="4" t="s">
        <v>594</v>
      </c>
      <c r="B364">
        <v>700</v>
      </c>
      <c r="C364">
        <v>2</v>
      </c>
      <c r="D364" s="5">
        <v>24914.0305744</v>
      </c>
      <c r="E364" s="5">
        <v>2950.5225672000001</v>
      </c>
      <c r="F364" s="9">
        <v>0.23685630138318614</v>
      </c>
    </row>
    <row r="365" spans="1:6" x14ac:dyDescent="0.3">
      <c r="A365" s="4" t="s">
        <v>593</v>
      </c>
      <c r="B365">
        <v>1629</v>
      </c>
      <c r="C365">
        <v>6</v>
      </c>
      <c r="D365" s="5">
        <v>113919.995228</v>
      </c>
      <c r="E365" s="5">
        <v>3413.2555380000008</v>
      </c>
      <c r="F365" s="9">
        <v>0.17977119106274692</v>
      </c>
    </row>
    <row r="366" spans="1:6" x14ac:dyDescent="0.3">
      <c r="A366" s="4" t="s">
        <v>595</v>
      </c>
      <c r="B366">
        <v>828</v>
      </c>
      <c r="C366">
        <v>5</v>
      </c>
      <c r="D366" s="5">
        <v>161032.00270779998</v>
      </c>
      <c r="E366" s="5">
        <v>7673.1517295600006</v>
      </c>
      <c r="F366" s="9">
        <v>0.23824927966285339</v>
      </c>
    </row>
    <row r="367" spans="1:6" x14ac:dyDescent="0.3">
      <c r="A367" s="4" t="s">
        <v>596</v>
      </c>
      <c r="B367">
        <v>12745</v>
      </c>
      <c r="C367">
        <v>22</v>
      </c>
      <c r="D367" s="5">
        <v>4343400.5648058997</v>
      </c>
      <c r="E367" s="5">
        <v>18813.865937145947</v>
      </c>
      <c r="F367" s="9">
        <v>9.5295159735217197E-2</v>
      </c>
    </row>
    <row r="368" spans="1:6" x14ac:dyDescent="0.3">
      <c r="A368" s="4" t="s">
        <v>598</v>
      </c>
      <c r="B368">
        <v>10612</v>
      </c>
      <c r="C368">
        <v>6</v>
      </c>
      <c r="D368" s="5">
        <v>213036.94237760003</v>
      </c>
      <c r="E368" s="5">
        <v>7744.2654362666663</v>
      </c>
      <c r="F368" s="9">
        <v>0.21811049341499406</v>
      </c>
    </row>
    <row r="369" spans="1:6" x14ac:dyDescent="0.3">
      <c r="A369" s="4" t="s">
        <v>591</v>
      </c>
      <c r="B369">
        <v>3200</v>
      </c>
      <c r="C369">
        <v>3</v>
      </c>
      <c r="D369" s="5">
        <v>122705.84915072001</v>
      </c>
      <c r="E369" s="5">
        <v>5479.0699302399998</v>
      </c>
      <c r="F369" s="9">
        <v>0.13395620424361451</v>
      </c>
    </row>
    <row r="370" spans="1:6" x14ac:dyDescent="0.3">
      <c r="A370" s="4" t="s">
        <v>602</v>
      </c>
      <c r="B370">
        <v>99900</v>
      </c>
      <c r="C370">
        <v>49</v>
      </c>
      <c r="D370" s="5">
        <v>12624700.003236862</v>
      </c>
      <c r="E370" s="5">
        <v>17878.534143621731</v>
      </c>
      <c r="F370" s="9">
        <v>6.9391603191589019E-2</v>
      </c>
    </row>
    <row r="371" spans="1:6" x14ac:dyDescent="0.3">
      <c r="A371" s="4" t="s">
        <v>608</v>
      </c>
      <c r="B371">
        <v>7700</v>
      </c>
      <c r="C371">
        <v>20</v>
      </c>
      <c r="D371" s="5">
        <v>1291488.6828066192</v>
      </c>
      <c r="E371" s="5">
        <v>8648.4766263014735</v>
      </c>
      <c r="F371" s="9">
        <v>0.1339303509420911</v>
      </c>
    </row>
    <row r="372" spans="1:6" x14ac:dyDescent="0.3">
      <c r="A372" s="4" t="s">
        <v>621</v>
      </c>
      <c r="B372">
        <v>51596</v>
      </c>
      <c r="C372">
        <v>70</v>
      </c>
      <c r="D372" s="5">
        <v>7374630.5502305031</v>
      </c>
      <c r="E372" s="5">
        <v>8832.294275623959</v>
      </c>
      <c r="F372" s="9">
        <v>8.3836145428919512E-2</v>
      </c>
    </row>
    <row r="373" spans="1:6" x14ac:dyDescent="0.3">
      <c r="A373" s="4" t="s">
        <v>603</v>
      </c>
      <c r="B373">
        <v>3773</v>
      </c>
      <c r="C373">
        <v>12</v>
      </c>
      <c r="D373" s="5">
        <v>638625.63688979996</v>
      </c>
      <c r="E373" s="5">
        <v>7092.3571779166659</v>
      </c>
      <c r="F373" s="9">
        <v>0.13326788218131949</v>
      </c>
    </row>
    <row r="374" spans="1:6" x14ac:dyDescent="0.3">
      <c r="A374" s="4" t="s">
        <v>609</v>
      </c>
      <c r="B374">
        <v>18354</v>
      </c>
      <c r="C374">
        <v>38</v>
      </c>
      <c r="D374" s="5">
        <v>4194000.0036756597</v>
      </c>
      <c r="E374" s="5">
        <v>9604.6489392030162</v>
      </c>
      <c r="F374" s="9">
        <v>8.8019958938840556E-2</v>
      </c>
    </row>
    <row r="375" spans="1:6" x14ac:dyDescent="0.3">
      <c r="A375" s="4" t="s">
        <v>611</v>
      </c>
      <c r="B375">
        <v>157</v>
      </c>
      <c r="C375">
        <v>4</v>
      </c>
      <c r="D375" s="5">
        <v>97449.99855413333</v>
      </c>
      <c r="E375" s="5">
        <v>6671.9723388666671</v>
      </c>
      <c r="F375" s="9">
        <v>0.27386238841903715</v>
      </c>
    </row>
    <row r="376" spans="1:6" x14ac:dyDescent="0.3">
      <c r="A376" s="4" t="s">
        <v>610</v>
      </c>
      <c r="B376">
        <v>1697</v>
      </c>
      <c r="C376">
        <v>6</v>
      </c>
      <c r="D376" s="5">
        <v>202990.00271120001</v>
      </c>
      <c r="E376" s="5">
        <v>6103.1641299166668</v>
      </c>
      <c r="F376" s="9">
        <v>0.18039797177400374</v>
      </c>
    </row>
    <row r="377" spans="1:6" x14ac:dyDescent="0.3">
      <c r="A377" s="4" t="s">
        <v>605</v>
      </c>
      <c r="B377">
        <v>1223</v>
      </c>
      <c r="C377">
        <v>6</v>
      </c>
      <c r="D377" s="5">
        <v>281482.34465759998</v>
      </c>
      <c r="E377" s="5">
        <v>6770.0378318333342</v>
      </c>
      <c r="F377" s="9">
        <v>0.14430825862421728</v>
      </c>
    </row>
    <row r="378" spans="1:6" x14ac:dyDescent="0.3">
      <c r="A378" s="4" t="s">
        <v>614</v>
      </c>
      <c r="B378">
        <v>3928</v>
      </c>
      <c r="C378">
        <v>20</v>
      </c>
      <c r="D378" s="5">
        <v>1100654.4627591788</v>
      </c>
      <c r="E378" s="5">
        <v>5523.2107909378265</v>
      </c>
      <c r="F378" s="9">
        <v>0.10036230220866864</v>
      </c>
    </row>
    <row r="379" spans="1:6" x14ac:dyDescent="0.3">
      <c r="A379" s="4" t="s">
        <v>625</v>
      </c>
      <c r="B379">
        <v>4416</v>
      </c>
      <c r="C379">
        <v>26</v>
      </c>
      <c r="D379" s="5">
        <v>1989863.9963005045</v>
      </c>
      <c r="E379" s="5">
        <v>8773.9749484391141</v>
      </c>
      <c r="F379" s="9">
        <v>0.11464268366257044</v>
      </c>
    </row>
    <row r="380" spans="1:6" x14ac:dyDescent="0.3">
      <c r="A380" s="4" t="s">
        <v>628</v>
      </c>
      <c r="B380">
        <v>1300</v>
      </c>
      <c r="C380">
        <v>4</v>
      </c>
      <c r="D380" s="5">
        <v>142384.7550528</v>
      </c>
      <c r="E380" s="5">
        <v>6287.0527099499996</v>
      </c>
      <c r="F380" s="9">
        <v>0.17662151281908223</v>
      </c>
    </row>
    <row r="381" spans="1:6" x14ac:dyDescent="0.3">
      <c r="A381" s="4" t="s">
        <v>629</v>
      </c>
      <c r="B381">
        <v>7325</v>
      </c>
      <c r="C381">
        <v>13</v>
      </c>
      <c r="D381" s="5">
        <v>967599.99758061313</v>
      </c>
      <c r="E381" s="5">
        <v>9287.9663186692305</v>
      </c>
      <c r="F381" s="9">
        <v>0.12628420585664113</v>
      </c>
    </row>
    <row r="382" spans="1:6" x14ac:dyDescent="0.3">
      <c r="A382" s="4" t="s">
        <v>630</v>
      </c>
      <c r="B382">
        <v>800</v>
      </c>
      <c r="C382">
        <v>8</v>
      </c>
      <c r="D382" s="5">
        <v>260681.7864864</v>
      </c>
      <c r="E382" s="5">
        <v>4771.6238610357141</v>
      </c>
      <c r="F382" s="9">
        <v>0.14643520517025929</v>
      </c>
    </row>
    <row r="383" spans="1:6" x14ac:dyDescent="0.3">
      <c r="A383" s="4" t="s">
        <v>631</v>
      </c>
      <c r="B383">
        <v>5313</v>
      </c>
      <c r="C383">
        <v>12</v>
      </c>
      <c r="D383" s="5">
        <v>467680.00235343998</v>
      </c>
      <c r="E383" s="5">
        <v>6212.2961646116664</v>
      </c>
      <c r="F383" s="9">
        <v>0.15939863496451606</v>
      </c>
    </row>
    <row r="384" spans="1:6" x14ac:dyDescent="0.3">
      <c r="A384" s="4" t="s">
        <v>648</v>
      </c>
      <c r="B384">
        <v>200</v>
      </c>
      <c r="C384">
        <v>4</v>
      </c>
      <c r="D384" s="5">
        <v>95321.62154303999</v>
      </c>
      <c r="E384" s="5">
        <v>6222.667516784999</v>
      </c>
      <c r="F384" s="9">
        <v>0.26112302397102283</v>
      </c>
    </row>
    <row r="385" spans="1:6" x14ac:dyDescent="0.3">
      <c r="A385" s="4" t="s">
        <v>647</v>
      </c>
      <c r="B385">
        <v>4400</v>
      </c>
      <c r="C385">
        <v>10</v>
      </c>
      <c r="D385" s="5">
        <v>403340.00238000002</v>
      </c>
      <c r="E385" s="5">
        <v>6423.8764659999997</v>
      </c>
      <c r="F385" s="9">
        <v>0.15926703099356487</v>
      </c>
    </row>
    <row r="386" spans="1:6" x14ac:dyDescent="0.3">
      <c r="A386" s="4" t="s">
        <v>640</v>
      </c>
      <c r="B386">
        <v>11236</v>
      </c>
      <c r="C386">
        <v>40</v>
      </c>
      <c r="D386" s="5">
        <v>4801586.9995879419</v>
      </c>
      <c r="E386" s="5">
        <v>11931.827787650238</v>
      </c>
      <c r="F386" s="9">
        <v>9.9399034433192132E-2</v>
      </c>
    </row>
    <row r="387" spans="1:6" x14ac:dyDescent="0.3">
      <c r="A387" s="4" t="s">
        <v>652</v>
      </c>
      <c r="B387">
        <v>14000</v>
      </c>
      <c r="C387">
        <v>12</v>
      </c>
      <c r="D387" s="5">
        <v>613575.00011999998</v>
      </c>
      <c r="E387" s="5">
        <v>6693.8490641666658</v>
      </c>
      <c r="F387" s="9">
        <v>0.13091502873208685</v>
      </c>
    </row>
    <row r="388" spans="1:6" x14ac:dyDescent="0.3">
      <c r="A388" s="4" t="s">
        <v>658</v>
      </c>
      <c r="B388">
        <v>8869</v>
      </c>
      <c r="C388">
        <v>3</v>
      </c>
      <c r="D388" s="5">
        <v>663503</v>
      </c>
      <c r="E388" s="5">
        <v>25406</v>
      </c>
      <c r="F388" s="9">
        <v>0.1149</v>
      </c>
    </row>
    <row r="389" spans="1:6" x14ac:dyDescent="0.3">
      <c r="A389" s="4" t="s">
        <v>655</v>
      </c>
      <c r="B389">
        <v>1875</v>
      </c>
      <c r="C389">
        <v>3</v>
      </c>
      <c r="D389" s="5">
        <v>95692.66</v>
      </c>
      <c r="E389" s="5">
        <v>6114</v>
      </c>
      <c r="F389" s="9">
        <v>0.19170000000000001</v>
      </c>
    </row>
    <row r="390" spans="1:6" x14ac:dyDescent="0.3">
      <c r="A390" s="4" t="s">
        <v>666</v>
      </c>
      <c r="B390">
        <v>1594</v>
      </c>
      <c r="C390">
        <v>12</v>
      </c>
      <c r="D390" s="5">
        <v>556804.10703119996</v>
      </c>
      <c r="E390" s="5">
        <v>5899.6801018229162</v>
      </c>
      <c r="F390" s="9">
        <v>0.12714734020075755</v>
      </c>
    </row>
    <row r="391" spans="1:6" x14ac:dyDescent="0.3">
      <c r="A391" s="4" t="s">
        <v>667</v>
      </c>
      <c r="B391">
        <v>2692</v>
      </c>
      <c r="C391">
        <v>7</v>
      </c>
      <c r="D391" s="5">
        <v>303378.37312199996</v>
      </c>
      <c r="E391" s="5">
        <v>8783.2285788571426</v>
      </c>
      <c r="F391" s="9">
        <v>0.20265979878293933</v>
      </c>
    </row>
    <row r="392" spans="1:6" x14ac:dyDescent="0.3">
      <c r="A392" s="4" t="s">
        <v>669</v>
      </c>
      <c r="B392">
        <v>1200</v>
      </c>
      <c r="C392">
        <v>4</v>
      </c>
      <c r="D392" s="5">
        <v>78547</v>
      </c>
      <c r="E392" s="5">
        <v>2259.1535346000001</v>
      </c>
      <c r="F392" s="9">
        <v>9.3806393504009947E-2</v>
      </c>
    </row>
    <row r="393" spans="1:6" x14ac:dyDescent="0.3">
      <c r="A393" s="4" t="s">
        <v>670</v>
      </c>
      <c r="B393">
        <v>1200</v>
      </c>
      <c r="C393">
        <v>4</v>
      </c>
      <c r="D393" s="5">
        <v>28639</v>
      </c>
      <c r="E393" s="5">
        <v>2259.1535346000001</v>
      </c>
      <c r="F393" s="9">
        <v>9.3806393504009947E-2</v>
      </c>
    </row>
    <row r="394" spans="1:6" x14ac:dyDescent="0.3">
      <c r="A394" s="4" t="s">
        <v>672</v>
      </c>
      <c r="B394">
        <v>1200</v>
      </c>
      <c r="C394">
        <v>1</v>
      </c>
      <c r="D394" s="5">
        <v>5431.5</v>
      </c>
      <c r="E394" s="5">
        <v>543</v>
      </c>
      <c r="F394" s="9">
        <v>0.1</v>
      </c>
    </row>
    <row r="395" spans="1:6" x14ac:dyDescent="0.3">
      <c r="A395" s="4" t="s">
        <v>674</v>
      </c>
      <c r="B395">
        <v>852</v>
      </c>
      <c r="C395">
        <v>6</v>
      </c>
      <c r="D395" s="5">
        <v>285935.2026182175</v>
      </c>
      <c r="E395" s="5">
        <v>6516.5291243437496</v>
      </c>
      <c r="F395" s="9">
        <v>0.13674138192165153</v>
      </c>
    </row>
    <row r="396" spans="1:6" x14ac:dyDescent="0.3">
      <c r="A396" s="4" t="s">
        <v>679</v>
      </c>
      <c r="B396">
        <v>59130</v>
      </c>
      <c r="C396">
        <v>78</v>
      </c>
      <c r="D396" s="5">
        <v>9807366.7182234321</v>
      </c>
      <c r="E396" s="5">
        <v>9040.2266307200771</v>
      </c>
      <c r="F396" s="9">
        <v>7.1898777465506977E-2</v>
      </c>
    </row>
    <row r="397" spans="1:6" x14ac:dyDescent="0.3">
      <c r="A397" s="4" t="s">
        <v>680</v>
      </c>
      <c r="B397">
        <v>31785</v>
      </c>
      <c r="C397">
        <v>52</v>
      </c>
      <c r="D397" s="5">
        <v>5260729.9382227231</v>
      </c>
      <c r="E397" s="5">
        <v>7905.0276259701786</v>
      </c>
      <c r="F397" s="9">
        <v>7.8137718791419591E-2</v>
      </c>
    </row>
    <row r="398" spans="1:6" x14ac:dyDescent="0.3">
      <c r="A398" s="4" t="s">
        <v>681</v>
      </c>
      <c r="B398">
        <v>59130</v>
      </c>
      <c r="C398">
        <v>78</v>
      </c>
      <c r="D398" s="5">
        <v>9807732.5662020035</v>
      </c>
      <c r="E398" s="5">
        <v>9040.4439452389615</v>
      </c>
      <c r="F398" s="9">
        <v>7.1897823780252876E-2</v>
      </c>
    </row>
    <row r="399" spans="1:6" x14ac:dyDescent="0.3">
      <c r="A399" s="4" t="s">
        <v>675</v>
      </c>
      <c r="B399">
        <v>1500</v>
      </c>
      <c r="C399">
        <v>7</v>
      </c>
      <c r="D399" s="5">
        <v>375592.08962879999</v>
      </c>
      <c r="E399" s="5">
        <v>9450.9471097571422</v>
      </c>
      <c r="F399" s="9">
        <v>0.17613957161260507</v>
      </c>
    </row>
    <row r="400" spans="1:6" x14ac:dyDescent="0.3">
      <c r="A400" s="4" t="s">
        <v>677</v>
      </c>
      <c r="B400">
        <v>15040</v>
      </c>
      <c r="C400">
        <v>16</v>
      </c>
      <c r="D400" s="5">
        <v>888307.7198352</v>
      </c>
      <c r="E400" s="5">
        <v>7207.8033004375011</v>
      </c>
      <c r="F400" s="9">
        <v>0.12982534118739308</v>
      </c>
    </row>
    <row r="401" spans="1:6" x14ac:dyDescent="0.3">
      <c r="A401" s="4" t="s">
        <v>688</v>
      </c>
      <c r="B401">
        <v>336</v>
      </c>
      <c r="C401">
        <v>4</v>
      </c>
      <c r="D401" s="5">
        <v>77095.099119999999</v>
      </c>
      <c r="E401" s="5">
        <v>4266.1026300000003</v>
      </c>
      <c r="F401" s="9">
        <v>0.22134235139173916</v>
      </c>
    </row>
    <row r="402" spans="1:6" x14ac:dyDescent="0.3">
      <c r="A402" s="4" t="s">
        <v>689</v>
      </c>
      <c r="B402">
        <v>102372</v>
      </c>
      <c r="C402">
        <v>80</v>
      </c>
      <c r="D402" s="5">
        <v>23523374.60675355</v>
      </c>
      <c r="E402" s="5">
        <v>18005.635979047256</v>
      </c>
      <c r="F402" s="9">
        <v>6.1234873924518797E-2</v>
      </c>
    </row>
    <row r="403" spans="1:6" x14ac:dyDescent="0.3">
      <c r="A403" s="4" t="s">
        <v>690</v>
      </c>
      <c r="B403">
        <v>3816</v>
      </c>
      <c r="C403">
        <v>14</v>
      </c>
      <c r="D403" s="5">
        <v>965399.9957760002</v>
      </c>
      <c r="E403" s="5">
        <v>7890.4603973214298</v>
      </c>
      <c r="F403" s="9">
        <v>0.1144255707953528</v>
      </c>
    </row>
    <row r="404" spans="1:6" x14ac:dyDescent="0.3">
      <c r="A404" s="4" t="s">
        <v>697</v>
      </c>
      <c r="B404">
        <v>4287</v>
      </c>
      <c r="C404">
        <v>11</v>
      </c>
      <c r="D404" s="5">
        <v>492100.84642816003</v>
      </c>
      <c r="E404" s="5">
        <v>7049.4415809418188</v>
      </c>
      <c r="F404" s="9">
        <v>0.15757716726805171</v>
      </c>
    </row>
    <row r="405" spans="1:6" x14ac:dyDescent="0.3">
      <c r="A405" s="4" t="s">
        <v>693</v>
      </c>
      <c r="B405">
        <v>2153</v>
      </c>
      <c r="C405">
        <v>30</v>
      </c>
      <c r="D405" s="5">
        <v>1698769.90102656</v>
      </c>
      <c r="E405" s="5">
        <v>8264.8475873919997</v>
      </c>
      <c r="F405" s="9">
        <v>0.14595586339970326</v>
      </c>
    </row>
    <row r="406" spans="1:6" x14ac:dyDescent="0.3">
      <c r="A406" s="4" t="s">
        <v>701</v>
      </c>
      <c r="B406">
        <v>16145</v>
      </c>
      <c r="C406">
        <v>16</v>
      </c>
      <c r="D406" s="5">
        <v>929842.82984775002</v>
      </c>
      <c r="E406" s="5">
        <v>8265.4486537031262</v>
      </c>
      <c r="F406" s="9">
        <v>0.14222530326001848</v>
      </c>
    </row>
    <row r="407" spans="1:6" x14ac:dyDescent="0.3">
      <c r="A407" s="4" t="s">
        <v>707</v>
      </c>
      <c r="B407">
        <v>1747</v>
      </c>
      <c r="C407">
        <v>13</v>
      </c>
      <c r="D407" s="5">
        <v>762566.11698960001</v>
      </c>
      <c r="E407" s="5">
        <v>7355.4126846153849</v>
      </c>
      <c r="F407" s="9">
        <v>0.1253928843278308</v>
      </c>
    </row>
    <row r="408" spans="1:6" x14ac:dyDescent="0.3">
      <c r="A408" s="4" t="s">
        <v>706</v>
      </c>
      <c r="B408">
        <v>5336</v>
      </c>
      <c r="C408">
        <v>11</v>
      </c>
      <c r="D408" s="5">
        <v>622531.14322560001</v>
      </c>
      <c r="E408" s="5">
        <v>7262.4269200909093</v>
      </c>
      <c r="F408" s="9">
        <v>0.12832562192322278</v>
      </c>
    </row>
    <row r="409" spans="1:6" x14ac:dyDescent="0.3">
      <c r="A409" s="4" t="s">
        <v>708</v>
      </c>
      <c r="B409">
        <v>9383.2999999999993</v>
      </c>
      <c r="C409">
        <v>40</v>
      </c>
      <c r="D409" s="5">
        <v>7300768.6076119905</v>
      </c>
      <c r="E409" s="5">
        <v>11305.776227790911</v>
      </c>
      <c r="F409" s="9">
        <v>6.1942936890251175E-2</v>
      </c>
    </row>
    <row r="410" spans="1:6" x14ac:dyDescent="0.3">
      <c r="A410" s="4" t="s">
        <v>710</v>
      </c>
      <c r="B410">
        <v>592.0695144</v>
      </c>
      <c r="C410">
        <v>6</v>
      </c>
      <c r="D410" s="5">
        <v>139180.20965838153</v>
      </c>
      <c r="E410" s="5">
        <v>5559.1113688859759</v>
      </c>
      <c r="F410" s="9">
        <v>0.23965094100077189</v>
      </c>
    </row>
    <row r="411" spans="1:6" x14ac:dyDescent="0.3">
      <c r="A411" s="4" t="s">
        <v>713</v>
      </c>
      <c r="B411">
        <v>41859</v>
      </c>
      <c r="C411">
        <v>78</v>
      </c>
      <c r="D411" s="5">
        <v>10197054.917884193</v>
      </c>
      <c r="E411" s="5">
        <v>9275.6266011084626</v>
      </c>
      <c r="F411" s="9">
        <v>7.0951748393307687E-2</v>
      </c>
    </row>
    <row r="412" spans="1:6" x14ac:dyDescent="0.3">
      <c r="A412" s="4" t="s">
        <v>722</v>
      </c>
      <c r="B412">
        <v>12191</v>
      </c>
      <c r="C412">
        <v>26</v>
      </c>
      <c r="D412" s="5">
        <v>1433284.7403362002</v>
      </c>
      <c r="E412" s="5">
        <v>9346.9528444500011</v>
      </c>
      <c r="F412" s="9">
        <v>0.16955512545169185</v>
      </c>
    </row>
    <row r="413" spans="1:6" x14ac:dyDescent="0.3">
      <c r="A413" s="4" t="s">
        <v>729</v>
      </c>
      <c r="B413">
        <v>139443</v>
      </c>
      <c r="C413">
        <v>96</v>
      </c>
      <c r="D413" s="5">
        <v>32774597.774034686</v>
      </c>
      <c r="E413" s="5">
        <v>20444.578479527998</v>
      </c>
      <c r="F413" s="9">
        <v>5.9884168451629298E-2</v>
      </c>
    </row>
    <row r="414" spans="1:6" x14ac:dyDescent="0.3">
      <c r="A414" s="4" t="s">
        <v>730</v>
      </c>
      <c r="B414">
        <v>3000</v>
      </c>
      <c r="C414">
        <v>20</v>
      </c>
      <c r="D414" s="5">
        <v>1004487.3999006001</v>
      </c>
      <c r="E414" s="5">
        <v>7193.5503074999997</v>
      </c>
      <c r="F414" s="9">
        <v>0.15755111192102617</v>
      </c>
    </row>
    <row r="415" spans="1:6" x14ac:dyDescent="0.3">
      <c r="A415" s="4" t="s">
        <v>733</v>
      </c>
      <c r="B415">
        <v>10000</v>
      </c>
      <c r="C415">
        <v>8</v>
      </c>
      <c r="D415" s="5">
        <v>510789.56939999998</v>
      </c>
      <c r="E415" s="5">
        <v>9341.4660499999991</v>
      </c>
      <c r="F415" s="9">
        <v>0.14630629299612319</v>
      </c>
    </row>
    <row r="416" spans="1:6" x14ac:dyDescent="0.3">
      <c r="A416" s="4" t="s">
        <v>735</v>
      </c>
      <c r="B416">
        <v>42100</v>
      </c>
      <c r="C416">
        <v>60</v>
      </c>
      <c r="D416" s="5">
        <v>8038332.8524526274</v>
      </c>
      <c r="E416" s="5">
        <v>10038.869212361158</v>
      </c>
      <c r="F416" s="9">
        <v>7.4932472167768965E-2</v>
      </c>
    </row>
    <row r="417" spans="1:6" x14ac:dyDescent="0.3">
      <c r="A417" s="4" t="s">
        <v>736</v>
      </c>
      <c r="B417">
        <v>5858</v>
      </c>
      <c r="C417">
        <v>5</v>
      </c>
      <c r="D417" s="5">
        <v>161879.99614</v>
      </c>
      <c r="E417" s="5">
        <v>6718.4281680000004</v>
      </c>
      <c r="F417" s="9">
        <v>0.20751261206448407</v>
      </c>
    </row>
    <row r="418" spans="1:6" x14ac:dyDescent="0.3">
      <c r="A418" s="4" t="s">
        <v>737</v>
      </c>
      <c r="B418">
        <v>580</v>
      </c>
      <c r="C418">
        <v>20</v>
      </c>
      <c r="D418" s="5">
        <v>1457188.1781089827</v>
      </c>
      <c r="E418" s="5">
        <v>11010.324709646524</v>
      </c>
      <c r="F418" s="9">
        <v>0.15111740371013446</v>
      </c>
    </row>
    <row r="419" spans="1:6" x14ac:dyDescent="0.3">
      <c r="A419" s="4" t="s">
        <v>741</v>
      </c>
      <c r="B419">
        <v>21053</v>
      </c>
      <c r="C419">
        <v>40</v>
      </c>
      <c r="D419" s="5">
        <v>2638646.3235833584</v>
      </c>
      <c r="E419" s="5">
        <v>8824.6367281578459</v>
      </c>
      <c r="F419" s="9">
        <v>0.13377521116469648</v>
      </c>
    </row>
    <row r="420" spans="1:6" x14ac:dyDescent="0.3">
      <c r="A420" s="4" t="s">
        <v>762</v>
      </c>
      <c r="B420">
        <v>10534</v>
      </c>
      <c r="C420">
        <v>26</v>
      </c>
      <c r="D420" s="5">
        <v>3160200</v>
      </c>
      <c r="E420" s="5">
        <v>6500</v>
      </c>
      <c r="F420" s="9">
        <v>0.08</v>
      </c>
    </row>
    <row r="421" spans="1:6" x14ac:dyDescent="0.3">
      <c r="A421" s="4" t="s">
        <v>745</v>
      </c>
      <c r="B421">
        <v>2300</v>
      </c>
      <c r="C421">
        <v>2</v>
      </c>
      <c r="D421" s="5">
        <v>64396.240873868745</v>
      </c>
      <c r="E421" s="5">
        <v>7407.4157221750002</v>
      </c>
      <c r="F421" s="9">
        <v>0.23005739532789543</v>
      </c>
    </row>
    <row r="422" spans="1:6" x14ac:dyDescent="0.3">
      <c r="A422" s="4" t="s">
        <v>750</v>
      </c>
      <c r="B422">
        <v>30087</v>
      </c>
      <c r="C422">
        <v>6</v>
      </c>
      <c r="D422" s="5">
        <v>294943.9987</v>
      </c>
      <c r="E422" s="5">
        <v>6869.2799166666664</v>
      </c>
      <c r="F422" s="9">
        <v>0.13974069545969031</v>
      </c>
    </row>
    <row r="423" spans="1:6" x14ac:dyDescent="0.3">
      <c r="A423" s="4" t="s">
        <v>749</v>
      </c>
      <c r="B423">
        <v>64000</v>
      </c>
      <c r="C423">
        <v>75</v>
      </c>
      <c r="D423" s="5">
        <v>14171304.288817581</v>
      </c>
      <c r="E423" s="5">
        <v>12314.844709564619</v>
      </c>
      <c r="F423" s="9">
        <v>7.4951136081248593E-2</v>
      </c>
    </row>
    <row r="424" spans="1:6" x14ac:dyDescent="0.3">
      <c r="A424" s="4" t="s">
        <v>746</v>
      </c>
      <c r="B424">
        <v>6190</v>
      </c>
      <c r="C424">
        <v>38</v>
      </c>
      <c r="D424" s="5">
        <v>2386429.9989058063</v>
      </c>
      <c r="E424" s="5">
        <v>7394.6559468673031</v>
      </c>
      <c r="F424" s="9">
        <v>0.11774781833525241</v>
      </c>
    </row>
    <row r="425" spans="1:6" x14ac:dyDescent="0.3">
      <c r="A425" s="4" t="s">
        <v>744</v>
      </c>
      <c r="B425">
        <v>2190</v>
      </c>
      <c r="C425">
        <v>6</v>
      </c>
      <c r="D425" s="5">
        <v>448670.00257224194</v>
      </c>
      <c r="E425" s="5">
        <v>7620.477405999648</v>
      </c>
      <c r="F425" s="9">
        <v>0.10190755828084559</v>
      </c>
    </row>
    <row r="426" spans="1:6" x14ac:dyDescent="0.3">
      <c r="A426" s="4" t="s">
        <v>753</v>
      </c>
      <c r="B426">
        <v>4277</v>
      </c>
      <c r="C426">
        <v>28</v>
      </c>
      <c r="D426" s="5">
        <v>1316576.0848864985</v>
      </c>
      <c r="E426" s="5">
        <v>8440.4938721048911</v>
      </c>
      <c r="F426" s="9">
        <v>0.17950639627432638</v>
      </c>
    </row>
    <row r="427" spans="1:6" x14ac:dyDescent="0.3">
      <c r="A427" s="4" t="s">
        <v>754</v>
      </c>
      <c r="B427">
        <v>9591</v>
      </c>
      <c r="C427">
        <v>30</v>
      </c>
      <c r="D427" s="5">
        <v>2750004.1219069967</v>
      </c>
      <c r="E427" s="5">
        <v>7886.9281829697802</v>
      </c>
      <c r="F427" s="9">
        <v>8.6039087579627749E-2</v>
      </c>
    </row>
    <row r="428" spans="1:6" x14ac:dyDescent="0.3">
      <c r="A428" s="4" t="s">
        <v>755</v>
      </c>
      <c r="B428">
        <v>9650</v>
      </c>
      <c r="C428">
        <v>40</v>
      </c>
      <c r="D428" s="5">
        <v>6896262.5420955103</v>
      </c>
      <c r="E428" s="5">
        <v>15634.054283585117</v>
      </c>
      <c r="F428" s="9">
        <v>9.9749448962933362E-2</v>
      </c>
    </row>
    <row r="429" spans="1:6" x14ac:dyDescent="0.3">
      <c r="A429" s="4" t="s">
        <v>756</v>
      </c>
      <c r="B429">
        <v>19934</v>
      </c>
      <c r="C429">
        <v>42</v>
      </c>
      <c r="D429" s="5">
        <v>4738767.0938645368</v>
      </c>
      <c r="E429" s="5">
        <v>9132.7525907587751</v>
      </c>
      <c r="F429" s="9">
        <v>8.9038596186621716E-2</v>
      </c>
    </row>
    <row r="430" spans="1:6" x14ac:dyDescent="0.3">
      <c r="A430" s="4" t="s">
        <v>751</v>
      </c>
      <c r="B430">
        <v>10474</v>
      </c>
      <c r="C430">
        <v>42</v>
      </c>
      <c r="D430" s="5">
        <v>4383237.0088144429</v>
      </c>
      <c r="E430" s="5">
        <v>9159.1534756425499</v>
      </c>
      <c r="F430" s="9">
        <v>8.7762638708198615E-2</v>
      </c>
    </row>
    <row r="431" spans="1:6" x14ac:dyDescent="0.3">
      <c r="A431" s="4" t="s">
        <v>752</v>
      </c>
      <c r="B431">
        <v>2242</v>
      </c>
      <c r="C431">
        <v>26</v>
      </c>
      <c r="D431" s="5">
        <v>1640749.9953475962</v>
      </c>
      <c r="E431" s="5">
        <v>8009.6431798440335</v>
      </c>
      <c r="F431" s="9">
        <v>0.1269241037735469</v>
      </c>
    </row>
    <row r="432" spans="1:6" x14ac:dyDescent="0.3">
      <c r="A432" s="4" t="s">
        <v>760</v>
      </c>
      <c r="B432">
        <v>67650</v>
      </c>
      <c r="C432">
        <v>79</v>
      </c>
      <c r="D432" s="5">
        <v>15111676.483680254</v>
      </c>
      <c r="E432" s="5">
        <v>10924.710710607929</v>
      </c>
      <c r="F432" s="9">
        <v>6.5678349396282032E-2</v>
      </c>
    </row>
    <row r="433" spans="1:6" x14ac:dyDescent="0.3">
      <c r="A433" s="4" t="s">
        <v>761</v>
      </c>
      <c r="B433">
        <v>67650</v>
      </c>
      <c r="C433">
        <v>79</v>
      </c>
      <c r="D433" s="5">
        <v>14842822.863444587</v>
      </c>
      <c r="E433" s="5">
        <v>10787.549426753498</v>
      </c>
      <c r="F433" s="9">
        <v>6.6028468737860724E-2</v>
      </c>
    </row>
    <row r="434" spans="1:6" x14ac:dyDescent="0.3">
      <c r="A434" s="4" t="s">
        <v>763</v>
      </c>
      <c r="B434">
        <v>50268</v>
      </c>
      <c r="C434">
        <v>52</v>
      </c>
      <c r="D434" s="5">
        <v>11358293.2555281</v>
      </c>
      <c r="E434" s="5">
        <v>15914.013158900334</v>
      </c>
      <c r="F434" s="9">
        <v>7.2856781000971052E-2</v>
      </c>
    </row>
  </sheetData>
  <pageMargins left="0.7" right="0.7" top="0.75" bottom="0.75" header="0.3" footer="0.3"/>
  <pageSetup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3B751-A03D-488F-AC7C-2E6AB9FCD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Estimating Metrics</vt:lpstr>
      <vt:lpstr>Estimate By Contract Pivot</vt:lpstr>
      <vt:lpstr>Estimate By Location Pivot</vt:lpstr>
      <vt:lpstr>Sheet1</vt:lpstr>
      <vt:lpstr>Sheet2</vt:lpstr>
      <vt:lpstr>DATA</vt:lpstr>
      <vt:lpstr>DATA (Rice)</vt:lpstr>
      <vt:lpstr>Sheet4</vt:lpstr>
      <vt:lpstr>Mall Data</vt:lpstr>
      <vt:lpstr>Comparable Project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Gushue</dc:creator>
  <cp:lastModifiedBy>Allyson Clinch</cp:lastModifiedBy>
  <cp:lastPrinted>2026-06-01T20:08:25Z</cp:lastPrinted>
  <dcterms:created xsi:type="dcterms:W3CDTF">2018-08-09T18:35:50Z</dcterms:created>
  <dcterms:modified xsi:type="dcterms:W3CDTF">2026-06-26T16:25:30Z</dcterms:modified>
</cp:coreProperties>
</file>