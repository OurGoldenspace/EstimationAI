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N:\AGCM Folder\01 Jobs\26-1374 567 Coverdale Road Renovation and Expansion\01 Estimate\E-3057 567 Coverdale Renovation and Expansion\02 AG Documents\Budget Estimates\"/>
    </mc:Choice>
  </mc:AlternateContent>
  <xr:revisionPtr revIDLastSave="0" documentId="13_ncr:1_{32F9F0E0-C1C3-4DA9-A2DA-D6B4E102C679}" xr6:coauthVersionLast="47" xr6:coauthVersionMax="47" xr10:uidLastSave="{00000000-0000-0000-0000-000000000000}"/>
  <bookViews>
    <workbookView xWindow="-108" yWindow="-108" windowWidth="23256" windowHeight="13896" tabRatio="920" firstSheet="4" activeTab="24" xr2:uid="{00000000-000D-0000-FFFF-FFFF00000000}"/>
  </bookViews>
  <sheets>
    <sheet name="Cost Data" sheetId="80" r:id="rId1"/>
    <sheet name="Cost Report" sheetId="81" r:id="rId2"/>
    <sheet name="DATA" sheetId="78" r:id="rId3"/>
    <sheet name="Estimate Version Comparison" sheetId="79" r:id="rId4"/>
    <sheet name="Client  Detailed Summary " sheetId="77" r:id="rId5"/>
    <sheet name="Estimate Summary" sheetId="1" r:id="rId6"/>
    <sheet name="1" sheetId="30" r:id="rId7"/>
    <sheet name="2" sheetId="29" r:id="rId8"/>
    <sheet name="3" sheetId="28" r:id="rId9"/>
    <sheet name="4" sheetId="42" r:id="rId10"/>
    <sheet name="5" sheetId="26" r:id="rId11"/>
    <sheet name="6" sheetId="25" r:id="rId12"/>
    <sheet name="7" sheetId="24" r:id="rId13"/>
    <sheet name="8" sheetId="75" r:id="rId14"/>
    <sheet name="9" sheetId="22" r:id="rId15"/>
    <sheet name="10" sheetId="43" r:id="rId16"/>
    <sheet name="11" sheetId="66" r:id="rId17"/>
    <sheet name="12" sheetId="49" r:id="rId18"/>
    <sheet name="13" sheetId="50" r:id="rId19"/>
    <sheet name="14" sheetId="45" r:id="rId20"/>
    <sheet name="21" sheetId="16" r:id="rId21"/>
    <sheet name="22" sheetId="15" r:id="rId22"/>
    <sheet name="23" sheetId="67" r:id="rId23"/>
    <sheet name="25" sheetId="68" r:id="rId24"/>
    <sheet name="26" sheetId="69" r:id="rId25"/>
    <sheet name="27" sheetId="70" r:id="rId26"/>
    <sheet name="28" sheetId="71" r:id="rId27"/>
    <sheet name="31" sheetId="72" r:id="rId28"/>
    <sheet name="32" sheetId="73" r:id="rId29"/>
    <sheet name="33" sheetId="74" r:id="rId30"/>
  </sheets>
  <definedNames>
    <definedName name="_xlnm._FilterDatabase" localSheetId="1" hidden="1">'Cost Report'!$B$1:$E$182</definedName>
    <definedName name="Discount" localSheetId="16">#REF!</definedName>
    <definedName name="Discount" localSheetId="22">#REF!</definedName>
    <definedName name="Discount" localSheetId="23">#REF!</definedName>
    <definedName name="Discount" localSheetId="24">#REF!</definedName>
    <definedName name="Discount" localSheetId="25">#REF!</definedName>
    <definedName name="Discount" localSheetId="26">#REF!</definedName>
    <definedName name="Discount" localSheetId="27">#REF!</definedName>
    <definedName name="Discount" localSheetId="28">#REF!</definedName>
    <definedName name="Discount" localSheetId="29">#REF!</definedName>
    <definedName name="Discount" localSheetId="13">#REF!</definedName>
    <definedName name="Discount" localSheetId="4">#REF!</definedName>
    <definedName name="Discount" localSheetId="0">#REF!</definedName>
    <definedName name="Discount" localSheetId="1">#REF!</definedName>
    <definedName name="Discount" localSheetId="3">#REF!</definedName>
    <definedName name="Discount">#REF!</definedName>
    <definedName name="_xlnm.Print_Area" localSheetId="6">'1'!$A$1:$K$138</definedName>
    <definedName name="_xlnm.Print_Area" localSheetId="15">'10'!$A$1:$K$26</definedName>
    <definedName name="_xlnm.Print_Area" localSheetId="16">'11'!$A$1:$K$36</definedName>
    <definedName name="_xlnm.Print_Area" localSheetId="17">'12'!$A$1:$K$22</definedName>
    <definedName name="_xlnm.Print_Area" localSheetId="18">'13'!$A$1:$K$22</definedName>
    <definedName name="_xlnm.Print_Area" localSheetId="19">'14'!$A:$K</definedName>
    <definedName name="_xlnm.Print_Area" localSheetId="7">'2'!$A$1:$K$46</definedName>
    <definedName name="_xlnm.Print_Area" localSheetId="20">'21'!$A$1:$K$25</definedName>
    <definedName name="_xlnm.Print_Area" localSheetId="21">'22'!$A$1:$K$26</definedName>
    <definedName name="_xlnm.Print_Area" localSheetId="22">'23'!$A$1:$K$20</definedName>
    <definedName name="_xlnm.Print_Area" localSheetId="23">'25'!$A$1:$K$26</definedName>
    <definedName name="_xlnm.Print_Area" localSheetId="24">'26'!$A$1:$K$24</definedName>
    <definedName name="_xlnm.Print_Area" localSheetId="25">'27'!$A$1:$K$26</definedName>
    <definedName name="_xlnm.Print_Area" localSheetId="26">'28'!$A$1:$K$26</definedName>
    <definedName name="_xlnm.Print_Area" localSheetId="8">'3'!$A$1:$K$37</definedName>
    <definedName name="_xlnm.Print_Area" localSheetId="27">'31'!$A$1:$K$19</definedName>
    <definedName name="_xlnm.Print_Area" localSheetId="28">'32'!$A$1:$K$23</definedName>
    <definedName name="_xlnm.Print_Area" localSheetId="29">'33'!$A$1:$K$28</definedName>
    <definedName name="_xlnm.Print_Area" localSheetId="9">'4'!$A$1:$K$20</definedName>
    <definedName name="_xlnm.Print_Area" localSheetId="10">'5'!$A$1:$K$19</definedName>
    <definedName name="_xlnm.Print_Area" localSheetId="11">'6'!$A$1:$K$53</definedName>
    <definedName name="_xlnm.Print_Area" localSheetId="12">'7'!$A$1:$K$21</definedName>
    <definedName name="_xlnm.Print_Area" localSheetId="13">'8'!$A$1:$K$23</definedName>
    <definedName name="_xlnm.Print_Area" localSheetId="14">'9'!$A$1:$K$37</definedName>
    <definedName name="_xlnm.Print_Area" localSheetId="4">'Client  Detailed Summary '!$B$1:$H$164</definedName>
    <definedName name="_xlnm.Print_Area" localSheetId="5">'Estimate Summary'!$A$1:$J$88</definedName>
    <definedName name="_xlnm.Print_Area" localSheetId="3">'Estimate Version Comparison'!$A$1:$K$164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J18" i="69" l="1"/>
  <c r="J17" i="69"/>
  <c r="P14" i="42" l="1"/>
  <c r="O14" i="42"/>
  <c r="O15" i="26"/>
  <c r="O14" i="26"/>
  <c r="P73" i="42"/>
  <c r="P72" i="42"/>
  <c r="P70" i="42"/>
  <c r="P69" i="42"/>
  <c r="P68" i="42"/>
  <c r="O69" i="42"/>
  <c r="O68" i="42"/>
  <c r="N69" i="42"/>
  <c r="M69" i="42"/>
  <c r="N68" i="42"/>
  <c r="I15" i="29"/>
  <c r="F15" i="29"/>
  <c r="K15" i="29" s="1"/>
  <c r="K24" i="29" s="1"/>
  <c r="J43" i="22"/>
  <c r="M49" i="22"/>
  <c r="J11" i="16"/>
  <c r="J32" i="72"/>
  <c r="C31" i="73"/>
  <c r="J62" i="22" l="1"/>
  <c r="J11" i="22"/>
  <c r="J23" i="72"/>
  <c r="I40" i="29"/>
  <c r="F40" i="29"/>
  <c r="K40" i="29" s="1"/>
  <c r="J70" i="22"/>
  <c r="N29" i="72"/>
  <c r="N16" i="67"/>
  <c r="J14" i="28"/>
  <c r="J11" i="67"/>
  <c r="G13" i="75"/>
  <c r="J13" i="75"/>
  <c r="J13" i="29"/>
  <c r="M21" i="29"/>
  <c r="M20" i="29"/>
  <c r="J15" i="69"/>
  <c r="J14" i="69"/>
  <c r="J11" i="15"/>
  <c r="J36" i="24"/>
  <c r="I42" i="24"/>
  <c r="F42" i="24"/>
  <c r="K42" i="24" s="1"/>
  <c r="I41" i="24"/>
  <c r="F41" i="24"/>
  <c r="K41" i="24" s="1"/>
  <c r="J22" i="28" l="1"/>
  <c r="I23" i="28"/>
  <c r="F23" i="28"/>
  <c r="K23" i="28" s="1"/>
  <c r="J13" i="42"/>
  <c r="I15" i="42"/>
  <c r="F15" i="42"/>
  <c r="K15" i="42" s="1"/>
  <c r="K14" i="42"/>
  <c r="I14" i="42"/>
  <c r="F14" i="42"/>
  <c r="K19" i="26"/>
  <c r="J83" i="24"/>
  <c r="J48" i="24"/>
  <c r="I50" i="24"/>
  <c r="K50" i="24" s="1"/>
  <c r="F50" i="24"/>
  <c r="I49" i="24"/>
  <c r="F49" i="24"/>
  <c r="I51" i="24"/>
  <c r="F51" i="24"/>
  <c r="K51" i="24" s="1"/>
  <c r="I38" i="24"/>
  <c r="F38" i="24"/>
  <c r="K38" i="24" s="1"/>
  <c r="I43" i="24"/>
  <c r="F43" i="24"/>
  <c r="K43" i="24" s="1"/>
  <c r="I40" i="24"/>
  <c r="F40" i="24"/>
  <c r="I39" i="24"/>
  <c r="F39" i="24"/>
  <c r="K49" i="24" l="1"/>
  <c r="K40" i="24"/>
  <c r="K39" i="24"/>
  <c r="C52" i="28" l="1"/>
  <c r="C53" i="28"/>
  <c r="E31" i="28" l="1"/>
  <c r="E30" i="28"/>
  <c r="E32" i="28"/>
  <c r="E29" i="28"/>
  <c r="C31" i="28"/>
  <c r="C30" i="28"/>
  <c r="C32" i="28"/>
  <c r="C29" i="28"/>
  <c r="J13" i="26"/>
  <c r="I14" i="26" l="1"/>
  <c r="F14" i="26"/>
  <c r="I40" i="28"/>
  <c r="F40" i="28"/>
  <c r="K40" i="28" s="1"/>
  <c r="F64" i="75"/>
  <c r="I64" i="75"/>
  <c r="K64" i="75"/>
  <c r="F57" i="75"/>
  <c r="I57" i="75"/>
  <c r="K57" i="75"/>
  <c r="I13" i="29"/>
  <c r="F13" i="29"/>
  <c r="I63" i="75"/>
  <c r="F63" i="75"/>
  <c r="K63" i="75" s="1"/>
  <c r="I56" i="75"/>
  <c r="F56" i="75"/>
  <c r="K56" i="75" s="1"/>
  <c r="I11" i="22"/>
  <c r="F11" i="22"/>
  <c r="K11" i="22" s="1"/>
  <c r="K25" i="22" s="1"/>
  <c r="J11" i="45"/>
  <c r="I23" i="30"/>
  <c r="E23" i="30"/>
  <c r="F23" i="30" s="1"/>
  <c r="K23" i="30" s="1"/>
  <c r="E18" i="30"/>
  <c r="I23" i="72"/>
  <c r="C39" i="72"/>
  <c r="F26" i="72"/>
  <c r="I26" i="72"/>
  <c r="K26" i="72" s="1"/>
  <c r="F23" i="72"/>
  <c r="F58" i="75"/>
  <c r="K58" i="75" s="1"/>
  <c r="F16" i="30"/>
  <c r="I16" i="30"/>
  <c r="F53" i="28"/>
  <c r="G52" i="28"/>
  <c r="E59" i="30"/>
  <c r="F48" i="24"/>
  <c r="I48" i="24"/>
  <c r="G60" i="26"/>
  <c r="I60" i="26" s="1"/>
  <c r="F60" i="26"/>
  <c r="I35" i="28"/>
  <c r="I32" i="28"/>
  <c r="I72" i="75"/>
  <c r="F72" i="75"/>
  <c r="I50" i="22"/>
  <c r="F50" i="22"/>
  <c r="I49" i="22"/>
  <c r="F49" i="22"/>
  <c r="I58" i="75"/>
  <c r="F13" i="42"/>
  <c r="A70" i="22"/>
  <c r="F91" i="30"/>
  <c r="K91" i="30" s="1"/>
  <c r="I102" i="30"/>
  <c r="F102" i="30"/>
  <c r="K11" i="78"/>
  <c r="H11" i="78"/>
  <c r="D11" i="78"/>
  <c r="C11" i="78"/>
  <c r="B11" i="78"/>
  <c r="A11" i="78"/>
  <c r="G53" i="28" l="1"/>
  <c r="I53" i="28" s="1"/>
  <c r="K53" i="28" s="1"/>
  <c r="K72" i="75"/>
  <c r="K13" i="29"/>
  <c r="K48" i="24"/>
  <c r="K16" i="30"/>
  <c r="K23" i="72"/>
  <c r="K60" i="26"/>
  <c r="F32" i="28"/>
  <c r="K32" i="28" s="1"/>
  <c r="K50" i="22"/>
  <c r="K49" i="22"/>
  <c r="K102" i="30"/>
  <c r="J97" i="73"/>
  <c r="J57" i="74"/>
  <c r="G54" i="28" l="1"/>
  <c r="J99" i="50"/>
  <c r="G55" i="28" l="1"/>
  <c r="I55" i="28" s="1"/>
  <c r="F55" i="28"/>
  <c r="T11" i="78"/>
  <c r="S11" i="78"/>
  <c r="R11" i="78"/>
  <c r="N11" i="78"/>
  <c r="J11" i="78"/>
  <c r="G11" i="78"/>
  <c r="F11" i="78"/>
  <c r="E11" i="78"/>
  <c r="K55" i="28" l="1"/>
  <c r="G7" i="79"/>
  <c r="H7" i="79"/>
  <c r="E151" i="79"/>
  <c r="E146" i="79"/>
  <c r="E140" i="79"/>
  <c r="E134" i="79"/>
  <c r="E127" i="79"/>
  <c r="E122" i="79"/>
  <c r="E110" i="79"/>
  <c r="E105" i="79"/>
  <c r="E102" i="79"/>
  <c r="E98" i="79"/>
  <c r="E92" i="79"/>
  <c r="E86" i="79"/>
  <c r="E76" i="79"/>
  <c r="E68" i="79"/>
  <c r="E59" i="79"/>
  <c r="E47" i="79"/>
  <c r="E41" i="79"/>
  <c r="E35" i="79"/>
  <c r="E31" i="79"/>
  <c r="E24" i="79"/>
  <c r="E19" i="79"/>
  <c r="E8" i="79"/>
  <c r="C4" i="79"/>
  <c r="B3" i="79"/>
  <c r="B2" i="79"/>
  <c r="B4" i="77"/>
  <c r="B3" i="77"/>
  <c r="G57" i="74" l="1"/>
  <c r="G59" i="72"/>
  <c r="J59" i="72"/>
  <c r="G55" i="71"/>
  <c r="J55" i="71"/>
  <c r="G53" i="69" l="1"/>
  <c r="J53" i="69"/>
  <c r="G70" i="22" l="1"/>
  <c r="I48" i="22"/>
  <c r="F48" i="22"/>
  <c r="I47" i="22"/>
  <c r="F47" i="22"/>
  <c r="I46" i="22"/>
  <c r="F46" i="22"/>
  <c r="I45" i="22"/>
  <c r="F45" i="22"/>
  <c r="K47" i="22" l="1"/>
  <c r="E100" i="81" s="1"/>
  <c r="K48" i="22"/>
  <c r="E101" i="81" s="1"/>
  <c r="K46" i="22"/>
  <c r="E99" i="81" s="1"/>
  <c r="K45" i="22"/>
  <c r="E98" i="81" s="1"/>
  <c r="I33" i="28"/>
  <c r="G139" i="30"/>
  <c r="J69" i="26"/>
  <c r="G69" i="26"/>
  <c r="I30" i="28"/>
  <c r="G61" i="28"/>
  <c r="J61" i="28"/>
  <c r="I34" i="28"/>
  <c r="F34" i="28"/>
  <c r="I36" i="28"/>
  <c r="F33" i="28" l="1"/>
  <c r="K33" i="28" s="1"/>
  <c r="C36" i="28"/>
  <c r="K34" i="28"/>
  <c r="F117" i="30"/>
  <c r="C118" i="30" s="1"/>
  <c r="F118" i="30" s="1"/>
  <c r="F114" i="30"/>
  <c r="K114" i="30" s="1"/>
  <c r="F113" i="30"/>
  <c r="K113" i="30" s="1"/>
  <c r="F112" i="30"/>
  <c r="K112" i="30" s="1"/>
  <c r="F111" i="30"/>
  <c r="K111" i="30" s="1"/>
  <c r="F110" i="30"/>
  <c r="K110" i="30" s="1"/>
  <c r="F109" i="30"/>
  <c r="K109" i="30" s="1"/>
  <c r="F35" i="28" l="1"/>
  <c r="K35" i="28" s="1"/>
  <c r="K118" i="30"/>
  <c r="K120" i="30" s="1"/>
  <c r="G94" i="25" l="1"/>
  <c r="J94" i="25"/>
  <c r="F30" i="28" l="1"/>
  <c r="K30" i="28" s="1"/>
  <c r="F36" i="28" l="1"/>
  <c r="K36" i="28" s="1"/>
  <c r="G49" i="29"/>
  <c r="J49" i="29"/>
  <c r="I33" i="29"/>
  <c r="F33" i="29"/>
  <c r="I32" i="29"/>
  <c r="F32" i="29"/>
  <c r="K32" i="29" s="1"/>
  <c r="I31" i="29"/>
  <c r="F31" i="29"/>
  <c r="I30" i="29"/>
  <c r="F30" i="29"/>
  <c r="I29" i="29"/>
  <c r="F29" i="29"/>
  <c r="I28" i="29"/>
  <c r="F28" i="29"/>
  <c r="K28" i="29" s="1"/>
  <c r="I27" i="29"/>
  <c r="F27" i="29"/>
  <c r="J88" i="79"/>
  <c r="K102" i="79"/>
  <c r="J102" i="79"/>
  <c r="J105" i="79"/>
  <c r="K110" i="79"/>
  <c r="J122" i="79"/>
  <c r="K30" i="29" l="1"/>
  <c r="K33" i="29"/>
  <c r="K31" i="29"/>
  <c r="K27" i="29"/>
  <c r="K29" i="29"/>
  <c r="J110" i="79"/>
  <c r="K122" i="79"/>
  <c r="K88" i="79"/>
  <c r="K105" i="79"/>
  <c r="K35" i="29" l="1"/>
  <c r="G181" i="30"/>
  <c r="G180" i="30"/>
  <c r="F179" i="30"/>
  <c r="G179" i="30" s="1"/>
  <c r="G177" i="30"/>
  <c r="G176" i="30"/>
  <c r="G174" i="30"/>
  <c r="K171" i="30"/>
  <c r="M160" i="30" s="1"/>
  <c r="G21" i="79" l="1"/>
  <c r="E31" i="81"/>
  <c r="D17" i="80"/>
  <c r="G21" i="77"/>
  <c r="C5" i="77"/>
  <c r="B88" i="1" l="1"/>
  <c r="D11" i="1" l="1"/>
  <c r="I11" i="78" s="1"/>
  <c r="J6" i="30" l="1"/>
  <c r="C92" i="30" s="1"/>
  <c r="C41" i="30" l="1"/>
  <c r="F133" i="30"/>
  <c r="D55" i="30"/>
  <c r="J55" i="30" s="1"/>
  <c r="K55" i="30" s="1"/>
  <c r="D54" i="30"/>
  <c r="J54" i="30" s="1"/>
  <c r="K54" i="30" s="1"/>
  <c r="D53" i="30"/>
  <c r="J53" i="30" s="1"/>
  <c r="K53" i="30" s="1"/>
  <c r="D50" i="30"/>
  <c r="D51" i="30"/>
  <c r="J51" i="30" s="1"/>
  <c r="K51" i="30" s="1"/>
  <c r="D49" i="30"/>
  <c r="C31" i="30"/>
  <c r="F31" i="30" s="1"/>
  <c r="D172" i="30"/>
  <c r="F131" i="30"/>
  <c r="F132" i="30"/>
  <c r="E6" i="30"/>
  <c r="C134" i="30" s="1"/>
  <c r="F134" i="30" s="1"/>
  <c r="F123" i="30"/>
  <c r="F124" i="30"/>
  <c r="F125" i="30"/>
  <c r="F126" i="30"/>
  <c r="F100" i="30"/>
  <c r="F101" i="30"/>
  <c r="E15" i="1"/>
  <c r="E17" i="1"/>
  <c r="E19" i="1"/>
  <c r="G61" i="42"/>
  <c r="E21" i="1" s="1"/>
  <c r="E23" i="1"/>
  <c r="E25" i="1"/>
  <c r="G101" i="24"/>
  <c r="E27" i="1" s="1"/>
  <c r="G112" i="75"/>
  <c r="E29" i="1" s="1"/>
  <c r="E31" i="1"/>
  <c r="G74" i="43"/>
  <c r="E33" i="1" s="1"/>
  <c r="G99" i="66"/>
  <c r="E35" i="1" s="1"/>
  <c r="G99" i="49"/>
  <c r="E37" i="1" s="1"/>
  <c r="G99" i="50"/>
  <c r="E39" i="1" s="1"/>
  <c r="E96" i="79" s="1"/>
  <c r="G98" i="45"/>
  <c r="E41" i="1" s="1"/>
  <c r="G99" i="16"/>
  <c r="E43" i="1" s="1"/>
  <c r="G94" i="15"/>
  <c r="E45" i="1" s="1"/>
  <c r="G102" i="67"/>
  <c r="E47" i="1" s="1"/>
  <c r="G54" i="68"/>
  <c r="E49" i="1" s="1"/>
  <c r="E120" i="79" s="1"/>
  <c r="E51" i="1"/>
  <c r="G99" i="70"/>
  <c r="E53" i="1" s="1"/>
  <c r="E55" i="1"/>
  <c r="E57" i="1"/>
  <c r="G97" i="73"/>
  <c r="E59" i="1" s="1"/>
  <c r="E61" i="1"/>
  <c r="F90" i="30"/>
  <c r="F92" i="30"/>
  <c r="F38" i="29"/>
  <c r="F39" i="29"/>
  <c r="F41" i="29"/>
  <c r="F42" i="29"/>
  <c r="F43" i="29"/>
  <c r="F44" i="29"/>
  <c r="I38" i="29"/>
  <c r="I39" i="29"/>
  <c r="I41" i="29"/>
  <c r="I42" i="29"/>
  <c r="I43" i="29"/>
  <c r="I44" i="29"/>
  <c r="G17" i="1"/>
  <c r="F56" i="28"/>
  <c r="F47" i="28"/>
  <c r="F29" i="28"/>
  <c r="F31" i="28"/>
  <c r="F22" i="28"/>
  <c r="F24" i="28"/>
  <c r="F14" i="28"/>
  <c r="F15" i="28"/>
  <c r="F16" i="28"/>
  <c r="F52" i="28"/>
  <c r="F54" i="28"/>
  <c r="I56" i="28"/>
  <c r="I47" i="28"/>
  <c r="I29" i="28"/>
  <c r="I31" i="28"/>
  <c r="I22" i="28"/>
  <c r="I24" i="28"/>
  <c r="I14" i="28"/>
  <c r="I15" i="28"/>
  <c r="I16" i="28"/>
  <c r="I52" i="28"/>
  <c r="I54" i="28"/>
  <c r="G19" i="1"/>
  <c r="F50" i="42"/>
  <c r="F51" i="42"/>
  <c r="F52" i="42"/>
  <c r="F53" i="42"/>
  <c r="F54" i="42"/>
  <c r="F55" i="42"/>
  <c r="F56" i="42"/>
  <c r="F41" i="42"/>
  <c r="F42" i="42"/>
  <c r="F43" i="42"/>
  <c r="F44" i="42"/>
  <c r="F45" i="42"/>
  <c r="F33" i="42"/>
  <c r="F34" i="42"/>
  <c r="F35" i="42"/>
  <c r="F22" i="42"/>
  <c r="F23" i="42"/>
  <c r="F24" i="42"/>
  <c r="F25" i="42"/>
  <c r="F26" i="42"/>
  <c r="F27" i="42"/>
  <c r="F28" i="42"/>
  <c r="F16" i="42"/>
  <c r="F17" i="42"/>
  <c r="I50" i="42"/>
  <c r="I51" i="42"/>
  <c r="I52" i="42"/>
  <c r="I53" i="42"/>
  <c r="I54" i="42"/>
  <c r="I55" i="42"/>
  <c r="I56" i="42"/>
  <c r="I41" i="42"/>
  <c r="I42" i="42"/>
  <c r="I43" i="42"/>
  <c r="I44" i="42"/>
  <c r="I45" i="42"/>
  <c r="K45" i="42" s="1"/>
  <c r="I33" i="42"/>
  <c r="K33" i="42" s="1"/>
  <c r="I34" i="42"/>
  <c r="K34" i="42" s="1"/>
  <c r="I35" i="42"/>
  <c r="I22" i="42"/>
  <c r="I23" i="42"/>
  <c r="I24" i="42"/>
  <c r="I25" i="42"/>
  <c r="I26" i="42"/>
  <c r="I27" i="42"/>
  <c r="I28" i="42"/>
  <c r="I13" i="42"/>
  <c r="I16" i="42"/>
  <c r="I17" i="42"/>
  <c r="J61" i="42"/>
  <c r="G21" i="1" s="1"/>
  <c r="F61" i="26"/>
  <c r="F62" i="26"/>
  <c r="F63" i="26"/>
  <c r="F64" i="26"/>
  <c r="F49" i="26"/>
  <c r="F50" i="26"/>
  <c r="F51" i="26"/>
  <c r="F52" i="26"/>
  <c r="F53" i="26"/>
  <c r="F54" i="26"/>
  <c r="F55" i="26"/>
  <c r="F40" i="26"/>
  <c r="F41" i="26"/>
  <c r="F42" i="26"/>
  <c r="F43" i="26"/>
  <c r="F44" i="26"/>
  <c r="F32" i="26"/>
  <c r="F33" i="26"/>
  <c r="F34" i="26"/>
  <c r="F22" i="26"/>
  <c r="K22" i="26" s="1"/>
  <c r="F23" i="26"/>
  <c r="K23" i="26" s="1"/>
  <c r="F24" i="26"/>
  <c r="F25" i="26"/>
  <c r="F26" i="26"/>
  <c r="F27" i="26"/>
  <c r="F13" i="26"/>
  <c r="F15" i="26"/>
  <c r="F16" i="26"/>
  <c r="F17" i="26"/>
  <c r="I61" i="26"/>
  <c r="I62" i="26"/>
  <c r="K62" i="26" s="1"/>
  <c r="I63" i="26"/>
  <c r="I64" i="26"/>
  <c r="I49" i="26"/>
  <c r="K49" i="26" s="1"/>
  <c r="I50" i="26"/>
  <c r="I51" i="26"/>
  <c r="I52" i="26"/>
  <c r="I53" i="26"/>
  <c r="I54" i="26"/>
  <c r="I55" i="26"/>
  <c r="I40" i="26"/>
  <c r="I41" i="26"/>
  <c r="I42" i="26"/>
  <c r="I43" i="26"/>
  <c r="I44" i="26"/>
  <c r="I32" i="26"/>
  <c r="I33" i="26"/>
  <c r="I34" i="26"/>
  <c r="I22" i="26"/>
  <c r="I23" i="26"/>
  <c r="I24" i="26"/>
  <c r="I25" i="26"/>
  <c r="I26" i="26"/>
  <c r="K26" i="26" s="1"/>
  <c r="I27" i="26"/>
  <c r="I13" i="26"/>
  <c r="I15" i="26"/>
  <c r="I16" i="26"/>
  <c r="I17" i="26"/>
  <c r="G23" i="1"/>
  <c r="F87" i="25"/>
  <c r="K87" i="25" s="1"/>
  <c r="F88" i="25"/>
  <c r="F89" i="25"/>
  <c r="F78" i="25"/>
  <c r="F79" i="25"/>
  <c r="F80" i="25"/>
  <c r="F81" i="25"/>
  <c r="F82" i="25"/>
  <c r="F67" i="25"/>
  <c r="F68" i="25"/>
  <c r="F69" i="25"/>
  <c r="F70" i="25"/>
  <c r="F71" i="25"/>
  <c r="F72" i="25"/>
  <c r="F73" i="25"/>
  <c r="F58" i="25"/>
  <c r="F59" i="25"/>
  <c r="F60" i="25"/>
  <c r="F61" i="25"/>
  <c r="F62" i="25"/>
  <c r="F50" i="25"/>
  <c r="F51" i="25"/>
  <c r="F52" i="25"/>
  <c r="F39" i="25"/>
  <c r="F40" i="25"/>
  <c r="F41" i="25"/>
  <c r="F42" i="25"/>
  <c r="F43" i="25"/>
  <c r="F44" i="25"/>
  <c r="F45" i="25"/>
  <c r="F22" i="25"/>
  <c r="F23" i="25"/>
  <c r="K23" i="25" s="1"/>
  <c r="F24" i="25"/>
  <c r="F25" i="25"/>
  <c r="F26" i="25"/>
  <c r="F27" i="25"/>
  <c r="K27" i="25" s="1"/>
  <c r="F29" i="25"/>
  <c r="F30" i="25"/>
  <c r="F31" i="25"/>
  <c r="K31" i="25" s="1"/>
  <c r="F33" i="25"/>
  <c r="I87" i="25"/>
  <c r="I88" i="25"/>
  <c r="I89" i="25"/>
  <c r="I78" i="25"/>
  <c r="I79" i="25"/>
  <c r="K79" i="25" s="1"/>
  <c r="I80" i="25"/>
  <c r="I81" i="25"/>
  <c r="I82" i="25"/>
  <c r="I67" i="25"/>
  <c r="K67" i="25" s="1"/>
  <c r="I68" i="25"/>
  <c r="I69" i="25"/>
  <c r="I70" i="25"/>
  <c r="I71" i="25"/>
  <c r="I72" i="25"/>
  <c r="I73" i="25"/>
  <c r="I58" i="25"/>
  <c r="I59" i="25"/>
  <c r="I60" i="25"/>
  <c r="I61" i="25"/>
  <c r="I62" i="25"/>
  <c r="I50" i="25"/>
  <c r="I51" i="25"/>
  <c r="I52" i="25"/>
  <c r="I39" i="25"/>
  <c r="I40" i="25"/>
  <c r="I41" i="25"/>
  <c r="I42" i="25"/>
  <c r="I43" i="25"/>
  <c r="I44" i="25"/>
  <c r="K44" i="25" s="1"/>
  <c r="I45" i="25"/>
  <c r="I11" i="25"/>
  <c r="I12" i="25"/>
  <c r="I13" i="25"/>
  <c r="K13" i="25" s="1"/>
  <c r="I14" i="25"/>
  <c r="I15" i="25"/>
  <c r="I16" i="25"/>
  <c r="I17" i="25"/>
  <c r="K17" i="25" s="1"/>
  <c r="G25" i="1"/>
  <c r="F95" i="24"/>
  <c r="F96" i="24"/>
  <c r="F89" i="24"/>
  <c r="F90" i="24"/>
  <c r="F83" i="24"/>
  <c r="F84" i="24"/>
  <c r="F77" i="24"/>
  <c r="F78" i="24"/>
  <c r="F79" i="24"/>
  <c r="F71" i="24"/>
  <c r="F72" i="24"/>
  <c r="F73" i="24"/>
  <c r="F66" i="24"/>
  <c r="F67" i="24"/>
  <c r="F61" i="24"/>
  <c r="F62" i="24"/>
  <c r="F56" i="24"/>
  <c r="F57" i="24"/>
  <c r="F52" i="24"/>
  <c r="F36" i="24"/>
  <c r="F44" i="24"/>
  <c r="F30" i="24"/>
  <c r="F31" i="24"/>
  <c r="F32" i="24"/>
  <c r="F25" i="24"/>
  <c r="F26" i="24"/>
  <c r="F19" i="24"/>
  <c r="F20" i="24"/>
  <c r="F21" i="24"/>
  <c r="F11" i="24"/>
  <c r="F12" i="24"/>
  <c r="F13" i="24"/>
  <c r="F14" i="24"/>
  <c r="I95" i="24"/>
  <c r="I96" i="24"/>
  <c r="I89" i="24"/>
  <c r="I90" i="24"/>
  <c r="I83" i="24"/>
  <c r="I84" i="24"/>
  <c r="I77" i="24"/>
  <c r="K77" i="24" s="1"/>
  <c r="I78" i="24"/>
  <c r="I79" i="24"/>
  <c r="I71" i="24"/>
  <c r="I72" i="24"/>
  <c r="I73" i="24"/>
  <c r="I66" i="24"/>
  <c r="I67" i="24"/>
  <c r="I61" i="24"/>
  <c r="I62" i="24"/>
  <c r="I56" i="24"/>
  <c r="I57" i="24"/>
  <c r="I52" i="24"/>
  <c r="I36" i="24"/>
  <c r="I44" i="24"/>
  <c r="I30" i="24"/>
  <c r="I31" i="24"/>
  <c r="I32" i="24"/>
  <c r="I25" i="24"/>
  <c r="I26" i="24"/>
  <c r="I19" i="24"/>
  <c r="I20" i="24"/>
  <c r="I21" i="24"/>
  <c r="I11" i="24"/>
  <c r="I12" i="24"/>
  <c r="I13" i="24"/>
  <c r="I14" i="24"/>
  <c r="J101" i="24"/>
  <c r="G27" i="1" s="1"/>
  <c r="F106" i="75"/>
  <c r="F107" i="75"/>
  <c r="F100" i="75"/>
  <c r="F101" i="75"/>
  <c r="F94" i="75"/>
  <c r="F95" i="75"/>
  <c r="F88" i="75"/>
  <c r="F89" i="75"/>
  <c r="F82" i="75"/>
  <c r="F83" i="75"/>
  <c r="F76" i="75"/>
  <c r="F77" i="75"/>
  <c r="F69" i="75"/>
  <c r="F70" i="75"/>
  <c r="F71" i="75"/>
  <c r="F62" i="75"/>
  <c r="F65" i="75"/>
  <c r="F55" i="75"/>
  <c r="F50" i="75"/>
  <c r="F51" i="75"/>
  <c r="F44" i="75"/>
  <c r="F45" i="75"/>
  <c r="F46" i="75"/>
  <c r="F38" i="75"/>
  <c r="F39" i="75"/>
  <c r="F40" i="75"/>
  <c r="F32" i="75"/>
  <c r="F33" i="75"/>
  <c r="F34" i="75"/>
  <c r="F27" i="75"/>
  <c r="F28" i="75"/>
  <c r="F21" i="75"/>
  <c r="F22" i="75"/>
  <c r="F23" i="75"/>
  <c r="F13" i="75"/>
  <c r="F14" i="75"/>
  <c r="F15" i="75"/>
  <c r="F16" i="75"/>
  <c r="I106" i="75"/>
  <c r="I107" i="75"/>
  <c r="I100" i="75"/>
  <c r="I101" i="75"/>
  <c r="I94" i="75"/>
  <c r="I95" i="75"/>
  <c r="I88" i="75"/>
  <c r="I89" i="75"/>
  <c r="I82" i="75"/>
  <c r="I83" i="75"/>
  <c r="I76" i="75"/>
  <c r="I77" i="75"/>
  <c r="I69" i="75"/>
  <c r="I70" i="75"/>
  <c r="I71" i="75"/>
  <c r="I62" i="75"/>
  <c r="I65" i="75"/>
  <c r="I55" i="75"/>
  <c r="I50" i="75"/>
  <c r="I51" i="75"/>
  <c r="I44" i="75"/>
  <c r="I45" i="75"/>
  <c r="I46" i="75"/>
  <c r="I38" i="75"/>
  <c r="I39" i="75"/>
  <c r="I40" i="75"/>
  <c r="I32" i="75"/>
  <c r="I33" i="75"/>
  <c r="I34" i="75"/>
  <c r="I27" i="75"/>
  <c r="I28" i="75"/>
  <c r="I21" i="75"/>
  <c r="I22" i="75"/>
  <c r="I23" i="75"/>
  <c r="I13" i="75"/>
  <c r="I14" i="75"/>
  <c r="I15" i="75"/>
  <c r="I16" i="75"/>
  <c r="J112" i="75"/>
  <c r="G29" i="1" s="1"/>
  <c r="F61" i="22"/>
  <c r="F42" i="22"/>
  <c r="F43" i="22"/>
  <c r="F44" i="22"/>
  <c r="F36" i="22"/>
  <c r="F37" i="22"/>
  <c r="F28" i="22"/>
  <c r="F29" i="22"/>
  <c r="F30" i="22"/>
  <c r="F31" i="22"/>
  <c r="I61" i="22"/>
  <c r="I62" i="22"/>
  <c r="I42" i="22"/>
  <c r="I43" i="22"/>
  <c r="I44" i="22"/>
  <c r="I36" i="22"/>
  <c r="I37" i="22"/>
  <c r="I28" i="22"/>
  <c r="I29" i="22"/>
  <c r="I30" i="22"/>
  <c r="I31" i="22"/>
  <c r="G31" i="1"/>
  <c r="F66" i="43"/>
  <c r="F67" i="43"/>
  <c r="F68" i="43"/>
  <c r="F69" i="43"/>
  <c r="F60" i="43"/>
  <c r="F61" i="43"/>
  <c r="F54" i="43"/>
  <c r="F55" i="43"/>
  <c r="F47" i="43"/>
  <c r="F48" i="43"/>
  <c r="K48" i="43" s="1"/>
  <c r="F49" i="43"/>
  <c r="K49" i="43" s="1"/>
  <c r="F41" i="43"/>
  <c r="F42" i="43"/>
  <c r="F28" i="43"/>
  <c r="K28" i="43" s="1"/>
  <c r="F29" i="43"/>
  <c r="K29" i="43" s="1"/>
  <c r="F30" i="43"/>
  <c r="F31" i="43"/>
  <c r="F32" i="43"/>
  <c r="F33" i="43"/>
  <c r="F34" i="43"/>
  <c r="F20" i="43"/>
  <c r="F21" i="43"/>
  <c r="F22" i="43"/>
  <c r="F23" i="43"/>
  <c r="F11" i="43"/>
  <c r="F12" i="43"/>
  <c r="F13" i="43"/>
  <c r="F14" i="43"/>
  <c r="F15" i="43"/>
  <c r="I66" i="43"/>
  <c r="I67" i="43"/>
  <c r="I68" i="43"/>
  <c r="K68" i="43" s="1"/>
  <c r="I69" i="43"/>
  <c r="I60" i="43"/>
  <c r="I61" i="43"/>
  <c r="I54" i="43"/>
  <c r="I55" i="43"/>
  <c r="I47" i="43"/>
  <c r="I48" i="43"/>
  <c r="I49" i="43"/>
  <c r="I41" i="43"/>
  <c r="I42" i="43"/>
  <c r="I28" i="43"/>
  <c r="I29" i="43"/>
  <c r="I30" i="43"/>
  <c r="I31" i="43"/>
  <c r="I32" i="43"/>
  <c r="I33" i="43"/>
  <c r="I34" i="43"/>
  <c r="K34" i="43" s="1"/>
  <c r="I20" i="43"/>
  <c r="I21" i="43"/>
  <c r="K21" i="43" s="1"/>
  <c r="I22" i="43"/>
  <c r="I23" i="43"/>
  <c r="I11" i="43"/>
  <c r="I12" i="43"/>
  <c r="K12" i="43" s="1"/>
  <c r="I13" i="43"/>
  <c r="I14" i="43"/>
  <c r="I15" i="43"/>
  <c r="J74" i="43"/>
  <c r="G33" i="1" s="1"/>
  <c r="F91" i="66"/>
  <c r="F92" i="66"/>
  <c r="F93" i="66"/>
  <c r="F94" i="66"/>
  <c r="F82" i="66"/>
  <c r="F83" i="66"/>
  <c r="K83" i="66" s="1"/>
  <c r="F84" i="66"/>
  <c r="K84" i="66" s="1"/>
  <c r="F85" i="66"/>
  <c r="K85" i="66" s="1"/>
  <c r="F86" i="66"/>
  <c r="K86" i="66" s="1"/>
  <c r="F75" i="66"/>
  <c r="F76" i="66"/>
  <c r="F77" i="66"/>
  <c r="K77" i="66" s="1"/>
  <c r="F66" i="66"/>
  <c r="F67" i="66"/>
  <c r="F68" i="66"/>
  <c r="F69" i="66"/>
  <c r="K69" i="66" s="1"/>
  <c r="F70" i="66"/>
  <c r="F55" i="66"/>
  <c r="F56" i="66"/>
  <c r="F57" i="66"/>
  <c r="F58" i="66"/>
  <c r="F59" i="66"/>
  <c r="F60" i="66"/>
  <c r="F61" i="66"/>
  <c r="F46" i="66"/>
  <c r="F47" i="66"/>
  <c r="K47" i="66" s="1"/>
  <c r="F48" i="66"/>
  <c r="F49" i="66"/>
  <c r="K49" i="66" s="1"/>
  <c r="F50" i="66"/>
  <c r="K50" i="66" s="1"/>
  <c r="F38" i="66"/>
  <c r="F39" i="66"/>
  <c r="K39" i="66" s="1"/>
  <c r="F40" i="66"/>
  <c r="K40" i="66" s="1"/>
  <c r="F27" i="66"/>
  <c r="K27" i="66" s="1"/>
  <c r="F28" i="66"/>
  <c r="F29" i="66"/>
  <c r="K29" i="66" s="1"/>
  <c r="F30" i="66"/>
  <c r="K30" i="66" s="1"/>
  <c r="F31" i="66"/>
  <c r="F32" i="66"/>
  <c r="F33" i="66"/>
  <c r="F11" i="66"/>
  <c r="F12" i="66"/>
  <c r="F13" i="66"/>
  <c r="F14" i="66"/>
  <c r="F15" i="66"/>
  <c r="F16" i="66"/>
  <c r="F17" i="66"/>
  <c r="F18" i="66"/>
  <c r="F19" i="66"/>
  <c r="F20" i="66"/>
  <c r="F21" i="66"/>
  <c r="K21" i="66" s="1"/>
  <c r="F22" i="66"/>
  <c r="I91" i="66"/>
  <c r="K91" i="66" s="1"/>
  <c r="I92" i="66"/>
  <c r="K92" i="66" s="1"/>
  <c r="I93" i="66"/>
  <c r="I94" i="66"/>
  <c r="K94" i="66" s="1"/>
  <c r="I82" i="66"/>
  <c r="I83" i="66"/>
  <c r="I84" i="66"/>
  <c r="I85" i="66"/>
  <c r="I86" i="66"/>
  <c r="I75" i="66"/>
  <c r="I76" i="66"/>
  <c r="I77" i="66"/>
  <c r="I66" i="66"/>
  <c r="I67" i="66"/>
  <c r="I68" i="66"/>
  <c r="I69" i="66"/>
  <c r="I70" i="66"/>
  <c r="I55" i="66"/>
  <c r="K55" i="66" s="1"/>
  <c r="I56" i="66"/>
  <c r="K56" i="66" s="1"/>
  <c r="I57" i="66"/>
  <c r="K57" i="66" s="1"/>
  <c r="I58" i="66"/>
  <c r="I59" i="66"/>
  <c r="I60" i="66"/>
  <c r="I61" i="66"/>
  <c r="K61" i="66" s="1"/>
  <c r="I46" i="66"/>
  <c r="I47" i="66"/>
  <c r="I48" i="66"/>
  <c r="I49" i="66"/>
  <c r="I50" i="66"/>
  <c r="I38" i="66"/>
  <c r="I39" i="66"/>
  <c r="I40" i="66"/>
  <c r="I27" i="66"/>
  <c r="I28" i="66"/>
  <c r="I29" i="66"/>
  <c r="I30" i="66"/>
  <c r="I31" i="66"/>
  <c r="K31" i="66" s="1"/>
  <c r="I32" i="66"/>
  <c r="I33" i="66"/>
  <c r="K33" i="66" s="1"/>
  <c r="I11" i="66"/>
  <c r="K11" i="66" s="1"/>
  <c r="I12" i="66"/>
  <c r="K12" i="66" s="1"/>
  <c r="I13" i="66"/>
  <c r="I14" i="66"/>
  <c r="K14" i="66" s="1"/>
  <c r="I15" i="66"/>
  <c r="K15" i="66" s="1"/>
  <c r="I16" i="66"/>
  <c r="K16" i="66" s="1"/>
  <c r="I17" i="66"/>
  <c r="I18" i="66"/>
  <c r="I19" i="66"/>
  <c r="I20" i="66"/>
  <c r="I21" i="66"/>
  <c r="I22" i="66"/>
  <c r="J99" i="66"/>
  <c r="G35" i="1" s="1"/>
  <c r="F91" i="49"/>
  <c r="F92" i="49"/>
  <c r="F93" i="49"/>
  <c r="F94" i="49"/>
  <c r="F82" i="49"/>
  <c r="F83" i="49"/>
  <c r="F84" i="49"/>
  <c r="K84" i="49" s="1"/>
  <c r="F85" i="49"/>
  <c r="F86" i="49"/>
  <c r="K86" i="49" s="1"/>
  <c r="F75" i="49"/>
  <c r="F76" i="49"/>
  <c r="F77" i="49"/>
  <c r="F66" i="49"/>
  <c r="K66" i="49" s="1"/>
  <c r="F67" i="49"/>
  <c r="F68" i="49"/>
  <c r="F69" i="49"/>
  <c r="F70" i="49"/>
  <c r="F55" i="49"/>
  <c r="F56" i="49"/>
  <c r="F57" i="49"/>
  <c r="F58" i="49"/>
  <c r="F59" i="49"/>
  <c r="F60" i="49"/>
  <c r="K60" i="49" s="1"/>
  <c r="F61" i="49"/>
  <c r="F46" i="49"/>
  <c r="K46" i="49" s="1"/>
  <c r="F47" i="49"/>
  <c r="K47" i="49" s="1"/>
  <c r="F48" i="49"/>
  <c r="F49" i="49"/>
  <c r="F50" i="49"/>
  <c r="K50" i="49" s="1"/>
  <c r="F38" i="49"/>
  <c r="K38" i="49" s="1"/>
  <c r="F39" i="49"/>
  <c r="K39" i="49" s="1"/>
  <c r="F40" i="49"/>
  <c r="K40" i="49" s="1"/>
  <c r="F27" i="49"/>
  <c r="K27" i="49" s="1"/>
  <c r="F28" i="49"/>
  <c r="F29" i="49"/>
  <c r="F30" i="49"/>
  <c r="F31" i="49"/>
  <c r="F32" i="49"/>
  <c r="F33" i="49"/>
  <c r="F11" i="49"/>
  <c r="F12" i="49"/>
  <c r="F13" i="49"/>
  <c r="F14" i="49"/>
  <c r="F15" i="49"/>
  <c r="F16" i="49"/>
  <c r="K16" i="49" s="1"/>
  <c r="F17" i="49"/>
  <c r="K17" i="49" s="1"/>
  <c r="F18" i="49"/>
  <c r="K18" i="49" s="1"/>
  <c r="F19" i="49"/>
  <c r="F20" i="49"/>
  <c r="K20" i="49" s="1"/>
  <c r="F21" i="49"/>
  <c r="F22" i="49"/>
  <c r="I91" i="49"/>
  <c r="K91" i="49" s="1"/>
  <c r="I92" i="49"/>
  <c r="K92" i="49" s="1"/>
  <c r="I93" i="49"/>
  <c r="I94" i="49"/>
  <c r="I82" i="49"/>
  <c r="I83" i="49"/>
  <c r="I84" i="49"/>
  <c r="I85" i="49"/>
  <c r="I86" i="49"/>
  <c r="I75" i="49"/>
  <c r="I76" i="49"/>
  <c r="I77" i="49"/>
  <c r="I66" i="49"/>
  <c r="I67" i="49"/>
  <c r="I68" i="49"/>
  <c r="I69" i="49"/>
  <c r="I70" i="49"/>
  <c r="I55" i="49"/>
  <c r="I56" i="49"/>
  <c r="I57" i="49"/>
  <c r="I58" i="49"/>
  <c r="K58" i="49" s="1"/>
  <c r="I59" i="49"/>
  <c r="I60" i="49"/>
  <c r="I61" i="49"/>
  <c r="I46" i="49"/>
  <c r="I47" i="49"/>
  <c r="I48" i="49"/>
  <c r="I49" i="49"/>
  <c r="I50" i="49"/>
  <c r="I38" i="49"/>
  <c r="I39" i="49"/>
  <c r="I40" i="49"/>
  <c r="I27" i="49"/>
  <c r="I28" i="49"/>
  <c r="I29" i="49"/>
  <c r="I30" i="49"/>
  <c r="I31" i="49"/>
  <c r="I32" i="49"/>
  <c r="I33" i="49"/>
  <c r="I11" i="49"/>
  <c r="I12" i="49"/>
  <c r="K12" i="49" s="1"/>
  <c r="I13" i="49"/>
  <c r="I14" i="49"/>
  <c r="I15" i="49"/>
  <c r="I16" i="49"/>
  <c r="I17" i="49"/>
  <c r="I18" i="49"/>
  <c r="I19" i="49"/>
  <c r="I20" i="49"/>
  <c r="I21" i="49"/>
  <c r="I22" i="49"/>
  <c r="J99" i="49"/>
  <c r="G37" i="1" s="1"/>
  <c r="F21" i="50"/>
  <c r="I91" i="50"/>
  <c r="I92" i="50"/>
  <c r="I93" i="50"/>
  <c r="I94" i="50"/>
  <c r="K94" i="50" s="1"/>
  <c r="I82" i="50"/>
  <c r="I83" i="50"/>
  <c r="I84" i="50"/>
  <c r="I85" i="50"/>
  <c r="I86" i="50"/>
  <c r="I75" i="50"/>
  <c r="I76" i="50"/>
  <c r="I77" i="50"/>
  <c r="I66" i="50"/>
  <c r="I67" i="50"/>
  <c r="I68" i="50"/>
  <c r="I69" i="50"/>
  <c r="I70" i="50"/>
  <c r="I55" i="50"/>
  <c r="I56" i="50"/>
  <c r="I57" i="50"/>
  <c r="I58" i="50"/>
  <c r="I59" i="50"/>
  <c r="I60" i="50"/>
  <c r="I61" i="50"/>
  <c r="K61" i="50" s="1"/>
  <c r="I46" i="50"/>
  <c r="I47" i="50"/>
  <c r="I48" i="50"/>
  <c r="I49" i="50"/>
  <c r="I50" i="50"/>
  <c r="I38" i="50"/>
  <c r="I39" i="50"/>
  <c r="I40" i="50"/>
  <c r="I27" i="50"/>
  <c r="I28" i="50"/>
  <c r="I29" i="50"/>
  <c r="I30" i="50"/>
  <c r="I31" i="50"/>
  <c r="I32" i="50"/>
  <c r="I33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G39" i="1"/>
  <c r="F90" i="45"/>
  <c r="F91" i="45"/>
  <c r="F92" i="45"/>
  <c r="F93" i="45"/>
  <c r="F81" i="45"/>
  <c r="F82" i="45"/>
  <c r="F83" i="45"/>
  <c r="F84" i="45"/>
  <c r="F85" i="45"/>
  <c r="K85" i="45" s="1"/>
  <c r="F74" i="45"/>
  <c r="F75" i="45"/>
  <c r="F76" i="45"/>
  <c r="F65" i="45"/>
  <c r="F66" i="45"/>
  <c r="F67" i="45"/>
  <c r="F68" i="45"/>
  <c r="F69" i="45"/>
  <c r="K69" i="45" s="1"/>
  <c r="F54" i="45"/>
  <c r="F55" i="45"/>
  <c r="F56" i="45"/>
  <c r="F57" i="45"/>
  <c r="F58" i="45"/>
  <c r="F59" i="45"/>
  <c r="F60" i="45"/>
  <c r="F45" i="45"/>
  <c r="F46" i="45"/>
  <c r="F47" i="45"/>
  <c r="F48" i="45"/>
  <c r="F49" i="45"/>
  <c r="K49" i="45" s="1"/>
  <c r="F37" i="45"/>
  <c r="K37" i="45" s="1"/>
  <c r="F38" i="45"/>
  <c r="F39" i="45"/>
  <c r="F26" i="45"/>
  <c r="F27" i="45"/>
  <c r="F28" i="45"/>
  <c r="F29" i="45"/>
  <c r="F30" i="45"/>
  <c r="F31" i="45"/>
  <c r="F32" i="45"/>
  <c r="F11" i="45"/>
  <c r="F12" i="45"/>
  <c r="F13" i="45"/>
  <c r="F14" i="45"/>
  <c r="F15" i="45"/>
  <c r="F16" i="45"/>
  <c r="F17" i="45"/>
  <c r="F18" i="45"/>
  <c r="F19" i="45"/>
  <c r="F20" i="45"/>
  <c r="F21" i="45"/>
  <c r="I90" i="45"/>
  <c r="I91" i="45"/>
  <c r="I92" i="45"/>
  <c r="I93" i="45"/>
  <c r="I81" i="45"/>
  <c r="I82" i="45"/>
  <c r="I83" i="45"/>
  <c r="I84" i="45"/>
  <c r="I85" i="45"/>
  <c r="I74" i="45"/>
  <c r="I75" i="45"/>
  <c r="I76" i="45"/>
  <c r="I65" i="45"/>
  <c r="I66" i="45"/>
  <c r="I67" i="45"/>
  <c r="I68" i="45"/>
  <c r="I69" i="45"/>
  <c r="I54" i="45"/>
  <c r="I55" i="45"/>
  <c r="I56" i="45"/>
  <c r="I57" i="45"/>
  <c r="I58" i="45"/>
  <c r="K58" i="45" s="1"/>
  <c r="I59" i="45"/>
  <c r="I60" i="45"/>
  <c r="I45" i="45"/>
  <c r="I46" i="45"/>
  <c r="K46" i="45" s="1"/>
  <c r="I47" i="45"/>
  <c r="I48" i="45"/>
  <c r="I49" i="45"/>
  <c r="I37" i="45"/>
  <c r="I38" i="45"/>
  <c r="I39" i="45"/>
  <c r="I26" i="45"/>
  <c r="I27" i="45"/>
  <c r="I28" i="45"/>
  <c r="I29" i="45"/>
  <c r="I30" i="45"/>
  <c r="I31" i="45"/>
  <c r="I32" i="45"/>
  <c r="I11" i="45"/>
  <c r="I12" i="45"/>
  <c r="I13" i="45"/>
  <c r="I14" i="45"/>
  <c r="I15" i="45"/>
  <c r="I16" i="45"/>
  <c r="I17" i="45"/>
  <c r="K17" i="45" s="1"/>
  <c r="I18" i="45"/>
  <c r="I19" i="45"/>
  <c r="I20" i="45"/>
  <c r="I21" i="45"/>
  <c r="J98" i="45"/>
  <c r="G41" i="1" s="1"/>
  <c r="F91" i="16"/>
  <c r="F92" i="16"/>
  <c r="F93" i="16"/>
  <c r="F94" i="16"/>
  <c r="K94" i="16" s="1"/>
  <c r="F82" i="16"/>
  <c r="F83" i="16"/>
  <c r="K83" i="16" s="1"/>
  <c r="F84" i="16"/>
  <c r="F85" i="16"/>
  <c r="F86" i="16"/>
  <c r="F75" i="16"/>
  <c r="F76" i="16"/>
  <c r="F77" i="16"/>
  <c r="K77" i="16" s="1"/>
  <c r="F66" i="16"/>
  <c r="F67" i="16"/>
  <c r="K67" i="16" s="1"/>
  <c r="F68" i="16"/>
  <c r="F69" i="16"/>
  <c r="F70" i="16"/>
  <c r="F55" i="16"/>
  <c r="F56" i="16"/>
  <c r="F57" i="16"/>
  <c r="F58" i="16"/>
  <c r="F59" i="16"/>
  <c r="F60" i="16"/>
  <c r="F61" i="16"/>
  <c r="F46" i="16"/>
  <c r="F47" i="16"/>
  <c r="F48" i="16"/>
  <c r="F49" i="16"/>
  <c r="F50" i="16"/>
  <c r="F38" i="16"/>
  <c r="K38" i="16" s="1"/>
  <c r="F39" i="16"/>
  <c r="K39" i="16" s="1"/>
  <c r="F40" i="16"/>
  <c r="F27" i="16"/>
  <c r="F28" i="16"/>
  <c r="F29" i="16"/>
  <c r="F30" i="16"/>
  <c r="F31" i="16"/>
  <c r="F32" i="16"/>
  <c r="F33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K22" i="16" s="1"/>
  <c r="I91" i="16"/>
  <c r="I92" i="16"/>
  <c r="K92" i="16" s="1"/>
  <c r="I93" i="16"/>
  <c r="I94" i="16"/>
  <c r="I82" i="16"/>
  <c r="I83" i="16"/>
  <c r="I84" i="16"/>
  <c r="I85" i="16"/>
  <c r="I86" i="16"/>
  <c r="I75" i="16"/>
  <c r="I76" i="16"/>
  <c r="I77" i="16"/>
  <c r="I66" i="16"/>
  <c r="I67" i="16"/>
  <c r="I68" i="16"/>
  <c r="I69" i="16"/>
  <c r="I70" i="16"/>
  <c r="I55" i="16"/>
  <c r="I56" i="16"/>
  <c r="I57" i="16"/>
  <c r="I58" i="16"/>
  <c r="I59" i="16"/>
  <c r="K59" i="16" s="1"/>
  <c r="I60" i="16"/>
  <c r="I61" i="16"/>
  <c r="I46" i="16"/>
  <c r="I47" i="16"/>
  <c r="I48" i="16"/>
  <c r="I49" i="16"/>
  <c r="I50" i="16"/>
  <c r="I38" i="16"/>
  <c r="I39" i="16"/>
  <c r="I40" i="16"/>
  <c r="I27" i="16"/>
  <c r="I28" i="16"/>
  <c r="I29" i="16"/>
  <c r="K29" i="16" s="1"/>
  <c r="I30" i="16"/>
  <c r="I31" i="16"/>
  <c r="I32" i="16"/>
  <c r="K32" i="16" s="1"/>
  <c r="I33" i="16"/>
  <c r="I11" i="16"/>
  <c r="I12" i="16"/>
  <c r="I13" i="16"/>
  <c r="K13" i="16" s="1"/>
  <c r="I14" i="16"/>
  <c r="K14" i="16" s="1"/>
  <c r="I15" i="16"/>
  <c r="I16" i="16"/>
  <c r="I17" i="16"/>
  <c r="I18" i="16"/>
  <c r="I19" i="16"/>
  <c r="I20" i="16"/>
  <c r="I21" i="16"/>
  <c r="I22" i="16"/>
  <c r="J99" i="16"/>
  <c r="G43" i="1" s="1"/>
  <c r="F77" i="15"/>
  <c r="F78" i="15"/>
  <c r="F79" i="15"/>
  <c r="F80" i="15"/>
  <c r="K80" i="15" s="1"/>
  <c r="F81" i="15"/>
  <c r="K81" i="15" s="1"/>
  <c r="F70" i="15"/>
  <c r="F71" i="15"/>
  <c r="F72" i="15"/>
  <c r="K72" i="15" s="1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K61" i="15" s="1"/>
  <c r="F62" i="15"/>
  <c r="F63" i="15"/>
  <c r="F64" i="15"/>
  <c r="K64" i="15" s="1"/>
  <c r="F65" i="15"/>
  <c r="F38" i="15"/>
  <c r="F39" i="15"/>
  <c r="F40" i="15"/>
  <c r="K40" i="15" s="1"/>
  <c r="F41" i="15"/>
  <c r="K41" i="15" s="1"/>
  <c r="F42" i="15"/>
  <c r="F43" i="15"/>
  <c r="F44" i="15"/>
  <c r="F27" i="15"/>
  <c r="F28" i="15"/>
  <c r="F29" i="15"/>
  <c r="F30" i="15"/>
  <c r="F31" i="15"/>
  <c r="F32" i="15"/>
  <c r="F33" i="15"/>
  <c r="F11" i="15"/>
  <c r="F12" i="15"/>
  <c r="F13" i="15"/>
  <c r="F14" i="15"/>
  <c r="F15" i="15"/>
  <c r="F16" i="15"/>
  <c r="K16" i="15" s="1"/>
  <c r="F17" i="15"/>
  <c r="F18" i="15"/>
  <c r="F19" i="15"/>
  <c r="K19" i="15" s="1"/>
  <c r="F20" i="15"/>
  <c r="F21" i="15"/>
  <c r="F22" i="15"/>
  <c r="I77" i="15"/>
  <c r="I78" i="15"/>
  <c r="I79" i="15"/>
  <c r="I80" i="15"/>
  <c r="I81" i="15"/>
  <c r="I70" i="15"/>
  <c r="I71" i="15"/>
  <c r="I72" i="15"/>
  <c r="I49" i="15"/>
  <c r="I50" i="15"/>
  <c r="I51" i="15"/>
  <c r="I52" i="15"/>
  <c r="K52" i="15" s="1"/>
  <c r="I53" i="15"/>
  <c r="I54" i="15"/>
  <c r="I55" i="15"/>
  <c r="I56" i="15"/>
  <c r="K56" i="15" s="1"/>
  <c r="I57" i="15"/>
  <c r="I58" i="15"/>
  <c r="I59" i="15"/>
  <c r="I60" i="15"/>
  <c r="I61" i="15"/>
  <c r="I62" i="15"/>
  <c r="I63" i="15"/>
  <c r="I64" i="15"/>
  <c r="I65" i="15"/>
  <c r="I38" i="15"/>
  <c r="I39" i="15"/>
  <c r="I40" i="15"/>
  <c r="I41" i="15"/>
  <c r="I42" i="15"/>
  <c r="I43" i="15"/>
  <c r="I44" i="15"/>
  <c r="I27" i="15"/>
  <c r="I28" i="15"/>
  <c r="I29" i="15"/>
  <c r="I30" i="15"/>
  <c r="K30" i="15" s="1"/>
  <c r="I31" i="15"/>
  <c r="I32" i="15"/>
  <c r="I33" i="15"/>
  <c r="I11" i="15"/>
  <c r="K11" i="15" s="1"/>
  <c r="I12" i="15"/>
  <c r="I13" i="15"/>
  <c r="I14" i="15"/>
  <c r="I15" i="15"/>
  <c r="I16" i="15"/>
  <c r="I17" i="15"/>
  <c r="I18" i="15"/>
  <c r="I19" i="15"/>
  <c r="I20" i="15"/>
  <c r="I21" i="15"/>
  <c r="I22" i="15"/>
  <c r="J94" i="15"/>
  <c r="G45" i="1" s="1"/>
  <c r="F94" i="67"/>
  <c r="F95" i="67"/>
  <c r="F96" i="67"/>
  <c r="F97" i="67"/>
  <c r="F88" i="67"/>
  <c r="F89" i="67"/>
  <c r="F82" i="67"/>
  <c r="F83" i="67"/>
  <c r="F76" i="67"/>
  <c r="F77" i="67"/>
  <c r="F61" i="67"/>
  <c r="F62" i="67"/>
  <c r="F63" i="67"/>
  <c r="F64" i="67"/>
  <c r="F65" i="67"/>
  <c r="F66" i="67"/>
  <c r="F67" i="67"/>
  <c r="F68" i="67"/>
  <c r="F69" i="67"/>
  <c r="F70" i="67"/>
  <c r="F71" i="67"/>
  <c r="F56" i="67"/>
  <c r="F49" i="67"/>
  <c r="F50" i="67"/>
  <c r="F51" i="67"/>
  <c r="K51" i="67" s="1"/>
  <c r="F41" i="67"/>
  <c r="F42" i="67"/>
  <c r="F43" i="67"/>
  <c r="F44" i="67"/>
  <c r="F34" i="67"/>
  <c r="F35" i="67"/>
  <c r="F36" i="67"/>
  <c r="F28" i="67"/>
  <c r="K28" i="67" s="1"/>
  <c r="F29" i="67"/>
  <c r="F21" i="67"/>
  <c r="F22" i="67"/>
  <c r="F23" i="67"/>
  <c r="K23" i="67" s="1"/>
  <c r="F12" i="67"/>
  <c r="K12" i="67" s="1"/>
  <c r="F13" i="67"/>
  <c r="F14" i="67"/>
  <c r="K14" i="67" s="1"/>
  <c r="F15" i="67"/>
  <c r="F16" i="67"/>
  <c r="I94" i="67"/>
  <c r="K94" i="67" s="1"/>
  <c r="I95" i="67"/>
  <c r="K95" i="67" s="1"/>
  <c r="I96" i="67"/>
  <c r="I97" i="67"/>
  <c r="K97" i="67" s="1"/>
  <c r="I88" i="67"/>
  <c r="I89" i="67"/>
  <c r="I82" i="67"/>
  <c r="I83" i="67"/>
  <c r="I76" i="67"/>
  <c r="I77" i="67"/>
  <c r="I61" i="67"/>
  <c r="I62" i="67"/>
  <c r="K62" i="67" s="1"/>
  <c r="I63" i="67"/>
  <c r="I64" i="67"/>
  <c r="I65" i="67"/>
  <c r="I66" i="67"/>
  <c r="K66" i="67" s="1"/>
  <c r="I67" i="67"/>
  <c r="I68" i="67"/>
  <c r="I69" i="67"/>
  <c r="I70" i="67"/>
  <c r="K70" i="67" s="1"/>
  <c r="I71" i="67"/>
  <c r="K71" i="67" s="1"/>
  <c r="I56" i="67"/>
  <c r="I49" i="67"/>
  <c r="I50" i="67"/>
  <c r="K50" i="67" s="1"/>
  <c r="I51" i="67"/>
  <c r="I41" i="67"/>
  <c r="I42" i="67"/>
  <c r="I43" i="67"/>
  <c r="I44" i="67"/>
  <c r="I34" i="67"/>
  <c r="I35" i="67"/>
  <c r="I36" i="67"/>
  <c r="K36" i="67" s="1"/>
  <c r="I28" i="67"/>
  <c r="I29" i="67"/>
  <c r="I21" i="67"/>
  <c r="I22" i="67"/>
  <c r="K22" i="67" s="1"/>
  <c r="I23" i="67"/>
  <c r="I11" i="67"/>
  <c r="I12" i="67"/>
  <c r="I13" i="67"/>
  <c r="K13" i="67" s="1"/>
  <c r="I14" i="67"/>
  <c r="I15" i="67"/>
  <c r="I16" i="67"/>
  <c r="J102" i="67"/>
  <c r="G47" i="1" s="1"/>
  <c r="F46" i="68"/>
  <c r="K46" i="68" s="1"/>
  <c r="F47" i="68"/>
  <c r="F48" i="68"/>
  <c r="F49" i="68"/>
  <c r="F38" i="68"/>
  <c r="F39" i="68"/>
  <c r="F40" i="68"/>
  <c r="F27" i="68"/>
  <c r="F28" i="68"/>
  <c r="F29" i="68"/>
  <c r="F30" i="68"/>
  <c r="F31" i="68"/>
  <c r="F32" i="68"/>
  <c r="F33" i="68"/>
  <c r="F11" i="68"/>
  <c r="F12" i="68"/>
  <c r="F13" i="68"/>
  <c r="F14" i="68"/>
  <c r="F15" i="68"/>
  <c r="F16" i="68"/>
  <c r="F17" i="68"/>
  <c r="F18" i="68"/>
  <c r="F19" i="68"/>
  <c r="F20" i="68"/>
  <c r="F21" i="68"/>
  <c r="F22" i="68"/>
  <c r="I46" i="68"/>
  <c r="I47" i="68"/>
  <c r="I48" i="68"/>
  <c r="I49" i="68"/>
  <c r="I38" i="68"/>
  <c r="I39" i="68"/>
  <c r="I40" i="68"/>
  <c r="I27" i="68"/>
  <c r="I28" i="68"/>
  <c r="I29" i="68"/>
  <c r="I30" i="68"/>
  <c r="I31" i="68"/>
  <c r="I32" i="68"/>
  <c r="K32" i="68" s="1"/>
  <c r="I33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J54" i="68"/>
  <c r="G49" i="1" s="1"/>
  <c r="F44" i="69"/>
  <c r="F45" i="69"/>
  <c r="F46" i="69"/>
  <c r="F47" i="69"/>
  <c r="F48" i="69"/>
  <c r="F36" i="69"/>
  <c r="F37" i="69"/>
  <c r="F38" i="69"/>
  <c r="F25" i="69"/>
  <c r="F26" i="69"/>
  <c r="F27" i="69"/>
  <c r="F28" i="69"/>
  <c r="F29" i="69"/>
  <c r="F30" i="69"/>
  <c r="F31" i="69"/>
  <c r="F14" i="69"/>
  <c r="F15" i="69"/>
  <c r="F16" i="69"/>
  <c r="F17" i="69"/>
  <c r="F18" i="69"/>
  <c r="F19" i="69"/>
  <c r="F20" i="69"/>
  <c r="I44" i="69"/>
  <c r="I45" i="69"/>
  <c r="I46" i="69"/>
  <c r="I47" i="69"/>
  <c r="I48" i="69"/>
  <c r="I36" i="69"/>
  <c r="I37" i="69"/>
  <c r="I38" i="69"/>
  <c r="I25" i="69"/>
  <c r="I26" i="69"/>
  <c r="I27" i="69"/>
  <c r="I28" i="69"/>
  <c r="I29" i="69"/>
  <c r="I30" i="69"/>
  <c r="I31" i="69"/>
  <c r="I13" i="69"/>
  <c r="I14" i="69"/>
  <c r="I15" i="69"/>
  <c r="I16" i="69"/>
  <c r="I17" i="69"/>
  <c r="I18" i="69"/>
  <c r="I19" i="69"/>
  <c r="I20" i="69"/>
  <c r="G51" i="1"/>
  <c r="F91" i="70"/>
  <c r="F92" i="70"/>
  <c r="F93" i="70"/>
  <c r="K93" i="70" s="1"/>
  <c r="F94" i="70"/>
  <c r="F82" i="70"/>
  <c r="F83" i="70"/>
  <c r="K83" i="70" s="1"/>
  <c r="F84" i="70"/>
  <c r="F85" i="70"/>
  <c r="F86" i="70"/>
  <c r="K86" i="70" s="1"/>
  <c r="F75" i="70"/>
  <c r="K75" i="70" s="1"/>
  <c r="F76" i="70"/>
  <c r="K76" i="70" s="1"/>
  <c r="F77" i="70"/>
  <c r="F66" i="70"/>
  <c r="K66" i="70" s="1"/>
  <c r="F67" i="70"/>
  <c r="F68" i="70"/>
  <c r="F69" i="70"/>
  <c r="F70" i="70"/>
  <c r="F55" i="70"/>
  <c r="F56" i="70"/>
  <c r="F57" i="70"/>
  <c r="F58" i="70"/>
  <c r="F59" i="70"/>
  <c r="F60" i="70"/>
  <c r="F61" i="70"/>
  <c r="F46" i="70"/>
  <c r="F47" i="70"/>
  <c r="F48" i="70"/>
  <c r="F49" i="70"/>
  <c r="F50" i="70"/>
  <c r="K50" i="70" s="1"/>
  <c r="F38" i="70"/>
  <c r="F39" i="70"/>
  <c r="F40" i="70"/>
  <c r="F27" i="70"/>
  <c r="K27" i="70" s="1"/>
  <c r="F28" i="70"/>
  <c r="F29" i="70"/>
  <c r="F30" i="70"/>
  <c r="F31" i="70"/>
  <c r="F32" i="70"/>
  <c r="F33" i="70"/>
  <c r="F11" i="70"/>
  <c r="F12" i="70"/>
  <c r="F13" i="70"/>
  <c r="F14" i="70"/>
  <c r="F15" i="70"/>
  <c r="F16" i="70"/>
  <c r="K16" i="70" s="1"/>
  <c r="F17" i="70"/>
  <c r="F18" i="70"/>
  <c r="F19" i="70"/>
  <c r="F20" i="70"/>
  <c r="K20" i="70" s="1"/>
  <c r="F21" i="70"/>
  <c r="F22" i="70"/>
  <c r="I91" i="70"/>
  <c r="K91" i="70" s="1"/>
  <c r="I92" i="70"/>
  <c r="I93" i="70"/>
  <c r="I94" i="70"/>
  <c r="I82" i="70"/>
  <c r="I83" i="70"/>
  <c r="I84" i="70"/>
  <c r="I85" i="70"/>
  <c r="I86" i="70"/>
  <c r="I75" i="70"/>
  <c r="I76" i="70"/>
  <c r="I77" i="70"/>
  <c r="I66" i="70"/>
  <c r="I67" i="70"/>
  <c r="K67" i="70" s="1"/>
  <c r="I68" i="70"/>
  <c r="I69" i="70"/>
  <c r="K69" i="70" s="1"/>
  <c r="I70" i="70"/>
  <c r="K70" i="70" s="1"/>
  <c r="I55" i="70"/>
  <c r="I56" i="70"/>
  <c r="I57" i="70"/>
  <c r="I58" i="70"/>
  <c r="I59" i="70"/>
  <c r="I60" i="70"/>
  <c r="I61" i="70"/>
  <c r="I46" i="70"/>
  <c r="I47" i="70"/>
  <c r="I48" i="70"/>
  <c r="I49" i="70"/>
  <c r="I50" i="70"/>
  <c r="I38" i="70"/>
  <c r="I39" i="70"/>
  <c r="I40" i="70"/>
  <c r="I27" i="70"/>
  <c r="I28" i="70"/>
  <c r="I29" i="70"/>
  <c r="I30" i="70"/>
  <c r="I31" i="70"/>
  <c r="I32" i="70"/>
  <c r="I33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J99" i="70"/>
  <c r="G53" i="1" s="1"/>
  <c r="F46" i="71"/>
  <c r="F47" i="71"/>
  <c r="F48" i="71"/>
  <c r="F49" i="71"/>
  <c r="F50" i="71"/>
  <c r="F38" i="71"/>
  <c r="F39" i="71"/>
  <c r="F40" i="71"/>
  <c r="F27" i="71"/>
  <c r="F28" i="71"/>
  <c r="F29" i="71"/>
  <c r="F30" i="71"/>
  <c r="F31" i="71"/>
  <c r="F32" i="71"/>
  <c r="F33" i="71"/>
  <c r="F11" i="71"/>
  <c r="F12" i="71"/>
  <c r="F13" i="71"/>
  <c r="F14" i="71"/>
  <c r="F15" i="71"/>
  <c r="F16" i="71"/>
  <c r="F17" i="71"/>
  <c r="F18" i="71"/>
  <c r="F19" i="71"/>
  <c r="F20" i="71"/>
  <c r="F21" i="71"/>
  <c r="F22" i="71"/>
  <c r="I46" i="71"/>
  <c r="I47" i="71"/>
  <c r="K47" i="71" s="1"/>
  <c r="I48" i="71"/>
  <c r="I49" i="71"/>
  <c r="I50" i="71"/>
  <c r="I38" i="71"/>
  <c r="I39" i="71"/>
  <c r="I40" i="71"/>
  <c r="I27" i="71"/>
  <c r="I28" i="71"/>
  <c r="I29" i="71"/>
  <c r="I30" i="71"/>
  <c r="I31" i="71"/>
  <c r="I32" i="71"/>
  <c r="I33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G55" i="1"/>
  <c r="F50" i="72"/>
  <c r="F51" i="72"/>
  <c r="F52" i="72"/>
  <c r="F53" i="72"/>
  <c r="F54" i="72"/>
  <c r="F42" i="72"/>
  <c r="F43" i="72"/>
  <c r="F44" i="72"/>
  <c r="F20" i="72"/>
  <c r="F21" i="72"/>
  <c r="F22" i="72"/>
  <c r="F24" i="72"/>
  <c r="F25" i="72"/>
  <c r="F27" i="72"/>
  <c r="F28" i="72"/>
  <c r="F29" i="72"/>
  <c r="F30" i="72"/>
  <c r="F31" i="72"/>
  <c r="F32" i="72"/>
  <c r="F33" i="72"/>
  <c r="F34" i="72"/>
  <c r="F35" i="72"/>
  <c r="F37" i="72"/>
  <c r="I50" i="72"/>
  <c r="I51" i="72"/>
  <c r="I52" i="72"/>
  <c r="I53" i="72"/>
  <c r="I54" i="72"/>
  <c r="I42" i="72"/>
  <c r="I43" i="72"/>
  <c r="I44" i="72"/>
  <c r="K44" i="72" s="1"/>
  <c r="I20" i="72"/>
  <c r="I21" i="72"/>
  <c r="I22" i="72"/>
  <c r="I24" i="72"/>
  <c r="I25" i="72"/>
  <c r="I27" i="72"/>
  <c r="I28" i="72"/>
  <c r="K28" i="72" s="1"/>
  <c r="I29" i="72"/>
  <c r="I30" i="72"/>
  <c r="K30" i="72" s="1"/>
  <c r="I31" i="72"/>
  <c r="I32" i="72"/>
  <c r="I33" i="72"/>
  <c r="I34" i="72"/>
  <c r="I35" i="72"/>
  <c r="I36" i="72"/>
  <c r="I37" i="72"/>
  <c r="G57" i="1"/>
  <c r="F89" i="73"/>
  <c r="F90" i="73"/>
  <c r="F91" i="73"/>
  <c r="F92" i="73"/>
  <c r="F80" i="73"/>
  <c r="F81" i="73"/>
  <c r="F82" i="73"/>
  <c r="F83" i="73"/>
  <c r="F84" i="73"/>
  <c r="F73" i="73"/>
  <c r="F74" i="73"/>
  <c r="F75" i="73"/>
  <c r="F64" i="73"/>
  <c r="K64" i="73" s="1"/>
  <c r="F65" i="73"/>
  <c r="F66" i="73"/>
  <c r="K66" i="73" s="1"/>
  <c r="F67" i="73"/>
  <c r="K67" i="73" s="1"/>
  <c r="F68" i="73"/>
  <c r="K68" i="73" s="1"/>
  <c r="F53" i="73"/>
  <c r="F54" i="73"/>
  <c r="K54" i="73" s="1"/>
  <c r="F55" i="73"/>
  <c r="F56" i="73"/>
  <c r="F57" i="73"/>
  <c r="F58" i="73"/>
  <c r="F59" i="73"/>
  <c r="F44" i="73"/>
  <c r="F45" i="73"/>
  <c r="F46" i="73"/>
  <c r="F47" i="73"/>
  <c r="F48" i="73"/>
  <c r="F36" i="73"/>
  <c r="F37" i="73"/>
  <c r="F38" i="73"/>
  <c r="F25" i="73"/>
  <c r="F26" i="73"/>
  <c r="F27" i="73"/>
  <c r="K27" i="73" s="1"/>
  <c r="F28" i="73"/>
  <c r="F29" i="73"/>
  <c r="K29" i="73" s="1"/>
  <c r="F30" i="73"/>
  <c r="K30" i="73" s="1"/>
  <c r="F31" i="73"/>
  <c r="K31" i="73" s="1"/>
  <c r="F11" i="73"/>
  <c r="F12" i="73"/>
  <c r="F13" i="73"/>
  <c r="F14" i="73"/>
  <c r="F15" i="73"/>
  <c r="F16" i="73"/>
  <c r="F17" i="73"/>
  <c r="F18" i="73"/>
  <c r="F19" i="73"/>
  <c r="I89" i="73"/>
  <c r="I90" i="73"/>
  <c r="I91" i="73"/>
  <c r="I92" i="73"/>
  <c r="I80" i="73"/>
  <c r="I81" i="73"/>
  <c r="I82" i="73"/>
  <c r="K82" i="73" s="1"/>
  <c r="I83" i="73"/>
  <c r="K83" i="73" s="1"/>
  <c r="I84" i="73"/>
  <c r="K84" i="73" s="1"/>
  <c r="I73" i="73"/>
  <c r="I74" i="73"/>
  <c r="K74" i="73" s="1"/>
  <c r="I75" i="73"/>
  <c r="I64" i="73"/>
  <c r="I65" i="73"/>
  <c r="I66" i="73"/>
  <c r="I67" i="73"/>
  <c r="I68" i="73"/>
  <c r="I53" i="73"/>
  <c r="I54" i="73"/>
  <c r="I55" i="73"/>
  <c r="I56" i="73"/>
  <c r="I57" i="73"/>
  <c r="I58" i="73"/>
  <c r="K58" i="73" s="1"/>
  <c r="I59" i="73"/>
  <c r="I44" i="73"/>
  <c r="I45" i="73"/>
  <c r="I46" i="73"/>
  <c r="K46" i="73" s="1"/>
  <c r="I47" i="73"/>
  <c r="I48" i="73"/>
  <c r="I36" i="73"/>
  <c r="I37" i="73"/>
  <c r="I38" i="73"/>
  <c r="K38" i="73" s="1"/>
  <c r="I25" i="73"/>
  <c r="I26" i="73"/>
  <c r="I27" i="73"/>
  <c r="I28" i="73"/>
  <c r="I29" i="73"/>
  <c r="I30" i="73"/>
  <c r="I31" i="73"/>
  <c r="I11" i="73"/>
  <c r="I12" i="73"/>
  <c r="I13" i="73"/>
  <c r="I14" i="73"/>
  <c r="I15" i="73"/>
  <c r="K15" i="73" s="1"/>
  <c r="I16" i="73"/>
  <c r="I17" i="73"/>
  <c r="I18" i="73"/>
  <c r="I19" i="73"/>
  <c r="K19" i="73" s="1"/>
  <c r="G59" i="1"/>
  <c r="F48" i="74"/>
  <c r="F49" i="74"/>
  <c r="K49" i="74" s="1"/>
  <c r="F50" i="74"/>
  <c r="F51" i="74"/>
  <c r="F52" i="74"/>
  <c r="F40" i="74"/>
  <c r="F41" i="74"/>
  <c r="F42" i="74"/>
  <c r="K42" i="74" s="1"/>
  <c r="F43" i="74"/>
  <c r="F29" i="74"/>
  <c r="F30" i="74"/>
  <c r="F31" i="74"/>
  <c r="F32" i="74"/>
  <c r="F33" i="74"/>
  <c r="F34" i="74"/>
  <c r="F35" i="74"/>
  <c r="K35" i="74" s="1"/>
  <c r="F13" i="74"/>
  <c r="K13" i="74" s="1"/>
  <c r="F14" i="74"/>
  <c r="K14" i="74" s="1"/>
  <c r="F15" i="74"/>
  <c r="K15" i="74" s="1"/>
  <c r="F16" i="74"/>
  <c r="K16" i="74" s="1"/>
  <c r="F17" i="74"/>
  <c r="F18" i="74"/>
  <c r="K18" i="74" s="1"/>
  <c r="F19" i="74"/>
  <c r="F20" i="74"/>
  <c r="F21" i="74"/>
  <c r="F22" i="74"/>
  <c r="F23" i="74"/>
  <c r="F24" i="74"/>
  <c r="I48" i="74"/>
  <c r="I49" i="74"/>
  <c r="I50" i="74"/>
  <c r="I51" i="74"/>
  <c r="I52" i="74"/>
  <c r="I40" i="74"/>
  <c r="I41" i="74"/>
  <c r="I42" i="74"/>
  <c r="I43" i="74"/>
  <c r="I29" i="74"/>
  <c r="I30" i="74"/>
  <c r="I31" i="74"/>
  <c r="K31" i="74" s="1"/>
  <c r="I32" i="74"/>
  <c r="I33" i="74"/>
  <c r="K33" i="74" s="1"/>
  <c r="I34" i="74"/>
  <c r="I35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G61" i="1"/>
  <c r="C94" i="30"/>
  <c r="F94" i="30" s="1"/>
  <c r="F95" i="30"/>
  <c r="F79" i="30"/>
  <c r="F80" i="30"/>
  <c r="F81" i="30"/>
  <c r="F82" i="30"/>
  <c r="F83" i="30"/>
  <c r="F84" i="30"/>
  <c r="F85" i="30"/>
  <c r="F70" i="30"/>
  <c r="F71" i="30"/>
  <c r="F72" i="30"/>
  <c r="F73" i="30"/>
  <c r="F74" i="30"/>
  <c r="F28" i="30"/>
  <c r="F29" i="30"/>
  <c r="C30" i="30"/>
  <c r="I30" i="30" s="1"/>
  <c r="C32" i="30"/>
  <c r="F33" i="30"/>
  <c r="F34" i="30"/>
  <c r="F11" i="30"/>
  <c r="F12" i="30"/>
  <c r="F13" i="30"/>
  <c r="F14" i="30"/>
  <c r="F15" i="30"/>
  <c r="F17" i="30"/>
  <c r="F18" i="30"/>
  <c r="F19" i="30"/>
  <c r="F20" i="30"/>
  <c r="F21" i="30"/>
  <c r="F22" i="30"/>
  <c r="I131" i="30"/>
  <c r="I132" i="30"/>
  <c r="I133" i="30"/>
  <c r="I134" i="30"/>
  <c r="I123" i="30"/>
  <c r="I124" i="30"/>
  <c r="I125" i="30"/>
  <c r="I126" i="30"/>
  <c r="I100" i="30"/>
  <c r="I101" i="30"/>
  <c r="I103" i="30"/>
  <c r="I90" i="30"/>
  <c r="I92" i="30"/>
  <c r="I93" i="30"/>
  <c r="I94" i="30"/>
  <c r="I95" i="30"/>
  <c r="I79" i="30"/>
  <c r="I80" i="30"/>
  <c r="I81" i="30"/>
  <c r="I82" i="30"/>
  <c r="I83" i="30"/>
  <c r="I84" i="30"/>
  <c r="I85" i="30"/>
  <c r="I70" i="30"/>
  <c r="I71" i="30"/>
  <c r="I72" i="30"/>
  <c r="I73" i="30"/>
  <c r="I74" i="30"/>
  <c r="I28" i="30"/>
  <c r="I29" i="30"/>
  <c r="I33" i="30"/>
  <c r="I34" i="30"/>
  <c r="I11" i="30"/>
  <c r="I12" i="30"/>
  <c r="I13" i="30"/>
  <c r="I14" i="30"/>
  <c r="I15" i="30"/>
  <c r="I17" i="30"/>
  <c r="I18" i="30"/>
  <c r="I19" i="30"/>
  <c r="K19" i="30" s="1"/>
  <c r="I20" i="30"/>
  <c r="I21" i="30"/>
  <c r="I22" i="30"/>
  <c r="J6" i="74"/>
  <c r="J6" i="73"/>
  <c r="J6" i="72"/>
  <c r="J6" i="71"/>
  <c r="J6" i="70"/>
  <c r="J6" i="69"/>
  <c r="J6" i="68"/>
  <c r="J6" i="67"/>
  <c r="J6" i="15"/>
  <c r="J6" i="16"/>
  <c r="J6" i="45"/>
  <c r="J6" i="50"/>
  <c r="J6" i="49"/>
  <c r="J6" i="66"/>
  <c r="J6" i="43"/>
  <c r="J6" i="22"/>
  <c r="J6" i="75"/>
  <c r="J6" i="24"/>
  <c r="J6" i="25"/>
  <c r="J6" i="26"/>
  <c r="J6" i="42"/>
  <c r="J6" i="28"/>
  <c r="J6" i="29"/>
  <c r="K89" i="25"/>
  <c r="K71" i="25"/>
  <c r="K52" i="25"/>
  <c r="K40" i="25"/>
  <c r="K51" i="74"/>
  <c r="K40" i="74"/>
  <c r="K20" i="74"/>
  <c r="K22" i="74"/>
  <c r="K24" i="74"/>
  <c r="K44" i="73"/>
  <c r="K12" i="73"/>
  <c r="K14" i="73"/>
  <c r="F24" i="73"/>
  <c r="I24" i="73"/>
  <c r="F13" i="72"/>
  <c r="I13" i="72"/>
  <c r="F14" i="72"/>
  <c r="I14" i="72"/>
  <c r="F15" i="72"/>
  <c r="I15" i="72"/>
  <c r="K31" i="71"/>
  <c r="K21" i="71"/>
  <c r="K58" i="70"/>
  <c r="K76" i="67"/>
  <c r="K63" i="67"/>
  <c r="K67" i="67"/>
  <c r="K34" i="67"/>
  <c r="K44" i="67"/>
  <c r="K15" i="15"/>
  <c r="K15" i="16"/>
  <c r="K14" i="49"/>
  <c r="K31" i="49"/>
  <c r="K66" i="66"/>
  <c r="K67" i="66"/>
  <c r="K70" i="66"/>
  <c r="K75" i="66"/>
  <c r="K13" i="66"/>
  <c r="K17" i="66"/>
  <c r="K19" i="66"/>
  <c r="K20" i="66"/>
  <c r="K31" i="43"/>
  <c r="K32" i="43"/>
  <c r="K13" i="43"/>
  <c r="F55" i="22"/>
  <c r="I55" i="22"/>
  <c r="F56" i="22"/>
  <c r="I56" i="22"/>
  <c r="K19" i="24"/>
  <c r="K27" i="26"/>
  <c r="C1" i="74"/>
  <c r="C1" i="73"/>
  <c r="C1" i="72"/>
  <c r="C1" i="71"/>
  <c r="C1" i="70"/>
  <c r="C1" i="69"/>
  <c r="C1" i="68"/>
  <c r="C1" i="67"/>
  <c r="C1" i="15"/>
  <c r="C1" i="16"/>
  <c r="C1" i="45"/>
  <c r="C1" i="50"/>
  <c r="C1" i="49"/>
  <c r="C1" i="66"/>
  <c r="C1" i="43"/>
  <c r="C1" i="22"/>
  <c r="C1" i="75"/>
  <c r="C1" i="24"/>
  <c r="C1" i="25"/>
  <c r="C1" i="26"/>
  <c r="C1" i="42"/>
  <c r="C1" i="28"/>
  <c r="C1" i="29"/>
  <c r="C1" i="30"/>
  <c r="K82" i="70"/>
  <c r="K47" i="68"/>
  <c r="K28" i="68"/>
  <c r="K13" i="68"/>
  <c r="K21" i="68"/>
  <c r="F86" i="15"/>
  <c r="I86" i="15"/>
  <c r="F87" i="15"/>
  <c r="I87" i="15"/>
  <c r="F88" i="15"/>
  <c r="I88" i="15"/>
  <c r="F89" i="15"/>
  <c r="I89" i="15"/>
  <c r="K47" i="16"/>
  <c r="K48" i="16"/>
  <c r="K49" i="16"/>
  <c r="K55" i="16"/>
  <c r="K68" i="16"/>
  <c r="K75" i="16"/>
  <c r="K76" i="16"/>
  <c r="K74" i="45"/>
  <c r="K75" i="45"/>
  <c r="F91" i="50"/>
  <c r="F92" i="50"/>
  <c r="F93" i="50"/>
  <c r="F94" i="50"/>
  <c r="F82" i="50"/>
  <c r="F83" i="50"/>
  <c r="F84" i="50"/>
  <c r="F85" i="50"/>
  <c r="F86" i="50"/>
  <c r="F75" i="50"/>
  <c r="K75" i="50" s="1"/>
  <c r="F76" i="50"/>
  <c r="F77" i="50"/>
  <c r="K77" i="50" s="1"/>
  <c r="F66" i="50"/>
  <c r="K66" i="50" s="1"/>
  <c r="F67" i="50"/>
  <c r="K67" i="50" s="1"/>
  <c r="F68" i="50"/>
  <c r="F69" i="50"/>
  <c r="K69" i="50" s="1"/>
  <c r="F70" i="50"/>
  <c r="K70" i="50" s="1"/>
  <c r="F55" i="50"/>
  <c r="K55" i="50" s="1"/>
  <c r="F56" i="50"/>
  <c r="F57" i="50"/>
  <c r="K57" i="50" s="1"/>
  <c r="F58" i="50"/>
  <c r="F59" i="50"/>
  <c r="F60" i="50"/>
  <c r="F61" i="50"/>
  <c r="F46" i="50"/>
  <c r="F47" i="50"/>
  <c r="F48" i="50"/>
  <c r="F49" i="50"/>
  <c r="F50" i="50"/>
  <c r="F38" i="50"/>
  <c r="K38" i="50" s="1"/>
  <c r="F39" i="50"/>
  <c r="F40" i="50"/>
  <c r="K40" i="50" s="1"/>
  <c r="F27" i="50"/>
  <c r="K27" i="50" s="1"/>
  <c r="F28" i="50"/>
  <c r="K28" i="50" s="1"/>
  <c r="F29" i="50"/>
  <c r="F30" i="50"/>
  <c r="K30" i="50" s="1"/>
  <c r="F31" i="50"/>
  <c r="K31" i="50" s="1"/>
  <c r="F32" i="50"/>
  <c r="K32" i="50" s="1"/>
  <c r="F33" i="50"/>
  <c r="F11" i="50"/>
  <c r="K11" i="50" s="1"/>
  <c r="F12" i="50"/>
  <c r="F13" i="50"/>
  <c r="F14" i="50"/>
  <c r="F15" i="50"/>
  <c r="F16" i="50"/>
  <c r="F17" i="50"/>
  <c r="F18" i="50"/>
  <c r="F19" i="50"/>
  <c r="F20" i="50"/>
  <c r="F22" i="50"/>
  <c r="K22" i="50" s="1"/>
  <c r="K21" i="50"/>
  <c r="K75" i="49"/>
  <c r="K82" i="49"/>
  <c r="K83" i="49"/>
  <c r="K94" i="49"/>
  <c r="E6" i="29"/>
  <c r="K89" i="73"/>
  <c r="K91" i="73"/>
  <c r="K92" i="73"/>
  <c r="K80" i="73"/>
  <c r="E6" i="75"/>
  <c r="A112" i="75" s="1"/>
  <c r="F6" i="75"/>
  <c r="D6" i="75"/>
  <c r="E6" i="74"/>
  <c r="F6" i="74"/>
  <c r="D6" i="74"/>
  <c r="E6" i="73"/>
  <c r="F6" i="73"/>
  <c r="D6" i="73"/>
  <c r="E6" i="72"/>
  <c r="F6" i="72"/>
  <c r="D6" i="72"/>
  <c r="E6" i="71"/>
  <c r="F6" i="71"/>
  <c r="D6" i="71"/>
  <c r="E6" i="70"/>
  <c r="F6" i="70"/>
  <c r="D6" i="70"/>
  <c r="E6" i="69"/>
  <c r="F13" i="69" s="1"/>
  <c r="F6" i="69"/>
  <c r="D6" i="69"/>
  <c r="E6" i="68"/>
  <c r="F6" i="68"/>
  <c r="D6" i="68"/>
  <c r="E6" i="67"/>
  <c r="F11" i="67" s="1"/>
  <c r="F6" i="67"/>
  <c r="D6" i="67"/>
  <c r="E6" i="66"/>
  <c r="F6" i="66"/>
  <c r="D6" i="66"/>
  <c r="E6" i="15"/>
  <c r="F6" i="15"/>
  <c r="D6" i="15"/>
  <c r="E6" i="16"/>
  <c r="F6" i="16"/>
  <c r="D6" i="16"/>
  <c r="E6" i="45"/>
  <c r="F6" i="45"/>
  <c r="D6" i="45"/>
  <c r="E6" i="50"/>
  <c r="F6" i="50"/>
  <c r="D6" i="50"/>
  <c r="E6" i="49"/>
  <c r="F6" i="49"/>
  <c r="D6" i="49"/>
  <c r="E6" i="43"/>
  <c r="A74" i="43" s="1"/>
  <c r="F6" i="43"/>
  <c r="D6" i="43"/>
  <c r="E6" i="22"/>
  <c r="C62" i="22" s="1"/>
  <c r="F62" i="22" s="1"/>
  <c r="F6" i="22"/>
  <c r="D6" i="22"/>
  <c r="E6" i="24"/>
  <c r="A101" i="24" s="1"/>
  <c r="F6" i="24"/>
  <c r="D6" i="24"/>
  <c r="E6" i="25"/>
  <c r="F6" i="25"/>
  <c r="D6" i="25"/>
  <c r="E6" i="26"/>
  <c r="F6" i="26"/>
  <c r="D6" i="26"/>
  <c r="E6" i="42"/>
  <c r="F6" i="42"/>
  <c r="D6" i="42"/>
  <c r="E6" i="28"/>
  <c r="F6" i="28"/>
  <c r="D6" i="28"/>
  <c r="F6" i="29"/>
  <c r="D6" i="29"/>
  <c r="F6" i="30"/>
  <c r="D6" i="30"/>
  <c r="K24" i="28" l="1"/>
  <c r="K44" i="26"/>
  <c r="K13" i="26"/>
  <c r="K42" i="26"/>
  <c r="K41" i="26"/>
  <c r="K32" i="26"/>
  <c r="K17" i="26"/>
  <c r="K54" i="26"/>
  <c r="K53" i="26"/>
  <c r="K52" i="26"/>
  <c r="K33" i="26"/>
  <c r="K50" i="26"/>
  <c r="K57" i="24"/>
  <c r="K13" i="24"/>
  <c r="K61" i="24"/>
  <c r="K32" i="24"/>
  <c r="K91" i="45"/>
  <c r="K45" i="45"/>
  <c r="K90" i="45"/>
  <c r="K47" i="45"/>
  <c r="K57" i="45"/>
  <c r="K21" i="45"/>
  <c r="K66" i="45"/>
  <c r="K65" i="45"/>
  <c r="K28" i="45"/>
  <c r="K13" i="45"/>
  <c r="K54" i="45"/>
  <c r="K82" i="45"/>
  <c r="K81" i="45"/>
  <c r="K53" i="72"/>
  <c r="K24" i="42"/>
  <c r="K22" i="42"/>
  <c r="K31" i="22"/>
  <c r="K101" i="30"/>
  <c r="K73" i="30"/>
  <c r="K85" i="30"/>
  <c r="K51" i="42"/>
  <c r="K54" i="42"/>
  <c r="K23" i="42"/>
  <c r="K28" i="42"/>
  <c r="K50" i="42"/>
  <c r="K53" i="42"/>
  <c r="K16" i="42"/>
  <c r="K26" i="42"/>
  <c r="K42" i="42"/>
  <c r="K55" i="42"/>
  <c r="K41" i="42"/>
  <c r="K43" i="42"/>
  <c r="K51" i="72"/>
  <c r="K34" i="72"/>
  <c r="K92" i="30"/>
  <c r="E17" i="81" s="1"/>
  <c r="K90" i="30"/>
  <c r="E16" i="81" s="1"/>
  <c r="K22" i="28"/>
  <c r="K13" i="69"/>
  <c r="K48" i="69"/>
  <c r="K15" i="69"/>
  <c r="K45" i="69"/>
  <c r="K47" i="69"/>
  <c r="K19" i="69"/>
  <c r="K36" i="69"/>
  <c r="K18" i="69"/>
  <c r="K61" i="26"/>
  <c r="K47" i="28"/>
  <c r="K107" i="75"/>
  <c r="K77" i="75"/>
  <c r="K71" i="75"/>
  <c r="K62" i="75"/>
  <c r="K65" i="75"/>
  <c r="K106" i="75"/>
  <c r="K69" i="75"/>
  <c r="K27" i="75"/>
  <c r="K28" i="75"/>
  <c r="K22" i="75"/>
  <c r="K23" i="75"/>
  <c r="K15" i="75"/>
  <c r="K16" i="75"/>
  <c r="K100" i="75"/>
  <c r="K94" i="75"/>
  <c r="K55" i="75"/>
  <c r="K59" i="75" s="1"/>
  <c r="K50" i="75"/>
  <c r="K44" i="75"/>
  <c r="K45" i="75"/>
  <c r="K46" i="75"/>
  <c r="K101" i="75"/>
  <c r="K32" i="75"/>
  <c r="K34" i="75"/>
  <c r="K13" i="75"/>
  <c r="K61" i="22"/>
  <c r="K36" i="22"/>
  <c r="K42" i="29"/>
  <c r="K43" i="29"/>
  <c r="K38" i="29"/>
  <c r="K39" i="29"/>
  <c r="K82" i="75"/>
  <c r="K40" i="75"/>
  <c r="K89" i="75"/>
  <c r="K39" i="75"/>
  <c r="K88" i="75"/>
  <c r="K100" i="30"/>
  <c r="K89" i="24"/>
  <c r="K59" i="25"/>
  <c r="K58" i="66"/>
  <c r="K75" i="73"/>
  <c r="K82" i="66"/>
  <c r="K93" i="66"/>
  <c r="K96" i="66" s="1"/>
  <c r="K67" i="43"/>
  <c r="K71" i="43" s="1"/>
  <c r="K59" i="66"/>
  <c r="K31" i="70"/>
  <c r="K12" i="45"/>
  <c r="K70" i="49"/>
  <c r="K76" i="75"/>
  <c r="K33" i="75"/>
  <c r="K50" i="25"/>
  <c r="K44" i="69"/>
  <c r="K37" i="73"/>
  <c r="K60" i="15"/>
  <c r="K46" i="66"/>
  <c r="K52" i="66" s="1"/>
  <c r="K29" i="74"/>
  <c r="K18" i="73"/>
  <c r="K91" i="16"/>
  <c r="K124" i="30"/>
  <c r="K123" i="30"/>
  <c r="K28" i="16"/>
  <c r="K40" i="26"/>
  <c r="K77" i="49"/>
  <c r="K42" i="22"/>
  <c r="E96" i="81" s="1"/>
  <c r="K20" i="50"/>
  <c r="K50" i="50"/>
  <c r="K86" i="50"/>
  <c r="K19" i="50"/>
  <c r="K49" i="50"/>
  <c r="K85" i="50"/>
  <c r="K132" i="30"/>
  <c r="E26" i="81" s="1"/>
  <c r="K11" i="73"/>
  <c r="K11" i="68"/>
  <c r="K21" i="16"/>
  <c r="K85" i="70"/>
  <c r="K17" i="68"/>
  <c r="K17" i="50"/>
  <c r="K47" i="50"/>
  <c r="K52" i="50" s="1"/>
  <c r="K83" i="50"/>
  <c r="K40" i="68"/>
  <c r="K31" i="15"/>
  <c r="K57" i="16"/>
  <c r="K82" i="50"/>
  <c r="K17" i="69"/>
  <c r="K43" i="67"/>
  <c r="K17" i="16"/>
  <c r="K20" i="24"/>
  <c r="K72" i="24"/>
  <c r="K25" i="26"/>
  <c r="K16" i="28"/>
  <c r="K14" i="45"/>
  <c r="K92" i="45"/>
  <c r="K33" i="49"/>
  <c r="K22" i="66"/>
  <c r="K76" i="66"/>
  <c r="K16" i="50"/>
  <c r="K81" i="30"/>
  <c r="K13" i="50"/>
  <c r="K24" i="50" s="1"/>
  <c r="K92" i="50"/>
  <c r="K50" i="71"/>
  <c r="K19" i="68"/>
  <c r="K53" i="15"/>
  <c r="K30" i="16"/>
  <c r="K55" i="45"/>
  <c r="K68" i="49"/>
  <c r="K48" i="66"/>
  <c r="K14" i="43"/>
  <c r="K24" i="72"/>
  <c r="K41" i="43"/>
  <c r="K44" i="43" s="1"/>
  <c r="K46" i="50"/>
  <c r="K15" i="50"/>
  <c r="K12" i="50"/>
  <c r="K58" i="50"/>
  <c r="K91" i="50"/>
  <c r="F97" i="73"/>
  <c r="D59" i="1" s="1"/>
  <c r="K22" i="30"/>
  <c r="K14" i="30"/>
  <c r="K18" i="30"/>
  <c r="K34" i="30"/>
  <c r="K20" i="30"/>
  <c r="K125" i="30"/>
  <c r="K13" i="30"/>
  <c r="K28" i="30"/>
  <c r="E5" i="81" s="1"/>
  <c r="K83" i="30"/>
  <c r="K74" i="30"/>
  <c r="K80" i="30"/>
  <c r="K71" i="30"/>
  <c r="K79" i="30"/>
  <c r="K15" i="30"/>
  <c r="K95" i="30"/>
  <c r="E20" i="81" s="1"/>
  <c r="K21" i="30"/>
  <c r="K17" i="30"/>
  <c r="K33" i="30"/>
  <c r="E10" i="81" s="1"/>
  <c r="K84" i="30"/>
  <c r="K32" i="74"/>
  <c r="K52" i="74"/>
  <c r="F57" i="74"/>
  <c r="K19" i="71"/>
  <c r="K11" i="71"/>
  <c r="K77" i="70"/>
  <c r="K94" i="70"/>
  <c r="K68" i="70"/>
  <c r="K72" i="70" s="1"/>
  <c r="K84" i="70"/>
  <c r="K88" i="70" s="1"/>
  <c r="K15" i="68"/>
  <c r="K30" i="68"/>
  <c r="K48" i="68"/>
  <c r="K20" i="15"/>
  <c r="K12" i="15"/>
  <c r="K27" i="15"/>
  <c r="K65" i="15"/>
  <c r="K57" i="15"/>
  <c r="K49" i="15"/>
  <c r="K77" i="15"/>
  <c r="K83" i="15" s="1"/>
  <c r="K19" i="16"/>
  <c r="K11" i="16"/>
  <c r="K40" i="16"/>
  <c r="K43" i="16" s="1"/>
  <c r="K61" i="16"/>
  <c r="K69" i="16"/>
  <c r="K85" i="16"/>
  <c r="K32" i="45"/>
  <c r="K38" i="45"/>
  <c r="K59" i="45"/>
  <c r="K67" i="45"/>
  <c r="K83" i="45"/>
  <c r="K85" i="49"/>
  <c r="K88" i="49" s="1"/>
  <c r="K22" i="49"/>
  <c r="K29" i="49"/>
  <c r="K48" i="49"/>
  <c r="K56" i="49"/>
  <c r="K76" i="49"/>
  <c r="K93" i="49"/>
  <c r="K96" i="49" s="1"/>
  <c r="K18" i="66"/>
  <c r="K24" i="66" s="1"/>
  <c r="K60" i="66"/>
  <c r="K68" i="66"/>
  <c r="K72" i="66" s="1"/>
  <c r="K23" i="43"/>
  <c r="K30" i="43"/>
  <c r="K38" i="43" s="1"/>
  <c r="K55" i="43"/>
  <c r="I97" i="73"/>
  <c r="I99" i="50"/>
  <c r="I59" i="72"/>
  <c r="F57" i="1" s="1"/>
  <c r="K82" i="30"/>
  <c r="K38" i="69"/>
  <c r="F59" i="72"/>
  <c r="D57" i="1" s="1"/>
  <c r="I57" i="74"/>
  <c r="I55" i="71"/>
  <c r="K70" i="30"/>
  <c r="F55" i="71"/>
  <c r="K28" i="69"/>
  <c r="K83" i="67"/>
  <c r="K53" i="73"/>
  <c r="K73" i="73"/>
  <c r="K77" i="73" s="1"/>
  <c r="K90" i="73"/>
  <c r="K94" i="73" s="1"/>
  <c r="K15" i="43"/>
  <c r="K20" i="43"/>
  <c r="K42" i="43"/>
  <c r="K60" i="43"/>
  <c r="K12" i="24"/>
  <c r="K31" i="24"/>
  <c r="K71" i="24"/>
  <c r="K96" i="24"/>
  <c r="K25" i="73"/>
  <c r="K18" i="16"/>
  <c r="K33" i="16"/>
  <c r="K60" i="16"/>
  <c r="K84" i="16"/>
  <c r="K22" i="43"/>
  <c r="K54" i="43"/>
  <c r="K57" i="43" s="1"/>
  <c r="K69" i="43"/>
  <c r="K37" i="22"/>
  <c r="K64" i="26"/>
  <c r="K65" i="73"/>
  <c r="K70" i="73" s="1"/>
  <c r="K81" i="73"/>
  <c r="K86" i="73" s="1"/>
  <c r="K11" i="43"/>
  <c r="K17" i="43" s="1"/>
  <c r="K47" i="43"/>
  <c r="K51" i="43" s="1"/>
  <c r="K66" i="43"/>
  <c r="K36" i="24"/>
  <c r="K67" i="24"/>
  <c r="K84" i="24"/>
  <c r="K62" i="25"/>
  <c r="K16" i="73"/>
  <c r="K48" i="73"/>
  <c r="K56" i="73"/>
  <c r="K21" i="70"/>
  <c r="K13" i="70"/>
  <c r="K92" i="70"/>
  <c r="K96" i="70" s="1"/>
  <c r="K41" i="67"/>
  <c r="K56" i="16"/>
  <c r="K93" i="16"/>
  <c r="K96" i="16" s="1"/>
  <c r="K33" i="43"/>
  <c r="K30" i="22"/>
  <c r="K12" i="70"/>
  <c r="K46" i="70"/>
  <c r="K16" i="67"/>
  <c r="K21" i="67"/>
  <c r="K25" i="67" s="1"/>
  <c r="K35" i="67"/>
  <c r="K38" i="67" s="1"/>
  <c r="K42" i="67"/>
  <c r="K49" i="67"/>
  <c r="K53" i="67" s="1"/>
  <c r="K69" i="67"/>
  <c r="K65" i="67"/>
  <c r="K61" i="67"/>
  <c r="K82" i="67"/>
  <c r="K96" i="67"/>
  <c r="K99" i="67" s="1"/>
  <c r="K22" i="15"/>
  <c r="K18" i="15"/>
  <c r="K14" i="15"/>
  <c r="K33" i="15"/>
  <c r="K29" i="15"/>
  <c r="K43" i="15"/>
  <c r="K39" i="15"/>
  <c r="K63" i="15"/>
  <c r="K59" i="15"/>
  <c r="K55" i="15"/>
  <c r="K51" i="15"/>
  <c r="K71" i="15"/>
  <c r="K79" i="15"/>
  <c r="K18" i="50"/>
  <c r="K14" i="50"/>
  <c r="K33" i="50"/>
  <c r="K29" i="50"/>
  <c r="K39" i="50"/>
  <c r="K43" i="50" s="1"/>
  <c r="K48" i="50"/>
  <c r="K60" i="50"/>
  <c r="K56" i="50"/>
  <c r="K68" i="50"/>
  <c r="K76" i="50"/>
  <c r="K84" i="50"/>
  <c r="K93" i="50"/>
  <c r="K17" i="70"/>
  <c r="K32" i="70"/>
  <c r="K28" i="70"/>
  <c r="K38" i="70"/>
  <c r="K47" i="70"/>
  <c r="K59" i="70"/>
  <c r="K55" i="70"/>
  <c r="K63" i="70" s="1"/>
  <c r="F53" i="69"/>
  <c r="D51" i="1" s="1"/>
  <c r="K88" i="67"/>
  <c r="K44" i="15"/>
  <c r="K21" i="49"/>
  <c r="K13" i="49"/>
  <c r="K32" i="49"/>
  <c r="K28" i="49"/>
  <c r="K59" i="49"/>
  <c r="K55" i="49"/>
  <c r="K67" i="49"/>
  <c r="K15" i="28"/>
  <c r="I49" i="29"/>
  <c r="F17" i="1" s="1"/>
  <c r="K37" i="72"/>
  <c r="K17" i="71"/>
  <c r="K13" i="71"/>
  <c r="K32" i="71"/>
  <c r="K28" i="71"/>
  <c r="K38" i="71"/>
  <c r="I53" i="69"/>
  <c r="F51" i="1" s="1"/>
  <c r="I70" i="22"/>
  <c r="F31" i="1" s="1"/>
  <c r="K29" i="28"/>
  <c r="K62" i="15"/>
  <c r="K58" i="15"/>
  <c r="K54" i="15"/>
  <c r="K50" i="15"/>
  <c r="K78" i="15"/>
  <c r="K20" i="16"/>
  <c r="K16" i="16"/>
  <c r="K12" i="16"/>
  <c r="K31" i="16"/>
  <c r="K27" i="16"/>
  <c r="K50" i="16"/>
  <c r="K46" i="16"/>
  <c r="K58" i="16"/>
  <c r="K70" i="16"/>
  <c r="K66" i="16"/>
  <c r="K72" i="16" s="1"/>
  <c r="K86" i="16"/>
  <c r="K82" i="16"/>
  <c r="F70" i="22"/>
  <c r="D31" i="1" s="1"/>
  <c r="F69" i="26"/>
  <c r="D23" i="1" s="1"/>
  <c r="I61" i="28"/>
  <c r="F19" i="1" s="1"/>
  <c r="G20" i="79"/>
  <c r="K48" i="74"/>
  <c r="K17" i="73"/>
  <c r="K36" i="73"/>
  <c r="K41" i="73" s="1"/>
  <c r="K36" i="72"/>
  <c r="K32" i="72"/>
  <c r="K21" i="72"/>
  <c r="K42" i="72"/>
  <c r="K20" i="71"/>
  <c r="K16" i="71"/>
  <c r="K12" i="71"/>
  <c r="K27" i="71"/>
  <c r="K46" i="71"/>
  <c r="I94" i="25"/>
  <c r="I69" i="26"/>
  <c r="F23" i="1" s="1"/>
  <c r="K24" i="26"/>
  <c r="K34" i="26"/>
  <c r="K37" i="26" s="1"/>
  <c r="G38" i="79" s="1"/>
  <c r="K43" i="26"/>
  <c r="K55" i="26"/>
  <c r="K51" i="26"/>
  <c r="D159" i="79"/>
  <c r="I31" i="30"/>
  <c r="K31" i="30" s="1"/>
  <c r="K17" i="74"/>
  <c r="K33" i="72"/>
  <c r="K29" i="72"/>
  <c r="K25" i="72"/>
  <c r="K22" i="72"/>
  <c r="K43" i="72"/>
  <c r="K52" i="72"/>
  <c r="K15" i="71"/>
  <c r="K30" i="71"/>
  <c r="K40" i="71"/>
  <c r="K49" i="71"/>
  <c r="F94" i="25"/>
  <c r="D25" i="1" s="1"/>
  <c r="F61" i="28"/>
  <c r="D19" i="1" s="1"/>
  <c r="K131" i="30"/>
  <c r="E25" i="81" s="1"/>
  <c r="K31" i="28"/>
  <c r="H49" i="30"/>
  <c r="J49" i="30" s="1"/>
  <c r="H50" i="30"/>
  <c r="J50" i="30" s="1"/>
  <c r="K50" i="30" s="1"/>
  <c r="K35" i="72"/>
  <c r="K31" i="72"/>
  <c r="K27" i="72"/>
  <c r="K20" i="72"/>
  <c r="K54" i="72"/>
  <c r="K50" i="72"/>
  <c r="K20" i="69"/>
  <c r="K16" i="69"/>
  <c r="K31" i="69"/>
  <c r="K27" i="69"/>
  <c r="K37" i="69"/>
  <c r="K46" i="69"/>
  <c r="K14" i="69"/>
  <c r="K11" i="30"/>
  <c r="K72" i="30"/>
  <c r="K41" i="29"/>
  <c r="F49" i="29"/>
  <c r="D17" i="1" s="1"/>
  <c r="K21" i="74"/>
  <c r="K43" i="74"/>
  <c r="K13" i="73"/>
  <c r="K26" i="73"/>
  <c r="K45" i="73"/>
  <c r="K57" i="73"/>
  <c r="F74" i="43"/>
  <c r="D33" i="1" s="1"/>
  <c r="K56" i="22"/>
  <c r="I99" i="70"/>
  <c r="F53" i="1" s="1"/>
  <c r="K22" i="68"/>
  <c r="K18" i="68"/>
  <c r="K14" i="68"/>
  <c r="K33" i="68"/>
  <c r="K29" i="68"/>
  <c r="K39" i="68"/>
  <c r="K20" i="68"/>
  <c r="K16" i="68"/>
  <c r="K12" i="68"/>
  <c r="K31" i="68"/>
  <c r="K27" i="68"/>
  <c r="K49" i="68"/>
  <c r="K51" i="68" s="1"/>
  <c r="K29" i="30"/>
  <c r="E6" i="81" s="1"/>
  <c r="K29" i="69"/>
  <c r="K25" i="69"/>
  <c r="K20" i="45"/>
  <c r="K16" i="45"/>
  <c r="K31" i="45"/>
  <c r="K27" i="45"/>
  <c r="K19" i="45"/>
  <c r="K15" i="45"/>
  <c r="K30" i="45"/>
  <c r="K26" i="45"/>
  <c r="K14" i="24"/>
  <c r="K21" i="24"/>
  <c r="K25" i="24"/>
  <c r="K44" i="24"/>
  <c r="K62" i="24"/>
  <c r="K73" i="24"/>
  <c r="K78" i="24"/>
  <c r="K14" i="25"/>
  <c r="K33" i="25"/>
  <c r="K28" i="25"/>
  <c r="K24" i="25"/>
  <c r="K45" i="25"/>
  <c r="K41" i="25"/>
  <c r="K51" i="25"/>
  <c r="K55" i="25" s="1"/>
  <c r="K60" i="25"/>
  <c r="K72" i="25"/>
  <c r="K68" i="25"/>
  <c r="K80" i="25"/>
  <c r="K88" i="25"/>
  <c r="K91" i="25" s="1"/>
  <c r="K16" i="25"/>
  <c r="K12" i="25"/>
  <c r="K30" i="25"/>
  <c r="K26" i="25"/>
  <c r="K22" i="25"/>
  <c r="K43" i="25"/>
  <c r="K39" i="25"/>
  <c r="K58" i="25"/>
  <c r="K70" i="25"/>
  <c r="K82" i="25"/>
  <c r="K78" i="25"/>
  <c r="K63" i="26"/>
  <c r="K13" i="42"/>
  <c r="K25" i="42"/>
  <c r="K35" i="42"/>
  <c r="K38" i="42" s="1"/>
  <c r="K44" i="42"/>
  <c r="K56" i="42"/>
  <c r="K52" i="42"/>
  <c r="K17" i="42"/>
  <c r="K27" i="42"/>
  <c r="K44" i="29"/>
  <c r="K126" i="30"/>
  <c r="K22" i="71"/>
  <c r="K18" i="71"/>
  <c r="K14" i="71"/>
  <c r="K33" i="71"/>
  <c r="K29" i="71"/>
  <c r="K39" i="71"/>
  <c r="K48" i="71"/>
  <c r="K19" i="70"/>
  <c r="K15" i="70"/>
  <c r="K11" i="70"/>
  <c r="K24" i="70" s="1"/>
  <c r="K30" i="70"/>
  <c r="K40" i="70"/>
  <c r="K49" i="70"/>
  <c r="K61" i="70"/>
  <c r="K57" i="70"/>
  <c r="K22" i="70"/>
  <c r="K18" i="70"/>
  <c r="K14" i="70"/>
  <c r="K33" i="70"/>
  <c r="K29" i="70"/>
  <c r="K39" i="70"/>
  <c r="K48" i="70"/>
  <c r="K60" i="70"/>
  <c r="K56" i="70"/>
  <c r="K18" i="45"/>
  <c r="K11" i="45"/>
  <c r="K29" i="45"/>
  <c r="K39" i="45"/>
  <c r="K48" i="45"/>
  <c r="K60" i="45"/>
  <c r="K56" i="45"/>
  <c r="K68" i="45"/>
  <c r="K76" i="45"/>
  <c r="K78" i="45" s="1"/>
  <c r="K84" i="45"/>
  <c r="K93" i="45"/>
  <c r="K32" i="66"/>
  <c r="K28" i="66"/>
  <c r="K38" i="66"/>
  <c r="K43" i="66" s="1"/>
  <c r="K61" i="43"/>
  <c r="K28" i="22"/>
  <c r="K43" i="22"/>
  <c r="K62" i="22"/>
  <c r="K29" i="22"/>
  <c r="K44" i="22"/>
  <c r="E97" i="81" s="1"/>
  <c r="H176" i="30"/>
  <c r="H180" i="30"/>
  <c r="H177" i="30"/>
  <c r="H181" i="30"/>
  <c r="H178" i="30"/>
  <c r="H175" i="30"/>
  <c r="H179" i="30"/>
  <c r="H174" i="30"/>
  <c r="F101" i="24"/>
  <c r="D27" i="1" s="1"/>
  <c r="K90" i="24"/>
  <c r="D55" i="1"/>
  <c r="K79" i="66"/>
  <c r="I99" i="66"/>
  <c r="F35" i="1" s="1"/>
  <c r="K14" i="75"/>
  <c r="K21" i="75"/>
  <c r="K38" i="75"/>
  <c r="K51" i="75"/>
  <c r="K70" i="75"/>
  <c r="K83" i="75"/>
  <c r="K95" i="75"/>
  <c r="K87" i="15"/>
  <c r="F61" i="1"/>
  <c r="K23" i="74"/>
  <c r="K19" i="74"/>
  <c r="K30" i="74"/>
  <c r="K28" i="73"/>
  <c r="K47" i="73"/>
  <c r="K59" i="73"/>
  <c r="K55" i="73"/>
  <c r="F99" i="49"/>
  <c r="D37" i="1" s="1"/>
  <c r="F32" i="30"/>
  <c r="I32" i="30"/>
  <c r="I98" i="45"/>
  <c r="F41" i="1" s="1"/>
  <c r="K21" i="15"/>
  <c r="K17" i="15"/>
  <c r="K13" i="15"/>
  <c r="K32" i="15"/>
  <c r="K28" i="15"/>
  <c r="K42" i="15"/>
  <c r="K52" i="28"/>
  <c r="E40" i="81" s="1"/>
  <c r="K13" i="28"/>
  <c r="F30" i="30"/>
  <c r="K30" i="30" s="1"/>
  <c r="K55" i="22"/>
  <c r="K14" i="72"/>
  <c r="K79" i="16"/>
  <c r="K15" i="67"/>
  <c r="K11" i="67"/>
  <c r="F99" i="16"/>
  <c r="D43" i="1" s="1"/>
  <c r="K88" i="15"/>
  <c r="K35" i="68"/>
  <c r="K25" i="43"/>
  <c r="K15" i="72"/>
  <c r="K24" i="73"/>
  <c r="K86" i="15"/>
  <c r="K79" i="70"/>
  <c r="K79" i="49"/>
  <c r="K79" i="50"/>
  <c r="K30" i="69"/>
  <c r="K26" i="69"/>
  <c r="K89" i="15"/>
  <c r="K12" i="30"/>
  <c r="K94" i="30"/>
  <c r="E19" i="81" s="1"/>
  <c r="K34" i="74"/>
  <c r="K41" i="74"/>
  <c r="K45" i="74" s="1"/>
  <c r="K50" i="74"/>
  <c r="K29" i="67"/>
  <c r="K31" i="67" s="1"/>
  <c r="K56" i="67"/>
  <c r="K58" i="67" s="1"/>
  <c r="K68" i="67"/>
  <c r="K64" i="67"/>
  <c r="K77" i="67"/>
  <c r="K79" i="67" s="1"/>
  <c r="K89" i="67"/>
  <c r="K91" i="67" s="1"/>
  <c r="K38" i="15"/>
  <c r="K70" i="15"/>
  <c r="F94" i="15"/>
  <c r="D45" i="1" s="1"/>
  <c r="I99" i="49"/>
  <c r="F37" i="1" s="1"/>
  <c r="K11" i="24"/>
  <c r="K26" i="24"/>
  <c r="K30" i="24"/>
  <c r="K52" i="24"/>
  <c r="K56" i="24"/>
  <c r="K58" i="24" s="1"/>
  <c r="K66" i="24"/>
  <c r="K79" i="24"/>
  <c r="K83" i="24"/>
  <c r="K95" i="24"/>
  <c r="K54" i="28"/>
  <c r="E41" i="81" s="1"/>
  <c r="K14" i="28"/>
  <c r="K21" i="28"/>
  <c r="K56" i="28"/>
  <c r="K85" i="67"/>
  <c r="K13" i="72"/>
  <c r="K38" i="68"/>
  <c r="K19" i="49"/>
  <c r="K15" i="49"/>
  <c r="K11" i="49"/>
  <c r="K30" i="49"/>
  <c r="K35" i="49" s="1"/>
  <c r="K49" i="49"/>
  <c r="K52" i="49" s="1"/>
  <c r="K61" i="49"/>
  <c r="K57" i="49"/>
  <c r="K69" i="49"/>
  <c r="I112" i="75"/>
  <c r="F29" i="1" s="1"/>
  <c r="E64" i="1"/>
  <c r="K134" i="30"/>
  <c r="E28" i="81" s="1"/>
  <c r="K88" i="66"/>
  <c r="K72" i="50"/>
  <c r="F99" i="50"/>
  <c r="D39" i="1" s="1"/>
  <c r="K59" i="50"/>
  <c r="K63" i="66"/>
  <c r="F59" i="1"/>
  <c r="F102" i="67"/>
  <c r="D47" i="1" s="1"/>
  <c r="I94" i="15"/>
  <c r="F45" i="1" s="1"/>
  <c r="K43" i="49"/>
  <c r="F54" i="68"/>
  <c r="D49" i="1" s="1"/>
  <c r="I99" i="16"/>
  <c r="F43" i="1" s="1"/>
  <c r="F39" i="1"/>
  <c r="F99" i="66"/>
  <c r="D35" i="1" s="1"/>
  <c r="I74" i="43"/>
  <c r="F33" i="1" s="1"/>
  <c r="F112" i="75"/>
  <c r="D29" i="1" s="1"/>
  <c r="I101" i="24"/>
  <c r="F27" i="1" s="1"/>
  <c r="F25" i="1"/>
  <c r="K15" i="25"/>
  <c r="K11" i="25"/>
  <c r="K29" i="25"/>
  <c r="K25" i="25"/>
  <c r="K42" i="25"/>
  <c r="K61" i="25"/>
  <c r="K73" i="25"/>
  <c r="K69" i="25"/>
  <c r="K81" i="25"/>
  <c r="K133" i="30"/>
  <c r="E27" i="81" s="1"/>
  <c r="F55" i="1"/>
  <c r="F99" i="70"/>
  <c r="D53" i="1" s="1"/>
  <c r="I54" i="68"/>
  <c r="F49" i="1" s="1"/>
  <c r="I102" i="67"/>
  <c r="F47" i="1" s="1"/>
  <c r="F61" i="42"/>
  <c r="D21" i="1" s="1"/>
  <c r="D61" i="1"/>
  <c r="F98" i="45"/>
  <c r="D41" i="1" s="1"/>
  <c r="I61" i="42"/>
  <c r="F21" i="1" s="1"/>
  <c r="K91" i="75" l="1"/>
  <c r="K33" i="24"/>
  <c r="K63" i="24"/>
  <c r="K16" i="24"/>
  <c r="K57" i="26"/>
  <c r="K109" i="75"/>
  <c r="K46" i="26"/>
  <c r="K22" i="24"/>
  <c r="G49" i="77" s="1"/>
  <c r="K86" i="24"/>
  <c r="G56" i="77" s="1"/>
  <c r="K68" i="24"/>
  <c r="K92" i="24"/>
  <c r="G57" i="79" s="1"/>
  <c r="K29" i="75"/>
  <c r="E78" i="81" s="1"/>
  <c r="K24" i="75"/>
  <c r="E77" i="81" s="1"/>
  <c r="K35" i="75"/>
  <c r="E79" i="81" s="1"/>
  <c r="K47" i="75"/>
  <c r="E81" i="81" s="1"/>
  <c r="K52" i="75"/>
  <c r="E82" i="81" s="1"/>
  <c r="K66" i="75"/>
  <c r="E84" i="81" s="1"/>
  <c r="K73" i="75"/>
  <c r="G63" i="79" s="1"/>
  <c r="K103" i="75"/>
  <c r="G66" i="79" s="1"/>
  <c r="K79" i="75"/>
  <c r="K51" i="45"/>
  <c r="K95" i="45"/>
  <c r="K87" i="45"/>
  <c r="K71" i="45"/>
  <c r="K47" i="72"/>
  <c r="G143" i="79" s="1"/>
  <c r="K30" i="42"/>
  <c r="G33" i="77" s="1"/>
  <c r="H39" i="1"/>
  <c r="I39" i="1" s="1"/>
  <c r="H43" i="1"/>
  <c r="K19" i="42"/>
  <c r="G32" i="77" s="1"/>
  <c r="K47" i="42"/>
  <c r="K22" i="69"/>
  <c r="K50" i="69"/>
  <c r="K66" i="26"/>
  <c r="K44" i="28"/>
  <c r="N41" i="28" s="1"/>
  <c r="K45" i="24"/>
  <c r="K97" i="75"/>
  <c r="E89" i="81" s="1"/>
  <c r="K41" i="75"/>
  <c r="K85" i="75"/>
  <c r="K67" i="22"/>
  <c r="D99" i="80" s="1"/>
  <c r="K18" i="75"/>
  <c r="K39" i="22"/>
  <c r="H35" i="1"/>
  <c r="K50" i="73"/>
  <c r="G146" i="77" s="1"/>
  <c r="K37" i="74"/>
  <c r="G153" i="79" s="1"/>
  <c r="K128" i="30"/>
  <c r="K26" i="74"/>
  <c r="G152" i="79" s="1"/>
  <c r="K35" i="16"/>
  <c r="K43" i="68"/>
  <c r="K54" i="68" s="1"/>
  <c r="A54" i="68" s="1"/>
  <c r="K21" i="73"/>
  <c r="D208" i="80" s="1"/>
  <c r="K96" i="50"/>
  <c r="K99" i="50" s="1"/>
  <c r="A99" i="50" s="1"/>
  <c r="K80" i="24"/>
  <c r="G55" i="77" s="1"/>
  <c r="K35" i="66"/>
  <c r="K74" i="24"/>
  <c r="E71" i="81" s="1"/>
  <c r="K88" i="50"/>
  <c r="K53" i="24"/>
  <c r="D65" i="80" s="1"/>
  <c r="K27" i="24"/>
  <c r="G50" i="77" s="1"/>
  <c r="K58" i="42"/>
  <c r="K24" i="71"/>
  <c r="G135" i="79" s="1"/>
  <c r="K43" i="70"/>
  <c r="G130" i="79" s="1"/>
  <c r="K46" i="29"/>
  <c r="K29" i="26"/>
  <c r="G37" i="79" s="1"/>
  <c r="K42" i="45"/>
  <c r="E131" i="81" s="1"/>
  <c r="K41" i="69"/>
  <c r="K23" i="45"/>
  <c r="K88" i="16"/>
  <c r="K62" i="45"/>
  <c r="K35" i="50"/>
  <c r="K52" i="71"/>
  <c r="G136" i="77" s="1"/>
  <c r="K72" i="49"/>
  <c r="E126" i="81" s="1"/>
  <c r="K46" i="15"/>
  <c r="G106" i="77" s="1"/>
  <c r="K98" i="24"/>
  <c r="K87" i="30"/>
  <c r="E14" i="81" s="1"/>
  <c r="K25" i="30"/>
  <c r="K76" i="30"/>
  <c r="K52" i="22"/>
  <c r="G72" i="79" s="1"/>
  <c r="K37" i="28"/>
  <c r="E36" i="81" s="1"/>
  <c r="K33" i="73"/>
  <c r="K52" i="16"/>
  <c r="K67" i="15"/>
  <c r="E138" i="81" s="1"/>
  <c r="K61" i="73"/>
  <c r="G39" i="79"/>
  <c r="D38" i="80"/>
  <c r="K54" i="74"/>
  <c r="G155" i="79" s="1"/>
  <c r="K34" i="45"/>
  <c r="K24" i="68"/>
  <c r="K63" i="43"/>
  <c r="K74" i="43" s="1"/>
  <c r="K63" i="16"/>
  <c r="K18" i="67"/>
  <c r="G109" i="77" s="1"/>
  <c r="K63" i="50"/>
  <c r="H27" i="1"/>
  <c r="E61" i="81" s="1"/>
  <c r="K24" i="15"/>
  <c r="E135" i="81" s="1"/>
  <c r="K24" i="16"/>
  <c r="G103" i="79" s="1"/>
  <c r="H102" i="79" s="1"/>
  <c r="K35" i="70"/>
  <c r="G127" i="77" s="1"/>
  <c r="K35" i="15"/>
  <c r="G105" i="77" s="1"/>
  <c r="G88" i="77"/>
  <c r="K64" i="25"/>
  <c r="K52" i="70"/>
  <c r="G129" i="77" s="1"/>
  <c r="K46" i="67"/>
  <c r="G112" i="77" s="1"/>
  <c r="E8" i="81"/>
  <c r="E7" i="81"/>
  <c r="I139" i="30"/>
  <c r="F15" i="1" s="1"/>
  <c r="F64" i="1" s="1"/>
  <c r="K43" i="71"/>
  <c r="G137" i="79" s="1"/>
  <c r="G118" i="79"/>
  <c r="K74" i="15"/>
  <c r="K33" i="22"/>
  <c r="G70" i="79" s="1"/>
  <c r="K84" i="25"/>
  <c r="G50" i="79"/>
  <c r="E64" i="81"/>
  <c r="G79" i="77"/>
  <c r="G79" i="79"/>
  <c r="E107" i="81"/>
  <c r="D106" i="80"/>
  <c r="G48" i="79"/>
  <c r="E62" i="81"/>
  <c r="D60" i="80"/>
  <c r="G64" i="77"/>
  <c r="G64" i="79"/>
  <c r="E86" i="81"/>
  <c r="D86" i="80"/>
  <c r="E70" i="81"/>
  <c r="D68" i="80"/>
  <c r="G115" i="77"/>
  <c r="G117" i="79"/>
  <c r="E150" i="81"/>
  <c r="D167" i="80"/>
  <c r="G111" i="77"/>
  <c r="G113" i="79"/>
  <c r="E144" i="81"/>
  <c r="D161" i="80"/>
  <c r="E159" i="81"/>
  <c r="D185" i="80"/>
  <c r="E69" i="81"/>
  <c r="D67" i="80"/>
  <c r="G82" i="77"/>
  <c r="D110" i="80"/>
  <c r="E57" i="81"/>
  <c r="D52" i="80"/>
  <c r="E132" i="81"/>
  <c r="I43" i="1"/>
  <c r="G77" i="79"/>
  <c r="E105" i="81"/>
  <c r="D104" i="80"/>
  <c r="E124" i="81"/>
  <c r="D128" i="80"/>
  <c r="G86" i="77"/>
  <c r="G88" i="79"/>
  <c r="E115" i="81"/>
  <c r="D116" i="80"/>
  <c r="E68" i="81"/>
  <c r="D66" i="80"/>
  <c r="E139" i="81"/>
  <c r="D153" i="80"/>
  <c r="G90" i="79"/>
  <c r="E118" i="81"/>
  <c r="D119" i="80"/>
  <c r="G130" i="77"/>
  <c r="G132" i="79"/>
  <c r="E162" i="81"/>
  <c r="D188" i="80"/>
  <c r="G115" i="79"/>
  <c r="E147" i="81"/>
  <c r="D164" i="80"/>
  <c r="E114" i="81"/>
  <c r="D115" i="80"/>
  <c r="E176" i="81"/>
  <c r="D210" i="80"/>
  <c r="G110" i="77"/>
  <c r="G112" i="79"/>
  <c r="E143" i="81"/>
  <c r="D160" i="80"/>
  <c r="E119" i="81"/>
  <c r="D120" i="80"/>
  <c r="G126" i="77"/>
  <c r="G128" i="79"/>
  <c r="E158" i="81"/>
  <c r="D184" i="80"/>
  <c r="E59" i="81"/>
  <c r="D54" i="80"/>
  <c r="E123" i="81"/>
  <c r="D127" i="80"/>
  <c r="E122" i="81"/>
  <c r="D126" i="80"/>
  <c r="E137" i="81"/>
  <c r="D151" i="80"/>
  <c r="G152" i="77"/>
  <c r="G154" i="79"/>
  <c r="E145" i="81"/>
  <c r="D162" i="80"/>
  <c r="G81" i="77"/>
  <c r="G81" i="79"/>
  <c r="E109" i="81"/>
  <c r="D108" i="80"/>
  <c r="G85" i="77"/>
  <c r="G87" i="79"/>
  <c r="E113" i="81"/>
  <c r="D114" i="80"/>
  <c r="G78" i="77"/>
  <c r="G78" i="79"/>
  <c r="E106" i="81"/>
  <c r="D105" i="80"/>
  <c r="G69" i="79"/>
  <c r="E83" i="81"/>
  <c r="D83" i="80"/>
  <c r="G89" i="79"/>
  <c r="E116" i="81"/>
  <c r="D117" i="80"/>
  <c r="E112" i="81"/>
  <c r="I35" i="1"/>
  <c r="E56" i="81"/>
  <c r="D51" i="80"/>
  <c r="D150" i="80"/>
  <c r="E142" i="81"/>
  <c r="D159" i="80"/>
  <c r="E117" i="81"/>
  <c r="D118" i="80"/>
  <c r="K63" i="49"/>
  <c r="G148" i="79"/>
  <c r="E177" i="81"/>
  <c r="D211" i="80"/>
  <c r="E88" i="81"/>
  <c r="D88" i="80"/>
  <c r="G51" i="77"/>
  <c r="G51" i="79"/>
  <c r="E65" i="81"/>
  <c r="D63" i="80"/>
  <c r="E151" i="81"/>
  <c r="D168" i="80"/>
  <c r="E148" i="81"/>
  <c r="D165" i="80"/>
  <c r="G80" i="77"/>
  <c r="G80" i="79"/>
  <c r="E108" i="81"/>
  <c r="D107" i="80"/>
  <c r="E140" i="81"/>
  <c r="D154" i="80"/>
  <c r="E110" i="81"/>
  <c r="D109" i="80"/>
  <c r="K35" i="71"/>
  <c r="G136" i="79" s="1"/>
  <c r="E60" i="81"/>
  <c r="D55" i="80"/>
  <c r="K39" i="72"/>
  <c r="H53" i="1"/>
  <c r="H37" i="1"/>
  <c r="H41" i="1"/>
  <c r="H96" i="79"/>
  <c r="E127" i="81"/>
  <c r="J139" i="30"/>
  <c r="H61" i="1"/>
  <c r="G153" i="77"/>
  <c r="E182" i="81"/>
  <c r="D219" i="80"/>
  <c r="G150" i="77"/>
  <c r="G141" i="77"/>
  <c r="E171" i="81"/>
  <c r="D202" i="80"/>
  <c r="K56" i="72"/>
  <c r="G135" i="77"/>
  <c r="E166" i="81"/>
  <c r="D195" i="80"/>
  <c r="K33" i="69"/>
  <c r="G124" i="79" s="1"/>
  <c r="K58" i="22"/>
  <c r="G73" i="79" s="1"/>
  <c r="H25" i="1"/>
  <c r="H23" i="1"/>
  <c r="E50" i="81"/>
  <c r="D42" i="80"/>
  <c r="G38" i="77"/>
  <c r="E48" i="81"/>
  <c r="D40" i="80"/>
  <c r="E49" i="81"/>
  <c r="D41" i="80"/>
  <c r="K49" i="28"/>
  <c r="G28" i="79" s="1"/>
  <c r="K18" i="28"/>
  <c r="H19" i="1"/>
  <c r="K49" i="30"/>
  <c r="H33" i="1"/>
  <c r="H31" i="1"/>
  <c r="I31" i="1" s="1"/>
  <c r="K47" i="25"/>
  <c r="K136" i="30"/>
  <c r="K58" i="28"/>
  <c r="G29" i="79" s="1"/>
  <c r="K24" i="49"/>
  <c r="K73" i="67"/>
  <c r="H184" i="30"/>
  <c r="K32" i="30"/>
  <c r="H55" i="1"/>
  <c r="G87" i="77"/>
  <c r="K26" i="28"/>
  <c r="G26" i="79" s="1"/>
  <c r="G113" i="77"/>
  <c r="H29" i="1"/>
  <c r="I29" i="1" s="1"/>
  <c r="K75" i="25"/>
  <c r="H45" i="1"/>
  <c r="I45" i="1" s="1"/>
  <c r="H51" i="1"/>
  <c r="I51" i="1" s="1"/>
  <c r="K99" i="66"/>
  <c r="A99" i="66" s="1"/>
  <c r="K91" i="15"/>
  <c r="K17" i="72"/>
  <c r="G141" i="79" s="1"/>
  <c r="G116" i="77"/>
  <c r="H94" i="77"/>
  <c r="H59" i="1"/>
  <c r="K19" i="25"/>
  <c r="H49" i="1"/>
  <c r="I49" i="1" s="1"/>
  <c r="H47" i="1"/>
  <c r="H21" i="1"/>
  <c r="K36" i="25"/>
  <c r="G77" i="77"/>
  <c r="G48" i="77"/>
  <c r="G20" i="77"/>
  <c r="H57" i="1"/>
  <c r="H17" i="1"/>
  <c r="D144" i="80" l="1"/>
  <c r="K99" i="16"/>
  <c r="A99" i="16" s="1"/>
  <c r="D78" i="80"/>
  <c r="D61" i="80"/>
  <c r="E63" i="81"/>
  <c r="G57" i="77"/>
  <c r="G49" i="79"/>
  <c r="D71" i="80"/>
  <c r="E73" i="81"/>
  <c r="G56" i="79"/>
  <c r="G33" i="79"/>
  <c r="D34" i="80"/>
  <c r="E44" i="81"/>
  <c r="D81" i="80"/>
  <c r="D77" i="80"/>
  <c r="D82" i="80"/>
  <c r="D89" i="80"/>
  <c r="G62" i="77"/>
  <c r="E72" i="81"/>
  <c r="E74" i="81"/>
  <c r="D72" i="80"/>
  <c r="D69" i="80"/>
  <c r="G54" i="79"/>
  <c r="G54" i="77"/>
  <c r="D85" i="80"/>
  <c r="D90" i="80"/>
  <c r="D79" i="80"/>
  <c r="E90" i="81"/>
  <c r="G66" i="77"/>
  <c r="E85" i="81"/>
  <c r="G63" i="77"/>
  <c r="G62" i="79"/>
  <c r="D84" i="80"/>
  <c r="K98" i="45"/>
  <c r="A98" i="45" s="1"/>
  <c r="D140" i="80"/>
  <c r="G100" i="79"/>
  <c r="D33" i="80"/>
  <c r="E43" i="81"/>
  <c r="G32" i="79"/>
  <c r="H31" i="79" s="1"/>
  <c r="K31" i="79" s="1"/>
  <c r="K61" i="42"/>
  <c r="A61" i="42" s="1"/>
  <c r="G37" i="77"/>
  <c r="E47" i="81"/>
  <c r="D39" i="80"/>
  <c r="G13" i="79"/>
  <c r="D7" i="80"/>
  <c r="G13" i="77"/>
  <c r="G111" i="79"/>
  <c r="G142" i="79"/>
  <c r="H140" i="79" s="1"/>
  <c r="E39" i="72"/>
  <c r="G8" i="77"/>
  <c r="G9" i="79"/>
  <c r="D3" i="80"/>
  <c r="E3" i="81"/>
  <c r="E13" i="81"/>
  <c r="G12" i="79"/>
  <c r="G16" i="77"/>
  <c r="G16" i="79"/>
  <c r="D10" i="80"/>
  <c r="E23" i="81"/>
  <c r="G123" i="79"/>
  <c r="G121" i="77"/>
  <c r="E154" i="81"/>
  <c r="D177" i="80"/>
  <c r="G125" i="79"/>
  <c r="G123" i="77"/>
  <c r="D179" i="80"/>
  <c r="E156" i="81"/>
  <c r="K69" i="26"/>
  <c r="A69" i="26" s="1"/>
  <c r="E51" i="81"/>
  <c r="D43" i="80"/>
  <c r="G39" i="77"/>
  <c r="E66" i="81"/>
  <c r="D64" i="80"/>
  <c r="G53" i="77"/>
  <c r="G53" i="79"/>
  <c r="E67" i="81"/>
  <c r="E37" i="81"/>
  <c r="D26" i="80"/>
  <c r="E103" i="81"/>
  <c r="G74" i="79"/>
  <c r="G74" i="77"/>
  <c r="K101" i="24"/>
  <c r="G52" i="79"/>
  <c r="G52" i="77"/>
  <c r="D80" i="80"/>
  <c r="G61" i="79"/>
  <c r="E80" i="81"/>
  <c r="G61" i="77"/>
  <c r="G65" i="79"/>
  <c r="D87" i="80"/>
  <c r="E87" i="81"/>
  <c r="G65" i="77"/>
  <c r="G60" i="77"/>
  <c r="G60" i="79"/>
  <c r="E76" i="81"/>
  <c r="D76" i="80"/>
  <c r="K112" i="75"/>
  <c r="G36" i="79"/>
  <c r="H35" i="79" s="1"/>
  <c r="E46" i="81"/>
  <c r="G36" i="77"/>
  <c r="G71" i="79"/>
  <c r="G71" i="77"/>
  <c r="E94" i="81"/>
  <c r="D96" i="80"/>
  <c r="G22" i="77"/>
  <c r="H19" i="77" s="1"/>
  <c r="D18" i="80"/>
  <c r="G99" i="79"/>
  <c r="G97" i="77"/>
  <c r="E129" i="81"/>
  <c r="D138" i="80"/>
  <c r="E32" i="81"/>
  <c r="G27" i="77"/>
  <c r="G27" i="79"/>
  <c r="D6" i="80"/>
  <c r="D217" i="80"/>
  <c r="G12" i="77"/>
  <c r="E111" i="81"/>
  <c r="E180" i="81"/>
  <c r="D70" i="80"/>
  <c r="G82" i="79"/>
  <c r="H76" i="79" s="1"/>
  <c r="D62" i="80"/>
  <c r="G108" i="79"/>
  <c r="K97" i="73"/>
  <c r="A97" i="73" s="1"/>
  <c r="D186" i="80"/>
  <c r="D25" i="80"/>
  <c r="G92" i="77"/>
  <c r="E164" i="81"/>
  <c r="G114" i="79"/>
  <c r="E174" i="81"/>
  <c r="D187" i="80"/>
  <c r="E160" i="81"/>
  <c r="C40" i="30"/>
  <c r="F40" i="30" s="1"/>
  <c r="K40" i="30" s="1"/>
  <c r="E161" i="81"/>
  <c r="K99" i="70"/>
  <c r="A99" i="70" s="1"/>
  <c r="G131" i="79"/>
  <c r="G128" i="77"/>
  <c r="H125" i="77" s="1"/>
  <c r="G138" i="79"/>
  <c r="E136" i="81"/>
  <c r="G107" i="79"/>
  <c r="D97" i="80"/>
  <c r="E146" i="81"/>
  <c r="E95" i="81"/>
  <c r="E167" i="81"/>
  <c r="D152" i="80"/>
  <c r="D139" i="80"/>
  <c r="G22" i="79"/>
  <c r="H19" i="79" s="1"/>
  <c r="J19" i="79" s="1"/>
  <c r="G55" i="79"/>
  <c r="D130" i="80"/>
  <c r="D193" i="80"/>
  <c r="G133" i="77"/>
  <c r="D163" i="80"/>
  <c r="D196" i="80"/>
  <c r="G72" i="77"/>
  <c r="G94" i="79"/>
  <c r="I27" i="1"/>
  <c r="C42" i="30"/>
  <c r="C103" i="30"/>
  <c r="F103" i="30" s="1"/>
  <c r="K103" i="30" s="1"/>
  <c r="K105" i="30" s="1"/>
  <c r="G15" i="77" s="1"/>
  <c r="G26" i="77"/>
  <c r="H84" i="77"/>
  <c r="G98" i="77"/>
  <c r="G101" i="77"/>
  <c r="H100" i="77" s="1"/>
  <c r="H134" i="79"/>
  <c r="K134" i="79" s="1"/>
  <c r="E130" i="81"/>
  <c r="E133" i="81"/>
  <c r="G129" i="79"/>
  <c r="H127" i="79" s="1"/>
  <c r="D149" i="80"/>
  <c r="G70" i="77"/>
  <c r="G106" i="79"/>
  <c r="H105" i="79" s="1"/>
  <c r="E38" i="81"/>
  <c r="D95" i="80"/>
  <c r="G104" i="77"/>
  <c r="H103" i="77" s="1"/>
  <c r="E93" i="81"/>
  <c r="K94" i="15"/>
  <c r="A94" i="15" s="1"/>
  <c r="D194" i="80"/>
  <c r="H151" i="79"/>
  <c r="K151" i="79" s="1"/>
  <c r="E165" i="81"/>
  <c r="G134" i="77"/>
  <c r="E92" i="81"/>
  <c r="J134" i="79"/>
  <c r="E30" i="81"/>
  <c r="D16" i="80"/>
  <c r="G43" i="79"/>
  <c r="G43" i="77"/>
  <c r="E141" i="81"/>
  <c r="I47" i="1"/>
  <c r="E175" i="81"/>
  <c r="D209" i="80"/>
  <c r="K49" i="29"/>
  <c r="A49" i="29" s="1"/>
  <c r="G147" i="77"/>
  <c r="G149" i="79"/>
  <c r="E178" i="81"/>
  <c r="D212" i="80"/>
  <c r="G147" i="79"/>
  <c r="G91" i="77"/>
  <c r="G93" i="79"/>
  <c r="E121" i="81"/>
  <c r="D125" i="80"/>
  <c r="E104" i="81"/>
  <c r="I33" i="1"/>
  <c r="G28" i="77"/>
  <c r="G69" i="77"/>
  <c r="E170" i="81"/>
  <c r="E125" i="81"/>
  <c r="D129" i="80"/>
  <c r="K53" i="69"/>
  <c r="A53" i="69" s="1"/>
  <c r="E128" i="81"/>
  <c r="I41" i="1"/>
  <c r="E163" i="81"/>
  <c r="I55" i="1"/>
  <c r="E29" i="81"/>
  <c r="I17" i="1"/>
  <c r="G42" i="79"/>
  <c r="G42" i="77"/>
  <c r="G45" i="77"/>
  <c r="E58" i="81"/>
  <c r="D53" i="80"/>
  <c r="G17" i="79"/>
  <c r="G17" i="77"/>
  <c r="E33" i="81"/>
  <c r="I19" i="1"/>
  <c r="E45" i="81"/>
  <c r="I23" i="1"/>
  <c r="D94" i="80"/>
  <c r="G144" i="79"/>
  <c r="K59" i="72"/>
  <c r="A59" i="72" s="1"/>
  <c r="G140" i="77"/>
  <c r="E120" i="81"/>
  <c r="I37" i="1"/>
  <c r="K70" i="22"/>
  <c r="K55" i="71"/>
  <c r="A55" i="71" s="1"/>
  <c r="H86" i="79"/>
  <c r="E42" i="81"/>
  <c r="I21" i="1"/>
  <c r="G114" i="77"/>
  <c r="H108" i="77" s="1"/>
  <c r="G116" i="79"/>
  <c r="E149" i="81"/>
  <c r="D166" i="80"/>
  <c r="E168" i="81"/>
  <c r="I57" i="1"/>
  <c r="H31" i="77"/>
  <c r="H76" i="77"/>
  <c r="K102" i="67"/>
  <c r="A102" i="67" s="1"/>
  <c r="E173" i="81"/>
  <c r="I59" i="1"/>
  <c r="K99" i="49"/>
  <c r="A99" i="49" s="1"/>
  <c r="G145" i="77"/>
  <c r="G44" i="77"/>
  <c r="G44" i="79"/>
  <c r="E55" i="81"/>
  <c r="D50" i="80"/>
  <c r="D27" i="80"/>
  <c r="G25" i="79"/>
  <c r="E52" i="81"/>
  <c r="I25" i="1"/>
  <c r="D201" i="80"/>
  <c r="E179" i="81"/>
  <c r="I61" i="1"/>
  <c r="E157" i="81"/>
  <c r="I53" i="1"/>
  <c r="G45" i="79"/>
  <c r="K57" i="74"/>
  <c r="A57" i="74" s="1"/>
  <c r="E75" i="81"/>
  <c r="H120" i="79"/>
  <c r="E152" i="81"/>
  <c r="E134" i="81"/>
  <c r="J96" i="79"/>
  <c r="K96" i="79"/>
  <c r="C39" i="30"/>
  <c r="F39" i="30" s="1"/>
  <c r="K39" i="30" s="1"/>
  <c r="E91" i="81"/>
  <c r="E9" i="81"/>
  <c r="G151" i="77"/>
  <c r="H149" i="77" s="1"/>
  <c r="E181" i="81"/>
  <c r="D218" i="80"/>
  <c r="G139" i="77"/>
  <c r="E169" i="81"/>
  <c r="D200" i="80"/>
  <c r="G142" i="77"/>
  <c r="E172" i="81"/>
  <c r="D203" i="80"/>
  <c r="E153" i="81"/>
  <c r="G122" i="77"/>
  <c r="E155" i="81"/>
  <c r="D178" i="80"/>
  <c r="G73" i="77"/>
  <c r="E102" i="81"/>
  <c r="D98" i="80"/>
  <c r="C59" i="30"/>
  <c r="F59" i="30" s="1"/>
  <c r="K59" i="30" s="1"/>
  <c r="E53" i="81"/>
  <c r="D48" i="80"/>
  <c r="E54" i="81"/>
  <c r="D49" i="80"/>
  <c r="K94" i="25"/>
  <c r="A94" i="25" s="1"/>
  <c r="D23" i="80"/>
  <c r="G25" i="77"/>
  <c r="E34" i="81"/>
  <c r="K61" i="28"/>
  <c r="A61" i="28" s="1"/>
  <c r="G29" i="77"/>
  <c r="E39" i="81"/>
  <c r="D28" i="80"/>
  <c r="E35" i="81"/>
  <c r="D24" i="80"/>
  <c r="K56" i="30"/>
  <c r="G15" i="1"/>
  <c r="G64" i="1" s="1"/>
  <c r="E24" i="81"/>
  <c r="D11" i="80"/>
  <c r="K35" i="30"/>
  <c r="H118" i="77"/>
  <c r="C93" i="30"/>
  <c r="F93" i="30" s="1"/>
  <c r="H144" i="77" l="1"/>
  <c r="H59" i="77"/>
  <c r="H35" i="77"/>
  <c r="H59" i="79"/>
  <c r="K59" i="79" s="1"/>
  <c r="H98" i="79"/>
  <c r="J98" i="79" s="1"/>
  <c r="H122" i="79"/>
  <c r="H132" i="77"/>
  <c r="H68" i="79"/>
  <c r="H120" i="77"/>
  <c r="H47" i="77"/>
  <c r="H47" i="79"/>
  <c r="H24" i="79"/>
  <c r="J35" i="79"/>
  <c r="K35" i="79"/>
  <c r="H96" i="77"/>
  <c r="H92" i="79"/>
  <c r="H110" i="79"/>
  <c r="J31" i="79"/>
  <c r="H90" i="77"/>
  <c r="K41" i="30"/>
  <c r="K19" i="79"/>
  <c r="E21" i="81"/>
  <c r="D9" i="80"/>
  <c r="G15" i="79"/>
  <c r="H68" i="77"/>
  <c r="J151" i="79"/>
  <c r="H146" i="79"/>
  <c r="K146" i="79" s="1"/>
  <c r="H41" i="77"/>
  <c r="K98" i="79"/>
  <c r="K76" i="79"/>
  <c r="J76" i="79"/>
  <c r="K140" i="79"/>
  <c r="J140" i="79"/>
  <c r="K127" i="79"/>
  <c r="J127" i="79"/>
  <c r="K92" i="79"/>
  <c r="J92" i="79"/>
  <c r="H41" i="79"/>
  <c r="K120" i="79"/>
  <c r="J120" i="79"/>
  <c r="H24" i="77"/>
  <c r="H138" i="77"/>
  <c r="K36" i="30"/>
  <c r="K67" i="30"/>
  <c r="K93" i="30"/>
  <c r="J59" i="79" l="1"/>
  <c r="K68" i="79"/>
  <c r="J68" i="79"/>
  <c r="K47" i="79"/>
  <c r="J47" i="79"/>
  <c r="K24" i="79"/>
  <c r="J24" i="79"/>
  <c r="K42" i="30"/>
  <c r="K46" i="30" s="1"/>
  <c r="G10" i="77" s="1"/>
  <c r="F139" i="30"/>
  <c r="D15" i="1" s="1"/>
  <c r="J146" i="79"/>
  <c r="G11" i="79"/>
  <c r="G11" i="77"/>
  <c r="G10" i="79"/>
  <c r="G9" i="77"/>
  <c r="J41" i="79"/>
  <c r="K41" i="79"/>
  <c r="K97" i="30"/>
  <c r="E18" i="81"/>
  <c r="E12" i="81"/>
  <c r="D5" i="80"/>
  <c r="E4" i="81"/>
  <c r="D4" i="80"/>
  <c r="D64" i="1" l="1"/>
  <c r="D66" i="1" s="1"/>
  <c r="H15" i="1"/>
  <c r="G14" i="77"/>
  <c r="H7" i="77" s="1"/>
  <c r="K139" i="30"/>
  <c r="A139" i="30" s="1"/>
  <c r="E15" i="81"/>
  <c r="G14" i="79"/>
  <c r="H8" i="79" s="1"/>
  <c r="D8" i="80"/>
  <c r="C31" i="1" l="1"/>
  <c r="C23" i="1"/>
  <c r="C39" i="1"/>
  <c r="C61" i="1"/>
  <c r="C35" i="1"/>
  <c r="C19" i="1"/>
  <c r="C17" i="1"/>
  <c r="C49" i="1"/>
  <c r="C33" i="1"/>
  <c r="C47" i="1"/>
  <c r="D68" i="1"/>
  <c r="C37" i="1"/>
  <c r="C45" i="1"/>
  <c r="C25" i="1"/>
  <c r="C43" i="1"/>
  <c r="C55" i="1"/>
  <c r="C53" i="1"/>
  <c r="C29" i="1"/>
  <c r="C51" i="1"/>
  <c r="C41" i="1"/>
  <c r="C27" i="1"/>
  <c r="C21" i="1"/>
  <c r="C57" i="1"/>
  <c r="C59" i="1"/>
  <c r="E2" i="81"/>
  <c r="I15" i="1"/>
  <c r="C15" i="1"/>
  <c r="H64" i="1"/>
  <c r="I64" i="1" s="1"/>
  <c r="J8" i="79"/>
  <c r="K8" i="79"/>
  <c r="G155" i="77" l="1"/>
  <c r="G157" i="77" s="1"/>
  <c r="D71" i="1"/>
  <c r="C64" i="1"/>
  <c r="D83" i="1"/>
  <c r="G157" i="79"/>
  <c r="D77" i="1" l="1"/>
  <c r="O11" i="78"/>
  <c r="E83" i="1"/>
  <c r="P11" i="78" s="1"/>
  <c r="D85" i="1"/>
  <c r="Q11" i="78" s="1"/>
  <c r="F71" i="1"/>
  <c r="G71" i="1" s="1"/>
  <c r="G159" i="79"/>
  <c r="K157" i="79"/>
  <c r="J157" i="79"/>
  <c r="D75" i="1" l="1"/>
  <c r="H159" i="77"/>
  <c r="G160" i="77" s="1"/>
  <c r="K159" i="79"/>
  <c r="J159" i="79"/>
  <c r="F75" i="1" l="1"/>
  <c r="G75" i="1" s="1"/>
  <c r="D87" i="1"/>
  <c r="D86" i="1"/>
  <c r="D78" i="1"/>
  <c r="L11" i="78"/>
  <c r="M11" i="7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Arlene Bulaong</author>
  </authors>
  <commentList>
    <comment ref="E52" authorId="0" shapeId="0" xr:uid="{25485712-2B60-4365-8F30-1ED5021D1650}">
      <text>
        <r>
          <rPr>
            <b/>
            <sz val="9"/>
            <color indexed="81"/>
            <rFont val="Tahoma"/>
            <family val="2"/>
          </rPr>
          <t>Arlene Bulaong:</t>
        </r>
        <r>
          <rPr>
            <sz val="9"/>
            <color indexed="81"/>
            <rFont val="Tahoma"/>
            <family val="2"/>
          </rPr>
          <t xml:space="preserve">
18sf/sheet</t>
        </r>
      </text>
    </comment>
    <comment ref="E53" authorId="0" shapeId="0" xr:uid="{EFE25D06-01B0-48A6-90F3-D03B7BADA8BE}">
      <text>
        <r>
          <rPr>
            <b/>
            <sz val="9"/>
            <color indexed="81"/>
            <rFont val="Tahoma"/>
            <family val="2"/>
          </rPr>
          <t>Arlene Bulaong:</t>
        </r>
        <r>
          <rPr>
            <sz val="9"/>
            <color indexed="81"/>
            <rFont val="Tahoma"/>
            <family val="2"/>
          </rPr>
          <t xml:space="preserve">
18sf/sheet</t>
        </r>
      </text>
    </comment>
    <comment ref="E54" authorId="0" shapeId="0" xr:uid="{251F4B2C-2AB9-47E8-8E57-2F9C53296A16}">
      <text>
        <r>
          <rPr>
            <b/>
            <sz val="9"/>
            <color indexed="81"/>
            <rFont val="Tahoma"/>
            <family val="2"/>
          </rPr>
          <t>Arlene Bulaong:</t>
        </r>
        <r>
          <rPr>
            <sz val="9"/>
            <color indexed="81"/>
            <rFont val="Tahoma"/>
            <family val="2"/>
          </rPr>
          <t xml:space="preserve">
1000sf/roll</t>
        </r>
      </text>
    </comment>
    <comment ref="E55" authorId="0" shapeId="0" xr:uid="{B64ABBAA-7E07-424A-96F1-C6F70BF755FD}">
      <text>
        <r>
          <rPr>
            <b/>
            <sz val="9"/>
            <color indexed="81"/>
            <rFont val="Tahoma"/>
            <family val="2"/>
          </rPr>
          <t>Arlene Bulaong:</t>
        </r>
        <r>
          <rPr>
            <sz val="9"/>
            <color indexed="81"/>
            <rFont val="Tahoma"/>
            <family val="2"/>
          </rPr>
          <t xml:space="preserve">
1000sf/roll</t>
        </r>
      </text>
    </comment>
  </commentList>
</comments>
</file>

<file path=xl/sharedStrings.xml><?xml version="1.0" encoding="utf-8"?>
<sst xmlns="http://schemas.openxmlformats.org/spreadsheetml/2006/main" count="6185" uniqueCount="1164">
  <si>
    <t>CODE</t>
  </si>
  <si>
    <t>DESCRIPTION</t>
  </si>
  <si>
    <t>M-HRS</t>
  </si>
  <si>
    <t>General Requirements</t>
  </si>
  <si>
    <t>Concrete</t>
  </si>
  <si>
    <t>Masonry</t>
  </si>
  <si>
    <t>Metals</t>
  </si>
  <si>
    <t>Wood &amp; Plastics</t>
  </si>
  <si>
    <t>Finishes</t>
  </si>
  <si>
    <t>Specialties</t>
  </si>
  <si>
    <t>Electrical</t>
  </si>
  <si>
    <t>Sub Totals&gt;&gt;&gt;&gt;&gt;&gt;</t>
  </si>
  <si>
    <t>LAB $$</t>
  </si>
  <si>
    <t>M&amp;E $$</t>
  </si>
  <si>
    <t>MHrs</t>
  </si>
  <si>
    <t>Total Construction Cost&gt;&gt;&gt;&gt;&gt;&gt;</t>
  </si>
  <si>
    <t>OH&amp;P&gt;&gt;&gt;&gt;&gt;&gt;</t>
  </si>
  <si>
    <t>Estimated Price</t>
  </si>
  <si>
    <t>Job Sign</t>
  </si>
  <si>
    <t>Qty</t>
  </si>
  <si>
    <t>M</t>
  </si>
  <si>
    <t>LS</t>
  </si>
  <si>
    <t>TOTAL DIVISION 1</t>
  </si>
  <si>
    <t>TOTAL DIVISION 2</t>
  </si>
  <si>
    <t>TOTAL DIVISION 3</t>
  </si>
  <si>
    <t>TOTAL DIVISION 5</t>
  </si>
  <si>
    <t>TOTAL DIVISION 6</t>
  </si>
  <si>
    <t>TOTAL DIVISION 7</t>
  </si>
  <si>
    <t>TOTAL DIVISION 8</t>
  </si>
  <si>
    <t>TOTAL DIVISION 9</t>
  </si>
  <si>
    <t>Sub Total</t>
  </si>
  <si>
    <t>TOTAL</t>
  </si>
  <si>
    <t>$ / Sq.Ft</t>
  </si>
  <si>
    <t>Unit</t>
  </si>
  <si>
    <t>Labor</t>
  </si>
  <si>
    <t>U. Price</t>
  </si>
  <si>
    <t xml:space="preserve"> /sq.ft.</t>
  </si>
  <si>
    <t>SUB CONT.</t>
  </si>
  <si>
    <t>Total</t>
  </si>
  <si>
    <t>HST</t>
  </si>
  <si>
    <t>Controls</t>
  </si>
  <si>
    <t>Plumbing</t>
  </si>
  <si>
    <t>HVAC</t>
  </si>
  <si>
    <t>TOTAL DIVISION 4</t>
  </si>
  <si>
    <t>Fire Extinguishers</t>
  </si>
  <si>
    <t>TOTAL DIVISION 10</t>
  </si>
  <si>
    <t>Aluminum Doors and Frames</t>
  </si>
  <si>
    <t>Entrances and Storefronts</t>
  </si>
  <si>
    <t>Millwork</t>
  </si>
  <si>
    <t>Soil Investigation and Testing</t>
  </si>
  <si>
    <t>Material Inspection and Testing</t>
  </si>
  <si>
    <t>Survey and Layout</t>
  </si>
  <si>
    <t>Temporary Lighting</t>
  </si>
  <si>
    <t>Small Tools</t>
  </si>
  <si>
    <t>Final Cleaning</t>
  </si>
  <si>
    <t>Sidewalks</t>
  </si>
  <si>
    <t>Vapour Barrier</t>
  </si>
  <si>
    <t>Thermal and Moisture Protection</t>
  </si>
  <si>
    <t>Siding</t>
  </si>
  <si>
    <t>Membrane Roofing</t>
  </si>
  <si>
    <t>Traffic Doors</t>
  </si>
  <si>
    <t>Wood Windows</t>
  </si>
  <si>
    <t>Hardware</t>
  </si>
  <si>
    <t>Glazing</t>
  </si>
  <si>
    <t>Wood Flooring</t>
  </si>
  <si>
    <t>Exterior Painting</t>
  </si>
  <si>
    <t>Interior Painting</t>
  </si>
  <si>
    <t>Wall Coverings</t>
  </si>
  <si>
    <t>Lockers</t>
  </si>
  <si>
    <t>Elevators</t>
  </si>
  <si>
    <t>Lifts</t>
  </si>
  <si>
    <t>Equipment</t>
  </si>
  <si>
    <t>Food Service Equipment</t>
  </si>
  <si>
    <t>Schedule</t>
  </si>
  <si>
    <t>Weeks</t>
  </si>
  <si>
    <t>Security</t>
  </si>
  <si>
    <t>Furnishings</t>
  </si>
  <si>
    <t>Special Construction</t>
  </si>
  <si>
    <t>Demolition</t>
  </si>
  <si>
    <t>Finish Carpentry</t>
  </si>
  <si>
    <t>Flooring</t>
  </si>
  <si>
    <t>Painting</t>
  </si>
  <si>
    <t>Lighting</t>
  </si>
  <si>
    <t>Sanitary Line Video</t>
  </si>
  <si>
    <t>Total (HST excluded)</t>
  </si>
  <si>
    <t>Soft Cost</t>
  </si>
  <si>
    <t>Job Type</t>
  </si>
  <si>
    <t>Margin</t>
  </si>
  <si>
    <t>Target Margin</t>
  </si>
  <si>
    <t>A &gt; 1,000,000</t>
  </si>
  <si>
    <t>B &gt; 500,000</t>
  </si>
  <si>
    <t>C &gt; 100,000</t>
  </si>
  <si>
    <t>D &lt; 100,000</t>
  </si>
  <si>
    <t>Total (HST Excluded)</t>
  </si>
  <si>
    <t>Reprographics</t>
  </si>
  <si>
    <t>Windows</t>
  </si>
  <si>
    <t>sub</t>
  </si>
  <si>
    <t>qty</t>
  </si>
  <si>
    <t>unit $</t>
  </si>
  <si>
    <t>ext</t>
  </si>
  <si>
    <t>units</t>
  </si>
  <si>
    <t>Competititors on Bid</t>
  </si>
  <si>
    <t>Preconstruction Costs</t>
  </si>
  <si>
    <t>01 11 00</t>
  </si>
  <si>
    <t>01 31 00</t>
  </si>
  <si>
    <t>Project Management and Coordination</t>
  </si>
  <si>
    <t xml:space="preserve">01 41 00 </t>
  </si>
  <si>
    <t xml:space="preserve">Permits </t>
  </si>
  <si>
    <t>01 51 00</t>
  </si>
  <si>
    <t>Temporary Utilities</t>
  </si>
  <si>
    <t>Construction Facilities</t>
  </si>
  <si>
    <t>01 52 00</t>
  </si>
  <si>
    <t xml:space="preserve">01 54 00 </t>
  </si>
  <si>
    <t>Construction Aids</t>
  </si>
  <si>
    <t>01 56 00</t>
  </si>
  <si>
    <t>Temporary Barriers &amp; Enclosures</t>
  </si>
  <si>
    <t xml:space="preserve">01 74 00 </t>
  </si>
  <si>
    <t>Cleaning &amp; Waste Management</t>
  </si>
  <si>
    <t>Junior Estimator</t>
  </si>
  <si>
    <t>Design Costs</t>
  </si>
  <si>
    <t>Civil</t>
  </si>
  <si>
    <t>Geotechnical</t>
  </si>
  <si>
    <t>Senior Construction Manager</t>
  </si>
  <si>
    <t>Senior Estimator</t>
  </si>
  <si>
    <t>Senior Project Manager</t>
  </si>
  <si>
    <t>Project Superintendent</t>
  </si>
  <si>
    <t>Project Foreman</t>
  </si>
  <si>
    <t>Temporary Power</t>
  </si>
  <si>
    <t>Temporary Fuel Oil</t>
  </si>
  <si>
    <t>Temp HVAC</t>
  </si>
  <si>
    <t>Temporary Internet</t>
  </si>
  <si>
    <t>Temporary Water</t>
  </si>
  <si>
    <t>Temporary Fire Protection</t>
  </si>
  <si>
    <t>Sanitary Facilities</t>
  </si>
  <si>
    <t>Scaffolding / Staging</t>
  </si>
  <si>
    <t>Air/Dust Barriers</t>
  </si>
  <si>
    <t>Temp Barricades</t>
  </si>
  <si>
    <t>Temporary Fencing</t>
  </si>
  <si>
    <t>Progress Cleaning</t>
  </si>
  <si>
    <t>Site Maintenance</t>
  </si>
  <si>
    <t>Construction Waste Mgmt &amp; Disposal</t>
  </si>
  <si>
    <t>01 45 00</t>
  </si>
  <si>
    <t>Quality Control</t>
  </si>
  <si>
    <t>Hazardous Idendification Inspection</t>
  </si>
  <si>
    <t>Construction Field Office</t>
  </si>
  <si>
    <t>Drawing Reprographics</t>
  </si>
  <si>
    <t>First-Aid / Safety</t>
  </si>
  <si>
    <t>Bldg Permit Fees</t>
  </si>
  <si>
    <t>Fire Suppression</t>
  </si>
  <si>
    <t>Division</t>
  </si>
  <si>
    <t>02 00 00</t>
  </si>
  <si>
    <t>02 41 00</t>
  </si>
  <si>
    <t>Existing Conditions</t>
  </si>
  <si>
    <t>02 82 00</t>
  </si>
  <si>
    <t xml:space="preserve">Asbestos Remediation </t>
  </si>
  <si>
    <t>02 83 00</t>
  </si>
  <si>
    <t>03 00 00</t>
  </si>
  <si>
    <t>03 11 00</t>
  </si>
  <si>
    <t xml:space="preserve">Concrete Forming </t>
  </si>
  <si>
    <t xml:space="preserve">Concrete Reinforcing </t>
  </si>
  <si>
    <t>03 20 00</t>
  </si>
  <si>
    <t>03 30 00</t>
  </si>
  <si>
    <t>03 35 00</t>
  </si>
  <si>
    <t>03 40 00</t>
  </si>
  <si>
    <t>03 60 00</t>
  </si>
  <si>
    <t xml:space="preserve">Cast-in-Place Concrete </t>
  </si>
  <si>
    <t xml:space="preserve">Concrete Finishing </t>
  </si>
  <si>
    <t xml:space="preserve">Precast Concrete </t>
  </si>
  <si>
    <t xml:space="preserve">Grouting </t>
  </si>
  <si>
    <t>04 00 00</t>
  </si>
  <si>
    <t>04 20 00</t>
  </si>
  <si>
    <t>04 43 00</t>
  </si>
  <si>
    <t xml:space="preserve">Unit Masonry </t>
  </si>
  <si>
    <t xml:space="preserve">Stone Masonry </t>
  </si>
  <si>
    <t xml:space="preserve">Division </t>
  </si>
  <si>
    <t xml:space="preserve">05 00 00 </t>
  </si>
  <si>
    <t>05 12 00</t>
  </si>
  <si>
    <t>05 20 00</t>
  </si>
  <si>
    <t>05 30 00</t>
  </si>
  <si>
    <t>05 51 00</t>
  </si>
  <si>
    <t>05 52 00</t>
  </si>
  <si>
    <t>05 59 00</t>
  </si>
  <si>
    <t xml:space="preserve">Structural Steel Framing </t>
  </si>
  <si>
    <t xml:space="preserve">Metal Joists </t>
  </si>
  <si>
    <t xml:space="preserve">Metal Decking </t>
  </si>
  <si>
    <t xml:space="preserve">Metal Stairs </t>
  </si>
  <si>
    <t xml:space="preserve">Metal Railings </t>
  </si>
  <si>
    <t xml:space="preserve">Metal Specialties </t>
  </si>
  <si>
    <t>06 00 00</t>
  </si>
  <si>
    <t xml:space="preserve">Wood, Plastics, and Composites </t>
  </si>
  <si>
    <t>06 20 00</t>
  </si>
  <si>
    <t>06 22 00</t>
  </si>
  <si>
    <t>06 41 00</t>
  </si>
  <si>
    <t>Architechtural Wood Casework</t>
  </si>
  <si>
    <t>Wood Paneling</t>
  </si>
  <si>
    <t>06 42 00</t>
  </si>
  <si>
    <t>06 43 00</t>
  </si>
  <si>
    <t>Wood Stairs and Railings</t>
  </si>
  <si>
    <t>06 46 00</t>
  </si>
  <si>
    <t>Wood Trim</t>
  </si>
  <si>
    <t>Wood Frames</t>
  </si>
  <si>
    <t>06 48 00</t>
  </si>
  <si>
    <t>07 00 00</t>
  </si>
  <si>
    <t>07 21 00</t>
  </si>
  <si>
    <t>Thermal Insulation</t>
  </si>
  <si>
    <t>07 21 16</t>
  </si>
  <si>
    <t>07 21 26</t>
  </si>
  <si>
    <t>07 21 29</t>
  </si>
  <si>
    <t>Blanket Insulation</t>
  </si>
  <si>
    <t>Blown Insulation</t>
  </si>
  <si>
    <t>Sprayed Insulation</t>
  </si>
  <si>
    <t>07 24 00</t>
  </si>
  <si>
    <t>EIFS</t>
  </si>
  <si>
    <t xml:space="preserve">07 31 00 </t>
  </si>
  <si>
    <t xml:space="preserve">Shingles </t>
  </si>
  <si>
    <t xml:space="preserve">07 42 00 </t>
  </si>
  <si>
    <t>Wall Panels</t>
  </si>
  <si>
    <t>07 46 00</t>
  </si>
  <si>
    <t>07 52 00</t>
  </si>
  <si>
    <t>Modified Bituminous Membrane Roofing</t>
  </si>
  <si>
    <t>07 53 00</t>
  </si>
  <si>
    <t>Elastomeric Membrane Roofing</t>
  </si>
  <si>
    <t>07 62 00</t>
  </si>
  <si>
    <t>Sheet Metal Flashing and Trim</t>
  </si>
  <si>
    <t>Sheet Metal Roofing Specialties</t>
  </si>
  <si>
    <t>Sheet Metal Wall Cladding</t>
  </si>
  <si>
    <t>07 63 00</t>
  </si>
  <si>
    <t>07 64 00</t>
  </si>
  <si>
    <t>07 72 00</t>
  </si>
  <si>
    <t>Roof Accessories</t>
  </si>
  <si>
    <t>07 72 26</t>
  </si>
  <si>
    <t>07 72 33</t>
  </si>
  <si>
    <t>Ridge Vents</t>
  </si>
  <si>
    <t>Roof Hatches</t>
  </si>
  <si>
    <t>07 81 00</t>
  </si>
  <si>
    <t>Applied Fireproofing</t>
  </si>
  <si>
    <t>07 84 00</t>
  </si>
  <si>
    <t>07 90 00</t>
  </si>
  <si>
    <t>Joint Protection</t>
  </si>
  <si>
    <t>08 00 00</t>
  </si>
  <si>
    <t>Openings</t>
  </si>
  <si>
    <t>08 11 00</t>
  </si>
  <si>
    <t>Metal Doors and Frames</t>
  </si>
  <si>
    <t>08 11 13</t>
  </si>
  <si>
    <t>08 11 16</t>
  </si>
  <si>
    <t>08 14 00</t>
  </si>
  <si>
    <t>Wood Doors</t>
  </si>
  <si>
    <t>08 31 00</t>
  </si>
  <si>
    <t>Access Doors and Panels</t>
  </si>
  <si>
    <t>08 32 00</t>
  </si>
  <si>
    <t>Sliding Gates</t>
  </si>
  <si>
    <t>08 33 00</t>
  </si>
  <si>
    <t>Coiling Doors and Drilles</t>
  </si>
  <si>
    <t>08 34 00</t>
  </si>
  <si>
    <t>Special Function Doors</t>
  </si>
  <si>
    <t>08 38 00</t>
  </si>
  <si>
    <t>08 41 00</t>
  </si>
  <si>
    <t xml:space="preserve">08 44 00 </t>
  </si>
  <si>
    <t>Curtain Wall and Glazed Assemblies</t>
  </si>
  <si>
    <t>08 50 00</t>
  </si>
  <si>
    <t>Metal Windows</t>
  </si>
  <si>
    <t>Plastic Windows</t>
  </si>
  <si>
    <t>Composite Windows</t>
  </si>
  <si>
    <t>08 70 00</t>
  </si>
  <si>
    <t>08 81 00</t>
  </si>
  <si>
    <t>Glass Glazing</t>
  </si>
  <si>
    <t>08 83 00</t>
  </si>
  <si>
    <t>Mirrors</t>
  </si>
  <si>
    <t>08 87 00</t>
  </si>
  <si>
    <t>Glazing Surface Films</t>
  </si>
  <si>
    <t>08 91 00</t>
  </si>
  <si>
    <t>Louvers</t>
  </si>
  <si>
    <t>09 00 00</t>
  </si>
  <si>
    <t>09 20 00</t>
  </si>
  <si>
    <t>Plaster and Gypsum Board</t>
  </si>
  <si>
    <t>09 30 00</t>
  </si>
  <si>
    <t>Tiling</t>
  </si>
  <si>
    <t>09 50 00</t>
  </si>
  <si>
    <t>Ceiling</t>
  </si>
  <si>
    <t>09 60 00</t>
  </si>
  <si>
    <t>09 61 00</t>
  </si>
  <si>
    <t>09 62 00</t>
  </si>
  <si>
    <t>Specialty Flooring</t>
  </si>
  <si>
    <t>09 64 00</t>
  </si>
  <si>
    <t>09 65 00</t>
  </si>
  <si>
    <t>09 67 00</t>
  </si>
  <si>
    <t>09 68 00</t>
  </si>
  <si>
    <t>09 72 00</t>
  </si>
  <si>
    <t>09 91 00</t>
  </si>
  <si>
    <t>09 91 13</t>
  </si>
  <si>
    <t>09 91 23</t>
  </si>
  <si>
    <t>10 00 00</t>
  </si>
  <si>
    <t xml:space="preserve">10 11 00 </t>
  </si>
  <si>
    <t>Visual Display Units</t>
  </si>
  <si>
    <t>10 14 00</t>
  </si>
  <si>
    <t>Signage</t>
  </si>
  <si>
    <t>10 20 00</t>
  </si>
  <si>
    <t>Interior Specialties</t>
  </si>
  <si>
    <t>10 21 00</t>
  </si>
  <si>
    <t>10 21 13</t>
  </si>
  <si>
    <t>Toilet Compartments</t>
  </si>
  <si>
    <t>10 22 00</t>
  </si>
  <si>
    <t>Partitions</t>
  </si>
  <si>
    <t>10 22 19</t>
  </si>
  <si>
    <t>Demountable Partitions</t>
  </si>
  <si>
    <t>10 22 39</t>
  </si>
  <si>
    <t>Folding Panel Partitions</t>
  </si>
  <si>
    <t>Sliding Partions</t>
  </si>
  <si>
    <t>10 22 43</t>
  </si>
  <si>
    <t>10 28 00</t>
  </si>
  <si>
    <t>Toilet , Bath, and Laundry Accessories</t>
  </si>
  <si>
    <t xml:space="preserve">10 44 00 </t>
  </si>
  <si>
    <t>Fire Protection Specialties</t>
  </si>
  <si>
    <t>10 44 16</t>
  </si>
  <si>
    <t>10 51 00</t>
  </si>
  <si>
    <t>10 57 00</t>
  </si>
  <si>
    <t>Wardrobe and Closet Specialties</t>
  </si>
  <si>
    <t>10 70 00</t>
  </si>
  <si>
    <t>Exterior Specialties</t>
  </si>
  <si>
    <t>10 73 00</t>
  </si>
  <si>
    <t>Protective Covers</t>
  </si>
  <si>
    <t>10 73 16</t>
  </si>
  <si>
    <t>Canopies</t>
  </si>
  <si>
    <t>10 75 00</t>
  </si>
  <si>
    <t>Flagpoles</t>
  </si>
  <si>
    <t>11 00 00</t>
  </si>
  <si>
    <t>11 11 00</t>
  </si>
  <si>
    <t>Vehicle Service Equipment</t>
  </si>
  <si>
    <t>11 13 00</t>
  </si>
  <si>
    <t>Loading Dock Equipment</t>
  </si>
  <si>
    <t>11 30 00</t>
  </si>
  <si>
    <t>Residential Equipment</t>
  </si>
  <si>
    <t>11 30 13</t>
  </si>
  <si>
    <t>Residential Appliances</t>
  </si>
  <si>
    <t>11 41 00</t>
  </si>
  <si>
    <t>Food Storage Equipment</t>
  </si>
  <si>
    <t>11 41 23</t>
  </si>
  <si>
    <t>Walk-In Coolers</t>
  </si>
  <si>
    <t>11 48 00</t>
  </si>
  <si>
    <t>Food service Cleaning and Disposal Equipment</t>
  </si>
  <si>
    <t>11 48 13</t>
  </si>
  <si>
    <t>Commercial Dishwasher</t>
  </si>
  <si>
    <t>11 52 00</t>
  </si>
  <si>
    <t>Audio-Visual Equipment</t>
  </si>
  <si>
    <t>11 53 00</t>
  </si>
  <si>
    <t>Laboratory Equipment</t>
  </si>
  <si>
    <t>12 00 00</t>
  </si>
  <si>
    <t xml:space="preserve">12 20 00 </t>
  </si>
  <si>
    <t>Window Treatments</t>
  </si>
  <si>
    <t>12 21 00</t>
  </si>
  <si>
    <t>Window Blinds</t>
  </si>
  <si>
    <t>12 30 00</t>
  </si>
  <si>
    <t>Casework</t>
  </si>
  <si>
    <t>12 32 00</t>
  </si>
  <si>
    <t>12 35 00</t>
  </si>
  <si>
    <t>Manufactured Wood Casework</t>
  </si>
  <si>
    <t>Specialty Casework</t>
  </si>
  <si>
    <t>Countertops</t>
  </si>
  <si>
    <t>12 36 00</t>
  </si>
  <si>
    <t>13 00 00</t>
  </si>
  <si>
    <t>14 00 00</t>
  </si>
  <si>
    <t>Conveying Equipment</t>
  </si>
  <si>
    <t>14 20 00</t>
  </si>
  <si>
    <t>14 40 00</t>
  </si>
  <si>
    <t>Wheelchair Lifts</t>
  </si>
  <si>
    <t>14 42 00</t>
  </si>
  <si>
    <t>21 00 00</t>
  </si>
  <si>
    <t>21 10 00</t>
  </si>
  <si>
    <t>Water-Based Fire-Suppression System</t>
  </si>
  <si>
    <t>22 00 00</t>
  </si>
  <si>
    <t>22 10 00</t>
  </si>
  <si>
    <t>Plumbing Piping</t>
  </si>
  <si>
    <t>22 30 00</t>
  </si>
  <si>
    <t>Plumbing Equipment</t>
  </si>
  <si>
    <t>22 33 00</t>
  </si>
  <si>
    <t>Electric Domestic Water Heaters</t>
  </si>
  <si>
    <t>22 34 00</t>
  </si>
  <si>
    <t>Fuel-Fired Domestic Water Heaters</t>
  </si>
  <si>
    <t>22 40 00</t>
  </si>
  <si>
    <t>Plumbing Fixtures</t>
  </si>
  <si>
    <t>22 42 00</t>
  </si>
  <si>
    <t>Commercial Plumbing Fixtures</t>
  </si>
  <si>
    <t>Commercial Urinals</t>
  </si>
  <si>
    <t xml:space="preserve">Commercial Lavatories and Sinks </t>
  </si>
  <si>
    <t>Commercial Lavatories</t>
  </si>
  <si>
    <t>Commercial Sinks</t>
  </si>
  <si>
    <t>Commercial Bathtubs</t>
  </si>
  <si>
    <t>Commercial Showers</t>
  </si>
  <si>
    <t>Commercial Disposers</t>
  </si>
  <si>
    <t>Shampoo Bowls</t>
  </si>
  <si>
    <t>Wash Fountains</t>
  </si>
  <si>
    <t>Commercial Laundry Trays</t>
  </si>
  <si>
    <t xml:space="preserve">Commercial Faucets, Supplies, and Trim Flushometers </t>
  </si>
  <si>
    <t>Commercial Water Closets</t>
  </si>
  <si>
    <t>Flushometers</t>
  </si>
  <si>
    <t>22 42 13</t>
  </si>
  <si>
    <t>22 42 13.13</t>
  </si>
  <si>
    <t>22 42 13.16</t>
  </si>
  <si>
    <t>22 42 16</t>
  </si>
  <si>
    <t>22 42 16.13</t>
  </si>
  <si>
    <t>22 42 16.16</t>
  </si>
  <si>
    <t>22 42 19</t>
  </si>
  <si>
    <t>22 42 23</t>
  </si>
  <si>
    <t>22 42 26</t>
  </si>
  <si>
    <t>22 42 29</t>
  </si>
  <si>
    <t>22 42 33</t>
  </si>
  <si>
    <t>22 42 36</t>
  </si>
  <si>
    <t>22 42 39</t>
  </si>
  <si>
    <t>22 42 43</t>
  </si>
  <si>
    <t>22 45 00</t>
  </si>
  <si>
    <t>Emergency Plumbing Fixtures</t>
  </si>
  <si>
    <t>22 45 13</t>
  </si>
  <si>
    <t>22 45 16</t>
  </si>
  <si>
    <t>Emergency Showers</t>
  </si>
  <si>
    <t>Eyewash Station</t>
  </si>
  <si>
    <t>22 47 00</t>
  </si>
  <si>
    <t>Drinking Fountains and Water Coolers</t>
  </si>
  <si>
    <t>23 00 00</t>
  </si>
  <si>
    <t>Heating, Ventilating, and Air Conditioning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</si>
  <si>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</si>
  <si>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</si>
  <si>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</si>
  <si>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</si>
  <si>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</si>
  <si>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</si>
  <si>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</si>
  <si>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</t>
  </si>
  <si>
    <t>23 11 23</t>
  </si>
  <si>
    <t>Facility Natural Gas Piping</t>
  </si>
  <si>
    <t>23 13 00</t>
  </si>
  <si>
    <t>Facility Fuel Storage</t>
  </si>
  <si>
    <t>23 20 00</t>
  </si>
  <si>
    <t>HVAC Piping and Pumps</t>
  </si>
  <si>
    <t>23 23 00</t>
  </si>
  <si>
    <t>Refrigerant Piping</t>
  </si>
  <si>
    <t>23 30 00</t>
  </si>
  <si>
    <t>HVAC Air Distribution</t>
  </si>
  <si>
    <t>HVAC Ducts and Casings</t>
  </si>
  <si>
    <t>23 31 00</t>
  </si>
  <si>
    <t>23 31 12</t>
  </si>
  <si>
    <t>Metal Ducts</t>
  </si>
  <si>
    <t>23 31 12.13</t>
  </si>
  <si>
    <t>Rectangular Metal Ducts</t>
  </si>
  <si>
    <t>23 31 12.16</t>
  </si>
  <si>
    <t>Round and Flat-Oval Spiral Ducts</t>
  </si>
  <si>
    <t>23 33 00</t>
  </si>
  <si>
    <t>Air Duct Accessories</t>
  </si>
  <si>
    <t>23 33 46</t>
  </si>
  <si>
    <t>Flexible Ducts</t>
  </si>
  <si>
    <t>23 34 00</t>
  </si>
  <si>
    <t>HVAC Fans</t>
  </si>
  <si>
    <t>23 38 00</t>
  </si>
  <si>
    <t>Ventilation Hoods</t>
  </si>
  <si>
    <t xml:space="preserve">23 70 00 </t>
  </si>
  <si>
    <t>Central HVAC Equipment</t>
  </si>
  <si>
    <t>23 74 00</t>
  </si>
  <si>
    <t>Packaged Outdoor HVAC Equipment</t>
  </si>
  <si>
    <t>23 83 00</t>
  </si>
  <si>
    <t>Radiant Heating Units</t>
  </si>
  <si>
    <t>23 84 00</t>
  </si>
  <si>
    <t>Humidity Control Equipment</t>
  </si>
  <si>
    <t>25 00 00</t>
  </si>
  <si>
    <t>Integrated Automation</t>
  </si>
  <si>
    <t>26 00 00</t>
  </si>
  <si>
    <t>26 09 00</t>
  </si>
  <si>
    <t>Instrumentation and Controls for Electrical Systems</t>
  </si>
  <si>
    <t>26 10 00</t>
  </si>
  <si>
    <t>Medium-Voltage Electrical Distribution</t>
  </si>
  <si>
    <t>26 11 00</t>
  </si>
  <si>
    <t>Substations</t>
  </si>
  <si>
    <t>26 12 00</t>
  </si>
  <si>
    <t>Medium Voltage Transformer</t>
  </si>
  <si>
    <t>26 13 00</t>
  </si>
  <si>
    <t>Medium Voltage Switchgear</t>
  </si>
  <si>
    <t>26 16 00</t>
  </si>
  <si>
    <t>Medium-Voltage Metering</t>
  </si>
  <si>
    <t>Medium-Voltage Circuit Protection Devices</t>
  </si>
  <si>
    <t>26 18 00</t>
  </si>
  <si>
    <t>26 50 00</t>
  </si>
  <si>
    <t>26 51 00</t>
  </si>
  <si>
    <t>26 52 00</t>
  </si>
  <si>
    <t>Exterior Lighting</t>
  </si>
  <si>
    <t>Safety Lighting</t>
  </si>
  <si>
    <t>26 56 00</t>
  </si>
  <si>
    <t>27 00 00</t>
  </si>
  <si>
    <t>Communications</t>
  </si>
  <si>
    <t>27 10 00</t>
  </si>
  <si>
    <t>Structured Cabling</t>
  </si>
  <si>
    <t>27 20 00</t>
  </si>
  <si>
    <t>Data Communications</t>
  </si>
  <si>
    <t>27 21 00</t>
  </si>
  <si>
    <t>Data Communications Network Equipment</t>
  </si>
  <si>
    <t xml:space="preserve">27 22 00 </t>
  </si>
  <si>
    <t>Data Communications Hardware</t>
  </si>
  <si>
    <t>27 30 00</t>
  </si>
  <si>
    <t>Voice Communications</t>
  </si>
  <si>
    <t>27 40 00</t>
  </si>
  <si>
    <t>Audio-Voice Communications</t>
  </si>
  <si>
    <t>27 50 00</t>
  </si>
  <si>
    <t>Distributed Communications and Monitoring Systems</t>
  </si>
  <si>
    <t>28 00 00</t>
  </si>
  <si>
    <t>Electronic Safety and Security</t>
  </si>
  <si>
    <t>28 10 00</t>
  </si>
  <si>
    <t>Access Control</t>
  </si>
  <si>
    <t>28 15 00</t>
  </si>
  <si>
    <t>Access Control Hardware Devices</t>
  </si>
  <si>
    <t>28 20 00</t>
  </si>
  <si>
    <t>Video Surveillance</t>
  </si>
  <si>
    <t>28 30 00</t>
  </si>
  <si>
    <t>Security Detection, Aarm, and Monitoring</t>
  </si>
  <si>
    <t>28 40 00</t>
  </si>
  <si>
    <t>28 46 00</t>
  </si>
  <si>
    <t>Life Safety</t>
  </si>
  <si>
    <t>Fire Detection and Alarm</t>
  </si>
  <si>
    <t>31 00 00</t>
  </si>
  <si>
    <t>Earthwork</t>
  </si>
  <si>
    <t>31 10 00</t>
  </si>
  <si>
    <t>Site Clearing</t>
  </si>
  <si>
    <t>Clearing and Grubbing</t>
  </si>
  <si>
    <t>31 11 00</t>
  </si>
  <si>
    <t>31 20 00</t>
  </si>
  <si>
    <t>Earth Moving</t>
  </si>
  <si>
    <t>31 22 00</t>
  </si>
  <si>
    <t>Grading</t>
  </si>
  <si>
    <t>Rough Grading</t>
  </si>
  <si>
    <t>Fine Grading</t>
  </si>
  <si>
    <t>31 22 13</t>
  </si>
  <si>
    <t>31 22 16</t>
  </si>
  <si>
    <t>31 23 00</t>
  </si>
  <si>
    <t>Excavation and Fill</t>
  </si>
  <si>
    <t>Trenching</t>
  </si>
  <si>
    <t>Structural Excavation for Minor Structures</t>
  </si>
  <si>
    <t xml:space="preserve">Rock Removal </t>
  </si>
  <si>
    <t>Dewatering</t>
  </si>
  <si>
    <t>Backfill</t>
  </si>
  <si>
    <t>Geofoam</t>
  </si>
  <si>
    <t>Trenching and Backfilling</t>
  </si>
  <si>
    <t>31 23 16</t>
  </si>
  <si>
    <t>31 23 16.13</t>
  </si>
  <si>
    <t>31 23 16.16</t>
  </si>
  <si>
    <t>31 23 16.26</t>
  </si>
  <si>
    <t>31 23 19</t>
  </si>
  <si>
    <t>31 23 23</t>
  </si>
  <si>
    <t>31 23 23.13</t>
  </si>
  <si>
    <t>31 23 23.23</t>
  </si>
  <si>
    <t>31 23 23.33</t>
  </si>
  <si>
    <t>31 23 23.43</t>
  </si>
  <si>
    <t>31 23 33</t>
  </si>
  <si>
    <t>31 25 00</t>
  </si>
  <si>
    <t>Erosion nd Sedimentation Controls</t>
  </si>
  <si>
    <t>Riprap</t>
  </si>
  <si>
    <t>31 37 00</t>
  </si>
  <si>
    <t>31 70 00</t>
  </si>
  <si>
    <t>Tunneling</t>
  </si>
  <si>
    <t>32 00 00</t>
  </si>
  <si>
    <t>Exterior Improvements</t>
  </si>
  <si>
    <t xml:space="preserve">32 10 00 </t>
  </si>
  <si>
    <t>Bases, Ballasts, and Paving</t>
  </si>
  <si>
    <t>Base Course</t>
  </si>
  <si>
    <t>32 11 00</t>
  </si>
  <si>
    <t>32 12 00</t>
  </si>
  <si>
    <t>Flexible Paving</t>
  </si>
  <si>
    <t>Unit Paving</t>
  </si>
  <si>
    <t>32 14 00</t>
  </si>
  <si>
    <t>32 16 00</t>
  </si>
  <si>
    <t>Curbs, Gutters, Sidewalks, and Driveways</t>
  </si>
  <si>
    <t>32 16 13</t>
  </si>
  <si>
    <t>32 16 13.13</t>
  </si>
  <si>
    <t>32 16 13.16</t>
  </si>
  <si>
    <t>32 16 13.23</t>
  </si>
  <si>
    <t>32 16 13.33</t>
  </si>
  <si>
    <t>32 16 13.43</t>
  </si>
  <si>
    <t>32 16 23</t>
  </si>
  <si>
    <t>32 16 33</t>
  </si>
  <si>
    <t>Asphalt Curbs</t>
  </si>
  <si>
    <t>Steel Faced Curbs</t>
  </si>
  <si>
    <t>Cast-In-Place Concrete Curbs and Gutters</t>
  </si>
  <si>
    <t>Curbs and Gutters</t>
  </si>
  <si>
    <t>32 17 00</t>
  </si>
  <si>
    <t>Paving Specialties</t>
  </si>
  <si>
    <t>Parking Bumpers</t>
  </si>
  <si>
    <t>Pavement Markings</t>
  </si>
  <si>
    <t>32 17 23</t>
  </si>
  <si>
    <t>32 17 13</t>
  </si>
  <si>
    <t>32 30 00</t>
  </si>
  <si>
    <t>Site Improvements</t>
  </si>
  <si>
    <t>32 31 00</t>
  </si>
  <si>
    <t>Fences and Gates</t>
  </si>
  <si>
    <t>32 32 00</t>
  </si>
  <si>
    <t>Retaining Walls</t>
  </si>
  <si>
    <t>32 33 00</t>
  </si>
  <si>
    <t>Site Furnishing</t>
  </si>
  <si>
    <t>Site Trash and Litter Receptacles</t>
  </si>
  <si>
    <t>32 33 23</t>
  </si>
  <si>
    <t>32 90 00</t>
  </si>
  <si>
    <t>Planting</t>
  </si>
  <si>
    <t>32 91 00</t>
  </si>
  <si>
    <t>Planting Preparation</t>
  </si>
  <si>
    <t>32 92 00</t>
  </si>
  <si>
    <t>Turf and Grasses</t>
  </si>
  <si>
    <t>Plants</t>
  </si>
  <si>
    <t>32 93 00</t>
  </si>
  <si>
    <t>33 00 00</t>
  </si>
  <si>
    <t>Utilities</t>
  </si>
  <si>
    <t>33 10 00</t>
  </si>
  <si>
    <t>Water Utilities</t>
  </si>
  <si>
    <t>Groundwater Sources</t>
  </si>
  <si>
    <t>33 11 00</t>
  </si>
  <si>
    <t>33 14 00</t>
  </si>
  <si>
    <t>Water Utility Transmission and Distribution</t>
  </si>
  <si>
    <t>33 30 00</t>
  </si>
  <si>
    <t>Sanitary Sewerage</t>
  </si>
  <si>
    <t>Sanitary Sewerage Piping</t>
  </si>
  <si>
    <t>33 31 00</t>
  </si>
  <si>
    <t>33 32 00</t>
  </si>
  <si>
    <t>Sanitary Sewerage Equipment</t>
  </si>
  <si>
    <t>33 40 00</t>
  </si>
  <si>
    <t>Stormwater Utilities</t>
  </si>
  <si>
    <t>33 41 00</t>
  </si>
  <si>
    <t>Subdrainage</t>
  </si>
  <si>
    <t>Foundation Drainage</t>
  </si>
  <si>
    <t>33 41 13</t>
  </si>
  <si>
    <t>33 42 00</t>
  </si>
  <si>
    <t>Stormwater Conveyance</t>
  </si>
  <si>
    <t>33 46 00</t>
  </si>
  <si>
    <t>Stormwater Management</t>
  </si>
  <si>
    <t>33 70 00</t>
  </si>
  <si>
    <t>Electrical Utilities</t>
  </si>
  <si>
    <t>33 71 00</t>
  </si>
  <si>
    <t>Electrical Utilities Transmission and Distribution</t>
  </si>
  <si>
    <t>33 71 19</t>
  </si>
  <si>
    <t>Electrical Underground Ducts, Ductbanks, and Manholes</t>
  </si>
  <si>
    <t>Sq. Ft.</t>
  </si>
  <si>
    <t>Area:</t>
  </si>
  <si>
    <t>01 11 13</t>
  </si>
  <si>
    <t>01 11 16</t>
  </si>
  <si>
    <t>01 11 23</t>
  </si>
  <si>
    <t>01 11 26</t>
  </si>
  <si>
    <t>01 11 19</t>
  </si>
  <si>
    <t>01 11 26.13</t>
  </si>
  <si>
    <t>01 11 26.16</t>
  </si>
  <si>
    <t>01 11 26.19</t>
  </si>
  <si>
    <t>01 11 26.23</t>
  </si>
  <si>
    <t>01 11 26.26</t>
  </si>
  <si>
    <t>01 11 26.29</t>
  </si>
  <si>
    <t>01 11 26.33</t>
  </si>
  <si>
    <t>Materials &amp; Equipment</t>
  </si>
  <si>
    <t>Labor Total</t>
  </si>
  <si>
    <t>Material Total</t>
  </si>
  <si>
    <t>Quote</t>
  </si>
  <si>
    <t>Thermal &amp; Moisture Protection</t>
  </si>
  <si>
    <t>Specalties</t>
  </si>
  <si>
    <t>Furnishing</t>
  </si>
  <si>
    <t>TOTAL DIVISION 11</t>
  </si>
  <si>
    <t>TOTAL DIVISION 12</t>
  </si>
  <si>
    <t>TOTAL DIVISION 14</t>
  </si>
  <si>
    <t>TOTAL DIVISION 13</t>
  </si>
  <si>
    <t>TOTAL DIVISION 22</t>
  </si>
  <si>
    <t>TOTAL DIVISION 21</t>
  </si>
  <si>
    <t>TOTAL DIVISION 33</t>
  </si>
  <si>
    <t>TOTAL DIVISION 32</t>
  </si>
  <si>
    <t>TOTAL DIVISION 31</t>
  </si>
  <si>
    <t>TOTAL DIVISION 28</t>
  </si>
  <si>
    <t>TOTAL DIVISION 27</t>
  </si>
  <si>
    <t>TOTAL DIVISION 26</t>
  </si>
  <si>
    <t>TOTAL DIVISION 25</t>
  </si>
  <si>
    <t>TOTAL DIVISION 23</t>
  </si>
  <si>
    <t>Compartments and Cubicles</t>
  </si>
  <si>
    <t xml:space="preserve">Commercial Water Closets, Urinals, and Bidets </t>
  </si>
  <si>
    <t>Facility Fuel piping</t>
  </si>
  <si>
    <t>23 11 00</t>
  </si>
  <si>
    <t>26 09 13</t>
  </si>
  <si>
    <t>%</t>
  </si>
  <si>
    <t>Total Hours</t>
  </si>
  <si>
    <t>Contractor Total</t>
  </si>
  <si>
    <t>01 00 00</t>
  </si>
  <si>
    <t>Fee</t>
  </si>
  <si>
    <t>04 40 00</t>
  </si>
  <si>
    <t>Stone Assemblies</t>
  </si>
  <si>
    <t>05 50 00</t>
  </si>
  <si>
    <t>Metal Fabrications</t>
  </si>
  <si>
    <t>06 40 00</t>
  </si>
  <si>
    <t>Architectural Woodwork</t>
  </si>
  <si>
    <t>07 50 00</t>
  </si>
  <si>
    <t>Flashing and Sheet Metal</t>
  </si>
  <si>
    <t>07 60 00</t>
  </si>
  <si>
    <t>07 80 00</t>
  </si>
  <si>
    <t>Smoke and Fire Protection</t>
  </si>
  <si>
    <t>08 10 00</t>
  </si>
  <si>
    <t>Doors and Frames</t>
  </si>
  <si>
    <t>08 30 00</t>
  </si>
  <si>
    <t>Speciality Doors and Frames</t>
  </si>
  <si>
    <t>08 40 00</t>
  </si>
  <si>
    <t>Store Fronts and Curtainwalls</t>
  </si>
  <si>
    <t>08 80 00</t>
  </si>
  <si>
    <t>08 90 00</t>
  </si>
  <si>
    <t>Hardeware</t>
  </si>
  <si>
    <t>09 70 00</t>
  </si>
  <si>
    <t>Wall Finishes</t>
  </si>
  <si>
    <t>09 90 00</t>
  </si>
  <si>
    <t>Safety Specialties</t>
  </si>
  <si>
    <t>10 40 00</t>
  </si>
  <si>
    <t>10 50 00</t>
  </si>
  <si>
    <t>Storage Specialties</t>
  </si>
  <si>
    <t>Vehicle Equipment</t>
  </si>
  <si>
    <t>11 10 00</t>
  </si>
  <si>
    <t>11 40 00</t>
  </si>
  <si>
    <t>11 50 00</t>
  </si>
  <si>
    <t>Educational &amp; Lab Equipment</t>
  </si>
  <si>
    <t>23 80 00</t>
  </si>
  <si>
    <t>Decentralized HVAC Equipment</t>
  </si>
  <si>
    <t>Electrical Distribution</t>
  </si>
  <si>
    <t>31 30 00</t>
  </si>
  <si>
    <t>Earthwork Methods</t>
  </si>
  <si>
    <t>06 11 00</t>
  </si>
  <si>
    <t>Framing</t>
  </si>
  <si>
    <t>Travel</t>
  </si>
  <si>
    <t>Hotel</t>
  </si>
  <si>
    <t>foreman - Mondays</t>
  </si>
  <si>
    <t>foreman: Tues to Thurs</t>
  </si>
  <si>
    <t>foreman: Fridays</t>
  </si>
  <si>
    <t>SF</t>
  </si>
  <si>
    <t>Week</t>
  </si>
  <si>
    <t>Ea</t>
  </si>
  <si>
    <t>Allow</t>
  </si>
  <si>
    <t>Month</t>
  </si>
  <si>
    <t>Province</t>
  </si>
  <si>
    <t>City/Town</t>
  </si>
  <si>
    <t>Estimate Name</t>
  </si>
  <si>
    <t>Area</t>
  </si>
  <si>
    <t>Estimate Price</t>
  </si>
  <si>
    <t>Cost per Week</t>
  </si>
  <si>
    <t>Buyouts</t>
  </si>
  <si>
    <t>CO's</t>
  </si>
  <si>
    <t>Project Information</t>
  </si>
  <si>
    <t>Contract Type</t>
  </si>
  <si>
    <t>Payment Method</t>
  </si>
  <si>
    <t>Project Coordinator</t>
  </si>
  <si>
    <t>Status</t>
  </si>
  <si>
    <t>Bid Docs</t>
  </si>
  <si>
    <t>Rate</t>
  </si>
  <si>
    <t>ft</t>
  </si>
  <si>
    <t>ea</t>
  </si>
  <si>
    <t>Insulation</t>
  </si>
  <si>
    <t>L/Hour</t>
  </si>
  <si>
    <t>Hours</t>
  </si>
  <si>
    <t>Winter Conditions</t>
  </si>
  <si>
    <t>L</t>
  </si>
  <si>
    <t>Months</t>
  </si>
  <si>
    <t>United Rentals</t>
  </si>
  <si>
    <t>Frost Fighters</t>
  </si>
  <si>
    <t>month</t>
  </si>
  <si>
    <t>9.1 litres / hour</t>
  </si>
  <si>
    <t>Tarps (10)</t>
  </si>
  <si>
    <t>Fans</t>
  </si>
  <si>
    <t>Fuel Cube</t>
  </si>
  <si>
    <t>Litres/day</t>
  </si>
  <si>
    <t>Days</t>
  </si>
  <si>
    <t>Fuel</t>
  </si>
  <si>
    <t>litre</t>
  </si>
  <si>
    <t>Delivery</t>
  </si>
  <si>
    <t>Pickup</t>
  </si>
  <si>
    <t>Snow removal</t>
  </si>
  <si>
    <t>Cost</t>
  </si>
  <si>
    <t>Quantity</t>
  </si>
  <si>
    <t>Budget Year</t>
  </si>
  <si>
    <t>Date:</t>
  </si>
  <si>
    <t xml:space="preserve">02 82 00 </t>
  </si>
  <si>
    <t>Asbestos Remediation</t>
  </si>
  <si>
    <t>Sanitary Trenching</t>
  </si>
  <si>
    <t>Conduit Trenching</t>
  </si>
  <si>
    <t>Sub Contractor</t>
  </si>
  <si>
    <t>Quote Total</t>
  </si>
  <si>
    <t>Additional Quote Info</t>
  </si>
  <si>
    <t>Comparable Project</t>
  </si>
  <si>
    <t>Sub Contractor Cost</t>
  </si>
  <si>
    <t>A</t>
  </si>
  <si>
    <t>B</t>
  </si>
  <si>
    <t>Piers</t>
  </si>
  <si>
    <t>Rebar</t>
  </si>
  <si>
    <t>Mesh</t>
  </si>
  <si>
    <t xml:space="preserve">06 11 00 </t>
  </si>
  <si>
    <t>01 31 01</t>
  </si>
  <si>
    <t>01 31 02</t>
  </si>
  <si>
    <t>01 31 03</t>
  </si>
  <si>
    <t>01 31 05</t>
  </si>
  <si>
    <t>01 31 04</t>
  </si>
  <si>
    <t>01 31 06</t>
  </si>
  <si>
    <t>01 32 00</t>
  </si>
  <si>
    <t>PM KM</t>
  </si>
  <si>
    <t>Superintendent KM</t>
  </si>
  <si>
    <t>Frequency</t>
  </si>
  <si>
    <t>Distance (Round Trip)</t>
  </si>
  <si>
    <t>Toll Cost</t>
  </si>
  <si>
    <t>Per Diem</t>
  </si>
  <si>
    <t>01 55 00</t>
  </si>
  <si>
    <t>Quantity of Fuel</t>
  </si>
  <si>
    <t>Tank Size</t>
  </si>
  <si>
    <t>L/Hr</t>
  </si>
  <si>
    <t>Litres / Day</t>
  </si>
  <si>
    <t>Duration (Days)</t>
  </si>
  <si>
    <t>Running (Hours / Day)</t>
  </si>
  <si>
    <t>m3</t>
  </si>
  <si>
    <t>D</t>
  </si>
  <si>
    <t>01 74 01</t>
  </si>
  <si>
    <t>01 74 02</t>
  </si>
  <si>
    <t>01 74 03</t>
  </si>
  <si>
    <t>01 74 04</t>
  </si>
  <si>
    <t>Moncton</t>
  </si>
  <si>
    <t>Saint John</t>
  </si>
  <si>
    <t xml:space="preserve">Fredericton </t>
  </si>
  <si>
    <t>Halifax</t>
  </si>
  <si>
    <t>/$1000</t>
  </si>
  <si>
    <t>Dieppe</t>
  </si>
  <si>
    <t>01 56 01</t>
  </si>
  <si>
    <t>01 56 02</t>
  </si>
  <si>
    <t>01 56 03</t>
  </si>
  <si>
    <t>01 56 04</t>
  </si>
  <si>
    <t>01 55 01</t>
  </si>
  <si>
    <t>01 55 02</t>
  </si>
  <si>
    <t>01 55 03</t>
  </si>
  <si>
    <t>01 55 04</t>
  </si>
  <si>
    <t>01 55 05</t>
  </si>
  <si>
    <t>01 55 06</t>
  </si>
  <si>
    <t>01 55 07</t>
  </si>
  <si>
    <t>01 54 01</t>
  </si>
  <si>
    <t>01 54 02</t>
  </si>
  <si>
    <t>01 54 03</t>
  </si>
  <si>
    <t>01 52 01</t>
  </si>
  <si>
    <t>01 52 02</t>
  </si>
  <si>
    <t>01 52 03</t>
  </si>
  <si>
    <t>01 52 04</t>
  </si>
  <si>
    <t>01 52 05</t>
  </si>
  <si>
    <t xml:space="preserve">01 51 01 </t>
  </si>
  <si>
    <t xml:space="preserve">01 51 02 </t>
  </si>
  <si>
    <t>01 51 03</t>
  </si>
  <si>
    <t>01 51 04</t>
  </si>
  <si>
    <t>01 51 05</t>
  </si>
  <si>
    <t>01 51 06</t>
  </si>
  <si>
    <t>01 51 07</t>
  </si>
  <si>
    <t>01 45 01</t>
  </si>
  <si>
    <t>01 45 02</t>
  </si>
  <si>
    <t>01 45 03</t>
  </si>
  <si>
    <t>01 45 04</t>
  </si>
  <si>
    <t>01 45 05</t>
  </si>
  <si>
    <t>01 41 00</t>
  </si>
  <si>
    <t>rolls</t>
  </si>
  <si>
    <t>sheet</t>
  </si>
  <si>
    <t>Contractor Quote</t>
  </si>
  <si>
    <t>03 11 01</t>
  </si>
  <si>
    <t>03 11 02.1</t>
  </si>
  <si>
    <t>03 11 02.2</t>
  </si>
  <si>
    <t>03 11 02.3</t>
  </si>
  <si>
    <t>03 20 02</t>
  </si>
  <si>
    <t>03 20 01</t>
  </si>
  <si>
    <t>03 20 03</t>
  </si>
  <si>
    <t>03 30 01</t>
  </si>
  <si>
    <t>03 30 02</t>
  </si>
  <si>
    <t>03 30 03</t>
  </si>
  <si>
    <t>03 30 04</t>
  </si>
  <si>
    <t>Exterior Concrete Volume</t>
  </si>
  <si>
    <t>Budget Year :</t>
  </si>
  <si>
    <t>Status :</t>
  </si>
  <si>
    <t>Bid Documents :</t>
  </si>
  <si>
    <t>Estimate Name :</t>
  </si>
  <si>
    <t>Client :</t>
  </si>
  <si>
    <t>Contract Type :</t>
  </si>
  <si>
    <t>Payment Method :</t>
  </si>
  <si>
    <t>Province :</t>
  </si>
  <si>
    <t>City/Town :</t>
  </si>
  <si>
    <t>Framing Materials</t>
  </si>
  <si>
    <t>Framing Labour</t>
  </si>
  <si>
    <t>2x8</t>
  </si>
  <si>
    <t>2x4 Stud</t>
  </si>
  <si>
    <t>2x6 Stud</t>
  </si>
  <si>
    <t>2x10</t>
  </si>
  <si>
    <t xml:space="preserve">1x3 </t>
  </si>
  <si>
    <t>1x4</t>
  </si>
  <si>
    <t>PLYWOOD</t>
  </si>
  <si>
    <t>1/2" Standard</t>
  </si>
  <si>
    <t>EA</t>
  </si>
  <si>
    <t>5/8" Standard</t>
  </si>
  <si>
    <t>3/4" Standard</t>
  </si>
  <si>
    <t>5/8" OSB T&amp;G</t>
  </si>
  <si>
    <t>Concrete Floor Polishing</t>
  </si>
  <si>
    <t>VCT</t>
  </si>
  <si>
    <t>LVT</t>
  </si>
  <si>
    <t>Carpet Tile</t>
  </si>
  <si>
    <t>"+ Development Fee</t>
  </si>
  <si>
    <t>$100 &lt;$500k, $150 $500k to 1M, $300 1M - 5 M, $500 &gt; 5M</t>
  </si>
  <si>
    <t>Framing Material</t>
  </si>
  <si>
    <t>Foundation Materials</t>
  </si>
  <si>
    <t>03 60 01</t>
  </si>
  <si>
    <t>03 60 02</t>
  </si>
  <si>
    <t>Sub - Division</t>
  </si>
  <si>
    <t>Discription</t>
  </si>
  <si>
    <t>Rentals</t>
  </si>
  <si>
    <t>Insurance</t>
  </si>
  <si>
    <t>Quarter</t>
  </si>
  <si>
    <t>Project Definition</t>
  </si>
  <si>
    <t>Contract  Type</t>
  </si>
  <si>
    <t>Q1</t>
  </si>
  <si>
    <t>NB</t>
  </si>
  <si>
    <t>CCDC 2</t>
  </si>
  <si>
    <t>Stipulated Price</t>
  </si>
  <si>
    <t>Result</t>
  </si>
  <si>
    <t>Q2</t>
  </si>
  <si>
    <t>PEI</t>
  </si>
  <si>
    <t>CCDC 5B</t>
  </si>
  <si>
    <t>Fixed Fee</t>
  </si>
  <si>
    <t>Awarded</t>
  </si>
  <si>
    <t>Office</t>
  </si>
  <si>
    <t>Successful</t>
  </si>
  <si>
    <t>Q3</t>
  </si>
  <si>
    <t>NS</t>
  </si>
  <si>
    <t>CCDC 5A</t>
  </si>
  <si>
    <t>Not Awarded</t>
  </si>
  <si>
    <t>Retail</t>
  </si>
  <si>
    <t>Unsuccessful</t>
  </si>
  <si>
    <t>Q4</t>
  </si>
  <si>
    <t>Other</t>
  </si>
  <si>
    <t>Design Build</t>
  </si>
  <si>
    <t>Pending</t>
  </si>
  <si>
    <t>Quarter:</t>
  </si>
  <si>
    <t>Estimate # E-</t>
  </si>
  <si>
    <t>Result:</t>
  </si>
  <si>
    <t>Closing Date :</t>
  </si>
  <si>
    <t>Closing Date</t>
  </si>
  <si>
    <t>CLIENT SUMMARY</t>
  </si>
  <si>
    <t>$/SF</t>
  </si>
  <si>
    <t>Column1</t>
  </si>
  <si>
    <t>Multi Residential</t>
  </si>
  <si>
    <t>$120 Base Fee</t>
  </si>
  <si>
    <t>Type of Construction</t>
  </si>
  <si>
    <t>Price Category</t>
  </si>
  <si>
    <t>Successful / Unsuccessful</t>
  </si>
  <si>
    <t>&gt;5M</t>
  </si>
  <si>
    <t>2-5M</t>
  </si>
  <si>
    <t>C</t>
  </si>
  <si>
    <t>500K - 2M</t>
  </si>
  <si>
    <t>100K - 500K</t>
  </si>
  <si>
    <t>E</t>
  </si>
  <si>
    <t>less than 100K</t>
  </si>
  <si>
    <t>Food</t>
  </si>
  <si>
    <t>01 54 04</t>
  </si>
  <si>
    <t>Technology (Procore, Smartbid, On-screen, Imaginit, Sage 300)</t>
  </si>
  <si>
    <t>01 32 01</t>
  </si>
  <si>
    <t>Builders Risk</t>
  </si>
  <si>
    <t>Wrap-up Liability</t>
  </si>
  <si>
    <t>Estimate Number</t>
  </si>
  <si>
    <t>Field Office One Time Charges</t>
  </si>
  <si>
    <t>General Liability &amp; Contractor's Pollution Liability</t>
  </si>
  <si>
    <t>$1000/month</t>
  </si>
  <si>
    <t>Contractor's Pollution Liability</t>
  </si>
  <si>
    <t>Riverview</t>
  </si>
  <si>
    <t>TKE</t>
  </si>
  <si>
    <t>OTIS</t>
  </si>
  <si>
    <t>KONE</t>
  </si>
  <si>
    <t>reduced cost from $134.8k</t>
  </si>
  <si>
    <t>Electric type only</t>
  </si>
  <si>
    <t>567 Coverdale Renovation and Expansion (Phase 1)</t>
  </si>
  <si>
    <t>GTD Management  Inc.</t>
  </si>
  <si>
    <t>Drywall Works</t>
  </si>
  <si>
    <t>Flooring to elevator cab</t>
  </si>
  <si>
    <t>Flooring to elevator lobby</t>
  </si>
  <si>
    <t>Curtain wall to Level 2</t>
  </si>
  <si>
    <t>03 30 07</t>
  </si>
  <si>
    <t>Hrs</t>
  </si>
  <si>
    <t>Pumping per hour</t>
  </si>
  <si>
    <t>Pump charge per m3</t>
  </si>
  <si>
    <t>min. 4 hrs</t>
  </si>
  <si>
    <t>To place and power trowel finish concrete floors</t>
  </si>
  <si>
    <t>Install the rail bracket inserts</t>
  </si>
  <si>
    <t>supplied by Elevator contractor</t>
  </si>
  <si>
    <t>Steel support to attach elevator guide rail brackets</t>
  </si>
  <si>
    <t>Elevator - Hydraulic with Machine Room</t>
  </si>
  <si>
    <t xml:space="preserve">Preparation of layout drawing package </t>
  </si>
  <si>
    <t>2-6 weeks</t>
  </si>
  <si>
    <t>Fabrication / Manufacturing &amp; Shipping</t>
  </si>
  <si>
    <t>17-22 weeks</t>
  </si>
  <si>
    <t xml:space="preserve">Installation of equipment </t>
  </si>
  <si>
    <t>5-7 weeks</t>
  </si>
  <si>
    <t>Total Duration</t>
  </si>
  <si>
    <t>24-35 weeks</t>
  </si>
  <si>
    <t>Contingencies</t>
  </si>
  <si>
    <t>Footing, Foundation Wall</t>
  </si>
  <si>
    <t>03 60 03</t>
  </si>
  <si>
    <t>Foundation Wall Insulation</t>
  </si>
  <si>
    <t>Slab Insulation</t>
  </si>
  <si>
    <t>LF</t>
  </si>
  <si>
    <t>Temporary Fencing Mob/Demob</t>
  </si>
  <si>
    <t>Architect</t>
  </si>
  <si>
    <t>Core Drilling</t>
  </si>
  <si>
    <t>assumed for the basement machine room</t>
  </si>
  <si>
    <t>guide rail brackets by Elevator contractor</t>
  </si>
  <si>
    <t>Firestopping to penetrations</t>
  </si>
  <si>
    <t>111 Joyce Ave (2024)</t>
  </si>
  <si>
    <t>Including Contingencies</t>
  </si>
  <si>
    <t>Excluding Contingencies</t>
  </si>
  <si>
    <t>Preconstruction Costs (Design)</t>
  </si>
  <si>
    <t>TBC</t>
  </si>
  <si>
    <t>Lighting Allowance</t>
  </si>
  <si>
    <t>Contingency</t>
  </si>
  <si>
    <t>Total without Contingency (HST Excluded)</t>
  </si>
  <si>
    <t>Coring</t>
  </si>
  <si>
    <t>Elevator</t>
  </si>
  <si>
    <t>as agreed by Client (Dean Hartman ) via email dated 2026-Feb-05</t>
  </si>
  <si>
    <t>7% as agreed by Client (Dean Hartman ) via email dated 2026-Feb-05</t>
  </si>
  <si>
    <t>Senior Estimator - AGCM</t>
  </si>
  <si>
    <t xml:space="preserve">Structural - Giffin </t>
  </si>
  <si>
    <t xml:space="preserve">M&amp;E - LRL </t>
  </si>
  <si>
    <t>LRL</t>
  </si>
  <si>
    <t>Giffin</t>
  </si>
  <si>
    <t>$13,000 + construction review @ $1000 +  $600x3</t>
  </si>
  <si>
    <t>Delray</t>
  </si>
  <si>
    <t>AEC</t>
  </si>
  <si>
    <t>KUB</t>
  </si>
  <si>
    <t>Schedule Comparison</t>
  </si>
  <si>
    <t>3 weeks</t>
  </si>
  <si>
    <t>2 weeks</t>
  </si>
  <si>
    <t>10 weeks</t>
  </si>
  <si>
    <t>14-18 weeks</t>
  </si>
  <si>
    <t>4-5 weeks</t>
  </si>
  <si>
    <t>4 weeks</t>
  </si>
  <si>
    <t>17-18 weeks</t>
  </si>
  <si>
    <t>20-24 weeks</t>
  </si>
  <si>
    <t>Reinstate/replace the sidewalk</t>
  </si>
  <si>
    <t>Branco</t>
  </si>
  <si>
    <t>C. Maclean</t>
  </si>
  <si>
    <t>Delmoon</t>
  </si>
  <si>
    <t>Perfection</t>
  </si>
  <si>
    <t>Steeves</t>
  </si>
  <si>
    <t>was asked to price it</t>
  </si>
  <si>
    <t>confirmed to bid</t>
  </si>
  <si>
    <t xml:space="preserve">Electrical </t>
  </si>
  <si>
    <t>Al's Electric</t>
  </si>
  <si>
    <t>Riverview Electric</t>
  </si>
  <si>
    <t>Interior Lighting</t>
  </si>
  <si>
    <t>ConAir</t>
  </si>
  <si>
    <t>Greenfoot</t>
  </si>
  <si>
    <t>Sica</t>
  </si>
  <si>
    <t>Ermen</t>
  </si>
  <si>
    <t>Sprinkler System</t>
  </si>
  <si>
    <t>already awarded</t>
  </si>
  <si>
    <t>Coastal/Primo</t>
  </si>
  <si>
    <t>Floor Doctor</t>
  </si>
  <si>
    <t>Priority Painting</t>
  </si>
  <si>
    <t>Main Entrance door and Storefront</t>
  </si>
  <si>
    <t>Interior door w/ Glazing, to Elevator Lobby</t>
  </si>
  <si>
    <t>Econmy Glass</t>
  </si>
  <si>
    <t>FCG</t>
  </si>
  <si>
    <t>All Access Entrance Sol.</t>
  </si>
  <si>
    <t>Siding (if the existing bricks will be removed)</t>
  </si>
  <si>
    <t>no details and specification yet (awaiting KUB response)</t>
  </si>
  <si>
    <t>PLG Builders</t>
  </si>
  <si>
    <t>TriForce</t>
  </si>
  <si>
    <t>PLG</t>
  </si>
  <si>
    <t>Suspended Slab</t>
  </si>
  <si>
    <t>Coastal Formwork</t>
  </si>
  <si>
    <t>Active Glass</t>
  </si>
  <si>
    <t>OSCO</t>
  </si>
  <si>
    <t>Mobile Ready Mix (2026)</t>
  </si>
  <si>
    <t>JP Masonry</t>
  </si>
  <si>
    <t>to call</t>
  </si>
  <si>
    <t>Ares Masonry</t>
  </si>
  <si>
    <t>MSE</t>
  </si>
  <si>
    <t>Structural steel and deck</t>
  </si>
  <si>
    <t>Lateral support</t>
  </si>
  <si>
    <t>Shoring of one floor beam (beam to remain during demo by others)</t>
  </si>
  <si>
    <t>Summit Steel</t>
  </si>
  <si>
    <t>included</t>
  </si>
  <si>
    <t>Footing Volume, 20 MPa</t>
  </si>
  <si>
    <t>25 MPa</t>
  </si>
  <si>
    <t>35 MPa</t>
  </si>
  <si>
    <t>4" Slab on-grade Volume, 25 MPa</t>
  </si>
  <si>
    <t>Foundation Wall &amp; Pilasters Volume, 25 MPa</t>
  </si>
  <si>
    <t>20 MPa</t>
  </si>
  <si>
    <t>4" Concrete topping on Level 2 steel deck Volume, 25 MPa</t>
  </si>
  <si>
    <t>Fundy Pros</t>
  </si>
  <si>
    <t>AU Living</t>
  </si>
  <si>
    <t>Inflector</t>
  </si>
  <si>
    <t>AD Restore</t>
  </si>
  <si>
    <t>City Reno</t>
  </si>
  <si>
    <t>Drywall</t>
  </si>
  <si>
    <t>Hub City Hues</t>
  </si>
  <si>
    <t>Treads not included</t>
  </si>
  <si>
    <t>Ritchie's</t>
  </si>
  <si>
    <t>Premium</t>
  </si>
  <si>
    <t>R.Mainville</t>
  </si>
  <si>
    <t>Steelco Ind</t>
  </si>
  <si>
    <t>add $4,750 plus HST for Engineered Stamp Shop Drawings</t>
  </si>
  <si>
    <t>Flynn</t>
  </si>
  <si>
    <t>Wilson Masonry</t>
  </si>
  <si>
    <t>AGF Olympic</t>
  </si>
  <si>
    <t>L&amp;L Concrete Fdn</t>
  </si>
  <si>
    <t>Enviro</t>
  </si>
  <si>
    <t>Curtain walls + HM doors; will save $4,925.62 with alternative door operator</t>
  </si>
  <si>
    <t>Curtain walls , Shopfront &amp; glazing; will safe $3,500 if switch to equivalent BESAM door actuators; include removal of existing frames and glass</t>
  </si>
  <si>
    <t>Atlantic Metaclad</t>
  </si>
  <si>
    <t>Curtain walls , Shopfront &amp; glazing</t>
  </si>
  <si>
    <t>Floors Plus Commercial</t>
  </si>
  <si>
    <t>Clad-Tech</t>
  </si>
  <si>
    <t>Installation only</t>
  </si>
  <si>
    <t>BSM</t>
  </si>
  <si>
    <t>Fuel surcharge apply after 2.00 per liter</t>
  </si>
  <si>
    <t>n.i. curb &amp; sidewalk prep reinstatement if reqrd</t>
  </si>
  <si>
    <t>Arsenault Bros</t>
  </si>
  <si>
    <t>Price Plumbing</t>
  </si>
  <si>
    <t>Premium Drywall</t>
  </si>
  <si>
    <t>Advantage Hardware</t>
  </si>
  <si>
    <t>Old Town Earthworks</t>
  </si>
  <si>
    <t>Sidewalk removal &amp; disposal</t>
  </si>
  <si>
    <t>Main demolition</t>
  </si>
  <si>
    <t>Coastal Entrance</t>
  </si>
  <si>
    <t>3Doors + 5Hardware</t>
  </si>
  <si>
    <t>Franco</t>
  </si>
  <si>
    <t>Add if exstg fire alarm is not addressible, or not compatible with elevator recall</t>
  </si>
  <si>
    <t>Drywall/ceiling + Painting + Demolition</t>
  </si>
  <si>
    <t>3 openings</t>
  </si>
  <si>
    <t>to remove existing frame and glass</t>
  </si>
  <si>
    <t xml:space="preserve">Brault </t>
  </si>
  <si>
    <t>TKE Rvsd</t>
  </si>
  <si>
    <t>Incl.replace necessary sidewalk</t>
  </si>
  <si>
    <t>n.i. reinstatement of final exterior</t>
  </si>
  <si>
    <t>Controls not included</t>
  </si>
  <si>
    <t>Altiro Siding</t>
  </si>
  <si>
    <t>No flashing</t>
  </si>
  <si>
    <t>Flashing captured in roofing</t>
  </si>
  <si>
    <t>Shoring</t>
  </si>
  <si>
    <t>Hoist beam to be clarified if included - Yes for summit</t>
  </si>
  <si>
    <t>Core drilling for plumbing</t>
  </si>
  <si>
    <t>Part of Inflector's quote</t>
  </si>
  <si>
    <t>Waterproofing</t>
  </si>
  <si>
    <t>Plumbing excavation and exterior sidewalks backfilling and compactment</t>
  </si>
  <si>
    <t>Steeves indicated</t>
  </si>
  <si>
    <t>m2</t>
  </si>
  <si>
    <t>Paul Core Drilling</t>
  </si>
  <si>
    <t>Cut 5' x 5' sump pit excv location</t>
  </si>
  <si>
    <t>verbal</t>
  </si>
  <si>
    <t>Sidewalks - sloped portion</t>
  </si>
  <si>
    <t>Frame install for daycare door</t>
  </si>
  <si>
    <t>LeBlanc</t>
  </si>
  <si>
    <t>Tread only</t>
  </si>
  <si>
    <t>Plumbing Piping and equipment</t>
  </si>
  <si>
    <t>Sidewalks and Curb Repair</t>
  </si>
  <si>
    <t xml:space="preserve">Foundation Materials </t>
  </si>
  <si>
    <t>Add Extra coring</t>
  </si>
  <si>
    <t>Demolition and Coring</t>
  </si>
  <si>
    <t>Adhesive</t>
  </si>
  <si>
    <t>HVAC - Exhaust Fan</t>
  </si>
  <si>
    <t>Distribution, Lighting, Fire Alarm</t>
  </si>
  <si>
    <t xml:space="preserve">Insurance </t>
  </si>
  <si>
    <t>Rietzel</t>
  </si>
  <si>
    <t>Curb cut for wheelchair access</t>
  </si>
  <si>
    <t>Shaft</t>
  </si>
  <si>
    <t>Width</t>
  </si>
  <si>
    <t>High</t>
  </si>
  <si>
    <t>sf</t>
  </si>
  <si>
    <t>Cost per sf of shaft wall area =</t>
  </si>
  <si>
    <t>Allow for Curb repairs - and curb cut</t>
  </si>
  <si>
    <t>awarded - $ 62,600</t>
  </si>
  <si>
    <t>awarded</t>
  </si>
  <si>
    <t>Change 3 lights to directional pot lights</t>
  </si>
  <si>
    <t>Add ceiling lights on second floor stairwell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</si>
</sst>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[$-409]mmmm\ d\,\ yyyy;@"/>
    <numFmt numFmtId="169" formatCode="dd/mm/yy;@"/>
    <numFmt numFmtId="170" formatCode="_(&quot;$&quot;* #,##0_);_(&quot;$&quot;* \(#,##0\);_(&quot;$&quot;* &quot;-&quot;??_);_(@_)"/>
    <numFmt numFmtId="171" formatCode="[$-1009]mmmm\ d\,\ yyyy;@"/>
    <numFmt numFmtId="172" formatCode="0.0"/>
    <numFmt numFmtId="173" formatCode="&quot;$&quot;#,##0.00&quot;/SF&quot;"/>
    <numFmt numFmtId="174" formatCode="_(* #,##0_);_(* \(#,##0\);_(* &quot;-&quot;??_);_(@_)"/>
  </numFmts>
  <fonts count="65" x14ac:knownFonts="1"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name val="Tahoma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ahoma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Tahoma"/>
      <family val="2"/>
    </font>
    <font>
      <sz val="16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 tint="-0.34998626667073579"/>
      <name val="Arial"/>
      <family val="2"/>
    </font>
    <font>
      <b/>
      <i/>
      <sz val="10"/>
      <color rgb="FFC00000"/>
      <name val="Arial"/>
      <family val="2"/>
    </font>
    <font>
      <b/>
      <i/>
      <u/>
      <sz val="10"/>
      <name val="Arial"/>
      <family val="2"/>
    </font>
    <font>
      <b/>
      <sz val="12"/>
      <color theme="0" tint="-0.34998626667073579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  <font>
      <b/>
      <u/>
      <sz val="1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u/>
      <sz val="11"/>
      <name val="Arial"/>
      <family val="2"/>
    </font>
    <font>
      <i/>
      <sz val="10"/>
      <name val="Arial"/>
      <family val="2"/>
    </font>
    <font>
      <u/>
      <sz val="12"/>
      <name val="Arial"/>
      <family val="2"/>
    </font>
    <font>
      <u val="singleAccounting"/>
      <sz val="10"/>
      <name val="Arial"/>
      <family val="2"/>
    </font>
    <font>
      <sz val="12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 style="thick">
        <color auto="1"/>
      </top>
      <bottom/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medium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ck">
        <color auto="1"/>
      </bottom>
      <diagonal/>
    </border>
    <border>
      <left/>
      <right/>
      <top style="thin">
        <color theme="0" tint="-0.24994659260841701"/>
      </top>
      <bottom style="thick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/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252">
    <xf numFmtId="0" fontId="0" fillId="0" borderId="0" xfId="0"/>
    <xf numFmtId="164" fontId="0" fillId="0" borderId="0" xfId="2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 applyAlignment="1"/>
    <xf numFmtId="49" fontId="1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4" borderId="37" xfId="0" applyFont="1" applyFill="1" applyBorder="1" applyAlignment="1">
      <alignment horizontal="left"/>
    </xf>
    <xf numFmtId="0" fontId="18" fillId="4" borderId="37" xfId="0" applyFont="1" applyFill="1" applyBorder="1" applyAlignment="1">
      <alignment vertical="center" wrapText="1"/>
    </xf>
    <xf numFmtId="1" fontId="0" fillId="0" borderId="0" xfId="0" applyNumberFormat="1"/>
    <xf numFmtId="10" fontId="0" fillId="0" borderId="0" xfId="0" applyNumberFormat="1"/>
    <xf numFmtId="0" fontId="0" fillId="0" borderId="33" xfId="0" applyBorder="1"/>
    <xf numFmtId="164" fontId="0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0" fillId="4" borderId="37" xfId="2" applyFont="1" applyFill="1" applyBorder="1"/>
    <xf numFmtId="0" fontId="0" fillId="4" borderId="37" xfId="0" applyFill="1" applyBorder="1"/>
    <xf numFmtId="0" fontId="3" fillId="0" borderId="0" xfId="0" applyFont="1"/>
    <xf numFmtId="164" fontId="0" fillId="0" borderId="0" xfId="2" applyFont="1" applyFill="1"/>
    <xf numFmtId="170" fontId="3" fillId="0" borderId="0" xfId="2" applyNumberFormat="1" applyFont="1" applyFill="1"/>
    <xf numFmtId="170" fontId="3" fillId="0" borderId="0" xfId="2" applyNumberFormat="1" applyFont="1" applyFill="1" applyBorder="1"/>
    <xf numFmtId="164" fontId="0" fillId="0" borderId="0" xfId="0" applyNumberFormat="1" applyAlignment="1">
      <alignment vertical="center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/>
    <xf numFmtId="49" fontId="19" fillId="0" borderId="0" xfId="0" applyNumberFormat="1" applyFont="1"/>
    <xf numFmtId="49" fontId="10" fillId="0" borderId="0" xfId="0" applyNumberFormat="1" applyFont="1"/>
    <xf numFmtId="0" fontId="21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9" fontId="0" fillId="0" borderId="0" xfId="4" applyFont="1" applyAlignment="1"/>
    <xf numFmtId="164" fontId="7" fillId="0" borderId="0" xfId="2" applyFont="1" applyAlignment="1"/>
    <xf numFmtId="9" fontId="7" fillId="0" borderId="0" xfId="4" applyFont="1" applyAlignment="1"/>
    <xf numFmtId="0" fontId="15" fillId="5" borderId="0" xfId="0" applyFont="1" applyFill="1" applyAlignment="1">
      <alignment horizontal="left"/>
    </xf>
    <xf numFmtId="164" fontId="12" fillId="5" borderId="0" xfId="2" applyFont="1" applyFill="1" applyBorder="1" applyAlignment="1">
      <alignment horizontal="right"/>
    </xf>
    <xf numFmtId="164" fontId="13" fillId="5" borderId="0" xfId="2" applyFont="1" applyFill="1" applyBorder="1"/>
    <xf numFmtId="0" fontId="15" fillId="4" borderId="109" xfId="0" applyFont="1" applyFill="1" applyBorder="1" applyAlignment="1">
      <alignment horizontal="left"/>
    </xf>
    <xf numFmtId="164" fontId="12" fillId="4" borderId="109" xfId="2" applyFont="1" applyFill="1" applyBorder="1" applyAlignment="1">
      <alignment horizontal="right"/>
    </xf>
    <xf numFmtId="164" fontId="13" fillId="4" borderId="109" xfId="2" applyFont="1" applyFill="1" applyBorder="1"/>
    <xf numFmtId="0" fontId="15" fillId="4" borderId="116" xfId="0" applyFont="1" applyFill="1" applyBorder="1" applyAlignment="1">
      <alignment horizontal="center"/>
    </xf>
    <xf numFmtId="164" fontId="13" fillId="4" borderId="117" xfId="2" applyFont="1" applyFill="1" applyBorder="1"/>
    <xf numFmtId="0" fontId="15" fillId="5" borderId="118" xfId="0" applyFont="1" applyFill="1" applyBorder="1" applyAlignment="1">
      <alignment horizontal="center"/>
    </xf>
    <xf numFmtId="164" fontId="13" fillId="5" borderId="119" xfId="2" applyFont="1" applyFill="1" applyBorder="1"/>
    <xf numFmtId="164" fontId="0" fillId="0" borderId="0" xfId="2" applyFont="1" applyBorder="1"/>
    <xf numFmtId="0" fontId="0" fillId="0" borderId="119" xfId="0" applyBorder="1"/>
    <xf numFmtId="0" fontId="0" fillId="4" borderId="133" xfId="0" applyFill="1" applyBorder="1"/>
    <xf numFmtId="164" fontId="24" fillId="0" borderId="0" xfId="2" applyFont="1" applyBorder="1"/>
    <xf numFmtId="0" fontId="24" fillId="0" borderId="0" xfId="0" applyFont="1"/>
    <xf numFmtId="164" fontId="24" fillId="0" borderId="128" xfId="0" applyNumberFormat="1" applyFont="1" applyBorder="1"/>
    <xf numFmtId="164" fontId="24" fillId="0" borderId="128" xfId="2" applyFont="1" applyBorder="1"/>
    <xf numFmtId="0" fontId="24" fillId="0" borderId="128" xfId="0" applyFont="1" applyBorder="1"/>
    <xf numFmtId="0" fontId="24" fillId="0" borderId="129" xfId="0" applyFont="1" applyBorder="1"/>
    <xf numFmtId="0" fontId="25" fillId="5" borderId="118" xfId="0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4" fillId="5" borderId="0" xfId="0" applyFont="1" applyFill="1"/>
    <xf numFmtId="0" fontId="24" fillId="9" borderId="0" xfId="0" applyFont="1" applyFill="1"/>
    <xf numFmtId="164" fontId="24" fillId="5" borderId="0" xfId="2" applyFont="1" applyFill="1" applyBorder="1"/>
    <xf numFmtId="0" fontId="24" fillId="0" borderId="0" xfId="0" applyFont="1" applyAlignment="1">
      <alignment horizontal="left"/>
    </xf>
    <xf numFmtId="164" fontId="24" fillId="9" borderId="0" xfId="2" applyFont="1" applyFill="1" applyBorder="1"/>
    <xf numFmtId="0" fontId="24" fillId="0" borderId="127" xfId="0" applyFont="1" applyBorder="1"/>
    <xf numFmtId="0" fontId="25" fillId="5" borderId="122" xfId="0" applyFont="1" applyFill="1" applyBorder="1" applyAlignment="1">
      <alignment horizontal="center"/>
    </xf>
    <xf numFmtId="0" fontId="25" fillId="5" borderId="123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164" fontId="24" fillId="5" borderId="0" xfId="0" applyNumberFormat="1" applyFont="1" applyFill="1"/>
    <xf numFmtId="0" fontId="25" fillId="5" borderId="13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left"/>
    </xf>
    <xf numFmtId="164" fontId="27" fillId="0" borderId="0" xfId="2" applyFont="1" applyBorder="1" applyAlignment="1">
      <alignment vertical="center"/>
    </xf>
    <xf numFmtId="0" fontId="24" fillId="5" borderId="126" xfId="0" applyFont="1" applyFill="1" applyBorder="1"/>
    <xf numFmtId="0" fontId="16" fillId="6" borderId="120" xfId="2" applyNumberFormat="1" applyFont="1" applyFill="1" applyBorder="1" applyAlignment="1">
      <alignment horizontal="left" vertical="center"/>
    </xf>
    <xf numFmtId="0" fontId="28" fillId="6" borderId="0" xfId="2" applyNumberFormat="1" applyFont="1" applyFill="1" applyBorder="1" applyAlignment="1">
      <alignment horizontal="left" vertical="center"/>
    </xf>
    <xf numFmtId="171" fontId="28" fillId="6" borderId="114" xfId="2" applyNumberFormat="1" applyFont="1" applyFill="1" applyBorder="1" applyAlignment="1">
      <alignment horizontal="left" vertical="center"/>
    </xf>
    <xf numFmtId="164" fontId="26" fillId="6" borderId="112" xfId="2" applyFont="1" applyFill="1" applyBorder="1" applyAlignment="1">
      <alignment horizontal="right" vertical="center"/>
    </xf>
    <xf numFmtId="171" fontId="26" fillId="6" borderId="113" xfId="2" applyNumberFormat="1" applyFont="1" applyFill="1" applyBorder="1" applyAlignment="1">
      <alignment horizontal="left" vertical="center"/>
    </xf>
    <xf numFmtId="0" fontId="27" fillId="0" borderId="124" xfId="0" applyFont="1" applyBorder="1" applyAlignment="1">
      <alignment horizontal="center" vertical="center"/>
    </xf>
    <xf numFmtId="0" fontId="27" fillId="0" borderId="125" xfId="0" applyFont="1" applyBorder="1" applyAlignment="1">
      <alignment horizontal="left" vertical="center"/>
    </xf>
    <xf numFmtId="0" fontId="24" fillId="0" borderId="125" xfId="0" applyFont="1" applyBorder="1" applyAlignment="1">
      <alignment vertical="center"/>
    </xf>
    <xf numFmtId="164" fontId="24" fillId="0" borderId="125" xfId="2" applyFont="1" applyBorder="1" applyAlignment="1">
      <alignment vertical="center"/>
    </xf>
    <xf numFmtId="164" fontId="27" fillId="0" borderId="125" xfId="2" applyFont="1" applyBorder="1" applyAlignment="1">
      <alignment horizontal="right" vertical="center"/>
    </xf>
    <xf numFmtId="164" fontId="27" fillId="0" borderId="126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24" fillId="0" borderId="125" xfId="0" applyNumberFormat="1" applyFont="1" applyBorder="1" applyAlignment="1">
      <alignment vertical="center"/>
    </xf>
    <xf numFmtId="0" fontId="24" fillId="0" borderId="126" xfId="0" applyFont="1" applyBorder="1" applyAlignment="1">
      <alignment vertical="center"/>
    </xf>
    <xf numFmtId="0" fontId="27" fillId="0" borderId="130" xfId="0" applyFont="1" applyBorder="1" applyAlignment="1">
      <alignment horizontal="center" vertical="center"/>
    </xf>
    <xf numFmtId="0" fontId="27" fillId="0" borderId="131" xfId="0" applyFont="1" applyBorder="1" applyAlignment="1">
      <alignment horizontal="left" vertical="center"/>
    </xf>
    <xf numFmtId="164" fontId="24" fillId="0" borderId="131" xfId="2" applyFont="1" applyBorder="1" applyAlignment="1">
      <alignment vertical="center"/>
    </xf>
    <xf numFmtId="164" fontId="24" fillId="0" borderId="131" xfId="0" applyNumberFormat="1" applyFont="1" applyBorder="1" applyAlignment="1">
      <alignment vertical="center"/>
    </xf>
    <xf numFmtId="0" fontId="24" fillId="0" borderId="131" xfId="0" applyFont="1" applyBorder="1" applyAlignment="1">
      <alignment vertical="center"/>
    </xf>
    <xf numFmtId="164" fontId="27" fillId="0" borderId="131" xfId="2" applyFont="1" applyBorder="1" applyAlignment="1">
      <alignment horizontal="right" vertical="center"/>
    </xf>
    <xf numFmtId="164" fontId="27" fillId="0" borderId="132" xfId="0" applyNumberFormat="1" applyFont="1" applyBorder="1" applyAlignment="1">
      <alignment vertical="center"/>
    </xf>
    <xf numFmtId="0" fontId="24" fillId="0" borderId="118" xfId="0" applyFont="1" applyBorder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2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119" xfId="0" applyFont="1" applyBorder="1" applyAlignment="1">
      <alignment vertical="center"/>
    </xf>
    <xf numFmtId="0" fontId="24" fillId="0" borderId="127" xfId="0" applyFont="1" applyBorder="1" applyAlignment="1">
      <alignment vertical="center"/>
    </xf>
    <xf numFmtId="0" fontId="24" fillId="0" borderId="128" xfId="0" applyFont="1" applyBorder="1" applyAlignment="1">
      <alignment vertical="center"/>
    </xf>
    <xf numFmtId="164" fontId="24" fillId="0" borderId="128" xfId="2" applyFont="1" applyBorder="1" applyAlignment="1">
      <alignment vertical="center"/>
    </xf>
    <xf numFmtId="164" fontId="24" fillId="0" borderId="128" xfId="0" applyNumberFormat="1" applyFont="1" applyBorder="1" applyAlignment="1">
      <alignment vertical="center"/>
    </xf>
    <xf numFmtId="0" fontId="24" fillId="0" borderId="129" xfId="0" applyFont="1" applyBorder="1" applyAlignment="1">
      <alignment vertical="center"/>
    </xf>
    <xf numFmtId="164" fontId="24" fillId="5" borderId="0" xfId="2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164" fontId="24" fillId="5" borderId="0" xfId="0" applyNumberFormat="1" applyFont="1" applyFill="1" applyAlignment="1">
      <alignment vertical="center"/>
    </xf>
    <xf numFmtId="0" fontId="24" fillId="5" borderId="119" xfId="0" applyFont="1" applyFill="1" applyBorder="1" applyAlignment="1">
      <alignment vertical="center"/>
    </xf>
    <xf numFmtId="164" fontId="27" fillId="0" borderId="0" xfId="2" applyFont="1" applyBorder="1" applyAlignment="1">
      <alignment horizontal="right" vertical="center"/>
    </xf>
    <xf numFmtId="164" fontId="27" fillId="0" borderId="119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28" xfId="0" applyFont="1" applyBorder="1" applyAlignment="1">
      <alignment horizontal="left" vertical="center"/>
    </xf>
    <xf numFmtId="0" fontId="24" fillId="0" borderId="118" xfId="0" applyFont="1" applyBorder="1" applyAlignment="1">
      <alignment horizontal="center" vertical="center"/>
    </xf>
    <xf numFmtId="0" fontId="24" fillId="0" borderId="127" xfId="0" applyFont="1" applyBorder="1" applyAlignment="1">
      <alignment horizontal="center" vertical="center"/>
    </xf>
    <xf numFmtId="164" fontId="24" fillId="0" borderId="128" xfId="2" applyFont="1" applyFill="1" applyBorder="1" applyAlignment="1">
      <alignment vertical="center"/>
    </xf>
    <xf numFmtId="49" fontId="26" fillId="0" borderId="118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5" fillId="0" borderId="118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27" xfId="0" applyNumberFormat="1" applyFont="1" applyBorder="1" applyAlignment="1">
      <alignment horizontal="center" vertical="center"/>
    </xf>
    <xf numFmtId="49" fontId="25" fillId="0" borderId="128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10" xfId="2" applyNumberFormat="1" applyFont="1" applyFill="1" applyBorder="1" applyAlignment="1"/>
    <xf numFmtId="164" fontId="15" fillId="0" borderId="10" xfId="2" applyFont="1" applyFill="1" applyBorder="1" applyAlignment="1"/>
    <xf numFmtId="171" fontId="0" fillId="0" borderId="0" xfId="0" applyNumberFormat="1"/>
    <xf numFmtId="0" fontId="29" fillId="12" borderId="152" xfId="0" applyFont="1" applyFill="1" applyBorder="1"/>
    <xf numFmtId="0" fontId="0" fillId="13" borderId="153" xfId="0" applyFill="1" applyBorder="1"/>
    <xf numFmtId="0" fontId="0" fillId="0" borderId="153" xfId="0" applyBorder="1"/>
    <xf numFmtId="0" fontId="0" fillId="13" borderId="154" xfId="0" applyFill="1" applyBorder="1"/>
    <xf numFmtId="171" fontId="7" fillId="0" borderId="0" xfId="0" applyNumberFormat="1" applyFont="1"/>
    <xf numFmtId="169" fontId="7" fillId="0" borderId="0" xfId="0" applyNumberFormat="1" applyFont="1"/>
    <xf numFmtId="37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3" xfId="0" applyNumberFormat="1" applyBorder="1" applyAlignment="1">
      <alignment horizontal="center"/>
    </xf>
    <xf numFmtId="171" fontId="0" fillId="0" borderId="3" xfId="0" applyNumberForma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2" fillId="6" borderId="144" xfId="0" applyFont="1" applyFill="1" applyBorder="1" applyAlignment="1">
      <alignment horizontal="center"/>
    </xf>
    <xf numFmtId="0" fontId="2" fillId="6" borderId="145" xfId="0" applyFont="1" applyFill="1" applyBorder="1" applyAlignment="1">
      <alignment horizontal="left"/>
    </xf>
    <xf numFmtId="0" fontId="1" fillId="6" borderId="145" xfId="0" applyFont="1" applyFill="1" applyBorder="1"/>
    <xf numFmtId="0" fontId="15" fillId="6" borderId="145" xfId="2" applyNumberFormat="1" applyFont="1" applyFill="1" applyBorder="1" applyAlignment="1"/>
    <xf numFmtId="164" fontId="15" fillId="6" borderId="146" xfId="2" applyFont="1" applyFill="1" applyBorder="1" applyAlignment="1"/>
    <xf numFmtId="0" fontId="30" fillId="6" borderId="0" xfId="2" applyNumberFormat="1" applyFont="1" applyFill="1" applyBorder="1" applyAlignment="1">
      <alignment horizontal="left"/>
    </xf>
    <xf numFmtId="0" fontId="26" fillId="6" borderId="0" xfId="2" applyNumberFormat="1" applyFont="1" applyFill="1" applyBorder="1" applyAlignment="1">
      <alignment horizontal="left"/>
    </xf>
    <xf numFmtId="164" fontId="19" fillId="6" borderId="148" xfId="2" applyFont="1" applyFill="1" applyBorder="1" applyAlignment="1">
      <alignment horizontal="right"/>
    </xf>
    <xf numFmtId="171" fontId="19" fillId="6" borderId="113" xfId="2" applyNumberFormat="1" applyFont="1" applyFill="1" applyBorder="1" applyAlignment="1">
      <alignment horizontal="left"/>
    </xf>
    <xf numFmtId="171" fontId="19" fillId="6" borderId="114" xfId="2" applyNumberFormat="1" applyFont="1" applyFill="1" applyBorder="1" applyAlignment="1">
      <alignment horizontal="left"/>
    </xf>
    <xf numFmtId="0" fontId="15" fillId="10" borderId="150" xfId="0" applyFont="1" applyFill="1" applyBorder="1" applyAlignment="1">
      <alignment horizontal="center"/>
    </xf>
    <xf numFmtId="0" fontId="15" fillId="10" borderId="109" xfId="0" applyFont="1" applyFill="1" applyBorder="1" applyAlignment="1">
      <alignment horizontal="left"/>
    </xf>
    <xf numFmtId="164" fontId="12" fillId="10" borderId="109" xfId="2" applyFont="1" applyFill="1" applyBorder="1" applyAlignment="1">
      <alignment horizontal="right"/>
    </xf>
    <xf numFmtId="164" fontId="13" fillId="10" borderId="109" xfId="2" applyFont="1" applyFill="1" applyBorder="1" applyAlignment="1"/>
    <xf numFmtId="164" fontId="13" fillId="10" borderId="151" xfId="2" applyFont="1" applyFill="1" applyBorder="1" applyAlignment="1"/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" fillId="11" borderId="140" xfId="0" applyFont="1" applyFill="1" applyBorder="1" applyAlignment="1">
      <alignment horizontal="center"/>
    </xf>
    <xf numFmtId="0" fontId="1" fillId="11" borderId="141" xfId="0" applyFont="1" applyFill="1" applyBorder="1" applyAlignment="1">
      <alignment horizontal="left"/>
    </xf>
    <xf numFmtId="0" fontId="1" fillId="11" borderId="141" xfId="0" applyFont="1" applyFill="1" applyBorder="1"/>
    <xf numFmtId="0" fontId="1" fillId="11" borderId="141" xfId="0" applyFont="1" applyFill="1" applyBorder="1" applyAlignment="1">
      <alignment horizontal="center"/>
    </xf>
    <xf numFmtId="0" fontId="1" fillId="11" borderId="142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0" xfId="0" applyFont="1" applyAlignment="1">
      <alignment horizontal="left"/>
    </xf>
    <xf numFmtId="164" fontId="1" fillId="0" borderId="8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0" fillId="0" borderId="10" xfId="0" applyFont="1" applyBorder="1"/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5" borderId="0" xfId="0" applyFont="1" applyFill="1"/>
    <xf numFmtId="0" fontId="1" fillId="11" borderId="9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left"/>
    </xf>
    <xf numFmtId="0" fontId="1" fillId="11" borderId="10" xfId="0" applyFont="1" applyFill="1" applyBorder="1"/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42" xfId="0" applyFont="1" applyFill="1" applyBorder="1"/>
    <xf numFmtId="0" fontId="1" fillId="0" borderId="7" xfId="0" applyFont="1" applyBorder="1" applyAlignment="1">
      <alignment horizontal="center"/>
    </xf>
    <xf numFmtId="0" fontId="32" fillId="10" borderId="9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left"/>
    </xf>
    <xf numFmtId="0" fontId="33" fillId="10" borderId="10" xfId="0" applyFont="1" applyFill="1" applyBorder="1" applyAlignment="1">
      <alignment wrapText="1"/>
    </xf>
    <xf numFmtId="0" fontId="33" fillId="10" borderId="11" xfId="0" applyFont="1" applyFill="1" applyBorder="1" applyAlignment="1">
      <alignment wrapText="1"/>
    </xf>
    <xf numFmtId="0" fontId="31" fillId="10" borderId="29" xfId="0" applyFont="1" applyFill="1" applyBorder="1"/>
    <xf numFmtId="0" fontId="34" fillId="10" borderId="30" xfId="0" applyFont="1" applyFill="1" applyBorder="1"/>
    <xf numFmtId="0" fontId="35" fillId="10" borderId="30" xfId="0" applyFont="1" applyFill="1" applyBorder="1" applyAlignment="1">
      <alignment horizontal="left"/>
    </xf>
    <xf numFmtId="0" fontId="35" fillId="10" borderId="30" xfId="0" applyFont="1" applyFill="1" applyBorder="1"/>
    <xf numFmtId="0" fontId="14" fillId="6" borderId="106" xfId="0" applyFont="1" applyFill="1" applyBorder="1" applyAlignment="1">
      <alignment horizontal="right"/>
    </xf>
    <xf numFmtId="171" fontId="14" fillId="6" borderId="47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right"/>
    </xf>
    <xf numFmtId="164" fontId="1" fillId="0" borderId="0" xfId="2" applyFont="1" applyBorder="1"/>
    <xf numFmtId="0" fontId="14" fillId="6" borderId="155" xfId="0" applyFont="1" applyFill="1" applyBorder="1" applyAlignment="1">
      <alignment horizontal="right"/>
    </xf>
    <xf numFmtId="0" fontId="36" fillId="6" borderId="136" xfId="0" applyFont="1" applyFill="1" applyBorder="1" applyAlignment="1">
      <alignment horizontal="center"/>
    </xf>
    <xf numFmtId="0" fontId="36" fillId="6" borderId="134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right"/>
    </xf>
    <xf numFmtId="0" fontId="14" fillId="6" borderId="157" xfId="0" applyFont="1" applyFill="1" applyBorder="1" applyAlignment="1">
      <alignment horizontal="right"/>
    </xf>
    <xf numFmtId="0" fontId="14" fillId="6" borderId="157" xfId="0" applyFont="1" applyFill="1" applyBorder="1" applyAlignment="1">
      <alignment horizontal="center"/>
    </xf>
    <xf numFmtId="164" fontId="14" fillId="6" borderId="47" xfId="2" applyFont="1" applyFill="1" applyBorder="1" applyAlignment="1">
      <alignment horizontal="right"/>
    </xf>
    <xf numFmtId="164" fontId="36" fillId="6" borderId="136" xfId="2" applyFont="1" applyFill="1" applyBorder="1" applyAlignment="1">
      <alignment horizontal="center"/>
    </xf>
    <xf numFmtId="164" fontId="36" fillId="6" borderId="134" xfId="2" applyFont="1" applyFill="1" applyBorder="1" applyAlignment="1">
      <alignment horizontal="center"/>
    </xf>
    <xf numFmtId="164" fontId="36" fillId="6" borderId="47" xfId="2" applyFont="1" applyFill="1" applyBorder="1" applyAlignment="1"/>
    <xf numFmtId="164" fontId="36" fillId="6" borderId="47" xfId="2" applyFont="1" applyFill="1" applyBorder="1" applyAlignment="1">
      <alignment horizontal="center"/>
    </xf>
    <xf numFmtId="164" fontId="36" fillId="6" borderId="47" xfId="2" applyFont="1" applyFill="1" applyBorder="1" applyAlignment="1">
      <alignment horizontal="left"/>
    </xf>
    <xf numFmtId="1" fontId="36" fillId="6" borderId="47" xfId="0" applyNumberFormat="1" applyFont="1" applyFill="1" applyBorder="1" applyAlignment="1">
      <alignment horizontal="right"/>
    </xf>
    <xf numFmtId="164" fontId="36" fillId="6" borderId="108" xfId="2" applyFont="1" applyFill="1" applyBorder="1" applyAlignment="1">
      <alignment horizontal="left"/>
    </xf>
    <xf numFmtId="37" fontId="36" fillId="6" borderId="108" xfId="2" applyNumberFormat="1" applyFont="1" applyFill="1" applyBorder="1" applyAlignment="1">
      <alignment horizontal="center"/>
    </xf>
    <xf numFmtId="1" fontId="36" fillId="6" borderId="108" xfId="0" applyNumberFormat="1" applyFont="1" applyFill="1" applyBorder="1" applyAlignment="1">
      <alignment horizontal="left"/>
    </xf>
    <xf numFmtId="164" fontId="36" fillId="6" borderId="108" xfId="2" applyFont="1" applyFill="1" applyBorder="1" applyAlignment="1">
      <alignment horizontal="right"/>
    </xf>
    <xf numFmtId="0" fontId="15" fillId="11" borderId="33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164" fontId="12" fillId="11" borderId="0" xfId="2" applyFont="1" applyFill="1" applyBorder="1" applyAlignment="1">
      <alignment horizontal="left"/>
    </xf>
    <xf numFmtId="37" fontId="13" fillId="11" borderId="0" xfId="2" applyNumberFormat="1" applyFont="1" applyFill="1" applyBorder="1" applyAlignment="1">
      <alignment horizontal="center"/>
    </xf>
    <xf numFmtId="1" fontId="12" fillId="11" borderId="0" xfId="0" applyNumberFormat="1" applyFont="1" applyFill="1" applyAlignment="1">
      <alignment horizontal="right"/>
    </xf>
    <xf numFmtId="164" fontId="2" fillId="11" borderId="0" xfId="2" applyFont="1" applyFill="1" applyBorder="1" applyAlignment="1">
      <alignment horizontal="left"/>
    </xf>
    <xf numFmtId="164" fontId="2" fillId="11" borderId="0" xfId="2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9" fontId="1" fillId="0" borderId="0" xfId="4" applyFont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2" applyFont="1" applyFill="1" applyBorder="1"/>
    <xf numFmtId="0" fontId="1" fillId="0" borderId="0" xfId="0" applyFont="1" applyAlignment="1">
      <alignment horizontal="right"/>
    </xf>
    <xf numFmtId="164" fontId="1" fillId="0" borderId="0" xfId="2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right"/>
    </xf>
    <xf numFmtId="9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left"/>
    </xf>
    <xf numFmtId="0" fontId="6" fillId="0" borderId="0" xfId="0" applyFont="1"/>
    <xf numFmtId="164" fontId="37" fillId="0" borderId="0" xfId="2" applyFont="1" applyBorder="1" applyAlignment="1">
      <alignment horizontal="left"/>
    </xf>
    <xf numFmtId="0" fontId="37" fillId="0" borderId="0" xfId="0" applyFont="1"/>
    <xf numFmtId="164" fontId="1" fillId="0" borderId="0" xfId="2" applyFont="1" applyBorder="1" applyAlignment="1">
      <alignment horizontal="right"/>
    </xf>
    <xf numFmtId="164" fontId="1" fillId="0" borderId="2" xfId="2" applyFont="1" applyBorder="1" applyAlignment="1">
      <alignment horizontal="center"/>
    </xf>
    <xf numFmtId="9" fontId="1" fillId="0" borderId="3" xfId="4" applyFont="1" applyBorder="1" applyAlignment="1">
      <alignment horizontal="center"/>
    </xf>
    <xf numFmtId="164" fontId="1" fillId="0" borderId="3" xfId="2" applyFont="1" applyBorder="1" applyAlignment="1">
      <alignment horizontal="center"/>
    </xf>
    <xf numFmtId="0" fontId="2" fillId="0" borderId="0" xfId="0" applyFont="1" applyAlignment="1">
      <alignment horizontal="right"/>
    </xf>
    <xf numFmtId="164" fontId="1" fillId="0" borderId="0" xfId="2" applyFont="1" applyFill="1" applyBorder="1" applyAlignment="1">
      <alignment horizontal="left"/>
    </xf>
    <xf numFmtId="164" fontId="1" fillId="11" borderId="37" xfId="2" applyFont="1" applyFill="1" applyBorder="1" applyAlignment="1">
      <alignment horizontal="left"/>
    </xf>
    <xf numFmtId="164" fontId="1" fillId="0" borderId="0" xfId="2" applyFont="1" applyAlignment="1">
      <alignment horizontal="left"/>
    </xf>
    <xf numFmtId="164" fontId="1" fillId="0" borderId="0" xfId="2" applyFont="1" applyAlignment="1">
      <alignment horizontal="right"/>
    </xf>
    <xf numFmtId="164" fontId="1" fillId="0" borderId="0" xfId="2" applyFont="1"/>
    <xf numFmtId="164" fontId="1" fillId="2" borderId="0" xfId="2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9" fontId="1" fillId="0" borderId="0" xfId="4" applyFont="1" applyAlignment="1">
      <alignment horizontal="center"/>
    </xf>
    <xf numFmtId="9" fontId="1" fillId="2" borderId="0" xfId="4" applyFont="1" applyFill="1" applyAlignment="1">
      <alignment horizontal="right"/>
    </xf>
    <xf numFmtId="0" fontId="39" fillId="0" borderId="0" xfId="0" applyFont="1" applyAlignment="1">
      <alignment horizontal="left"/>
    </xf>
    <xf numFmtId="164" fontId="39" fillId="0" borderId="0" xfId="0" applyNumberFormat="1" applyFont="1" applyAlignment="1">
      <alignment horizontal="left"/>
    </xf>
    <xf numFmtId="9" fontId="39" fillId="0" borderId="0" xfId="4" applyFont="1" applyFill="1" applyBorder="1" applyAlignment="1">
      <alignment horizontal="right"/>
    </xf>
    <xf numFmtId="0" fontId="1" fillId="0" borderId="0" xfId="2" applyNumberFormat="1" applyFont="1" applyAlignment="1"/>
    <xf numFmtId="0" fontId="40" fillId="0" borderId="0" xfId="0" applyFont="1"/>
    <xf numFmtId="0" fontId="1" fillId="10" borderId="31" xfId="0" applyFont="1" applyFill="1" applyBorder="1"/>
    <xf numFmtId="0" fontId="1" fillId="10" borderId="32" xfId="0" applyFont="1" applyFill="1" applyBorder="1"/>
    <xf numFmtId="164" fontId="1" fillId="0" borderId="0" xfId="2" applyFont="1" applyBorder="1" applyAlignment="1"/>
    <xf numFmtId="164" fontId="36" fillId="6" borderId="136" xfId="2" applyFont="1" applyFill="1" applyBorder="1" applyAlignment="1"/>
    <xf numFmtId="164" fontId="36" fillId="6" borderId="134" xfId="2" applyFont="1" applyFill="1" applyBorder="1" applyAlignment="1"/>
    <xf numFmtId="164" fontId="36" fillId="6" borderId="106" xfId="2" applyFont="1" applyFill="1" applyBorder="1" applyAlignment="1"/>
    <xf numFmtId="164" fontId="36" fillId="6" borderId="107" xfId="2" applyFont="1" applyFill="1" applyBorder="1" applyAlignment="1"/>
    <xf numFmtId="164" fontId="36" fillId="6" borderId="108" xfId="2" applyFont="1" applyFill="1" applyBorder="1" applyAlignment="1"/>
    <xf numFmtId="0" fontId="36" fillId="6" borderId="137" xfId="0" applyFont="1" applyFill="1" applyBorder="1"/>
    <xf numFmtId="0" fontId="36" fillId="6" borderId="139" xfId="0" applyFont="1" applyFill="1" applyBorder="1"/>
    <xf numFmtId="164" fontId="13" fillId="11" borderId="0" xfId="2" applyFont="1" applyFill="1" applyBorder="1" applyAlignment="1"/>
    <xf numFmtId="0" fontId="13" fillId="11" borderId="0" xfId="0" applyFont="1" applyFill="1"/>
    <xf numFmtId="0" fontId="1" fillId="11" borderId="32" xfId="0" applyFont="1" applyFill="1" applyBorder="1"/>
    <xf numFmtId="0" fontId="9" fillId="11" borderId="0" xfId="0" applyFont="1" applyFill="1" applyAlignment="1">
      <alignment horizontal="center"/>
    </xf>
    <xf numFmtId="0" fontId="31" fillId="0" borderId="33" xfId="0" applyFont="1" applyBorder="1"/>
    <xf numFmtId="164" fontId="1" fillId="0" borderId="0" xfId="2" applyFont="1" applyFill="1" applyBorder="1" applyAlignment="1"/>
    <xf numFmtId="164" fontId="1" fillId="0" borderId="0" xfId="0" applyNumberFormat="1" applyFont="1"/>
    <xf numFmtId="0" fontId="1" fillId="0" borderId="33" xfId="0" applyFont="1" applyBorder="1"/>
    <xf numFmtId="164" fontId="1" fillId="0" borderId="1" xfId="2" applyFont="1" applyBorder="1" applyAlignment="1"/>
    <xf numFmtId="164" fontId="1" fillId="0" borderId="1" xfId="0" applyNumberFormat="1" applyFont="1" applyBorder="1"/>
    <xf numFmtId="0" fontId="1" fillId="11" borderId="34" xfId="0" applyFont="1" applyFill="1" applyBorder="1"/>
    <xf numFmtId="164" fontId="1" fillId="0" borderId="3" xfId="2" applyFont="1" applyBorder="1" applyAlignment="1"/>
    <xf numFmtId="164" fontId="1" fillId="3" borderId="0" xfId="2" applyFont="1" applyFill="1" applyBorder="1" applyAlignment="1"/>
    <xf numFmtId="164" fontId="37" fillId="0" borderId="0" xfId="2" applyFont="1" applyBorder="1" applyAlignment="1"/>
    <xf numFmtId="0" fontId="1" fillId="11" borderId="36" xfId="0" applyFont="1" applyFill="1" applyBorder="1"/>
    <xf numFmtId="0" fontId="1" fillId="11" borderId="37" xfId="0" applyFont="1" applyFill="1" applyBorder="1"/>
    <xf numFmtId="164" fontId="1" fillId="11" borderId="37" xfId="2" applyFont="1" applyFill="1" applyBorder="1" applyAlignment="1"/>
    <xf numFmtId="0" fontId="1" fillId="11" borderId="0" xfId="0" applyFont="1" applyFill="1"/>
    <xf numFmtId="164" fontId="1" fillId="0" borderId="0" xfId="2" applyFont="1" applyAlignment="1"/>
    <xf numFmtId="0" fontId="38" fillId="0" borderId="0" xfId="0" applyFont="1"/>
    <xf numFmtId="0" fontId="2" fillId="2" borderId="0" xfId="0" applyFont="1" applyFill="1"/>
    <xf numFmtId="0" fontId="1" fillId="2" borderId="0" xfId="0" applyFont="1" applyFill="1"/>
    <xf numFmtId="164" fontId="1" fillId="2" borderId="0" xfId="2" applyFont="1" applyFill="1" applyAlignment="1"/>
    <xf numFmtId="0" fontId="2" fillId="0" borderId="0" xfId="0" applyFont="1"/>
    <xf numFmtId="10" fontId="1" fillId="2" borderId="0" xfId="2" applyNumberFormat="1" applyFont="1" applyFill="1" applyAlignment="1"/>
    <xf numFmtId="0" fontId="31" fillId="10" borderId="12" xfId="0" applyFont="1" applyFill="1" applyBorder="1"/>
    <xf numFmtId="0" fontId="34" fillId="10" borderId="13" xfId="0" applyFont="1" applyFill="1" applyBorder="1"/>
    <xf numFmtId="0" fontId="2" fillId="6" borderId="48" xfId="0" applyFont="1" applyFill="1" applyBorder="1" applyAlignment="1">
      <alignment horizontal="left"/>
    </xf>
    <xf numFmtId="0" fontId="2" fillId="6" borderId="47" xfId="0" applyFont="1" applyFill="1" applyBorder="1" applyAlignment="1">
      <alignment horizontal="left"/>
    </xf>
    <xf numFmtId="0" fontId="41" fillId="6" borderId="47" xfId="2" applyNumberFormat="1" applyFont="1" applyFill="1" applyBorder="1" applyAlignment="1"/>
    <xf numFmtId="164" fontId="15" fillId="6" borderId="47" xfId="2" applyFont="1" applyFill="1" applyBorder="1" applyAlignment="1"/>
    <xf numFmtId="164" fontId="1" fillId="6" borderId="47" xfId="2" applyFont="1" applyFill="1" applyBorder="1"/>
    <xf numFmtId="0" fontId="1" fillId="6" borderId="47" xfId="0" applyFont="1" applyFill="1" applyBorder="1"/>
    <xf numFmtId="0" fontId="1" fillId="6" borderId="49" xfId="0" applyFont="1" applyFill="1" applyBorder="1"/>
    <xf numFmtId="0" fontId="42" fillId="6" borderId="47" xfId="2" applyNumberFormat="1" applyFont="1" applyFill="1" applyBorder="1" applyAlignment="1">
      <alignment horizontal="center"/>
    </xf>
    <xf numFmtId="0" fontId="32" fillId="6" borderId="47" xfId="0" applyFont="1" applyFill="1" applyBorder="1"/>
    <xf numFmtId="164" fontId="31" fillId="6" borderId="47" xfId="2" applyFont="1" applyFill="1" applyBorder="1" applyAlignment="1"/>
    <xf numFmtId="164" fontId="31" fillId="6" borderId="49" xfId="2" applyFont="1" applyFill="1" applyBorder="1" applyAlignment="1"/>
    <xf numFmtId="0" fontId="43" fillId="6" borderId="47" xfId="2" applyNumberFormat="1" applyFont="1" applyFill="1" applyBorder="1" applyAlignment="1">
      <alignment vertical="center"/>
    </xf>
    <xf numFmtId="164" fontId="43" fillId="6" borderId="47" xfId="2" applyFont="1" applyFill="1" applyBorder="1" applyAlignment="1">
      <alignment vertical="center"/>
    </xf>
    <xf numFmtId="164" fontId="16" fillId="6" borderId="48" xfId="2" applyFont="1" applyFill="1" applyBorder="1" applyAlignment="1">
      <alignment vertical="center"/>
    </xf>
    <xf numFmtId="164" fontId="16" fillId="6" borderId="47" xfId="2" applyFont="1" applyFill="1" applyBorder="1" applyAlignment="1">
      <alignment vertical="center"/>
    </xf>
    <xf numFmtId="0" fontId="42" fillId="6" borderId="47" xfId="2" applyNumberFormat="1" applyFont="1" applyFill="1" applyBorder="1" applyAlignment="1"/>
    <xf numFmtId="164" fontId="32" fillId="6" borderId="47" xfId="2" applyFont="1" applyFill="1" applyBorder="1"/>
    <xf numFmtId="1" fontId="32" fillId="6" borderId="47" xfId="0" applyNumberFormat="1" applyFont="1" applyFill="1" applyBorder="1" applyAlignment="1">
      <alignment horizontal="right"/>
    </xf>
    <xf numFmtId="0" fontId="41" fillId="6" borderId="47" xfId="2" applyNumberFormat="1" applyFont="1" applyFill="1" applyBorder="1" applyAlignment="1">
      <alignment horizontal="right"/>
    </xf>
    <xf numFmtId="37" fontId="15" fillId="6" borderId="47" xfId="2" applyNumberFormat="1" applyFont="1" applyFill="1" applyBorder="1" applyAlignment="1">
      <alignment horizontal="center"/>
    </xf>
    <xf numFmtId="1" fontId="15" fillId="6" borderId="47" xfId="0" applyNumberFormat="1" applyFont="1" applyFill="1" applyBorder="1" applyAlignment="1">
      <alignment horizontal="center"/>
    </xf>
    <xf numFmtId="0" fontId="1" fillId="7" borderId="47" xfId="0" applyFont="1" applyFill="1" applyBorder="1"/>
    <xf numFmtId="0" fontId="2" fillId="10" borderId="7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164" fontId="2" fillId="10" borderId="0" xfId="2" applyFont="1" applyFill="1" applyBorder="1" applyAlignment="1">
      <alignment horizontal="left"/>
    </xf>
    <xf numFmtId="0" fontId="1" fillId="10" borderId="8" xfId="0" applyFont="1" applyFill="1" applyBorder="1"/>
    <xf numFmtId="164" fontId="38" fillId="0" borderId="52" xfId="2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164" fontId="38" fillId="0" borderId="52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1" fillId="5" borderId="10" xfId="2" applyFont="1" applyFill="1" applyBorder="1"/>
    <xf numFmtId="164" fontId="1" fillId="5" borderId="10" xfId="0" applyNumberFormat="1" applyFont="1" applyFill="1" applyBorder="1"/>
    <xf numFmtId="49" fontId="14" fillId="5" borderId="12" xfId="0" applyNumberFormat="1" applyFont="1" applyFill="1" applyBorder="1" applyAlignment="1">
      <alignment horizontal="left"/>
    </xf>
    <xf numFmtId="49" fontId="14" fillId="5" borderId="13" xfId="0" applyNumberFormat="1" applyFont="1" applyFill="1" applyBorder="1"/>
    <xf numFmtId="0" fontId="2" fillId="5" borderId="17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64" fontId="2" fillId="5" borderId="13" xfId="2" applyFont="1" applyFill="1" applyBorder="1" applyAlignment="1">
      <alignment horizontal="center" vertical="center"/>
    </xf>
    <xf numFmtId="164" fontId="2" fillId="5" borderId="18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64" fontId="2" fillId="5" borderId="21" xfId="2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164" fontId="2" fillId="0" borderId="0" xfId="2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horizontal="center"/>
    </xf>
    <xf numFmtId="0" fontId="1" fillId="0" borderId="5" xfId="2" applyNumberFormat="1" applyFont="1" applyFill="1" applyBorder="1" applyAlignment="1">
      <alignment shrinkToFit="1"/>
    </xf>
    <xf numFmtId="0" fontId="1" fillId="0" borderId="0" xfId="0" applyFont="1" applyAlignment="1">
      <alignment horizontal="center" shrinkToFit="1"/>
    </xf>
    <xf numFmtId="164" fontId="1" fillId="0" borderId="6" xfId="2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164" fontId="1" fillId="0" borderId="0" xfId="2" applyFont="1" applyFill="1" applyBorder="1" applyAlignment="1">
      <alignment horizontal="right"/>
    </xf>
    <xf numFmtId="164" fontId="1" fillId="0" borderId="4" xfId="2" applyFont="1" applyFill="1" applyBorder="1"/>
    <xf numFmtId="164" fontId="1" fillId="0" borderId="5" xfId="0" applyNumberFormat="1" applyFont="1" applyBorder="1"/>
    <xf numFmtId="0" fontId="1" fillId="0" borderId="55" xfId="0" applyFont="1" applyBorder="1" applyAlignment="1">
      <alignment horizontal="left"/>
    </xf>
    <xf numFmtId="164" fontId="1" fillId="0" borderId="40" xfId="2" applyFont="1" applyFill="1" applyBorder="1"/>
    <xf numFmtId="0" fontId="1" fillId="0" borderId="56" xfId="0" applyFont="1" applyBorder="1"/>
    <xf numFmtId="164" fontId="2" fillId="0" borderId="74" xfId="0" applyNumberFormat="1" applyFont="1" applyBorder="1" applyAlignment="1">
      <alignment horizontal="center"/>
    </xf>
    <xf numFmtId="164" fontId="2" fillId="0" borderId="75" xfId="0" applyNumberFormat="1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49" fontId="6" fillId="0" borderId="7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49" fontId="2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shrinkToFit="1"/>
    </xf>
    <xf numFmtId="164" fontId="2" fillId="0" borderId="0" xfId="2" applyFont="1" applyFill="1" applyBorder="1" applyAlignment="1">
      <alignment horizontal="right"/>
    </xf>
    <xf numFmtId="164" fontId="2" fillId="0" borderId="30" xfId="0" applyNumberFormat="1" applyFont="1" applyBorder="1"/>
    <xf numFmtId="0" fontId="1" fillId="5" borderId="65" xfId="0" applyFont="1" applyFill="1" applyBorder="1" applyAlignment="1">
      <alignment horizontal="left"/>
    </xf>
    <xf numFmtId="164" fontId="1" fillId="5" borderId="66" xfId="2" applyFont="1" applyFill="1" applyBorder="1"/>
    <xf numFmtId="0" fontId="1" fillId="5" borderId="67" xfId="0" applyFont="1" applyFill="1" applyBorder="1"/>
    <xf numFmtId="49" fontId="31" fillId="5" borderId="7" xfId="0" applyNumberFormat="1" applyFont="1" applyFill="1" applyBorder="1" applyAlignment="1">
      <alignment horizontal="left"/>
    </xf>
    <xf numFmtId="49" fontId="31" fillId="5" borderId="0" xfId="0" applyNumberFormat="1" applyFont="1" applyFill="1"/>
    <xf numFmtId="0" fontId="2" fillId="5" borderId="14" xfId="0" applyFont="1" applyFill="1" applyBorder="1" applyAlignment="1">
      <alignment vertical="center" shrinkToFit="1"/>
    </xf>
    <xf numFmtId="0" fontId="2" fillId="5" borderId="15" xfId="0" applyFont="1" applyFill="1" applyBorder="1" applyAlignment="1">
      <alignment vertical="center" shrinkToFit="1"/>
    </xf>
    <xf numFmtId="164" fontId="2" fillId="5" borderId="15" xfId="2" applyFont="1" applyFill="1" applyBorder="1" applyAlignment="1">
      <alignment vertical="center"/>
    </xf>
    <xf numFmtId="164" fontId="2" fillId="5" borderId="16" xfId="2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5" borderId="68" xfId="0" applyFont="1" applyFill="1" applyBorder="1" applyAlignment="1">
      <alignment horizontal="left"/>
    </xf>
    <xf numFmtId="164" fontId="1" fillId="5" borderId="69" xfId="2" applyFont="1" applyFill="1" applyBorder="1"/>
    <xf numFmtId="0" fontId="1" fillId="5" borderId="70" xfId="0" applyFont="1" applyFill="1" applyBorder="1"/>
    <xf numFmtId="49" fontId="2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/>
    </xf>
    <xf numFmtId="164" fontId="2" fillId="5" borderId="15" xfId="2" applyFont="1" applyFill="1" applyBorder="1" applyAlignment="1">
      <alignment vertical="center" wrapText="1"/>
    </xf>
    <xf numFmtId="164" fontId="1" fillId="5" borderId="13" xfId="2" applyFont="1" applyFill="1" applyBorder="1"/>
    <xf numFmtId="0" fontId="1" fillId="5" borderId="71" xfId="0" applyFont="1" applyFill="1" applyBorder="1"/>
    <xf numFmtId="0" fontId="2" fillId="0" borderId="7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40" xfId="0" applyFont="1" applyBorder="1"/>
    <xf numFmtId="164" fontId="1" fillId="0" borderId="40" xfId="0" applyNumberFormat="1" applyFont="1" applyBorder="1"/>
    <xf numFmtId="164" fontId="1" fillId="0" borderId="6" xfId="2" applyFont="1" applyFill="1" applyBorder="1" applyAlignment="1">
      <alignment horizontal="center" vertical="center"/>
    </xf>
    <xf numFmtId="0" fontId="1" fillId="0" borderId="6" xfId="2" applyNumberFormat="1" applyFont="1" applyFill="1" applyBorder="1" applyAlignment="1">
      <alignment horizontal="center"/>
    </xf>
    <xf numFmtId="164" fontId="1" fillId="0" borderId="5" xfId="2" applyFont="1" applyFill="1" applyBorder="1" applyAlignment="1">
      <alignment horizontal="right"/>
    </xf>
    <xf numFmtId="0" fontId="1" fillId="0" borderId="32" xfId="0" applyFont="1" applyBorder="1"/>
    <xf numFmtId="0" fontId="1" fillId="0" borderId="0" xfId="2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left"/>
    </xf>
    <xf numFmtId="164" fontId="1" fillId="0" borderId="13" xfId="2" applyFont="1" applyFill="1" applyBorder="1" applyAlignment="1">
      <alignment shrinkToFit="1"/>
    </xf>
    <xf numFmtId="0" fontId="1" fillId="0" borderId="13" xfId="0" applyFont="1" applyBorder="1" applyAlignment="1">
      <alignment horizontal="center" shrinkToFit="1"/>
    </xf>
    <xf numFmtId="49" fontId="1" fillId="0" borderId="7" xfId="0" applyNumberFormat="1" applyFont="1" applyBorder="1" applyAlignment="1">
      <alignment horizontal="left"/>
    </xf>
    <xf numFmtId="164" fontId="1" fillId="0" borderId="0" xfId="2" applyFont="1" applyFill="1" applyBorder="1" applyAlignment="1">
      <alignment shrinkToFit="1"/>
    </xf>
    <xf numFmtId="164" fontId="2" fillId="0" borderId="77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5" borderId="72" xfId="0" applyFont="1" applyFill="1" applyBorder="1"/>
    <xf numFmtId="164" fontId="1" fillId="0" borderId="5" xfId="2" applyFont="1" applyFill="1" applyBorder="1" applyAlignment="1">
      <alignment shrinkToFit="1"/>
    </xf>
    <xf numFmtId="0" fontId="1" fillId="0" borderId="0" xfId="0" applyFont="1" applyAlignment="1">
      <alignment shrinkToFit="1"/>
    </xf>
    <xf numFmtId="164" fontId="1" fillId="0" borderId="0" xfId="2" applyFont="1" applyAlignment="1">
      <alignment shrinkToFit="1"/>
    </xf>
    <xf numFmtId="49" fontId="2" fillId="0" borderId="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/>
    <xf numFmtId="164" fontId="2" fillId="5" borderId="13" xfId="2" applyFont="1" applyFill="1" applyBorder="1" applyAlignment="1">
      <alignment horizontal="center"/>
    </xf>
    <xf numFmtId="0" fontId="1" fillId="5" borderId="21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horizontal="right" wrapText="1"/>
    </xf>
    <xf numFmtId="0" fontId="9" fillId="0" borderId="0" xfId="0" applyFont="1"/>
    <xf numFmtId="0" fontId="9" fillId="0" borderId="8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0" xfId="2" applyNumberFormat="1" applyFont="1" applyFill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164" fontId="9" fillId="0" borderId="10" xfId="2" applyFont="1" applyBorder="1" applyAlignment="1">
      <alignment shrinkToFit="1"/>
    </xf>
    <xf numFmtId="164" fontId="9" fillId="0" borderId="10" xfId="2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57" xfId="0" applyFont="1" applyBorder="1" applyAlignment="1">
      <alignment horizontal="left"/>
    </xf>
    <xf numFmtId="164" fontId="1" fillId="0" borderId="58" xfId="2" applyFont="1" applyFill="1" applyBorder="1"/>
    <xf numFmtId="0" fontId="1" fillId="0" borderId="59" xfId="0" applyFont="1" applyBorder="1"/>
    <xf numFmtId="164" fontId="2" fillId="0" borderId="78" xfId="0" applyNumberFormat="1" applyFont="1" applyBorder="1" applyAlignment="1">
      <alignment horizontal="center"/>
    </xf>
    <xf numFmtId="164" fontId="2" fillId="0" borderId="79" xfId="0" applyNumberFormat="1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164" fontId="1" fillId="0" borderId="54" xfId="2" applyFont="1" applyFill="1" applyBorder="1"/>
    <xf numFmtId="164" fontId="1" fillId="0" borderId="54" xfId="0" applyNumberFormat="1" applyFont="1" applyBorder="1"/>
    <xf numFmtId="0" fontId="1" fillId="0" borderId="41" xfId="0" applyFont="1" applyBorder="1" applyAlignment="1">
      <alignment horizontal="left"/>
    </xf>
    <xf numFmtId="164" fontId="1" fillId="0" borderId="40" xfId="2" applyFont="1" applyBorder="1"/>
    <xf numFmtId="0" fontId="1" fillId="0" borderId="40" xfId="0" applyFont="1" applyBorder="1" applyAlignment="1">
      <alignment horizontal="left"/>
    </xf>
    <xf numFmtId="164" fontId="1" fillId="0" borderId="0" xfId="2" applyFont="1" applyFill="1"/>
    <xf numFmtId="0" fontId="40" fillId="0" borderId="9" xfId="0" applyFont="1" applyBorder="1" applyAlignment="1">
      <alignment horizontal="center"/>
    </xf>
    <xf numFmtId="0" fontId="1" fillId="0" borderId="23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164" fontId="1" fillId="0" borderId="10" xfId="2" applyFont="1" applyFill="1" applyBorder="1"/>
    <xf numFmtId="164" fontId="1" fillId="0" borderId="22" xfId="2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4" fontId="2" fillId="0" borderId="10" xfId="2" applyFont="1" applyFill="1" applyBorder="1" applyAlignment="1">
      <alignment horizontal="right"/>
    </xf>
    <xf numFmtId="164" fontId="2" fillId="0" borderId="51" xfId="0" applyNumberFormat="1" applyFont="1" applyBorder="1"/>
    <xf numFmtId="0" fontId="33" fillId="8" borderId="12" xfId="0" applyFont="1" applyFill="1" applyBorder="1" applyAlignment="1">
      <alignment horizontal="center"/>
    </xf>
    <xf numFmtId="0" fontId="44" fillId="8" borderId="13" xfId="0" applyFont="1" applyFill="1" applyBorder="1"/>
    <xf numFmtId="0" fontId="44" fillId="8" borderId="13" xfId="0" applyFont="1" applyFill="1" applyBorder="1" applyAlignment="1">
      <alignment shrinkToFit="1"/>
    </xf>
    <xf numFmtId="164" fontId="44" fillId="8" borderId="13" xfId="2" applyFont="1" applyFill="1" applyBorder="1"/>
    <xf numFmtId="0" fontId="44" fillId="8" borderId="7" xfId="0" applyFont="1" applyFill="1" applyBorder="1"/>
    <xf numFmtId="0" fontId="1" fillId="8" borderId="0" xfId="0" applyFont="1" applyFill="1"/>
    <xf numFmtId="0" fontId="33" fillId="8" borderId="0" xfId="0" applyFont="1" applyFill="1" applyAlignment="1">
      <alignment vertical="center" shrinkToFit="1"/>
    </xf>
    <xf numFmtId="3" fontId="33" fillId="8" borderId="0" xfId="0" applyNumberFormat="1" applyFont="1" applyFill="1" applyAlignment="1">
      <alignment vertical="center"/>
    </xf>
    <xf numFmtId="0" fontId="33" fillId="8" borderId="7" xfId="2" applyNumberFormat="1" applyFont="1" applyFill="1" applyBorder="1"/>
    <xf numFmtId="0" fontId="44" fillId="8" borderId="9" xfId="0" applyFont="1" applyFill="1" applyBorder="1"/>
    <xf numFmtId="0" fontId="44" fillId="8" borderId="10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0" borderId="0" xfId="2" applyNumberFormat="1" applyFont="1" applyFill="1" applyAlignment="1">
      <alignment horizontal="left"/>
    </xf>
    <xf numFmtId="164" fontId="1" fillId="0" borderId="0" xfId="2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3" applyFont="1"/>
    <xf numFmtId="164" fontId="1" fillId="0" borderId="0" xfId="3" applyNumberFormat="1" applyFont="1"/>
    <xf numFmtId="165" fontId="46" fillId="0" borderId="0" xfId="1" applyFont="1" applyFill="1"/>
    <xf numFmtId="0" fontId="47" fillId="0" borderId="14" xfId="3" applyFont="1" applyBorder="1"/>
    <xf numFmtId="166" fontId="47" fillId="0" borderId="15" xfId="3" applyNumberFormat="1" applyFont="1" applyBorder="1"/>
    <xf numFmtId="164" fontId="47" fillId="0" borderId="16" xfId="3" applyNumberFormat="1" applyFont="1" applyBorder="1"/>
    <xf numFmtId="0" fontId="48" fillId="0" borderId="0" xfId="0" applyFont="1"/>
    <xf numFmtId="0" fontId="1" fillId="0" borderId="5" xfId="3" applyFont="1" applyBorder="1"/>
    <xf numFmtId="166" fontId="1" fillId="0" borderId="6" xfId="3" applyNumberFormat="1" applyFont="1" applyBorder="1"/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64" fontId="1" fillId="0" borderId="38" xfId="2" applyFont="1" applyFill="1" applyBorder="1" applyAlignment="1">
      <alignment horizontal="left"/>
    </xf>
    <xf numFmtId="0" fontId="47" fillId="0" borderId="15" xfId="3" applyFont="1" applyBorder="1"/>
    <xf numFmtId="166" fontId="1" fillId="0" borderId="15" xfId="3" applyNumberFormat="1" applyFont="1" applyBorder="1"/>
    <xf numFmtId="164" fontId="47" fillId="0" borderId="15" xfId="3" applyNumberFormat="1" applyFont="1" applyBorder="1"/>
    <xf numFmtId="166" fontId="1" fillId="0" borderId="0" xfId="3" applyNumberFormat="1" applyFont="1"/>
    <xf numFmtId="0" fontId="1" fillId="0" borderId="0" xfId="3" applyFont="1" applyAlignment="1">
      <alignment horizontal="left"/>
    </xf>
    <xf numFmtId="0" fontId="1" fillId="0" borderId="0" xfId="2" applyNumberFormat="1" applyFont="1" applyFill="1" applyBorder="1" applyAlignment="1">
      <alignment horizontal="left"/>
    </xf>
    <xf numFmtId="164" fontId="1" fillId="0" borderId="38" xfId="2" applyFont="1" applyFill="1" applyBorder="1"/>
    <xf numFmtId="164" fontId="41" fillId="6" borderId="47" xfId="2" applyFont="1" applyFill="1" applyBorder="1" applyAlignment="1"/>
    <xf numFmtId="164" fontId="42" fillId="6" borderId="47" xfId="2" applyFont="1" applyFill="1" applyBorder="1" applyAlignment="1">
      <alignment horizontal="center"/>
    </xf>
    <xf numFmtId="164" fontId="42" fillId="6" borderId="47" xfId="2" applyFont="1" applyFill="1" applyBorder="1" applyAlignment="1"/>
    <xf numFmtId="164" fontId="41" fillId="6" borderId="47" xfId="2" applyFont="1" applyFill="1" applyBorder="1" applyAlignment="1">
      <alignment horizontal="right"/>
    </xf>
    <xf numFmtId="0" fontId="38" fillId="0" borderId="40" xfId="0" applyFont="1" applyBorder="1" applyAlignment="1">
      <alignment horizontal="center"/>
    </xf>
    <xf numFmtId="164" fontId="38" fillId="0" borderId="40" xfId="2" applyFont="1" applyBorder="1" applyAlignment="1">
      <alignment horizontal="center"/>
    </xf>
    <xf numFmtId="164" fontId="38" fillId="0" borderId="40" xfId="0" applyNumberFormat="1" applyFont="1" applyBorder="1" applyAlignment="1">
      <alignment horizontal="center"/>
    </xf>
    <xf numFmtId="0" fontId="1" fillId="5" borderId="7" xfId="0" applyFont="1" applyFill="1" applyBorder="1"/>
    <xf numFmtId="0" fontId="2" fillId="5" borderId="0" xfId="0" applyFont="1" applyFill="1" applyAlignment="1">
      <alignment vertical="center"/>
    </xf>
    <xf numFmtId="164" fontId="1" fillId="5" borderId="11" xfId="0" applyNumberFormat="1" applyFont="1" applyFill="1" applyBorder="1"/>
    <xf numFmtId="0" fontId="31" fillId="5" borderId="0" xfId="0" applyFont="1" applyFill="1" applyAlignment="1">
      <alignment horizontal="left"/>
    </xf>
    <xf numFmtId="0" fontId="31" fillId="5" borderId="0" xfId="0" applyFont="1" applyFill="1"/>
    <xf numFmtId="1" fontId="2" fillId="5" borderId="17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" fillId="0" borderId="5" xfId="0" applyNumberFormat="1" applyFont="1" applyBorder="1" applyAlignment="1">
      <alignment horizontal="right"/>
    </xf>
    <xf numFmtId="164" fontId="1" fillId="0" borderId="19" xfId="0" applyNumberFormat="1" applyFont="1" applyBorder="1"/>
    <xf numFmtId="164" fontId="2" fillId="0" borderId="25" xfId="0" applyNumberFormat="1" applyFont="1" applyBorder="1"/>
    <xf numFmtId="1" fontId="2" fillId="5" borderId="14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164" fontId="1" fillId="0" borderId="8" xfId="0" applyNumberFormat="1" applyFont="1" applyBorder="1"/>
    <xf numFmtId="0" fontId="1" fillId="0" borderId="85" xfId="0" applyFont="1" applyBorder="1" applyAlignment="1">
      <alignment horizontal="left"/>
    </xf>
    <xf numFmtId="0" fontId="1" fillId="0" borderId="86" xfId="0" applyFont="1" applyBorder="1"/>
    <xf numFmtId="0" fontId="1" fillId="0" borderId="61" xfId="0" applyFont="1" applyBorder="1" applyAlignment="1">
      <alignment horizontal="left"/>
    </xf>
    <xf numFmtId="0" fontId="1" fillId="0" borderId="64" xfId="0" applyFont="1" applyBorder="1"/>
    <xf numFmtId="164" fontId="2" fillId="0" borderId="87" xfId="0" applyNumberFormat="1" applyFont="1" applyBorder="1" applyAlignment="1">
      <alignment horizontal="center"/>
    </xf>
    <xf numFmtId="164" fontId="2" fillId="0" borderId="88" xfId="0" applyNumberFormat="1" applyFont="1" applyBorder="1" applyAlignment="1">
      <alignment horizontal="center"/>
    </xf>
    <xf numFmtId="0" fontId="1" fillId="0" borderId="90" xfId="0" applyFont="1" applyBorder="1" applyAlignment="1">
      <alignment horizontal="left"/>
    </xf>
    <xf numFmtId="164" fontId="1" fillId="0" borderId="30" xfId="2" applyFont="1" applyFill="1" applyBorder="1"/>
    <xf numFmtId="0" fontId="1" fillId="0" borderId="30" xfId="0" applyFont="1" applyBorder="1"/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4" fillId="8" borderId="0" xfId="0" applyFont="1" applyFill="1"/>
    <xf numFmtId="49" fontId="2" fillId="0" borderId="13" xfId="0" applyNumberFormat="1" applyFont="1" applyBorder="1" applyAlignment="1">
      <alignment horizontal="right"/>
    </xf>
    <xf numFmtId="164" fontId="1" fillId="0" borderId="52" xfId="2" applyFont="1" applyFill="1" applyBorder="1"/>
    <xf numFmtId="164" fontId="1" fillId="0" borderId="30" xfId="2" applyFont="1" applyBorder="1"/>
    <xf numFmtId="164" fontId="1" fillId="0" borderId="30" xfId="0" applyNumberFormat="1" applyFont="1" applyBorder="1"/>
    <xf numFmtId="1" fontId="1" fillId="0" borderId="0" xfId="0" applyNumberFormat="1" applyFont="1" applyAlignment="1">
      <alignment horizontal="right" shrinkToFit="1"/>
    </xf>
    <xf numFmtId="1" fontId="1" fillId="0" borderId="0" xfId="0" applyNumberFormat="1" applyFont="1"/>
    <xf numFmtId="0" fontId="31" fillId="5" borderId="27" xfId="0" applyFont="1" applyFill="1" applyBorder="1"/>
    <xf numFmtId="0" fontId="31" fillId="5" borderId="28" xfId="0" applyFont="1" applyFill="1" applyBorder="1"/>
    <xf numFmtId="0" fontId="47" fillId="0" borderId="0" xfId="0" applyFont="1"/>
    <xf numFmtId="1" fontId="1" fillId="0" borderId="5" xfId="0" applyNumberFormat="1" applyFont="1" applyBorder="1" applyAlignment="1">
      <alignment shrinkToFit="1"/>
    </xf>
    <xf numFmtId="0" fontId="1" fillId="0" borderId="89" xfId="0" applyFont="1" applyBorder="1" applyAlignment="1">
      <alignment horizontal="left"/>
    </xf>
    <xf numFmtId="164" fontId="1" fillId="0" borderId="37" xfId="2" applyFont="1" applyBorder="1"/>
    <xf numFmtId="0" fontId="1" fillId="0" borderId="37" xfId="0" applyFont="1" applyBorder="1"/>
    <xf numFmtId="0" fontId="2" fillId="10" borderId="12" xfId="0" applyFont="1" applyFill="1" applyBorder="1"/>
    <xf numFmtId="0" fontId="2" fillId="10" borderId="13" xfId="0" applyFont="1" applyFill="1" applyBorder="1"/>
    <xf numFmtId="164" fontId="41" fillId="6" borderId="47" xfId="2" applyFont="1" applyFill="1" applyBorder="1" applyAlignment="1">
      <alignment horizontal="center"/>
    </xf>
    <xf numFmtId="164" fontId="2" fillId="6" borderId="47" xfId="2" applyFont="1" applyFill="1" applyBorder="1" applyAlignment="1"/>
    <xf numFmtId="164" fontId="2" fillId="6" borderId="49" xfId="2" applyFont="1" applyFill="1" applyBorder="1" applyAlignment="1"/>
    <xf numFmtId="164" fontId="41" fillId="6" borderId="47" xfId="2" applyFont="1" applyFill="1" applyBorder="1" applyAlignment="1">
      <alignment vertical="center"/>
    </xf>
    <xf numFmtId="164" fontId="15" fillId="6" borderId="48" xfId="2" applyFont="1" applyFill="1" applyBorder="1" applyAlignment="1">
      <alignment vertical="center"/>
    </xf>
    <xf numFmtId="164" fontId="15" fillId="6" borderId="47" xfId="2" applyFont="1" applyFill="1" applyBorder="1" applyAlignment="1">
      <alignment vertical="center"/>
    </xf>
    <xf numFmtId="0" fontId="2" fillId="0" borderId="40" xfId="0" applyFont="1" applyBorder="1" applyAlignment="1">
      <alignment horizontal="center"/>
    </xf>
    <xf numFmtId="164" fontId="2" fillId="0" borderId="40" xfId="2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49" fontId="1" fillId="0" borderId="7" xfId="0" applyNumberFormat="1" applyFont="1" applyBorder="1" applyAlignment="1">
      <alignment horizontal="right"/>
    </xf>
    <xf numFmtId="0" fontId="41" fillId="8" borderId="12" xfId="0" applyFont="1" applyFill="1" applyBorder="1" applyAlignment="1">
      <alignment horizontal="center"/>
    </xf>
    <xf numFmtId="0" fontId="32" fillId="8" borderId="13" xfId="0" applyFont="1" applyFill="1" applyBorder="1"/>
    <xf numFmtId="0" fontId="32" fillId="8" borderId="13" xfId="0" applyFont="1" applyFill="1" applyBorder="1" applyAlignment="1">
      <alignment shrinkToFit="1"/>
    </xf>
    <xf numFmtId="164" fontId="32" fillId="8" borderId="13" xfId="2" applyFont="1" applyFill="1" applyBorder="1"/>
    <xf numFmtId="0" fontId="32" fillId="8" borderId="7" xfId="0" applyFont="1" applyFill="1" applyBorder="1"/>
    <xf numFmtId="0" fontId="41" fillId="8" borderId="0" xfId="0" applyFont="1" applyFill="1" applyAlignment="1">
      <alignment vertical="center" shrinkToFit="1"/>
    </xf>
    <xf numFmtId="3" fontId="41" fillId="8" borderId="0" xfId="0" applyNumberFormat="1" applyFont="1" applyFill="1" applyAlignment="1">
      <alignment vertical="center"/>
    </xf>
    <xf numFmtId="0" fontId="32" fillId="8" borderId="0" xfId="0" applyFont="1" applyFill="1"/>
    <xf numFmtId="0" fontId="32" fillId="8" borderId="10" xfId="0" applyFont="1" applyFill="1" applyBorder="1"/>
    <xf numFmtId="164" fontId="1" fillId="6" borderId="47" xfId="2" applyFont="1" applyFill="1" applyBorder="1" applyAlignment="1"/>
    <xf numFmtId="164" fontId="43" fillId="6" borderId="47" xfId="2" applyFont="1" applyFill="1" applyBorder="1" applyAlignment="1"/>
    <xf numFmtId="164" fontId="16" fillId="6" borderId="48" xfId="2" applyFont="1" applyFill="1" applyBorder="1" applyAlignment="1"/>
    <xf numFmtId="164" fontId="16" fillId="6" borderId="47" xfId="2" applyFont="1" applyFill="1" applyBorder="1" applyAlignment="1"/>
    <xf numFmtId="164" fontId="32" fillId="6" borderId="47" xfId="2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1" fillId="5" borderId="10" xfId="2" applyFont="1" applyFill="1" applyBorder="1" applyAlignment="1"/>
    <xf numFmtId="0" fontId="2" fillId="5" borderId="13" xfId="0" applyFont="1" applyFill="1" applyBorder="1" applyAlignment="1">
      <alignment horizontal="center" shrinkToFit="1"/>
    </xf>
    <xf numFmtId="164" fontId="2" fillId="5" borderId="18" xfId="2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64" fontId="2" fillId="5" borderId="21" xfId="2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1" fillId="0" borderId="4" xfId="2" applyFont="1" applyFill="1" applyBorder="1" applyAlignment="1"/>
    <xf numFmtId="164" fontId="1" fillId="0" borderId="40" xfId="2" applyFont="1" applyFill="1" applyBorder="1" applyAlignment="1"/>
    <xf numFmtId="164" fontId="1" fillId="5" borderId="66" xfId="2" applyFont="1" applyFill="1" applyBorder="1" applyAlignment="1"/>
    <xf numFmtId="0" fontId="2" fillId="5" borderId="15" xfId="0" applyFont="1" applyFill="1" applyBorder="1" applyAlignment="1">
      <alignment shrinkToFit="1"/>
    </xf>
    <xf numFmtId="164" fontId="2" fillId="5" borderId="15" xfId="2" applyFont="1" applyFill="1" applyBorder="1" applyAlignment="1"/>
    <xf numFmtId="164" fontId="2" fillId="5" borderId="16" xfId="2" applyFont="1" applyFill="1" applyBorder="1" applyAlignment="1"/>
    <xf numFmtId="1" fontId="2" fillId="5" borderId="14" xfId="0" applyNumberFormat="1" applyFont="1" applyFill="1" applyBorder="1"/>
    <xf numFmtId="0" fontId="2" fillId="5" borderId="26" xfId="0" applyFont="1" applyFill="1" applyBorder="1"/>
    <xf numFmtId="164" fontId="1" fillId="5" borderId="69" xfId="2" applyFont="1" applyFill="1" applyBorder="1" applyAlignment="1"/>
    <xf numFmtId="164" fontId="1" fillId="0" borderId="0" xfId="2" applyFont="1" applyFill="1" applyAlignment="1"/>
    <xf numFmtId="164" fontId="1" fillId="5" borderId="13" xfId="2" applyFont="1" applyFill="1" applyBorder="1" applyAlignment="1"/>
    <xf numFmtId="164" fontId="1" fillId="0" borderId="10" xfId="2" applyFont="1" applyFill="1" applyBorder="1" applyAlignment="1"/>
    <xf numFmtId="1" fontId="1" fillId="0" borderId="23" xfId="0" applyNumberFormat="1" applyFont="1" applyBorder="1" applyAlignment="1">
      <alignment horizontal="right"/>
    </xf>
    <xf numFmtId="164" fontId="2" fillId="0" borderId="24" xfId="0" applyNumberFormat="1" applyFont="1" applyBorder="1"/>
    <xf numFmtId="0" fontId="10" fillId="0" borderId="12" xfId="0" applyFont="1" applyBorder="1"/>
    <xf numFmtId="0" fontId="10" fillId="0" borderId="18" xfId="0" applyFont="1" applyBorder="1"/>
    <xf numFmtId="0" fontId="2" fillId="5" borderId="14" xfId="0" applyFont="1" applyFill="1" applyBorder="1" applyAlignment="1">
      <alignment shrinkToFit="1"/>
    </xf>
    <xf numFmtId="49" fontId="2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4" fontId="1" fillId="0" borderId="37" xfId="2" applyFont="1" applyBorder="1" applyAlignment="1"/>
    <xf numFmtId="164" fontId="44" fillId="8" borderId="13" xfId="2" applyFont="1" applyFill="1" applyBorder="1" applyAlignment="1"/>
    <xf numFmtId="0" fontId="33" fillId="8" borderId="0" xfId="0" applyFont="1" applyFill="1" applyAlignment="1">
      <alignment shrinkToFit="1"/>
    </xf>
    <xf numFmtId="3" fontId="33" fillId="8" borderId="0" xfId="0" applyNumberFormat="1" applyFont="1" applyFill="1"/>
    <xf numFmtId="0" fontId="1" fillId="0" borderId="0" xfId="2" applyNumberFormat="1" applyFont="1" applyFill="1" applyBorder="1" applyAlignment="1">
      <alignment shrinkToFit="1"/>
    </xf>
    <xf numFmtId="0" fontId="10" fillId="0" borderId="6" xfId="0" applyFont="1" applyBorder="1"/>
    <xf numFmtId="164" fontId="1" fillId="0" borderId="40" xfId="2" applyFont="1" applyBorder="1" applyAlignment="1"/>
    <xf numFmtId="0" fontId="2" fillId="5" borderId="7" xfId="0" applyFont="1" applyFill="1" applyBorder="1"/>
    <xf numFmtId="0" fontId="2" fillId="5" borderId="0" xfId="0" applyFont="1" applyFill="1"/>
    <xf numFmtId="0" fontId="1" fillId="0" borderId="6" xfId="0" applyFont="1" applyBorder="1" applyAlignment="1">
      <alignment horizontal="left"/>
    </xf>
    <xf numFmtId="164" fontId="1" fillId="0" borderId="30" xfId="2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shrinkToFit="1"/>
    </xf>
    <xf numFmtId="0" fontId="10" fillId="0" borderId="13" xfId="0" applyFont="1" applyBorder="1"/>
    <xf numFmtId="164" fontId="1" fillId="0" borderId="37" xfId="2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0" xfId="0" applyFont="1" applyAlignment="1">
      <alignment horizontal="right" shrinkToFit="1"/>
    </xf>
    <xf numFmtId="0" fontId="2" fillId="5" borderId="17" xfId="0" applyFont="1" applyFill="1" applyBorder="1" applyAlignment="1">
      <alignment horizontal="center" shrinkToFit="1"/>
    </xf>
    <xf numFmtId="0" fontId="1" fillId="0" borderId="91" xfId="0" applyFont="1" applyBorder="1" applyAlignment="1">
      <alignment horizontal="left"/>
    </xf>
    <xf numFmtId="164" fontId="1" fillId="0" borderId="92" xfId="2" applyFont="1" applyFill="1" applyBorder="1"/>
    <xf numFmtId="0" fontId="1" fillId="0" borderId="93" xfId="0" applyFont="1" applyBorder="1"/>
    <xf numFmtId="0" fontId="1" fillId="0" borderId="94" xfId="0" applyFont="1" applyBorder="1" applyAlignment="1">
      <alignment horizontal="left"/>
    </xf>
    <xf numFmtId="0" fontId="1" fillId="0" borderId="95" xfId="0" applyFont="1" applyBorder="1"/>
    <xf numFmtId="164" fontId="1" fillId="0" borderId="96" xfId="2" applyFont="1" applyFill="1" applyBorder="1"/>
    <xf numFmtId="164" fontId="2" fillId="0" borderId="98" xfId="0" applyNumberFormat="1" applyFont="1" applyBorder="1" applyAlignment="1">
      <alignment horizontal="center"/>
    </xf>
    <xf numFmtId="164" fontId="2" fillId="0" borderId="97" xfId="2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0" borderId="99" xfId="0" applyNumberFormat="1" applyFont="1" applyBorder="1" applyAlignment="1">
      <alignment horizontal="center"/>
    </xf>
    <xf numFmtId="164" fontId="2" fillId="0" borderId="100" xfId="2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6" xfId="0" applyFont="1" applyBorder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89" xfId="0" applyFont="1" applyBorder="1"/>
    <xf numFmtId="164" fontId="1" fillId="0" borderId="37" xfId="2" applyFont="1" applyFill="1" applyBorder="1"/>
    <xf numFmtId="164" fontId="2" fillId="0" borderId="102" xfId="0" applyNumberFormat="1" applyFont="1" applyBorder="1" applyAlignment="1">
      <alignment horizontal="center"/>
    </xf>
    <xf numFmtId="164" fontId="2" fillId="0" borderId="103" xfId="0" applyNumberFormat="1" applyFont="1" applyBorder="1" applyAlignment="1">
      <alignment horizontal="center"/>
    </xf>
    <xf numFmtId="0" fontId="31" fillId="10" borderId="13" xfId="0" applyFont="1" applyFill="1" applyBorder="1"/>
    <xf numFmtId="164" fontId="10" fillId="0" borderId="0" xfId="2" applyFont="1"/>
    <xf numFmtId="164" fontId="10" fillId="0" borderId="0" xfId="0" applyNumberFormat="1" applyFont="1"/>
    <xf numFmtId="0" fontId="31" fillId="6" borderId="48" xfId="0" applyFont="1" applyFill="1" applyBorder="1" applyAlignment="1">
      <alignment horizontal="left"/>
    </xf>
    <xf numFmtId="0" fontId="31" fillId="6" borderId="47" xfId="0" applyFont="1" applyFill="1" applyBorder="1" applyAlignment="1">
      <alignment horizontal="left"/>
    </xf>
    <xf numFmtId="164" fontId="14" fillId="6" borderId="47" xfId="2" applyFont="1" applyFill="1" applyBorder="1" applyAlignment="1"/>
    <xf numFmtId="164" fontId="10" fillId="6" borderId="47" xfId="2" applyFont="1" applyFill="1" applyBorder="1"/>
    <xf numFmtId="0" fontId="10" fillId="6" borderId="47" xfId="0" applyFont="1" applyFill="1" applyBorder="1"/>
    <xf numFmtId="0" fontId="10" fillId="6" borderId="49" xfId="0" applyFont="1" applyFill="1" applyBorder="1"/>
    <xf numFmtId="0" fontId="53" fillId="6" borderId="47" xfId="0" applyFont="1" applyFill="1" applyBorder="1"/>
    <xf numFmtId="164" fontId="42" fillId="6" borderId="47" xfId="2" applyFont="1" applyFill="1" applyBorder="1" applyAlignment="1">
      <alignment vertical="center"/>
    </xf>
    <xf numFmtId="164" fontId="14" fillId="6" borderId="48" xfId="2" applyFont="1" applyFill="1" applyBorder="1" applyAlignment="1">
      <alignment vertical="center"/>
    </xf>
    <xf numFmtId="164" fontId="14" fillId="6" borderId="47" xfId="2" applyFont="1" applyFill="1" applyBorder="1" applyAlignment="1">
      <alignment vertical="center"/>
    </xf>
    <xf numFmtId="164" fontId="53" fillId="6" borderId="47" xfId="2" applyFont="1" applyFill="1" applyBorder="1"/>
    <xf numFmtId="1" fontId="53" fillId="6" borderId="47" xfId="0" applyNumberFormat="1" applyFont="1" applyFill="1" applyBorder="1" applyAlignment="1">
      <alignment horizontal="right"/>
    </xf>
    <xf numFmtId="164" fontId="42" fillId="6" borderId="47" xfId="2" applyFont="1" applyFill="1" applyBorder="1" applyAlignment="1">
      <alignment horizontal="right"/>
    </xf>
    <xf numFmtId="37" fontId="14" fillId="6" borderId="47" xfId="2" applyNumberFormat="1" applyFont="1" applyFill="1" applyBorder="1" applyAlignment="1">
      <alignment horizontal="center"/>
    </xf>
    <xf numFmtId="1" fontId="14" fillId="6" borderId="47" xfId="0" applyNumberFormat="1" applyFont="1" applyFill="1" applyBorder="1" applyAlignment="1">
      <alignment horizontal="center"/>
    </xf>
    <xf numFmtId="164" fontId="19" fillId="6" borderId="47" xfId="2" applyFont="1" applyFill="1" applyBorder="1" applyAlignment="1">
      <alignment horizontal="left"/>
    </xf>
    <xf numFmtId="0" fontId="10" fillId="7" borderId="47" xfId="0" applyFont="1" applyFill="1" applyBorder="1"/>
    <xf numFmtId="0" fontId="31" fillId="10" borderId="7" xfId="0" applyFont="1" applyFill="1" applyBorder="1" applyAlignment="1">
      <alignment horizontal="left"/>
    </xf>
    <xf numFmtId="0" fontId="31" fillId="10" borderId="0" xfId="0" applyFont="1" applyFill="1" applyAlignment="1">
      <alignment horizontal="left"/>
    </xf>
    <xf numFmtId="164" fontId="31" fillId="10" borderId="0" xfId="2" applyFont="1" applyFill="1" applyBorder="1" applyAlignment="1">
      <alignment horizontal="left"/>
    </xf>
    <xf numFmtId="0" fontId="10" fillId="10" borderId="8" xfId="0" applyFont="1" applyFill="1" applyBorder="1"/>
    <xf numFmtId="0" fontId="31" fillId="0" borderId="40" xfId="0" applyFont="1" applyBorder="1" applyAlignment="1">
      <alignment horizontal="center"/>
    </xf>
    <xf numFmtId="164" fontId="31" fillId="0" borderId="40" xfId="2" applyFont="1" applyBorder="1" applyAlignment="1">
      <alignment horizontal="center"/>
    </xf>
    <xf numFmtId="164" fontId="31" fillId="0" borderId="40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0" xfId="0" applyFont="1" applyFill="1"/>
    <xf numFmtId="0" fontId="10" fillId="0" borderId="40" xfId="0" applyFont="1" applyBorder="1" applyAlignment="1">
      <alignment horizontal="left"/>
    </xf>
    <xf numFmtId="164" fontId="10" fillId="0" borderId="40" xfId="2" applyFont="1" applyBorder="1"/>
    <xf numFmtId="0" fontId="10" fillId="0" borderId="40" xfId="0" applyFont="1" applyBorder="1"/>
    <xf numFmtId="164" fontId="10" fillId="0" borderId="40" xfId="0" applyNumberFormat="1" applyFont="1" applyBorder="1"/>
    <xf numFmtId="0" fontId="31" fillId="5" borderId="7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4" fontId="10" fillId="5" borderId="10" xfId="2" applyFont="1" applyFill="1" applyBorder="1"/>
    <xf numFmtId="164" fontId="10" fillId="5" borderId="11" xfId="0" applyNumberFormat="1" applyFont="1" applyFill="1" applyBorder="1"/>
    <xf numFmtId="0" fontId="31" fillId="5" borderId="17" xfId="0" applyFont="1" applyFill="1" applyBorder="1" applyAlignment="1">
      <alignment horizontal="center" vertical="center" shrinkToFit="1"/>
    </xf>
    <xf numFmtId="0" fontId="31" fillId="5" borderId="13" xfId="0" applyFont="1" applyFill="1" applyBorder="1" applyAlignment="1">
      <alignment horizontal="center" vertical="center" shrinkToFit="1"/>
    </xf>
    <xf numFmtId="164" fontId="31" fillId="5" borderId="13" xfId="2" applyFont="1" applyFill="1" applyBorder="1" applyAlignment="1">
      <alignment horizontal="center" vertical="center"/>
    </xf>
    <xf numFmtId="164" fontId="31" fillId="5" borderId="18" xfId="2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64" fontId="31" fillId="5" borderId="21" xfId="2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0" fontId="10" fillId="0" borderId="5" xfId="2" applyNumberFormat="1" applyFont="1" applyFill="1" applyBorder="1" applyAlignment="1">
      <alignment shrinkToFit="1"/>
    </xf>
    <xf numFmtId="0" fontId="10" fillId="0" borderId="0" xfId="0" applyFont="1" applyAlignment="1">
      <alignment horizontal="center" shrinkToFit="1"/>
    </xf>
    <xf numFmtId="164" fontId="10" fillId="0" borderId="0" xfId="2" applyFont="1" applyFill="1" applyBorder="1" applyAlignment="1">
      <alignment horizontal="center"/>
    </xf>
    <xf numFmtId="164" fontId="10" fillId="0" borderId="6" xfId="2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right"/>
    </xf>
    <xf numFmtId="164" fontId="10" fillId="0" borderId="0" xfId="2" applyFont="1" applyFill="1" applyBorder="1" applyAlignment="1">
      <alignment horizontal="right"/>
    </xf>
    <xf numFmtId="164" fontId="10" fillId="0" borderId="4" xfId="2" applyFont="1" applyFill="1" applyBorder="1"/>
    <xf numFmtId="164" fontId="10" fillId="0" borderId="19" xfId="0" applyNumberFormat="1" applyFont="1" applyBorder="1"/>
    <xf numFmtId="0" fontId="10" fillId="0" borderId="55" xfId="0" applyFont="1" applyBorder="1" applyAlignment="1">
      <alignment horizontal="left"/>
    </xf>
    <xf numFmtId="164" fontId="10" fillId="0" borderId="40" xfId="2" applyFont="1" applyFill="1" applyBorder="1"/>
    <xf numFmtId="0" fontId="10" fillId="0" borderId="56" xfId="0" applyFont="1" applyBorder="1"/>
    <xf numFmtId="164" fontId="31" fillId="0" borderId="74" xfId="0" applyNumberFormat="1" applyFont="1" applyBorder="1" applyAlignment="1">
      <alignment horizontal="center"/>
    </xf>
    <xf numFmtId="164" fontId="31" fillId="0" borderId="75" xfId="0" applyNumberFormat="1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49" fontId="10" fillId="0" borderId="7" xfId="0" applyNumberFormat="1" applyFont="1" applyBorder="1" applyAlignment="1">
      <alignment horizontal="right"/>
    </xf>
    <xf numFmtId="164" fontId="10" fillId="0" borderId="0" xfId="2" applyFont="1" applyFill="1"/>
    <xf numFmtId="0" fontId="10" fillId="0" borderId="85" xfId="0" applyFont="1" applyBorder="1" applyAlignment="1">
      <alignment horizontal="left"/>
    </xf>
    <xf numFmtId="164" fontId="10" fillId="0" borderId="52" xfId="2" applyFont="1" applyFill="1" applyBorder="1"/>
    <xf numFmtId="0" fontId="10" fillId="0" borderId="86" xfId="0" applyFont="1" applyBorder="1"/>
    <xf numFmtId="0" fontId="10" fillId="0" borderId="64" xfId="0" applyFont="1" applyBorder="1"/>
    <xf numFmtId="49" fontId="31" fillId="0" borderId="7" xfId="0" applyNumberFormat="1" applyFont="1" applyBorder="1" applyAlignment="1">
      <alignment horizontal="right"/>
    </xf>
    <xf numFmtId="0" fontId="10" fillId="0" borderId="5" xfId="0" applyFont="1" applyBorder="1" applyAlignment="1">
      <alignment shrinkToFit="1"/>
    </xf>
    <xf numFmtId="164" fontId="31" fillId="0" borderId="0" xfId="2" applyFont="1" applyFill="1" applyBorder="1" applyAlignment="1">
      <alignment horizontal="right"/>
    </xf>
    <xf numFmtId="164" fontId="31" fillId="0" borderId="25" xfId="0" applyNumberFormat="1" applyFont="1" applyBorder="1"/>
    <xf numFmtId="0" fontId="10" fillId="5" borderId="65" xfId="0" applyFont="1" applyFill="1" applyBorder="1" applyAlignment="1">
      <alignment horizontal="left"/>
    </xf>
    <xf numFmtId="164" fontId="10" fillId="5" borderId="66" xfId="2" applyFont="1" applyFill="1" applyBorder="1"/>
    <xf numFmtId="0" fontId="10" fillId="5" borderId="67" xfId="0" applyFont="1" applyFill="1" applyBorder="1"/>
    <xf numFmtId="0" fontId="31" fillId="5" borderId="14" xfId="0" applyFont="1" applyFill="1" applyBorder="1" applyAlignment="1">
      <alignment vertical="center" shrinkToFit="1"/>
    </xf>
    <xf numFmtId="0" fontId="31" fillId="5" borderId="15" xfId="0" applyFont="1" applyFill="1" applyBorder="1" applyAlignment="1">
      <alignment vertical="center" shrinkToFit="1"/>
    </xf>
    <xf numFmtId="164" fontId="31" fillId="5" borderId="15" xfId="2" applyFont="1" applyFill="1" applyBorder="1" applyAlignment="1">
      <alignment vertical="center"/>
    </xf>
    <xf numFmtId="164" fontId="31" fillId="5" borderId="16" xfId="2" applyFont="1" applyFill="1" applyBorder="1" applyAlignment="1">
      <alignment vertical="center"/>
    </xf>
    <xf numFmtId="1" fontId="31" fillId="5" borderId="14" xfId="0" applyNumberFormat="1" applyFont="1" applyFill="1" applyBorder="1" applyAlignment="1">
      <alignment vertical="center"/>
    </xf>
    <xf numFmtId="0" fontId="31" fillId="5" borderId="26" xfId="0" applyFont="1" applyFill="1" applyBorder="1" applyAlignment="1">
      <alignment vertical="center"/>
    </xf>
    <xf numFmtId="0" fontId="10" fillId="5" borderId="68" xfId="0" applyFont="1" applyFill="1" applyBorder="1" applyAlignment="1">
      <alignment horizontal="left"/>
    </xf>
    <xf numFmtId="164" fontId="10" fillId="5" borderId="69" xfId="2" applyFont="1" applyFill="1" applyBorder="1"/>
    <xf numFmtId="0" fontId="10" fillId="5" borderId="70" xfId="0" applyFont="1" applyFill="1" applyBorder="1"/>
    <xf numFmtId="164" fontId="10" fillId="0" borderId="0" xfId="2" applyFont="1" applyAlignment="1">
      <alignment horizontal="left"/>
    </xf>
    <xf numFmtId="164" fontId="10" fillId="0" borderId="8" xfId="0" applyNumberFormat="1" applyFont="1" applyBorder="1"/>
    <xf numFmtId="164" fontId="10" fillId="5" borderId="13" xfId="2" applyFont="1" applyFill="1" applyBorder="1"/>
    <xf numFmtId="0" fontId="10" fillId="5" borderId="71" xfId="0" applyFont="1" applyFill="1" applyBorder="1"/>
    <xf numFmtId="0" fontId="31" fillId="0" borderId="77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49" fontId="31" fillId="0" borderId="12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left"/>
    </xf>
    <xf numFmtId="164" fontId="10" fillId="0" borderId="0" xfId="2" applyFont="1" applyFill="1" applyBorder="1"/>
    <xf numFmtId="0" fontId="10" fillId="0" borderId="32" xfId="0" applyFont="1" applyBorder="1"/>
    <xf numFmtId="164" fontId="10" fillId="0" borderId="5" xfId="0" applyNumberFormat="1" applyFont="1" applyBorder="1"/>
    <xf numFmtId="0" fontId="10" fillId="0" borderId="33" xfId="0" applyFont="1" applyBorder="1" applyAlignment="1">
      <alignment horizontal="left"/>
    </xf>
    <xf numFmtId="164" fontId="31" fillId="0" borderId="101" xfId="0" applyNumberFormat="1" applyFont="1" applyBorder="1" applyAlignment="1">
      <alignment horizontal="center"/>
    </xf>
    <xf numFmtId="0" fontId="10" fillId="0" borderId="94" xfId="0" applyFont="1" applyBorder="1" applyAlignment="1">
      <alignment horizontal="left"/>
    </xf>
    <xf numFmtId="0" fontId="10" fillId="0" borderId="89" xfId="0" applyFont="1" applyBorder="1"/>
    <xf numFmtId="164" fontId="10" fillId="0" borderId="37" xfId="2" applyFont="1" applyFill="1" applyBorder="1"/>
    <xf numFmtId="0" fontId="10" fillId="0" borderId="37" xfId="0" applyFont="1" applyBorder="1"/>
    <xf numFmtId="164" fontId="31" fillId="0" borderId="102" xfId="0" applyNumberFormat="1" applyFont="1" applyBorder="1" applyAlignment="1">
      <alignment horizontal="center"/>
    </xf>
    <xf numFmtId="164" fontId="31" fillId="0" borderId="103" xfId="0" applyNumberFormat="1" applyFont="1" applyBorder="1" applyAlignment="1">
      <alignment horizontal="center"/>
    </xf>
    <xf numFmtId="0" fontId="31" fillId="0" borderId="80" xfId="0" applyFont="1" applyBorder="1" applyAlignment="1">
      <alignment horizontal="center"/>
    </xf>
    <xf numFmtId="0" fontId="42" fillId="8" borderId="12" xfId="0" applyFont="1" applyFill="1" applyBorder="1" applyAlignment="1">
      <alignment horizontal="center"/>
    </xf>
    <xf numFmtId="0" fontId="53" fillId="8" borderId="13" xfId="0" applyFont="1" applyFill="1" applyBorder="1"/>
    <xf numFmtId="0" fontId="53" fillId="8" borderId="13" xfId="0" applyFont="1" applyFill="1" applyBorder="1" applyAlignment="1">
      <alignment shrinkToFit="1"/>
    </xf>
    <xf numFmtId="164" fontId="53" fillId="8" borderId="13" xfId="2" applyFont="1" applyFill="1" applyBorder="1"/>
    <xf numFmtId="0" fontId="53" fillId="8" borderId="7" xfId="0" applyFont="1" applyFill="1" applyBorder="1"/>
    <xf numFmtId="0" fontId="10" fillId="8" borderId="0" xfId="0" applyFont="1" applyFill="1"/>
    <xf numFmtId="0" fontId="42" fillId="8" borderId="0" xfId="0" applyFont="1" applyFill="1" applyAlignment="1">
      <alignment vertical="center" shrinkToFit="1"/>
    </xf>
    <xf numFmtId="3" fontId="42" fillId="8" borderId="0" xfId="0" applyNumberFormat="1" applyFont="1" applyFill="1" applyAlignment="1">
      <alignment vertical="center"/>
    </xf>
    <xf numFmtId="0" fontId="53" fillId="8" borderId="0" xfId="0" applyFont="1" applyFill="1"/>
    <xf numFmtId="0" fontId="53" fillId="8" borderId="10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0" borderId="11" xfId="0" applyFont="1" applyFill="1" applyBorder="1"/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shrinkToFit="1"/>
    </xf>
    <xf numFmtId="0" fontId="10" fillId="0" borderId="0" xfId="0" applyFont="1" applyAlignment="1">
      <alignment horizontal="right"/>
    </xf>
    <xf numFmtId="0" fontId="31" fillId="5" borderId="0" xfId="0" applyFont="1" applyFill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5" fontId="0" fillId="0" borderId="0" xfId="1" applyFont="1"/>
    <xf numFmtId="164" fontId="1" fillId="0" borderId="32" xfId="0" applyNumberFormat="1" applyFont="1" applyBorder="1"/>
    <xf numFmtId="164" fontId="2" fillId="0" borderId="31" xfId="0" applyNumberFormat="1" applyFont="1" applyBorder="1"/>
    <xf numFmtId="164" fontId="1" fillId="0" borderId="76" xfId="0" applyNumberFormat="1" applyFont="1" applyBorder="1"/>
    <xf numFmtId="164" fontId="1" fillId="0" borderId="80" xfId="0" applyNumberFormat="1" applyFont="1" applyBorder="1"/>
    <xf numFmtId="164" fontId="1" fillId="5" borderId="72" xfId="0" applyNumberFormat="1" applyFont="1" applyFill="1" applyBorder="1"/>
    <xf numFmtId="0" fontId="2" fillId="5" borderId="158" xfId="0" applyFont="1" applyFill="1" applyBorder="1" applyAlignment="1">
      <alignment vertical="center"/>
    </xf>
    <xf numFmtId="164" fontId="2" fillId="0" borderId="101" xfId="0" applyNumberFormat="1" applyFont="1" applyBorder="1" applyAlignment="1">
      <alignment horizontal="center"/>
    </xf>
    <xf numFmtId="164" fontId="1" fillId="0" borderId="53" xfId="0" applyNumberFormat="1" applyFont="1" applyBorder="1"/>
    <xf numFmtId="164" fontId="1" fillId="0" borderId="41" xfId="0" applyNumberFormat="1" applyFont="1" applyBorder="1"/>
    <xf numFmtId="0" fontId="1" fillId="0" borderId="159" xfId="0" applyFont="1" applyBorder="1"/>
    <xf numFmtId="0" fontId="1" fillId="0" borderId="160" xfId="0" applyFont="1" applyBorder="1"/>
    <xf numFmtId="0" fontId="1" fillId="0" borderId="161" xfId="0" applyFont="1" applyBorder="1"/>
    <xf numFmtId="0" fontId="1" fillId="0" borderId="162" xfId="0" applyFont="1" applyBorder="1"/>
    <xf numFmtId="172" fontId="1" fillId="0" borderId="5" xfId="2" applyNumberFormat="1" applyFont="1" applyFill="1" applyBorder="1" applyAlignment="1">
      <alignment shrinkToFit="1"/>
    </xf>
    <xf numFmtId="14" fontId="0" fillId="0" borderId="0" xfId="0" applyNumberFormat="1"/>
    <xf numFmtId="0" fontId="0" fillId="0" borderId="0" xfId="1" applyNumberFormat="1" applyFont="1"/>
    <xf numFmtId="164" fontId="33" fillId="8" borderId="7" xfId="2" applyFont="1" applyFill="1" applyBorder="1"/>
    <xf numFmtId="44" fontId="33" fillId="8" borderId="7" xfId="2" applyNumberFormat="1" applyFont="1" applyFill="1" applyBorder="1"/>
    <xf numFmtId="44" fontId="41" fillId="8" borderId="7" xfId="2" applyNumberFormat="1" applyFont="1" applyFill="1" applyBorder="1"/>
    <xf numFmtId="44" fontId="33" fillId="8" borderId="7" xfId="2" applyNumberFormat="1" applyFont="1" applyFill="1" applyBorder="1" applyAlignment="1"/>
    <xf numFmtId="44" fontId="42" fillId="8" borderId="7" xfId="2" applyNumberFormat="1" applyFont="1" applyFill="1" applyBorder="1"/>
    <xf numFmtId="0" fontId="33" fillId="8" borderId="7" xfId="2" applyNumberFormat="1" applyFont="1" applyFill="1" applyBorder="1" applyAlignment="1"/>
    <xf numFmtId="164" fontId="14" fillId="6" borderId="47" xfId="2" applyFont="1" applyFill="1" applyBorder="1" applyAlignment="1">
      <alignment horizontal="left"/>
    </xf>
    <xf numFmtId="0" fontId="34" fillId="6" borderId="138" xfId="0" applyFont="1" applyFill="1" applyBorder="1" applyAlignment="1">
      <alignment horizontal="center"/>
    </xf>
    <xf numFmtId="164" fontId="31" fillId="6" borderId="47" xfId="2" applyFont="1" applyFill="1" applyBorder="1" applyAlignment="1">
      <alignment horizontal="right"/>
    </xf>
    <xf numFmtId="164" fontId="31" fillId="6" borderId="136" xfId="2" applyFont="1" applyFill="1" applyBorder="1" applyAlignment="1">
      <alignment horizontal="center"/>
    </xf>
    <xf numFmtId="1" fontId="1" fillId="6" borderId="0" xfId="0" applyNumberFormat="1" applyFont="1" applyFill="1" applyAlignment="1">
      <alignment horizontal="right"/>
    </xf>
    <xf numFmtId="164" fontId="1" fillId="6" borderId="0" xfId="2" applyFont="1" applyFill="1" applyBorder="1" applyAlignment="1"/>
    <xf numFmtId="0" fontId="1" fillId="6" borderId="134" xfId="0" applyFont="1" applyFill="1" applyBorder="1" applyAlignment="1">
      <alignment horizontal="center"/>
    </xf>
    <xf numFmtId="0" fontId="1" fillId="6" borderId="136" xfId="0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left"/>
    </xf>
    <xf numFmtId="0" fontId="1" fillId="3" borderId="5" xfId="2" applyNumberFormat="1" applyFont="1" applyFill="1" applyBorder="1" applyAlignment="1">
      <alignment shrinkToFit="1"/>
    </xf>
    <xf numFmtId="0" fontId="1" fillId="3" borderId="0" xfId="0" applyFont="1" applyFill="1" applyAlignment="1">
      <alignment horizontal="center" shrinkToFit="1"/>
    </xf>
    <xf numFmtId="164" fontId="1" fillId="3" borderId="0" xfId="2" applyFont="1" applyFill="1" applyBorder="1" applyAlignment="1">
      <alignment horizontal="center"/>
    </xf>
    <xf numFmtId="164" fontId="1" fillId="3" borderId="6" xfId="2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right"/>
    </xf>
    <xf numFmtId="164" fontId="1" fillId="3" borderId="0" xfId="2" applyFont="1" applyFill="1" applyBorder="1" applyAlignment="1">
      <alignment horizontal="right"/>
    </xf>
    <xf numFmtId="164" fontId="1" fillId="3" borderId="4" xfId="2" applyFont="1" applyFill="1" applyBorder="1"/>
    <xf numFmtId="164" fontId="1" fillId="3" borderId="19" xfId="0" applyNumberFormat="1" applyFont="1" applyFill="1" applyBorder="1"/>
    <xf numFmtId="0" fontId="16" fillId="6" borderId="0" xfId="2" applyNumberFormat="1" applyFont="1" applyFill="1" applyBorder="1" applyAlignment="1"/>
    <xf numFmtId="0" fontId="16" fillId="6" borderId="8" xfId="2" applyNumberFormat="1" applyFont="1" applyFill="1" applyBorder="1" applyAlignment="1"/>
    <xf numFmtId="0" fontId="16" fillId="6" borderId="114" xfId="2" applyNumberFormat="1" applyFont="1" applyFill="1" applyBorder="1" applyAlignment="1"/>
    <xf numFmtId="0" fontId="16" fillId="6" borderId="109" xfId="2" applyNumberFormat="1" applyFont="1" applyFill="1" applyBorder="1" applyAlignment="1"/>
    <xf numFmtId="0" fontId="16" fillId="6" borderId="151" xfId="2" applyNumberFormat="1" applyFont="1" applyFill="1" applyBorder="1" applyAlignment="1"/>
    <xf numFmtId="0" fontId="16" fillId="6" borderId="147" xfId="2" applyNumberFormat="1" applyFont="1" applyFill="1" applyBorder="1" applyAlignment="1"/>
    <xf numFmtId="0" fontId="1" fillId="0" borderId="5" xfId="2" applyNumberFormat="1" applyFont="1" applyFill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2" fillId="5" borderId="14" xfId="0" applyFont="1" applyFill="1" applyBorder="1" applyAlignment="1">
      <alignment horizontal="center" vertical="center" shrinkToFit="1"/>
    </xf>
    <xf numFmtId="0" fontId="44" fillId="8" borderId="13" xfId="0" applyFont="1" applyFill="1" applyBorder="1" applyAlignment="1">
      <alignment horizontal="center" shrinkToFit="1"/>
    </xf>
    <xf numFmtId="0" fontId="1" fillId="8" borderId="0" xfId="0" applyFont="1" applyFill="1" applyAlignment="1">
      <alignment horizontal="center"/>
    </xf>
    <xf numFmtId="0" fontId="33" fillId="8" borderId="0" xfId="0" applyFont="1" applyFill="1" applyAlignment="1">
      <alignment horizontal="center" vertical="center" shrinkToFit="1"/>
    </xf>
    <xf numFmtId="0" fontId="44" fillId="8" borderId="10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164" fontId="43" fillId="6" borderId="47" xfId="2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/>
    </xf>
    <xf numFmtId="1" fontId="2" fillId="5" borderId="14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0" fillId="3" borderId="0" xfId="0" applyFont="1" applyFill="1"/>
    <xf numFmtId="0" fontId="1" fillId="3" borderId="5" xfId="2" applyNumberFormat="1" applyFont="1" applyFill="1" applyBorder="1" applyAlignment="1">
      <alignment horizontal="center" shrinkToFit="1"/>
    </xf>
    <xf numFmtId="1" fontId="1" fillId="3" borderId="5" xfId="0" applyNumberFormat="1" applyFont="1" applyFill="1" applyBorder="1" applyAlignment="1">
      <alignment horizontal="center"/>
    </xf>
    <xf numFmtId="49" fontId="1" fillId="3" borderId="0" xfId="0" quotePrefix="1" applyNumberFormat="1" applyFont="1" applyFill="1" applyAlignment="1">
      <alignment horizontal="left"/>
    </xf>
    <xf numFmtId="164" fontId="1" fillId="3" borderId="4" xfId="2" applyFont="1" applyFill="1" applyBorder="1" applyAlignment="1"/>
    <xf numFmtId="173" fontId="1" fillId="0" borderId="56" xfId="0" applyNumberFormat="1" applyFont="1" applyBorder="1" applyAlignment="1">
      <alignment horizontal="left"/>
    </xf>
    <xf numFmtId="0" fontId="1" fillId="3" borderId="0" xfId="0" applyFont="1" applyFill="1"/>
    <xf numFmtId="49" fontId="2" fillId="3" borderId="7" xfId="0" applyNumberFormat="1" applyFont="1" applyFill="1" applyBorder="1" applyAlignment="1">
      <alignment horizontal="right"/>
    </xf>
    <xf numFmtId="165" fontId="1" fillId="0" borderId="74" xfId="1" applyFont="1" applyBorder="1" applyAlignment="1">
      <alignment horizontal="center"/>
    </xf>
    <xf numFmtId="0" fontId="23" fillId="0" borderId="0" xfId="0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3" borderId="5" xfId="2" applyFont="1" applyFill="1" applyBorder="1" applyAlignment="1">
      <alignment shrinkToFit="1"/>
    </xf>
    <xf numFmtId="174" fontId="1" fillId="3" borderId="5" xfId="1" applyNumberFormat="1" applyFont="1" applyFill="1" applyBorder="1" applyAlignment="1">
      <alignment shrinkToFit="1"/>
    </xf>
    <xf numFmtId="164" fontId="46" fillId="3" borderId="0" xfId="2" applyFont="1" applyFill="1" applyBorder="1" applyAlignment="1">
      <alignment horizontal="center"/>
    </xf>
    <xf numFmtId="0" fontId="14" fillId="6" borderId="136" xfId="0" applyFont="1" applyFill="1" applyBorder="1" applyAlignment="1">
      <alignment horizontal="center"/>
    </xf>
    <xf numFmtId="164" fontId="14" fillId="6" borderId="47" xfId="2" applyFont="1" applyFill="1" applyBorder="1" applyAlignment="1">
      <alignment horizontal="center"/>
    </xf>
    <xf numFmtId="49" fontId="2" fillId="3" borderId="12" xfId="0" applyNumberFormat="1" applyFont="1" applyFill="1" applyBorder="1" applyAlignment="1">
      <alignment horizontal="center"/>
    </xf>
    <xf numFmtId="49" fontId="1" fillId="3" borderId="13" xfId="0" applyNumberFormat="1" applyFont="1" applyFill="1" applyBorder="1" applyAlignment="1">
      <alignment horizontal="left"/>
    </xf>
    <xf numFmtId="1" fontId="1" fillId="3" borderId="5" xfId="2" applyNumberFormat="1" applyFont="1" applyFill="1" applyBorder="1" applyAlignment="1">
      <alignment shrinkToFit="1"/>
    </xf>
    <xf numFmtId="49" fontId="1" fillId="3" borderId="0" xfId="0" applyNumberFormat="1" applyFont="1" applyFill="1"/>
    <xf numFmtId="3" fontId="1" fillId="3" borderId="5" xfId="1" applyNumberFormat="1" applyFont="1" applyFill="1" applyBorder="1" applyAlignment="1">
      <alignment horizontal="center" shrinkToFit="1"/>
    </xf>
    <xf numFmtId="3" fontId="1" fillId="0" borderId="5" xfId="1" applyNumberFormat="1" applyFont="1" applyFill="1" applyBorder="1" applyAlignment="1">
      <alignment horizontal="center" shrinkToFit="1"/>
    </xf>
    <xf numFmtId="0" fontId="47" fillId="0" borderId="55" xfId="0" applyFont="1" applyBorder="1" applyAlignment="1">
      <alignment horizontal="left"/>
    </xf>
    <xf numFmtId="0" fontId="55" fillId="0" borderId="0" xfId="0" applyFont="1"/>
    <xf numFmtId="164" fontId="1" fillId="0" borderId="56" xfId="2" applyFont="1" applyBorder="1"/>
    <xf numFmtId="49" fontId="6" fillId="3" borderId="7" xfId="0" applyNumberFormat="1" applyFont="1" applyFill="1" applyBorder="1" applyAlignment="1">
      <alignment horizontal="right"/>
    </xf>
    <xf numFmtId="0" fontId="1" fillId="3" borderId="0" xfId="0" applyFont="1" applyFill="1" applyAlignment="1">
      <alignment horizontal="left"/>
    </xf>
    <xf numFmtId="49" fontId="31" fillId="3" borderId="7" xfId="0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 shrinkToFit="1"/>
    </xf>
    <xf numFmtId="164" fontId="10" fillId="3" borderId="0" xfId="2" applyFont="1" applyFill="1" applyBorder="1" applyAlignment="1">
      <alignment horizontal="center"/>
    </xf>
    <xf numFmtId="164" fontId="10" fillId="3" borderId="6" xfId="2" applyFont="1" applyFill="1" applyBorder="1" applyAlignment="1">
      <alignment horizontal="center"/>
    </xf>
    <xf numFmtId="1" fontId="10" fillId="3" borderId="5" xfId="0" applyNumberFormat="1" applyFont="1" applyFill="1" applyBorder="1" applyAlignment="1">
      <alignment horizontal="right"/>
    </xf>
    <xf numFmtId="164" fontId="10" fillId="3" borderId="0" xfId="2" applyFont="1" applyFill="1" applyBorder="1" applyAlignment="1">
      <alignment horizontal="right"/>
    </xf>
    <xf numFmtId="164" fontId="10" fillId="3" borderId="4" xfId="2" applyFont="1" applyFill="1" applyBorder="1"/>
    <xf numFmtId="164" fontId="10" fillId="3" borderId="19" xfId="0" applyNumberFormat="1" applyFont="1" applyFill="1" applyBorder="1"/>
    <xf numFmtId="49" fontId="10" fillId="3" borderId="0" xfId="0" applyNumberFormat="1" applyFont="1" applyFill="1" applyAlignment="1">
      <alignment horizontal="left"/>
    </xf>
    <xf numFmtId="0" fontId="1" fillId="5" borderId="68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9" fontId="1" fillId="0" borderId="101" xfId="4" applyFont="1" applyBorder="1" applyAlignment="1">
      <alignment horizontal="center"/>
    </xf>
    <xf numFmtId="167" fontId="2" fillId="0" borderId="0" xfId="4" applyNumberFormat="1" applyFont="1" applyBorder="1" applyAlignment="1">
      <alignment horizontal="center"/>
    </xf>
    <xf numFmtId="1" fontId="37" fillId="0" borderId="0" xfId="0" applyNumberFormat="1" applyFont="1" applyAlignment="1">
      <alignment horizontal="left"/>
    </xf>
    <xf numFmtId="0" fontId="1" fillId="3" borderId="5" xfId="0" applyFont="1" applyFill="1" applyBorder="1" applyAlignment="1">
      <alignment horizontal="right"/>
    </xf>
    <xf numFmtId="164" fontId="1" fillId="3" borderId="5" xfId="0" applyNumberFormat="1" applyFont="1" applyFill="1" applyBorder="1"/>
    <xf numFmtId="164" fontId="1" fillId="3" borderId="5" xfId="2" applyFont="1" applyFill="1" applyBorder="1" applyAlignment="1">
      <alignment vertical="center" shrinkToFit="1"/>
    </xf>
    <xf numFmtId="0" fontId="1" fillId="3" borderId="0" xfId="0" applyFont="1" applyFill="1" applyAlignment="1">
      <alignment horizontal="center" vertical="center" shrinkToFit="1"/>
    </xf>
    <xf numFmtId="164" fontId="1" fillId="3" borderId="0" xfId="2" applyFont="1" applyFill="1" applyBorder="1" applyAlignment="1">
      <alignment horizontal="center" vertical="center"/>
    </xf>
    <xf numFmtId="164" fontId="1" fillId="3" borderId="6" xfId="2" applyFont="1" applyFill="1" applyBorder="1" applyAlignment="1">
      <alignment horizontal="center" vertical="center"/>
    </xf>
    <xf numFmtId="0" fontId="1" fillId="3" borderId="6" xfId="2" applyNumberFormat="1" applyFont="1" applyFill="1" applyBorder="1" applyAlignment="1">
      <alignment horizontal="center"/>
    </xf>
    <xf numFmtId="164" fontId="1" fillId="3" borderId="5" xfId="2" applyFont="1" applyFill="1" applyBorder="1" applyAlignment="1">
      <alignment horizontal="right"/>
    </xf>
    <xf numFmtId="0" fontId="1" fillId="0" borderId="7" xfId="0" applyFont="1" applyBorder="1"/>
    <xf numFmtId="49" fontId="2" fillId="3" borderId="12" xfId="0" applyNumberFormat="1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right" vertical="center"/>
    </xf>
    <xf numFmtId="164" fontId="1" fillId="3" borderId="0" xfId="2" applyFont="1" applyFill="1" applyBorder="1" applyAlignment="1">
      <alignment horizontal="right" vertical="center"/>
    </xf>
    <xf numFmtId="164" fontId="1" fillId="3" borderId="4" xfId="2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164" fontId="1" fillId="3" borderId="76" xfId="0" applyNumberFormat="1" applyFont="1" applyFill="1" applyBorder="1"/>
    <xf numFmtId="3" fontId="1" fillId="3" borderId="5" xfId="2" applyNumberFormat="1" applyFont="1" applyFill="1" applyBorder="1" applyAlignment="1">
      <alignment shrinkToFit="1"/>
    </xf>
    <xf numFmtId="165" fontId="2" fillId="0" borderId="75" xfId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6" xfId="0" applyFont="1" applyBorder="1" applyAlignment="1">
      <alignment horizontal="left"/>
    </xf>
    <xf numFmtId="0" fontId="46" fillId="2" borderId="0" xfId="2" applyNumberFormat="1" applyFont="1" applyFill="1" applyAlignment="1"/>
    <xf numFmtId="173" fontId="1" fillId="0" borderId="164" xfId="0" applyNumberFormat="1" applyFont="1" applyBorder="1" applyAlignment="1">
      <alignment horizontal="left"/>
    </xf>
    <xf numFmtId="0" fontId="1" fillId="0" borderId="18" xfId="0" applyFont="1" applyBorder="1"/>
    <xf numFmtId="0" fontId="1" fillId="3" borderId="0" xfId="0" applyFont="1" applyFill="1" applyAlignment="1">
      <alignment horizontal="center"/>
    </xf>
    <xf numFmtId="1" fontId="10" fillId="3" borderId="5" xfId="2" applyNumberFormat="1" applyFont="1" applyFill="1" applyBorder="1" applyAlignment="1">
      <alignment shrinkToFit="1"/>
    </xf>
    <xf numFmtId="9" fontId="1" fillId="0" borderId="0" xfId="4" applyFont="1" applyAlignment="1">
      <alignment horizontal="right"/>
    </xf>
    <xf numFmtId="165" fontId="1" fillId="0" borderId="0" xfId="1" applyFont="1"/>
    <xf numFmtId="43" fontId="1" fillId="0" borderId="0" xfId="0" applyNumberFormat="1" applyFont="1"/>
    <xf numFmtId="164" fontId="1" fillId="0" borderId="77" xfId="0" applyNumberFormat="1" applyFont="1" applyBorder="1" applyAlignment="1">
      <alignment vertical="center" wrapText="1"/>
    </xf>
    <xf numFmtId="164" fontId="1" fillId="0" borderId="82" xfId="0" applyNumberFormat="1" applyFont="1" applyBorder="1" applyAlignment="1">
      <alignment vertical="center" wrapText="1"/>
    </xf>
    <xf numFmtId="164" fontId="1" fillId="0" borderId="77" xfId="0" applyNumberFormat="1" applyFont="1" applyBorder="1" applyAlignment="1">
      <alignment vertical="center"/>
    </xf>
    <xf numFmtId="0" fontId="10" fillId="3" borderId="0" xfId="0" applyFont="1" applyFill="1" applyAlignment="1">
      <alignment horizontal="left"/>
    </xf>
    <xf numFmtId="0" fontId="1" fillId="3" borderId="12" xfId="0" applyFont="1" applyFill="1" applyBorder="1"/>
    <xf numFmtId="0" fontId="1" fillId="3" borderId="18" xfId="0" applyFont="1" applyFill="1" applyBorder="1"/>
    <xf numFmtId="49" fontId="58" fillId="0" borderId="13" xfId="0" applyNumberFormat="1" applyFont="1" applyBorder="1" applyAlignment="1">
      <alignment horizontal="left"/>
    </xf>
    <xf numFmtId="164" fontId="1" fillId="0" borderId="74" xfId="0" applyNumberFormat="1" applyFont="1" applyBorder="1" applyAlignment="1">
      <alignment horizontal="left"/>
    </xf>
    <xf numFmtId="49" fontId="59" fillId="3" borderId="7" xfId="0" applyNumberFormat="1" applyFont="1" applyFill="1" applyBorder="1" applyAlignment="1">
      <alignment horizontal="right"/>
    </xf>
    <xf numFmtId="49" fontId="46" fillId="3" borderId="0" xfId="0" applyNumberFormat="1" applyFont="1" applyFill="1" applyAlignment="1">
      <alignment horizontal="left"/>
    </xf>
    <xf numFmtId="0" fontId="46" fillId="3" borderId="5" xfId="2" applyNumberFormat="1" applyFont="1" applyFill="1" applyBorder="1" applyAlignment="1">
      <alignment shrinkToFit="1"/>
    </xf>
    <xf numFmtId="0" fontId="46" fillId="3" borderId="0" xfId="0" applyFont="1" applyFill="1" applyAlignment="1">
      <alignment horizontal="center" shrinkToFit="1"/>
    </xf>
    <xf numFmtId="164" fontId="46" fillId="3" borderId="6" xfId="2" applyFont="1" applyFill="1" applyBorder="1" applyAlignment="1">
      <alignment horizontal="center"/>
    </xf>
    <xf numFmtId="0" fontId="46" fillId="3" borderId="5" xfId="0" applyFont="1" applyFill="1" applyBorder="1" applyAlignment="1">
      <alignment horizontal="right"/>
    </xf>
    <xf numFmtId="164" fontId="46" fillId="3" borderId="0" xfId="2" applyFont="1" applyFill="1" applyBorder="1" applyAlignment="1">
      <alignment horizontal="right"/>
    </xf>
    <xf numFmtId="164" fontId="46" fillId="3" borderId="4" xfId="2" applyFont="1" applyFill="1" applyBorder="1"/>
    <xf numFmtId="164" fontId="46" fillId="3" borderId="5" xfId="0" applyNumberFormat="1" applyFont="1" applyFill="1" applyBorder="1"/>
    <xf numFmtId="0" fontId="46" fillId="0" borderId="55" xfId="0" applyFont="1" applyBorder="1" applyAlignment="1">
      <alignment horizontal="left"/>
    </xf>
    <xf numFmtId="164" fontId="46" fillId="0" borderId="40" xfId="2" applyFont="1" applyFill="1" applyBorder="1"/>
    <xf numFmtId="164" fontId="1" fillId="5" borderId="13" xfId="2" applyFont="1" applyFill="1" applyBorder="1" applyAlignment="1">
      <alignment horizontal="center"/>
    </xf>
    <xf numFmtId="0" fontId="1" fillId="5" borderId="70" xfId="0" applyFont="1" applyFill="1" applyBorder="1" applyAlignment="1">
      <alignment horizontal="center"/>
    </xf>
    <xf numFmtId="0" fontId="23" fillId="0" borderId="5" xfId="0" applyFont="1" applyBorder="1" applyAlignment="1">
      <alignment horizontal="left" vertical="center" wrapText="1"/>
    </xf>
    <xf numFmtId="164" fontId="23" fillId="0" borderId="0" xfId="2" applyFont="1" applyFill="1" applyBorder="1" applyAlignment="1">
      <alignment horizontal="center" vertical="center" wrapText="1"/>
    </xf>
    <xf numFmtId="164" fontId="23" fillId="0" borderId="1" xfId="2" applyFont="1" applyFill="1" applyBorder="1" applyAlignment="1">
      <alignment horizontal="center" vertical="center" wrapText="1"/>
    </xf>
    <xf numFmtId="0" fontId="60" fillId="0" borderId="14" xfId="0" applyFont="1" applyBorder="1" applyAlignment="1">
      <alignment horizontal="left" vertical="center" wrapText="1"/>
    </xf>
    <xf numFmtId="164" fontId="9" fillId="0" borderId="15" xfId="2" applyFont="1" applyFill="1" applyBorder="1" applyAlignment="1">
      <alignment horizontal="center" vertical="center" wrapText="1"/>
    </xf>
    <xf numFmtId="164" fontId="9" fillId="0" borderId="16" xfId="2" applyFont="1" applyFill="1" applyBorder="1" applyAlignment="1">
      <alignment horizontal="center" vertical="center" wrapText="1"/>
    </xf>
    <xf numFmtId="164" fontId="23" fillId="0" borderId="6" xfId="2" applyFont="1" applyFill="1" applyBorder="1" applyAlignment="1">
      <alignment horizontal="center" vertical="center" wrapText="1"/>
    </xf>
    <xf numFmtId="164" fontId="23" fillId="0" borderId="167" xfId="2" applyFont="1" applyFill="1" applyBorder="1" applyAlignment="1">
      <alignment horizontal="center" vertical="center" wrapText="1"/>
    </xf>
    <xf numFmtId="0" fontId="9" fillId="0" borderId="168" xfId="0" applyFont="1" applyBorder="1" applyAlignment="1">
      <alignment horizontal="left" vertical="center" wrapText="1"/>
    </xf>
    <xf numFmtId="164" fontId="9" fillId="0" borderId="38" xfId="2" applyFont="1" applyFill="1" applyBorder="1" applyAlignment="1">
      <alignment horizontal="center" vertical="center" wrapText="1"/>
    </xf>
    <xf numFmtId="164" fontId="9" fillId="0" borderId="169" xfId="2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2" applyNumberFormat="1" applyFont="1" applyAlignment="1">
      <alignment vertical="center"/>
    </xf>
    <xf numFmtId="0" fontId="46" fillId="0" borderId="0" xfId="0" applyFont="1"/>
    <xf numFmtId="0" fontId="2" fillId="0" borderId="56" xfId="0" applyFont="1" applyBorder="1"/>
    <xf numFmtId="49" fontId="2" fillId="14" borderId="7" xfId="0" applyNumberFormat="1" applyFont="1" applyFill="1" applyBorder="1" applyAlignment="1">
      <alignment horizontal="center"/>
    </xf>
    <xf numFmtId="49" fontId="1" fillId="14" borderId="0" xfId="0" applyNumberFormat="1" applyFont="1" applyFill="1" applyAlignment="1">
      <alignment horizontal="left"/>
    </xf>
    <xf numFmtId="0" fontId="1" fillId="14" borderId="5" xfId="2" applyNumberFormat="1" applyFont="1" applyFill="1" applyBorder="1" applyAlignment="1">
      <alignment shrinkToFit="1"/>
    </xf>
    <xf numFmtId="0" fontId="1" fillId="14" borderId="0" xfId="0" applyFont="1" applyFill="1" applyAlignment="1">
      <alignment horizontal="center" shrinkToFit="1"/>
    </xf>
    <xf numFmtId="164" fontId="1" fillId="14" borderId="0" xfId="2" applyFont="1" applyFill="1" applyBorder="1" applyAlignment="1">
      <alignment horizontal="center"/>
    </xf>
    <xf numFmtId="164" fontId="1" fillId="14" borderId="6" xfId="2" applyFont="1" applyFill="1" applyBorder="1" applyAlignment="1">
      <alignment horizontal="center"/>
    </xf>
    <xf numFmtId="1" fontId="1" fillId="14" borderId="5" xfId="0" applyNumberFormat="1" applyFont="1" applyFill="1" applyBorder="1" applyAlignment="1">
      <alignment horizontal="right"/>
    </xf>
    <xf numFmtId="164" fontId="1" fillId="14" borderId="0" xfId="2" applyFont="1" applyFill="1" applyBorder="1" applyAlignment="1">
      <alignment horizontal="right"/>
    </xf>
    <xf numFmtId="164" fontId="1" fillId="14" borderId="4" xfId="2" applyFont="1" applyFill="1" applyBorder="1"/>
    <xf numFmtId="164" fontId="1" fillId="14" borderId="19" xfId="0" applyNumberFormat="1" applyFont="1" applyFill="1" applyBorder="1"/>
    <xf numFmtId="164" fontId="1" fillId="14" borderId="40" xfId="2" applyFont="1" applyFill="1" applyBorder="1"/>
    <xf numFmtId="49" fontId="1" fillId="0" borderId="0" xfId="0" quotePrefix="1" applyNumberFormat="1" applyFont="1" applyAlignment="1">
      <alignment horizontal="left"/>
    </xf>
    <xf numFmtId="0" fontId="2" fillId="0" borderId="96" xfId="0" applyFont="1" applyBorder="1" applyAlignment="1">
      <alignment vertical="center"/>
    </xf>
    <xf numFmtId="164" fontId="1" fillId="0" borderId="32" xfId="2" applyFont="1" applyBorder="1" applyAlignment="1">
      <alignment vertical="center"/>
    </xf>
    <xf numFmtId="164" fontId="1" fillId="0" borderId="95" xfId="2" applyFont="1" applyBorder="1" applyAlignment="1">
      <alignment vertical="center"/>
    </xf>
    <xf numFmtId="164" fontId="1" fillId="0" borderId="5" xfId="2" applyFont="1" applyFill="1" applyBorder="1" applyAlignment="1">
      <alignment vertical="center"/>
    </xf>
    <xf numFmtId="164" fontId="1" fillId="0" borderId="166" xfId="2" applyFont="1" applyFill="1" applyBorder="1" applyAlignment="1">
      <alignment vertical="center"/>
    </xf>
    <xf numFmtId="44" fontId="1" fillId="0" borderId="92" xfId="0" applyNumberFormat="1" applyFont="1" applyBorder="1" applyAlignment="1">
      <alignment horizontal="left" vertical="center"/>
    </xf>
    <xf numFmtId="164" fontId="1" fillId="0" borderId="74" xfId="0" applyNumberFormat="1" applyFont="1" applyBorder="1" applyAlignment="1">
      <alignment horizontal="center"/>
    </xf>
    <xf numFmtId="164" fontId="1" fillId="0" borderId="75" xfId="0" applyNumberFormat="1" applyFont="1" applyBorder="1" applyAlignment="1">
      <alignment horizontal="center"/>
    </xf>
    <xf numFmtId="174" fontId="1" fillId="0" borderId="5" xfId="1" applyNumberFormat="1" applyFont="1" applyFill="1" applyBorder="1" applyAlignment="1">
      <alignment shrinkToFit="1"/>
    </xf>
    <xf numFmtId="164" fontId="46" fillId="0" borderId="0" xfId="2" applyFont="1" applyFill="1" applyBorder="1" applyAlignment="1">
      <alignment horizontal="center"/>
    </xf>
    <xf numFmtId="0" fontId="1" fillId="0" borderId="85" xfId="0" applyFont="1" applyBorder="1"/>
    <xf numFmtId="0" fontId="1" fillId="0" borderId="163" xfId="0" applyFont="1" applyBorder="1"/>
    <xf numFmtId="49" fontId="6" fillId="0" borderId="7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1" fillId="0" borderId="61" xfId="0" applyFont="1" applyBorder="1"/>
    <xf numFmtId="165" fontId="2" fillId="0" borderId="75" xfId="1" applyFont="1" applyFill="1" applyBorder="1" applyAlignment="1">
      <alignment horizontal="center"/>
    </xf>
    <xf numFmtId="0" fontId="1" fillId="3" borderId="9" xfId="0" applyFont="1" applyFill="1" applyBorder="1"/>
    <xf numFmtId="164" fontId="1" fillId="3" borderId="10" xfId="2" applyFont="1" applyFill="1" applyBorder="1" applyAlignment="1">
      <alignment shrinkToFit="1"/>
    </xf>
    <xf numFmtId="0" fontId="1" fillId="3" borderId="10" xfId="0" applyFont="1" applyFill="1" applyBorder="1" applyAlignment="1">
      <alignment horizontal="center" shrinkToFit="1"/>
    </xf>
    <xf numFmtId="49" fontId="1" fillId="3" borderId="0" xfId="0" applyNumberFormat="1" applyFont="1" applyFill="1" applyAlignment="1">
      <alignment horizontal="left" wrapText="1"/>
    </xf>
    <xf numFmtId="164" fontId="1" fillId="3" borderId="19" xfId="0" applyNumberFormat="1" applyFont="1" applyFill="1" applyBorder="1" applyAlignment="1">
      <alignment horizontal="center"/>
    </xf>
    <xf numFmtId="0" fontId="31" fillId="0" borderId="0" xfId="0" applyFont="1"/>
    <xf numFmtId="2" fontId="1" fillId="0" borderId="0" xfId="0" applyNumberFormat="1" applyFont="1"/>
    <xf numFmtId="2" fontId="31" fillId="0" borderId="0" xfId="0" applyNumberFormat="1" applyFont="1"/>
    <xf numFmtId="49" fontId="61" fillId="0" borderId="0" xfId="0" applyNumberFormat="1" applyFont="1" applyAlignment="1">
      <alignment horizontal="left"/>
    </xf>
    <xf numFmtId="0" fontId="1" fillId="3" borderId="56" xfId="0" applyFont="1" applyFill="1" applyBorder="1"/>
    <xf numFmtId="0" fontId="1" fillId="15" borderId="56" xfId="0" applyFont="1" applyFill="1" applyBorder="1"/>
    <xf numFmtId="0" fontId="1" fillId="16" borderId="56" xfId="0" applyFont="1" applyFill="1" applyBorder="1"/>
    <xf numFmtId="0" fontId="62" fillId="0" borderId="55" xfId="0" applyFont="1" applyBorder="1" applyAlignment="1">
      <alignment horizontal="left"/>
    </xf>
    <xf numFmtId="0" fontId="47" fillId="0" borderId="163" xfId="0" applyFont="1" applyBorder="1"/>
    <xf numFmtId="164" fontId="2" fillId="0" borderId="170" xfId="2" applyFont="1" applyFill="1" applyBorder="1"/>
    <xf numFmtId="44" fontId="1" fillId="0" borderId="56" xfId="0" applyNumberFormat="1" applyFont="1" applyBorder="1"/>
    <xf numFmtId="44" fontId="63" fillId="0" borderId="92" xfId="0" applyNumberFormat="1" applyFont="1" applyBorder="1" applyAlignment="1">
      <alignment horizontal="left" vertical="center"/>
    </xf>
    <xf numFmtId="49" fontId="1" fillId="15" borderId="0" xfId="0" applyNumberFormat="1" applyFont="1" applyFill="1" applyAlignment="1">
      <alignment horizontal="left"/>
    </xf>
    <xf numFmtId="0" fontId="1" fillId="15" borderId="5" xfId="2" applyNumberFormat="1" applyFont="1" applyFill="1" applyBorder="1" applyAlignment="1">
      <alignment shrinkToFit="1"/>
    </xf>
    <xf numFmtId="0" fontId="1" fillId="15" borderId="0" xfId="0" applyFont="1" applyFill="1" applyAlignment="1">
      <alignment horizontal="center" shrinkToFit="1"/>
    </xf>
    <xf numFmtId="164" fontId="1" fillId="15" borderId="0" xfId="2" applyFont="1" applyFill="1" applyBorder="1" applyAlignment="1">
      <alignment horizontal="center"/>
    </xf>
    <xf numFmtId="164" fontId="1" fillId="15" borderId="6" xfId="2" applyFont="1" applyFill="1" applyBorder="1" applyAlignment="1">
      <alignment horizontal="center"/>
    </xf>
    <xf numFmtId="1" fontId="1" fillId="15" borderId="5" xfId="0" applyNumberFormat="1" applyFont="1" applyFill="1" applyBorder="1" applyAlignment="1">
      <alignment horizontal="right"/>
    </xf>
    <xf numFmtId="164" fontId="1" fillId="15" borderId="0" xfId="2" applyFont="1" applyFill="1" applyBorder="1" applyAlignment="1">
      <alignment horizontal="right"/>
    </xf>
    <xf numFmtId="164" fontId="1" fillId="15" borderId="4" xfId="2" applyFont="1" applyFill="1" applyBorder="1"/>
    <xf numFmtId="164" fontId="1" fillId="15" borderId="19" xfId="0" applyNumberFormat="1" applyFont="1" applyFill="1" applyBorder="1"/>
    <xf numFmtId="0" fontId="1" fillId="3" borderId="32" xfId="0" applyFont="1" applyFill="1" applyBorder="1"/>
    <xf numFmtId="49" fontId="1" fillId="3" borderId="0" xfId="0" applyNumberFormat="1" applyFont="1" applyFill="1" applyAlignment="1">
      <alignment horizontal="right"/>
    </xf>
    <xf numFmtId="44" fontId="1" fillId="0" borderId="95" xfId="0" applyNumberFormat="1" applyFont="1" applyBorder="1"/>
    <xf numFmtId="0" fontId="6" fillId="3" borderId="0" xfId="0" applyFont="1" applyFill="1" applyAlignment="1">
      <alignment horizontal="left"/>
    </xf>
    <xf numFmtId="164" fontId="1" fillId="3" borderId="40" xfId="2" applyFont="1" applyFill="1" applyBorder="1" applyAlignment="1"/>
    <xf numFmtId="0" fontId="1" fillId="3" borderId="0" xfId="0" applyFont="1" applyFill="1" applyAlignment="1">
      <alignment horizontal="right"/>
    </xf>
    <xf numFmtId="164" fontId="1" fillId="0" borderId="52" xfId="2" applyFont="1" applyFill="1" applyBorder="1" applyAlignment="1"/>
    <xf numFmtId="164" fontId="2" fillId="0" borderId="171" xfId="0" applyNumberFormat="1" applyFont="1" applyBorder="1" applyAlignment="1">
      <alignment horizontal="left"/>
    </xf>
    <xf numFmtId="0" fontId="6" fillId="17" borderId="0" xfId="0" applyFont="1" applyFill="1" applyAlignment="1">
      <alignment horizontal="left"/>
    </xf>
    <xf numFmtId="0" fontId="1" fillId="17" borderId="5" xfId="2" applyNumberFormat="1" applyFont="1" applyFill="1" applyBorder="1" applyAlignment="1">
      <alignment shrinkToFit="1"/>
    </xf>
    <xf numFmtId="0" fontId="1" fillId="17" borderId="0" xfId="0" applyFont="1" applyFill="1" applyAlignment="1">
      <alignment horizontal="center" shrinkToFit="1"/>
    </xf>
    <xf numFmtId="164" fontId="1" fillId="17" borderId="0" xfId="2" applyFont="1" applyFill="1" applyBorder="1" applyAlignment="1">
      <alignment horizontal="center"/>
    </xf>
    <xf numFmtId="164" fontId="1" fillId="17" borderId="6" xfId="2" applyFont="1" applyFill="1" applyBorder="1" applyAlignment="1">
      <alignment horizontal="center"/>
    </xf>
    <xf numFmtId="1" fontId="1" fillId="17" borderId="5" xfId="0" applyNumberFormat="1" applyFont="1" applyFill="1" applyBorder="1" applyAlignment="1">
      <alignment horizontal="right"/>
    </xf>
    <xf numFmtId="164" fontId="1" fillId="17" borderId="0" xfId="2" applyFont="1" applyFill="1" applyBorder="1" applyAlignment="1">
      <alignment horizontal="right"/>
    </xf>
    <xf numFmtId="164" fontId="1" fillId="17" borderId="4" xfId="2" applyFont="1" applyFill="1" applyBorder="1"/>
    <xf numFmtId="164" fontId="1" fillId="17" borderId="19" xfId="0" applyNumberFormat="1" applyFont="1" applyFill="1" applyBorder="1"/>
    <xf numFmtId="0" fontId="10" fillId="0" borderId="9" xfId="0" applyFont="1" applyBorder="1" applyAlignment="1">
      <alignment horizontal="center"/>
    </xf>
    <xf numFmtId="44" fontId="1" fillId="0" borderId="165" xfId="0" applyNumberFormat="1" applyFont="1" applyBorder="1"/>
    <xf numFmtId="165" fontId="1" fillId="0" borderId="0" xfId="1" applyFont="1" applyAlignment="1">
      <alignment horizontal="center"/>
    </xf>
    <xf numFmtId="0" fontId="64" fillId="3" borderId="0" xfId="0" applyFont="1" applyFill="1"/>
    <xf numFmtId="165" fontId="1" fillId="0" borderId="0" xfId="1" applyFont="1" applyFill="1" applyBorder="1"/>
    <xf numFmtId="165" fontId="1" fillId="0" borderId="38" xfId="1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9" fontId="2" fillId="0" borderId="74" xfId="4" applyFont="1" applyBorder="1" applyAlignment="1">
      <alignment horizontal="center"/>
    </xf>
    <xf numFmtId="164" fontId="1" fillId="3" borderId="40" xfId="2" applyFont="1" applyFill="1" applyBorder="1"/>
    <xf numFmtId="9" fontId="2" fillId="0" borderId="75" xfId="4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1" fontId="2" fillId="10" borderId="0" xfId="0" applyNumberFormat="1" applyFont="1" applyFill="1" applyAlignment="1">
      <alignment horizontal="center"/>
    </xf>
    <xf numFmtId="0" fontId="35" fillId="10" borderId="13" xfId="0" applyFont="1" applyFill="1" applyBorder="1" applyAlignment="1">
      <alignment horizontal="center"/>
    </xf>
    <xf numFmtId="0" fontId="35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left"/>
    </xf>
    <xf numFmtId="0" fontId="15" fillId="6" borderId="48" xfId="0" applyFont="1" applyFill="1" applyBorder="1" applyAlignment="1">
      <alignment horizontal="left"/>
    </xf>
    <xf numFmtId="0" fontId="15" fillId="6" borderId="47" xfId="0" applyFont="1" applyFill="1" applyBorder="1" applyAlignment="1">
      <alignment horizontal="left"/>
    </xf>
    <xf numFmtId="164" fontId="30" fillId="6" borderId="47" xfId="2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39" fillId="0" borderId="7" xfId="0" applyFont="1" applyBorder="1" applyAlignment="1">
      <alignment horizontal="right"/>
    </xf>
    <xf numFmtId="0" fontId="39" fillId="0" borderId="0" xfId="0" applyFont="1" applyAlignment="1">
      <alignment horizontal="right"/>
    </xf>
    <xf numFmtId="168" fontId="1" fillId="0" borderId="0" xfId="0" applyNumberFormat="1" applyFont="1"/>
    <xf numFmtId="0" fontId="1" fillId="0" borderId="0" xfId="0" applyFont="1"/>
    <xf numFmtId="164" fontId="2" fillId="5" borderId="0" xfId="2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" fontId="1" fillId="5" borderId="10" xfId="0" applyNumberFormat="1" applyFont="1" applyFill="1" applyBorder="1" applyAlignment="1">
      <alignment horizontal="center" shrinkToFit="1"/>
    </xf>
    <xf numFmtId="0" fontId="2" fillId="5" borderId="0" xfId="0" applyFont="1" applyFill="1" applyAlignment="1">
      <alignment horizontal="center" vertical="center" shrinkToFit="1"/>
    </xf>
    <xf numFmtId="1" fontId="2" fillId="5" borderId="0" xfId="0" applyNumberFormat="1" applyFont="1" applyFill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164" fontId="33" fillId="8" borderId="0" xfId="2" applyFont="1" applyFill="1" applyBorder="1" applyAlignment="1">
      <alignment horizontal="center" vertical="center" wrapText="1"/>
    </xf>
    <xf numFmtId="164" fontId="33" fillId="8" borderId="10" xfId="2" applyFont="1" applyFill="1" applyBorder="1" applyAlignment="1">
      <alignment horizontal="center" vertical="center" wrapText="1"/>
    </xf>
    <xf numFmtId="0" fontId="33" fillId="8" borderId="0" xfId="2" applyNumberFormat="1" applyFont="1" applyFill="1" applyBorder="1" applyAlignment="1">
      <alignment horizontal="center" vertical="center" wrapText="1"/>
    </xf>
    <xf numFmtId="0" fontId="33" fillId="8" borderId="10" xfId="2" applyNumberFormat="1" applyFont="1" applyFill="1" applyBorder="1" applyAlignment="1">
      <alignment horizontal="center" vertical="center" wrapText="1"/>
    </xf>
    <xf numFmtId="164" fontId="33" fillId="8" borderId="0" xfId="2" applyFont="1" applyFill="1" applyBorder="1" applyAlignment="1">
      <alignment horizontal="center" vertical="center"/>
    </xf>
    <xf numFmtId="164" fontId="33" fillId="8" borderId="10" xfId="2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 wrapText="1" shrinkToFit="1"/>
    </xf>
    <xf numFmtId="0" fontId="33" fillId="8" borderId="0" xfId="0" applyFont="1" applyFill="1" applyAlignment="1">
      <alignment horizontal="center" vertical="center" wrapText="1" shrinkToFit="1"/>
    </xf>
    <xf numFmtId="164" fontId="44" fillId="8" borderId="13" xfId="2" applyFont="1" applyFill="1" applyBorder="1" applyAlignment="1">
      <alignment horizontal="center" wrapText="1"/>
    </xf>
    <xf numFmtId="164" fontId="44" fillId="8" borderId="0" xfId="2" applyFont="1" applyFill="1" applyBorder="1" applyAlignment="1">
      <alignment horizontal="center" wrapText="1"/>
    </xf>
    <xf numFmtId="3" fontId="33" fillId="8" borderId="13" xfId="0" applyNumberFormat="1" applyFont="1" applyFill="1" applyBorder="1" applyAlignment="1">
      <alignment horizontal="center" vertical="center" wrapText="1"/>
    </xf>
    <xf numFmtId="3" fontId="33" fillId="8" borderId="0" xfId="0" applyNumberFormat="1" applyFont="1" applyFill="1" applyAlignment="1">
      <alignment horizontal="center" vertical="center" wrapText="1"/>
    </xf>
    <xf numFmtId="0" fontId="33" fillId="8" borderId="13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164" fontId="43" fillId="8" borderId="13" xfId="2" applyFont="1" applyFill="1" applyBorder="1" applyAlignment="1">
      <alignment horizontal="center" vertical="center" wrapText="1"/>
    </xf>
    <xf numFmtId="164" fontId="43" fillId="8" borderId="0" xfId="2" applyFont="1" applyFill="1" applyBorder="1" applyAlignment="1">
      <alignment horizontal="center" vertical="center" wrapText="1"/>
    </xf>
    <xf numFmtId="0" fontId="9" fillId="5" borderId="73" xfId="0" applyFont="1" applyFill="1" applyBorder="1" applyAlignment="1">
      <alignment horizontal="center" vertical="center"/>
    </xf>
    <xf numFmtId="0" fontId="9" fillId="5" borderId="76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164" fontId="9" fillId="5" borderId="62" xfId="2" applyFont="1" applyFill="1" applyBorder="1" applyAlignment="1">
      <alignment horizontal="center" vertical="center"/>
    </xf>
    <xf numFmtId="164" fontId="9" fillId="5" borderId="54" xfId="2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82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164" fontId="3" fillId="0" borderId="0" xfId="2" applyFont="1" applyBorder="1" applyAlignment="1">
      <alignment horizontal="right" vertical="center"/>
    </xf>
    <xf numFmtId="0" fontId="16" fillId="6" borderId="110" xfId="2" applyNumberFormat="1" applyFont="1" applyFill="1" applyBorder="1" applyAlignment="1">
      <alignment horizontal="left" vertical="center"/>
    </xf>
    <xf numFmtId="0" fontId="16" fillId="6" borderId="111" xfId="2" applyNumberFormat="1" applyFont="1" applyFill="1" applyBorder="1" applyAlignment="1">
      <alignment horizontal="left" vertical="center"/>
    </xf>
    <xf numFmtId="0" fontId="16" fillId="6" borderId="120" xfId="2" applyNumberFormat="1" applyFont="1" applyFill="1" applyBorder="1" applyAlignment="1">
      <alignment horizontal="center" vertical="center"/>
    </xf>
    <xf numFmtId="0" fontId="16" fillId="6" borderId="121" xfId="2" applyNumberFormat="1" applyFont="1" applyFill="1" applyBorder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 vertical="center"/>
    </xf>
    <xf numFmtId="0" fontId="16" fillId="6" borderId="119" xfId="2" applyNumberFormat="1" applyFont="1" applyFill="1" applyBorder="1" applyAlignment="1">
      <alignment horizontal="center" vertical="center"/>
    </xf>
    <xf numFmtId="0" fontId="16" fillId="6" borderId="114" xfId="2" applyNumberFormat="1" applyFont="1" applyFill="1" applyBorder="1" applyAlignment="1">
      <alignment horizontal="center" vertical="center"/>
    </xf>
    <xf numFmtId="0" fontId="16" fillId="6" borderId="115" xfId="2" applyNumberFormat="1" applyFont="1" applyFill="1" applyBorder="1" applyAlignment="1">
      <alignment horizontal="center" vertical="center"/>
    </xf>
    <xf numFmtId="0" fontId="26" fillId="6" borderId="112" xfId="2" applyNumberFormat="1" applyFont="1" applyFill="1" applyBorder="1" applyAlignment="1">
      <alignment horizontal="left" vertical="center"/>
    </xf>
    <xf numFmtId="0" fontId="26" fillId="6" borderId="113" xfId="2" applyNumberFormat="1" applyFont="1" applyFill="1" applyBorder="1" applyAlignment="1">
      <alignment horizontal="left" vertical="center"/>
    </xf>
    <xf numFmtId="9" fontId="27" fillId="0" borderId="0" xfId="4" applyFont="1" applyAlignment="1">
      <alignment horizontal="right" vertical="center"/>
    </xf>
    <xf numFmtId="164" fontId="7" fillId="0" borderId="119" xfId="0" applyNumberFormat="1" applyFont="1" applyBorder="1" applyAlignment="1">
      <alignment horizontal="center" vertical="center"/>
    </xf>
    <xf numFmtId="164" fontId="0" fillId="0" borderId="0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5" fillId="5" borderId="0" xfId="0" applyFont="1" applyFill="1" applyAlignment="1">
      <alignment horizontal="center"/>
    </xf>
    <xf numFmtId="0" fontId="15" fillId="5" borderId="128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center" vertical="center"/>
    </xf>
    <xf numFmtId="165" fontId="1" fillId="0" borderId="0" xfId="1" applyFont="1" applyAlignment="1">
      <alignment horizontal="center"/>
    </xf>
    <xf numFmtId="43" fontId="1" fillId="0" borderId="0" xfId="0" applyNumberFormat="1" applyFont="1" applyAlignment="1">
      <alignment horizontal="center"/>
    </xf>
    <xf numFmtId="0" fontId="23" fillId="0" borderId="0" xfId="0" applyFont="1" applyAlignment="1">
      <alignment horizontal="right"/>
    </xf>
    <xf numFmtId="0" fontId="31" fillId="0" borderId="0" xfId="0" applyFont="1" applyAlignment="1">
      <alignment horizontal="right" wrapText="1"/>
    </xf>
    <xf numFmtId="0" fontId="26" fillId="6" borderId="148" xfId="2" applyNumberFormat="1" applyFont="1" applyFill="1" applyBorder="1" applyAlignment="1">
      <alignment horizontal="left"/>
    </xf>
    <xf numFmtId="0" fontId="26" fillId="6" borderId="113" xfId="2" applyNumberFormat="1" applyFont="1" applyFill="1" applyBorder="1" applyAlignment="1">
      <alignment horizontal="left"/>
    </xf>
    <xf numFmtId="164" fontId="9" fillId="0" borderId="39" xfId="0" applyNumberFormat="1" applyFont="1" applyBorder="1" applyAlignment="1">
      <alignment horizontal="right"/>
    </xf>
    <xf numFmtId="164" fontId="9" fillId="0" borderId="143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0" fontId="16" fillId="6" borderId="114" xfId="2" applyNumberFormat="1" applyFont="1" applyFill="1" applyBorder="1" applyAlignment="1">
      <alignment horizontal="center"/>
    </xf>
    <xf numFmtId="0" fontId="16" fillId="6" borderId="149" xfId="2" applyNumberFormat="1" applyFont="1" applyFill="1" applyBorder="1" applyAlignment="1">
      <alignment horizontal="center"/>
    </xf>
    <xf numFmtId="164" fontId="9" fillId="11" borderId="0" xfId="2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34" fillId="6" borderId="104" xfId="0" applyFont="1" applyFill="1" applyBorder="1" applyAlignment="1">
      <alignment horizontal="center"/>
    </xf>
    <xf numFmtId="0" fontId="34" fillId="6" borderId="105" xfId="0" applyFont="1" applyFill="1" applyBorder="1" applyAlignment="1">
      <alignment horizontal="center"/>
    </xf>
    <xf numFmtId="0" fontId="34" fillId="6" borderId="156" xfId="0" applyFont="1" applyFill="1" applyBorder="1" applyAlignment="1">
      <alignment horizontal="center"/>
    </xf>
    <xf numFmtId="0" fontId="34" fillId="6" borderId="135" xfId="0" applyFont="1" applyFill="1" applyBorder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36" fillId="6" borderId="47" xfId="2" applyFont="1" applyFill="1" applyBorder="1" applyAlignment="1">
      <alignment horizontal="center"/>
    </xf>
    <xf numFmtId="0" fontId="36" fillId="6" borderId="106" xfId="0" applyFont="1" applyFill="1" applyBorder="1" applyAlignment="1">
      <alignment horizontal="left"/>
    </xf>
    <xf numFmtId="0" fontId="36" fillId="6" borderId="47" xfId="0" applyFont="1" applyFill="1" applyBorder="1" applyAlignment="1">
      <alignment horizontal="left"/>
    </xf>
    <xf numFmtId="1" fontId="9" fillId="11" borderId="0" xfId="0" applyNumberFormat="1" applyFont="1" applyFill="1" applyAlignment="1">
      <alignment horizontal="center"/>
    </xf>
    <xf numFmtId="164" fontId="1" fillId="0" borderId="13" xfId="2" applyFont="1" applyFill="1" applyBorder="1" applyAlignment="1">
      <alignment horizontal="center"/>
    </xf>
    <xf numFmtId="164" fontId="1" fillId="0" borderId="21" xfId="2" applyFont="1" applyFill="1" applyBorder="1" applyAlignment="1">
      <alignment horizontal="center"/>
    </xf>
    <xf numFmtId="164" fontId="1" fillId="0" borderId="8" xfId="2" applyFont="1" applyFill="1" applyBorder="1" applyAlignment="1">
      <alignment horizontal="center"/>
    </xf>
    <xf numFmtId="164" fontId="1" fillId="3" borderId="10" xfId="2" applyFont="1" applyFill="1" applyBorder="1" applyAlignment="1">
      <alignment horizontal="center"/>
    </xf>
    <xf numFmtId="164" fontId="1" fillId="3" borderId="11" xfId="2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0" fillId="0" borderId="0" xfId="0" applyFont="1" applyAlignment="1">
      <alignment horizontal="right"/>
    </xf>
    <xf numFmtId="0" fontId="44" fillId="8" borderId="13" xfId="2" applyNumberFormat="1" applyFont="1" applyFill="1" applyBorder="1" applyAlignment="1">
      <alignment horizontal="center" wrapText="1"/>
    </xf>
    <xf numFmtId="0" fontId="44" fillId="8" borderId="0" xfId="2" applyNumberFormat="1" applyFont="1" applyFill="1" applyBorder="1" applyAlignment="1">
      <alignment horizontal="center" wrapText="1"/>
    </xf>
    <xf numFmtId="0" fontId="44" fillId="8" borderId="0" xfId="0" applyFont="1" applyFill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164" fontId="33" fillId="8" borderId="8" xfId="2" applyFont="1" applyFill="1" applyBorder="1" applyAlignment="1">
      <alignment horizontal="center" vertical="center"/>
    </xf>
    <xf numFmtId="164" fontId="33" fillId="8" borderId="11" xfId="2" applyFont="1" applyFill="1" applyBorder="1" applyAlignment="1">
      <alignment horizontal="center" vertical="center"/>
    </xf>
    <xf numFmtId="164" fontId="43" fillId="8" borderId="21" xfId="2" applyFont="1" applyFill="1" applyBorder="1" applyAlignment="1">
      <alignment horizontal="center" vertical="center" wrapText="1"/>
    </xf>
    <xf numFmtId="164" fontId="43" fillId="8" borderId="8" xfId="2" applyFont="1" applyFill="1" applyBorder="1" applyAlignment="1">
      <alignment horizontal="center" vertical="center" wrapText="1"/>
    </xf>
    <xf numFmtId="1" fontId="44" fillId="8" borderId="0" xfId="0" applyNumberFormat="1" applyFont="1" applyFill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9" fillId="10" borderId="13" xfId="0" applyFont="1" applyFill="1" applyBorder="1" applyAlignment="1">
      <alignment horizontal="center"/>
    </xf>
    <xf numFmtId="0" fontId="49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0" fillId="8" borderId="0" xfId="0" applyFont="1" applyFill="1" applyAlignment="1">
      <alignment horizontal="center" vertical="center"/>
    </xf>
    <xf numFmtId="164" fontId="41" fillId="8" borderId="0" xfId="2" applyFont="1" applyFill="1" applyBorder="1" applyAlignment="1">
      <alignment horizontal="center" vertical="center" wrapText="1"/>
    </xf>
    <xf numFmtId="164" fontId="41" fillId="8" borderId="10" xfId="2" applyFont="1" applyFill="1" applyBorder="1" applyAlignment="1">
      <alignment horizontal="center" vertical="center" wrapText="1"/>
    </xf>
    <xf numFmtId="0" fontId="41" fillId="8" borderId="0" xfId="2" applyNumberFormat="1" applyFont="1" applyFill="1" applyBorder="1" applyAlignment="1">
      <alignment horizontal="center" vertical="center" wrapText="1"/>
    </xf>
    <xf numFmtId="0" fontId="41" fillId="8" borderId="10" xfId="2" applyNumberFormat="1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/>
    </xf>
    <xf numFmtId="164" fontId="41" fillId="8" borderId="11" xfId="2" applyFont="1" applyFill="1" applyBorder="1" applyAlignment="1">
      <alignment horizontal="center" vertical="center"/>
    </xf>
    <xf numFmtId="0" fontId="41" fillId="8" borderId="13" xfId="0" applyFont="1" applyFill="1" applyBorder="1" applyAlignment="1">
      <alignment horizontal="center" vertical="center" wrapText="1" shrinkToFit="1"/>
    </xf>
    <xf numFmtId="0" fontId="41" fillId="8" borderId="0" xfId="0" applyFont="1" applyFill="1" applyAlignment="1">
      <alignment horizontal="center" vertical="center" wrapText="1" shrinkToFit="1"/>
    </xf>
    <xf numFmtId="164" fontId="32" fillId="8" borderId="13" xfId="2" applyFont="1" applyFill="1" applyBorder="1" applyAlignment="1">
      <alignment horizontal="center" wrapText="1"/>
    </xf>
    <xf numFmtId="164" fontId="32" fillId="8" borderId="0" xfId="2" applyFont="1" applyFill="1" applyBorder="1" applyAlignment="1">
      <alignment horizontal="center" wrapText="1"/>
    </xf>
    <xf numFmtId="3" fontId="41" fillId="8" borderId="13" xfId="0" applyNumberFormat="1" applyFont="1" applyFill="1" applyBorder="1" applyAlignment="1">
      <alignment horizontal="center" vertical="center" wrapText="1"/>
    </xf>
    <xf numFmtId="3" fontId="41" fillId="8" borderId="0" xfId="0" applyNumberFormat="1" applyFont="1" applyFill="1" applyAlignment="1">
      <alignment horizontal="center" vertical="center" wrapText="1"/>
    </xf>
    <xf numFmtId="0" fontId="41" fillId="8" borderId="13" xfId="0" applyFont="1" applyFill="1" applyBorder="1" applyAlignment="1">
      <alignment horizontal="center" wrapText="1"/>
    </xf>
    <xf numFmtId="0" fontId="41" fillId="8" borderId="0" xfId="0" applyFont="1" applyFill="1" applyAlignment="1">
      <alignment horizontal="center" wrapText="1"/>
    </xf>
    <xf numFmtId="164" fontId="41" fillId="8" borderId="21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 wrapText="1"/>
    </xf>
    <xf numFmtId="0" fontId="2" fillId="5" borderId="73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/>
    </xf>
    <xf numFmtId="164" fontId="2" fillId="5" borderId="62" xfId="2" applyFont="1" applyFill="1" applyBorder="1" applyAlignment="1">
      <alignment horizontal="center" vertical="center"/>
    </xf>
    <xf numFmtId="164" fontId="2" fillId="5" borderId="54" xfId="2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2" fillId="5" borderId="82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0" fontId="2" fillId="5" borderId="84" xfId="0" applyFont="1" applyFill="1" applyBorder="1" applyAlignment="1">
      <alignment horizontal="center" vertical="center"/>
    </xf>
    <xf numFmtId="164" fontId="30" fillId="6" borderId="50" xfId="2" applyFont="1" applyFill="1" applyBorder="1" applyAlignment="1">
      <alignment horizontal="center" wrapText="1"/>
    </xf>
    <xf numFmtId="164" fontId="30" fillId="6" borderId="42" xfId="2" applyFont="1" applyFill="1" applyBorder="1" applyAlignment="1">
      <alignment horizontal="center" wrapText="1"/>
    </xf>
    <xf numFmtId="164" fontId="30" fillId="6" borderId="43" xfId="2" applyFont="1" applyFill="1" applyBorder="1" applyAlignment="1">
      <alignment horizontal="center" wrapText="1"/>
    </xf>
    <xf numFmtId="164" fontId="30" fillId="6" borderId="44" xfId="2" applyFont="1" applyFill="1" applyBorder="1" applyAlignment="1">
      <alignment horizontal="center" wrapText="1"/>
    </xf>
    <xf numFmtId="164" fontId="30" fillId="6" borderId="45" xfId="2" applyFont="1" applyFill="1" applyBorder="1" applyAlignment="1">
      <alignment horizontal="center" wrapText="1"/>
    </xf>
    <xf numFmtId="164" fontId="30" fillId="6" borderId="46" xfId="2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shrinkToFit="1"/>
    </xf>
    <xf numFmtId="0" fontId="45" fillId="8" borderId="0" xfId="0" applyFont="1" applyFill="1" applyAlignment="1">
      <alignment horizontal="center"/>
    </xf>
    <xf numFmtId="0" fontId="33" fillId="8" borderId="13" xfId="0" applyFont="1" applyFill="1" applyBorder="1" applyAlignment="1">
      <alignment horizontal="center" wrapText="1" shrinkToFit="1"/>
    </xf>
    <xf numFmtId="0" fontId="33" fillId="8" borderId="0" xfId="0" applyFont="1" applyFill="1" applyAlignment="1">
      <alignment horizontal="center" wrapText="1" shrinkToFit="1"/>
    </xf>
    <xf numFmtId="164" fontId="43" fillId="8" borderId="21" xfId="2" applyFont="1" applyFill="1" applyBorder="1" applyAlignment="1">
      <alignment horizontal="center" wrapText="1"/>
    </xf>
    <xf numFmtId="164" fontId="43" fillId="8" borderId="8" xfId="2" applyFont="1" applyFill="1" applyBorder="1" applyAlignment="1">
      <alignment horizontal="center" wrapText="1"/>
    </xf>
    <xf numFmtId="164" fontId="33" fillId="8" borderId="0" xfId="2" applyFont="1" applyFill="1" applyBorder="1" applyAlignment="1">
      <alignment horizontal="center" wrapText="1"/>
    </xf>
    <xf numFmtId="164" fontId="33" fillId="8" borderId="10" xfId="2" applyFont="1" applyFill="1" applyBorder="1" applyAlignment="1">
      <alignment horizontal="center" wrapText="1"/>
    </xf>
    <xf numFmtId="0" fontId="33" fillId="8" borderId="0" xfId="2" applyNumberFormat="1" applyFont="1" applyFill="1" applyBorder="1" applyAlignment="1">
      <alignment horizontal="center" wrapText="1"/>
    </xf>
    <xf numFmtId="0" fontId="33" fillId="8" borderId="10" xfId="2" applyNumberFormat="1" applyFont="1" applyFill="1" applyBorder="1" applyAlignment="1">
      <alignment horizontal="center" wrapText="1"/>
    </xf>
    <xf numFmtId="164" fontId="33" fillId="8" borderId="8" xfId="2" applyFont="1" applyFill="1" applyBorder="1" applyAlignment="1">
      <alignment horizontal="center"/>
    </xf>
    <xf numFmtId="164" fontId="33" fillId="8" borderId="11" xfId="2" applyFont="1" applyFill="1" applyBorder="1" applyAlignment="1">
      <alignment horizontal="center"/>
    </xf>
    <xf numFmtId="3" fontId="33" fillId="8" borderId="13" xfId="0" applyNumberFormat="1" applyFont="1" applyFill="1" applyBorder="1" applyAlignment="1">
      <alignment horizontal="center" wrapText="1"/>
    </xf>
    <xf numFmtId="3" fontId="33" fillId="8" borderId="0" xfId="0" applyNumberFormat="1" applyFont="1" applyFill="1" applyAlignment="1">
      <alignment horizontal="center" wrapText="1"/>
    </xf>
    <xf numFmtId="0" fontId="9" fillId="5" borderId="73" xfId="0" applyFont="1" applyFill="1" applyBorder="1" applyAlignment="1">
      <alignment horizontal="center"/>
    </xf>
    <xf numFmtId="0" fontId="9" fillId="5" borderId="76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/>
    </xf>
    <xf numFmtId="164" fontId="9" fillId="5" borderId="62" xfId="2" applyFont="1" applyFill="1" applyBorder="1" applyAlignment="1">
      <alignment horizontal="center"/>
    </xf>
    <xf numFmtId="164" fontId="9" fillId="5" borderId="54" xfId="2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64" xfId="0" applyFont="1" applyFill="1" applyBorder="1" applyAlignment="1">
      <alignment horizontal="center"/>
    </xf>
    <xf numFmtId="0" fontId="9" fillId="5" borderId="81" xfId="0" applyFont="1" applyFill="1" applyBorder="1" applyAlignment="1">
      <alignment horizontal="center"/>
    </xf>
    <xf numFmtId="0" fontId="9" fillId="5" borderId="82" xfId="0" applyFont="1" applyFill="1" applyBorder="1" applyAlignment="1">
      <alignment horizontal="center"/>
    </xf>
    <xf numFmtId="0" fontId="9" fillId="5" borderId="83" xfId="0" applyFont="1" applyFill="1" applyBorder="1" applyAlignment="1">
      <alignment horizontal="center"/>
    </xf>
    <xf numFmtId="0" fontId="9" fillId="5" borderId="84" xfId="0" applyFont="1" applyFill="1" applyBorder="1" applyAlignment="1">
      <alignment horizontal="center"/>
    </xf>
    <xf numFmtId="164" fontId="2" fillId="5" borderId="0" xfId="2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0" xfId="0" applyFont="1" applyFill="1" applyAlignment="1">
      <alignment horizontal="center" shrinkToFit="1"/>
    </xf>
    <xf numFmtId="1" fontId="2" fillId="5" borderId="0" xfId="0" applyNumberFormat="1" applyFont="1" applyFill="1" applyAlignment="1">
      <alignment horizontal="center"/>
    </xf>
    <xf numFmtId="164" fontId="30" fillId="6" borderId="47" xfId="2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wrapText="1"/>
    </xf>
    <xf numFmtId="168" fontId="10" fillId="0" borderId="0" xfId="0" applyNumberFormat="1" applyFont="1"/>
    <xf numFmtId="0" fontId="10" fillId="0" borderId="0" xfId="0" applyFont="1"/>
    <xf numFmtId="0" fontId="52" fillId="10" borderId="13" xfId="0" applyFont="1" applyFill="1" applyBorder="1" applyAlignment="1">
      <alignment horizontal="center"/>
    </xf>
    <xf numFmtId="0" fontId="52" fillId="10" borderId="21" xfId="0" applyFont="1" applyFill="1" applyBorder="1" applyAlignment="1">
      <alignment horizontal="center"/>
    </xf>
    <xf numFmtId="164" fontId="14" fillId="6" borderId="47" xfId="2" applyFont="1" applyFill="1" applyBorder="1" applyAlignment="1">
      <alignment horizontal="left"/>
    </xf>
    <xf numFmtId="0" fontId="14" fillId="6" borderId="48" xfId="0" applyFont="1" applyFill="1" applyBorder="1" applyAlignment="1">
      <alignment horizontal="left"/>
    </xf>
    <xf numFmtId="0" fontId="14" fillId="6" borderId="47" xfId="0" applyFont="1" applyFill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4" fontId="14" fillId="6" borderId="47" xfId="2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1" fontId="31" fillId="10" borderId="0" xfId="0" applyNumberFormat="1" applyFont="1" applyFill="1" applyAlignment="1">
      <alignment horizontal="center"/>
    </xf>
    <xf numFmtId="0" fontId="31" fillId="5" borderId="0" xfId="0" applyFont="1" applyFill="1" applyAlignment="1">
      <alignment horizontal="center" vertical="center" shrinkToFit="1"/>
    </xf>
    <xf numFmtId="164" fontId="31" fillId="5" borderId="0" xfId="2" applyFont="1" applyFill="1" applyBorder="1" applyAlignment="1">
      <alignment horizontal="center" vertical="center"/>
    </xf>
    <xf numFmtId="1" fontId="31" fillId="5" borderId="0" xfId="0" applyNumberFormat="1" applyFont="1" applyFill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shrinkToFit="1"/>
    </xf>
    <xf numFmtId="0" fontId="54" fillId="8" borderId="0" xfId="0" applyFont="1" applyFill="1" applyAlignment="1">
      <alignment horizontal="center" vertical="center"/>
    </xf>
    <xf numFmtId="164" fontId="42" fillId="8" borderId="8" xfId="2" applyFont="1" applyFill="1" applyBorder="1" applyAlignment="1">
      <alignment horizontal="center" vertical="center"/>
    </xf>
    <xf numFmtId="164" fontId="42" fillId="8" borderId="11" xfId="2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 wrapText="1" shrinkToFit="1"/>
    </xf>
    <xf numFmtId="0" fontId="42" fillId="8" borderId="0" xfId="0" applyFont="1" applyFill="1" applyAlignment="1">
      <alignment horizontal="center" vertical="center" wrapText="1" shrinkToFit="1"/>
    </xf>
    <xf numFmtId="164" fontId="53" fillId="8" borderId="13" xfId="2" applyFont="1" applyFill="1" applyBorder="1" applyAlignment="1">
      <alignment horizontal="center" wrapText="1"/>
    </xf>
    <xf numFmtId="164" fontId="53" fillId="8" borderId="0" xfId="2" applyFont="1" applyFill="1" applyBorder="1" applyAlignment="1">
      <alignment horizontal="center" wrapText="1"/>
    </xf>
    <xf numFmtId="3" fontId="42" fillId="8" borderId="13" xfId="0" applyNumberFormat="1" applyFont="1" applyFill="1" applyBorder="1" applyAlignment="1">
      <alignment horizontal="center" vertical="center" wrapText="1"/>
    </xf>
    <xf numFmtId="3" fontId="42" fillId="8" borderId="0" xfId="0" applyNumberFormat="1" applyFont="1" applyFill="1" applyAlignment="1">
      <alignment horizontal="center" vertical="center" wrapText="1"/>
    </xf>
    <xf numFmtId="0" fontId="42" fillId="8" borderId="13" xfId="0" applyFont="1" applyFill="1" applyBorder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164" fontId="42" fillId="8" borderId="21" xfId="2" applyFont="1" applyFill="1" applyBorder="1" applyAlignment="1">
      <alignment horizontal="center" vertical="center" wrapText="1"/>
    </xf>
    <xf numFmtId="164" fontId="42" fillId="8" borderId="8" xfId="2" applyFont="1" applyFill="1" applyBorder="1" applyAlignment="1">
      <alignment horizontal="center" vertical="center" wrapText="1"/>
    </xf>
    <xf numFmtId="164" fontId="42" fillId="8" borderId="0" xfId="2" applyFont="1" applyFill="1" applyBorder="1" applyAlignment="1">
      <alignment horizontal="center" vertical="center" wrapText="1"/>
    </xf>
    <xf numFmtId="164" fontId="42" fillId="8" borderId="10" xfId="2" applyFont="1" applyFill="1" applyBorder="1" applyAlignment="1">
      <alignment horizontal="center" vertical="center" wrapText="1"/>
    </xf>
    <xf numFmtId="1" fontId="42" fillId="8" borderId="0" xfId="2" applyNumberFormat="1" applyFont="1" applyFill="1" applyBorder="1" applyAlignment="1">
      <alignment horizontal="center" vertical="center" wrapText="1"/>
    </xf>
    <xf numFmtId="0" fontId="42" fillId="8" borderId="10" xfId="2" applyNumberFormat="1" applyFont="1" applyFill="1" applyBorder="1" applyAlignment="1">
      <alignment horizontal="center" vertical="center" wrapText="1"/>
    </xf>
    <xf numFmtId="0" fontId="31" fillId="5" borderId="73" xfId="0" applyFont="1" applyFill="1" applyBorder="1" applyAlignment="1">
      <alignment horizontal="center" vertical="center"/>
    </xf>
    <xf numFmtId="0" fontId="31" fillId="5" borderId="76" xfId="0" applyFont="1" applyFill="1" applyBorder="1" applyAlignment="1">
      <alignment horizontal="center" vertical="center"/>
    </xf>
    <xf numFmtId="0" fontId="31" fillId="5" borderId="60" xfId="0" applyFont="1" applyFill="1" applyBorder="1" applyAlignment="1">
      <alignment horizontal="center" vertical="center"/>
    </xf>
    <xf numFmtId="0" fontId="31" fillId="5" borderId="61" xfId="0" applyFont="1" applyFill="1" applyBorder="1" applyAlignment="1">
      <alignment horizontal="center" vertical="center"/>
    </xf>
    <xf numFmtId="164" fontId="31" fillId="5" borderId="62" xfId="2" applyFont="1" applyFill="1" applyBorder="1" applyAlignment="1">
      <alignment horizontal="center" vertical="center"/>
    </xf>
    <xf numFmtId="164" fontId="31" fillId="5" borderId="54" xfId="2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64" xfId="0" applyFont="1" applyFill="1" applyBorder="1" applyAlignment="1">
      <alignment horizontal="center"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2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0" fontId="31" fillId="5" borderId="84" xfId="0" applyFont="1" applyFill="1" applyBorder="1" applyAlignment="1">
      <alignment horizontal="center" vertical="center"/>
    </xf>
    <xf numFmtId="1" fontId="33" fillId="8" borderId="0" xfId="2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4" xfId="3" xr:uid="{00000000-0005-0000-0000-000003000000}"/>
    <cellStyle name="Percent" xfId="4" builtinId="5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1C24"/>
      <color rgb="FF9E9F9E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1072930</xdr:colOff>
      <xdr:row>0</xdr:row>
      <xdr:rowOff>224791</xdr:rowOff>
    </xdr:from>
    <xdr:to>
      <xdr:col>7</xdr:col>
      <xdr:colOff>1108262</xdr:colOff>
      <xdr:row>6</xdr:row>
      <xdr:rowOff>97617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9B227-3BDC-9048-8698-6C2EC642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4521" y="224791"/>
          <a:ext cx="3152605" cy="1117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139700</xdr:rowOff>
    </xdr:from>
    <xdr:to>
      <xdr:col>1</xdr:col>
      <xdr:colOff>1198880</xdr:colOff>
      <xdr:row>6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75123-7BA3-7540-9470-BC09EF21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39700"/>
          <a:ext cx="1333500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606777</xdr:colOff>
      <xdr:row>0</xdr:row>
      <xdr:rowOff>112888</xdr:rowOff>
    </xdr:from>
    <xdr:to>
      <xdr:col>1</xdr:col>
      <xdr:colOff>1178277</xdr:colOff>
      <xdr:row>6</xdr:row>
      <xdr:rowOff>95814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3B9819-F315-EC40-B560-4CB1F957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7" y="112888"/>
          <a:ext cx="1333500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190500</xdr:rowOff>
    </xdr:from>
    <xdr:to>
      <xdr:col>1</xdr:col>
      <xdr:colOff>1181100</xdr:colOff>
      <xdr:row>6</xdr:row>
      <xdr:rowOff>93980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96C3B-AFE5-1141-9DB5-035DFB66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90500"/>
          <a:ext cx="1333500" cy="133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1201914</xdr:colOff>
      <xdr:row>6</xdr:row>
      <xdr:rowOff>59125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B16EF-C29A-F542-BEEE-598524B7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141111</xdr:rowOff>
    </xdr:from>
    <xdr:to>
      <xdr:col>1</xdr:col>
      <xdr:colOff>1198880</xdr:colOff>
      <xdr:row>6</xdr:row>
      <xdr:rowOff>55103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E14B1-D719-7849-A21D-1A83C155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165100</xdr:rowOff>
    </xdr:from>
    <xdr:to>
      <xdr:col>1</xdr:col>
      <xdr:colOff>1181100</xdr:colOff>
      <xdr:row>8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3E5311-C3A7-BC48-B257-BDE6722E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5100"/>
          <a:ext cx="1333500" cy="1333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691445</xdr:colOff>
      <xdr:row>0</xdr:row>
      <xdr:rowOff>169333</xdr:rowOff>
    </xdr:from>
    <xdr:to>
      <xdr:col>1</xdr:col>
      <xdr:colOff>1198881</xdr:colOff>
      <xdr:row>6</xdr:row>
      <xdr:rowOff>56655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1DACA-B6B3-E948-9DD9-BB32423D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45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1159581</xdr:colOff>
      <xdr:row>6</xdr:row>
      <xdr:rowOff>55315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BA7C4-FC76-EA42-B46C-B5A0C8D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169333</xdr:rowOff>
    </xdr:from>
    <xdr:to>
      <xdr:col>1</xdr:col>
      <xdr:colOff>1178278</xdr:colOff>
      <xdr:row>6</xdr:row>
      <xdr:rowOff>60465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0A07E-8EA1-6B48-8120-CD6ACD96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151848</xdr:rowOff>
    </xdr:from>
    <xdr:to>
      <xdr:col>1</xdr:col>
      <xdr:colOff>1167848</xdr:colOff>
      <xdr:row>6</xdr:row>
      <xdr:rowOff>67780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A3A8F-3CDC-1B48-928F-AC3302D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51848"/>
          <a:ext cx="1333500" cy="1333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127000</xdr:rowOff>
    </xdr:from>
    <xdr:to>
      <xdr:col>1</xdr:col>
      <xdr:colOff>1178278</xdr:colOff>
      <xdr:row>6</xdr:row>
      <xdr:rowOff>35277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37D7A0-8821-8545-90BC-E3343EB8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27000"/>
          <a:ext cx="1333500" cy="1333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155222</xdr:rowOff>
    </xdr:from>
    <xdr:to>
      <xdr:col>1</xdr:col>
      <xdr:colOff>1135945</xdr:colOff>
      <xdr:row>6</xdr:row>
      <xdr:rowOff>63499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7F287-7FDE-A349-8083-CF7AD22C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493888</xdr:colOff>
      <xdr:row>0</xdr:row>
      <xdr:rowOff>141111</xdr:rowOff>
    </xdr:from>
    <xdr:to>
      <xdr:col>1</xdr:col>
      <xdr:colOff>1164166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0B22E3-E7C3-9343-BE1B-4F7E6BAE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88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183444</xdr:rowOff>
    </xdr:from>
    <xdr:to>
      <xdr:col>1</xdr:col>
      <xdr:colOff>1164167</xdr:colOff>
      <xdr:row>6</xdr:row>
      <xdr:rowOff>55315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DC990-1AE0-A342-B898-CD723CEF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155222</xdr:rowOff>
    </xdr:from>
    <xdr:to>
      <xdr:col>1</xdr:col>
      <xdr:colOff>1160357</xdr:colOff>
      <xdr:row>6</xdr:row>
      <xdr:rowOff>59689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1F8A7-31D4-144A-9DD2-D05DAC069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169333</xdr:rowOff>
    </xdr:from>
    <xdr:to>
      <xdr:col>1</xdr:col>
      <xdr:colOff>1198880</xdr:colOff>
      <xdr:row>6</xdr:row>
      <xdr:rowOff>56655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967F-A8A2-B84E-AD9D-C50933D6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643467</xdr:colOff>
      <xdr:row>0</xdr:row>
      <xdr:rowOff>152399</xdr:rowOff>
    </xdr:from>
    <xdr:to>
      <xdr:col>1</xdr:col>
      <xdr:colOff>1160357</xdr:colOff>
      <xdr:row>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3470-7259-2D45-BA1D-B64D790A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67" y="152399"/>
          <a:ext cx="1333500" cy="1333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550333</xdr:colOff>
      <xdr:row>0</xdr:row>
      <xdr:rowOff>169334</xdr:rowOff>
    </xdr:from>
    <xdr:to>
      <xdr:col>1</xdr:col>
      <xdr:colOff>1192389</xdr:colOff>
      <xdr:row>6</xdr:row>
      <xdr:rowOff>68086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9E860-308C-9440-BD28-2863C8B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186267</xdr:rowOff>
    </xdr:from>
    <xdr:to>
      <xdr:col>1</xdr:col>
      <xdr:colOff>1164167</xdr:colOff>
      <xdr:row>6</xdr:row>
      <xdr:rowOff>170180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F537-8DFD-594E-A2EA-A33EAAA4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6267"/>
          <a:ext cx="1333500" cy="1333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626534</xdr:colOff>
      <xdr:row>0</xdr:row>
      <xdr:rowOff>169334</xdr:rowOff>
    </xdr:from>
    <xdr:to>
      <xdr:col>1</xdr:col>
      <xdr:colOff>1181101</xdr:colOff>
      <xdr:row>6</xdr:row>
      <xdr:rowOff>45509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9F139-ECE7-204F-BDAA-E6B59FF6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0</xdr:row>
      <xdr:rowOff>155223</xdr:rowOff>
    </xdr:from>
    <xdr:to>
      <xdr:col>1</xdr:col>
      <xdr:colOff>1065388</xdr:colOff>
      <xdr:row>6</xdr:row>
      <xdr:rowOff>64559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A9798-9203-C847-AB16-510DE34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55223"/>
          <a:ext cx="1333500" cy="1333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141111</xdr:rowOff>
    </xdr:from>
    <xdr:to>
      <xdr:col>1</xdr:col>
      <xdr:colOff>1178278</xdr:colOff>
      <xdr:row>6</xdr:row>
      <xdr:rowOff>58913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49023-958B-EF4E-B3F7-029CB3EC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634999</xdr:colOff>
      <xdr:row>0</xdr:row>
      <xdr:rowOff>141111</xdr:rowOff>
    </xdr:from>
    <xdr:to>
      <xdr:col>1</xdr:col>
      <xdr:colOff>1163390</xdr:colOff>
      <xdr:row>6</xdr:row>
      <xdr:rowOff>58913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F5687-D7BB-3145-8D9D-173B70CD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620888</xdr:colOff>
      <xdr:row>0</xdr:row>
      <xdr:rowOff>141111</xdr:rowOff>
    </xdr:from>
    <xdr:to>
      <xdr:col>1</xdr:col>
      <xdr:colOff>1178277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DBF4B6-C10A-784F-879F-2E576B5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8" y="141111"/>
          <a:ext cx="1333500" cy="1333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Quarter" displayName="Quarter" ref="B2:B6" totalsRowShown="0" headerRowDxfId="18" dataDxfId="17">
  <autoFilter ref="B2:B6" xr:uid="{00000000-0009-0000-0100-00001C000000}"/>
  <tableColumns count="1">
    <tableColumn id="1" xr3:uid="{00000000-0010-0000-0400-000001000000}" name="Quarte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5000000}" name="Province" displayName="Province" ref="D2:D6" totalsRowShown="0" headerRowDxfId="15" dataDxfId="14">
  <autoFilter ref="D2:D6" xr:uid="{00000000-0009-0000-0100-00001D000000}"/>
  <tableColumns count="1">
    <tableColumn id="1" xr3:uid="{00000000-0010-0000-0500-000001000000}" name="Provin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Contract_Type" displayName="Contract_Type" ref="J2:J6" totalsRowShown="0" headerRowDxfId="12" dataDxfId="11">
  <autoFilter ref="J2:J6" xr:uid="{00000000-0009-0000-0100-00001E000000}"/>
  <tableColumns count="1">
    <tableColumn id="1" xr3:uid="{00000000-0010-0000-0600-000001000000}" name="Contract 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7000000}" name="Payment_Method" displayName="Payment_Method" ref="K2:K4" totalsRowShown="0" headerRowDxfId="9" dataDxfId="8">
  <autoFilter ref="K2:K4" xr:uid="{00000000-0009-0000-0100-00001F000000}"/>
  <tableColumns count="1">
    <tableColumn id="1" xr3:uid="{00000000-0010-0000-0700-000001000000}" name="Payment Metho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8000000}" name="Status" displayName="Status" ref="R4:R7" totalsRowShown="0" headerRowDxfId="6" headerRowBorderDxfId="5" tableBorderDxfId="4" totalsRowBorderDxfId="3">
  <autoFilter ref="R4:R7" xr:uid="{00000000-0009-0000-0100-000020000000}"/>
  <tableColumns count="1">
    <tableColumn id="1" xr3:uid="{00000000-0010-0000-08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9000000}" name="Result" displayName="Result" ref="T4:T6" totalsRowShown="0" headerRowDxfId="2" dataDxfId="1">
  <autoFilter ref="T4:T6" xr:uid="{00000000-0009-0000-0100-000021000000}"/>
  <tableColumns count="1">
    <tableColumn id="1" xr3:uid="{00000000-0010-0000-0900-000001000000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showFormulas="1" zoomScale="91" workbookViewId="0">
      <selection activeCell="A13" sqref="A13:B13"/>
    </sheetView>
  </sheetViews>
  <sheetFormatPr defaultColWidth="11.44140625" defaultRowHeight="13.2" x14ac:dyDescent="0.25"/>
  <cols>
    <col min="2" max="2" width="14" bestFit="1" customWidth="1"/>
    <col min="3" max="3" width="66.6640625" bestFit="1" customWidth="1"/>
    <col min="4" max="4" width="26.44140625" customWidth="1"/>
  </cols>
  <sheetData>
    <row r="1" spans="1:4" x14ac:dyDescent="0.25">
      <c r="A1" t="s">
        <v>149</v>
      </c>
      <c r="B1">
        <v>2</v>
      </c>
    </row>
    <row r="2" spans="1:4" ht="15.6" x14ac:dyDescent="0.3">
      <c r="B2" s="34" t="s">
        <v>675</v>
      </c>
      <c r="C2" s="35" t="s">
        <v>3</v>
      </c>
    </row>
    <row r="3" spans="1:4" ht="15" x14ac:dyDescent="0.25">
      <c r="B3" s="14" t="s">
        <v>103</v>
      </c>
      <c r="C3" s="36" t="s">
        <v>102</v>
      </c>
      <c r="D3" s="2">
        <f>'1'!K25</f>
        <v>21450</v>
      </c>
    </row>
    <row r="4" spans="1:4" ht="15" x14ac:dyDescent="0.25">
      <c r="B4" s="15" t="s">
        <v>104</v>
      </c>
      <c r="C4" s="37" t="s">
        <v>105</v>
      </c>
      <c r="D4" s="2">
        <f>'1'!K36</f>
        <v>63750</v>
      </c>
    </row>
    <row r="5" spans="1:4" ht="15" x14ac:dyDescent="0.25">
      <c r="B5" s="15" t="s">
        <v>106</v>
      </c>
      <c r="C5" s="37" t="s">
        <v>107</v>
      </c>
      <c r="D5" s="2">
        <f>'1'!K67</f>
        <v>5301.1971750000002</v>
      </c>
    </row>
    <row r="6" spans="1:4" ht="15" x14ac:dyDescent="0.25">
      <c r="B6" s="15" t="s">
        <v>141</v>
      </c>
      <c r="C6" s="37" t="s">
        <v>142</v>
      </c>
      <c r="D6" s="2">
        <f>'1'!K76</f>
        <v>3250</v>
      </c>
    </row>
    <row r="7" spans="1:4" ht="15" x14ac:dyDescent="0.25">
      <c r="B7" s="15" t="s">
        <v>108</v>
      </c>
      <c r="C7" s="37" t="s">
        <v>109</v>
      </c>
      <c r="D7" s="2">
        <f>'1'!K87</f>
        <v>0</v>
      </c>
    </row>
    <row r="8" spans="1:4" ht="15" x14ac:dyDescent="0.25">
      <c r="B8" s="15" t="s">
        <v>111</v>
      </c>
      <c r="C8" s="37" t="s">
        <v>110</v>
      </c>
      <c r="D8" s="2">
        <f>'1'!K97</f>
        <v>2276.2544594999999</v>
      </c>
    </row>
    <row r="9" spans="1:4" ht="15" x14ac:dyDescent="0.25">
      <c r="B9" s="15" t="s">
        <v>112</v>
      </c>
      <c r="C9" s="37" t="s">
        <v>113</v>
      </c>
      <c r="D9" s="2">
        <f>'1'!K105</f>
        <v>3146.9052557000005</v>
      </c>
    </row>
    <row r="10" spans="1:4" ht="15" x14ac:dyDescent="0.25">
      <c r="B10" s="15" t="s">
        <v>114</v>
      </c>
      <c r="C10" s="37" t="s">
        <v>115</v>
      </c>
      <c r="D10" s="2">
        <f>'1'!K128</f>
        <v>596.70000000000005</v>
      </c>
    </row>
    <row r="11" spans="1:4" ht="15" x14ac:dyDescent="0.25">
      <c r="B11" s="15" t="s">
        <v>116</v>
      </c>
      <c r="C11" s="37" t="s">
        <v>117</v>
      </c>
      <c r="D11" s="2">
        <f>'1'!K136</f>
        <v>3450</v>
      </c>
    </row>
    <row r="13" spans="1:4" x14ac:dyDescent="0.25">
      <c r="A13" t="s">
        <v>149</v>
      </c>
      <c r="B13">
        <v>2</v>
      </c>
    </row>
    <row r="15" spans="1:4" ht="15" x14ac:dyDescent="0.25">
      <c r="B15" s="3" t="s">
        <v>150</v>
      </c>
      <c r="C15" s="3" t="s">
        <v>152</v>
      </c>
    </row>
    <row r="16" spans="1:4" ht="15" x14ac:dyDescent="0.25">
      <c r="B16" s="4" t="s">
        <v>151</v>
      </c>
      <c r="C16" s="4" t="s">
        <v>78</v>
      </c>
      <c r="D16" s="2">
        <f>'2'!K24</f>
        <v>21250</v>
      </c>
    </row>
    <row r="17" spans="1:4" ht="15" x14ac:dyDescent="0.25">
      <c r="B17" s="4" t="s">
        <v>153</v>
      </c>
      <c r="C17" s="4" t="s">
        <v>154</v>
      </c>
      <c r="D17" s="2">
        <f>'2'!K35</f>
        <v>0</v>
      </c>
    </row>
    <row r="18" spans="1:4" ht="15" x14ac:dyDescent="0.25">
      <c r="B18" s="4" t="s">
        <v>155</v>
      </c>
      <c r="C18" s="4" t="s">
        <v>530</v>
      </c>
      <c r="D18" s="2">
        <f>'2'!K46</f>
        <v>0</v>
      </c>
    </row>
    <row r="21" spans="1:4" x14ac:dyDescent="0.25">
      <c r="A21" t="s">
        <v>149</v>
      </c>
      <c r="B21">
        <v>3</v>
      </c>
    </row>
    <row r="22" spans="1:4" ht="15" x14ac:dyDescent="0.25">
      <c r="B22" s="3" t="s">
        <v>156</v>
      </c>
      <c r="C22" s="3" t="s">
        <v>4</v>
      </c>
    </row>
    <row r="23" spans="1:4" ht="15" x14ac:dyDescent="0.25">
      <c r="B23" s="4" t="s">
        <v>157</v>
      </c>
      <c r="C23" s="4" t="s">
        <v>158</v>
      </c>
      <c r="D23" s="2">
        <f>'3'!K18</f>
        <v>25200</v>
      </c>
    </row>
    <row r="24" spans="1:4" ht="15" x14ac:dyDescent="0.25">
      <c r="B24" s="4" t="s">
        <v>160</v>
      </c>
      <c r="C24" s="4" t="s">
        <v>159</v>
      </c>
      <c r="D24" s="2">
        <f>'3'!K26</f>
        <v>11950</v>
      </c>
    </row>
    <row r="25" spans="1:4" ht="15" x14ac:dyDescent="0.25">
      <c r="B25" s="4" t="s">
        <v>161</v>
      </c>
      <c r="C25" s="4" t="s">
        <v>165</v>
      </c>
      <c r="D25" s="2">
        <f>'3'!K37</f>
        <v>7577.7000000000007</v>
      </c>
    </row>
    <row r="26" spans="1:4" ht="15" x14ac:dyDescent="0.25">
      <c r="B26" s="4" t="s">
        <v>162</v>
      </c>
      <c r="C26" s="4" t="s">
        <v>166</v>
      </c>
      <c r="D26" s="2">
        <f>'3'!K44</f>
        <v>1911</v>
      </c>
    </row>
    <row r="27" spans="1:4" ht="15" x14ac:dyDescent="0.25">
      <c r="B27" s="4" t="s">
        <v>163</v>
      </c>
      <c r="C27" s="4" t="s">
        <v>167</v>
      </c>
      <c r="D27" s="2">
        <f>'3'!K49</f>
        <v>0</v>
      </c>
    </row>
    <row r="28" spans="1:4" ht="15" x14ac:dyDescent="0.25">
      <c r="B28" s="4" t="s">
        <v>164</v>
      </c>
      <c r="C28" s="4" t="s">
        <v>168</v>
      </c>
      <c r="D28" s="2">
        <f>'3'!K58</f>
        <v>3686</v>
      </c>
    </row>
    <row r="31" spans="1:4" x14ac:dyDescent="0.25">
      <c r="A31" t="s">
        <v>149</v>
      </c>
      <c r="B31">
        <v>4</v>
      </c>
    </row>
    <row r="32" spans="1:4" ht="15" x14ac:dyDescent="0.25">
      <c r="B32" s="3" t="s">
        <v>169</v>
      </c>
      <c r="C32" s="3" t="s">
        <v>5</v>
      </c>
    </row>
    <row r="33" spans="1:4" ht="15" x14ac:dyDescent="0.25">
      <c r="B33" s="4" t="s">
        <v>170</v>
      </c>
      <c r="C33" s="4" t="s">
        <v>172</v>
      </c>
      <c r="D33" s="2">
        <f>'4'!K19</f>
        <v>21700</v>
      </c>
    </row>
    <row r="34" spans="1:4" ht="15" x14ac:dyDescent="0.25">
      <c r="B34" s="4" t="s">
        <v>171</v>
      </c>
      <c r="C34" s="4" t="s">
        <v>173</v>
      </c>
      <c r="D34" s="2">
        <f>'4'!K30</f>
        <v>0</v>
      </c>
    </row>
    <row r="36" spans="1:4" x14ac:dyDescent="0.25">
      <c r="A36" t="s">
        <v>174</v>
      </c>
      <c r="B36">
        <v>5</v>
      </c>
    </row>
    <row r="37" spans="1:4" ht="15" x14ac:dyDescent="0.25">
      <c r="B37" s="3" t="s">
        <v>175</v>
      </c>
      <c r="C37" s="3" t="s">
        <v>6</v>
      </c>
    </row>
    <row r="38" spans="1:4" ht="15" x14ac:dyDescent="0.25">
      <c r="B38" s="4" t="s">
        <v>176</v>
      </c>
      <c r="C38" s="4" t="s">
        <v>182</v>
      </c>
      <c r="D38" s="2">
        <f>'5'!K19</f>
        <v>64100</v>
      </c>
    </row>
    <row r="39" spans="1:4" ht="15" x14ac:dyDescent="0.25">
      <c r="B39" s="4" t="s">
        <v>177</v>
      </c>
      <c r="C39" s="4" t="s">
        <v>183</v>
      </c>
      <c r="D39" s="2">
        <f>'5'!K29</f>
        <v>0</v>
      </c>
    </row>
    <row r="40" spans="1:4" ht="15" x14ac:dyDescent="0.25">
      <c r="B40" s="4" t="s">
        <v>178</v>
      </c>
      <c r="C40" s="4" t="s">
        <v>184</v>
      </c>
      <c r="D40" s="2">
        <f>'5'!K37</f>
        <v>0</v>
      </c>
    </row>
    <row r="41" spans="1:4" ht="15" x14ac:dyDescent="0.25">
      <c r="B41" s="4" t="s">
        <v>179</v>
      </c>
      <c r="C41" s="4" t="s">
        <v>185</v>
      </c>
      <c r="D41" s="2">
        <f>'5'!K46</f>
        <v>0</v>
      </c>
    </row>
    <row r="42" spans="1:4" ht="15" x14ac:dyDescent="0.25">
      <c r="B42" s="4" t="s">
        <v>180</v>
      </c>
      <c r="C42" s="4" t="s">
        <v>186</v>
      </c>
      <c r="D42" s="2">
        <f>'5'!K57</f>
        <v>0</v>
      </c>
    </row>
    <row r="43" spans="1:4" ht="15" x14ac:dyDescent="0.25">
      <c r="B43" s="4" t="s">
        <v>181</v>
      </c>
      <c r="C43" s="4" t="s">
        <v>187</v>
      </c>
      <c r="D43" s="2">
        <f>'5'!K66</f>
        <v>2040</v>
      </c>
    </row>
    <row r="46" spans="1:4" x14ac:dyDescent="0.25">
      <c r="A46" t="s">
        <v>174</v>
      </c>
      <c r="B46">
        <v>6</v>
      </c>
    </row>
    <row r="47" spans="1:4" ht="15" x14ac:dyDescent="0.25">
      <c r="B47" s="3" t="s">
        <v>188</v>
      </c>
      <c r="C47" s="3" t="s">
        <v>189</v>
      </c>
    </row>
    <row r="48" spans="1:4" ht="15" x14ac:dyDescent="0.25">
      <c r="B48" s="4" t="s">
        <v>781</v>
      </c>
      <c r="C48" s="4" t="s">
        <v>715</v>
      </c>
      <c r="D48" s="2">
        <f>'6'!K19</f>
        <v>0</v>
      </c>
    </row>
    <row r="49" spans="1:4" ht="15" x14ac:dyDescent="0.25">
      <c r="B49" s="4" t="s">
        <v>190</v>
      </c>
      <c r="C49" s="4" t="s">
        <v>79</v>
      </c>
      <c r="D49" s="2">
        <f>'6'!K36</f>
        <v>0</v>
      </c>
    </row>
    <row r="50" spans="1:4" ht="15" x14ac:dyDescent="0.25">
      <c r="B50" s="4" t="s">
        <v>191</v>
      </c>
      <c r="C50" s="4" t="s">
        <v>48</v>
      </c>
      <c r="D50" s="2">
        <f>'6'!K47</f>
        <v>0</v>
      </c>
    </row>
    <row r="51" spans="1:4" ht="15" x14ac:dyDescent="0.25">
      <c r="B51" s="4" t="s">
        <v>192</v>
      </c>
      <c r="C51" s="4" t="s">
        <v>193</v>
      </c>
      <c r="D51" s="2">
        <f>'6'!K55</f>
        <v>0</v>
      </c>
    </row>
    <row r="52" spans="1:4" ht="15" x14ac:dyDescent="0.25">
      <c r="B52" s="4" t="s">
        <v>195</v>
      </c>
      <c r="C52" s="4" t="s">
        <v>194</v>
      </c>
      <c r="D52" s="2">
        <f>'6'!K64</f>
        <v>0</v>
      </c>
    </row>
    <row r="53" spans="1:4" ht="15" x14ac:dyDescent="0.25">
      <c r="B53" s="4" t="s">
        <v>196</v>
      </c>
      <c r="C53" s="4" t="s">
        <v>197</v>
      </c>
      <c r="D53" s="2">
        <f>'6'!K75</f>
        <v>0</v>
      </c>
    </row>
    <row r="54" spans="1:4" ht="15" x14ac:dyDescent="0.25">
      <c r="B54" s="4" t="s">
        <v>198</v>
      </c>
      <c r="C54" s="4" t="s">
        <v>199</v>
      </c>
      <c r="D54" s="2">
        <f>'6'!K84</f>
        <v>0</v>
      </c>
    </row>
    <row r="55" spans="1:4" ht="15" x14ac:dyDescent="0.25">
      <c r="B55" s="4" t="s">
        <v>201</v>
      </c>
      <c r="C55" s="4" t="s">
        <v>200</v>
      </c>
      <c r="D55" s="2">
        <f>'6'!K91</f>
        <v>0</v>
      </c>
    </row>
    <row r="58" spans="1:4" x14ac:dyDescent="0.25">
      <c r="A58" t="s">
        <v>174</v>
      </c>
      <c r="B58">
        <v>7</v>
      </c>
    </row>
    <row r="59" spans="1:4" ht="15" x14ac:dyDescent="0.25">
      <c r="B59" s="3" t="s">
        <v>202</v>
      </c>
      <c r="C59" s="3" t="s">
        <v>57</v>
      </c>
    </row>
    <row r="60" spans="1:4" ht="15" x14ac:dyDescent="0.25">
      <c r="B60" s="4" t="s">
        <v>203</v>
      </c>
      <c r="C60" s="4" t="s">
        <v>204</v>
      </c>
      <c r="D60" s="2">
        <f>'7'!K16</f>
        <v>0</v>
      </c>
    </row>
    <row r="61" spans="1:4" ht="15" x14ac:dyDescent="0.25">
      <c r="B61" s="4" t="s">
        <v>211</v>
      </c>
      <c r="C61" s="4" t="s">
        <v>212</v>
      </c>
      <c r="D61" s="2">
        <f>'7'!K22</f>
        <v>0</v>
      </c>
    </row>
    <row r="62" spans="1:4" ht="15" x14ac:dyDescent="0.25">
      <c r="B62" s="4" t="s">
        <v>213</v>
      </c>
      <c r="C62" s="4" t="s">
        <v>214</v>
      </c>
      <c r="D62" s="2">
        <f>'7'!K27</f>
        <v>0</v>
      </c>
    </row>
    <row r="63" spans="1:4" ht="15" x14ac:dyDescent="0.25">
      <c r="B63" s="4" t="s">
        <v>215</v>
      </c>
      <c r="C63" s="4" t="s">
        <v>216</v>
      </c>
      <c r="D63" s="2">
        <f>'7'!K33</f>
        <v>0</v>
      </c>
    </row>
    <row r="64" spans="1:4" ht="15" x14ac:dyDescent="0.25">
      <c r="B64" s="4" t="s">
        <v>217</v>
      </c>
      <c r="C64" s="4" t="s">
        <v>58</v>
      </c>
      <c r="D64" s="2">
        <f>'7'!K45</f>
        <v>77450</v>
      </c>
    </row>
    <row r="65" spans="1:4" ht="15" x14ac:dyDescent="0.25">
      <c r="B65" s="4" t="s">
        <v>218</v>
      </c>
      <c r="C65" s="4" t="s">
        <v>219</v>
      </c>
      <c r="D65" s="2">
        <f>'7'!K53</f>
        <v>42586</v>
      </c>
    </row>
    <row r="66" spans="1:4" ht="15" x14ac:dyDescent="0.25">
      <c r="B66" s="4" t="s">
        <v>220</v>
      </c>
      <c r="C66" s="4" t="s">
        <v>221</v>
      </c>
      <c r="D66" s="2">
        <f>'7'!K58</f>
        <v>0</v>
      </c>
    </row>
    <row r="67" spans="1:4" ht="15" x14ac:dyDescent="0.25">
      <c r="B67" s="4" t="s">
        <v>222</v>
      </c>
      <c r="C67" s="4" t="s">
        <v>223</v>
      </c>
      <c r="D67" s="2">
        <f>'7'!K63</f>
        <v>0</v>
      </c>
    </row>
    <row r="68" spans="1:4" ht="15" x14ac:dyDescent="0.25">
      <c r="B68" s="4" t="s">
        <v>226</v>
      </c>
      <c r="C68" s="4" t="s">
        <v>224</v>
      </c>
      <c r="D68" s="2">
        <f>'7'!K68</f>
        <v>0</v>
      </c>
    </row>
    <row r="69" spans="1:4" ht="15" x14ac:dyDescent="0.25">
      <c r="B69" s="4" t="s">
        <v>227</v>
      </c>
      <c r="C69" s="4" t="s">
        <v>225</v>
      </c>
      <c r="D69" s="2">
        <f>'7'!K74</f>
        <v>0</v>
      </c>
    </row>
    <row r="70" spans="1:4" ht="15" x14ac:dyDescent="0.25">
      <c r="B70" s="4" t="s">
        <v>228</v>
      </c>
      <c r="C70" s="4" t="s">
        <v>229</v>
      </c>
      <c r="D70" s="2">
        <f>'7'!K80</f>
        <v>0</v>
      </c>
    </row>
    <row r="71" spans="1:4" ht="15" x14ac:dyDescent="0.25">
      <c r="B71" s="4" t="s">
        <v>234</v>
      </c>
      <c r="C71" s="4" t="s">
        <v>235</v>
      </c>
      <c r="D71" s="2">
        <f>'7'!K86</f>
        <v>4480</v>
      </c>
    </row>
    <row r="72" spans="1:4" ht="15" x14ac:dyDescent="0.25">
      <c r="B72" s="4" t="s">
        <v>237</v>
      </c>
      <c r="C72" s="4" t="s">
        <v>238</v>
      </c>
      <c r="D72" s="2">
        <f>'7'!K92</f>
        <v>0</v>
      </c>
    </row>
    <row r="74" spans="1:4" x14ac:dyDescent="0.25">
      <c r="A74" t="s">
        <v>149</v>
      </c>
      <c r="B74">
        <v>8</v>
      </c>
    </row>
    <row r="75" spans="1:4" ht="15" x14ac:dyDescent="0.25">
      <c r="B75" s="3" t="s">
        <v>239</v>
      </c>
      <c r="C75" s="3" t="s">
        <v>240</v>
      </c>
    </row>
    <row r="76" spans="1:4" ht="15" x14ac:dyDescent="0.25">
      <c r="B76" s="4" t="s">
        <v>241</v>
      </c>
      <c r="C76" s="4" t="s">
        <v>242</v>
      </c>
      <c r="D76" s="2">
        <f>'8'!K18</f>
        <v>72030</v>
      </c>
    </row>
    <row r="77" spans="1:4" ht="15" x14ac:dyDescent="0.25">
      <c r="B77" s="4" t="s">
        <v>245</v>
      </c>
      <c r="C77" s="4" t="s">
        <v>246</v>
      </c>
      <c r="D77" s="2">
        <f>'8'!K24</f>
        <v>0</v>
      </c>
    </row>
    <row r="78" spans="1:4" ht="15" x14ac:dyDescent="0.25">
      <c r="B78" s="4" t="s">
        <v>247</v>
      </c>
      <c r="C78" s="4" t="s">
        <v>248</v>
      </c>
      <c r="D78" s="2">
        <f>'8'!K29</f>
        <v>0</v>
      </c>
    </row>
    <row r="79" spans="1:4" ht="15" x14ac:dyDescent="0.25">
      <c r="B79" s="4" t="s">
        <v>249</v>
      </c>
      <c r="C79" s="4" t="s">
        <v>250</v>
      </c>
      <c r="D79" s="2">
        <f>'8'!K35</f>
        <v>0</v>
      </c>
    </row>
    <row r="80" spans="1:4" ht="15" x14ac:dyDescent="0.25">
      <c r="B80" s="4" t="s">
        <v>251</v>
      </c>
      <c r="C80" s="4" t="s">
        <v>252</v>
      </c>
      <c r="D80" s="2">
        <f>'8'!K41</f>
        <v>0</v>
      </c>
    </row>
    <row r="81" spans="1:4" ht="15" x14ac:dyDescent="0.25">
      <c r="B81" s="4" t="s">
        <v>253</v>
      </c>
      <c r="C81" s="4" t="s">
        <v>254</v>
      </c>
      <c r="D81" s="2">
        <f>'8'!K47</f>
        <v>0</v>
      </c>
    </row>
    <row r="82" spans="1:4" ht="15" x14ac:dyDescent="0.25">
      <c r="B82" s="4" t="s">
        <v>255</v>
      </c>
      <c r="C82" s="4" t="s">
        <v>60</v>
      </c>
      <c r="D82" s="2">
        <f>'8'!K52</f>
        <v>0</v>
      </c>
    </row>
    <row r="83" spans="1:4" ht="15" x14ac:dyDescent="0.25">
      <c r="B83" s="4" t="s">
        <v>256</v>
      </c>
      <c r="C83" s="4" t="s">
        <v>47</v>
      </c>
      <c r="D83" s="2">
        <f>'8'!K59</f>
        <v>0</v>
      </c>
    </row>
    <row r="84" spans="1:4" ht="15" x14ac:dyDescent="0.25">
      <c r="B84" s="4" t="s">
        <v>257</v>
      </c>
      <c r="C84" s="4" t="s">
        <v>258</v>
      </c>
      <c r="D84" s="2">
        <f>'8'!K66</f>
        <v>0</v>
      </c>
    </row>
    <row r="85" spans="1:4" ht="15" x14ac:dyDescent="0.25">
      <c r="B85" s="4" t="s">
        <v>259</v>
      </c>
      <c r="C85" s="4" t="s">
        <v>95</v>
      </c>
      <c r="D85" s="2">
        <f>'8'!K73</f>
        <v>0</v>
      </c>
    </row>
    <row r="86" spans="1:4" ht="15" x14ac:dyDescent="0.25">
      <c r="B86" s="4" t="s">
        <v>263</v>
      </c>
      <c r="C86" s="4" t="s">
        <v>62</v>
      </c>
      <c r="D86" s="2">
        <f>'8'!K79</f>
        <v>0</v>
      </c>
    </row>
    <row r="87" spans="1:4" ht="15" x14ac:dyDescent="0.25">
      <c r="B87" s="4" t="s">
        <v>264</v>
      </c>
      <c r="C87" s="4" t="s">
        <v>265</v>
      </c>
      <c r="D87" s="2">
        <f>'8'!K85</f>
        <v>0</v>
      </c>
    </row>
    <row r="88" spans="1:4" ht="15" x14ac:dyDescent="0.25">
      <c r="B88" s="4" t="s">
        <v>266</v>
      </c>
      <c r="C88" s="4" t="s">
        <v>267</v>
      </c>
      <c r="D88" s="2">
        <f>'8'!K91</f>
        <v>0</v>
      </c>
    </row>
    <row r="89" spans="1:4" ht="15" x14ac:dyDescent="0.25">
      <c r="B89" s="4" t="s">
        <v>268</v>
      </c>
      <c r="C89" s="4" t="s">
        <v>269</v>
      </c>
      <c r="D89" s="2">
        <f>'8'!K97</f>
        <v>0</v>
      </c>
    </row>
    <row r="90" spans="1:4" ht="15" x14ac:dyDescent="0.25">
      <c r="B90" s="4" t="s">
        <v>270</v>
      </c>
      <c r="C90" s="4" t="s">
        <v>271</v>
      </c>
      <c r="D90" s="2">
        <f>'8'!K103</f>
        <v>0</v>
      </c>
    </row>
    <row r="92" spans="1:4" x14ac:dyDescent="0.25">
      <c r="A92" t="s">
        <v>174</v>
      </c>
      <c r="B92">
        <v>9</v>
      </c>
    </row>
    <row r="93" spans="1:4" ht="15" x14ac:dyDescent="0.25">
      <c r="B93" s="3" t="s">
        <v>272</v>
      </c>
      <c r="C93" s="3" t="s">
        <v>8</v>
      </c>
    </row>
    <row r="94" spans="1:4" ht="15" x14ac:dyDescent="0.25">
      <c r="B94" s="4" t="s">
        <v>273</v>
      </c>
      <c r="C94" s="4" t="s">
        <v>274</v>
      </c>
      <c r="D94" s="2">
        <f>'9'!K25</f>
        <v>36493.72</v>
      </c>
    </row>
    <row r="95" spans="1:4" ht="15" x14ac:dyDescent="0.25">
      <c r="B95" s="4" t="s">
        <v>275</v>
      </c>
      <c r="C95" s="4" t="s">
        <v>276</v>
      </c>
      <c r="D95" s="2">
        <f>'9'!K33</f>
        <v>0</v>
      </c>
    </row>
    <row r="96" spans="1:4" ht="15" x14ac:dyDescent="0.25">
      <c r="B96" s="4" t="s">
        <v>277</v>
      </c>
      <c r="C96" s="4" t="s">
        <v>278</v>
      </c>
      <c r="D96" s="2">
        <f>'9'!K39</f>
        <v>0</v>
      </c>
    </row>
    <row r="97" spans="1:4" ht="15" x14ac:dyDescent="0.25">
      <c r="B97" s="4" t="s">
        <v>279</v>
      </c>
      <c r="C97" s="4" t="s">
        <v>80</v>
      </c>
      <c r="D97" s="2">
        <f>'9'!K52</f>
        <v>19250</v>
      </c>
    </row>
    <row r="98" spans="1:4" ht="15" x14ac:dyDescent="0.25">
      <c r="B98" s="4" t="s">
        <v>287</v>
      </c>
      <c r="C98" s="4" t="s">
        <v>67</v>
      </c>
      <c r="D98" s="2">
        <f>'9'!K58</f>
        <v>0</v>
      </c>
    </row>
    <row r="99" spans="1:4" ht="15" x14ac:dyDescent="0.25">
      <c r="B99" s="4" t="s">
        <v>288</v>
      </c>
      <c r="C99" s="4" t="s">
        <v>81</v>
      </c>
      <c r="D99" s="2">
        <f>'9'!K67</f>
        <v>5505.87</v>
      </c>
    </row>
    <row r="102" spans="1:4" x14ac:dyDescent="0.25">
      <c r="A102" t="s">
        <v>149</v>
      </c>
      <c r="B102">
        <v>10</v>
      </c>
    </row>
    <row r="103" spans="1:4" ht="15" x14ac:dyDescent="0.25">
      <c r="B103" s="3" t="s">
        <v>291</v>
      </c>
      <c r="C103" s="3" t="s">
        <v>9</v>
      </c>
    </row>
    <row r="104" spans="1:4" ht="15" x14ac:dyDescent="0.25">
      <c r="B104" s="4" t="s">
        <v>292</v>
      </c>
      <c r="C104" s="4" t="s">
        <v>293</v>
      </c>
      <c r="D104" s="2">
        <f>'10'!K17</f>
        <v>0</v>
      </c>
    </row>
    <row r="105" spans="1:4" ht="15" x14ac:dyDescent="0.25">
      <c r="B105" s="4" t="s">
        <v>294</v>
      </c>
      <c r="C105" s="4" t="s">
        <v>295</v>
      </c>
      <c r="D105" s="2">
        <f>'10'!K25</f>
        <v>0</v>
      </c>
    </row>
    <row r="106" spans="1:4" ht="15" x14ac:dyDescent="0.25">
      <c r="B106" s="4" t="s">
        <v>296</v>
      </c>
      <c r="C106" s="4" t="s">
        <v>297</v>
      </c>
      <c r="D106" s="2">
        <f>'10'!K38</f>
        <v>0</v>
      </c>
    </row>
    <row r="107" spans="1:4" ht="15" x14ac:dyDescent="0.25">
      <c r="B107" s="4" t="s">
        <v>311</v>
      </c>
      <c r="C107" s="4" t="s">
        <v>312</v>
      </c>
      <c r="D107" s="2">
        <f>'10'!K44</f>
        <v>0</v>
      </c>
    </row>
    <row r="108" spans="1:4" ht="15" x14ac:dyDescent="0.25">
      <c r="B108" s="4" t="s">
        <v>314</v>
      </c>
      <c r="C108" s="4" t="s">
        <v>68</v>
      </c>
      <c r="D108" s="2">
        <f>'10'!K51</f>
        <v>0</v>
      </c>
    </row>
    <row r="109" spans="1:4" ht="15" x14ac:dyDescent="0.25">
      <c r="B109" s="4" t="s">
        <v>315</v>
      </c>
      <c r="C109" s="4" t="s">
        <v>316</v>
      </c>
      <c r="D109" s="2">
        <f>'10'!K57</f>
        <v>0</v>
      </c>
    </row>
    <row r="110" spans="1:4" ht="15" x14ac:dyDescent="0.25">
      <c r="B110" s="4" t="s">
        <v>317</v>
      </c>
      <c r="C110" s="4" t="s">
        <v>318</v>
      </c>
      <c r="D110" s="2">
        <f>'10'!K63</f>
        <v>0</v>
      </c>
    </row>
    <row r="112" spans="1:4" x14ac:dyDescent="0.25">
      <c r="A112" t="s">
        <v>174</v>
      </c>
      <c r="B112">
        <v>11</v>
      </c>
    </row>
    <row r="113" spans="1:4" ht="15" x14ac:dyDescent="0.25">
      <c r="B113" s="3" t="s">
        <v>325</v>
      </c>
      <c r="C113" s="3" t="s">
        <v>71</v>
      </c>
    </row>
    <row r="114" spans="1:4" ht="15" x14ac:dyDescent="0.25">
      <c r="B114" s="4" t="s">
        <v>326</v>
      </c>
      <c r="C114" s="4" t="s">
        <v>327</v>
      </c>
      <c r="D114" s="2">
        <f>'11'!K24</f>
        <v>0</v>
      </c>
    </row>
    <row r="115" spans="1:4" ht="15" x14ac:dyDescent="0.25">
      <c r="B115" s="4" t="s">
        <v>328</v>
      </c>
      <c r="C115" s="4" t="s">
        <v>329</v>
      </c>
      <c r="D115" s="2">
        <f>'11'!K35</f>
        <v>0</v>
      </c>
    </row>
    <row r="116" spans="1:4" ht="15" x14ac:dyDescent="0.25">
      <c r="B116" s="4" t="s">
        <v>330</v>
      </c>
      <c r="C116" s="4" t="s">
        <v>331</v>
      </c>
      <c r="D116" s="2">
        <f>'11'!K43</f>
        <v>0</v>
      </c>
    </row>
    <row r="117" spans="1:4" ht="15" x14ac:dyDescent="0.25">
      <c r="B117" s="4" t="s">
        <v>334</v>
      </c>
      <c r="C117" s="4" t="s">
        <v>335</v>
      </c>
      <c r="D117" s="2">
        <f>'11'!K52</f>
        <v>0</v>
      </c>
    </row>
    <row r="118" spans="1:4" ht="15" x14ac:dyDescent="0.25">
      <c r="B118" s="4" t="s">
        <v>338</v>
      </c>
      <c r="C118" s="4" t="s">
        <v>339</v>
      </c>
      <c r="D118" s="2">
        <f>'11'!K63</f>
        <v>0</v>
      </c>
    </row>
    <row r="119" spans="1:4" ht="15" x14ac:dyDescent="0.25">
      <c r="B119" s="4" t="s">
        <v>342</v>
      </c>
      <c r="C119" s="4" t="s">
        <v>343</v>
      </c>
      <c r="D119" s="2">
        <f>'11'!K72</f>
        <v>0</v>
      </c>
    </row>
    <row r="120" spans="1:4" ht="15" x14ac:dyDescent="0.25">
      <c r="B120" s="4" t="s">
        <v>344</v>
      </c>
      <c r="C120" s="4" t="s">
        <v>345</v>
      </c>
      <c r="D120" s="2">
        <f>'11'!K79</f>
        <v>0</v>
      </c>
    </row>
    <row r="123" spans="1:4" x14ac:dyDescent="0.25">
      <c r="A123" t="s">
        <v>174</v>
      </c>
      <c r="B123">
        <v>12</v>
      </c>
    </row>
    <row r="124" spans="1:4" ht="15" x14ac:dyDescent="0.25">
      <c r="B124" s="3" t="s">
        <v>346</v>
      </c>
      <c r="C124" s="3" t="s">
        <v>76</v>
      </c>
    </row>
    <row r="125" spans="1:4" ht="15" x14ac:dyDescent="0.25">
      <c r="B125" s="4" t="s">
        <v>347</v>
      </c>
      <c r="C125" s="4" t="s">
        <v>348</v>
      </c>
      <c r="D125" s="2">
        <f>'12'!K24</f>
        <v>0</v>
      </c>
    </row>
    <row r="126" spans="1:4" ht="15" x14ac:dyDescent="0.25">
      <c r="B126" s="4" t="s">
        <v>349</v>
      </c>
      <c r="C126" s="4" t="s">
        <v>350</v>
      </c>
      <c r="D126" s="2">
        <f>'12'!K35</f>
        <v>0</v>
      </c>
    </row>
    <row r="127" spans="1:4" ht="15" x14ac:dyDescent="0.25">
      <c r="B127" s="4" t="s">
        <v>351</v>
      </c>
      <c r="C127" s="4" t="s">
        <v>352</v>
      </c>
      <c r="D127" s="2">
        <f>'12'!K43</f>
        <v>0</v>
      </c>
    </row>
    <row r="128" spans="1:4" ht="15" x14ac:dyDescent="0.25">
      <c r="B128" s="4" t="s">
        <v>353</v>
      </c>
      <c r="C128" s="4" t="s">
        <v>355</v>
      </c>
      <c r="D128" s="2">
        <f>'12'!K52</f>
        <v>0</v>
      </c>
    </row>
    <row r="129" spans="1:4" ht="15" x14ac:dyDescent="0.25">
      <c r="B129" s="4" t="s">
        <v>354</v>
      </c>
      <c r="C129" s="4" t="s">
        <v>356</v>
      </c>
      <c r="D129" s="2">
        <f>'12'!K63</f>
        <v>0</v>
      </c>
    </row>
    <row r="130" spans="1:4" ht="15" x14ac:dyDescent="0.25">
      <c r="B130" s="4" t="s">
        <v>358</v>
      </c>
      <c r="C130" s="4" t="s">
        <v>357</v>
      </c>
      <c r="D130" s="2">
        <f>'12'!K72</f>
        <v>0</v>
      </c>
    </row>
    <row r="132" spans="1:4" x14ac:dyDescent="0.25">
      <c r="A132" t="s">
        <v>174</v>
      </c>
      <c r="B132">
        <v>13</v>
      </c>
    </row>
    <row r="133" spans="1:4" ht="15" x14ac:dyDescent="0.25">
      <c r="B133" s="3" t="s">
        <v>359</v>
      </c>
      <c r="C133" s="3" t="s">
        <v>77</v>
      </c>
    </row>
    <row r="136" spans="1:4" x14ac:dyDescent="0.25">
      <c r="A136" t="s">
        <v>174</v>
      </c>
      <c r="B136">
        <v>14</v>
      </c>
    </row>
    <row r="137" spans="1:4" ht="15" x14ac:dyDescent="0.25">
      <c r="B137" s="3" t="s">
        <v>360</v>
      </c>
      <c r="C137" s="3" t="s">
        <v>361</v>
      </c>
    </row>
    <row r="138" spans="1:4" ht="15" x14ac:dyDescent="0.25">
      <c r="B138" s="4" t="s">
        <v>362</v>
      </c>
      <c r="C138" s="4" t="s">
        <v>69</v>
      </c>
      <c r="D138" s="2">
        <f>'14'!K23</f>
        <v>132800</v>
      </c>
    </row>
    <row r="139" spans="1:4" ht="15" x14ac:dyDescent="0.25">
      <c r="B139" s="4" t="s">
        <v>363</v>
      </c>
      <c r="C139" s="4" t="s">
        <v>70</v>
      </c>
      <c r="D139" s="2">
        <f>'14'!K34</f>
        <v>0</v>
      </c>
    </row>
    <row r="140" spans="1:4" ht="15" x14ac:dyDescent="0.25">
      <c r="B140" s="4" t="s">
        <v>365</v>
      </c>
      <c r="C140" s="4" t="s">
        <v>364</v>
      </c>
      <c r="D140" s="2">
        <f>'14'!K42</f>
        <v>0</v>
      </c>
    </row>
    <row r="142" spans="1:4" x14ac:dyDescent="0.25">
      <c r="A142" t="s">
        <v>174</v>
      </c>
      <c r="B142">
        <v>21</v>
      </c>
    </row>
    <row r="143" spans="1:4" ht="15" x14ac:dyDescent="0.25">
      <c r="B143" s="3" t="s">
        <v>366</v>
      </c>
      <c r="C143" s="3" t="s">
        <v>148</v>
      </c>
    </row>
    <row r="144" spans="1:4" ht="15" x14ac:dyDescent="0.25">
      <c r="B144" s="4" t="s">
        <v>367</v>
      </c>
      <c r="C144" s="4" t="s">
        <v>368</v>
      </c>
      <c r="D144" s="2">
        <f>'21'!K24</f>
        <v>19540</v>
      </c>
    </row>
    <row r="147" spans="1:4" x14ac:dyDescent="0.25">
      <c r="A147" t="s">
        <v>174</v>
      </c>
      <c r="B147">
        <v>22</v>
      </c>
    </row>
    <row r="148" spans="1:4" ht="15" x14ac:dyDescent="0.25">
      <c r="B148" s="3" t="s">
        <v>369</v>
      </c>
      <c r="C148" s="3" t="s">
        <v>41</v>
      </c>
    </row>
    <row r="149" spans="1:4" ht="15" x14ac:dyDescent="0.25">
      <c r="B149" s="4" t="s">
        <v>370</v>
      </c>
      <c r="C149" s="4" t="s">
        <v>371</v>
      </c>
      <c r="D149" s="2">
        <f>'22'!K24</f>
        <v>25448</v>
      </c>
    </row>
    <row r="150" spans="1:4" ht="15" x14ac:dyDescent="0.25">
      <c r="B150" s="4" t="s">
        <v>372</v>
      </c>
      <c r="C150" s="4" t="s">
        <v>373</v>
      </c>
      <c r="D150" s="2">
        <f>'22'!K35</f>
        <v>0</v>
      </c>
    </row>
    <row r="151" spans="1:4" ht="15" x14ac:dyDescent="0.25">
      <c r="B151" s="4" t="s">
        <v>378</v>
      </c>
      <c r="C151" s="4" t="s">
        <v>379</v>
      </c>
      <c r="D151" s="2">
        <f>'22'!K46</f>
        <v>0</v>
      </c>
    </row>
    <row r="152" spans="1:4" ht="15" x14ac:dyDescent="0.25">
      <c r="B152" s="4" t="s">
        <v>380</v>
      </c>
      <c r="C152" s="4" t="s">
        <v>381</v>
      </c>
      <c r="D152" s="2">
        <f>'22'!K67</f>
        <v>0</v>
      </c>
    </row>
    <row r="153" spans="1:4" ht="15" x14ac:dyDescent="0.25">
      <c r="B153" s="4" t="s">
        <v>409</v>
      </c>
      <c r="C153" s="4" t="s">
        <v>410</v>
      </c>
      <c r="D153" s="2">
        <f>'22'!K74</f>
        <v>0</v>
      </c>
    </row>
    <row r="154" spans="1:4" ht="15" x14ac:dyDescent="0.25">
      <c r="B154" s="4" t="s">
        <v>415</v>
      </c>
      <c r="C154" s="4" t="s">
        <v>416</v>
      </c>
      <c r="D154" s="2">
        <f>'22'!K83</f>
        <v>0</v>
      </c>
    </row>
    <row r="157" spans="1:4" x14ac:dyDescent="0.25">
      <c r="A157" t="s">
        <v>174</v>
      </c>
      <c r="B157">
        <v>23</v>
      </c>
    </row>
    <row r="158" spans="1:4" ht="15" x14ac:dyDescent="0.25">
      <c r="B158" s="3" t="s">
        <v>417</v>
      </c>
      <c r="C158" s="3" t="s">
        <v>418</v>
      </c>
    </row>
    <row r="159" spans="1:4" ht="15" x14ac:dyDescent="0.25">
      <c r="B159" s="4" t="s">
        <v>419</v>
      </c>
      <c r="C159" s="4" t="s">
        <v>420</v>
      </c>
      <c r="D159" s="2">
        <f>'23'!K18</f>
        <v>8400</v>
      </c>
    </row>
    <row r="160" spans="1:4" ht="15" x14ac:dyDescent="0.25">
      <c r="B160" s="4" t="s">
        <v>421</v>
      </c>
      <c r="C160" s="4" t="s">
        <v>422</v>
      </c>
      <c r="D160" s="2">
        <f>'23'!K25</f>
        <v>0</v>
      </c>
    </row>
    <row r="161" spans="1:4" ht="15" x14ac:dyDescent="0.25">
      <c r="B161" s="4" t="s">
        <v>423</v>
      </c>
      <c r="C161" s="4" t="s">
        <v>424</v>
      </c>
      <c r="D161" s="2">
        <f>'23'!K31</f>
        <v>0</v>
      </c>
    </row>
    <row r="162" spans="1:4" ht="15" x14ac:dyDescent="0.25">
      <c r="B162" s="4" t="s">
        <v>425</v>
      </c>
      <c r="C162" s="4" t="s">
        <v>426</v>
      </c>
      <c r="D162" s="2">
        <f>'23'!K38</f>
        <v>0</v>
      </c>
    </row>
    <row r="163" spans="1:4" ht="15" x14ac:dyDescent="0.25">
      <c r="B163" s="4" t="s">
        <v>429</v>
      </c>
      <c r="C163" s="4" t="s">
        <v>430</v>
      </c>
      <c r="D163" s="2">
        <f>'23'!K46</f>
        <v>0</v>
      </c>
    </row>
    <row r="164" spans="1:4" ht="15" x14ac:dyDescent="0.25">
      <c r="B164" s="4" t="s">
        <v>431</v>
      </c>
      <c r="C164" s="4" t="s">
        <v>432</v>
      </c>
      <c r="D164" s="2">
        <f>'23'!K53</f>
        <v>0</v>
      </c>
    </row>
    <row r="165" spans="1:4" ht="15" x14ac:dyDescent="0.25">
      <c r="B165" s="4" t="s">
        <v>433</v>
      </c>
      <c r="C165" s="4" t="s">
        <v>434</v>
      </c>
      <c r="D165" s="2">
        <f>'23'!K58</f>
        <v>0</v>
      </c>
    </row>
    <row r="166" spans="1:4" ht="15" x14ac:dyDescent="0.25">
      <c r="B166" s="4" t="s">
        <v>435</v>
      </c>
      <c r="C166" s="4" t="s">
        <v>436</v>
      </c>
      <c r="D166" s="2">
        <f>'23'!K73</f>
        <v>0</v>
      </c>
    </row>
    <row r="167" spans="1:4" ht="15" x14ac:dyDescent="0.25">
      <c r="B167" s="4" t="s">
        <v>453</v>
      </c>
      <c r="C167" s="4" t="s">
        <v>454</v>
      </c>
      <c r="D167" s="2">
        <f>'23'!K79</f>
        <v>0</v>
      </c>
    </row>
    <row r="168" spans="1:4" ht="15" x14ac:dyDescent="0.25">
      <c r="B168" s="4" t="s">
        <v>457</v>
      </c>
      <c r="C168" s="4" t="s">
        <v>458</v>
      </c>
      <c r="D168" s="2">
        <f>'23'!K91</f>
        <v>0</v>
      </c>
    </row>
    <row r="171" spans="1:4" x14ac:dyDescent="0.25">
      <c r="A171" t="s">
        <v>149</v>
      </c>
      <c r="B171">
        <v>25</v>
      </c>
    </row>
    <row r="172" spans="1:4" ht="15" x14ac:dyDescent="0.25">
      <c r="B172" s="3" t="s">
        <v>461</v>
      </c>
      <c r="C172" s="3" t="s">
        <v>462</v>
      </c>
    </row>
    <row r="175" spans="1:4" x14ac:dyDescent="0.25">
      <c r="A175" t="s">
        <v>174</v>
      </c>
      <c r="B175">
        <v>26</v>
      </c>
    </row>
    <row r="176" spans="1:4" ht="15" x14ac:dyDescent="0.25">
      <c r="B176" s="3" t="s">
        <v>463</v>
      </c>
      <c r="C176" s="3" t="s">
        <v>10</v>
      </c>
    </row>
    <row r="177" spans="1:16" ht="15" x14ac:dyDescent="0.25">
      <c r="B177" s="4" t="s">
        <v>464</v>
      </c>
      <c r="C177" s="4" t="s">
        <v>465</v>
      </c>
      <c r="D177" s="2">
        <f>'26'!K22</f>
        <v>53278</v>
      </c>
    </row>
    <row r="178" spans="1:16" ht="15" x14ac:dyDescent="0.25">
      <c r="B178" s="4" t="s">
        <v>466</v>
      </c>
      <c r="C178" s="4" t="s">
        <v>467</v>
      </c>
      <c r="D178" s="2">
        <f>'26'!K33</f>
        <v>0</v>
      </c>
    </row>
    <row r="179" spans="1:16" ht="15" x14ac:dyDescent="0.25">
      <c r="B179" s="4" t="s">
        <v>478</v>
      </c>
      <c r="C179" s="4" t="s">
        <v>82</v>
      </c>
      <c r="D179" s="2">
        <f>'26'!K41</f>
        <v>0</v>
      </c>
    </row>
    <row r="181" spans="1:16" x14ac:dyDescent="0.25">
      <c r="O181" s="8"/>
      <c r="P181" s="5"/>
    </row>
    <row r="182" spans="1:16" ht="15" x14ac:dyDescent="0.25">
      <c r="A182" t="s">
        <v>174</v>
      </c>
      <c r="B182">
        <v>27</v>
      </c>
      <c r="C182" s="3"/>
      <c r="O182" s="8"/>
      <c r="P182" s="5"/>
    </row>
    <row r="183" spans="1:16" ht="15" x14ac:dyDescent="0.25">
      <c r="B183" s="3" t="s">
        <v>484</v>
      </c>
      <c r="C183" s="3" t="s">
        <v>485</v>
      </c>
      <c r="O183" s="8"/>
      <c r="P183" s="5"/>
    </row>
    <row r="184" spans="1:16" ht="15" x14ac:dyDescent="0.25">
      <c r="B184" s="4" t="s">
        <v>486</v>
      </c>
      <c r="C184" s="4" t="s">
        <v>487</v>
      </c>
      <c r="D184" s="2">
        <f>'27'!K24</f>
        <v>0</v>
      </c>
      <c r="O184" s="8"/>
      <c r="P184" s="5"/>
    </row>
    <row r="185" spans="1:16" ht="15" x14ac:dyDescent="0.25">
      <c r="B185" s="4" t="s">
        <v>488</v>
      </c>
      <c r="C185" s="4" t="s">
        <v>489</v>
      </c>
      <c r="D185" s="2">
        <f>'27'!K35</f>
        <v>0</v>
      </c>
      <c r="O185" s="8"/>
      <c r="P185" s="6"/>
    </row>
    <row r="186" spans="1:16" ht="15" x14ac:dyDescent="0.25">
      <c r="B186" s="4" t="s">
        <v>494</v>
      </c>
      <c r="C186" s="4" t="s">
        <v>495</v>
      </c>
      <c r="D186" s="2">
        <f>'27'!K43</f>
        <v>0</v>
      </c>
      <c r="O186" s="9"/>
      <c r="P186" s="5"/>
    </row>
    <row r="187" spans="1:16" ht="15" x14ac:dyDescent="0.25">
      <c r="B187" s="4" t="s">
        <v>496</v>
      </c>
      <c r="C187" s="4" t="s">
        <v>497</v>
      </c>
      <c r="D187" s="2">
        <f>'27'!K52</f>
        <v>0</v>
      </c>
      <c r="O187" s="9"/>
      <c r="P187" s="5"/>
    </row>
    <row r="188" spans="1:16" ht="15" x14ac:dyDescent="0.25">
      <c r="B188" s="4" t="s">
        <v>498</v>
      </c>
      <c r="C188" s="4" t="s">
        <v>499</v>
      </c>
      <c r="D188" s="2">
        <f>'27'!K63</f>
        <v>0</v>
      </c>
      <c r="O188" s="9"/>
      <c r="P188" s="5"/>
    </row>
    <row r="189" spans="1:16" x14ac:dyDescent="0.25">
      <c r="O189" s="9"/>
      <c r="P189" s="5"/>
    </row>
    <row r="190" spans="1:16" x14ac:dyDescent="0.25">
      <c r="O190" s="9"/>
      <c r="P190" s="5"/>
    </row>
    <row r="191" spans="1:16" x14ac:dyDescent="0.25">
      <c r="A191" t="s">
        <v>149</v>
      </c>
      <c r="B191">
        <v>28</v>
      </c>
      <c r="O191" s="10"/>
      <c r="P191" s="7"/>
    </row>
    <row r="192" spans="1:16" ht="15" x14ac:dyDescent="0.25">
      <c r="B192" s="3" t="s">
        <v>500</v>
      </c>
      <c r="C192" s="3" t="s">
        <v>501</v>
      </c>
      <c r="O192" s="10"/>
      <c r="P192" s="7"/>
    </row>
    <row r="193" spans="1:16" ht="15" x14ac:dyDescent="0.25">
      <c r="B193" s="4" t="s">
        <v>502</v>
      </c>
      <c r="C193" s="4" t="s">
        <v>503</v>
      </c>
      <c r="D193" s="2">
        <f>'28'!K24</f>
        <v>0</v>
      </c>
      <c r="O193" s="11"/>
      <c r="P193" s="11"/>
    </row>
    <row r="194" spans="1:16" ht="15" x14ac:dyDescent="0.25">
      <c r="B194" s="4" t="s">
        <v>506</v>
      </c>
      <c r="C194" s="4" t="s">
        <v>507</v>
      </c>
      <c r="D194" s="2">
        <f>'28'!K35</f>
        <v>0</v>
      </c>
    </row>
    <row r="195" spans="1:16" ht="15" x14ac:dyDescent="0.25">
      <c r="B195" s="4" t="s">
        <v>508</v>
      </c>
      <c r="C195" s="4" t="s">
        <v>509</v>
      </c>
      <c r="D195" s="2">
        <f>'28'!K43</f>
        <v>0</v>
      </c>
    </row>
    <row r="196" spans="1:16" ht="15" x14ac:dyDescent="0.25">
      <c r="B196" s="4" t="s">
        <v>510</v>
      </c>
      <c r="C196" s="4" t="s">
        <v>512</v>
      </c>
      <c r="D196" s="2">
        <f>'28'!K52</f>
        <v>0</v>
      </c>
      <c r="O196" s="8"/>
      <c r="P196" s="5"/>
    </row>
    <row r="197" spans="1:16" x14ac:dyDescent="0.25">
      <c r="O197" s="8"/>
      <c r="P197" s="5"/>
    </row>
    <row r="198" spans="1:16" x14ac:dyDescent="0.25">
      <c r="A198" t="s">
        <v>149</v>
      </c>
      <c r="B198">
        <v>31</v>
      </c>
      <c r="O198" s="8"/>
      <c r="P198" s="5"/>
    </row>
    <row r="199" spans="1:16" ht="15" x14ac:dyDescent="0.25">
      <c r="B199" s="3" t="s">
        <v>514</v>
      </c>
      <c r="C199" s="3" t="s">
        <v>515</v>
      </c>
      <c r="O199" s="8"/>
      <c r="P199" s="5"/>
    </row>
    <row r="200" spans="1:16" ht="15" x14ac:dyDescent="0.25">
      <c r="B200" s="4" t="s">
        <v>516</v>
      </c>
      <c r="C200" s="4" t="s">
        <v>517</v>
      </c>
      <c r="D200" s="2">
        <f>'31'!K17</f>
        <v>0</v>
      </c>
      <c r="O200" s="10"/>
      <c r="P200" s="5"/>
    </row>
    <row r="201" spans="1:16" ht="15" x14ac:dyDescent="0.25">
      <c r="B201" s="4" t="s">
        <v>520</v>
      </c>
      <c r="C201" s="4" t="s">
        <v>521</v>
      </c>
      <c r="D201" s="2">
        <f>'31'!K39</f>
        <v>42250</v>
      </c>
    </row>
    <row r="202" spans="1:16" ht="15" x14ac:dyDescent="0.25">
      <c r="B202" s="4" t="s">
        <v>551</v>
      </c>
      <c r="C202" s="4" t="s">
        <v>550</v>
      </c>
      <c r="D202" s="2">
        <f>'31'!K47</f>
        <v>0</v>
      </c>
    </row>
    <row r="203" spans="1:16" ht="15" x14ac:dyDescent="0.25">
      <c r="B203" s="4" t="s">
        <v>552</v>
      </c>
      <c r="C203" s="4" t="s">
        <v>553</v>
      </c>
      <c r="D203" s="2">
        <f>'31'!K56</f>
        <v>0</v>
      </c>
    </row>
    <row r="206" spans="1:16" x14ac:dyDescent="0.25">
      <c r="A206" t="s">
        <v>174</v>
      </c>
      <c r="B206">
        <v>32</v>
      </c>
    </row>
    <row r="207" spans="1:16" ht="15" x14ac:dyDescent="0.25">
      <c r="B207" s="3" t="s">
        <v>554</v>
      </c>
      <c r="C207" s="3" t="s">
        <v>555</v>
      </c>
    </row>
    <row r="208" spans="1:16" ht="15" x14ac:dyDescent="0.25">
      <c r="B208" s="4" t="s">
        <v>556</v>
      </c>
      <c r="C208" s="4" t="s">
        <v>557</v>
      </c>
      <c r="D208" s="2">
        <f>'32'!K21</f>
        <v>0</v>
      </c>
    </row>
    <row r="209" spans="1:4" ht="15" x14ac:dyDescent="0.25">
      <c r="B209" s="4" t="s">
        <v>564</v>
      </c>
      <c r="C209" s="4" t="s">
        <v>565</v>
      </c>
      <c r="D209" s="2">
        <f>'32'!K33</f>
        <v>7900</v>
      </c>
    </row>
    <row r="210" spans="1:4" ht="15" x14ac:dyDescent="0.25">
      <c r="B210" s="4" t="s">
        <v>578</v>
      </c>
      <c r="C210" s="4" t="s">
        <v>579</v>
      </c>
      <c r="D210" s="2">
        <f>'32'!K41</f>
        <v>0</v>
      </c>
    </row>
    <row r="211" spans="1:4" ht="15" x14ac:dyDescent="0.25">
      <c r="B211" s="4" t="s">
        <v>584</v>
      </c>
      <c r="C211" s="4" t="s">
        <v>585</v>
      </c>
      <c r="D211" s="2">
        <f>'32'!K50</f>
        <v>0</v>
      </c>
    </row>
    <row r="212" spans="1:4" ht="15" x14ac:dyDescent="0.25">
      <c r="B212" s="4" t="s">
        <v>594</v>
      </c>
      <c r="C212" s="4" t="s">
        <v>595</v>
      </c>
      <c r="D212" s="2">
        <f>'32'!K61</f>
        <v>0</v>
      </c>
    </row>
    <row r="215" spans="1:4" x14ac:dyDescent="0.25">
      <c r="A215" t="s">
        <v>149</v>
      </c>
      <c r="B215">
        <v>33</v>
      </c>
    </row>
    <row r="216" spans="1:4" ht="15" x14ac:dyDescent="0.25">
      <c r="B216" s="3" t="s">
        <v>602</v>
      </c>
      <c r="C216" s="3" t="s">
        <v>603</v>
      </c>
    </row>
    <row r="217" spans="1:4" ht="15" x14ac:dyDescent="0.25">
      <c r="B217" s="4" t="s">
        <v>604</v>
      </c>
      <c r="C217" s="4" t="s">
        <v>605</v>
      </c>
      <c r="D217" s="2">
        <f>'33'!K26</f>
        <v>0</v>
      </c>
    </row>
    <row r="218" spans="1:4" ht="15" x14ac:dyDescent="0.25">
      <c r="B218" s="4" t="s">
        <v>610</v>
      </c>
      <c r="C218" s="4" t="s">
        <v>611</v>
      </c>
      <c r="D218" s="2">
        <f>'33'!K37</f>
        <v>0</v>
      </c>
    </row>
    <row r="219" spans="1:4" ht="15" x14ac:dyDescent="0.25">
      <c r="B219" s="4" t="s">
        <v>626</v>
      </c>
      <c r="C219" s="4" t="s">
        <v>627</v>
      </c>
      <c r="D219" s="2">
        <f>'33'!K54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2"/>
  <sheetViews>
    <sheetView showFormulas="1" zoomScale="91" workbookViewId="0">
      <selection activeCell="E29" sqref="E29"/>
    </sheetView>
  </sheetViews>
  <sheetFormatPr defaultColWidth="11.44140625" defaultRowHeight="13.2" x14ac:dyDescent="0.25"/>
  <cols>
    <col min="2" max="3" width="22" customWidth="1"/>
    <col min="4" max="4" width="60" bestFit="1" customWidth="1"/>
    <col min="5" max="5" width="34" customWidth="1"/>
  </cols>
  <sheetData>
    <row r="1" spans="1:5" ht="15" x14ac:dyDescent="0.25">
      <c r="A1" s="3"/>
      <c r="B1" s="39" t="s">
        <v>149</v>
      </c>
      <c r="C1" s="39" t="s">
        <v>894</v>
      </c>
      <c r="D1" s="39" t="s">
        <v>895</v>
      </c>
      <c r="E1" s="39" t="s">
        <v>763</v>
      </c>
    </row>
    <row r="2" spans="1:5" s="40" customFormat="1" ht="13.8" x14ac:dyDescent="0.25">
      <c r="B2" s="45" t="s">
        <v>675</v>
      </c>
      <c r="C2" s="47"/>
      <c r="D2" s="46" t="s">
        <v>3</v>
      </c>
      <c r="E2" s="41">
        <f>'Estimate Summary'!H15</f>
        <v>104578.163367</v>
      </c>
    </row>
    <row r="3" spans="1:5" ht="15" x14ac:dyDescent="0.25">
      <c r="B3" s="14" t="s">
        <v>103</v>
      </c>
      <c r="C3" s="47"/>
      <c r="D3" s="36" t="s">
        <v>102</v>
      </c>
      <c r="E3" s="2">
        <f>'1'!K25</f>
        <v>21450</v>
      </c>
    </row>
    <row r="4" spans="1:5" ht="15" x14ac:dyDescent="0.25">
      <c r="B4" s="15" t="s">
        <v>104</v>
      </c>
      <c r="C4" s="48"/>
      <c r="D4" s="37" t="s">
        <v>105</v>
      </c>
      <c r="E4" s="2">
        <f>'1'!K36</f>
        <v>63750</v>
      </c>
    </row>
    <row r="5" spans="1:5" ht="15" x14ac:dyDescent="0.25">
      <c r="B5" s="15" t="s">
        <v>104</v>
      </c>
      <c r="C5" s="49" t="s">
        <v>782</v>
      </c>
      <c r="D5" s="5" t="s">
        <v>122</v>
      </c>
      <c r="E5" s="2">
        <f>'1'!K28</f>
        <v>0</v>
      </c>
    </row>
    <row r="6" spans="1:5" ht="15" x14ac:dyDescent="0.25">
      <c r="B6" s="15" t="s">
        <v>104</v>
      </c>
      <c r="C6" s="49" t="s">
        <v>783</v>
      </c>
      <c r="D6" s="5" t="s">
        <v>123</v>
      </c>
      <c r="E6" s="2">
        <f>'1'!K29</f>
        <v>0</v>
      </c>
    </row>
    <row r="7" spans="1:5" ht="15" x14ac:dyDescent="0.25">
      <c r="B7" s="15" t="s">
        <v>104</v>
      </c>
      <c r="C7" s="49" t="s">
        <v>784</v>
      </c>
      <c r="D7" s="5" t="s">
        <v>124</v>
      </c>
      <c r="E7" s="2">
        <f>'1'!K30</f>
        <v>15000</v>
      </c>
    </row>
    <row r="8" spans="1:5" ht="15" x14ac:dyDescent="0.25">
      <c r="B8" s="15" t="s">
        <v>104</v>
      </c>
      <c r="C8" s="49" t="s">
        <v>786</v>
      </c>
      <c r="D8" s="5" t="s">
        <v>737</v>
      </c>
      <c r="E8" s="2">
        <f>'1'!K31</f>
        <v>0</v>
      </c>
    </row>
    <row r="9" spans="1:5" ht="15" x14ac:dyDescent="0.25">
      <c r="B9" s="15" t="s">
        <v>104</v>
      </c>
      <c r="C9" s="49" t="s">
        <v>785</v>
      </c>
      <c r="D9" s="5" t="s">
        <v>125</v>
      </c>
      <c r="E9" s="2">
        <f>'1'!K32</f>
        <v>48750</v>
      </c>
    </row>
    <row r="10" spans="1:5" ht="15" x14ac:dyDescent="0.25">
      <c r="B10" s="15" t="s">
        <v>104</v>
      </c>
      <c r="C10" s="49" t="s">
        <v>787</v>
      </c>
      <c r="D10" s="5" t="s">
        <v>126</v>
      </c>
      <c r="E10" s="2">
        <f>'1'!K33</f>
        <v>0</v>
      </c>
    </row>
    <row r="11" spans="1:5" ht="15" x14ac:dyDescent="0.25">
      <c r="B11" s="15" t="s">
        <v>788</v>
      </c>
      <c r="C11" s="49" t="s">
        <v>788</v>
      </c>
      <c r="D11" s="5" t="s">
        <v>716</v>
      </c>
      <c r="E11" s="2"/>
    </row>
    <row r="12" spans="1:5" ht="15" x14ac:dyDescent="0.25">
      <c r="B12" s="15" t="s">
        <v>106</v>
      </c>
      <c r="C12" s="48"/>
      <c r="D12" s="37" t="s">
        <v>107</v>
      </c>
      <c r="E12" s="2">
        <f>'1'!K67</f>
        <v>5301.1971750000002</v>
      </c>
    </row>
    <row r="13" spans="1:5" ht="15" x14ac:dyDescent="0.25">
      <c r="B13" s="15" t="s">
        <v>141</v>
      </c>
      <c r="C13" s="48"/>
      <c r="D13" s="37" t="s">
        <v>142</v>
      </c>
      <c r="E13" s="2">
        <f>'1'!K76</f>
        <v>3250</v>
      </c>
    </row>
    <row r="14" spans="1:5" ht="15" x14ac:dyDescent="0.25">
      <c r="B14" s="15" t="s">
        <v>108</v>
      </c>
      <c r="C14" s="48"/>
      <c r="D14" s="37" t="s">
        <v>109</v>
      </c>
      <c r="E14" s="2">
        <f>'1'!K87</f>
        <v>0</v>
      </c>
    </row>
    <row r="15" spans="1:5" ht="15" x14ac:dyDescent="0.25">
      <c r="B15" s="15" t="s">
        <v>111</v>
      </c>
      <c r="C15" s="48"/>
      <c r="D15" s="37" t="s">
        <v>110</v>
      </c>
      <c r="E15" s="2">
        <f>'1'!K97</f>
        <v>2276.2544594999999</v>
      </c>
    </row>
    <row r="16" spans="1:5" ht="15" x14ac:dyDescent="0.25">
      <c r="B16" s="15" t="s">
        <v>111</v>
      </c>
      <c r="C16" s="8" t="s">
        <v>828</v>
      </c>
      <c r="D16" s="5" t="s">
        <v>144</v>
      </c>
      <c r="E16" s="2">
        <f>'1'!K90</f>
        <v>0</v>
      </c>
    </row>
    <row r="17" spans="2:5" ht="15" x14ac:dyDescent="0.25">
      <c r="B17" s="15" t="s">
        <v>111</v>
      </c>
      <c r="C17" s="8" t="s">
        <v>829</v>
      </c>
      <c r="D17" s="5" t="s">
        <v>133</v>
      </c>
      <c r="E17" s="2">
        <f>'1'!K92</f>
        <v>750</v>
      </c>
    </row>
    <row r="18" spans="2:5" ht="15" x14ac:dyDescent="0.25">
      <c r="B18" s="15" t="s">
        <v>111</v>
      </c>
      <c r="C18" s="8" t="s">
        <v>830</v>
      </c>
      <c r="D18" s="5" t="s">
        <v>145</v>
      </c>
      <c r="E18" s="2">
        <f>'1'!K93</f>
        <v>388.75445950000005</v>
      </c>
    </row>
    <row r="19" spans="2:5" ht="15" x14ac:dyDescent="0.25">
      <c r="B19" s="15" t="s">
        <v>111</v>
      </c>
      <c r="C19" s="8" t="s">
        <v>831</v>
      </c>
      <c r="D19" s="5" t="s">
        <v>146</v>
      </c>
      <c r="E19" s="2">
        <f>'1'!K94</f>
        <v>937.5</v>
      </c>
    </row>
    <row r="20" spans="2:5" ht="15" x14ac:dyDescent="0.25">
      <c r="B20" s="15" t="s">
        <v>111</v>
      </c>
      <c r="C20" s="8" t="s">
        <v>832</v>
      </c>
      <c r="D20" s="5" t="s">
        <v>18</v>
      </c>
      <c r="E20" s="2">
        <f>'1'!K95</f>
        <v>200</v>
      </c>
    </row>
    <row r="21" spans="2:5" ht="15" x14ac:dyDescent="0.25">
      <c r="B21" s="15" t="s">
        <v>112</v>
      </c>
      <c r="C21" s="48"/>
      <c r="D21" s="37" t="s">
        <v>113</v>
      </c>
      <c r="E21" s="2">
        <f>'1'!K105</f>
        <v>3146.9052557000005</v>
      </c>
    </row>
    <row r="22" spans="2:5" ht="15" x14ac:dyDescent="0.25">
      <c r="B22" s="15" t="s">
        <v>795</v>
      </c>
      <c r="C22" s="48" t="s">
        <v>795</v>
      </c>
      <c r="D22" s="37" t="s">
        <v>746</v>
      </c>
      <c r="E22" s="2"/>
    </row>
    <row r="23" spans="2:5" ht="15" x14ac:dyDescent="0.25">
      <c r="B23" s="15" t="s">
        <v>114</v>
      </c>
      <c r="C23" s="48"/>
      <c r="D23" s="37" t="s">
        <v>115</v>
      </c>
      <c r="E23" s="2">
        <f>'1'!K128</f>
        <v>596.70000000000005</v>
      </c>
    </row>
    <row r="24" spans="2:5" ht="15" x14ac:dyDescent="0.25">
      <c r="B24" s="15" t="s">
        <v>116</v>
      </c>
      <c r="C24" s="48"/>
      <c r="D24" s="37" t="s">
        <v>117</v>
      </c>
      <c r="E24" s="2">
        <f>'1'!K136</f>
        <v>3450</v>
      </c>
    </row>
    <row r="25" spans="2:5" ht="15" x14ac:dyDescent="0.25">
      <c r="B25" s="15" t="s">
        <v>116</v>
      </c>
      <c r="C25" s="49" t="s">
        <v>804</v>
      </c>
      <c r="D25" s="5" t="s">
        <v>138</v>
      </c>
      <c r="E25" s="2">
        <f>'1'!K131</f>
        <v>0</v>
      </c>
    </row>
    <row r="26" spans="2:5" ht="15" x14ac:dyDescent="0.25">
      <c r="B26" s="15" t="s">
        <v>116</v>
      </c>
      <c r="C26" s="49" t="s">
        <v>805</v>
      </c>
      <c r="D26" s="5" t="s">
        <v>139</v>
      </c>
      <c r="E26" s="2">
        <f>'1'!K132</f>
        <v>0</v>
      </c>
    </row>
    <row r="27" spans="2:5" ht="15" x14ac:dyDescent="0.25">
      <c r="B27" s="15" t="s">
        <v>116</v>
      </c>
      <c r="C27" s="49" t="s">
        <v>806</v>
      </c>
      <c r="D27" s="5" t="s">
        <v>140</v>
      </c>
      <c r="E27" s="2">
        <f>'1'!K133</f>
        <v>1650</v>
      </c>
    </row>
    <row r="28" spans="2:5" ht="15" x14ac:dyDescent="0.25">
      <c r="B28" s="15" t="s">
        <v>116</v>
      </c>
      <c r="C28" s="49" t="s">
        <v>807</v>
      </c>
      <c r="D28" s="5" t="s">
        <v>54</v>
      </c>
      <c r="E28" s="2">
        <f>'1'!K134</f>
        <v>1800</v>
      </c>
    </row>
    <row r="29" spans="2:5" s="40" customFormat="1" ht="13.8" x14ac:dyDescent="0.25">
      <c r="B29" s="40" t="s">
        <v>150</v>
      </c>
      <c r="C29" s="38"/>
      <c r="D29" s="40" t="s">
        <v>152</v>
      </c>
      <c r="E29" s="41">
        <f>'Estimate Summary'!H17</f>
        <v>21250</v>
      </c>
    </row>
    <row r="30" spans="2:5" ht="15" x14ac:dyDescent="0.25">
      <c r="B30" s="4" t="s">
        <v>151</v>
      </c>
      <c r="C30" s="38"/>
      <c r="D30" s="4" t="s">
        <v>78</v>
      </c>
      <c r="E30" s="2">
        <f>'2'!K24</f>
        <v>21250</v>
      </c>
    </row>
    <row r="31" spans="2:5" ht="15" x14ac:dyDescent="0.25">
      <c r="B31" s="4" t="s">
        <v>153</v>
      </c>
      <c r="C31" s="38"/>
      <c r="D31" s="4" t="s">
        <v>154</v>
      </c>
      <c r="E31" s="2">
        <f>'2'!K35</f>
        <v>0</v>
      </c>
    </row>
    <row r="32" spans="2:5" ht="15" x14ac:dyDescent="0.25">
      <c r="B32" s="4" t="s">
        <v>155</v>
      </c>
      <c r="C32" s="38"/>
      <c r="D32" s="4" t="s">
        <v>530</v>
      </c>
      <c r="E32" s="2">
        <f>'2'!K46</f>
        <v>0</v>
      </c>
    </row>
    <row r="33" spans="2:5" s="40" customFormat="1" ht="13.8" x14ac:dyDescent="0.25">
      <c r="B33" s="40" t="s">
        <v>156</v>
      </c>
      <c r="C33" s="38"/>
      <c r="D33" s="40" t="s">
        <v>4</v>
      </c>
      <c r="E33" s="41">
        <f>'Estimate Summary'!H19</f>
        <v>50324.7</v>
      </c>
    </row>
    <row r="34" spans="2:5" ht="15" x14ac:dyDescent="0.25">
      <c r="B34" s="4" t="s">
        <v>157</v>
      </c>
      <c r="C34" s="38"/>
      <c r="D34" s="4" t="s">
        <v>158</v>
      </c>
      <c r="E34" s="2">
        <f>'3'!K18</f>
        <v>25200</v>
      </c>
    </row>
    <row r="35" spans="2:5" ht="15" x14ac:dyDescent="0.25">
      <c r="B35" s="4" t="s">
        <v>160</v>
      </c>
      <c r="C35" s="38"/>
      <c r="D35" s="4" t="s">
        <v>159</v>
      </c>
      <c r="E35" s="2">
        <f>'3'!K26</f>
        <v>11950</v>
      </c>
    </row>
    <row r="36" spans="2:5" ht="15" x14ac:dyDescent="0.25">
      <c r="B36" s="4" t="s">
        <v>161</v>
      </c>
      <c r="C36" s="38"/>
      <c r="D36" s="4" t="s">
        <v>165</v>
      </c>
      <c r="E36" s="2">
        <f>'3'!K37</f>
        <v>7577.7000000000007</v>
      </c>
    </row>
    <row r="37" spans="2:5" ht="15" x14ac:dyDescent="0.25">
      <c r="B37" s="4" t="s">
        <v>162</v>
      </c>
      <c r="C37" s="38"/>
      <c r="D37" s="4" t="s">
        <v>166</v>
      </c>
      <c r="E37" s="2">
        <f>'3'!K44</f>
        <v>1911</v>
      </c>
    </row>
    <row r="38" spans="2:5" ht="15" x14ac:dyDescent="0.25">
      <c r="B38" s="4" t="s">
        <v>163</v>
      </c>
      <c r="C38" s="38"/>
      <c r="D38" s="4" t="s">
        <v>167</v>
      </c>
      <c r="E38" s="2">
        <f>'3'!K49</f>
        <v>0</v>
      </c>
    </row>
    <row r="39" spans="2:5" ht="15" x14ac:dyDescent="0.25">
      <c r="B39" s="4" t="s">
        <v>164</v>
      </c>
      <c r="C39" s="38"/>
      <c r="D39" s="4" t="s">
        <v>891</v>
      </c>
      <c r="E39" s="2">
        <f>'3'!K58</f>
        <v>3686</v>
      </c>
    </row>
    <row r="40" spans="2:5" ht="15" x14ac:dyDescent="0.25">
      <c r="B40" s="4" t="s">
        <v>164</v>
      </c>
      <c r="C40" s="49" t="s">
        <v>892</v>
      </c>
      <c r="D40" s="5" t="s">
        <v>743</v>
      </c>
      <c r="E40" s="2">
        <f>'3'!K52</f>
        <v>1148</v>
      </c>
    </row>
    <row r="41" spans="2:5" ht="15" x14ac:dyDescent="0.25">
      <c r="B41" s="4" t="s">
        <v>164</v>
      </c>
      <c r="C41" s="49" t="s">
        <v>893</v>
      </c>
      <c r="D41" s="5" t="s">
        <v>56</v>
      </c>
      <c r="E41" s="2">
        <f>'3'!K54</f>
        <v>912</v>
      </c>
    </row>
    <row r="42" spans="2:5" s="40" customFormat="1" ht="13.8" x14ac:dyDescent="0.25">
      <c r="B42" s="40" t="s">
        <v>169</v>
      </c>
      <c r="C42" s="38"/>
      <c r="D42" s="40" t="s">
        <v>5</v>
      </c>
      <c r="E42" s="41">
        <f>'Estimate Summary'!H21</f>
        <v>21700</v>
      </c>
    </row>
    <row r="43" spans="2:5" ht="15" x14ac:dyDescent="0.25">
      <c r="B43" s="4" t="s">
        <v>170</v>
      </c>
      <c r="C43" s="38"/>
      <c r="D43" s="4" t="s">
        <v>172</v>
      </c>
      <c r="E43" s="2">
        <f>'4'!K19</f>
        <v>21700</v>
      </c>
    </row>
    <row r="44" spans="2:5" ht="15" x14ac:dyDescent="0.25">
      <c r="B44" s="4" t="s">
        <v>171</v>
      </c>
      <c r="C44" s="38"/>
      <c r="D44" s="4" t="s">
        <v>173</v>
      </c>
      <c r="E44" s="2">
        <f>'4'!K30</f>
        <v>0</v>
      </c>
    </row>
    <row r="45" spans="2:5" s="40" customFormat="1" ht="13.8" x14ac:dyDescent="0.25">
      <c r="B45" s="40" t="s">
        <v>175</v>
      </c>
      <c r="C45" s="38"/>
      <c r="D45" s="40" t="s">
        <v>6</v>
      </c>
      <c r="E45" s="41">
        <f>'Estimate Summary'!H23</f>
        <v>66140</v>
      </c>
    </row>
    <row r="46" spans="2:5" ht="15" x14ac:dyDescent="0.25">
      <c r="B46" s="4" t="s">
        <v>176</v>
      </c>
      <c r="C46" s="38"/>
      <c r="D46" s="4" t="s">
        <v>182</v>
      </c>
      <c r="E46" s="2">
        <f>'5'!K19</f>
        <v>64100</v>
      </c>
    </row>
    <row r="47" spans="2:5" ht="15" x14ac:dyDescent="0.25">
      <c r="B47" s="4" t="s">
        <v>177</v>
      </c>
      <c r="C47" s="38"/>
      <c r="D47" s="4" t="s">
        <v>183</v>
      </c>
      <c r="E47" s="2">
        <f>'5'!K29</f>
        <v>0</v>
      </c>
    </row>
    <row r="48" spans="2:5" ht="15" x14ac:dyDescent="0.25">
      <c r="B48" s="4" t="s">
        <v>178</v>
      </c>
      <c r="C48" s="38"/>
      <c r="D48" s="4" t="s">
        <v>184</v>
      </c>
      <c r="E48" s="2">
        <f>'5'!K37</f>
        <v>0</v>
      </c>
    </row>
    <row r="49" spans="2:5" ht="15" x14ac:dyDescent="0.25">
      <c r="B49" s="4" t="s">
        <v>179</v>
      </c>
      <c r="C49" s="38"/>
      <c r="D49" s="4" t="s">
        <v>185</v>
      </c>
      <c r="E49" s="2">
        <f>'5'!K46</f>
        <v>0</v>
      </c>
    </row>
    <row r="50" spans="2:5" ht="15" x14ac:dyDescent="0.25">
      <c r="B50" s="4" t="s">
        <v>180</v>
      </c>
      <c r="C50" s="38"/>
      <c r="D50" s="4" t="s">
        <v>186</v>
      </c>
      <c r="E50" s="2">
        <f>'5'!K57</f>
        <v>0</v>
      </c>
    </row>
    <row r="51" spans="2:5" ht="15" x14ac:dyDescent="0.25">
      <c r="B51" s="4" t="s">
        <v>181</v>
      </c>
      <c r="C51" s="38"/>
      <c r="D51" s="4" t="s">
        <v>187</v>
      </c>
      <c r="E51" s="2">
        <f>'5'!K66</f>
        <v>2040</v>
      </c>
    </row>
    <row r="52" spans="2:5" s="40" customFormat="1" ht="13.8" x14ac:dyDescent="0.25">
      <c r="B52" s="40" t="s">
        <v>188</v>
      </c>
      <c r="C52" s="38"/>
      <c r="D52" s="40" t="s">
        <v>189</v>
      </c>
      <c r="E52" s="41">
        <f>'Estimate Summary'!H25</f>
        <v>0</v>
      </c>
    </row>
    <row r="53" spans="2:5" ht="15" x14ac:dyDescent="0.25">
      <c r="B53" s="4" t="s">
        <v>781</v>
      </c>
      <c r="C53" s="38"/>
      <c r="D53" s="4" t="s">
        <v>871</v>
      </c>
      <c r="E53" s="2">
        <f>'6'!K19</f>
        <v>0</v>
      </c>
    </row>
    <row r="54" spans="2:5" ht="15" x14ac:dyDescent="0.25">
      <c r="B54" s="4" t="s">
        <v>190</v>
      </c>
      <c r="C54" s="38"/>
      <c r="D54" s="4" t="s">
        <v>890</v>
      </c>
      <c r="E54" s="2">
        <f>'6'!K36</f>
        <v>0</v>
      </c>
    </row>
    <row r="55" spans="2:5" ht="15" x14ac:dyDescent="0.25">
      <c r="B55" s="4" t="s">
        <v>191</v>
      </c>
      <c r="C55" s="38"/>
      <c r="D55" s="4" t="s">
        <v>48</v>
      </c>
      <c r="E55" s="2">
        <f>'6'!K47</f>
        <v>0</v>
      </c>
    </row>
    <row r="56" spans="2:5" ht="15" x14ac:dyDescent="0.25">
      <c r="B56" s="4" t="s">
        <v>192</v>
      </c>
      <c r="C56" s="38"/>
      <c r="D56" s="4" t="s">
        <v>193</v>
      </c>
      <c r="E56" s="2">
        <f>'6'!K55</f>
        <v>0</v>
      </c>
    </row>
    <row r="57" spans="2:5" ht="15" x14ac:dyDescent="0.25">
      <c r="B57" s="4" t="s">
        <v>195</v>
      </c>
      <c r="C57" s="38"/>
      <c r="D57" s="4" t="s">
        <v>194</v>
      </c>
      <c r="E57" s="2">
        <f>'6'!K64</f>
        <v>0</v>
      </c>
    </row>
    <row r="58" spans="2:5" ht="15" x14ac:dyDescent="0.25">
      <c r="B58" s="4" t="s">
        <v>196</v>
      </c>
      <c r="C58" s="38"/>
      <c r="D58" s="4" t="s">
        <v>197</v>
      </c>
      <c r="E58" s="2">
        <f>'6'!K75</f>
        <v>0</v>
      </c>
    </row>
    <row r="59" spans="2:5" ht="15" x14ac:dyDescent="0.25">
      <c r="B59" s="4" t="s">
        <v>198</v>
      </c>
      <c r="C59" s="38"/>
      <c r="D59" s="4" t="s">
        <v>199</v>
      </c>
      <c r="E59" s="2">
        <f>'6'!K84</f>
        <v>0</v>
      </c>
    </row>
    <row r="60" spans="2:5" ht="15" x14ac:dyDescent="0.25">
      <c r="B60" s="4" t="s">
        <v>201</v>
      </c>
      <c r="C60" s="38"/>
      <c r="D60" s="4" t="s">
        <v>200</v>
      </c>
      <c r="E60" s="2">
        <f>'6'!K91</f>
        <v>0</v>
      </c>
    </row>
    <row r="61" spans="2:5" s="40" customFormat="1" ht="13.8" x14ac:dyDescent="0.25">
      <c r="B61" s="40" t="s">
        <v>202</v>
      </c>
      <c r="C61" s="38"/>
      <c r="D61" s="40" t="s">
        <v>57</v>
      </c>
      <c r="E61" s="41">
        <f>'Estimate Summary'!H27</f>
        <v>124516</v>
      </c>
    </row>
    <row r="62" spans="2:5" ht="15" x14ac:dyDescent="0.25">
      <c r="B62" s="4" t="s">
        <v>203</v>
      </c>
      <c r="C62" s="38"/>
      <c r="D62" s="4" t="s">
        <v>204</v>
      </c>
      <c r="E62" s="2">
        <f>'7'!K16</f>
        <v>0</v>
      </c>
    </row>
    <row r="63" spans="2:5" ht="15" x14ac:dyDescent="0.25">
      <c r="B63" s="4" t="s">
        <v>211</v>
      </c>
      <c r="C63" s="38"/>
      <c r="D63" s="4" t="s">
        <v>212</v>
      </c>
      <c r="E63" s="2">
        <f>'7'!K22</f>
        <v>0</v>
      </c>
    </row>
    <row r="64" spans="2:5" ht="15" x14ac:dyDescent="0.25">
      <c r="B64" s="4" t="s">
        <v>213</v>
      </c>
      <c r="C64" s="38"/>
      <c r="D64" s="4" t="s">
        <v>214</v>
      </c>
      <c r="E64" s="2">
        <f>'7'!K27</f>
        <v>0</v>
      </c>
    </row>
    <row r="65" spans="2:5" ht="15" x14ac:dyDescent="0.25">
      <c r="B65" s="4" t="s">
        <v>215</v>
      </c>
      <c r="C65" s="38"/>
      <c r="D65" s="4" t="s">
        <v>216</v>
      </c>
      <c r="E65" s="2">
        <f>'7'!K33</f>
        <v>0</v>
      </c>
    </row>
    <row r="66" spans="2:5" ht="15" x14ac:dyDescent="0.25">
      <c r="B66" s="4" t="s">
        <v>217</v>
      </c>
      <c r="C66" s="38"/>
      <c r="D66" s="4" t="s">
        <v>58</v>
      </c>
      <c r="E66" s="2">
        <f>'7'!K45</f>
        <v>77450</v>
      </c>
    </row>
    <row r="67" spans="2:5" ht="15" x14ac:dyDescent="0.25">
      <c r="B67" s="4" t="s">
        <v>218</v>
      </c>
      <c r="C67" s="38"/>
      <c r="D67" s="4" t="s">
        <v>219</v>
      </c>
      <c r="E67" s="2">
        <f>'7'!K53</f>
        <v>42586</v>
      </c>
    </row>
    <row r="68" spans="2:5" ht="15" x14ac:dyDescent="0.25">
      <c r="B68" s="4" t="s">
        <v>220</v>
      </c>
      <c r="C68" s="38"/>
      <c r="D68" s="4" t="s">
        <v>221</v>
      </c>
      <c r="E68" s="2">
        <f>'7'!K58</f>
        <v>0</v>
      </c>
    </row>
    <row r="69" spans="2:5" ht="15" x14ac:dyDescent="0.25">
      <c r="B69" s="4" t="s">
        <v>222</v>
      </c>
      <c r="C69" s="38"/>
      <c r="D69" s="4" t="s">
        <v>223</v>
      </c>
      <c r="E69" s="2">
        <f>'7'!K63</f>
        <v>0</v>
      </c>
    </row>
    <row r="70" spans="2:5" ht="15" x14ac:dyDescent="0.25">
      <c r="B70" s="4" t="s">
        <v>226</v>
      </c>
      <c r="C70" s="38"/>
      <c r="D70" s="4" t="s">
        <v>224</v>
      </c>
      <c r="E70" s="2">
        <f>'7'!K68</f>
        <v>0</v>
      </c>
    </row>
    <row r="71" spans="2:5" ht="15" x14ac:dyDescent="0.25">
      <c r="B71" s="4" t="s">
        <v>227</v>
      </c>
      <c r="C71" s="38"/>
      <c r="D71" s="4" t="s">
        <v>225</v>
      </c>
      <c r="E71" s="2">
        <f>'7'!K74</f>
        <v>0</v>
      </c>
    </row>
    <row r="72" spans="2:5" ht="15" x14ac:dyDescent="0.25">
      <c r="B72" s="4" t="s">
        <v>228</v>
      </c>
      <c r="C72" s="38"/>
      <c r="D72" s="4" t="s">
        <v>229</v>
      </c>
      <c r="E72" s="2">
        <f>'7'!K80</f>
        <v>0</v>
      </c>
    </row>
    <row r="73" spans="2:5" ht="15" x14ac:dyDescent="0.25">
      <c r="B73" s="4" t="s">
        <v>234</v>
      </c>
      <c r="C73" s="38"/>
      <c r="D73" s="4" t="s">
        <v>235</v>
      </c>
      <c r="E73" s="2">
        <f>'7'!K86</f>
        <v>4480</v>
      </c>
    </row>
    <row r="74" spans="2:5" ht="15" x14ac:dyDescent="0.25">
      <c r="B74" s="4" t="s">
        <v>237</v>
      </c>
      <c r="C74" s="38"/>
      <c r="D74" s="4" t="s">
        <v>238</v>
      </c>
      <c r="E74" s="2">
        <f>'7'!K92</f>
        <v>0</v>
      </c>
    </row>
    <row r="75" spans="2:5" s="40" customFormat="1" ht="13.8" x14ac:dyDescent="0.25">
      <c r="B75" s="40" t="s">
        <v>239</v>
      </c>
      <c r="C75" s="38"/>
      <c r="D75" s="40" t="s">
        <v>240</v>
      </c>
      <c r="E75" s="41">
        <f>'Estimate Summary'!H29</f>
        <v>72030</v>
      </c>
    </row>
    <row r="76" spans="2:5" ht="15" x14ac:dyDescent="0.25">
      <c r="B76" s="4" t="s">
        <v>241</v>
      </c>
      <c r="C76" s="38"/>
      <c r="D76" s="4" t="s">
        <v>242</v>
      </c>
      <c r="E76" s="2">
        <f>'8'!K18</f>
        <v>72030</v>
      </c>
    </row>
    <row r="77" spans="2:5" ht="15" x14ac:dyDescent="0.25">
      <c r="B77" s="4" t="s">
        <v>245</v>
      </c>
      <c r="C77" s="38"/>
      <c r="D77" s="4" t="s">
        <v>246</v>
      </c>
      <c r="E77" s="2">
        <f>'8'!K24</f>
        <v>0</v>
      </c>
    </row>
    <row r="78" spans="2:5" ht="15" x14ac:dyDescent="0.25">
      <c r="B78" s="4" t="s">
        <v>247</v>
      </c>
      <c r="C78" s="38"/>
      <c r="D78" s="4" t="s">
        <v>248</v>
      </c>
      <c r="E78" s="2">
        <f>'8'!K29</f>
        <v>0</v>
      </c>
    </row>
    <row r="79" spans="2:5" ht="15" x14ac:dyDescent="0.25">
      <c r="B79" s="4" t="s">
        <v>249</v>
      </c>
      <c r="C79" s="38"/>
      <c r="D79" s="4" t="s">
        <v>250</v>
      </c>
      <c r="E79" s="2">
        <f>'8'!K35</f>
        <v>0</v>
      </c>
    </row>
    <row r="80" spans="2:5" ht="15" x14ac:dyDescent="0.25">
      <c r="B80" s="4" t="s">
        <v>251</v>
      </c>
      <c r="C80" s="38"/>
      <c r="D80" s="4" t="s">
        <v>252</v>
      </c>
      <c r="E80" s="2">
        <f>'8'!K41</f>
        <v>0</v>
      </c>
    </row>
    <row r="81" spans="2:5" ht="15" x14ac:dyDescent="0.25">
      <c r="B81" s="4" t="s">
        <v>253</v>
      </c>
      <c r="C81" s="38"/>
      <c r="D81" s="4" t="s">
        <v>254</v>
      </c>
      <c r="E81" s="2">
        <f>'8'!K47</f>
        <v>0</v>
      </c>
    </row>
    <row r="82" spans="2:5" ht="15" x14ac:dyDescent="0.25">
      <c r="B82" s="4" t="s">
        <v>255</v>
      </c>
      <c r="C82" s="38"/>
      <c r="D82" s="4" t="s">
        <v>60</v>
      </c>
      <c r="E82" s="2">
        <f>'8'!K52</f>
        <v>0</v>
      </c>
    </row>
    <row r="83" spans="2:5" ht="15" x14ac:dyDescent="0.25">
      <c r="B83" s="4" t="s">
        <v>256</v>
      </c>
      <c r="C83" s="38"/>
      <c r="D83" s="4" t="s">
        <v>47</v>
      </c>
      <c r="E83" s="2">
        <f>'8'!K59</f>
        <v>0</v>
      </c>
    </row>
    <row r="84" spans="2:5" ht="15" x14ac:dyDescent="0.25">
      <c r="B84" s="4" t="s">
        <v>257</v>
      </c>
      <c r="C84" s="38"/>
      <c r="D84" s="4" t="s">
        <v>258</v>
      </c>
      <c r="E84" s="2">
        <f>'8'!K66</f>
        <v>0</v>
      </c>
    </row>
    <row r="85" spans="2:5" ht="15" x14ac:dyDescent="0.25">
      <c r="B85" s="4" t="s">
        <v>259</v>
      </c>
      <c r="C85" s="38"/>
      <c r="D85" s="4" t="s">
        <v>95</v>
      </c>
      <c r="E85" s="2">
        <f>'8'!K73</f>
        <v>0</v>
      </c>
    </row>
    <row r="86" spans="2:5" ht="15" x14ac:dyDescent="0.25">
      <c r="B86" s="4" t="s">
        <v>263</v>
      </c>
      <c r="C86" s="38"/>
      <c r="D86" s="4" t="s">
        <v>62</v>
      </c>
      <c r="E86" s="2">
        <f>'8'!K79</f>
        <v>0</v>
      </c>
    </row>
    <row r="87" spans="2:5" ht="15" x14ac:dyDescent="0.25">
      <c r="B87" s="4" t="s">
        <v>264</v>
      </c>
      <c r="C87" s="38"/>
      <c r="D87" s="4" t="s">
        <v>265</v>
      </c>
      <c r="E87" s="2">
        <f>'8'!K85</f>
        <v>0</v>
      </c>
    </row>
    <row r="88" spans="2:5" ht="15" x14ac:dyDescent="0.25">
      <c r="B88" s="4" t="s">
        <v>266</v>
      </c>
      <c r="C88" s="38"/>
      <c r="D88" s="4" t="s">
        <v>267</v>
      </c>
      <c r="E88" s="2">
        <f>'8'!K91</f>
        <v>0</v>
      </c>
    </row>
    <row r="89" spans="2:5" ht="15" x14ac:dyDescent="0.25">
      <c r="B89" s="4" t="s">
        <v>268</v>
      </c>
      <c r="C89" s="38"/>
      <c r="D89" s="4" t="s">
        <v>269</v>
      </c>
      <c r="E89" s="2">
        <f>'8'!K97</f>
        <v>0</v>
      </c>
    </row>
    <row r="90" spans="2:5" ht="17.100000000000001" customHeight="1" x14ac:dyDescent="0.25">
      <c r="B90" s="4" t="s">
        <v>270</v>
      </c>
      <c r="C90" s="38"/>
      <c r="D90" s="4" t="s">
        <v>271</v>
      </c>
      <c r="E90" s="2">
        <f>'8'!K103</f>
        <v>0</v>
      </c>
    </row>
    <row r="91" spans="2:5" s="40" customFormat="1" ht="13.8" x14ac:dyDescent="0.25">
      <c r="B91" s="40" t="s">
        <v>272</v>
      </c>
      <c r="C91" s="38"/>
      <c r="D91" s="40" t="s">
        <v>8</v>
      </c>
      <c r="E91" s="41">
        <f>'Estimate Summary'!H31</f>
        <v>61249.59</v>
      </c>
    </row>
    <row r="92" spans="2:5" ht="15" x14ac:dyDescent="0.25">
      <c r="B92" s="4" t="s">
        <v>273</v>
      </c>
      <c r="C92" s="38"/>
      <c r="D92" s="4" t="s">
        <v>274</v>
      </c>
      <c r="E92" s="2">
        <f>'9'!K25</f>
        <v>36493.72</v>
      </c>
    </row>
    <row r="93" spans="2:5" ht="15" x14ac:dyDescent="0.25">
      <c r="B93" s="4" t="s">
        <v>275</v>
      </c>
      <c r="C93" s="38"/>
      <c r="D93" s="4" t="s">
        <v>276</v>
      </c>
      <c r="E93" s="2">
        <f>'9'!K33</f>
        <v>0</v>
      </c>
    </row>
    <row r="94" spans="2:5" ht="15" x14ac:dyDescent="0.25">
      <c r="B94" s="4" t="s">
        <v>277</v>
      </c>
      <c r="C94" s="38"/>
      <c r="D94" s="4" t="s">
        <v>278</v>
      </c>
      <c r="E94" s="2">
        <f>'9'!K39</f>
        <v>0</v>
      </c>
    </row>
    <row r="95" spans="2:5" ht="15" x14ac:dyDescent="0.25">
      <c r="B95" s="4" t="s">
        <v>279</v>
      </c>
      <c r="C95" s="38"/>
      <c r="D95" s="4" t="s">
        <v>80</v>
      </c>
      <c r="E95" s="2">
        <f>'9'!K52</f>
        <v>19250</v>
      </c>
    </row>
    <row r="96" spans="2:5" ht="15" x14ac:dyDescent="0.25">
      <c r="B96" s="4" t="s">
        <v>279</v>
      </c>
      <c r="C96" s="4" t="s">
        <v>280</v>
      </c>
      <c r="D96" s="4" t="s">
        <v>884</v>
      </c>
      <c r="E96" s="2">
        <f>'9'!K42</f>
        <v>0</v>
      </c>
    </row>
    <row r="97" spans="2:5" ht="15" x14ac:dyDescent="0.25">
      <c r="B97" s="4" t="s">
        <v>279</v>
      </c>
      <c r="C97" s="4" t="s">
        <v>281</v>
      </c>
      <c r="D97" s="4" t="s">
        <v>282</v>
      </c>
      <c r="E97" s="2">
        <f>'9'!K44</f>
        <v>0</v>
      </c>
    </row>
    <row r="98" spans="2:5" ht="15" x14ac:dyDescent="0.25">
      <c r="B98" s="4" t="s">
        <v>279</v>
      </c>
      <c r="C98" s="4" t="s">
        <v>283</v>
      </c>
      <c r="D98" s="4" t="s">
        <v>64</v>
      </c>
      <c r="E98" s="2">
        <f>'9'!K45</f>
        <v>0</v>
      </c>
    </row>
    <row r="99" spans="2:5" ht="15" x14ac:dyDescent="0.25">
      <c r="B99" s="4" t="s">
        <v>279</v>
      </c>
      <c r="C99" s="4" t="s">
        <v>284</v>
      </c>
      <c r="D99" s="4" t="s">
        <v>885</v>
      </c>
      <c r="E99" s="2">
        <f>'9'!K46</f>
        <v>0</v>
      </c>
    </row>
    <row r="100" spans="2:5" ht="15" x14ac:dyDescent="0.25">
      <c r="B100" s="4" t="s">
        <v>279</v>
      </c>
      <c r="C100" s="4" t="s">
        <v>285</v>
      </c>
      <c r="D100" s="4" t="s">
        <v>886</v>
      </c>
      <c r="E100" s="2">
        <f>'9'!K47</f>
        <v>0</v>
      </c>
    </row>
    <row r="101" spans="2:5" ht="15" x14ac:dyDescent="0.25">
      <c r="B101" s="4" t="s">
        <v>279</v>
      </c>
      <c r="C101" s="4" t="s">
        <v>286</v>
      </c>
      <c r="D101" s="4" t="s">
        <v>887</v>
      </c>
      <c r="E101" s="2">
        <f>'9'!K48</f>
        <v>0</v>
      </c>
    </row>
    <row r="102" spans="2:5" ht="15" x14ac:dyDescent="0.25">
      <c r="B102" s="4" t="s">
        <v>287</v>
      </c>
      <c r="C102" s="38"/>
      <c r="D102" s="4" t="s">
        <v>67</v>
      </c>
      <c r="E102" s="2">
        <f>'9'!K58</f>
        <v>0</v>
      </c>
    </row>
    <row r="103" spans="2:5" ht="15" x14ac:dyDescent="0.25">
      <c r="B103" s="4" t="s">
        <v>288</v>
      </c>
      <c r="C103" s="38"/>
      <c r="D103" s="4" t="s">
        <v>81</v>
      </c>
      <c r="E103" s="2">
        <f>'9'!K67</f>
        <v>5505.87</v>
      </c>
    </row>
    <row r="104" spans="2:5" s="40" customFormat="1" ht="13.8" x14ac:dyDescent="0.25">
      <c r="B104" s="40" t="s">
        <v>291</v>
      </c>
      <c r="C104" s="38"/>
      <c r="D104" s="40" t="s">
        <v>9</v>
      </c>
      <c r="E104" s="41">
        <f>'Estimate Summary'!H33</f>
        <v>0</v>
      </c>
    </row>
    <row r="105" spans="2:5" ht="15" x14ac:dyDescent="0.25">
      <c r="B105" s="4" t="s">
        <v>292</v>
      </c>
      <c r="C105" s="38"/>
      <c r="D105" s="4" t="s">
        <v>293</v>
      </c>
      <c r="E105" s="2">
        <f>'10'!K17</f>
        <v>0</v>
      </c>
    </row>
    <row r="106" spans="2:5" ht="15" x14ac:dyDescent="0.25">
      <c r="B106" s="4" t="s">
        <v>294</v>
      </c>
      <c r="C106" s="38"/>
      <c r="D106" s="4" t="s">
        <v>295</v>
      </c>
      <c r="E106" s="2">
        <f>'10'!K25</f>
        <v>0</v>
      </c>
    </row>
    <row r="107" spans="2:5" ht="15" x14ac:dyDescent="0.25">
      <c r="B107" s="4" t="s">
        <v>296</v>
      </c>
      <c r="C107" s="38"/>
      <c r="D107" s="4" t="s">
        <v>297</v>
      </c>
      <c r="E107" s="2">
        <f>'10'!K38</f>
        <v>0</v>
      </c>
    </row>
    <row r="108" spans="2:5" ht="15" x14ac:dyDescent="0.25">
      <c r="B108" s="4" t="s">
        <v>311</v>
      </c>
      <c r="C108" s="38"/>
      <c r="D108" s="4" t="s">
        <v>312</v>
      </c>
      <c r="E108" s="2">
        <f>'10'!K44</f>
        <v>0</v>
      </c>
    </row>
    <row r="109" spans="2:5" ht="15" x14ac:dyDescent="0.25">
      <c r="B109" s="4" t="s">
        <v>314</v>
      </c>
      <c r="C109" s="38"/>
      <c r="D109" s="4" t="s">
        <v>68</v>
      </c>
      <c r="E109" s="2">
        <f>'10'!K51</f>
        <v>0</v>
      </c>
    </row>
    <row r="110" spans="2:5" ht="15" x14ac:dyDescent="0.25">
      <c r="B110" s="4" t="s">
        <v>315</v>
      </c>
      <c r="C110" s="38"/>
      <c r="D110" s="4" t="s">
        <v>316</v>
      </c>
      <c r="E110" s="2">
        <f>'10'!K57</f>
        <v>0</v>
      </c>
    </row>
    <row r="111" spans="2:5" ht="15" x14ac:dyDescent="0.25">
      <c r="B111" s="4" t="s">
        <v>317</v>
      </c>
      <c r="C111" s="38"/>
      <c r="D111" s="4" t="s">
        <v>318</v>
      </c>
      <c r="E111" s="2">
        <f>'10'!K63</f>
        <v>0</v>
      </c>
    </row>
    <row r="112" spans="2:5" s="40" customFormat="1" ht="13.8" x14ac:dyDescent="0.25">
      <c r="B112" s="40" t="s">
        <v>325</v>
      </c>
      <c r="C112" s="38"/>
      <c r="D112" s="40" t="s">
        <v>71</v>
      </c>
      <c r="E112" s="41">
        <f>'Estimate Summary'!H35</f>
        <v>0</v>
      </c>
    </row>
    <row r="113" spans="2:5" ht="15" x14ac:dyDescent="0.25">
      <c r="B113" s="4" t="s">
        <v>326</v>
      </c>
      <c r="C113" s="38"/>
      <c r="D113" s="4" t="s">
        <v>327</v>
      </c>
      <c r="E113" s="2">
        <f>'11'!K24</f>
        <v>0</v>
      </c>
    </row>
    <row r="114" spans="2:5" ht="15" x14ac:dyDescent="0.25">
      <c r="B114" s="4" t="s">
        <v>328</v>
      </c>
      <c r="C114" s="38"/>
      <c r="D114" s="4" t="s">
        <v>329</v>
      </c>
      <c r="E114" s="2">
        <f>'11'!K35</f>
        <v>0</v>
      </c>
    </row>
    <row r="115" spans="2:5" ht="15" x14ac:dyDescent="0.25">
      <c r="B115" s="4" t="s">
        <v>330</v>
      </c>
      <c r="C115" s="38"/>
      <c r="D115" s="4" t="s">
        <v>331</v>
      </c>
      <c r="E115" s="2">
        <f>'11'!K43</f>
        <v>0</v>
      </c>
    </row>
    <row r="116" spans="2:5" ht="15" x14ac:dyDescent="0.25">
      <c r="B116" s="4" t="s">
        <v>334</v>
      </c>
      <c r="C116" s="38"/>
      <c r="D116" s="4" t="s">
        <v>335</v>
      </c>
      <c r="E116" s="2">
        <f>'11'!K52</f>
        <v>0</v>
      </c>
    </row>
    <row r="117" spans="2:5" ht="15" x14ac:dyDescent="0.25">
      <c r="B117" s="4" t="s">
        <v>338</v>
      </c>
      <c r="C117" s="38"/>
      <c r="D117" s="4" t="s">
        <v>339</v>
      </c>
      <c r="E117" s="2">
        <f>'11'!K63</f>
        <v>0</v>
      </c>
    </row>
    <row r="118" spans="2:5" ht="15" x14ac:dyDescent="0.25">
      <c r="B118" s="4" t="s">
        <v>342</v>
      </c>
      <c r="C118" s="38"/>
      <c r="D118" s="4" t="s">
        <v>343</v>
      </c>
      <c r="E118" s="2">
        <f>'11'!K72</f>
        <v>0</v>
      </c>
    </row>
    <row r="119" spans="2:5" ht="15" x14ac:dyDescent="0.25">
      <c r="B119" s="4" t="s">
        <v>344</v>
      </c>
      <c r="C119" s="38"/>
      <c r="D119" s="4" t="s">
        <v>345</v>
      </c>
      <c r="E119" s="2">
        <f>'11'!K79</f>
        <v>0</v>
      </c>
    </row>
    <row r="120" spans="2:5" s="40" customFormat="1" ht="13.8" x14ac:dyDescent="0.25">
      <c r="B120" s="40" t="s">
        <v>346</v>
      </c>
      <c r="C120" s="38"/>
      <c r="D120" s="40" t="s">
        <v>76</v>
      </c>
      <c r="E120" s="41">
        <f>'Estimate Summary'!H37</f>
        <v>0</v>
      </c>
    </row>
    <row r="121" spans="2:5" ht="15" x14ac:dyDescent="0.25">
      <c r="B121" s="4" t="s">
        <v>347</v>
      </c>
      <c r="C121" s="38"/>
      <c r="D121" s="4" t="s">
        <v>348</v>
      </c>
      <c r="E121" s="2">
        <f>'12'!K24</f>
        <v>0</v>
      </c>
    </row>
    <row r="122" spans="2:5" ht="15" x14ac:dyDescent="0.25">
      <c r="B122" s="4" t="s">
        <v>349</v>
      </c>
      <c r="C122" s="38"/>
      <c r="D122" s="4" t="s">
        <v>350</v>
      </c>
      <c r="E122" s="2">
        <f>'12'!K35</f>
        <v>0</v>
      </c>
    </row>
    <row r="123" spans="2:5" ht="15" x14ac:dyDescent="0.25">
      <c r="B123" s="4" t="s">
        <v>351</v>
      </c>
      <c r="C123" s="38"/>
      <c r="D123" s="4" t="s">
        <v>352</v>
      </c>
      <c r="E123" s="2">
        <f>'12'!K43</f>
        <v>0</v>
      </c>
    </row>
    <row r="124" spans="2:5" ht="15" x14ac:dyDescent="0.25">
      <c r="B124" s="4" t="s">
        <v>353</v>
      </c>
      <c r="C124" s="38"/>
      <c r="D124" s="4" t="s">
        <v>355</v>
      </c>
      <c r="E124" s="2">
        <f>'12'!K52</f>
        <v>0</v>
      </c>
    </row>
    <row r="125" spans="2:5" ht="15" x14ac:dyDescent="0.25">
      <c r="B125" s="4" t="s">
        <v>354</v>
      </c>
      <c r="C125" s="38"/>
      <c r="D125" s="4" t="s">
        <v>356</v>
      </c>
      <c r="E125" s="2">
        <f>'12'!K63</f>
        <v>0</v>
      </c>
    </row>
    <row r="126" spans="2:5" ht="15" x14ac:dyDescent="0.25">
      <c r="B126" s="4" t="s">
        <v>358</v>
      </c>
      <c r="C126" s="38"/>
      <c r="D126" s="4" t="s">
        <v>357</v>
      </c>
      <c r="E126" s="2">
        <f>'12'!K72</f>
        <v>0</v>
      </c>
    </row>
    <row r="127" spans="2:5" s="40" customFormat="1" ht="13.8" x14ac:dyDescent="0.25">
      <c r="B127" s="40" t="s">
        <v>359</v>
      </c>
      <c r="C127" s="38"/>
      <c r="D127" s="40" t="s">
        <v>77</v>
      </c>
      <c r="E127" s="41">
        <f>'Estimate Summary'!H39</f>
        <v>0</v>
      </c>
    </row>
    <row r="128" spans="2:5" s="40" customFormat="1" ht="13.8" x14ac:dyDescent="0.25">
      <c r="B128" s="40" t="s">
        <v>360</v>
      </c>
      <c r="C128" s="38"/>
      <c r="D128" s="40" t="s">
        <v>361</v>
      </c>
      <c r="E128" s="41">
        <f>'Estimate Summary'!H41</f>
        <v>132800</v>
      </c>
    </row>
    <row r="129" spans="2:5" ht="15" x14ac:dyDescent="0.25">
      <c r="B129" s="4" t="s">
        <v>362</v>
      </c>
      <c r="C129" s="38"/>
      <c r="D129" s="4" t="s">
        <v>69</v>
      </c>
      <c r="E129" s="2">
        <f>'14'!K23</f>
        <v>132800</v>
      </c>
    </row>
    <row r="130" spans="2:5" ht="15" x14ac:dyDescent="0.25">
      <c r="B130" s="4" t="s">
        <v>363</v>
      </c>
      <c r="C130" s="38"/>
      <c r="D130" s="4" t="s">
        <v>70</v>
      </c>
      <c r="E130" s="2">
        <f>'14'!K34</f>
        <v>0</v>
      </c>
    </row>
    <row r="131" spans="2:5" ht="15" x14ac:dyDescent="0.25">
      <c r="B131" s="4" t="s">
        <v>365</v>
      </c>
      <c r="C131" s="38"/>
      <c r="D131" s="4" t="s">
        <v>364</v>
      </c>
      <c r="E131" s="2">
        <f>'14'!K42</f>
        <v>0</v>
      </c>
    </row>
    <row r="132" spans="2:5" s="40" customFormat="1" ht="13.8" x14ac:dyDescent="0.25">
      <c r="B132" s="40" t="s">
        <v>366</v>
      </c>
      <c r="C132" s="38"/>
      <c r="D132" s="40" t="s">
        <v>148</v>
      </c>
      <c r="E132" s="41">
        <f>'Estimate Summary'!H43</f>
        <v>19540</v>
      </c>
    </row>
    <row r="133" spans="2:5" ht="15" x14ac:dyDescent="0.25">
      <c r="B133" s="4" t="s">
        <v>367</v>
      </c>
      <c r="C133" s="38"/>
      <c r="D133" s="4" t="s">
        <v>368</v>
      </c>
      <c r="E133" s="2">
        <f>'21'!K24</f>
        <v>19540</v>
      </c>
    </row>
    <row r="134" spans="2:5" s="40" customFormat="1" ht="13.8" x14ac:dyDescent="0.25">
      <c r="B134" s="40" t="s">
        <v>369</v>
      </c>
      <c r="C134" s="38"/>
      <c r="D134" s="40" t="s">
        <v>41</v>
      </c>
      <c r="E134" s="41">
        <f>'Estimate Summary'!H45</f>
        <v>25448</v>
      </c>
    </row>
    <row r="135" spans="2:5" ht="15" x14ac:dyDescent="0.25">
      <c r="B135" s="4" t="s">
        <v>370</v>
      </c>
      <c r="C135" s="38"/>
      <c r="D135" s="4" t="s">
        <v>371</v>
      </c>
      <c r="E135" s="2">
        <f>'22'!K24</f>
        <v>25448</v>
      </c>
    </row>
    <row r="136" spans="2:5" ht="15" x14ac:dyDescent="0.25">
      <c r="B136" s="4" t="s">
        <v>372</v>
      </c>
      <c r="C136" s="38"/>
      <c r="D136" s="4" t="s">
        <v>373</v>
      </c>
      <c r="E136" s="2">
        <f>'22'!K35</f>
        <v>0</v>
      </c>
    </row>
    <row r="137" spans="2:5" ht="15" x14ac:dyDescent="0.25">
      <c r="B137" s="4" t="s">
        <v>378</v>
      </c>
      <c r="C137" s="38"/>
      <c r="D137" s="4" t="s">
        <v>379</v>
      </c>
      <c r="E137" s="2">
        <f>'22'!K46</f>
        <v>0</v>
      </c>
    </row>
    <row r="138" spans="2:5" ht="15" x14ac:dyDescent="0.25">
      <c r="B138" s="4" t="s">
        <v>380</v>
      </c>
      <c r="C138" s="38"/>
      <c r="D138" s="4" t="s">
        <v>381</v>
      </c>
      <c r="E138" s="2">
        <f>'22'!K67</f>
        <v>0</v>
      </c>
    </row>
    <row r="139" spans="2:5" ht="15" x14ac:dyDescent="0.25">
      <c r="B139" s="4" t="s">
        <v>409</v>
      </c>
      <c r="C139" s="38"/>
      <c r="D139" s="4" t="s">
        <v>410</v>
      </c>
      <c r="E139" s="2">
        <f>'22'!K74</f>
        <v>0</v>
      </c>
    </row>
    <row r="140" spans="2:5" ht="15" x14ac:dyDescent="0.25">
      <c r="B140" s="4" t="s">
        <v>415</v>
      </c>
      <c r="C140" s="38"/>
      <c r="D140" s="4" t="s">
        <v>416</v>
      </c>
      <c r="E140" s="2">
        <f>'22'!K83</f>
        <v>0</v>
      </c>
    </row>
    <row r="141" spans="2:5" s="40" customFormat="1" ht="13.8" x14ac:dyDescent="0.25">
      <c r="B141" s="40" t="s">
        <v>417</v>
      </c>
      <c r="C141" s="38"/>
      <c r="D141" s="40" t="s">
        <v>418</v>
      </c>
      <c r="E141" s="41">
        <f>'Estimate Summary'!H47</f>
        <v>8400</v>
      </c>
    </row>
    <row r="142" spans="2:5" ht="15" x14ac:dyDescent="0.25">
      <c r="B142" s="4" t="s">
        <v>419</v>
      </c>
      <c r="C142" s="38"/>
      <c r="D142" s="4" t="s">
        <v>420</v>
      </c>
      <c r="E142" s="2">
        <f>'23'!K18</f>
        <v>8400</v>
      </c>
    </row>
    <row r="143" spans="2:5" ht="15" x14ac:dyDescent="0.25">
      <c r="B143" s="4" t="s">
        <v>421</v>
      </c>
      <c r="C143" s="38"/>
      <c r="D143" s="4" t="s">
        <v>422</v>
      </c>
      <c r="E143" s="2">
        <f>'23'!K25</f>
        <v>0</v>
      </c>
    </row>
    <row r="144" spans="2:5" ht="15" x14ac:dyDescent="0.25">
      <c r="B144" s="4" t="s">
        <v>423</v>
      </c>
      <c r="C144" s="38"/>
      <c r="D144" s="4" t="s">
        <v>424</v>
      </c>
      <c r="E144" s="2">
        <f>'23'!K31</f>
        <v>0</v>
      </c>
    </row>
    <row r="145" spans="2:17" ht="15" x14ac:dyDescent="0.25">
      <c r="B145" s="4" t="s">
        <v>425</v>
      </c>
      <c r="C145" s="38"/>
      <c r="D145" s="4" t="s">
        <v>426</v>
      </c>
      <c r="E145" s="2">
        <f>'23'!K38</f>
        <v>0</v>
      </c>
    </row>
    <row r="146" spans="2:17" ht="15" x14ac:dyDescent="0.25">
      <c r="B146" s="4" t="s">
        <v>429</v>
      </c>
      <c r="C146" s="38"/>
      <c r="D146" s="4" t="s">
        <v>430</v>
      </c>
      <c r="E146" s="2">
        <f>'23'!K46</f>
        <v>0</v>
      </c>
    </row>
    <row r="147" spans="2:17" ht="15" x14ac:dyDescent="0.25">
      <c r="B147" s="4" t="s">
        <v>431</v>
      </c>
      <c r="C147" s="38"/>
      <c r="D147" s="4" t="s">
        <v>432</v>
      </c>
      <c r="E147" s="2">
        <f>'23'!K53</f>
        <v>0</v>
      </c>
    </row>
    <row r="148" spans="2:17" ht="15" x14ac:dyDescent="0.25">
      <c r="B148" s="4" t="s">
        <v>433</v>
      </c>
      <c r="C148" s="38"/>
      <c r="D148" s="4" t="s">
        <v>434</v>
      </c>
      <c r="E148" s="2">
        <f>'23'!K58</f>
        <v>0</v>
      </c>
    </row>
    <row r="149" spans="2:17" ht="15" x14ac:dyDescent="0.25">
      <c r="B149" s="4" t="s">
        <v>435</v>
      </c>
      <c r="C149" s="38"/>
      <c r="D149" s="4" t="s">
        <v>436</v>
      </c>
      <c r="E149" s="2">
        <f>'23'!K73</f>
        <v>0</v>
      </c>
    </row>
    <row r="150" spans="2:17" ht="15" x14ac:dyDescent="0.25">
      <c r="B150" s="4" t="s">
        <v>453</v>
      </c>
      <c r="C150" s="38"/>
      <c r="D150" s="4" t="s">
        <v>454</v>
      </c>
      <c r="E150" s="2">
        <f>'23'!K79</f>
        <v>0</v>
      </c>
    </row>
    <row r="151" spans="2:17" ht="15" x14ac:dyDescent="0.25">
      <c r="B151" s="4" t="s">
        <v>457</v>
      </c>
      <c r="C151" s="38"/>
      <c r="D151" s="4" t="s">
        <v>458</v>
      </c>
      <c r="E151" s="2">
        <f>'23'!K91</f>
        <v>0</v>
      </c>
    </row>
    <row r="152" spans="2:17" s="40" customFormat="1" ht="13.8" x14ac:dyDescent="0.25">
      <c r="B152" s="40" t="s">
        <v>461</v>
      </c>
      <c r="C152" s="38"/>
      <c r="D152" s="40" t="s">
        <v>462</v>
      </c>
      <c r="E152" s="41">
        <f>'Estimate Summary'!H49</f>
        <v>0</v>
      </c>
    </row>
    <row r="153" spans="2:17" s="40" customFormat="1" ht="13.8" x14ac:dyDescent="0.25">
      <c r="B153" s="40" t="s">
        <v>463</v>
      </c>
      <c r="C153" s="38"/>
      <c r="D153" s="40" t="s">
        <v>10</v>
      </c>
      <c r="E153" s="41">
        <f>'Estimate Summary'!H51</f>
        <v>53278</v>
      </c>
    </row>
    <row r="154" spans="2:17" ht="15" x14ac:dyDescent="0.25">
      <c r="B154" s="4" t="s">
        <v>464</v>
      </c>
      <c r="C154" s="38"/>
      <c r="D154" s="4" t="s">
        <v>465</v>
      </c>
      <c r="E154" s="2">
        <f>'26'!K22</f>
        <v>53278</v>
      </c>
      <c r="P154" s="8"/>
      <c r="Q154" s="5"/>
    </row>
    <row r="155" spans="2:17" ht="15" x14ac:dyDescent="0.25">
      <c r="B155" s="4" t="s">
        <v>466</v>
      </c>
      <c r="C155" s="38"/>
      <c r="D155" s="4" t="s">
        <v>467</v>
      </c>
      <c r="E155" s="2">
        <f>'26'!K33</f>
        <v>0</v>
      </c>
      <c r="P155" s="8"/>
      <c r="Q155" s="5"/>
    </row>
    <row r="156" spans="2:17" ht="15" x14ac:dyDescent="0.25">
      <c r="B156" s="4" t="s">
        <v>478</v>
      </c>
      <c r="C156" s="38"/>
      <c r="D156" s="4" t="s">
        <v>82</v>
      </c>
      <c r="E156" s="2">
        <f>'26'!K41</f>
        <v>0</v>
      </c>
      <c r="P156" s="8"/>
      <c r="Q156" s="5"/>
    </row>
    <row r="157" spans="2:17" s="40" customFormat="1" ht="13.8" x14ac:dyDescent="0.25">
      <c r="B157" s="40" t="s">
        <v>484</v>
      </c>
      <c r="C157" s="38"/>
      <c r="D157" s="40" t="s">
        <v>485</v>
      </c>
      <c r="E157" s="41">
        <f>'Estimate Summary'!H53</f>
        <v>0</v>
      </c>
      <c r="P157" s="44"/>
      <c r="Q157" s="43"/>
    </row>
    <row r="158" spans="2:17" ht="15" x14ac:dyDescent="0.25">
      <c r="B158" s="4" t="s">
        <v>486</v>
      </c>
      <c r="C158" s="38"/>
      <c r="D158" s="4" t="s">
        <v>487</v>
      </c>
      <c r="E158" s="2">
        <f>'27'!K24</f>
        <v>0</v>
      </c>
      <c r="P158" s="9"/>
      <c r="Q158" s="5"/>
    </row>
    <row r="159" spans="2:17" ht="15" x14ac:dyDescent="0.25">
      <c r="B159" s="4" t="s">
        <v>488</v>
      </c>
      <c r="C159" s="38"/>
      <c r="D159" s="4" t="s">
        <v>489</v>
      </c>
      <c r="E159" s="2">
        <f>'27'!K35</f>
        <v>0</v>
      </c>
      <c r="P159" s="9"/>
      <c r="Q159" s="5"/>
    </row>
    <row r="160" spans="2:17" ht="15" x14ac:dyDescent="0.25">
      <c r="B160" s="4" t="s">
        <v>494</v>
      </c>
      <c r="C160" s="38"/>
      <c r="D160" s="4" t="s">
        <v>495</v>
      </c>
      <c r="E160" s="2">
        <f>'27'!K43</f>
        <v>0</v>
      </c>
      <c r="P160" s="9"/>
      <c r="Q160" s="5"/>
    </row>
    <row r="161" spans="2:17" ht="15" x14ac:dyDescent="0.25">
      <c r="B161" s="4" t="s">
        <v>496</v>
      </c>
      <c r="C161" s="38"/>
      <c r="D161" s="4" t="s">
        <v>497</v>
      </c>
      <c r="E161" s="2">
        <f>'27'!K52</f>
        <v>0</v>
      </c>
      <c r="P161" s="10"/>
      <c r="Q161" s="7"/>
    </row>
    <row r="162" spans="2:17" ht="15" x14ac:dyDescent="0.25">
      <c r="B162" s="4" t="s">
        <v>498</v>
      </c>
      <c r="C162" s="38"/>
      <c r="D162" s="4" t="s">
        <v>499</v>
      </c>
      <c r="E162" s="2">
        <f>'27'!K63</f>
        <v>0</v>
      </c>
      <c r="P162" s="10"/>
      <c r="Q162" s="7"/>
    </row>
    <row r="163" spans="2:17" s="40" customFormat="1" ht="13.8" x14ac:dyDescent="0.25">
      <c r="B163" s="40" t="s">
        <v>500</v>
      </c>
      <c r="C163" s="38"/>
      <c r="D163" s="40" t="s">
        <v>501</v>
      </c>
      <c r="E163" s="41">
        <f>'Estimate Summary'!H55</f>
        <v>0</v>
      </c>
      <c r="P163" s="42"/>
      <c r="Q163" s="43"/>
    </row>
    <row r="164" spans="2:17" ht="15" x14ac:dyDescent="0.25">
      <c r="B164" s="4" t="s">
        <v>502</v>
      </c>
      <c r="C164" s="38"/>
      <c r="D164" s="4" t="s">
        <v>503</v>
      </c>
      <c r="E164" s="2">
        <f>'28'!K24</f>
        <v>0</v>
      </c>
      <c r="P164" s="8"/>
      <c r="Q164" s="5"/>
    </row>
    <row r="165" spans="2:17" ht="15" x14ac:dyDescent="0.25">
      <c r="B165" s="4" t="s">
        <v>506</v>
      </c>
      <c r="C165" s="38"/>
      <c r="D165" s="4" t="s">
        <v>507</v>
      </c>
      <c r="E165" s="2">
        <f>'28'!K35</f>
        <v>0</v>
      </c>
      <c r="P165" s="8"/>
      <c r="Q165" s="5"/>
    </row>
    <row r="166" spans="2:17" ht="15" x14ac:dyDescent="0.25">
      <c r="B166" s="4" t="s">
        <v>508</v>
      </c>
      <c r="C166" s="38"/>
      <c r="D166" s="4" t="s">
        <v>509</v>
      </c>
      <c r="E166" s="2">
        <f>'28'!K43</f>
        <v>0</v>
      </c>
      <c r="P166" s="8"/>
      <c r="Q166" s="5"/>
    </row>
    <row r="167" spans="2:17" ht="15" x14ac:dyDescent="0.25">
      <c r="B167" s="4" t="s">
        <v>510</v>
      </c>
      <c r="C167" s="38"/>
      <c r="D167" s="4" t="s">
        <v>512</v>
      </c>
      <c r="E167" s="2">
        <f>'28'!K52</f>
        <v>0</v>
      </c>
      <c r="P167" s="10"/>
      <c r="Q167" s="5"/>
    </row>
    <row r="168" spans="2:17" s="40" customFormat="1" ht="13.8" x14ac:dyDescent="0.25">
      <c r="B168" s="40" t="s">
        <v>514</v>
      </c>
      <c r="C168" s="38"/>
      <c r="D168" s="40" t="s">
        <v>515</v>
      </c>
      <c r="E168" s="41">
        <f>'Estimate Summary'!H57</f>
        <v>42250</v>
      </c>
    </row>
    <row r="169" spans="2:17" ht="15" x14ac:dyDescent="0.25">
      <c r="B169" s="4" t="s">
        <v>516</v>
      </c>
      <c r="C169" s="38"/>
      <c r="D169" s="4" t="s">
        <v>517</v>
      </c>
      <c r="E169" s="2">
        <f>'31'!K17</f>
        <v>0</v>
      </c>
    </row>
    <row r="170" spans="2:17" ht="15" x14ac:dyDescent="0.25">
      <c r="B170" s="4" t="s">
        <v>520</v>
      </c>
      <c r="C170" s="38"/>
      <c r="D170" s="4" t="s">
        <v>521</v>
      </c>
      <c r="E170" s="2">
        <f>'31'!K39</f>
        <v>42250</v>
      </c>
    </row>
    <row r="171" spans="2:17" ht="15" x14ac:dyDescent="0.25">
      <c r="B171" s="4" t="s">
        <v>551</v>
      </c>
      <c r="C171" s="38"/>
      <c r="D171" s="4" t="s">
        <v>550</v>
      </c>
      <c r="E171" s="2">
        <f>'31'!K47</f>
        <v>0</v>
      </c>
    </row>
    <row r="172" spans="2:17" ht="15" x14ac:dyDescent="0.25">
      <c r="B172" s="4" t="s">
        <v>552</v>
      </c>
      <c r="C172" s="38"/>
      <c r="D172" s="4" t="s">
        <v>553</v>
      </c>
      <c r="E172" s="2">
        <f>'31'!K56</f>
        <v>0</v>
      </c>
    </row>
    <row r="173" spans="2:17" s="40" customFormat="1" ht="13.8" x14ac:dyDescent="0.25">
      <c r="B173" s="40" t="s">
        <v>554</v>
      </c>
      <c r="C173" s="38"/>
      <c r="D173" s="40" t="s">
        <v>555</v>
      </c>
      <c r="E173" s="41">
        <f>'Estimate Summary'!H59</f>
        <v>7900</v>
      </c>
    </row>
    <row r="174" spans="2:17" ht="15" x14ac:dyDescent="0.25">
      <c r="B174" s="4" t="s">
        <v>556</v>
      </c>
      <c r="C174" s="38"/>
      <c r="D174" s="4" t="s">
        <v>557</v>
      </c>
      <c r="E174" s="2">
        <f>'32'!K21</f>
        <v>0</v>
      </c>
    </row>
    <row r="175" spans="2:17" ht="15" x14ac:dyDescent="0.25">
      <c r="B175" s="4" t="s">
        <v>564</v>
      </c>
      <c r="C175" s="38"/>
      <c r="D175" s="4" t="s">
        <v>565</v>
      </c>
      <c r="E175" s="2">
        <f>'32'!K33</f>
        <v>7900</v>
      </c>
    </row>
    <row r="176" spans="2:17" ht="15" x14ac:dyDescent="0.25">
      <c r="B176" s="4" t="s">
        <v>578</v>
      </c>
      <c r="C176" s="38"/>
      <c r="D176" s="4" t="s">
        <v>579</v>
      </c>
      <c r="E176" s="2">
        <f>'32'!K41</f>
        <v>0</v>
      </c>
    </row>
    <row r="177" spans="2:5" ht="15" x14ac:dyDescent="0.25">
      <c r="B177" s="4" t="s">
        <v>584</v>
      </c>
      <c r="C177" s="38"/>
      <c r="D177" s="4" t="s">
        <v>585</v>
      </c>
      <c r="E177" s="2">
        <f>'32'!K50</f>
        <v>0</v>
      </c>
    </row>
    <row r="178" spans="2:5" ht="15" x14ac:dyDescent="0.25">
      <c r="B178" s="4" t="s">
        <v>594</v>
      </c>
      <c r="C178" s="38"/>
      <c r="D178" s="4" t="s">
        <v>595</v>
      </c>
      <c r="E178" s="2">
        <f>'32'!K61</f>
        <v>0</v>
      </c>
    </row>
    <row r="179" spans="2:5" s="40" customFormat="1" ht="13.8" x14ac:dyDescent="0.25">
      <c r="B179" s="40" t="s">
        <v>602</v>
      </c>
      <c r="C179" s="38"/>
      <c r="D179" s="40" t="s">
        <v>603</v>
      </c>
      <c r="E179" s="41">
        <f>'Estimate Summary'!H61</f>
        <v>0</v>
      </c>
    </row>
    <row r="180" spans="2:5" ht="15" x14ac:dyDescent="0.25">
      <c r="B180" s="4" t="s">
        <v>604</v>
      </c>
      <c r="C180" s="38"/>
      <c r="D180" s="4" t="s">
        <v>605</v>
      </c>
      <c r="E180" s="2">
        <f>'33'!K26</f>
        <v>0</v>
      </c>
    </row>
    <row r="181" spans="2:5" ht="15" x14ac:dyDescent="0.25">
      <c r="B181" s="4" t="s">
        <v>610</v>
      </c>
      <c r="C181" s="38"/>
      <c r="D181" s="4" t="s">
        <v>611</v>
      </c>
      <c r="E181" s="2">
        <f>'33'!K37</f>
        <v>0</v>
      </c>
    </row>
    <row r="182" spans="2:5" ht="15" x14ac:dyDescent="0.25">
      <c r="B182" s="4" t="s">
        <v>626</v>
      </c>
      <c r="C182" s="38"/>
      <c r="D182" s="4" t="s">
        <v>627</v>
      </c>
      <c r="E182" s="2">
        <f>'33'!K54</f>
        <v>0</v>
      </c>
    </row>
  </sheetData>
  <autoFilter ref="B1:E182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A11" sqref="A11"/>
    </sheetView>
  </sheetViews>
  <sheetFormatPr defaultColWidth="11.44140625" defaultRowHeight="13.2" x14ac:dyDescent="0.25"/>
  <cols>
    <col min="1" max="1" width="17" bestFit="1" customWidth="1"/>
    <col min="2" max="2" width="16.5546875" bestFit="1" customWidth="1"/>
    <col min="3" max="3" width="10.5546875" bestFit="1" customWidth="1"/>
    <col min="4" max="4" width="12.6640625" customWidth="1"/>
    <col min="5" max="5" width="14.33203125" bestFit="1" customWidth="1"/>
    <col min="6" max="6" width="24.33203125" bestFit="1" customWidth="1"/>
    <col min="7" max="7" width="19.5546875" bestFit="1" customWidth="1"/>
    <col min="8" max="8" width="25" customWidth="1"/>
    <col min="9" max="9" width="6.6640625" bestFit="1" customWidth="1"/>
    <col min="10" max="10" width="18.44140625" bestFit="1" customWidth="1"/>
    <col min="11" max="11" width="22.44140625" bestFit="1" customWidth="1"/>
    <col min="12" max="12" width="32.44140625" bestFit="1" customWidth="1"/>
    <col min="13" max="13" width="30.6640625" customWidth="1"/>
    <col min="14" max="14" width="12.5546875" bestFit="1" customWidth="1"/>
    <col min="15" max="15" width="14.44140625" bestFit="1" customWidth="1"/>
    <col min="16" max="16" width="21" bestFit="1" customWidth="1"/>
    <col min="17" max="17" width="10" bestFit="1" customWidth="1"/>
    <col min="18" max="18" width="12.6640625" bestFit="1" customWidth="1"/>
    <col min="19" max="19" width="11.6640625" bestFit="1" customWidth="1"/>
    <col min="20" max="20" width="32.5546875" bestFit="1" customWidth="1"/>
  </cols>
  <sheetData>
    <row r="1" spans="1:20" x14ac:dyDescent="0.25">
      <c r="A1" s="142"/>
      <c r="L1" s="13"/>
      <c r="M1" s="13"/>
      <c r="O1" s="13"/>
      <c r="P1" s="13"/>
      <c r="Q1" s="52"/>
    </row>
    <row r="2" spans="1:20" s="3" customFormat="1" ht="15" x14ac:dyDescent="0.25">
      <c r="A2" s="142"/>
      <c r="B2" t="s">
        <v>898</v>
      </c>
      <c r="C2" t="s">
        <v>930</v>
      </c>
      <c r="D2" t="s">
        <v>726</v>
      </c>
      <c r="E2"/>
      <c r="G2"/>
      <c r="H2" t="s">
        <v>899</v>
      </c>
      <c r="I2"/>
      <c r="J2" t="s">
        <v>900</v>
      </c>
      <c r="K2" t="s">
        <v>736</v>
      </c>
      <c r="L2" s="13"/>
      <c r="M2" s="150" t="s">
        <v>776</v>
      </c>
      <c r="N2" s="151" t="s">
        <v>936</v>
      </c>
      <c r="O2" s="13"/>
      <c r="P2" s="13"/>
      <c r="Q2" s="52"/>
      <c r="R2"/>
      <c r="S2"/>
      <c r="T2"/>
    </row>
    <row r="3" spans="1:20" x14ac:dyDescent="0.25">
      <c r="A3" s="142"/>
      <c r="B3" t="s">
        <v>901</v>
      </c>
      <c r="D3" t="s">
        <v>902</v>
      </c>
      <c r="H3" t="s">
        <v>931</v>
      </c>
      <c r="J3" t="s">
        <v>903</v>
      </c>
      <c r="K3" t="s">
        <v>904</v>
      </c>
      <c r="L3" s="13"/>
      <c r="M3" s="152" t="s">
        <v>777</v>
      </c>
      <c r="N3" s="153" t="s">
        <v>937</v>
      </c>
      <c r="O3" s="13"/>
      <c r="P3" s="13"/>
      <c r="Q3" s="52"/>
    </row>
    <row r="4" spans="1:20" ht="15.6" x14ac:dyDescent="0.3">
      <c r="A4" s="142"/>
      <c r="B4" t="s">
        <v>906</v>
      </c>
      <c r="D4" t="s">
        <v>907</v>
      </c>
      <c r="H4" t="s">
        <v>911</v>
      </c>
      <c r="J4" t="s">
        <v>908</v>
      </c>
      <c r="K4" t="s">
        <v>909</v>
      </c>
      <c r="L4" s="13"/>
      <c r="M4" s="152" t="s">
        <v>938</v>
      </c>
      <c r="N4" s="153" t="s">
        <v>939</v>
      </c>
      <c r="O4" s="13"/>
      <c r="P4" s="13"/>
      <c r="Q4" s="52"/>
      <c r="R4" s="143" t="s">
        <v>738</v>
      </c>
      <c r="T4" t="s">
        <v>905</v>
      </c>
    </row>
    <row r="5" spans="1:20" x14ac:dyDescent="0.25">
      <c r="A5" s="142"/>
      <c r="B5" t="s">
        <v>913</v>
      </c>
      <c r="D5" t="s">
        <v>914</v>
      </c>
      <c r="H5" t="s">
        <v>917</v>
      </c>
      <c r="J5" t="s">
        <v>915</v>
      </c>
      <c r="L5" s="13"/>
      <c r="M5" s="152" t="s">
        <v>803</v>
      </c>
      <c r="N5" s="153" t="s">
        <v>940</v>
      </c>
      <c r="O5" s="13"/>
      <c r="P5" s="13"/>
      <c r="Q5" s="52"/>
      <c r="R5" s="144" t="s">
        <v>910</v>
      </c>
      <c r="T5" t="s">
        <v>912</v>
      </c>
    </row>
    <row r="6" spans="1:20" x14ac:dyDescent="0.25">
      <c r="A6" s="142"/>
      <c r="B6" t="s">
        <v>919</v>
      </c>
      <c r="D6" t="s">
        <v>920</v>
      </c>
      <c r="H6" t="s">
        <v>943</v>
      </c>
      <c r="J6" t="s">
        <v>921</v>
      </c>
      <c r="L6" s="13"/>
      <c r="M6" s="154" t="s">
        <v>941</v>
      </c>
      <c r="N6" s="155" t="s">
        <v>942</v>
      </c>
      <c r="O6" s="13"/>
      <c r="P6" s="13"/>
      <c r="Q6" s="52"/>
      <c r="R6" s="145" t="s">
        <v>916</v>
      </c>
      <c r="T6" t="s">
        <v>918</v>
      </c>
    </row>
    <row r="7" spans="1:20" x14ac:dyDescent="0.25">
      <c r="A7" s="142"/>
      <c r="L7" s="13"/>
      <c r="M7" s="13"/>
      <c r="O7" s="13"/>
      <c r="P7" s="13"/>
      <c r="Q7" s="52"/>
      <c r="R7" s="146" t="s">
        <v>922</v>
      </c>
    </row>
    <row r="8" spans="1:20" x14ac:dyDescent="0.25">
      <c r="A8" s="142"/>
      <c r="L8" s="13"/>
      <c r="M8" s="13"/>
      <c r="O8" s="13"/>
      <c r="P8" s="13"/>
      <c r="Q8" s="52"/>
      <c r="R8" s="145"/>
    </row>
    <row r="9" spans="1:20" x14ac:dyDescent="0.25">
      <c r="A9" s="142"/>
      <c r="L9" s="13"/>
      <c r="M9" s="13"/>
      <c r="O9" s="13"/>
      <c r="P9" s="13"/>
      <c r="Q9" s="52"/>
      <c r="R9" s="144"/>
    </row>
    <row r="10" spans="1:20" ht="15" x14ac:dyDescent="0.25">
      <c r="A10" s="147" t="s">
        <v>927</v>
      </c>
      <c r="B10" s="148" t="s">
        <v>765</v>
      </c>
      <c r="C10" s="148" t="s">
        <v>898</v>
      </c>
      <c r="D10" s="3" t="s">
        <v>726</v>
      </c>
      <c r="E10" s="3" t="s">
        <v>727</v>
      </c>
      <c r="F10" s="3" t="s">
        <v>949</v>
      </c>
      <c r="G10" s="3" t="s">
        <v>728</v>
      </c>
      <c r="H10" s="3" t="s">
        <v>933</v>
      </c>
      <c r="I10" s="3" t="s">
        <v>729</v>
      </c>
      <c r="J10" s="3" t="s">
        <v>735</v>
      </c>
      <c r="K10" s="3" t="s">
        <v>736</v>
      </c>
      <c r="L10" s="53" t="s">
        <v>730</v>
      </c>
      <c r="M10" s="53" t="s">
        <v>934</v>
      </c>
      <c r="N10" s="3" t="s">
        <v>73</v>
      </c>
      <c r="O10" s="53" t="s">
        <v>85</v>
      </c>
      <c r="P10" s="53" t="s">
        <v>731</v>
      </c>
      <c r="Q10" s="54" t="s">
        <v>87</v>
      </c>
      <c r="R10" s="3" t="s">
        <v>738</v>
      </c>
      <c r="S10" s="3" t="s">
        <v>739</v>
      </c>
      <c r="T10" s="3" t="s">
        <v>935</v>
      </c>
    </row>
    <row r="11" spans="1:20" x14ac:dyDescent="0.25">
      <c r="A11" s="777">
        <f>+'Estimate Summary'!B3</f>
        <v>46140</v>
      </c>
      <c r="B11" s="778">
        <f>+'Estimate Summary'!B7</f>
        <v>2026</v>
      </c>
      <c r="C11" s="762" t="str">
        <f>+'Estimate Summary'!B8</f>
        <v>Q2</v>
      </c>
      <c r="D11" t="str">
        <f>+'Estimate Summary'!B5</f>
        <v>NB</v>
      </c>
      <c r="E11" s="2" t="str">
        <f>'Estimate Summary'!B6</f>
        <v>Riverview</v>
      </c>
      <c r="F11">
        <f>'Estimate Summary'!B4</f>
        <v>3057</v>
      </c>
      <c r="G11" s="2" t="str">
        <f>'Estimate Summary'!D5</f>
        <v>567 Coverdale Renovation and Expansion (Phase 1)</v>
      </c>
      <c r="H11" s="2">
        <f>+'Estimate Summary'!F8</f>
        <v>0</v>
      </c>
      <c r="I11" s="149">
        <f>+'Estimate Summary'!D11</f>
        <v>600</v>
      </c>
      <c r="J11" s="2" t="str">
        <f>'Estimate Summary'!D7</f>
        <v>CCDC 5B</v>
      </c>
      <c r="K11" s="2" t="str">
        <f>+'Estimate Summary'!D8</f>
        <v>Fixed Fee</v>
      </c>
      <c r="L11" s="2">
        <f>+'Estimate Summary'!D75</f>
        <v>868202.76510268997</v>
      </c>
      <c r="M11" s="2" t="str">
        <f>IF(L11&lt;100000,"E",IF(L11&lt;500000,"D",IF(L11&lt;2000000,"C",IF(L11&lt;5000000,"B",IF(L11&gt;=5000000,"A")))))</f>
        <v>C</v>
      </c>
      <c r="N11">
        <f>'Estimate Summary'!D82</f>
        <v>15</v>
      </c>
      <c r="O11" s="2">
        <f>'Estimate Summary'!D83</f>
        <v>123029.27201359</v>
      </c>
      <c r="P11" s="21">
        <f>'Estimate Summary'!E83</f>
        <v>8201.9514675726659</v>
      </c>
      <c r="Q11" s="22">
        <f>'Estimate Summary'!D85</f>
        <v>0.14170569014375145</v>
      </c>
      <c r="R11">
        <f>'Estimate Summary'!F6</f>
        <v>0</v>
      </c>
      <c r="S11">
        <f>'Estimate Summary'!F5</f>
        <v>0</v>
      </c>
      <c r="T11">
        <f>'Estimate Summary'!F7</f>
        <v>0</v>
      </c>
    </row>
  </sheetData>
  <dataValidations count="1">
    <dataValidation type="list" allowBlank="1" showInputMessage="1" showErrorMessage="1" sqref="H2" xr:uid="{2494BA54-5772-4C23-A978-EBD7A7E30474}">
      <formula1>$H$2:$H$6</formula1>
    </dataValidation>
  </dataValidation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72"/>
  <sheetViews>
    <sheetView view="pageLayout" topLeftCell="A2" zoomScale="75" zoomScaleNormal="100" zoomScaleSheetLayoutView="110" zoomScalePageLayoutView="75" workbookViewId="0">
      <selection activeCell="D51" sqref="D51"/>
    </sheetView>
  </sheetViews>
  <sheetFormatPr defaultColWidth="11.44140625" defaultRowHeight="13.2" x14ac:dyDescent="0.25"/>
  <cols>
    <col min="1" max="1" width="2.44140625" customWidth="1"/>
    <col min="2" max="2" width="17.33203125" style="12" customWidth="1"/>
    <col min="3" max="3" width="55.6640625" style="16" customWidth="1"/>
    <col min="4" max="4" width="25.5546875" customWidth="1"/>
    <col min="5" max="5" width="22" customWidth="1"/>
    <col min="6" max="6" width="2.5546875" customWidth="1"/>
    <col min="7" max="7" width="24" customWidth="1"/>
    <col min="8" max="8" width="16.5546875" customWidth="1"/>
    <col min="9" max="9" width="3.5546875" customWidth="1"/>
    <col min="10" max="10" width="41.5546875" style="1" customWidth="1"/>
    <col min="11" max="11" width="20.5546875" customWidth="1"/>
    <col min="12" max="12" width="2.33203125" customWidth="1"/>
    <col min="13" max="13" width="14" bestFit="1" customWidth="1"/>
  </cols>
  <sheetData>
    <row r="1" spans="2:12" ht="13.8" thickBot="1" x14ac:dyDescent="0.3"/>
    <row r="2" spans="2:12" ht="30" customHeight="1" thickTop="1" x14ac:dyDescent="0.25">
      <c r="B2" s="1061" t="str">
        <f>'Estimate Summary'!D5</f>
        <v>567 Coverdale Renovation and Expansion (Phase 1)</v>
      </c>
      <c r="C2" s="1062"/>
      <c r="D2" s="90"/>
      <c r="E2" s="90"/>
      <c r="F2" s="90"/>
      <c r="G2" s="90"/>
      <c r="H2" s="90"/>
      <c r="I2" s="1063" t="s">
        <v>928</v>
      </c>
      <c r="J2" s="1063"/>
      <c r="K2" s="1064"/>
    </row>
    <row r="3" spans="2:12" ht="26.1" customHeight="1" x14ac:dyDescent="0.25">
      <c r="B3" s="1069" t="str">
        <f>'Estimate Summary'!D6</f>
        <v>GTD Management  Inc.</v>
      </c>
      <c r="C3" s="1070"/>
      <c r="D3" s="91"/>
      <c r="E3" s="91"/>
      <c r="F3" s="91"/>
      <c r="G3" s="91"/>
      <c r="H3" s="91"/>
      <c r="I3" s="1065"/>
      <c r="J3" s="1065"/>
      <c r="K3" s="1066"/>
    </row>
    <row r="4" spans="2:12" ht="24" customHeight="1" x14ac:dyDescent="0.25">
      <c r="B4" s="93" t="s">
        <v>766</v>
      </c>
      <c r="C4" s="94">
        <f>'Estimate Summary'!B3</f>
        <v>46140</v>
      </c>
      <c r="D4" s="92"/>
      <c r="E4" s="92"/>
      <c r="F4" s="92"/>
      <c r="G4" s="92"/>
      <c r="H4" s="92"/>
      <c r="I4" s="1067"/>
      <c r="J4" s="1067"/>
      <c r="K4" s="1068"/>
    </row>
    <row r="5" spans="2:12" x14ac:dyDescent="0.25">
      <c r="B5" s="61"/>
      <c r="C5" s="58"/>
      <c r="D5" s="58"/>
      <c r="E5" s="58"/>
      <c r="F5" s="58"/>
      <c r="G5" s="58"/>
      <c r="H5" s="58"/>
      <c r="I5" s="59"/>
      <c r="J5" s="60"/>
      <c r="K5" s="62"/>
      <c r="L5" s="23"/>
    </row>
    <row r="6" spans="2:12" x14ac:dyDescent="0.25">
      <c r="B6" s="63"/>
      <c r="C6" s="55"/>
      <c r="D6" s="1076"/>
      <c r="E6" s="1076"/>
      <c r="F6" s="55"/>
      <c r="G6" s="1076"/>
      <c r="H6" s="1076"/>
      <c r="I6" s="56"/>
      <c r="J6" s="57"/>
      <c r="K6" s="64"/>
      <c r="L6" s="23"/>
    </row>
    <row r="7" spans="2:12" ht="13.8" thickBot="1" x14ac:dyDescent="0.3">
      <c r="B7" s="63"/>
      <c r="C7" s="55"/>
      <c r="D7" s="1077"/>
      <c r="E7" s="1077"/>
      <c r="F7" s="55"/>
      <c r="G7" s="1077">
        <f>'Estimate Summary'!B3</f>
        <v>46140</v>
      </c>
      <c r="H7" s="1077">
        <f>'Estimate Summary'!G8</f>
        <v>0</v>
      </c>
      <c r="I7" s="56"/>
      <c r="J7" s="57"/>
      <c r="K7" s="64"/>
      <c r="L7" s="23"/>
    </row>
    <row r="8" spans="2:12" s="101" customFormat="1" ht="21.6" customHeight="1" x14ac:dyDescent="0.25">
      <c r="B8" s="95" t="s">
        <v>675</v>
      </c>
      <c r="C8" s="96" t="s">
        <v>3</v>
      </c>
      <c r="D8" s="97"/>
      <c r="E8" s="98">
        <f>SUM(D9:D17)</f>
        <v>0</v>
      </c>
      <c r="F8" s="102"/>
      <c r="G8" s="97"/>
      <c r="H8" s="98">
        <f>SUM(G9:G17)</f>
        <v>103221.05689019999</v>
      </c>
      <c r="I8" s="97"/>
      <c r="J8" s="99" t="str">
        <f>IF(H8&gt;E8,"Increase","Decrease or No Change")</f>
        <v>Increase</v>
      </c>
      <c r="K8" s="100">
        <f>H8-E8</f>
        <v>103221.05689019999</v>
      </c>
    </row>
    <row r="9" spans="2:12" s="101" customFormat="1" ht="18" customHeight="1" x14ac:dyDescent="0.25">
      <c r="B9" s="132" t="s">
        <v>103</v>
      </c>
      <c r="C9" s="133" t="s">
        <v>102</v>
      </c>
      <c r="D9" s="114">
        <v>0</v>
      </c>
      <c r="E9" s="113"/>
      <c r="F9" s="112"/>
      <c r="G9" s="114">
        <f>'1'!K25</f>
        <v>21450</v>
      </c>
      <c r="H9" s="114"/>
      <c r="I9" s="112"/>
      <c r="J9" s="113"/>
      <c r="K9" s="115"/>
    </row>
    <row r="10" spans="2:12" s="101" customFormat="1" ht="18" customHeight="1" x14ac:dyDescent="0.25">
      <c r="B10" s="134" t="s">
        <v>104</v>
      </c>
      <c r="C10" s="135" t="s">
        <v>105</v>
      </c>
      <c r="D10" s="114">
        <v>0</v>
      </c>
      <c r="E10" s="113"/>
      <c r="F10" s="112"/>
      <c r="G10" s="114">
        <f>'1'!K36</f>
        <v>63750</v>
      </c>
      <c r="H10" s="114"/>
      <c r="I10" s="112"/>
      <c r="J10" s="113"/>
      <c r="K10" s="115"/>
    </row>
    <row r="11" spans="2:12" s="101" customFormat="1" ht="18" customHeight="1" x14ac:dyDescent="0.25">
      <c r="B11" s="134" t="s">
        <v>106</v>
      </c>
      <c r="C11" s="135" t="s">
        <v>107</v>
      </c>
      <c r="D11" s="114">
        <v>0</v>
      </c>
      <c r="E11" s="113"/>
      <c r="F11" s="112"/>
      <c r="G11" s="114">
        <f>'1'!K67</f>
        <v>5301.1971750000002</v>
      </c>
      <c r="H11" s="114"/>
      <c r="I11" s="112"/>
      <c r="J11" s="113"/>
      <c r="K11" s="115"/>
    </row>
    <row r="12" spans="2:12" s="101" customFormat="1" ht="18" customHeight="1" x14ac:dyDescent="0.25">
      <c r="B12" s="134" t="s">
        <v>141</v>
      </c>
      <c r="C12" s="135" t="s">
        <v>142</v>
      </c>
      <c r="D12" s="114">
        <v>0</v>
      </c>
      <c r="E12" s="113"/>
      <c r="F12" s="112"/>
      <c r="G12" s="114">
        <f>'1'!K76</f>
        <v>3250</v>
      </c>
      <c r="H12" s="114"/>
      <c r="I12" s="112"/>
      <c r="J12" s="113"/>
      <c r="K12" s="115"/>
    </row>
    <row r="13" spans="2:12" s="101" customFormat="1" ht="18" customHeight="1" x14ac:dyDescent="0.25">
      <c r="B13" s="134" t="s">
        <v>108</v>
      </c>
      <c r="C13" s="135" t="s">
        <v>109</v>
      </c>
      <c r="D13" s="114">
        <v>0</v>
      </c>
      <c r="E13" s="113"/>
      <c r="F13" s="112"/>
      <c r="G13" s="114">
        <f>'1'!K87</f>
        <v>0</v>
      </c>
      <c r="H13" s="114"/>
      <c r="I13" s="112"/>
      <c r="J13" s="113"/>
      <c r="K13" s="115"/>
    </row>
    <row r="14" spans="2:12" s="101" customFormat="1" ht="18" customHeight="1" x14ac:dyDescent="0.25">
      <c r="B14" s="134" t="s">
        <v>111</v>
      </c>
      <c r="C14" s="135" t="s">
        <v>110</v>
      </c>
      <c r="D14" s="114">
        <v>0</v>
      </c>
      <c r="E14" s="113"/>
      <c r="F14" s="112"/>
      <c r="G14" s="114">
        <f>'1'!K97</f>
        <v>2276.2544594999999</v>
      </c>
      <c r="H14" s="114"/>
      <c r="I14" s="112"/>
      <c r="J14" s="113"/>
      <c r="K14" s="115"/>
    </row>
    <row r="15" spans="2:12" s="101" customFormat="1" ht="18" customHeight="1" x14ac:dyDescent="0.25">
      <c r="B15" s="134" t="s">
        <v>112</v>
      </c>
      <c r="C15" s="135" t="s">
        <v>113</v>
      </c>
      <c r="D15" s="114">
        <v>0</v>
      </c>
      <c r="E15" s="113"/>
      <c r="F15" s="112"/>
      <c r="G15" s="114">
        <f>'1'!K105</f>
        <v>3146.9052557000005</v>
      </c>
      <c r="H15" s="114"/>
      <c r="I15" s="112"/>
      <c r="J15" s="113"/>
      <c r="K15" s="115"/>
    </row>
    <row r="16" spans="2:12" s="101" customFormat="1" ht="18" customHeight="1" x14ac:dyDescent="0.25">
      <c r="B16" s="134" t="s">
        <v>114</v>
      </c>
      <c r="C16" s="135" t="s">
        <v>115</v>
      </c>
      <c r="D16" s="114">
        <v>0</v>
      </c>
      <c r="E16" s="113"/>
      <c r="F16" s="112"/>
      <c r="G16" s="114">
        <f>'1'!K128</f>
        <v>596.70000000000005</v>
      </c>
      <c r="H16" s="114"/>
      <c r="I16" s="112"/>
      <c r="J16" s="113"/>
      <c r="K16" s="115"/>
    </row>
    <row r="17" spans="2:11" s="101" customFormat="1" ht="18" customHeight="1" thickBot="1" x14ac:dyDescent="0.3">
      <c r="B17" s="136" t="s">
        <v>116</v>
      </c>
      <c r="C17" s="137" t="s">
        <v>117</v>
      </c>
      <c r="D17" s="119">
        <v>0</v>
      </c>
      <c r="E17" s="118"/>
      <c r="F17" s="117"/>
      <c r="G17" s="119">
        <f>'1'!K136</f>
        <v>3450</v>
      </c>
      <c r="H17" s="119"/>
      <c r="I17" s="117"/>
      <c r="J17" s="118"/>
      <c r="K17" s="120"/>
    </row>
    <row r="18" spans="2:11" ht="7.2" customHeight="1" thickBot="1" x14ac:dyDescent="0.35">
      <c r="B18" s="74"/>
      <c r="C18" s="75"/>
      <c r="D18" s="76"/>
      <c r="E18" s="75"/>
      <c r="F18" s="77"/>
      <c r="G18" s="76"/>
      <c r="H18" s="76"/>
      <c r="I18" s="77"/>
      <c r="J18" s="78"/>
      <c r="K18" s="76"/>
    </row>
    <row r="19" spans="2:11" s="101" customFormat="1" ht="21.6" customHeight="1" x14ac:dyDescent="0.25">
      <c r="B19" s="95" t="s">
        <v>150</v>
      </c>
      <c r="C19" s="96" t="s">
        <v>152</v>
      </c>
      <c r="D19" s="97"/>
      <c r="E19" s="98">
        <f>SUM(D20:D22)</f>
        <v>0</v>
      </c>
      <c r="F19" s="102"/>
      <c r="G19" s="97"/>
      <c r="H19" s="98">
        <f>SUM(G20:G22)</f>
        <v>20950</v>
      </c>
      <c r="I19" s="97"/>
      <c r="J19" s="99" t="str">
        <f>IF(H19&gt;E19,"Increase","Decrease or No Change")</f>
        <v>Increase</v>
      </c>
      <c r="K19" s="100">
        <f>H19-E19</f>
        <v>20950</v>
      </c>
    </row>
    <row r="20" spans="2:11" s="101" customFormat="1" ht="18" customHeight="1" x14ac:dyDescent="0.25">
      <c r="B20" s="129" t="s">
        <v>151</v>
      </c>
      <c r="C20" s="127" t="s">
        <v>78</v>
      </c>
      <c r="D20" s="114">
        <v>0</v>
      </c>
      <c r="E20" s="113"/>
      <c r="F20" s="112"/>
      <c r="G20" s="114">
        <f>'2'!K13</f>
        <v>20950</v>
      </c>
      <c r="H20" s="114"/>
      <c r="I20" s="112"/>
      <c r="J20" s="113"/>
      <c r="K20" s="115"/>
    </row>
    <row r="21" spans="2:11" s="101" customFormat="1" ht="18" customHeight="1" x14ac:dyDescent="0.25">
      <c r="B21" s="129" t="s">
        <v>153</v>
      </c>
      <c r="C21" s="127" t="s">
        <v>154</v>
      </c>
      <c r="D21" s="114">
        <v>0</v>
      </c>
      <c r="E21" s="113"/>
      <c r="F21" s="112"/>
      <c r="G21" s="114">
        <f>'2'!K35</f>
        <v>0</v>
      </c>
      <c r="H21" s="114"/>
      <c r="I21" s="112"/>
      <c r="J21" s="113"/>
      <c r="K21" s="115"/>
    </row>
    <row r="22" spans="2:11" s="101" customFormat="1" ht="18" customHeight="1" thickBot="1" x14ac:dyDescent="0.3">
      <c r="B22" s="130" t="s">
        <v>155</v>
      </c>
      <c r="C22" s="128" t="s">
        <v>530</v>
      </c>
      <c r="D22" s="119">
        <v>0</v>
      </c>
      <c r="E22" s="118"/>
      <c r="F22" s="117"/>
      <c r="G22" s="119">
        <f>'2'!K46</f>
        <v>0</v>
      </c>
      <c r="H22" s="119"/>
      <c r="I22" s="117"/>
      <c r="J22" s="118"/>
      <c r="K22" s="120"/>
    </row>
    <row r="23" spans="2:11" ht="7.2" customHeight="1" thickBot="1" x14ac:dyDescent="0.35">
      <c r="B23" s="74"/>
      <c r="C23" s="75"/>
      <c r="D23" s="76"/>
      <c r="E23" s="80"/>
      <c r="F23" s="77"/>
      <c r="G23" s="76"/>
      <c r="H23" s="76"/>
      <c r="I23" s="77"/>
      <c r="J23" s="78"/>
      <c r="K23" s="76"/>
    </row>
    <row r="24" spans="2:11" s="101" customFormat="1" ht="21.6" customHeight="1" x14ac:dyDescent="0.25">
      <c r="B24" s="95" t="s">
        <v>156</v>
      </c>
      <c r="C24" s="96" t="s">
        <v>4</v>
      </c>
      <c r="D24" s="97"/>
      <c r="E24" s="98">
        <f>SUM(D25:D29)</f>
        <v>0</v>
      </c>
      <c r="F24" s="97"/>
      <c r="G24" s="97"/>
      <c r="H24" s="98">
        <f>SUM(G25:G29)</f>
        <v>50324.7</v>
      </c>
      <c r="I24" s="97"/>
      <c r="J24" s="99" t="str">
        <f>IF(H24&gt;E24,"Increase","Decrease or No Change")</f>
        <v>Increase</v>
      </c>
      <c r="K24" s="100">
        <f>H24-E24</f>
        <v>50324.7</v>
      </c>
    </row>
    <row r="25" spans="2:11" s="101" customFormat="1" ht="18" customHeight="1" x14ac:dyDescent="0.25">
      <c r="B25" s="129" t="s">
        <v>157</v>
      </c>
      <c r="C25" s="127" t="s">
        <v>158</v>
      </c>
      <c r="D25" s="114">
        <v>0</v>
      </c>
      <c r="E25" s="113"/>
      <c r="F25" s="112"/>
      <c r="G25" s="114">
        <f>'3'!K18</f>
        <v>25200</v>
      </c>
      <c r="H25" s="114"/>
      <c r="I25" s="112"/>
      <c r="J25" s="113"/>
      <c r="K25" s="115"/>
    </row>
    <row r="26" spans="2:11" s="101" customFormat="1" ht="18" customHeight="1" x14ac:dyDescent="0.25">
      <c r="B26" s="129" t="s">
        <v>160</v>
      </c>
      <c r="C26" s="127" t="s">
        <v>159</v>
      </c>
      <c r="D26" s="114">
        <v>0</v>
      </c>
      <c r="E26" s="113"/>
      <c r="F26" s="112"/>
      <c r="G26" s="114">
        <f>'3'!K26</f>
        <v>11950</v>
      </c>
      <c r="H26" s="114"/>
      <c r="I26" s="112"/>
      <c r="J26" s="113"/>
      <c r="K26" s="115"/>
    </row>
    <row r="27" spans="2:11" s="101" customFormat="1" ht="18" customHeight="1" x14ac:dyDescent="0.25">
      <c r="B27" s="129" t="s">
        <v>161</v>
      </c>
      <c r="C27" s="127" t="s">
        <v>165</v>
      </c>
      <c r="D27" s="114">
        <v>0</v>
      </c>
      <c r="E27" s="113"/>
      <c r="F27" s="112"/>
      <c r="G27" s="114">
        <f>'3'!K37+'3'!K44</f>
        <v>9488.7000000000007</v>
      </c>
      <c r="H27" s="114"/>
      <c r="I27" s="112"/>
      <c r="J27" s="113"/>
      <c r="K27" s="115"/>
    </row>
    <row r="28" spans="2:11" s="101" customFormat="1" ht="18" customHeight="1" x14ac:dyDescent="0.25">
      <c r="B28" s="129" t="s">
        <v>163</v>
      </c>
      <c r="C28" s="127" t="s">
        <v>167</v>
      </c>
      <c r="D28" s="114">
        <v>0</v>
      </c>
      <c r="E28" s="113"/>
      <c r="F28" s="112"/>
      <c r="G28" s="114">
        <f>'3'!K49</f>
        <v>0</v>
      </c>
      <c r="H28" s="114"/>
      <c r="I28" s="112"/>
      <c r="J28" s="113"/>
      <c r="K28" s="115"/>
    </row>
    <row r="29" spans="2:11" s="101" customFormat="1" ht="18" customHeight="1" thickBot="1" x14ac:dyDescent="0.3">
      <c r="B29" s="130" t="s">
        <v>164</v>
      </c>
      <c r="C29" s="128" t="s">
        <v>168</v>
      </c>
      <c r="D29" s="119">
        <v>0</v>
      </c>
      <c r="E29" s="118"/>
      <c r="F29" s="117"/>
      <c r="G29" s="119">
        <f>'3'!K58</f>
        <v>3686</v>
      </c>
      <c r="H29" s="119"/>
      <c r="I29" s="117"/>
      <c r="J29" s="118"/>
      <c r="K29" s="120"/>
    </row>
    <row r="30" spans="2:11" ht="7.2" customHeight="1" thickBot="1" x14ac:dyDescent="0.35">
      <c r="B30" s="74"/>
      <c r="C30" s="75"/>
      <c r="D30" s="76"/>
      <c r="E30" s="78"/>
      <c r="F30" s="76"/>
      <c r="G30" s="76"/>
      <c r="H30" s="76"/>
      <c r="I30" s="76"/>
      <c r="J30" s="78"/>
      <c r="K30" s="76"/>
    </row>
    <row r="31" spans="2:11" s="101" customFormat="1" ht="21.6" customHeight="1" x14ac:dyDescent="0.25">
      <c r="B31" s="95" t="s">
        <v>169</v>
      </c>
      <c r="C31" s="96" t="s">
        <v>5</v>
      </c>
      <c r="D31" s="97"/>
      <c r="E31" s="98">
        <f>SUM(D32:D33)</f>
        <v>0</v>
      </c>
      <c r="F31" s="97"/>
      <c r="G31" s="97"/>
      <c r="H31" s="98">
        <f>SUM(G32:G33)</f>
        <v>21700</v>
      </c>
      <c r="I31" s="97"/>
      <c r="J31" s="99" t="str">
        <f>IF(H31&gt;E31,"Increase","Decrease or No Change")</f>
        <v>Increase</v>
      </c>
      <c r="K31" s="100">
        <f>H31-E31</f>
        <v>21700</v>
      </c>
    </row>
    <row r="32" spans="2:11" s="101" customFormat="1" ht="18" customHeight="1" x14ac:dyDescent="0.25">
      <c r="B32" s="129" t="s">
        <v>170</v>
      </c>
      <c r="C32" s="127" t="s">
        <v>172</v>
      </c>
      <c r="D32" s="114">
        <v>0</v>
      </c>
      <c r="E32" s="113"/>
      <c r="F32" s="112"/>
      <c r="G32" s="114">
        <f>'4'!K19</f>
        <v>21700</v>
      </c>
      <c r="H32" s="114"/>
      <c r="I32" s="112"/>
      <c r="J32" s="113"/>
      <c r="K32" s="115"/>
    </row>
    <row r="33" spans="2:11" s="101" customFormat="1" ht="18" customHeight="1" thickBot="1" x14ac:dyDescent="0.3">
      <c r="B33" s="130" t="s">
        <v>677</v>
      </c>
      <c r="C33" s="128" t="s">
        <v>678</v>
      </c>
      <c r="D33" s="119">
        <v>0</v>
      </c>
      <c r="E33" s="131"/>
      <c r="F33" s="117"/>
      <c r="G33" s="119">
        <f>'4'!K30</f>
        <v>0</v>
      </c>
      <c r="H33" s="119"/>
      <c r="I33" s="117"/>
      <c r="J33" s="131"/>
      <c r="K33" s="120"/>
    </row>
    <row r="34" spans="2:11" ht="7.2" customHeight="1" thickBot="1" x14ac:dyDescent="0.35">
      <c r="B34" s="74"/>
      <c r="C34" s="75"/>
      <c r="D34" s="76"/>
      <c r="E34" s="78"/>
      <c r="F34" s="76"/>
      <c r="G34" s="76"/>
      <c r="H34" s="76"/>
      <c r="I34" s="76"/>
      <c r="J34" s="78"/>
      <c r="K34" s="76"/>
    </row>
    <row r="35" spans="2:11" s="101" customFormat="1" ht="21.6" customHeight="1" x14ac:dyDescent="0.25">
      <c r="B35" s="95" t="s">
        <v>175</v>
      </c>
      <c r="C35" s="96" t="s">
        <v>6</v>
      </c>
      <c r="D35" s="97"/>
      <c r="E35" s="98">
        <f>SUM(D36:D39)</f>
        <v>0</v>
      </c>
      <c r="F35" s="102"/>
      <c r="G35" s="97"/>
      <c r="H35" s="98">
        <f>SUM(G36:G39)</f>
        <v>66140</v>
      </c>
      <c r="I35" s="97"/>
      <c r="J35" s="99" t="str">
        <f>IF(H35&gt;E35,"Increase","Decrease or No Change")</f>
        <v>Increase</v>
      </c>
      <c r="K35" s="100">
        <f>H35-E35</f>
        <v>66140</v>
      </c>
    </row>
    <row r="36" spans="2:11" s="101" customFormat="1" ht="18" customHeight="1" x14ac:dyDescent="0.25">
      <c r="B36" s="111" t="s">
        <v>176</v>
      </c>
      <c r="C36" s="127" t="s">
        <v>182</v>
      </c>
      <c r="D36" s="114">
        <v>0</v>
      </c>
      <c r="E36" s="113"/>
      <c r="F36" s="112"/>
      <c r="G36" s="114">
        <f>'5'!K19</f>
        <v>64100</v>
      </c>
      <c r="H36" s="114"/>
      <c r="I36" s="112"/>
      <c r="J36" s="113"/>
      <c r="K36" s="115"/>
    </row>
    <row r="37" spans="2:11" s="101" customFormat="1" ht="18" customHeight="1" x14ac:dyDescent="0.25">
      <c r="B37" s="111" t="s">
        <v>177</v>
      </c>
      <c r="C37" s="127" t="s">
        <v>183</v>
      </c>
      <c r="D37" s="114">
        <v>0</v>
      </c>
      <c r="E37" s="113"/>
      <c r="F37" s="112"/>
      <c r="G37" s="114">
        <f>'5'!K29</f>
        <v>0</v>
      </c>
      <c r="H37" s="114"/>
      <c r="I37" s="112"/>
      <c r="J37" s="113"/>
      <c r="K37" s="115"/>
    </row>
    <row r="38" spans="2:11" s="101" customFormat="1" ht="18" customHeight="1" x14ac:dyDescent="0.25">
      <c r="B38" s="111" t="s">
        <v>178</v>
      </c>
      <c r="C38" s="127" t="s">
        <v>184</v>
      </c>
      <c r="D38" s="114">
        <v>0</v>
      </c>
      <c r="E38" s="113"/>
      <c r="F38" s="112"/>
      <c r="G38" s="114">
        <f>'5'!K37</f>
        <v>0</v>
      </c>
      <c r="H38" s="114"/>
      <c r="I38" s="112"/>
      <c r="J38" s="113"/>
      <c r="K38" s="115"/>
    </row>
    <row r="39" spans="2:11" s="101" customFormat="1" ht="18" customHeight="1" thickBot="1" x14ac:dyDescent="0.3">
      <c r="B39" s="116" t="s">
        <v>679</v>
      </c>
      <c r="C39" s="128" t="s">
        <v>680</v>
      </c>
      <c r="D39" s="119">
        <v>0</v>
      </c>
      <c r="E39" s="118"/>
      <c r="F39" s="117"/>
      <c r="G39" s="119">
        <f>'5'!K46+'5'!K57+'5'!K66</f>
        <v>2040</v>
      </c>
      <c r="H39" s="119"/>
      <c r="I39" s="117"/>
      <c r="J39" s="118"/>
      <c r="K39" s="120"/>
    </row>
    <row r="40" spans="2:11" ht="7.2" customHeight="1" thickBot="1" x14ac:dyDescent="0.35">
      <c r="B40" s="74"/>
      <c r="C40" s="75"/>
      <c r="D40" s="76"/>
      <c r="E40" s="80"/>
      <c r="F40" s="77"/>
      <c r="G40" s="76"/>
      <c r="H40" s="76"/>
      <c r="I40" s="77"/>
      <c r="J40" s="78"/>
      <c r="K40" s="76"/>
    </row>
    <row r="41" spans="2:11" s="101" customFormat="1" ht="21.6" customHeight="1" x14ac:dyDescent="0.25">
      <c r="B41" s="95" t="s">
        <v>188</v>
      </c>
      <c r="C41" s="96" t="s">
        <v>189</v>
      </c>
      <c r="D41" s="97"/>
      <c r="E41" s="98">
        <f>SUM(D42:D45)</f>
        <v>0</v>
      </c>
      <c r="F41" s="102"/>
      <c r="G41" s="97"/>
      <c r="H41" s="98">
        <f>SUM(G42:G45)</f>
        <v>0</v>
      </c>
      <c r="I41" s="97"/>
      <c r="J41" s="99" t="str">
        <f>IF(H41&gt;E41,"Increase","Decrease or No Change")</f>
        <v>Decrease or No Change</v>
      </c>
      <c r="K41" s="100">
        <f>H41-E41</f>
        <v>0</v>
      </c>
    </row>
    <row r="42" spans="2:11" s="101" customFormat="1" ht="18" customHeight="1" x14ac:dyDescent="0.25">
      <c r="B42" s="111" t="s">
        <v>714</v>
      </c>
      <c r="C42" s="112" t="s">
        <v>871</v>
      </c>
      <c r="D42" s="114">
        <v>0</v>
      </c>
      <c r="E42" s="113"/>
      <c r="F42" s="114"/>
      <c r="G42" s="114">
        <f>'6'!K19</f>
        <v>0</v>
      </c>
      <c r="H42" s="114"/>
      <c r="I42" s="112"/>
      <c r="J42" s="125"/>
      <c r="K42" s="126"/>
    </row>
    <row r="43" spans="2:11" s="101" customFormat="1" ht="18" customHeight="1" x14ac:dyDescent="0.25">
      <c r="B43" s="111" t="s">
        <v>714</v>
      </c>
      <c r="C43" s="112" t="s">
        <v>890</v>
      </c>
      <c r="D43" s="114">
        <v>0</v>
      </c>
      <c r="E43" s="113"/>
      <c r="F43" s="114"/>
      <c r="G43" s="114">
        <f>'6'!K36</f>
        <v>0</v>
      </c>
      <c r="H43" s="114"/>
      <c r="I43" s="112"/>
      <c r="J43" s="125"/>
      <c r="K43" s="126"/>
    </row>
    <row r="44" spans="2:11" s="101" customFormat="1" ht="18" customHeight="1" x14ac:dyDescent="0.25">
      <c r="B44" s="111" t="s">
        <v>191</v>
      </c>
      <c r="C44" s="112" t="s">
        <v>48</v>
      </c>
      <c r="D44" s="114">
        <v>0</v>
      </c>
      <c r="E44" s="113"/>
      <c r="F44" s="112"/>
      <c r="G44" s="114">
        <f>'6'!K47</f>
        <v>0</v>
      </c>
      <c r="H44" s="114"/>
      <c r="I44" s="112"/>
      <c r="J44" s="113"/>
      <c r="K44" s="115"/>
    </row>
    <row r="45" spans="2:11" s="101" customFormat="1" ht="18" customHeight="1" thickBot="1" x14ac:dyDescent="0.3">
      <c r="B45" s="116" t="s">
        <v>681</v>
      </c>
      <c r="C45" s="117" t="s">
        <v>682</v>
      </c>
      <c r="D45" s="119">
        <v>0</v>
      </c>
      <c r="E45" s="118"/>
      <c r="F45" s="117"/>
      <c r="G45" s="119">
        <f>'6'!K55+'6'!K64+'6'!K75+'6'!K84+'6'!K91</f>
        <v>0</v>
      </c>
      <c r="H45" s="119"/>
      <c r="I45" s="117"/>
      <c r="J45" s="118"/>
      <c r="K45" s="120"/>
    </row>
    <row r="46" spans="2:11" ht="7.2" customHeight="1" thickBot="1" x14ac:dyDescent="0.35">
      <c r="B46" s="74"/>
      <c r="C46" s="75"/>
      <c r="D46" s="76"/>
      <c r="E46" s="80"/>
      <c r="F46" s="77"/>
      <c r="G46" s="76"/>
      <c r="H46" s="76"/>
      <c r="I46" s="77"/>
      <c r="J46" s="78"/>
      <c r="K46" s="76"/>
    </row>
    <row r="47" spans="2:11" s="101" customFormat="1" ht="21.6" customHeight="1" x14ac:dyDescent="0.25">
      <c r="B47" s="95" t="s">
        <v>202</v>
      </c>
      <c r="C47" s="96" t="s">
        <v>57</v>
      </c>
      <c r="D47" s="97"/>
      <c r="E47" s="98">
        <f>SUM(D48:D57)</f>
        <v>0</v>
      </c>
      <c r="F47" s="102"/>
      <c r="G47" s="97"/>
      <c r="H47" s="98">
        <f>SUM(G48:G57)</f>
        <v>124516</v>
      </c>
      <c r="I47" s="97"/>
      <c r="J47" s="99" t="str">
        <f>IF(H47&gt;E47,"Increase","Decrease or No Change")</f>
        <v>Increase</v>
      </c>
      <c r="K47" s="100">
        <f>H47-E47</f>
        <v>124516</v>
      </c>
    </row>
    <row r="48" spans="2:11" s="101" customFormat="1" ht="18" customHeight="1" x14ac:dyDescent="0.25">
      <c r="B48" s="111" t="s">
        <v>203</v>
      </c>
      <c r="C48" s="112" t="s">
        <v>204</v>
      </c>
      <c r="D48" s="114">
        <v>0</v>
      </c>
      <c r="E48" s="113"/>
      <c r="F48" s="112"/>
      <c r="G48" s="114">
        <f>'7'!K16</f>
        <v>0</v>
      </c>
      <c r="H48" s="114"/>
      <c r="I48" s="112"/>
      <c r="J48" s="113"/>
      <c r="K48" s="115"/>
    </row>
    <row r="49" spans="2:11" s="101" customFormat="1" ht="18" customHeight="1" x14ac:dyDescent="0.25">
      <c r="B49" s="111" t="s">
        <v>211</v>
      </c>
      <c r="C49" s="112" t="s">
        <v>212</v>
      </c>
      <c r="D49" s="114">
        <v>0</v>
      </c>
      <c r="E49" s="113"/>
      <c r="F49" s="112"/>
      <c r="G49" s="114">
        <f>'7'!K22</f>
        <v>0</v>
      </c>
      <c r="H49" s="114"/>
      <c r="I49" s="112"/>
      <c r="J49" s="113"/>
      <c r="K49" s="115"/>
    </row>
    <row r="50" spans="2:11" s="101" customFormat="1" ht="18" customHeight="1" x14ac:dyDescent="0.25">
      <c r="B50" s="111" t="s">
        <v>213</v>
      </c>
      <c r="C50" s="112" t="s">
        <v>214</v>
      </c>
      <c r="D50" s="114">
        <v>0</v>
      </c>
      <c r="E50" s="113"/>
      <c r="F50" s="112"/>
      <c r="G50" s="114">
        <f>'7'!K27</f>
        <v>0</v>
      </c>
      <c r="H50" s="114"/>
      <c r="I50" s="112"/>
      <c r="J50" s="113"/>
      <c r="K50" s="115"/>
    </row>
    <row r="51" spans="2:11" s="101" customFormat="1" ht="18" customHeight="1" x14ac:dyDescent="0.25">
      <c r="B51" s="111" t="s">
        <v>215</v>
      </c>
      <c r="C51" s="112" t="s">
        <v>216</v>
      </c>
      <c r="D51" s="114">
        <v>0</v>
      </c>
      <c r="E51" s="113"/>
      <c r="F51" s="112"/>
      <c r="G51" s="114">
        <f>'7'!K33</f>
        <v>0</v>
      </c>
      <c r="H51" s="114"/>
      <c r="I51" s="112"/>
      <c r="J51" s="113"/>
      <c r="K51" s="115"/>
    </row>
    <row r="52" spans="2:11" s="101" customFormat="1" ht="18" customHeight="1" x14ac:dyDescent="0.25">
      <c r="B52" s="111" t="s">
        <v>217</v>
      </c>
      <c r="C52" s="112" t="s">
        <v>58</v>
      </c>
      <c r="D52" s="114">
        <v>0</v>
      </c>
      <c r="E52" s="113"/>
      <c r="F52" s="112"/>
      <c r="G52" s="114">
        <f>'7'!K45</f>
        <v>77450</v>
      </c>
      <c r="H52" s="114"/>
      <c r="I52" s="112"/>
      <c r="J52" s="113"/>
      <c r="K52" s="115"/>
    </row>
    <row r="53" spans="2:11" s="101" customFormat="1" ht="18" customHeight="1" x14ac:dyDescent="0.25">
      <c r="B53" s="111" t="s">
        <v>683</v>
      </c>
      <c r="C53" s="112" t="s">
        <v>59</v>
      </c>
      <c r="D53" s="114">
        <v>0</v>
      </c>
      <c r="E53" s="113"/>
      <c r="F53" s="112"/>
      <c r="G53" s="114">
        <f>'7'!K53+'7'!K58</f>
        <v>42586</v>
      </c>
      <c r="H53" s="114"/>
      <c r="I53" s="112"/>
      <c r="J53" s="113"/>
      <c r="K53" s="115"/>
    </row>
    <row r="54" spans="2:11" s="101" customFormat="1" ht="18" customHeight="1" x14ac:dyDescent="0.25">
      <c r="B54" s="111" t="s">
        <v>685</v>
      </c>
      <c r="C54" s="112" t="s">
        <v>684</v>
      </c>
      <c r="D54" s="114">
        <v>0</v>
      </c>
      <c r="E54" s="113"/>
      <c r="F54" s="112"/>
      <c r="G54" s="114">
        <f>'7'!K63+'7'!K68+'7'!K74</f>
        <v>0</v>
      </c>
      <c r="H54" s="114"/>
      <c r="I54" s="112"/>
      <c r="J54" s="113"/>
      <c r="K54" s="115"/>
    </row>
    <row r="55" spans="2:11" s="101" customFormat="1" ht="18" customHeight="1" x14ac:dyDescent="0.25">
      <c r="B55" s="111" t="s">
        <v>228</v>
      </c>
      <c r="C55" s="112" t="s">
        <v>229</v>
      </c>
      <c r="D55" s="114">
        <v>0</v>
      </c>
      <c r="E55" s="113"/>
      <c r="F55" s="112"/>
      <c r="G55" s="114">
        <f>'7'!K80</f>
        <v>0</v>
      </c>
      <c r="H55" s="114"/>
      <c r="I55" s="112"/>
      <c r="J55" s="113"/>
      <c r="K55" s="115"/>
    </row>
    <row r="56" spans="2:11" s="101" customFormat="1" ht="18" customHeight="1" x14ac:dyDescent="0.25">
      <c r="B56" s="111" t="s">
        <v>686</v>
      </c>
      <c r="C56" s="112" t="s">
        <v>687</v>
      </c>
      <c r="D56" s="114">
        <v>0</v>
      </c>
      <c r="E56" s="113"/>
      <c r="F56" s="112"/>
      <c r="G56" s="114">
        <f>'7'!K86</f>
        <v>4480</v>
      </c>
      <c r="H56" s="114"/>
      <c r="I56" s="112"/>
      <c r="J56" s="113"/>
      <c r="K56" s="115"/>
    </row>
    <row r="57" spans="2:11" s="101" customFormat="1" ht="18" customHeight="1" thickBot="1" x14ac:dyDescent="0.3">
      <c r="B57" s="116" t="s">
        <v>237</v>
      </c>
      <c r="C57" s="117" t="s">
        <v>238</v>
      </c>
      <c r="D57" s="119">
        <v>0</v>
      </c>
      <c r="E57" s="118"/>
      <c r="F57" s="117"/>
      <c r="G57" s="119">
        <f>'7'!K92</f>
        <v>0</v>
      </c>
      <c r="H57" s="119"/>
      <c r="I57" s="117"/>
      <c r="J57" s="118"/>
      <c r="K57" s="120"/>
    </row>
    <row r="58" spans="2:11" ht="7.2" customHeight="1" thickBot="1" x14ac:dyDescent="0.35">
      <c r="B58" s="74"/>
      <c r="C58" s="75"/>
      <c r="D58" s="76"/>
      <c r="E58" s="80"/>
      <c r="F58" s="77"/>
      <c r="G58" s="76"/>
      <c r="H58" s="76"/>
      <c r="I58" s="77"/>
      <c r="J58" s="78"/>
      <c r="K58" s="76"/>
    </row>
    <row r="59" spans="2:11" s="101" customFormat="1" ht="21.6" customHeight="1" x14ac:dyDescent="0.25">
      <c r="B59" s="95" t="s">
        <v>239</v>
      </c>
      <c r="C59" s="96" t="s">
        <v>240</v>
      </c>
      <c r="D59" s="97"/>
      <c r="E59" s="98">
        <f>SUM(D60:D66)</f>
        <v>0</v>
      </c>
      <c r="F59" s="102"/>
      <c r="G59" s="97"/>
      <c r="H59" s="98">
        <f>SUM(G60:G66)</f>
        <v>72030</v>
      </c>
      <c r="I59" s="97"/>
      <c r="J59" s="99" t="str">
        <f>IF(H59&gt;E59,"Increase","Decrease or No Change")</f>
        <v>Increase</v>
      </c>
      <c r="K59" s="100">
        <f>H59-E59</f>
        <v>72030</v>
      </c>
    </row>
    <row r="60" spans="2:11" s="101" customFormat="1" ht="18" customHeight="1" x14ac:dyDescent="0.25">
      <c r="B60" s="111" t="s">
        <v>688</v>
      </c>
      <c r="C60" s="112" t="s">
        <v>689</v>
      </c>
      <c r="D60" s="114">
        <v>0</v>
      </c>
      <c r="E60" s="113"/>
      <c r="F60" s="112"/>
      <c r="G60" s="114">
        <f>'8'!K18+'8'!K24</f>
        <v>72030</v>
      </c>
      <c r="H60" s="114"/>
      <c r="I60" s="112"/>
      <c r="J60" s="113"/>
      <c r="K60" s="115"/>
    </row>
    <row r="61" spans="2:11" s="101" customFormat="1" ht="18" customHeight="1" x14ac:dyDescent="0.25">
      <c r="B61" s="111" t="s">
        <v>690</v>
      </c>
      <c r="C61" s="112" t="s">
        <v>691</v>
      </c>
      <c r="D61" s="114">
        <v>0</v>
      </c>
      <c r="E61" s="113"/>
      <c r="F61" s="112"/>
      <c r="G61" s="114">
        <f>'8'!K29+'8'!K35+'8'!K41+'8'!K47+'8'!K52</f>
        <v>0</v>
      </c>
      <c r="H61" s="114"/>
      <c r="I61" s="112"/>
      <c r="J61" s="113"/>
      <c r="K61" s="115"/>
    </row>
    <row r="62" spans="2:11" s="101" customFormat="1" ht="18" customHeight="1" x14ac:dyDescent="0.25">
      <c r="B62" s="111" t="s">
        <v>692</v>
      </c>
      <c r="C62" s="112" t="s">
        <v>693</v>
      </c>
      <c r="D62" s="114">
        <v>0</v>
      </c>
      <c r="E62" s="113"/>
      <c r="F62" s="112"/>
      <c r="G62" s="114">
        <f>'8'!K59+'8'!K66</f>
        <v>0</v>
      </c>
      <c r="H62" s="114"/>
      <c r="I62" s="112"/>
      <c r="J62" s="113"/>
      <c r="K62" s="115"/>
    </row>
    <row r="63" spans="2:11" s="101" customFormat="1" ht="18" customHeight="1" x14ac:dyDescent="0.25">
      <c r="B63" s="111" t="s">
        <v>259</v>
      </c>
      <c r="C63" s="112" t="s">
        <v>95</v>
      </c>
      <c r="D63" s="114">
        <v>0</v>
      </c>
      <c r="E63" s="113"/>
      <c r="F63" s="112"/>
      <c r="G63" s="114">
        <f>'8'!K73</f>
        <v>0</v>
      </c>
      <c r="H63" s="114"/>
      <c r="I63" s="112"/>
      <c r="J63" s="113"/>
      <c r="K63" s="115"/>
    </row>
    <row r="64" spans="2:11" s="101" customFormat="1" ht="18" customHeight="1" x14ac:dyDescent="0.25">
      <c r="B64" s="111" t="s">
        <v>263</v>
      </c>
      <c r="C64" s="112" t="s">
        <v>696</v>
      </c>
      <c r="D64" s="114">
        <v>0</v>
      </c>
      <c r="E64" s="113"/>
      <c r="F64" s="112"/>
      <c r="G64" s="114">
        <f>'8'!K79</f>
        <v>0</v>
      </c>
      <c r="H64" s="114"/>
      <c r="I64" s="112"/>
      <c r="J64" s="113"/>
      <c r="K64" s="115"/>
    </row>
    <row r="65" spans="2:11" s="101" customFormat="1" ht="18" customHeight="1" x14ac:dyDescent="0.25">
      <c r="B65" s="111" t="s">
        <v>694</v>
      </c>
      <c r="C65" s="112" t="s">
        <v>63</v>
      </c>
      <c r="D65" s="114">
        <v>0</v>
      </c>
      <c r="E65" s="113"/>
      <c r="F65" s="112"/>
      <c r="G65" s="114">
        <f>'8'!K85+'8'!K91+'8'!K97</f>
        <v>0</v>
      </c>
      <c r="H65" s="114"/>
      <c r="I65" s="112"/>
      <c r="J65" s="113"/>
      <c r="K65" s="115"/>
    </row>
    <row r="66" spans="2:11" s="101" customFormat="1" ht="18" customHeight="1" thickBot="1" x14ac:dyDescent="0.3">
      <c r="B66" s="116" t="s">
        <v>695</v>
      </c>
      <c r="C66" s="117" t="s">
        <v>271</v>
      </c>
      <c r="D66" s="119">
        <v>0</v>
      </c>
      <c r="E66" s="118"/>
      <c r="F66" s="117"/>
      <c r="G66" s="119">
        <f>'8'!K103</f>
        <v>0</v>
      </c>
      <c r="H66" s="119"/>
      <c r="I66" s="117"/>
      <c r="J66" s="118"/>
      <c r="K66" s="120"/>
    </row>
    <row r="67" spans="2:11" ht="7.2" customHeight="1" thickBot="1" x14ac:dyDescent="0.35">
      <c r="B67" s="74"/>
      <c r="C67" s="75"/>
      <c r="D67" s="76"/>
      <c r="E67" s="80"/>
      <c r="F67" s="77"/>
      <c r="G67" s="76"/>
      <c r="H67" s="76"/>
      <c r="I67" s="77"/>
      <c r="J67" s="78"/>
      <c r="K67" s="76"/>
    </row>
    <row r="68" spans="2:11" s="101" customFormat="1" ht="21.6" customHeight="1" x14ac:dyDescent="0.25">
      <c r="B68" s="95" t="s">
        <v>272</v>
      </c>
      <c r="C68" s="96" t="s">
        <v>8</v>
      </c>
      <c r="D68" s="97"/>
      <c r="E68" s="98">
        <f>SUM(D69:D74)</f>
        <v>0</v>
      </c>
      <c r="F68" s="102"/>
      <c r="G68" s="97"/>
      <c r="H68" s="98">
        <f>SUM(G69:G74)</f>
        <v>61249.590000000004</v>
      </c>
      <c r="I68" s="97"/>
      <c r="J68" s="99" t="str">
        <f>IF(H68&gt;E68,"Increase","Decrease or No Change")</f>
        <v>Increase</v>
      </c>
      <c r="K68" s="100">
        <f>H68-E68</f>
        <v>61249.590000000004</v>
      </c>
    </row>
    <row r="69" spans="2:11" s="101" customFormat="1" ht="18" customHeight="1" x14ac:dyDescent="0.25">
      <c r="B69" s="111" t="s">
        <v>273</v>
      </c>
      <c r="C69" s="112" t="s">
        <v>274</v>
      </c>
      <c r="D69" s="114">
        <v>0</v>
      </c>
      <c r="E69" s="113"/>
      <c r="F69" s="112"/>
      <c r="G69" s="114">
        <f>'9'!K25</f>
        <v>36493.72</v>
      </c>
      <c r="H69" s="114"/>
      <c r="I69" s="112"/>
      <c r="J69" s="113"/>
      <c r="K69" s="115"/>
    </row>
    <row r="70" spans="2:11" s="101" customFormat="1" ht="18" customHeight="1" x14ac:dyDescent="0.25">
      <c r="B70" s="111" t="s">
        <v>275</v>
      </c>
      <c r="C70" s="112" t="s">
        <v>276</v>
      </c>
      <c r="D70" s="114">
        <v>0</v>
      </c>
      <c r="E70" s="113"/>
      <c r="F70" s="112"/>
      <c r="G70" s="114">
        <f>'9'!K33</f>
        <v>0</v>
      </c>
      <c r="H70" s="114"/>
      <c r="I70" s="112"/>
      <c r="J70" s="113"/>
      <c r="K70" s="115"/>
    </row>
    <row r="71" spans="2:11" s="101" customFormat="1" ht="18" customHeight="1" x14ac:dyDescent="0.25">
      <c r="B71" s="111" t="s">
        <v>277</v>
      </c>
      <c r="C71" s="112" t="s">
        <v>278</v>
      </c>
      <c r="D71" s="114">
        <v>0</v>
      </c>
      <c r="E71" s="113"/>
      <c r="F71" s="112"/>
      <c r="G71" s="114">
        <f>'9'!K39</f>
        <v>0</v>
      </c>
      <c r="H71" s="114"/>
      <c r="I71" s="112"/>
      <c r="J71" s="113"/>
      <c r="K71" s="115"/>
    </row>
    <row r="72" spans="2:11" s="101" customFormat="1" ht="18" customHeight="1" x14ac:dyDescent="0.25">
      <c r="B72" s="111" t="s">
        <v>279</v>
      </c>
      <c r="C72" s="112" t="s">
        <v>80</v>
      </c>
      <c r="D72" s="114">
        <v>0</v>
      </c>
      <c r="E72" s="113"/>
      <c r="F72" s="112"/>
      <c r="G72" s="114">
        <f>'9'!K52</f>
        <v>19250</v>
      </c>
      <c r="H72" s="114"/>
      <c r="I72" s="112"/>
      <c r="J72" s="113"/>
      <c r="K72" s="115"/>
    </row>
    <row r="73" spans="2:11" s="101" customFormat="1" ht="18" customHeight="1" x14ac:dyDescent="0.25">
      <c r="B73" s="111" t="s">
        <v>697</v>
      </c>
      <c r="C73" s="112" t="s">
        <v>698</v>
      </c>
      <c r="D73" s="114">
        <v>0</v>
      </c>
      <c r="E73" s="113"/>
      <c r="F73" s="112"/>
      <c r="G73" s="114">
        <f>'9'!K58</f>
        <v>0</v>
      </c>
      <c r="H73" s="114"/>
      <c r="I73" s="112"/>
      <c r="J73" s="113"/>
      <c r="K73" s="115"/>
    </row>
    <row r="74" spans="2:11" s="101" customFormat="1" ht="18" customHeight="1" thickBot="1" x14ac:dyDescent="0.3">
      <c r="B74" s="116" t="s">
        <v>699</v>
      </c>
      <c r="C74" s="117" t="s">
        <v>81</v>
      </c>
      <c r="D74" s="119">
        <v>0</v>
      </c>
      <c r="E74" s="118"/>
      <c r="F74" s="117"/>
      <c r="G74" s="119">
        <f>'9'!K67</f>
        <v>5505.87</v>
      </c>
      <c r="H74" s="119"/>
      <c r="I74" s="117"/>
      <c r="J74" s="118"/>
      <c r="K74" s="120"/>
    </row>
    <row r="75" spans="2:11" ht="7.2" customHeight="1" thickBot="1" x14ac:dyDescent="0.35">
      <c r="B75" s="82"/>
      <c r="C75" s="83"/>
      <c r="D75" s="76"/>
      <c r="E75" s="80"/>
      <c r="F75" s="77"/>
      <c r="G75" s="76"/>
      <c r="H75" s="76"/>
      <c r="I75" s="77"/>
      <c r="J75" s="78"/>
      <c r="K75" s="76"/>
    </row>
    <row r="76" spans="2:11" s="101" customFormat="1" ht="21.6" customHeight="1" x14ac:dyDescent="0.25">
      <c r="B76" s="95" t="s">
        <v>291</v>
      </c>
      <c r="C76" s="96" t="s">
        <v>9</v>
      </c>
      <c r="D76" s="97"/>
      <c r="E76" s="98">
        <f>SUM(D77:D82)</f>
        <v>0</v>
      </c>
      <c r="F76" s="97"/>
      <c r="G76" s="97"/>
      <c r="H76" s="98">
        <f>SUM(G77:G82)</f>
        <v>0</v>
      </c>
      <c r="I76" s="97"/>
      <c r="J76" s="99" t="str">
        <f>IF(H76&gt;E76,"Increase","Decrease or No Change")</f>
        <v>Decrease or No Change</v>
      </c>
      <c r="K76" s="100">
        <f>H76-E76</f>
        <v>0</v>
      </c>
    </row>
    <row r="77" spans="2:11" s="101" customFormat="1" ht="18" customHeight="1" x14ac:dyDescent="0.25">
      <c r="B77" s="111" t="s">
        <v>292</v>
      </c>
      <c r="C77" s="112" t="s">
        <v>293</v>
      </c>
      <c r="D77" s="114">
        <v>0</v>
      </c>
      <c r="E77" s="113"/>
      <c r="F77" s="112"/>
      <c r="G77" s="114">
        <f>'10'!K17</f>
        <v>0</v>
      </c>
      <c r="H77" s="114"/>
      <c r="I77" s="112"/>
      <c r="J77" s="113"/>
      <c r="K77" s="115"/>
    </row>
    <row r="78" spans="2:11" s="101" customFormat="1" ht="18" customHeight="1" x14ac:dyDescent="0.25">
      <c r="B78" s="111" t="s">
        <v>294</v>
      </c>
      <c r="C78" s="112" t="s">
        <v>295</v>
      </c>
      <c r="D78" s="114">
        <v>0</v>
      </c>
      <c r="E78" s="113"/>
      <c r="F78" s="112"/>
      <c r="G78" s="114">
        <f>'10'!K25</f>
        <v>0</v>
      </c>
      <c r="H78" s="114"/>
      <c r="I78" s="112"/>
      <c r="J78" s="113"/>
      <c r="K78" s="115"/>
    </row>
    <row r="79" spans="2:11" s="101" customFormat="1" ht="18" customHeight="1" x14ac:dyDescent="0.25">
      <c r="B79" s="111" t="s">
        <v>296</v>
      </c>
      <c r="C79" s="112" t="s">
        <v>297</v>
      </c>
      <c r="D79" s="114">
        <v>0</v>
      </c>
      <c r="E79" s="113"/>
      <c r="F79" s="112"/>
      <c r="G79" s="114">
        <f>'10'!K38</f>
        <v>0</v>
      </c>
      <c r="H79" s="114"/>
      <c r="I79" s="112"/>
      <c r="J79" s="113"/>
      <c r="K79" s="115"/>
    </row>
    <row r="80" spans="2:11" s="101" customFormat="1" ht="18" customHeight="1" x14ac:dyDescent="0.25">
      <c r="B80" s="111" t="s">
        <v>701</v>
      </c>
      <c r="C80" s="112" t="s">
        <v>700</v>
      </c>
      <c r="D80" s="114">
        <v>0</v>
      </c>
      <c r="E80" s="113"/>
      <c r="F80" s="112"/>
      <c r="G80" s="114">
        <f>'10'!K44</f>
        <v>0</v>
      </c>
      <c r="H80" s="114"/>
      <c r="I80" s="112"/>
      <c r="J80" s="113"/>
      <c r="K80" s="115"/>
    </row>
    <row r="81" spans="2:11" s="101" customFormat="1" ht="18" customHeight="1" x14ac:dyDescent="0.25">
      <c r="B81" s="111" t="s">
        <v>702</v>
      </c>
      <c r="C81" s="112" t="s">
        <v>703</v>
      </c>
      <c r="D81" s="114">
        <v>0</v>
      </c>
      <c r="E81" s="113"/>
      <c r="F81" s="112"/>
      <c r="G81" s="114">
        <f>'10'!K51</f>
        <v>0</v>
      </c>
      <c r="H81" s="114"/>
      <c r="I81" s="112"/>
      <c r="J81" s="113"/>
      <c r="K81" s="115"/>
    </row>
    <row r="82" spans="2:11" s="101" customFormat="1" ht="18" customHeight="1" thickBot="1" x14ac:dyDescent="0.3">
      <c r="B82" s="116" t="s">
        <v>317</v>
      </c>
      <c r="C82" s="117" t="s">
        <v>318</v>
      </c>
      <c r="D82" s="119">
        <v>0</v>
      </c>
      <c r="E82" s="118"/>
      <c r="F82" s="117"/>
      <c r="G82" s="119">
        <f>'10'!K63</f>
        <v>0</v>
      </c>
      <c r="H82" s="119"/>
      <c r="I82" s="117"/>
      <c r="J82" s="118"/>
      <c r="K82" s="120"/>
    </row>
    <row r="83" spans="2:11" ht="7.2" customHeight="1" thickBot="1" x14ac:dyDescent="0.35">
      <c r="B83" s="82"/>
      <c r="C83" s="83"/>
      <c r="D83" s="80"/>
      <c r="E83" s="80"/>
      <c r="F83" s="77"/>
      <c r="G83" s="76"/>
      <c r="H83" s="76"/>
      <c r="I83" s="77"/>
      <c r="J83" s="78"/>
      <c r="K83" s="76"/>
    </row>
    <row r="84" spans="2:11" ht="15" customHeight="1" x14ac:dyDescent="0.3">
      <c r="B84" s="84"/>
      <c r="C84" s="79"/>
      <c r="D84" s="79"/>
      <c r="E84" s="79"/>
      <c r="F84" s="69"/>
      <c r="G84" s="69"/>
      <c r="H84" s="69"/>
      <c r="I84" s="69"/>
      <c r="J84" s="68"/>
      <c r="K84" s="69"/>
    </row>
    <row r="85" spans="2:11" ht="15" customHeight="1" thickBot="1" x14ac:dyDescent="0.35">
      <c r="B85" s="84"/>
      <c r="C85" s="79"/>
      <c r="D85" s="79"/>
      <c r="E85" s="79"/>
      <c r="F85" s="69"/>
      <c r="G85" s="69"/>
      <c r="H85" s="69"/>
      <c r="I85" s="69"/>
      <c r="J85" s="68"/>
      <c r="K85" s="69"/>
    </row>
    <row r="86" spans="2:11" s="101" customFormat="1" ht="21.6" customHeight="1" x14ac:dyDescent="0.25">
      <c r="B86" s="95" t="s">
        <v>325</v>
      </c>
      <c r="C86" s="96" t="s">
        <v>71</v>
      </c>
      <c r="D86" s="98"/>
      <c r="E86" s="98">
        <f>SUM(D87:D90)</f>
        <v>0</v>
      </c>
      <c r="F86" s="97"/>
      <c r="G86" s="102"/>
      <c r="H86" s="102">
        <f>SUM(G87:G90)</f>
        <v>0</v>
      </c>
      <c r="I86" s="97"/>
      <c r="J86" s="98"/>
      <c r="K86" s="103"/>
    </row>
    <row r="87" spans="2:11" s="101" customFormat="1" ht="18" customHeight="1" x14ac:dyDescent="0.25">
      <c r="B87" s="111" t="s">
        <v>705</v>
      </c>
      <c r="C87" s="112" t="s">
        <v>704</v>
      </c>
      <c r="D87" s="121">
        <v>0</v>
      </c>
      <c r="E87" s="121"/>
      <c r="F87" s="122"/>
      <c r="G87" s="123">
        <f>'11'!K24+'11'!K35</f>
        <v>0</v>
      </c>
      <c r="H87" s="123"/>
      <c r="I87" s="122"/>
      <c r="J87" s="121"/>
      <c r="K87" s="124"/>
    </row>
    <row r="88" spans="2:11" s="101" customFormat="1" ht="18" customHeight="1" x14ac:dyDescent="0.25">
      <c r="B88" s="111" t="s">
        <v>330</v>
      </c>
      <c r="C88" s="112" t="s">
        <v>331</v>
      </c>
      <c r="D88" s="113">
        <v>0</v>
      </c>
      <c r="E88" s="113"/>
      <c r="F88" s="114"/>
      <c r="G88" s="114">
        <f>'11'!K43</f>
        <v>0</v>
      </c>
      <c r="H88" s="113"/>
      <c r="I88" s="112"/>
      <c r="J88" s="125" t="str">
        <f>IF(H88&gt;E88,"Increase","Decrease or No Change")</f>
        <v>Decrease or No Change</v>
      </c>
      <c r="K88" s="126">
        <f>H88-E88</f>
        <v>0</v>
      </c>
    </row>
    <row r="89" spans="2:11" s="101" customFormat="1" ht="18" customHeight="1" x14ac:dyDescent="0.25">
      <c r="B89" s="111" t="s">
        <v>706</v>
      </c>
      <c r="C89" s="112" t="s">
        <v>72</v>
      </c>
      <c r="D89" s="113">
        <v>0</v>
      </c>
      <c r="E89" s="113"/>
      <c r="F89" s="112"/>
      <c r="G89" s="114">
        <f>'11'!K52+'11'!K63</f>
        <v>0</v>
      </c>
      <c r="H89" s="114"/>
      <c r="I89" s="112"/>
      <c r="J89" s="113"/>
      <c r="K89" s="115"/>
    </row>
    <row r="90" spans="2:11" s="101" customFormat="1" ht="18" customHeight="1" thickBot="1" x14ac:dyDescent="0.3">
      <c r="B90" s="116" t="s">
        <v>707</v>
      </c>
      <c r="C90" s="117" t="s">
        <v>708</v>
      </c>
      <c r="D90" s="118">
        <v>0</v>
      </c>
      <c r="E90" s="118"/>
      <c r="F90" s="117"/>
      <c r="G90" s="119">
        <f>'11'!K72+'11'!K79</f>
        <v>0</v>
      </c>
      <c r="H90" s="119"/>
      <c r="I90" s="117"/>
      <c r="J90" s="118"/>
      <c r="K90" s="120"/>
    </row>
    <row r="91" spans="2:11" ht="7.2" customHeight="1" thickBot="1" x14ac:dyDescent="0.35">
      <c r="B91" s="86"/>
      <c r="C91" s="87"/>
      <c r="D91" s="80"/>
      <c r="E91" s="80"/>
      <c r="F91" s="77"/>
      <c r="G91" s="85"/>
      <c r="H91" s="85"/>
      <c r="I91" s="77"/>
      <c r="J91" s="78"/>
      <c r="K91" s="76"/>
    </row>
    <row r="92" spans="2:11" s="101" customFormat="1" ht="21.6" customHeight="1" x14ac:dyDescent="0.25">
      <c r="B92" s="95" t="s">
        <v>346</v>
      </c>
      <c r="C92" s="96" t="s">
        <v>76</v>
      </c>
      <c r="D92" s="98"/>
      <c r="E92" s="98">
        <f>SUM(D93:D94)</f>
        <v>0</v>
      </c>
      <c r="F92" s="97"/>
      <c r="G92" s="102"/>
      <c r="H92" s="98">
        <f>SUM(G93:G94)</f>
        <v>0</v>
      </c>
      <c r="I92" s="97"/>
      <c r="J92" s="99" t="str">
        <f>IF(H92&gt;E92,"Increase","Decrease or No Change")</f>
        <v>Decrease or No Change</v>
      </c>
      <c r="K92" s="100">
        <f>H92-E92</f>
        <v>0</v>
      </c>
    </row>
    <row r="93" spans="2:11" s="101" customFormat="1" ht="18" customHeight="1" x14ac:dyDescent="0.25">
      <c r="B93" s="111" t="s">
        <v>347</v>
      </c>
      <c r="C93" s="112" t="s">
        <v>348</v>
      </c>
      <c r="D93" s="113">
        <v>0</v>
      </c>
      <c r="E93" s="113"/>
      <c r="F93" s="112"/>
      <c r="G93" s="114">
        <f>'12'!K24+'12'!K35</f>
        <v>0</v>
      </c>
      <c r="H93" s="114"/>
      <c r="I93" s="112"/>
      <c r="J93" s="113"/>
      <c r="K93" s="115"/>
    </row>
    <row r="94" spans="2:11" s="101" customFormat="1" ht="18" customHeight="1" thickBot="1" x14ac:dyDescent="0.3">
      <c r="B94" s="116" t="s">
        <v>351</v>
      </c>
      <c r="C94" s="117" t="s">
        <v>352</v>
      </c>
      <c r="D94" s="118">
        <v>0</v>
      </c>
      <c r="E94" s="118"/>
      <c r="F94" s="117"/>
      <c r="G94" s="119">
        <f>'12'!K43+'12'!K52+'12'!K63+'12'!K72</f>
        <v>0</v>
      </c>
      <c r="H94" s="119"/>
      <c r="I94" s="117"/>
      <c r="J94" s="118"/>
      <c r="K94" s="120"/>
    </row>
    <row r="95" spans="2:11" ht="7.2" customHeight="1" thickBot="1" x14ac:dyDescent="0.35">
      <c r="B95" s="74"/>
      <c r="C95" s="75"/>
      <c r="D95" s="78"/>
      <c r="E95" s="78"/>
      <c r="F95" s="76"/>
      <c r="G95" s="85"/>
      <c r="H95" s="85"/>
      <c r="I95" s="76"/>
      <c r="J95" s="78"/>
      <c r="K95" s="76"/>
    </row>
    <row r="96" spans="2:11" s="101" customFormat="1" ht="21.6" customHeight="1" thickBot="1" x14ac:dyDescent="0.3">
      <c r="B96" s="104" t="s">
        <v>359</v>
      </c>
      <c r="C96" s="105" t="s">
        <v>77</v>
      </c>
      <c r="D96" s="106"/>
      <c r="E96" s="106">
        <f>'Estimate Summary'!E39</f>
        <v>0</v>
      </c>
      <c r="F96" s="107"/>
      <c r="G96" s="107"/>
      <c r="H96" s="106">
        <f>'Estimate Summary'!H39</f>
        <v>0</v>
      </c>
      <c r="I96" s="108"/>
      <c r="J96" s="109" t="str">
        <f>IF(H96&gt;E96,"Increase","Decrease or No Change")</f>
        <v>Decrease or No Change</v>
      </c>
      <c r="K96" s="110">
        <f>H96-E96</f>
        <v>0</v>
      </c>
    </row>
    <row r="97" spans="2:11" ht="7.2" customHeight="1" thickBot="1" x14ac:dyDescent="0.35">
      <c r="B97" s="74"/>
      <c r="C97" s="75"/>
      <c r="D97" s="80"/>
      <c r="E97" s="80"/>
      <c r="F97" s="77"/>
      <c r="G97" s="85"/>
      <c r="H97" s="85"/>
      <c r="I97" s="77"/>
      <c r="J97" s="78"/>
      <c r="K97" s="76"/>
    </row>
    <row r="98" spans="2:11" s="101" customFormat="1" ht="21.6" customHeight="1" x14ac:dyDescent="0.25">
      <c r="B98" s="95" t="s">
        <v>360</v>
      </c>
      <c r="C98" s="96" t="s">
        <v>361</v>
      </c>
      <c r="D98" s="98"/>
      <c r="E98" s="98">
        <f>SUM(D99:D100)</f>
        <v>0</v>
      </c>
      <c r="F98" s="97"/>
      <c r="G98" s="102"/>
      <c r="H98" s="98">
        <f>SUM(G99:G100)</f>
        <v>132800</v>
      </c>
      <c r="I98" s="97"/>
      <c r="J98" s="99" t="str">
        <f>IF(H98&gt;E98,"Increase","Decrease or No Change")</f>
        <v>Increase</v>
      </c>
      <c r="K98" s="100">
        <f>H98-E98</f>
        <v>132800</v>
      </c>
    </row>
    <row r="99" spans="2:11" s="101" customFormat="1" ht="18" customHeight="1" x14ac:dyDescent="0.25">
      <c r="B99" s="111" t="s">
        <v>362</v>
      </c>
      <c r="C99" s="112" t="s">
        <v>69</v>
      </c>
      <c r="D99" s="113">
        <v>0</v>
      </c>
      <c r="E99" s="113"/>
      <c r="F99" s="112"/>
      <c r="G99" s="114">
        <f>'14'!K23</f>
        <v>132800</v>
      </c>
      <c r="H99" s="114"/>
      <c r="I99" s="112"/>
      <c r="J99" s="113"/>
      <c r="K99" s="115"/>
    </row>
    <row r="100" spans="2:11" s="101" customFormat="1" ht="18" customHeight="1" thickBot="1" x14ac:dyDescent="0.3">
      <c r="B100" s="116" t="s">
        <v>363</v>
      </c>
      <c r="C100" s="117" t="s">
        <v>70</v>
      </c>
      <c r="D100" s="118">
        <v>0</v>
      </c>
      <c r="E100" s="118"/>
      <c r="F100" s="117"/>
      <c r="G100" s="119">
        <f>'14'!K34+'14'!K42</f>
        <v>0</v>
      </c>
      <c r="H100" s="119"/>
      <c r="I100" s="117"/>
      <c r="J100" s="118"/>
      <c r="K100" s="120"/>
    </row>
    <row r="101" spans="2:11" ht="7.2" customHeight="1" thickBot="1" x14ac:dyDescent="0.35">
      <c r="B101" s="74"/>
      <c r="C101" s="75"/>
      <c r="D101" s="78"/>
      <c r="E101" s="78"/>
      <c r="F101" s="76"/>
      <c r="G101" s="85"/>
      <c r="H101" s="85"/>
      <c r="I101" s="76"/>
      <c r="J101" s="78"/>
      <c r="K101" s="76"/>
    </row>
    <row r="102" spans="2:11" s="101" customFormat="1" ht="21.6" customHeight="1" x14ac:dyDescent="0.25">
      <c r="B102" s="95" t="s">
        <v>366</v>
      </c>
      <c r="C102" s="96" t="s">
        <v>148</v>
      </c>
      <c r="D102" s="98"/>
      <c r="E102" s="98">
        <f>D103</f>
        <v>0</v>
      </c>
      <c r="F102" s="102"/>
      <c r="G102" s="102"/>
      <c r="H102" s="98">
        <f>G103</f>
        <v>19540</v>
      </c>
      <c r="I102" s="97"/>
      <c r="J102" s="99" t="str">
        <f>IF(H103&gt;E102,"Increase","Decrease or No Change")</f>
        <v>Decrease or No Change</v>
      </c>
      <c r="K102" s="100">
        <f>H103-E102</f>
        <v>0</v>
      </c>
    </row>
    <row r="103" spans="2:11" s="101" customFormat="1" ht="18" customHeight="1" thickBot="1" x14ac:dyDescent="0.3">
      <c r="B103" s="116" t="s">
        <v>367</v>
      </c>
      <c r="C103" s="117" t="s">
        <v>368</v>
      </c>
      <c r="D103" s="118">
        <v>0</v>
      </c>
      <c r="E103" s="118"/>
      <c r="F103" s="117"/>
      <c r="G103" s="119">
        <f>'21'!K24</f>
        <v>19540</v>
      </c>
      <c r="H103" s="119"/>
      <c r="I103" s="117"/>
      <c r="J103" s="118"/>
      <c r="K103" s="120"/>
    </row>
    <row r="104" spans="2:11" ht="7.2" customHeight="1" thickBot="1" x14ac:dyDescent="0.35">
      <c r="B104" s="74"/>
      <c r="C104" s="75"/>
      <c r="D104" s="80"/>
      <c r="E104" s="80"/>
      <c r="F104" s="77"/>
      <c r="G104" s="85"/>
      <c r="H104" s="85"/>
      <c r="I104" s="77"/>
      <c r="J104" s="78"/>
      <c r="K104" s="76"/>
    </row>
    <row r="105" spans="2:11" s="101" customFormat="1" ht="21.6" customHeight="1" x14ac:dyDescent="0.25">
      <c r="B105" s="95" t="s">
        <v>369</v>
      </c>
      <c r="C105" s="96" t="s">
        <v>41</v>
      </c>
      <c r="D105" s="98"/>
      <c r="E105" s="98">
        <f>SUM(D106:D108)</f>
        <v>0</v>
      </c>
      <c r="F105" s="102"/>
      <c r="G105" s="102"/>
      <c r="H105" s="98">
        <f>SUM(G106:G108)</f>
        <v>25448</v>
      </c>
      <c r="I105" s="97"/>
      <c r="J105" s="99" t="str">
        <f>IF(H106&gt;E105,"Increase","Decrease or No Change")</f>
        <v>Decrease or No Change</v>
      </c>
      <c r="K105" s="100">
        <f>H106-E105</f>
        <v>0</v>
      </c>
    </row>
    <row r="106" spans="2:11" s="101" customFormat="1" ht="18" customHeight="1" x14ac:dyDescent="0.25">
      <c r="B106" s="111" t="s">
        <v>370</v>
      </c>
      <c r="C106" s="112" t="s">
        <v>371</v>
      </c>
      <c r="D106" s="113">
        <v>0</v>
      </c>
      <c r="E106" s="113"/>
      <c r="F106" s="112"/>
      <c r="G106" s="114">
        <f>'22'!K24</f>
        <v>25448</v>
      </c>
      <c r="H106" s="114"/>
      <c r="I106" s="112"/>
      <c r="J106" s="113"/>
      <c r="K106" s="115"/>
    </row>
    <row r="107" spans="2:11" s="101" customFormat="1" ht="18" customHeight="1" x14ac:dyDescent="0.25">
      <c r="B107" s="111" t="s">
        <v>372</v>
      </c>
      <c r="C107" s="112" t="s">
        <v>373</v>
      </c>
      <c r="D107" s="113">
        <v>0</v>
      </c>
      <c r="E107" s="113"/>
      <c r="F107" s="112"/>
      <c r="G107" s="114">
        <f>'22'!K35</f>
        <v>0</v>
      </c>
      <c r="H107" s="114"/>
      <c r="I107" s="112"/>
      <c r="J107" s="113"/>
      <c r="K107" s="115"/>
    </row>
    <row r="108" spans="2:11" s="101" customFormat="1" ht="18" customHeight="1" thickBot="1" x14ac:dyDescent="0.3">
      <c r="B108" s="116" t="s">
        <v>378</v>
      </c>
      <c r="C108" s="117" t="s">
        <v>379</v>
      </c>
      <c r="D108" s="118">
        <v>0</v>
      </c>
      <c r="E108" s="118"/>
      <c r="F108" s="117"/>
      <c r="G108" s="119">
        <f>'22'!K46+'22'!K67+'22'!K74</f>
        <v>0</v>
      </c>
      <c r="H108" s="119"/>
      <c r="I108" s="117"/>
      <c r="J108" s="118"/>
      <c r="K108" s="120"/>
    </row>
    <row r="109" spans="2:11" ht="7.2" customHeight="1" thickBot="1" x14ac:dyDescent="0.35">
      <c r="B109" s="74"/>
      <c r="C109" s="75"/>
      <c r="D109" s="80"/>
      <c r="E109" s="80"/>
      <c r="F109" s="77"/>
      <c r="G109" s="85"/>
      <c r="H109" s="85"/>
      <c r="I109" s="77"/>
      <c r="J109" s="78"/>
      <c r="K109" s="76"/>
    </row>
    <row r="110" spans="2:11" s="101" customFormat="1" ht="21.6" customHeight="1" x14ac:dyDescent="0.25">
      <c r="B110" s="95" t="s">
        <v>417</v>
      </c>
      <c r="C110" s="96" t="s">
        <v>42</v>
      </c>
      <c r="D110" s="98"/>
      <c r="E110" s="98">
        <f>SUM(D111:D118)</f>
        <v>0</v>
      </c>
      <c r="F110" s="102"/>
      <c r="G110" s="102"/>
      <c r="H110" s="98">
        <f>SUM(G111:G118)</f>
        <v>8400</v>
      </c>
      <c r="I110" s="97"/>
      <c r="J110" s="99" t="str">
        <f>IF(H111&gt;E110,"Increase","Decrease or No Change")</f>
        <v>Decrease or No Change</v>
      </c>
      <c r="K110" s="100">
        <f>H111-E110</f>
        <v>0</v>
      </c>
    </row>
    <row r="111" spans="2:11" s="101" customFormat="1" ht="18" customHeight="1" x14ac:dyDescent="0.25">
      <c r="B111" s="111" t="s">
        <v>419</v>
      </c>
      <c r="C111" s="112" t="s">
        <v>420</v>
      </c>
      <c r="D111" s="113">
        <v>0</v>
      </c>
      <c r="E111" s="113"/>
      <c r="F111" s="112"/>
      <c r="G111" s="114">
        <f>'23'!K18</f>
        <v>8400</v>
      </c>
      <c r="H111" s="114"/>
      <c r="I111" s="112"/>
      <c r="J111" s="113"/>
      <c r="K111" s="115"/>
    </row>
    <row r="112" spans="2:11" s="101" customFormat="1" ht="18" customHeight="1" x14ac:dyDescent="0.25">
      <c r="B112" s="111" t="s">
        <v>421</v>
      </c>
      <c r="C112" s="112" t="s">
        <v>422</v>
      </c>
      <c r="D112" s="113">
        <v>0</v>
      </c>
      <c r="E112" s="113"/>
      <c r="F112" s="112"/>
      <c r="G112" s="114">
        <f>'23'!K25</f>
        <v>0</v>
      </c>
      <c r="H112" s="114"/>
      <c r="I112" s="112"/>
      <c r="J112" s="113"/>
      <c r="K112" s="115"/>
    </row>
    <row r="113" spans="2:11" s="101" customFormat="1" ht="18" customHeight="1" x14ac:dyDescent="0.25">
      <c r="B113" s="111" t="s">
        <v>423</v>
      </c>
      <c r="C113" s="112" t="s">
        <v>424</v>
      </c>
      <c r="D113" s="113">
        <v>0</v>
      </c>
      <c r="E113" s="113"/>
      <c r="F113" s="112"/>
      <c r="G113" s="114">
        <f>'23'!K31</f>
        <v>0</v>
      </c>
      <c r="H113" s="114"/>
      <c r="I113" s="112"/>
      <c r="J113" s="113"/>
      <c r="K113" s="115"/>
    </row>
    <row r="114" spans="2:11" s="101" customFormat="1" ht="18" customHeight="1" x14ac:dyDescent="0.25">
      <c r="B114" s="111" t="s">
        <v>425</v>
      </c>
      <c r="C114" s="112" t="s">
        <v>426</v>
      </c>
      <c r="D114" s="113">
        <v>0</v>
      </c>
      <c r="E114" s="113"/>
      <c r="F114" s="112"/>
      <c r="G114" s="114">
        <f>'23'!K38+'23'!K46</f>
        <v>0</v>
      </c>
      <c r="H114" s="114"/>
      <c r="I114" s="112"/>
      <c r="J114" s="113"/>
      <c r="K114" s="115"/>
    </row>
    <row r="115" spans="2:11" s="101" customFormat="1" ht="18" customHeight="1" x14ac:dyDescent="0.25">
      <c r="B115" s="111" t="s">
        <v>431</v>
      </c>
      <c r="C115" s="112" t="s">
        <v>432</v>
      </c>
      <c r="D115" s="113">
        <v>0</v>
      </c>
      <c r="E115" s="113"/>
      <c r="F115" s="112"/>
      <c r="G115" s="114">
        <f>'23'!K53+'23'!K58</f>
        <v>0</v>
      </c>
      <c r="H115" s="114"/>
      <c r="I115" s="112"/>
      <c r="J115" s="113"/>
      <c r="K115" s="115"/>
    </row>
    <row r="116" spans="2:11" s="101" customFormat="1" ht="18" customHeight="1" x14ac:dyDescent="0.25">
      <c r="B116" s="111" t="s">
        <v>435</v>
      </c>
      <c r="C116" s="112" t="s">
        <v>436</v>
      </c>
      <c r="D116" s="113">
        <v>0</v>
      </c>
      <c r="E116" s="113"/>
      <c r="F116" s="112"/>
      <c r="G116" s="114">
        <f>'23'!K73</f>
        <v>0</v>
      </c>
      <c r="H116" s="114"/>
      <c r="I116" s="112"/>
      <c r="J116" s="113"/>
      <c r="K116" s="115"/>
    </row>
    <row r="117" spans="2:11" s="101" customFormat="1" ht="18" customHeight="1" x14ac:dyDescent="0.25">
      <c r="B117" s="111" t="s">
        <v>453</v>
      </c>
      <c r="C117" s="112" t="s">
        <v>454</v>
      </c>
      <c r="D117" s="113">
        <v>0</v>
      </c>
      <c r="E117" s="113"/>
      <c r="F117" s="112"/>
      <c r="G117" s="114">
        <f>'23'!K79</f>
        <v>0</v>
      </c>
      <c r="H117" s="114"/>
      <c r="I117" s="112"/>
      <c r="J117" s="113"/>
      <c r="K117" s="115"/>
    </row>
    <row r="118" spans="2:11" s="101" customFormat="1" ht="18" customHeight="1" thickBot="1" x14ac:dyDescent="0.3">
      <c r="B118" s="116" t="s">
        <v>709</v>
      </c>
      <c r="C118" s="117" t="s">
        <v>710</v>
      </c>
      <c r="D118" s="118">
        <v>0</v>
      </c>
      <c r="E118" s="118"/>
      <c r="F118" s="117"/>
      <c r="G118" s="119">
        <f>'23'!K85+'23'!K91</f>
        <v>0</v>
      </c>
      <c r="H118" s="119"/>
      <c r="I118" s="117"/>
      <c r="J118" s="118"/>
      <c r="K118" s="120"/>
    </row>
    <row r="119" spans="2:11" ht="7.2" customHeight="1" thickBot="1" x14ac:dyDescent="0.35">
      <c r="B119" s="74"/>
      <c r="C119" s="75"/>
      <c r="D119" s="78"/>
      <c r="E119" s="78"/>
      <c r="F119" s="76"/>
      <c r="G119" s="85"/>
      <c r="H119" s="85"/>
      <c r="I119" s="76"/>
      <c r="J119" s="78"/>
      <c r="K119" s="76"/>
    </row>
    <row r="120" spans="2:11" s="101" customFormat="1" ht="21.6" customHeight="1" thickBot="1" x14ac:dyDescent="0.3">
      <c r="B120" s="104" t="s">
        <v>461</v>
      </c>
      <c r="C120" s="105" t="s">
        <v>462</v>
      </c>
      <c r="D120" s="106"/>
      <c r="E120" s="106">
        <f>'Estimate Summary'!E49</f>
        <v>0</v>
      </c>
      <c r="F120" s="108"/>
      <c r="G120" s="107"/>
      <c r="H120" s="106">
        <f>'Estimate Summary'!H49</f>
        <v>0</v>
      </c>
      <c r="I120" s="108"/>
      <c r="J120" s="109" t="str">
        <f>IF(H120&gt;E120,"Increase","Decrease or No Change")</f>
        <v>Decrease or No Change</v>
      </c>
      <c r="K120" s="110">
        <f>H120-E120</f>
        <v>0</v>
      </c>
    </row>
    <row r="121" spans="2:11" ht="7.2" customHeight="1" thickBot="1" x14ac:dyDescent="0.35">
      <c r="B121" s="74"/>
      <c r="C121" s="75"/>
      <c r="D121" s="80"/>
      <c r="E121" s="80"/>
      <c r="F121" s="77"/>
      <c r="G121" s="85"/>
      <c r="H121" s="85"/>
      <c r="I121" s="77"/>
      <c r="J121" s="78"/>
      <c r="K121" s="76"/>
    </row>
    <row r="122" spans="2:11" s="101" customFormat="1" ht="21.6" customHeight="1" x14ac:dyDescent="0.25">
      <c r="B122" s="95" t="s">
        <v>463</v>
      </c>
      <c r="C122" s="96" t="s">
        <v>10</v>
      </c>
      <c r="D122" s="98"/>
      <c r="E122" s="98">
        <f>SUM(D123:D125)</f>
        <v>0</v>
      </c>
      <c r="F122" s="102"/>
      <c r="G122" s="102"/>
      <c r="H122" s="98">
        <f>SUM(G123:G125)</f>
        <v>53278</v>
      </c>
      <c r="I122" s="97"/>
      <c r="J122" s="99" t="str">
        <f>IF(H123&gt;E122,"Increase","Decrease or No Change")</f>
        <v>Decrease or No Change</v>
      </c>
      <c r="K122" s="100">
        <f>H123-E122</f>
        <v>0</v>
      </c>
    </row>
    <row r="123" spans="2:11" s="101" customFormat="1" ht="18" customHeight="1" x14ac:dyDescent="0.25">
      <c r="B123" s="111" t="s">
        <v>464</v>
      </c>
      <c r="C123" s="112" t="s">
        <v>775</v>
      </c>
      <c r="D123" s="113">
        <v>0</v>
      </c>
      <c r="E123" s="113"/>
      <c r="F123" s="112"/>
      <c r="G123" s="114">
        <f>'26'!K22</f>
        <v>53278</v>
      </c>
      <c r="H123" s="114"/>
      <c r="I123" s="112"/>
      <c r="J123" s="113"/>
      <c r="K123" s="115"/>
    </row>
    <row r="124" spans="2:11" s="101" customFormat="1" ht="18" customHeight="1" x14ac:dyDescent="0.25">
      <c r="B124" s="111" t="s">
        <v>466</v>
      </c>
      <c r="C124" s="112" t="s">
        <v>711</v>
      </c>
      <c r="D124" s="113">
        <v>0</v>
      </c>
      <c r="E124" s="113"/>
      <c r="F124" s="112"/>
      <c r="G124" s="114">
        <f>'26'!K33</f>
        <v>0</v>
      </c>
      <c r="H124" s="114"/>
      <c r="I124" s="112"/>
      <c r="J124" s="113"/>
      <c r="K124" s="115"/>
    </row>
    <row r="125" spans="2:11" s="101" customFormat="1" ht="18" customHeight="1" thickBot="1" x14ac:dyDescent="0.3">
      <c r="B125" s="116" t="s">
        <v>478</v>
      </c>
      <c r="C125" s="117" t="s">
        <v>82</v>
      </c>
      <c r="D125" s="118">
        <v>0</v>
      </c>
      <c r="E125" s="118"/>
      <c r="F125" s="117"/>
      <c r="G125" s="119">
        <f>'26'!K41</f>
        <v>0</v>
      </c>
      <c r="H125" s="119"/>
      <c r="I125" s="117"/>
      <c r="J125" s="118"/>
      <c r="K125" s="120"/>
    </row>
    <row r="126" spans="2:11" ht="7.2" customHeight="1" thickBot="1" x14ac:dyDescent="0.35">
      <c r="B126" s="74"/>
      <c r="C126" s="75"/>
      <c r="D126" s="80"/>
      <c r="E126" s="80"/>
      <c r="F126" s="77"/>
      <c r="G126" s="85"/>
      <c r="H126" s="85"/>
      <c r="I126" s="77"/>
      <c r="J126" s="78"/>
      <c r="K126" s="76"/>
    </row>
    <row r="127" spans="2:11" s="101" customFormat="1" ht="21.6" customHeight="1" x14ac:dyDescent="0.25">
      <c r="B127" s="95" t="s">
        <v>484</v>
      </c>
      <c r="C127" s="96" t="s">
        <v>485</v>
      </c>
      <c r="D127" s="98"/>
      <c r="E127" s="98">
        <f>SUM(D128:D132)</f>
        <v>0</v>
      </c>
      <c r="F127" s="97"/>
      <c r="G127" s="102"/>
      <c r="H127" s="98">
        <f>SUM(G128:G132)</f>
        <v>0</v>
      </c>
      <c r="I127" s="97"/>
      <c r="J127" s="99" t="str">
        <f>IF(H127&gt;E127,"Increase","Decrease or No Change")</f>
        <v>Decrease or No Change</v>
      </c>
      <c r="K127" s="100">
        <f>H127-E127</f>
        <v>0</v>
      </c>
    </row>
    <row r="128" spans="2:11" s="101" customFormat="1" ht="18" customHeight="1" x14ac:dyDescent="0.25">
      <c r="B128" s="111" t="s">
        <v>486</v>
      </c>
      <c r="C128" s="112" t="s">
        <v>487</v>
      </c>
      <c r="D128" s="113">
        <v>0</v>
      </c>
      <c r="E128" s="113"/>
      <c r="F128" s="112"/>
      <c r="G128" s="114">
        <f>'27'!K24</f>
        <v>0</v>
      </c>
      <c r="H128" s="114"/>
      <c r="I128" s="112"/>
      <c r="J128" s="113"/>
      <c r="K128" s="115"/>
    </row>
    <row r="129" spans="2:11" s="101" customFormat="1" ht="18" customHeight="1" x14ac:dyDescent="0.25">
      <c r="B129" s="111" t="s">
        <v>488</v>
      </c>
      <c r="C129" s="112" t="s">
        <v>489</v>
      </c>
      <c r="D129" s="113">
        <v>0</v>
      </c>
      <c r="E129" s="113"/>
      <c r="F129" s="112"/>
      <c r="G129" s="114">
        <f>'27'!K35</f>
        <v>0</v>
      </c>
      <c r="H129" s="114"/>
      <c r="I129" s="112"/>
      <c r="J129" s="113"/>
      <c r="K129" s="115"/>
    </row>
    <row r="130" spans="2:11" s="101" customFormat="1" ht="18" customHeight="1" x14ac:dyDescent="0.25">
      <c r="B130" s="111" t="s">
        <v>494</v>
      </c>
      <c r="C130" s="112" t="s">
        <v>495</v>
      </c>
      <c r="D130" s="113">
        <v>0</v>
      </c>
      <c r="E130" s="113"/>
      <c r="F130" s="112"/>
      <c r="G130" s="114">
        <f>'27'!K43</f>
        <v>0</v>
      </c>
      <c r="H130" s="114"/>
      <c r="I130" s="112"/>
      <c r="J130" s="113"/>
      <c r="K130" s="115"/>
    </row>
    <row r="131" spans="2:11" s="101" customFormat="1" ht="18" customHeight="1" x14ac:dyDescent="0.25">
      <c r="B131" s="111" t="s">
        <v>496</v>
      </c>
      <c r="C131" s="112" t="s">
        <v>497</v>
      </c>
      <c r="D131" s="113">
        <v>0</v>
      </c>
      <c r="E131" s="113"/>
      <c r="F131" s="112"/>
      <c r="G131" s="114">
        <f>'27'!K52</f>
        <v>0</v>
      </c>
      <c r="H131" s="114"/>
      <c r="I131" s="112"/>
      <c r="J131" s="113"/>
      <c r="K131" s="115"/>
    </row>
    <row r="132" spans="2:11" s="101" customFormat="1" ht="18" customHeight="1" thickBot="1" x14ac:dyDescent="0.3">
      <c r="B132" s="116" t="s">
        <v>498</v>
      </c>
      <c r="C132" s="117" t="s">
        <v>499</v>
      </c>
      <c r="D132" s="118">
        <v>0</v>
      </c>
      <c r="E132" s="118"/>
      <c r="F132" s="117"/>
      <c r="G132" s="119">
        <f>'27'!K63</f>
        <v>0</v>
      </c>
      <c r="H132" s="119"/>
      <c r="I132" s="117"/>
      <c r="J132" s="118"/>
      <c r="K132" s="120"/>
    </row>
    <row r="133" spans="2:11" ht="7.2" customHeight="1" thickBot="1" x14ac:dyDescent="0.35">
      <c r="B133" s="74"/>
      <c r="C133" s="75"/>
      <c r="D133" s="78"/>
      <c r="E133" s="78"/>
      <c r="F133" s="76"/>
      <c r="G133" s="85"/>
      <c r="H133" s="85"/>
      <c r="I133" s="76"/>
      <c r="J133" s="78"/>
      <c r="K133" s="76"/>
    </row>
    <row r="134" spans="2:11" s="101" customFormat="1" ht="21.6" customHeight="1" x14ac:dyDescent="0.25">
      <c r="B134" s="95" t="s">
        <v>500</v>
      </c>
      <c r="C134" s="96" t="s">
        <v>501</v>
      </c>
      <c r="D134" s="98"/>
      <c r="E134" s="98">
        <f>SUM(D135:D138)</f>
        <v>0</v>
      </c>
      <c r="F134" s="102"/>
      <c r="G134" s="102"/>
      <c r="H134" s="98">
        <f>SUM(G135:G138)</f>
        <v>0</v>
      </c>
      <c r="I134" s="97"/>
      <c r="J134" s="99" t="str">
        <f>IF(H134&gt;E134,"Increase","Decrease or No Change")</f>
        <v>Decrease or No Change</v>
      </c>
      <c r="K134" s="100">
        <f>H134-E134</f>
        <v>0</v>
      </c>
    </row>
    <row r="135" spans="2:11" s="101" customFormat="1" ht="18" customHeight="1" x14ac:dyDescent="0.25">
      <c r="B135" s="111" t="s">
        <v>502</v>
      </c>
      <c r="C135" s="112" t="s">
        <v>503</v>
      </c>
      <c r="D135" s="113">
        <v>0</v>
      </c>
      <c r="E135" s="113"/>
      <c r="F135" s="112"/>
      <c r="G135" s="114">
        <f>'28'!K24</f>
        <v>0</v>
      </c>
      <c r="H135" s="114"/>
      <c r="I135" s="112"/>
      <c r="J135" s="88"/>
      <c r="K135" s="115"/>
    </row>
    <row r="136" spans="2:11" s="101" customFormat="1" ht="18" customHeight="1" x14ac:dyDescent="0.25">
      <c r="B136" s="111" t="s">
        <v>506</v>
      </c>
      <c r="C136" s="112" t="s">
        <v>507</v>
      </c>
      <c r="D136" s="113">
        <v>0</v>
      </c>
      <c r="E136" s="113"/>
      <c r="F136" s="112"/>
      <c r="G136" s="114">
        <f>'28'!K35</f>
        <v>0</v>
      </c>
      <c r="H136" s="114"/>
      <c r="I136" s="112"/>
      <c r="J136" s="113"/>
      <c r="K136" s="115"/>
    </row>
    <row r="137" spans="2:11" s="101" customFormat="1" ht="18" customHeight="1" x14ac:dyDescent="0.25">
      <c r="B137" s="111" t="s">
        <v>508</v>
      </c>
      <c r="C137" s="112" t="s">
        <v>509</v>
      </c>
      <c r="D137" s="113">
        <v>0</v>
      </c>
      <c r="E137" s="113"/>
      <c r="F137" s="112"/>
      <c r="G137" s="114">
        <f>'28'!K43</f>
        <v>0</v>
      </c>
      <c r="H137" s="114"/>
      <c r="I137" s="112"/>
      <c r="J137" s="113"/>
      <c r="K137" s="115"/>
    </row>
    <row r="138" spans="2:11" s="101" customFormat="1" ht="18" customHeight="1" thickBot="1" x14ac:dyDescent="0.3">
      <c r="B138" s="116" t="s">
        <v>510</v>
      </c>
      <c r="C138" s="117" t="s">
        <v>512</v>
      </c>
      <c r="D138" s="118">
        <v>0</v>
      </c>
      <c r="E138" s="118"/>
      <c r="F138" s="117"/>
      <c r="G138" s="119">
        <f>'28'!K52</f>
        <v>0</v>
      </c>
      <c r="H138" s="119"/>
      <c r="I138" s="117"/>
      <c r="J138" s="118"/>
      <c r="K138" s="120"/>
    </row>
    <row r="139" spans="2:11" ht="7.2" customHeight="1" thickBot="1" x14ac:dyDescent="0.35">
      <c r="B139" s="74"/>
      <c r="C139" s="75"/>
      <c r="D139" s="78"/>
      <c r="E139" s="78"/>
      <c r="F139" s="76"/>
      <c r="G139" s="85"/>
      <c r="H139" s="85"/>
      <c r="I139" s="76"/>
      <c r="J139" s="78"/>
      <c r="K139" s="76"/>
    </row>
    <row r="140" spans="2:11" s="101" customFormat="1" ht="21.6" customHeight="1" x14ac:dyDescent="0.25">
      <c r="B140" s="95" t="s">
        <v>514</v>
      </c>
      <c r="C140" s="96" t="s">
        <v>515</v>
      </c>
      <c r="D140" s="98"/>
      <c r="E140" s="98">
        <f>SUM(D141:D144)</f>
        <v>0</v>
      </c>
      <c r="F140" s="97"/>
      <c r="G140" s="102"/>
      <c r="H140" s="98">
        <f>SUM(G141:G144)</f>
        <v>42250</v>
      </c>
      <c r="I140" s="97"/>
      <c r="J140" s="99" t="str">
        <f>IF(H140&gt;E140,"Increase","Decrease or No Change")</f>
        <v>Increase</v>
      </c>
      <c r="K140" s="100">
        <f>H140-E140</f>
        <v>42250</v>
      </c>
    </row>
    <row r="141" spans="2:11" s="101" customFormat="1" ht="18" customHeight="1" x14ac:dyDescent="0.25">
      <c r="B141" s="111" t="s">
        <v>516</v>
      </c>
      <c r="C141" s="112" t="s">
        <v>517</v>
      </c>
      <c r="D141" s="113">
        <v>0</v>
      </c>
      <c r="E141" s="113"/>
      <c r="F141" s="112"/>
      <c r="G141" s="114">
        <f>'31'!K17</f>
        <v>0</v>
      </c>
      <c r="H141" s="114"/>
      <c r="I141" s="112"/>
      <c r="J141" s="113"/>
      <c r="K141" s="115"/>
    </row>
    <row r="142" spans="2:11" s="101" customFormat="1" ht="18" customHeight="1" x14ac:dyDescent="0.25">
      <c r="B142" s="111" t="s">
        <v>520</v>
      </c>
      <c r="C142" s="112" t="s">
        <v>521</v>
      </c>
      <c r="D142" s="113">
        <v>0</v>
      </c>
      <c r="E142" s="113"/>
      <c r="F142" s="112"/>
      <c r="G142" s="114">
        <f>'31'!K39</f>
        <v>42250</v>
      </c>
      <c r="H142" s="114"/>
      <c r="I142" s="112"/>
      <c r="J142" s="113"/>
      <c r="K142" s="115"/>
    </row>
    <row r="143" spans="2:11" s="101" customFormat="1" ht="18" customHeight="1" x14ac:dyDescent="0.25">
      <c r="B143" s="111" t="s">
        <v>712</v>
      </c>
      <c r="C143" s="112" t="s">
        <v>713</v>
      </c>
      <c r="D143" s="113">
        <v>0</v>
      </c>
      <c r="E143" s="113"/>
      <c r="F143" s="112"/>
      <c r="G143" s="114">
        <f>'31'!K47</f>
        <v>0</v>
      </c>
      <c r="H143" s="114"/>
      <c r="I143" s="112"/>
      <c r="J143" s="113"/>
      <c r="K143" s="115"/>
    </row>
    <row r="144" spans="2:11" s="101" customFormat="1" ht="18" customHeight="1" thickBot="1" x14ac:dyDescent="0.3">
      <c r="B144" s="116" t="s">
        <v>552</v>
      </c>
      <c r="C144" s="117" t="s">
        <v>553</v>
      </c>
      <c r="D144" s="118">
        <v>0</v>
      </c>
      <c r="E144" s="118"/>
      <c r="F144" s="117"/>
      <c r="G144" s="119">
        <f>'31'!K56</f>
        <v>0</v>
      </c>
      <c r="H144" s="119"/>
      <c r="I144" s="117"/>
      <c r="J144" s="118"/>
      <c r="K144" s="120"/>
    </row>
    <row r="145" spans="2:11" ht="7.2" customHeight="1" thickBot="1" x14ac:dyDescent="0.35">
      <c r="B145" s="74"/>
      <c r="C145" s="75"/>
      <c r="D145" s="78"/>
      <c r="E145" s="78"/>
      <c r="F145" s="76"/>
      <c r="G145" s="85"/>
      <c r="H145" s="85"/>
      <c r="I145" s="76"/>
      <c r="J145" s="78"/>
      <c r="K145" s="76"/>
    </row>
    <row r="146" spans="2:11" s="101" customFormat="1" ht="21.6" customHeight="1" x14ac:dyDescent="0.25">
      <c r="B146" s="95" t="s">
        <v>554</v>
      </c>
      <c r="C146" s="96" t="s">
        <v>555</v>
      </c>
      <c r="D146" s="98"/>
      <c r="E146" s="98">
        <f>SUM(D147:D149)</f>
        <v>0</v>
      </c>
      <c r="F146" s="97"/>
      <c r="G146" s="102"/>
      <c r="H146" s="98">
        <f>SUM(G147:G149)</f>
        <v>7900</v>
      </c>
      <c r="I146" s="97"/>
      <c r="J146" s="99" t="str">
        <f>IF(H146&gt;E146,"Increase","Decrease or No Change")</f>
        <v>Increase</v>
      </c>
      <c r="K146" s="100">
        <f>H146-E146</f>
        <v>7900</v>
      </c>
    </row>
    <row r="147" spans="2:11" s="101" customFormat="1" ht="18" customHeight="1" x14ac:dyDescent="0.25">
      <c r="B147" s="111" t="s">
        <v>556</v>
      </c>
      <c r="C147" s="112" t="s">
        <v>557</v>
      </c>
      <c r="D147" s="113">
        <v>0</v>
      </c>
      <c r="E147" s="113"/>
      <c r="F147" s="112"/>
      <c r="G147" s="114">
        <f>'32'!K21+'32'!K33+'32'!K41</f>
        <v>7900</v>
      </c>
      <c r="H147" s="114"/>
      <c r="I147" s="112"/>
      <c r="J147" s="113"/>
      <c r="K147" s="115"/>
    </row>
    <row r="148" spans="2:11" s="101" customFormat="1" ht="18" customHeight="1" x14ac:dyDescent="0.25">
      <c r="B148" s="111" t="s">
        <v>584</v>
      </c>
      <c r="C148" s="112" t="s">
        <v>585</v>
      </c>
      <c r="D148" s="113">
        <v>0</v>
      </c>
      <c r="E148" s="113"/>
      <c r="F148" s="112"/>
      <c r="G148" s="114">
        <f>'32'!K50</f>
        <v>0</v>
      </c>
      <c r="H148" s="114"/>
      <c r="I148" s="112"/>
      <c r="J148" s="113"/>
      <c r="K148" s="115"/>
    </row>
    <row r="149" spans="2:11" s="101" customFormat="1" ht="18" customHeight="1" thickBot="1" x14ac:dyDescent="0.3">
      <c r="B149" s="116" t="s">
        <v>594</v>
      </c>
      <c r="C149" s="117" t="s">
        <v>595</v>
      </c>
      <c r="D149" s="118">
        <v>0</v>
      </c>
      <c r="E149" s="118"/>
      <c r="F149" s="117"/>
      <c r="G149" s="119">
        <f>'32'!K61</f>
        <v>0</v>
      </c>
      <c r="H149" s="119"/>
      <c r="I149" s="117"/>
      <c r="J149" s="118"/>
      <c r="K149" s="120"/>
    </row>
    <row r="150" spans="2:11" ht="7.2" customHeight="1" thickBot="1" x14ac:dyDescent="0.35">
      <c r="B150" s="74"/>
      <c r="C150" s="75"/>
      <c r="D150" s="78"/>
      <c r="E150" s="78"/>
      <c r="F150" s="76"/>
      <c r="G150" s="85"/>
      <c r="H150" s="85"/>
      <c r="I150" s="76"/>
      <c r="J150" s="78"/>
      <c r="K150" s="76"/>
    </row>
    <row r="151" spans="2:11" s="101" customFormat="1" ht="21.6" customHeight="1" x14ac:dyDescent="0.25">
      <c r="B151" s="95" t="s">
        <v>602</v>
      </c>
      <c r="C151" s="96" t="s">
        <v>603</v>
      </c>
      <c r="D151" s="98"/>
      <c r="E151" s="98">
        <f>SUM(D152:D155)</f>
        <v>0</v>
      </c>
      <c r="F151" s="97"/>
      <c r="G151" s="102"/>
      <c r="H151" s="98">
        <f>SUM(G152:G155)</f>
        <v>0</v>
      </c>
      <c r="I151" s="97"/>
      <c r="J151" s="99" t="str">
        <f>IF(H151&gt;E151,"Increase","Decrease or No Change")</f>
        <v>Decrease or No Change</v>
      </c>
      <c r="K151" s="100">
        <f>H151-E151</f>
        <v>0</v>
      </c>
    </row>
    <row r="152" spans="2:11" s="101" customFormat="1" ht="18" customHeight="1" x14ac:dyDescent="0.25">
      <c r="B152" s="111" t="s">
        <v>604</v>
      </c>
      <c r="C152" s="112" t="s">
        <v>605</v>
      </c>
      <c r="D152" s="113">
        <v>0</v>
      </c>
      <c r="E152" s="113"/>
      <c r="F152" s="112"/>
      <c r="G152" s="114">
        <f>'33'!K26</f>
        <v>0</v>
      </c>
      <c r="H152" s="114"/>
      <c r="I152" s="112"/>
      <c r="J152" s="113"/>
      <c r="K152" s="115"/>
    </row>
    <row r="153" spans="2:11" s="101" customFormat="1" ht="18" customHeight="1" x14ac:dyDescent="0.25">
      <c r="B153" s="111" t="s">
        <v>610</v>
      </c>
      <c r="C153" s="112" t="s">
        <v>611</v>
      </c>
      <c r="D153" s="113">
        <v>0</v>
      </c>
      <c r="E153" s="113"/>
      <c r="F153" s="112"/>
      <c r="G153" s="114">
        <f>'33'!K37</f>
        <v>0</v>
      </c>
      <c r="H153" s="114"/>
      <c r="I153" s="112"/>
      <c r="J153" s="113"/>
      <c r="K153" s="115"/>
    </row>
    <row r="154" spans="2:11" s="101" customFormat="1" ht="18" customHeight="1" x14ac:dyDescent="0.25">
      <c r="B154" s="111" t="s">
        <v>616</v>
      </c>
      <c r="C154" s="112" t="s">
        <v>617</v>
      </c>
      <c r="D154" s="113">
        <v>0</v>
      </c>
      <c r="E154" s="113"/>
      <c r="F154" s="112"/>
      <c r="G154" s="114">
        <f>'33'!K45</f>
        <v>0</v>
      </c>
      <c r="H154" s="114"/>
      <c r="I154" s="112"/>
      <c r="J154" s="113"/>
      <c r="K154" s="115"/>
    </row>
    <row r="155" spans="2:11" ht="15" customHeight="1" thickBot="1" x14ac:dyDescent="0.35">
      <c r="B155" s="81" t="s">
        <v>626</v>
      </c>
      <c r="C155" s="72" t="s">
        <v>627</v>
      </c>
      <c r="D155" s="71">
        <v>0</v>
      </c>
      <c r="E155" s="71"/>
      <c r="F155" s="72"/>
      <c r="G155" s="70">
        <f>'33'!K54</f>
        <v>0</v>
      </c>
      <c r="H155" s="70"/>
      <c r="I155" s="72"/>
      <c r="J155" s="71"/>
      <c r="K155" s="73"/>
    </row>
    <row r="156" spans="2:11" ht="7.2" customHeight="1" x14ac:dyDescent="0.3">
      <c r="B156" s="74"/>
      <c r="C156" s="75"/>
      <c r="D156" s="78"/>
      <c r="E156" s="78"/>
      <c r="F156" s="76"/>
      <c r="G156" s="76"/>
      <c r="H156" s="76"/>
      <c r="I156" s="76"/>
      <c r="J156" s="78"/>
      <c r="K156" s="89"/>
    </row>
    <row r="157" spans="2:11" ht="15" customHeight="1" x14ac:dyDescent="0.25">
      <c r="B157" s="17"/>
      <c r="C157" s="1071" t="s">
        <v>676</v>
      </c>
      <c r="D157" s="1073"/>
      <c r="E157" s="1073"/>
      <c r="F157" s="24"/>
      <c r="G157" s="1074">
        <f>'Estimate Summary'!D68</f>
        <v>56798.311735690004</v>
      </c>
      <c r="H157" s="1074"/>
      <c r="J157" s="1060" t="str">
        <f>IF(G157&gt;D157,"Increase","Decrease or No Change")</f>
        <v>Increase</v>
      </c>
      <c r="K157" s="1072">
        <f>G157-D157</f>
        <v>56798.311735690004</v>
      </c>
    </row>
    <row r="158" spans="2:11" ht="15" customHeight="1" x14ac:dyDescent="0.25">
      <c r="B158" s="17"/>
      <c r="C158" s="1071"/>
      <c r="D158" s="1073"/>
      <c r="E158" s="1073"/>
      <c r="F158" s="24"/>
      <c r="G158" s="1074"/>
      <c r="H158" s="1074"/>
      <c r="J158" s="1060"/>
      <c r="K158" s="1072"/>
    </row>
    <row r="159" spans="2:11" ht="15" customHeight="1" x14ac:dyDescent="0.25">
      <c r="B159" s="17"/>
      <c r="C159" s="1075" t="s">
        <v>93</v>
      </c>
      <c r="D159" s="1078">
        <f>SUM(E8:E155)+D157</f>
        <v>0</v>
      </c>
      <c r="E159" s="1078"/>
      <c r="F159" s="50"/>
      <c r="G159" s="1078">
        <f>SUM(H8:H155)+G157</f>
        <v>866545.65862588992</v>
      </c>
      <c r="H159" s="1078"/>
      <c r="J159" s="1060" t="str">
        <f>IF(G159&gt;D159,"Increase","Decrease or No Change")</f>
        <v>Increase</v>
      </c>
      <c r="K159" s="1072">
        <f>G159-D159</f>
        <v>866545.65862588992</v>
      </c>
    </row>
    <row r="160" spans="2:11" ht="15" customHeight="1" x14ac:dyDescent="0.25">
      <c r="B160" s="17"/>
      <c r="C160" s="1075"/>
      <c r="D160" s="1078"/>
      <c r="E160" s="1078"/>
      <c r="F160" s="50"/>
      <c r="G160" s="1078"/>
      <c r="H160" s="1078"/>
      <c r="J160" s="1060"/>
      <c r="K160" s="1072"/>
    </row>
    <row r="161" spans="2:13" ht="15" customHeight="1" x14ac:dyDescent="0.25">
      <c r="B161" s="17"/>
      <c r="C161" s="25"/>
      <c r="D161" s="1079"/>
      <c r="E161" s="1079"/>
      <c r="F161" s="51"/>
      <c r="G161" s="26"/>
      <c r="H161" s="26"/>
      <c r="J161" s="65"/>
      <c r="K161" s="66"/>
    </row>
    <row r="162" spans="2:13" ht="15" customHeight="1" x14ac:dyDescent="0.25">
      <c r="B162" s="17"/>
      <c r="C162" s="25"/>
      <c r="D162" s="1079"/>
      <c r="E162" s="1079"/>
      <c r="F162" s="51"/>
      <c r="G162" s="26"/>
      <c r="H162" s="26"/>
      <c r="J162" s="65"/>
      <c r="K162" s="66"/>
    </row>
    <row r="163" spans="2:13" ht="15" customHeight="1" x14ac:dyDescent="0.25">
      <c r="B163" s="17"/>
      <c r="C163" s="25"/>
      <c r="D163" s="1080"/>
      <c r="E163" s="1080"/>
      <c r="F163" s="50"/>
      <c r="G163" s="26"/>
      <c r="H163" s="26"/>
      <c r="J163" s="65"/>
      <c r="K163" s="66"/>
    </row>
    <row r="164" spans="2:13" ht="15" customHeight="1" thickBot="1" x14ac:dyDescent="0.3">
      <c r="B164" s="18"/>
      <c r="C164" s="19"/>
      <c r="D164" s="27"/>
      <c r="E164" s="28"/>
      <c r="F164" s="28"/>
      <c r="G164" s="20"/>
      <c r="H164" s="20"/>
      <c r="I164" s="28"/>
      <c r="J164" s="27"/>
      <c r="K164" s="67"/>
    </row>
    <row r="165" spans="2:13" ht="13.8" thickTop="1" x14ac:dyDescent="0.25"/>
    <row r="167" spans="2:13" x14ac:dyDescent="0.25">
      <c r="C167" s="29"/>
      <c r="D167" s="29"/>
      <c r="E167" s="29"/>
      <c r="G167" s="29"/>
      <c r="J167" s="30"/>
      <c r="L167" s="31"/>
      <c r="M167" s="2"/>
    </row>
    <row r="168" spans="2:13" x14ac:dyDescent="0.25">
      <c r="C168"/>
      <c r="G168" s="32"/>
      <c r="H168" s="2"/>
      <c r="J168" s="30"/>
      <c r="L168" s="31"/>
      <c r="M168" s="2"/>
    </row>
    <row r="169" spans="2:13" x14ac:dyDescent="0.25">
      <c r="C169"/>
      <c r="G169" s="32"/>
      <c r="H169" s="2"/>
      <c r="J169" s="30"/>
      <c r="L169" s="31"/>
      <c r="M169" s="2"/>
    </row>
    <row r="170" spans="2:13" x14ac:dyDescent="0.25">
      <c r="C170"/>
      <c r="G170" s="32"/>
      <c r="H170" s="33"/>
      <c r="J170" s="30"/>
      <c r="L170" s="31"/>
      <c r="M170" s="2"/>
    </row>
    <row r="171" spans="2:13" x14ac:dyDescent="0.25">
      <c r="C171"/>
      <c r="G171" s="32"/>
      <c r="H171" s="33"/>
    </row>
    <row r="172" spans="2:13" x14ac:dyDescent="0.25">
      <c r="C172"/>
      <c r="D172" s="29"/>
      <c r="E172" s="29"/>
      <c r="G172" s="32"/>
      <c r="H172" s="2"/>
    </row>
  </sheetData>
  <mergeCells count="20">
    <mergeCell ref="G159:H160"/>
    <mergeCell ref="D161:E161"/>
    <mergeCell ref="D162:E162"/>
    <mergeCell ref="D163:E163"/>
    <mergeCell ref="J159:J160"/>
    <mergeCell ref="B2:C2"/>
    <mergeCell ref="I2:K4"/>
    <mergeCell ref="B3:C3"/>
    <mergeCell ref="C157:C158"/>
    <mergeCell ref="K157:K158"/>
    <mergeCell ref="D157:E158"/>
    <mergeCell ref="G157:H158"/>
    <mergeCell ref="J157:J158"/>
    <mergeCell ref="K159:K160"/>
    <mergeCell ref="C159:C160"/>
    <mergeCell ref="D6:E6"/>
    <mergeCell ref="D7:E7"/>
    <mergeCell ref="G6:H6"/>
    <mergeCell ref="G7:H7"/>
    <mergeCell ref="D159:E160"/>
  </mergeCells>
  <pageMargins left="0.7" right="1.2814814814814814" top="0.75" bottom="0.75" header="0.3" footer="0.3"/>
  <pageSetup scale="40" orientation="portrait" copies="3" r:id="rId1"/>
  <headerFooter>
    <oddHeader>&amp;L&amp;G</oddHeader>
    <oddFooter>&amp;L&amp;"Arial,Regular"&amp;12&amp;D&amp;R&amp;"Arial,Regular"&amp;12&amp;P/&amp;N</oddFooter>
  </headerFooter>
  <rowBreaks count="1" manualBreakCount="1">
    <brk id="83" max="1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B1:K165"/>
  <sheetViews>
    <sheetView view="pageBreakPreview" zoomScaleNormal="100" zoomScaleSheetLayoutView="100" zoomScalePageLayoutView="90" workbookViewId="0">
      <selection activeCell="K20" sqref="K20"/>
    </sheetView>
  </sheetViews>
  <sheetFormatPr defaultColWidth="11.44140625" defaultRowHeight="13.2" x14ac:dyDescent="0.25"/>
  <cols>
    <col min="1" max="1" width="1.33203125" style="157" customWidth="1"/>
    <col min="2" max="2" width="13.33203125" style="158" bestFit="1" customWidth="1"/>
    <col min="3" max="3" width="58.33203125" style="159" customWidth="1"/>
    <col min="4" max="4" width="14.44140625" style="159" hidden="1" customWidth="1"/>
    <col min="5" max="5" width="12.44140625" style="159" hidden="1" customWidth="1"/>
    <col min="6" max="6" width="12.6640625" style="157" hidden="1" customWidth="1"/>
    <col min="7" max="7" width="25.6640625" style="157" customWidth="1"/>
    <col min="8" max="8" width="23.33203125" style="157" customWidth="1"/>
    <col min="9" max="9" width="6.6640625" style="157" customWidth="1"/>
    <col min="10" max="10" width="8.33203125" style="157" customWidth="1"/>
    <col min="11" max="16384" width="11.44140625" style="157"/>
  </cols>
  <sheetData>
    <row r="1" spans="2:9" ht="7.2" customHeight="1" thickBot="1" x14ac:dyDescent="0.3">
      <c r="B1" s="138"/>
      <c r="C1" s="139"/>
      <c r="D1" s="139"/>
      <c r="E1" s="139"/>
      <c r="F1" s="156"/>
      <c r="G1" s="140"/>
      <c r="H1" s="141"/>
      <c r="I1" s="160"/>
    </row>
    <row r="2" spans="2:9" ht="6" customHeight="1" x14ac:dyDescent="0.25">
      <c r="B2" s="161"/>
      <c r="C2" s="162"/>
      <c r="D2" s="162"/>
      <c r="E2" s="162"/>
      <c r="F2" s="163"/>
      <c r="G2" s="164"/>
      <c r="H2" s="165"/>
      <c r="I2" s="160"/>
    </row>
    <row r="3" spans="2:9" ht="21" customHeight="1" x14ac:dyDescent="0.4">
      <c r="B3" s="808" t="str">
        <f>'Estimate Summary'!D5</f>
        <v>567 Coverdale Renovation and Expansion (Phase 1)</v>
      </c>
      <c r="C3" s="805"/>
      <c r="D3" s="166"/>
      <c r="E3" s="166"/>
      <c r="F3" s="806" t="s">
        <v>928</v>
      </c>
      <c r="G3" s="806"/>
      <c r="H3" s="807"/>
    </row>
    <row r="4" spans="2:9" ht="18" customHeight="1" x14ac:dyDescent="0.4">
      <c r="B4" s="1085" t="str">
        <f>'Estimate Summary'!D6</f>
        <v>GTD Management  Inc.</v>
      </c>
      <c r="C4" s="1086"/>
      <c r="D4" s="167"/>
      <c r="E4" s="167"/>
      <c r="F4" s="803"/>
      <c r="G4" s="803"/>
      <c r="H4" s="804"/>
    </row>
    <row r="5" spans="2:9" ht="18" customHeight="1" x14ac:dyDescent="0.4">
      <c r="B5" s="168" t="s">
        <v>766</v>
      </c>
      <c r="C5" s="169">
        <f>'Estimate Summary'!B3</f>
        <v>46140</v>
      </c>
      <c r="D5" s="170"/>
      <c r="E5" s="170"/>
      <c r="F5" s="805"/>
      <c r="G5" s="1093" t="s">
        <v>928</v>
      </c>
      <c r="H5" s="1094"/>
    </row>
    <row r="6" spans="2:9" ht="9" customHeight="1" thickBot="1" x14ac:dyDescent="0.3">
      <c r="B6" s="171"/>
      <c r="C6" s="172"/>
      <c r="D6" s="172"/>
      <c r="E6" s="172"/>
      <c r="F6" s="173"/>
      <c r="G6" s="174"/>
      <c r="H6" s="175"/>
    </row>
    <row r="7" spans="2:9" ht="18" customHeight="1" x14ac:dyDescent="0.3">
      <c r="B7" s="176" t="s">
        <v>675</v>
      </c>
      <c r="C7" s="177" t="s">
        <v>3</v>
      </c>
      <c r="D7" s="177"/>
      <c r="E7" s="177"/>
      <c r="F7" s="178"/>
      <c r="G7" s="179"/>
      <c r="H7" s="180">
        <f>SUM(G8:G17)</f>
        <v>104578.16336699999</v>
      </c>
    </row>
    <row r="8" spans="2:9" ht="17.100000000000001" customHeight="1" x14ac:dyDescent="0.25">
      <c r="B8" s="181" t="s">
        <v>103</v>
      </c>
      <c r="C8" s="14" t="s">
        <v>999</v>
      </c>
      <c r="D8" s="14"/>
      <c r="E8" s="14"/>
      <c r="G8" s="182">
        <f>'1'!K25</f>
        <v>21450</v>
      </c>
      <c r="H8" s="183"/>
    </row>
    <row r="9" spans="2:9" ht="17.100000000000001" customHeight="1" x14ac:dyDescent="0.25">
      <c r="B9" s="184" t="s">
        <v>104</v>
      </c>
      <c r="C9" s="15" t="s">
        <v>105</v>
      </c>
      <c r="D9" s="15"/>
      <c r="E9" s="15"/>
      <c r="G9" s="182">
        <f>'1'!K36</f>
        <v>63750</v>
      </c>
      <c r="H9" s="183"/>
    </row>
    <row r="10" spans="2:9" ht="17.100000000000001" customHeight="1" x14ac:dyDescent="0.25">
      <c r="B10" s="184" t="s">
        <v>788</v>
      </c>
      <c r="C10" s="15" t="s">
        <v>1151</v>
      </c>
      <c r="D10" s="15"/>
      <c r="E10" s="15"/>
      <c r="G10" s="182">
        <f>'1'!K46+'1'!K56</f>
        <v>1357.1064768000001</v>
      </c>
      <c r="H10" s="183"/>
    </row>
    <row r="11" spans="2:9" ht="17.100000000000001" customHeight="1" x14ac:dyDescent="0.25">
      <c r="B11" s="184" t="s">
        <v>106</v>
      </c>
      <c r="C11" s="15" t="s">
        <v>107</v>
      </c>
      <c r="D11" s="15"/>
      <c r="E11" s="15"/>
      <c r="G11" s="182">
        <f>'1'!K67</f>
        <v>5301.1971750000002</v>
      </c>
      <c r="H11" s="183"/>
    </row>
    <row r="12" spans="2:9" ht="17.100000000000001" hidden="1" customHeight="1" x14ac:dyDescent="0.25">
      <c r="B12" s="184" t="s">
        <v>141</v>
      </c>
      <c r="C12" s="15" t="s">
        <v>142</v>
      </c>
      <c r="D12" s="15"/>
      <c r="E12" s="15"/>
      <c r="G12" s="182">
        <f>'1'!K76</f>
        <v>3250</v>
      </c>
      <c r="H12" s="183"/>
    </row>
    <row r="13" spans="2:9" ht="17.100000000000001" hidden="1" customHeight="1" x14ac:dyDescent="0.25">
      <c r="B13" s="184" t="s">
        <v>108</v>
      </c>
      <c r="C13" s="15" t="s">
        <v>109</v>
      </c>
      <c r="D13" s="15"/>
      <c r="E13" s="15"/>
      <c r="G13" s="182">
        <f>'1'!K87</f>
        <v>0</v>
      </c>
      <c r="H13" s="183"/>
    </row>
    <row r="14" spans="2:9" ht="17.100000000000001" customHeight="1" x14ac:dyDescent="0.25">
      <c r="B14" s="184" t="s">
        <v>111</v>
      </c>
      <c r="C14" s="15" t="s">
        <v>110</v>
      </c>
      <c r="D14" s="15"/>
      <c r="E14" s="15"/>
      <c r="G14" s="182">
        <f>'1'!K97</f>
        <v>2276.2544594999999</v>
      </c>
      <c r="H14" s="183"/>
    </row>
    <row r="15" spans="2:9" ht="17.100000000000001" customHeight="1" x14ac:dyDescent="0.25">
      <c r="B15" s="184" t="s">
        <v>112</v>
      </c>
      <c r="C15" s="15" t="s">
        <v>113</v>
      </c>
      <c r="D15" s="15"/>
      <c r="E15" s="15"/>
      <c r="G15" s="182">
        <f>'1'!K105+'1'!K120</f>
        <v>3146.9052557000005</v>
      </c>
      <c r="H15" s="183"/>
      <c r="I15" s="926"/>
    </row>
    <row r="16" spans="2:9" ht="17.100000000000001" customHeight="1" x14ac:dyDescent="0.25">
      <c r="B16" s="184" t="s">
        <v>114</v>
      </c>
      <c r="C16" s="15" t="s">
        <v>115</v>
      </c>
      <c r="D16" s="15"/>
      <c r="E16" s="15"/>
      <c r="G16" s="182">
        <f>'1'!K128</f>
        <v>596.70000000000005</v>
      </c>
      <c r="H16" s="183"/>
    </row>
    <row r="17" spans="2:8" ht="17.100000000000001" customHeight="1" x14ac:dyDescent="0.25">
      <c r="B17" s="184" t="s">
        <v>116</v>
      </c>
      <c r="C17" s="15" t="s">
        <v>117</v>
      </c>
      <c r="D17" s="15"/>
      <c r="E17" s="15"/>
      <c r="G17" s="182">
        <f>'1'!K136</f>
        <v>3450</v>
      </c>
      <c r="H17" s="183"/>
    </row>
    <row r="18" spans="2:8" ht="5.0999999999999996" customHeight="1" x14ac:dyDescent="0.25">
      <c r="B18" s="185"/>
      <c r="C18" s="186"/>
      <c r="D18" s="186"/>
      <c r="E18" s="186"/>
      <c r="F18" s="187"/>
      <c r="G18" s="188"/>
      <c r="H18" s="189"/>
    </row>
    <row r="19" spans="2:8" ht="19.2" customHeight="1" x14ac:dyDescent="0.3">
      <c r="B19" s="190" t="s">
        <v>150</v>
      </c>
      <c r="C19" s="191" t="s">
        <v>152</v>
      </c>
      <c r="D19" s="191"/>
      <c r="E19" s="191"/>
      <c r="G19" s="158"/>
      <c r="H19" s="192">
        <f>SUM(G20:G22)</f>
        <v>21250</v>
      </c>
    </row>
    <row r="20" spans="2:8" ht="17.100000000000001" customHeight="1" x14ac:dyDescent="0.25">
      <c r="B20" s="193" t="s">
        <v>151</v>
      </c>
      <c r="C20" s="194" t="s">
        <v>1147</v>
      </c>
      <c r="D20" s="194"/>
      <c r="E20" s="194"/>
      <c r="G20" s="182">
        <f>'2'!K24</f>
        <v>21250</v>
      </c>
      <c r="H20" s="183"/>
    </row>
    <row r="21" spans="2:8" ht="17.100000000000001" hidden="1" customHeight="1" x14ac:dyDescent="0.25">
      <c r="B21" s="193" t="s">
        <v>153</v>
      </c>
      <c r="C21" s="194" t="s">
        <v>768</v>
      </c>
      <c r="D21" s="194"/>
      <c r="E21" s="194"/>
      <c r="G21" s="182">
        <f>'2'!K35</f>
        <v>0</v>
      </c>
      <c r="H21" s="183"/>
    </row>
    <row r="22" spans="2:8" ht="17.100000000000001" hidden="1" customHeight="1" x14ac:dyDescent="0.25">
      <c r="B22" s="193" t="s">
        <v>155</v>
      </c>
      <c r="C22" s="194" t="s">
        <v>1004</v>
      </c>
      <c r="D22" s="194"/>
      <c r="E22" s="194"/>
      <c r="G22" s="182">
        <f>'2'!K46</f>
        <v>0</v>
      </c>
      <c r="H22" s="183"/>
    </row>
    <row r="23" spans="2:8" ht="5.0999999999999996" customHeight="1" x14ac:dyDescent="0.25">
      <c r="B23" s="185"/>
      <c r="C23" s="186"/>
      <c r="D23" s="186"/>
      <c r="E23" s="186"/>
      <c r="F23" s="187"/>
      <c r="G23" s="188"/>
      <c r="H23" s="189"/>
    </row>
    <row r="24" spans="2:8" ht="19.2" customHeight="1" x14ac:dyDescent="0.3">
      <c r="B24" s="190" t="s">
        <v>156</v>
      </c>
      <c r="C24" s="191" t="s">
        <v>4</v>
      </c>
      <c r="D24" s="191"/>
      <c r="E24" s="191"/>
      <c r="G24" s="158"/>
      <c r="H24" s="192">
        <f>SUM(G25:G29)</f>
        <v>50324.7</v>
      </c>
    </row>
    <row r="25" spans="2:8" ht="17.100000000000001" customHeight="1" x14ac:dyDescent="0.25">
      <c r="B25" s="193" t="s">
        <v>157</v>
      </c>
      <c r="C25" s="194" t="s">
        <v>158</v>
      </c>
      <c r="D25" s="194"/>
      <c r="E25" s="194"/>
      <c r="G25" s="182">
        <f>'3'!K18</f>
        <v>25200</v>
      </c>
      <c r="H25" s="183"/>
    </row>
    <row r="26" spans="2:8" ht="17.100000000000001" customHeight="1" x14ac:dyDescent="0.25">
      <c r="B26" s="193" t="s">
        <v>160</v>
      </c>
      <c r="C26" s="194" t="s">
        <v>159</v>
      </c>
      <c r="D26" s="194"/>
      <c r="E26" s="194"/>
      <c r="G26" s="182">
        <f>'3'!K26</f>
        <v>11950</v>
      </c>
      <c r="H26" s="183"/>
    </row>
    <row r="27" spans="2:8" ht="17.100000000000001" customHeight="1" x14ac:dyDescent="0.25">
      <c r="B27" s="193" t="s">
        <v>161</v>
      </c>
      <c r="C27" s="194" t="s">
        <v>165</v>
      </c>
      <c r="D27" s="194"/>
      <c r="E27" s="194"/>
      <c r="G27" s="182">
        <f>'3'!K37+'3'!K44</f>
        <v>9488.7000000000007</v>
      </c>
      <c r="H27" s="183"/>
    </row>
    <row r="28" spans="2:8" ht="17.100000000000001" hidden="1" customHeight="1" x14ac:dyDescent="0.25">
      <c r="B28" s="193" t="s">
        <v>163</v>
      </c>
      <c r="C28" s="194" t="s">
        <v>167</v>
      </c>
      <c r="D28" s="194"/>
      <c r="E28" s="194"/>
      <c r="G28" s="182">
        <f>'3'!K49</f>
        <v>0</v>
      </c>
      <c r="H28" s="183"/>
    </row>
    <row r="29" spans="2:8" ht="17.100000000000001" customHeight="1" x14ac:dyDescent="0.25">
      <c r="B29" s="193" t="s">
        <v>164</v>
      </c>
      <c r="C29" s="194" t="s">
        <v>1145</v>
      </c>
      <c r="D29" s="194"/>
      <c r="E29" s="194"/>
      <c r="G29" s="182">
        <f>'3'!K58</f>
        <v>3686</v>
      </c>
      <c r="H29" s="183"/>
    </row>
    <row r="30" spans="2:8" ht="5.0999999999999996" customHeight="1" x14ac:dyDescent="0.25">
      <c r="B30" s="185"/>
      <c r="C30" s="186"/>
      <c r="D30" s="186"/>
      <c r="E30" s="186"/>
      <c r="F30" s="187"/>
      <c r="G30" s="188"/>
      <c r="H30" s="189"/>
    </row>
    <row r="31" spans="2:8" ht="17.100000000000001" customHeight="1" x14ac:dyDescent="0.3">
      <c r="B31" s="190" t="s">
        <v>169</v>
      </c>
      <c r="C31" s="191" t="s">
        <v>5</v>
      </c>
      <c r="D31" s="191"/>
      <c r="E31" s="191"/>
      <c r="G31" s="158"/>
      <c r="H31" s="192">
        <f>SUM(G32:G33)</f>
        <v>21700</v>
      </c>
    </row>
    <row r="32" spans="2:8" ht="17.100000000000001" customHeight="1" x14ac:dyDescent="0.25">
      <c r="B32" s="193" t="s">
        <v>170</v>
      </c>
      <c r="C32" s="194" t="s">
        <v>172</v>
      </c>
      <c r="D32" s="194"/>
      <c r="E32" s="194"/>
      <c r="G32" s="182">
        <f>'4'!K19</f>
        <v>21700</v>
      </c>
      <c r="H32" s="183"/>
    </row>
    <row r="33" spans="2:8" ht="17.100000000000001" hidden="1" customHeight="1" x14ac:dyDescent="0.25">
      <c r="B33" s="193" t="s">
        <v>677</v>
      </c>
      <c r="C33" s="194" t="s">
        <v>678</v>
      </c>
      <c r="D33" s="194"/>
      <c r="E33" s="194"/>
      <c r="G33" s="182">
        <f>'4'!K30</f>
        <v>0</v>
      </c>
      <c r="H33" s="183"/>
    </row>
    <row r="34" spans="2:8" ht="5.0999999999999996" customHeight="1" x14ac:dyDescent="0.25">
      <c r="B34" s="185"/>
      <c r="C34" s="186"/>
      <c r="D34" s="186"/>
      <c r="E34" s="186"/>
      <c r="F34" s="187"/>
      <c r="G34" s="188"/>
      <c r="H34" s="189"/>
    </row>
    <row r="35" spans="2:8" ht="19.2" customHeight="1" x14ac:dyDescent="0.3">
      <c r="B35" s="190" t="s">
        <v>175</v>
      </c>
      <c r="C35" s="191" t="s">
        <v>6</v>
      </c>
      <c r="D35" s="191"/>
      <c r="E35" s="191"/>
      <c r="G35" s="158"/>
      <c r="H35" s="192">
        <f>SUM(G36:G39)</f>
        <v>66140</v>
      </c>
    </row>
    <row r="36" spans="2:8" ht="17.100000000000001" customHeight="1" x14ac:dyDescent="0.25">
      <c r="B36" s="193" t="s">
        <v>176</v>
      </c>
      <c r="C36" s="194" t="s">
        <v>182</v>
      </c>
      <c r="D36" s="194"/>
      <c r="E36" s="194"/>
      <c r="G36" s="182">
        <f>'5'!K19</f>
        <v>64100</v>
      </c>
      <c r="H36" s="183"/>
    </row>
    <row r="37" spans="2:8" ht="17.100000000000001" hidden="1" customHeight="1" x14ac:dyDescent="0.25">
      <c r="B37" s="193" t="s">
        <v>177</v>
      </c>
      <c r="C37" s="194" t="s">
        <v>183</v>
      </c>
      <c r="D37" s="194"/>
      <c r="E37" s="194"/>
      <c r="G37" s="182">
        <f>'5'!K29</f>
        <v>0</v>
      </c>
      <c r="H37" s="183"/>
    </row>
    <row r="38" spans="2:8" ht="17.100000000000001" hidden="1" customHeight="1" x14ac:dyDescent="0.25">
      <c r="B38" s="193" t="s">
        <v>178</v>
      </c>
      <c r="C38" s="194" t="s">
        <v>184</v>
      </c>
      <c r="D38" s="194"/>
      <c r="E38" s="194"/>
      <c r="G38" s="182">
        <f>'5'!K37</f>
        <v>0</v>
      </c>
      <c r="H38" s="183"/>
    </row>
    <row r="39" spans="2:8" ht="17.100000000000001" customHeight="1" x14ac:dyDescent="0.25">
      <c r="B39" s="193" t="s">
        <v>679</v>
      </c>
      <c r="C39" s="194" t="s">
        <v>680</v>
      </c>
      <c r="D39" s="194"/>
      <c r="E39" s="194"/>
      <c r="G39" s="182">
        <f>'5'!K46+'5'!K57+'5'!K66</f>
        <v>2040</v>
      </c>
      <c r="H39" s="183"/>
    </row>
    <row r="40" spans="2:8" ht="5.0999999999999996" customHeight="1" x14ac:dyDescent="0.25">
      <c r="B40" s="185"/>
      <c r="C40" s="186"/>
      <c r="D40" s="186"/>
      <c r="E40" s="186"/>
      <c r="F40" s="187"/>
      <c r="G40" s="188"/>
      <c r="H40" s="189"/>
    </row>
    <row r="41" spans="2:8" ht="19.2" hidden="1" customHeight="1" x14ac:dyDescent="0.3">
      <c r="B41" s="190" t="s">
        <v>188</v>
      </c>
      <c r="C41" s="191" t="s">
        <v>189</v>
      </c>
      <c r="D41" s="191"/>
      <c r="E41" s="191"/>
      <c r="G41" s="158"/>
      <c r="H41" s="192">
        <f>SUM(G42:G45)</f>
        <v>0</v>
      </c>
    </row>
    <row r="42" spans="2:8" ht="17.100000000000001" hidden="1" customHeight="1" x14ac:dyDescent="0.25">
      <c r="B42" s="193" t="s">
        <v>714</v>
      </c>
      <c r="C42" s="196" t="s">
        <v>871</v>
      </c>
      <c r="D42" s="196"/>
      <c r="E42" s="196"/>
      <c r="G42" s="182">
        <f>'6'!K19</f>
        <v>0</v>
      </c>
      <c r="H42" s="183"/>
    </row>
    <row r="43" spans="2:8" ht="17.100000000000001" hidden="1" customHeight="1" x14ac:dyDescent="0.25">
      <c r="B43" s="193" t="s">
        <v>714</v>
      </c>
      <c r="C43" s="196" t="s">
        <v>890</v>
      </c>
      <c r="D43" s="196"/>
      <c r="E43" s="196"/>
      <c r="G43" s="182">
        <f>'6'!K36</f>
        <v>0</v>
      </c>
      <c r="H43" s="183"/>
    </row>
    <row r="44" spans="2:8" ht="17.100000000000001" hidden="1" customHeight="1" x14ac:dyDescent="0.25">
      <c r="B44" s="193" t="s">
        <v>191</v>
      </c>
      <c r="C44" s="196" t="s">
        <v>48</v>
      </c>
      <c r="D44" s="196"/>
      <c r="E44" s="196"/>
      <c r="G44" s="182">
        <f>'6'!K47</f>
        <v>0</v>
      </c>
      <c r="H44" s="183"/>
    </row>
    <row r="45" spans="2:8" ht="17.100000000000001" hidden="1" customHeight="1" x14ac:dyDescent="0.25">
      <c r="B45" s="193" t="s">
        <v>681</v>
      </c>
      <c r="C45" s="196" t="s">
        <v>682</v>
      </c>
      <c r="D45" s="196"/>
      <c r="E45" s="196"/>
      <c r="G45" s="182">
        <f>'6'!K55+'6'!K64+'6'!K75+'6'!K84+'6'!K91</f>
        <v>0</v>
      </c>
      <c r="H45" s="183"/>
    </row>
    <row r="46" spans="2:8" ht="5.0999999999999996" hidden="1" customHeight="1" x14ac:dyDescent="0.25">
      <c r="B46" s="185"/>
      <c r="C46" s="186"/>
      <c r="D46" s="186"/>
      <c r="E46" s="186"/>
      <c r="F46" s="187"/>
      <c r="G46" s="188"/>
      <c r="H46" s="189"/>
    </row>
    <row r="47" spans="2:8" ht="19.2" customHeight="1" x14ac:dyDescent="0.3">
      <c r="B47" s="190" t="s">
        <v>202</v>
      </c>
      <c r="C47" s="191" t="s">
        <v>57</v>
      </c>
      <c r="D47" s="191"/>
      <c r="E47" s="191"/>
      <c r="G47" s="158"/>
      <c r="H47" s="192">
        <f>SUM(G48:G57)</f>
        <v>124516</v>
      </c>
    </row>
    <row r="48" spans="2:8" ht="17.100000000000001" hidden="1" customHeight="1" x14ac:dyDescent="0.25">
      <c r="B48" s="193" t="s">
        <v>203</v>
      </c>
      <c r="C48" s="196" t="s">
        <v>204</v>
      </c>
      <c r="D48" s="196"/>
      <c r="E48" s="196"/>
      <c r="G48" s="182">
        <f>'7'!K16</f>
        <v>0</v>
      </c>
      <c r="H48" s="183"/>
    </row>
    <row r="49" spans="2:8" ht="17.100000000000001" hidden="1" customHeight="1" x14ac:dyDescent="0.25">
      <c r="B49" s="193" t="s">
        <v>211</v>
      </c>
      <c r="C49" s="196" t="s">
        <v>212</v>
      </c>
      <c r="D49" s="196"/>
      <c r="E49" s="196"/>
      <c r="G49" s="182">
        <f>'7'!K22</f>
        <v>0</v>
      </c>
      <c r="H49" s="183"/>
    </row>
    <row r="50" spans="2:8" ht="17.100000000000001" hidden="1" customHeight="1" x14ac:dyDescent="0.25">
      <c r="B50" s="193" t="s">
        <v>213</v>
      </c>
      <c r="C50" s="196" t="s">
        <v>214</v>
      </c>
      <c r="D50" s="196"/>
      <c r="E50" s="196"/>
      <c r="G50" s="182">
        <f>'7'!K27</f>
        <v>0</v>
      </c>
      <c r="H50" s="183"/>
    </row>
    <row r="51" spans="2:8" ht="17.100000000000001" hidden="1" customHeight="1" x14ac:dyDescent="0.25">
      <c r="B51" s="193" t="s">
        <v>215</v>
      </c>
      <c r="C51" s="196" t="s">
        <v>216</v>
      </c>
      <c r="D51" s="196"/>
      <c r="E51" s="196"/>
      <c r="G51" s="182">
        <f>'7'!K33</f>
        <v>0</v>
      </c>
      <c r="H51" s="183"/>
    </row>
    <row r="52" spans="2:8" ht="17.100000000000001" customHeight="1" x14ac:dyDescent="0.25">
      <c r="B52" s="193" t="s">
        <v>217</v>
      </c>
      <c r="C52" s="196" t="s">
        <v>58</v>
      </c>
      <c r="D52" s="196"/>
      <c r="E52" s="196"/>
      <c r="G52" s="182">
        <f>'7'!K45</f>
        <v>77450</v>
      </c>
      <c r="H52" s="183"/>
    </row>
    <row r="53" spans="2:8" ht="17.100000000000001" customHeight="1" x14ac:dyDescent="0.25">
      <c r="B53" s="193" t="s">
        <v>683</v>
      </c>
      <c r="C53" s="196" t="s">
        <v>59</v>
      </c>
      <c r="D53" s="196"/>
      <c r="E53" s="196"/>
      <c r="G53" s="182">
        <f>'7'!K53+'7'!K58</f>
        <v>42586</v>
      </c>
      <c r="H53" s="183"/>
    </row>
    <row r="54" spans="2:8" ht="17.100000000000001" hidden="1" customHeight="1" x14ac:dyDescent="0.25">
      <c r="B54" s="193" t="s">
        <v>685</v>
      </c>
      <c r="C54" s="196" t="s">
        <v>684</v>
      </c>
      <c r="D54" s="196"/>
      <c r="E54" s="196"/>
      <c r="G54" s="182">
        <f>'7'!K63+'7'!K68+'7'!K74</f>
        <v>0</v>
      </c>
      <c r="H54" s="183"/>
    </row>
    <row r="55" spans="2:8" ht="17.100000000000001" hidden="1" customHeight="1" x14ac:dyDescent="0.25">
      <c r="B55" s="193" t="s">
        <v>228</v>
      </c>
      <c r="C55" s="196" t="s">
        <v>229</v>
      </c>
      <c r="D55" s="196"/>
      <c r="E55" s="196"/>
      <c r="G55" s="182">
        <f>'7'!K80</f>
        <v>0</v>
      </c>
      <c r="H55" s="183"/>
    </row>
    <row r="56" spans="2:8" ht="17.100000000000001" customHeight="1" x14ac:dyDescent="0.25">
      <c r="B56" s="193" t="s">
        <v>686</v>
      </c>
      <c r="C56" s="196" t="s">
        <v>687</v>
      </c>
      <c r="D56" s="196"/>
      <c r="E56" s="196"/>
      <c r="G56" s="182">
        <f>'7'!K86</f>
        <v>4480</v>
      </c>
      <c r="H56" s="183"/>
    </row>
    <row r="57" spans="2:8" ht="17.100000000000001" hidden="1" customHeight="1" x14ac:dyDescent="0.25">
      <c r="B57" s="193" t="s">
        <v>237</v>
      </c>
      <c r="C57" s="196" t="s">
        <v>238</v>
      </c>
      <c r="D57" s="196"/>
      <c r="E57" s="196"/>
      <c r="G57" s="182">
        <f>'7'!K92</f>
        <v>0</v>
      </c>
      <c r="H57" s="183"/>
    </row>
    <row r="58" spans="2:8" ht="5.0999999999999996" customHeight="1" x14ac:dyDescent="0.25">
      <c r="B58" s="185"/>
      <c r="C58" s="186"/>
      <c r="D58" s="186"/>
      <c r="E58" s="186"/>
      <c r="F58" s="187"/>
      <c r="G58" s="188"/>
      <c r="H58" s="189"/>
    </row>
    <row r="59" spans="2:8" ht="19.2" customHeight="1" x14ac:dyDescent="0.3">
      <c r="B59" s="190" t="s">
        <v>239</v>
      </c>
      <c r="C59" s="191" t="s">
        <v>240</v>
      </c>
      <c r="D59" s="191"/>
      <c r="E59" s="191"/>
      <c r="G59" s="158"/>
      <c r="H59" s="192">
        <f>SUM(G60:G66)</f>
        <v>72030</v>
      </c>
    </row>
    <row r="60" spans="2:8" ht="17.100000000000001" customHeight="1" x14ac:dyDescent="0.25">
      <c r="B60" s="193" t="s">
        <v>688</v>
      </c>
      <c r="C60" s="196" t="s">
        <v>689</v>
      </c>
      <c r="D60" s="196"/>
      <c r="E60" s="196"/>
      <c r="G60" s="182">
        <f>'8'!K18+'8'!K24</f>
        <v>72030</v>
      </c>
      <c r="H60" s="183"/>
    </row>
    <row r="61" spans="2:8" ht="17.100000000000001" hidden="1" customHeight="1" x14ac:dyDescent="0.25">
      <c r="B61" s="193" t="s">
        <v>690</v>
      </c>
      <c r="C61" s="196" t="s">
        <v>691</v>
      </c>
      <c r="D61" s="196"/>
      <c r="E61" s="196"/>
      <c r="G61" s="182">
        <f>'8'!K29+'8'!K35+'8'!K41+'8'!K47+'8'!K52</f>
        <v>0</v>
      </c>
      <c r="H61" s="183"/>
    </row>
    <row r="62" spans="2:8" ht="17.100000000000001" hidden="1" customHeight="1" x14ac:dyDescent="0.25">
      <c r="B62" s="193" t="s">
        <v>692</v>
      </c>
      <c r="C62" s="196" t="s">
        <v>693</v>
      </c>
      <c r="D62" s="196"/>
      <c r="E62" s="196"/>
      <c r="G62" s="182">
        <f>'8'!K59+'8'!K66</f>
        <v>0</v>
      </c>
      <c r="H62" s="183"/>
    </row>
    <row r="63" spans="2:8" ht="17.100000000000001" hidden="1" customHeight="1" x14ac:dyDescent="0.25">
      <c r="B63" s="193" t="s">
        <v>259</v>
      </c>
      <c r="C63" s="196" t="s">
        <v>95</v>
      </c>
      <c r="D63" s="196"/>
      <c r="E63" s="196"/>
      <c r="G63" s="182">
        <f>'8'!K73</f>
        <v>0</v>
      </c>
      <c r="H63" s="183"/>
    </row>
    <row r="64" spans="2:8" ht="17.100000000000001" hidden="1" customHeight="1" x14ac:dyDescent="0.25">
      <c r="B64" s="193" t="s">
        <v>263</v>
      </c>
      <c r="C64" s="196" t="s">
        <v>696</v>
      </c>
      <c r="D64" s="196"/>
      <c r="E64" s="196"/>
      <c r="G64" s="182">
        <f>'8'!K79</f>
        <v>0</v>
      </c>
      <c r="H64" s="183"/>
    </row>
    <row r="65" spans="2:8" ht="17.100000000000001" hidden="1" customHeight="1" x14ac:dyDescent="0.25">
      <c r="B65" s="193" t="s">
        <v>694</v>
      </c>
      <c r="C65" s="196" t="s">
        <v>63</v>
      </c>
      <c r="D65" s="196"/>
      <c r="E65" s="196"/>
      <c r="G65" s="182">
        <f>'8'!K85+'8'!K91+'8'!K97</f>
        <v>0</v>
      </c>
      <c r="H65" s="183"/>
    </row>
    <row r="66" spans="2:8" ht="17.100000000000001" hidden="1" customHeight="1" thickBot="1" x14ac:dyDescent="0.3">
      <c r="B66" s="999" t="s">
        <v>695</v>
      </c>
      <c r="C66" s="197" t="s">
        <v>271</v>
      </c>
      <c r="D66" s="197"/>
      <c r="E66" s="197"/>
      <c r="F66" s="156"/>
      <c r="G66" s="198">
        <f>'8'!K103</f>
        <v>0</v>
      </c>
      <c r="H66" s="199"/>
    </row>
    <row r="67" spans="2:8" ht="5.0999999999999996" customHeight="1" thickBot="1" x14ac:dyDescent="0.3">
      <c r="B67" s="185"/>
      <c r="C67" s="186"/>
      <c r="D67" s="186"/>
      <c r="E67" s="186"/>
      <c r="F67" s="187"/>
      <c r="G67" s="188"/>
      <c r="H67" s="189"/>
    </row>
    <row r="68" spans="2:8" ht="19.2" customHeight="1" x14ac:dyDescent="0.3">
      <c r="B68" s="176" t="s">
        <v>272</v>
      </c>
      <c r="C68" s="177" t="s">
        <v>8</v>
      </c>
      <c r="D68" s="177"/>
      <c r="E68" s="177"/>
      <c r="F68" s="178"/>
      <c r="G68" s="179"/>
      <c r="H68" s="180">
        <f>SUM(G69:G74)</f>
        <v>61249.590000000004</v>
      </c>
    </row>
    <row r="69" spans="2:8" ht="17.100000000000001" customHeight="1" x14ac:dyDescent="0.25">
      <c r="B69" s="193" t="s">
        <v>273</v>
      </c>
      <c r="C69" s="196" t="s">
        <v>274</v>
      </c>
      <c r="D69" s="196"/>
      <c r="E69" s="196"/>
      <c r="G69" s="182">
        <f>'9'!K25</f>
        <v>36493.72</v>
      </c>
      <c r="H69" s="183"/>
    </row>
    <row r="70" spans="2:8" ht="17.100000000000001" hidden="1" customHeight="1" x14ac:dyDescent="0.25">
      <c r="B70" s="193" t="s">
        <v>275</v>
      </c>
      <c r="C70" s="196" t="s">
        <v>276</v>
      </c>
      <c r="D70" s="196"/>
      <c r="E70" s="196"/>
      <c r="G70" s="182">
        <f>'9'!K33</f>
        <v>0</v>
      </c>
      <c r="H70" s="183"/>
    </row>
    <row r="71" spans="2:8" ht="17.100000000000001" hidden="1" customHeight="1" x14ac:dyDescent="0.25">
      <c r="B71" s="193" t="s">
        <v>277</v>
      </c>
      <c r="C71" s="196" t="s">
        <v>278</v>
      </c>
      <c r="D71" s="196"/>
      <c r="E71" s="196"/>
      <c r="G71" s="182">
        <f>'9'!K39</f>
        <v>0</v>
      </c>
      <c r="H71" s="183"/>
    </row>
    <row r="72" spans="2:8" ht="17.100000000000001" customHeight="1" x14ac:dyDescent="0.25">
      <c r="B72" s="193" t="s">
        <v>279</v>
      </c>
      <c r="C72" s="196" t="s">
        <v>80</v>
      </c>
      <c r="D72" s="196"/>
      <c r="E72" s="196"/>
      <c r="G72" s="182">
        <f>'9'!K52</f>
        <v>19250</v>
      </c>
      <c r="H72" s="183"/>
    </row>
    <row r="73" spans="2:8" ht="17.100000000000001" hidden="1" customHeight="1" x14ac:dyDescent="0.25">
      <c r="B73" s="193" t="s">
        <v>697</v>
      </c>
      <c r="C73" s="196" t="s">
        <v>698</v>
      </c>
      <c r="D73" s="196"/>
      <c r="E73" s="196"/>
      <c r="G73" s="182">
        <f>'9'!K58</f>
        <v>0</v>
      </c>
      <c r="H73" s="183"/>
    </row>
    <row r="74" spans="2:8" ht="17.100000000000001" customHeight="1" x14ac:dyDescent="0.25">
      <c r="B74" s="193" t="s">
        <v>699</v>
      </c>
      <c r="C74" s="196" t="s">
        <v>81</v>
      </c>
      <c r="D74" s="196"/>
      <c r="E74" s="196"/>
      <c r="G74" s="182">
        <f>'9'!K67</f>
        <v>5505.87</v>
      </c>
      <c r="H74" s="183"/>
    </row>
    <row r="75" spans="2:8" ht="5.0999999999999996" customHeight="1" x14ac:dyDescent="0.25">
      <c r="B75" s="185"/>
      <c r="C75" s="186"/>
      <c r="D75" s="186"/>
      <c r="E75" s="186"/>
      <c r="F75" s="187"/>
      <c r="G75" s="188"/>
      <c r="H75" s="189"/>
    </row>
    <row r="76" spans="2:8" ht="19.2" hidden="1" customHeight="1" x14ac:dyDescent="0.3">
      <c r="B76" s="190" t="s">
        <v>291</v>
      </c>
      <c r="C76" s="191" t="s">
        <v>9</v>
      </c>
      <c r="D76" s="191"/>
      <c r="E76" s="191"/>
      <c r="G76" s="158"/>
      <c r="H76" s="192">
        <f>SUM(G77:G82)</f>
        <v>0</v>
      </c>
    </row>
    <row r="77" spans="2:8" ht="17.100000000000001" hidden="1" customHeight="1" x14ac:dyDescent="0.25">
      <c r="B77" s="193" t="s">
        <v>292</v>
      </c>
      <c r="C77" s="196" t="s">
        <v>293</v>
      </c>
      <c r="D77" s="196"/>
      <c r="E77" s="196"/>
      <c r="G77" s="182">
        <f>'10'!K17</f>
        <v>0</v>
      </c>
      <c r="H77" s="183"/>
    </row>
    <row r="78" spans="2:8" ht="17.100000000000001" hidden="1" customHeight="1" x14ac:dyDescent="0.25">
      <c r="B78" s="193" t="s">
        <v>294</v>
      </c>
      <c r="C78" s="196" t="s">
        <v>295</v>
      </c>
      <c r="D78" s="196"/>
      <c r="E78" s="196"/>
      <c r="G78" s="182">
        <f>'10'!K25</f>
        <v>0</v>
      </c>
      <c r="H78" s="183"/>
    </row>
    <row r="79" spans="2:8" ht="17.100000000000001" hidden="1" customHeight="1" x14ac:dyDescent="0.25">
      <c r="B79" s="193" t="s">
        <v>296</v>
      </c>
      <c r="C79" s="196" t="s">
        <v>297</v>
      </c>
      <c r="D79" s="196"/>
      <c r="E79" s="196"/>
      <c r="G79" s="182">
        <f>'10'!K38</f>
        <v>0</v>
      </c>
      <c r="H79" s="183"/>
    </row>
    <row r="80" spans="2:8" ht="17.100000000000001" hidden="1" customHeight="1" x14ac:dyDescent="0.25">
      <c r="B80" s="193" t="s">
        <v>701</v>
      </c>
      <c r="C80" s="196" t="s">
        <v>700</v>
      </c>
      <c r="D80" s="196"/>
      <c r="E80" s="196"/>
      <c r="G80" s="182">
        <f>'10'!K44</f>
        <v>0</v>
      </c>
      <c r="H80" s="183"/>
    </row>
    <row r="81" spans="2:8" ht="17.100000000000001" hidden="1" customHeight="1" x14ac:dyDescent="0.25">
      <c r="B81" s="193" t="s">
        <v>702</v>
      </c>
      <c r="C81" s="196" t="s">
        <v>703</v>
      </c>
      <c r="D81" s="196"/>
      <c r="E81" s="196"/>
      <c r="G81" s="182">
        <f>'10'!K51</f>
        <v>0</v>
      </c>
      <c r="H81" s="183"/>
    </row>
    <row r="82" spans="2:8" ht="17.100000000000001" hidden="1" customHeight="1" thickBot="1" x14ac:dyDescent="0.3">
      <c r="B82" s="999" t="s">
        <v>317</v>
      </c>
      <c r="C82" s="197" t="s">
        <v>318</v>
      </c>
      <c r="D82" s="197"/>
      <c r="E82" s="197"/>
      <c r="F82" s="156"/>
      <c r="G82" s="198">
        <f>'10'!K63</f>
        <v>0</v>
      </c>
      <c r="H82" s="199"/>
    </row>
    <row r="83" spans="2:8" ht="7.2" hidden="1" customHeight="1" thickBot="1" x14ac:dyDescent="0.3">
      <c r="B83" s="201"/>
      <c r="C83" s="202"/>
      <c r="D83" s="202"/>
      <c r="E83" s="202"/>
      <c r="F83" s="203"/>
      <c r="G83" s="204"/>
      <c r="H83" s="205"/>
    </row>
    <row r="84" spans="2:8" ht="19.2" hidden="1" customHeight="1" x14ac:dyDescent="0.3">
      <c r="B84" s="176" t="s">
        <v>325</v>
      </c>
      <c r="C84" s="177" t="s">
        <v>71</v>
      </c>
      <c r="D84" s="177"/>
      <c r="E84" s="177"/>
      <c r="F84" s="178"/>
      <c r="G84" s="179"/>
      <c r="H84" s="180">
        <f>SUM(G85:G88)</f>
        <v>0</v>
      </c>
    </row>
    <row r="85" spans="2:8" ht="17.100000000000001" hidden="1" customHeight="1" x14ac:dyDescent="0.25">
      <c r="B85" s="193" t="s">
        <v>705</v>
      </c>
      <c r="C85" s="196" t="s">
        <v>704</v>
      </c>
      <c r="D85" s="196"/>
      <c r="E85" s="196"/>
      <c r="G85" s="182">
        <f>'11'!K24+'11'!K35</f>
        <v>0</v>
      </c>
      <c r="H85" s="183"/>
    </row>
    <row r="86" spans="2:8" ht="17.100000000000001" hidden="1" customHeight="1" x14ac:dyDescent="0.25">
      <c r="B86" s="193" t="s">
        <v>330</v>
      </c>
      <c r="C86" s="196" t="s">
        <v>331</v>
      </c>
      <c r="D86" s="196"/>
      <c r="E86" s="196"/>
      <c r="G86" s="182">
        <f>'11'!K43</f>
        <v>0</v>
      </c>
      <c r="H86" s="183"/>
    </row>
    <row r="87" spans="2:8" ht="17.100000000000001" hidden="1" customHeight="1" x14ac:dyDescent="0.25">
      <c r="B87" s="193" t="s">
        <v>706</v>
      </c>
      <c r="C87" s="196" t="s">
        <v>72</v>
      </c>
      <c r="D87" s="196"/>
      <c r="E87" s="196"/>
      <c r="G87" s="182">
        <f>'11'!K52+'11'!K63</f>
        <v>0</v>
      </c>
      <c r="H87" s="183"/>
    </row>
    <row r="88" spans="2:8" ht="17.100000000000001" hidden="1" customHeight="1" x14ac:dyDescent="0.25">
      <c r="B88" s="193" t="s">
        <v>707</v>
      </c>
      <c r="C88" s="196" t="s">
        <v>708</v>
      </c>
      <c r="D88" s="196"/>
      <c r="E88" s="196"/>
      <c r="G88" s="182">
        <f>'11'!K72+'11'!K79</f>
        <v>0</v>
      </c>
      <c r="H88" s="183"/>
    </row>
    <row r="89" spans="2:8" ht="5.0999999999999996" hidden="1" customHeight="1" x14ac:dyDescent="0.25">
      <c r="B89" s="185"/>
      <c r="C89" s="186"/>
      <c r="D89" s="186"/>
      <c r="E89" s="186"/>
      <c r="F89" s="187"/>
      <c r="G89" s="188"/>
      <c r="H89" s="189"/>
    </row>
    <row r="90" spans="2:8" ht="19.2" hidden="1" customHeight="1" x14ac:dyDescent="0.3">
      <c r="B90" s="190" t="s">
        <v>346</v>
      </c>
      <c r="C90" s="191" t="s">
        <v>76</v>
      </c>
      <c r="D90" s="191"/>
      <c r="E90" s="191"/>
      <c r="G90" s="158"/>
      <c r="H90" s="192">
        <f>SUM(G91:G92)</f>
        <v>0</v>
      </c>
    </row>
    <row r="91" spans="2:8" ht="17.100000000000001" hidden="1" customHeight="1" x14ac:dyDescent="0.25">
      <c r="B91" s="193" t="s">
        <v>347</v>
      </c>
      <c r="C91" s="196" t="s">
        <v>348</v>
      </c>
      <c r="D91" s="196"/>
      <c r="E91" s="196"/>
      <c r="G91" s="182">
        <f>'12'!K24+'12'!K35</f>
        <v>0</v>
      </c>
      <c r="H91" s="183"/>
    </row>
    <row r="92" spans="2:8" ht="17.100000000000001" hidden="1" customHeight="1" x14ac:dyDescent="0.25">
      <c r="B92" s="193" t="s">
        <v>351</v>
      </c>
      <c r="C92" s="196" t="s">
        <v>352</v>
      </c>
      <c r="D92" s="196"/>
      <c r="E92" s="196"/>
      <c r="G92" s="182">
        <f>'12'!K43+'12'!K52+'12'!K63+'12'!K72</f>
        <v>0</v>
      </c>
      <c r="H92" s="183"/>
    </row>
    <row r="93" spans="2:8" ht="5.0999999999999996" hidden="1" customHeight="1" x14ac:dyDescent="0.25">
      <c r="B93" s="185"/>
      <c r="C93" s="186"/>
      <c r="D93" s="186"/>
      <c r="E93" s="186"/>
      <c r="F93" s="187"/>
      <c r="G93" s="188"/>
      <c r="H93" s="189"/>
    </row>
    <row r="94" spans="2:8" ht="19.2" hidden="1" customHeight="1" x14ac:dyDescent="0.3">
      <c r="B94" s="190" t="s">
        <v>359</v>
      </c>
      <c r="C94" s="191" t="s">
        <v>77</v>
      </c>
      <c r="D94" s="191"/>
      <c r="E94" s="191"/>
      <c r="G94" s="158"/>
      <c r="H94" s="192">
        <f>'Estimate Summary'!H39</f>
        <v>0</v>
      </c>
    </row>
    <row r="95" spans="2:8" ht="5.0999999999999996" hidden="1" customHeight="1" x14ac:dyDescent="0.25">
      <c r="B95" s="185"/>
      <c r="C95" s="186"/>
      <c r="D95" s="186"/>
      <c r="E95" s="186"/>
      <c r="F95" s="187"/>
      <c r="G95" s="188"/>
      <c r="H95" s="189"/>
    </row>
    <row r="96" spans="2:8" ht="19.2" customHeight="1" x14ac:dyDescent="0.3">
      <c r="B96" s="190" t="s">
        <v>360</v>
      </c>
      <c r="C96" s="191" t="s">
        <v>361</v>
      </c>
      <c r="D96" s="191"/>
      <c r="E96" s="191"/>
      <c r="G96" s="158"/>
      <c r="H96" s="192">
        <f>SUM(G97:G98)</f>
        <v>132800</v>
      </c>
    </row>
    <row r="97" spans="2:8" ht="17.100000000000001" customHeight="1" x14ac:dyDescent="0.25">
      <c r="B97" s="193" t="s">
        <v>362</v>
      </c>
      <c r="C97" s="196" t="s">
        <v>1005</v>
      </c>
      <c r="D97" s="196"/>
      <c r="E97" s="196"/>
      <c r="G97" s="182">
        <f>'14'!K23</f>
        <v>132800</v>
      </c>
      <c r="H97" s="183"/>
    </row>
    <row r="98" spans="2:8" ht="17.100000000000001" hidden="1" customHeight="1" x14ac:dyDescent="0.25">
      <c r="B98" s="193" t="s">
        <v>363</v>
      </c>
      <c r="C98" s="196" t="s">
        <v>70</v>
      </c>
      <c r="D98" s="196"/>
      <c r="E98" s="196"/>
      <c r="G98" s="182">
        <f>'14'!K34+'14'!K42</f>
        <v>0</v>
      </c>
      <c r="H98" s="183"/>
    </row>
    <row r="99" spans="2:8" ht="5.0999999999999996" customHeight="1" x14ac:dyDescent="0.25">
      <c r="B99" s="185"/>
      <c r="C99" s="186"/>
      <c r="D99" s="186"/>
      <c r="E99" s="186"/>
      <c r="F99" s="187"/>
      <c r="G99" s="188"/>
      <c r="H99" s="189"/>
    </row>
    <row r="100" spans="2:8" ht="19.2" customHeight="1" x14ac:dyDescent="0.3">
      <c r="B100" s="190" t="s">
        <v>366</v>
      </c>
      <c r="C100" s="191" t="s">
        <v>148</v>
      </c>
      <c r="D100" s="191"/>
      <c r="E100" s="191"/>
      <c r="G100" s="158"/>
      <c r="H100" s="192">
        <f>G101</f>
        <v>19540</v>
      </c>
    </row>
    <row r="101" spans="2:8" ht="17.100000000000001" customHeight="1" x14ac:dyDescent="0.25">
      <c r="B101" s="193" t="s">
        <v>367</v>
      </c>
      <c r="C101" s="196" t="s">
        <v>368</v>
      </c>
      <c r="D101" s="196"/>
      <c r="E101" s="196"/>
      <c r="G101" s="182">
        <f>'21'!K24</f>
        <v>19540</v>
      </c>
      <c r="H101" s="183"/>
    </row>
    <row r="102" spans="2:8" ht="5.0999999999999996" customHeight="1" x14ac:dyDescent="0.25">
      <c r="B102" s="185"/>
      <c r="C102" s="186"/>
      <c r="D102" s="186"/>
      <c r="E102" s="186"/>
      <c r="F102" s="187"/>
      <c r="G102" s="188"/>
      <c r="H102" s="189"/>
    </row>
    <row r="103" spans="2:8" ht="19.2" customHeight="1" x14ac:dyDescent="0.3">
      <c r="B103" s="190" t="s">
        <v>369</v>
      </c>
      <c r="C103" s="191" t="s">
        <v>41</v>
      </c>
      <c r="D103" s="191"/>
      <c r="E103" s="191"/>
      <c r="G103" s="158"/>
      <c r="H103" s="192">
        <f>SUM(G104:G106)</f>
        <v>25448</v>
      </c>
    </row>
    <row r="104" spans="2:8" ht="17.100000000000001" customHeight="1" x14ac:dyDescent="0.25">
      <c r="B104" s="193" t="s">
        <v>370</v>
      </c>
      <c r="C104" s="196" t="s">
        <v>1143</v>
      </c>
      <c r="D104" s="196"/>
      <c r="E104" s="196"/>
      <c r="G104" s="182">
        <f>'22'!K24</f>
        <v>25448</v>
      </c>
      <c r="H104" s="183"/>
    </row>
    <row r="105" spans="2:8" ht="17.100000000000001" hidden="1" customHeight="1" x14ac:dyDescent="0.25">
      <c r="B105" s="193" t="s">
        <v>372</v>
      </c>
      <c r="C105" s="196" t="s">
        <v>373</v>
      </c>
      <c r="D105" s="196"/>
      <c r="E105" s="196"/>
      <c r="G105" s="182">
        <f>'22'!K35</f>
        <v>0</v>
      </c>
      <c r="H105" s="183"/>
    </row>
    <row r="106" spans="2:8" ht="17.100000000000001" hidden="1" customHeight="1" x14ac:dyDescent="0.25">
      <c r="B106" s="193" t="s">
        <v>378</v>
      </c>
      <c r="C106" s="196" t="s">
        <v>379</v>
      </c>
      <c r="D106" s="196"/>
      <c r="E106" s="196"/>
      <c r="G106" s="182">
        <f>'22'!K46+'22'!K67+'22'!K74</f>
        <v>0</v>
      </c>
      <c r="H106" s="183"/>
    </row>
    <row r="107" spans="2:8" ht="5.0999999999999996" customHeight="1" x14ac:dyDescent="0.25">
      <c r="B107" s="185"/>
      <c r="C107" s="186"/>
      <c r="D107" s="186"/>
      <c r="E107" s="186"/>
      <c r="F107" s="187"/>
      <c r="G107" s="188"/>
      <c r="H107" s="189"/>
    </row>
    <row r="108" spans="2:8" ht="19.2" customHeight="1" x14ac:dyDescent="0.3">
      <c r="B108" s="190" t="s">
        <v>417</v>
      </c>
      <c r="C108" s="191" t="s">
        <v>42</v>
      </c>
      <c r="D108" s="191"/>
      <c r="E108" s="191"/>
      <c r="G108" s="158"/>
      <c r="H108" s="192">
        <f>SUM(G109:G116)</f>
        <v>8400</v>
      </c>
    </row>
    <row r="109" spans="2:8" ht="17.100000000000001" customHeight="1" x14ac:dyDescent="0.25">
      <c r="B109" s="193" t="s">
        <v>419</v>
      </c>
      <c r="C109" s="196" t="s">
        <v>1149</v>
      </c>
      <c r="D109" s="196"/>
      <c r="E109" s="196"/>
      <c r="G109" s="182">
        <f>'23'!K18</f>
        <v>8400</v>
      </c>
      <c r="H109" s="183"/>
    </row>
    <row r="110" spans="2:8" ht="17.100000000000001" hidden="1" customHeight="1" x14ac:dyDescent="0.25">
      <c r="B110" s="193" t="s">
        <v>421</v>
      </c>
      <c r="C110" s="196" t="s">
        <v>422</v>
      </c>
      <c r="D110" s="196"/>
      <c r="E110" s="196"/>
      <c r="G110" s="182">
        <f>'23'!K25</f>
        <v>0</v>
      </c>
      <c r="H110" s="183"/>
    </row>
    <row r="111" spans="2:8" ht="17.100000000000001" hidden="1" customHeight="1" x14ac:dyDescent="0.25">
      <c r="B111" s="193" t="s">
        <v>423</v>
      </c>
      <c r="C111" s="196" t="s">
        <v>424</v>
      </c>
      <c r="D111" s="196"/>
      <c r="E111" s="196"/>
      <c r="G111" s="182">
        <f>'23'!K31</f>
        <v>0</v>
      </c>
      <c r="H111" s="183"/>
    </row>
    <row r="112" spans="2:8" ht="17.100000000000001" hidden="1" customHeight="1" x14ac:dyDescent="0.25">
      <c r="B112" s="193" t="s">
        <v>425</v>
      </c>
      <c r="C112" s="196" t="s">
        <v>426</v>
      </c>
      <c r="D112" s="196"/>
      <c r="E112" s="196"/>
      <c r="G112" s="182">
        <f>'23'!K38+'23'!K46</f>
        <v>0</v>
      </c>
      <c r="H112" s="183"/>
    </row>
    <row r="113" spans="2:8" ht="17.100000000000001" hidden="1" customHeight="1" x14ac:dyDescent="0.25">
      <c r="B113" s="193" t="s">
        <v>431</v>
      </c>
      <c r="C113" s="196" t="s">
        <v>432</v>
      </c>
      <c r="D113" s="196"/>
      <c r="E113" s="196"/>
      <c r="G113" s="182">
        <f>'23'!K53+'23'!K58</f>
        <v>0</v>
      </c>
      <c r="H113" s="183"/>
    </row>
    <row r="114" spans="2:8" ht="17.100000000000001" hidden="1" customHeight="1" x14ac:dyDescent="0.25">
      <c r="B114" s="193" t="s">
        <v>435</v>
      </c>
      <c r="C114" s="196" t="s">
        <v>436</v>
      </c>
      <c r="D114" s="196"/>
      <c r="E114" s="196"/>
      <c r="G114" s="182">
        <f>'23'!K73</f>
        <v>0</v>
      </c>
      <c r="H114" s="183"/>
    </row>
    <row r="115" spans="2:8" ht="17.100000000000001" hidden="1" customHeight="1" x14ac:dyDescent="0.25">
      <c r="B115" s="193" t="s">
        <v>453</v>
      </c>
      <c r="C115" s="196" t="s">
        <v>454</v>
      </c>
      <c r="D115" s="196"/>
      <c r="E115" s="196"/>
      <c r="G115" s="182">
        <f>'23'!K79</f>
        <v>0</v>
      </c>
      <c r="H115" s="183"/>
    </row>
    <row r="116" spans="2:8" ht="17.100000000000001" hidden="1" customHeight="1" x14ac:dyDescent="0.25">
      <c r="B116" s="193" t="s">
        <v>709</v>
      </c>
      <c r="C116" s="196" t="s">
        <v>710</v>
      </c>
      <c r="D116" s="196"/>
      <c r="E116" s="196"/>
      <c r="G116" s="182">
        <f>'23'!K85+'23'!K91</f>
        <v>0</v>
      </c>
      <c r="H116" s="183"/>
    </row>
    <row r="117" spans="2:8" ht="5.0999999999999996" hidden="1" customHeight="1" x14ac:dyDescent="0.25">
      <c r="B117" s="185"/>
      <c r="C117" s="186"/>
      <c r="D117" s="186"/>
      <c r="E117" s="186"/>
      <c r="F117" s="187"/>
      <c r="G117" s="188"/>
      <c r="H117" s="189"/>
    </row>
    <row r="118" spans="2:8" ht="20.100000000000001" hidden="1" customHeight="1" x14ac:dyDescent="0.3">
      <c r="B118" s="190" t="s">
        <v>461</v>
      </c>
      <c r="C118" s="191" t="s">
        <v>462</v>
      </c>
      <c r="D118" s="191"/>
      <c r="E118" s="191"/>
      <c r="G118" s="158"/>
      <c r="H118" s="192">
        <f>'Estimate Summary'!H49</f>
        <v>0</v>
      </c>
    </row>
    <row r="119" spans="2:8" ht="5.0999999999999996" customHeight="1" x14ac:dyDescent="0.25">
      <c r="B119" s="185"/>
      <c r="C119" s="186"/>
      <c r="D119" s="186"/>
      <c r="E119" s="186"/>
      <c r="F119" s="187"/>
      <c r="G119" s="188"/>
      <c r="H119" s="189"/>
    </row>
    <row r="120" spans="2:8" ht="19.2" customHeight="1" x14ac:dyDescent="0.3">
      <c r="B120" s="190" t="s">
        <v>463</v>
      </c>
      <c r="C120" s="191" t="s">
        <v>10</v>
      </c>
      <c r="D120" s="191"/>
      <c r="E120" s="191"/>
      <c r="G120" s="158"/>
      <c r="H120" s="192">
        <f>SUM(G121:G123)</f>
        <v>53278</v>
      </c>
    </row>
    <row r="121" spans="2:8" ht="17.100000000000001" customHeight="1" x14ac:dyDescent="0.25">
      <c r="B121" s="193" t="s">
        <v>464</v>
      </c>
      <c r="C121" s="196" t="s">
        <v>1150</v>
      </c>
      <c r="D121" s="196"/>
      <c r="E121" s="196"/>
      <c r="G121" s="182">
        <f>'26'!K22</f>
        <v>53278</v>
      </c>
      <c r="H121" s="183"/>
    </row>
    <row r="122" spans="2:8" ht="17.100000000000001" hidden="1" customHeight="1" x14ac:dyDescent="0.25">
      <c r="B122" s="193" t="s">
        <v>466</v>
      </c>
      <c r="C122" s="196" t="s">
        <v>711</v>
      </c>
      <c r="D122" s="196"/>
      <c r="E122" s="196"/>
      <c r="G122" s="182">
        <f>'26'!K33</f>
        <v>0</v>
      </c>
      <c r="H122" s="183"/>
    </row>
    <row r="123" spans="2:8" ht="17.100000000000001" hidden="1" customHeight="1" x14ac:dyDescent="0.25">
      <c r="B123" s="193" t="s">
        <v>478</v>
      </c>
      <c r="C123" s="196" t="s">
        <v>1001</v>
      </c>
      <c r="D123" s="196"/>
      <c r="E123" s="196"/>
      <c r="G123" s="182">
        <f>'26'!K41</f>
        <v>0</v>
      </c>
      <c r="H123" s="183"/>
    </row>
    <row r="124" spans="2:8" ht="5.0999999999999996" hidden="1" customHeight="1" x14ac:dyDescent="0.25">
      <c r="B124" s="185"/>
      <c r="C124" s="186"/>
      <c r="D124" s="186"/>
      <c r="E124" s="186"/>
      <c r="F124" s="187"/>
      <c r="G124" s="188"/>
      <c r="H124" s="189"/>
    </row>
    <row r="125" spans="2:8" ht="19.2" hidden="1" customHeight="1" x14ac:dyDescent="0.3">
      <c r="B125" s="190" t="s">
        <v>484</v>
      </c>
      <c r="C125" s="191" t="s">
        <v>485</v>
      </c>
      <c r="D125" s="191"/>
      <c r="E125" s="191"/>
      <c r="G125" s="158"/>
      <c r="H125" s="192">
        <f>SUM(G126:G130)</f>
        <v>0</v>
      </c>
    </row>
    <row r="126" spans="2:8" ht="17.100000000000001" hidden="1" customHeight="1" x14ac:dyDescent="0.25">
      <c r="B126" s="193" t="s">
        <v>486</v>
      </c>
      <c r="C126" s="196" t="s">
        <v>487</v>
      </c>
      <c r="D126" s="196"/>
      <c r="E126" s="196"/>
      <c r="G126" s="182">
        <f>'27'!K24</f>
        <v>0</v>
      </c>
      <c r="H126" s="183"/>
    </row>
    <row r="127" spans="2:8" ht="17.100000000000001" hidden="1" customHeight="1" x14ac:dyDescent="0.25">
      <c r="B127" s="193" t="s">
        <v>488</v>
      </c>
      <c r="C127" s="196" t="s">
        <v>489</v>
      </c>
      <c r="D127" s="196"/>
      <c r="E127" s="196"/>
      <c r="G127" s="182">
        <f>'27'!K35</f>
        <v>0</v>
      </c>
      <c r="H127" s="183"/>
    </row>
    <row r="128" spans="2:8" ht="17.100000000000001" hidden="1" customHeight="1" x14ac:dyDescent="0.25">
      <c r="B128" s="193" t="s">
        <v>494</v>
      </c>
      <c r="C128" s="196" t="s">
        <v>495</v>
      </c>
      <c r="D128" s="196"/>
      <c r="E128" s="196"/>
      <c r="G128" s="182">
        <f>'27'!K43</f>
        <v>0</v>
      </c>
      <c r="H128" s="183"/>
    </row>
    <row r="129" spans="2:8" ht="17.100000000000001" hidden="1" customHeight="1" x14ac:dyDescent="0.25">
      <c r="B129" s="193" t="s">
        <v>496</v>
      </c>
      <c r="C129" s="196" t="s">
        <v>497</v>
      </c>
      <c r="D129" s="196"/>
      <c r="E129" s="196"/>
      <c r="G129" s="182">
        <f>'27'!K52</f>
        <v>0</v>
      </c>
      <c r="H129" s="183"/>
    </row>
    <row r="130" spans="2:8" ht="16.95" hidden="1" customHeight="1" x14ac:dyDescent="0.25">
      <c r="B130" s="193" t="s">
        <v>498</v>
      </c>
      <c r="C130" s="196" t="s">
        <v>499</v>
      </c>
      <c r="D130" s="196"/>
      <c r="E130" s="196"/>
      <c r="G130" s="182">
        <f>'27'!K63</f>
        <v>0</v>
      </c>
      <c r="H130" s="183"/>
    </row>
    <row r="131" spans="2:8" ht="5.0999999999999996" hidden="1" customHeight="1" x14ac:dyDescent="0.25">
      <c r="B131" s="185"/>
      <c r="C131" s="186"/>
      <c r="D131" s="186"/>
      <c r="E131" s="186"/>
      <c r="F131" s="187"/>
      <c r="G131" s="188"/>
      <c r="H131" s="189"/>
    </row>
    <row r="132" spans="2:8" ht="19.2" hidden="1" customHeight="1" x14ac:dyDescent="0.3">
      <c r="B132" s="190" t="s">
        <v>500</v>
      </c>
      <c r="C132" s="191" t="s">
        <v>501</v>
      </c>
      <c r="D132" s="191"/>
      <c r="E132" s="191"/>
      <c r="G132" s="158"/>
      <c r="H132" s="192">
        <f>SUM(G133:G136)</f>
        <v>0</v>
      </c>
    </row>
    <row r="133" spans="2:8" ht="17.100000000000001" hidden="1" customHeight="1" x14ac:dyDescent="0.25">
      <c r="B133" s="193" t="s">
        <v>502</v>
      </c>
      <c r="C133" s="196" t="s">
        <v>503</v>
      </c>
      <c r="D133" s="196"/>
      <c r="E133" s="196"/>
      <c r="G133" s="182">
        <f>'28'!K24</f>
        <v>0</v>
      </c>
      <c r="H133" s="183"/>
    </row>
    <row r="134" spans="2:8" ht="17.100000000000001" hidden="1" customHeight="1" x14ac:dyDescent="0.25">
      <c r="B134" s="193" t="s">
        <v>506</v>
      </c>
      <c r="C134" s="196" t="s">
        <v>507</v>
      </c>
      <c r="D134" s="196"/>
      <c r="E134" s="196"/>
      <c r="G134" s="182">
        <f>'28'!K35</f>
        <v>0</v>
      </c>
      <c r="H134" s="183"/>
    </row>
    <row r="135" spans="2:8" ht="17.100000000000001" hidden="1" customHeight="1" x14ac:dyDescent="0.25">
      <c r="B135" s="193" t="s">
        <v>508</v>
      </c>
      <c r="C135" s="196" t="s">
        <v>509</v>
      </c>
      <c r="D135" s="196"/>
      <c r="E135" s="196"/>
      <c r="G135" s="182">
        <f>'28'!K43</f>
        <v>0</v>
      </c>
      <c r="H135" s="183"/>
    </row>
    <row r="136" spans="2:8" ht="17.100000000000001" hidden="1" customHeight="1" x14ac:dyDescent="0.25">
      <c r="B136" s="193" t="s">
        <v>510</v>
      </c>
      <c r="C136" s="196" t="s">
        <v>512</v>
      </c>
      <c r="D136" s="196"/>
      <c r="E136" s="196"/>
      <c r="G136" s="182">
        <f>'28'!K52</f>
        <v>0</v>
      </c>
      <c r="H136" s="183"/>
    </row>
    <row r="137" spans="2:8" ht="5.0999999999999996" customHeight="1" x14ac:dyDescent="0.25">
      <c r="B137" s="185"/>
      <c r="C137" s="186"/>
      <c r="D137" s="186"/>
      <c r="E137" s="186"/>
      <c r="F137" s="187"/>
      <c r="G137" s="188"/>
      <c r="H137" s="189"/>
    </row>
    <row r="138" spans="2:8" ht="17.100000000000001" customHeight="1" x14ac:dyDescent="0.3">
      <c r="B138" s="190" t="s">
        <v>514</v>
      </c>
      <c r="C138" s="191" t="s">
        <v>515</v>
      </c>
      <c r="D138" s="191"/>
      <c r="E138" s="191"/>
      <c r="G138" s="158"/>
      <c r="H138" s="192">
        <f>SUM(G139:G142)</f>
        <v>42250</v>
      </c>
    </row>
    <row r="139" spans="2:8" ht="17.100000000000001" hidden="1" customHeight="1" x14ac:dyDescent="0.25">
      <c r="B139" s="193" t="s">
        <v>516</v>
      </c>
      <c r="C139" s="196" t="s">
        <v>517</v>
      </c>
      <c r="D139" s="196"/>
      <c r="E139" s="196"/>
      <c r="G139" s="182">
        <f>'31'!K17</f>
        <v>0</v>
      </c>
      <c r="H139" s="183"/>
    </row>
    <row r="140" spans="2:8" ht="17.100000000000001" customHeight="1" x14ac:dyDescent="0.25">
      <c r="B140" s="193" t="s">
        <v>520</v>
      </c>
      <c r="C140" s="196" t="s">
        <v>521</v>
      </c>
      <c r="D140" s="196"/>
      <c r="E140" s="196"/>
      <c r="G140" s="182">
        <f>'31'!K39</f>
        <v>42250</v>
      </c>
      <c r="H140" s="183"/>
    </row>
    <row r="141" spans="2:8" ht="17.100000000000001" hidden="1" customHeight="1" x14ac:dyDescent="0.25">
      <c r="B141" s="193" t="s">
        <v>712</v>
      </c>
      <c r="C141" s="196" t="s">
        <v>713</v>
      </c>
      <c r="D141" s="196"/>
      <c r="E141" s="196"/>
      <c r="G141" s="182">
        <f>'31'!K47</f>
        <v>0</v>
      </c>
      <c r="H141" s="183"/>
    </row>
    <row r="142" spans="2:8" ht="17.100000000000001" hidden="1" customHeight="1" x14ac:dyDescent="0.25">
      <c r="B142" s="193" t="s">
        <v>552</v>
      </c>
      <c r="C142" s="196" t="s">
        <v>553</v>
      </c>
      <c r="D142" s="196"/>
      <c r="E142" s="196"/>
      <c r="G142" s="182">
        <f>'31'!K56</f>
        <v>0</v>
      </c>
      <c r="H142" s="183"/>
    </row>
    <row r="143" spans="2:8" ht="5.0999999999999996" customHeight="1" x14ac:dyDescent="0.25">
      <c r="B143" s="185"/>
      <c r="C143" s="186"/>
      <c r="D143" s="186"/>
      <c r="E143" s="186"/>
      <c r="F143" s="187"/>
      <c r="G143" s="188"/>
      <c r="H143" s="189"/>
    </row>
    <row r="144" spans="2:8" ht="19.2" customHeight="1" x14ac:dyDescent="0.3">
      <c r="B144" s="190" t="s">
        <v>554</v>
      </c>
      <c r="C144" s="191" t="s">
        <v>555</v>
      </c>
      <c r="D144" s="191"/>
      <c r="E144" s="191"/>
      <c r="G144" s="158"/>
      <c r="H144" s="192">
        <f>SUM(G145:G147)</f>
        <v>7900</v>
      </c>
    </row>
    <row r="145" spans="2:11" ht="17.100000000000001" customHeight="1" x14ac:dyDescent="0.25">
      <c r="B145" s="193" t="s">
        <v>556</v>
      </c>
      <c r="C145" s="196" t="s">
        <v>1144</v>
      </c>
      <c r="D145" s="196"/>
      <c r="E145" s="196"/>
      <c r="G145" s="182">
        <f>'32'!K21+'32'!K33+'32'!K41</f>
        <v>7900</v>
      </c>
      <c r="H145" s="183"/>
    </row>
    <row r="146" spans="2:11" ht="17.100000000000001" hidden="1" customHeight="1" x14ac:dyDescent="0.25">
      <c r="B146" s="195" t="s">
        <v>584</v>
      </c>
      <c r="C146" s="196" t="s">
        <v>585</v>
      </c>
      <c r="D146" s="196"/>
      <c r="E146" s="196"/>
      <c r="G146" s="182">
        <f>'32'!K50</f>
        <v>0</v>
      </c>
      <c r="H146" s="183"/>
    </row>
    <row r="147" spans="2:11" ht="17.100000000000001" hidden="1" customHeight="1" x14ac:dyDescent="0.25">
      <c r="B147" s="195" t="s">
        <v>594</v>
      </c>
      <c r="C147" s="196" t="s">
        <v>595</v>
      </c>
      <c r="D147" s="196"/>
      <c r="E147" s="196"/>
      <c r="G147" s="182">
        <f>'32'!K61</f>
        <v>0</v>
      </c>
      <c r="H147" s="183"/>
    </row>
    <row r="148" spans="2:11" ht="5.0999999999999996" customHeight="1" x14ac:dyDescent="0.25">
      <c r="B148" s="185"/>
      <c r="C148" s="186"/>
      <c r="D148" s="186"/>
      <c r="E148" s="186"/>
      <c r="F148" s="187"/>
      <c r="G148" s="188"/>
      <c r="H148" s="189"/>
    </row>
    <row r="149" spans="2:11" ht="19.2" hidden="1" customHeight="1" x14ac:dyDescent="0.3">
      <c r="B149" s="190" t="s">
        <v>602</v>
      </c>
      <c r="C149" s="191" t="s">
        <v>603</v>
      </c>
      <c r="D149" s="191"/>
      <c r="E149" s="191"/>
      <c r="G149" s="158"/>
      <c r="H149" s="192">
        <f>SUM(G150:G153)</f>
        <v>0</v>
      </c>
    </row>
    <row r="150" spans="2:11" ht="17.100000000000001" hidden="1" customHeight="1" x14ac:dyDescent="0.25">
      <c r="B150" s="195" t="s">
        <v>604</v>
      </c>
      <c r="C150" s="196" t="s">
        <v>605</v>
      </c>
      <c r="D150" s="196"/>
      <c r="E150" s="196"/>
      <c r="G150" s="182">
        <f>'33'!K26</f>
        <v>0</v>
      </c>
      <c r="H150" s="183"/>
    </row>
    <row r="151" spans="2:11" ht="17.100000000000001" hidden="1" customHeight="1" x14ac:dyDescent="0.25">
      <c r="B151" s="195" t="s">
        <v>610</v>
      </c>
      <c r="C151" s="196" t="s">
        <v>611</v>
      </c>
      <c r="D151" s="196"/>
      <c r="E151" s="196"/>
      <c r="G151" s="182">
        <f>'33'!K37</f>
        <v>0</v>
      </c>
      <c r="H151" s="183"/>
    </row>
    <row r="152" spans="2:11" ht="17.100000000000001" hidden="1" customHeight="1" x14ac:dyDescent="0.25">
      <c r="B152" s="195" t="s">
        <v>616</v>
      </c>
      <c r="C152" s="196" t="s">
        <v>617</v>
      </c>
      <c r="D152" s="196"/>
      <c r="E152" s="196"/>
      <c r="G152" s="182">
        <f>'33'!K45</f>
        <v>0</v>
      </c>
      <c r="H152" s="183"/>
    </row>
    <row r="153" spans="2:11" ht="17.100000000000001" hidden="1" customHeight="1" x14ac:dyDescent="0.25">
      <c r="B153" s="195" t="s">
        <v>626</v>
      </c>
      <c r="C153" s="196" t="s">
        <v>627</v>
      </c>
      <c r="D153" s="196"/>
      <c r="E153" s="196"/>
      <c r="G153" s="182">
        <f>'33'!K54</f>
        <v>0</v>
      </c>
      <c r="H153" s="183"/>
    </row>
    <row r="154" spans="2:11" ht="5.0999999999999996" hidden="1" customHeight="1" x14ac:dyDescent="0.25">
      <c r="B154" s="185"/>
      <c r="C154" s="186"/>
      <c r="D154" s="186"/>
      <c r="E154" s="186"/>
      <c r="F154" s="187"/>
      <c r="G154" s="187"/>
      <c r="H154" s="206"/>
    </row>
    <row r="155" spans="2:11" ht="13.2" customHeight="1" x14ac:dyDescent="0.25">
      <c r="B155" s="207"/>
      <c r="C155" s="1083" t="s">
        <v>676</v>
      </c>
      <c r="D155" s="1083"/>
      <c r="E155" s="1083"/>
      <c r="F155" s="1083"/>
      <c r="G155" s="1091">
        <f>'Estimate Summary'!D68</f>
        <v>56798.311735690004</v>
      </c>
      <c r="H155" s="1092"/>
    </row>
    <row r="156" spans="2:11" ht="11.1" customHeight="1" thickBot="1" x14ac:dyDescent="0.3">
      <c r="B156" s="207"/>
      <c r="C156" s="1083"/>
      <c r="D156" s="1083"/>
      <c r="E156" s="1083"/>
      <c r="F156" s="1083"/>
      <c r="G156" s="1091"/>
      <c r="H156" s="1092"/>
    </row>
    <row r="157" spans="2:11" ht="13.2" hidden="1" customHeight="1" thickTop="1" thickBot="1" x14ac:dyDescent="0.3">
      <c r="B157" s="207"/>
      <c r="C157" s="1084" t="s">
        <v>1003</v>
      </c>
      <c r="D157" s="1084"/>
      <c r="E157" s="1084"/>
      <c r="F157" s="1084"/>
      <c r="G157" s="1087">
        <f>SUM(H7:H153)+G155</f>
        <v>868202.76510268997</v>
      </c>
      <c r="H157" s="1088"/>
    </row>
    <row r="158" spans="2:11" ht="10.199999999999999" hidden="1" customHeight="1" thickBot="1" x14ac:dyDescent="0.3">
      <c r="B158" s="207"/>
      <c r="C158" s="1084"/>
      <c r="D158" s="1084"/>
      <c r="E158" s="1084"/>
      <c r="F158" s="1084"/>
      <c r="G158" s="1089"/>
      <c r="H158" s="1090"/>
    </row>
    <row r="159" spans="2:11" ht="22.5" hidden="1" customHeight="1" thickBot="1" x14ac:dyDescent="0.3">
      <c r="B159" s="207"/>
      <c r="C159" s="830" t="s">
        <v>1002</v>
      </c>
      <c r="D159" s="830"/>
      <c r="E159" s="830"/>
      <c r="F159" s="830"/>
      <c r="G159" s="888">
        <v>0.1</v>
      </c>
      <c r="H159" s="831">
        <f>'Estimate Summary'!D73</f>
        <v>0</v>
      </c>
      <c r="J159" s="889"/>
      <c r="K159" s="890"/>
    </row>
    <row r="160" spans="2:11" ht="15" customHeight="1" thickTop="1" x14ac:dyDescent="0.25">
      <c r="B160" s="207"/>
      <c r="C160" s="1084" t="s">
        <v>93</v>
      </c>
      <c r="D160" s="1084"/>
      <c r="E160" s="1084"/>
      <c r="F160" s="1084"/>
      <c r="G160" s="1087">
        <f>G157+H159</f>
        <v>868202.76510268997</v>
      </c>
      <c r="H160" s="1088"/>
      <c r="J160" s="1081"/>
      <c r="K160" s="1082"/>
    </row>
    <row r="161" spans="2:11" ht="10.199999999999999" customHeight="1" x14ac:dyDescent="0.25">
      <c r="B161" s="207"/>
      <c r="C161" s="1084"/>
      <c r="D161" s="1084"/>
      <c r="E161" s="1084"/>
      <c r="F161" s="1084"/>
      <c r="G161" s="1089"/>
      <c r="H161" s="1090"/>
      <c r="J161" s="1081"/>
      <c r="K161" s="1082"/>
    </row>
    <row r="162" spans="2:11" ht="13.2" customHeight="1" thickBot="1" x14ac:dyDescent="0.3">
      <c r="B162" s="208"/>
      <c r="C162" s="209"/>
      <c r="D162" s="209"/>
      <c r="E162" s="209"/>
      <c r="F162" s="210"/>
      <c r="G162" s="210"/>
      <c r="H162" s="211"/>
    </row>
    <row r="165" spans="2:11" x14ac:dyDescent="0.25">
      <c r="B165" s="250"/>
    </row>
  </sheetData>
  <mergeCells count="10">
    <mergeCell ref="J160:J161"/>
    <mergeCell ref="K160:K161"/>
    <mergeCell ref="C155:F156"/>
    <mergeCell ref="C157:F158"/>
    <mergeCell ref="B4:C4"/>
    <mergeCell ref="G157:H158"/>
    <mergeCell ref="G155:H156"/>
    <mergeCell ref="G5:H5"/>
    <mergeCell ref="C160:F161"/>
    <mergeCell ref="G160:H161"/>
  </mergeCells>
  <printOptions horizontalCentered="1"/>
  <pageMargins left="0.74803149606299213" right="1.5748031496062993" top="0.94488188976377963" bottom="0.74803149606299213" header="3.937007874015748E-2" footer="0.31496062992125984"/>
  <pageSetup scale="65" orientation="portrait" r:id="rId1"/>
  <headerFooter differentFirst="1">
    <oddFooter xml:space="preserve">&amp;L&amp;D&amp;C&amp;G&amp;R&amp;"Arial,Regular"&amp;12&amp;K000000&amp;P/&amp;N
</oddFooter>
    <firstHeader>&amp;L&amp;"Times,Regular"&amp;K000000&amp;G</firstHeader>
    <firstFooter xml:space="preserve">&amp;L&amp;D&amp;C&amp;"Times,Regular"&amp;K000000&amp;G&amp;R&amp;P/&amp;N
</first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00B0F0"/>
    <pageSetUpPr fitToPage="1"/>
  </sheetPr>
  <dimension ref="A1:M111"/>
  <sheetViews>
    <sheetView topLeftCell="A39" zoomScale="85" zoomScaleNormal="85" zoomScaleSheetLayoutView="90" zoomScalePageLayoutView="90" workbookViewId="0">
      <selection activeCell="L8" sqref="L8"/>
    </sheetView>
  </sheetViews>
  <sheetFormatPr defaultColWidth="9.33203125" defaultRowHeight="13.2" x14ac:dyDescent="0.25"/>
  <cols>
    <col min="1" max="1" width="24.33203125" style="157" customWidth="1"/>
    <col min="2" max="2" width="39.33203125" style="157" customWidth="1"/>
    <col min="3" max="3" width="22.6640625" style="266" customWidth="1"/>
    <col min="4" max="4" width="18.5546875" style="306" customWidth="1"/>
    <col min="5" max="5" width="26.6640625" style="218" customWidth="1"/>
    <col min="6" max="6" width="26.5546875" style="306" customWidth="1"/>
    <col min="7" max="7" width="22.5546875" style="306" customWidth="1"/>
    <col min="8" max="8" width="23" style="157" customWidth="1"/>
    <col min="9" max="9" width="8.6640625" style="157" customWidth="1"/>
    <col min="10" max="10" width="1.5546875" style="157" customWidth="1"/>
    <col min="11" max="11" width="20.44140625" style="157" bestFit="1" customWidth="1"/>
    <col min="12" max="12" width="11.5546875" style="157" customWidth="1"/>
    <col min="13" max="16384" width="9.33203125" style="157"/>
  </cols>
  <sheetData>
    <row r="1" spans="1:11" ht="18.600000000000001" thickTop="1" thickBot="1" x14ac:dyDescent="0.35">
      <c r="A1" s="212"/>
      <c r="B1" s="213"/>
      <c r="C1" s="214"/>
      <c r="D1" s="215"/>
      <c r="E1" s="215"/>
      <c r="F1" s="215"/>
      <c r="G1" s="215"/>
      <c r="H1" s="215"/>
      <c r="I1" s="215"/>
      <c r="J1" s="278"/>
    </row>
    <row r="2" spans="1:11" ht="18" customHeight="1" thickBot="1" x14ac:dyDescent="0.35">
      <c r="A2" s="1098" t="s">
        <v>734</v>
      </c>
      <c r="B2" s="1099"/>
      <c r="C2" s="1099"/>
      <c r="D2" s="1099"/>
      <c r="E2" s="1100"/>
      <c r="F2" s="1100"/>
      <c r="G2" s="1099"/>
      <c r="H2" s="1101"/>
      <c r="I2" s="786"/>
      <c r="J2" s="279"/>
    </row>
    <row r="3" spans="1:11" ht="16.2" thickBot="1" x14ac:dyDescent="0.35">
      <c r="A3" s="216" t="s">
        <v>926</v>
      </c>
      <c r="B3" s="217">
        <v>46140</v>
      </c>
      <c r="C3" s="787"/>
      <c r="D3" s="788"/>
      <c r="E3" s="789"/>
      <c r="F3" s="790"/>
      <c r="G3" s="220"/>
      <c r="H3" s="221"/>
      <c r="I3" s="222"/>
      <c r="J3" s="279"/>
    </row>
    <row r="4" spans="1:11" ht="16.2" thickBot="1" x14ac:dyDescent="0.35">
      <c r="A4" s="216" t="s">
        <v>924</v>
      </c>
      <c r="B4" s="223">
        <v>3057</v>
      </c>
      <c r="C4" s="224" t="s">
        <v>633</v>
      </c>
      <c r="D4" s="835">
        <v>600</v>
      </c>
      <c r="E4" s="789"/>
      <c r="F4" s="790"/>
      <c r="G4" s="220"/>
      <c r="H4" s="221"/>
      <c r="I4" s="222"/>
      <c r="J4" s="279"/>
    </row>
    <row r="5" spans="1:11" ht="16.2" thickBot="1" x14ac:dyDescent="0.35">
      <c r="A5" s="216" t="s">
        <v>868</v>
      </c>
      <c r="B5" s="223" t="s">
        <v>902</v>
      </c>
      <c r="C5" s="224" t="s">
        <v>864</v>
      </c>
      <c r="D5" s="785" t="s">
        <v>960</v>
      </c>
      <c r="E5" s="225" t="s">
        <v>863</v>
      </c>
      <c r="F5" s="226"/>
      <c r="G5" s="224"/>
      <c r="H5" s="221"/>
      <c r="I5" s="222"/>
      <c r="J5" s="279"/>
    </row>
    <row r="6" spans="1:11" ht="16.2" thickBot="1" x14ac:dyDescent="0.35">
      <c r="A6" s="216" t="s">
        <v>869</v>
      </c>
      <c r="B6" s="223" t="s">
        <v>954</v>
      </c>
      <c r="C6" s="224" t="s">
        <v>865</v>
      </c>
      <c r="D6" s="785" t="s">
        <v>961</v>
      </c>
      <c r="E6" s="224" t="s">
        <v>862</v>
      </c>
      <c r="F6" s="223"/>
      <c r="G6" s="160"/>
      <c r="H6" s="160"/>
      <c r="I6" s="791"/>
      <c r="J6" s="279"/>
    </row>
    <row r="7" spans="1:11" ht="16.2" thickBot="1" x14ac:dyDescent="0.35">
      <c r="A7" s="216" t="s">
        <v>861</v>
      </c>
      <c r="B7" s="223">
        <v>2026</v>
      </c>
      <c r="C7" s="227" t="s">
        <v>866</v>
      </c>
      <c r="D7" s="836" t="s">
        <v>908</v>
      </c>
      <c r="E7" s="224" t="s">
        <v>925</v>
      </c>
      <c r="F7" s="223"/>
      <c r="G7" s="227"/>
      <c r="H7" s="228"/>
      <c r="I7" s="229"/>
      <c r="J7" s="279"/>
    </row>
    <row r="8" spans="1:11" ht="16.2" thickBot="1" x14ac:dyDescent="0.35">
      <c r="A8" s="216" t="s">
        <v>923</v>
      </c>
      <c r="B8" s="223" t="s">
        <v>906</v>
      </c>
      <c r="C8" s="227" t="s">
        <v>867</v>
      </c>
      <c r="D8" s="836" t="s">
        <v>909</v>
      </c>
      <c r="E8" s="224"/>
      <c r="F8" s="223"/>
      <c r="G8" s="787"/>
      <c r="H8" s="792"/>
      <c r="I8" s="222"/>
      <c r="J8" s="279"/>
    </row>
    <row r="9" spans="1:11" ht="13.2" customHeight="1" thickBot="1" x14ac:dyDescent="0.3">
      <c r="A9" s="1104"/>
      <c r="B9" s="1105"/>
      <c r="C9" s="230"/>
      <c r="D9" s="231"/>
      <c r="E9" s="230"/>
      <c r="F9" s="1103"/>
      <c r="G9" s="1103"/>
      <c r="H9" s="281"/>
      <c r="I9" s="282"/>
      <c r="J9" s="279"/>
    </row>
    <row r="10" spans="1:11" ht="11.1" customHeight="1" thickBot="1" x14ac:dyDescent="0.3">
      <c r="A10" s="283"/>
      <c r="B10" s="230"/>
      <c r="C10" s="232"/>
      <c r="D10" s="230"/>
      <c r="E10" s="233"/>
      <c r="F10" s="1103"/>
      <c r="G10" s="1103"/>
      <c r="H10" s="281"/>
      <c r="I10" s="282"/>
      <c r="J10" s="279"/>
    </row>
    <row r="11" spans="1:11" ht="18" customHeight="1" thickBot="1" x14ac:dyDescent="0.3">
      <c r="A11" s="284"/>
      <c r="B11" s="285"/>
      <c r="C11" s="234" t="s">
        <v>633</v>
      </c>
      <c r="D11" s="235">
        <f>D4</f>
        <v>600</v>
      </c>
      <c r="E11" s="236" t="s">
        <v>632</v>
      </c>
      <c r="F11" s="285"/>
      <c r="G11" s="237"/>
      <c r="H11" s="286"/>
      <c r="I11" s="287"/>
      <c r="J11" s="279"/>
    </row>
    <row r="12" spans="1:11" ht="9" customHeight="1" x14ac:dyDescent="0.25">
      <c r="A12" s="238"/>
      <c r="B12" s="239"/>
      <c r="C12" s="240"/>
      <c r="D12" s="241"/>
      <c r="E12" s="242"/>
      <c r="F12" s="288"/>
      <c r="G12" s="288"/>
      <c r="H12" s="289"/>
      <c r="I12" s="289"/>
      <c r="J12" s="290"/>
    </row>
    <row r="13" spans="1:11" ht="10.199999999999999" customHeight="1" x14ac:dyDescent="0.25">
      <c r="A13" s="1102" t="s">
        <v>0</v>
      </c>
      <c r="B13" s="1096" t="s">
        <v>1</v>
      </c>
      <c r="C13" s="243"/>
      <c r="D13" s="1095" t="s">
        <v>13</v>
      </c>
      <c r="E13" s="1106" t="s">
        <v>2</v>
      </c>
      <c r="F13" s="1095" t="s">
        <v>12</v>
      </c>
      <c r="G13" s="1095" t="s">
        <v>37</v>
      </c>
      <c r="H13" s="1096" t="s">
        <v>38</v>
      </c>
      <c r="I13" s="291"/>
      <c r="J13" s="290"/>
      <c r="K13" s="1097" t="s">
        <v>774</v>
      </c>
    </row>
    <row r="14" spans="1:11" ht="8.1" customHeight="1" x14ac:dyDescent="0.25">
      <c r="A14" s="1102"/>
      <c r="B14" s="1096"/>
      <c r="C14" s="244" t="s">
        <v>672</v>
      </c>
      <c r="D14" s="1095"/>
      <c r="E14" s="1106"/>
      <c r="F14" s="1095"/>
      <c r="G14" s="1095"/>
      <c r="H14" s="1096"/>
      <c r="I14" s="291" t="s">
        <v>929</v>
      </c>
      <c r="J14" s="290"/>
      <c r="K14" s="1097"/>
    </row>
    <row r="15" spans="1:11" ht="15.6" x14ac:dyDescent="0.3">
      <c r="A15" s="292" t="s">
        <v>675</v>
      </c>
      <c r="B15" s="245" t="s">
        <v>3</v>
      </c>
      <c r="C15" s="246">
        <f>H15/D$66</f>
        <v>0.12888537021585594</v>
      </c>
      <c r="D15" s="247">
        <f>SUM('1'!F139:F140)</f>
        <v>40828.163367000001</v>
      </c>
      <c r="E15" s="248">
        <f>SUM('1'!G139:G140)</f>
        <v>50</v>
      </c>
      <c r="F15" s="293">
        <f>SUM('1'!I139:I140)</f>
        <v>63750</v>
      </c>
      <c r="G15" s="293">
        <f>SUM('1'!J139:J140)</f>
        <v>0</v>
      </c>
      <c r="H15" s="294">
        <f>D15+F15+G15</f>
        <v>104578.163367</v>
      </c>
      <c r="I15" s="294" t="str">
        <f>ROUNDUP(H15/D$11,1)&amp;"$/SF"</f>
        <v>174.3$/SF</v>
      </c>
      <c r="J15" s="290"/>
    </row>
    <row r="16" spans="1:11" x14ac:dyDescent="0.25">
      <c r="A16" s="295"/>
      <c r="B16" s="250"/>
      <c r="C16" s="246"/>
      <c r="D16" s="247"/>
      <c r="E16" s="248"/>
      <c r="F16" s="293"/>
      <c r="G16" s="293"/>
      <c r="H16" s="294"/>
      <c r="I16" s="294"/>
      <c r="J16" s="290"/>
    </row>
    <row r="17" spans="1:10" ht="15.6" x14ac:dyDescent="0.3">
      <c r="A17" s="292" t="s">
        <v>150</v>
      </c>
      <c r="B17" s="245" t="s">
        <v>152</v>
      </c>
      <c r="C17" s="246">
        <f>H17/D$66</f>
        <v>2.6189158701090565E-2</v>
      </c>
      <c r="D17" s="247">
        <f>SUM('2'!F49:F50)</f>
        <v>300</v>
      </c>
      <c r="E17" s="248">
        <f>SUM('2'!G49:G50)</f>
        <v>0</v>
      </c>
      <c r="F17" s="293">
        <f>SUM('2'!I49:I50)</f>
        <v>0</v>
      </c>
      <c r="G17" s="293">
        <f>SUM('2'!J49:J50)</f>
        <v>20950</v>
      </c>
      <c r="H17" s="294">
        <f>D17+F17+G17</f>
        <v>21250</v>
      </c>
      <c r="I17" s="294" t="str">
        <f>ROUNDUP(H17/D$11,1)&amp;"$/SF"</f>
        <v>35.5$/SF</v>
      </c>
      <c r="J17" s="290"/>
    </row>
    <row r="18" spans="1:10" x14ac:dyDescent="0.25">
      <c r="A18" s="295"/>
      <c r="B18" s="250"/>
      <c r="C18" s="246"/>
      <c r="D18" s="247"/>
      <c r="E18" s="248"/>
      <c r="F18" s="293"/>
      <c r="G18" s="293"/>
      <c r="H18" s="294"/>
      <c r="I18" s="294"/>
      <c r="J18" s="290"/>
    </row>
    <row r="19" spans="1:10" ht="15.6" x14ac:dyDescent="0.3">
      <c r="A19" s="292" t="s">
        <v>156</v>
      </c>
      <c r="B19" s="245" t="s">
        <v>4</v>
      </c>
      <c r="C19" s="246">
        <f>H19/D$66</f>
        <v>6.2021720229871631E-2</v>
      </c>
      <c r="D19" s="247">
        <f>SUM('3'!F61:F62)</f>
        <v>11302.699999999999</v>
      </c>
      <c r="E19" s="248">
        <f>SUM('3'!G61:G62)</f>
        <v>28.8</v>
      </c>
      <c r="F19" s="293">
        <f>SUM('3'!I61:I62)</f>
        <v>1872</v>
      </c>
      <c r="G19" s="293">
        <f>SUM('3'!J61:J62)</f>
        <v>37150</v>
      </c>
      <c r="H19" s="294">
        <f>D19+F19+G19</f>
        <v>50324.7</v>
      </c>
      <c r="I19" s="294" t="str">
        <f>ROUNDUP(H19/D$11,1)&amp;"$/SF"</f>
        <v>83.9$/SF</v>
      </c>
      <c r="J19" s="290"/>
    </row>
    <row r="20" spans="1:10" x14ac:dyDescent="0.25">
      <c r="A20" s="295"/>
      <c r="B20" s="250"/>
      <c r="C20" s="246"/>
      <c r="D20" s="247"/>
      <c r="E20" s="248"/>
      <c r="F20" s="293"/>
      <c r="G20" s="293"/>
      <c r="H20" s="294"/>
      <c r="I20" s="294"/>
      <c r="J20" s="290"/>
    </row>
    <row r="21" spans="1:10" ht="15.6" x14ac:dyDescent="0.3">
      <c r="A21" s="292" t="s">
        <v>169</v>
      </c>
      <c r="B21" s="245" t="s">
        <v>5</v>
      </c>
      <c r="C21" s="246">
        <f>H21/D$66</f>
        <v>2.6743752650054835E-2</v>
      </c>
      <c r="D21" s="247">
        <f>SUM('4'!F61:F62)</f>
        <v>0</v>
      </c>
      <c r="E21" s="248">
        <f>SUM('4'!G61:G62)</f>
        <v>0</v>
      </c>
      <c r="F21" s="293">
        <f>SUM('4'!I61:I62)</f>
        <v>0</v>
      </c>
      <c r="G21" s="293">
        <f>SUM('4'!J61:J62)</f>
        <v>21700</v>
      </c>
      <c r="H21" s="294">
        <f>D21+F21+G21</f>
        <v>21700</v>
      </c>
      <c r="I21" s="294" t="str">
        <f>ROUNDUP(H21/D$11,1)&amp;"$/SF"</f>
        <v>36.2$/SF</v>
      </c>
      <c r="J21" s="290"/>
    </row>
    <row r="22" spans="1:10" x14ac:dyDescent="0.25">
      <c r="A22" s="295"/>
      <c r="B22" s="250"/>
      <c r="C22" s="246"/>
      <c r="D22" s="247"/>
      <c r="E22" s="248"/>
      <c r="F22" s="293"/>
      <c r="G22" s="293"/>
      <c r="H22" s="294"/>
      <c r="I22" s="294"/>
      <c r="J22" s="290"/>
    </row>
    <row r="23" spans="1:10" ht="15.6" x14ac:dyDescent="0.3">
      <c r="A23" s="292" t="s">
        <v>175</v>
      </c>
      <c r="B23" s="245" t="s">
        <v>6</v>
      </c>
      <c r="C23" s="246">
        <f>H23/D$66</f>
        <v>8.1512986187770822E-2</v>
      </c>
      <c r="D23" s="247">
        <f>SUM('5'!F69:F70)</f>
        <v>1000</v>
      </c>
      <c r="E23" s="248">
        <f>SUM('5'!G69:G70)</f>
        <v>16</v>
      </c>
      <c r="F23" s="293">
        <f>SUM('5'!I69:I70)</f>
        <v>1040</v>
      </c>
      <c r="G23" s="293">
        <f>SUM('5'!J69:J70)</f>
        <v>64100</v>
      </c>
      <c r="H23" s="294">
        <f>D23+F23+G23</f>
        <v>66140</v>
      </c>
      <c r="I23" s="294" t="str">
        <f>ROUNDUP(H23/D$11,1)&amp;"$/SF"</f>
        <v>110.3$/SF</v>
      </c>
      <c r="J23" s="290"/>
    </row>
    <row r="24" spans="1:10" x14ac:dyDescent="0.25">
      <c r="A24" s="295"/>
      <c r="B24" s="250"/>
      <c r="C24" s="246"/>
      <c r="D24" s="247"/>
      <c r="E24" s="248"/>
      <c r="F24" s="293"/>
      <c r="G24" s="293"/>
      <c r="H24" s="294"/>
      <c r="I24" s="294"/>
      <c r="J24" s="290"/>
    </row>
    <row r="25" spans="1:10" ht="15.6" x14ac:dyDescent="0.3">
      <c r="A25" s="292" t="s">
        <v>188</v>
      </c>
      <c r="B25" s="245" t="s">
        <v>189</v>
      </c>
      <c r="C25" s="246">
        <f>H25/D$66</f>
        <v>0</v>
      </c>
      <c r="D25" s="247">
        <f>SUM('6'!F94:F95)</f>
        <v>0</v>
      </c>
      <c r="E25" s="248">
        <f>SUM('6'!G94:G95)</f>
        <v>0</v>
      </c>
      <c r="F25" s="293">
        <f>SUM('6'!I94:I95)</f>
        <v>0</v>
      </c>
      <c r="G25" s="293">
        <f>SUM('6'!J94:J95)</f>
        <v>0</v>
      </c>
      <c r="H25" s="294">
        <f>D25+F25+G25</f>
        <v>0</v>
      </c>
      <c r="I25" s="294" t="str">
        <f>ROUNDUP(H25/D$11,1)&amp;"$/SF"</f>
        <v>0$/SF</v>
      </c>
      <c r="J25" s="290"/>
    </row>
    <row r="26" spans="1:10" x14ac:dyDescent="0.25">
      <c r="A26" s="295"/>
      <c r="B26" s="250"/>
      <c r="C26" s="246"/>
      <c r="D26" s="247"/>
      <c r="E26" s="248"/>
      <c r="F26" s="293"/>
      <c r="G26" s="293"/>
      <c r="H26" s="294"/>
      <c r="I26" s="294"/>
      <c r="J26" s="290"/>
    </row>
    <row r="27" spans="1:10" ht="15.6" x14ac:dyDescent="0.3">
      <c r="A27" s="292" t="s">
        <v>202</v>
      </c>
      <c r="B27" s="245" t="s">
        <v>57</v>
      </c>
      <c r="C27" s="246">
        <f>H27/D$66</f>
        <v>0.15345737810941143</v>
      </c>
      <c r="D27" s="247">
        <f>SUM('7'!F101:F102)</f>
        <v>0</v>
      </c>
      <c r="E27" s="248">
        <f>SUM('7'!G101:G102)</f>
        <v>0</v>
      </c>
      <c r="F27" s="293">
        <f>SUM('7'!I101:I102)</f>
        <v>0</v>
      </c>
      <c r="G27" s="293">
        <f>SUM('7'!J101:J102)</f>
        <v>124516</v>
      </c>
      <c r="H27" s="294">
        <f>D27+F27+G27</f>
        <v>124516</v>
      </c>
      <c r="I27" s="294" t="str">
        <f>ROUNDUP(H27/D$11,1)&amp;"$/SF"</f>
        <v>207.6$/SF</v>
      </c>
      <c r="J27" s="290"/>
    </row>
    <row r="28" spans="1:10" x14ac:dyDescent="0.25">
      <c r="A28" s="295"/>
      <c r="B28" s="250"/>
      <c r="C28" s="246"/>
      <c r="D28" s="247"/>
      <c r="E28" s="248"/>
      <c r="F28" s="293"/>
      <c r="G28" s="293"/>
      <c r="H28" s="294"/>
      <c r="I28" s="294"/>
      <c r="J28" s="290"/>
    </row>
    <row r="29" spans="1:10" ht="15.6" x14ac:dyDescent="0.3">
      <c r="A29" s="292" t="s">
        <v>239</v>
      </c>
      <c r="B29" s="245" t="s">
        <v>240</v>
      </c>
      <c r="C29" s="246">
        <f>H29/D$66</f>
        <v>8.8772004764214277E-2</v>
      </c>
      <c r="D29" s="247">
        <f>SUM('8'!F112:F113)</f>
        <v>0</v>
      </c>
      <c r="E29" s="248">
        <f>SUM('8'!G112:G113)</f>
        <v>8</v>
      </c>
      <c r="F29" s="293">
        <f>SUM('8'!I112:I113)</f>
        <v>520</v>
      </c>
      <c r="G29" s="293">
        <f>SUM('8'!J112:J113)</f>
        <v>71510</v>
      </c>
      <c r="H29" s="294">
        <f>D29+F29+G29</f>
        <v>72030</v>
      </c>
      <c r="I29" s="294" t="str">
        <f>ROUNDUP(H29/D$11,1)&amp;"$/SF"</f>
        <v>120.1$/SF</v>
      </c>
      <c r="J29" s="290"/>
    </row>
    <row r="30" spans="1:10" x14ac:dyDescent="0.25">
      <c r="A30" s="295"/>
      <c r="B30" s="250"/>
      <c r="C30" s="246"/>
      <c r="D30" s="247"/>
      <c r="E30" s="248"/>
      <c r="F30" s="293"/>
      <c r="G30" s="293"/>
      <c r="H30" s="294"/>
      <c r="I30" s="294"/>
      <c r="J30" s="290"/>
    </row>
    <row r="31" spans="1:10" ht="15.6" x14ac:dyDescent="0.3">
      <c r="A31" s="292" t="s">
        <v>272</v>
      </c>
      <c r="B31" s="245" t="s">
        <v>8</v>
      </c>
      <c r="C31" s="246">
        <f>H31/D$66</f>
        <v>7.5485893312316685E-2</v>
      </c>
      <c r="D31" s="247">
        <f>SUM('9'!F70:F71)</f>
        <v>0</v>
      </c>
      <c r="E31" s="248">
        <f>SUM('9'!G70:G71)</f>
        <v>0</v>
      </c>
      <c r="F31" s="293">
        <f>SUM('9'!I70:I71)</f>
        <v>0</v>
      </c>
      <c r="G31" s="293">
        <f>SUM('9'!J70:J71)</f>
        <v>61249.59</v>
      </c>
      <c r="H31" s="294">
        <f>D31+F31+G31</f>
        <v>61249.59</v>
      </c>
      <c r="I31" s="294" t="str">
        <f>ROUNDUP(H31/D$11,1)&amp;"$/SF"</f>
        <v>102.1$/SF</v>
      </c>
      <c r="J31" s="290"/>
    </row>
    <row r="32" spans="1:10" x14ac:dyDescent="0.25">
      <c r="A32" s="295"/>
      <c r="B32" s="250"/>
      <c r="C32" s="246"/>
      <c r="D32" s="247"/>
      <c r="E32" s="248"/>
      <c r="F32" s="293"/>
      <c r="G32" s="293"/>
      <c r="H32" s="294"/>
      <c r="I32" s="294"/>
      <c r="J32" s="290"/>
    </row>
    <row r="33" spans="1:10" ht="15.6" x14ac:dyDescent="0.3">
      <c r="A33" s="292" t="s">
        <v>291</v>
      </c>
      <c r="B33" s="245" t="s">
        <v>9</v>
      </c>
      <c r="C33" s="246">
        <f>H33/D$66</f>
        <v>0</v>
      </c>
      <c r="D33" s="247">
        <f>SUM('10'!F74:F75)</f>
        <v>0</v>
      </c>
      <c r="E33" s="248">
        <f>SUM('10'!G74:G75)</f>
        <v>0</v>
      </c>
      <c r="F33" s="293">
        <f>SUM('10'!I74:I75)</f>
        <v>0</v>
      </c>
      <c r="G33" s="293">
        <f>SUM('10'!J74:J75)</f>
        <v>0</v>
      </c>
      <c r="H33" s="294">
        <f>D33+F33+G33</f>
        <v>0</v>
      </c>
      <c r="I33" s="294" t="str">
        <f>ROUNDUP(H33/D$11,1)&amp;"$/SF"</f>
        <v>0$/SF</v>
      </c>
      <c r="J33" s="290"/>
    </row>
    <row r="34" spans="1:10" x14ac:dyDescent="0.25">
      <c r="A34" s="295"/>
      <c r="B34" s="250"/>
      <c r="C34" s="246"/>
      <c r="D34" s="247"/>
      <c r="E34" s="248"/>
      <c r="F34" s="293"/>
      <c r="G34" s="293"/>
      <c r="H34" s="294"/>
      <c r="I34" s="294"/>
      <c r="J34" s="290"/>
    </row>
    <row r="35" spans="1:10" ht="15.6" x14ac:dyDescent="0.3">
      <c r="A35" s="292" t="s">
        <v>325</v>
      </c>
      <c r="B35" s="245" t="s">
        <v>71</v>
      </c>
      <c r="C35" s="246">
        <f>H35/D$66</f>
        <v>0</v>
      </c>
      <c r="D35" s="247">
        <f>SUM('11'!F99:F100)</f>
        <v>0</v>
      </c>
      <c r="E35" s="248">
        <f>SUM('11'!G99:G100)</f>
        <v>0</v>
      </c>
      <c r="F35" s="293">
        <f>SUM('11'!I99:I100)</f>
        <v>0</v>
      </c>
      <c r="G35" s="293">
        <f>SUM('11'!J99:J100)</f>
        <v>0</v>
      </c>
      <c r="H35" s="294">
        <f>D35+F35+G35</f>
        <v>0</v>
      </c>
      <c r="I35" s="294" t="str">
        <f>ROUNDUP(H35/D$11,1)&amp;"$/SF"</f>
        <v>0$/SF</v>
      </c>
      <c r="J35" s="290"/>
    </row>
    <row r="36" spans="1:10" x14ac:dyDescent="0.25">
      <c r="A36" s="295"/>
      <c r="B36" s="250"/>
      <c r="C36" s="246"/>
      <c r="D36" s="247"/>
      <c r="E36" s="248"/>
      <c r="F36" s="293"/>
      <c r="G36" s="293"/>
      <c r="H36" s="294"/>
      <c r="I36" s="294"/>
      <c r="J36" s="290"/>
    </row>
    <row r="37" spans="1:10" ht="15.6" x14ac:dyDescent="0.3">
      <c r="A37" s="292" t="s">
        <v>346</v>
      </c>
      <c r="B37" s="245" t="s">
        <v>76</v>
      </c>
      <c r="C37" s="246">
        <f>H37/D$66</f>
        <v>0</v>
      </c>
      <c r="D37" s="247">
        <f>SUM('12'!F99:F100)</f>
        <v>0</v>
      </c>
      <c r="E37" s="248">
        <f>SUM('12'!G99:G100)</f>
        <v>0</v>
      </c>
      <c r="F37" s="293">
        <f>SUM('12'!I99:I100)</f>
        <v>0</v>
      </c>
      <c r="G37" s="293">
        <f>SUM('12'!J99:J100)</f>
        <v>0</v>
      </c>
      <c r="H37" s="294">
        <f>D37+F37+G37</f>
        <v>0</v>
      </c>
      <c r="I37" s="294" t="str">
        <f>ROUNDUP(H37/D$11,1)&amp;"$/SF"</f>
        <v>0$/SF</v>
      </c>
      <c r="J37" s="290"/>
    </row>
    <row r="38" spans="1:10" x14ac:dyDescent="0.25">
      <c r="A38" s="295"/>
      <c r="B38" s="250"/>
      <c r="C38" s="246"/>
      <c r="D38" s="247"/>
      <c r="E38" s="248"/>
      <c r="F38" s="293"/>
      <c r="G38" s="293"/>
      <c r="H38" s="294"/>
      <c r="I38" s="294"/>
      <c r="J38" s="290"/>
    </row>
    <row r="39" spans="1:10" ht="15.6" x14ac:dyDescent="0.3">
      <c r="A39" s="292" t="s">
        <v>359</v>
      </c>
      <c r="B39" s="245" t="s">
        <v>77</v>
      </c>
      <c r="C39" s="246">
        <f>H39/D$66</f>
        <v>0</v>
      </c>
      <c r="D39" s="247">
        <f>+SUM('13'!F99:F100)</f>
        <v>0</v>
      </c>
      <c r="E39" s="248">
        <f>SUM('13'!G99:G100)</f>
        <v>0</v>
      </c>
      <c r="F39" s="293">
        <f>SUM('13'!I99:I100)</f>
        <v>0</v>
      </c>
      <c r="G39" s="293">
        <f>SUM('13'!J99:J100)</f>
        <v>0</v>
      </c>
      <c r="H39" s="294">
        <f>D39+F39+G39</f>
        <v>0</v>
      </c>
      <c r="I39" s="294" t="str">
        <f>ROUNDUP(H39/D$11,1)&amp;"$/SF"</f>
        <v>0$/SF</v>
      </c>
      <c r="J39" s="290"/>
    </row>
    <row r="40" spans="1:10" x14ac:dyDescent="0.25">
      <c r="A40" s="295"/>
      <c r="B40" s="250"/>
      <c r="C40" s="246"/>
      <c r="D40" s="247"/>
      <c r="E40" s="248"/>
      <c r="F40" s="293"/>
      <c r="G40" s="293"/>
      <c r="H40" s="294"/>
      <c r="I40" s="294"/>
      <c r="J40" s="290"/>
    </row>
    <row r="41" spans="1:10" ht="15.6" x14ac:dyDescent="0.3">
      <c r="A41" s="292" t="s">
        <v>360</v>
      </c>
      <c r="B41" s="245" t="s">
        <v>361</v>
      </c>
      <c r="C41" s="246">
        <f>H41/D$66</f>
        <v>0.1636668364943448</v>
      </c>
      <c r="D41" s="247">
        <f>SUM('14'!F98:F99)</f>
        <v>0</v>
      </c>
      <c r="E41" s="248">
        <f>SUM('14'!G98:G99)</f>
        <v>0</v>
      </c>
      <c r="F41" s="293">
        <f>SUM('14'!I98:I99)</f>
        <v>0</v>
      </c>
      <c r="G41" s="293">
        <f>SUM('14'!J98:J99)</f>
        <v>132800</v>
      </c>
      <c r="H41" s="294">
        <f>D41+F41+G41</f>
        <v>132800</v>
      </c>
      <c r="I41" s="294" t="str">
        <f>ROUNDUP(H41/D$11,1)&amp;"$/SF"</f>
        <v>221.4$/SF</v>
      </c>
      <c r="J41" s="290"/>
    </row>
    <row r="42" spans="1:10" x14ac:dyDescent="0.25">
      <c r="A42" s="295"/>
      <c r="B42" s="250"/>
      <c r="C42" s="246"/>
      <c r="D42" s="247"/>
      <c r="E42" s="248"/>
      <c r="F42" s="293"/>
      <c r="G42" s="293"/>
      <c r="H42" s="294"/>
      <c r="I42" s="294"/>
      <c r="J42" s="290"/>
    </row>
    <row r="43" spans="1:10" ht="15.6" x14ac:dyDescent="0.3">
      <c r="A43" s="292" t="s">
        <v>366</v>
      </c>
      <c r="B43" s="245" t="s">
        <v>148</v>
      </c>
      <c r="C43" s="246">
        <f>H43/D$66</f>
        <v>2.4081701695026336E-2</v>
      </c>
      <c r="D43" s="247">
        <f>SUM('21'!F99:F100)</f>
        <v>0</v>
      </c>
      <c r="E43" s="248">
        <f>SUM('21'!G99:G100)</f>
        <v>0</v>
      </c>
      <c r="F43" s="293">
        <f>SUM('21'!I99:I100)</f>
        <v>0</v>
      </c>
      <c r="G43" s="293">
        <f>SUM('21'!J99:J100)</f>
        <v>19540</v>
      </c>
      <c r="H43" s="294">
        <f>D43+F43+G43</f>
        <v>19540</v>
      </c>
      <c r="I43" s="294" t="str">
        <f>ROUNDUP(H43/D$11,1)&amp;"$/SF"</f>
        <v>32.6$/SF</v>
      </c>
      <c r="J43" s="290"/>
    </row>
    <row r="44" spans="1:10" x14ac:dyDescent="0.25">
      <c r="A44" s="295"/>
      <c r="B44" s="250"/>
      <c r="C44" s="246"/>
      <c r="D44" s="247"/>
      <c r="E44" s="248"/>
      <c r="F44" s="293"/>
      <c r="G44" s="293"/>
      <c r="H44" s="294"/>
      <c r="I44" s="294"/>
      <c r="J44" s="290"/>
    </row>
    <row r="45" spans="1:10" ht="15.6" x14ac:dyDescent="0.3">
      <c r="A45" s="292" t="s">
        <v>369</v>
      </c>
      <c r="B45" s="245" t="s">
        <v>41</v>
      </c>
      <c r="C45" s="246">
        <f>H45/D$66</f>
        <v>3.136290402942836E-2</v>
      </c>
      <c r="D45" s="247">
        <f>SUM('22'!F94:F95)</f>
        <v>0</v>
      </c>
      <c r="E45" s="248">
        <f>SUM('22'!G94:G95)</f>
        <v>0</v>
      </c>
      <c r="F45" s="293">
        <f>SUM('22'!I94:I95)</f>
        <v>0</v>
      </c>
      <c r="G45" s="293">
        <f>SUM('22'!J94:J95)</f>
        <v>25448</v>
      </c>
      <c r="H45" s="294">
        <f>D45+F45+G45</f>
        <v>25448</v>
      </c>
      <c r="I45" s="294" t="str">
        <f>ROUNDUP(H45/D$11,1)&amp;"$/SF"</f>
        <v>42.5$/SF</v>
      </c>
      <c r="J45" s="290"/>
    </row>
    <row r="46" spans="1:10" x14ac:dyDescent="0.25">
      <c r="A46" s="295"/>
      <c r="B46" s="250"/>
      <c r="C46" s="246"/>
      <c r="D46" s="247"/>
      <c r="E46" s="248"/>
      <c r="F46" s="293"/>
      <c r="G46" s="293"/>
      <c r="H46" s="294"/>
      <c r="I46" s="294"/>
      <c r="J46" s="290"/>
    </row>
    <row r="47" spans="1:10" ht="15.6" x14ac:dyDescent="0.3">
      <c r="A47" s="292" t="s">
        <v>417</v>
      </c>
      <c r="B47" s="245" t="s">
        <v>42</v>
      </c>
      <c r="C47" s="246">
        <f>H47/D$66</f>
        <v>1.0352420380666388E-2</v>
      </c>
      <c r="D47" s="247">
        <f>SUM('23'!F102:F103)</f>
        <v>0</v>
      </c>
      <c r="E47" s="248">
        <f>SUM('23'!G102:G103)</f>
        <v>0</v>
      </c>
      <c r="F47" s="293">
        <f>SUM('23'!I102:I103)</f>
        <v>0</v>
      </c>
      <c r="G47" s="293">
        <f>SUM('23'!J102:J103)</f>
        <v>8400</v>
      </c>
      <c r="H47" s="294">
        <f>D47+F47+G47</f>
        <v>8400</v>
      </c>
      <c r="I47" s="294" t="str">
        <f>ROUNDUP(H47/D$11,1)&amp;"$/SF"</f>
        <v>14$/SF</v>
      </c>
      <c r="J47" s="290"/>
    </row>
    <row r="48" spans="1:10" x14ac:dyDescent="0.25">
      <c r="A48" s="295"/>
      <c r="B48" s="250"/>
      <c r="C48" s="246"/>
      <c r="D48" s="247"/>
      <c r="E48" s="248"/>
      <c r="F48" s="293"/>
      <c r="G48" s="293"/>
      <c r="H48" s="294"/>
      <c r="I48" s="294"/>
      <c r="J48" s="290"/>
    </row>
    <row r="49" spans="1:10" ht="15.6" x14ac:dyDescent="0.3">
      <c r="A49" s="292" t="s">
        <v>461</v>
      </c>
      <c r="B49" s="245" t="s">
        <v>462</v>
      </c>
      <c r="C49" s="246">
        <f>H49/D$66</f>
        <v>0</v>
      </c>
      <c r="D49" s="247">
        <f>SUM('25'!F54:F55)</f>
        <v>0</v>
      </c>
      <c r="E49" s="248">
        <f>SUM('25'!G54:G55)</f>
        <v>0</v>
      </c>
      <c r="F49" s="293">
        <f>SUM('25'!I54:I55)</f>
        <v>0</v>
      </c>
      <c r="G49" s="293">
        <f>SUM('25'!J54:J55)</f>
        <v>0</v>
      </c>
      <c r="H49" s="294">
        <f>D49+F49+G49</f>
        <v>0</v>
      </c>
      <c r="I49" s="294" t="str">
        <f>ROUNDUP(H49/D$11,1)&amp;"$/SF"</f>
        <v>0$/SF</v>
      </c>
      <c r="J49" s="290"/>
    </row>
    <row r="50" spans="1:10" x14ac:dyDescent="0.25">
      <c r="A50" s="295"/>
      <c r="B50" s="250"/>
      <c r="C50" s="246"/>
      <c r="D50" s="247"/>
      <c r="E50" s="248"/>
      <c r="F50" s="293"/>
      <c r="G50" s="293"/>
      <c r="H50" s="294"/>
      <c r="I50" s="294"/>
      <c r="J50" s="290"/>
    </row>
    <row r="51" spans="1:10" ht="15.6" x14ac:dyDescent="0.3">
      <c r="A51" s="292" t="s">
        <v>463</v>
      </c>
      <c r="B51" s="245" t="s">
        <v>10</v>
      </c>
      <c r="C51" s="246">
        <f>H51/D$66</f>
        <v>6.5661458695374264E-2</v>
      </c>
      <c r="D51" s="247">
        <f>SUM('26'!F53:F54)</f>
        <v>0</v>
      </c>
      <c r="E51" s="248">
        <f>SUM('26'!G53:G54)</f>
        <v>0</v>
      </c>
      <c r="F51" s="293">
        <f>SUM('26'!I53:I54)</f>
        <v>0</v>
      </c>
      <c r="G51" s="293">
        <f>SUM('26'!J53:J54)</f>
        <v>53278</v>
      </c>
      <c r="H51" s="294">
        <f>D51+F51+G51</f>
        <v>53278</v>
      </c>
      <c r="I51" s="294" t="str">
        <f>ROUNDUP(H51/D$11,1)&amp;"$/SF"</f>
        <v>88.8$/SF</v>
      </c>
      <c r="J51" s="290"/>
    </row>
    <row r="52" spans="1:10" x14ac:dyDescent="0.25">
      <c r="A52" s="295"/>
      <c r="B52" s="250"/>
      <c r="C52" s="246"/>
      <c r="D52" s="247"/>
      <c r="E52" s="248"/>
      <c r="F52" s="293"/>
      <c r="G52" s="293"/>
      <c r="H52" s="294"/>
      <c r="I52" s="294"/>
      <c r="J52" s="290"/>
    </row>
    <row r="53" spans="1:10" ht="15.6" x14ac:dyDescent="0.3">
      <c r="A53" s="292" t="s">
        <v>484</v>
      </c>
      <c r="B53" s="245" t="s">
        <v>485</v>
      </c>
      <c r="C53" s="246">
        <f>H53/D$66</f>
        <v>0</v>
      </c>
      <c r="D53" s="247">
        <f>SUM('27'!F99:F100)</f>
        <v>0</v>
      </c>
      <c r="E53" s="248">
        <f>SUM('27'!G99:G100)</f>
        <v>0</v>
      </c>
      <c r="F53" s="293">
        <f>SUM('27'!I99:I100)</f>
        <v>0</v>
      </c>
      <c r="G53" s="293">
        <f>SUM('27'!J99:J100)</f>
        <v>0</v>
      </c>
      <c r="H53" s="294">
        <f>D53+F53+G53</f>
        <v>0</v>
      </c>
      <c r="I53" s="294" t="str">
        <f>ROUNDUP(H53/D$11,1)&amp;"$/SF"</f>
        <v>0$/SF</v>
      </c>
      <c r="J53" s="290"/>
    </row>
    <row r="54" spans="1:10" x14ac:dyDescent="0.25">
      <c r="A54" s="295"/>
      <c r="B54" s="250"/>
      <c r="C54" s="246"/>
      <c r="D54" s="247"/>
      <c r="E54" s="248"/>
      <c r="F54" s="293"/>
      <c r="G54" s="293"/>
      <c r="H54" s="294"/>
      <c r="I54" s="294"/>
      <c r="J54" s="290"/>
    </row>
    <row r="55" spans="1:10" ht="15.6" x14ac:dyDescent="0.3">
      <c r="A55" s="292" t="s">
        <v>500</v>
      </c>
      <c r="B55" s="245" t="s">
        <v>501</v>
      </c>
      <c r="C55" s="246">
        <f>H55/D$66</f>
        <v>0</v>
      </c>
      <c r="D55" s="247">
        <f>SUM('28'!F55:F56)</f>
        <v>0</v>
      </c>
      <c r="E55" s="248">
        <f>SUM('28'!G55:G56)</f>
        <v>0</v>
      </c>
      <c r="F55" s="293">
        <f>SUM('28'!I55:I56)</f>
        <v>0</v>
      </c>
      <c r="G55" s="293">
        <f>SUM('28'!J55:J56)</f>
        <v>0</v>
      </c>
      <c r="H55" s="294">
        <f>D55+F55+G55</f>
        <v>0</v>
      </c>
      <c r="I55" s="294" t="str">
        <f>ROUNDUP(H55/D$11,1)&amp;"$/SF"</f>
        <v>0$/SF</v>
      </c>
      <c r="J55" s="290"/>
    </row>
    <row r="56" spans="1:10" x14ac:dyDescent="0.25">
      <c r="A56" s="295"/>
      <c r="B56" s="250"/>
      <c r="C56" s="246"/>
      <c r="D56" s="247"/>
      <c r="E56" s="248"/>
      <c r="F56" s="293"/>
      <c r="G56" s="293"/>
      <c r="H56" s="294"/>
      <c r="I56" s="294"/>
      <c r="J56" s="290"/>
    </row>
    <row r="57" spans="1:10" ht="15.6" x14ac:dyDescent="0.3">
      <c r="A57" s="292" t="s">
        <v>514</v>
      </c>
      <c r="B57" s="245" t="s">
        <v>515</v>
      </c>
      <c r="C57" s="246">
        <f>H57/D$66</f>
        <v>5.2070209652756536E-2</v>
      </c>
      <c r="D57" s="247">
        <f>SUM('31'!F59:F60)</f>
        <v>0</v>
      </c>
      <c r="E57" s="248">
        <f>SUM('31'!G59:G60)</f>
        <v>0</v>
      </c>
      <c r="F57" s="293">
        <f>SUM('31'!I59:I60)</f>
        <v>0</v>
      </c>
      <c r="G57" s="293">
        <f>SUM('31'!J59:J60)</f>
        <v>42250</v>
      </c>
      <c r="H57" s="294">
        <f>D57+F57+G57</f>
        <v>42250</v>
      </c>
      <c r="I57" s="294" t="str">
        <f>ROUNDUP(H57/D$11,1)&amp;"$/SF"</f>
        <v>70.5$/SF</v>
      </c>
      <c r="J57" s="290"/>
    </row>
    <row r="58" spans="1:10" x14ac:dyDescent="0.25">
      <c r="A58" s="295"/>
      <c r="B58" s="250"/>
      <c r="C58" s="246"/>
      <c r="D58" s="247"/>
      <c r="E58" s="248"/>
      <c r="F58" s="293"/>
      <c r="G58" s="293"/>
      <c r="H58" s="294"/>
      <c r="I58" s="294"/>
      <c r="J58" s="290"/>
    </row>
    <row r="59" spans="1:10" ht="15.6" x14ac:dyDescent="0.3">
      <c r="A59" s="292" t="s">
        <v>554</v>
      </c>
      <c r="B59" s="245" t="s">
        <v>555</v>
      </c>
      <c r="C59" s="246">
        <f>H59/D$66</f>
        <v>9.7362048818171974E-3</v>
      </c>
      <c r="D59" s="247">
        <f>SUM('32'!F97:F98)</f>
        <v>5900</v>
      </c>
      <c r="E59" s="248">
        <f>SUM('32'!G97:G98)</f>
        <v>0</v>
      </c>
      <c r="F59" s="293">
        <f>SUM('32'!I97:I98)</f>
        <v>0</v>
      </c>
      <c r="G59" s="293">
        <f>SUM('32'!J97:J98)</f>
        <v>2000</v>
      </c>
      <c r="H59" s="294">
        <f>D59+F59+G59</f>
        <v>7900</v>
      </c>
      <c r="I59" s="294" t="str">
        <f>ROUNDUP(H59/D$11,1)&amp;"$/SF"</f>
        <v>13.2$/SF</v>
      </c>
      <c r="J59" s="290"/>
    </row>
    <row r="60" spans="1:10" x14ac:dyDescent="0.25">
      <c r="A60" s="295"/>
      <c r="B60" s="250"/>
      <c r="C60" s="246"/>
      <c r="D60" s="247"/>
      <c r="E60" s="248"/>
      <c r="F60" s="293"/>
      <c r="G60" s="293"/>
      <c r="H60" s="294"/>
      <c r="I60" s="294"/>
      <c r="J60" s="290"/>
    </row>
    <row r="61" spans="1:10" ht="15.6" x14ac:dyDescent="0.3">
      <c r="A61" s="292" t="s">
        <v>602</v>
      </c>
      <c r="B61" s="245" t="s">
        <v>603</v>
      </c>
      <c r="C61" s="246">
        <f>H61/D$66</f>
        <v>0</v>
      </c>
      <c r="D61" s="247">
        <f>SUM('33'!F57:F58)</f>
        <v>0</v>
      </c>
      <c r="E61" s="248">
        <f>SUM('33'!G57:G58)</f>
        <v>0</v>
      </c>
      <c r="F61" s="293">
        <f>SUM('33'!I57:I58)</f>
        <v>0</v>
      </c>
      <c r="G61" s="293">
        <f>SUM('33'!J57:J58)</f>
        <v>0</v>
      </c>
      <c r="H61" s="294">
        <f>D61+F61+G61</f>
        <v>0</v>
      </c>
      <c r="I61" s="294" t="str">
        <f>ROUNDUP(H61/D$11,1)&amp;"$/SF"</f>
        <v>0$/SF</v>
      </c>
      <c r="J61" s="290"/>
    </row>
    <row r="62" spans="1:10" x14ac:dyDescent="0.25">
      <c r="A62" s="295"/>
      <c r="B62" s="250"/>
      <c r="C62" s="246"/>
      <c r="D62" s="247"/>
      <c r="E62" s="248"/>
      <c r="F62" s="293"/>
      <c r="G62" s="293"/>
      <c r="H62" s="294"/>
      <c r="I62" s="294"/>
      <c r="J62" s="290"/>
    </row>
    <row r="63" spans="1:10" ht="13.8" thickBot="1" x14ac:dyDescent="0.3">
      <c r="A63" s="295"/>
      <c r="C63" s="251"/>
      <c r="D63" s="296"/>
      <c r="E63" s="252"/>
      <c r="F63" s="296"/>
      <c r="G63" s="296"/>
      <c r="H63" s="297"/>
      <c r="I63" s="294"/>
      <c r="J63" s="290"/>
    </row>
    <row r="64" spans="1:10" ht="13.8" thickTop="1" x14ac:dyDescent="0.25">
      <c r="A64" s="295"/>
      <c r="B64" s="253" t="s">
        <v>11</v>
      </c>
      <c r="C64" s="254">
        <f t="shared" ref="C64:H64" si="0">SUM(C15:C63)</f>
        <v>1.0000000000000002</v>
      </c>
      <c r="D64" s="251">
        <f t="shared" si="0"/>
        <v>59330.863366999998</v>
      </c>
      <c r="E64" s="248">
        <f t="shared" si="0"/>
        <v>102.8</v>
      </c>
      <c r="F64" s="251">
        <f t="shared" si="0"/>
        <v>67182</v>
      </c>
      <c r="G64" s="251">
        <f t="shared" si="0"/>
        <v>684891.59</v>
      </c>
      <c r="H64" s="294">
        <f t="shared" si="0"/>
        <v>811404.45336699998</v>
      </c>
      <c r="I64" s="294" t="str">
        <f>ROUNDUP(H64/D$11,1)&amp;"$/SF"</f>
        <v>1352.4$/SF</v>
      </c>
      <c r="J64" s="298"/>
    </row>
    <row r="65" spans="1:13" x14ac:dyDescent="0.25">
      <c r="A65" s="295"/>
      <c r="B65" s="253"/>
      <c r="C65" s="255"/>
      <c r="D65" s="251"/>
      <c r="F65" s="251"/>
      <c r="G65" s="251"/>
      <c r="J65" s="290"/>
      <c r="K65" s="256"/>
    </row>
    <row r="66" spans="1:13" x14ac:dyDescent="0.25">
      <c r="A66" s="295"/>
      <c r="B66" s="253" t="s">
        <v>15</v>
      </c>
      <c r="C66" s="257"/>
      <c r="D66" s="251">
        <f>D64+F64+G64</f>
        <v>811404.45336699998</v>
      </c>
      <c r="F66" s="280"/>
      <c r="G66" s="280"/>
      <c r="J66" s="290"/>
      <c r="K66" s="256"/>
    </row>
    <row r="67" spans="1:13" x14ac:dyDescent="0.25">
      <c r="A67" s="295"/>
      <c r="B67" s="258"/>
      <c r="C67" s="257"/>
      <c r="D67" s="280"/>
      <c r="F67" s="280"/>
      <c r="G67" s="259"/>
      <c r="J67" s="290"/>
      <c r="K67" s="256"/>
    </row>
    <row r="68" spans="1:13" x14ac:dyDescent="0.25">
      <c r="A68" s="295"/>
      <c r="B68" s="253" t="s">
        <v>16</v>
      </c>
      <c r="C68" s="257"/>
      <c r="D68" s="251">
        <f>(D66*E68)</f>
        <v>56798.311735690004</v>
      </c>
      <c r="E68" s="861">
        <v>7.0000000000000007E-2</v>
      </c>
      <c r="F68" s="280"/>
      <c r="G68" s="280"/>
      <c r="J68" s="290"/>
      <c r="K68" s="256" t="s">
        <v>1007</v>
      </c>
    </row>
    <row r="69" spans="1:13" x14ac:dyDescent="0.25">
      <c r="A69" s="295"/>
      <c r="C69" s="255"/>
      <c r="D69" s="280"/>
      <c r="F69" s="260" t="s">
        <v>39</v>
      </c>
      <c r="G69" s="260" t="s">
        <v>31</v>
      </c>
      <c r="J69" s="290"/>
      <c r="K69" s="256"/>
    </row>
    <row r="70" spans="1:13" x14ac:dyDescent="0.25">
      <c r="A70" s="295"/>
      <c r="C70" s="255"/>
      <c r="D70" s="280"/>
      <c r="F70" s="261">
        <v>0.15</v>
      </c>
      <c r="G70" s="262"/>
      <c r="J70" s="290"/>
      <c r="K70" s="256"/>
    </row>
    <row r="71" spans="1:13" x14ac:dyDescent="0.25">
      <c r="A71" s="295"/>
      <c r="B71" s="263" t="s">
        <v>17</v>
      </c>
      <c r="C71" s="264"/>
      <c r="D71" s="293">
        <f>D68+D66</f>
        <v>868202.76510268997</v>
      </c>
      <c r="F71" s="299">
        <f>D71*F70</f>
        <v>130230.41476540349</v>
      </c>
      <c r="G71" s="299">
        <f>D71+F71</f>
        <v>998433.17986809346</v>
      </c>
      <c r="J71" s="290"/>
      <c r="K71" s="256"/>
    </row>
    <row r="72" spans="1:13" x14ac:dyDescent="0.25">
      <c r="A72" s="295"/>
      <c r="B72" s="263"/>
      <c r="C72" s="264"/>
      <c r="D72" s="293"/>
      <c r="F72" s="280"/>
      <c r="G72" s="280"/>
      <c r="J72" s="290"/>
      <c r="K72" s="256"/>
    </row>
    <row r="73" spans="1:13" x14ac:dyDescent="0.25">
      <c r="A73" s="295"/>
      <c r="B73" s="263" t="s">
        <v>984</v>
      </c>
      <c r="C73" s="264"/>
      <c r="D73" s="293"/>
      <c r="E73" s="861"/>
      <c r="F73" s="280"/>
      <c r="G73" s="280"/>
      <c r="J73" s="290"/>
      <c r="K73" s="256"/>
    </row>
    <row r="74" spans="1:13" x14ac:dyDescent="0.25">
      <c r="A74" s="295"/>
      <c r="B74" s="263"/>
      <c r="C74" s="264"/>
      <c r="D74" s="293"/>
      <c r="F74" s="260" t="s">
        <v>39</v>
      </c>
      <c r="G74" s="260" t="s">
        <v>31</v>
      </c>
      <c r="J74" s="290"/>
      <c r="K74" s="256"/>
    </row>
    <row r="75" spans="1:13" x14ac:dyDescent="0.25">
      <c r="A75" s="295"/>
      <c r="B75" s="263" t="s">
        <v>84</v>
      </c>
      <c r="C75" s="264"/>
      <c r="D75" s="300">
        <f>D71+D73</f>
        <v>868202.76510268997</v>
      </c>
      <c r="F75" s="299">
        <f>D75*F70</f>
        <v>130230.41476540349</v>
      </c>
      <c r="G75" s="299">
        <f>D75+F75</f>
        <v>998433.17986809346</v>
      </c>
      <c r="J75" s="290"/>
      <c r="K75" s="256"/>
    </row>
    <row r="76" spans="1:13" x14ac:dyDescent="0.25">
      <c r="A76" s="295"/>
      <c r="B76" s="263"/>
      <c r="C76" s="264"/>
      <c r="D76" s="293"/>
      <c r="F76" s="280"/>
      <c r="G76" s="280"/>
      <c r="J76" s="290"/>
      <c r="K76" s="256"/>
    </row>
    <row r="77" spans="1:13" x14ac:dyDescent="0.25">
      <c r="A77" s="295"/>
      <c r="B77" s="263" t="s">
        <v>998</v>
      </c>
      <c r="C77" s="264"/>
      <c r="D77" s="301">
        <f>D71/D11</f>
        <v>1447.0046085044833</v>
      </c>
      <c r="E77" s="862" t="s">
        <v>36</v>
      </c>
      <c r="F77" s="280"/>
      <c r="G77" s="280"/>
      <c r="J77" s="290"/>
      <c r="K77" s="256"/>
    </row>
    <row r="78" spans="1:13" x14ac:dyDescent="0.25">
      <c r="A78" s="295"/>
      <c r="B78" s="263" t="s">
        <v>997</v>
      </c>
      <c r="C78" s="264"/>
      <c r="D78" s="301">
        <f>D75/D11</f>
        <v>1447.0046085044833</v>
      </c>
      <c r="E78" s="862" t="s">
        <v>36</v>
      </c>
      <c r="F78" s="280"/>
      <c r="G78" s="280"/>
      <c r="J78" s="290"/>
      <c r="K78" s="256"/>
    </row>
    <row r="79" spans="1:13" ht="6" customHeight="1" thickBot="1" x14ac:dyDescent="0.3">
      <c r="A79" s="302"/>
      <c r="B79" s="303"/>
      <c r="C79" s="265"/>
      <c r="D79" s="303"/>
      <c r="E79" s="303"/>
      <c r="F79" s="304"/>
      <c r="G79" s="304"/>
      <c r="H79" s="303"/>
      <c r="I79" s="305"/>
      <c r="J79" s="290"/>
      <c r="K79" s="256"/>
    </row>
    <row r="80" spans="1:13" ht="13.8" thickTop="1" x14ac:dyDescent="0.25">
      <c r="D80" s="267"/>
      <c r="K80" s="307"/>
      <c r="L80" s="1025"/>
      <c r="M80" s="1025"/>
    </row>
    <row r="81" spans="1:13" x14ac:dyDescent="0.25">
      <c r="A81" s="308"/>
      <c r="B81" s="309"/>
      <c r="C81" s="269"/>
      <c r="D81" s="310"/>
      <c r="E81" s="270"/>
      <c r="F81" s="310"/>
      <c r="G81" s="310"/>
      <c r="H81" s="309"/>
      <c r="I81" s="309"/>
      <c r="K81" s="307"/>
      <c r="L81" s="1025"/>
      <c r="M81" s="1025"/>
    </row>
    <row r="82" spans="1:13" x14ac:dyDescent="0.25">
      <c r="A82" s="309"/>
      <c r="B82" s="309"/>
      <c r="C82" s="269" t="s">
        <v>73</v>
      </c>
      <c r="D82" s="883">
        <v>15</v>
      </c>
      <c r="E82" s="270" t="s">
        <v>74</v>
      </c>
      <c r="F82" s="310"/>
      <c r="G82" s="157" t="s">
        <v>86</v>
      </c>
      <c r="H82" s="157" t="s">
        <v>88</v>
      </c>
      <c r="K82" s="307"/>
      <c r="L82" s="1025"/>
      <c r="M82" s="1025"/>
    </row>
    <row r="83" spans="1:13" x14ac:dyDescent="0.25">
      <c r="A83" s="309"/>
      <c r="B83" s="309"/>
      <c r="C83" s="269" t="s">
        <v>85</v>
      </c>
      <c r="D83" s="310">
        <f>D68+'1'!K14+'1'!K93+'1'!K39+'1'!K103+'1'!K36+'1'!K11</f>
        <v>123029.27201359</v>
      </c>
      <c r="E83" s="270">
        <f>D83/D82</f>
        <v>8201.9514675726659</v>
      </c>
      <c r="F83" s="310"/>
      <c r="G83" s="157" t="s">
        <v>89</v>
      </c>
      <c r="H83" s="271">
        <v>0.1</v>
      </c>
      <c r="I83" s="271"/>
      <c r="K83" s="311"/>
      <c r="L83" s="1025"/>
      <c r="M83" s="1025"/>
    </row>
    <row r="84" spans="1:13" x14ac:dyDescent="0.25">
      <c r="A84" s="309"/>
      <c r="B84" s="309"/>
      <c r="C84" s="269"/>
      <c r="D84" s="310"/>
      <c r="E84" s="270"/>
      <c r="F84" s="310"/>
      <c r="G84" s="157" t="s">
        <v>90</v>
      </c>
      <c r="H84" s="271">
        <v>0.15</v>
      </c>
      <c r="I84" s="271"/>
      <c r="K84" s="307"/>
      <c r="L84" s="1025"/>
      <c r="M84" s="1025"/>
    </row>
    <row r="85" spans="1:13" x14ac:dyDescent="0.25">
      <c r="A85" s="309"/>
      <c r="B85" s="309"/>
      <c r="C85" s="269" t="s">
        <v>87</v>
      </c>
      <c r="D85" s="312">
        <f>D83/D71</f>
        <v>0.14170569014375145</v>
      </c>
      <c r="E85" s="270"/>
      <c r="F85" s="310"/>
      <c r="G85" s="157" t="s">
        <v>91</v>
      </c>
      <c r="H85" s="271">
        <v>0.2</v>
      </c>
      <c r="I85" s="271"/>
      <c r="K85" s="307"/>
      <c r="L85" s="1025"/>
      <c r="M85" s="1025"/>
    </row>
    <row r="86" spans="1:13" x14ac:dyDescent="0.25">
      <c r="A86" s="309"/>
      <c r="B86" s="309"/>
      <c r="C86" s="269" t="s">
        <v>732</v>
      </c>
      <c r="D86" s="310">
        <f>D75*E86</f>
        <v>8682.0276510268995</v>
      </c>
      <c r="E86" s="272">
        <v>0.01</v>
      </c>
      <c r="F86" s="310"/>
      <c r="G86" s="157" t="s">
        <v>92</v>
      </c>
      <c r="H86" s="271">
        <v>0.25</v>
      </c>
      <c r="I86" s="271"/>
      <c r="K86" s="307"/>
      <c r="L86" s="1025"/>
      <c r="M86" s="1025"/>
    </row>
    <row r="87" spans="1:13" x14ac:dyDescent="0.25">
      <c r="B87" s="273"/>
      <c r="C87" s="269" t="s">
        <v>733</v>
      </c>
      <c r="D87" s="274">
        <f>D75*E87</f>
        <v>43410.138255134501</v>
      </c>
      <c r="E87" s="275">
        <v>0.05</v>
      </c>
      <c r="F87" s="273"/>
      <c r="G87" s="157"/>
      <c r="K87" s="276"/>
      <c r="M87" s="159"/>
    </row>
    <row r="88" spans="1:13" x14ac:dyDescent="0.25">
      <c r="A88" s="277" t="s">
        <v>101</v>
      </c>
      <c r="B88" s="157">
        <f>COUNTIF(A89:A97,"*")</f>
        <v>0</v>
      </c>
      <c r="C88" s="159"/>
      <c r="D88" s="157"/>
      <c r="E88" s="157"/>
      <c r="F88" s="157"/>
      <c r="G88" s="157"/>
      <c r="K88" s="276"/>
      <c r="M88" s="159"/>
    </row>
    <row r="89" spans="1:13" x14ac:dyDescent="0.25">
      <c r="C89" s="159"/>
      <c r="D89" s="157"/>
      <c r="E89" s="157"/>
      <c r="F89" s="157"/>
      <c r="G89" s="157"/>
      <c r="K89" s="276"/>
      <c r="M89" s="159"/>
    </row>
    <row r="90" spans="1:13" x14ac:dyDescent="0.25">
      <c r="C90" s="159"/>
      <c r="D90" s="157"/>
      <c r="E90" s="157"/>
      <c r="F90" s="157"/>
      <c r="G90" s="157"/>
      <c r="K90" s="276"/>
      <c r="M90" s="159"/>
    </row>
    <row r="91" spans="1:13" x14ac:dyDescent="0.25">
      <c r="C91" s="159"/>
      <c r="D91" s="157"/>
      <c r="E91" s="157"/>
      <c r="F91" s="157"/>
      <c r="G91" s="157"/>
      <c r="K91" s="276"/>
      <c r="M91" s="159"/>
    </row>
    <row r="92" spans="1:13" x14ac:dyDescent="0.25">
      <c r="C92" s="159"/>
      <c r="D92" s="157"/>
      <c r="E92" s="157"/>
      <c r="F92" s="157"/>
      <c r="G92" s="157"/>
      <c r="K92" s="276"/>
      <c r="M92" s="159"/>
    </row>
    <row r="93" spans="1:13" x14ac:dyDescent="0.25">
      <c r="C93" s="159"/>
      <c r="D93" s="157"/>
      <c r="E93" s="157"/>
      <c r="F93" s="157"/>
      <c r="G93" s="157"/>
      <c r="K93" s="276"/>
      <c r="M93" s="159"/>
    </row>
    <row r="94" spans="1:13" s="923" customFormat="1" x14ac:dyDescent="0.25">
      <c r="C94" s="924"/>
      <c r="K94" s="925"/>
      <c r="M94" s="924"/>
    </row>
    <row r="95" spans="1:13" s="923" customFormat="1" ht="19.5" customHeight="1" x14ac:dyDescent="0.25">
      <c r="B95" s="915" t="s">
        <v>1017</v>
      </c>
      <c r="C95" s="916" t="s">
        <v>955</v>
      </c>
      <c r="D95" s="916" t="s">
        <v>956</v>
      </c>
      <c r="E95" s="917" t="s">
        <v>957</v>
      </c>
      <c r="K95" s="925"/>
      <c r="M95" s="924"/>
    </row>
    <row r="96" spans="1:13" s="923" customFormat="1" ht="19.5" customHeight="1" x14ac:dyDescent="0.25">
      <c r="B96" s="912" t="s">
        <v>976</v>
      </c>
      <c r="C96" s="913" t="s">
        <v>977</v>
      </c>
      <c r="D96" s="913" t="s">
        <v>1018</v>
      </c>
      <c r="E96" s="918" t="s">
        <v>1019</v>
      </c>
      <c r="K96" s="925"/>
      <c r="M96" s="924"/>
    </row>
    <row r="97" spans="2:13" s="923" customFormat="1" ht="19.5" customHeight="1" x14ac:dyDescent="0.25">
      <c r="B97" s="912" t="s">
        <v>978</v>
      </c>
      <c r="C97" s="913" t="s">
        <v>979</v>
      </c>
      <c r="D97" s="913" t="s">
        <v>1020</v>
      </c>
      <c r="E97" s="918" t="s">
        <v>1021</v>
      </c>
      <c r="K97" s="925"/>
      <c r="M97" s="924"/>
    </row>
    <row r="98" spans="2:13" s="923" customFormat="1" ht="19.5" customHeight="1" thickBot="1" x14ac:dyDescent="0.3">
      <c r="B98" s="912" t="s">
        <v>980</v>
      </c>
      <c r="C98" s="914" t="s">
        <v>981</v>
      </c>
      <c r="D98" s="914" t="s">
        <v>1022</v>
      </c>
      <c r="E98" s="919" t="s">
        <v>1023</v>
      </c>
      <c r="K98" s="925"/>
      <c r="M98" s="924"/>
    </row>
    <row r="99" spans="2:13" s="923" customFormat="1" ht="19.5" customHeight="1" thickTop="1" x14ac:dyDescent="0.25">
      <c r="B99" s="920" t="s">
        <v>982</v>
      </c>
      <c r="C99" s="921" t="s">
        <v>983</v>
      </c>
      <c r="D99" s="921" t="s">
        <v>1024</v>
      </c>
      <c r="E99" s="922" t="s">
        <v>1025</v>
      </c>
      <c r="K99" s="925"/>
      <c r="M99" s="924"/>
    </row>
    <row r="100" spans="2:13" s="923" customFormat="1" x14ac:dyDescent="0.25">
      <c r="C100" s="924"/>
      <c r="K100" s="925"/>
      <c r="M100" s="924"/>
    </row>
    <row r="101" spans="2:13" s="923" customFormat="1" x14ac:dyDescent="0.25">
      <c r="C101" s="924"/>
      <c r="K101" s="925"/>
      <c r="M101" s="924"/>
    </row>
    <row r="102" spans="2:13" s="923" customFormat="1" x14ac:dyDescent="0.25">
      <c r="C102" s="924"/>
      <c r="K102" s="925"/>
      <c r="M102" s="924"/>
    </row>
    <row r="103" spans="2:13" s="923" customFormat="1" x14ac:dyDescent="0.25">
      <c r="C103" s="924"/>
      <c r="K103" s="925"/>
      <c r="M103" s="924"/>
    </row>
    <row r="104" spans="2:13" s="923" customFormat="1" x14ac:dyDescent="0.25">
      <c r="C104" s="924"/>
      <c r="K104" s="925"/>
      <c r="M104" s="924"/>
    </row>
    <row r="105" spans="2:13" x14ac:dyDescent="0.25">
      <c r="C105" s="159"/>
      <c r="D105" s="157"/>
      <c r="E105" s="157"/>
      <c r="F105" s="157"/>
      <c r="G105" s="157"/>
      <c r="K105" s="276"/>
      <c r="M105" s="159"/>
    </row>
    <row r="106" spans="2:13" x14ac:dyDescent="0.25">
      <c r="C106" s="159"/>
      <c r="D106" s="157"/>
      <c r="E106" s="157"/>
      <c r="F106" s="157"/>
      <c r="G106" s="157"/>
      <c r="K106" s="276"/>
      <c r="M106" s="159"/>
    </row>
    <row r="107" spans="2:13" x14ac:dyDescent="0.25">
      <c r="C107" s="159"/>
      <c r="D107" s="157"/>
      <c r="E107" s="157"/>
      <c r="F107" s="157"/>
      <c r="G107" s="157"/>
      <c r="K107" s="276"/>
      <c r="M107" s="159"/>
    </row>
    <row r="108" spans="2:13" x14ac:dyDescent="0.25">
      <c r="C108" s="159"/>
      <c r="D108" s="157"/>
      <c r="E108" s="157"/>
      <c r="F108" s="157"/>
      <c r="G108" s="157"/>
      <c r="K108" s="276"/>
      <c r="M108" s="159"/>
    </row>
    <row r="109" spans="2:13" x14ac:dyDescent="0.25">
      <c r="C109" s="159"/>
      <c r="D109" s="157"/>
      <c r="E109" s="157"/>
      <c r="F109" s="157"/>
      <c r="G109" s="157"/>
      <c r="K109" s="276"/>
      <c r="M109" s="159"/>
    </row>
    <row r="110" spans="2:13" x14ac:dyDescent="0.25">
      <c r="C110" s="159"/>
      <c r="D110" s="157"/>
      <c r="E110" s="157"/>
      <c r="F110" s="157"/>
      <c r="G110" s="157"/>
      <c r="K110" s="276"/>
      <c r="M110" s="159"/>
    </row>
    <row r="111" spans="2:13" x14ac:dyDescent="0.25">
      <c r="C111" s="159"/>
      <c r="D111" s="157"/>
      <c r="E111" s="157"/>
      <c r="F111" s="157"/>
      <c r="G111" s="157"/>
      <c r="K111" s="276"/>
      <c r="M111" s="159"/>
    </row>
  </sheetData>
  <mergeCells count="18">
    <mergeCell ref="A2:H2"/>
    <mergeCell ref="B13:B14"/>
    <mergeCell ref="A13:A14"/>
    <mergeCell ref="F9:G10"/>
    <mergeCell ref="A9:B9"/>
    <mergeCell ref="G13:G14"/>
    <mergeCell ref="F13:F14"/>
    <mergeCell ref="E13:E14"/>
    <mergeCell ref="L85:M85"/>
    <mergeCell ref="D13:D14"/>
    <mergeCell ref="L80:M80"/>
    <mergeCell ref="H13:H14"/>
    <mergeCell ref="L86:M86"/>
    <mergeCell ref="L81:M81"/>
    <mergeCell ref="L82:M82"/>
    <mergeCell ref="L83:M83"/>
    <mergeCell ref="L84:M84"/>
    <mergeCell ref="K13:K14"/>
  </mergeCells>
  <phoneticPr fontId="5" type="noConversion"/>
  <printOptions horizontalCentered="1"/>
  <pageMargins left="0.7" right="0.7" top="0.75" bottom="0.75" header="0.5" footer="0.5"/>
  <pageSetup scale="43" orientation="portrait" horizontalDpi="36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promptTitle="Province" prompt="Please Select From List" xr:uid="{00000000-0002-0000-0500-000000000000}">
          <x14:formula1>
            <xm:f>DATA!$D$3:$D$6</xm:f>
          </x14:formula1>
          <xm:sqref>B5</xm:sqref>
        </x14:dataValidation>
        <x14:dataValidation type="list" showInputMessage="1" showErrorMessage="1" promptTitle="Select Quarter" prompt="Please Select From List" xr:uid="{00000000-0002-0000-0500-000001000000}">
          <x14:formula1>
            <xm:f>DATA!$B$3:$B$6</xm:f>
          </x14:formula1>
          <xm:sqref>B8</xm:sqref>
        </x14:dataValidation>
        <x14:dataValidation type="list" allowBlank="1" showInputMessage="1" showErrorMessage="1" promptTitle="Satus" prompt="Please Select From List" xr:uid="{00000000-0002-0000-0500-000005000000}">
          <x14:formula1>
            <xm:f>DATA!$R$5:$R$7</xm:f>
          </x14:formula1>
          <xm:sqref>F6</xm:sqref>
        </x14:dataValidation>
        <x14:dataValidation type="list" allowBlank="1" showInputMessage="1" showErrorMessage="1" promptTitle="Result" prompt="Please Select From LIst" xr:uid="{00000000-0002-0000-0500-000006000000}">
          <x14:formula1>
            <xm:f>DATA!$T$5:$T$6</xm:f>
          </x14:formula1>
          <xm:sqref>F7</xm:sqref>
        </x14:dataValidation>
        <x14:dataValidation type="list" allowBlank="1" showInputMessage="1" showErrorMessage="1" promptTitle="Client Definition" prompt="Please Select From List" xr:uid="{00000000-0002-0000-0500-000008000000}">
          <x14:formula1>
            <xm:f>DATA!$P$3:$P$5</xm:f>
          </x14:formula1>
          <xm:sqref>I6</xm:sqref>
        </x14:dataValidation>
        <x14:dataValidation type="list" allowBlank="1" showInputMessage="1" showErrorMessage="1" promptTitle="Project Definition" prompt="Please Select From List" xr:uid="{00000000-0002-0000-0500-000009000000}">
          <x14:formula1>
            <xm:f>DATA!#REF!</xm:f>
          </x14:formula1>
          <xm:sqref>F8</xm:sqref>
        </x14:dataValidation>
        <x14:dataValidation type="list" allowBlank="1" showInputMessage="1" showErrorMessage="1" promptTitle="Lead" prompt="Please Select From List" xr:uid="{00000000-0002-0000-0500-00000A000000}">
          <x14:formula1>
            <xm:f>DATA!#REF!</xm:f>
          </x14:formula1>
          <xm:sqref>H7:I7</xm:sqref>
        </x14:dataValidation>
        <x14:dataValidation type="list" allowBlank="1" showInputMessage="1" showErrorMessage="1" promptTitle="F / H / P" prompt="Please Select From List" xr:uid="{00000000-0002-0000-0500-00000B000000}">
          <x14:formula1>
            <xm:f>DATA!#REF!</xm:f>
          </x14:formula1>
          <xm:sqref>I8</xm:sqref>
        </x14:dataValidation>
        <x14:dataValidation type="list" allowBlank="1" showInputMessage="1" showErrorMessage="1" promptTitle="Client Definition" prompt="Please Select From List" xr:uid="{00000000-0002-0000-0500-00000C000000}">
          <x14:formula1>
            <xm:f>DATA!#REF!</xm:f>
          </x14:formula1>
          <xm:sqref>H8</xm:sqref>
        </x14:dataValidation>
        <x14:dataValidation type="list" allowBlank="1" showInputMessage="1" showErrorMessage="1" promptTitle="Contract Type" prompt="Please Select From List" xr:uid="{00000000-0002-0000-0500-000003000000}">
          <x14:formula1>
            <xm:f>DATA!$J$3:$J$6</xm:f>
          </x14:formula1>
          <xm:sqref>D7</xm:sqref>
        </x14:dataValidation>
        <x14:dataValidation type="list" allowBlank="1" showInputMessage="1" showErrorMessage="1" promptTitle="Payment Method" prompt="Please Select From List" xr:uid="{00000000-0002-0000-0500-000004000000}">
          <x14:formula1>
            <xm:f>DATA!$K$3:$K$4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00B0F0"/>
    <pageSetUpPr fitToPage="1"/>
  </sheetPr>
  <dimension ref="A1:AA184"/>
  <sheetViews>
    <sheetView zoomScaleNormal="75" zoomScaleSheetLayoutView="90" zoomScalePageLayoutView="75" workbookViewId="0">
      <selection activeCell="L130" sqref="L130"/>
    </sheetView>
  </sheetViews>
  <sheetFormatPr defaultColWidth="9.33203125" defaultRowHeight="13.2" x14ac:dyDescent="0.25"/>
  <cols>
    <col min="1" max="1" width="12.33203125" style="157" customWidth="1"/>
    <col min="2" max="2" width="48.6640625" style="157" customWidth="1"/>
    <col min="3" max="3" width="8.6640625" style="421" customWidth="1"/>
    <col min="4" max="4" width="9" style="421" customWidth="1"/>
    <col min="5" max="5" width="12" style="157" customWidth="1"/>
    <col min="6" max="6" width="12.5546875" style="157" customWidth="1"/>
    <col min="7" max="7" width="11.33203125" style="157" customWidth="1"/>
    <col min="8" max="8" width="11.44140625" style="157" customWidth="1"/>
    <col min="9" max="9" width="12.5546875" style="157" customWidth="1"/>
    <col min="10" max="10" width="16.33203125" style="157" customWidth="1"/>
    <col min="11" max="11" width="14.44140625" style="157" customWidth="1"/>
    <col min="12" max="12" width="26.6640625" style="159" customWidth="1"/>
    <col min="13" max="13" width="17.44140625" style="268" customWidth="1"/>
    <col min="14" max="14" width="25.33203125" style="157" customWidth="1"/>
    <col min="15" max="15" width="23.6640625" style="294" customWidth="1"/>
    <col min="16" max="16" width="27.44140625" style="294" customWidth="1"/>
    <col min="17" max="17" width="30.6640625" style="157" customWidth="1"/>
    <col min="18" max="16384" width="9.33203125" style="157"/>
  </cols>
  <sheetData>
    <row r="1" spans="1:2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27" ht="13.8" thickBot="1" x14ac:dyDescent="0.3">
      <c r="A2" s="315"/>
      <c r="B2" s="316"/>
      <c r="C2" s="317"/>
      <c r="D2" s="1013"/>
      <c r="E2" s="1013"/>
      <c r="F2" s="1013"/>
      <c r="G2" s="317"/>
      <c r="H2" s="318"/>
      <c r="I2" s="319"/>
      <c r="J2" s="320"/>
      <c r="K2" s="321"/>
    </row>
    <row r="3" spans="1:27" ht="16.2" thickBot="1" x14ac:dyDescent="0.35">
      <c r="A3" s="1014"/>
      <c r="B3" s="1015"/>
      <c r="C3" s="317"/>
      <c r="D3" s="1013"/>
      <c r="E3" s="1013"/>
      <c r="F3" s="1013"/>
      <c r="G3" s="322"/>
      <c r="H3" s="323"/>
      <c r="I3" s="324"/>
      <c r="J3" s="324"/>
      <c r="K3" s="325"/>
      <c r="L3" s="1114"/>
      <c r="M3" s="1114"/>
      <c r="N3" s="1024"/>
      <c r="O3" s="1024"/>
      <c r="P3" s="1025"/>
    </row>
    <row r="4" spans="1:27" ht="13.2" customHeight="1" thickBot="1" x14ac:dyDescent="0.3">
      <c r="A4" s="1014"/>
      <c r="B4" s="1015"/>
      <c r="C4" s="317"/>
      <c r="D4" s="1013"/>
      <c r="E4" s="1013"/>
      <c r="F4" s="1013"/>
      <c r="G4" s="326"/>
      <c r="H4" s="327"/>
      <c r="I4" s="319"/>
      <c r="J4" s="320"/>
      <c r="K4" s="321"/>
      <c r="L4" s="1114"/>
      <c r="M4" s="1114"/>
      <c r="N4" s="1024"/>
      <c r="O4" s="1024"/>
      <c r="P4" s="1025"/>
    </row>
    <row r="5" spans="1:27" ht="21.6" thickBot="1" x14ac:dyDescent="0.35">
      <c r="A5" s="328"/>
      <c r="B5" s="329"/>
      <c r="C5" s="330"/>
      <c r="D5" s="331"/>
      <c r="E5" s="332"/>
      <c r="F5" s="327"/>
      <c r="G5" s="1016" t="s">
        <v>3</v>
      </c>
      <c r="H5" s="1016"/>
      <c r="I5" s="1016"/>
      <c r="J5" s="1017" t="s">
        <v>73</v>
      </c>
      <c r="K5" s="1018"/>
      <c r="L5" s="1114"/>
      <c r="M5" s="1114"/>
      <c r="N5" s="1024"/>
      <c r="O5" s="1024"/>
      <c r="P5" s="1025"/>
    </row>
    <row r="6" spans="1:27" ht="21.6" thickBot="1" x14ac:dyDescent="0.3">
      <c r="A6" s="328"/>
      <c r="B6" s="329"/>
      <c r="C6" s="333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'Estimate Summary'!D82</f>
        <v>15</v>
      </c>
      <c r="K6" s="321" t="s">
        <v>74</v>
      </c>
      <c r="L6" s="1114"/>
      <c r="M6" s="1114"/>
      <c r="N6" s="1024"/>
      <c r="O6" s="1024"/>
      <c r="P6" s="1025"/>
    </row>
    <row r="7" spans="1:2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2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M8" s="341"/>
      <c r="N8" s="342"/>
      <c r="O8" s="343"/>
      <c r="P8" s="343"/>
    </row>
    <row r="9" spans="1:2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347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27" ht="15.6" x14ac:dyDescent="0.3">
      <c r="A10" s="348" t="s">
        <v>103</v>
      </c>
      <c r="B10" s="349" t="s">
        <v>102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354" t="s">
        <v>14</v>
      </c>
      <c r="H10" s="352" t="s">
        <v>35</v>
      </c>
      <c r="I10" s="353" t="s">
        <v>30</v>
      </c>
      <c r="J10" s="355" t="s">
        <v>649</v>
      </c>
      <c r="K10" s="356" t="s">
        <v>38</v>
      </c>
      <c r="L10" s="1051"/>
      <c r="M10" s="1053"/>
      <c r="N10" s="1055"/>
      <c r="O10" s="1057"/>
      <c r="P10" s="1059"/>
      <c r="Q10" s="1049"/>
      <c r="S10" s="357"/>
      <c r="T10" s="357"/>
      <c r="U10" s="358"/>
      <c r="V10" s="358"/>
      <c r="W10" s="359"/>
      <c r="X10" s="358"/>
      <c r="Y10" s="358"/>
      <c r="Z10" s="358"/>
      <c r="AA10" s="360"/>
    </row>
    <row r="11" spans="1:27" x14ac:dyDescent="0.25">
      <c r="A11" s="361" t="s">
        <v>634</v>
      </c>
      <c r="B11" s="5" t="s">
        <v>122</v>
      </c>
      <c r="C11" s="362"/>
      <c r="D11" s="363" t="s">
        <v>21</v>
      </c>
      <c r="E11" s="247">
        <v>0</v>
      </c>
      <c r="F11" s="364">
        <f>C11*E11</f>
        <v>0</v>
      </c>
      <c r="G11" s="365"/>
      <c r="H11" s="366">
        <v>0</v>
      </c>
      <c r="I11" s="364">
        <f>G11*H11</f>
        <v>0</v>
      </c>
      <c r="J11" s="367"/>
      <c r="K11" s="368">
        <f>F11+I11+J11</f>
        <v>0</v>
      </c>
      <c r="L11" s="369"/>
      <c r="M11" s="370"/>
      <c r="N11" s="371"/>
      <c r="O11" s="372"/>
      <c r="P11" s="373"/>
      <c r="Q11" s="374"/>
      <c r="S11" s="357"/>
      <c r="T11" s="357"/>
      <c r="U11" s="358"/>
      <c r="V11" s="358"/>
      <c r="W11" s="359"/>
      <c r="X11" s="358"/>
      <c r="Y11" s="358"/>
      <c r="Z11" s="358"/>
      <c r="AA11" s="360"/>
    </row>
    <row r="12" spans="1:27" x14ac:dyDescent="0.25">
      <c r="A12" s="793" t="s">
        <v>635</v>
      </c>
      <c r="B12" s="794" t="s">
        <v>1008</v>
      </c>
      <c r="C12" s="795">
        <v>1</v>
      </c>
      <c r="D12" s="796" t="s">
        <v>21</v>
      </c>
      <c r="E12" s="797">
        <v>2500</v>
      </c>
      <c r="F12" s="798">
        <f t="shared" ref="F12:F23" si="0">C12*E12</f>
        <v>2500</v>
      </c>
      <c r="G12" s="863"/>
      <c r="H12" s="800">
        <v>0</v>
      </c>
      <c r="I12" s="798">
        <f t="shared" ref="I12:I23" si="1">G12*H12</f>
        <v>0</v>
      </c>
      <c r="J12" s="801"/>
      <c r="K12" s="864">
        <f t="shared" ref="K12:K23" si="2">F12+I12+J12</f>
        <v>2500</v>
      </c>
      <c r="L12" s="369" t="s">
        <v>1006</v>
      </c>
      <c r="M12" s="370"/>
      <c r="N12" s="371"/>
      <c r="O12" s="372"/>
      <c r="P12" s="373"/>
      <c r="Q12" s="374"/>
    </row>
    <row r="13" spans="1:27" x14ac:dyDescent="0.25">
      <c r="A13" s="361" t="s">
        <v>638</v>
      </c>
      <c r="B13" s="5" t="s">
        <v>118</v>
      </c>
      <c r="C13" s="362"/>
      <c r="D13" s="363" t="s">
        <v>21</v>
      </c>
      <c r="E13" s="247">
        <v>0</v>
      </c>
      <c r="F13" s="364">
        <f t="shared" si="0"/>
        <v>0</v>
      </c>
      <c r="G13" s="365"/>
      <c r="H13" s="366">
        <v>0</v>
      </c>
      <c r="I13" s="364">
        <f t="shared" si="1"/>
        <v>0</v>
      </c>
      <c r="J13" s="367"/>
      <c r="K13" s="368">
        <f t="shared" si="2"/>
        <v>0</v>
      </c>
      <c r="L13" s="369"/>
      <c r="M13" s="370"/>
      <c r="N13" s="371"/>
      <c r="O13" s="372"/>
      <c r="P13" s="373"/>
      <c r="Q13" s="374"/>
    </row>
    <row r="14" spans="1:27" x14ac:dyDescent="0.25">
      <c r="A14" s="361" t="s">
        <v>636</v>
      </c>
      <c r="B14" s="5" t="s">
        <v>94</v>
      </c>
      <c r="C14" s="362"/>
      <c r="D14" s="363" t="s">
        <v>21</v>
      </c>
      <c r="E14" s="247">
        <v>0</v>
      </c>
      <c r="F14" s="364">
        <f t="shared" si="0"/>
        <v>0</v>
      </c>
      <c r="G14" s="365"/>
      <c r="H14" s="366">
        <v>0</v>
      </c>
      <c r="I14" s="364">
        <f t="shared" si="1"/>
        <v>0</v>
      </c>
      <c r="J14" s="367"/>
      <c r="K14" s="368">
        <f t="shared" si="2"/>
        <v>0</v>
      </c>
      <c r="L14" s="369"/>
      <c r="M14" s="370"/>
      <c r="N14" s="371"/>
      <c r="O14" s="372"/>
      <c r="P14" s="373"/>
      <c r="Q14" s="374"/>
    </row>
    <row r="15" spans="1:27" x14ac:dyDescent="0.25">
      <c r="A15" s="361" t="s">
        <v>637</v>
      </c>
      <c r="B15" s="6" t="s">
        <v>119</v>
      </c>
      <c r="C15" s="362"/>
      <c r="D15" s="363" t="s">
        <v>21</v>
      </c>
      <c r="E15" s="247">
        <v>0</v>
      </c>
      <c r="F15" s="364">
        <f t="shared" si="0"/>
        <v>0</v>
      </c>
      <c r="G15" s="365"/>
      <c r="H15" s="366">
        <v>0</v>
      </c>
      <c r="I15" s="364">
        <f t="shared" si="1"/>
        <v>0</v>
      </c>
      <c r="J15" s="367"/>
      <c r="K15" s="368">
        <f t="shared" si="2"/>
        <v>0</v>
      </c>
      <c r="L15" s="369"/>
      <c r="M15" s="370"/>
      <c r="N15" s="371"/>
      <c r="O15" s="372"/>
      <c r="P15" s="373"/>
      <c r="Q15" s="374"/>
    </row>
    <row r="16" spans="1:27" x14ac:dyDescent="0.25">
      <c r="A16" s="899" t="s">
        <v>639</v>
      </c>
      <c r="B16" s="900" t="s">
        <v>991</v>
      </c>
      <c r="C16" s="901">
        <v>1</v>
      </c>
      <c r="D16" s="902" t="s">
        <v>21</v>
      </c>
      <c r="E16" s="834">
        <v>0</v>
      </c>
      <c r="F16" s="903">
        <f t="shared" ref="F16" si="3">C16*E16</f>
        <v>0</v>
      </c>
      <c r="G16" s="904"/>
      <c r="H16" s="905">
        <v>0</v>
      </c>
      <c r="I16" s="903">
        <f t="shared" ref="I16" si="4">G16*H16</f>
        <v>0</v>
      </c>
      <c r="J16" s="906"/>
      <c r="K16" s="907">
        <f t="shared" ref="K16" si="5">F16+I16+J16</f>
        <v>0</v>
      </c>
      <c r="L16" s="908" t="s">
        <v>1016</v>
      </c>
      <c r="M16" s="909" t="s">
        <v>1000</v>
      </c>
      <c r="N16" s="371"/>
      <c r="O16" s="372"/>
      <c r="P16" s="373"/>
      <c r="Q16" s="374"/>
    </row>
    <row r="17" spans="1:26" x14ac:dyDescent="0.25">
      <c r="A17" s="375" t="s">
        <v>640</v>
      </c>
      <c r="B17" s="5" t="s">
        <v>120</v>
      </c>
      <c r="C17" s="362"/>
      <c r="D17" s="363" t="s">
        <v>21</v>
      </c>
      <c r="E17" s="247">
        <v>0</v>
      </c>
      <c r="F17" s="364">
        <f t="shared" si="0"/>
        <v>0</v>
      </c>
      <c r="G17" s="365"/>
      <c r="H17" s="366">
        <v>0</v>
      </c>
      <c r="I17" s="364">
        <f t="shared" si="1"/>
        <v>0</v>
      </c>
      <c r="J17" s="367"/>
      <c r="K17" s="368">
        <f t="shared" si="2"/>
        <v>0</v>
      </c>
      <c r="L17" s="369"/>
      <c r="M17" s="370"/>
      <c r="N17" s="371"/>
      <c r="O17" s="372"/>
      <c r="P17" s="373"/>
      <c r="Q17" s="374"/>
    </row>
    <row r="18" spans="1:26" x14ac:dyDescent="0.25">
      <c r="A18" s="846" t="s">
        <v>641</v>
      </c>
      <c r="B18" s="794" t="s">
        <v>1009</v>
      </c>
      <c r="C18" s="795">
        <v>1</v>
      </c>
      <c r="D18" s="796" t="s">
        <v>21</v>
      </c>
      <c r="E18" s="797">
        <f>M18</f>
        <v>14000</v>
      </c>
      <c r="F18" s="798">
        <f t="shared" si="0"/>
        <v>14000</v>
      </c>
      <c r="G18" s="863"/>
      <c r="H18" s="800">
        <v>0</v>
      </c>
      <c r="I18" s="798">
        <f t="shared" si="1"/>
        <v>0</v>
      </c>
      <c r="J18" s="801"/>
      <c r="K18" s="864">
        <f t="shared" si="2"/>
        <v>14000</v>
      </c>
      <c r="L18" s="369" t="s">
        <v>1012</v>
      </c>
      <c r="M18" s="370">
        <v>14000</v>
      </c>
      <c r="N18" s="371" t="s">
        <v>1006</v>
      </c>
      <c r="O18" s="369"/>
      <c r="P18" s="373"/>
      <c r="Q18" s="374"/>
    </row>
    <row r="19" spans="1:26" ht="15.6" x14ac:dyDescent="0.3">
      <c r="A19" s="375" t="s">
        <v>642</v>
      </c>
      <c r="B19" s="5" t="s">
        <v>42</v>
      </c>
      <c r="C19" s="362"/>
      <c r="D19" s="363" t="s">
        <v>21</v>
      </c>
      <c r="E19" s="247">
        <v>0</v>
      </c>
      <c r="F19" s="364">
        <f t="shared" si="0"/>
        <v>0</v>
      </c>
      <c r="G19" s="365"/>
      <c r="H19" s="366">
        <v>0</v>
      </c>
      <c r="I19" s="364">
        <f t="shared" si="1"/>
        <v>0</v>
      </c>
      <c r="J19" s="367"/>
      <c r="K19" s="368">
        <f t="shared" si="2"/>
        <v>0</v>
      </c>
      <c r="L19" s="369" t="s">
        <v>1014</v>
      </c>
      <c r="M19" s="370">
        <v>15800</v>
      </c>
      <c r="N19" s="371" t="s">
        <v>1013</v>
      </c>
      <c r="O19" s="898" t="s">
        <v>1013</v>
      </c>
      <c r="P19" s="373"/>
      <c r="Q19" s="374"/>
      <c r="Y19" s="34"/>
      <c r="Z19" s="35"/>
    </row>
    <row r="20" spans="1:26" ht="15.6" x14ac:dyDescent="0.3">
      <c r="A20" s="375" t="s">
        <v>643</v>
      </c>
      <c r="B20" s="5" t="s">
        <v>41</v>
      </c>
      <c r="C20" s="362"/>
      <c r="D20" s="363" t="s">
        <v>21</v>
      </c>
      <c r="E20" s="247">
        <v>0</v>
      </c>
      <c r="F20" s="364">
        <f t="shared" si="0"/>
        <v>0</v>
      </c>
      <c r="G20" s="365"/>
      <c r="H20" s="366">
        <v>0</v>
      </c>
      <c r="I20" s="364">
        <f t="shared" si="1"/>
        <v>0</v>
      </c>
      <c r="J20" s="367"/>
      <c r="K20" s="368">
        <f t="shared" si="2"/>
        <v>0</v>
      </c>
      <c r="L20" s="369"/>
      <c r="M20" s="370"/>
      <c r="N20" s="371"/>
      <c r="O20" s="372"/>
      <c r="P20" s="373"/>
      <c r="Q20" s="374"/>
      <c r="Y20" s="376"/>
      <c r="Z20" s="377"/>
    </row>
    <row r="21" spans="1:26" ht="15.6" x14ac:dyDescent="0.3">
      <c r="A21" s="375" t="s">
        <v>644</v>
      </c>
      <c r="B21" s="5" t="s">
        <v>10</v>
      </c>
      <c r="C21" s="362"/>
      <c r="D21" s="363" t="s">
        <v>21</v>
      </c>
      <c r="E21" s="247">
        <v>0</v>
      </c>
      <c r="F21" s="364">
        <f t="shared" si="0"/>
        <v>0</v>
      </c>
      <c r="G21" s="365"/>
      <c r="H21" s="366">
        <v>0</v>
      </c>
      <c r="I21" s="364">
        <f t="shared" si="1"/>
        <v>0</v>
      </c>
      <c r="J21" s="367"/>
      <c r="K21" s="368">
        <f t="shared" si="2"/>
        <v>0</v>
      </c>
      <c r="L21" s="369"/>
      <c r="M21" s="370"/>
      <c r="N21" s="371"/>
      <c r="O21" s="372"/>
      <c r="P21" s="373"/>
      <c r="Q21" s="374"/>
      <c r="Y21" s="376"/>
      <c r="Z21" s="377"/>
    </row>
    <row r="22" spans="1:26" ht="15.6" x14ac:dyDescent="0.3">
      <c r="A22" s="375" t="s">
        <v>645</v>
      </c>
      <c r="B22" s="5" t="s">
        <v>121</v>
      </c>
      <c r="C22" s="362"/>
      <c r="D22" s="363" t="s">
        <v>21</v>
      </c>
      <c r="E22" s="247">
        <v>0</v>
      </c>
      <c r="F22" s="364">
        <f t="shared" si="0"/>
        <v>0</v>
      </c>
      <c r="G22" s="365"/>
      <c r="H22" s="366">
        <v>0</v>
      </c>
      <c r="I22" s="364">
        <f t="shared" si="1"/>
        <v>0</v>
      </c>
      <c r="J22" s="367"/>
      <c r="K22" s="368">
        <f t="shared" si="2"/>
        <v>0</v>
      </c>
      <c r="L22" s="369"/>
      <c r="M22" s="370"/>
      <c r="N22" s="371"/>
      <c r="O22" s="372"/>
      <c r="P22" s="373"/>
      <c r="Q22" s="374"/>
      <c r="Y22" s="376"/>
      <c r="Z22" s="377"/>
    </row>
    <row r="23" spans="1:26" x14ac:dyDescent="0.25">
      <c r="A23" s="846" t="s">
        <v>641</v>
      </c>
      <c r="B23" s="794" t="s">
        <v>1010</v>
      </c>
      <c r="C23" s="795">
        <v>1</v>
      </c>
      <c r="D23" s="796" t="s">
        <v>21</v>
      </c>
      <c r="E23" s="797">
        <f>M23</f>
        <v>4950</v>
      </c>
      <c r="F23" s="798">
        <f t="shared" si="0"/>
        <v>4950</v>
      </c>
      <c r="G23" s="863"/>
      <c r="H23" s="800">
        <v>0</v>
      </c>
      <c r="I23" s="798">
        <f t="shared" si="1"/>
        <v>0</v>
      </c>
      <c r="J23" s="801"/>
      <c r="K23" s="864">
        <f t="shared" si="2"/>
        <v>4950</v>
      </c>
      <c r="L23" s="369" t="s">
        <v>1011</v>
      </c>
      <c r="M23" s="370">
        <v>4950</v>
      </c>
      <c r="N23" s="371" t="s">
        <v>1006</v>
      </c>
      <c r="O23" s="372"/>
      <c r="P23" s="373"/>
      <c r="Q23" s="374"/>
    </row>
    <row r="24" spans="1:26" ht="13.8" thickBot="1" x14ac:dyDescent="0.3">
      <c r="A24" s="375"/>
      <c r="B24" s="5"/>
      <c r="C24" s="362"/>
      <c r="D24" s="363"/>
      <c r="E24" s="247"/>
      <c r="F24" s="364"/>
      <c r="G24" s="365"/>
      <c r="H24" s="366"/>
      <c r="I24" s="364"/>
      <c r="J24" s="367"/>
      <c r="K24" s="368"/>
      <c r="L24" s="369" t="s">
        <v>1015</v>
      </c>
      <c r="M24" s="370">
        <v>12800</v>
      </c>
      <c r="N24" s="371"/>
      <c r="O24" s="372"/>
      <c r="P24" s="373"/>
      <c r="Q24" s="374"/>
    </row>
    <row r="25" spans="1:26" ht="16.2" thickTop="1" x14ac:dyDescent="0.3">
      <c r="A25" s="378"/>
      <c r="B25" s="7"/>
      <c r="C25" s="379"/>
      <c r="D25" s="363"/>
      <c r="E25" s="247"/>
      <c r="F25" s="364"/>
      <c r="G25" s="365"/>
      <c r="H25" s="366"/>
      <c r="I25" s="364"/>
      <c r="J25" s="380" t="s">
        <v>30</v>
      </c>
      <c r="K25" s="381">
        <f>SUM(K11:K24)</f>
        <v>21450</v>
      </c>
      <c r="L25" s="369"/>
      <c r="M25" s="370"/>
      <c r="N25" s="371"/>
      <c r="O25" s="372"/>
      <c r="P25" s="373"/>
      <c r="Q25" s="374"/>
      <c r="Y25" s="376"/>
      <c r="Z25" s="377"/>
    </row>
    <row r="26" spans="1:26" ht="16.2" thickBot="1" x14ac:dyDescent="0.35">
      <c r="A26" s="344" t="s">
        <v>0</v>
      </c>
      <c r="B26" s="345" t="s">
        <v>1</v>
      </c>
      <c r="C26" s="1028" t="s">
        <v>646</v>
      </c>
      <c r="D26" s="1028"/>
      <c r="E26" s="1028"/>
      <c r="F26" s="1028"/>
      <c r="G26" s="1028" t="s">
        <v>34</v>
      </c>
      <c r="H26" s="1028"/>
      <c r="I26" s="1028"/>
      <c r="J26" s="346"/>
      <c r="K26" s="347"/>
      <c r="L26" s="382"/>
      <c r="M26" s="383"/>
      <c r="N26" s="384"/>
      <c r="O26" s="372"/>
      <c r="P26" s="373"/>
      <c r="Q26" s="374"/>
      <c r="Y26" s="376"/>
      <c r="Z26" s="377"/>
    </row>
    <row r="27" spans="1:26" ht="16.2" thickBot="1" x14ac:dyDescent="0.35">
      <c r="A27" s="385" t="s">
        <v>104</v>
      </c>
      <c r="B27" s="386" t="s">
        <v>105</v>
      </c>
      <c r="C27" s="387" t="s">
        <v>19</v>
      </c>
      <c r="D27" s="388" t="s">
        <v>33</v>
      </c>
      <c r="E27" s="389" t="s">
        <v>35</v>
      </c>
      <c r="F27" s="390" t="s">
        <v>30</v>
      </c>
      <c r="G27" s="391" t="s">
        <v>14</v>
      </c>
      <c r="H27" s="389" t="s">
        <v>35</v>
      </c>
      <c r="I27" s="390" t="s">
        <v>30</v>
      </c>
      <c r="J27" s="355" t="s">
        <v>649</v>
      </c>
      <c r="K27" s="392" t="s">
        <v>38</v>
      </c>
      <c r="L27" s="393"/>
      <c r="M27" s="394"/>
      <c r="N27" s="395"/>
      <c r="O27" s="372"/>
      <c r="P27" s="373"/>
      <c r="Q27" s="374"/>
      <c r="Y27" s="376"/>
      <c r="Z27" s="377"/>
    </row>
    <row r="28" spans="1:26" ht="15.6" x14ac:dyDescent="0.3">
      <c r="A28" s="396" t="s">
        <v>782</v>
      </c>
      <c r="B28" s="397" t="s">
        <v>122</v>
      </c>
      <c r="C28" s="362"/>
      <c r="D28" s="363" t="s">
        <v>21</v>
      </c>
      <c r="E28" s="247">
        <v>0</v>
      </c>
      <c r="F28" s="364">
        <f>C28*E28</f>
        <v>0</v>
      </c>
      <c r="G28" s="365"/>
      <c r="H28" s="366">
        <v>0</v>
      </c>
      <c r="I28" s="364">
        <f>G28*H28</f>
        <v>0</v>
      </c>
      <c r="J28" s="367"/>
      <c r="K28" s="368">
        <f>F28+I28+J28</f>
        <v>0</v>
      </c>
      <c r="L28" s="369"/>
      <c r="M28" s="370"/>
      <c r="N28" s="371"/>
      <c r="O28" s="372"/>
      <c r="P28" s="373"/>
      <c r="Q28" s="374"/>
      <c r="Y28" s="376"/>
      <c r="Z28" s="377"/>
    </row>
    <row r="29" spans="1:26" x14ac:dyDescent="0.25">
      <c r="A29" s="361" t="s">
        <v>783</v>
      </c>
      <c r="B29" s="5" t="s">
        <v>123</v>
      </c>
      <c r="C29" s="362"/>
      <c r="D29" s="363" t="s">
        <v>21</v>
      </c>
      <c r="E29" s="247">
        <v>0</v>
      </c>
      <c r="F29" s="364">
        <f t="shared" ref="F29:F34" si="6">C29*E29</f>
        <v>0</v>
      </c>
      <c r="G29" s="365"/>
      <c r="H29" s="366">
        <v>0</v>
      </c>
      <c r="I29" s="364">
        <f t="shared" ref="I29:I34" si="7">G29*H29</f>
        <v>0</v>
      </c>
      <c r="J29" s="367"/>
      <c r="K29" s="368">
        <f t="shared" ref="K29:K35" si="8">F29+I29+J29</f>
        <v>0</v>
      </c>
      <c r="L29" s="369"/>
      <c r="M29" s="370"/>
      <c r="N29" s="371"/>
      <c r="O29" s="372"/>
      <c r="P29" s="373"/>
      <c r="Q29" s="374"/>
    </row>
    <row r="30" spans="1:26" x14ac:dyDescent="0.25">
      <c r="A30" s="793" t="s">
        <v>784</v>
      </c>
      <c r="B30" s="794" t="s">
        <v>124</v>
      </c>
      <c r="C30" s="795">
        <f>J6</f>
        <v>15</v>
      </c>
      <c r="D30" s="796" t="s">
        <v>722</v>
      </c>
      <c r="E30" s="797">
        <v>0</v>
      </c>
      <c r="F30" s="798">
        <f t="shared" si="6"/>
        <v>0</v>
      </c>
      <c r="G30" s="863">
        <v>10</v>
      </c>
      <c r="H30" s="800">
        <v>100</v>
      </c>
      <c r="I30" s="798">
        <f>H30*G30*C30</f>
        <v>15000</v>
      </c>
      <c r="J30" s="801"/>
      <c r="K30" s="864">
        <f t="shared" si="8"/>
        <v>15000</v>
      </c>
      <c r="L30" s="369" t="s">
        <v>1006</v>
      </c>
      <c r="M30" s="370"/>
      <c r="N30" s="371"/>
      <c r="O30" s="372"/>
      <c r="P30" s="373"/>
      <c r="Q30" s="374"/>
    </row>
    <row r="31" spans="1:26" x14ac:dyDescent="0.25">
      <c r="A31" s="361" t="s">
        <v>786</v>
      </c>
      <c r="B31" s="5" t="s">
        <v>737</v>
      </c>
      <c r="C31" s="362">
        <f>J6</f>
        <v>15</v>
      </c>
      <c r="D31" s="363" t="s">
        <v>21</v>
      </c>
      <c r="E31" s="247">
        <v>0</v>
      </c>
      <c r="F31" s="364">
        <f t="shared" si="6"/>
        <v>0</v>
      </c>
      <c r="G31" s="365"/>
      <c r="H31" s="366">
        <v>75</v>
      </c>
      <c r="I31" s="364">
        <f>H31*G31*C31</f>
        <v>0</v>
      </c>
      <c r="J31" s="367"/>
      <c r="K31" s="368">
        <f t="shared" si="8"/>
        <v>0</v>
      </c>
      <c r="L31" s="369"/>
      <c r="M31" s="370"/>
      <c r="N31" s="371"/>
      <c r="O31" s="372"/>
      <c r="P31" s="373"/>
      <c r="Q31" s="374"/>
    </row>
    <row r="32" spans="1:26" x14ac:dyDescent="0.25">
      <c r="A32" s="793" t="s">
        <v>785</v>
      </c>
      <c r="B32" s="794" t="s">
        <v>125</v>
      </c>
      <c r="C32" s="795">
        <f>J6</f>
        <v>15</v>
      </c>
      <c r="D32" s="796" t="s">
        <v>722</v>
      </c>
      <c r="E32" s="797">
        <v>0</v>
      </c>
      <c r="F32" s="798">
        <f t="shared" si="6"/>
        <v>0</v>
      </c>
      <c r="G32" s="863">
        <v>40</v>
      </c>
      <c r="H32" s="800">
        <v>81.25</v>
      </c>
      <c r="I32" s="798">
        <f>H32*G32*C32</f>
        <v>48750</v>
      </c>
      <c r="J32" s="801"/>
      <c r="K32" s="864">
        <f t="shared" si="8"/>
        <v>48750</v>
      </c>
      <c r="L32" s="369" t="s">
        <v>1006</v>
      </c>
      <c r="M32" s="370"/>
      <c r="N32" s="371"/>
      <c r="O32" s="372"/>
      <c r="P32" s="373"/>
      <c r="Q32" s="374"/>
    </row>
    <row r="33" spans="1:24" x14ac:dyDescent="0.25">
      <c r="A33" s="361" t="s">
        <v>787</v>
      </c>
      <c r="B33" s="5" t="s">
        <v>126</v>
      </c>
      <c r="C33" s="362"/>
      <c r="D33" s="363" t="s">
        <v>21</v>
      </c>
      <c r="E33" s="247">
        <v>0</v>
      </c>
      <c r="F33" s="364">
        <f t="shared" si="6"/>
        <v>0</v>
      </c>
      <c r="G33" s="365"/>
      <c r="H33" s="366">
        <v>0</v>
      </c>
      <c r="I33" s="364">
        <f t="shared" si="7"/>
        <v>0</v>
      </c>
      <c r="J33" s="367"/>
      <c r="K33" s="368">
        <f t="shared" si="8"/>
        <v>0</v>
      </c>
      <c r="L33" s="369"/>
      <c r="M33" s="370"/>
      <c r="N33" s="371"/>
      <c r="O33" s="372"/>
      <c r="P33" s="373"/>
      <c r="Q33" s="374"/>
    </row>
    <row r="34" spans="1:24" x14ac:dyDescent="0.25">
      <c r="A34" s="361"/>
      <c r="B34" s="5"/>
      <c r="C34" s="362"/>
      <c r="D34" s="363" t="s">
        <v>21</v>
      </c>
      <c r="E34" s="247">
        <v>0</v>
      </c>
      <c r="F34" s="364">
        <f t="shared" si="6"/>
        <v>0</v>
      </c>
      <c r="G34" s="365"/>
      <c r="H34" s="366">
        <v>0</v>
      </c>
      <c r="I34" s="364">
        <f t="shared" si="7"/>
        <v>0</v>
      </c>
      <c r="J34" s="367"/>
      <c r="K34" s="368">
        <f t="shared" si="8"/>
        <v>0</v>
      </c>
      <c r="L34" s="369"/>
      <c r="M34" s="370"/>
      <c r="N34" s="371"/>
      <c r="O34" s="372"/>
      <c r="P34" s="373"/>
      <c r="Q34" s="374"/>
    </row>
    <row r="35" spans="1:24" ht="13.8" thickBot="1" x14ac:dyDescent="0.3">
      <c r="A35" s="361"/>
      <c r="B35" s="5"/>
      <c r="C35" s="362"/>
      <c r="D35" s="363"/>
      <c r="E35" s="247"/>
      <c r="F35" s="364"/>
      <c r="G35" s="365"/>
      <c r="H35" s="366"/>
      <c r="I35" s="364"/>
      <c r="J35" s="367"/>
      <c r="K35" s="368">
        <f t="shared" si="8"/>
        <v>0</v>
      </c>
      <c r="L35" s="369"/>
      <c r="M35" s="370"/>
      <c r="N35" s="371"/>
      <c r="O35" s="372"/>
      <c r="P35" s="373"/>
      <c r="Q35" s="374"/>
    </row>
    <row r="36" spans="1:24" ht="13.8" thickTop="1" x14ac:dyDescent="0.25">
      <c r="A36" s="378"/>
      <c r="B36" s="5"/>
      <c r="C36" s="379"/>
      <c r="D36" s="363"/>
      <c r="E36" s="247"/>
      <c r="F36" s="364"/>
      <c r="G36" s="365"/>
      <c r="H36" s="366"/>
      <c r="I36" s="364"/>
      <c r="J36" s="380" t="s">
        <v>30</v>
      </c>
      <c r="K36" s="381">
        <f>SUM(K28:K35)</f>
        <v>63750</v>
      </c>
      <c r="L36" s="369"/>
      <c r="M36" s="370"/>
      <c r="N36" s="371"/>
      <c r="O36" s="372"/>
      <c r="P36" s="373"/>
      <c r="Q36" s="374"/>
    </row>
    <row r="37" spans="1:24" ht="13.8" thickBot="1" x14ac:dyDescent="0.3">
      <c r="A37" s="344" t="s">
        <v>0</v>
      </c>
      <c r="B37" s="345" t="s">
        <v>1</v>
      </c>
      <c r="C37" s="1028"/>
      <c r="D37" s="1028"/>
      <c r="E37" s="1028"/>
      <c r="F37" s="1028"/>
      <c r="G37" s="1028"/>
      <c r="H37" s="1028"/>
      <c r="I37" s="1028"/>
      <c r="J37" s="346"/>
      <c r="K37" s="347"/>
      <c r="L37" s="382"/>
      <c r="M37" s="383"/>
      <c r="N37" s="384"/>
      <c r="O37" s="372"/>
      <c r="P37" s="373"/>
      <c r="Q37" s="374"/>
    </row>
    <row r="38" spans="1:24" ht="16.2" thickBot="1" x14ac:dyDescent="0.35">
      <c r="A38" s="385" t="s">
        <v>788</v>
      </c>
      <c r="B38" s="386" t="s">
        <v>897</v>
      </c>
      <c r="C38" s="387"/>
      <c r="D38" s="388" t="s">
        <v>812</v>
      </c>
      <c r="E38" s="398" t="s">
        <v>763</v>
      </c>
      <c r="F38" s="390" t="s">
        <v>740</v>
      </c>
      <c r="G38" s="389" t="s">
        <v>793</v>
      </c>
      <c r="H38" s="390" t="s">
        <v>791</v>
      </c>
      <c r="I38" s="200"/>
      <c r="J38" s="391" t="s">
        <v>30</v>
      </c>
      <c r="K38" s="392" t="s">
        <v>38</v>
      </c>
      <c r="L38" s="393"/>
      <c r="M38" s="399"/>
      <c r="N38" s="400"/>
      <c r="O38" s="401"/>
      <c r="P38" s="402"/>
      <c r="Q38" s="374"/>
      <c r="U38" s="403"/>
      <c r="V38" s="404"/>
      <c r="W38" s="405"/>
      <c r="X38" s="405"/>
    </row>
    <row r="39" spans="1:24" x14ac:dyDescent="0.25">
      <c r="A39" s="837" t="s">
        <v>946</v>
      </c>
      <c r="B39" s="838" t="s">
        <v>951</v>
      </c>
      <c r="C39" s="865">
        <f>SUM('Estimate Summary'!H17:H61)/1000</f>
        <v>706.82629000000009</v>
      </c>
      <c r="D39" s="866" t="s">
        <v>812</v>
      </c>
      <c r="E39" s="867">
        <v>0.63</v>
      </c>
      <c r="F39" s="868">
        <f>C39*E39</f>
        <v>445.30056270000006</v>
      </c>
      <c r="G39" s="800"/>
      <c r="H39" s="869"/>
      <c r="I39" s="827"/>
      <c r="J39" s="870"/>
      <c r="K39" s="864">
        <f>F39</f>
        <v>445.30056270000006</v>
      </c>
      <c r="L39" s="369"/>
      <c r="M39" s="249"/>
      <c r="N39" s="409"/>
      <c r="O39" s="401"/>
      <c r="P39" s="402"/>
      <c r="Q39" s="374"/>
      <c r="U39" s="403"/>
      <c r="V39" s="404"/>
      <c r="W39" s="405"/>
      <c r="X39" s="405"/>
    </row>
    <row r="40" spans="1:24" x14ac:dyDescent="0.25">
      <c r="A40" s="793"/>
      <c r="B40" s="794" t="s">
        <v>953</v>
      </c>
      <c r="C40" s="865">
        <f>SUM('Estimate Summary'!H17:H61)/1000</f>
        <v>706.82629000000009</v>
      </c>
      <c r="D40" s="866" t="s">
        <v>812</v>
      </c>
      <c r="E40" s="867">
        <v>1.29</v>
      </c>
      <c r="F40" s="868">
        <f>C40*E40</f>
        <v>911.80591410000011</v>
      </c>
      <c r="G40" s="800"/>
      <c r="H40" s="869"/>
      <c r="I40" s="827"/>
      <c r="J40" s="870"/>
      <c r="K40" s="864">
        <f>F40</f>
        <v>911.80591410000011</v>
      </c>
      <c r="L40" s="369"/>
      <c r="M40" s="249"/>
      <c r="N40" s="409"/>
      <c r="O40" s="401"/>
      <c r="P40" s="402"/>
      <c r="Q40" s="374"/>
      <c r="U40" s="403"/>
      <c r="V40" s="404"/>
      <c r="W40" s="405"/>
      <c r="X40" s="405"/>
    </row>
    <row r="41" spans="1:24" x14ac:dyDescent="0.25">
      <c r="A41" s="361"/>
      <c r="B41" s="5" t="s">
        <v>947</v>
      </c>
      <c r="C41" s="776">
        <f>+J6/4.5</f>
        <v>3.3333333333333335</v>
      </c>
      <c r="D41" s="363" t="s">
        <v>952</v>
      </c>
      <c r="E41" s="247">
        <v>0.75</v>
      </c>
      <c r="F41" s="406"/>
      <c r="H41" s="366"/>
      <c r="I41" s="364"/>
      <c r="J41" s="411"/>
      <c r="K41" s="368">
        <f>F41</f>
        <v>0</v>
      </c>
      <c r="L41" s="369"/>
      <c r="M41" s="249"/>
      <c r="N41" s="409"/>
      <c r="O41" s="401"/>
      <c r="P41" s="402"/>
      <c r="Q41" s="374"/>
      <c r="U41" s="403"/>
      <c r="V41" s="404"/>
      <c r="W41" s="405"/>
      <c r="X41" s="405"/>
    </row>
    <row r="42" spans="1:24" x14ac:dyDescent="0.25">
      <c r="A42" s="378"/>
      <c r="B42" s="403" t="s">
        <v>948</v>
      </c>
      <c r="C42" s="420">
        <f>SUM('Estimate Summary'!H17:H61)/1000</f>
        <v>706.82629000000009</v>
      </c>
      <c r="D42" s="363" t="s">
        <v>812</v>
      </c>
      <c r="E42" s="247">
        <v>1.88</v>
      </c>
      <c r="F42" s="406"/>
      <c r="H42" s="366"/>
      <c r="I42" s="364"/>
      <c r="J42" s="365"/>
      <c r="K42" s="368">
        <f>F42</f>
        <v>0</v>
      </c>
      <c r="L42" s="369"/>
      <c r="M42" s="249"/>
      <c r="N42" s="409"/>
      <c r="O42" s="401"/>
      <c r="P42" s="402"/>
      <c r="Q42" s="374"/>
      <c r="U42" s="403"/>
      <c r="V42" s="404"/>
      <c r="W42" s="405"/>
      <c r="X42" s="405"/>
    </row>
    <row r="43" spans="1:24" x14ac:dyDescent="0.25">
      <c r="A43" s="378"/>
      <c r="B43" s="250"/>
      <c r="C43" s="379"/>
      <c r="D43" s="363"/>
      <c r="E43" s="247"/>
      <c r="F43" s="364"/>
      <c r="H43" s="366"/>
      <c r="I43" s="364"/>
      <c r="J43" s="411"/>
      <c r="K43" s="368"/>
      <c r="L43" s="369"/>
      <c r="M43" s="249"/>
      <c r="N43" s="409"/>
      <c r="O43" s="401"/>
      <c r="P43" s="402"/>
      <c r="Q43" s="374"/>
      <c r="U43" s="403"/>
      <c r="V43" s="404"/>
      <c r="W43" s="405"/>
      <c r="X43" s="405"/>
    </row>
    <row r="44" spans="1:24" x14ac:dyDescent="0.25">
      <c r="A44" s="378"/>
      <c r="B44" s="250"/>
      <c r="C44" s="379"/>
      <c r="D44" s="363"/>
      <c r="E44" s="247"/>
      <c r="F44" s="364"/>
      <c r="H44" s="366"/>
      <c r="I44" s="364"/>
      <c r="J44" s="411"/>
      <c r="K44" s="368"/>
      <c r="L44" s="369"/>
      <c r="M44" s="249"/>
      <c r="N44" s="409"/>
      <c r="O44" s="401"/>
      <c r="P44" s="402"/>
      <c r="Q44" s="374"/>
      <c r="U44" s="403"/>
      <c r="V44" s="404"/>
      <c r="W44" s="405"/>
      <c r="X44" s="405"/>
    </row>
    <row r="45" spans="1:24" ht="13.8" thickBot="1" x14ac:dyDescent="0.3">
      <c r="A45" s="378"/>
      <c r="B45" s="250"/>
      <c r="C45" s="379"/>
      <c r="D45" s="363"/>
      <c r="E45" s="247"/>
      <c r="F45" s="364"/>
      <c r="H45" s="366"/>
      <c r="I45" s="364"/>
      <c r="J45" s="411"/>
      <c r="K45" s="368"/>
      <c r="L45" s="369"/>
      <c r="M45" s="249"/>
      <c r="N45" s="409"/>
      <c r="O45" s="401"/>
      <c r="P45" s="402"/>
      <c r="Q45" s="374"/>
      <c r="U45" s="403"/>
      <c r="V45" s="404"/>
      <c r="W45" s="405"/>
      <c r="X45" s="405"/>
    </row>
    <row r="46" spans="1:24" ht="13.8" thickTop="1" x14ac:dyDescent="0.25">
      <c r="A46" s="378" t="s">
        <v>788</v>
      </c>
      <c r="B46" s="403"/>
      <c r="C46" s="379"/>
      <c r="D46" s="363"/>
      <c r="E46" s="247"/>
      <c r="F46" s="364"/>
      <c r="G46" s="365"/>
      <c r="H46" s="366"/>
      <c r="I46" s="364"/>
      <c r="J46" s="380" t="s">
        <v>30</v>
      </c>
      <c r="K46" s="381">
        <f>SUM(K39:K45)</f>
        <v>1357.1064768000001</v>
      </c>
      <c r="L46" s="369"/>
      <c r="M46" s="249"/>
      <c r="N46" s="371"/>
      <c r="O46" s="372"/>
      <c r="P46" s="373"/>
      <c r="Q46" s="374"/>
    </row>
    <row r="47" spans="1:24" ht="13.8" thickBot="1" x14ac:dyDescent="0.3">
      <c r="A47" s="344" t="s">
        <v>0</v>
      </c>
      <c r="B47" s="345" t="s">
        <v>1</v>
      </c>
      <c r="C47" s="1028" t="s">
        <v>646</v>
      </c>
      <c r="D47" s="1028"/>
      <c r="E47" s="1028"/>
      <c r="F47" s="1028"/>
      <c r="G47" s="1028" t="s">
        <v>34</v>
      </c>
      <c r="H47" s="1028"/>
      <c r="I47" s="1028"/>
      <c r="J47" s="346"/>
      <c r="K47" s="347"/>
      <c r="L47" s="382"/>
      <c r="M47" s="383"/>
      <c r="N47" s="384"/>
      <c r="O47" s="372"/>
      <c r="P47" s="373"/>
      <c r="Q47" s="374"/>
    </row>
    <row r="48" spans="1:24" ht="22.2" customHeight="1" thickBot="1" x14ac:dyDescent="0.35">
      <c r="A48" s="385" t="s">
        <v>788</v>
      </c>
      <c r="B48" s="386" t="s">
        <v>716</v>
      </c>
      <c r="C48" s="387" t="s">
        <v>791</v>
      </c>
      <c r="D48" s="388" t="s">
        <v>74</v>
      </c>
      <c r="E48" s="398" t="s">
        <v>792</v>
      </c>
      <c r="F48" s="390" t="s">
        <v>740</v>
      </c>
      <c r="G48" s="389" t="s">
        <v>793</v>
      </c>
      <c r="H48" s="390" t="s">
        <v>791</v>
      </c>
      <c r="I48" s="200"/>
      <c r="J48" s="391" t="s">
        <v>30</v>
      </c>
      <c r="K48" s="392" t="s">
        <v>38</v>
      </c>
      <c r="L48" s="369"/>
      <c r="M48" s="249"/>
      <c r="N48" s="409"/>
      <c r="O48" s="401"/>
      <c r="P48" s="402"/>
      <c r="Q48" s="374"/>
      <c r="U48" s="403"/>
      <c r="V48" s="404"/>
      <c r="W48" s="405"/>
      <c r="X48" s="405"/>
    </row>
    <row r="49" spans="1:24" ht="27" customHeight="1" x14ac:dyDescent="0.25">
      <c r="A49" s="396"/>
      <c r="B49" s="397" t="s">
        <v>789</v>
      </c>
      <c r="C49" s="362"/>
      <c r="D49" s="363">
        <f>J6</f>
        <v>15</v>
      </c>
      <c r="E49" s="410">
        <v>0</v>
      </c>
      <c r="F49" s="364">
        <v>0.7</v>
      </c>
      <c r="G49" s="366"/>
      <c r="H49" s="407">
        <f>C49*D49</f>
        <v>0</v>
      </c>
      <c r="J49" s="408">
        <f>C49*D49*E49*F49+G49*H49</f>
        <v>0</v>
      </c>
      <c r="K49" s="368">
        <f>J49+(G49*H49)</f>
        <v>0</v>
      </c>
      <c r="L49" s="369"/>
      <c r="M49" s="249"/>
      <c r="N49" s="409"/>
      <c r="O49" s="401"/>
      <c r="P49" s="402"/>
      <c r="Q49" s="374"/>
      <c r="U49" s="403"/>
      <c r="V49" s="404"/>
      <c r="W49" s="405"/>
      <c r="X49" s="405"/>
    </row>
    <row r="50" spans="1:24" x14ac:dyDescent="0.25">
      <c r="A50" s="361"/>
      <c r="B50" s="5" t="s">
        <v>790</v>
      </c>
      <c r="C50" s="362"/>
      <c r="D50" s="363">
        <f>J6</f>
        <v>15</v>
      </c>
      <c r="E50" s="410">
        <v>0</v>
      </c>
      <c r="F50" s="364">
        <v>0.7</v>
      </c>
      <c r="G50" s="366"/>
      <c r="H50" s="407">
        <f>C50*D50</f>
        <v>0</v>
      </c>
      <c r="J50" s="408">
        <f>C50*D50*E50*F50+G50*H50</f>
        <v>0</v>
      </c>
      <c r="K50" s="368">
        <f>J50+(G50*H50)</f>
        <v>0</v>
      </c>
      <c r="L50" s="369"/>
      <c r="M50" s="249"/>
      <c r="N50" s="409"/>
      <c r="O50" s="401"/>
      <c r="P50" s="402"/>
      <c r="Q50" s="374"/>
      <c r="U50" s="403"/>
      <c r="V50" s="404"/>
      <c r="W50" s="405"/>
      <c r="X50" s="405"/>
    </row>
    <row r="51" spans="1:24" x14ac:dyDescent="0.25">
      <c r="A51" s="361"/>
      <c r="B51" s="5" t="s">
        <v>717</v>
      </c>
      <c r="C51" s="362"/>
      <c r="D51" s="363">
        <f>J6</f>
        <v>15</v>
      </c>
      <c r="E51" s="247"/>
      <c r="F51" s="364">
        <v>120</v>
      </c>
      <c r="H51" s="366"/>
      <c r="I51" s="364"/>
      <c r="J51" s="411">
        <f>C51*D51*F51</f>
        <v>0</v>
      </c>
      <c r="K51" s="368">
        <f>J51</f>
        <v>0</v>
      </c>
      <c r="L51" s="369"/>
      <c r="M51" s="249"/>
      <c r="N51" s="409"/>
      <c r="O51" s="401"/>
      <c r="P51" s="402"/>
      <c r="Q51" s="374"/>
      <c r="U51" s="403"/>
      <c r="V51" s="404"/>
      <c r="W51" s="405"/>
      <c r="X51" s="405"/>
    </row>
    <row r="52" spans="1:24" x14ac:dyDescent="0.25">
      <c r="A52" s="378"/>
      <c r="B52" s="403" t="s">
        <v>794</v>
      </c>
      <c r="C52" s="379"/>
      <c r="D52" s="363"/>
      <c r="E52" s="247"/>
      <c r="F52" s="364"/>
      <c r="H52" s="366"/>
      <c r="I52" s="364"/>
      <c r="J52" s="365"/>
      <c r="K52" s="294"/>
      <c r="L52" s="369"/>
      <c r="M52" s="249"/>
      <c r="N52" s="409"/>
      <c r="O52" s="401"/>
      <c r="P52" s="402"/>
      <c r="Q52" s="374"/>
      <c r="U52" s="403"/>
      <c r="V52" s="404"/>
      <c r="W52" s="405"/>
      <c r="X52" s="405"/>
    </row>
    <row r="53" spans="1:24" x14ac:dyDescent="0.25">
      <c r="A53" s="378"/>
      <c r="B53" s="250" t="s">
        <v>718</v>
      </c>
      <c r="C53" s="379"/>
      <c r="D53" s="363">
        <f>J$6</f>
        <v>15</v>
      </c>
      <c r="E53" s="247"/>
      <c r="F53" s="364">
        <v>40</v>
      </c>
      <c r="H53" s="366"/>
      <c r="I53" s="364"/>
      <c r="J53" s="411">
        <f>C53*D53*F53</f>
        <v>0</v>
      </c>
      <c r="K53" s="368">
        <f>J53</f>
        <v>0</v>
      </c>
      <c r="L53" s="369"/>
      <c r="M53" s="249"/>
      <c r="N53" s="409"/>
      <c r="O53" s="401"/>
      <c r="P53" s="402"/>
      <c r="Q53" s="374"/>
      <c r="U53" s="403"/>
      <c r="V53" s="404"/>
      <c r="W53" s="405"/>
      <c r="X53" s="405"/>
    </row>
    <row r="54" spans="1:24" x14ac:dyDescent="0.25">
      <c r="A54" s="378"/>
      <c r="B54" s="250" t="s">
        <v>719</v>
      </c>
      <c r="C54" s="379"/>
      <c r="D54" s="363">
        <f>J$6</f>
        <v>15</v>
      </c>
      <c r="E54" s="247"/>
      <c r="F54" s="364">
        <v>47</v>
      </c>
      <c r="H54" s="366"/>
      <c r="I54" s="364"/>
      <c r="J54" s="411">
        <f>C54*D54*F54</f>
        <v>0</v>
      </c>
      <c r="K54" s="368">
        <f>J54</f>
        <v>0</v>
      </c>
      <c r="L54" s="369"/>
      <c r="M54" s="249"/>
      <c r="N54" s="409"/>
      <c r="O54" s="401"/>
      <c r="P54" s="402"/>
      <c r="Q54" s="374"/>
      <c r="U54" s="403"/>
      <c r="V54" s="404"/>
      <c r="W54" s="405"/>
      <c r="X54" s="405"/>
    </row>
    <row r="55" spans="1:24" ht="13.8" thickBot="1" x14ac:dyDescent="0.3">
      <c r="A55" s="378"/>
      <c r="B55" s="250" t="s">
        <v>720</v>
      </c>
      <c r="C55" s="379"/>
      <c r="D55" s="363">
        <f>J$6</f>
        <v>15</v>
      </c>
      <c r="E55" s="247"/>
      <c r="F55" s="364">
        <v>22</v>
      </c>
      <c r="H55" s="366"/>
      <c r="I55" s="364"/>
      <c r="J55" s="411">
        <f>C55*D55*F55</f>
        <v>0</v>
      </c>
      <c r="K55" s="368">
        <f>J55</f>
        <v>0</v>
      </c>
      <c r="L55" s="369"/>
      <c r="M55" s="249"/>
      <c r="N55" s="409"/>
      <c r="O55" s="401"/>
      <c r="P55" s="402"/>
      <c r="Q55" s="374"/>
      <c r="U55" s="403"/>
      <c r="V55" s="404"/>
      <c r="W55" s="405"/>
      <c r="X55" s="405"/>
    </row>
    <row r="56" spans="1:24" ht="13.8" thickTop="1" x14ac:dyDescent="0.25">
      <c r="A56" s="378" t="s">
        <v>788</v>
      </c>
      <c r="B56" s="403"/>
      <c r="C56" s="379"/>
      <c r="D56" s="363"/>
      <c r="E56" s="247"/>
      <c r="F56" s="364"/>
      <c r="G56" s="365"/>
      <c r="H56" s="366"/>
      <c r="I56" s="364"/>
      <c r="J56" s="380" t="s">
        <v>30</v>
      </c>
      <c r="K56" s="381">
        <f>SUM(K49:K55)</f>
        <v>0</v>
      </c>
      <c r="L56" s="369"/>
      <c r="M56" s="249"/>
      <c r="N56" s="371"/>
      <c r="O56" s="372"/>
      <c r="P56" s="373"/>
      <c r="Q56" s="374"/>
    </row>
    <row r="57" spans="1:24" ht="13.8" thickBot="1" x14ac:dyDescent="0.3">
      <c r="A57" s="344" t="s">
        <v>0</v>
      </c>
      <c r="B57" s="345" t="s">
        <v>1</v>
      </c>
      <c r="C57" s="1028" t="s">
        <v>646</v>
      </c>
      <c r="D57" s="1028"/>
      <c r="E57" s="1028"/>
      <c r="F57" s="1028"/>
      <c r="G57" s="1028" t="s">
        <v>34</v>
      </c>
      <c r="H57" s="1028"/>
      <c r="I57" s="1028"/>
      <c r="J57" s="346"/>
      <c r="K57" s="347"/>
      <c r="L57" s="382"/>
      <c r="M57" s="346"/>
      <c r="N57" s="384"/>
      <c r="O57" s="372"/>
      <c r="P57" s="373"/>
      <c r="Q57" s="374"/>
    </row>
    <row r="58" spans="1:24" ht="16.2" thickBot="1" x14ac:dyDescent="0.35">
      <c r="A58" s="385" t="s">
        <v>106</v>
      </c>
      <c r="B58" s="386" t="s">
        <v>107</v>
      </c>
      <c r="C58" s="387" t="s">
        <v>19</v>
      </c>
      <c r="D58" s="388" t="s">
        <v>33</v>
      </c>
      <c r="E58" s="389" t="s">
        <v>35</v>
      </c>
      <c r="F58" s="390" t="s">
        <v>30</v>
      </c>
      <c r="G58" s="391" t="s">
        <v>14</v>
      </c>
      <c r="H58" s="389" t="s">
        <v>35</v>
      </c>
      <c r="I58" s="390" t="s">
        <v>30</v>
      </c>
      <c r="J58" s="355" t="s">
        <v>649</v>
      </c>
      <c r="K58" s="392" t="s">
        <v>38</v>
      </c>
      <c r="L58" s="393"/>
      <c r="M58" s="399"/>
      <c r="N58" s="395"/>
      <c r="O58" s="372"/>
      <c r="P58" s="402"/>
      <c r="Q58" s="374"/>
    </row>
    <row r="59" spans="1:24" ht="13.8" thickBot="1" x14ac:dyDescent="0.3">
      <c r="A59" s="872" t="s">
        <v>845</v>
      </c>
      <c r="B59" s="873" t="s">
        <v>147</v>
      </c>
      <c r="C59" s="865">
        <f>SUM('Estimate Summary'!H17:H61)/1000</f>
        <v>706.82629000000009</v>
      </c>
      <c r="D59" s="866" t="s">
        <v>812</v>
      </c>
      <c r="E59" s="867">
        <f>C65</f>
        <v>7.5</v>
      </c>
      <c r="F59" s="868">
        <f>C59*E59</f>
        <v>5301.1971750000002</v>
      </c>
      <c r="G59" s="874"/>
      <c r="H59" s="875"/>
      <c r="I59" s="868"/>
      <c r="J59" s="876"/>
      <c r="K59" s="877">
        <f>F59+I59+J59</f>
        <v>5301.1971750000002</v>
      </c>
      <c r="L59" s="369"/>
      <c r="M59" s="249"/>
      <c r="N59" s="371"/>
      <c r="O59" s="372"/>
      <c r="P59" s="373"/>
      <c r="Q59" s="374"/>
    </row>
    <row r="60" spans="1:24" x14ac:dyDescent="0.25">
      <c r="A60" s="361"/>
      <c r="B60" s="412" t="s">
        <v>808</v>
      </c>
      <c r="C60" s="413">
        <v>8</v>
      </c>
      <c r="D60" s="414" t="s">
        <v>812</v>
      </c>
      <c r="E60" s="1107" t="s">
        <v>888</v>
      </c>
      <c r="F60" s="1108"/>
      <c r="G60" s="1112" t="s">
        <v>889</v>
      </c>
      <c r="H60" s="1113"/>
      <c r="I60" s="1113"/>
      <c r="J60" s="249"/>
      <c r="K60" s="294"/>
      <c r="L60" s="369"/>
      <c r="M60" s="249"/>
      <c r="N60" s="371"/>
      <c r="O60" s="372"/>
      <c r="P60" s="373"/>
      <c r="Q60" s="374"/>
    </row>
    <row r="61" spans="1:24" x14ac:dyDescent="0.25">
      <c r="A61" s="361"/>
      <c r="B61" s="415" t="s">
        <v>813</v>
      </c>
      <c r="C61" s="416">
        <v>7.5</v>
      </c>
      <c r="D61" s="363" t="s">
        <v>812</v>
      </c>
      <c r="E61" s="1109"/>
      <c r="F61" s="1109"/>
      <c r="G61" s="250"/>
      <c r="H61" s="366"/>
      <c r="I61" s="247"/>
      <c r="J61" s="249"/>
      <c r="K61" s="294"/>
      <c r="L61" s="369"/>
      <c r="M61" s="249"/>
      <c r="N61" s="371"/>
      <c r="O61" s="372"/>
      <c r="P61" s="373"/>
      <c r="Q61" s="374"/>
    </row>
    <row r="62" spans="1:24" x14ac:dyDescent="0.25">
      <c r="A62" s="361"/>
      <c r="B62" s="415" t="s">
        <v>809</v>
      </c>
      <c r="C62" s="416">
        <v>8.9</v>
      </c>
      <c r="D62" s="363" t="s">
        <v>812</v>
      </c>
      <c r="E62" s="1109" t="s">
        <v>932</v>
      </c>
      <c r="F62" s="1109"/>
      <c r="G62" s="250"/>
      <c r="H62" s="366"/>
      <c r="I62" s="247"/>
      <c r="J62" s="249"/>
      <c r="K62" s="294"/>
      <c r="L62" s="369"/>
      <c r="M62" s="249"/>
      <c r="N62" s="371"/>
      <c r="O62" s="372"/>
      <c r="P62" s="373"/>
      <c r="Q62" s="374"/>
    </row>
    <row r="63" spans="1:24" x14ac:dyDescent="0.25">
      <c r="A63" s="361"/>
      <c r="B63" s="415" t="s">
        <v>810</v>
      </c>
      <c r="C63" s="416">
        <v>8</v>
      </c>
      <c r="D63" s="363" t="s">
        <v>812</v>
      </c>
      <c r="E63" s="1109"/>
      <c r="F63" s="1109"/>
      <c r="G63" s="250"/>
      <c r="H63" s="366"/>
      <c r="I63" s="247"/>
      <c r="J63" s="249"/>
      <c r="K63" s="294"/>
      <c r="L63" s="369"/>
      <c r="M63" s="249"/>
      <c r="N63" s="371"/>
      <c r="O63" s="372"/>
      <c r="P63" s="373"/>
      <c r="Q63" s="374"/>
    </row>
    <row r="64" spans="1:24" x14ac:dyDescent="0.25">
      <c r="A64" s="361"/>
      <c r="B64" s="415" t="s">
        <v>811</v>
      </c>
      <c r="C64" s="416">
        <v>5.5</v>
      </c>
      <c r="D64" s="363" t="s">
        <v>812</v>
      </c>
      <c r="E64" s="1109"/>
      <c r="F64" s="1109"/>
      <c r="L64" s="369"/>
      <c r="M64" s="249"/>
      <c r="N64" s="371"/>
      <c r="O64" s="372"/>
      <c r="P64" s="373"/>
      <c r="Q64" s="374"/>
    </row>
    <row r="65" spans="1:17" ht="13.5" customHeight="1" thickBot="1" x14ac:dyDescent="0.3">
      <c r="A65" s="361"/>
      <c r="B65" s="956" t="s">
        <v>954</v>
      </c>
      <c r="C65" s="957">
        <v>7.5</v>
      </c>
      <c r="D65" s="958" t="s">
        <v>812</v>
      </c>
      <c r="E65" s="1110" t="s">
        <v>888</v>
      </c>
      <c r="F65" s="1111"/>
      <c r="G65" s="871" t="s">
        <v>889</v>
      </c>
      <c r="L65" s="369"/>
      <c r="M65" s="249"/>
      <c r="N65" s="409"/>
      <c r="O65" s="417"/>
      <c r="P65" s="418"/>
      <c r="Q65" s="374"/>
    </row>
    <row r="66" spans="1:17" ht="13.8" thickBot="1" x14ac:dyDescent="0.3">
      <c r="A66" s="378"/>
      <c r="B66" s="5"/>
      <c r="C66" s="362"/>
      <c r="D66" s="363"/>
      <c r="E66" s="247"/>
      <c r="F66" s="364"/>
      <c r="G66" s="365"/>
      <c r="H66" s="366"/>
      <c r="I66" s="364"/>
      <c r="J66" s="367"/>
      <c r="K66" s="765"/>
      <c r="L66" s="157"/>
      <c r="M66" s="157"/>
      <c r="O66" s="417"/>
      <c r="P66" s="418"/>
      <c r="Q66" s="374"/>
    </row>
    <row r="67" spans="1:17" ht="13.8" thickTop="1" x14ac:dyDescent="0.25">
      <c r="A67" s="378"/>
      <c r="B67" s="403"/>
      <c r="C67" s="379"/>
      <c r="D67" s="363"/>
      <c r="E67" s="247"/>
      <c r="F67" s="364"/>
      <c r="G67" s="365"/>
      <c r="H67" s="366"/>
      <c r="I67" s="364"/>
      <c r="J67" s="380" t="s">
        <v>30</v>
      </c>
      <c r="K67" s="764">
        <f>SUM(K59:K66)</f>
        <v>5301.1971750000002</v>
      </c>
      <c r="L67" s="157"/>
      <c r="M67" s="157"/>
      <c r="O67" s="401"/>
      <c r="P67" s="402"/>
      <c r="Q67" s="374"/>
    </row>
    <row r="68" spans="1:17" ht="13.8" thickBot="1" x14ac:dyDescent="0.3">
      <c r="A68" s="344" t="s">
        <v>0</v>
      </c>
      <c r="B68" s="345" t="s">
        <v>1</v>
      </c>
      <c r="C68" s="1028" t="s">
        <v>646</v>
      </c>
      <c r="D68" s="1028"/>
      <c r="E68" s="1028"/>
      <c r="F68" s="1028"/>
      <c r="G68" s="1028" t="s">
        <v>34</v>
      </c>
      <c r="H68" s="1028"/>
      <c r="I68" s="1028"/>
      <c r="J68" s="346"/>
      <c r="K68" s="347"/>
      <c r="L68" s="382"/>
      <c r="M68" s="346"/>
      <c r="N68" s="419"/>
      <c r="O68" s="372"/>
      <c r="P68" s="373"/>
      <c r="Q68" s="374"/>
    </row>
    <row r="69" spans="1:17" ht="16.2" thickBot="1" x14ac:dyDescent="0.35">
      <c r="A69" s="385" t="s">
        <v>141</v>
      </c>
      <c r="B69" s="386" t="s">
        <v>142</v>
      </c>
      <c r="C69" s="387" t="s">
        <v>19</v>
      </c>
      <c r="D69" s="388" t="s">
        <v>33</v>
      </c>
      <c r="E69" s="389" t="s">
        <v>35</v>
      </c>
      <c r="F69" s="390" t="s">
        <v>30</v>
      </c>
      <c r="G69" s="391" t="s">
        <v>14</v>
      </c>
      <c r="H69" s="389" t="s">
        <v>35</v>
      </c>
      <c r="I69" s="390" t="s">
        <v>30</v>
      </c>
      <c r="J69" s="355" t="s">
        <v>649</v>
      </c>
      <c r="K69" s="392" t="s">
        <v>38</v>
      </c>
      <c r="L69" s="393"/>
      <c r="M69" s="399"/>
      <c r="N69" s="400"/>
      <c r="O69" s="372"/>
      <c r="P69" s="373"/>
      <c r="Q69" s="374"/>
    </row>
    <row r="70" spans="1:17" x14ac:dyDescent="0.25">
      <c r="A70" s="396" t="s">
        <v>840</v>
      </c>
      <c r="B70" s="397" t="s">
        <v>49</v>
      </c>
      <c r="C70" s="362"/>
      <c r="D70" s="363" t="s">
        <v>21</v>
      </c>
      <c r="E70" s="247">
        <v>2500</v>
      </c>
      <c r="F70" s="364">
        <f>C70*E70</f>
        <v>0</v>
      </c>
      <c r="G70" s="365"/>
      <c r="H70" s="366">
        <v>0</v>
      </c>
      <c r="I70" s="364">
        <f>G70*H70</f>
        <v>0</v>
      </c>
      <c r="J70" s="367"/>
      <c r="K70" s="368">
        <f>F70+I70+J70</f>
        <v>0</v>
      </c>
      <c r="L70" s="369"/>
      <c r="M70" s="370"/>
      <c r="N70" s="371"/>
      <c r="O70" s="372"/>
      <c r="P70" s="373"/>
      <c r="Q70" s="374"/>
    </row>
    <row r="71" spans="1:17" x14ac:dyDescent="0.25">
      <c r="A71" s="361" t="s">
        <v>841</v>
      </c>
      <c r="B71" s="5" t="s">
        <v>50</v>
      </c>
      <c r="C71" s="362">
        <v>1</v>
      </c>
      <c r="D71" s="363" t="s">
        <v>21</v>
      </c>
      <c r="E71" s="247">
        <v>2500</v>
      </c>
      <c r="F71" s="364">
        <f>C71*E71</f>
        <v>2500</v>
      </c>
      <c r="G71" s="365"/>
      <c r="H71" s="366">
        <v>0</v>
      </c>
      <c r="I71" s="364">
        <f>G71*H71</f>
        <v>0</v>
      </c>
      <c r="J71" s="367"/>
      <c r="K71" s="368">
        <f>F71+I71+J71</f>
        <v>2500</v>
      </c>
      <c r="L71" s="369"/>
      <c r="M71" s="370"/>
      <c r="N71" s="371"/>
      <c r="O71" s="372"/>
      <c r="P71" s="373"/>
      <c r="Q71" s="374"/>
    </row>
    <row r="72" spans="1:17" x14ac:dyDescent="0.25">
      <c r="A72" s="361" t="s">
        <v>842</v>
      </c>
      <c r="B72" s="5" t="s">
        <v>51</v>
      </c>
      <c r="C72" s="362">
        <v>1</v>
      </c>
      <c r="D72" s="363" t="s">
        <v>21</v>
      </c>
      <c r="E72" s="247">
        <v>750</v>
      </c>
      <c r="F72" s="364">
        <f>C72*E72</f>
        <v>750</v>
      </c>
      <c r="G72" s="365"/>
      <c r="H72" s="366">
        <v>0</v>
      </c>
      <c r="I72" s="364">
        <f>G72*H72</f>
        <v>0</v>
      </c>
      <c r="J72" s="367"/>
      <c r="K72" s="368">
        <f>F72+I72+J72</f>
        <v>750</v>
      </c>
      <c r="L72" s="369"/>
      <c r="M72" s="370"/>
      <c r="N72" s="371"/>
      <c r="O72" s="372"/>
      <c r="P72" s="373"/>
      <c r="Q72" s="374"/>
    </row>
    <row r="73" spans="1:17" x14ac:dyDescent="0.25">
      <c r="A73" s="361" t="s">
        <v>843</v>
      </c>
      <c r="B73" s="5" t="s">
        <v>143</v>
      </c>
      <c r="C73" s="362"/>
      <c r="D73" s="363" t="s">
        <v>21</v>
      </c>
      <c r="E73" s="247">
        <v>0</v>
      </c>
      <c r="F73" s="364">
        <f>C73*E73</f>
        <v>0</v>
      </c>
      <c r="G73" s="365"/>
      <c r="H73" s="366">
        <v>0</v>
      </c>
      <c r="I73" s="364">
        <f>G73*H73</f>
        <v>0</v>
      </c>
      <c r="J73" s="367"/>
      <c r="K73" s="368">
        <f>F73+I73+J73</f>
        <v>0</v>
      </c>
      <c r="L73" s="369"/>
      <c r="M73" s="370"/>
      <c r="N73" s="371"/>
      <c r="O73" s="372"/>
      <c r="P73" s="373"/>
      <c r="Q73" s="374"/>
    </row>
    <row r="74" spans="1:17" x14ac:dyDescent="0.25">
      <c r="A74" s="361" t="s">
        <v>844</v>
      </c>
      <c r="B74" s="5" t="s">
        <v>83</v>
      </c>
      <c r="C74" s="362"/>
      <c r="D74" s="363" t="s">
        <v>21</v>
      </c>
      <c r="E74" s="247">
        <v>0</v>
      </c>
      <c r="F74" s="364">
        <f>C74*E74</f>
        <v>0</v>
      </c>
      <c r="G74" s="365"/>
      <c r="H74" s="366">
        <v>0</v>
      </c>
      <c r="I74" s="364">
        <f>G74*H74</f>
        <v>0</v>
      </c>
      <c r="J74" s="367"/>
      <c r="K74" s="368">
        <f>F74+I74+J74</f>
        <v>0</v>
      </c>
      <c r="L74" s="369"/>
      <c r="M74" s="370"/>
      <c r="N74" s="371"/>
      <c r="O74" s="372"/>
      <c r="P74" s="373"/>
      <c r="Q74" s="374"/>
    </row>
    <row r="75" spans="1:17" ht="13.8" thickBot="1" x14ac:dyDescent="0.3">
      <c r="A75" s="378"/>
      <c r="B75" s="403"/>
      <c r="C75" s="379"/>
      <c r="D75" s="363"/>
      <c r="E75" s="247"/>
      <c r="F75" s="364"/>
      <c r="G75" s="365"/>
      <c r="H75" s="366"/>
      <c r="I75" s="364"/>
      <c r="J75" s="367"/>
      <c r="K75" s="294"/>
      <c r="L75" s="369"/>
      <c r="M75" s="370"/>
      <c r="N75" s="371"/>
      <c r="O75" s="372"/>
      <c r="P75" s="373"/>
      <c r="Q75" s="374"/>
    </row>
    <row r="76" spans="1:17" ht="13.8" thickTop="1" x14ac:dyDescent="0.25">
      <c r="A76" s="378"/>
      <c r="B76" s="403"/>
      <c r="C76" s="379"/>
      <c r="D76" s="363"/>
      <c r="E76" s="247"/>
      <c r="F76" s="364"/>
      <c r="G76" s="365"/>
      <c r="H76" s="366"/>
      <c r="I76" s="364"/>
      <c r="J76" s="380" t="s">
        <v>30</v>
      </c>
      <c r="K76" s="381">
        <f>SUM(K70:K75)</f>
        <v>3250</v>
      </c>
      <c r="L76" s="369"/>
      <c r="M76" s="370"/>
      <c r="N76" s="371"/>
      <c r="O76" s="372"/>
      <c r="P76" s="373"/>
      <c r="Q76" s="374"/>
    </row>
    <row r="77" spans="1:17" ht="13.8" thickBot="1" x14ac:dyDescent="0.3">
      <c r="A77" s="344" t="s">
        <v>0</v>
      </c>
      <c r="B77" s="345" t="s">
        <v>1</v>
      </c>
      <c r="C77" s="1028" t="s">
        <v>646</v>
      </c>
      <c r="D77" s="1028"/>
      <c r="E77" s="1028"/>
      <c r="F77" s="1028"/>
      <c r="G77" s="1028" t="s">
        <v>34</v>
      </c>
      <c r="H77" s="1028"/>
      <c r="I77" s="1028"/>
      <c r="J77" s="346"/>
      <c r="K77" s="347"/>
      <c r="L77" s="382"/>
      <c r="M77" s="383"/>
      <c r="N77" s="384"/>
      <c r="O77" s="372"/>
      <c r="P77" s="373"/>
      <c r="Q77" s="374"/>
    </row>
    <row r="78" spans="1:17" ht="16.2" thickBot="1" x14ac:dyDescent="0.35">
      <c r="A78" s="385" t="s">
        <v>108</v>
      </c>
      <c r="B78" s="386" t="s">
        <v>109</v>
      </c>
      <c r="C78" s="387" t="s">
        <v>19</v>
      </c>
      <c r="D78" s="388" t="s">
        <v>33</v>
      </c>
      <c r="E78" s="389" t="s">
        <v>35</v>
      </c>
      <c r="F78" s="390" t="s">
        <v>30</v>
      </c>
      <c r="G78" s="391" t="s">
        <v>14</v>
      </c>
      <c r="H78" s="389" t="s">
        <v>35</v>
      </c>
      <c r="I78" s="390" t="s">
        <v>30</v>
      </c>
      <c r="J78" s="355" t="s">
        <v>649</v>
      </c>
      <c r="K78" s="392" t="s">
        <v>38</v>
      </c>
      <c r="L78" s="393"/>
      <c r="M78" s="394"/>
      <c r="N78" s="395"/>
      <c r="O78" s="372"/>
      <c r="P78" s="373"/>
      <c r="Q78" s="374"/>
    </row>
    <row r="79" spans="1:17" x14ac:dyDescent="0.25">
      <c r="A79" s="396" t="s">
        <v>833</v>
      </c>
      <c r="B79" s="397" t="s">
        <v>132</v>
      </c>
      <c r="C79" s="362"/>
      <c r="D79" s="363" t="s">
        <v>722</v>
      </c>
      <c r="E79" s="247">
        <v>0</v>
      </c>
      <c r="F79" s="364">
        <f t="shared" ref="F79:F85" si="9">C79*E79</f>
        <v>0</v>
      </c>
      <c r="G79" s="365"/>
      <c r="H79" s="366">
        <v>0</v>
      </c>
      <c r="I79" s="364">
        <f t="shared" ref="I79:I85" si="10">G79*H79</f>
        <v>0</v>
      </c>
      <c r="J79" s="367"/>
      <c r="K79" s="368">
        <f t="shared" ref="K79:K85" si="11">F79+I79+J79</f>
        <v>0</v>
      </c>
      <c r="L79" s="369"/>
      <c r="M79" s="370"/>
      <c r="N79" s="371"/>
      <c r="O79" s="372"/>
      <c r="P79" s="373"/>
      <c r="Q79" s="374"/>
    </row>
    <row r="80" spans="1:17" x14ac:dyDescent="0.25">
      <c r="A80" s="361" t="s">
        <v>834</v>
      </c>
      <c r="B80" s="5" t="s">
        <v>127</v>
      </c>
      <c r="C80" s="362"/>
      <c r="D80" s="363" t="s">
        <v>722</v>
      </c>
      <c r="E80" s="247">
        <v>100</v>
      </c>
      <c r="F80" s="364">
        <f t="shared" si="9"/>
        <v>0</v>
      </c>
      <c r="G80" s="365"/>
      <c r="H80" s="366">
        <v>0</v>
      </c>
      <c r="I80" s="364">
        <f t="shared" si="10"/>
        <v>0</v>
      </c>
      <c r="J80" s="367"/>
      <c r="K80" s="368">
        <f t="shared" si="11"/>
        <v>0</v>
      </c>
      <c r="L80" s="369"/>
      <c r="M80" s="370"/>
      <c r="N80" s="371"/>
      <c r="O80" s="372"/>
      <c r="P80" s="373"/>
      <c r="Q80" s="374"/>
    </row>
    <row r="81" spans="1:17" x14ac:dyDescent="0.25">
      <c r="A81" s="361" t="s">
        <v>835</v>
      </c>
      <c r="B81" s="5" t="s">
        <v>52</v>
      </c>
      <c r="C81" s="362"/>
      <c r="D81" s="363" t="s">
        <v>722</v>
      </c>
      <c r="E81" s="247">
        <v>0</v>
      </c>
      <c r="F81" s="364">
        <f t="shared" si="9"/>
        <v>0</v>
      </c>
      <c r="G81" s="365"/>
      <c r="H81" s="366">
        <v>0</v>
      </c>
      <c r="I81" s="364">
        <f t="shared" si="10"/>
        <v>0</v>
      </c>
      <c r="J81" s="367"/>
      <c r="K81" s="368">
        <f t="shared" si="11"/>
        <v>0</v>
      </c>
      <c r="L81" s="369"/>
      <c r="M81" s="370"/>
      <c r="N81" s="371"/>
      <c r="O81" s="372"/>
      <c r="P81" s="373"/>
      <c r="Q81" s="374"/>
    </row>
    <row r="82" spans="1:17" x14ac:dyDescent="0.25">
      <c r="A82" s="361" t="s">
        <v>836</v>
      </c>
      <c r="B82" s="5" t="s">
        <v>128</v>
      </c>
      <c r="C82" s="362"/>
      <c r="D82" s="363" t="s">
        <v>722</v>
      </c>
      <c r="E82" s="247">
        <v>0</v>
      </c>
      <c r="F82" s="364">
        <f t="shared" si="9"/>
        <v>0</v>
      </c>
      <c r="G82" s="365"/>
      <c r="H82" s="366">
        <v>0</v>
      </c>
      <c r="I82" s="364">
        <f t="shared" si="10"/>
        <v>0</v>
      </c>
      <c r="J82" s="367"/>
      <c r="K82" s="368">
        <f t="shared" si="11"/>
        <v>0</v>
      </c>
      <c r="L82" s="369"/>
      <c r="M82" s="370"/>
      <c r="N82" s="371"/>
      <c r="O82" s="372"/>
      <c r="P82" s="373"/>
      <c r="Q82" s="374"/>
    </row>
    <row r="83" spans="1:17" x14ac:dyDescent="0.25">
      <c r="A83" s="361" t="s">
        <v>837</v>
      </c>
      <c r="B83" s="5" t="s">
        <v>129</v>
      </c>
      <c r="C83" s="362"/>
      <c r="D83" s="363" t="s">
        <v>722</v>
      </c>
      <c r="E83" s="247">
        <v>0</v>
      </c>
      <c r="F83" s="364">
        <f t="shared" si="9"/>
        <v>0</v>
      </c>
      <c r="G83" s="365"/>
      <c r="H83" s="366">
        <v>0</v>
      </c>
      <c r="I83" s="364">
        <f t="shared" si="10"/>
        <v>0</v>
      </c>
      <c r="J83" s="367"/>
      <c r="K83" s="368">
        <f t="shared" si="11"/>
        <v>0</v>
      </c>
      <c r="L83" s="369"/>
      <c r="M83" s="370"/>
      <c r="N83" s="371"/>
      <c r="O83" s="372"/>
      <c r="P83" s="373"/>
      <c r="Q83" s="374"/>
    </row>
    <row r="84" spans="1:17" x14ac:dyDescent="0.25">
      <c r="A84" s="361" t="s">
        <v>838</v>
      </c>
      <c r="B84" s="5" t="s">
        <v>130</v>
      </c>
      <c r="C84" s="362"/>
      <c r="D84" s="363" t="s">
        <v>722</v>
      </c>
      <c r="E84" s="247">
        <v>0</v>
      </c>
      <c r="F84" s="364">
        <f t="shared" si="9"/>
        <v>0</v>
      </c>
      <c r="G84" s="365"/>
      <c r="H84" s="366">
        <v>0</v>
      </c>
      <c r="I84" s="364">
        <f t="shared" si="10"/>
        <v>0</v>
      </c>
      <c r="J84" s="367"/>
      <c r="K84" s="368">
        <f t="shared" si="11"/>
        <v>0</v>
      </c>
      <c r="L84" s="369"/>
      <c r="M84" s="370"/>
      <c r="N84" s="371"/>
      <c r="O84" s="372"/>
      <c r="P84" s="373"/>
      <c r="Q84" s="374"/>
    </row>
    <row r="85" spans="1:17" x14ac:dyDescent="0.25">
      <c r="A85" s="361" t="s">
        <v>839</v>
      </c>
      <c r="B85" s="5" t="s">
        <v>131</v>
      </c>
      <c r="C85" s="362"/>
      <c r="D85" s="363" t="s">
        <v>722</v>
      </c>
      <c r="E85" s="247">
        <v>0</v>
      </c>
      <c r="F85" s="364">
        <f t="shared" si="9"/>
        <v>0</v>
      </c>
      <c r="G85" s="365"/>
      <c r="H85" s="366">
        <v>0</v>
      </c>
      <c r="I85" s="364">
        <f t="shared" si="10"/>
        <v>0</v>
      </c>
      <c r="J85" s="367"/>
      <c r="K85" s="368">
        <f t="shared" si="11"/>
        <v>0</v>
      </c>
      <c r="L85" s="369"/>
      <c r="M85" s="370"/>
      <c r="N85" s="371"/>
      <c r="O85" s="372"/>
      <c r="P85" s="373"/>
      <c r="Q85" s="374"/>
    </row>
    <row r="86" spans="1:17" ht="13.8" thickBot="1" x14ac:dyDescent="0.3">
      <c r="A86" s="378"/>
      <c r="B86" s="5"/>
      <c r="C86" s="379"/>
      <c r="D86" s="363"/>
      <c r="E86" s="247"/>
      <c r="F86" s="364"/>
      <c r="G86" s="365"/>
      <c r="H86" s="366"/>
      <c r="I86" s="364"/>
      <c r="J86" s="367"/>
      <c r="K86" s="763"/>
      <c r="L86" s="157"/>
      <c r="M86" s="157"/>
      <c r="O86" s="372"/>
      <c r="P86" s="373"/>
      <c r="Q86" s="374"/>
    </row>
    <row r="87" spans="1:17" ht="13.8" thickTop="1" x14ac:dyDescent="0.25">
      <c r="A87" s="378"/>
      <c r="B87" s="403"/>
      <c r="C87" s="379"/>
      <c r="D87" s="363"/>
      <c r="E87" s="247"/>
      <c r="F87" s="364"/>
      <c r="G87" s="365"/>
      <c r="H87" s="366"/>
      <c r="I87" s="364"/>
      <c r="J87" s="380" t="s">
        <v>30</v>
      </c>
      <c r="K87" s="764">
        <f>SUM(K79:K86)</f>
        <v>0</v>
      </c>
      <c r="L87" s="157"/>
      <c r="M87" s="157"/>
      <c r="O87" s="372"/>
      <c r="P87" s="373"/>
      <c r="Q87" s="374"/>
    </row>
    <row r="88" spans="1:17" ht="13.8" thickBot="1" x14ac:dyDescent="0.3">
      <c r="A88" s="344" t="s">
        <v>0</v>
      </c>
      <c r="B88" s="345" t="s">
        <v>1</v>
      </c>
      <c r="C88" s="1028" t="s">
        <v>646</v>
      </c>
      <c r="D88" s="1028"/>
      <c r="E88" s="1028"/>
      <c r="F88" s="1028"/>
      <c r="G88" s="1028" t="s">
        <v>34</v>
      </c>
      <c r="H88" s="1028"/>
      <c r="I88" s="1028"/>
      <c r="J88" s="346"/>
      <c r="K88" s="347"/>
      <c r="L88" s="382"/>
      <c r="M88" s="383"/>
      <c r="N88" s="384"/>
      <c r="O88" s="372"/>
      <c r="P88" s="373"/>
      <c r="Q88" s="374"/>
    </row>
    <row r="89" spans="1:17" ht="16.2" thickBot="1" x14ac:dyDescent="0.35">
      <c r="A89" s="385" t="s">
        <v>111</v>
      </c>
      <c r="B89" s="386" t="s">
        <v>110</v>
      </c>
      <c r="C89" s="387" t="s">
        <v>19</v>
      </c>
      <c r="D89" s="388" t="s">
        <v>33</v>
      </c>
      <c r="E89" s="389" t="s">
        <v>35</v>
      </c>
      <c r="F89" s="390" t="s">
        <v>30</v>
      </c>
      <c r="G89" s="391" t="s">
        <v>14</v>
      </c>
      <c r="H89" s="389" t="s">
        <v>35</v>
      </c>
      <c r="I89" s="390" t="s">
        <v>30</v>
      </c>
      <c r="J89" s="355" t="s">
        <v>649</v>
      </c>
      <c r="K89" s="392" t="s">
        <v>38</v>
      </c>
      <c r="L89" s="393"/>
      <c r="M89" s="394"/>
      <c r="N89" s="395"/>
      <c r="O89" s="372"/>
      <c r="P89" s="373"/>
      <c r="Q89" s="374"/>
    </row>
    <row r="90" spans="1:17" x14ac:dyDescent="0.25">
      <c r="A90" s="396" t="s">
        <v>828</v>
      </c>
      <c r="B90" s="397" t="s">
        <v>144</v>
      </c>
      <c r="C90" s="362"/>
      <c r="D90" s="363" t="s">
        <v>725</v>
      </c>
      <c r="E90" s="247">
        <v>750</v>
      </c>
      <c r="F90" s="364">
        <f t="shared" ref="F90:F95" si="12">C90*E90</f>
        <v>0</v>
      </c>
      <c r="G90" s="365"/>
      <c r="H90" s="366">
        <v>0</v>
      </c>
      <c r="I90" s="364">
        <f>G90*H90</f>
        <v>0</v>
      </c>
      <c r="J90" s="367"/>
      <c r="K90" s="368">
        <f t="shared" ref="K90:K95" si="13">F90+I90+J90</f>
        <v>0</v>
      </c>
      <c r="L90" s="369"/>
      <c r="M90" s="370"/>
      <c r="N90" s="371"/>
      <c r="O90" s="372"/>
      <c r="P90" s="373"/>
      <c r="Q90" s="374"/>
    </row>
    <row r="91" spans="1:17" x14ac:dyDescent="0.25">
      <c r="A91" s="361" t="s">
        <v>828</v>
      </c>
      <c r="B91" s="5" t="s">
        <v>950</v>
      </c>
      <c r="C91" s="362"/>
      <c r="D91" s="363" t="s">
        <v>723</v>
      </c>
      <c r="E91" s="247">
        <v>1840</v>
      </c>
      <c r="F91" s="364">
        <f t="shared" si="12"/>
        <v>0</v>
      </c>
      <c r="G91" s="365"/>
      <c r="H91" s="366"/>
      <c r="I91" s="364"/>
      <c r="J91" s="367"/>
      <c r="K91" s="368">
        <f t="shared" si="13"/>
        <v>0</v>
      </c>
      <c r="L91" s="369"/>
      <c r="M91" s="370"/>
      <c r="N91" s="371"/>
      <c r="O91" s="372"/>
      <c r="P91" s="373"/>
      <c r="Q91" s="374"/>
    </row>
    <row r="92" spans="1:17" x14ac:dyDescent="0.25">
      <c r="A92" s="793" t="s">
        <v>829</v>
      </c>
      <c r="B92" s="794" t="s">
        <v>133</v>
      </c>
      <c r="C92" s="795">
        <f>J6</f>
        <v>15</v>
      </c>
      <c r="D92" s="796" t="s">
        <v>722</v>
      </c>
      <c r="E92" s="797">
        <v>50</v>
      </c>
      <c r="F92" s="798">
        <f t="shared" si="12"/>
        <v>750</v>
      </c>
      <c r="G92" s="863"/>
      <c r="H92" s="800">
        <v>0</v>
      </c>
      <c r="I92" s="798">
        <f>G92*H92</f>
        <v>0</v>
      </c>
      <c r="J92" s="801"/>
      <c r="K92" s="864">
        <f t="shared" si="13"/>
        <v>750</v>
      </c>
      <c r="L92" s="369"/>
      <c r="M92" s="370"/>
      <c r="N92" s="371"/>
      <c r="O92" s="372"/>
      <c r="P92" s="373"/>
      <c r="Q92" s="374"/>
    </row>
    <row r="93" spans="1:17" x14ac:dyDescent="0.25">
      <c r="A93" s="793" t="s">
        <v>830</v>
      </c>
      <c r="B93" s="794" t="s">
        <v>145</v>
      </c>
      <c r="C93" s="832">
        <f>SUM('Estimate Summary'!H17:H61)/1000</f>
        <v>706.82629000000009</v>
      </c>
      <c r="D93" s="796" t="s">
        <v>20</v>
      </c>
      <c r="E93" s="797">
        <v>0.55000000000000004</v>
      </c>
      <c r="F93" s="798">
        <f t="shared" si="12"/>
        <v>388.75445950000005</v>
      </c>
      <c r="G93" s="863"/>
      <c r="H93" s="800">
        <v>0</v>
      </c>
      <c r="I93" s="798">
        <f>G93*H93</f>
        <v>0</v>
      </c>
      <c r="J93" s="801"/>
      <c r="K93" s="864">
        <f t="shared" si="13"/>
        <v>388.75445950000005</v>
      </c>
      <c r="L93" s="369"/>
      <c r="M93" s="370"/>
      <c r="N93" s="371"/>
      <c r="O93" s="372"/>
      <c r="P93" s="373"/>
      <c r="Q93" s="374"/>
    </row>
    <row r="94" spans="1:17" x14ac:dyDescent="0.25">
      <c r="A94" s="793" t="s">
        <v>831</v>
      </c>
      <c r="B94" s="794" t="s">
        <v>146</v>
      </c>
      <c r="C94" s="795">
        <f>J6/2</f>
        <v>7.5</v>
      </c>
      <c r="D94" s="796" t="s">
        <v>722</v>
      </c>
      <c r="E94" s="797">
        <v>125</v>
      </c>
      <c r="F94" s="798">
        <f t="shared" si="12"/>
        <v>937.5</v>
      </c>
      <c r="G94" s="863"/>
      <c r="H94" s="800">
        <v>0</v>
      </c>
      <c r="I94" s="798">
        <f>G94*H94</f>
        <v>0</v>
      </c>
      <c r="J94" s="801"/>
      <c r="K94" s="878">
        <f t="shared" si="13"/>
        <v>937.5</v>
      </c>
      <c r="L94" s="157"/>
      <c r="M94" s="157"/>
      <c r="O94" s="372"/>
      <c r="P94" s="373"/>
      <c r="Q94" s="374"/>
    </row>
    <row r="95" spans="1:17" x14ac:dyDescent="0.25">
      <c r="A95" s="793" t="s">
        <v>832</v>
      </c>
      <c r="B95" s="794" t="s">
        <v>18</v>
      </c>
      <c r="C95" s="795">
        <v>1</v>
      </c>
      <c r="D95" s="796" t="s">
        <v>723</v>
      </c>
      <c r="E95" s="797">
        <v>200</v>
      </c>
      <c r="F95" s="798">
        <f t="shared" si="12"/>
        <v>200</v>
      </c>
      <c r="G95" s="863"/>
      <c r="H95" s="800">
        <v>0</v>
      </c>
      <c r="I95" s="798">
        <f>G95*H95</f>
        <v>0</v>
      </c>
      <c r="J95" s="801"/>
      <c r="K95" s="878">
        <f t="shared" si="13"/>
        <v>200</v>
      </c>
      <c r="L95" s="157"/>
      <c r="M95" s="157"/>
      <c r="O95" s="372"/>
      <c r="P95" s="373"/>
      <c r="Q95" s="374"/>
    </row>
    <row r="96" spans="1:17" ht="13.8" thickBot="1" x14ac:dyDescent="0.3">
      <c r="A96" s="378"/>
      <c r="B96" s="5"/>
      <c r="C96" s="379"/>
      <c r="D96" s="363"/>
      <c r="E96" s="247"/>
      <c r="F96" s="364"/>
      <c r="G96" s="365"/>
      <c r="H96" s="366"/>
      <c r="I96" s="364"/>
      <c r="J96" s="367"/>
      <c r="K96" s="766"/>
      <c r="L96" s="446"/>
      <c r="M96" s="370"/>
      <c r="N96" s="371"/>
      <c r="O96" s="372"/>
      <c r="P96" s="373"/>
      <c r="Q96" s="374"/>
    </row>
    <row r="97" spans="1:17" ht="13.8" thickTop="1" x14ac:dyDescent="0.25">
      <c r="A97" s="378"/>
      <c r="B97" s="403"/>
      <c r="C97" s="379"/>
      <c r="D97" s="363"/>
      <c r="E97" s="247"/>
      <c r="F97" s="364"/>
      <c r="G97" s="365"/>
      <c r="H97" s="366"/>
      <c r="I97" s="364"/>
      <c r="J97" s="380" t="s">
        <v>30</v>
      </c>
      <c r="K97" s="381">
        <f>SUM(K90:K96)</f>
        <v>2276.2544594999999</v>
      </c>
      <c r="L97" s="369"/>
      <c r="M97" s="370"/>
      <c r="N97" s="371"/>
      <c r="O97" s="372"/>
      <c r="P97" s="373"/>
      <c r="Q97" s="374"/>
    </row>
    <row r="98" spans="1:17" ht="13.8" thickBot="1" x14ac:dyDescent="0.3">
      <c r="A98" s="344" t="s">
        <v>0</v>
      </c>
      <c r="B98" s="345" t="s">
        <v>1</v>
      </c>
      <c r="C98" s="1028" t="s">
        <v>646</v>
      </c>
      <c r="D98" s="1028"/>
      <c r="E98" s="1028"/>
      <c r="F98" s="1028"/>
      <c r="G98" s="1028" t="s">
        <v>34</v>
      </c>
      <c r="H98" s="1028"/>
      <c r="I98" s="1028"/>
      <c r="J98" s="346"/>
      <c r="K98" s="347"/>
      <c r="L98" s="382"/>
      <c r="M98" s="383"/>
      <c r="N98" s="384"/>
      <c r="O98" s="372"/>
      <c r="P98" s="373"/>
      <c r="Q98" s="374"/>
    </row>
    <row r="99" spans="1:17" ht="16.2" thickBot="1" x14ac:dyDescent="0.35">
      <c r="A99" s="385" t="s">
        <v>112</v>
      </c>
      <c r="B99" s="386" t="s">
        <v>113</v>
      </c>
      <c r="C99" s="387" t="s">
        <v>19</v>
      </c>
      <c r="D99" s="388" t="s">
        <v>33</v>
      </c>
      <c r="E99" s="389" t="s">
        <v>35</v>
      </c>
      <c r="F99" s="390" t="s">
        <v>30</v>
      </c>
      <c r="G99" s="391" t="s">
        <v>14</v>
      </c>
      <c r="H99" s="389" t="s">
        <v>35</v>
      </c>
      <c r="I99" s="390" t="s">
        <v>30</v>
      </c>
      <c r="J99" s="355" t="s">
        <v>649</v>
      </c>
      <c r="K99" s="392" t="s">
        <v>38</v>
      </c>
      <c r="L99" s="393"/>
      <c r="M99" s="394"/>
      <c r="N99" s="395"/>
      <c r="O99" s="372"/>
      <c r="P99" s="373"/>
      <c r="Q99" s="374"/>
    </row>
    <row r="100" spans="1:17" x14ac:dyDescent="0.25">
      <c r="A100" s="396" t="s">
        <v>825</v>
      </c>
      <c r="B100" s="397" t="s">
        <v>134</v>
      </c>
      <c r="C100" s="362"/>
      <c r="D100" s="363" t="s">
        <v>21</v>
      </c>
      <c r="E100" s="247">
        <v>0</v>
      </c>
      <c r="F100" s="364">
        <f>C100*E100</f>
        <v>0</v>
      </c>
      <c r="G100" s="365"/>
      <c r="H100" s="366">
        <v>0</v>
      </c>
      <c r="I100" s="364">
        <f>G100*H100</f>
        <v>0</v>
      </c>
      <c r="J100" s="367"/>
      <c r="K100" s="368">
        <f>F100+I100+J100</f>
        <v>0</v>
      </c>
      <c r="L100" s="369"/>
      <c r="M100" s="370"/>
      <c r="N100" s="371"/>
      <c r="O100" s="372"/>
      <c r="P100" s="373"/>
      <c r="Q100" s="374"/>
    </row>
    <row r="101" spans="1:17" x14ac:dyDescent="0.25">
      <c r="A101" s="361" t="s">
        <v>826</v>
      </c>
      <c r="B101" s="5" t="s">
        <v>896</v>
      </c>
      <c r="C101" s="362"/>
      <c r="D101" s="363" t="s">
        <v>21</v>
      </c>
      <c r="E101" s="247">
        <v>0</v>
      </c>
      <c r="F101" s="364">
        <f>C101*E101</f>
        <v>0</v>
      </c>
      <c r="G101" s="365"/>
      <c r="H101" s="366">
        <v>0</v>
      </c>
      <c r="I101" s="364">
        <f>G101*H101</f>
        <v>0</v>
      </c>
      <c r="J101" s="367"/>
      <c r="K101" s="368">
        <f>F101+I101+J101</f>
        <v>0</v>
      </c>
      <c r="L101" s="369"/>
      <c r="M101" s="370"/>
      <c r="N101" s="371"/>
      <c r="O101" s="372"/>
      <c r="P101" s="373"/>
      <c r="Q101" s="374"/>
    </row>
    <row r="102" spans="1:17" x14ac:dyDescent="0.25">
      <c r="A102" s="793" t="s">
        <v>827</v>
      </c>
      <c r="B102" s="794" t="s">
        <v>53</v>
      </c>
      <c r="C102" s="795">
        <v>1</v>
      </c>
      <c r="D102" s="796" t="s">
        <v>724</v>
      </c>
      <c r="E102" s="797">
        <v>1500</v>
      </c>
      <c r="F102" s="798">
        <f>C102*E102</f>
        <v>1500</v>
      </c>
      <c r="G102" s="863"/>
      <c r="H102" s="800">
        <v>0</v>
      </c>
      <c r="I102" s="798">
        <f>G102*H102</f>
        <v>0</v>
      </c>
      <c r="J102" s="801"/>
      <c r="K102" s="878">
        <f>F102+I102+J102</f>
        <v>1500</v>
      </c>
      <c r="M102" s="370"/>
      <c r="N102" s="371"/>
      <c r="O102" s="372"/>
      <c r="P102" s="373"/>
      <c r="Q102" s="374"/>
    </row>
    <row r="103" spans="1:17" x14ac:dyDescent="0.25">
      <c r="A103" s="793" t="s">
        <v>944</v>
      </c>
      <c r="B103" s="794" t="s">
        <v>945</v>
      </c>
      <c r="C103" s="832">
        <f>SUM('Estimate Summary'!H17:H63)/1000</f>
        <v>706.82629000000009</v>
      </c>
      <c r="D103" s="866" t="s">
        <v>812</v>
      </c>
      <c r="E103" s="797">
        <v>2.33</v>
      </c>
      <c r="F103" s="798">
        <f>C103*E103</f>
        <v>1646.9052557000002</v>
      </c>
      <c r="G103" s="863"/>
      <c r="H103" s="800">
        <v>0</v>
      </c>
      <c r="I103" s="798">
        <f>G103*H103</f>
        <v>0</v>
      </c>
      <c r="J103" s="801"/>
      <c r="K103" s="864">
        <f>F103+I103+J103</f>
        <v>1646.9052557000002</v>
      </c>
      <c r="L103" s="369"/>
      <c r="M103" s="370"/>
      <c r="N103" s="371"/>
      <c r="O103" s="372"/>
      <c r="P103" s="373"/>
      <c r="Q103" s="374"/>
    </row>
    <row r="104" spans="1:17" ht="13.8" thickBot="1" x14ac:dyDescent="0.3">
      <c r="A104" s="378"/>
      <c r="B104" s="5"/>
      <c r="C104" s="379"/>
      <c r="D104" s="363"/>
      <c r="E104" s="247"/>
      <c r="F104" s="364"/>
      <c r="G104" s="365"/>
      <c r="H104" s="366"/>
      <c r="I104" s="364"/>
      <c r="J104" s="367"/>
      <c r="K104" s="294"/>
      <c r="L104" s="369"/>
      <c r="M104" s="370"/>
      <c r="N104" s="371"/>
      <c r="O104" s="372"/>
      <c r="P104" s="373"/>
      <c r="Q104" s="374"/>
    </row>
    <row r="105" spans="1:17" ht="17.100000000000001" customHeight="1" thickTop="1" x14ac:dyDescent="0.25">
      <c r="A105" s="378"/>
      <c r="C105" s="379"/>
      <c r="D105" s="363"/>
      <c r="E105" s="247"/>
      <c r="F105" s="364"/>
      <c r="G105" s="365"/>
      <c r="H105" s="366"/>
      <c r="I105" s="364"/>
      <c r="J105" s="380" t="s">
        <v>30</v>
      </c>
      <c r="K105" s="381">
        <f>SUM(K100:K104)</f>
        <v>3146.9052557000005</v>
      </c>
      <c r="L105" s="369"/>
      <c r="M105" s="370"/>
      <c r="N105" s="371"/>
      <c r="O105" s="372"/>
      <c r="P105" s="373"/>
      <c r="Q105" s="374"/>
    </row>
    <row r="106" spans="1:17" ht="13.8" thickBot="1" x14ac:dyDescent="0.3">
      <c r="A106" s="344" t="s">
        <v>0</v>
      </c>
      <c r="B106" s="345" t="s">
        <v>1</v>
      </c>
      <c r="C106" s="1028" t="s">
        <v>646</v>
      </c>
      <c r="D106" s="1028"/>
      <c r="E106" s="1028"/>
      <c r="F106" s="1028"/>
      <c r="G106" s="1028" t="s">
        <v>34</v>
      </c>
      <c r="H106" s="1028"/>
      <c r="I106" s="1028"/>
      <c r="J106" s="346"/>
      <c r="K106" s="347"/>
      <c r="L106" s="382"/>
      <c r="M106" s="383"/>
      <c r="N106" s="384"/>
      <c r="O106" s="372"/>
      <c r="P106" s="373"/>
      <c r="Q106" s="374"/>
    </row>
    <row r="107" spans="1:17" ht="16.2" thickBot="1" x14ac:dyDescent="0.35">
      <c r="A107" s="385" t="s">
        <v>795</v>
      </c>
      <c r="B107" s="386" t="s">
        <v>746</v>
      </c>
      <c r="C107" s="387" t="s">
        <v>19</v>
      </c>
      <c r="D107" s="388" t="s">
        <v>33</v>
      </c>
      <c r="E107" s="389" t="s">
        <v>35</v>
      </c>
      <c r="F107" s="390" t="s">
        <v>30</v>
      </c>
      <c r="G107" s="391" t="s">
        <v>14</v>
      </c>
      <c r="H107" s="389" t="s">
        <v>35</v>
      </c>
      <c r="I107" s="390" t="s">
        <v>30</v>
      </c>
      <c r="J107" s="355" t="s">
        <v>649</v>
      </c>
      <c r="K107" s="392" t="s">
        <v>38</v>
      </c>
      <c r="L107" s="393"/>
      <c r="M107" s="394"/>
      <c r="N107" s="395"/>
      <c r="O107" s="372"/>
      <c r="P107" s="373"/>
      <c r="Q107" s="374"/>
    </row>
    <row r="108" spans="1:17" x14ac:dyDescent="0.25">
      <c r="A108" s="396"/>
      <c r="B108" s="397"/>
      <c r="C108" s="362"/>
      <c r="D108" s="363"/>
      <c r="E108" s="247"/>
      <c r="F108" s="364"/>
      <c r="G108" s="365"/>
      <c r="H108" s="366"/>
      <c r="I108" s="364"/>
      <c r="J108" s="367"/>
      <c r="K108" s="368"/>
      <c r="L108" s="369"/>
      <c r="M108" s="370"/>
      <c r="N108" s="371"/>
      <c r="O108" s="372"/>
      <c r="P108" s="373"/>
      <c r="Q108" s="374"/>
    </row>
    <row r="109" spans="1:17" x14ac:dyDescent="0.25">
      <c r="A109" s="361" t="s">
        <v>818</v>
      </c>
      <c r="B109" s="157" t="s">
        <v>750</v>
      </c>
      <c r="C109" s="362"/>
      <c r="D109" s="421" t="s">
        <v>751</v>
      </c>
      <c r="E109" s="422">
        <v>602</v>
      </c>
      <c r="F109" s="364">
        <f t="shared" ref="F109:F114" si="14">C109*E109</f>
        <v>0</v>
      </c>
      <c r="G109" s="365"/>
      <c r="H109" s="366"/>
      <c r="I109" s="364"/>
      <c r="J109" s="367"/>
      <c r="K109" s="368">
        <f>F109</f>
        <v>0</v>
      </c>
      <c r="L109" s="369"/>
      <c r="M109" s="370"/>
      <c r="N109" s="371"/>
      <c r="O109" s="372"/>
      <c r="P109" s="373"/>
      <c r="Q109" s="374"/>
    </row>
    <row r="110" spans="1:17" x14ac:dyDescent="0.25">
      <c r="A110" s="361" t="s">
        <v>819</v>
      </c>
      <c r="B110" s="157" t="s">
        <v>753</v>
      </c>
      <c r="C110" s="362"/>
      <c r="D110" s="421" t="s">
        <v>742</v>
      </c>
      <c r="E110" s="422">
        <v>73</v>
      </c>
      <c r="F110" s="364">
        <f t="shared" si="14"/>
        <v>0</v>
      </c>
      <c r="G110" s="365"/>
      <c r="H110" s="366"/>
      <c r="I110" s="364"/>
      <c r="J110" s="367"/>
      <c r="K110" s="765">
        <f t="shared" ref="K110:K114" si="15">F110</f>
        <v>0</v>
      </c>
      <c r="L110" s="157"/>
      <c r="M110" s="157"/>
      <c r="O110" s="372"/>
      <c r="P110" s="373"/>
      <c r="Q110" s="374"/>
    </row>
    <row r="111" spans="1:17" x14ac:dyDescent="0.25">
      <c r="A111" s="361" t="s">
        <v>820</v>
      </c>
      <c r="B111" s="157" t="s">
        <v>754</v>
      </c>
      <c r="C111" s="362"/>
      <c r="D111" s="421" t="s">
        <v>751</v>
      </c>
      <c r="E111" s="422">
        <v>355</v>
      </c>
      <c r="F111" s="364">
        <f t="shared" si="14"/>
        <v>0</v>
      </c>
      <c r="G111" s="365"/>
      <c r="H111" s="366"/>
      <c r="I111" s="364"/>
      <c r="J111" s="367"/>
      <c r="K111" s="765">
        <f t="shared" si="15"/>
        <v>0</v>
      </c>
      <c r="L111" s="157"/>
      <c r="M111" s="157"/>
      <c r="O111" s="372"/>
      <c r="P111" s="373"/>
      <c r="Q111" s="374"/>
    </row>
    <row r="112" spans="1:17" x14ac:dyDescent="0.25">
      <c r="A112" s="361" t="s">
        <v>821</v>
      </c>
      <c r="B112" s="157" t="s">
        <v>755</v>
      </c>
      <c r="C112" s="362"/>
      <c r="D112" s="421" t="s">
        <v>751</v>
      </c>
      <c r="E112" s="422">
        <v>609</v>
      </c>
      <c r="F112" s="364">
        <f t="shared" si="14"/>
        <v>0</v>
      </c>
      <c r="G112" s="365"/>
      <c r="H112" s="366"/>
      <c r="I112" s="364"/>
      <c r="J112" s="367"/>
      <c r="K112" s="368">
        <f t="shared" si="15"/>
        <v>0</v>
      </c>
      <c r="L112" s="369"/>
      <c r="M112" s="370"/>
      <c r="N112" s="371"/>
      <c r="O112" s="372"/>
      <c r="P112" s="373"/>
      <c r="Q112" s="374"/>
    </row>
    <row r="113" spans="1:17" x14ac:dyDescent="0.25">
      <c r="A113" s="361" t="s">
        <v>822</v>
      </c>
      <c r="B113" s="157" t="s">
        <v>760</v>
      </c>
      <c r="C113" s="362"/>
      <c r="D113" s="363" t="s">
        <v>742</v>
      </c>
      <c r="E113" s="422">
        <v>98</v>
      </c>
      <c r="F113" s="364">
        <f t="shared" si="14"/>
        <v>0</v>
      </c>
      <c r="G113" s="365"/>
      <c r="H113" s="366"/>
      <c r="I113" s="364"/>
      <c r="J113" s="367"/>
      <c r="K113" s="368">
        <f t="shared" si="15"/>
        <v>0</v>
      </c>
      <c r="L113" s="369"/>
      <c r="M113" s="370"/>
      <c r="N113" s="371"/>
      <c r="O113" s="372"/>
      <c r="P113" s="373"/>
      <c r="Q113" s="374"/>
    </row>
    <row r="114" spans="1:17" ht="13.8" thickBot="1" x14ac:dyDescent="0.3">
      <c r="A114" s="361" t="s">
        <v>823</v>
      </c>
      <c r="B114" s="157" t="s">
        <v>761</v>
      </c>
      <c r="C114" s="362"/>
      <c r="D114" s="363" t="s">
        <v>742</v>
      </c>
      <c r="E114" s="422">
        <v>98</v>
      </c>
      <c r="F114" s="364">
        <f t="shared" si="14"/>
        <v>0</v>
      </c>
      <c r="G114" s="365"/>
      <c r="H114" s="366"/>
      <c r="I114" s="364"/>
      <c r="J114" s="367"/>
      <c r="K114" s="368">
        <f t="shared" si="15"/>
        <v>0</v>
      </c>
      <c r="L114" s="369"/>
      <c r="M114" s="370"/>
      <c r="N114" s="371"/>
      <c r="O114" s="372"/>
      <c r="P114" s="373"/>
      <c r="Q114" s="374"/>
    </row>
    <row r="115" spans="1:17" x14ac:dyDescent="0.25">
      <c r="A115" s="423"/>
      <c r="B115" s="424" t="s">
        <v>796</v>
      </c>
      <c r="C115" s="425"/>
      <c r="D115" s="425"/>
      <c r="E115" s="425"/>
      <c r="F115" s="426"/>
      <c r="G115" s="427"/>
      <c r="H115" s="366"/>
      <c r="I115" s="364"/>
      <c r="J115" s="367"/>
      <c r="K115" s="368"/>
      <c r="L115" s="369"/>
      <c r="M115" s="370"/>
      <c r="N115" s="371"/>
      <c r="O115" s="372"/>
      <c r="P115" s="373"/>
      <c r="Q115" s="374"/>
    </row>
    <row r="116" spans="1:17" ht="41.4" x14ac:dyDescent="0.25">
      <c r="A116" s="423"/>
      <c r="C116" s="157" t="s">
        <v>797</v>
      </c>
      <c r="D116" s="157" t="s">
        <v>798</v>
      </c>
      <c r="E116" s="428" t="s">
        <v>801</v>
      </c>
      <c r="F116" s="157" t="s">
        <v>799</v>
      </c>
      <c r="G116" s="429" t="s">
        <v>800</v>
      </c>
      <c r="H116" s="366"/>
      <c r="I116" s="364"/>
      <c r="J116" s="367"/>
      <c r="K116" s="368"/>
      <c r="L116" s="369"/>
      <c r="M116" s="370"/>
      <c r="N116" s="371"/>
      <c r="O116" s="372"/>
      <c r="P116" s="373"/>
      <c r="Q116" s="374"/>
    </row>
    <row r="117" spans="1:17" ht="13.8" x14ac:dyDescent="0.25">
      <c r="A117" s="423"/>
      <c r="C117" s="157">
        <v>90</v>
      </c>
      <c r="D117" s="157">
        <v>6</v>
      </c>
      <c r="E117" s="430">
        <v>24</v>
      </c>
      <c r="F117" s="157">
        <f>D117*E117</f>
        <v>144</v>
      </c>
      <c r="G117" s="431">
        <v>0</v>
      </c>
      <c r="H117" s="366"/>
      <c r="I117" s="364"/>
      <c r="J117" s="367"/>
      <c r="K117" s="368"/>
      <c r="L117" s="369"/>
      <c r="M117" s="370"/>
      <c r="N117" s="371"/>
      <c r="O117" s="372"/>
      <c r="P117" s="373"/>
      <c r="Q117" s="374"/>
    </row>
    <row r="118" spans="1:17" ht="14.4" thickBot="1" x14ac:dyDescent="0.3">
      <c r="A118" s="423" t="s">
        <v>824</v>
      </c>
      <c r="B118" s="432" t="s">
        <v>758</v>
      </c>
      <c r="C118" s="433">
        <f>F117*G117</f>
        <v>0</v>
      </c>
      <c r="D118" s="434" t="s">
        <v>747</v>
      </c>
      <c r="E118" s="435">
        <v>1.3</v>
      </c>
      <c r="F118" s="436">
        <f>C118*E118</f>
        <v>0</v>
      </c>
      <c r="G118" s="437"/>
      <c r="H118" s="366"/>
      <c r="I118" s="364"/>
      <c r="J118" s="367"/>
      <c r="K118" s="765">
        <f>F118</f>
        <v>0</v>
      </c>
      <c r="L118" s="157"/>
      <c r="M118" s="157"/>
      <c r="O118" s="372"/>
      <c r="P118" s="373"/>
      <c r="Q118" s="374"/>
    </row>
    <row r="119" spans="1:17" ht="13.8" thickBot="1" x14ac:dyDescent="0.3">
      <c r="A119" s="378"/>
      <c r="B119" s="5"/>
      <c r="C119" s="379"/>
      <c r="D119" s="363"/>
      <c r="E119" s="247"/>
      <c r="F119" s="364"/>
      <c r="G119" s="365"/>
      <c r="H119" s="366"/>
      <c r="I119" s="364"/>
      <c r="J119" s="367"/>
      <c r="K119" s="766"/>
      <c r="L119" s="157"/>
      <c r="M119" s="157"/>
      <c r="O119" s="372"/>
      <c r="P119" s="373"/>
      <c r="Q119" s="374"/>
    </row>
    <row r="120" spans="1:17" ht="13.8" thickTop="1" x14ac:dyDescent="0.25">
      <c r="A120" s="378"/>
      <c r="B120" s="403"/>
      <c r="C120" s="379"/>
      <c r="D120" s="363"/>
      <c r="E120" s="247"/>
      <c r="F120" s="364"/>
      <c r="G120" s="365"/>
      <c r="H120" s="366"/>
      <c r="I120" s="364"/>
      <c r="J120" s="380" t="s">
        <v>30</v>
      </c>
      <c r="K120" s="381">
        <f>SUM(K108:K119)</f>
        <v>0</v>
      </c>
      <c r="L120" s="369"/>
      <c r="M120" s="370"/>
      <c r="N120" s="371"/>
      <c r="O120" s="372"/>
      <c r="P120" s="373"/>
      <c r="Q120" s="374"/>
    </row>
    <row r="121" spans="1:17" ht="13.8" thickBot="1" x14ac:dyDescent="0.3">
      <c r="A121" s="344" t="s">
        <v>0</v>
      </c>
      <c r="B121" s="345" t="s">
        <v>1</v>
      </c>
      <c r="C121" s="1028" t="s">
        <v>646</v>
      </c>
      <c r="D121" s="1028"/>
      <c r="E121" s="1028"/>
      <c r="F121" s="1028"/>
      <c r="G121" s="1028" t="s">
        <v>34</v>
      </c>
      <c r="H121" s="1028"/>
      <c r="I121" s="1028"/>
      <c r="J121" s="346"/>
      <c r="K121" s="347"/>
      <c r="L121" s="382"/>
      <c r="M121" s="383"/>
      <c r="N121" s="384"/>
      <c r="O121" s="372"/>
      <c r="P121" s="373"/>
      <c r="Q121" s="374"/>
    </row>
    <row r="122" spans="1:17" ht="16.2" thickBot="1" x14ac:dyDescent="0.35">
      <c r="A122" s="385" t="s">
        <v>114</v>
      </c>
      <c r="B122" s="386" t="s">
        <v>115</v>
      </c>
      <c r="C122" s="387" t="s">
        <v>19</v>
      </c>
      <c r="D122" s="388" t="s">
        <v>33</v>
      </c>
      <c r="E122" s="389" t="s">
        <v>35</v>
      </c>
      <c r="F122" s="390" t="s">
        <v>30</v>
      </c>
      <c r="G122" s="391" t="s">
        <v>14</v>
      </c>
      <c r="H122" s="389" t="s">
        <v>35</v>
      </c>
      <c r="I122" s="390" t="s">
        <v>30</v>
      </c>
      <c r="J122" s="355" t="s">
        <v>649</v>
      </c>
      <c r="K122" s="392" t="s">
        <v>38</v>
      </c>
      <c r="L122" s="393"/>
      <c r="M122" s="394"/>
      <c r="N122" s="395"/>
      <c r="O122" s="372"/>
      <c r="P122" s="373"/>
      <c r="Q122" s="374"/>
    </row>
    <row r="123" spans="1:17" x14ac:dyDescent="0.25">
      <c r="A123" s="396" t="s">
        <v>814</v>
      </c>
      <c r="B123" s="397" t="s">
        <v>135</v>
      </c>
      <c r="C123" s="362"/>
      <c r="D123" s="363" t="s">
        <v>21</v>
      </c>
      <c r="E123" s="247">
        <v>0</v>
      </c>
      <c r="F123" s="364">
        <f>C123*E123</f>
        <v>0</v>
      </c>
      <c r="G123" s="365"/>
      <c r="H123" s="366">
        <v>0</v>
      </c>
      <c r="I123" s="364">
        <f>G123*H123</f>
        <v>0</v>
      </c>
      <c r="J123" s="367"/>
      <c r="K123" s="368">
        <f>F123+I123+J123</f>
        <v>0</v>
      </c>
      <c r="L123" s="369"/>
      <c r="M123" s="370"/>
      <c r="N123" s="371"/>
      <c r="O123" s="372"/>
      <c r="P123" s="373"/>
      <c r="Q123" s="374"/>
    </row>
    <row r="124" spans="1:17" x14ac:dyDescent="0.25">
      <c r="A124" s="361" t="s">
        <v>815</v>
      </c>
      <c r="B124" s="5" t="s">
        <v>136</v>
      </c>
      <c r="C124" s="362"/>
      <c r="D124" s="363" t="s">
        <v>21</v>
      </c>
      <c r="E124" s="247">
        <v>0</v>
      </c>
      <c r="F124" s="364">
        <f>C124*E124</f>
        <v>0</v>
      </c>
      <c r="G124" s="365"/>
      <c r="H124" s="366">
        <v>0</v>
      </c>
      <c r="I124" s="364">
        <f>G124*H124</f>
        <v>0</v>
      </c>
      <c r="J124" s="367"/>
      <c r="K124" s="368">
        <f>F124+I124+J124</f>
        <v>0</v>
      </c>
      <c r="L124" s="369"/>
      <c r="M124" s="370"/>
      <c r="N124" s="772"/>
      <c r="O124" s="769"/>
      <c r="P124" s="373"/>
      <c r="Q124" s="374"/>
    </row>
    <row r="125" spans="1:17" x14ac:dyDescent="0.25">
      <c r="A125" s="793" t="s">
        <v>816</v>
      </c>
      <c r="B125" s="847" t="s">
        <v>990</v>
      </c>
      <c r="C125" s="795">
        <v>65</v>
      </c>
      <c r="D125" s="796" t="s">
        <v>989</v>
      </c>
      <c r="E125" s="797">
        <v>1.5</v>
      </c>
      <c r="F125" s="798">
        <f>C125*E125</f>
        <v>97.5</v>
      </c>
      <c r="G125" s="863"/>
      <c r="H125" s="800">
        <v>0</v>
      </c>
      <c r="I125" s="798">
        <f>G125*H125</f>
        <v>0</v>
      </c>
      <c r="J125" s="801"/>
      <c r="K125" s="878">
        <f>F125+I125+J125</f>
        <v>97.5</v>
      </c>
      <c r="L125" s="369" t="s">
        <v>996</v>
      </c>
      <c r="M125" s="268">
        <v>1.5</v>
      </c>
      <c r="N125" s="773"/>
      <c r="O125" s="157"/>
      <c r="P125" s="157"/>
    </row>
    <row r="126" spans="1:17" ht="14.1" customHeight="1" x14ac:dyDescent="0.25">
      <c r="A126" s="793" t="s">
        <v>817</v>
      </c>
      <c r="B126" s="847" t="s">
        <v>137</v>
      </c>
      <c r="C126" s="795">
        <v>65</v>
      </c>
      <c r="D126" s="796" t="s">
        <v>989</v>
      </c>
      <c r="E126" s="797">
        <v>7.68</v>
      </c>
      <c r="F126" s="798">
        <f>C126*E126</f>
        <v>499.2</v>
      </c>
      <c r="G126" s="863"/>
      <c r="H126" s="800">
        <v>0</v>
      </c>
      <c r="I126" s="798">
        <f>G126*H126</f>
        <v>0</v>
      </c>
      <c r="J126" s="801"/>
      <c r="K126" s="878">
        <f>F126+I126+J126</f>
        <v>499.2</v>
      </c>
      <c r="L126" s="369" t="s">
        <v>996</v>
      </c>
      <c r="M126" s="444">
        <v>7.68</v>
      </c>
      <c r="N126" s="774"/>
      <c r="O126" s="770"/>
      <c r="P126" s="445"/>
    </row>
    <row r="127" spans="1:17" ht="13.8" thickBot="1" x14ac:dyDescent="0.3">
      <c r="A127" s="378"/>
      <c r="B127" s="5"/>
      <c r="C127" s="379"/>
      <c r="D127" s="363"/>
      <c r="E127" s="247"/>
      <c r="F127" s="364"/>
      <c r="G127" s="365"/>
      <c r="H127" s="366"/>
      <c r="I127" s="364"/>
      <c r="J127" s="367"/>
      <c r="K127" s="763"/>
      <c r="L127" s="446"/>
      <c r="M127" s="370"/>
      <c r="N127" s="772"/>
      <c r="O127" s="771"/>
      <c r="P127" s="405"/>
    </row>
    <row r="128" spans="1:17" ht="13.8" thickTop="1" x14ac:dyDescent="0.25">
      <c r="A128" s="378"/>
      <c r="B128" s="403"/>
      <c r="C128" s="379"/>
      <c r="D128" s="363"/>
      <c r="E128" s="247"/>
      <c r="F128" s="364"/>
      <c r="G128" s="365"/>
      <c r="H128" s="366"/>
      <c r="I128" s="364"/>
      <c r="J128" s="380" t="s">
        <v>30</v>
      </c>
      <c r="K128" s="764">
        <f>SUM(K123:K127)</f>
        <v>596.70000000000005</v>
      </c>
      <c r="L128" s="446"/>
      <c r="M128" s="370"/>
      <c r="N128" s="772"/>
      <c r="O128" s="771"/>
      <c r="P128" s="405"/>
    </row>
    <row r="129" spans="1:19" ht="13.8" thickBot="1" x14ac:dyDescent="0.3">
      <c r="A129" s="344" t="s">
        <v>0</v>
      </c>
      <c r="B129" s="345" t="s">
        <v>1</v>
      </c>
      <c r="C129" s="1028" t="s">
        <v>646</v>
      </c>
      <c r="D129" s="1028"/>
      <c r="E129" s="1028"/>
      <c r="F129" s="1028"/>
      <c r="G129" s="1028" t="s">
        <v>34</v>
      </c>
      <c r="H129" s="1028"/>
      <c r="I129" s="1028"/>
      <c r="J129" s="346"/>
      <c r="K129" s="767"/>
      <c r="L129" s="446"/>
      <c r="M129" s="370"/>
      <c r="N129" s="772"/>
      <c r="O129" s="771"/>
      <c r="P129" s="405"/>
    </row>
    <row r="130" spans="1:19" ht="16.2" thickBot="1" x14ac:dyDescent="0.35">
      <c r="A130" s="385" t="s">
        <v>116</v>
      </c>
      <c r="B130" s="386" t="s">
        <v>117</v>
      </c>
      <c r="C130" s="387" t="s">
        <v>19</v>
      </c>
      <c r="D130" s="388" t="s">
        <v>33</v>
      </c>
      <c r="E130" s="389" t="s">
        <v>35</v>
      </c>
      <c r="F130" s="390" t="s">
        <v>30</v>
      </c>
      <c r="G130" s="391" t="s">
        <v>14</v>
      </c>
      <c r="H130" s="389" t="s">
        <v>35</v>
      </c>
      <c r="I130" s="390" t="s">
        <v>30</v>
      </c>
      <c r="J130" s="355" t="s">
        <v>649</v>
      </c>
      <c r="K130" s="768" t="s">
        <v>38</v>
      </c>
      <c r="L130" s="446"/>
      <c r="M130" s="447"/>
      <c r="N130" s="772"/>
      <c r="O130" s="771"/>
      <c r="P130" s="405"/>
    </row>
    <row r="131" spans="1:19" x14ac:dyDescent="0.25">
      <c r="A131" s="396" t="s">
        <v>804</v>
      </c>
      <c r="B131" s="397" t="s">
        <v>138</v>
      </c>
      <c r="C131" s="362"/>
      <c r="D131" s="363" t="s">
        <v>21</v>
      </c>
      <c r="E131" s="247">
        <v>0</v>
      </c>
      <c r="F131" s="364">
        <f>C131*E131</f>
        <v>0</v>
      </c>
      <c r="G131" s="365"/>
      <c r="H131" s="366">
        <v>0</v>
      </c>
      <c r="I131" s="364">
        <f>G131*H131</f>
        <v>0</v>
      </c>
      <c r="J131" s="367"/>
      <c r="K131" s="765">
        <f>F131+I131+J131</f>
        <v>0</v>
      </c>
      <c r="L131" s="446"/>
      <c r="M131" s="447"/>
      <c r="N131" s="772"/>
      <c r="O131" s="771"/>
      <c r="P131" s="405"/>
    </row>
    <row r="132" spans="1:19" x14ac:dyDescent="0.25">
      <c r="A132" s="361" t="s">
        <v>805</v>
      </c>
      <c r="B132" s="5" t="s">
        <v>139</v>
      </c>
      <c r="C132" s="362"/>
      <c r="D132" s="363" t="s">
        <v>21</v>
      </c>
      <c r="E132" s="247">
        <v>0</v>
      </c>
      <c r="F132" s="364">
        <f>C132*E132</f>
        <v>0</v>
      </c>
      <c r="G132" s="365"/>
      <c r="H132" s="366">
        <v>0</v>
      </c>
      <c r="I132" s="364">
        <f>G132*H132</f>
        <v>0</v>
      </c>
      <c r="J132" s="367"/>
      <c r="K132" s="765">
        <f>F132+I132+J132</f>
        <v>0</v>
      </c>
      <c r="N132" s="773"/>
    </row>
    <row r="133" spans="1:19" x14ac:dyDescent="0.25">
      <c r="A133" s="793" t="s">
        <v>806</v>
      </c>
      <c r="B133" s="794" t="s">
        <v>140</v>
      </c>
      <c r="C133" s="795">
        <v>3</v>
      </c>
      <c r="D133" s="796" t="s">
        <v>742</v>
      </c>
      <c r="E133" s="797">
        <v>550</v>
      </c>
      <c r="F133" s="798">
        <f>C133*E133</f>
        <v>1650</v>
      </c>
      <c r="G133" s="863"/>
      <c r="H133" s="800">
        <v>0</v>
      </c>
      <c r="I133" s="798">
        <f>G133*H133</f>
        <v>0</v>
      </c>
      <c r="J133" s="801"/>
      <c r="K133" s="878">
        <f>F133+I133+J133</f>
        <v>1650</v>
      </c>
      <c r="N133" s="773"/>
    </row>
    <row r="134" spans="1:19" x14ac:dyDescent="0.25">
      <c r="A134" s="793" t="s">
        <v>807</v>
      </c>
      <c r="B134" s="794" t="s">
        <v>54</v>
      </c>
      <c r="C134" s="795">
        <f>E6</f>
        <v>600</v>
      </c>
      <c r="D134" s="796" t="s">
        <v>721</v>
      </c>
      <c r="E134" s="797">
        <v>3</v>
      </c>
      <c r="F134" s="798">
        <f>C134*E134</f>
        <v>1800</v>
      </c>
      <c r="G134" s="863"/>
      <c r="H134" s="800">
        <v>0</v>
      </c>
      <c r="I134" s="798">
        <f>G134*H134</f>
        <v>0</v>
      </c>
      <c r="J134" s="801"/>
      <c r="K134" s="878">
        <f>F134+I134+J134</f>
        <v>1800</v>
      </c>
      <c r="N134" s="773"/>
    </row>
    <row r="135" spans="1:19" ht="13.8" thickBot="1" x14ac:dyDescent="0.3">
      <c r="A135" s="378"/>
      <c r="B135" s="403"/>
      <c r="C135" s="362"/>
      <c r="D135" s="363"/>
      <c r="E135" s="247"/>
      <c r="F135" s="364"/>
      <c r="G135" s="365"/>
      <c r="H135" s="366"/>
      <c r="I135" s="364"/>
      <c r="J135" s="367"/>
      <c r="K135" s="766"/>
      <c r="L135" s="157"/>
      <c r="M135" s="449"/>
      <c r="N135" s="775"/>
      <c r="O135" s="157"/>
      <c r="P135" s="157"/>
    </row>
    <row r="136" spans="1:19" ht="14.4" thickTop="1" thickBot="1" x14ac:dyDescent="0.3">
      <c r="A136" s="450"/>
      <c r="B136" s="156"/>
      <c r="C136" s="451"/>
      <c r="D136" s="452"/>
      <c r="E136" s="453"/>
      <c r="F136" s="454"/>
      <c r="G136" s="455"/>
      <c r="H136" s="453"/>
      <c r="I136" s="454"/>
      <c r="J136" s="456" t="s">
        <v>30</v>
      </c>
      <c r="K136" s="457">
        <f>SUM(K131:K135)</f>
        <v>3450</v>
      </c>
      <c r="L136" s="438"/>
      <c r="M136" s="439"/>
      <c r="N136" s="440"/>
      <c r="O136" s="441"/>
      <c r="P136" s="442"/>
      <c r="Q136" s="443"/>
    </row>
    <row r="137" spans="1:19" ht="13.8" x14ac:dyDescent="0.25">
      <c r="A137" s="458"/>
      <c r="B137" s="459"/>
      <c r="C137" s="460"/>
      <c r="D137" s="460"/>
      <c r="E137" s="461"/>
      <c r="F137" s="1038" t="s">
        <v>648</v>
      </c>
      <c r="G137" s="1115" t="s">
        <v>673</v>
      </c>
      <c r="H137" s="461"/>
      <c r="I137" s="1042" t="s">
        <v>647</v>
      </c>
      <c r="J137" s="1044" t="s">
        <v>674</v>
      </c>
      <c r="K137" s="1121" t="s">
        <v>31</v>
      </c>
      <c r="L137" s="157"/>
      <c r="M137" s="449"/>
      <c r="O137" s="157"/>
      <c r="P137" s="157"/>
    </row>
    <row r="138" spans="1:19" ht="13.8" x14ac:dyDescent="0.25">
      <c r="A138" s="462" t="s">
        <v>32</v>
      </c>
      <c r="B138" s="1031" t="s">
        <v>22</v>
      </c>
      <c r="C138" s="463"/>
      <c r="D138" s="464"/>
      <c r="E138" s="464"/>
      <c r="F138" s="1039"/>
      <c r="G138" s="1116"/>
      <c r="H138" s="465"/>
      <c r="I138" s="1043"/>
      <c r="J138" s="1045"/>
      <c r="K138" s="1122"/>
      <c r="L138" s="157"/>
      <c r="M138" s="449"/>
      <c r="O138" s="157"/>
      <c r="P138" s="157"/>
    </row>
    <row r="139" spans="1:19" ht="13.8" x14ac:dyDescent="0.25">
      <c r="A139" s="779">
        <f>+K139/E6</f>
        <v>174.29693894500002</v>
      </c>
      <c r="B139" s="1031"/>
      <c r="C139" s="464"/>
      <c r="D139" s="464"/>
      <c r="E139" s="464"/>
      <c r="F139" s="1036">
        <f>SUM(F131:F135,F123:F127,F100:F104,F90:F96,F79:F86,F70:F75,F59,F28:F35,F11:F24,F118:F118,F109:F114,F39,F41,F40)+F42</f>
        <v>40828.163367000001</v>
      </c>
      <c r="G139" s="1117">
        <f>SUM(G131:G136,G123:G127,G90:G96,G79:G86,G70:G75,G59:G66,G28:G35,G11:G22,,G100:G103)</f>
        <v>50</v>
      </c>
      <c r="H139" s="465"/>
      <c r="I139" s="1036">
        <f>SUM(I131:I135,I123:I127,I100:I104,I90:I96,I79:I86,I70:I75,I59:I66,I28:I35,I11:I24)</f>
        <v>63750</v>
      </c>
      <c r="J139" s="1032">
        <f>SUM(J131:J135,J123:J127,J100:J104,J90:J96,J79:J85,J70:J75,J59:J66,J28:J35,J11:J24,J49:J55)</f>
        <v>0</v>
      </c>
      <c r="K139" s="1119">
        <f>SUM(K136,K128,K105,K97,K87,K76,K67,K36,K25,K56,K120,K46)</f>
        <v>104578.16336700002</v>
      </c>
      <c r="L139" s="157"/>
      <c r="M139" s="449"/>
      <c r="O139" s="157"/>
      <c r="P139" s="157"/>
    </row>
    <row r="140" spans="1:19" ht="14.4" thickBot="1" x14ac:dyDescent="0.3">
      <c r="A140" s="467"/>
      <c r="B140" s="468"/>
      <c r="C140" s="468"/>
      <c r="D140" s="468"/>
      <c r="E140" s="468"/>
      <c r="F140" s="1037"/>
      <c r="G140" s="1118"/>
      <c r="H140" s="468"/>
      <c r="I140" s="1037"/>
      <c r="J140" s="1033"/>
      <c r="K140" s="1120"/>
      <c r="L140" s="157"/>
      <c r="M140" s="449"/>
      <c r="O140" s="157"/>
      <c r="P140" s="157"/>
    </row>
    <row r="141" spans="1:19" ht="13.8" thickBot="1" x14ac:dyDescent="0.3">
      <c r="A141" s="469"/>
      <c r="B141" s="470"/>
      <c r="C141" s="470"/>
      <c r="D141" s="470"/>
      <c r="E141" s="470"/>
      <c r="F141" s="470"/>
      <c r="G141" s="470"/>
      <c r="H141" s="470"/>
      <c r="I141" s="470"/>
      <c r="J141" s="470"/>
      <c r="K141" s="471"/>
      <c r="L141" s="157"/>
      <c r="M141" s="449"/>
      <c r="O141" s="157"/>
      <c r="P141" s="157"/>
    </row>
    <row r="142" spans="1:19" x14ac:dyDescent="0.25">
      <c r="L142" s="472"/>
      <c r="M142" s="473"/>
      <c r="N142" s="474"/>
      <c r="O142" s="159"/>
      <c r="P142" s="449"/>
      <c r="Q142" s="475"/>
      <c r="R142" s="475"/>
      <c r="S142" s="476"/>
    </row>
    <row r="143" spans="1:19" x14ac:dyDescent="0.25">
      <c r="L143" s="472"/>
      <c r="M143" s="473"/>
      <c r="N143" s="474"/>
      <c r="O143" s="159"/>
      <c r="P143" s="449"/>
      <c r="Q143" s="475"/>
      <c r="R143" s="475"/>
      <c r="S143" s="476"/>
    </row>
    <row r="144" spans="1:19" x14ac:dyDescent="0.25">
      <c r="L144" s="472"/>
      <c r="M144" s="473"/>
      <c r="N144" s="474"/>
      <c r="O144" s="159"/>
      <c r="P144" s="475"/>
      <c r="Q144" s="475"/>
      <c r="R144" s="477"/>
      <c r="S144" s="476"/>
    </row>
    <row r="145" spans="1:19" x14ac:dyDescent="0.25">
      <c r="L145" s="472"/>
      <c r="M145" s="473"/>
      <c r="N145" s="474"/>
      <c r="O145" s="159"/>
      <c r="P145" s="449"/>
      <c r="Q145" s="478"/>
      <c r="R145" s="479"/>
      <c r="S145" s="480"/>
    </row>
    <row r="146" spans="1:19" x14ac:dyDescent="0.25">
      <c r="A146" s="481"/>
      <c r="C146" s="157"/>
      <c r="D146" s="157"/>
      <c r="L146" s="472"/>
      <c r="M146" s="473"/>
      <c r="N146" s="474"/>
      <c r="O146" s="159"/>
      <c r="P146" s="449"/>
      <c r="Q146" s="482"/>
      <c r="R146" s="249"/>
      <c r="S146" s="483"/>
    </row>
    <row r="147" spans="1:19" x14ac:dyDescent="0.25">
      <c r="A147" s="481"/>
      <c r="C147" s="157"/>
      <c r="D147" s="157"/>
      <c r="L147" s="472"/>
      <c r="M147" s="473"/>
      <c r="N147" s="474"/>
      <c r="O147" s="159"/>
      <c r="P147" s="449"/>
      <c r="Q147" s="484"/>
      <c r="R147" s="264"/>
      <c r="S147" s="485"/>
    </row>
    <row r="148" spans="1:19" x14ac:dyDescent="0.25">
      <c r="C148" s="157"/>
      <c r="D148" s="157"/>
      <c r="L148" s="472"/>
      <c r="M148" s="473"/>
      <c r="N148" s="474"/>
      <c r="O148" s="159"/>
      <c r="P148" s="449"/>
      <c r="Q148" s="484"/>
      <c r="R148" s="486"/>
      <c r="S148" s="485"/>
    </row>
    <row r="149" spans="1:19" x14ac:dyDescent="0.25">
      <c r="B149" s="311"/>
      <c r="C149" s="157"/>
      <c r="D149" s="157"/>
      <c r="L149" s="472"/>
      <c r="M149" s="473"/>
      <c r="N149" s="474"/>
      <c r="O149" s="159"/>
      <c r="P149" s="475"/>
      <c r="Q149" s="487"/>
      <c r="R149" s="488"/>
      <c r="S149" s="489"/>
    </row>
    <row r="150" spans="1:19" x14ac:dyDescent="0.25">
      <c r="C150" s="157"/>
      <c r="D150" s="157"/>
      <c r="L150" s="472"/>
      <c r="M150" s="473"/>
      <c r="N150" s="474"/>
      <c r="O150" s="159"/>
      <c r="P150" s="475"/>
      <c r="Q150" s="475"/>
      <c r="R150" s="249"/>
      <c r="S150" s="490"/>
    </row>
    <row r="151" spans="1:19" x14ac:dyDescent="0.25">
      <c r="C151" s="157"/>
      <c r="D151" s="157"/>
      <c r="L151" s="472"/>
      <c r="M151" s="473"/>
      <c r="N151" s="474"/>
      <c r="O151" s="159"/>
      <c r="P151" s="449"/>
      <c r="Q151" s="159"/>
      <c r="R151" s="159"/>
      <c r="S151" s="491"/>
    </row>
    <row r="152" spans="1:19" x14ac:dyDescent="0.25">
      <c r="C152" s="157"/>
      <c r="D152" s="157"/>
      <c r="L152" s="472"/>
      <c r="M152" s="473"/>
      <c r="N152" s="474"/>
      <c r="O152" s="159"/>
      <c r="P152" s="449"/>
      <c r="Q152" s="159"/>
      <c r="R152" s="159"/>
      <c r="S152" s="491"/>
    </row>
    <row r="153" spans="1:19" x14ac:dyDescent="0.25">
      <c r="B153" s="159"/>
      <c r="C153" s="159"/>
      <c r="D153" s="492"/>
      <c r="F153" s="159"/>
      <c r="G153" s="159"/>
      <c r="H153" s="159"/>
      <c r="I153" s="159"/>
      <c r="J153" s="159"/>
      <c r="K153" s="159"/>
      <c r="L153" s="472"/>
      <c r="M153" s="473"/>
      <c r="N153" s="474"/>
      <c r="O153" s="159"/>
      <c r="P153" s="449"/>
      <c r="Q153" s="159"/>
      <c r="R153" s="159"/>
      <c r="S153" s="491"/>
    </row>
    <row r="154" spans="1:19" x14ac:dyDescent="0.25">
      <c r="B154" s="159"/>
      <c r="C154" s="159"/>
      <c r="D154" s="492"/>
      <c r="F154" s="159"/>
      <c r="G154" s="159"/>
      <c r="H154" s="159"/>
      <c r="I154" s="159"/>
      <c r="J154" s="159"/>
      <c r="K154" s="159"/>
      <c r="L154" s="472"/>
      <c r="M154" s="473"/>
      <c r="N154" s="474"/>
      <c r="O154" s="159"/>
      <c r="P154" s="493"/>
      <c r="Q154" s="475"/>
      <c r="R154" s="475"/>
      <c r="S154" s="476"/>
    </row>
    <row r="155" spans="1:19" x14ac:dyDescent="0.25">
      <c r="B155" s="159"/>
      <c r="C155" s="159"/>
      <c r="D155" s="159"/>
      <c r="F155" s="159"/>
      <c r="G155" s="159"/>
      <c r="H155" s="159"/>
      <c r="I155" s="159"/>
      <c r="J155" s="159"/>
      <c r="K155" s="159"/>
      <c r="L155" s="157"/>
      <c r="M155" s="449"/>
      <c r="N155" s="159"/>
      <c r="O155" s="157"/>
      <c r="Q155" s="294"/>
      <c r="R155" s="294"/>
    </row>
    <row r="156" spans="1:19" x14ac:dyDescent="0.25">
      <c r="B156" s="159"/>
      <c r="C156" s="159"/>
      <c r="D156" s="159"/>
      <c r="F156" s="159"/>
      <c r="G156" s="159"/>
      <c r="H156" s="159"/>
      <c r="I156" s="474"/>
      <c r="J156" s="159"/>
      <c r="K156" s="159"/>
    </row>
    <row r="157" spans="1:19" x14ac:dyDescent="0.25">
      <c r="B157" s="159"/>
      <c r="C157" s="159"/>
      <c r="D157" s="159"/>
      <c r="F157" s="159"/>
      <c r="G157" s="159"/>
      <c r="H157" s="159"/>
      <c r="I157" s="474"/>
      <c r="J157" s="159"/>
      <c r="K157" s="159"/>
    </row>
    <row r="158" spans="1:19" x14ac:dyDescent="0.25">
      <c r="B158" s="159"/>
      <c r="C158" s="159"/>
      <c r="D158" s="159"/>
      <c r="F158" s="159"/>
      <c r="G158" s="159"/>
      <c r="H158" s="159"/>
      <c r="I158" s="474"/>
      <c r="J158" s="159"/>
      <c r="K158" s="159"/>
    </row>
    <row r="159" spans="1:19" x14ac:dyDescent="0.25">
      <c r="B159" s="159"/>
      <c r="C159" s="159"/>
      <c r="D159" s="159"/>
      <c r="F159" s="159"/>
      <c r="G159" s="159"/>
      <c r="H159" s="159"/>
      <c r="I159" s="474"/>
      <c r="J159" s="159"/>
      <c r="K159" s="159"/>
      <c r="L159" s="159" t="s">
        <v>745</v>
      </c>
    </row>
    <row r="160" spans="1:19" x14ac:dyDescent="0.25">
      <c r="B160" s="159"/>
      <c r="C160" s="159"/>
      <c r="D160" s="159"/>
      <c r="F160" s="159"/>
      <c r="G160" s="159"/>
      <c r="H160" s="159"/>
      <c r="I160" s="474"/>
      <c r="J160" s="159"/>
      <c r="K160" s="159"/>
      <c r="L160" s="159">
        <v>24</v>
      </c>
      <c r="M160" s="268">
        <f>K171*L160</f>
        <v>144</v>
      </c>
    </row>
    <row r="161" spans="1:11" x14ac:dyDescent="0.25">
      <c r="B161" s="159"/>
      <c r="C161" s="159"/>
      <c r="D161" s="159"/>
      <c r="F161" s="159"/>
      <c r="G161" s="159"/>
      <c r="H161" s="159"/>
      <c r="I161" s="474"/>
      <c r="J161" s="159"/>
      <c r="K161" s="159"/>
    </row>
    <row r="162" spans="1:11" x14ac:dyDescent="0.25">
      <c r="B162" s="159"/>
      <c r="C162" s="159"/>
      <c r="D162" s="159"/>
      <c r="F162" s="159"/>
      <c r="G162" s="159"/>
      <c r="H162" s="159"/>
      <c r="I162" s="474"/>
      <c r="J162" s="159"/>
      <c r="K162" s="159"/>
    </row>
    <row r="163" spans="1:11" x14ac:dyDescent="0.25">
      <c r="B163" s="159"/>
      <c r="C163" s="159"/>
      <c r="D163" s="159"/>
      <c r="F163" s="159"/>
      <c r="G163" s="159"/>
      <c r="H163" s="159"/>
      <c r="I163" s="474"/>
      <c r="J163" s="159"/>
      <c r="K163" s="159"/>
    </row>
    <row r="164" spans="1:11" x14ac:dyDescent="0.25">
      <c r="B164" s="159"/>
      <c r="C164" s="159"/>
      <c r="D164" s="159"/>
      <c r="F164" s="159"/>
      <c r="G164" s="159"/>
      <c r="H164" s="159"/>
      <c r="I164" s="159"/>
      <c r="J164" s="159"/>
      <c r="K164" s="159"/>
    </row>
    <row r="165" spans="1:11" x14ac:dyDescent="0.25">
      <c r="B165" s="159"/>
      <c r="C165" s="159"/>
      <c r="D165" s="492"/>
      <c r="F165" s="159"/>
      <c r="G165" s="159"/>
      <c r="H165" s="159"/>
      <c r="I165" s="159"/>
      <c r="J165" s="159"/>
      <c r="K165" s="159"/>
    </row>
    <row r="166" spans="1:11" x14ac:dyDescent="0.25">
      <c r="C166" s="157"/>
      <c r="F166" s="421"/>
    </row>
    <row r="170" spans="1:11" x14ac:dyDescent="0.25">
      <c r="K170" s="157" t="s">
        <v>744</v>
      </c>
    </row>
    <row r="171" spans="1:11" x14ac:dyDescent="0.25">
      <c r="A171" s="311" t="s">
        <v>746</v>
      </c>
      <c r="H171" s="157">
        <v>90</v>
      </c>
      <c r="I171" s="157" t="s">
        <v>747</v>
      </c>
      <c r="J171" s="157">
        <v>15</v>
      </c>
      <c r="K171" s="157">
        <f>H171/J171</f>
        <v>6</v>
      </c>
    </row>
    <row r="172" spans="1:11" x14ac:dyDescent="0.25">
      <c r="C172" s="421" t="s">
        <v>73</v>
      </c>
      <c r="D172" s="421">
        <f>J6/4</f>
        <v>3.75</v>
      </c>
      <c r="E172" s="157" t="s">
        <v>748</v>
      </c>
    </row>
    <row r="173" spans="1:11" x14ac:dyDescent="0.25">
      <c r="C173" s="421" t="s">
        <v>763</v>
      </c>
      <c r="F173" s="157" t="s">
        <v>764</v>
      </c>
      <c r="G173" s="157" t="s">
        <v>30</v>
      </c>
      <c r="H173" s="157" t="s">
        <v>38</v>
      </c>
    </row>
    <row r="174" spans="1:11" x14ac:dyDescent="0.25">
      <c r="A174" s="157" t="s">
        <v>749</v>
      </c>
      <c r="B174" s="157" t="s">
        <v>750</v>
      </c>
      <c r="C174" s="421">
        <v>602</v>
      </c>
      <c r="D174" s="421" t="s">
        <v>751</v>
      </c>
      <c r="E174" s="157" t="s">
        <v>752</v>
      </c>
      <c r="F174" s="157">
        <v>1</v>
      </c>
      <c r="G174" s="268">
        <f>F174*C174</f>
        <v>602</v>
      </c>
      <c r="H174" s="268">
        <f>G174*D$172</f>
        <v>2257.5</v>
      </c>
    </row>
    <row r="175" spans="1:11" x14ac:dyDescent="0.25">
      <c r="B175" s="157" t="s">
        <v>753</v>
      </c>
      <c r="C175" s="421">
        <v>73</v>
      </c>
      <c r="D175" s="421" t="s">
        <v>742</v>
      </c>
      <c r="F175" s="157">
        <v>1</v>
      </c>
      <c r="G175" s="268">
        <v>73</v>
      </c>
      <c r="H175" s="268">
        <f>G175*D$172</f>
        <v>273.75</v>
      </c>
    </row>
    <row r="176" spans="1:11" x14ac:dyDescent="0.25">
      <c r="B176" s="157" t="s">
        <v>754</v>
      </c>
      <c r="C176" s="421">
        <v>355</v>
      </c>
      <c r="D176" s="421" t="s">
        <v>751</v>
      </c>
      <c r="F176" s="157">
        <v>2</v>
      </c>
      <c r="G176" s="268">
        <f>F176*C176</f>
        <v>710</v>
      </c>
      <c r="H176" s="268">
        <f t="shared" ref="H176:H181" si="16">G176*D$172</f>
        <v>2662.5</v>
      </c>
    </row>
    <row r="177" spans="2:8" x14ac:dyDescent="0.25">
      <c r="B177" s="157" t="s">
        <v>755</v>
      </c>
      <c r="C177" s="421">
        <v>609</v>
      </c>
      <c r="D177" s="421" t="s">
        <v>751</v>
      </c>
      <c r="F177" s="157">
        <v>1</v>
      </c>
      <c r="G177" s="268">
        <f>F177*C177</f>
        <v>609</v>
      </c>
      <c r="H177" s="268">
        <f t="shared" si="16"/>
        <v>2283.75</v>
      </c>
    </row>
    <row r="178" spans="2:8" x14ac:dyDescent="0.25">
      <c r="E178" s="157" t="s">
        <v>756</v>
      </c>
      <c r="F178" s="157" t="s">
        <v>757</v>
      </c>
      <c r="G178" s="268"/>
      <c r="H178" s="268">
        <f t="shared" si="16"/>
        <v>0</v>
      </c>
    </row>
    <row r="179" spans="2:8" x14ac:dyDescent="0.25">
      <c r="B179" s="157" t="s">
        <v>758</v>
      </c>
      <c r="C179" s="421">
        <v>1.3</v>
      </c>
      <c r="D179" s="421" t="s">
        <v>759</v>
      </c>
      <c r="E179" s="157">
        <v>144</v>
      </c>
      <c r="F179" s="157">
        <f>J8*7</f>
        <v>0</v>
      </c>
      <c r="G179" s="268">
        <f>F179*E179*C179</f>
        <v>0</v>
      </c>
      <c r="H179" s="268">
        <f t="shared" si="16"/>
        <v>0</v>
      </c>
    </row>
    <row r="180" spans="2:8" x14ac:dyDescent="0.25">
      <c r="B180" s="157" t="s">
        <v>760</v>
      </c>
      <c r="C180" s="421">
        <v>98</v>
      </c>
      <c r="F180" s="157">
        <v>1</v>
      </c>
      <c r="G180" s="268">
        <f>F180*C180</f>
        <v>98</v>
      </c>
      <c r="H180" s="268">
        <f t="shared" si="16"/>
        <v>367.5</v>
      </c>
    </row>
    <row r="181" spans="2:8" x14ac:dyDescent="0.25">
      <c r="B181" s="157" t="s">
        <v>761</v>
      </c>
      <c r="C181" s="421">
        <v>98</v>
      </c>
      <c r="F181" s="157">
        <v>1</v>
      </c>
      <c r="G181" s="268">
        <f>F181*C181</f>
        <v>98</v>
      </c>
      <c r="H181" s="268">
        <f t="shared" si="16"/>
        <v>367.5</v>
      </c>
    </row>
    <row r="182" spans="2:8" x14ac:dyDescent="0.25">
      <c r="G182" s="268"/>
      <c r="H182" s="268"/>
    </row>
    <row r="183" spans="2:8" x14ac:dyDescent="0.25">
      <c r="B183" s="157" t="s">
        <v>762</v>
      </c>
    </row>
    <row r="184" spans="2:8" x14ac:dyDescent="0.25">
      <c r="G184" s="157" t="s">
        <v>38</v>
      </c>
      <c r="H184" s="294">
        <f>SUM(H174:H183)</f>
        <v>8212.5</v>
      </c>
    </row>
  </sheetData>
  <mergeCells count="67">
    <mergeCell ref="C47:F47"/>
    <mergeCell ref="G47:I47"/>
    <mergeCell ref="C9:F9"/>
    <mergeCell ref="G9:I9"/>
    <mergeCell ref="C26:F26"/>
    <mergeCell ref="G26:I26"/>
    <mergeCell ref="C37:F37"/>
    <mergeCell ref="G37:I37"/>
    <mergeCell ref="Q9:Q10"/>
    <mergeCell ref="L9:L10"/>
    <mergeCell ref="M9:M10"/>
    <mergeCell ref="N9:N10"/>
    <mergeCell ref="O9:O10"/>
    <mergeCell ref="P9:P10"/>
    <mergeCell ref="J139:J140"/>
    <mergeCell ref="K139:K140"/>
    <mergeCell ref="K137:K138"/>
    <mergeCell ref="J137:J138"/>
    <mergeCell ref="I139:I140"/>
    <mergeCell ref="I137:I138"/>
    <mergeCell ref="B138:B139"/>
    <mergeCell ref="C129:F129"/>
    <mergeCell ref="G129:I129"/>
    <mergeCell ref="C88:F88"/>
    <mergeCell ref="G88:I88"/>
    <mergeCell ref="C98:F98"/>
    <mergeCell ref="G98:I98"/>
    <mergeCell ref="C121:F121"/>
    <mergeCell ref="G121:I121"/>
    <mergeCell ref="G137:G138"/>
    <mergeCell ref="G139:G140"/>
    <mergeCell ref="F139:F140"/>
    <mergeCell ref="F137:F138"/>
    <mergeCell ref="C106:F106"/>
    <mergeCell ref="G106:I106"/>
    <mergeCell ref="G8:I8"/>
    <mergeCell ref="C8:F8"/>
    <mergeCell ref="A3:B3"/>
    <mergeCell ref="A4:B4"/>
    <mergeCell ref="L5:M5"/>
    <mergeCell ref="C1:K1"/>
    <mergeCell ref="A7:K7"/>
    <mergeCell ref="J5:K5"/>
    <mergeCell ref="G5:I6"/>
    <mergeCell ref="D2:F2"/>
    <mergeCell ref="D3:F3"/>
    <mergeCell ref="D4:F4"/>
    <mergeCell ref="N5:P5"/>
    <mergeCell ref="L6:M6"/>
    <mergeCell ref="N6:P6"/>
    <mergeCell ref="L3:M3"/>
    <mergeCell ref="L4:M4"/>
    <mergeCell ref="N3:P3"/>
    <mergeCell ref="N4:P4"/>
    <mergeCell ref="G57:I57"/>
    <mergeCell ref="C68:F68"/>
    <mergeCell ref="G68:I68"/>
    <mergeCell ref="C77:F77"/>
    <mergeCell ref="G77:I77"/>
    <mergeCell ref="E60:F60"/>
    <mergeCell ref="E61:F61"/>
    <mergeCell ref="E62:F62"/>
    <mergeCell ref="E63:F63"/>
    <mergeCell ref="E64:F64"/>
    <mergeCell ref="E65:F65"/>
    <mergeCell ref="G60:I60"/>
    <mergeCell ref="C57:F57"/>
  </mergeCells>
  <phoneticPr fontId="5" type="noConversion"/>
  <printOptions horizontalCentered="1"/>
  <pageMargins left="0.7" right="0.7" top="0.75" bottom="0.75" header="0.5" footer="0.5"/>
  <pageSetup scale="54" fitToHeight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tabColor rgb="FF00B0F0"/>
    <pageSetUpPr fitToPage="1"/>
  </sheetPr>
  <dimension ref="A1:Q96"/>
  <sheetViews>
    <sheetView zoomScale="90" zoomScaleNormal="75" zoomScaleSheetLayoutView="90" zoomScalePageLayoutView="75" workbookViewId="0">
      <selection activeCell="L44" sqref="L44"/>
    </sheetView>
  </sheetViews>
  <sheetFormatPr defaultColWidth="9.33203125" defaultRowHeight="13.2" x14ac:dyDescent="0.25"/>
  <cols>
    <col min="1" max="1" width="12" style="157" customWidth="1"/>
    <col min="2" max="2" width="44.5546875" style="157" customWidth="1"/>
    <col min="3" max="3" width="4.6640625" style="363" customWidth="1"/>
    <col min="4" max="4" width="4.6640625" style="421" customWidth="1"/>
    <col min="5" max="5" width="11.33203125" style="268" customWidth="1"/>
    <col min="6" max="6" width="12.44140625" style="157" customWidth="1"/>
    <col min="7" max="7" width="7" style="158" customWidth="1"/>
    <col min="8" max="8" width="11.33203125" style="157" customWidth="1"/>
    <col min="9" max="9" width="12.44140625" style="157" customWidth="1"/>
    <col min="10" max="10" width="15.6640625" style="157" customWidth="1"/>
    <col min="11" max="11" width="14.33203125" style="157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545"/>
      <c r="D2" s="1013"/>
      <c r="E2" s="1013"/>
      <c r="F2" s="1013"/>
      <c r="G2" s="545"/>
      <c r="H2" s="318"/>
      <c r="I2" s="319"/>
      <c r="J2" s="320"/>
      <c r="K2" s="321"/>
    </row>
    <row r="3" spans="1:17" ht="16.2" thickBot="1" x14ac:dyDescent="0.35">
      <c r="A3" s="1014"/>
      <c r="B3" s="1015"/>
      <c r="C3" s="545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3.2" customHeight="1" thickBot="1" x14ac:dyDescent="0.3">
      <c r="A4" s="1014"/>
      <c r="B4" s="1015"/>
      <c r="C4" s="545"/>
      <c r="D4" s="1013"/>
      <c r="E4" s="1013"/>
      <c r="F4" s="1013"/>
      <c r="G4" s="81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5"/>
      <c r="D5" s="331"/>
      <c r="E5" s="332"/>
      <c r="F5" s="327"/>
      <c r="G5" s="1016" t="s">
        <v>152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545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x14ac:dyDescent="0.25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x14ac:dyDescent="0.25">
      <c r="A9" s="501"/>
      <c r="B9" s="200"/>
      <c r="C9" s="1029"/>
      <c r="D9" s="1029"/>
      <c r="E9" s="1026"/>
      <c r="F9" s="1026"/>
      <c r="G9" s="1030"/>
      <c r="H9" s="1026"/>
      <c r="I9" s="1026"/>
      <c r="J9" s="1026"/>
      <c r="K9" s="1027"/>
      <c r="L9" s="448"/>
      <c r="M9" s="447"/>
      <c r="N9" s="404"/>
      <c r="O9" s="405"/>
      <c r="P9" s="405"/>
    </row>
    <row r="10" spans="1:17" ht="13.8" thickBot="1" x14ac:dyDescent="0.3">
      <c r="A10" s="392"/>
      <c r="B10" s="502"/>
      <c r="C10" s="1029"/>
      <c r="D10" s="1029"/>
      <c r="E10" s="1026"/>
      <c r="F10" s="1026"/>
      <c r="G10" s="1030"/>
      <c r="H10" s="1026"/>
      <c r="I10" s="1026"/>
      <c r="J10" s="1026"/>
      <c r="K10" s="1027"/>
      <c r="L10" s="448"/>
      <c r="M10" s="447"/>
      <c r="N10" s="404"/>
      <c r="O10" s="405"/>
      <c r="P10" s="405"/>
    </row>
    <row r="11" spans="1:17" ht="14.4" thickTop="1" thickBot="1" x14ac:dyDescent="0.3">
      <c r="A11" s="344" t="s">
        <v>0</v>
      </c>
      <c r="B11" s="345" t="s">
        <v>1</v>
      </c>
      <c r="C11" s="1028" t="s">
        <v>646</v>
      </c>
      <c r="D11" s="1028"/>
      <c r="E11" s="1028"/>
      <c r="F11" s="1028"/>
      <c r="G11" s="1028" t="s">
        <v>34</v>
      </c>
      <c r="H11" s="1028"/>
      <c r="I11" s="1028"/>
      <c r="J11" s="346"/>
      <c r="K11" s="503"/>
      <c r="L11" s="1050" t="s">
        <v>771</v>
      </c>
      <c r="M11" s="1052" t="s">
        <v>772</v>
      </c>
      <c r="N11" s="1054" t="s">
        <v>773</v>
      </c>
      <c r="O11" s="1056"/>
      <c r="P11" s="1058"/>
      <c r="Q11" s="1048"/>
    </row>
    <row r="12" spans="1:17" ht="15.6" x14ac:dyDescent="0.3">
      <c r="A12" s="504" t="s">
        <v>150</v>
      </c>
      <c r="B12" s="505" t="s">
        <v>152</v>
      </c>
      <c r="C12" s="350" t="s">
        <v>19</v>
      </c>
      <c r="D12" s="351" t="s">
        <v>33</v>
      </c>
      <c r="E12" s="352" t="s">
        <v>35</v>
      </c>
      <c r="F12" s="353" t="s">
        <v>30</v>
      </c>
      <c r="G12" s="506" t="s">
        <v>14</v>
      </c>
      <c r="H12" s="352" t="s">
        <v>35</v>
      </c>
      <c r="I12" s="353" t="s">
        <v>30</v>
      </c>
      <c r="J12" s="355" t="s">
        <v>649</v>
      </c>
      <c r="K12" s="507" t="s">
        <v>38</v>
      </c>
      <c r="L12" s="1051"/>
      <c r="M12" s="1053"/>
      <c r="N12" s="1055"/>
      <c r="O12" s="1057"/>
      <c r="P12" s="1059"/>
      <c r="Q12" s="1049"/>
    </row>
    <row r="13" spans="1:17" ht="15" x14ac:dyDescent="0.25">
      <c r="A13" s="820" t="s">
        <v>151</v>
      </c>
      <c r="B13" s="821" t="s">
        <v>78</v>
      </c>
      <c r="C13" s="822"/>
      <c r="D13" s="796" t="s">
        <v>21</v>
      </c>
      <c r="E13" s="797">
        <v>0</v>
      </c>
      <c r="F13" s="798">
        <f t="shared" ref="F13" si="0">C13*E13</f>
        <v>0</v>
      </c>
      <c r="G13" s="823"/>
      <c r="H13" s="800">
        <v>0</v>
      </c>
      <c r="I13" s="798">
        <f t="shared" ref="I13" si="1">G13*H13</f>
        <v>0</v>
      </c>
      <c r="J13" s="801">
        <f>M17</f>
        <v>20950</v>
      </c>
      <c r="K13" s="802">
        <f t="shared" ref="K13" si="2">F13+I13+J13</f>
        <v>20950</v>
      </c>
      <c r="L13" s="843" t="s">
        <v>1027</v>
      </c>
      <c r="M13" s="370"/>
      <c r="N13" s="371"/>
      <c r="O13" s="829"/>
      <c r="P13" s="373"/>
      <c r="Q13" s="374"/>
    </row>
    <row r="14" spans="1:17" x14ac:dyDescent="0.25">
      <c r="A14" s="361"/>
      <c r="B14" s="939"/>
      <c r="C14" s="809"/>
      <c r="D14" s="363"/>
      <c r="E14" s="247"/>
      <c r="F14" s="364"/>
      <c r="G14" s="818"/>
      <c r="H14" s="366"/>
      <c r="I14" s="364"/>
      <c r="J14" s="367"/>
      <c r="K14" s="510"/>
      <c r="M14" s="268">
        <v>7250</v>
      </c>
      <c r="N14" s="371" t="s">
        <v>1111</v>
      </c>
      <c r="O14" s="372"/>
      <c r="P14" s="373"/>
      <c r="Q14" s="374"/>
    </row>
    <row r="15" spans="1:17" x14ac:dyDescent="0.25">
      <c r="A15" s="361"/>
      <c r="B15" s="939" t="s">
        <v>1146</v>
      </c>
      <c r="C15" s="822">
        <v>1</v>
      </c>
      <c r="D15" s="796" t="s">
        <v>21</v>
      </c>
      <c r="E15" s="797">
        <v>300</v>
      </c>
      <c r="F15" s="798">
        <f t="shared" ref="F15" si="3">C15*E15</f>
        <v>300</v>
      </c>
      <c r="G15" s="823"/>
      <c r="H15" s="800">
        <v>0</v>
      </c>
      <c r="I15" s="798">
        <f t="shared" ref="I15" si="4">G15*H15</f>
        <v>0</v>
      </c>
      <c r="J15" s="801"/>
      <c r="K15" s="802">
        <f t="shared" ref="K15" si="5">F15+I15+J15</f>
        <v>300</v>
      </c>
      <c r="M15" s="268">
        <v>29850</v>
      </c>
      <c r="N15" s="371" t="s">
        <v>1112</v>
      </c>
      <c r="O15" s="372"/>
      <c r="P15" s="373"/>
      <c r="Q15" s="374"/>
    </row>
    <row r="16" spans="1:17" ht="15" x14ac:dyDescent="0.25">
      <c r="A16" s="508"/>
      <c r="B16" s="939"/>
      <c r="C16" s="809"/>
      <c r="D16" s="363"/>
      <c r="E16" s="247"/>
      <c r="F16" s="364"/>
      <c r="G16" s="818"/>
      <c r="H16" s="366"/>
      <c r="I16" s="364"/>
      <c r="J16" s="367"/>
      <c r="K16" s="510"/>
      <c r="L16" s="950" t="s">
        <v>1056</v>
      </c>
      <c r="M16" s="370"/>
      <c r="N16" s="371"/>
      <c r="O16" s="372"/>
      <c r="P16" s="373"/>
      <c r="Q16" s="374"/>
    </row>
    <row r="17" spans="1:17" x14ac:dyDescent="0.25">
      <c r="A17" s="361"/>
      <c r="B17" s="939"/>
      <c r="C17" s="809"/>
      <c r="D17" s="363"/>
      <c r="E17" s="247"/>
      <c r="F17" s="364"/>
      <c r="G17" s="818"/>
      <c r="H17" s="366"/>
      <c r="I17" s="364"/>
      <c r="J17" s="367"/>
      <c r="K17" s="510"/>
      <c r="L17" s="951" t="s">
        <v>1080</v>
      </c>
      <c r="M17" s="370">
        <v>20950</v>
      </c>
      <c r="N17" s="371"/>
      <c r="O17" s="372"/>
      <c r="P17" s="373"/>
      <c r="Q17" s="374"/>
    </row>
    <row r="18" spans="1:17" x14ac:dyDescent="0.25">
      <c r="A18" s="361"/>
      <c r="B18" s="939"/>
      <c r="C18" s="809"/>
      <c r="D18" s="363"/>
      <c r="E18" s="247"/>
      <c r="F18" s="364"/>
      <c r="G18" s="818"/>
      <c r="H18" s="366"/>
      <c r="I18" s="364"/>
      <c r="J18" s="367"/>
      <c r="K18" s="510"/>
      <c r="N18" s="371"/>
      <c r="O18" s="372"/>
      <c r="P18" s="373"/>
      <c r="Q18" s="374"/>
    </row>
    <row r="19" spans="1:17" x14ac:dyDescent="0.25">
      <c r="A19" s="952"/>
      <c r="B19" s="939"/>
      <c r="C19" s="809"/>
      <c r="D19" s="363"/>
      <c r="E19" s="247"/>
      <c r="F19" s="364"/>
      <c r="G19" s="818"/>
      <c r="H19" s="366"/>
      <c r="I19" s="364"/>
      <c r="J19" s="367"/>
      <c r="K19" s="510"/>
      <c r="L19" s="969" t="s">
        <v>1095</v>
      </c>
      <c r="M19" s="370">
        <v>19600</v>
      </c>
      <c r="N19" s="371"/>
      <c r="O19" s="372"/>
      <c r="P19" s="373"/>
      <c r="Q19" s="374"/>
    </row>
    <row r="20" spans="1:17" x14ac:dyDescent="0.25">
      <c r="A20" s="953"/>
      <c r="B20" s="939"/>
      <c r="C20" s="809"/>
      <c r="D20" s="363"/>
      <c r="E20" s="247"/>
      <c r="F20" s="364"/>
      <c r="G20" s="818"/>
      <c r="H20" s="366"/>
      <c r="I20" s="364"/>
      <c r="J20" s="367"/>
      <c r="K20" s="510"/>
      <c r="L20" s="951"/>
      <c r="M20" s="531">
        <f>800+200+600</f>
        <v>1600</v>
      </c>
      <c r="N20" s="371" t="s">
        <v>1118</v>
      </c>
      <c r="O20" s="372"/>
      <c r="P20" s="373"/>
      <c r="Q20" s="374"/>
    </row>
    <row r="21" spans="1:17" ht="13.8" thickBot="1" x14ac:dyDescent="0.3">
      <c r="A21" s="953"/>
      <c r="B21" s="939"/>
      <c r="C21" s="809"/>
      <c r="D21" s="363"/>
      <c r="E21" s="247"/>
      <c r="F21" s="364"/>
      <c r="G21" s="818"/>
      <c r="H21" s="366"/>
      <c r="I21" s="364"/>
      <c r="J21" s="367"/>
      <c r="K21" s="510"/>
      <c r="L21" s="951"/>
      <c r="M21" s="970">
        <f>SUM(M19:M20)</f>
        <v>21200</v>
      </c>
      <c r="N21" s="371"/>
      <c r="O21" s="372"/>
      <c r="P21" s="373"/>
      <c r="Q21" s="374"/>
    </row>
    <row r="22" spans="1:17" ht="15.6" thickTop="1" x14ac:dyDescent="0.25">
      <c r="A22" s="508"/>
      <c r="B22" s="939"/>
      <c r="C22" s="809"/>
      <c r="D22" s="363"/>
      <c r="E22" s="247"/>
      <c r="F22" s="364"/>
      <c r="G22" s="818"/>
      <c r="H22" s="366"/>
      <c r="I22" s="364"/>
      <c r="J22" s="367"/>
      <c r="K22" s="510"/>
      <c r="L22" s="954"/>
      <c r="M22" s="444"/>
      <c r="N22" s="971"/>
      <c r="O22" s="372"/>
      <c r="P22" s="373"/>
      <c r="Q22" s="374"/>
    </row>
    <row r="23" spans="1:17" ht="13.8" thickBot="1" x14ac:dyDescent="0.3">
      <c r="A23" s="378"/>
      <c r="B23" s="7"/>
      <c r="C23" s="810"/>
      <c r="D23" s="363"/>
      <c r="E23" s="247"/>
      <c r="F23" s="364"/>
      <c r="G23" s="818"/>
      <c r="H23" s="366"/>
      <c r="I23" s="364"/>
      <c r="J23" s="367"/>
      <c r="K23" s="510"/>
      <c r="L23" s="369"/>
      <c r="M23" s="370"/>
      <c r="N23" s="371"/>
      <c r="O23" s="372"/>
      <c r="P23" s="373"/>
      <c r="Q23" s="374"/>
    </row>
    <row r="24" spans="1:17" ht="13.8" thickTop="1" x14ac:dyDescent="0.25">
      <c r="A24" s="378"/>
      <c r="B24" s="7"/>
      <c r="C24" s="810"/>
      <c r="D24" s="363"/>
      <c r="E24" s="247"/>
      <c r="F24" s="364"/>
      <c r="G24" s="818"/>
      <c r="H24" s="366"/>
      <c r="I24" s="364"/>
      <c r="J24" s="380" t="s">
        <v>30</v>
      </c>
      <c r="K24" s="511">
        <f>SUM(K13:K23)</f>
        <v>21250</v>
      </c>
      <c r="L24" s="369"/>
      <c r="M24" s="370"/>
      <c r="N24" s="371"/>
      <c r="O24" s="372"/>
      <c r="P24" s="373"/>
      <c r="Q24" s="374"/>
    </row>
    <row r="25" spans="1:17" ht="13.8" hidden="1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ht="16.2" hidden="1" thickBot="1" x14ac:dyDescent="0.35">
      <c r="A26" s="385" t="s">
        <v>767</v>
      </c>
      <c r="B26" s="386" t="s">
        <v>768</v>
      </c>
      <c r="C26" s="811" t="s">
        <v>19</v>
      </c>
      <c r="D26" s="388" t="s">
        <v>33</v>
      </c>
      <c r="E26" s="389" t="s">
        <v>35</v>
      </c>
      <c r="F26" s="390" t="s">
        <v>30</v>
      </c>
      <c r="G26" s="819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hidden="1" x14ac:dyDescent="0.25">
      <c r="A27" s="396"/>
      <c r="B27" s="897"/>
      <c r="C27" s="809"/>
      <c r="D27" s="363" t="s">
        <v>21</v>
      </c>
      <c r="E27" s="247">
        <v>0</v>
      </c>
      <c r="F27" s="364">
        <f t="shared" ref="F27:F33" si="6">C27*E27</f>
        <v>0</v>
      </c>
      <c r="G27" s="818"/>
      <c r="H27" s="366">
        <v>0</v>
      </c>
      <c r="I27" s="364">
        <f t="shared" ref="I27:I33" si="7">G27*H27</f>
        <v>0</v>
      </c>
      <c r="J27" s="367"/>
      <c r="K27" s="510">
        <f t="shared" ref="K27:K33" si="8">F27+I27+J27</f>
        <v>0</v>
      </c>
      <c r="L27" s="369"/>
      <c r="M27" s="370"/>
      <c r="N27" s="371"/>
      <c r="O27" s="372"/>
      <c r="P27" s="373"/>
      <c r="Q27" s="374"/>
    </row>
    <row r="28" spans="1:17" hidden="1" x14ac:dyDescent="0.25">
      <c r="A28" s="361"/>
      <c r="B28" s="5"/>
      <c r="C28" s="809"/>
      <c r="D28" s="363" t="s">
        <v>21</v>
      </c>
      <c r="E28" s="247">
        <v>0</v>
      </c>
      <c r="F28" s="364">
        <f t="shared" si="6"/>
        <v>0</v>
      </c>
      <c r="G28" s="818"/>
      <c r="H28" s="366">
        <v>0</v>
      </c>
      <c r="I28" s="364">
        <f t="shared" si="7"/>
        <v>0</v>
      </c>
      <c r="J28" s="367"/>
      <c r="K28" s="510">
        <f t="shared" si="8"/>
        <v>0</v>
      </c>
      <c r="L28" s="369"/>
      <c r="M28" s="370"/>
      <c r="N28" s="371"/>
      <c r="O28" s="372"/>
      <c r="P28" s="373"/>
      <c r="Q28" s="374"/>
    </row>
    <row r="29" spans="1:17" hidden="1" x14ac:dyDescent="0.25">
      <c r="A29" s="361"/>
      <c r="B29" s="5"/>
      <c r="C29" s="809"/>
      <c r="D29" s="363" t="s">
        <v>21</v>
      </c>
      <c r="E29" s="247">
        <v>0</v>
      </c>
      <c r="F29" s="364">
        <f t="shared" si="6"/>
        <v>0</v>
      </c>
      <c r="G29" s="818"/>
      <c r="H29" s="366">
        <v>0</v>
      </c>
      <c r="I29" s="364">
        <f t="shared" si="7"/>
        <v>0</v>
      </c>
      <c r="J29" s="367"/>
      <c r="K29" s="510">
        <f t="shared" si="8"/>
        <v>0</v>
      </c>
      <c r="L29" s="369"/>
      <c r="M29" s="370"/>
      <c r="N29" s="371"/>
      <c r="O29" s="372"/>
      <c r="P29" s="373"/>
      <c r="Q29" s="374"/>
    </row>
    <row r="30" spans="1:17" hidden="1" x14ac:dyDescent="0.25">
      <c r="A30" s="361"/>
      <c r="B30" s="5"/>
      <c r="C30" s="809"/>
      <c r="D30" s="363" t="s">
        <v>21</v>
      </c>
      <c r="E30" s="247">
        <v>0</v>
      </c>
      <c r="F30" s="364">
        <f t="shared" si="6"/>
        <v>0</v>
      </c>
      <c r="G30" s="818"/>
      <c r="H30" s="366">
        <v>0</v>
      </c>
      <c r="I30" s="364">
        <f t="shared" si="7"/>
        <v>0</v>
      </c>
      <c r="J30" s="367"/>
      <c r="K30" s="510">
        <f t="shared" si="8"/>
        <v>0</v>
      </c>
      <c r="L30" s="369"/>
      <c r="M30" s="370"/>
      <c r="N30" s="371"/>
      <c r="O30" s="372"/>
      <c r="P30" s="373"/>
      <c r="Q30" s="374"/>
    </row>
    <row r="31" spans="1:17" hidden="1" x14ac:dyDescent="0.25">
      <c r="A31" s="361"/>
      <c r="B31" s="5"/>
      <c r="C31" s="809"/>
      <c r="D31" s="363" t="s">
        <v>21</v>
      </c>
      <c r="E31" s="247">
        <v>0</v>
      </c>
      <c r="F31" s="364">
        <f t="shared" si="6"/>
        <v>0</v>
      </c>
      <c r="G31" s="818"/>
      <c r="H31" s="366">
        <v>0</v>
      </c>
      <c r="I31" s="364">
        <f t="shared" si="7"/>
        <v>0</v>
      </c>
      <c r="J31" s="367"/>
      <c r="K31" s="510">
        <f t="shared" si="8"/>
        <v>0</v>
      </c>
      <c r="L31" s="369"/>
      <c r="M31" s="370"/>
      <c r="N31" s="371"/>
      <c r="O31" s="372"/>
      <c r="P31" s="373"/>
      <c r="Q31" s="374"/>
    </row>
    <row r="32" spans="1:17" hidden="1" x14ac:dyDescent="0.25">
      <c r="A32" s="361"/>
      <c r="B32" s="5"/>
      <c r="C32" s="809"/>
      <c r="D32" s="363" t="s">
        <v>21</v>
      </c>
      <c r="E32" s="247">
        <v>0</v>
      </c>
      <c r="F32" s="364">
        <f t="shared" si="6"/>
        <v>0</v>
      </c>
      <c r="G32" s="818"/>
      <c r="H32" s="366">
        <v>0</v>
      </c>
      <c r="I32" s="364">
        <f t="shared" si="7"/>
        <v>0</v>
      </c>
      <c r="J32" s="367"/>
      <c r="K32" s="510">
        <f t="shared" si="8"/>
        <v>0</v>
      </c>
      <c r="L32" s="369"/>
      <c r="M32" s="370"/>
      <c r="N32" s="371"/>
      <c r="O32" s="372"/>
      <c r="P32" s="373"/>
      <c r="Q32" s="374"/>
    </row>
    <row r="33" spans="1:17" hidden="1" x14ac:dyDescent="0.25">
      <c r="A33" s="361"/>
      <c r="B33" s="5"/>
      <c r="C33" s="809"/>
      <c r="D33" s="363" t="s">
        <v>21</v>
      </c>
      <c r="E33" s="247">
        <v>0</v>
      </c>
      <c r="F33" s="364">
        <f t="shared" si="6"/>
        <v>0</v>
      </c>
      <c r="G33" s="818"/>
      <c r="H33" s="366">
        <v>0</v>
      </c>
      <c r="I33" s="364">
        <f t="shared" si="7"/>
        <v>0</v>
      </c>
      <c r="J33" s="367"/>
      <c r="K33" s="510">
        <f t="shared" si="8"/>
        <v>0</v>
      </c>
      <c r="L33" s="369"/>
      <c r="M33" s="370"/>
      <c r="N33" s="371"/>
      <c r="O33" s="372"/>
      <c r="P33" s="373"/>
      <c r="Q33" s="374"/>
    </row>
    <row r="34" spans="1:17" ht="13.8" hidden="1" thickBot="1" x14ac:dyDescent="0.3">
      <c r="A34" s="378"/>
      <c r="B34" s="5"/>
      <c r="C34" s="810"/>
      <c r="D34" s="363"/>
      <c r="E34" s="247"/>
      <c r="F34" s="364"/>
      <c r="G34" s="818"/>
      <c r="H34" s="366"/>
      <c r="I34" s="364"/>
      <c r="J34" s="367"/>
      <c r="K34" s="514"/>
      <c r="L34" s="369"/>
      <c r="M34" s="370"/>
      <c r="N34" s="371"/>
      <c r="O34" s="372"/>
      <c r="P34" s="373"/>
      <c r="Q34" s="374"/>
    </row>
    <row r="35" spans="1:17" ht="13.8" hidden="1" thickTop="1" x14ac:dyDescent="0.25">
      <c r="A35" s="378"/>
      <c r="B35" s="403"/>
      <c r="C35" s="810"/>
      <c r="D35" s="363"/>
      <c r="E35" s="247"/>
      <c r="F35" s="364"/>
      <c r="G35" s="818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17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17" ht="16.2" thickBot="1" x14ac:dyDescent="0.35">
      <c r="A37" s="385" t="s">
        <v>155</v>
      </c>
      <c r="B37" s="386" t="s">
        <v>530</v>
      </c>
      <c r="C37" s="811" t="s">
        <v>19</v>
      </c>
      <c r="D37" s="388" t="s">
        <v>33</v>
      </c>
      <c r="E37" s="389" t="s">
        <v>35</v>
      </c>
      <c r="F37" s="390" t="s">
        <v>30</v>
      </c>
      <c r="G37" s="819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17" x14ac:dyDescent="0.25">
      <c r="A38" s="837"/>
      <c r="B38" s="794" t="s">
        <v>992</v>
      </c>
      <c r="C38" s="795"/>
      <c r="D38" s="796" t="s">
        <v>742</v>
      </c>
      <c r="E38" s="797">
        <v>300</v>
      </c>
      <c r="F38" s="798">
        <f t="shared" ref="F38:F44" si="9">C38*E38</f>
        <v>0</v>
      </c>
      <c r="G38" s="823"/>
      <c r="H38" s="800">
        <v>0</v>
      </c>
      <c r="I38" s="798">
        <f t="shared" ref="I38:I44" si="10">G38*H38</f>
        <v>0</v>
      </c>
      <c r="J38" s="801"/>
      <c r="K38" s="802">
        <f t="shared" ref="K38:K44" si="11">F38+I38+J38</f>
        <v>0</v>
      </c>
      <c r="L38" s="369" t="s">
        <v>993</v>
      </c>
      <c r="M38" s="249"/>
      <c r="N38" s="409"/>
      <c r="O38" s="401"/>
      <c r="P38" s="402"/>
      <c r="Q38" s="374"/>
    </row>
    <row r="39" spans="1:17" x14ac:dyDescent="0.25">
      <c r="A39" s="793"/>
      <c r="B39" s="794" t="s">
        <v>1130</v>
      </c>
      <c r="C39" s="822"/>
      <c r="D39" s="796" t="s">
        <v>741</v>
      </c>
      <c r="E39" s="797">
        <v>65</v>
      </c>
      <c r="F39" s="798">
        <f t="shared" si="9"/>
        <v>0</v>
      </c>
      <c r="G39" s="823"/>
      <c r="H39" s="800">
        <v>0</v>
      </c>
      <c r="I39" s="798">
        <f t="shared" si="10"/>
        <v>0</v>
      </c>
      <c r="J39" s="801"/>
      <c r="K39" s="802">
        <f t="shared" si="11"/>
        <v>0</v>
      </c>
      <c r="L39" s="369"/>
      <c r="M39" s="249"/>
      <c r="N39" s="982" t="s">
        <v>1131</v>
      </c>
      <c r="O39" s="401"/>
      <c r="P39" s="402"/>
      <c r="Q39" s="374"/>
    </row>
    <row r="40" spans="1:17" x14ac:dyDescent="0.25">
      <c r="A40" s="361"/>
      <c r="B40" s="5" t="s">
        <v>769</v>
      </c>
      <c r="C40" s="809"/>
      <c r="D40" s="363" t="s">
        <v>741</v>
      </c>
      <c r="E40" s="247">
        <v>65</v>
      </c>
      <c r="F40" s="364">
        <f t="shared" ref="F40" si="12">C40*E40</f>
        <v>0</v>
      </c>
      <c r="G40" s="818"/>
      <c r="H40" s="366">
        <v>0</v>
      </c>
      <c r="I40" s="364">
        <f t="shared" ref="I40" si="13">G40*H40</f>
        <v>0</v>
      </c>
      <c r="J40" s="367"/>
      <c r="K40" s="510">
        <f t="shared" ref="K40" si="14">F40+I40+J40</f>
        <v>0</v>
      </c>
      <c r="L40" s="369"/>
      <c r="M40" s="249"/>
      <c r="N40" s="409"/>
      <c r="O40" s="401"/>
      <c r="P40" s="402"/>
      <c r="Q40" s="374"/>
    </row>
    <row r="41" spans="1:17" x14ac:dyDescent="0.25">
      <c r="A41" s="361"/>
      <c r="B41" s="5" t="s">
        <v>770</v>
      </c>
      <c r="C41" s="809"/>
      <c r="D41" s="363" t="s">
        <v>741</v>
      </c>
      <c r="E41" s="247">
        <v>35</v>
      </c>
      <c r="F41" s="364">
        <f t="shared" si="9"/>
        <v>0</v>
      </c>
      <c r="G41" s="818"/>
      <c r="H41" s="366">
        <v>0</v>
      </c>
      <c r="I41" s="364">
        <f t="shared" si="10"/>
        <v>0</v>
      </c>
      <c r="J41" s="367"/>
      <c r="K41" s="510">
        <f t="shared" si="11"/>
        <v>0</v>
      </c>
      <c r="L41" s="369"/>
      <c r="M41" s="249"/>
      <c r="N41" s="409"/>
      <c r="O41" s="401"/>
      <c r="P41" s="402"/>
      <c r="Q41" s="374"/>
    </row>
    <row r="42" spans="1:17" x14ac:dyDescent="0.25">
      <c r="A42" s="361"/>
      <c r="B42" s="5"/>
      <c r="C42" s="809"/>
      <c r="D42" s="363" t="s">
        <v>21</v>
      </c>
      <c r="E42" s="247">
        <v>0</v>
      </c>
      <c r="F42" s="364">
        <f t="shared" si="9"/>
        <v>0</v>
      </c>
      <c r="G42" s="818"/>
      <c r="H42" s="366">
        <v>0</v>
      </c>
      <c r="I42" s="364">
        <f t="shared" si="10"/>
        <v>0</v>
      </c>
      <c r="J42" s="367"/>
      <c r="K42" s="510">
        <f t="shared" si="11"/>
        <v>0</v>
      </c>
      <c r="L42" s="369"/>
      <c r="M42" s="249"/>
      <c r="N42" s="409"/>
      <c r="O42" s="401"/>
      <c r="P42" s="402"/>
      <c r="Q42" s="374"/>
    </row>
    <row r="43" spans="1:17" x14ac:dyDescent="0.25">
      <c r="A43" s="361"/>
      <c r="B43" s="5"/>
      <c r="C43" s="809"/>
      <c r="D43" s="363" t="s">
        <v>21</v>
      </c>
      <c r="E43" s="247">
        <v>0</v>
      </c>
      <c r="F43" s="364">
        <f t="shared" si="9"/>
        <v>0</v>
      </c>
      <c r="G43" s="818"/>
      <c r="H43" s="366">
        <v>0</v>
      </c>
      <c r="I43" s="364">
        <f t="shared" si="10"/>
        <v>0</v>
      </c>
      <c r="J43" s="367"/>
      <c r="K43" s="510">
        <f t="shared" si="11"/>
        <v>0</v>
      </c>
      <c r="L43" s="369"/>
      <c r="M43" s="249"/>
      <c r="N43" s="371"/>
      <c r="O43" s="372"/>
      <c r="P43" s="373"/>
      <c r="Q43" s="374"/>
    </row>
    <row r="44" spans="1:17" x14ac:dyDescent="0.25">
      <c r="A44" s="361"/>
      <c r="B44" s="5"/>
      <c r="C44" s="809"/>
      <c r="D44" s="363" t="s">
        <v>21</v>
      </c>
      <c r="E44" s="247">
        <v>0</v>
      </c>
      <c r="F44" s="364">
        <f t="shared" si="9"/>
        <v>0</v>
      </c>
      <c r="G44" s="818"/>
      <c r="H44" s="366">
        <v>0</v>
      </c>
      <c r="I44" s="364">
        <f t="shared" si="10"/>
        <v>0</v>
      </c>
      <c r="J44" s="367"/>
      <c r="K44" s="510">
        <f t="shared" si="11"/>
        <v>0</v>
      </c>
      <c r="L44" s="515"/>
      <c r="M44" s="249"/>
      <c r="N44" s="516"/>
      <c r="O44" s="372"/>
      <c r="P44" s="373"/>
      <c r="Q44" s="374"/>
    </row>
    <row r="45" spans="1:17" ht="13.8" thickBot="1" x14ac:dyDescent="0.3">
      <c r="A45" s="378"/>
      <c r="B45" s="5"/>
      <c r="C45" s="810"/>
      <c r="D45" s="363"/>
      <c r="E45" s="247"/>
      <c r="F45" s="364"/>
      <c r="G45" s="818"/>
      <c r="H45" s="366"/>
      <c r="I45" s="364"/>
      <c r="J45" s="367"/>
      <c r="K45" s="514"/>
      <c r="L45" s="517"/>
      <c r="M45" s="249"/>
      <c r="N45" s="518"/>
      <c r="O45" s="372"/>
      <c r="P45" s="402"/>
      <c r="Q45" s="374"/>
    </row>
    <row r="46" spans="1:17" ht="14.4" thickTop="1" thickBot="1" x14ac:dyDescent="0.3">
      <c r="A46" s="378"/>
      <c r="B46" s="403"/>
      <c r="C46" s="810"/>
      <c r="D46" s="363"/>
      <c r="E46" s="247"/>
      <c r="F46" s="364"/>
      <c r="G46" s="818"/>
      <c r="H46" s="366"/>
      <c r="I46" s="364"/>
      <c r="J46" s="380" t="s">
        <v>30</v>
      </c>
      <c r="K46" s="511">
        <f>SUM(K38:K45)</f>
        <v>0</v>
      </c>
      <c r="L46" s="515"/>
      <c r="M46" s="249"/>
      <c r="N46" s="516"/>
      <c r="O46" s="519"/>
      <c r="P46" s="520"/>
      <c r="Q46" s="374"/>
    </row>
    <row r="47" spans="1:17" ht="14.1" customHeight="1" thickTop="1" x14ac:dyDescent="0.25">
      <c r="A47" s="458"/>
      <c r="B47" s="459"/>
      <c r="C47" s="812"/>
      <c r="D47" s="460"/>
      <c r="E47" s="461"/>
      <c r="F47" s="1038" t="s">
        <v>648</v>
      </c>
      <c r="G47" s="1040" t="s">
        <v>673</v>
      </c>
      <c r="H47" s="461"/>
      <c r="I47" s="1042" t="s">
        <v>647</v>
      </c>
      <c r="J47" s="1044" t="s">
        <v>674</v>
      </c>
      <c r="K47" s="1046" t="s">
        <v>31</v>
      </c>
      <c r="L47" s="521"/>
      <c r="M47" s="522"/>
      <c r="N47" s="523"/>
      <c r="O47" s="524"/>
      <c r="P47" s="524"/>
      <c r="Q47" s="525"/>
    </row>
    <row r="48" spans="1:17" ht="13.8" x14ac:dyDescent="0.25">
      <c r="A48" s="462" t="s">
        <v>32</v>
      </c>
      <c r="B48" s="1031" t="s">
        <v>23</v>
      </c>
      <c r="C48" s="813"/>
      <c r="D48" s="464"/>
      <c r="E48" s="464"/>
      <c r="F48" s="1039"/>
      <c r="G48" s="1041"/>
      <c r="H48" s="465"/>
      <c r="I48" s="1043"/>
      <c r="J48" s="1045"/>
      <c r="K48" s="1047"/>
      <c r="L48" s="526"/>
      <c r="M48" s="249"/>
      <c r="O48" s="527"/>
      <c r="P48" s="527"/>
      <c r="Q48" s="528"/>
    </row>
    <row r="49" spans="1:17" ht="13.8" x14ac:dyDescent="0.25">
      <c r="A49" s="779">
        <f>K49/E6</f>
        <v>35.416666666666664</v>
      </c>
      <c r="B49" s="1031"/>
      <c r="C49" s="814"/>
      <c r="D49" s="464"/>
      <c r="E49" s="464"/>
      <c r="F49" s="1032">
        <f>SUM(F13:F23,F38:F45,F27:F33)</f>
        <v>300</v>
      </c>
      <c r="G49" s="1034">
        <f>SUM(G13:G23,G38:G45,G27:G33)</f>
        <v>0</v>
      </c>
      <c r="H49" s="465"/>
      <c r="I49" s="1032">
        <f>SUM(I13:I23,I38:I45,I27:I33)</f>
        <v>0</v>
      </c>
      <c r="J49" s="1032">
        <f>SUM(J13:J23,J38:J45,J27:J33)</f>
        <v>20950</v>
      </c>
      <c r="K49" s="1036">
        <f>SUM(K46,K24,K35)</f>
        <v>21250</v>
      </c>
      <c r="L49" s="526"/>
      <c r="M49" s="249"/>
      <c r="O49" s="527"/>
      <c r="P49" s="527"/>
      <c r="Q49" s="528"/>
    </row>
    <row r="50" spans="1:17" ht="14.4" thickBot="1" x14ac:dyDescent="0.3">
      <c r="A50" s="462"/>
      <c r="B50" s="529"/>
      <c r="C50" s="815"/>
      <c r="D50" s="468"/>
      <c r="E50" s="468"/>
      <c r="F50" s="1033"/>
      <c r="G50" s="1035"/>
      <c r="H50" s="468"/>
      <c r="I50" s="1033"/>
      <c r="J50" s="1033"/>
      <c r="K50" s="1037"/>
      <c r="L50" s="526"/>
      <c r="M50" s="249"/>
      <c r="O50" s="527"/>
      <c r="P50" s="527"/>
      <c r="Q50" s="528"/>
    </row>
    <row r="51" spans="1:17" ht="13.8" thickBot="1" x14ac:dyDescent="0.3">
      <c r="A51" s="469"/>
      <c r="B51" s="470"/>
      <c r="C51" s="816"/>
      <c r="D51" s="470"/>
      <c r="E51" s="470"/>
      <c r="F51" s="470"/>
      <c r="G51" s="816"/>
      <c r="H51" s="470"/>
      <c r="I51" s="470"/>
      <c r="J51" s="470"/>
      <c r="K51" s="470"/>
      <c r="L51" s="526"/>
      <c r="M51" s="249"/>
      <c r="O51" s="527"/>
      <c r="P51" s="527"/>
      <c r="Q51" s="528"/>
    </row>
    <row r="52" spans="1:17" x14ac:dyDescent="0.25">
      <c r="M52" s="249"/>
      <c r="O52" s="527"/>
      <c r="P52" s="527"/>
      <c r="Q52" s="528"/>
    </row>
    <row r="53" spans="1:17" x14ac:dyDescent="0.25">
      <c r="M53" s="249"/>
      <c r="O53" s="527"/>
      <c r="P53" s="527"/>
      <c r="Q53" s="528"/>
    </row>
    <row r="54" spans="1:17" x14ac:dyDescent="0.25">
      <c r="M54" s="249"/>
      <c r="O54" s="528"/>
      <c r="P54" s="528"/>
      <c r="Q54" s="528"/>
    </row>
    <row r="55" spans="1:17" x14ac:dyDescent="0.25">
      <c r="M55" s="249"/>
      <c r="O55" s="527"/>
      <c r="P55" s="527"/>
      <c r="Q55" s="528"/>
    </row>
    <row r="56" spans="1:17" x14ac:dyDescent="0.25">
      <c r="M56" s="249"/>
      <c r="O56" s="527"/>
      <c r="P56" s="527"/>
      <c r="Q56" s="528"/>
    </row>
    <row r="57" spans="1:17" x14ac:dyDescent="0.25">
      <c r="M57" s="249"/>
      <c r="O57" s="527"/>
      <c r="P57" s="527"/>
      <c r="Q57" s="528"/>
    </row>
    <row r="58" spans="1:17" x14ac:dyDescent="0.25">
      <c r="M58" s="249"/>
      <c r="O58" s="527"/>
      <c r="P58" s="527"/>
      <c r="Q58" s="528"/>
    </row>
    <row r="59" spans="1:17" x14ac:dyDescent="0.25">
      <c r="M59" s="249"/>
      <c r="O59" s="527"/>
      <c r="P59" s="527"/>
      <c r="Q59" s="528"/>
    </row>
    <row r="60" spans="1:17" x14ac:dyDescent="0.25">
      <c r="M60" s="249"/>
      <c r="O60" s="527"/>
      <c r="P60" s="527"/>
      <c r="Q60" s="528"/>
    </row>
    <row r="61" spans="1:17" x14ac:dyDescent="0.25">
      <c r="M61" s="249"/>
      <c r="O61" s="527"/>
      <c r="P61" s="527"/>
      <c r="Q61" s="528"/>
    </row>
    <row r="62" spans="1:17" x14ac:dyDescent="0.25">
      <c r="M62" s="249"/>
      <c r="O62" s="527"/>
      <c r="P62" s="527"/>
      <c r="Q62" s="528"/>
    </row>
    <row r="63" spans="1:17" x14ac:dyDescent="0.25">
      <c r="M63" s="249"/>
      <c r="O63" s="527"/>
      <c r="P63" s="527"/>
      <c r="Q63" s="528"/>
    </row>
    <row r="64" spans="1:17" x14ac:dyDescent="0.25">
      <c r="M64" s="249"/>
      <c r="O64" s="527"/>
      <c r="P64" s="527"/>
      <c r="Q64" s="528"/>
    </row>
    <row r="65" spans="13:17" x14ac:dyDescent="0.25">
      <c r="M65" s="249"/>
      <c r="O65" s="527"/>
      <c r="P65" s="527"/>
      <c r="Q65" s="528"/>
    </row>
    <row r="66" spans="13:17" x14ac:dyDescent="0.25">
      <c r="M66" s="249"/>
      <c r="O66" s="527"/>
      <c r="P66" s="527"/>
      <c r="Q66" s="528"/>
    </row>
    <row r="67" spans="13:17" x14ac:dyDescent="0.25">
      <c r="M67" s="249"/>
      <c r="O67" s="527"/>
      <c r="P67" s="527"/>
      <c r="Q67" s="528"/>
    </row>
    <row r="68" spans="13:17" x14ac:dyDescent="0.25">
      <c r="M68" s="249"/>
      <c r="O68" s="527"/>
      <c r="P68" s="527"/>
      <c r="Q68" s="528"/>
    </row>
    <row r="69" spans="13:17" x14ac:dyDescent="0.25">
      <c r="M69" s="249"/>
      <c r="O69" s="527"/>
      <c r="P69" s="527"/>
      <c r="Q69" s="528"/>
    </row>
    <row r="70" spans="13:17" x14ac:dyDescent="0.25">
      <c r="M70" s="249"/>
      <c r="O70" s="527"/>
      <c r="P70" s="527"/>
      <c r="Q70" s="528"/>
    </row>
    <row r="71" spans="13:17" x14ac:dyDescent="0.25">
      <c r="M71" s="249"/>
      <c r="O71" s="527"/>
      <c r="P71" s="527"/>
      <c r="Q71" s="528"/>
    </row>
    <row r="72" spans="13:17" x14ac:dyDescent="0.25">
      <c r="M72" s="249"/>
      <c r="O72" s="527"/>
      <c r="P72" s="527"/>
      <c r="Q72" s="528"/>
    </row>
    <row r="73" spans="13:17" x14ac:dyDescent="0.25">
      <c r="M73" s="249"/>
      <c r="O73" s="527"/>
      <c r="P73" s="527"/>
      <c r="Q73" s="528"/>
    </row>
    <row r="74" spans="13:17" x14ac:dyDescent="0.25">
      <c r="M74" s="249"/>
      <c r="O74" s="527"/>
      <c r="P74" s="527"/>
      <c r="Q74" s="528"/>
    </row>
    <row r="75" spans="13:17" x14ac:dyDescent="0.25">
      <c r="M75" s="249"/>
      <c r="O75" s="527"/>
      <c r="P75" s="527"/>
      <c r="Q75" s="528"/>
    </row>
    <row r="76" spans="13:17" x14ac:dyDescent="0.25">
      <c r="M76" s="249"/>
      <c r="O76" s="527"/>
      <c r="P76" s="527"/>
      <c r="Q76" s="528"/>
    </row>
    <row r="77" spans="13:17" x14ac:dyDescent="0.25">
      <c r="M77" s="249"/>
      <c r="O77" s="527"/>
      <c r="P77" s="527"/>
      <c r="Q77" s="528"/>
    </row>
    <row r="78" spans="13:17" x14ac:dyDescent="0.25">
      <c r="M78" s="249"/>
      <c r="O78" s="527"/>
      <c r="P78" s="527"/>
      <c r="Q78" s="528"/>
    </row>
    <row r="79" spans="13:17" x14ac:dyDescent="0.25">
      <c r="M79" s="249"/>
      <c r="O79" s="527"/>
      <c r="P79" s="527"/>
      <c r="Q79" s="528"/>
    </row>
    <row r="80" spans="13:17" x14ac:dyDescent="0.25">
      <c r="M80" s="249"/>
      <c r="O80" s="527"/>
      <c r="P80" s="527"/>
      <c r="Q80" s="528"/>
    </row>
    <row r="81" spans="13:17" x14ac:dyDescent="0.25">
      <c r="M81" s="249"/>
      <c r="O81" s="527"/>
      <c r="P81" s="527"/>
      <c r="Q81" s="528"/>
    </row>
    <row r="82" spans="13:17" x14ac:dyDescent="0.25">
      <c r="M82" s="249"/>
      <c r="O82" s="527"/>
      <c r="P82" s="527"/>
      <c r="Q82" s="528"/>
    </row>
    <row r="83" spans="13:17" x14ac:dyDescent="0.25">
      <c r="M83" s="249"/>
      <c r="O83" s="527"/>
      <c r="P83" s="527"/>
      <c r="Q83" s="528"/>
    </row>
    <row r="84" spans="13:17" x14ac:dyDescent="0.25">
      <c r="M84" s="249"/>
      <c r="O84" s="527"/>
      <c r="P84" s="527"/>
      <c r="Q84" s="528"/>
    </row>
    <row r="85" spans="13:17" x14ac:dyDescent="0.25">
      <c r="M85" s="249"/>
      <c r="O85" s="527"/>
      <c r="P85" s="527"/>
      <c r="Q85" s="528"/>
    </row>
    <row r="86" spans="13:17" x14ac:dyDescent="0.25">
      <c r="M86" s="249"/>
      <c r="O86" s="527"/>
      <c r="P86" s="527"/>
      <c r="Q86" s="528"/>
    </row>
    <row r="87" spans="13:17" x14ac:dyDescent="0.25">
      <c r="M87" s="249"/>
      <c r="O87" s="527"/>
      <c r="P87" s="527"/>
      <c r="Q87" s="528"/>
    </row>
    <row r="88" spans="13:17" x14ac:dyDescent="0.25">
      <c r="M88" s="249"/>
      <c r="O88" s="527"/>
      <c r="P88" s="527"/>
      <c r="Q88" s="528"/>
    </row>
    <row r="89" spans="13:17" x14ac:dyDescent="0.25">
      <c r="M89" s="249"/>
      <c r="O89" s="527"/>
      <c r="P89" s="527"/>
      <c r="Q89" s="528"/>
    </row>
    <row r="90" spans="13:17" x14ac:dyDescent="0.25">
      <c r="M90" s="249"/>
      <c r="O90" s="527"/>
      <c r="P90" s="527"/>
      <c r="Q90" s="528"/>
    </row>
    <row r="91" spans="13:17" x14ac:dyDescent="0.25">
      <c r="M91" s="249"/>
      <c r="O91" s="527"/>
      <c r="P91" s="527"/>
      <c r="Q91" s="528"/>
    </row>
    <row r="92" spans="13:17" x14ac:dyDescent="0.25">
      <c r="M92" s="249"/>
      <c r="O92" s="527"/>
      <c r="P92" s="527"/>
      <c r="Q92" s="528"/>
    </row>
    <row r="93" spans="13:17" x14ac:dyDescent="0.25">
      <c r="M93" s="249"/>
      <c r="O93" s="527"/>
      <c r="P93" s="527"/>
      <c r="Q93" s="528"/>
    </row>
    <row r="94" spans="13:17" x14ac:dyDescent="0.25">
      <c r="M94" s="249"/>
      <c r="O94" s="527"/>
      <c r="P94" s="527"/>
      <c r="Q94" s="528"/>
    </row>
    <row r="95" spans="13:17" x14ac:dyDescent="0.25">
      <c r="M95" s="249"/>
      <c r="O95" s="527"/>
      <c r="P95" s="527"/>
      <c r="Q95" s="528"/>
    </row>
    <row r="96" spans="13:17" x14ac:dyDescent="0.25">
      <c r="M96" s="249"/>
      <c r="O96" s="527"/>
      <c r="P96" s="527"/>
      <c r="Q96" s="528"/>
    </row>
  </sheetData>
  <mergeCells count="51">
    <mergeCell ref="Q11:Q12"/>
    <mergeCell ref="L11:L12"/>
    <mergeCell ref="M11:M12"/>
    <mergeCell ref="N11:N12"/>
    <mergeCell ref="O11:O12"/>
    <mergeCell ref="P11:P12"/>
    <mergeCell ref="J49:J50"/>
    <mergeCell ref="K49:K50"/>
    <mergeCell ref="F47:F48"/>
    <mergeCell ref="G47:G48"/>
    <mergeCell ref="I47:I48"/>
    <mergeCell ref="J47:J48"/>
    <mergeCell ref="K47:K48"/>
    <mergeCell ref="B48:B49"/>
    <mergeCell ref="C36:F36"/>
    <mergeCell ref="G36:I36"/>
    <mergeCell ref="H9:H10"/>
    <mergeCell ref="I9:I10"/>
    <mergeCell ref="F49:F50"/>
    <mergeCell ref="G49:G50"/>
    <mergeCell ref="I49:I50"/>
    <mergeCell ref="C25:F25"/>
    <mergeCell ref="G25:I2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C1:K1"/>
    <mergeCell ref="D2:F2"/>
    <mergeCell ref="D3:F3"/>
    <mergeCell ref="D4:F4"/>
    <mergeCell ref="G5:I6"/>
    <mergeCell ref="J5:K5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A3:B3"/>
    <mergeCell ref="A4:B4"/>
    <mergeCell ref="L6:M6"/>
    <mergeCell ref="A7:K7"/>
  </mergeCells>
  <phoneticPr fontId="5" type="noConversion"/>
  <printOptions horizontalCentered="1"/>
  <pageMargins left="0.7" right="0.7" top="0.75" bottom="0.75" header="0.5" footer="0.5"/>
  <pageSetup scale="62" fitToHeight="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rgb="FFFFFF00"/>
    <pageSetUpPr fitToPage="1"/>
  </sheetPr>
  <dimension ref="A1:AA63"/>
  <sheetViews>
    <sheetView topLeftCell="A7" zoomScale="90" zoomScaleNormal="90" zoomScaleSheetLayoutView="90" zoomScalePageLayoutView="75" workbookViewId="0">
      <selection activeCell="B43" sqref="B43"/>
    </sheetView>
  </sheetViews>
  <sheetFormatPr defaultColWidth="9.33203125" defaultRowHeight="13.2" x14ac:dyDescent="0.25"/>
  <cols>
    <col min="1" max="1" width="12.33203125" style="157" customWidth="1"/>
    <col min="2" max="2" width="45.44140625" style="157" customWidth="1"/>
    <col min="3" max="3" width="8.44140625" style="534" customWidth="1"/>
    <col min="4" max="4" width="5" style="363" customWidth="1"/>
    <col min="5" max="5" width="11.44140625" style="157" customWidth="1"/>
    <col min="6" max="6" width="12.5546875" style="157" customWidth="1"/>
    <col min="7" max="7" width="7" style="535" customWidth="1"/>
    <col min="8" max="8" width="11.44140625" style="157" customWidth="1"/>
    <col min="9" max="9" width="12.5546875" style="157" customWidth="1"/>
    <col min="10" max="10" width="16.33203125" style="157" customWidth="1"/>
    <col min="11" max="11" width="14.44140625" style="157" customWidth="1"/>
    <col min="12" max="12" width="21.6640625" style="159" customWidth="1"/>
    <col min="13" max="13" width="23.44140625" style="268" customWidth="1"/>
    <col min="14" max="14" width="15" style="157" customWidth="1"/>
    <col min="15" max="15" width="9.33203125" style="294" bestFit="1" customWidth="1"/>
    <col min="16" max="16" width="22.33203125" style="294" bestFit="1" customWidth="1"/>
    <col min="17" max="17" width="18.33203125" style="157" bestFit="1" customWidth="1"/>
    <col min="18" max="18" width="9.33203125" style="157"/>
    <col min="19" max="19" width="13.5546875" style="157" customWidth="1"/>
    <col min="20" max="20" width="9.33203125" style="157"/>
    <col min="21" max="21" width="13.44140625" style="157" customWidth="1"/>
    <col min="22" max="22" width="12.5546875" style="157" customWidth="1"/>
    <col min="23" max="23" width="29" style="157" bestFit="1" customWidth="1"/>
    <col min="24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4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x14ac:dyDescent="0.25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x14ac:dyDescent="0.25">
      <c r="A9" s="501"/>
      <c r="B9" s="200"/>
      <c r="C9" s="1029"/>
      <c r="D9" s="1029"/>
      <c r="E9" s="1026"/>
      <c r="F9" s="1026"/>
      <c r="G9" s="1030"/>
      <c r="H9" s="1026"/>
      <c r="I9" s="1026"/>
      <c r="J9" s="1026"/>
      <c r="K9" s="1027"/>
      <c r="L9" s="448"/>
      <c r="M9" s="447"/>
      <c r="N9" s="404"/>
      <c r="O9" s="405"/>
      <c r="P9" s="405"/>
    </row>
    <row r="10" spans="1:17" ht="13.8" thickBot="1" x14ac:dyDescent="0.3">
      <c r="A10" s="392"/>
      <c r="B10" s="502"/>
      <c r="C10" s="1029"/>
      <c r="D10" s="1029"/>
      <c r="E10" s="1026"/>
      <c r="F10" s="1026"/>
      <c r="G10" s="1030"/>
      <c r="H10" s="1026"/>
      <c r="I10" s="1026"/>
      <c r="J10" s="1026"/>
      <c r="K10" s="1027"/>
      <c r="L10" s="448"/>
      <c r="M10" s="447"/>
      <c r="N10" s="404"/>
      <c r="O10" s="405"/>
      <c r="P10" s="405"/>
    </row>
    <row r="11" spans="1:17" ht="14.4" thickTop="1" thickBot="1" x14ac:dyDescent="0.3">
      <c r="A11" s="344" t="s">
        <v>0</v>
      </c>
      <c r="B11" s="345" t="s">
        <v>1</v>
      </c>
      <c r="C11" s="1028" t="s">
        <v>646</v>
      </c>
      <c r="D11" s="1028"/>
      <c r="E11" s="1028"/>
      <c r="F11" s="1028"/>
      <c r="G11" s="1028" t="s">
        <v>34</v>
      </c>
      <c r="H11" s="1028"/>
      <c r="I11" s="1028"/>
      <c r="J11" s="346"/>
      <c r="K11" s="503"/>
      <c r="L11" s="1050" t="s">
        <v>771</v>
      </c>
      <c r="M11" s="1052" t="s">
        <v>772</v>
      </c>
      <c r="N11" s="1054" t="s">
        <v>773</v>
      </c>
      <c r="O11" s="1056"/>
      <c r="P11" s="1058"/>
      <c r="Q11" s="1048"/>
    </row>
    <row r="12" spans="1:17" ht="15.6" x14ac:dyDescent="0.3">
      <c r="A12" s="505" t="s">
        <v>157</v>
      </c>
      <c r="B12" s="505" t="s">
        <v>158</v>
      </c>
      <c r="C12" s="350" t="s">
        <v>19</v>
      </c>
      <c r="D12" s="351" t="s">
        <v>33</v>
      </c>
      <c r="E12" s="352" t="s">
        <v>35</v>
      </c>
      <c r="F12" s="353" t="s">
        <v>30</v>
      </c>
      <c r="G12" s="506" t="s">
        <v>14</v>
      </c>
      <c r="H12" s="352" t="s">
        <v>35</v>
      </c>
      <c r="I12" s="353" t="s">
        <v>30</v>
      </c>
      <c r="J12" s="355" t="s">
        <v>649</v>
      </c>
      <c r="K12" s="507" t="s">
        <v>38</v>
      </c>
      <c r="L12" s="1051"/>
      <c r="M12" s="1053"/>
      <c r="N12" s="1055"/>
      <c r="O12" s="1057"/>
      <c r="P12" s="1059"/>
      <c r="Q12" s="1049"/>
    </row>
    <row r="13" spans="1:17" x14ac:dyDescent="0.25">
      <c r="A13" s="361" t="s">
        <v>849</v>
      </c>
      <c r="B13" s="10" t="s">
        <v>848</v>
      </c>
      <c r="C13" s="362"/>
      <c r="E13" s="247"/>
      <c r="F13" s="364"/>
      <c r="G13" s="509"/>
      <c r="H13" s="366"/>
      <c r="I13" s="364"/>
      <c r="J13" s="367"/>
      <c r="K13" s="510">
        <f t="shared" ref="K13:K16" si="0">F13+I13+J13</f>
        <v>0</v>
      </c>
      <c r="L13" s="369"/>
      <c r="M13" s="370"/>
      <c r="N13" s="371"/>
      <c r="O13" s="372"/>
      <c r="P13" s="373"/>
      <c r="Q13" s="374"/>
    </row>
    <row r="14" spans="1:17" x14ac:dyDescent="0.25">
      <c r="A14" s="793" t="s">
        <v>850</v>
      </c>
      <c r="B14" s="794" t="s">
        <v>985</v>
      </c>
      <c r="C14" s="841"/>
      <c r="D14" s="796" t="s">
        <v>21</v>
      </c>
      <c r="E14" s="797"/>
      <c r="F14" s="798">
        <f t="shared" ref="F14:F16" si="1">C14*E14</f>
        <v>0</v>
      </c>
      <c r="G14" s="799"/>
      <c r="H14" s="800">
        <v>0</v>
      </c>
      <c r="I14" s="798">
        <f t="shared" ref="I14:I16" si="2">G14*H14</f>
        <v>0</v>
      </c>
      <c r="J14" s="801">
        <f>M15</f>
        <v>25200</v>
      </c>
      <c r="K14" s="802">
        <f t="shared" si="0"/>
        <v>25200</v>
      </c>
      <c r="L14" s="369" t="s">
        <v>1058</v>
      </c>
      <c r="M14" s="370"/>
      <c r="N14" s="371" t="s">
        <v>1033</v>
      </c>
      <c r="O14" s="372"/>
      <c r="P14" s="880"/>
      <c r="Q14" s="374"/>
    </row>
    <row r="15" spans="1:17" x14ac:dyDescent="0.25">
      <c r="A15" s="361" t="s">
        <v>851</v>
      </c>
      <c r="B15" s="5" t="s">
        <v>1057</v>
      </c>
      <c r="C15" s="842"/>
      <c r="D15" s="363" t="s">
        <v>21</v>
      </c>
      <c r="E15" s="247"/>
      <c r="F15" s="364">
        <f t="shared" si="1"/>
        <v>0</v>
      </c>
      <c r="G15" s="509"/>
      <c r="H15" s="366">
        <v>0</v>
      </c>
      <c r="I15" s="364">
        <f t="shared" si="2"/>
        <v>0</v>
      </c>
      <c r="J15" s="367"/>
      <c r="K15" s="510">
        <f t="shared" si="0"/>
        <v>0</v>
      </c>
      <c r="L15" s="369" t="s">
        <v>1094</v>
      </c>
      <c r="M15" s="370">
        <v>25200</v>
      </c>
      <c r="N15" s="371"/>
      <c r="O15" s="372"/>
      <c r="P15" s="955"/>
      <c r="Q15" s="374"/>
    </row>
    <row r="16" spans="1:17" x14ac:dyDescent="0.25">
      <c r="A16" s="361" t="s">
        <v>852</v>
      </c>
      <c r="B16" s="5" t="s">
        <v>778</v>
      </c>
      <c r="C16" s="362"/>
      <c r="D16" s="363" t="s">
        <v>742</v>
      </c>
      <c r="E16" s="247">
        <v>150</v>
      </c>
      <c r="F16" s="364">
        <f t="shared" si="1"/>
        <v>0</v>
      </c>
      <c r="G16" s="509"/>
      <c r="H16" s="366">
        <v>0</v>
      </c>
      <c r="I16" s="364">
        <f t="shared" si="2"/>
        <v>0</v>
      </c>
      <c r="J16" s="367"/>
      <c r="K16" s="510">
        <f t="shared" si="0"/>
        <v>0</v>
      </c>
      <c r="L16" s="369"/>
      <c r="M16" s="370"/>
      <c r="N16" s="371"/>
      <c r="O16" s="372"/>
      <c r="P16" s="373"/>
      <c r="Q16" s="374"/>
    </row>
    <row r="17" spans="1:27" ht="13.8" thickBot="1" x14ac:dyDescent="0.3">
      <c r="A17" s="378"/>
      <c r="B17" s="7"/>
      <c r="C17" s="379"/>
      <c r="E17" s="247"/>
      <c r="F17" s="364"/>
      <c r="G17" s="509"/>
      <c r="H17" s="366"/>
      <c r="I17" s="364"/>
      <c r="J17" s="367"/>
      <c r="K17" s="510"/>
      <c r="L17" s="369"/>
      <c r="M17" s="370"/>
      <c r="N17" s="371"/>
      <c r="O17" s="372"/>
      <c r="P17" s="373"/>
      <c r="Q17" s="374"/>
    </row>
    <row r="18" spans="1:27" ht="13.8" thickTop="1" x14ac:dyDescent="0.25">
      <c r="A18" s="378"/>
      <c r="B18" s="7"/>
      <c r="C18" s="379"/>
      <c r="E18" s="247"/>
      <c r="F18" s="364"/>
      <c r="G18" s="509"/>
      <c r="H18" s="366"/>
      <c r="I18" s="364"/>
      <c r="J18" s="380" t="s">
        <v>30</v>
      </c>
      <c r="K18" s="511">
        <f>SUM(K13:K17)</f>
        <v>25200</v>
      </c>
      <c r="L18" s="369"/>
      <c r="M18" s="370"/>
      <c r="N18" s="371"/>
      <c r="O18" s="372"/>
      <c r="P18" s="373"/>
      <c r="Q18" s="374"/>
    </row>
    <row r="19" spans="1:27" ht="13.8" thickBot="1" x14ac:dyDescent="0.3">
      <c r="A19" s="344" t="s">
        <v>0</v>
      </c>
      <c r="B19" s="345" t="s">
        <v>1</v>
      </c>
      <c r="C19" s="1028" t="s">
        <v>646</v>
      </c>
      <c r="D19" s="1028"/>
      <c r="E19" s="1028"/>
      <c r="F19" s="1028"/>
      <c r="G19" s="1028" t="s">
        <v>34</v>
      </c>
      <c r="H19" s="1028"/>
      <c r="I19" s="1028"/>
      <c r="J19" s="346"/>
      <c r="K19" s="503"/>
      <c r="L19" s="382"/>
      <c r="M19" s="383"/>
      <c r="N19" s="384"/>
      <c r="O19" s="372"/>
      <c r="P19" s="373"/>
      <c r="Q19" s="374"/>
    </row>
    <row r="20" spans="1:27" ht="16.2" thickBot="1" x14ac:dyDescent="0.35">
      <c r="A20" s="505" t="s">
        <v>160</v>
      </c>
      <c r="B20" s="505" t="s">
        <v>159</v>
      </c>
      <c r="C20" s="387" t="s">
        <v>19</v>
      </c>
      <c r="D20" s="388" t="s">
        <v>33</v>
      </c>
      <c r="E20" s="389" t="s">
        <v>35</v>
      </c>
      <c r="F20" s="390" t="s">
        <v>30</v>
      </c>
      <c r="G20" s="512" t="s">
        <v>14</v>
      </c>
      <c r="H20" s="389" t="s">
        <v>35</v>
      </c>
      <c r="I20" s="390" t="s">
        <v>30</v>
      </c>
      <c r="J20" s="355" t="s">
        <v>649</v>
      </c>
      <c r="K20" s="513" t="s">
        <v>38</v>
      </c>
      <c r="L20" s="393"/>
      <c r="M20" s="394"/>
      <c r="N20" s="395"/>
      <c r="O20" s="372"/>
      <c r="P20" s="373"/>
      <c r="Q20" s="374"/>
    </row>
    <row r="21" spans="1:27" x14ac:dyDescent="0.25">
      <c r="A21" s="396" t="s">
        <v>854</v>
      </c>
      <c r="B21" s="530" t="s">
        <v>848</v>
      </c>
      <c r="C21" s="362"/>
      <c r="E21" s="247"/>
      <c r="F21" s="364"/>
      <c r="G21" s="509"/>
      <c r="H21" s="366"/>
      <c r="I21" s="364"/>
      <c r="J21" s="367"/>
      <c r="K21" s="510">
        <f t="shared" ref="K21:K24" si="3">F21+I21+J21</f>
        <v>0</v>
      </c>
      <c r="L21" s="369"/>
      <c r="M21" s="370"/>
      <c r="N21" s="845"/>
      <c r="O21" s="372"/>
      <c r="P21" s="373"/>
      <c r="Q21" s="374"/>
      <c r="U21" s="1125"/>
      <c r="V21" s="1125"/>
      <c r="W21" s="158"/>
    </row>
    <row r="22" spans="1:27" ht="15.6" x14ac:dyDescent="0.3">
      <c r="A22" s="793" t="s">
        <v>853</v>
      </c>
      <c r="B22" s="794" t="s">
        <v>779</v>
      </c>
      <c r="C22" s="879"/>
      <c r="D22" s="796" t="s">
        <v>21</v>
      </c>
      <c r="E22" s="797"/>
      <c r="F22" s="798">
        <f t="shared" ref="F22:F24" si="4">C22*E22</f>
        <v>0</v>
      </c>
      <c r="G22" s="799"/>
      <c r="H22" s="800">
        <v>0</v>
      </c>
      <c r="I22" s="798">
        <f t="shared" ref="I22:I24" si="5">G22*H22</f>
        <v>0</v>
      </c>
      <c r="J22" s="801">
        <f>M23</f>
        <v>11950</v>
      </c>
      <c r="K22" s="802">
        <f t="shared" si="3"/>
        <v>11950</v>
      </c>
      <c r="L22" s="369" t="s">
        <v>1060</v>
      </c>
      <c r="M22" s="370">
        <v>13369</v>
      </c>
      <c r="N22" s="371" t="s">
        <v>1033</v>
      </c>
      <c r="O22" s="372"/>
      <c r="P22" s="373"/>
      <c r="Q22" s="374"/>
      <c r="U22" s="158"/>
      <c r="V22" s="158"/>
      <c r="W22" s="158"/>
      <c r="AA22" s="961"/>
    </row>
    <row r="23" spans="1:27" ht="13.8" x14ac:dyDescent="0.25">
      <c r="A23" s="361" t="s">
        <v>855</v>
      </c>
      <c r="B23" s="5" t="s">
        <v>780</v>
      </c>
      <c r="C23" s="362"/>
      <c r="D23" s="363" t="s">
        <v>21</v>
      </c>
      <c r="E23" s="247">
        <v>0</v>
      </c>
      <c r="F23" s="364">
        <f t="shared" ref="F23" si="6">C23*E23</f>
        <v>0</v>
      </c>
      <c r="G23" s="509"/>
      <c r="H23" s="366">
        <v>0</v>
      </c>
      <c r="I23" s="364">
        <f t="shared" ref="I23" si="7">G23*H23</f>
        <v>0</v>
      </c>
      <c r="J23" s="367"/>
      <c r="K23" s="510">
        <f t="shared" ref="K23" si="8">F23+I23+J23</f>
        <v>0</v>
      </c>
      <c r="L23" s="369" t="s">
        <v>1093</v>
      </c>
      <c r="M23" s="370">
        <v>11950</v>
      </c>
      <c r="N23" s="371"/>
      <c r="O23" s="372"/>
      <c r="P23" s="373"/>
      <c r="Q23" s="374"/>
      <c r="S23" s="430"/>
    </row>
    <row r="24" spans="1:27" ht="13.8" x14ac:dyDescent="0.25">
      <c r="A24" s="361"/>
      <c r="B24" s="5"/>
      <c r="C24" s="362"/>
      <c r="D24" s="363" t="s">
        <v>21</v>
      </c>
      <c r="E24" s="247">
        <v>0</v>
      </c>
      <c r="F24" s="364">
        <f t="shared" si="4"/>
        <v>0</v>
      </c>
      <c r="G24" s="509"/>
      <c r="H24" s="366">
        <v>0</v>
      </c>
      <c r="I24" s="364">
        <f t="shared" si="5"/>
        <v>0</v>
      </c>
      <c r="J24" s="367"/>
      <c r="K24" s="510">
        <f t="shared" si="3"/>
        <v>0</v>
      </c>
      <c r="L24" s="369"/>
      <c r="M24" s="370"/>
      <c r="N24" s="371"/>
      <c r="O24" s="372"/>
      <c r="P24" s="373"/>
      <c r="Q24" s="374"/>
      <c r="S24" s="430"/>
    </row>
    <row r="25" spans="1:27" ht="14.4" thickBot="1" x14ac:dyDescent="0.3">
      <c r="A25" s="361"/>
      <c r="B25" s="5"/>
      <c r="C25" s="379"/>
      <c r="E25" s="247"/>
      <c r="F25" s="364"/>
      <c r="G25" s="509"/>
      <c r="H25" s="366"/>
      <c r="I25" s="364"/>
      <c r="J25" s="367"/>
      <c r="K25" s="514"/>
      <c r="L25" s="369"/>
      <c r="M25" s="370"/>
      <c r="N25" s="371"/>
      <c r="O25" s="372"/>
      <c r="P25" s="373"/>
      <c r="Q25" s="374"/>
      <c r="S25" s="430"/>
    </row>
    <row r="26" spans="1:27" ht="14.4" thickTop="1" x14ac:dyDescent="0.25">
      <c r="A26" s="378"/>
      <c r="B26" s="5"/>
      <c r="C26" s="379"/>
      <c r="E26" s="247"/>
      <c r="F26" s="364"/>
      <c r="G26" s="509"/>
      <c r="H26" s="366"/>
      <c r="I26" s="364"/>
      <c r="J26" s="380" t="s">
        <v>30</v>
      </c>
      <c r="K26" s="511">
        <f>SUM(K21:K25)</f>
        <v>11950</v>
      </c>
      <c r="L26" s="369"/>
      <c r="M26" s="370"/>
      <c r="N26" s="371"/>
      <c r="O26" s="372"/>
      <c r="P26" s="373"/>
      <c r="Q26" s="374"/>
      <c r="S26" s="430"/>
    </row>
    <row r="27" spans="1:27" ht="14.4" thickBot="1" x14ac:dyDescent="0.3">
      <c r="A27" s="344" t="s">
        <v>0</v>
      </c>
      <c r="B27" s="345" t="s">
        <v>1</v>
      </c>
      <c r="C27" s="1028" t="s">
        <v>646</v>
      </c>
      <c r="D27" s="1028"/>
      <c r="E27" s="1028"/>
      <c r="F27" s="1028"/>
      <c r="G27" s="1028" t="s">
        <v>34</v>
      </c>
      <c r="H27" s="1028"/>
      <c r="I27" s="1028"/>
      <c r="J27" s="346"/>
      <c r="K27" s="503"/>
      <c r="L27" s="382"/>
      <c r="M27" s="383"/>
      <c r="N27" s="384"/>
      <c r="O27" s="372"/>
      <c r="P27" s="373"/>
      <c r="Q27" s="374"/>
      <c r="S27" s="430"/>
      <c r="U27" s="535"/>
      <c r="W27" s="962"/>
    </row>
    <row r="28" spans="1:27" ht="16.2" thickBot="1" x14ac:dyDescent="0.35">
      <c r="A28" s="505" t="s">
        <v>161</v>
      </c>
      <c r="B28" s="505" t="s">
        <v>165</v>
      </c>
      <c r="C28" s="387" t="s">
        <v>19</v>
      </c>
      <c r="D28" s="388" t="s">
        <v>33</v>
      </c>
      <c r="E28" s="389" t="s">
        <v>35</v>
      </c>
      <c r="F28" s="390" t="s">
        <v>30</v>
      </c>
      <c r="G28" s="512" t="s">
        <v>14</v>
      </c>
      <c r="H28" s="389" t="s">
        <v>35</v>
      </c>
      <c r="I28" s="390" t="s">
        <v>30</v>
      </c>
      <c r="J28" s="355" t="s">
        <v>649</v>
      </c>
      <c r="K28" s="513" t="s">
        <v>38</v>
      </c>
      <c r="L28" s="393"/>
      <c r="M28" s="399"/>
      <c r="N28" s="400"/>
      <c r="O28" s="401"/>
      <c r="P28" s="402"/>
      <c r="Q28" s="374"/>
      <c r="S28" s="430"/>
    </row>
    <row r="29" spans="1:27" x14ac:dyDescent="0.25">
      <c r="A29" s="837" t="s">
        <v>856</v>
      </c>
      <c r="B29" s="838" t="s">
        <v>1074</v>
      </c>
      <c r="C29" s="841">
        <f>ROUNDUP(2.71*1.1,0)</f>
        <v>3</v>
      </c>
      <c r="D29" s="796" t="s">
        <v>802</v>
      </c>
      <c r="E29" s="797">
        <f>M30</f>
        <v>178.74</v>
      </c>
      <c r="F29" s="798">
        <f t="shared" ref="F29:F36" si="9">C29*E29</f>
        <v>536.22</v>
      </c>
      <c r="G29" s="799"/>
      <c r="H29" s="800">
        <v>0</v>
      </c>
      <c r="I29" s="798">
        <f t="shared" ref="I29:I36" si="10">G29*H29</f>
        <v>0</v>
      </c>
      <c r="J29" s="801"/>
      <c r="K29" s="802">
        <f t="shared" ref="K29:K36" si="11">F29+I29+J29</f>
        <v>536.22</v>
      </c>
      <c r="L29" s="843"/>
      <c r="M29" s="844" t="s">
        <v>1061</v>
      </c>
      <c r="N29" s="882"/>
      <c r="O29" s="157"/>
      <c r="P29" s="373"/>
      <c r="Q29" s="374"/>
    </row>
    <row r="30" spans="1:27" x14ac:dyDescent="0.25">
      <c r="A30" s="793" t="s">
        <v>857</v>
      </c>
      <c r="B30" s="794" t="s">
        <v>1071</v>
      </c>
      <c r="C30" s="841">
        <f>ROUNDUP(4.23*1.1,0)</f>
        <v>5</v>
      </c>
      <c r="D30" s="796" t="s">
        <v>802</v>
      </c>
      <c r="E30" s="797">
        <f>M32</f>
        <v>171.84</v>
      </c>
      <c r="F30" s="798">
        <f t="shared" si="9"/>
        <v>859.2</v>
      </c>
      <c r="G30" s="799"/>
      <c r="H30" s="800">
        <v>0</v>
      </c>
      <c r="I30" s="798">
        <f t="shared" si="10"/>
        <v>0</v>
      </c>
      <c r="J30" s="801"/>
      <c r="K30" s="802">
        <f t="shared" si="11"/>
        <v>859.2</v>
      </c>
      <c r="L30" s="369" t="s">
        <v>1072</v>
      </c>
      <c r="M30" s="247">
        <v>178.74</v>
      </c>
      <c r="N30" s="845"/>
      <c r="O30" s="157"/>
      <c r="P30" s="881"/>
      <c r="Q30" s="374"/>
      <c r="S30" s="311"/>
    </row>
    <row r="31" spans="1:27" x14ac:dyDescent="0.25">
      <c r="A31" s="793" t="s">
        <v>858</v>
      </c>
      <c r="B31" s="794" t="s">
        <v>1075</v>
      </c>
      <c r="C31" s="841">
        <f>ROUNDUP((14.6+2.48)*1.1,0)</f>
        <v>19</v>
      </c>
      <c r="D31" s="796" t="s">
        <v>802</v>
      </c>
      <c r="E31" s="797">
        <f>M30</f>
        <v>178.74</v>
      </c>
      <c r="F31" s="798">
        <f t="shared" si="9"/>
        <v>3396.0600000000004</v>
      </c>
      <c r="G31" s="799"/>
      <c r="H31" s="800">
        <v>0</v>
      </c>
      <c r="I31" s="798">
        <f t="shared" si="10"/>
        <v>0</v>
      </c>
      <c r="J31" s="801"/>
      <c r="K31" s="802">
        <f t="shared" si="11"/>
        <v>3396.0600000000004</v>
      </c>
      <c r="L31" s="369" t="s">
        <v>1073</v>
      </c>
      <c r="M31" s="247">
        <v>206.5</v>
      </c>
      <c r="N31" s="845"/>
      <c r="O31" s="157"/>
      <c r="P31" s="881"/>
      <c r="Q31" s="374"/>
    </row>
    <row r="32" spans="1:27" x14ac:dyDescent="0.25">
      <c r="A32" s="793"/>
      <c r="B32" s="794" t="s">
        <v>1077</v>
      </c>
      <c r="C32" s="841">
        <f>ROUNDUP(1.9*1.1,0)</f>
        <v>3</v>
      </c>
      <c r="D32" s="796" t="s">
        <v>802</v>
      </c>
      <c r="E32" s="797">
        <f>M30</f>
        <v>178.74</v>
      </c>
      <c r="F32" s="798">
        <f t="shared" ref="F32" si="12">C32*E32</f>
        <v>536.22</v>
      </c>
      <c r="G32" s="799"/>
      <c r="H32" s="800">
        <v>0</v>
      </c>
      <c r="I32" s="798">
        <f t="shared" ref="I32" si="13">G32*H32</f>
        <v>0</v>
      </c>
      <c r="J32" s="801"/>
      <c r="K32" s="802">
        <f t="shared" ref="K32" si="14">F32+I32+J32</f>
        <v>536.22</v>
      </c>
      <c r="L32" s="369" t="s">
        <v>1076</v>
      </c>
      <c r="M32" s="268">
        <v>171.84</v>
      </c>
      <c r="N32" s="882"/>
      <c r="O32" s="157"/>
      <c r="P32" s="373"/>
      <c r="Q32" s="374"/>
    </row>
    <row r="33" spans="1:25" x14ac:dyDescent="0.25">
      <c r="A33" s="361" t="s">
        <v>859</v>
      </c>
      <c r="B33" s="5" t="s">
        <v>860</v>
      </c>
      <c r="C33" s="842"/>
      <c r="D33" s="363" t="s">
        <v>802</v>
      </c>
      <c r="E33" s="247">
        <v>0</v>
      </c>
      <c r="F33" s="364">
        <f t="shared" si="9"/>
        <v>0</v>
      </c>
      <c r="G33" s="509"/>
      <c r="H33" s="366">
        <v>0</v>
      </c>
      <c r="I33" s="364">
        <f t="shared" si="10"/>
        <v>0</v>
      </c>
      <c r="J33" s="367"/>
      <c r="K33" s="510">
        <f t="shared" si="11"/>
        <v>0</v>
      </c>
      <c r="L33" s="369" t="s">
        <v>968</v>
      </c>
      <c r="M33" s="370">
        <v>340</v>
      </c>
      <c r="N33" s="845" t="s">
        <v>970</v>
      </c>
      <c r="O33" s="157"/>
      <c r="P33" s="402"/>
      <c r="Q33" s="374"/>
    </row>
    <row r="34" spans="1:25" ht="15.6" x14ac:dyDescent="0.3">
      <c r="A34" s="361"/>
      <c r="B34" s="5"/>
      <c r="C34" s="362"/>
      <c r="D34" s="363" t="s">
        <v>802</v>
      </c>
      <c r="E34" s="247">
        <v>0</v>
      </c>
      <c r="F34" s="364">
        <f t="shared" si="9"/>
        <v>0</v>
      </c>
      <c r="G34" s="509"/>
      <c r="H34" s="366">
        <v>0</v>
      </c>
      <c r="I34" s="364">
        <f t="shared" si="10"/>
        <v>0</v>
      </c>
      <c r="J34" s="367"/>
      <c r="K34" s="510">
        <f t="shared" si="11"/>
        <v>0</v>
      </c>
      <c r="L34" s="369" t="s">
        <v>969</v>
      </c>
      <c r="M34" s="370">
        <v>3</v>
      </c>
      <c r="N34" s="845"/>
      <c r="O34" s="157"/>
      <c r="P34" s="402"/>
      <c r="Q34" s="374"/>
      <c r="W34" s="961"/>
      <c r="X34" s="961"/>
      <c r="Y34" s="963"/>
    </row>
    <row r="35" spans="1:25" ht="15.6" x14ac:dyDescent="0.3">
      <c r="A35" s="793" t="s">
        <v>966</v>
      </c>
      <c r="B35" s="794" t="s">
        <v>968</v>
      </c>
      <c r="C35" s="841">
        <v>8</v>
      </c>
      <c r="D35" s="796" t="s">
        <v>967</v>
      </c>
      <c r="E35" s="797">
        <v>270</v>
      </c>
      <c r="F35" s="798">
        <f t="shared" si="9"/>
        <v>2160</v>
      </c>
      <c r="G35" s="799"/>
      <c r="H35" s="800">
        <v>0</v>
      </c>
      <c r="I35" s="798">
        <f t="shared" si="10"/>
        <v>0</v>
      </c>
      <c r="J35" s="801"/>
      <c r="K35" s="802">
        <f t="shared" si="11"/>
        <v>2160</v>
      </c>
      <c r="L35" s="369"/>
      <c r="M35" s="370"/>
      <c r="N35" s="845"/>
      <c r="O35" s="157"/>
      <c r="P35" s="402"/>
      <c r="Q35" s="374"/>
      <c r="W35" s="961"/>
      <c r="X35" s="961"/>
      <c r="Y35" s="963"/>
    </row>
    <row r="36" spans="1:25" ht="16.2" thickBot="1" x14ac:dyDescent="0.35">
      <c r="A36" s="828" t="s">
        <v>859</v>
      </c>
      <c r="B36" s="840" t="s">
        <v>969</v>
      </c>
      <c r="C36" s="841">
        <f>SUM(C29:C34)</f>
        <v>30</v>
      </c>
      <c r="D36" s="796" t="s">
        <v>802</v>
      </c>
      <c r="E36" s="797">
        <v>3</v>
      </c>
      <c r="F36" s="798">
        <f t="shared" si="9"/>
        <v>90</v>
      </c>
      <c r="G36" s="799"/>
      <c r="H36" s="800">
        <v>0</v>
      </c>
      <c r="I36" s="798">
        <f t="shared" si="10"/>
        <v>0</v>
      </c>
      <c r="J36" s="801"/>
      <c r="K36" s="802">
        <f t="shared" si="11"/>
        <v>90</v>
      </c>
      <c r="L36" s="369"/>
      <c r="M36" s="370"/>
      <c r="N36" s="371"/>
      <c r="O36" s="157"/>
      <c r="P36" s="402"/>
      <c r="Q36" s="374"/>
      <c r="W36" s="961"/>
      <c r="X36" s="961"/>
      <c r="Y36" s="963"/>
    </row>
    <row r="37" spans="1:25" ht="16.2" thickTop="1" x14ac:dyDescent="0.3">
      <c r="A37" s="378"/>
      <c r="B37" s="403"/>
      <c r="C37" s="379"/>
      <c r="E37" s="247"/>
      <c r="F37" s="364"/>
      <c r="G37" s="509"/>
      <c r="H37" s="366"/>
      <c r="I37" s="364"/>
      <c r="J37" s="380" t="s">
        <v>30</v>
      </c>
      <c r="K37" s="511">
        <f>SUM(K29:K36)</f>
        <v>7577.7000000000007</v>
      </c>
      <c r="L37" s="369"/>
      <c r="M37" s="249"/>
      <c r="N37" s="371"/>
      <c r="O37" s="372"/>
      <c r="P37" s="373"/>
      <c r="Q37" s="374"/>
      <c r="W37" s="961"/>
      <c r="X37" s="961"/>
      <c r="Y37" s="963"/>
    </row>
    <row r="38" spans="1:25" ht="16.2" thickBot="1" x14ac:dyDescent="0.35">
      <c r="A38" s="344" t="s">
        <v>0</v>
      </c>
      <c r="B38" s="345" t="s">
        <v>1</v>
      </c>
      <c r="C38" s="1028" t="s">
        <v>646</v>
      </c>
      <c r="D38" s="1028"/>
      <c r="E38" s="1028"/>
      <c r="F38" s="1028"/>
      <c r="G38" s="1028" t="s">
        <v>34</v>
      </c>
      <c r="H38" s="1028"/>
      <c r="I38" s="1028"/>
      <c r="J38" s="346"/>
      <c r="K38" s="503"/>
      <c r="L38" s="382"/>
      <c r="M38" s="346"/>
      <c r="N38" s="384"/>
      <c r="O38" s="372"/>
      <c r="P38" s="373"/>
      <c r="Q38" s="374"/>
      <c r="W38" s="961"/>
      <c r="Y38" s="963"/>
    </row>
    <row r="39" spans="1:25" ht="16.2" thickBot="1" x14ac:dyDescent="0.35">
      <c r="A39" s="505" t="s">
        <v>162</v>
      </c>
      <c r="B39" s="505" t="s">
        <v>166</v>
      </c>
      <c r="C39" s="387" t="s">
        <v>19</v>
      </c>
      <c r="D39" s="388" t="s">
        <v>33</v>
      </c>
      <c r="E39" s="389" t="s">
        <v>35</v>
      </c>
      <c r="F39" s="390" t="s">
        <v>30</v>
      </c>
      <c r="G39" s="512" t="s">
        <v>14</v>
      </c>
      <c r="H39" s="389" t="s">
        <v>35</v>
      </c>
      <c r="I39" s="390" t="s">
        <v>30</v>
      </c>
      <c r="J39" s="355" t="s">
        <v>649</v>
      </c>
      <c r="K39" s="513" t="s">
        <v>38</v>
      </c>
      <c r="L39" s="393"/>
      <c r="M39" s="399"/>
      <c r="N39" s="395"/>
      <c r="O39" s="372"/>
      <c r="P39" s="402"/>
      <c r="Q39" s="374"/>
    </row>
    <row r="40" spans="1:25" x14ac:dyDescent="0.25">
      <c r="A40" s="837"/>
      <c r="B40" s="838" t="s">
        <v>971</v>
      </c>
      <c r="C40" s="839">
        <v>588</v>
      </c>
      <c r="D40" s="796" t="s">
        <v>21</v>
      </c>
      <c r="E40" s="797">
        <v>3.25</v>
      </c>
      <c r="F40" s="798">
        <f t="shared" ref="F40" si="15">C40*E40</f>
        <v>1911</v>
      </c>
      <c r="G40" s="799"/>
      <c r="H40" s="800">
        <v>0</v>
      </c>
      <c r="I40" s="798">
        <f t="shared" ref="I40" si="16">G40*H40</f>
        <v>0</v>
      </c>
      <c r="J40" s="801"/>
      <c r="K40" s="802">
        <f t="shared" ref="K40" si="17">F40+I40+J40</f>
        <v>1911</v>
      </c>
      <c r="L40" s="369"/>
      <c r="M40" s="249"/>
      <c r="N40" s="371"/>
      <c r="O40" s="372"/>
      <c r="P40" s="373"/>
      <c r="Q40" s="374"/>
    </row>
    <row r="41" spans="1:25" x14ac:dyDescent="0.25">
      <c r="A41" s="361"/>
      <c r="B41" s="5"/>
      <c r="C41" s="842"/>
      <c r="E41" s="247"/>
      <c r="F41" s="364"/>
      <c r="G41" s="509"/>
      <c r="H41" s="366"/>
      <c r="I41" s="364"/>
      <c r="J41" s="367"/>
      <c r="K41" s="510"/>
      <c r="L41" s="369"/>
      <c r="M41" s="884"/>
      <c r="N41" s="1000">
        <f>K37+K44</f>
        <v>9488.7000000000007</v>
      </c>
      <c r="O41" s="372"/>
      <c r="P41" s="373"/>
      <c r="Q41" s="374"/>
    </row>
    <row r="42" spans="1:25" x14ac:dyDescent="0.25">
      <c r="A42" s="361"/>
      <c r="B42" s="5"/>
      <c r="C42" s="842"/>
      <c r="E42" s="247"/>
      <c r="F42" s="364"/>
      <c r="G42" s="509"/>
      <c r="H42" s="366"/>
      <c r="I42" s="364"/>
      <c r="J42" s="367"/>
      <c r="K42" s="510"/>
      <c r="L42" s="369"/>
      <c r="M42" s="249"/>
      <c r="N42" s="371"/>
      <c r="O42" s="372"/>
      <c r="P42" s="373"/>
      <c r="Q42" s="374"/>
    </row>
    <row r="43" spans="1:25" ht="13.8" thickBot="1" x14ac:dyDescent="0.3">
      <c r="A43" s="378"/>
      <c r="B43" s="403"/>
      <c r="C43" s="379"/>
      <c r="E43" s="247"/>
      <c r="F43" s="364"/>
      <c r="G43" s="509"/>
      <c r="H43" s="366"/>
      <c r="I43" s="364"/>
      <c r="J43" s="367"/>
      <c r="K43" s="514"/>
      <c r="L43" s="369"/>
      <c r="M43" s="249"/>
      <c r="N43" s="371"/>
      <c r="O43" s="372"/>
      <c r="P43" s="373"/>
      <c r="Q43" s="374"/>
    </row>
    <row r="44" spans="1:25" ht="13.8" thickTop="1" x14ac:dyDescent="0.25">
      <c r="A44" s="378"/>
      <c r="B44" s="403"/>
      <c r="C44" s="379"/>
      <c r="E44" s="247"/>
      <c r="F44" s="364"/>
      <c r="G44" s="509"/>
      <c r="H44" s="366"/>
      <c r="I44" s="364"/>
      <c r="J44" s="380" t="s">
        <v>30</v>
      </c>
      <c r="K44" s="511">
        <f>SUM(K40:K43)</f>
        <v>1911</v>
      </c>
      <c r="L44" s="369"/>
      <c r="M44" s="249"/>
      <c r="N44" s="409"/>
      <c r="O44" s="417"/>
      <c r="P44" s="418"/>
      <c r="Q44" s="374"/>
    </row>
    <row r="45" spans="1:25" ht="13.8" thickBot="1" x14ac:dyDescent="0.3">
      <c r="A45" s="344" t="s">
        <v>0</v>
      </c>
      <c r="B45" s="345" t="s">
        <v>1</v>
      </c>
      <c r="C45" s="1028" t="s">
        <v>646</v>
      </c>
      <c r="D45" s="1028"/>
      <c r="E45" s="1028"/>
      <c r="F45" s="1028"/>
      <c r="G45" s="1028" t="s">
        <v>34</v>
      </c>
      <c r="H45" s="1028"/>
      <c r="I45" s="1028"/>
      <c r="J45" s="346"/>
      <c r="K45" s="503"/>
      <c r="L45" s="382"/>
      <c r="M45" s="346"/>
      <c r="N45" s="419"/>
      <c r="O45" s="417"/>
      <c r="P45" s="418"/>
      <c r="Q45" s="374"/>
    </row>
    <row r="46" spans="1:25" ht="16.2" thickBot="1" x14ac:dyDescent="0.35">
      <c r="A46" s="505" t="s">
        <v>163</v>
      </c>
      <c r="B46" s="505" t="s">
        <v>167</v>
      </c>
      <c r="C46" s="387" t="s">
        <v>19</v>
      </c>
      <c r="D46" s="388" t="s">
        <v>33</v>
      </c>
      <c r="E46" s="389" t="s">
        <v>35</v>
      </c>
      <c r="F46" s="390" t="s">
        <v>30</v>
      </c>
      <c r="G46" s="512" t="s">
        <v>14</v>
      </c>
      <c r="H46" s="389" t="s">
        <v>35</v>
      </c>
      <c r="I46" s="390" t="s">
        <v>30</v>
      </c>
      <c r="J46" s="355" t="s">
        <v>649</v>
      </c>
      <c r="K46" s="513" t="s">
        <v>38</v>
      </c>
      <c r="L46" s="393"/>
      <c r="M46" s="399"/>
      <c r="N46" s="400"/>
      <c r="O46" s="401"/>
      <c r="P46" s="402"/>
      <c r="Q46" s="374"/>
    </row>
    <row r="47" spans="1:25" x14ac:dyDescent="0.25">
      <c r="A47" s="396"/>
      <c r="B47" s="397"/>
      <c r="C47" s="362"/>
      <c r="D47" s="363" t="s">
        <v>21</v>
      </c>
      <c r="E47" s="247">
        <v>0</v>
      </c>
      <c r="F47" s="364">
        <f t="shared" ref="F47" si="18">C47*E47</f>
        <v>0</v>
      </c>
      <c r="G47" s="509"/>
      <c r="H47" s="366">
        <v>0</v>
      </c>
      <c r="I47" s="364">
        <f t="shared" ref="I47" si="19">G47*H47</f>
        <v>0</v>
      </c>
      <c r="J47" s="367"/>
      <c r="K47" s="510">
        <f t="shared" ref="K47" si="20">F47+I47+J47</f>
        <v>0</v>
      </c>
      <c r="L47" s="369"/>
      <c r="M47" s="249"/>
      <c r="N47" s="371"/>
      <c r="O47" s="372"/>
      <c r="P47" s="373"/>
      <c r="Q47" s="374"/>
    </row>
    <row r="48" spans="1:25" ht="13.8" thickBot="1" x14ac:dyDescent="0.3">
      <c r="A48" s="378"/>
      <c r="B48" s="5"/>
      <c r="C48" s="379"/>
      <c r="E48" s="247"/>
      <c r="F48" s="364"/>
      <c r="G48" s="509"/>
      <c r="H48" s="366"/>
      <c r="I48" s="364"/>
      <c r="J48" s="367"/>
      <c r="K48" s="514"/>
      <c r="L48" s="369"/>
      <c r="M48" s="370"/>
      <c r="N48" s="371"/>
      <c r="O48" s="372"/>
      <c r="P48" s="373"/>
      <c r="Q48" s="374"/>
    </row>
    <row r="49" spans="1:17" ht="13.8" thickTop="1" x14ac:dyDescent="0.25">
      <c r="A49" s="378"/>
      <c r="B49" s="403"/>
      <c r="C49" s="379"/>
      <c r="E49" s="247"/>
      <c r="F49" s="364"/>
      <c r="G49" s="509"/>
      <c r="H49" s="366"/>
      <c r="I49" s="364"/>
      <c r="J49" s="380" t="s">
        <v>30</v>
      </c>
      <c r="K49" s="511">
        <f>SUM(K47:K48)</f>
        <v>0</v>
      </c>
      <c r="L49" s="369"/>
      <c r="M49" s="370"/>
      <c r="N49" s="371"/>
      <c r="O49" s="372"/>
      <c r="P49" s="373"/>
      <c r="Q49" s="374"/>
    </row>
    <row r="50" spans="1:17" ht="13.8" thickBot="1" x14ac:dyDescent="0.3">
      <c r="A50" s="344" t="s">
        <v>0</v>
      </c>
      <c r="B50" s="345" t="s">
        <v>1</v>
      </c>
      <c r="C50" s="1028" t="s">
        <v>646</v>
      </c>
      <c r="D50" s="1028"/>
      <c r="E50" s="1028"/>
      <c r="F50" s="1028"/>
      <c r="G50" s="1028" t="s">
        <v>34</v>
      </c>
      <c r="H50" s="1028"/>
      <c r="I50" s="1028"/>
      <c r="J50" s="346"/>
      <c r="K50" s="503"/>
      <c r="L50" s="382"/>
      <c r="M50" s="383"/>
      <c r="N50" s="384"/>
      <c r="O50" s="372"/>
      <c r="P50" s="373"/>
      <c r="Q50" s="374"/>
    </row>
    <row r="51" spans="1:17" ht="15.6" x14ac:dyDescent="0.3">
      <c r="A51" s="505" t="s">
        <v>164</v>
      </c>
      <c r="B51" s="505" t="s">
        <v>891</v>
      </c>
      <c r="C51" s="387" t="s">
        <v>19</v>
      </c>
      <c r="D51" s="388" t="s">
        <v>33</v>
      </c>
      <c r="E51" s="389" t="s">
        <v>35</v>
      </c>
      <c r="F51" s="390" t="s">
        <v>30</v>
      </c>
      <c r="G51" s="512" t="s">
        <v>14</v>
      </c>
      <c r="H51" s="389" t="s">
        <v>35</v>
      </c>
      <c r="I51" s="390" t="s">
        <v>30</v>
      </c>
      <c r="J51" s="355" t="s">
        <v>649</v>
      </c>
      <c r="K51" s="513" t="s">
        <v>38</v>
      </c>
      <c r="L51" s="393"/>
      <c r="M51" s="394"/>
      <c r="N51" s="395"/>
      <c r="O51" s="372"/>
      <c r="P51" s="373"/>
      <c r="Q51" s="374"/>
    </row>
    <row r="52" spans="1:17" x14ac:dyDescent="0.25">
      <c r="A52" s="846" t="s">
        <v>892</v>
      </c>
      <c r="B52" s="794" t="s">
        <v>987</v>
      </c>
      <c r="C52" s="795">
        <f>ROUNDUP((495)/18,0)</f>
        <v>28</v>
      </c>
      <c r="D52" s="796" t="s">
        <v>847</v>
      </c>
      <c r="E52" s="797">
        <v>28</v>
      </c>
      <c r="F52" s="798">
        <f>C52*E52</f>
        <v>784</v>
      </c>
      <c r="G52" s="799">
        <f>C52/5</f>
        <v>5.6</v>
      </c>
      <c r="H52" s="800">
        <v>65</v>
      </c>
      <c r="I52" s="798">
        <f>G52*H52</f>
        <v>364</v>
      </c>
      <c r="J52" s="801"/>
      <c r="K52" s="802">
        <f>F52+I52+J52</f>
        <v>1148</v>
      </c>
      <c r="L52" s="369"/>
      <c r="M52" s="370"/>
      <c r="N52" s="371"/>
      <c r="O52" s="372"/>
      <c r="P52" s="373"/>
      <c r="Q52" s="374"/>
    </row>
    <row r="53" spans="1:17" x14ac:dyDescent="0.25">
      <c r="A53" s="846" t="s">
        <v>893</v>
      </c>
      <c r="B53" s="794" t="s">
        <v>988</v>
      </c>
      <c r="C53" s="795">
        <f>ROUNDUP((26.65*3.28^2)/18,0)</f>
        <v>16</v>
      </c>
      <c r="D53" s="796" t="s">
        <v>847</v>
      </c>
      <c r="E53" s="797">
        <v>28</v>
      </c>
      <c r="F53" s="798">
        <f>C53*E53</f>
        <v>448</v>
      </c>
      <c r="G53" s="799">
        <f>C53/5</f>
        <v>3.2</v>
      </c>
      <c r="H53" s="800">
        <v>65</v>
      </c>
      <c r="I53" s="798">
        <f>G53*H53</f>
        <v>208</v>
      </c>
      <c r="J53" s="801"/>
      <c r="K53" s="802">
        <f>F53+I53+J53</f>
        <v>656</v>
      </c>
      <c r="L53" s="369"/>
      <c r="M53" s="370"/>
      <c r="N53" s="371"/>
      <c r="O53" s="372"/>
      <c r="P53" s="373"/>
      <c r="Q53" s="374"/>
    </row>
    <row r="54" spans="1:17" x14ac:dyDescent="0.25">
      <c r="A54" s="846" t="s">
        <v>986</v>
      </c>
      <c r="B54" s="794" t="s">
        <v>56</v>
      </c>
      <c r="C54" s="795">
        <v>2</v>
      </c>
      <c r="D54" s="796" t="s">
        <v>846</v>
      </c>
      <c r="E54" s="797">
        <v>131</v>
      </c>
      <c r="F54" s="798">
        <f>C54*E54</f>
        <v>262</v>
      </c>
      <c r="G54" s="799">
        <f>C54*5</f>
        <v>10</v>
      </c>
      <c r="H54" s="800">
        <v>65</v>
      </c>
      <c r="I54" s="798">
        <f>G54*H54</f>
        <v>650</v>
      </c>
      <c r="J54" s="801"/>
      <c r="K54" s="802">
        <f>F54+I54+J54</f>
        <v>912</v>
      </c>
      <c r="L54" s="369"/>
      <c r="M54" s="370"/>
      <c r="N54" s="371"/>
      <c r="O54" s="372"/>
      <c r="P54" s="373"/>
      <c r="Q54" s="374"/>
    </row>
    <row r="55" spans="1:17" x14ac:dyDescent="0.25">
      <c r="A55" s="846" t="s">
        <v>986</v>
      </c>
      <c r="B55" s="794" t="s">
        <v>1148</v>
      </c>
      <c r="C55" s="795">
        <v>1</v>
      </c>
      <c r="D55" s="796" t="s">
        <v>846</v>
      </c>
      <c r="E55" s="797">
        <v>158</v>
      </c>
      <c r="F55" s="798">
        <f>C55*E55</f>
        <v>158</v>
      </c>
      <c r="G55" s="799">
        <f>C55*5</f>
        <v>5</v>
      </c>
      <c r="H55" s="800">
        <v>65</v>
      </c>
      <c r="I55" s="798">
        <f>G55*H55</f>
        <v>325</v>
      </c>
      <c r="J55" s="801"/>
      <c r="K55" s="802">
        <f>F55+I55+J55</f>
        <v>483</v>
      </c>
      <c r="L55" s="369"/>
      <c r="M55" s="370"/>
      <c r="N55" s="371"/>
      <c r="O55" s="372"/>
      <c r="P55" s="373"/>
      <c r="Q55" s="374"/>
    </row>
    <row r="56" spans="1:17" x14ac:dyDescent="0.25">
      <c r="A56" s="793"/>
      <c r="B56" s="794" t="s">
        <v>1132</v>
      </c>
      <c r="C56" s="795">
        <v>1</v>
      </c>
      <c r="D56" s="796" t="s">
        <v>846</v>
      </c>
      <c r="E56" s="797">
        <v>162</v>
      </c>
      <c r="F56" s="798">
        <f>C56*E56</f>
        <v>162</v>
      </c>
      <c r="G56" s="799">
        <v>5</v>
      </c>
      <c r="H56" s="800">
        <v>65</v>
      </c>
      <c r="I56" s="798">
        <f>G56*H56</f>
        <v>325</v>
      </c>
      <c r="J56" s="801"/>
      <c r="K56" s="802">
        <f>F56+I56+J56</f>
        <v>487</v>
      </c>
      <c r="L56" s="369"/>
      <c r="M56" s="370"/>
      <c r="N56" s="371"/>
      <c r="O56" s="372"/>
      <c r="P56" s="373"/>
      <c r="Q56" s="374"/>
    </row>
    <row r="57" spans="1:17" ht="13.8" thickBot="1" x14ac:dyDescent="0.3">
      <c r="A57" s="378"/>
      <c r="B57" s="5"/>
      <c r="C57" s="379"/>
      <c r="E57" s="247"/>
      <c r="F57" s="364"/>
      <c r="G57" s="509"/>
      <c r="H57" s="366"/>
      <c r="I57" s="364"/>
      <c r="J57" s="367"/>
      <c r="K57" s="514"/>
      <c r="L57" s="369"/>
      <c r="M57" s="370"/>
      <c r="N57" s="371"/>
      <c r="O57" s="372"/>
      <c r="P57" s="373"/>
      <c r="Q57" s="374"/>
    </row>
    <row r="58" spans="1:17" ht="14.4" thickTop="1" thickBot="1" x14ac:dyDescent="0.3">
      <c r="A58" s="378"/>
      <c r="B58" s="403"/>
      <c r="C58" s="379"/>
      <c r="E58" s="247"/>
      <c r="F58" s="364"/>
      <c r="G58" s="509"/>
      <c r="H58" s="366"/>
      <c r="I58" s="364"/>
      <c r="J58" s="380" t="s">
        <v>30</v>
      </c>
      <c r="K58" s="511">
        <f>SUM(K52:K57)</f>
        <v>3686</v>
      </c>
      <c r="L58" s="515"/>
      <c r="M58" s="531"/>
      <c r="N58" s="516"/>
      <c r="O58" s="519"/>
      <c r="P58" s="520"/>
      <c r="Q58" s="374"/>
    </row>
    <row r="59" spans="1:17" ht="14.1" customHeight="1" thickTop="1" x14ac:dyDescent="0.25">
      <c r="A59" s="458"/>
      <c r="B59" s="459"/>
      <c r="C59" s="460"/>
      <c r="D59" s="460"/>
      <c r="E59" s="461"/>
      <c r="F59" s="1038" t="s">
        <v>648</v>
      </c>
      <c r="G59" s="1040" t="s">
        <v>673</v>
      </c>
      <c r="H59" s="461"/>
      <c r="I59" s="1042" t="s">
        <v>647</v>
      </c>
      <c r="J59" s="1044" t="s">
        <v>674</v>
      </c>
      <c r="K59" s="1121" t="s">
        <v>31</v>
      </c>
      <c r="L59" s="521"/>
      <c r="M59" s="532"/>
      <c r="N59" s="523"/>
      <c r="O59" s="533"/>
      <c r="P59" s="533"/>
      <c r="Q59" s="523"/>
    </row>
    <row r="60" spans="1:17" ht="13.8" x14ac:dyDescent="0.25">
      <c r="A60" s="462" t="s">
        <v>32</v>
      </c>
      <c r="B60" s="1031" t="s">
        <v>24</v>
      </c>
      <c r="C60" s="463"/>
      <c r="D60" s="464"/>
      <c r="E60" s="464"/>
      <c r="F60" s="1039"/>
      <c r="G60" s="1041"/>
      <c r="H60" s="465"/>
      <c r="I60" s="1043"/>
      <c r="J60" s="1045"/>
      <c r="K60" s="1122"/>
    </row>
    <row r="61" spans="1:17" ht="13.8" x14ac:dyDescent="0.25">
      <c r="A61" s="779">
        <f>K61/E6</f>
        <v>83.874499999999998</v>
      </c>
      <c r="B61" s="1031"/>
      <c r="C61" s="464"/>
      <c r="D61" s="464"/>
      <c r="E61" s="464"/>
      <c r="F61" s="1036">
        <f>SUM(F52:F57,F47:F48,F40:F43,F29:F36,F21:F25,F13:F17)</f>
        <v>11302.699999999999</v>
      </c>
      <c r="G61" s="1123">
        <f>SUM(G52:G57,G47:G48,G40:G43,G29:G36,G21:G25,G13:G16)</f>
        <v>28.8</v>
      </c>
      <c r="H61" s="465"/>
      <c r="I61" s="1036">
        <f>SUM(I52:I57,I47:I48,I40:I43,I29:I36,I21:I25,I13:I17)</f>
        <v>1872</v>
      </c>
      <c r="J61" s="1032">
        <f>SUM(J52:J57,J47:J47,J40:J43,J29:J36,J21:J25,J13:J17)</f>
        <v>37150</v>
      </c>
      <c r="K61" s="1119">
        <f>SUM(K58,K49,K44,K37,K26,K18)</f>
        <v>50324.7</v>
      </c>
    </row>
    <row r="62" spans="1:17" ht="14.4" thickBot="1" x14ac:dyDescent="0.3">
      <c r="A62" s="462"/>
      <c r="B62" s="529"/>
      <c r="C62" s="468"/>
      <c r="D62" s="468"/>
      <c r="E62" s="468"/>
      <c r="F62" s="1037"/>
      <c r="G62" s="1124"/>
      <c r="H62" s="468"/>
      <c r="I62" s="1037"/>
      <c r="J62" s="1033"/>
      <c r="K62" s="1120"/>
    </row>
    <row r="63" spans="1:17" ht="13.8" thickBot="1" x14ac:dyDescent="0.3">
      <c r="A63" s="469"/>
      <c r="B63" s="470"/>
      <c r="C63" s="470"/>
      <c r="D63" s="470"/>
      <c r="E63" s="470"/>
      <c r="F63" s="470"/>
      <c r="G63" s="470"/>
      <c r="H63" s="470"/>
      <c r="I63" s="470"/>
      <c r="J63" s="470"/>
      <c r="K63" s="471"/>
    </row>
  </sheetData>
  <mergeCells count="58">
    <mergeCell ref="U21:V21"/>
    <mergeCell ref="Q11:Q12"/>
    <mergeCell ref="L11:L12"/>
    <mergeCell ref="M11:M12"/>
    <mergeCell ref="N11:N12"/>
    <mergeCell ref="O11:O12"/>
    <mergeCell ref="P11:P12"/>
    <mergeCell ref="J59:J60"/>
    <mergeCell ref="K59:K60"/>
    <mergeCell ref="F61:F62"/>
    <mergeCell ref="G61:G62"/>
    <mergeCell ref="I61:I62"/>
    <mergeCell ref="J61:J62"/>
    <mergeCell ref="K61:K62"/>
    <mergeCell ref="F59:F60"/>
    <mergeCell ref="G59:G60"/>
    <mergeCell ref="I59:I60"/>
    <mergeCell ref="B60:B61"/>
    <mergeCell ref="C45:F45"/>
    <mergeCell ref="G45:I45"/>
    <mergeCell ref="C50:F50"/>
    <mergeCell ref="G50:I50"/>
    <mergeCell ref="C19:F19"/>
    <mergeCell ref="G19:I19"/>
    <mergeCell ref="C27:F27"/>
    <mergeCell ref="G27:I27"/>
    <mergeCell ref="C38:F38"/>
    <mergeCell ref="G38:I38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00B0F0"/>
    <pageSetUpPr fitToPage="1"/>
  </sheetPr>
  <dimension ref="A1:Q91"/>
  <sheetViews>
    <sheetView topLeftCell="A3" zoomScale="90" zoomScaleNormal="75" zoomScaleSheetLayoutView="90" zoomScalePageLayoutView="75" workbookViewId="0">
      <selection activeCell="P14" sqref="P14"/>
    </sheetView>
  </sheetViews>
  <sheetFormatPr defaultColWidth="9.33203125" defaultRowHeight="13.2" x14ac:dyDescent="0.25"/>
  <cols>
    <col min="1" max="1" width="12.33203125" style="157" bestFit="1" customWidth="1"/>
    <col min="2" max="2" width="44" style="157" customWidth="1"/>
    <col min="3" max="4" width="4.6640625" style="421" customWidth="1"/>
    <col min="5" max="5" width="11" style="157" customWidth="1"/>
    <col min="6" max="6" width="12.44140625" style="157" customWidth="1"/>
    <col min="7" max="7" width="6.6640625" style="157" customWidth="1"/>
    <col min="8" max="8" width="11" style="157" customWidth="1"/>
    <col min="9" max="9" width="12.44140625" style="157" customWidth="1"/>
    <col min="10" max="10" width="15.5546875" style="157" customWidth="1"/>
    <col min="11" max="11" width="14" style="157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5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x14ac:dyDescent="0.25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x14ac:dyDescent="0.25">
      <c r="A9" s="501"/>
      <c r="B9" s="200"/>
      <c r="C9" s="1029"/>
      <c r="D9" s="1029"/>
      <c r="E9" s="1026"/>
      <c r="F9" s="1026"/>
      <c r="G9" s="1030"/>
      <c r="H9" s="1026"/>
      <c r="I9" s="1026"/>
      <c r="J9" s="1026"/>
      <c r="K9" s="1027"/>
      <c r="L9" s="448"/>
      <c r="M9" s="447"/>
      <c r="N9" s="404"/>
      <c r="O9" s="405"/>
      <c r="P9" s="405"/>
    </row>
    <row r="10" spans="1:17" ht="13.8" thickBot="1" x14ac:dyDescent="0.3">
      <c r="A10" s="392"/>
      <c r="B10" s="502"/>
      <c r="C10" s="1029"/>
      <c r="D10" s="1029"/>
      <c r="E10" s="1026"/>
      <c r="F10" s="1026"/>
      <c r="G10" s="1030"/>
      <c r="H10" s="1026"/>
      <c r="I10" s="1026"/>
      <c r="J10" s="1026"/>
      <c r="K10" s="1027"/>
      <c r="L10" s="448"/>
      <c r="M10" s="447"/>
      <c r="N10" s="404"/>
      <c r="O10" s="405"/>
      <c r="P10" s="405"/>
    </row>
    <row r="11" spans="1:17" ht="14.4" thickTop="1" thickBot="1" x14ac:dyDescent="0.3">
      <c r="A11" s="344" t="s">
        <v>0</v>
      </c>
      <c r="B11" s="345" t="s">
        <v>1</v>
      </c>
      <c r="C11" s="1028" t="s">
        <v>646</v>
      </c>
      <c r="D11" s="1028"/>
      <c r="E11" s="1028"/>
      <c r="F11" s="1028"/>
      <c r="G11" s="1028" t="s">
        <v>34</v>
      </c>
      <c r="H11" s="1028"/>
      <c r="I11" s="1028"/>
      <c r="J11" s="346"/>
      <c r="K11" s="503"/>
      <c r="L11" s="1050" t="s">
        <v>771</v>
      </c>
      <c r="M11" s="1052" t="s">
        <v>772</v>
      </c>
      <c r="N11" s="1054" t="s">
        <v>773</v>
      </c>
      <c r="O11" s="1056"/>
      <c r="P11" s="1058"/>
      <c r="Q11" s="1048"/>
    </row>
    <row r="12" spans="1:17" ht="15.6" x14ac:dyDescent="0.3">
      <c r="A12" s="505" t="s">
        <v>170</v>
      </c>
      <c r="B12" s="505" t="s">
        <v>172</v>
      </c>
      <c r="C12" s="350" t="s">
        <v>19</v>
      </c>
      <c r="D12" s="351" t="s">
        <v>33</v>
      </c>
      <c r="E12" s="352" t="s">
        <v>35</v>
      </c>
      <c r="F12" s="353" t="s">
        <v>30</v>
      </c>
      <c r="G12" s="506" t="s">
        <v>14</v>
      </c>
      <c r="H12" s="352" t="s">
        <v>35</v>
      </c>
      <c r="I12" s="353" t="s">
        <v>30</v>
      </c>
      <c r="J12" s="355" t="s">
        <v>649</v>
      </c>
      <c r="K12" s="507" t="s">
        <v>38</v>
      </c>
      <c r="L12" s="1051"/>
      <c r="M12" s="1053"/>
      <c r="N12" s="1055"/>
      <c r="O12" s="1057"/>
      <c r="P12" s="1059"/>
      <c r="Q12" s="1049"/>
    </row>
    <row r="13" spans="1:17" x14ac:dyDescent="0.25">
      <c r="A13" s="793"/>
      <c r="B13" s="794" t="s">
        <v>5</v>
      </c>
      <c r="C13" s="795"/>
      <c r="D13" s="796" t="s">
        <v>21</v>
      </c>
      <c r="E13" s="797"/>
      <c r="F13" s="798">
        <f>C13*E13</f>
        <v>0</v>
      </c>
      <c r="G13" s="799"/>
      <c r="H13" s="800">
        <v>0</v>
      </c>
      <c r="I13" s="798">
        <f t="shared" ref="I13:I17" si="0">G13*H13</f>
        <v>0</v>
      </c>
      <c r="J13" s="801">
        <f>M15</f>
        <v>21700</v>
      </c>
      <c r="K13" s="802">
        <f t="shared" ref="K13:K17" si="1">F13+I13+J13</f>
        <v>21700</v>
      </c>
      <c r="L13" s="369" t="s">
        <v>1062</v>
      </c>
      <c r="M13" s="370"/>
      <c r="N13" s="826" t="s">
        <v>1063</v>
      </c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ref="F14:F15" si="2">C14*E14</f>
        <v>0</v>
      </c>
      <c r="G14" s="509"/>
      <c r="H14" s="366">
        <v>0</v>
      </c>
      <c r="I14" s="364">
        <f t="shared" ref="I14:I15" si="3">G14*H14</f>
        <v>0</v>
      </c>
      <c r="J14" s="367"/>
      <c r="K14" s="510">
        <f t="shared" ref="K14:K15" si="4">F14+I14+J14</f>
        <v>0</v>
      </c>
      <c r="L14" s="369" t="s">
        <v>1064</v>
      </c>
      <c r="M14" s="370">
        <v>22900</v>
      </c>
      <c r="N14" s="371"/>
      <c r="O14" s="372">
        <f>M15-M14</f>
        <v>-1200</v>
      </c>
      <c r="P14" s="1008">
        <f>O14/M15</f>
        <v>-5.5299539170506916E-2</v>
      </c>
      <c r="Q14" s="374"/>
    </row>
    <row r="15" spans="1:17" x14ac:dyDescent="0.25">
      <c r="A15" s="361"/>
      <c r="B15" s="5"/>
      <c r="C15" s="362"/>
      <c r="D15" s="363" t="s">
        <v>21</v>
      </c>
      <c r="E15" s="247">
        <v>0</v>
      </c>
      <c r="F15" s="364">
        <f t="shared" si="2"/>
        <v>0</v>
      </c>
      <c r="G15" s="509"/>
      <c r="H15" s="366">
        <v>0</v>
      </c>
      <c r="I15" s="364">
        <f t="shared" si="3"/>
        <v>0</v>
      </c>
      <c r="J15" s="367"/>
      <c r="K15" s="510">
        <f t="shared" si="4"/>
        <v>0</v>
      </c>
      <c r="L15" s="369" t="s">
        <v>1088</v>
      </c>
      <c r="M15" s="1007">
        <v>21700</v>
      </c>
      <c r="N15" s="371" t="s">
        <v>1161</v>
      </c>
      <c r="O15" s="372"/>
      <c r="P15" s="373"/>
      <c r="Q15" s="374"/>
    </row>
    <row r="16" spans="1:17" x14ac:dyDescent="0.25">
      <c r="A16" s="361"/>
      <c r="B16" s="5"/>
      <c r="C16" s="362"/>
      <c r="D16" s="363" t="s">
        <v>21</v>
      </c>
      <c r="E16" s="247">
        <v>0</v>
      </c>
      <c r="F16" s="364">
        <f t="shared" ref="F16:F17" si="5">C16*E16</f>
        <v>0</v>
      </c>
      <c r="G16" s="509"/>
      <c r="H16" s="366">
        <v>0</v>
      </c>
      <c r="I16" s="364">
        <f t="shared" si="0"/>
        <v>0</v>
      </c>
      <c r="J16" s="367"/>
      <c r="K16" s="510">
        <f t="shared" si="1"/>
        <v>0</v>
      </c>
      <c r="L16" s="369" t="s">
        <v>1092</v>
      </c>
      <c r="M16" s="370">
        <v>25735</v>
      </c>
      <c r="N16" s="371"/>
      <c r="O16" s="372"/>
      <c r="P16" s="373"/>
      <c r="Q16" s="374"/>
    </row>
    <row r="17" spans="1:17" x14ac:dyDescent="0.25">
      <c r="A17" s="361"/>
      <c r="B17" s="5"/>
      <c r="C17" s="362"/>
      <c r="D17" s="363" t="s">
        <v>21</v>
      </c>
      <c r="E17" s="247">
        <v>0</v>
      </c>
      <c r="F17" s="364">
        <f t="shared" si="5"/>
        <v>0</v>
      </c>
      <c r="G17" s="509"/>
      <c r="H17" s="366">
        <v>0</v>
      </c>
      <c r="I17" s="364">
        <f t="shared" si="0"/>
        <v>0</v>
      </c>
      <c r="J17" s="367"/>
      <c r="K17" s="510">
        <f t="shared" si="1"/>
        <v>0</v>
      </c>
      <c r="L17" s="369"/>
      <c r="M17" s="370"/>
      <c r="N17" s="971"/>
      <c r="O17" s="372"/>
      <c r="P17" s="373"/>
      <c r="Q17" s="374"/>
    </row>
    <row r="18" spans="1:17" ht="13.8" thickBot="1" x14ac:dyDescent="0.3">
      <c r="A18" s="378"/>
      <c r="B18" s="7"/>
      <c r="C18" s="379"/>
      <c r="D18" s="363"/>
      <c r="E18" s="247"/>
      <c r="F18" s="364"/>
      <c r="G18" s="509"/>
      <c r="H18" s="366"/>
      <c r="I18" s="364"/>
      <c r="J18" s="367"/>
      <c r="K18" s="510"/>
      <c r="L18" s="369"/>
      <c r="M18" s="370"/>
      <c r="N18" s="371"/>
      <c r="O18" s="372"/>
      <c r="P18" s="373"/>
      <c r="Q18" s="374"/>
    </row>
    <row r="19" spans="1:17" ht="13.8" thickTop="1" x14ac:dyDescent="0.25">
      <c r="A19" s="378"/>
      <c r="B19" s="7"/>
      <c r="C19" s="379"/>
      <c r="D19" s="363"/>
      <c r="E19" s="247"/>
      <c r="F19" s="364"/>
      <c r="G19" s="509"/>
      <c r="H19" s="366"/>
      <c r="I19" s="364"/>
      <c r="J19" s="380" t="s">
        <v>30</v>
      </c>
      <c r="K19" s="511">
        <f>SUM(K13:K18)</f>
        <v>21700</v>
      </c>
      <c r="L19" s="369"/>
      <c r="M19" s="370"/>
      <c r="N19" s="371"/>
      <c r="O19" s="372"/>
      <c r="P19" s="373"/>
      <c r="Q19" s="374"/>
    </row>
    <row r="20" spans="1:17" ht="13.8" thickBot="1" x14ac:dyDescent="0.3">
      <c r="A20" s="344" t="s">
        <v>0</v>
      </c>
      <c r="B20" s="345" t="s">
        <v>1</v>
      </c>
      <c r="C20" s="1028" t="s">
        <v>646</v>
      </c>
      <c r="D20" s="1028"/>
      <c r="E20" s="1028"/>
      <c r="F20" s="1028"/>
      <c r="G20" s="1028" t="s">
        <v>34</v>
      </c>
      <c r="H20" s="1028"/>
      <c r="I20" s="1028"/>
      <c r="J20" s="346"/>
      <c r="K20" s="503"/>
      <c r="L20" s="382"/>
      <c r="M20" s="383"/>
      <c r="N20" s="384"/>
      <c r="O20" s="372"/>
      <c r="P20" s="373"/>
      <c r="Q20" s="374"/>
    </row>
    <row r="21" spans="1:17" ht="16.2" thickBot="1" x14ac:dyDescent="0.35">
      <c r="A21" s="505" t="s">
        <v>171</v>
      </c>
      <c r="B21" s="505" t="s">
        <v>173</v>
      </c>
      <c r="C21" s="387" t="s">
        <v>19</v>
      </c>
      <c r="D21" s="388" t="s">
        <v>33</v>
      </c>
      <c r="E21" s="389" t="s">
        <v>35</v>
      </c>
      <c r="F21" s="390" t="s">
        <v>30</v>
      </c>
      <c r="G21" s="512" t="s">
        <v>14</v>
      </c>
      <c r="H21" s="389" t="s">
        <v>35</v>
      </c>
      <c r="I21" s="390" t="s">
        <v>30</v>
      </c>
      <c r="J21" s="355" t="s">
        <v>649</v>
      </c>
      <c r="K21" s="513" t="s">
        <v>38</v>
      </c>
      <c r="L21" s="393"/>
      <c r="M21" s="394"/>
      <c r="N21" s="395"/>
      <c r="O21" s="372"/>
      <c r="P21" s="373"/>
      <c r="Q21" s="374"/>
    </row>
    <row r="22" spans="1:17" x14ac:dyDescent="0.25">
      <c r="A22" s="396"/>
      <c r="B22" s="397"/>
      <c r="C22" s="362"/>
      <c r="D22" s="363" t="s">
        <v>21</v>
      </c>
      <c r="E22" s="247">
        <v>0</v>
      </c>
      <c r="F22" s="364">
        <f t="shared" ref="F22:F28" si="6">C22*E22</f>
        <v>0</v>
      </c>
      <c r="G22" s="509"/>
      <c r="H22" s="366">
        <v>0</v>
      </c>
      <c r="I22" s="364">
        <f t="shared" ref="I22:I28" si="7">G22*H22</f>
        <v>0</v>
      </c>
      <c r="J22" s="367"/>
      <c r="K22" s="510">
        <f t="shared" ref="K22:K28" si="8">F22+I22+J22</f>
        <v>0</v>
      </c>
      <c r="L22" s="369"/>
      <c r="M22" s="370"/>
      <c r="N22" s="371"/>
      <c r="O22" s="372"/>
      <c r="P22" s="373"/>
      <c r="Q22" s="374"/>
    </row>
    <row r="23" spans="1:17" x14ac:dyDescent="0.25">
      <c r="A23" s="361"/>
      <c r="B23" s="5"/>
      <c r="C23" s="362"/>
      <c r="D23" s="363" t="s">
        <v>21</v>
      </c>
      <c r="E23" s="247">
        <v>0</v>
      </c>
      <c r="F23" s="364">
        <f t="shared" si="6"/>
        <v>0</v>
      </c>
      <c r="G23" s="509"/>
      <c r="H23" s="366">
        <v>0</v>
      </c>
      <c r="I23" s="364">
        <f t="shared" si="7"/>
        <v>0</v>
      </c>
      <c r="J23" s="367"/>
      <c r="K23" s="510">
        <f t="shared" si="8"/>
        <v>0</v>
      </c>
      <c r="L23" s="369"/>
      <c r="M23" s="370"/>
      <c r="N23" s="371"/>
      <c r="O23" s="372"/>
      <c r="P23" s="373"/>
      <c r="Q23" s="374"/>
    </row>
    <row r="24" spans="1:17" x14ac:dyDescent="0.25">
      <c r="A24" s="361"/>
      <c r="B24" s="5"/>
      <c r="C24" s="362"/>
      <c r="D24" s="363" t="s">
        <v>21</v>
      </c>
      <c r="E24" s="247">
        <v>0</v>
      </c>
      <c r="F24" s="364">
        <f t="shared" si="6"/>
        <v>0</v>
      </c>
      <c r="G24" s="509"/>
      <c r="H24" s="366">
        <v>0</v>
      </c>
      <c r="I24" s="364">
        <f t="shared" si="7"/>
        <v>0</v>
      </c>
      <c r="J24" s="367"/>
      <c r="K24" s="510">
        <f t="shared" si="8"/>
        <v>0</v>
      </c>
      <c r="L24" s="369"/>
      <c r="M24" s="370"/>
      <c r="N24" s="371"/>
      <c r="O24" s="372"/>
      <c r="P24" s="373"/>
      <c r="Q24" s="374"/>
    </row>
    <row r="25" spans="1:17" x14ac:dyDescent="0.25">
      <c r="A25" s="361"/>
      <c r="B25" s="5"/>
      <c r="C25" s="362"/>
      <c r="D25" s="363" t="s">
        <v>21</v>
      </c>
      <c r="E25" s="247">
        <v>0</v>
      </c>
      <c r="F25" s="364">
        <f t="shared" si="6"/>
        <v>0</v>
      </c>
      <c r="G25" s="509"/>
      <c r="H25" s="366">
        <v>0</v>
      </c>
      <c r="I25" s="364">
        <f t="shared" si="7"/>
        <v>0</v>
      </c>
      <c r="J25" s="367"/>
      <c r="K25" s="510">
        <f t="shared" si="8"/>
        <v>0</v>
      </c>
      <c r="L25" s="369"/>
      <c r="M25" s="370"/>
      <c r="N25" s="371"/>
      <c r="O25" s="372"/>
      <c r="P25" s="373"/>
      <c r="Q25" s="374"/>
    </row>
    <row r="26" spans="1:17" x14ac:dyDescent="0.25">
      <c r="A26" s="361"/>
      <c r="B26" s="5"/>
      <c r="C26" s="362"/>
      <c r="D26" s="363" t="s">
        <v>21</v>
      </c>
      <c r="E26" s="247">
        <v>0</v>
      </c>
      <c r="F26" s="364">
        <f t="shared" si="6"/>
        <v>0</v>
      </c>
      <c r="G26" s="509"/>
      <c r="H26" s="366">
        <v>0</v>
      </c>
      <c r="I26" s="364">
        <f t="shared" si="7"/>
        <v>0</v>
      </c>
      <c r="J26" s="367"/>
      <c r="K26" s="510">
        <f t="shared" si="8"/>
        <v>0</v>
      </c>
      <c r="L26" s="369"/>
      <c r="M26" s="370"/>
      <c r="N26" s="371"/>
      <c r="O26" s="372"/>
      <c r="P26" s="373"/>
      <c r="Q26" s="374"/>
    </row>
    <row r="27" spans="1:17" x14ac:dyDescent="0.25">
      <c r="A27" s="361"/>
      <c r="B27" s="5"/>
      <c r="C27" s="362"/>
      <c r="D27" s="363" t="s">
        <v>21</v>
      </c>
      <c r="E27" s="247">
        <v>0</v>
      </c>
      <c r="F27" s="364">
        <f t="shared" si="6"/>
        <v>0</v>
      </c>
      <c r="G27" s="509"/>
      <c r="H27" s="366">
        <v>0</v>
      </c>
      <c r="I27" s="364">
        <f t="shared" si="7"/>
        <v>0</v>
      </c>
      <c r="J27" s="367"/>
      <c r="K27" s="510">
        <f t="shared" si="8"/>
        <v>0</v>
      </c>
      <c r="L27" s="369"/>
      <c r="M27" s="370"/>
      <c r="N27" s="371"/>
      <c r="O27" s="372"/>
      <c r="P27" s="373"/>
      <c r="Q27" s="374"/>
    </row>
    <row r="28" spans="1:17" x14ac:dyDescent="0.25">
      <c r="A28" s="361"/>
      <c r="B28" s="5"/>
      <c r="C28" s="362"/>
      <c r="D28" s="363" t="s">
        <v>21</v>
      </c>
      <c r="E28" s="247">
        <v>0</v>
      </c>
      <c r="F28" s="364">
        <f t="shared" si="6"/>
        <v>0</v>
      </c>
      <c r="G28" s="509"/>
      <c r="H28" s="366">
        <v>0</v>
      </c>
      <c r="I28" s="364">
        <f t="shared" si="7"/>
        <v>0</v>
      </c>
      <c r="J28" s="367"/>
      <c r="K28" s="510">
        <f t="shared" si="8"/>
        <v>0</v>
      </c>
      <c r="L28" s="369"/>
      <c r="M28" s="370"/>
      <c r="N28" s="371"/>
      <c r="O28" s="372"/>
      <c r="P28" s="373"/>
      <c r="Q28" s="374"/>
    </row>
    <row r="29" spans="1:17" ht="13.8" thickBot="1" x14ac:dyDescent="0.3">
      <c r="A29" s="361"/>
      <c r="B29" s="5"/>
      <c r="C29" s="379"/>
      <c r="D29" s="363"/>
      <c r="E29" s="247"/>
      <c r="F29" s="364"/>
      <c r="G29" s="509"/>
      <c r="H29" s="366"/>
      <c r="I29" s="364"/>
      <c r="J29" s="367"/>
      <c r="K29" s="514"/>
      <c r="L29" s="369"/>
      <c r="M29" s="370"/>
      <c r="N29" s="371"/>
      <c r="O29" s="372"/>
      <c r="P29" s="373"/>
      <c r="Q29" s="374"/>
    </row>
    <row r="30" spans="1:17" ht="14.4" thickTop="1" thickBot="1" x14ac:dyDescent="0.3">
      <c r="A30" s="378"/>
      <c r="B30" s="5"/>
      <c r="C30" s="379"/>
      <c r="D30" s="363"/>
      <c r="E30" s="247"/>
      <c r="F30" s="364"/>
      <c r="G30" s="509"/>
      <c r="H30" s="366"/>
      <c r="I30" s="364"/>
      <c r="J30" s="380" t="s">
        <v>30</v>
      </c>
      <c r="K30" s="511">
        <f>SUM(K22:K29)</f>
        <v>0</v>
      </c>
      <c r="L30" s="369"/>
      <c r="M30" s="370"/>
      <c r="N30" s="371"/>
      <c r="O30" s="372"/>
      <c r="P30" s="373"/>
      <c r="Q30" s="374"/>
    </row>
    <row r="31" spans="1:17" ht="13.8" hidden="1" thickBot="1" x14ac:dyDescent="0.3">
      <c r="A31" s="344" t="s">
        <v>0</v>
      </c>
      <c r="B31" s="345" t="s">
        <v>1</v>
      </c>
      <c r="C31" s="1028" t="s">
        <v>646</v>
      </c>
      <c r="D31" s="1028"/>
      <c r="E31" s="1028"/>
      <c r="F31" s="1028"/>
      <c r="G31" s="1028" t="s">
        <v>34</v>
      </c>
      <c r="H31" s="1028"/>
      <c r="I31" s="1028"/>
      <c r="J31" s="346"/>
      <c r="K31" s="503"/>
      <c r="L31" s="382"/>
      <c r="M31" s="383"/>
      <c r="N31" s="384"/>
      <c r="O31" s="372"/>
      <c r="P31" s="373"/>
      <c r="Q31" s="374"/>
    </row>
    <row r="32" spans="1:17" ht="16.2" hidden="1" thickBot="1" x14ac:dyDescent="0.35">
      <c r="A32" s="385"/>
      <c r="B32" s="386"/>
      <c r="C32" s="387" t="s">
        <v>19</v>
      </c>
      <c r="D32" s="388" t="s">
        <v>33</v>
      </c>
      <c r="E32" s="389" t="s">
        <v>35</v>
      </c>
      <c r="F32" s="390" t="s">
        <v>30</v>
      </c>
      <c r="G32" s="512" t="s">
        <v>14</v>
      </c>
      <c r="H32" s="389" t="s">
        <v>35</v>
      </c>
      <c r="I32" s="390" t="s">
        <v>30</v>
      </c>
      <c r="J32" s="355" t="s">
        <v>649</v>
      </c>
      <c r="K32" s="513" t="s">
        <v>38</v>
      </c>
      <c r="L32" s="393"/>
      <c r="M32" s="399"/>
      <c r="N32" s="400"/>
      <c r="O32" s="401"/>
      <c r="P32" s="402"/>
      <c r="Q32" s="374"/>
    </row>
    <row r="33" spans="1:17" hidden="1" x14ac:dyDescent="0.25">
      <c r="A33" s="396"/>
      <c r="B33" s="397"/>
      <c r="C33" s="362"/>
      <c r="D33" s="363" t="s">
        <v>21</v>
      </c>
      <c r="E33" s="247">
        <v>0</v>
      </c>
      <c r="F33" s="364">
        <f>C33*E33</f>
        <v>0</v>
      </c>
      <c r="G33" s="509"/>
      <c r="H33" s="366">
        <v>0</v>
      </c>
      <c r="I33" s="364">
        <f>G33*H33</f>
        <v>0</v>
      </c>
      <c r="J33" s="367"/>
      <c r="K33" s="510">
        <f>F33+I33+J33</f>
        <v>0</v>
      </c>
      <c r="L33" s="369"/>
      <c r="M33" s="249"/>
      <c r="N33" s="409"/>
      <c r="O33" s="401"/>
      <c r="P33" s="402"/>
      <c r="Q33" s="374"/>
    </row>
    <row r="34" spans="1:17" hidden="1" x14ac:dyDescent="0.25">
      <c r="A34" s="361"/>
      <c r="B34" s="5"/>
      <c r="C34" s="362"/>
      <c r="D34" s="363" t="s">
        <v>21</v>
      </c>
      <c r="E34" s="247">
        <v>0</v>
      </c>
      <c r="F34" s="364">
        <f>C34*E34</f>
        <v>0</v>
      </c>
      <c r="G34" s="509"/>
      <c r="H34" s="366">
        <v>0</v>
      </c>
      <c r="I34" s="364">
        <f>G34*H34</f>
        <v>0</v>
      </c>
      <c r="J34" s="367"/>
      <c r="K34" s="510">
        <f>F34+I34+J34</f>
        <v>0</v>
      </c>
      <c r="L34" s="369"/>
      <c r="M34" s="249"/>
      <c r="N34" s="409"/>
      <c r="O34" s="401"/>
      <c r="P34" s="402"/>
      <c r="Q34" s="374"/>
    </row>
    <row r="35" spans="1:17" hidden="1" x14ac:dyDescent="0.25">
      <c r="A35" s="361"/>
      <c r="B35" s="5"/>
      <c r="C35" s="362"/>
      <c r="D35" s="363" t="s">
        <v>21</v>
      </c>
      <c r="E35" s="247">
        <v>0</v>
      </c>
      <c r="F35" s="364">
        <f>C35*E35</f>
        <v>0</v>
      </c>
      <c r="G35" s="509"/>
      <c r="H35" s="366">
        <v>0</v>
      </c>
      <c r="I35" s="364">
        <f>G35*H35</f>
        <v>0</v>
      </c>
      <c r="J35" s="367"/>
      <c r="K35" s="510">
        <f>F35+I35+J35</f>
        <v>0</v>
      </c>
      <c r="L35" s="369"/>
      <c r="M35" s="249"/>
      <c r="N35" s="409"/>
      <c r="O35" s="401"/>
      <c r="P35" s="402"/>
      <c r="Q35" s="374"/>
    </row>
    <row r="36" spans="1:17" hidden="1" x14ac:dyDescent="0.25">
      <c r="A36" s="378"/>
      <c r="B36" s="403"/>
      <c r="C36" s="379"/>
      <c r="D36" s="363"/>
      <c r="E36" s="247"/>
      <c r="F36" s="364"/>
      <c r="G36" s="509"/>
      <c r="H36" s="366"/>
      <c r="I36" s="364"/>
      <c r="J36" s="367"/>
      <c r="K36" s="514"/>
      <c r="L36" s="369"/>
      <c r="M36" s="249"/>
      <c r="N36" s="409"/>
      <c r="O36" s="401"/>
      <c r="P36" s="402"/>
      <c r="Q36" s="374"/>
    </row>
    <row r="37" spans="1:17" ht="13.8" hidden="1" thickBot="1" x14ac:dyDescent="0.3">
      <c r="A37" s="378"/>
      <c r="B37" s="403"/>
      <c r="C37" s="379"/>
      <c r="D37" s="363"/>
      <c r="E37" s="247"/>
      <c r="F37" s="364"/>
      <c r="G37" s="509"/>
      <c r="H37" s="366"/>
      <c r="I37" s="364"/>
      <c r="J37" s="367"/>
      <c r="K37" s="514"/>
      <c r="L37" s="369"/>
      <c r="M37" s="249"/>
      <c r="N37" s="409"/>
      <c r="O37" s="401"/>
      <c r="P37" s="402"/>
      <c r="Q37" s="374"/>
    </row>
    <row r="38" spans="1:17" ht="13.8" hidden="1" thickTop="1" x14ac:dyDescent="0.25">
      <c r="A38" s="378"/>
      <c r="B38" s="403"/>
      <c r="C38" s="379"/>
      <c r="D38" s="363"/>
      <c r="E38" s="247"/>
      <c r="F38" s="364"/>
      <c r="G38" s="509"/>
      <c r="H38" s="366"/>
      <c r="I38" s="364"/>
      <c r="J38" s="380" t="s">
        <v>30</v>
      </c>
      <c r="K38" s="511">
        <f>SUM(K33:K37)</f>
        <v>0</v>
      </c>
      <c r="L38" s="369"/>
      <c r="M38" s="249"/>
      <c r="N38" s="371"/>
      <c r="O38" s="372"/>
      <c r="P38" s="373"/>
      <c r="Q38" s="374"/>
    </row>
    <row r="39" spans="1:17" ht="13.8" hidden="1" thickBot="1" x14ac:dyDescent="0.3">
      <c r="A39" s="344" t="s">
        <v>0</v>
      </c>
      <c r="B39" s="345" t="s">
        <v>1</v>
      </c>
      <c r="C39" s="1028" t="s">
        <v>646</v>
      </c>
      <c r="D39" s="1028"/>
      <c r="E39" s="1028"/>
      <c r="F39" s="1028"/>
      <c r="G39" s="1028" t="s">
        <v>34</v>
      </c>
      <c r="H39" s="1028"/>
      <c r="I39" s="1028"/>
      <c r="J39" s="346"/>
      <c r="K39" s="503"/>
      <c r="L39" s="382"/>
      <c r="M39" s="346"/>
      <c r="N39" s="384"/>
      <c r="O39" s="372"/>
      <c r="P39" s="373"/>
      <c r="Q39" s="374"/>
    </row>
    <row r="40" spans="1:17" ht="16.2" hidden="1" thickBot="1" x14ac:dyDescent="0.35">
      <c r="A40" s="385"/>
      <c r="B40" s="386"/>
      <c r="C40" s="387" t="s">
        <v>19</v>
      </c>
      <c r="D40" s="388" t="s">
        <v>33</v>
      </c>
      <c r="E40" s="389" t="s">
        <v>35</v>
      </c>
      <c r="F40" s="390" t="s">
        <v>30</v>
      </c>
      <c r="G40" s="512" t="s">
        <v>14</v>
      </c>
      <c r="H40" s="389" t="s">
        <v>35</v>
      </c>
      <c r="I40" s="390" t="s">
        <v>30</v>
      </c>
      <c r="J40" s="355" t="s">
        <v>649</v>
      </c>
      <c r="K40" s="513" t="s">
        <v>38</v>
      </c>
      <c r="L40" s="393"/>
      <c r="M40" s="399"/>
      <c r="N40" s="395"/>
      <c r="O40" s="372"/>
      <c r="P40" s="402"/>
      <c r="Q40" s="374"/>
    </row>
    <row r="41" spans="1:17" hidden="1" x14ac:dyDescent="0.25">
      <c r="A41" s="396"/>
      <c r="B41" s="397"/>
      <c r="C41" s="362"/>
      <c r="D41" s="363" t="s">
        <v>21</v>
      </c>
      <c r="E41" s="247">
        <v>0</v>
      </c>
      <c r="F41" s="364">
        <f>C41*E41</f>
        <v>0</v>
      </c>
      <c r="G41" s="509"/>
      <c r="H41" s="366">
        <v>0</v>
      </c>
      <c r="I41" s="364">
        <f>G41*H41</f>
        <v>0</v>
      </c>
      <c r="J41" s="367"/>
      <c r="K41" s="510">
        <f>F41+I41+J41</f>
        <v>0</v>
      </c>
      <c r="L41" s="369"/>
      <c r="M41" s="249"/>
      <c r="N41" s="371"/>
      <c r="O41" s="372"/>
      <c r="P41" s="373"/>
      <c r="Q41" s="374"/>
    </row>
    <row r="42" spans="1:17" hidden="1" x14ac:dyDescent="0.25">
      <c r="A42" s="361"/>
      <c r="B42" s="5"/>
      <c r="C42" s="362"/>
      <c r="D42" s="363" t="s">
        <v>21</v>
      </c>
      <c r="E42" s="247">
        <v>0</v>
      </c>
      <c r="F42" s="364">
        <f>C42*E42</f>
        <v>0</v>
      </c>
      <c r="G42" s="509"/>
      <c r="H42" s="366">
        <v>0</v>
      </c>
      <c r="I42" s="364">
        <f>G42*H42</f>
        <v>0</v>
      </c>
      <c r="J42" s="367"/>
      <c r="K42" s="510">
        <f>F42+I42+J42</f>
        <v>0</v>
      </c>
      <c r="L42" s="369"/>
      <c r="M42" s="249"/>
      <c r="N42" s="371"/>
      <c r="O42" s="372"/>
      <c r="P42" s="373"/>
      <c r="Q42" s="374"/>
    </row>
    <row r="43" spans="1:17" hidden="1" x14ac:dyDescent="0.25">
      <c r="A43" s="361"/>
      <c r="B43" s="5"/>
      <c r="C43" s="362"/>
      <c r="D43" s="363" t="s">
        <v>21</v>
      </c>
      <c r="E43" s="247">
        <v>0</v>
      </c>
      <c r="F43" s="364">
        <f>C43*E43</f>
        <v>0</v>
      </c>
      <c r="G43" s="509"/>
      <c r="H43" s="366">
        <v>0</v>
      </c>
      <c r="I43" s="364">
        <f>G43*H43</f>
        <v>0</v>
      </c>
      <c r="J43" s="367"/>
      <c r="K43" s="510">
        <f>F43+I43+J43</f>
        <v>0</v>
      </c>
      <c r="L43" s="369"/>
      <c r="M43" s="249"/>
      <c r="N43" s="371"/>
      <c r="O43" s="372"/>
      <c r="P43" s="373"/>
      <c r="Q43" s="374"/>
    </row>
    <row r="44" spans="1:17" hidden="1" x14ac:dyDescent="0.25">
      <c r="A44" s="361"/>
      <c r="B44" s="5"/>
      <c r="C44" s="362"/>
      <c r="D44" s="363" t="s">
        <v>21</v>
      </c>
      <c r="E44" s="247">
        <v>0</v>
      </c>
      <c r="F44" s="364">
        <f>C44*E44</f>
        <v>0</v>
      </c>
      <c r="G44" s="509"/>
      <c r="H44" s="366">
        <v>0</v>
      </c>
      <c r="I44" s="364">
        <f>G44*H44</f>
        <v>0</v>
      </c>
      <c r="J44" s="367"/>
      <c r="K44" s="510">
        <f>F44+I44+J44</f>
        <v>0</v>
      </c>
      <c r="L44" s="369"/>
      <c r="M44" s="249"/>
      <c r="N44" s="371"/>
      <c r="O44" s="372"/>
      <c r="P44" s="373"/>
      <c r="Q44" s="374"/>
    </row>
    <row r="45" spans="1:17" hidden="1" x14ac:dyDescent="0.25">
      <c r="A45" s="361"/>
      <c r="B45" s="5"/>
      <c r="C45" s="362"/>
      <c r="D45" s="363" t="s">
        <v>21</v>
      </c>
      <c r="E45" s="247">
        <v>0</v>
      </c>
      <c r="F45" s="364">
        <f>C45*E45</f>
        <v>0</v>
      </c>
      <c r="G45" s="509"/>
      <c r="H45" s="366">
        <v>0</v>
      </c>
      <c r="I45" s="364">
        <f>G45*H45</f>
        <v>0</v>
      </c>
      <c r="J45" s="367"/>
      <c r="K45" s="510">
        <f>F45+I45+J45</f>
        <v>0</v>
      </c>
      <c r="L45" s="369"/>
      <c r="M45" s="249"/>
      <c r="N45" s="371"/>
      <c r="O45" s="372"/>
      <c r="P45" s="373"/>
      <c r="Q45" s="374"/>
    </row>
    <row r="46" spans="1:17" ht="13.8" hidden="1" thickBot="1" x14ac:dyDescent="0.3">
      <c r="A46" s="378"/>
      <c r="B46" s="403"/>
      <c r="C46" s="379"/>
      <c r="D46" s="363"/>
      <c r="E46" s="247"/>
      <c r="F46" s="364"/>
      <c r="G46" s="509"/>
      <c r="H46" s="366"/>
      <c r="I46" s="364"/>
      <c r="J46" s="367"/>
      <c r="K46" s="514"/>
      <c r="L46" s="369"/>
      <c r="M46" s="249"/>
      <c r="N46" s="371"/>
      <c r="O46" s="372"/>
      <c r="P46" s="373"/>
      <c r="Q46" s="374"/>
    </row>
    <row r="47" spans="1:17" ht="13.8" hidden="1" thickTop="1" x14ac:dyDescent="0.25">
      <c r="A47" s="378"/>
      <c r="B47" s="403"/>
      <c r="C47" s="379"/>
      <c r="D47" s="363"/>
      <c r="E47" s="247"/>
      <c r="F47" s="364"/>
      <c r="G47" s="509"/>
      <c r="H47" s="366"/>
      <c r="I47" s="364"/>
      <c r="J47" s="380" t="s">
        <v>30</v>
      </c>
      <c r="K47" s="511">
        <f>SUM(K41:K46)</f>
        <v>0</v>
      </c>
      <c r="L47" s="369"/>
      <c r="M47" s="249"/>
      <c r="N47" s="409"/>
      <c r="O47" s="417"/>
      <c r="P47" s="418"/>
      <c r="Q47" s="374"/>
    </row>
    <row r="48" spans="1:17" ht="13.8" hidden="1" thickBot="1" x14ac:dyDescent="0.3">
      <c r="A48" s="344" t="s">
        <v>0</v>
      </c>
      <c r="B48" s="345" t="s">
        <v>1</v>
      </c>
      <c r="C48" s="1028" t="s">
        <v>646</v>
      </c>
      <c r="D48" s="1028"/>
      <c r="E48" s="1028"/>
      <c r="F48" s="1028"/>
      <c r="G48" s="1028" t="s">
        <v>34</v>
      </c>
      <c r="H48" s="1028"/>
      <c r="I48" s="1028"/>
      <c r="J48" s="346"/>
      <c r="K48" s="503"/>
      <c r="L48" s="382"/>
      <c r="M48" s="346"/>
      <c r="N48" s="419"/>
      <c r="O48" s="417"/>
      <c r="P48" s="418"/>
      <c r="Q48" s="374"/>
    </row>
    <row r="49" spans="1:17" ht="16.2" hidden="1" thickBot="1" x14ac:dyDescent="0.35">
      <c r="A49" s="385"/>
      <c r="B49" s="386"/>
      <c r="C49" s="387" t="s">
        <v>19</v>
      </c>
      <c r="D49" s="388" t="s">
        <v>33</v>
      </c>
      <c r="E49" s="389" t="s">
        <v>35</v>
      </c>
      <c r="F49" s="390" t="s">
        <v>30</v>
      </c>
      <c r="G49" s="512" t="s">
        <v>14</v>
      </c>
      <c r="H49" s="389" t="s">
        <v>35</v>
      </c>
      <c r="I49" s="390" t="s">
        <v>30</v>
      </c>
      <c r="J49" s="355" t="s">
        <v>649</v>
      </c>
      <c r="K49" s="513" t="s">
        <v>38</v>
      </c>
      <c r="L49" s="393"/>
      <c r="M49" s="399"/>
      <c r="N49" s="400"/>
      <c r="O49" s="401"/>
      <c r="P49" s="402"/>
      <c r="Q49" s="374"/>
    </row>
    <row r="50" spans="1:17" hidden="1" x14ac:dyDescent="0.25">
      <c r="A50" s="396"/>
      <c r="B50" s="397"/>
      <c r="C50" s="362"/>
      <c r="D50" s="363" t="s">
        <v>21</v>
      </c>
      <c r="E50" s="247">
        <v>0</v>
      </c>
      <c r="F50" s="364">
        <f t="shared" ref="F50:F56" si="9">C50*E50</f>
        <v>0</v>
      </c>
      <c r="G50" s="509"/>
      <c r="H50" s="366">
        <v>0</v>
      </c>
      <c r="I50" s="364">
        <f t="shared" ref="I50:I56" si="10">G50*H50</f>
        <v>0</v>
      </c>
      <c r="J50" s="367"/>
      <c r="K50" s="510">
        <f t="shared" ref="K50:K56" si="11">F50+I50+J50</f>
        <v>0</v>
      </c>
      <c r="L50" s="369"/>
      <c r="M50" s="249"/>
      <c r="N50" s="371"/>
      <c r="O50" s="372"/>
      <c r="P50" s="373"/>
      <c r="Q50" s="374"/>
    </row>
    <row r="51" spans="1:17" hidden="1" x14ac:dyDescent="0.25">
      <c r="A51" s="361"/>
      <c r="B51" s="5"/>
      <c r="C51" s="362"/>
      <c r="D51" s="363" t="s">
        <v>21</v>
      </c>
      <c r="E51" s="247">
        <v>0</v>
      </c>
      <c r="F51" s="364">
        <f t="shared" si="9"/>
        <v>0</v>
      </c>
      <c r="G51" s="509"/>
      <c r="H51" s="366">
        <v>0</v>
      </c>
      <c r="I51" s="364">
        <f t="shared" si="10"/>
        <v>0</v>
      </c>
      <c r="J51" s="367"/>
      <c r="K51" s="510">
        <f t="shared" si="11"/>
        <v>0</v>
      </c>
      <c r="L51" s="369"/>
      <c r="M51" s="370"/>
      <c r="N51" s="371"/>
      <c r="O51" s="372"/>
      <c r="P51" s="373"/>
      <c r="Q51" s="374"/>
    </row>
    <row r="52" spans="1:17" hidden="1" x14ac:dyDescent="0.25">
      <c r="A52" s="361"/>
      <c r="B52" s="5"/>
      <c r="C52" s="362"/>
      <c r="D52" s="363" t="s">
        <v>21</v>
      </c>
      <c r="E52" s="247">
        <v>0</v>
      </c>
      <c r="F52" s="364">
        <f t="shared" si="9"/>
        <v>0</v>
      </c>
      <c r="G52" s="509"/>
      <c r="H52" s="366">
        <v>0</v>
      </c>
      <c r="I52" s="364">
        <f t="shared" si="10"/>
        <v>0</v>
      </c>
      <c r="J52" s="367"/>
      <c r="K52" s="510">
        <f t="shared" si="11"/>
        <v>0</v>
      </c>
      <c r="L52" s="369"/>
      <c r="M52" s="370"/>
      <c r="N52" s="371"/>
      <c r="O52" s="372"/>
      <c r="P52" s="373"/>
      <c r="Q52" s="374"/>
    </row>
    <row r="53" spans="1:17" hidden="1" x14ac:dyDescent="0.25">
      <c r="A53" s="361"/>
      <c r="B53" s="5"/>
      <c r="C53" s="362"/>
      <c r="D53" s="363" t="s">
        <v>21</v>
      </c>
      <c r="E53" s="247">
        <v>0</v>
      </c>
      <c r="F53" s="364">
        <f t="shared" si="9"/>
        <v>0</v>
      </c>
      <c r="G53" s="509"/>
      <c r="H53" s="366">
        <v>0</v>
      </c>
      <c r="I53" s="364">
        <f t="shared" si="10"/>
        <v>0</v>
      </c>
      <c r="J53" s="367"/>
      <c r="K53" s="510">
        <f t="shared" si="11"/>
        <v>0</v>
      </c>
      <c r="L53" s="369"/>
      <c r="M53" s="370"/>
      <c r="N53" s="371"/>
      <c r="O53" s="372"/>
      <c r="P53" s="373"/>
      <c r="Q53" s="374"/>
    </row>
    <row r="54" spans="1:17" hidden="1" x14ac:dyDescent="0.25">
      <c r="A54" s="361"/>
      <c r="B54" s="5"/>
      <c r="C54" s="362"/>
      <c r="D54" s="363" t="s">
        <v>21</v>
      </c>
      <c r="E54" s="247">
        <v>0</v>
      </c>
      <c r="F54" s="364">
        <f t="shared" si="9"/>
        <v>0</v>
      </c>
      <c r="G54" s="509"/>
      <c r="H54" s="366">
        <v>0</v>
      </c>
      <c r="I54" s="364">
        <f t="shared" si="10"/>
        <v>0</v>
      </c>
      <c r="J54" s="367"/>
      <c r="K54" s="510">
        <f t="shared" si="11"/>
        <v>0</v>
      </c>
      <c r="L54" s="369"/>
      <c r="M54" s="370"/>
      <c r="N54" s="371"/>
      <c r="O54" s="372"/>
      <c r="P54" s="373"/>
      <c r="Q54" s="374"/>
    </row>
    <row r="55" spans="1:17" hidden="1" x14ac:dyDescent="0.25">
      <c r="A55" s="361"/>
      <c r="B55" s="5"/>
      <c r="C55" s="362"/>
      <c r="D55" s="363" t="s">
        <v>21</v>
      </c>
      <c r="E55" s="247">
        <v>0</v>
      </c>
      <c r="F55" s="364">
        <f t="shared" si="9"/>
        <v>0</v>
      </c>
      <c r="G55" s="509"/>
      <c r="H55" s="366">
        <v>0</v>
      </c>
      <c r="I55" s="364">
        <f t="shared" si="10"/>
        <v>0</v>
      </c>
      <c r="J55" s="367"/>
      <c r="K55" s="510">
        <f t="shared" si="11"/>
        <v>0</v>
      </c>
      <c r="L55" s="369"/>
      <c r="M55" s="370"/>
      <c r="N55" s="371"/>
      <c r="O55" s="372"/>
      <c r="P55" s="373"/>
      <c r="Q55" s="374"/>
    </row>
    <row r="56" spans="1:17" hidden="1" x14ac:dyDescent="0.25">
      <c r="A56" s="361"/>
      <c r="B56" s="5"/>
      <c r="C56" s="362"/>
      <c r="D56" s="363" t="s">
        <v>21</v>
      </c>
      <c r="E56" s="247">
        <v>0</v>
      </c>
      <c r="F56" s="364">
        <f t="shared" si="9"/>
        <v>0</v>
      </c>
      <c r="G56" s="509"/>
      <c r="H56" s="366">
        <v>0</v>
      </c>
      <c r="I56" s="364">
        <f t="shared" si="10"/>
        <v>0</v>
      </c>
      <c r="J56" s="367"/>
      <c r="K56" s="510">
        <f t="shared" si="11"/>
        <v>0</v>
      </c>
      <c r="L56" s="369"/>
      <c r="M56" s="370"/>
      <c r="N56" s="371"/>
      <c r="O56" s="372"/>
      <c r="P56" s="373"/>
      <c r="Q56" s="374"/>
    </row>
    <row r="57" spans="1:17" ht="13.8" hidden="1" thickBot="1" x14ac:dyDescent="0.3">
      <c r="A57" s="378"/>
      <c r="B57" s="5"/>
      <c r="C57" s="379"/>
      <c r="D57" s="363"/>
      <c r="E57" s="247"/>
      <c r="F57" s="364"/>
      <c r="G57" s="509"/>
      <c r="H57" s="366"/>
      <c r="I57" s="364"/>
      <c r="J57" s="367"/>
      <c r="K57" s="514"/>
      <c r="L57" s="369"/>
      <c r="M57" s="370"/>
      <c r="N57" s="371"/>
      <c r="O57" s="372"/>
      <c r="P57" s="373"/>
      <c r="Q57" s="374"/>
    </row>
    <row r="58" spans="1:17" ht="14.4" hidden="1" thickTop="1" thickBot="1" x14ac:dyDescent="0.3">
      <c r="A58" s="378"/>
      <c r="B58" s="403"/>
      <c r="C58" s="379"/>
      <c r="D58" s="363"/>
      <c r="E58" s="247"/>
      <c r="F58" s="364"/>
      <c r="G58" s="509"/>
      <c r="H58" s="366"/>
      <c r="I58" s="364"/>
      <c r="J58" s="380" t="s">
        <v>30</v>
      </c>
      <c r="K58" s="511">
        <f>SUM(K50:K57)</f>
        <v>0</v>
      </c>
      <c r="L58" s="515"/>
      <c r="M58" s="531"/>
      <c r="N58" s="516"/>
      <c r="O58" s="519"/>
      <c r="P58" s="520"/>
      <c r="Q58" s="374"/>
    </row>
    <row r="59" spans="1:17" ht="14.1" customHeight="1" thickTop="1" x14ac:dyDescent="0.25">
      <c r="A59" s="458"/>
      <c r="B59" s="459"/>
      <c r="C59" s="460"/>
      <c r="D59" s="460"/>
      <c r="E59" s="461"/>
      <c r="F59" s="1038" t="s">
        <v>648</v>
      </c>
      <c r="G59" s="1040" t="s">
        <v>673</v>
      </c>
      <c r="H59" s="461"/>
      <c r="I59" s="1042" t="s">
        <v>647</v>
      </c>
      <c r="J59" s="1044" t="s">
        <v>674</v>
      </c>
      <c r="K59" s="1046" t="s">
        <v>31</v>
      </c>
      <c r="L59" s="521"/>
      <c r="M59" s="522"/>
      <c r="N59" s="523"/>
      <c r="O59" s="524"/>
      <c r="P59" s="524"/>
      <c r="Q59" s="525"/>
    </row>
    <row r="60" spans="1:17" ht="13.8" x14ac:dyDescent="0.25">
      <c r="A60" s="462" t="s">
        <v>32</v>
      </c>
      <c r="B60" s="1031" t="s">
        <v>43</v>
      </c>
      <c r="C60" s="463"/>
      <c r="D60" s="464"/>
      <c r="E60" s="464"/>
      <c r="F60" s="1039"/>
      <c r="G60" s="1041"/>
      <c r="H60" s="465"/>
      <c r="I60" s="1043"/>
      <c r="J60" s="1045"/>
      <c r="K60" s="1047"/>
      <c r="L60" s="526"/>
      <c r="M60" s="249"/>
      <c r="O60" s="527"/>
      <c r="P60" s="527"/>
      <c r="Q60" s="528"/>
    </row>
    <row r="61" spans="1:17" ht="13.8" x14ac:dyDescent="0.25">
      <c r="A61" s="466">
        <f>K61/E6</f>
        <v>36.166666666666664</v>
      </c>
      <c r="B61" s="1031"/>
      <c r="C61" s="464"/>
      <c r="D61" s="464"/>
      <c r="E61" s="464"/>
      <c r="F61" s="1032">
        <f>SUM(F50:F57,F41:F46,F33:F37,F22:F29,F13:F18)</f>
        <v>0</v>
      </c>
      <c r="G61" s="1034">
        <f>SUM(G50:G57,G41:G46,G33:G37,G22:G29,G13:G18)</f>
        <v>0</v>
      </c>
      <c r="H61" s="465"/>
      <c r="I61" s="1032">
        <f>SUM(I50:I57,I41:I46,I33:I37,I22:I29,I13:I18)</f>
        <v>0</v>
      </c>
      <c r="J61" s="1032">
        <f>SUM(J50:J57,J41:J46,J33:J37,J22:J29,J13:J18)</f>
        <v>21700</v>
      </c>
      <c r="K61" s="1036">
        <f>K58+K47+K38+K30+K19</f>
        <v>21700</v>
      </c>
      <c r="L61" s="526"/>
      <c r="M61" s="249"/>
      <c r="O61" s="527"/>
      <c r="P61" s="527"/>
      <c r="Q61" s="528"/>
    </row>
    <row r="62" spans="1:17" ht="14.4" thickBot="1" x14ac:dyDescent="0.3">
      <c r="A62" s="462"/>
      <c r="B62" s="529"/>
      <c r="C62" s="468"/>
      <c r="D62" s="468"/>
      <c r="E62" s="468"/>
      <c r="F62" s="1033"/>
      <c r="G62" s="1035"/>
      <c r="H62" s="468"/>
      <c r="I62" s="1033"/>
      <c r="J62" s="1033"/>
      <c r="K62" s="1037"/>
      <c r="L62" s="526"/>
      <c r="M62" s="249"/>
      <c r="O62" s="527"/>
      <c r="P62" s="527"/>
      <c r="Q62" s="528"/>
    </row>
    <row r="63" spans="1:17" ht="13.8" thickBot="1" x14ac:dyDescent="0.3">
      <c r="A63" s="469"/>
      <c r="B63" s="470"/>
      <c r="C63" s="470"/>
      <c r="D63" s="470"/>
      <c r="E63" s="470"/>
      <c r="F63" s="470"/>
      <c r="G63" s="470"/>
      <c r="H63" s="470"/>
      <c r="I63" s="470"/>
      <c r="J63" s="470"/>
      <c r="K63" s="470"/>
      <c r="L63" s="526"/>
      <c r="M63" s="249"/>
      <c r="O63" s="527"/>
      <c r="P63" s="527"/>
      <c r="Q63" s="528"/>
    </row>
    <row r="64" spans="1:17" x14ac:dyDescent="0.25">
      <c r="M64" s="249"/>
      <c r="O64" s="527"/>
      <c r="P64" s="527"/>
      <c r="Q64" s="528"/>
    </row>
    <row r="65" spans="13:17" x14ac:dyDescent="0.25">
      <c r="M65" s="249" t="s">
        <v>1154</v>
      </c>
      <c r="O65" s="527"/>
      <c r="P65" s="527"/>
      <c r="Q65" s="528"/>
    </row>
    <row r="66" spans="13:17" x14ac:dyDescent="0.25">
      <c r="M66" s="249"/>
      <c r="O66" s="527"/>
      <c r="P66" s="527"/>
      <c r="Q66" s="528"/>
    </row>
    <row r="67" spans="13:17" x14ac:dyDescent="0.25">
      <c r="M67" s="249" t="s">
        <v>1155</v>
      </c>
      <c r="N67" s="157" t="s">
        <v>1156</v>
      </c>
      <c r="O67" s="527" t="s">
        <v>729</v>
      </c>
      <c r="P67" s="527"/>
      <c r="Q67" s="528"/>
    </row>
    <row r="68" spans="13:17" x14ac:dyDescent="0.25">
      <c r="M68" s="1003">
        <v>8.5</v>
      </c>
      <c r="N68" s="157">
        <f>25+4/12</f>
        <v>25.333333333333332</v>
      </c>
      <c r="O68" s="1001">
        <f>+M68*N68</f>
        <v>215.33333333333331</v>
      </c>
      <c r="P68" s="1001">
        <f>+O68*2</f>
        <v>430.66666666666663</v>
      </c>
      <c r="Q68" s="528"/>
    </row>
    <row r="69" spans="13:17" x14ac:dyDescent="0.25">
      <c r="M69" s="1003">
        <f>5+0.916666666666667</f>
        <v>5.916666666666667</v>
      </c>
      <c r="N69" s="157">
        <f>25+4/12</f>
        <v>25.333333333333332</v>
      </c>
      <c r="O69" s="1001">
        <f>+M69*N69</f>
        <v>149.88888888888889</v>
      </c>
      <c r="P69" s="1004">
        <f>+O69*2</f>
        <v>299.77777777777777</v>
      </c>
      <c r="Q69" s="528"/>
    </row>
    <row r="70" spans="13:17" x14ac:dyDescent="0.25">
      <c r="M70" s="249"/>
      <c r="O70" s="527"/>
      <c r="P70" s="1001">
        <f>SUM(P68:P69)</f>
        <v>730.44444444444434</v>
      </c>
      <c r="Q70" s="528" t="s">
        <v>1157</v>
      </c>
    </row>
    <row r="71" spans="13:17" x14ac:dyDescent="0.25">
      <c r="M71" s="249"/>
      <c r="O71" s="527"/>
      <c r="P71" s="527"/>
      <c r="Q71" s="528"/>
    </row>
    <row r="72" spans="13:17" x14ac:dyDescent="0.25">
      <c r="M72" s="249"/>
      <c r="O72" s="1005" t="s">
        <v>1158</v>
      </c>
      <c r="P72" s="527">
        <f>+K19/P70</f>
        <v>29.707940371159115</v>
      </c>
      <c r="Q72" s="528"/>
    </row>
    <row r="73" spans="13:17" x14ac:dyDescent="0.25">
      <c r="M73" s="249"/>
      <c r="O73" s="527"/>
      <c r="P73" s="527">
        <f>+M16/P70</f>
        <v>35.23197444478248</v>
      </c>
      <c r="Q73" s="528"/>
    </row>
    <row r="74" spans="13:17" x14ac:dyDescent="0.25">
      <c r="M74" s="249"/>
      <c r="O74" s="527"/>
      <c r="P74" s="527"/>
      <c r="Q74" s="528"/>
    </row>
    <row r="75" spans="13:17" x14ac:dyDescent="0.25">
      <c r="M75" s="249"/>
      <c r="O75" s="527"/>
      <c r="P75" s="527"/>
      <c r="Q75" s="528"/>
    </row>
    <row r="76" spans="13:17" x14ac:dyDescent="0.25">
      <c r="M76" s="249"/>
      <c r="O76" s="527"/>
      <c r="P76" s="527"/>
      <c r="Q76" s="528"/>
    </row>
    <row r="77" spans="13:17" x14ac:dyDescent="0.25">
      <c r="M77" s="249"/>
      <c r="O77" s="527"/>
      <c r="P77" s="527"/>
      <c r="Q77" s="528"/>
    </row>
    <row r="78" spans="13:17" x14ac:dyDescent="0.25">
      <c r="M78" s="249"/>
      <c r="O78" s="527"/>
      <c r="P78" s="527"/>
      <c r="Q78" s="528"/>
    </row>
    <row r="79" spans="13:17" x14ac:dyDescent="0.25">
      <c r="M79" s="249"/>
      <c r="O79" s="527"/>
      <c r="P79" s="527"/>
      <c r="Q79" s="528"/>
    </row>
    <row r="80" spans="13:17" x14ac:dyDescent="0.25">
      <c r="M80" s="249"/>
      <c r="O80" s="527"/>
      <c r="P80" s="527"/>
      <c r="Q80" s="528"/>
    </row>
    <row r="81" spans="13:17" x14ac:dyDescent="0.25">
      <c r="M81" s="249"/>
      <c r="O81" s="527"/>
      <c r="P81" s="527"/>
      <c r="Q81" s="528"/>
    </row>
    <row r="82" spans="13:17" x14ac:dyDescent="0.25">
      <c r="M82" s="249"/>
      <c r="O82" s="527"/>
      <c r="P82" s="527"/>
      <c r="Q82" s="528"/>
    </row>
    <row r="83" spans="13:17" x14ac:dyDescent="0.25">
      <c r="M83" s="249"/>
      <c r="O83" s="527"/>
      <c r="P83" s="527"/>
      <c r="Q83" s="528"/>
    </row>
    <row r="84" spans="13:17" x14ac:dyDescent="0.25">
      <c r="M84" s="249"/>
      <c r="O84" s="527"/>
      <c r="P84" s="527"/>
      <c r="Q84" s="528"/>
    </row>
    <row r="85" spans="13:17" x14ac:dyDescent="0.25">
      <c r="M85" s="249"/>
      <c r="O85" s="527"/>
      <c r="P85" s="527"/>
      <c r="Q85" s="528"/>
    </row>
    <row r="86" spans="13:17" x14ac:dyDescent="0.25">
      <c r="M86" s="249"/>
      <c r="O86" s="527"/>
      <c r="P86" s="527"/>
      <c r="Q86" s="528"/>
    </row>
    <row r="87" spans="13:17" x14ac:dyDescent="0.25">
      <c r="M87" s="249"/>
      <c r="O87" s="527"/>
      <c r="P87" s="527"/>
      <c r="Q87" s="528"/>
    </row>
    <row r="88" spans="13:17" x14ac:dyDescent="0.25">
      <c r="M88" s="249"/>
      <c r="O88" s="527"/>
      <c r="P88" s="527"/>
      <c r="Q88" s="528"/>
    </row>
    <row r="89" spans="13:17" x14ac:dyDescent="0.25">
      <c r="M89" s="249"/>
      <c r="O89" s="527"/>
      <c r="P89" s="527"/>
      <c r="Q89" s="528"/>
    </row>
    <row r="90" spans="13:17" x14ac:dyDescent="0.25">
      <c r="M90" s="249"/>
      <c r="O90" s="527"/>
      <c r="P90" s="527"/>
      <c r="Q90" s="528"/>
    </row>
    <row r="91" spans="13:17" x14ac:dyDescent="0.25">
      <c r="M91" s="249"/>
      <c r="O91" s="527"/>
      <c r="P91" s="527"/>
      <c r="Q91" s="528"/>
    </row>
  </sheetData>
  <mergeCells count="55">
    <mergeCell ref="Q11:Q12"/>
    <mergeCell ref="L11:L12"/>
    <mergeCell ref="M11:M12"/>
    <mergeCell ref="N11:N12"/>
    <mergeCell ref="O11:O12"/>
    <mergeCell ref="P11:P12"/>
    <mergeCell ref="J61:J62"/>
    <mergeCell ref="K61:K62"/>
    <mergeCell ref="F59:F60"/>
    <mergeCell ref="G59:G60"/>
    <mergeCell ref="I59:I60"/>
    <mergeCell ref="J59:J60"/>
    <mergeCell ref="K59:K60"/>
    <mergeCell ref="B60:B61"/>
    <mergeCell ref="C48:F48"/>
    <mergeCell ref="G48:I48"/>
    <mergeCell ref="C20:F20"/>
    <mergeCell ref="G20:I20"/>
    <mergeCell ref="C31:F31"/>
    <mergeCell ref="G31:I31"/>
    <mergeCell ref="C39:F39"/>
    <mergeCell ref="G39:I39"/>
    <mergeCell ref="F61:F62"/>
    <mergeCell ref="G61:G62"/>
    <mergeCell ref="I61:I62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2" fitToHeight="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00B0F0"/>
    <pageSetUpPr fitToPage="1"/>
  </sheetPr>
  <dimension ref="A1:Q71"/>
  <sheetViews>
    <sheetView zoomScale="90" zoomScaleNormal="75" zoomScaleSheetLayoutView="90" zoomScalePageLayoutView="75" workbookViewId="0">
      <selection activeCell="O16" sqref="O16"/>
    </sheetView>
  </sheetViews>
  <sheetFormatPr defaultColWidth="9.33203125" defaultRowHeight="13.2" x14ac:dyDescent="0.25"/>
  <cols>
    <col min="1" max="1" width="12.33203125" style="157" bestFit="1" customWidth="1"/>
    <col min="2" max="2" width="44.5546875" style="157" customWidth="1"/>
    <col min="3" max="4" width="4.6640625" style="421" customWidth="1"/>
    <col min="5" max="5" width="13" style="157" customWidth="1"/>
    <col min="6" max="6" width="14" style="157" bestFit="1" customWidth="1"/>
    <col min="7" max="7" width="7" style="157" customWidth="1"/>
    <col min="8" max="8" width="11.33203125" style="157" customWidth="1"/>
    <col min="9" max="9" width="12.44140625" style="157" customWidth="1"/>
    <col min="10" max="10" width="15.6640625" style="157" customWidth="1"/>
    <col min="11" max="11" width="14.33203125" style="157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5546875" style="157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6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x14ac:dyDescent="0.25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x14ac:dyDescent="0.25">
      <c r="A9" s="501"/>
      <c r="B9" s="200"/>
      <c r="C9" s="1029"/>
      <c r="D9" s="1029"/>
      <c r="E9" s="1026"/>
      <c r="F9" s="1026"/>
      <c r="G9" s="1030"/>
      <c r="H9" s="1026"/>
      <c r="I9" s="1026"/>
      <c r="J9" s="1026"/>
      <c r="K9" s="1027"/>
      <c r="L9" s="448"/>
      <c r="M9" s="447"/>
      <c r="N9" s="404"/>
      <c r="O9" s="405"/>
      <c r="P9" s="405"/>
    </row>
    <row r="10" spans="1:17" ht="13.8" thickBot="1" x14ac:dyDescent="0.3">
      <c r="A10" s="392"/>
      <c r="B10" s="502"/>
      <c r="C10" s="1029"/>
      <c r="D10" s="1029"/>
      <c r="E10" s="1026"/>
      <c r="F10" s="1026"/>
      <c r="G10" s="1030"/>
      <c r="H10" s="1026"/>
      <c r="I10" s="1026"/>
      <c r="J10" s="1026"/>
      <c r="K10" s="1027"/>
      <c r="L10" s="448"/>
      <c r="M10" s="447"/>
      <c r="N10" s="404"/>
      <c r="O10" s="405"/>
      <c r="P10" s="405"/>
    </row>
    <row r="11" spans="1:17" ht="14.4" thickTop="1" thickBot="1" x14ac:dyDescent="0.3">
      <c r="A11" s="344" t="s">
        <v>0</v>
      </c>
      <c r="B11" s="345" t="s">
        <v>1</v>
      </c>
      <c r="C11" s="1028" t="s">
        <v>646</v>
      </c>
      <c r="D11" s="1028"/>
      <c r="E11" s="1028"/>
      <c r="F11" s="1028"/>
      <c r="G11" s="1028" t="s">
        <v>34</v>
      </c>
      <c r="H11" s="1028"/>
      <c r="I11" s="1028"/>
      <c r="J11" s="346"/>
      <c r="K11" s="503"/>
      <c r="L11" s="1050" t="s">
        <v>771</v>
      </c>
      <c r="M11" s="1052" t="s">
        <v>772</v>
      </c>
      <c r="N11" s="1054" t="s">
        <v>773</v>
      </c>
      <c r="O11" s="1056"/>
      <c r="P11" s="1058"/>
      <c r="Q11" s="1048"/>
    </row>
    <row r="12" spans="1:17" ht="16.2" thickBot="1" x14ac:dyDescent="0.35">
      <c r="A12" s="536" t="s">
        <v>176</v>
      </c>
      <c r="B12" s="537" t="s">
        <v>182</v>
      </c>
      <c r="C12" s="351" t="s">
        <v>19</v>
      </c>
      <c r="D12" s="351" t="s">
        <v>33</v>
      </c>
      <c r="E12" s="352" t="s">
        <v>35</v>
      </c>
      <c r="F12" s="353" t="s">
        <v>30</v>
      </c>
      <c r="G12" s="506" t="s">
        <v>14</v>
      </c>
      <c r="H12" s="352" t="s">
        <v>35</v>
      </c>
      <c r="I12" s="353" t="s">
        <v>30</v>
      </c>
      <c r="J12" s="355" t="s">
        <v>649</v>
      </c>
      <c r="K12" s="507" t="s">
        <v>38</v>
      </c>
      <c r="L12" s="1051"/>
      <c r="M12" s="1053"/>
      <c r="N12" s="1055"/>
      <c r="O12" s="1057"/>
      <c r="P12" s="1059"/>
      <c r="Q12" s="1049"/>
    </row>
    <row r="13" spans="1:17" x14ac:dyDescent="0.25">
      <c r="A13" s="793"/>
      <c r="B13" s="794" t="s">
        <v>1066</v>
      </c>
      <c r="C13" s="795"/>
      <c r="D13" s="796" t="s">
        <v>21</v>
      </c>
      <c r="E13" s="797"/>
      <c r="F13" s="798">
        <f t="shared" ref="F13:F17" si="0">C13*E13</f>
        <v>0</v>
      </c>
      <c r="G13" s="799"/>
      <c r="H13" s="800">
        <v>0</v>
      </c>
      <c r="I13" s="798">
        <f t="shared" ref="I13:I17" si="1">G13*H13</f>
        <v>0</v>
      </c>
      <c r="J13" s="801">
        <f>M14</f>
        <v>64100</v>
      </c>
      <c r="K13" s="802">
        <f t="shared" ref="K13:K17" si="2">F13+I13+J13</f>
        <v>64100</v>
      </c>
      <c r="L13" s="369" t="s">
        <v>1065</v>
      </c>
      <c r="M13" s="370">
        <v>98341</v>
      </c>
      <c r="N13" s="371" t="s">
        <v>1033</v>
      </c>
      <c r="O13" s="372"/>
      <c r="P13" s="373"/>
      <c r="Q13" s="374"/>
    </row>
    <row r="14" spans="1:17" x14ac:dyDescent="0.25">
      <c r="A14" s="793"/>
      <c r="B14" s="959" t="s">
        <v>1067</v>
      </c>
      <c r="C14" s="839"/>
      <c r="D14" s="796" t="s">
        <v>21</v>
      </c>
      <c r="E14" s="797"/>
      <c r="F14" s="798">
        <f t="shared" si="0"/>
        <v>0</v>
      </c>
      <c r="G14" s="799"/>
      <c r="H14" s="800">
        <v>0</v>
      </c>
      <c r="I14" s="798">
        <f t="shared" si="1"/>
        <v>0</v>
      </c>
      <c r="J14" s="801"/>
      <c r="K14" s="960" t="s">
        <v>1070</v>
      </c>
      <c r="L14" s="369" t="s">
        <v>1069</v>
      </c>
      <c r="M14" s="370">
        <v>64100</v>
      </c>
      <c r="N14" s="965" t="s">
        <v>1160</v>
      </c>
      <c r="O14" s="898">
        <f>98341-62600</f>
        <v>35741</v>
      </c>
      <c r="P14" s="373"/>
      <c r="Q14" s="374"/>
    </row>
    <row r="15" spans="1:17" x14ac:dyDescent="0.25">
      <c r="A15" s="846"/>
      <c r="B15" s="794" t="s">
        <v>1068</v>
      </c>
      <c r="C15" s="795"/>
      <c r="D15" s="796" t="s">
        <v>21</v>
      </c>
      <c r="E15" s="797">
        <v>0</v>
      </c>
      <c r="F15" s="798">
        <f t="shared" si="0"/>
        <v>0</v>
      </c>
      <c r="G15" s="799"/>
      <c r="H15" s="800">
        <v>0</v>
      </c>
      <c r="I15" s="798">
        <f t="shared" si="1"/>
        <v>0</v>
      </c>
      <c r="J15" s="801"/>
      <c r="K15" s="960" t="s">
        <v>1070</v>
      </c>
      <c r="L15" s="369"/>
      <c r="M15" s="370"/>
      <c r="N15" s="371"/>
      <c r="O15" s="1006">
        <f>+O14/62600</f>
        <v>0.57094249201277958</v>
      </c>
      <c r="P15" s="373"/>
      <c r="Q15" s="374"/>
    </row>
    <row r="16" spans="1:17" x14ac:dyDescent="0.25">
      <c r="A16" s="375"/>
      <c r="B16" s="964" t="s">
        <v>1129</v>
      </c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 t="s">
        <v>1070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369"/>
      <c r="M17" s="370"/>
      <c r="N17" s="371"/>
      <c r="O17" s="372"/>
      <c r="P17" s="373"/>
      <c r="Q17" s="374"/>
    </row>
    <row r="18" spans="1:17" ht="13.8" thickBot="1" x14ac:dyDescent="0.3">
      <c r="A18" s="378"/>
      <c r="B18" s="7"/>
      <c r="C18" s="379"/>
      <c r="D18" s="363"/>
      <c r="E18" s="247"/>
      <c r="F18" s="364"/>
      <c r="G18" s="509"/>
      <c r="H18" s="366"/>
      <c r="I18" s="364"/>
      <c r="J18" s="367"/>
      <c r="K18" s="510"/>
      <c r="L18" s="369"/>
      <c r="M18" s="370"/>
      <c r="N18" s="371"/>
      <c r="O18" s="372"/>
      <c r="P18" s="373"/>
      <c r="Q18" s="374"/>
    </row>
    <row r="19" spans="1:17" ht="13.8" thickTop="1" x14ac:dyDescent="0.25">
      <c r="A19" s="378"/>
      <c r="B19" s="7"/>
      <c r="C19" s="379"/>
      <c r="D19" s="363"/>
      <c r="E19" s="247"/>
      <c r="F19" s="364"/>
      <c r="G19" s="509"/>
      <c r="H19" s="366"/>
      <c r="I19" s="364"/>
      <c r="J19" s="380" t="s">
        <v>30</v>
      </c>
      <c r="K19" s="511">
        <f>SUM(K13:K18)</f>
        <v>64100</v>
      </c>
      <c r="L19" s="369"/>
      <c r="M19" s="370"/>
      <c r="N19" s="371"/>
      <c r="O19" s="372"/>
      <c r="P19" s="373"/>
      <c r="Q19" s="374"/>
    </row>
    <row r="20" spans="1:17" s="159" customFormat="1" ht="13.8" thickBot="1" x14ac:dyDescent="0.3">
      <c r="A20" s="344" t="s">
        <v>0</v>
      </c>
      <c r="B20" s="345" t="s">
        <v>1</v>
      </c>
      <c r="C20" s="1028" t="s">
        <v>646</v>
      </c>
      <c r="D20" s="1028"/>
      <c r="E20" s="1028"/>
      <c r="F20" s="1028"/>
      <c r="G20" s="1028" t="s">
        <v>34</v>
      </c>
      <c r="H20" s="1028"/>
      <c r="I20" s="1028"/>
      <c r="J20" s="346"/>
      <c r="K20" s="503"/>
      <c r="L20" s="382"/>
      <c r="M20" s="383"/>
      <c r="N20" s="384"/>
      <c r="O20" s="372"/>
      <c r="P20" s="373"/>
      <c r="Q20" s="374"/>
    </row>
    <row r="21" spans="1:17" s="159" customFormat="1" ht="16.2" thickBot="1" x14ac:dyDescent="0.35">
      <c r="A21" s="536" t="s">
        <v>177</v>
      </c>
      <c r="B21" s="537" t="s">
        <v>183</v>
      </c>
      <c r="C21" s="388" t="s">
        <v>19</v>
      </c>
      <c r="D21" s="388" t="s">
        <v>33</v>
      </c>
      <c r="E21" s="389" t="s">
        <v>35</v>
      </c>
      <c r="F21" s="390" t="s">
        <v>30</v>
      </c>
      <c r="G21" s="512" t="s">
        <v>14</v>
      </c>
      <c r="H21" s="389" t="s">
        <v>35</v>
      </c>
      <c r="I21" s="390" t="s">
        <v>30</v>
      </c>
      <c r="J21" s="355" t="s">
        <v>649</v>
      </c>
      <c r="K21" s="513" t="s">
        <v>38</v>
      </c>
      <c r="L21" s="393"/>
      <c r="M21" s="394"/>
      <c r="N21" s="395"/>
      <c r="O21" s="372"/>
      <c r="P21" s="373"/>
      <c r="Q21" s="374"/>
    </row>
    <row r="22" spans="1:17" s="159" customFormat="1" x14ac:dyDescent="0.25">
      <c r="A22" s="361"/>
      <c r="B22" s="5"/>
      <c r="C22" s="362"/>
      <c r="D22" s="363" t="s">
        <v>21</v>
      </c>
      <c r="E22" s="247">
        <v>0</v>
      </c>
      <c r="F22" s="364">
        <f t="shared" ref="F22:F27" si="3">C22*E22</f>
        <v>0</v>
      </c>
      <c r="G22" s="509"/>
      <c r="H22" s="366">
        <v>0</v>
      </c>
      <c r="I22" s="364">
        <f t="shared" ref="I22:I27" si="4">G22*H22</f>
        <v>0</v>
      </c>
      <c r="J22" s="367"/>
      <c r="K22" s="510">
        <f t="shared" ref="K22:K27" si="5">F22+I22+J22</f>
        <v>0</v>
      </c>
      <c r="L22" s="369"/>
      <c r="M22" s="370"/>
      <c r="N22" s="371"/>
      <c r="O22" s="372"/>
      <c r="P22" s="373"/>
      <c r="Q22" s="374"/>
    </row>
    <row r="23" spans="1:17" s="159" customFormat="1" x14ac:dyDescent="0.25">
      <c r="A23" s="361"/>
      <c r="B23" s="5"/>
      <c r="C23" s="362"/>
      <c r="D23" s="363" t="s">
        <v>21</v>
      </c>
      <c r="E23" s="247">
        <v>0</v>
      </c>
      <c r="F23" s="364">
        <f t="shared" si="3"/>
        <v>0</v>
      </c>
      <c r="G23" s="509"/>
      <c r="H23" s="366">
        <v>0</v>
      </c>
      <c r="I23" s="364">
        <f t="shared" si="4"/>
        <v>0</v>
      </c>
      <c r="J23" s="367"/>
      <c r="K23" s="510">
        <f t="shared" si="5"/>
        <v>0</v>
      </c>
      <c r="L23" s="369"/>
      <c r="M23" s="370"/>
      <c r="N23" s="371"/>
      <c r="O23" s="372"/>
      <c r="P23" s="373"/>
      <c r="Q23" s="374"/>
    </row>
    <row r="24" spans="1:17" s="159" customFormat="1" x14ac:dyDescent="0.25">
      <c r="A24" s="361"/>
      <c r="B24" s="5"/>
      <c r="C24" s="362"/>
      <c r="D24" s="363" t="s">
        <v>21</v>
      </c>
      <c r="E24" s="247">
        <v>0</v>
      </c>
      <c r="F24" s="364">
        <f t="shared" si="3"/>
        <v>0</v>
      </c>
      <c r="G24" s="509"/>
      <c r="H24" s="366">
        <v>0</v>
      </c>
      <c r="I24" s="364">
        <f t="shared" si="4"/>
        <v>0</v>
      </c>
      <c r="J24" s="367"/>
      <c r="K24" s="510">
        <f t="shared" si="5"/>
        <v>0</v>
      </c>
      <c r="L24" s="369"/>
      <c r="M24" s="370"/>
      <c r="N24" s="371"/>
      <c r="O24" s="372"/>
      <c r="P24" s="373"/>
      <c r="Q24" s="374"/>
    </row>
    <row r="25" spans="1:17" s="159" customFormat="1" x14ac:dyDescent="0.25">
      <c r="A25" s="361"/>
      <c r="B25" s="5"/>
      <c r="C25" s="362"/>
      <c r="D25" s="363" t="s">
        <v>21</v>
      </c>
      <c r="E25" s="247">
        <v>0</v>
      </c>
      <c r="F25" s="364">
        <f t="shared" si="3"/>
        <v>0</v>
      </c>
      <c r="G25" s="509"/>
      <c r="H25" s="366">
        <v>0</v>
      </c>
      <c r="I25" s="364">
        <f t="shared" si="4"/>
        <v>0</v>
      </c>
      <c r="J25" s="367"/>
      <c r="K25" s="510">
        <f t="shared" si="5"/>
        <v>0</v>
      </c>
      <c r="L25" s="369"/>
      <c r="M25" s="370"/>
      <c r="N25" s="371"/>
      <c r="O25" s="372"/>
      <c r="P25" s="373"/>
      <c r="Q25" s="374"/>
    </row>
    <row r="26" spans="1:17" s="159" customFormat="1" x14ac:dyDescent="0.25">
      <c r="A26" s="361"/>
      <c r="B26" s="5"/>
      <c r="C26" s="362"/>
      <c r="D26" s="363" t="s">
        <v>21</v>
      </c>
      <c r="E26" s="247">
        <v>0</v>
      </c>
      <c r="F26" s="364">
        <f t="shared" si="3"/>
        <v>0</v>
      </c>
      <c r="G26" s="509"/>
      <c r="H26" s="366">
        <v>0</v>
      </c>
      <c r="I26" s="364">
        <f t="shared" si="4"/>
        <v>0</v>
      </c>
      <c r="J26" s="367"/>
      <c r="K26" s="510">
        <f t="shared" si="5"/>
        <v>0</v>
      </c>
      <c r="L26" s="369"/>
      <c r="M26" s="370"/>
      <c r="N26" s="371"/>
      <c r="O26" s="372"/>
      <c r="P26" s="373"/>
      <c r="Q26" s="374"/>
    </row>
    <row r="27" spans="1:17" s="159" customFormat="1" x14ac:dyDescent="0.25">
      <c r="A27" s="361"/>
      <c r="B27" s="5"/>
      <c r="C27" s="362"/>
      <c r="D27" s="363" t="s">
        <v>21</v>
      </c>
      <c r="E27" s="247">
        <v>0</v>
      </c>
      <c r="F27" s="364">
        <f t="shared" si="3"/>
        <v>0</v>
      </c>
      <c r="G27" s="509"/>
      <c r="H27" s="366">
        <v>0</v>
      </c>
      <c r="I27" s="364">
        <f t="shared" si="4"/>
        <v>0</v>
      </c>
      <c r="J27" s="367"/>
      <c r="K27" s="510">
        <f t="shared" si="5"/>
        <v>0</v>
      </c>
      <c r="L27" s="369"/>
      <c r="M27" s="370"/>
      <c r="N27" s="371"/>
      <c r="O27" s="372"/>
      <c r="P27" s="373"/>
      <c r="Q27" s="374"/>
    </row>
    <row r="28" spans="1:17" s="159" customFormat="1" ht="13.8" thickBot="1" x14ac:dyDescent="0.3">
      <c r="A28" s="361"/>
      <c r="B28" s="5"/>
      <c r="C28" s="379"/>
      <c r="D28" s="363"/>
      <c r="E28" s="247"/>
      <c r="F28" s="364"/>
      <c r="G28" s="509"/>
      <c r="H28" s="366"/>
      <c r="I28" s="364"/>
      <c r="J28" s="367"/>
      <c r="K28" s="514"/>
      <c r="L28" s="369"/>
      <c r="M28" s="370"/>
      <c r="N28" s="371"/>
      <c r="O28" s="372"/>
      <c r="P28" s="373"/>
      <c r="Q28" s="374"/>
    </row>
    <row r="29" spans="1:17" s="159" customFormat="1" ht="13.8" thickTop="1" x14ac:dyDescent="0.25">
      <c r="A29" s="378"/>
      <c r="B29" s="5"/>
      <c r="C29" s="379"/>
      <c r="D29" s="363"/>
      <c r="E29" s="247"/>
      <c r="F29" s="364"/>
      <c r="G29" s="509"/>
      <c r="H29" s="366"/>
      <c r="I29" s="364"/>
      <c r="J29" s="380" t="s">
        <v>30</v>
      </c>
      <c r="K29" s="511">
        <f>SUM(K22:K28)</f>
        <v>0</v>
      </c>
      <c r="L29" s="369"/>
      <c r="M29" s="370"/>
      <c r="N29" s="371"/>
      <c r="O29" s="372"/>
      <c r="P29" s="373"/>
      <c r="Q29" s="374"/>
    </row>
    <row r="30" spans="1:17" s="159" customFormat="1" ht="13.8" thickBot="1" x14ac:dyDescent="0.3">
      <c r="A30" s="344" t="s">
        <v>0</v>
      </c>
      <c r="B30" s="345" t="s">
        <v>1</v>
      </c>
      <c r="C30" s="1028" t="s">
        <v>646</v>
      </c>
      <c r="D30" s="1028"/>
      <c r="E30" s="1028"/>
      <c r="F30" s="1028"/>
      <c r="G30" s="1028" t="s">
        <v>34</v>
      </c>
      <c r="H30" s="1028"/>
      <c r="I30" s="1028"/>
      <c r="J30" s="346"/>
      <c r="K30" s="503"/>
      <c r="L30" s="382"/>
      <c r="M30" s="383"/>
      <c r="N30" s="384"/>
      <c r="O30" s="372"/>
      <c r="P30" s="373"/>
      <c r="Q30" s="374"/>
    </row>
    <row r="31" spans="1:17" s="159" customFormat="1" ht="16.2" thickBot="1" x14ac:dyDescent="0.35">
      <c r="A31" s="536" t="s">
        <v>178</v>
      </c>
      <c r="B31" s="537" t="s">
        <v>184</v>
      </c>
      <c r="C31" s="388" t="s">
        <v>19</v>
      </c>
      <c r="D31" s="388" t="s">
        <v>33</v>
      </c>
      <c r="E31" s="389" t="s">
        <v>35</v>
      </c>
      <c r="F31" s="390" t="s">
        <v>30</v>
      </c>
      <c r="G31" s="512" t="s">
        <v>14</v>
      </c>
      <c r="H31" s="389" t="s">
        <v>35</v>
      </c>
      <c r="I31" s="390" t="s">
        <v>30</v>
      </c>
      <c r="J31" s="355" t="s">
        <v>649</v>
      </c>
      <c r="K31" s="513" t="s">
        <v>38</v>
      </c>
      <c r="L31" s="393"/>
      <c r="M31" s="399"/>
      <c r="N31" s="400"/>
      <c r="O31" s="401"/>
      <c r="P31" s="402"/>
      <c r="Q31" s="374"/>
    </row>
    <row r="32" spans="1:17" s="159" customFormat="1" x14ac:dyDescent="0.25">
      <c r="A32" s="361"/>
      <c r="B32" s="5"/>
      <c r="C32" s="362"/>
      <c r="D32" s="363" t="s">
        <v>21</v>
      </c>
      <c r="E32" s="247">
        <v>0</v>
      </c>
      <c r="F32" s="364">
        <f>C32*E32</f>
        <v>0</v>
      </c>
      <c r="G32" s="509"/>
      <c r="H32" s="366">
        <v>0</v>
      </c>
      <c r="I32" s="364">
        <f>G32*H32</f>
        <v>0</v>
      </c>
      <c r="J32" s="367"/>
      <c r="K32" s="510">
        <f>F32+I32+J32</f>
        <v>0</v>
      </c>
      <c r="L32" s="369"/>
      <c r="M32" s="249"/>
      <c r="N32" s="409"/>
      <c r="O32" s="401"/>
      <c r="P32" s="402"/>
      <c r="Q32" s="374"/>
    </row>
    <row r="33" spans="1:17" s="159" customFormat="1" x14ac:dyDescent="0.25">
      <c r="A33" s="361"/>
      <c r="B33" s="5"/>
      <c r="C33" s="362"/>
      <c r="D33" s="363" t="s">
        <v>21</v>
      </c>
      <c r="E33" s="247">
        <v>0</v>
      </c>
      <c r="F33" s="364">
        <f>C33*E33</f>
        <v>0</v>
      </c>
      <c r="G33" s="509"/>
      <c r="H33" s="366">
        <v>0</v>
      </c>
      <c r="I33" s="364">
        <f>G33*H33</f>
        <v>0</v>
      </c>
      <c r="J33" s="367"/>
      <c r="K33" s="510">
        <f>F33+I33+J33</f>
        <v>0</v>
      </c>
      <c r="L33" s="369"/>
      <c r="M33" s="249"/>
      <c r="N33" s="409"/>
      <c r="O33" s="401"/>
      <c r="P33" s="402"/>
      <c r="Q33" s="374"/>
    </row>
    <row r="34" spans="1:17" s="159" customFormat="1" x14ac:dyDescent="0.25">
      <c r="A34" s="361"/>
      <c r="B34" s="5"/>
      <c r="C34" s="362"/>
      <c r="D34" s="363" t="s">
        <v>21</v>
      </c>
      <c r="E34" s="247">
        <v>0</v>
      </c>
      <c r="F34" s="364">
        <f>C34*E34</f>
        <v>0</v>
      </c>
      <c r="G34" s="509"/>
      <c r="H34" s="366">
        <v>0</v>
      </c>
      <c r="I34" s="364">
        <f>G34*H34</f>
        <v>0</v>
      </c>
      <c r="J34" s="367"/>
      <c r="K34" s="510">
        <f>F34+I34+J34</f>
        <v>0</v>
      </c>
      <c r="L34" s="369"/>
      <c r="M34" s="249"/>
      <c r="N34" s="409"/>
      <c r="O34" s="401"/>
      <c r="P34" s="402"/>
      <c r="Q34" s="374"/>
    </row>
    <row r="35" spans="1:17" s="159" customFormat="1" x14ac:dyDescent="0.25">
      <c r="A35" s="378"/>
      <c r="B35" s="403"/>
      <c r="C35" s="379"/>
      <c r="D35" s="363"/>
      <c r="E35" s="247"/>
      <c r="F35" s="364"/>
      <c r="G35" s="509"/>
      <c r="H35" s="366"/>
      <c r="I35" s="364"/>
      <c r="J35" s="367"/>
      <c r="K35" s="514"/>
      <c r="L35" s="369"/>
      <c r="M35" s="249"/>
      <c r="N35" s="409"/>
      <c r="O35" s="401"/>
      <c r="P35" s="402"/>
      <c r="Q35" s="374"/>
    </row>
    <row r="36" spans="1:17" s="159" customFormat="1" ht="13.8" thickBot="1" x14ac:dyDescent="0.3">
      <c r="A36" s="378"/>
      <c r="B36" s="403"/>
      <c r="C36" s="379"/>
      <c r="D36" s="363"/>
      <c r="E36" s="247"/>
      <c r="F36" s="364"/>
      <c r="G36" s="509"/>
      <c r="H36" s="366"/>
      <c r="I36" s="364"/>
      <c r="J36" s="367"/>
      <c r="K36" s="514"/>
      <c r="L36" s="369"/>
      <c r="M36" s="249"/>
      <c r="N36" s="409"/>
      <c r="O36" s="401"/>
      <c r="P36" s="402"/>
      <c r="Q36" s="374"/>
    </row>
    <row r="37" spans="1:17" s="159" customFormat="1" ht="13.8" thickTop="1" x14ac:dyDescent="0.25">
      <c r="A37" s="378"/>
      <c r="B37" s="403"/>
      <c r="C37" s="379"/>
      <c r="D37" s="363"/>
      <c r="E37" s="247"/>
      <c r="F37" s="364"/>
      <c r="G37" s="509"/>
      <c r="H37" s="366"/>
      <c r="I37" s="364"/>
      <c r="J37" s="380" t="s">
        <v>30</v>
      </c>
      <c r="K37" s="511">
        <f>SUM(K32:K36)</f>
        <v>0</v>
      </c>
      <c r="L37" s="369"/>
      <c r="M37" s="249"/>
      <c r="N37" s="371"/>
      <c r="O37" s="372"/>
      <c r="P37" s="373"/>
      <c r="Q37" s="374"/>
    </row>
    <row r="38" spans="1:17" s="159" customFormat="1" ht="13.8" thickBot="1" x14ac:dyDescent="0.3">
      <c r="A38" s="344" t="s">
        <v>0</v>
      </c>
      <c r="B38" s="345" t="s">
        <v>1</v>
      </c>
      <c r="C38" s="1028" t="s">
        <v>646</v>
      </c>
      <c r="D38" s="1028"/>
      <c r="E38" s="1028"/>
      <c r="F38" s="1028"/>
      <c r="G38" s="1028" t="s">
        <v>34</v>
      </c>
      <c r="H38" s="1028"/>
      <c r="I38" s="1028"/>
      <c r="J38" s="346"/>
      <c r="K38" s="503"/>
      <c r="L38" s="382"/>
      <c r="M38" s="346"/>
      <c r="N38" s="384"/>
      <c r="O38" s="372"/>
      <c r="P38" s="373"/>
      <c r="Q38" s="374"/>
    </row>
    <row r="39" spans="1:17" s="159" customFormat="1" ht="16.2" thickBot="1" x14ac:dyDescent="0.35">
      <c r="A39" s="536" t="s">
        <v>179</v>
      </c>
      <c r="B39" s="537" t="s">
        <v>185</v>
      </c>
      <c r="C39" s="388" t="s">
        <v>19</v>
      </c>
      <c r="D39" s="388" t="s">
        <v>33</v>
      </c>
      <c r="E39" s="389" t="s">
        <v>35</v>
      </c>
      <c r="F39" s="390" t="s">
        <v>30</v>
      </c>
      <c r="G39" s="512" t="s">
        <v>14</v>
      </c>
      <c r="H39" s="389" t="s">
        <v>35</v>
      </c>
      <c r="I39" s="390" t="s">
        <v>30</v>
      </c>
      <c r="J39" s="355" t="s">
        <v>649</v>
      </c>
      <c r="K39" s="513" t="s">
        <v>38</v>
      </c>
      <c r="L39" s="393"/>
      <c r="M39" s="399"/>
      <c r="N39" s="395"/>
      <c r="O39" s="372"/>
      <c r="P39" s="402"/>
      <c r="Q39" s="374"/>
    </row>
    <row r="40" spans="1:17" s="159" customFormat="1" x14ac:dyDescent="0.25">
      <c r="A40" s="361"/>
      <c r="B40" s="5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L40" s="369"/>
      <c r="M40" s="249"/>
      <c r="N40" s="371"/>
      <c r="O40" s="372"/>
      <c r="P40" s="373"/>
      <c r="Q40" s="374"/>
    </row>
    <row r="41" spans="1:17" s="159" customFormat="1" x14ac:dyDescent="0.25">
      <c r="A41" s="361"/>
      <c r="B41" s="5"/>
      <c r="C41" s="362"/>
      <c r="D41" s="363" t="s">
        <v>21</v>
      </c>
      <c r="E41" s="247">
        <v>0</v>
      </c>
      <c r="F41" s="364">
        <f>C41*E41</f>
        <v>0</v>
      </c>
      <c r="G41" s="509"/>
      <c r="H41" s="366">
        <v>0</v>
      </c>
      <c r="I41" s="364">
        <f>G41*H41</f>
        <v>0</v>
      </c>
      <c r="J41" s="367"/>
      <c r="K41" s="510">
        <f>F41+I41+J41</f>
        <v>0</v>
      </c>
      <c r="L41" s="369"/>
      <c r="M41" s="249"/>
      <c r="N41" s="371"/>
      <c r="O41" s="372"/>
      <c r="P41" s="373"/>
      <c r="Q41" s="374"/>
    </row>
    <row r="42" spans="1:17" s="159" customFormat="1" x14ac:dyDescent="0.25">
      <c r="A42" s="361"/>
      <c r="B42" s="5"/>
      <c r="C42" s="362"/>
      <c r="D42" s="363" t="s">
        <v>21</v>
      </c>
      <c r="E42" s="247">
        <v>0</v>
      </c>
      <c r="F42" s="364">
        <f>C42*E42</f>
        <v>0</v>
      </c>
      <c r="G42" s="509"/>
      <c r="H42" s="366">
        <v>0</v>
      </c>
      <c r="I42" s="364">
        <f>G42*H42</f>
        <v>0</v>
      </c>
      <c r="J42" s="367"/>
      <c r="K42" s="510">
        <f>F42+I42+J42</f>
        <v>0</v>
      </c>
      <c r="L42" s="369"/>
      <c r="M42" s="249"/>
      <c r="N42" s="371"/>
      <c r="O42" s="372"/>
      <c r="P42" s="373"/>
      <c r="Q42" s="374"/>
    </row>
    <row r="43" spans="1:17" s="159" customFormat="1" x14ac:dyDescent="0.25">
      <c r="A43" s="361"/>
      <c r="B43" s="5"/>
      <c r="C43" s="362"/>
      <c r="D43" s="363" t="s">
        <v>21</v>
      </c>
      <c r="E43" s="247">
        <v>0</v>
      </c>
      <c r="F43" s="364">
        <f>C43*E43</f>
        <v>0</v>
      </c>
      <c r="G43" s="509"/>
      <c r="H43" s="366">
        <v>0</v>
      </c>
      <c r="I43" s="364">
        <f>G43*H43</f>
        <v>0</v>
      </c>
      <c r="J43" s="367"/>
      <c r="K43" s="510">
        <f>F43+I43+J43</f>
        <v>0</v>
      </c>
      <c r="L43" s="369"/>
      <c r="M43" s="249"/>
      <c r="N43" s="371"/>
      <c r="O43" s="372"/>
      <c r="P43" s="373"/>
      <c r="Q43" s="374"/>
    </row>
    <row r="44" spans="1:17" s="159" customFormat="1" x14ac:dyDescent="0.25">
      <c r="A44" s="361"/>
      <c r="B44" s="5"/>
      <c r="C44" s="362"/>
      <c r="D44" s="363" t="s">
        <v>21</v>
      </c>
      <c r="E44" s="247">
        <v>0</v>
      </c>
      <c r="F44" s="364">
        <f>C44*E44</f>
        <v>0</v>
      </c>
      <c r="G44" s="509"/>
      <c r="H44" s="366">
        <v>0</v>
      </c>
      <c r="I44" s="364">
        <f>G44*H44</f>
        <v>0</v>
      </c>
      <c r="J44" s="367"/>
      <c r="K44" s="510">
        <f>F44+I44+J44</f>
        <v>0</v>
      </c>
      <c r="L44" s="369"/>
      <c r="M44" s="249"/>
      <c r="N44" s="371"/>
      <c r="O44" s="372"/>
      <c r="P44" s="373"/>
      <c r="Q44" s="374"/>
    </row>
    <row r="45" spans="1:17" s="159" customFormat="1" ht="13.8" thickBot="1" x14ac:dyDescent="0.3">
      <c r="A45" s="378"/>
      <c r="B45" s="403"/>
      <c r="C45" s="379"/>
      <c r="D45" s="363"/>
      <c r="E45" s="247"/>
      <c r="F45" s="364"/>
      <c r="G45" s="509"/>
      <c r="H45" s="366"/>
      <c r="I45" s="364"/>
      <c r="J45" s="367"/>
      <c r="K45" s="514"/>
      <c r="L45" s="369"/>
      <c r="M45" s="249"/>
      <c r="N45" s="371"/>
      <c r="O45" s="372"/>
      <c r="P45" s="373"/>
      <c r="Q45" s="374"/>
    </row>
    <row r="46" spans="1:17" s="159" customFormat="1" ht="13.8" thickTop="1" x14ac:dyDescent="0.25">
      <c r="A46" s="378"/>
      <c r="B46" s="403"/>
      <c r="C46" s="379"/>
      <c r="D46" s="363"/>
      <c r="E46" s="247"/>
      <c r="F46" s="364"/>
      <c r="G46" s="509"/>
      <c r="H46" s="366"/>
      <c r="I46" s="364"/>
      <c r="J46" s="380" t="s">
        <v>30</v>
      </c>
      <c r="K46" s="511">
        <f>SUM(K40:K45)</f>
        <v>0</v>
      </c>
      <c r="L46" s="369"/>
      <c r="M46" s="249"/>
      <c r="N46" s="409"/>
      <c r="O46" s="417"/>
      <c r="P46" s="418"/>
      <c r="Q46" s="374"/>
    </row>
    <row r="47" spans="1:17" s="159" customFormat="1" ht="13.8" thickBot="1" x14ac:dyDescent="0.3">
      <c r="A47" s="344" t="s">
        <v>0</v>
      </c>
      <c r="B47" s="345" t="s">
        <v>1</v>
      </c>
      <c r="C47" s="1028" t="s">
        <v>646</v>
      </c>
      <c r="D47" s="1028"/>
      <c r="E47" s="1028"/>
      <c r="F47" s="1028"/>
      <c r="G47" s="1028" t="s">
        <v>34</v>
      </c>
      <c r="H47" s="1028"/>
      <c r="I47" s="1028"/>
      <c r="J47" s="346"/>
      <c r="K47" s="503"/>
      <c r="L47" s="382"/>
      <c r="M47" s="346"/>
      <c r="N47" s="419"/>
      <c r="O47" s="417"/>
      <c r="P47" s="418"/>
      <c r="Q47" s="374"/>
    </row>
    <row r="48" spans="1:17" s="159" customFormat="1" ht="16.2" thickBot="1" x14ac:dyDescent="0.35">
      <c r="A48" s="536" t="s">
        <v>180</v>
      </c>
      <c r="B48" s="537" t="s">
        <v>186</v>
      </c>
      <c r="C48" s="388" t="s">
        <v>19</v>
      </c>
      <c r="D48" s="388" t="s">
        <v>33</v>
      </c>
      <c r="E48" s="389" t="s">
        <v>35</v>
      </c>
      <c r="F48" s="390" t="s">
        <v>30</v>
      </c>
      <c r="G48" s="512" t="s">
        <v>14</v>
      </c>
      <c r="H48" s="389" t="s">
        <v>35</v>
      </c>
      <c r="I48" s="390" t="s">
        <v>30</v>
      </c>
      <c r="J48" s="355" t="s">
        <v>649</v>
      </c>
      <c r="K48" s="513" t="s">
        <v>38</v>
      </c>
      <c r="L48" s="393"/>
      <c r="M48" s="399"/>
      <c r="N48" s="400"/>
      <c r="O48" s="401"/>
      <c r="P48" s="402"/>
      <c r="Q48" s="374"/>
    </row>
    <row r="49" spans="1:17" x14ac:dyDescent="0.25">
      <c r="A49" s="361"/>
      <c r="B49" s="5"/>
      <c r="C49" s="362"/>
      <c r="D49" s="363" t="s">
        <v>21</v>
      </c>
      <c r="E49" s="247">
        <v>0</v>
      </c>
      <c r="F49" s="364">
        <f t="shared" ref="F49:F55" si="6">C49*E49</f>
        <v>0</v>
      </c>
      <c r="G49" s="509"/>
      <c r="H49" s="366">
        <v>0</v>
      </c>
      <c r="I49" s="364">
        <f t="shared" ref="I49:I55" si="7">G49*H49</f>
        <v>0</v>
      </c>
      <c r="J49" s="367"/>
      <c r="K49" s="510">
        <f t="shared" ref="K49:K55" si="8">F49+I49+J49</f>
        <v>0</v>
      </c>
      <c r="L49" s="369"/>
      <c r="M49" s="249"/>
      <c r="N49" s="371"/>
      <c r="O49" s="372"/>
      <c r="P49" s="373"/>
      <c r="Q49" s="374"/>
    </row>
    <row r="50" spans="1:17" x14ac:dyDescent="0.25">
      <c r="A50" s="361"/>
      <c r="B50" s="5"/>
      <c r="C50" s="362"/>
      <c r="D50" s="363" t="s">
        <v>21</v>
      </c>
      <c r="E50" s="247">
        <v>0</v>
      </c>
      <c r="F50" s="364">
        <f t="shared" si="6"/>
        <v>0</v>
      </c>
      <c r="G50" s="509"/>
      <c r="H50" s="366">
        <v>0</v>
      </c>
      <c r="I50" s="364">
        <f t="shared" si="7"/>
        <v>0</v>
      </c>
      <c r="J50" s="367"/>
      <c r="K50" s="510">
        <f t="shared" si="8"/>
        <v>0</v>
      </c>
      <c r="L50" s="369"/>
      <c r="M50" s="370"/>
      <c r="N50" s="371"/>
      <c r="O50" s="372"/>
      <c r="P50" s="373"/>
      <c r="Q50" s="374"/>
    </row>
    <row r="51" spans="1:17" x14ac:dyDescent="0.25">
      <c r="A51" s="361"/>
      <c r="B51" s="5"/>
      <c r="C51" s="362"/>
      <c r="D51" s="363" t="s">
        <v>21</v>
      </c>
      <c r="E51" s="247">
        <v>0</v>
      </c>
      <c r="F51" s="364">
        <f t="shared" si="6"/>
        <v>0</v>
      </c>
      <c r="G51" s="509"/>
      <c r="H51" s="366">
        <v>0</v>
      </c>
      <c r="I51" s="364">
        <f t="shared" si="7"/>
        <v>0</v>
      </c>
      <c r="J51" s="367"/>
      <c r="K51" s="510">
        <f t="shared" si="8"/>
        <v>0</v>
      </c>
      <c r="L51" s="369"/>
      <c r="M51" s="370"/>
      <c r="N51" s="371"/>
      <c r="O51" s="372"/>
      <c r="P51" s="373"/>
      <c r="Q51" s="374"/>
    </row>
    <row r="52" spans="1:17" x14ac:dyDescent="0.25">
      <c r="A52" s="361"/>
      <c r="B52" s="5"/>
      <c r="C52" s="362"/>
      <c r="D52" s="363" t="s">
        <v>21</v>
      </c>
      <c r="E52" s="247">
        <v>0</v>
      </c>
      <c r="F52" s="364">
        <f t="shared" si="6"/>
        <v>0</v>
      </c>
      <c r="G52" s="509"/>
      <c r="H52" s="366">
        <v>0</v>
      </c>
      <c r="I52" s="364">
        <f t="shared" si="7"/>
        <v>0</v>
      </c>
      <c r="J52" s="367"/>
      <c r="K52" s="510">
        <f t="shared" si="8"/>
        <v>0</v>
      </c>
      <c r="L52" s="369"/>
      <c r="M52" s="370"/>
      <c r="N52" s="371"/>
      <c r="O52" s="372"/>
      <c r="P52" s="373"/>
      <c r="Q52" s="374"/>
    </row>
    <row r="53" spans="1:17" x14ac:dyDescent="0.25">
      <c r="A53" s="361"/>
      <c r="B53" s="5"/>
      <c r="C53" s="362"/>
      <c r="D53" s="363" t="s">
        <v>21</v>
      </c>
      <c r="E53" s="247">
        <v>0</v>
      </c>
      <c r="F53" s="364">
        <f t="shared" si="6"/>
        <v>0</v>
      </c>
      <c r="G53" s="509"/>
      <c r="H53" s="366">
        <v>0</v>
      </c>
      <c r="I53" s="364">
        <f t="shared" si="7"/>
        <v>0</v>
      </c>
      <c r="J53" s="367"/>
      <c r="K53" s="510">
        <f t="shared" si="8"/>
        <v>0</v>
      </c>
      <c r="L53" s="369"/>
      <c r="M53" s="370"/>
      <c r="N53" s="371"/>
      <c r="O53" s="372"/>
      <c r="P53" s="373"/>
      <c r="Q53" s="374"/>
    </row>
    <row r="54" spans="1:17" x14ac:dyDescent="0.25">
      <c r="A54" s="361"/>
      <c r="B54" s="5"/>
      <c r="C54" s="362"/>
      <c r="D54" s="363" t="s">
        <v>21</v>
      </c>
      <c r="E54" s="247">
        <v>0</v>
      </c>
      <c r="F54" s="364">
        <f t="shared" si="6"/>
        <v>0</v>
      </c>
      <c r="G54" s="509"/>
      <c r="H54" s="366">
        <v>0</v>
      </c>
      <c r="I54" s="364">
        <f t="shared" si="7"/>
        <v>0</v>
      </c>
      <c r="J54" s="367"/>
      <c r="K54" s="510">
        <f t="shared" si="8"/>
        <v>0</v>
      </c>
      <c r="L54" s="369"/>
      <c r="M54" s="370"/>
      <c r="N54" s="371"/>
      <c r="O54" s="372"/>
      <c r="P54" s="373"/>
      <c r="Q54" s="374"/>
    </row>
    <row r="55" spans="1:17" x14ac:dyDescent="0.25">
      <c r="A55" s="361"/>
      <c r="B55" s="5"/>
      <c r="C55" s="362"/>
      <c r="D55" s="363" t="s">
        <v>21</v>
      </c>
      <c r="E55" s="247">
        <v>0</v>
      </c>
      <c r="F55" s="364">
        <f t="shared" si="6"/>
        <v>0</v>
      </c>
      <c r="G55" s="509"/>
      <c r="H55" s="366">
        <v>0</v>
      </c>
      <c r="I55" s="364">
        <f t="shared" si="7"/>
        <v>0</v>
      </c>
      <c r="J55" s="367"/>
      <c r="K55" s="510">
        <f t="shared" si="8"/>
        <v>0</v>
      </c>
      <c r="L55" s="369"/>
      <c r="M55" s="370"/>
      <c r="N55" s="371"/>
      <c r="O55" s="372"/>
      <c r="P55" s="373"/>
      <c r="Q55" s="374"/>
    </row>
    <row r="56" spans="1:17" ht="13.8" thickBot="1" x14ac:dyDescent="0.3">
      <c r="A56" s="378"/>
      <c r="B56" s="5"/>
      <c r="C56" s="379"/>
      <c r="D56" s="363"/>
      <c r="E56" s="247"/>
      <c r="F56" s="364"/>
      <c r="G56" s="509"/>
      <c r="H56" s="366"/>
      <c r="I56" s="364"/>
      <c r="J56" s="367"/>
      <c r="K56" s="514"/>
      <c r="L56" s="369"/>
      <c r="M56" s="370"/>
      <c r="N56" s="371"/>
      <c r="O56" s="372"/>
      <c r="P56" s="373"/>
      <c r="Q56" s="374"/>
    </row>
    <row r="57" spans="1:17" ht="13.8" thickTop="1" x14ac:dyDescent="0.25">
      <c r="A57" s="378"/>
      <c r="B57" s="403"/>
      <c r="C57" s="379"/>
      <c r="D57" s="363"/>
      <c r="E57" s="247"/>
      <c r="F57" s="364"/>
      <c r="G57" s="509"/>
      <c r="H57" s="366"/>
      <c r="I57" s="364"/>
      <c r="J57" s="380" t="s">
        <v>30</v>
      </c>
      <c r="K57" s="511">
        <f>SUM(K49:K56)</f>
        <v>0</v>
      </c>
      <c r="L57" s="369"/>
      <c r="M57" s="370"/>
      <c r="N57" s="371"/>
      <c r="O57" s="372"/>
      <c r="P57" s="373"/>
      <c r="Q57" s="374"/>
    </row>
    <row r="58" spans="1:17" ht="13.8" thickBot="1" x14ac:dyDescent="0.3">
      <c r="A58" s="344" t="s">
        <v>0</v>
      </c>
      <c r="B58" s="345" t="s">
        <v>1</v>
      </c>
      <c r="C58" s="1028" t="s">
        <v>646</v>
      </c>
      <c r="D58" s="1028"/>
      <c r="E58" s="1028"/>
      <c r="F58" s="1028"/>
      <c r="G58" s="1028" t="s">
        <v>34</v>
      </c>
      <c r="H58" s="1028"/>
      <c r="I58" s="1028"/>
      <c r="J58" s="346"/>
      <c r="K58" s="503"/>
      <c r="L58" s="382"/>
      <c r="M58" s="383"/>
      <c r="N58" s="384"/>
      <c r="O58" s="372"/>
      <c r="P58" s="373"/>
      <c r="Q58" s="374"/>
    </row>
    <row r="59" spans="1:17" ht="16.2" thickBot="1" x14ac:dyDescent="0.35">
      <c r="A59" s="536" t="s">
        <v>181</v>
      </c>
      <c r="B59" s="537" t="s">
        <v>187</v>
      </c>
      <c r="C59" s="388" t="s">
        <v>19</v>
      </c>
      <c r="D59" s="388" t="s">
        <v>33</v>
      </c>
      <c r="E59" s="389" t="s">
        <v>35</v>
      </c>
      <c r="F59" s="390" t="s">
        <v>30</v>
      </c>
      <c r="G59" s="512" t="s">
        <v>14</v>
      </c>
      <c r="H59" s="389" t="s">
        <v>35</v>
      </c>
      <c r="I59" s="390" t="s">
        <v>30</v>
      </c>
      <c r="J59" s="355" t="s">
        <v>649</v>
      </c>
      <c r="K59" s="513" t="s">
        <v>38</v>
      </c>
      <c r="L59" s="393"/>
      <c r="M59" s="394"/>
      <c r="N59" s="395"/>
      <c r="O59" s="372"/>
      <c r="P59" s="373"/>
      <c r="Q59" s="374"/>
    </row>
    <row r="60" spans="1:17" x14ac:dyDescent="0.25">
      <c r="A60" s="793"/>
      <c r="B60" s="794" t="s">
        <v>972</v>
      </c>
      <c r="C60" s="795"/>
      <c r="D60" s="796" t="s">
        <v>21</v>
      </c>
      <c r="E60" s="797">
        <v>0</v>
      </c>
      <c r="F60" s="798">
        <f>C60*E60</f>
        <v>0</v>
      </c>
      <c r="G60" s="799">
        <f>2*8</f>
        <v>16</v>
      </c>
      <c r="H60" s="800">
        <v>65</v>
      </c>
      <c r="I60" s="798">
        <f>G60*H60</f>
        <v>1040</v>
      </c>
      <c r="J60" s="801"/>
      <c r="K60" s="802">
        <f>F60+I60+J60</f>
        <v>1040</v>
      </c>
      <c r="L60" s="369" t="s">
        <v>973</v>
      </c>
      <c r="M60" s="249"/>
      <c r="N60" s="371"/>
      <c r="O60" s="372"/>
      <c r="P60" s="373"/>
      <c r="Q60" s="374"/>
    </row>
    <row r="61" spans="1:17" x14ac:dyDescent="0.25">
      <c r="A61" s="793"/>
      <c r="B61" s="794" t="s">
        <v>974</v>
      </c>
      <c r="C61" s="795">
        <v>1</v>
      </c>
      <c r="D61" s="796" t="s">
        <v>21</v>
      </c>
      <c r="E61" s="834">
        <v>1000</v>
      </c>
      <c r="F61" s="798">
        <f>C61*E61</f>
        <v>1000</v>
      </c>
      <c r="G61" s="799"/>
      <c r="H61" s="800">
        <v>0</v>
      </c>
      <c r="I61" s="798">
        <f>G61*H61</f>
        <v>0</v>
      </c>
      <c r="J61" s="801"/>
      <c r="K61" s="802">
        <f>F61+I61+J61</f>
        <v>1000</v>
      </c>
      <c r="L61" s="369" t="s">
        <v>994</v>
      </c>
      <c r="M61" s="370"/>
      <c r="N61" s="371"/>
      <c r="O61" s="372"/>
      <c r="P61" s="373"/>
      <c r="Q61" s="374"/>
    </row>
    <row r="62" spans="1:17" x14ac:dyDescent="0.25">
      <c r="A62" s="361"/>
      <c r="B62" s="5"/>
      <c r="C62" s="362"/>
      <c r="D62" s="363" t="s">
        <v>21</v>
      </c>
      <c r="E62" s="247">
        <v>0</v>
      </c>
      <c r="F62" s="364">
        <f>C62*E62</f>
        <v>0</v>
      </c>
      <c r="G62" s="509"/>
      <c r="H62" s="366">
        <v>0</v>
      </c>
      <c r="I62" s="364">
        <f>G62*H62</f>
        <v>0</v>
      </c>
      <c r="J62" s="367"/>
      <c r="K62" s="510">
        <f>F62+I62+J62</f>
        <v>0</v>
      </c>
      <c r="L62" s="369"/>
      <c r="M62" s="370"/>
      <c r="N62" s="371"/>
      <c r="O62" s="372"/>
      <c r="P62" s="373"/>
      <c r="Q62" s="374"/>
    </row>
    <row r="63" spans="1:17" x14ac:dyDescent="0.25">
      <c r="A63" s="361"/>
      <c r="B63" s="5"/>
      <c r="C63" s="362"/>
      <c r="D63" s="363" t="s">
        <v>21</v>
      </c>
      <c r="E63" s="247">
        <v>0</v>
      </c>
      <c r="F63" s="364">
        <f>C63*E63</f>
        <v>0</v>
      </c>
      <c r="G63" s="509"/>
      <c r="H63" s="366">
        <v>0</v>
      </c>
      <c r="I63" s="364">
        <f>G63*H63</f>
        <v>0</v>
      </c>
      <c r="J63" s="367"/>
      <c r="K63" s="510">
        <f>F63+I63+J63</f>
        <v>0</v>
      </c>
      <c r="L63" s="369"/>
      <c r="M63" s="370"/>
      <c r="N63" s="371"/>
      <c r="O63" s="372"/>
      <c r="P63" s="373"/>
      <c r="Q63" s="374"/>
    </row>
    <row r="64" spans="1:17" x14ac:dyDescent="0.25">
      <c r="A64" s="361"/>
      <c r="B64" s="5"/>
      <c r="C64" s="362"/>
      <c r="D64" s="363" t="s">
        <v>21</v>
      </c>
      <c r="E64" s="247">
        <v>0</v>
      </c>
      <c r="F64" s="364">
        <f>C64*E64</f>
        <v>0</v>
      </c>
      <c r="G64" s="509"/>
      <c r="H64" s="366">
        <v>0</v>
      </c>
      <c r="I64" s="364">
        <f>G64*H64</f>
        <v>0</v>
      </c>
      <c r="J64" s="367"/>
      <c r="K64" s="510">
        <f>F64+I64+J64</f>
        <v>0</v>
      </c>
      <c r="L64" s="369"/>
      <c r="M64" s="370"/>
      <c r="N64" s="371"/>
      <c r="O64" s="372"/>
      <c r="P64" s="373"/>
      <c r="Q64" s="374"/>
    </row>
    <row r="65" spans="1:17" ht="13.8" thickBot="1" x14ac:dyDescent="0.3">
      <c r="A65" s="378"/>
      <c r="B65" s="5"/>
      <c r="C65" s="379"/>
      <c r="D65" s="363"/>
      <c r="E65" s="247"/>
      <c r="F65" s="364"/>
      <c r="G65" s="509"/>
      <c r="H65" s="366"/>
      <c r="I65" s="364"/>
      <c r="J65" s="367"/>
      <c r="K65" s="514"/>
      <c r="L65" s="369"/>
      <c r="M65" s="370"/>
      <c r="N65" s="371"/>
      <c r="O65" s="372"/>
      <c r="P65" s="373"/>
      <c r="Q65" s="374"/>
    </row>
    <row r="66" spans="1:17" ht="14.4" thickTop="1" thickBot="1" x14ac:dyDescent="0.3">
      <c r="A66" s="378"/>
      <c r="B66" s="403"/>
      <c r="C66" s="379"/>
      <c r="D66" s="363"/>
      <c r="E66" s="247"/>
      <c r="F66" s="364"/>
      <c r="G66" s="509"/>
      <c r="H66" s="366"/>
      <c r="I66" s="364"/>
      <c r="J66" s="380" t="s">
        <v>30</v>
      </c>
      <c r="K66" s="511">
        <f>SUM(K60:K65)</f>
        <v>2040</v>
      </c>
      <c r="L66" s="438"/>
      <c r="M66" s="439"/>
      <c r="N66" s="440"/>
      <c r="O66" s="441"/>
      <c r="P66" s="442"/>
      <c r="Q66" s="443"/>
    </row>
    <row r="67" spans="1:17" ht="14.1" customHeight="1" thickTop="1" x14ac:dyDescent="0.25">
      <c r="A67" s="458"/>
      <c r="B67" s="459"/>
      <c r="C67" s="460"/>
      <c r="D67" s="460"/>
      <c r="E67" s="461"/>
      <c r="F67" s="1038" t="s">
        <v>648</v>
      </c>
      <c r="G67" s="1040" t="s">
        <v>673</v>
      </c>
      <c r="H67" s="461"/>
      <c r="I67" s="1042" t="s">
        <v>647</v>
      </c>
      <c r="J67" s="1044" t="s">
        <v>674</v>
      </c>
      <c r="K67" s="1121" t="s">
        <v>31</v>
      </c>
    </row>
    <row r="68" spans="1:17" ht="13.8" x14ac:dyDescent="0.25">
      <c r="A68" s="462" t="s">
        <v>32</v>
      </c>
      <c r="B68" s="1031" t="s">
        <v>25</v>
      </c>
      <c r="C68" s="463"/>
      <c r="D68" s="464"/>
      <c r="E68" s="464"/>
      <c r="F68" s="1039"/>
      <c r="G68" s="1041"/>
      <c r="H68" s="465"/>
      <c r="I68" s="1043"/>
      <c r="J68" s="1045"/>
      <c r="K68" s="1122"/>
    </row>
    <row r="69" spans="1:17" ht="13.8" x14ac:dyDescent="0.25">
      <c r="A69" s="779">
        <f>K69/E6</f>
        <v>110.23333333333333</v>
      </c>
      <c r="B69" s="1031"/>
      <c r="C69" s="464"/>
      <c r="D69" s="464"/>
      <c r="E69" s="464"/>
      <c r="F69" s="1036">
        <f>SUM(F60:F65,F49:F56,F40:F45,F32:F36,F22:F28,F13:F18)</f>
        <v>1000</v>
      </c>
      <c r="G69" s="1123">
        <f>SUM(G60:G65,G49:G56,G40:G45,G32:G36,G22:G28,G13:G17)</f>
        <v>16</v>
      </c>
      <c r="H69" s="465"/>
      <c r="I69" s="1036">
        <f>SUM(I60:I65,I49:I56,I40:I45,I32:I36,I22:I28,I13:I18)</f>
        <v>1040</v>
      </c>
      <c r="J69" s="1032">
        <f>SUM(J60:J65,J49:J55,J40:J45,J32:J36,J22:J28,J13:J18)</f>
        <v>64100</v>
      </c>
      <c r="K69" s="1119">
        <f>SUM(,K66,K57,K46,K37,K29,K19)</f>
        <v>66140</v>
      </c>
    </row>
    <row r="70" spans="1:17" ht="14.4" thickBot="1" x14ac:dyDescent="0.3">
      <c r="A70" s="462"/>
      <c r="B70" s="529"/>
      <c r="C70" s="468"/>
      <c r="D70" s="468"/>
      <c r="E70" s="468"/>
      <c r="F70" s="1037"/>
      <c r="G70" s="1124"/>
      <c r="H70" s="468"/>
      <c r="I70" s="1037"/>
      <c r="J70" s="1033"/>
      <c r="K70" s="1120"/>
    </row>
    <row r="71" spans="1:17" ht="13.8" thickBot="1" x14ac:dyDescent="0.3">
      <c r="A71" s="469"/>
      <c r="B71" s="470"/>
      <c r="C71" s="470"/>
      <c r="D71" s="470"/>
      <c r="E71" s="470"/>
      <c r="F71" s="470"/>
      <c r="G71" s="470"/>
      <c r="H71" s="470"/>
      <c r="I71" s="470"/>
      <c r="J71" s="470"/>
      <c r="K71" s="471"/>
    </row>
  </sheetData>
  <mergeCells count="57">
    <mergeCell ref="Q11:Q12"/>
    <mergeCell ref="L11:L12"/>
    <mergeCell ref="M11:M12"/>
    <mergeCell ref="N11:N12"/>
    <mergeCell ref="O11:O12"/>
    <mergeCell ref="P11:P12"/>
    <mergeCell ref="J69:J70"/>
    <mergeCell ref="K69:K70"/>
    <mergeCell ref="F67:F68"/>
    <mergeCell ref="G67:G68"/>
    <mergeCell ref="I67:I68"/>
    <mergeCell ref="J67:J68"/>
    <mergeCell ref="K67:K68"/>
    <mergeCell ref="B68:B69"/>
    <mergeCell ref="F69:F70"/>
    <mergeCell ref="G69:G70"/>
    <mergeCell ref="I69:I70"/>
    <mergeCell ref="C47:F47"/>
    <mergeCell ref="G47:I47"/>
    <mergeCell ref="C58:F58"/>
    <mergeCell ref="G58:I58"/>
    <mergeCell ref="C20:F20"/>
    <mergeCell ref="G20:I20"/>
    <mergeCell ref="C30:F30"/>
    <mergeCell ref="G30:I30"/>
    <mergeCell ref="C38:F38"/>
    <mergeCell ref="G38:I38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H9:H10"/>
    <mergeCell ref="I9:I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W240"/>
  <sheetViews>
    <sheetView zoomScaleNormal="100" zoomScaleSheetLayoutView="90" zoomScalePageLayoutView="75" workbookViewId="0">
      <selection activeCell="M34" sqref="M34"/>
    </sheetView>
  </sheetViews>
  <sheetFormatPr defaultColWidth="9.33203125" defaultRowHeight="13.2" x14ac:dyDescent="0.25"/>
  <cols>
    <col min="1" max="1" width="12.33203125" style="157" bestFit="1" customWidth="1"/>
    <col min="2" max="2" width="44.5546875" style="311" customWidth="1"/>
    <col min="3" max="4" width="5" style="421" customWidth="1"/>
    <col min="5" max="5" width="12.441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6640625" style="157" bestFit="1" customWidth="1"/>
    <col min="10" max="10" width="16.33203125" style="157" bestFit="1" customWidth="1"/>
    <col min="11" max="11" width="14.33203125" style="157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8" width="9.33203125" style="157"/>
    <col min="19" max="19" width="11.44140625" style="157" customWidth="1"/>
    <col min="20" max="20" width="12.5546875" style="157" customWidth="1"/>
    <col min="21" max="21" width="6.44140625" style="157" customWidth="1"/>
    <col min="22" max="22" width="13.44140625" style="157" customWidth="1"/>
    <col min="23" max="23" width="12.44140625" style="157" customWidth="1"/>
    <col min="24" max="16384" width="9.33203125" style="157"/>
  </cols>
  <sheetData>
    <row r="1" spans="1:19" ht="13.8" thickBot="1" x14ac:dyDescent="0.3">
      <c r="A1" s="543"/>
      <c r="B1" s="544"/>
      <c r="C1" s="1126">
        <f>'Estimate Summary'!C1:H1</f>
        <v>0</v>
      </c>
      <c r="D1" s="1126"/>
      <c r="E1" s="1126"/>
      <c r="F1" s="1126"/>
      <c r="G1" s="1126"/>
      <c r="H1" s="1126"/>
      <c r="I1" s="1126"/>
      <c r="J1" s="1126"/>
      <c r="K1" s="1127"/>
    </row>
    <row r="2" spans="1:19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9" ht="13.8" thickBot="1" x14ac:dyDescent="0.3">
      <c r="A3" s="1014"/>
      <c r="B3" s="1015"/>
      <c r="C3" s="494"/>
      <c r="D3" s="1013"/>
      <c r="E3" s="1013"/>
      <c r="F3" s="1013"/>
      <c r="G3" s="545"/>
      <c r="H3" s="323"/>
      <c r="I3" s="546"/>
      <c r="J3" s="546"/>
      <c r="K3" s="547"/>
      <c r="L3" s="1131"/>
      <c r="M3" s="1132"/>
      <c r="N3" s="1024"/>
      <c r="O3" s="1024"/>
      <c r="P3" s="1025"/>
    </row>
    <row r="4" spans="1:19" ht="13.8" thickBot="1" x14ac:dyDescent="0.3">
      <c r="A4" s="1014"/>
      <c r="B4" s="1015"/>
      <c r="C4" s="494"/>
      <c r="D4" s="1013"/>
      <c r="E4" s="1013"/>
      <c r="F4" s="1013"/>
      <c r="G4" s="548"/>
      <c r="H4" s="548"/>
      <c r="I4" s="319"/>
      <c r="J4" s="320"/>
      <c r="K4" s="321"/>
      <c r="L4" s="1131"/>
      <c r="M4" s="1132"/>
      <c r="N4" s="1024"/>
      <c r="O4" s="1024"/>
      <c r="P4" s="1025"/>
    </row>
    <row r="5" spans="1:19" ht="13.8" thickBot="1" x14ac:dyDescent="0.3">
      <c r="A5" s="549"/>
      <c r="B5" s="550"/>
      <c r="C5" s="494"/>
      <c r="D5" s="331"/>
      <c r="E5" s="332"/>
      <c r="F5" s="548"/>
      <c r="G5" s="1128" t="s">
        <v>7</v>
      </c>
      <c r="H5" s="1128"/>
      <c r="I5" s="1128"/>
      <c r="J5" s="1129" t="s">
        <v>73</v>
      </c>
      <c r="K5" s="1130"/>
      <c r="L5" s="1131"/>
      <c r="M5" s="1132"/>
      <c r="N5" s="1024"/>
      <c r="O5" s="1024"/>
      <c r="P5" s="1025"/>
    </row>
    <row r="6" spans="1:19" ht="13.8" thickBot="1" x14ac:dyDescent="0.3">
      <c r="A6" s="549"/>
      <c r="B6" s="550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128"/>
      <c r="H6" s="1128"/>
      <c r="I6" s="1128"/>
      <c r="J6" s="336">
        <f>'1'!J6</f>
        <v>15</v>
      </c>
      <c r="K6" s="321" t="s">
        <v>74</v>
      </c>
      <c r="L6" s="1131"/>
      <c r="M6" s="1132"/>
      <c r="N6" s="1024"/>
      <c r="O6" s="1024"/>
      <c r="P6" s="1025"/>
    </row>
    <row r="7" spans="1:19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9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551"/>
      <c r="M8" s="552"/>
      <c r="N8" s="551"/>
      <c r="O8" s="553"/>
      <c r="P8" s="553"/>
    </row>
    <row r="9" spans="1:19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152" t="s">
        <v>771</v>
      </c>
      <c r="M9" s="1154" t="s">
        <v>772</v>
      </c>
      <c r="N9" s="1156" t="s">
        <v>773</v>
      </c>
      <c r="O9" s="1158"/>
      <c r="P9" s="1160"/>
      <c r="Q9" s="1150"/>
      <c r="S9" s="538"/>
    </row>
    <row r="10" spans="1:19" ht="13.8" thickBot="1" x14ac:dyDescent="0.3">
      <c r="A10" s="554" t="s">
        <v>714</v>
      </c>
      <c r="B10" s="555" t="s">
        <v>871</v>
      </c>
      <c r="C10" s="388" t="s">
        <v>19</v>
      </c>
      <c r="D10" s="388" t="s">
        <v>33</v>
      </c>
      <c r="E10" s="389" t="s">
        <v>35</v>
      </c>
      <c r="F10" s="390" t="s">
        <v>30</v>
      </c>
      <c r="G10" s="512" t="s">
        <v>14</v>
      </c>
      <c r="H10" s="389" t="s">
        <v>35</v>
      </c>
      <c r="I10" s="390" t="s">
        <v>30</v>
      </c>
      <c r="J10" s="355" t="s">
        <v>649</v>
      </c>
      <c r="K10" s="513" t="s">
        <v>38</v>
      </c>
      <c r="L10" s="1153"/>
      <c r="M10" s="1155"/>
      <c r="N10" s="1157"/>
      <c r="O10" s="1159"/>
      <c r="P10" s="1161"/>
      <c r="Q10" s="1151"/>
    </row>
    <row r="11" spans="1:19" x14ac:dyDescent="0.25">
      <c r="A11" s="361"/>
      <c r="B11" s="5"/>
      <c r="C11" s="362"/>
      <c r="D11" s="363"/>
      <c r="E11" s="247"/>
      <c r="F11" s="364"/>
      <c r="G11" s="509"/>
      <c r="H11" s="366">
        <v>0</v>
      </c>
      <c r="I11" s="364">
        <f t="shared" ref="I11:I17" si="0">G11*H11</f>
        <v>0</v>
      </c>
      <c r="J11" s="367"/>
      <c r="K11" s="510">
        <f t="shared" ref="K11:K17" si="1">F11+I11+J11</f>
        <v>0</v>
      </c>
      <c r="L11" s="369"/>
      <c r="M11" s="370"/>
      <c r="N11" s="371"/>
      <c r="O11" s="372"/>
      <c r="P11" s="373"/>
      <c r="Q11" s="374"/>
    </row>
    <row r="12" spans="1:19" x14ac:dyDescent="0.25">
      <c r="A12" s="361"/>
      <c r="B12" s="5"/>
      <c r="C12" s="362"/>
      <c r="D12" s="363"/>
      <c r="E12" s="247"/>
      <c r="F12" s="364"/>
      <c r="G12" s="509"/>
      <c r="H12" s="366">
        <v>0</v>
      </c>
      <c r="I12" s="364">
        <f t="shared" si="0"/>
        <v>0</v>
      </c>
      <c r="J12" s="367"/>
      <c r="K12" s="510">
        <f t="shared" si="1"/>
        <v>0</v>
      </c>
      <c r="L12" s="369"/>
      <c r="M12" s="370"/>
      <c r="N12" s="371"/>
      <c r="O12" s="372"/>
      <c r="P12" s="373"/>
      <c r="Q12" s="374"/>
    </row>
    <row r="13" spans="1:19" x14ac:dyDescent="0.25">
      <c r="A13" s="361"/>
      <c r="B13" s="5"/>
      <c r="C13" s="362"/>
      <c r="D13" s="363"/>
      <c r="E13" s="247"/>
      <c r="F13" s="364"/>
      <c r="G13" s="509"/>
      <c r="H13" s="366">
        <v>0</v>
      </c>
      <c r="I13" s="364">
        <f t="shared" si="0"/>
        <v>0</v>
      </c>
      <c r="J13" s="367"/>
      <c r="K13" s="510">
        <f t="shared" si="1"/>
        <v>0</v>
      </c>
      <c r="L13" s="369"/>
      <c r="M13" s="370"/>
      <c r="N13" s="371"/>
      <c r="O13" s="372"/>
      <c r="P13" s="373"/>
      <c r="Q13" s="374"/>
    </row>
    <row r="14" spans="1:19" x14ac:dyDescent="0.25">
      <c r="A14" s="361"/>
      <c r="B14" s="5"/>
      <c r="C14" s="362"/>
      <c r="D14" s="363"/>
      <c r="E14" s="247"/>
      <c r="F14" s="364"/>
      <c r="G14" s="509"/>
      <c r="H14" s="366">
        <v>0</v>
      </c>
      <c r="I14" s="364">
        <f t="shared" si="0"/>
        <v>0</v>
      </c>
      <c r="J14" s="367"/>
      <c r="K14" s="510">
        <f t="shared" si="1"/>
        <v>0</v>
      </c>
      <c r="L14" s="369"/>
      <c r="M14" s="370"/>
      <c r="N14" s="371"/>
      <c r="O14" s="372"/>
      <c r="P14" s="373"/>
      <c r="Q14" s="374"/>
    </row>
    <row r="15" spans="1:19" x14ac:dyDescent="0.25">
      <c r="A15" s="361"/>
      <c r="B15" s="5"/>
      <c r="C15" s="362"/>
      <c r="D15" s="363"/>
      <c r="E15" s="247"/>
      <c r="F15" s="364"/>
      <c r="G15" s="509"/>
      <c r="H15" s="366">
        <v>0</v>
      </c>
      <c r="I15" s="364">
        <f t="shared" si="0"/>
        <v>0</v>
      </c>
      <c r="J15" s="367"/>
      <c r="K15" s="510">
        <f t="shared" si="1"/>
        <v>0</v>
      </c>
      <c r="L15" s="369"/>
      <c r="M15" s="370"/>
      <c r="N15" s="371"/>
      <c r="O15" s="372"/>
      <c r="P15" s="373"/>
      <c r="Q15" s="374"/>
    </row>
    <row r="16" spans="1:19" x14ac:dyDescent="0.25">
      <c r="A16" s="361"/>
      <c r="B16" s="5"/>
      <c r="C16" s="362"/>
      <c r="D16" s="363"/>
      <c r="E16" s="247"/>
      <c r="F16" s="364"/>
      <c r="G16" s="509"/>
      <c r="H16" s="366">
        <v>0</v>
      </c>
      <c r="I16" s="364">
        <f t="shared" si="0"/>
        <v>0</v>
      </c>
      <c r="J16" s="367"/>
      <c r="K16" s="510">
        <f t="shared" si="1"/>
        <v>0</v>
      </c>
      <c r="L16" s="369"/>
      <c r="M16" s="370"/>
      <c r="N16" s="371"/>
      <c r="O16" s="372"/>
      <c r="P16" s="373"/>
      <c r="Q16" s="374"/>
    </row>
    <row r="17" spans="1:22" x14ac:dyDescent="0.25">
      <c r="A17" s="361"/>
      <c r="B17" s="5"/>
      <c r="C17" s="362"/>
      <c r="D17" s="363"/>
      <c r="E17" s="247"/>
      <c r="F17" s="364"/>
      <c r="G17" s="509"/>
      <c r="H17" s="366">
        <v>0</v>
      </c>
      <c r="I17" s="364">
        <f t="shared" si="0"/>
        <v>0</v>
      </c>
      <c r="J17" s="367"/>
      <c r="K17" s="510">
        <f t="shared" si="1"/>
        <v>0</v>
      </c>
      <c r="L17" s="369"/>
      <c r="M17" s="370"/>
      <c r="N17" s="371"/>
      <c r="O17" s="372"/>
      <c r="P17" s="373"/>
      <c r="Q17" s="374"/>
    </row>
    <row r="18" spans="1:22" ht="13.8" thickBot="1" x14ac:dyDescent="0.3">
      <c r="A18" s="361"/>
      <c r="B18" s="5"/>
      <c r="C18" s="379"/>
      <c r="D18" s="363"/>
      <c r="E18" s="247"/>
      <c r="F18" s="364"/>
      <c r="G18" s="509"/>
      <c r="H18" s="366"/>
      <c r="I18" s="364"/>
      <c r="J18" s="367"/>
      <c r="K18" s="514"/>
      <c r="L18" s="369"/>
      <c r="M18" s="370"/>
      <c r="N18" s="371"/>
      <c r="O18" s="372"/>
      <c r="P18" s="373"/>
      <c r="Q18" s="374"/>
    </row>
    <row r="19" spans="1:22" ht="14.4" thickTop="1" thickBot="1" x14ac:dyDescent="0.3">
      <c r="A19" s="378"/>
      <c r="B19" s="5"/>
      <c r="C19" s="379"/>
      <c r="D19" s="363"/>
      <c r="E19" s="247"/>
      <c r="F19" s="364"/>
      <c r="G19" s="509"/>
      <c r="H19" s="366"/>
      <c r="I19" s="364"/>
      <c r="J19" s="380" t="s">
        <v>30</v>
      </c>
      <c r="K19" s="511">
        <f>SUM(K11:K18)</f>
        <v>0</v>
      </c>
      <c r="L19" s="382"/>
      <c r="M19" s="383"/>
      <c r="N19" s="384"/>
      <c r="O19" s="372"/>
      <c r="P19" s="373"/>
      <c r="Q19" s="374"/>
    </row>
    <row r="20" spans="1:22" ht="13.8" thickBot="1" x14ac:dyDescent="0.3">
      <c r="A20" s="554" t="s">
        <v>190</v>
      </c>
      <c r="B20" s="555" t="s">
        <v>870</v>
      </c>
      <c r="C20" s="351" t="s">
        <v>19</v>
      </c>
      <c r="D20" s="351" t="s">
        <v>33</v>
      </c>
      <c r="E20" s="352" t="s">
        <v>35</v>
      </c>
      <c r="F20" s="353" t="s">
        <v>30</v>
      </c>
      <c r="G20" s="506"/>
      <c r="H20" s="352"/>
      <c r="I20" s="353"/>
      <c r="J20" s="355" t="s">
        <v>649</v>
      </c>
      <c r="K20" s="507" t="s">
        <v>38</v>
      </c>
      <c r="L20" s="393"/>
      <c r="M20" s="394"/>
      <c r="N20" s="395"/>
      <c r="O20" s="372"/>
      <c r="P20" s="373"/>
      <c r="Q20" s="374"/>
      <c r="V20" s="249"/>
    </row>
    <row r="21" spans="1:22" x14ac:dyDescent="0.25">
      <c r="A21" s="361"/>
      <c r="B21" s="5"/>
      <c r="C21" s="362"/>
      <c r="D21" s="363"/>
      <c r="E21" s="247"/>
      <c r="F21" s="364"/>
      <c r="G21" s="509"/>
      <c r="H21" s="366"/>
      <c r="I21" s="364"/>
      <c r="J21" s="367"/>
      <c r="K21" s="510"/>
      <c r="L21" s="369"/>
      <c r="M21" s="370"/>
      <c r="N21" s="371"/>
      <c r="O21" s="372"/>
      <c r="P21" s="373"/>
      <c r="Q21" s="374"/>
    </row>
    <row r="22" spans="1:22" x14ac:dyDescent="0.25">
      <c r="A22" s="361"/>
      <c r="B22" s="5" t="s">
        <v>873</v>
      </c>
      <c r="C22" s="362"/>
      <c r="D22" s="363" t="s">
        <v>741</v>
      </c>
      <c r="E22" s="247">
        <v>0.5</v>
      </c>
      <c r="F22" s="364">
        <f t="shared" ref="F22:F33" si="2">C22*E22</f>
        <v>0</v>
      </c>
      <c r="G22" s="509"/>
      <c r="H22" s="366"/>
      <c r="I22" s="364"/>
      <c r="J22" s="367"/>
      <c r="K22" s="510">
        <f t="shared" ref="K22:K33" si="3">F22+I22+J22</f>
        <v>0</v>
      </c>
      <c r="L22" s="369"/>
      <c r="M22" s="370"/>
      <c r="N22" s="371"/>
      <c r="O22" s="372"/>
      <c r="P22" s="373"/>
      <c r="Q22" s="374"/>
    </row>
    <row r="23" spans="1:22" x14ac:dyDescent="0.25">
      <c r="A23" s="361"/>
      <c r="B23" s="5" t="s">
        <v>874</v>
      </c>
      <c r="C23" s="362"/>
      <c r="D23" s="363" t="s">
        <v>741</v>
      </c>
      <c r="E23" s="247">
        <v>0.81</v>
      </c>
      <c r="F23" s="364">
        <f t="shared" si="2"/>
        <v>0</v>
      </c>
      <c r="G23" s="509"/>
      <c r="H23" s="366"/>
      <c r="I23" s="364"/>
      <c r="J23" s="367"/>
      <c r="K23" s="510">
        <f t="shared" si="3"/>
        <v>0</v>
      </c>
      <c r="L23" s="369"/>
      <c r="M23" s="370"/>
      <c r="N23" s="371"/>
      <c r="O23" s="372"/>
      <c r="P23" s="373"/>
      <c r="Q23" s="374"/>
    </row>
    <row r="24" spans="1:22" x14ac:dyDescent="0.25">
      <c r="A24" s="361"/>
      <c r="B24" s="5" t="s">
        <v>872</v>
      </c>
      <c r="C24" s="362"/>
      <c r="D24" s="363" t="s">
        <v>741</v>
      </c>
      <c r="E24" s="247">
        <v>1.24</v>
      </c>
      <c r="F24" s="364">
        <f t="shared" si="2"/>
        <v>0</v>
      </c>
      <c r="G24" s="509"/>
      <c r="H24" s="366"/>
      <c r="I24" s="364"/>
      <c r="J24" s="367"/>
      <c r="K24" s="510">
        <f t="shared" si="3"/>
        <v>0</v>
      </c>
      <c r="L24" s="369"/>
      <c r="M24" s="370"/>
      <c r="N24" s="371"/>
      <c r="O24" s="372"/>
      <c r="P24" s="373"/>
      <c r="Q24" s="374"/>
      <c r="V24" s="249"/>
    </row>
    <row r="25" spans="1:22" x14ac:dyDescent="0.25">
      <c r="A25" s="361"/>
      <c r="B25" s="5" t="s">
        <v>875</v>
      </c>
      <c r="C25" s="362"/>
      <c r="D25" s="363" t="s">
        <v>741</v>
      </c>
      <c r="E25" s="247">
        <v>1.61</v>
      </c>
      <c r="F25" s="364">
        <f t="shared" si="2"/>
        <v>0</v>
      </c>
      <c r="G25" s="509"/>
      <c r="H25" s="366"/>
      <c r="I25" s="364"/>
      <c r="J25" s="367"/>
      <c r="K25" s="510">
        <f t="shared" si="3"/>
        <v>0</v>
      </c>
      <c r="L25" s="157"/>
      <c r="M25" s="449"/>
      <c r="O25" s="372"/>
      <c r="P25" s="373"/>
      <c r="Q25" s="374"/>
      <c r="V25" s="249"/>
    </row>
    <row r="26" spans="1:22" x14ac:dyDescent="0.25">
      <c r="A26" s="556"/>
      <c r="B26" s="5" t="s">
        <v>876</v>
      </c>
      <c r="C26" s="362"/>
      <c r="D26" s="363" t="s">
        <v>741</v>
      </c>
      <c r="E26" s="247">
        <v>0.25</v>
      </c>
      <c r="F26" s="364">
        <f t="shared" si="2"/>
        <v>0</v>
      </c>
      <c r="G26" s="509"/>
      <c r="H26" s="366"/>
      <c r="I26" s="364"/>
      <c r="J26" s="367"/>
      <c r="K26" s="510">
        <f t="shared" si="3"/>
        <v>0</v>
      </c>
      <c r="L26" s="157"/>
      <c r="M26" s="449"/>
      <c r="O26" s="372"/>
      <c r="P26" s="373"/>
      <c r="Q26" s="374"/>
      <c r="V26" s="249"/>
    </row>
    <row r="27" spans="1:22" x14ac:dyDescent="0.25">
      <c r="A27" s="556"/>
      <c r="B27" s="5" t="s">
        <v>877</v>
      </c>
      <c r="C27" s="362"/>
      <c r="D27" s="363" t="s">
        <v>741</v>
      </c>
      <c r="E27" s="247">
        <v>0.37</v>
      </c>
      <c r="F27" s="364">
        <f t="shared" si="2"/>
        <v>0</v>
      </c>
      <c r="G27" s="509"/>
      <c r="H27" s="366"/>
      <c r="I27" s="364"/>
      <c r="J27" s="367"/>
      <c r="K27" s="510">
        <f t="shared" si="3"/>
        <v>0</v>
      </c>
      <c r="L27" s="369"/>
      <c r="M27" s="370"/>
      <c r="N27" s="371"/>
      <c r="O27" s="372"/>
      <c r="P27" s="373"/>
      <c r="Q27" s="374"/>
      <c r="V27" s="249"/>
    </row>
    <row r="28" spans="1:22" x14ac:dyDescent="0.25">
      <c r="A28" s="556"/>
      <c r="B28" s="6" t="s">
        <v>878</v>
      </c>
      <c r="C28" s="362"/>
      <c r="D28" s="363"/>
      <c r="E28" s="247"/>
      <c r="F28" s="364"/>
      <c r="G28" s="509"/>
      <c r="H28" s="366"/>
      <c r="I28" s="364"/>
      <c r="J28" s="367"/>
      <c r="K28" s="510">
        <f t="shared" si="3"/>
        <v>0</v>
      </c>
      <c r="L28" s="369"/>
      <c r="M28" s="370"/>
      <c r="N28" s="371"/>
      <c r="O28" s="372"/>
      <c r="P28" s="373"/>
      <c r="Q28" s="374"/>
      <c r="V28" s="249"/>
    </row>
    <row r="29" spans="1:22" x14ac:dyDescent="0.25">
      <c r="A29" s="556"/>
      <c r="B29" s="5" t="s">
        <v>879</v>
      </c>
      <c r="C29" s="362"/>
      <c r="D29" s="363" t="s">
        <v>880</v>
      </c>
      <c r="E29" s="247">
        <v>30.65</v>
      </c>
      <c r="F29" s="364">
        <f t="shared" si="2"/>
        <v>0</v>
      </c>
      <c r="G29" s="509"/>
      <c r="H29" s="366"/>
      <c r="I29" s="364"/>
      <c r="J29" s="367"/>
      <c r="K29" s="510">
        <f t="shared" si="3"/>
        <v>0</v>
      </c>
      <c r="L29" s="369"/>
      <c r="M29" s="370"/>
      <c r="N29" s="371"/>
      <c r="O29" s="372"/>
      <c r="P29" s="373"/>
      <c r="Q29" s="374"/>
      <c r="V29" s="249"/>
    </row>
    <row r="30" spans="1:22" x14ac:dyDescent="0.25">
      <c r="A30" s="556"/>
      <c r="B30" s="5" t="s">
        <v>881</v>
      </c>
      <c r="C30" s="362"/>
      <c r="D30" s="363" t="s">
        <v>880</v>
      </c>
      <c r="E30" s="247">
        <v>43.69</v>
      </c>
      <c r="F30" s="364">
        <f t="shared" si="2"/>
        <v>0</v>
      </c>
      <c r="G30" s="509"/>
      <c r="H30" s="366"/>
      <c r="I30" s="364"/>
      <c r="J30" s="367"/>
      <c r="K30" s="510">
        <f t="shared" si="3"/>
        <v>0</v>
      </c>
      <c r="L30" s="369"/>
      <c r="M30" s="370"/>
      <c r="N30" s="371"/>
      <c r="O30" s="372"/>
      <c r="P30" s="373"/>
      <c r="Q30" s="374"/>
      <c r="V30" s="249"/>
    </row>
    <row r="31" spans="1:22" x14ac:dyDescent="0.25">
      <c r="A31" s="556"/>
      <c r="B31" s="5" t="s">
        <v>882</v>
      </c>
      <c r="C31" s="362"/>
      <c r="D31" s="363" t="s">
        <v>880</v>
      </c>
      <c r="E31" s="247">
        <v>47.47</v>
      </c>
      <c r="F31" s="364">
        <f t="shared" si="2"/>
        <v>0</v>
      </c>
      <c r="G31" s="509"/>
      <c r="H31" s="366"/>
      <c r="I31" s="364"/>
      <c r="J31" s="367"/>
      <c r="K31" s="510">
        <f t="shared" si="3"/>
        <v>0</v>
      </c>
      <c r="L31" s="369"/>
      <c r="M31" s="370"/>
      <c r="N31" s="371"/>
      <c r="O31" s="372"/>
      <c r="P31" s="373"/>
      <c r="Q31" s="374"/>
      <c r="V31" s="249"/>
    </row>
    <row r="32" spans="1:22" x14ac:dyDescent="0.25">
      <c r="A32" s="556"/>
      <c r="B32" s="5"/>
      <c r="C32" s="362"/>
      <c r="D32" s="363"/>
      <c r="E32" s="247"/>
      <c r="F32" s="364"/>
      <c r="G32" s="509"/>
      <c r="H32" s="366"/>
      <c r="I32" s="364"/>
      <c r="J32" s="367"/>
      <c r="K32" s="510"/>
      <c r="L32" s="369"/>
      <c r="M32" s="370"/>
      <c r="N32" s="371"/>
      <c r="O32" s="372"/>
      <c r="P32" s="373"/>
      <c r="Q32" s="374"/>
      <c r="V32" s="249"/>
    </row>
    <row r="33" spans="1:23" x14ac:dyDescent="0.25">
      <c r="A33" s="556"/>
      <c r="B33" s="5" t="s">
        <v>883</v>
      </c>
      <c r="C33" s="362"/>
      <c r="D33" s="363" t="s">
        <v>880</v>
      </c>
      <c r="E33" s="247">
        <v>22.74</v>
      </c>
      <c r="F33" s="364">
        <f t="shared" si="2"/>
        <v>0</v>
      </c>
      <c r="G33" s="509"/>
      <c r="H33" s="366"/>
      <c r="I33" s="364"/>
      <c r="J33" s="367"/>
      <c r="K33" s="510">
        <f t="shared" si="3"/>
        <v>0</v>
      </c>
      <c r="L33" s="369"/>
      <c r="M33" s="370"/>
      <c r="N33" s="371"/>
      <c r="O33" s="372"/>
      <c r="P33" s="373"/>
      <c r="Q33" s="374"/>
      <c r="V33" s="311"/>
      <c r="W33" s="311"/>
    </row>
    <row r="34" spans="1:23" x14ac:dyDescent="0.25">
      <c r="A34" s="556"/>
      <c r="B34" s="5"/>
      <c r="C34" s="362"/>
      <c r="D34" s="363"/>
      <c r="E34" s="247"/>
      <c r="F34" s="364"/>
      <c r="G34" s="509"/>
      <c r="H34" s="366"/>
      <c r="I34" s="364"/>
      <c r="J34" s="367"/>
      <c r="K34" s="510"/>
      <c r="L34" s="369"/>
      <c r="M34" s="370"/>
      <c r="N34" s="371"/>
      <c r="O34" s="372"/>
      <c r="P34" s="373"/>
      <c r="Q34" s="374"/>
      <c r="V34" s="311"/>
      <c r="W34" s="311"/>
    </row>
    <row r="35" spans="1:23" ht="13.8" thickBot="1" x14ac:dyDescent="0.3">
      <c r="A35" s="378"/>
      <c r="B35" s="7"/>
      <c r="C35" s="379"/>
      <c r="D35" s="363"/>
      <c r="E35" s="247"/>
      <c r="F35" s="364"/>
      <c r="G35" s="509"/>
      <c r="H35" s="366"/>
      <c r="I35" s="364"/>
      <c r="J35" s="367"/>
      <c r="K35" s="510"/>
      <c r="L35" s="369"/>
      <c r="M35" s="370"/>
      <c r="N35" s="371"/>
      <c r="O35" s="372"/>
      <c r="P35" s="373"/>
      <c r="Q35" s="374"/>
    </row>
    <row r="36" spans="1:23" ht="13.8" thickTop="1" x14ac:dyDescent="0.25">
      <c r="A36" s="378"/>
      <c r="B36" s="7"/>
      <c r="C36" s="379"/>
      <c r="D36" s="363"/>
      <c r="E36" s="247"/>
      <c r="F36" s="364"/>
      <c r="G36" s="509"/>
      <c r="H36" s="366"/>
      <c r="I36" s="364"/>
      <c r="J36" s="380" t="s">
        <v>30</v>
      </c>
      <c r="K36" s="511">
        <f>SUM(K21:K35)</f>
        <v>0</v>
      </c>
      <c r="L36" s="369"/>
      <c r="M36" s="370"/>
      <c r="N36" s="371"/>
      <c r="O36" s="372"/>
      <c r="P36" s="373"/>
      <c r="Q36" s="374"/>
    </row>
    <row r="37" spans="1:23" ht="13.8" thickBot="1" x14ac:dyDescent="0.3">
      <c r="A37" s="344" t="s">
        <v>0</v>
      </c>
      <c r="B37" s="345" t="s">
        <v>1</v>
      </c>
      <c r="C37" s="1028" t="s">
        <v>646</v>
      </c>
      <c r="D37" s="1028"/>
      <c r="E37" s="1028"/>
      <c r="F37" s="1028"/>
      <c r="G37" s="1028" t="s">
        <v>34</v>
      </c>
      <c r="H37" s="1028"/>
      <c r="I37" s="1028"/>
      <c r="J37" s="346"/>
      <c r="K37" s="503"/>
      <c r="L37" s="382"/>
      <c r="M37" s="383"/>
      <c r="N37" s="384"/>
      <c r="O37" s="372"/>
      <c r="P37" s="373"/>
      <c r="Q37" s="374"/>
      <c r="S37" s="538"/>
    </row>
    <row r="38" spans="1:23" ht="13.8" thickBot="1" x14ac:dyDescent="0.3">
      <c r="A38" s="554" t="s">
        <v>191</v>
      </c>
      <c r="B38" s="555" t="s">
        <v>48</v>
      </c>
      <c r="C38" s="388" t="s">
        <v>19</v>
      </c>
      <c r="D38" s="388" t="s">
        <v>33</v>
      </c>
      <c r="E38" s="389" t="s">
        <v>35</v>
      </c>
      <c r="F38" s="390" t="s">
        <v>30</v>
      </c>
      <c r="G38" s="512" t="s">
        <v>14</v>
      </c>
      <c r="H38" s="389" t="s">
        <v>35</v>
      </c>
      <c r="I38" s="390" t="s">
        <v>30</v>
      </c>
      <c r="J38" s="355" t="s">
        <v>649</v>
      </c>
      <c r="K38" s="513" t="s">
        <v>38</v>
      </c>
      <c r="L38" s="393"/>
      <c r="M38" s="399"/>
      <c r="N38" s="400"/>
      <c r="O38" s="372"/>
      <c r="P38" s="373"/>
      <c r="Q38" s="374"/>
    </row>
    <row r="39" spans="1:23" x14ac:dyDescent="0.25">
      <c r="A39" s="361"/>
      <c r="B39" s="5"/>
      <c r="C39" s="362"/>
      <c r="D39" s="363" t="s">
        <v>21</v>
      </c>
      <c r="E39" s="247">
        <v>0</v>
      </c>
      <c r="F39" s="364">
        <f t="shared" ref="F39:F45" si="4">C39*E39</f>
        <v>0</v>
      </c>
      <c r="G39" s="509"/>
      <c r="H39" s="366">
        <v>0</v>
      </c>
      <c r="I39" s="364">
        <f t="shared" ref="I39:I45" si="5">G39*H39</f>
        <v>0</v>
      </c>
      <c r="J39" s="367"/>
      <c r="K39" s="510">
        <f t="shared" ref="K39:K45" si="6">F39+I39+J39</f>
        <v>0</v>
      </c>
      <c r="L39" s="157"/>
      <c r="M39" s="449"/>
      <c r="O39" s="401"/>
      <c r="P39" s="402"/>
      <c r="Q39" s="374"/>
    </row>
    <row r="40" spans="1:23" x14ac:dyDescent="0.25">
      <c r="A40" s="361"/>
      <c r="B40" s="5"/>
      <c r="C40" s="362"/>
      <c r="D40" s="363" t="s">
        <v>21</v>
      </c>
      <c r="E40" s="247">
        <v>0</v>
      </c>
      <c r="F40" s="364">
        <f t="shared" si="4"/>
        <v>0</v>
      </c>
      <c r="G40" s="509"/>
      <c r="H40" s="366">
        <v>0</v>
      </c>
      <c r="I40" s="364">
        <f t="shared" si="5"/>
        <v>0</v>
      </c>
      <c r="J40" s="367"/>
      <c r="K40" s="510">
        <f t="shared" si="6"/>
        <v>0</v>
      </c>
      <c r="L40" s="369"/>
      <c r="M40" s="249"/>
      <c r="N40" s="409"/>
      <c r="O40" s="401"/>
      <c r="P40" s="402"/>
      <c r="Q40" s="374"/>
    </row>
    <row r="41" spans="1:23" x14ac:dyDescent="0.25">
      <c r="A41" s="361"/>
      <c r="B41" s="5"/>
      <c r="C41" s="362"/>
      <c r="D41" s="363" t="s">
        <v>21</v>
      </c>
      <c r="E41" s="247">
        <v>0</v>
      </c>
      <c r="F41" s="364">
        <f t="shared" si="4"/>
        <v>0</v>
      </c>
      <c r="G41" s="509"/>
      <c r="H41" s="366">
        <v>0</v>
      </c>
      <c r="I41" s="364">
        <f t="shared" si="5"/>
        <v>0</v>
      </c>
      <c r="J41" s="367"/>
      <c r="K41" s="510">
        <f t="shared" si="6"/>
        <v>0</v>
      </c>
      <c r="L41" s="369"/>
      <c r="M41" s="249"/>
      <c r="N41" s="409"/>
      <c r="O41" s="401"/>
      <c r="P41" s="402"/>
      <c r="Q41" s="374"/>
    </row>
    <row r="42" spans="1:23" x14ac:dyDescent="0.25">
      <c r="A42" s="361"/>
      <c r="B42" s="5"/>
      <c r="C42" s="362"/>
      <c r="D42" s="363" t="s">
        <v>21</v>
      </c>
      <c r="E42" s="247">
        <v>0</v>
      </c>
      <c r="F42" s="364">
        <f t="shared" si="4"/>
        <v>0</v>
      </c>
      <c r="G42" s="509"/>
      <c r="H42" s="366">
        <v>0</v>
      </c>
      <c r="I42" s="364">
        <f t="shared" si="5"/>
        <v>0</v>
      </c>
      <c r="J42" s="367"/>
      <c r="K42" s="510">
        <f t="shared" si="6"/>
        <v>0</v>
      </c>
      <c r="L42" s="369"/>
      <c r="M42" s="249"/>
      <c r="N42" s="409"/>
      <c r="O42" s="401"/>
      <c r="P42" s="402"/>
      <c r="Q42" s="374"/>
    </row>
    <row r="43" spans="1:23" x14ac:dyDescent="0.25">
      <c r="A43" s="361"/>
      <c r="B43" s="5"/>
      <c r="C43" s="362"/>
      <c r="D43" s="363" t="s">
        <v>21</v>
      </c>
      <c r="E43" s="247">
        <v>0</v>
      </c>
      <c r="F43" s="364">
        <f t="shared" si="4"/>
        <v>0</v>
      </c>
      <c r="G43" s="509"/>
      <c r="H43" s="366">
        <v>0</v>
      </c>
      <c r="I43" s="364">
        <f t="shared" si="5"/>
        <v>0</v>
      </c>
      <c r="J43" s="367"/>
      <c r="K43" s="510">
        <f t="shared" si="6"/>
        <v>0</v>
      </c>
      <c r="L43" s="369"/>
      <c r="M43" s="249"/>
      <c r="N43" s="409"/>
      <c r="O43" s="401"/>
      <c r="P43" s="402"/>
      <c r="Q43" s="374"/>
    </row>
    <row r="44" spans="1:23" x14ac:dyDescent="0.25">
      <c r="A44" s="361"/>
      <c r="B44" s="5"/>
      <c r="C44" s="362"/>
      <c r="D44" s="363" t="s">
        <v>21</v>
      </c>
      <c r="E44" s="247">
        <v>0</v>
      </c>
      <c r="F44" s="364">
        <f t="shared" si="4"/>
        <v>0</v>
      </c>
      <c r="G44" s="509"/>
      <c r="H44" s="366">
        <v>0</v>
      </c>
      <c r="I44" s="364">
        <f t="shared" si="5"/>
        <v>0</v>
      </c>
      <c r="J44" s="367"/>
      <c r="K44" s="510">
        <f t="shared" si="6"/>
        <v>0</v>
      </c>
      <c r="L44" s="369"/>
      <c r="M44" s="249"/>
      <c r="N44" s="409"/>
      <c r="O44" s="401"/>
      <c r="P44" s="402"/>
      <c r="Q44" s="374"/>
    </row>
    <row r="45" spans="1:23" x14ac:dyDescent="0.25">
      <c r="A45" s="361"/>
      <c r="B45" s="5"/>
      <c r="C45" s="362"/>
      <c r="D45" s="363" t="s">
        <v>21</v>
      </c>
      <c r="E45" s="247">
        <v>0</v>
      </c>
      <c r="F45" s="364">
        <f t="shared" si="4"/>
        <v>0</v>
      </c>
      <c r="G45" s="509"/>
      <c r="H45" s="366">
        <v>0</v>
      </c>
      <c r="I45" s="364">
        <f t="shared" si="5"/>
        <v>0</v>
      </c>
      <c r="J45" s="367"/>
      <c r="K45" s="510">
        <f t="shared" si="6"/>
        <v>0</v>
      </c>
      <c r="L45" s="369"/>
      <c r="M45" s="249"/>
      <c r="N45" s="371"/>
      <c r="O45" s="372"/>
      <c r="P45" s="373"/>
      <c r="Q45" s="374"/>
    </row>
    <row r="46" spans="1:23" ht="13.8" thickBot="1" x14ac:dyDescent="0.3">
      <c r="A46" s="361"/>
      <c r="B46" s="5"/>
      <c r="C46" s="379"/>
      <c r="D46" s="363"/>
      <c r="E46" s="247"/>
      <c r="F46" s="364"/>
      <c r="G46" s="509"/>
      <c r="H46" s="366"/>
      <c r="I46" s="364"/>
      <c r="J46" s="367"/>
      <c r="K46" s="514"/>
      <c r="L46" s="157"/>
      <c r="M46" s="449"/>
      <c r="O46" s="372"/>
      <c r="P46" s="373"/>
      <c r="Q46" s="374"/>
    </row>
    <row r="47" spans="1:23" ht="14.4" thickTop="1" thickBot="1" x14ac:dyDescent="0.3">
      <c r="A47" s="378"/>
      <c r="B47" s="5"/>
      <c r="C47" s="379"/>
      <c r="D47" s="363"/>
      <c r="E47" s="247"/>
      <c r="F47" s="364"/>
      <c r="G47" s="509"/>
      <c r="H47" s="366"/>
      <c r="I47" s="364"/>
      <c r="J47" s="380" t="s">
        <v>30</v>
      </c>
      <c r="K47" s="511">
        <f>SUM(K39:K46)</f>
        <v>0</v>
      </c>
      <c r="L47" s="382"/>
      <c r="M47" s="346"/>
      <c r="N47" s="384"/>
      <c r="O47" s="372"/>
      <c r="P47" s="402"/>
      <c r="Q47" s="374"/>
    </row>
    <row r="48" spans="1:23" ht="13.8" thickBot="1" x14ac:dyDescent="0.3">
      <c r="A48" s="344" t="s">
        <v>0</v>
      </c>
      <c r="B48" s="345" t="s">
        <v>1</v>
      </c>
      <c r="C48" s="1028" t="s">
        <v>646</v>
      </c>
      <c r="D48" s="1028"/>
      <c r="E48" s="1028"/>
      <c r="F48" s="1028"/>
      <c r="G48" s="1028" t="s">
        <v>34</v>
      </c>
      <c r="H48" s="1028"/>
      <c r="I48" s="1028"/>
      <c r="J48" s="346"/>
      <c r="K48" s="503"/>
      <c r="L48" s="393"/>
      <c r="M48" s="399"/>
      <c r="N48" s="395"/>
      <c r="O48" s="372"/>
      <c r="P48" s="373"/>
      <c r="Q48" s="374"/>
    </row>
    <row r="49" spans="1:17" ht="13.8" thickBot="1" x14ac:dyDescent="0.3">
      <c r="A49" s="554" t="s">
        <v>192</v>
      </c>
      <c r="B49" s="555" t="s">
        <v>193</v>
      </c>
      <c r="C49" s="388" t="s">
        <v>19</v>
      </c>
      <c r="D49" s="388" t="s">
        <v>33</v>
      </c>
      <c r="E49" s="389" t="s">
        <v>35</v>
      </c>
      <c r="F49" s="390" t="s">
        <v>30</v>
      </c>
      <c r="G49" s="512" t="s">
        <v>14</v>
      </c>
      <c r="H49" s="389" t="s">
        <v>35</v>
      </c>
      <c r="I49" s="390" t="s">
        <v>30</v>
      </c>
      <c r="J49" s="355" t="s">
        <v>649</v>
      </c>
      <c r="K49" s="513" t="s">
        <v>38</v>
      </c>
      <c r="L49" s="369"/>
      <c r="M49" s="249"/>
      <c r="N49" s="371"/>
      <c r="O49" s="372"/>
      <c r="P49" s="373"/>
      <c r="Q49" s="374"/>
    </row>
    <row r="50" spans="1:17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371"/>
      <c r="O50" s="372"/>
      <c r="P50" s="373"/>
      <c r="Q50" s="374"/>
    </row>
    <row r="51" spans="1:17" x14ac:dyDescent="0.25">
      <c r="A51" s="361"/>
      <c r="B51" s="5"/>
      <c r="C51" s="362"/>
      <c r="D51" s="363" t="s">
        <v>21</v>
      </c>
      <c r="E51" s="247">
        <v>0</v>
      </c>
      <c r="F51" s="364">
        <f>C51*E51</f>
        <v>0</v>
      </c>
      <c r="G51" s="509"/>
      <c r="H51" s="366">
        <v>0</v>
      </c>
      <c r="I51" s="364">
        <f>G51*H51</f>
        <v>0</v>
      </c>
      <c r="J51" s="367"/>
      <c r="K51" s="510">
        <f>F51+I51+J51</f>
        <v>0</v>
      </c>
      <c r="L51" s="369"/>
      <c r="M51" s="249"/>
      <c r="N51" s="371"/>
      <c r="O51" s="372"/>
      <c r="P51" s="373"/>
      <c r="Q51" s="374"/>
    </row>
    <row r="52" spans="1:17" x14ac:dyDescent="0.25">
      <c r="A52" s="361"/>
      <c r="B52" s="5"/>
      <c r="C52" s="362"/>
      <c r="D52" s="363" t="s">
        <v>21</v>
      </c>
      <c r="E52" s="247">
        <v>0</v>
      </c>
      <c r="F52" s="364">
        <f>C52*E52</f>
        <v>0</v>
      </c>
      <c r="G52" s="509"/>
      <c r="H52" s="366">
        <v>0</v>
      </c>
      <c r="I52" s="364">
        <f>G52*H52</f>
        <v>0</v>
      </c>
      <c r="J52" s="367"/>
      <c r="K52" s="510">
        <f>F52+I52+J52</f>
        <v>0</v>
      </c>
      <c r="L52" s="369"/>
      <c r="M52" s="249"/>
      <c r="N52" s="371"/>
      <c r="O52" s="372"/>
      <c r="P52" s="373"/>
      <c r="Q52" s="374"/>
    </row>
    <row r="53" spans="1:17" x14ac:dyDescent="0.25">
      <c r="A53" s="378"/>
      <c r="B53" s="403"/>
      <c r="C53" s="379"/>
      <c r="D53" s="363"/>
      <c r="E53" s="247"/>
      <c r="F53" s="364"/>
      <c r="G53" s="509"/>
      <c r="H53" s="366"/>
      <c r="I53" s="364"/>
      <c r="J53" s="367"/>
      <c r="K53" s="514"/>
      <c r="L53" s="369"/>
      <c r="M53" s="249"/>
      <c r="N53" s="371"/>
      <c r="O53" s="372"/>
      <c r="P53" s="373"/>
      <c r="Q53" s="374"/>
    </row>
    <row r="54" spans="1:17" ht="13.8" thickBot="1" x14ac:dyDescent="0.3">
      <c r="A54" s="378"/>
      <c r="B54" s="403"/>
      <c r="C54" s="379"/>
      <c r="D54" s="363"/>
      <c r="E54" s="247"/>
      <c r="F54" s="364"/>
      <c r="G54" s="509"/>
      <c r="H54" s="366"/>
      <c r="I54" s="364"/>
      <c r="J54" s="367"/>
      <c r="K54" s="514"/>
      <c r="L54" s="369"/>
      <c r="M54" s="249"/>
      <c r="N54" s="371"/>
      <c r="O54" s="417"/>
      <c r="P54" s="418"/>
      <c r="Q54" s="374"/>
    </row>
    <row r="55" spans="1:17" ht="13.8" thickTop="1" x14ac:dyDescent="0.25">
      <c r="A55" s="378"/>
      <c r="B55" s="403"/>
      <c r="C55" s="379"/>
      <c r="D55" s="363"/>
      <c r="E55" s="247"/>
      <c r="F55" s="364"/>
      <c r="G55" s="509"/>
      <c r="H55" s="366"/>
      <c r="I55" s="364"/>
      <c r="J55" s="380" t="s">
        <v>30</v>
      </c>
      <c r="K55" s="511">
        <f>SUM(K50:K54)</f>
        <v>0</v>
      </c>
      <c r="L55" s="369"/>
      <c r="M55" s="249"/>
      <c r="N55" s="409"/>
      <c r="O55" s="417"/>
      <c r="P55" s="418"/>
      <c r="Q55" s="374"/>
    </row>
    <row r="56" spans="1:17" ht="13.8" thickBot="1" x14ac:dyDescent="0.3">
      <c r="A56" s="344" t="s">
        <v>0</v>
      </c>
      <c r="B56" s="345" t="s">
        <v>1</v>
      </c>
      <c r="C56" s="1028" t="s">
        <v>646</v>
      </c>
      <c r="D56" s="1028"/>
      <c r="E56" s="1028"/>
      <c r="F56" s="1028"/>
      <c r="G56" s="1028" t="s">
        <v>34</v>
      </c>
      <c r="H56" s="1028"/>
      <c r="I56" s="1028"/>
      <c r="J56" s="346"/>
      <c r="K56" s="503"/>
      <c r="L56" s="382"/>
      <c r="M56" s="346"/>
      <c r="N56" s="419"/>
      <c r="O56" s="401"/>
      <c r="P56" s="402"/>
      <c r="Q56" s="374"/>
    </row>
    <row r="57" spans="1:17" ht="13.8" thickBot="1" x14ac:dyDescent="0.3">
      <c r="A57" s="554" t="s">
        <v>195</v>
      </c>
      <c r="B57" s="555" t="s">
        <v>194</v>
      </c>
      <c r="C57" s="388" t="s">
        <v>19</v>
      </c>
      <c r="D57" s="388" t="s">
        <v>33</v>
      </c>
      <c r="E57" s="389" t="s">
        <v>35</v>
      </c>
      <c r="F57" s="390" t="s">
        <v>30</v>
      </c>
      <c r="G57" s="512" t="s">
        <v>14</v>
      </c>
      <c r="H57" s="389" t="s">
        <v>35</v>
      </c>
      <c r="I57" s="390" t="s">
        <v>30</v>
      </c>
      <c r="J57" s="355" t="s">
        <v>649</v>
      </c>
      <c r="K57" s="513" t="s">
        <v>38</v>
      </c>
      <c r="L57" s="393"/>
      <c r="M57" s="399"/>
      <c r="N57" s="400"/>
      <c r="O57" s="372"/>
      <c r="P57" s="373"/>
      <c r="Q57" s="374"/>
    </row>
    <row r="58" spans="1:17" x14ac:dyDescent="0.25">
      <c r="A58" s="361"/>
      <c r="B58" s="5"/>
      <c r="C58" s="362"/>
      <c r="D58" s="363" t="s">
        <v>21</v>
      </c>
      <c r="E58" s="247">
        <v>0</v>
      </c>
      <c r="F58" s="364">
        <f>C58*E58</f>
        <v>0</v>
      </c>
      <c r="G58" s="509"/>
      <c r="H58" s="366">
        <v>0</v>
      </c>
      <c r="I58" s="364">
        <f>G58*H58</f>
        <v>0</v>
      </c>
      <c r="J58" s="367"/>
      <c r="K58" s="510">
        <f>F58+I58+J58</f>
        <v>0</v>
      </c>
      <c r="L58" s="369"/>
      <c r="M58" s="370"/>
      <c r="N58" s="371"/>
      <c r="O58" s="372"/>
      <c r="P58" s="373"/>
      <c r="Q58" s="374"/>
    </row>
    <row r="59" spans="1:17" x14ac:dyDescent="0.25">
      <c r="A59" s="361"/>
      <c r="B59" s="5"/>
      <c r="C59" s="362"/>
      <c r="D59" s="363" t="s">
        <v>21</v>
      </c>
      <c r="E59" s="247">
        <v>0</v>
      </c>
      <c r="F59" s="364">
        <f>C59*E59</f>
        <v>0</v>
      </c>
      <c r="G59" s="509"/>
      <c r="H59" s="366">
        <v>0</v>
      </c>
      <c r="I59" s="364">
        <f>G59*H59</f>
        <v>0</v>
      </c>
      <c r="J59" s="367"/>
      <c r="K59" s="510">
        <f>F59+I59+J59</f>
        <v>0</v>
      </c>
      <c r="L59" s="369"/>
      <c r="M59" s="370"/>
      <c r="N59" s="371"/>
      <c r="O59" s="372"/>
      <c r="P59" s="373"/>
      <c r="Q59" s="374"/>
    </row>
    <row r="60" spans="1:17" x14ac:dyDescent="0.25">
      <c r="A60" s="361"/>
      <c r="B60" s="5"/>
      <c r="C60" s="362"/>
      <c r="D60" s="363" t="s">
        <v>21</v>
      </c>
      <c r="E60" s="247">
        <v>0</v>
      </c>
      <c r="F60" s="364">
        <f>C60*E60</f>
        <v>0</v>
      </c>
      <c r="G60" s="509"/>
      <c r="H60" s="366">
        <v>0</v>
      </c>
      <c r="I60" s="364">
        <f>G60*H60</f>
        <v>0</v>
      </c>
      <c r="J60" s="367"/>
      <c r="K60" s="510">
        <f>F60+I60+J60</f>
        <v>0</v>
      </c>
      <c r="L60" s="369"/>
      <c r="M60" s="370"/>
      <c r="N60" s="371"/>
      <c r="O60" s="372"/>
      <c r="P60" s="373"/>
      <c r="Q60" s="374"/>
    </row>
    <row r="61" spans="1:17" x14ac:dyDescent="0.25">
      <c r="A61" s="361"/>
      <c r="B61" s="5"/>
      <c r="C61" s="362"/>
      <c r="D61" s="363" t="s">
        <v>21</v>
      </c>
      <c r="E61" s="247">
        <v>0</v>
      </c>
      <c r="F61" s="364">
        <f>C61*E61</f>
        <v>0</v>
      </c>
      <c r="G61" s="509"/>
      <c r="H61" s="366">
        <v>0</v>
      </c>
      <c r="I61" s="364">
        <f>G61*H61</f>
        <v>0</v>
      </c>
      <c r="J61" s="367"/>
      <c r="K61" s="510">
        <f>F61+I61+J61</f>
        <v>0</v>
      </c>
      <c r="L61" s="369"/>
      <c r="M61" s="370"/>
      <c r="N61" s="371"/>
      <c r="O61" s="372"/>
      <c r="P61" s="373"/>
      <c r="Q61" s="374"/>
    </row>
    <row r="62" spans="1:17" x14ac:dyDescent="0.25">
      <c r="A62" s="361"/>
      <c r="B62" s="5"/>
      <c r="C62" s="362"/>
      <c r="D62" s="363" t="s">
        <v>21</v>
      </c>
      <c r="E62" s="247">
        <v>0</v>
      </c>
      <c r="F62" s="364">
        <f>C62*E62</f>
        <v>0</v>
      </c>
      <c r="G62" s="509"/>
      <c r="H62" s="366">
        <v>0</v>
      </c>
      <c r="I62" s="364">
        <f>G62*H62</f>
        <v>0</v>
      </c>
      <c r="J62" s="367"/>
      <c r="K62" s="510">
        <f>F62+I62+J62</f>
        <v>0</v>
      </c>
      <c r="L62" s="369"/>
      <c r="M62" s="370"/>
      <c r="N62" s="371"/>
      <c r="O62" s="372"/>
      <c r="P62" s="373"/>
      <c r="Q62" s="374"/>
    </row>
    <row r="63" spans="1:17" ht="13.8" thickBot="1" x14ac:dyDescent="0.3">
      <c r="A63" s="378"/>
      <c r="B63" s="403"/>
      <c r="C63" s="379"/>
      <c r="D63" s="363"/>
      <c r="E63" s="247"/>
      <c r="F63" s="364"/>
      <c r="G63" s="509"/>
      <c r="H63" s="366"/>
      <c r="I63" s="364"/>
      <c r="J63" s="367"/>
      <c r="K63" s="514"/>
      <c r="L63" s="369"/>
      <c r="M63" s="370"/>
      <c r="N63" s="371"/>
      <c r="O63" s="372"/>
      <c r="P63" s="373"/>
      <c r="Q63" s="374"/>
    </row>
    <row r="64" spans="1:17" ht="13.8" thickTop="1" x14ac:dyDescent="0.25">
      <c r="A64" s="378"/>
      <c r="B64" s="403"/>
      <c r="C64" s="379"/>
      <c r="D64" s="363"/>
      <c r="E64" s="247"/>
      <c r="F64" s="364"/>
      <c r="G64" s="509"/>
      <c r="H64" s="366"/>
      <c r="I64" s="364"/>
      <c r="J64" s="380" t="s">
        <v>30</v>
      </c>
      <c r="K64" s="511">
        <f>SUM(K58:K63)</f>
        <v>0</v>
      </c>
      <c r="L64" s="369"/>
      <c r="M64" s="370"/>
      <c r="N64" s="371"/>
      <c r="O64" s="372"/>
      <c r="P64" s="373"/>
      <c r="Q64" s="374"/>
    </row>
    <row r="65" spans="1:17" ht="13.8" thickBot="1" x14ac:dyDescent="0.3">
      <c r="A65" s="344" t="s">
        <v>0</v>
      </c>
      <c r="B65" s="345" t="s">
        <v>1</v>
      </c>
      <c r="C65" s="1028" t="s">
        <v>646</v>
      </c>
      <c r="D65" s="1028"/>
      <c r="E65" s="1028"/>
      <c r="F65" s="1028"/>
      <c r="G65" s="1028" t="s">
        <v>34</v>
      </c>
      <c r="H65" s="1028"/>
      <c r="I65" s="1028"/>
      <c r="J65" s="346"/>
      <c r="K65" s="503"/>
      <c r="L65" s="382"/>
      <c r="M65" s="383"/>
      <c r="N65" s="384"/>
      <c r="O65" s="372"/>
      <c r="P65" s="373"/>
      <c r="Q65" s="374"/>
    </row>
    <row r="66" spans="1:17" ht="13.8" thickBot="1" x14ac:dyDescent="0.3">
      <c r="A66" s="554" t="s">
        <v>196</v>
      </c>
      <c r="B66" s="555" t="s">
        <v>197</v>
      </c>
      <c r="C66" s="388" t="s">
        <v>19</v>
      </c>
      <c r="D66" s="388" t="s">
        <v>33</v>
      </c>
      <c r="E66" s="389" t="s">
        <v>35</v>
      </c>
      <c r="F66" s="390" t="s">
        <v>30</v>
      </c>
      <c r="G66" s="512" t="s">
        <v>14</v>
      </c>
      <c r="H66" s="389" t="s">
        <v>35</v>
      </c>
      <c r="I66" s="390" t="s">
        <v>30</v>
      </c>
      <c r="J66" s="355" t="s">
        <v>649</v>
      </c>
      <c r="K66" s="513" t="s">
        <v>38</v>
      </c>
      <c r="L66" s="393"/>
      <c r="M66" s="394"/>
      <c r="N66" s="395"/>
      <c r="O66" s="372"/>
      <c r="P66" s="373"/>
      <c r="Q66" s="374"/>
    </row>
    <row r="67" spans="1:17" x14ac:dyDescent="0.25">
      <c r="A67" s="361"/>
      <c r="B67" s="5"/>
      <c r="C67" s="362"/>
      <c r="D67" s="363" t="s">
        <v>21</v>
      </c>
      <c r="E67" s="247">
        <v>0</v>
      </c>
      <c r="F67" s="364">
        <f t="shared" ref="F67:F73" si="7">C67*E67</f>
        <v>0</v>
      </c>
      <c r="G67" s="509"/>
      <c r="H67" s="366">
        <v>0</v>
      </c>
      <c r="I67" s="364">
        <f t="shared" ref="I67:I73" si="8">G67*H67</f>
        <v>0</v>
      </c>
      <c r="J67" s="367"/>
      <c r="K67" s="510">
        <f t="shared" ref="K67:K73" si="9">F67+I67+J67</f>
        <v>0</v>
      </c>
      <c r="O67" s="372"/>
      <c r="P67" s="373"/>
      <c r="Q67" s="374"/>
    </row>
    <row r="68" spans="1:17" x14ac:dyDescent="0.25">
      <c r="A68" s="361"/>
      <c r="B68" s="5"/>
      <c r="C68" s="362"/>
      <c r="D68" s="363" t="s">
        <v>21</v>
      </c>
      <c r="E68" s="247">
        <v>0</v>
      </c>
      <c r="F68" s="364">
        <f t="shared" si="7"/>
        <v>0</v>
      </c>
      <c r="G68" s="509"/>
      <c r="H68" s="366">
        <v>0</v>
      </c>
      <c r="I68" s="364">
        <f t="shared" si="8"/>
        <v>0</v>
      </c>
      <c r="J68" s="367"/>
      <c r="K68" s="510">
        <f t="shared" si="9"/>
        <v>0</v>
      </c>
      <c r="L68" s="369"/>
      <c r="M68" s="370"/>
      <c r="N68" s="371"/>
      <c r="O68" s="372"/>
      <c r="P68" s="373"/>
      <c r="Q68" s="374"/>
    </row>
    <row r="69" spans="1:17" x14ac:dyDescent="0.25">
      <c r="A69" s="361"/>
      <c r="B69" s="5"/>
      <c r="C69" s="362"/>
      <c r="D69" s="363" t="s">
        <v>21</v>
      </c>
      <c r="E69" s="247">
        <v>0</v>
      </c>
      <c r="F69" s="364">
        <f t="shared" si="7"/>
        <v>0</v>
      </c>
      <c r="G69" s="509"/>
      <c r="H69" s="366">
        <v>0</v>
      </c>
      <c r="I69" s="364">
        <f t="shared" si="8"/>
        <v>0</v>
      </c>
      <c r="J69" s="367"/>
      <c r="K69" s="510">
        <f t="shared" si="9"/>
        <v>0</v>
      </c>
      <c r="L69" s="369"/>
      <c r="M69" s="370"/>
      <c r="N69" s="371"/>
      <c r="O69" s="372"/>
      <c r="P69" s="373"/>
      <c r="Q69" s="374"/>
    </row>
    <row r="70" spans="1:17" x14ac:dyDescent="0.25">
      <c r="A70" s="361"/>
      <c r="B70" s="5"/>
      <c r="C70" s="362"/>
      <c r="D70" s="363" t="s">
        <v>21</v>
      </c>
      <c r="E70" s="247">
        <v>0</v>
      </c>
      <c r="F70" s="364">
        <f t="shared" si="7"/>
        <v>0</v>
      </c>
      <c r="G70" s="509"/>
      <c r="H70" s="366">
        <v>0</v>
      </c>
      <c r="I70" s="364">
        <f t="shared" si="8"/>
        <v>0</v>
      </c>
      <c r="J70" s="367"/>
      <c r="K70" s="510">
        <f t="shared" si="9"/>
        <v>0</v>
      </c>
      <c r="L70" s="369"/>
      <c r="M70" s="370"/>
      <c r="N70" s="371"/>
      <c r="O70" s="372"/>
      <c r="P70" s="373"/>
      <c r="Q70" s="374"/>
    </row>
    <row r="71" spans="1:17" x14ac:dyDescent="0.25">
      <c r="A71" s="361"/>
      <c r="B71" s="5"/>
      <c r="C71" s="362"/>
      <c r="D71" s="363" t="s">
        <v>21</v>
      </c>
      <c r="E71" s="247">
        <v>0</v>
      </c>
      <c r="F71" s="364">
        <f t="shared" si="7"/>
        <v>0</v>
      </c>
      <c r="G71" s="509"/>
      <c r="H71" s="366">
        <v>0</v>
      </c>
      <c r="I71" s="364">
        <f t="shared" si="8"/>
        <v>0</v>
      </c>
      <c r="J71" s="367"/>
      <c r="K71" s="510">
        <f t="shared" si="9"/>
        <v>0</v>
      </c>
      <c r="L71" s="369"/>
      <c r="M71" s="370"/>
      <c r="N71" s="371"/>
      <c r="O71" s="372"/>
      <c r="P71" s="373"/>
      <c r="Q71" s="374"/>
    </row>
    <row r="72" spans="1:17" x14ac:dyDescent="0.25">
      <c r="A72" s="361"/>
      <c r="B72" s="5"/>
      <c r="C72" s="362"/>
      <c r="D72" s="363" t="s">
        <v>21</v>
      </c>
      <c r="E72" s="247">
        <v>0</v>
      </c>
      <c r="F72" s="364">
        <f t="shared" si="7"/>
        <v>0</v>
      </c>
      <c r="G72" s="509"/>
      <c r="H72" s="366">
        <v>0</v>
      </c>
      <c r="I72" s="364">
        <f t="shared" si="8"/>
        <v>0</v>
      </c>
      <c r="J72" s="367"/>
      <c r="K72" s="510">
        <f t="shared" si="9"/>
        <v>0</v>
      </c>
      <c r="L72" s="369"/>
      <c r="M72" s="370"/>
      <c r="N72" s="371"/>
      <c r="O72" s="372"/>
      <c r="P72" s="373"/>
      <c r="Q72" s="374"/>
    </row>
    <row r="73" spans="1:17" x14ac:dyDescent="0.25">
      <c r="A73" s="361"/>
      <c r="B73" s="5"/>
      <c r="C73" s="362"/>
      <c r="D73" s="363" t="s">
        <v>21</v>
      </c>
      <c r="E73" s="247">
        <v>0</v>
      </c>
      <c r="F73" s="364">
        <f t="shared" si="7"/>
        <v>0</v>
      </c>
      <c r="G73" s="509"/>
      <c r="H73" s="366">
        <v>0</v>
      </c>
      <c r="I73" s="364">
        <f t="shared" si="8"/>
        <v>0</v>
      </c>
      <c r="J73" s="367"/>
      <c r="K73" s="510">
        <f t="shared" si="9"/>
        <v>0</v>
      </c>
      <c r="L73" s="369"/>
      <c r="M73" s="370"/>
      <c r="N73" s="371"/>
      <c r="O73" s="372"/>
      <c r="P73" s="373"/>
      <c r="Q73" s="374"/>
    </row>
    <row r="74" spans="1:17" ht="13.8" thickBot="1" x14ac:dyDescent="0.3">
      <c r="A74" s="378"/>
      <c r="B74" s="5"/>
      <c r="C74" s="379"/>
      <c r="D74" s="363"/>
      <c r="E74" s="247"/>
      <c r="F74" s="364"/>
      <c r="G74" s="509"/>
      <c r="H74" s="366"/>
      <c r="I74" s="364"/>
      <c r="J74" s="367"/>
      <c r="K74" s="514"/>
      <c r="L74" s="369"/>
      <c r="M74" s="370"/>
      <c r="N74" s="371"/>
      <c r="O74" s="372"/>
      <c r="P74" s="373"/>
      <c r="Q74" s="374"/>
    </row>
    <row r="75" spans="1:17" ht="13.8" thickTop="1" x14ac:dyDescent="0.25">
      <c r="A75" s="378"/>
      <c r="B75" s="403"/>
      <c r="C75" s="379"/>
      <c r="D75" s="363"/>
      <c r="E75" s="247"/>
      <c r="F75" s="364"/>
      <c r="G75" s="509"/>
      <c r="H75" s="366"/>
      <c r="I75" s="364"/>
      <c r="J75" s="380" t="s">
        <v>30</v>
      </c>
      <c r="K75" s="511">
        <f>SUM(K67:K74)</f>
        <v>0</v>
      </c>
      <c r="O75" s="372"/>
      <c r="P75" s="373"/>
      <c r="Q75" s="374"/>
    </row>
    <row r="76" spans="1:17" ht="13.8" thickBot="1" x14ac:dyDescent="0.3">
      <c r="A76" s="344" t="s">
        <v>0</v>
      </c>
      <c r="B76" s="345" t="s">
        <v>1</v>
      </c>
      <c r="C76" s="1028" t="s">
        <v>646</v>
      </c>
      <c r="D76" s="1028"/>
      <c r="E76" s="1028"/>
      <c r="F76" s="1028"/>
      <c r="G76" s="1028" t="s">
        <v>34</v>
      </c>
      <c r="H76" s="1028"/>
      <c r="I76" s="1028"/>
      <c r="J76" s="346"/>
      <c r="K76" s="503"/>
      <c r="L76" s="382"/>
      <c r="M76" s="383"/>
      <c r="N76" s="384"/>
      <c r="O76" s="372"/>
      <c r="P76" s="373"/>
      <c r="Q76" s="374"/>
    </row>
    <row r="77" spans="1:17" ht="13.8" thickBot="1" x14ac:dyDescent="0.3">
      <c r="A77" s="554" t="s">
        <v>198</v>
      </c>
      <c r="B77" s="555" t="s">
        <v>199</v>
      </c>
      <c r="C77" s="388" t="s">
        <v>19</v>
      </c>
      <c r="D77" s="388" t="s">
        <v>33</v>
      </c>
      <c r="E77" s="389" t="s">
        <v>35</v>
      </c>
      <c r="F77" s="390" t="s">
        <v>30</v>
      </c>
      <c r="G77" s="512" t="s">
        <v>14</v>
      </c>
      <c r="H77" s="389" t="s">
        <v>35</v>
      </c>
      <c r="I77" s="390" t="s">
        <v>30</v>
      </c>
      <c r="J77" s="355" t="s">
        <v>649</v>
      </c>
      <c r="K77" s="513" t="s">
        <v>38</v>
      </c>
      <c r="L77" s="393"/>
      <c r="M77" s="394"/>
      <c r="N77" s="395"/>
      <c r="O77" s="372"/>
      <c r="P77" s="373"/>
      <c r="Q77" s="374"/>
    </row>
    <row r="78" spans="1:17" x14ac:dyDescent="0.25">
      <c r="A78" s="361"/>
      <c r="B78" s="5"/>
      <c r="C78" s="362"/>
      <c r="D78" s="363" t="s">
        <v>21</v>
      </c>
      <c r="E78" s="247">
        <v>0</v>
      </c>
      <c r="F78" s="364">
        <f>C78*E78</f>
        <v>0</v>
      </c>
      <c r="G78" s="509"/>
      <c r="H78" s="366">
        <v>0</v>
      </c>
      <c r="I78" s="364">
        <f>G78*H78</f>
        <v>0</v>
      </c>
      <c r="J78" s="367"/>
      <c r="K78" s="510">
        <f>F78+I78+J78</f>
        <v>0</v>
      </c>
      <c r="L78" s="369"/>
      <c r="M78" s="370"/>
      <c r="N78" s="371"/>
      <c r="O78" s="372"/>
      <c r="P78" s="373"/>
      <c r="Q78" s="374"/>
    </row>
    <row r="79" spans="1:17" x14ac:dyDescent="0.25">
      <c r="A79" s="361"/>
      <c r="B79" s="5"/>
      <c r="C79" s="362"/>
      <c r="D79" s="363" t="s">
        <v>21</v>
      </c>
      <c r="E79" s="247">
        <v>0</v>
      </c>
      <c r="F79" s="364">
        <f>C79*E79</f>
        <v>0</v>
      </c>
      <c r="G79" s="509"/>
      <c r="H79" s="366">
        <v>0</v>
      </c>
      <c r="I79" s="364">
        <f>G79*H79</f>
        <v>0</v>
      </c>
      <c r="J79" s="367"/>
      <c r="K79" s="510">
        <f>F79+I79+J79</f>
        <v>0</v>
      </c>
      <c r="L79" s="369"/>
      <c r="M79" s="370"/>
      <c r="N79" s="371"/>
      <c r="O79" s="372"/>
      <c r="P79" s="373"/>
      <c r="Q79" s="374"/>
    </row>
    <row r="80" spans="1:17" x14ac:dyDescent="0.25">
      <c r="A80" s="361"/>
      <c r="B80" s="5"/>
      <c r="C80" s="362"/>
      <c r="D80" s="363" t="s">
        <v>21</v>
      </c>
      <c r="E80" s="247">
        <v>0</v>
      </c>
      <c r="F80" s="364">
        <f>C80*E80</f>
        <v>0</v>
      </c>
      <c r="G80" s="509"/>
      <c r="H80" s="366">
        <v>0</v>
      </c>
      <c r="I80" s="364">
        <f>G80*H80</f>
        <v>0</v>
      </c>
      <c r="J80" s="367"/>
      <c r="K80" s="510">
        <f>F80+I80+J80</f>
        <v>0</v>
      </c>
      <c r="L80" s="369"/>
      <c r="M80" s="370"/>
      <c r="N80" s="371"/>
      <c r="O80" s="372"/>
      <c r="P80" s="373"/>
      <c r="Q80" s="374"/>
    </row>
    <row r="81" spans="1:17" x14ac:dyDescent="0.25">
      <c r="A81" s="361"/>
      <c r="B81" s="5"/>
      <c r="C81" s="362"/>
      <c r="D81" s="363" t="s">
        <v>21</v>
      </c>
      <c r="E81" s="247">
        <v>0</v>
      </c>
      <c r="F81" s="364">
        <f>C81*E81</f>
        <v>0</v>
      </c>
      <c r="G81" s="509"/>
      <c r="H81" s="366">
        <v>0</v>
      </c>
      <c r="I81" s="364">
        <f>G81*H81</f>
        <v>0</v>
      </c>
      <c r="J81" s="367"/>
      <c r="K81" s="510">
        <f>F81+I81+J81</f>
        <v>0</v>
      </c>
      <c r="L81" s="369"/>
      <c r="M81" s="370"/>
      <c r="N81" s="371"/>
      <c r="O81" s="372"/>
      <c r="P81" s="373"/>
      <c r="Q81" s="374"/>
    </row>
    <row r="82" spans="1:17" x14ac:dyDescent="0.25">
      <c r="A82" s="361"/>
      <c r="B82" s="5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O82" s="372"/>
      <c r="P82" s="373"/>
      <c r="Q82" s="374"/>
    </row>
    <row r="83" spans="1:17" ht="13.8" thickBot="1" x14ac:dyDescent="0.3">
      <c r="A83" s="378"/>
      <c r="B83" s="5"/>
      <c r="C83" s="379"/>
      <c r="D83" s="363"/>
      <c r="E83" s="247"/>
      <c r="F83" s="364"/>
      <c r="G83" s="509"/>
      <c r="H83" s="366"/>
      <c r="I83" s="364"/>
      <c r="J83" s="367"/>
      <c r="K83" s="514"/>
      <c r="O83" s="372"/>
      <c r="P83" s="373"/>
      <c r="Q83" s="374"/>
    </row>
    <row r="84" spans="1:17" ht="13.8" thickTop="1" x14ac:dyDescent="0.25">
      <c r="A84" s="378"/>
      <c r="B84" s="403"/>
      <c r="C84" s="539"/>
      <c r="D84" s="363"/>
      <c r="E84" s="247"/>
      <c r="F84" s="364"/>
      <c r="G84" s="509"/>
      <c r="H84" s="366"/>
      <c r="I84" s="364"/>
      <c r="J84" s="380" t="s">
        <v>30</v>
      </c>
      <c r="K84" s="511">
        <f>SUM(K78:K83)</f>
        <v>0</v>
      </c>
      <c r="L84" s="369"/>
      <c r="M84" s="370"/>
      <c r="N84" s="371"/>
      <c r="O84" s="372"/>
      <c r="P84" s="373"/>
      <c r="Q84" s="374"/>
    </row>
    <row r="85" spans="1:17" ht="13.8" thickBot="1" x14ac:dyDescent="0.3">
      <c r="A85" s="344" t="s">
        <v>0</v>
      </c>
      <c r="B85" s="345" t="s">
        <v>1</v>
      </c>
      <c r="C85" s="1028" t="s">
        <v>646</v>
      </c>
      <c r="D85" s="1028"/>
      <c r="E85" s="1028"/>
      <c r="F85" s="1028"/>
      <c r="G85" s="1028" t="s">
        <v>34</v>
      </c>
      <c r="H85" s="1028"/>
      <c r="I85" s="1028"/>
      <c r="J85" s="346"/>
      <c r="K85" s="503"/>
      <c r="L85" s="382"/>
      <c r="M85" s="383"/>
      <c r="N85" s="384"/>
      <c r="O85" s="372"/>
      <c r="P85" s="373"/>
      <c r="Q85" s="374"/>
    </row>
    <row r="86" spans="1:17" ht="13.8" thickBot="1" x14ac:dyDescent="0.3">
      <c r="A86" s="554" t="s">
        <v>201</v>
      </c>
      <c r="B86" s="555" t="s">
        <v>200</v>
      </c>
      <c r="C86" s="388" t="s">
        <v>19</v>
      </c>
      <c r="D86" s="388" t="s">
        <v>33</v>
      </c>
      <c r="E86" s="389" t="s">
        <v>35</v>
      </c>
      <c r="F86" s="390" t="s">
        <v>30</v>
      </c>
      <c r="G86" s="512" t="s">
        <v>14</v>
      </c>
      <c r="H86" s="389" t="s">
        <v>35</v>
      </c>
      <c r="I86" s="390" t="s">
        <v>30</v>
      </c>
      <c r="J86" s="355" t="s">
        <v>649</v>
      </c>
      <c r="K86" s="513" t="s">
        <v>38</v>
      </c>
      <c r="L86" s="393"/>
      <c r="M86" s="394"/>
      <c r="N86" s="395"/>
      <c r="O86" s="372"/>
      <c r="P86" s="373"/>
      <c r="Q86" s="374"/>
    </row>
    <row r="87" spans="1:17" x14ac:dyDescent="0.25">
      <c r="A87" s="361"/>
      <c r="B87" s="5"/>
      <c r="C87" s="362"/>
      <c r="D87" s="363" t="s">
        <v>21</v>
      </c>
      <c r="E87" s="247">
        <v>0</v>
      </c>
      <c r="F87" s="364">
        <f>C87*E87</f>
        <v>0</v>
      </c>
      <c r="G87" s="509"/>
      <c r="H87" s="366">
        <v>0</v>
      </c>
      <c r="I87" s="364">
        <f>G87*H87</f>
        <v>0</v>
      </c>
      <c r="J87" s="367"/>
      <c r="K87" s="510">
        <f>F87+I87+J87</f>
        <v>0</v>
      </c>
      <c r="L87" s="369"/>
      <c r="M87" s="370"/>
      <c r="N87" s="371"/>
      <c r="O87" s="372"/>
      <c r="P87" s="373"/>
      <c r="Q87" s="374"/>
    </row>
    <row r="88" spans="1:17" x14ac:dyDescent="0.25">
      <c r="A88" s="361"/>
      <c r="B88" s="5"/>
      <c r="C88" s="362"/>
      <c r="D88" s="363" t="s">
        <v>21</v>
      </c>
      <c r="E88" s="247">
        <v>0</v>
      </c>
      <c r="F88" s="364">
        <f>C88*E88</f>
        <v>0</v>
      </c>
      <c r="G88" s="509"/>
      <c r="H88" s="366">
        <v>0</v>
      </c>
      <c r="I88" s="364">
        <f>G88*H88</f>
        <v>0</v>
      </c>
      <c r="J88" s="367"/>
      <c r="K88" s="510">
        <f>F88+I88+J88</f>
        <v>0</v>
      </c>
      <c r="L88" s="369"/>
      <c r="M88" s="370"/>
      <c r="N88" s="371"/>
      <c r="O88" s="372"/>
      <c r="P88" s="373"/>
      <c r="Q88" s="374"/>
    </row>
    <row r="89" spans="1:17" x14ac:dyDescent="0.25">
      <c r="A89" s="361"/>
      <c r="B89" s="5"/>
      <c r="C89" s="362"/>
      <c r="D89" s="363" t="s">
        <v>21</v>
      </c>
      <c r="E89" s="247">
        <v>0</v>
      </c>
      <c r="F89" s="364">
        <f>C89*E89</f>
        <v>0</v>
      </c>
      <c r="G89" s="509"/>
      <c r="H89" s="366">
        <v>0</v>
      </c>
      <c r="I89" s="364">
        <f>G89*H89</f>
        <v>0</v>
      </c>
      <c r="J89" s="367"/>
      <c r="K89" s="510">
        <f>F89+I89+J89</f>
        <v>0</v>
      </c>
      <c r="L89" s="369"/>
      <c r="M89" s="370"/>
      <c r="N89" s="371"/>
      <c r="O89" s="372"/>
      <c r="P89" s="373"/>
      <c r="Q89" s="374"/>
    </row>
    <row r="90" spans="1:17" ht="13.8" thickBot="1" x14ac:dyDescent="0.3">
      <c r="A90" s="378"/>
      <c r="B90" s="5"/>
      <c r="C90" s="379"/>
      <c r="D90" s="363"/>
      <c r="E90" s="247"/>
      <c r="F90" s="364"/>
      <c r="G90" s="509"/>
      <c r="H90" s="366"/>
      <c r="I90" s="364"/>
      <c r="J90" s="367"/>
      <c r="K90" s="514"/>
      <c r="L90" s="369"/>
      <c r="M90" s="370"/>
      <c r="N90" s="371"/>
      <c r="O90" s="372"/>
      <c r="P90" s="373"/>
      <c r="Q90" s="374"/>
    </row>
    <row r="91" spans="1:17" ht="14.4" thickTop="1" thickBot="1" x14ac:dyDescent="0.3">
      <c r="A91" s="378"/>
      <c r="B91" s="157"/>
      <c r="C91" s="379"/>
      <c r="D91" s="363"/>
      <c r="E91" s="247"/>
      <c r="F91" s="364"/>
      <c r="G91" s="509"/>
      <c r="H91" s="366"/>
      <c r="I91" s="364"/>
      <c r="J91" s="380" t="s">
        <v>30</v>
      </c>
      <c r="K91" s="511">
        <f>SUM(K87:K90)</f>
        <v>0</v>
      </c>
      <c r="L91" s="540"/>
      <c r="M91" s="541"/>
      <c r="N91" s="542"/>
      <c r="O91" s="441"/>
      <c r="P91" s="442"/>
      <c r="Q91" s="443"/>
    </row>
    <row r="92" spans="1:17" ht="14.1" customHeight="1" thickTop="1" x14ac:dyDescent="0.25">
      <c r="A92" s="557"/>
      <c r="B92" s="558"/>
      <c r="C92" s="559"/>
      <c r="D92" s="559"/>
      <c r="E92" s="560"/>
      <c r="F92" s="1140" t="s">
        <v>648</v>
      </c>
      <c r="G92" s="1142" t="s">
        <v>673</v>
      </c>
      <c r="H92" s="560"/>
      <c r="I92" s="1144" t="s">
        <v>647</v>
      </c>
      <c r="J92" s="1146" t="s">
        <v>674</v>
      </c>
      <c r="K92" s="1148" t="s">
        <v>31</v>
      </c>
    </row>
    <row r="93" spans="1:17" x14ac:dyDescent="0.25">
      <c r="A93" s="561" t="s">
        <v>32</v>
      </c>
      <c r="B93" s="1133" t="s">
        <v>26</v>
      </c>
      <c r="C93" s="463"/>
      <c r="D93" s="562"/>
      <c r="E93" s="562"/>
      <c r="F93" s="1141"/>
      <c r="G93" s="1143"/>
      <c r="H93" s="563"/>
      <c r="I93" s="1145"/>
      <c r="J93" s="1147"/>
      <c r="K93" s="1149"/>
    </row>
    <row r="94" spans="1:17" x14ac:dyDescent="0.25">
      <c r="A94" s="781">
        <f>K94/E6</f>
        <v>0</v>
      </c>
      <c r="B94" s="1133"/>
      <c r="C94" s="562"/>
      <c r="D94" s="562"/>
      <c r="E94" s="562"/>
      <c r="F94" s="1134">
        <f>SUM(F87:F90,F78:F83,F67:F73,F58:F63,F50:F54,F39:F46,F21:F35,F11:F17)</f>
        <v>0</v>
      </c>
      <c r="G94" s="1136">
        <f>SUM(G87:G90,G78:G83,G67:G73,G58:G63,G50:G54,G39:G46,G21:G35,G11:G17)</f>
        <v>0</v>
      </c>
      <c r="H94" s="563"/>
      <c r="I94" s="1134">
        <f>SUM(I87:I90,I78:I83,I67:I73,I58:I63,I50:I54,I39:I46,I21:I35,I11:I17)</f>
        <v>0</v>
      </c>
      <c r="J94" s="1134">
        <f>SUM(J87:J90,J78:J83,J67:J73,J58:J63,J50:J54,J39:J46,J21:J35,J11:J17)</f>
        <v>0</v>
      </c>
      <c r="K94" s="1138">
        <f>SUM(K91,K84,K75,K64,K55,K47,K36,K19)</f>
        <v>0</v>
      </c>
    </row>
    <row r="95" spans="1:17" ht="13.8" thickBot="1" x14ac:dyDescent="0.3">
      <c r="A95" s="561"/>
      <c r="B95" s="564"/>
      <c r="C95" s="565"/>
      <c r="D95" s="565"/>
      <c r="E95" s="565"/>
      <c r="F95" s="1135"/>
      <c r="G95" s="1137"/>
      <c r="H95" s="565"/>
      <c r="I95" s="1135"/>
      <c r="J95" s="1135"/>
      <c r="K95" s="1139"/>
    </row>
    <row r="96" spans="1:17" ht="13.8" thickBot="1" x14ac:dyDescent="0.3">
      <c r="A96" s="469"/>
      <c r="B96" s="470"/>
      <c r="C96" s="470"/>
      <c r="D96" s="470"/>
      <c r="E96" s="470"/>
      <c r="F96" s="470"/>
      <c r="G96" s="470"/>
      <c r="H96" s="470"/>
      <c r="I96" s="470"/>
      <c r="J96" s="470"/>
      <c r="K96" s="471"/>
    </row>
    <row r="97" spans="2:2" x14ac:dyDescent="0.25">
      <c r="B97" s="157"/>
    </row>
    <row r="98" spans="2:2" x14ac:dyDescent="0.25">
      <c r="B98" s="157"/>
    </row>
    <row r="99" spans="2:2" x14ac:dyDescent="0.25">
      <c r="B99" s="157"/>
    </row>
    <row r="100" spans="2:2" x14ac:dyDescent="0.25">
      <c r="B100" s="157"/>
    </row>
    <row r="101" spans="2:2" x14ac:dyDescent="0.25">
      <c r="B101" s="157"/>
    </row>
    <row r="102" spans="2:2" x14ac:dyDescent="0.25">
      <c r="B102" s="157"/>
    </row>
    <row r="103" spans="2:2" x14ac:dyDescent="0.25">
      <c r="B103" s="157"/>
    </row>
    <row r="104" spans="2:2" x14ac:dyDescent="0.25">
      <c r="B104" s="157"/>
    </row>
    <row r="105" spans="2:2" x14ac:dyDescent="0.25">
      <c r="B105" s="157"/>
    </row>
    <row r="106" spans="2:2" x14ac:dyDescent="0.25">
      <c r="B106" s="157"/>
    </row>
    <row r="107" spans="2:2" x14ac:dyDescent="0.25">
      <c r="B107" s="157"/>
    </row>
    <row r="108" spans="2:2" x14ac:dyDescent="0.25">
      <c r="B108" s="157"/>
    </row>
    <row r="109" spans="2:2" x14ac:dyDescent="0.25">
      <c r="B109" s="157"/>
    </row>
    <row r="110" spans="2:2" x14ac:dyDescent="0.25">
      <c r="B110" s="157"/>
    </row>
    <row r="111" spans="2:2" x14ac:dyDescent="0.25">
      <c r="B111" s="157"/>
    </row>
    <row r="112" spans="2:2" x14ac:dyDescent="0.25">
      <c r="B112" s="157"/>
    </row>
    <row r="113" spans="2:2" x14ac:dyDescent="0.25">
      <c r="B113" s="157"/>
    </row>
    <row r="114" spans="2:2" x14ac:dyDescent="0.25">
      <c r="B114" s="157"/>
    </row>
    <row r="115" spans="2:2" x14ac:dyDescent="0.25">
      <c r="B115" s="157"/>
    </row>
    <row r="116" spans="2:2" x14ac:dyDescent="0.25">
      <c r="B116" s="157"/>
    </row>
    <row r="117" spans="2:2" x14ac:dyDescent="0.25">
      <c r="B117" s="157"/>
    </row>
    <row r="118" spans="2:2" x14ac:dyDescent="0.25">
      <c r="B118" s="157"/>
    </row>
    <row r="119" spans="2:2" x14ac:dyDescent="0.25">
      <c r="B119" s="157"/>
    </row>
    <row r="120" spans="2:2" x14ac:dyDescent="0.25">
      <c r="B120" s="157"/>
    </row>
    <row r="121" spans="2:2" x14ac:dyDescent="0.25">
      <c r="B121" s="157"/>
    </row>
    <row r="122" spans="2:2" x14ac:dyDescent="0.25">
      <c r="B122" s="157"/>
    </row>
    <row r="123" spans="2:2" x14ac:dyDescent="0.25">
      <c r="B123" s="157"/>
    </row>
    <row r="124" spans="2:2" x14ac:dyDescent="0.25">
      <c r="B124" s="157"/>
    </row>
    <row r="125" spans="2:2" x14ac:dyDescent="0.25">
      <c r="B125" s="157"/>
    </row>
    <row r="126" spans="2:2" x14ac:dyDescent="0.25">
      <c r="B126" s="157"/>
    </row>
    <row r="127" spans="2:2" x14ac:dyDescent="0.25">
      <c r="B127" s="157"/>
    </row>
    <row r="128" spans="2:2" x14ac:dyDescent="0.25">
      <c r="B128" s="157"/>
    </row>
    <row r="129" spans="2:2" x14ac:dyDescent="0.25">
      <c r="B129" s="157"/>
    </row>
    <row r="130" spans="2:2" x14ac:dyDescent="0.25">
      <c r="B130" s="157"/>
    </row>
    <row r="131" spans="2:2" x14ac:dyDescent="0.25">
      <c r="B131" s="157"/>
    </row>
    <row r="132" spans="2:2" x14ac:dyDescent="0.25">
      <c r="B132" s="157"/>
    </row>
    <row r="133" spans="2:2" x14ac:dyDescent="0.25">
      <c r="B133" s="157"/>
    </row>
    <row r="134" spans="2:2" x14ac:dyDescent="0.25">
      <c r="B134" s="157"/>
    </row>
    <row r="135" spans="2:2" x14ac:dyDescent="0.25">
      <c r="B135" s="157"/>
    </row>
    <row r="136" spans="2:2" x14ac:dyDescent="0.25">
      <c r="B136" s="157"/>
    </row>
    <row r="137" spans="2:2" x14ac:dyDescent="0.25">
      <c r="B137" s="157"/>
    </row>
    <row r="138" spans="2:2" x14ac:dyDescent="0.25">
      <c r="B138" s="157"/>
    </row>
    <row r="139" spans="2:2" x14ac:dyDescent="0.25">
      <c r="B139" s="157"/>
    </row>
    <row r="140" spans="2:2" x14ac:dyDescent="0.25">
      <c r="B140" s="157"/>
    </row>
    <row r="141" spans="2:2" x14ac:dyDescent="0.25">
      <c r="B141" s="157"/>
    </row>
    <row r="142" spans="2:2" x14ac:dyDescent="0.25">
      <c r="B142" s="157"/>
    </row>
    <row r="143" spans="2:2" x14ac:dyDescent="0.25">
      <c r="B143" s="157"/>
    </row>
    <row r="144" spans="2:2" x14ac:dyDescent="0.25">
      <c r="B144" s="157"/>
    </row>
    <row r="145" spans="2:2" x14ac:dyDescent="0.25">
      <c r="B145" s="157"/>
    </row>
    <row r="146" spans="2:2" x14ac:dyDescent="0.25">
      <c r="B146" s="157"/>
    </row>
    <row r="147" spans="2:2" x14ac:dyDescent="0.25">
      <c r="B147" s="157"/>
    </row>
    <row r="148" spans="2:2" x14ac:dyDescent="0.25">
      <c r="B148" s="157"/>
    </row>
    <row r="149" spans="2:2" x14ac:dyDescent="0.25">
      <c r="B149" s="157"/>
    </row>
    <row r="150" spans="2:2" x14ac:dyDescent="0.25">
      <c r="B150" s="157"/>
    </row>
    <row r="151" spans="2:2" x14ac:dyDescent="0.25">
      <c r="B151" s="157"/>
    </row>
    <row r="152" spans="2:2" x14ac:dyDescent="0.25">
      <c r="B152" s="157"/>
    </row>
    <row r="153" spans="2:2" x14ac:dyDescent="0.25">
      <c r="B153" s="157"/>
    </row>
    <row r="154" spans="2:2" x14ac:dyDescent="0.25">
      <c r="B154" s="157"/>
    </row>
    <row r="155" spans="2:2" x14ac:dyDescent="0.25">
      <c r="B155" s="157"/>
    </row>
    <row r="156" spans="2:2" x14ac:dyDescent="0.25">
      <c r="B156" s="157"/>
    </row>
    <row r="157" spans="2:2" x14ac:dyDescent="0.25">
      <c r="B157" s="157"/>
    </row>
    <row r="158" spans="2:2" x14ac:dyDescent="0.25">
      <c r="B158" s="157"/>
    </row>
    <row r="159" spans="2:2" x14ac:dyDescent="0.25">
      <c r="B159" s="157"/>
    </row>
    <row r="160" spans="2:2" x14ac:dyDescent="0.25">
      <c r="B160" s="157"/>
    </row>
    <row r="161" spans="2:2" x14ac:dyDescent="0.25">
      <c r="B161" s="157"/>
    </row>
    <row r="162" spans="2:2" x14ac:dyDescent="0.25">
      <c r="B162" s="157"/>
    </row>
    <row r="163" spans="2:2" x14ac:dyDescent="0.25">
      <c r="B163" s="157"/>
    </row>
    <row r="164" spans="2:2" x14ac:dyDescent="0.25">
      <c r="B164" s="157"/>
    </row>
    <row r="165" spans="2:2" x14ac:dyDescent="0.25">
      <c r="B165" s="157"/>
    </row>
    <row r="166" spans="2:2" x14ac:dyDescent="0.25">
      <c r="B166" s="157"/>
    </row>
    <row r="167" spans="2:2" x14ac:dyDescent="0.25">
      <c r="B167" s="157"/>
    </row>
    <row r="168" spans="2:2" x14ac:dyDescent="0.25">
      <c r="B168" s="157"/>
    </row>
    <row r="169" spans="2:2" x14ac:dyDescent="0.25">
      <c r="B169" s="157"/>
    </row>
    <row r="170" spans="2:2" x14ac:dyDescent="0.25">
      <c r="B170" s="157"/>
    </row>
    <row r="171" spans="2:2" x14ac:dyDescent="0.25">
      <c r="B171" s="157"/>
    </row>
    <row r="172" spans="2:2" x14ac:dyDescent="0.25">
      <c r="B172" s="157"/>
    </row>
    <row r="173" spans="2:2" x14ac:dyDescent="0.25">
      <c r="B173" s="157"/>
    </row>
    <row r="174" spans="2:2" x14ac:dyDescent="0.25">
      <c r="B174" s="157"/>
    </row>
    <row r="175" spans="2:2" x14ac:dyDescent="0.25">
      <c r="B175" s="157"/>
    </row>
    <row r="176" spans="2:2" x14ac:dyDescent="0.25">
      <c r="B176" s="157"/>
    </row>
    <row r="177" spans="2:2" x14ac:dyDescent="0.25">
      <c r="B177" s="157"/>
    </row>
    <row r="178" spans="2:2" x14ac:dyDescent="0.25">
      <c r="B178" s="157"/>
    </row>
    <row r="179" spans="2:2" x14ac:dyDescent="0.25">
      <c r="B179" s="157"/>
    </row>
    <row r="180" spans="2:2" x14ac:dyDescent="0.25">
      <c r="B180" s="157"/>
    </row>
    <row r="181" spans="2:2" x14ac:dyDescent="0.25">
      <c r="B181" s="157"/>
    </row>
    <row r="182" spans="2:2" x14ac:dyDescent="0.25">
      <c r="B182" s="157"/>
    </row>
    <row r="183" spans="2:2" x14ac:dyDescent="0.25">
      <c r="B183" s="157"/>
    </row>
    <row r="184" spans="2:2" x14ac:dyDescent="0.25">
      <c r="B184" s="157"/>
    </row>
    <row r="185" spans="2:2" x14ac:dyDescent="0.25">
      <c r="B185" s="157"/>
    </row>
    <row r="186" spans="2:2" x14ac:dyDescent="0.25">
      <c r="B186" s="157"/>
    </row>
    <row r="187" spans="2:2" x14ac:dyDescent="0.25">
      <c r="B187" s="157"/>
    </row>
    <row r="188" spans="2:2" x14ac:dyDescent="0.25">
      <c r="B188" s="157"/>
    </row>
    <row r="189" spans="2:2" x14ac:dyDescent="0.25">
      <c r="B189" s="157"/>
    </row>
    <row r="190" spans="2:2" x14ac:dyDescent="0.25">
      <c r="B190" s="157"/>
    </row>
    <row r="191" spans="2:2" x14ac:dyDescent="0.25">
      <c r="B191" s="157"/>
    </row>
    <row r="192" spans="2:2" x14ac:dyDescent="0.25">
      <c r="B192" s="157"/>
    </row>
    <row r="193" spans="2:2" x14ac:dyDescent="0.25">
      <c r="B193" s="157"/>
    </row>
    <row r="194" spans="2:2" x14ac:dyDescent="0.25">
      <c r="B194" s="157"/>
    </row>
    <row r="195" spans="2:2" x14ac:dyDescent="0.25">
      <c r="B195" s="157"/>
    </row>
    <row r="196" spans="2:2" x14ac:dyDescent="0.25">
      <c r="B196" s="157"/>
    </row>
    <row r="197" spans="2:2" x14ac:dyDescent="0.25">
      <c r="B197" s="157"/>
    </row>
    <row r="198" spans="2:2" x14ac:dyDescent="0.25">
      <c r="B198" s="157"/>
    </row>
    <row r="199" spans="2:2" x14ac:dyDescent="0.25">
      <c r="B199" s="157"/>
    </row>
    <row r="200" spans="2:2" x14ac:dyDescent="0.25">
      <c r="B200" s="157"/>
    </row>
    <row r="201" spans="2:2" x14ac:dyDescent="0.25">
      <c r="B201" s="157"/>
    </row>
    <row r="202" spans="2:2" x14ac:dyDescent="0.25">
      <c r="B202" s="157"/>
    </row>
    <row r="203" spans="2:2" x14ac:dyDescent="0.25">
      <c r="B203" s="157"/>
    </row>
    <row r="204" spans="2:2" x14ac:dyDescent="0.25">
      <c r="B204" s="157"/>
    </row>
    <row r="205" spans="2:2" x14ac:dyDescent="0.25">
      <c r="B205" s="157"/>
    </row>
    <row r="206" spans="2:2" x14ac:dyDescent="0.25">
      <c r="B206" s="157"/>
    </row>
    <row r="207" spans="2:2" x14ac:dyDescent="0.25">
      <c r="B207" s="157"/>
    </row>
    <row r="208" spans="2:2" x14ac:dyDescent="0.25">
      <c r="B208" s="157"/>
    </row>
    <row r="209" spans="2:2" x14ac:dyDescent="0.25">
      <c r="B209" s="157"/>
    </row>
    <row r="210" spans="2:2" x14ac:dyDescent="0.25">
      <c r="B210" s="157"/>
    </row>
    <row r="211" spans="2:2" x14ac:dyDescent="0.25">
      <c r="B211" s="157"/>
    </row>
    <row r="212" spans="2:2" x14ac:dyDescent="0.25">
      <c r="B212" s="157"/>
    </row>
    <row r="213" spans="2:2" x14ac:dyDescent="0.25">
      <c r="B213" s="157"/>
    </row>
    <row r="214" spans="2:2" x14ac:dyDescent="0.25">
      <c r="B214" s="157"/>
    </row>
    <row r="215" spans="2:2" x14ac:dyDescent="0.25">
      <c r="B215" s="157"/>
    </row>
    <row r="216" spans="2:2" x14ac:dyDescent="0.25">
      <c r="B216" s="157"/>
    </row>
    <row r="217" spans="2:2" x14ac:dyDescent="0.25">
      <c r="B217" s="157"/>
    </row>
    <row r="218" spans="2:2" x14ac:dyDescent="0.25">
      <c r="B218" s="157"/>
    </row>
    <row r="219" spans="2:2" x14ac:dyDescent="0.25">
      <c r="B219" s="157"/>
    </row>
    <row r="220" spans="2:2" x14ac:dyDescent="0.25">
      <c r="B220" s="157"/>
    </row>
    <row r="221" spans="2:2" x14ac:dyDescent="0.25">
      <c r="B221" s="157"/>
    </row>
    <row r="222" spans="2:2" x14ac:dyDescent="0.25">
      <c r="B222" s="157"/>
    </row>
    <row r="223" spans="2:2" x14ac:dyDescent="0.25">
      <c r="B223" s="157"/>
    </row>
    <row r="224" spans="2:2" x14ac:dyDescent="0.25">
      <c r="B224" s="157"/>
    </row>
    <row r="225" spans="2:2" x14ac:dyDescent="0.25">
      <c r="B225" s="157"/>
    </row>
    <row r="226" spans="2:2" x14ac:dyDescent="0.25">
      <c r="B226" s="157"/>
    </row>
    <row r="227" spans="2:2" x14ac:dyDescent="0.25">
      <c r="B227" s="157"/>
    </row>
    <row r="228" spans="2:2" x14ac:dyDescent="0.25">
      <c r="B228" s="157"/>
    </row>
    <row r="229" spans="2:2" x14ac:dyDescent="0.25">
      <c r="B229" s="157"/>
    </row>
    <row r="230" spans="2:2" x14ac:dyDescent="0.25">
      <c r="B230" s="157"/>
    </row>
    <row r="231" spans="2:2" x14ac:dyDescent="0.25">
      <c r="B231" s="157"/>
    </row>
    <row r="232" spans="2:2" x14ac:dyDescent="0.25">
      <c r="B232" s="157"/>
    </row>
    <row r="233" spans="2:2" x14ac:dyDescent="0.25">
      <c r="B233" s="157"/>
    </row>
    <row r="234" spans="2:2" x14ac:dyDescent="0.25">
      <c r="B234" s="157"/>
    </row>
    <row r="235" spans="2:2" x14ac:dyDescent="0.25">
      <c r="B235" s="157"/>
    </row>
    <row r="236" spans="2:2" x14ac:dyDescent="0.25">
      <c r="B236" s="157"/>
    </row>
    <row r="237" spans="2:2" x14ac:dyDescent="0.25">
      <c r="B237" s="157"/>
    </row>
    <row r="238" spans="2:2" x14ac:dyDescent="0.25">
      <c r="B238" s="157"/>
    </row>
    <row r="239" spans="2:2" x14ac:dyDescent="0.25">
      <c r="B239" s="157"/>
    </row>
    <row r="240" spans="2:2" x14ac:dyDescent="0.25">
      <c r="B240" s="157"/>
    </row>
  </sheetData>
  <mergeCells count="50">
    <mergeCell ref="Q9:Q10"/>
    <mergeCell ref="L9:L10"/>
    <mergeCell ref="M9:M10"/>
    <mergeCell ref="N9:N10"/>
    <mergeCell ref="O9:O10"/>
    <mergeCell ref="P9:P10"/>
    <mergeCell ref="G85:I85"/>
    <mergeCell ref="G56:I56"/>
    <mergeCell ref="J94:J95"/>
    <mergeCell ref="K94:K95"/>
    <mergeCell ref="F92:F93"/>
    <mergeCell ref="G92:G93"/>
    <mergeCell ref="I92:I93"/>
    <mergeCell ref="J92:J93"/>
    <mergeCell ref="K92:K93"/>
    <mergeCell ref="C9:F9"/>
    <mergeCell ref="G9:I9"/>
    <mergeCell ref="C37:F37"/>
    <mergeCell ref="G37:I37"/>
    <mergeCell ref="B93:B94"/>
    <mergeCell ref="F94:F95"/>
    <mergeCell ref="G94:G95"/>
    <mergeCell ref="I94:I95"/>
    <mergeCell ref="C65:F65"/>
    <mergeCell ref="G65:I65"/>
    <mergeCell ref="C76:F76"/>
    <mergeCell ref="G76:I76"/>
    <mergeCell ref="C48:F48"/>
    <mergeCell ref="G48:I48"/>
    <mergeCell ref="C56:F56"/>
    <mergeCell ref="C85:F85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00B0F0"/>
    <pageSetUpPr fitToPage="1"/>
  </sheetPr>
  <dimension ref="A1:W103"/>
  <sheetViews>
    <sheetView topLeftCell="A15" zoomScale="90" zoomScaleNormal="75" zoomScaleSheetLayoutView="90" zoomScalePageLayoutView="75" workbookViewId="0">
      <selection activeCell="M57" sqref="M57"/>
    </sheetView>
  </sheetViews>
  <sheetFormatPr defaultColWidth="9.33203125" defaultRowHeight="13.2" x14ac:dyDescent="0.25"/>
  <cols>
    <col min="1" max="1" width="12.6640625" style="157" bestFit="1" customWidth="1"/>
    <col min="2" max="2" width="46" style="157" customWidth="1"/>
    <col min="3" max="4" width="5" style="421" customWidth="1"/>
    <col min="5" max="5" width="11.44140625" style="157" bestFit="1" customWidth="1"/>
    <col min="6" max="6" width="12.5546875" style="157" bestFit="1" customWidth="1"/>
    <col min="7" max="7" width="8.5546875" style="157" bestFit="1" customWidth="1"/>
    <col min="8" max="8" width="10.6640625" style="157" bestFit="1" customWidth="1"/>
    <col min="9" max="9" width="14.44140625" style="157" bestFit="1" customWidth="1"/>
    <col min="10" max="10" width="16.33203125" style="157" bestFit="1" customWidth="1"/>
    <col min="11" max="11" width="14.44140625" style="157" customWidth="1"/>
    <col min="12" max="12" width="19.33203125" style="159" customWidth="1"/>
    <col min="13" max="13" width="14" style="306" bestFit="1" customWidth="1"/>
    <col min="14" max="14" width="18.33203125" style="157" customWidth="1"/>
    <col min="15" max="15" width="17" style="294" customWidth="1"/>
    <col min="16" max="16" width="9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566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5">
      <c r="A4" s="1014"/>
      <c r="B4" s="1015"/>
      <c r="C4" s="494"/>
      <c r="D4" s="1013"/>
      <c r="E4" s="1013"/>
      <c r="F4" s="1013"/>
      <c r="G4" s="567"/>
      <c r="H4" s="567"/>
      <c r="I4" s="566"/>
      <c r="J4" s="320"/>
      <c r="K4" s="321"/>
      <c r="L4" s="1022"/>
      <c r="M4" s="1023"/>
      <c r="N4" s="1024"/>
      <c r="O4" s="1024"/>
      <c r="P4" s="1025"/>
    </row>
    <row r="5" spans="1:17" ht="21.6" thickBot="1" x14ac:dyDescent="0.45">
      <c r="A5" s="568"/>
      <c r="B5" s="569"/>
      <c r="C5" s="496"/>
      <c r="D5" s="570"/>
      <c r="E5" s="332"/>
      <c r="F5" s="567"/>
      <c r="G5" s="1162" t="s">
        <v>650</v>
      </c>
      <c r="H5" s="1163"/>
      <c r="I5" s="1164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45">
      <c r="A6" s="568"/>
      <c r="B6" s="56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165"/>
      <c r="H6" s="1166"/>
      <c r="I6" s="1167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571" t="s">
        <v>0</v>
      </c>
      <c r="B9" s="572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573"/>
      <c r="K9" s="503"/>
      <c r="L9" s="1184" t="s">
        <v>771</v>
      </c>
      <c r="M9" s="1186" t="s">
        <v>772</v>
      </c>
      <c r="N9" s="1188" t="s">
        <v>773</v>
      </c>
      <c r="O9" s="1190"/>
      <c r="P9" s="1192"/>
      <c r="Q9" s="1182"/>
    </row>
    <row r="10" spans="1:17" ht="16.2" thickBot="1" x14ac:dyDescent="0.35">
      <c r="A10" s="536" t="s">
        <v>203</v>
      </c>
      <c r="B10" s="537" t="s">
        <v>204</v>
      </c>
      <c r="C10" s="574" t="s">
        <v>19</v>
      </c>
      <c r="D10" s="574" t="s">
        <v>33</v>
      </c>
      <c r="E10" s="426" t="s">
        <v>35</v>
      </c>
      <c r="F10" s="575" t="s">
        <v>30</v>
      </c>
      <c r="G10" s="576" t="s">
        <v>14</v>
      </c>
      <c r="H10" s="426" t="s">
        <v>35</v>
      </c>
      <c r="I10" s="575" t="s">
        <v>30</v>
      </c>
      <c r="J10" s="577" t="s">
        <v>649</v>
      </c>
      <c r="K10" s="578" t="s">
        <v>38</v>
      </c>
      <c r="L10" s="1185"/>
      <c r="M10" s="1187"/>
      <c r="N10" s="1189"/>
      <c r="O10" s="1191"/>
      <c r="P10" s="1193"/>
      <c r="Q10" s="1183"/>
    </row>
    <row r="11" spans="1:17" x14ac:dyDescent="0.25">
      <c r="A11" s="250" t="s">
        <v>205</v>
      </c>
      <c r="B11" s="250" t="s">
        <v>208</v>
      </c>
      <c r="C11" s="420"/>
      <c r="D11" s="363" t="s">
        <v>21</v>
      </c>
      <c r="E11" s="247">
        <v>0</v>
      </c>
      <c r="F11" s="364">
        <f>C11*E11</f>
        <v>0</v>
      </c>
      <c r="G11" s="509"/>
      <c r="H11" s="366">
        <v>0</v>
      </c>
      <c r="I11" s="364">
        <f>G11*H11</f>
        <v>0</v>
      </c>
      <c r="J11" s="579"/>
      <c r="K11" s="510">
        <f>F11+I11+J11</f>
        <v>0</v>
      </c>
      <c r="L11" s="369"/>
      <c r="M11" s="580"/>
      <c r="N11" s="371"/>
      <c r="O11" s="372"/>
      <c r="P11" s="373"/>
      <c r="Q11" s="374"/>
    </row>
    <row r="12" spans="1:17" x14ac:dyDescent="0.25">
      <c r="A12" s="250" t="s">
        <v>206</v>
      </c>
      <c r="B12" s="250" t="s">
        <v>209</v>
      </c>
      <c r="C12" s="362"/>
      <c r="D12" s="363" t="s">
        <v>21</v>
      </c>
      <c r="E12" s="247">
        <v>0</v>
      </c>
      <c r="F12" s="364">
        <f>C12*E12</f>
        <v>0</v>
      </c>
      <c r="G12" s="509"/>
      <c r="H12" s="366">
        <v>0</v>
      </c>
      <c r="I12" s="364">
        <f>G12*H12</f>
        <v>0</v>
      </c>
      <c r="J12" s="579"/>
      <c r="K12" s="510">
        <f>F12+I12+J12</f>
        <v>0</v>
      </c>
      <c r="L12" s="369"/>
      <c r="M12" s="580"/>
      <c r="N12" s="371"/>
      <c r="O12" s="372"/>
      <c r="P12" s="373"/>
      <c r="Q12" s="374"/>
    </row>
    <row r="13" spans="1:17" x14ac:dyDescent="0.25">
      <c r="A13" s="250" t="s">
        <v>207</v>
      </c>
      <c r="B13" s="250" t="s">
        <v>210</v>
      </c>
      <c r="C13" s="362"/>
      <c r="D13" s="363" t="s">
        <v>21</v>
      </c>
      <c r="E13" s="247">
        <v>0</v>
      </c>
      <c r="F13" s="364">
        <f>C13*E13</f>
        <v>0</v>
      </c>
      <c r="G13" s="509"/>
      <c r="H13" s="366">
        <v>0</v>
      </c>
      <c r="I13" s="364">
        <f>G13*H13</f>
        <v>0</v>
      </c>
      <c r="J13" s="579"/>
      <c r="K13" s="510">
        <f>F13+I13+J13</f>
        <v>0</v>
      </c>
      <c r="L13" s="369"/>
      <c r="M13" s="58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>C14*E14</f>
        <v>0</v>
      </c>
      <c r="G14" s="509"/>
      <c r="H14" s="366">
        <v>0</v>
      </c>
      <c r="I14" s="364">
        <f>G14*H14</f>
        <v>0</v>
      </c>
      <c r="J14" s="579"/>
      <c r="K14" s="510">
        <f>F14+I14+J14</f>
        <v>0</v>
      </c>
      <c r="L14" s="369"/>
      <c r="M14" s="580"/>
      <c r="N14" s="371"/>
      <c r="O14" s="372"/>
      <c r="P14" s="373"/>
      <c r="Q14" s="374"/>
    </row>
    <row r="15" spans="1:17" ht="13.8" thickBot="1" x14ac:dyDescent="0.3">
      <c r="A15" s="378"/>
      <c r="B15" s="7"/>
      <c r="C15" s="379"/>
      <c r="D15" s="363"/>
      <c r="E15" s="247"/>
      <c r="F15" s="364"/>
      <c r="G15" s="509"/>
      <c r="H15" s="366"/>
      <c r="I15" s="364"/>
      <c r="J15" s="579"/>
      <c r="K15" s="510"/>
      <c r="L15" s="369"/>
      <c r="M15" s="580"/>
      <c r="N15" s="371"/>
      <c r="O15" s="372"/>
      <c r="P15" s="373"/>
      <c r="Q15" s="374"/>
    </row>
    <row r="16" spans="1:17" ht="13.8" thickTop="1" x14ac:dyDescent="0.25">
      <c r="A16" s="378"/>
      <c r="B16" s="7"/>
      <c r="C16" s="379"/>
      <c r="D16" s="363"/>
      <c r="E16" s="247"/>
      <c r="F16" s="364"/>
      <c r="G16" s="509"/>
      <c r="H16" s="366"/>
      <c r="I16" s="364"/>
      <c r="J16" s="380" t="s">
        <v>30</v>
      </c>
      <c r="K16" s="511">
        <f>SUM(K11:K15)</f>
        <v>0</v>
      </c>
      <c r="L16" s="369"/>
      <c r="M16" s="580"/>
      <c r="N16" s="371"/>
      <c r="O16" s="372"/>
      <c r="P16" s="373"/>
      <c r="Q16" s="374"/>
    </row>
    <row r="17" spans="1:23" ht="13.8" thickBot="1" x14ac:dyDescent="0.3">
      <c r="A17" s="571" t="s">
        <v>0</v>
      </c>
      <c r="B17" s="572" t="s">
        <v>1</v>
      </c>
      <c r="C17" s="1168" t="s">
        <v>646</v>
      </c>
      <c r="D17" s="1028"/>
      <c r="E17" s="1028"/>
      <c r="F17" s="1028"/>
      <c r="G17" s="1028" t="s">
        <v>34</v>
      </c>
      <c r="H17" s="1028"/>
      <c r="I17" s="1028"/>
      <c r="J17" s="573"/>
      <c r="K17" s="503"/>
      <c r="L17" s="382"/>
      <c r="M17" s="581"/>
      <c r="N17" s="384"/>
      <c r="O17" s="372"/>
      <c r="P17" s="373"/>
      <c r="Q17" s="374"/>
    </row>
    <row r="18" spans="1:23" ht="16.2" thickBot="1" x14ac:dyDescent="0.35">
      <c r="A18" s="536" t="s">
        <v>211</v>
      </c>
      <c r="B18" s="537" t="s">
        <v>212</v>
      </c>
      <c r="C18" s="582" t="s">
        <v>19</v>
      </c>
      <c r="D18" s="582" t="s">
        <v>33</v>
      </c>
      <c r="E18" s="583" t="s">
        <v>35</v>
      </c>
      <c r="F18" s="584" t="s">
        <v>30</v>
      </c>
      <c r="G18" s="585" t="s">
        <v>14</v>
      </c>
      <c r="H18" s="583" t="s">
        <v>35</v>
      </c>
      <c r="I18" s="584" t="s">
        <v>30</v>
      </c>
      <c r="J18" s="577" t="s">
        <v>649</v>
      </c>
      <c r="K18" s="586" t="s">
        <v>38</v>
      </c>
      <c r="L18" s="393"/>
      <c r="M18" s="587"/>
      <c r="N18" s="395"/>
      <c r="O18" s="372"/>
      <c r="P18" s="373"/>
      <c r="Q18" s="374"/>
    </row>
    <row r="19" spans="1:23" x14ac:dyDescent="0.25">
      <c r="A19" s="378"/>
      <c r="B19" s="7"/>
      <c r="C19" s="362"/>
      <c r="D19" s="363" t="s">
        <v>21</v>
      </c>
      <c r="E19" s="247">
        <v>0</v>
      </c>
      <c r="F19" s="364">
        <f>C19*E19</f>
        <v>0</v>
      </c>
      <c r="G19" s="509"/>
      <c r="H19" s="366">
        <v>0</v>
      </c>
      <c r="I19" s="364">
        <f>G19*H19</f>
        <v>0</v>
      </c>
      <c r="J19" s="579"/>
      <c r="K19" s="510">
        <f>F19+I19+J19</f>
        <v>0</v>
      </c>
      <c r="L19" s="157"/>
      <c r="M19" s="588"/>
      <c r="O19" s="372"/>
      <c r="P19" s="373"/>
      <c r="Q19" s="374"/>
    </row>
    <row r="20" spans="1:23" x14ac:dyDescent="0.25">
      <c r="A20" s="378"/>
      <c r="B20" s="7"/>
      <c r="C20" s="362"/>
      <c r="D20" s="363" t="s">
        <v>21</v>
      </c>
      <c r="E20" s="247">
        <v>0</v>
      </c>
      <c r="F20" s="364">
        <f>C20*E20</f>
        <v>0</v>
      </c>
      <c r="G20" s="509"/>
      <c r="H20" s="366">
        <v>0</v>
      </c>
      <c r="I20" s="364">
        <f>G20*H20</f>
        <v>0</v>
      </c>
      <c r="J20" s="579"/>
      <c r="K20" s="510">
        <f>F20+I20+J20</f>
        <v>0</v>
      </c>
      <c r="O20" s="372"/>
      <c r="P20" s="373"/>
      <c r="Q20" s="374"/>
    </row>
    <row r="21" spans="1:23" ht="13.8" thickBot="1" x14ac:dyDescent="0.3">
      <c r="A21" s="378"/>
      <c r="B21" s="7"/>
      <c r="C21" s="420"/>
      <c r="D21" s="363" t="s">
        <v>21</v>
      </c>
      <c r="E21" s="247">
        <v>0</v>
      </c>
      <c r="F21" s="364">
        <f>C21*E21</f>
        <v>0</v>
      </c>
      <c r="G21" s="509"/>
      <c r="H21" s="366">
        <v>0</v>
      </c>
      <c r="I21" s="364">
        <f>G21*H21</f>
        <v>0</v>
      </c>
      <c r="J21" s="579"/>
      <c r="K21" s="510">
        <f>F21+I21+J21</f>
        <v>0</v>
      </c>
      <c r="L21" s="369"/>
      <c r="M21" s="580"/>
      <c r="N21" s="371"/>
      <c r="O21" s="372"/>
      <c r="P21" s="373"/>
      <c r="Q21" s="374"/>
    </row>
    <row r="22" spans="1:23" s="159" customFormat="1" ht="13.8" thickTop="1" x14ac:dyDescent="0.25">
      <c r="A22" s="378"/>
      <c r="B22" s="5"/>
      <c r="C22" s="379"/>
      <c r="D22" s="363"/>
      <c r="E22" s="247"/>
      <c r="F22" s="364"/>
      <c r="G22" s="509"/>
      <c r="H22" s="366"/>
      <c r="I22" s="364"/>
      <c r="J22" s="380" t="s">
        <v>30</v>
      </c>
      <c r="K22" s="511">
        <f>SUM(K19:K21)</f>
        <v>0</v>
      </c>
      <c r="L22" s="369"/>
      <c r="M22" s="580"/>
      <c r="N22" s="371"/>
      <c r="O22" s="372"/>
      <c r="P22" s="373"/>
      <c r="Q22" s="374"/>
      <c r="W22" s="157"/>
    </row>
    <row r="23" spans="1:23" s="159" customFormat="1" ht="13.8" thickBot="1" x14ac:dyDescent="0.3">
      <c r="A23" s="571" t="s">
        <v>0</v>
      </c>
      <c r="B23" s="572" t="s">
        <v>1</v>
      </c>
      <c r="C23" s="1168" t="s">
        <v>646</v>
      </c>
      <c r="D23" s="1028"/>
      <c r="E23" s="1028"/>
      <c r="F23" s="1028"/>
      <c r="G23" s="1028" t="s">
        <v>34</v>
      </c>
      <c r="H23" s="1028"/>
      <c r="I23" s="1028"/>
      <c r="J23" s="573"/>
      <c r="K23" s="503"/>
      <c r="L23" s="382"/>
      <c r="M23" s="581"/>
      <c r="N23" s="384"/>
      <c r="O23" s="372"/>
      <c r="P23" s="373"/>
      <c r="Q23" s="374"/>
      <c r="W23" s="157"/>
    </row>
    <row r="24" spans="1:23" s="159" customFormat="1" ht="16.2" thickBot="1" x14ac:dyDescent="0.35">
      <c r="A24" s="536" t="s">
        <v>213</v>
      </c>
      <c r="B24" s="537" t="s">
        <v>214</v>
      </c>
      <c r="C24" s="582" t="s">
        <v>19</v>
      </c>
      <c r="D24" s="582" t="s">
        <v>33</v>
      </c>
      <c r="E24" s="583" t="s">
        <v>35</v>
      </c>
      <c r="F24" s="584" t="s">
        <v>30</v>
      </c>
      <c r="G24" s="585" t="s">
        <v>14</v>
      </c>
      <c r="H24" s="583" t="s">
        <v>35</v>
      </c>
      <c r="I24" s="584" t="s">
        <v>30</v>
      </c>
      <c r="J24" s="577" t="s">
        <v>649</v>
      </c>
      <c r="K24" s="586" t="s">
        <v>38</v>
      </c>
      <c r="L24" s="393"/>
      <c r="M24" s="589"/>
      <c r="N24" s="400"/>
      <c r="O24" s="372"/>
      <c r="P24" s="373"/>
      <c r="Q24" s="374"/>
      <c r="W24" s="157"/>
    </row>
    <row r="25" spans="1:23" s="159" customFormat="1" x14ac:dyDescent="0.25">
      <c r="A25" s="378"/>
      <c r="B25" s="7"/>
      <c r="C25" s="362"/>
      <c r="D25" s="363" t="s">
        <v>21</v>
      </c>
      <c r="E25" s="247">
        <v>0</v>
      </c>
      <c r="F25" s="364">
        <f>C25*E25</f>
        <v>0</v>
      </c>
      <c r="G25" s="509"/>
      <c r="H25" s="366">
        <v>0</v>
      </c>
      <c r="I25" s="364">
        <f>G25*H25</f>
        <v>0</v>
      </c>
      <c r="J25" s="579"/>
      <c r="K25" s="510">
        <f>F25+I25+J25</f>
        <v>0</v>
      </c>
      <c r="L25" s="157"/>
      <c r="M25" s="588"/>
      <c r="N25" s="157"/>
      <c r="O25" s="372"/>
      <c r="P25" s="373"/>
      <c r="Q25" s="374"/>
      <c r="W25" s="157"/>
    </row>
    <row r="26" spans="1:23" s="159" customFormat="1" ht="13.8" thickBot="1" x14ac:dyDescent="0.3">
      <c r="A26" s="378"/>
      <c r="B26" s="7"/>
      <c r="C26" s="362"/>
      <c r="D26" s="363" t="s">
        <v>21</v>
      </c>
      <c r="E26" s="247">
        <v>0</v>
      </c>
      <c r="F26" s="364">
        <f>C26*E26</f>
        <v>0</v>
      </c>
      <c r="G26" s="509"/>
      <c r="H26" s="366">
        <v>0</v>
      </c>
      <c r="I26" s="364">
        <f>G26*H26</f>
        <v>0</v>
      </c>
      <c r="J26" s="579"/>
      <c r="K26" s="510">
        <f>F26+I26+J26</f>
        <v>0</v>
      </c>
      <c r="L26" s="157"/>
      <c r="M26" s="588"/>
      <c r="N26" s="157"/>
      <c r="O26" s="372"/>
      <c r="P26" s="373"/>
      <c r="Q26" s="374"/>
      <c r="W26" s="157"/>
    </row>
    <row r="27" spans="1:23" ht="13.8" thickTop="1" x14ac:dyDescent="0.25">
      <c r="A27" s="378"/>
      <c r="B27" s="403"/>
      <c r="C27" s="379"/>
      <c r="D27" s="363"/>
      <c r="E27" s="247"/>
      <c r="F27" s="364"/>
      <c r="G27" s="509"/>
      <c r="H27" s="366"/>
      <c r="I27" s="364"/>
      <c r="J27" s="380" t="s">
        <v>30</v>
      </c>
      <c r="K27" s="511">
        <f>SUM(K25:K26)</f>
        <v>0</v>
      </c>
      <c r="L27" s="369"/>
      <c r="M27" s="580"/>
      <c r="N27" s="371"/>
      <c r="O27" s="372"/>
      <c r="P27" s="373"/>
      <c r="Q27" s="374"/>
    </row>
    <row r="28" spans="1:23" ht="13.8" thickBot="1" x14ac:dyDescent="0.3">
      <c r="A28" s="571" t="s">
        <v>0</v>
      </c>
      <c r="B28" s="572" t="s">
        <v>1</v>
      </c>
      <c r="C28" s="1168" t="s">
        <v>646</v>
      </c>
      <c r="D28" s="1028"/>
      <c r="E28" s="1028"/>
      <c r="F28" s="1028"/>
      <c r="G28" s="1028" t="s">
        <v>34</v>
      </c>
      <c r="H28" s="1028"/>
      <c r="I28" s="1028"/>
      <c r="J28" s="573"/>
      <c r="K28" s="503"/>
      <c r="L28" s="382"/>
      <c r="M28" s="581"/>
      <c r="N28" s="384"/>
      <c r="O28" s="372"/>
      <c r="P28" s="373"/>
      <c r="Q28" s="374"/>
    </row>
    <row r="29" spans="1:23" ht="16.2" thickBot="1" x14ac:dyDescent="0.35">
      <c r="A29" s="536" t="s">
        <v>215</v>
      </c>
      <c r="B29" s="537" t="s">
        <v>216</v>
      </c>
      <c r="C29" s="582" t="s">
        <v>19</v>
      </c>
      <c r="D29" s="582" t="s">
        <v>33</v>
      </c>
      <c r="E29" s="583" t="s">
        <v>35</v>
      </c>
      <c r="F29" s="584" t="s">
        <v>30</v>
      </c>
      <c r="G29" s="585" t="s">
        <v>14</v>
      </c>
      <c r="H29" s="583" t="s">
        <v>35</v>
      </c>
      <c r="I29" s="584" t="s">
        <v>30</v>
      </c>
      <c r="J29" s="577" t="s">
        <v>649</v>
      </c>
      <c r="K29" s="586" t="s">
        <v>38</v>
      </c>
      <c r="L29" s="393"/>
      <c r="M29" s="589"/>
      <c r="N29" s="400"/>
      <c r="O29" s="372"/>
      <c r="P29" s="373"/>
      <c r="Q29" s="374"/>
    </row>
    <row r="30" spans="1:23" x14ac:dyDescent="0.25">
      <c r="A30" s="378"/>
      <c r="B30" s="7"/>
      <c r="C30" s="362"/>
      <c r="D30" s="363" t="s">
        <v>21</v>
      </c>
      <c r="E30" s="247">
        <v>0</v>
      </c>
      <c r="F30" s="364">
        <f>C30*E30</f>
        <v>0</v>
      </c>
      <c r="G30" s="509"/>
      <c r="H30" s="366">
        <v>0</v>
      </c>
      <c r="I30" s="364">
        <f>G30*H30</f>
        <v>0</v>
      </c>
      <c r="J30" s="579"/>
      <c r="K30" s="510">
        <f>F30+I30+J30</f>
        <v>0</v>
      </c>
      <c r="L30" s="369"/>
      <c r="M30" s="580"/>
      <c r="N30" s="371"/>
      <c r="O30" s="372"/>
      <c r="P30" s="373"/>
      <c r="Q30" s="374"/>
    </row>
    <row r="31" spans="1:23" x14ac:dyDescent="0.25">
      <c r="A31" s="378"/>
      <c r="B31" s="7"/>
      <c r="C31" s="362"/>
      <c r="D31" s="363" t="s">
        <v>21</v>
      </c>
      <c r="E31" s="247">
        <v>0</v>
      </c>
      <c r="F31" s="364">
        <f>C31*E31</f>
        <v>0</v>
      </c>
      <c r="G31" s="509"/>
      <c r="H31" s="366">
        <v>0</v>
      </c>
      <c r="I31" s="364">
        <f>G31*H31</f>
        <v>0</v>
      </c>
      <c r="J31" s="579"/>
      <c r="K31" s="510">
        <f>F31+I31+J31</f>
        <v>0</v>
      </c>
      <c r="L31" s="369"/>
      <c r="M31" s="580"/>
      <c r="N31" s="371"/>
      <c r="O31" s="372"/>
      <c r="P31" s="373"/>
      <c r="Q31" s="374"/>
    </row>
    <row r="32" spans="1:23" ht="13.8" thickBot="1" x14ac:dyDescent="0.3">
      <c r="A32" s="378"/>
      <c r="B32" s="7"/>
      <c r="C32" s="362"/>
      <c r="D32" s="363" t="s">
        <v>21</v>
      </c>
      <c r="E32" s="247">
        <v>0</v>
      </c>
      <c r="F32" s="364">
        <f>C32*E32</f>
        <v>0</v>
      </c>
      <c r="G32" s="509"/>
      <c r="H32" s="366">
        <v>0</v>
      </c>
      <c r="I32" s="364">
        <f>G32*H32</f>
        <v>0</v>
      </c>
      <c r="J32" s="579"/>
      <c r="K32" s="510">
        <f>F32+I32+J32</f>
        <v>0</v>
      </c>
      <c r="L32" s="369" t="s">
        <v>1089</v>
      </c>
      <c r="M32" s="580">
        <v>138290</v>
      </c>
      <c r="N32" s="371"/>
      <c r="O32" s="372"/>
      <c r="P32" s="373"/>
      <c r="Q32" s="374"/>
    </row>
    <row r="33" spans="1:17" ht="13.8" thickTop="1" x14ac:dyDescent="0.25">
      <c r="A33" s="378"/>
      <c r="B33" s="403"/>
      <c r="C33" s="379"/>
      <c r="D33" s="363"/>
      <c r="E33" s="247"/>
      <c r="F33" s="364"/>
      <c r="G33" s="509"/>
      <c r="H33" s="366"/>
      <c r="I33" s="364"/>
      <c r="J33" s="380" t="s">
        <v>30</v>
      </c>
      <c r="K33" s="511">
        <f>SUM(K30:K32)</f>
        <v>0</v>
      </c>
      <c r="L33" s="369"/>
      <c r="M33" s="580"/>
      <c r="N33" s="371"/>
      <c r="O33" s="372"/>
      <c r="P33" s="373"/>
      <c r="Q33" s="374"/>
    </row>
    <row r="34" spans="1:17" ht="13.8" thickBot="1" x14ac:dyDescent="0.3">
      <c r="A34" s="571" t="s">
        <v>0</v>
      </c>
      <c r="B34" s="572" t="s">
        <v>1</v>
      </c>
      <c r="C34" s="1168" t="s">
        <v>646</v>
      </c>
      <c r="D34" s="1028"/>
      <c r="E34" s="1028"/>
      <c r="F34" s="1028"/>
      <c r="G34" s="1028" t="s">
        <v>34</v>
      </c>
      <c r="H34" s="1028"/>
      <c r="I34" s="1028"/>
      <c r="J34" s="573"/>
      <c r="K34" s="503"/>
      <c r="L34" s="382"/>
      <c r="M34" s="581"/>
      <c r="N34" s="384"/>
      <c r="O34" s="372"/>
      <c r="P34" s="373"/>
      <c r="Q34" s="374"/>
    </row>
    <row r="35" spans="1:17" ht="16.2" thickBot="1" x14ac:dyDescent="0.35">
      <c r="A35" s="536" t="s">
        <v>217</v>
      </c>
      <c r="B35" s="537" t="s">
        <v>58</v>
      </c>
      <c r="C35" s="582" t="s">
        <v>19</v>
      </c>
      <c r="D35" s="582" t="s">
        <v>33</v>
      </c>
      <c r="E35" s="583" t="s">
        <v>35</v>
      </c>
      <c r="F35" s="584" t="s">
        <v>30</v>
      </c>
      <c r="G35" s="585" t="s">
        <v>14</v>
      </c>
      <c r="H35" s="583" t="s">
        <v>35</v>
      </c>
      <c r="I35" s="584" t="s">
        <v>30</v>
      </c>
      <c r="J35" s="577" t="s">
        <v>649</v>
      </c>
      <c r="K35" s="586" t="s">
        <v>38</v>
      </c>
      <c r="L35" s="393"/>
      <c r="M35" s="589"/>
      <c r="N35" s="400"/>
      <c r="O35" s="372"/>
      <c r="P35" s="373"/>
      <c r="Q35" s="374"/>
    </row>
    <row r="36" spans="1:17" x14ac:dyDescent="0.25">
      <c r="A36" s="828"/>
      <c r="B36" s="794" t="s">
        <v>58</v>
      </c>
      <c r="C36" s="833"/>
      <c r="D36" s="796" t="s">
        <v>721</v>
      </c>
      <c r="E36" s="834"/>
      <c r="F36" s="798">
        <f>C36*E36</f>
        <v>0</v>
      </c>
      <c r="G36" s="799"/>
      <c r="H36" s="800">
        <v>0</v>
      </c>
      <c r="I36" s="798">
        <f>G36*H36</f>
        <v>0</v>
      </c>
      <c r="J36" s="825">
        <f>M40</f>
        <v>77450</v>
      </c>
      <c r="K36" s="802">
        <f>F36+I36+J36</f>
        <v>77450</v>
      </c>
      <c r="L36" s="369" t="s">
        <v>1125</v>
      </c>
      <c r="M36" s="370">
        <v>8900</v>
      </c>
      <c r="N36" s="371" t="s">
        <v>1102</v>
      </c>
      <c r="O36" s="946"/>
      <c r="P36" s="947"/>
      <c r="Q36" s="374"/>
    </row>
    <row r="37" spans="1:17" x14ac:dyDescent="0.25">
      <c r="A37" s="378"/>
      <c r="B37" s="5"/>
      <c r="C37" s="948"/>
      <c r="D37" s="363"/>
      <c r="E37" s="949"/>
      <c r="F37" s="364"/>
      <c r="G37" s="509"/>
      <c r="H37" s="366"/>
      <c r="I37" s="364"/>
      <c r="J37" s="579"/>
      <c r="K37" s="510"/>
      <c r="L37" s="369" t="s">
        <v>1054</v>
      </c>
      <c r="M37" s="370"/>
      <c r="N37" s="371" t="s">
        <v>1033</v>
      </c>
      <c r="O37" s="946"/>
      <c r="P37" s="947"/>
      <c r="Q37" s="374"/>
    </row>
    <row r="38" spans="1:17" x14ac:dyDescent="0.25">
      <c r="A38" s="378"/>
      <c r="B38" s="7"/>
      <c r="C38" s="362"/>
      <c r="D38" s="363" t="s">
        <v>21</v>
      </c>
      <c r="E38" s="247">
        <v>0</v>
      </c>
      <c r="F38" s="364">
        <f t="shared" ref="F38:F44" si="0">C38*E38</f>
        <v>0</v>
      </c>
      <c r="G38" s="509"/>
      <c r="H38" s="366">
        <v>0</v>
      </c>
      <c r="I38" s="364">
        <f t="shared" ref="I38:I44" si="1">G38*H38</f>
        <v>0</v>
      </c>
      <c r="J38" s="579"/>
      <c r="K38" s="510">
        <f t="shared" ref="K38:K44" si="2">F38+I38+J38</f>
        <v>0</v>
      </c>
      <c r="L38" s="369" t="s">
        <v>1089</v>
      </c>
      <c r="M38" s="580">
        <v>138290</v>
      </c>
      <c r="N38" s="409" t="s">
        <v>1090</v>
      </c>
      <c r="O38" s="401"/>
      <c r="P38" s="402"/>
      <c r="Q38" s="374"/>
    </row>
    <row r="39" spans="1:17" x14ac:dyDescent="0.25">
      <c r="A39" s="378"/>
      <c r="B39" s="7"/>
      <c r="C39" s="362"/>
      <c r="D39" s="363" t="s">
        <v>21</v>
      </c>
      <c r="E39" s="247">
        <v>0</v>
      </c>
      <c r="F39" s="364">
        <f t="shared" si="0"/>
        <v>0</v>
      </c>
      <c r="G39" s="509"/>
      <c r="H39" s="366">
        <v>0</v>
      </c>
      <c r="I39" s="364">
        <f t="shared" si="1"/>
        <v>0</v>
      </c>
      <c r="J39" s="579"/>
      <c r="K39" s="510">
        <f t="shared" si="2"/>
        <v>0</v>
      </c>
      <c r="L39" s="369" t="s">
        <v>1098</v>
      </c>
      <c r="M39" s="293">
        <v>122500</v>
      </c>
      <c r="N39" s="409"/>
      <c r="O39" s="401"/>
      <c r="P39" s="402"/>
      <c r="Q39" s="374"/>
    </row>
    <row r="40" spans="1:17" x14ac:dyDescent="0.25">
      <c r="A40" s="378"/>
      <c r="B40" s="983" t="s">
        <v>1127</v>
      </c>
      <c r="C40" s="362"/>
      <c r="D40" s="363" t="s">
        <v>21</v>
      </c>
      <c r="E40" s="247">
        <v>0</v>
      </c>
      <c r="F40" s="364">
        <f t="shared" si="0"/>
        <v>0</v>
      </c>
      <c r="G40" s="509"/>
      <c r="H40" s="366">
        <v>0</v>
      </c>
      <c r="I40" s="364">
        <f t="shared" si="1"/>
        <v>0</v>
      </c>
      <c r="J40" s="579"/>
      <c r="K40" s="510">
        <f t="shared" si="2"/>
        <v>0</v>
      </c>
      <c r="L40" s="369" t="s">
        <v>1101</v>
      </c>
      <c r="M40" s="293">
        <v>77450</v>
      </c>
      <c r="N40" s="982" t="s">
        <v>1126</v>
      </c>
      <c r="O40" s="401"/>
      <c r="P40" s="402"/>
      <c r="Q40" s="374"/>
    </row>
    <row r="41" spans="1:17" x14ac:dyDescent="0.25">
      <c r="A41" s="378"/>
      <c r="B41" s="7"/>
      <c r="C41" s="362"/>
      <c r="D41" s="363" t="s">
        <v>21</v>
      </c>
      <c r="E41" s="247">
        <v>0</v>
      </c>
      <c r="F41" s="364">
        <f t="shared" si="0"/>
        <v>0</v>
      </c>
      <c r="G41" s="509"/>
      <c r="H41" s="366">
        <v>0</v>
      </c>
      <c r="I41" s="364">
        <f t="shared" si="1"/>
        <v>0</v>
      </c>
      <c r="J41" s="579"/>
      <c r="K41" s="510">
        <f t="shared" si="2"/>
        <v>0</v>
      </c>
      <c r="L41" s="369"/>
      <c r="M41" s="293"/>
      <c r="N41" s="409"/>
      <c r="O41" s="401"/>
      <c r="P41" s="402"/>
      <c r="Q41" s="374"/>
    </row>
    <row r="42" spans="1:17" x14ac:dyDescent="0.25">
      <c r="A42" s="378"/>
      <c r="B42" s="7"/>
      <c r="C42" s="362"/>
      <c r="D42" s="363" t="s">
        <v>21</v>
      </c>
      <c r="E42" s="247">
        <v>0</v>
      </c>
      <c r="F42" s="364">
        <f t="shared" si="0"/>
        <v>0</v>
      </c>
      <c r="G42" s="509"/>
      <c r="H42" s="366">
        <v>0</v>
      </c>
      <c r="I42" s="364">
        <f t="shared" si="1"/>
        <v>0</v>
      </c>
      <c r="J42" s="579"/>
      <c r="K42" s="510">
        <f t="shared" si="2"/>
        <v>0</v>
      </c>
      <c r="L42" s="369"/>
      <c r="M42" s="293"/>
      <c r="N42" s="409"/>
      <c r="O42" s="401"/>
      <c r="P42" s="402"/>
      <c r="Q42" s="374"/>
    </row>
    <row r="43" spans="1:17" x14ac:dyDescent="0.25">
      <c r="A43" s="828"/>
      <c r="B43" s="794" t="s">
        <v>1052</v>
      </c>
      <c r="C43" s="833"/>
      <c r="D43" s="796" t="s">
        <v>721</v>
      </c>
      <c r="E43" s="834"/>
      <c r="F43" s="798">
        <f t="shared" si="0"/>
        <v>0</v>
      </c>
      <c r="G43" s="799"/>
      <c r="H43" s="800">
        <v>0</v>
      </c>
      <c r="I43" s="798">
        <f t="shared" si="1"/>
        <v>0</v>
      </c>
      <c r="J43" s="825"/>
      <c r="K43" s="802">
        <f t="shared" si="2"/>
        <v>0</v>
      </c>
      <c r="L43" s="369" t="s">
        <v>1053</v>
      </c>
      <c r="M43" s="370"/>
      <c r="N43" s="371"/>
      <c r="O43" s="946"/>
      <c r="P43" s="947"/>
      <c r="Q43" s="374"/>
    </row>
    <row r="44" spans="1:17" ht="13.8" thickBot="1" x14ac:dyDescent="0.3">
      <c r="A44" s="378"/>
      <c r="B44" s="7"/>
      <c r="C44" s="362"/>
      <c r="D44" s="363" t="s">
        <v>21</v>
      </c>
      <c r="E44" s="247">
        <v>0</v>
      </c>
      <c r="F44" s="364">
        <f t="shared" si="0"/>
        <v>0</v>
      </c>
      <c r="G44" s="509"/>
      <c r="H44" s="366">
        <v>0</v>
      </c>
      <c r="I44" s="364">
        <f t="shared" si="1"/>
        <v>0</v>
      </c>
      <c r="J44" s="579"/>
      <c r="K44" s="510">
        <f t="shared" si="2"/>
        <v>0</v>
      </c>
      <c r="L44" s="369"/>
      <c r="M44" s="293"/>
      <c r="N44" s="409"/>
      <c r="O44" s="401"/>
      <c r="P44" s="402"/>
      <c r="Q44" s="374"/>
    </row>
    <row r="45" spans="1:17" ht="13.8" thickTop="1" x14ac:dyDescent="0.25">
      <c r="A45" s="378"/>
      <c r="B45" s="403"/>
      <c r="C45" s="379"/>
      <c r="D45" s="363"/>
      <c r="E45" s="247"/>
      <c r="F45" s="364"/>
      <c r="G45" s="509"/>
      <c r="H45" s="366"/>
      <c r="I45" s="364"/>
      <c r="J45" s="380" t="s">
        <v>30</v>
      </c>
      <c r="K45" s="511">
        <f>SUM(K36:K44)</f>
        <v>77450</v>
      </c>
      <c r="L45" s="369"/>
      <c r="M45" s="293"/>
      <c r="N45" s="409"/>
      <c r="O45" s="401"/>
      <c r="P45" s="402"/>
      <c r="Q45" s="374"/>
    </row>
    <row r="46" spans="1:17" ht="13.8" thickBot="1" x14ac:dyDescent="0.3">
      <c r="A46" s="571" t="s">
        <v>0</v>
      </c>
      <c r="B46" s="572" t="s">
        <v>1</v>
      </c>
      <c r="C46" s="1168" t="s">
        <v>646</v>
      </c>
      <c r="D46" s="1028"/>
      <c r="E46" s="1028"/>
      <c r="F46" s="1028"/>
      <c r="G46" s="1028" t="s">
        <v>34</v>
      </c>
      <c r="H46" s="1028"/>
      <c r="I46" s="1028"/>
      <c r="J46" s="573"/>
      <c r="K46" s="503"/>
      <c r="L46" s="382"/>
      <c r="M46" s="581"/>
      <c r="N46" s="384"/>
      <c r="O46" s="401"/>
      <c r="P46" s="402"/>
      <c r="Q46" s="374"/>
    </row>
    <row r="47" spans="1:17" ht="16.2" thickBot="1" x14ac:dyDescent="0.35">
      <c r="A47" s="536" t="s">
        <v>218</v>
      </c>
      <c r="B47" s="537" t="s">
        <v>219</v>
      </c>
      <c r="C47" s="582" t="s">
        <v>19</v>
      </c>
      <c r="D47" s="582" t="s">
        <v>33</v>
      </c>
      <c r="E47" s="583" t="s">
        <v>35</v>
      </c>
      <c r="F47" s="584" t="s">
        <v>30</v>
      </c>
      <c r="G47" s="585" t="s">
        <v>14</v>
      </c>
      <c r="H47" s="583" t="s">
        <v>35</v>
      </c>
      <c r="I47" s="584" t="s">
        <v>30</v>
      </c>
      <c r="J47" s="577" t="s">
        <v>649</v>
      </c>
      <c r="K47" s="586" t="s">
        <v>38</v>
      </c>
      <c r="L47" s="857"/>
      <c r="M47" s="858"/>
      <c r="N47" s="400"/>
      <c r="O47" s="859"/>
      <c r="Q47" s="374"/>
    </row>
    <row r="48" spans="1:17" x14ac:dyDescent="0.25">
      <c r="A48" s="793"/>
      <c r="B48" s="824" t="s">
        <v>219</v>
      </c>
      <c r="C48" s="795"/>
      <c r="D48" s="796" t="s">
        <v>721</v>
      </c>
      <c r="E48" s="797"/>
      <c r="F48" s="798">
        <f t="shared" ref="F48" si="3">C48*E48</f>
        <v>0</v>
      </c>
      <c r="G48" s="799"/>
      <c r="H48" s="800">
        <v>0</v>
      </c>
      <c r="I48" s="798">
        <f t="shared" ref="I48" si="4">G48*H48</f>
        <v>0</v>
      </c>
      <c r="J48" s="825">
        <f>M49</f>
        <v>42586</v>
      </c>
      <c r="K48" s="802">
        <f t="shared" ref="K48" si="5">F48+I48+J48</f>
        <v>42586</v>
      </c>
      <c r="L48" s="369" t="s">
        <v>1055</v>
      </c>
      <c r="M48" s="588">
        <v>49900</v>
      </c>
      <c r="N48" s="371"/>
      <c r="O48" s="860"/>
      <c r="P48" s="157"/>
      <c r="Q48" s="374"/>
    </row>
    <row r="49" spans="1:17" x14ac:dyDescent="0.25">
      <c r="A49" s="378"/>
      <c r="B49" s="7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579"/>
      <c r="K49" s="510">
        <f>F49+I49+J49</f>
        <v>0</v>
      </c>
      <c r="L49" s="157" t="s">
        <v>1091</v>
      </c>
      <c r="M49" s="588">
        <v>42586</v>
      </c>
      <c r="O49" s="372"/>
      <c r="P49" s="373"/>
      <c r="Q49" s="374"/>
    </row>
    <row r="50" spans="1:17" x14ac:dyDescent="0.25">
      <c r="A50" s="378"/>
      <c r="B50" s="7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579"/>
      <c r="K50" s="510">
        <f>F50+I50+J50</f>
        <v>0</v>
      </c>
      <c r="L50" s="157" t="s">
        <v>1120</v>
      </c>
      <c r="M50" s="588">
        <v>64100</v>
      </c>
      <c r="O50" s="372"/>
      <c r="P50" s="373"/>
      <c r="Q50" s="374"/>
    </row>
    <row r="51" spans="1:17" x14ac:dyDescent="0.25">
      <c r="A51" s="378"/>
      <c r="B51" s="7"/>
      <c r="C51" s="362"/>
      <c r="D51" s="363" t="s">
        <v>21</v>
      </c>
      <c r="E51" s="247">
        <v>0</v>
      </c>
      <c r="F51" s="364">
        <f>C51*E51</f>
        <v>0</v>
      </c>
      <c r="G51" s="509"/>
      <c r="H51" s="366">
        <v>0</v>
      </c>
      <c r="I51" s="364">
        <f>G51*H51</f>
        <v>0</v>
      </c>
      <c r="J51" s="579"/>
      <c r="K51" s="510">
        <f>F51+I51+J51</f>
        <v>0</v>
      </c>
      <c r="L51" s="157"/>
      <c r="M51" s="588"/>
      <c r="O51" s="372"/>
      <c r="P51" s="373"/>
      <c r="Q51" s="374"/>
    </row>
    <row r="52" spans="1:17" ht="13.8" thickBot="1" x14ac:dyDescent="0.3">
      <c r="A52" s="378"/>
      <c r="B52" s="7"/>
      <c r="C52" s="362"/>
      <c r="D52" s="363" t="s">
        <v>21</v>
      </c>
      <c r="E52" s="247">
        <v>0</v>
      </c>
      <c r="F52" s="364">
        <f>C52*E52</f>
        <v>0</v>
      </c>
      <c r="G52" s="509"/>
      <c r="H52" s="366">
        <v>0</v>
      </c>
      <c r="I52" s="364">
        <f>G52*H52</f>
        <v>0</v>
      </c>
      <c r="J52" s="579"/>
      <c r="K52" s="510">
        <f>F52+I52+J52</f>
        <v>0</v>
      </c>
      <c r="L52" s="157"/>
      <c r="M52" s="588"/>
      <c r="O52" s="372"/>
      <c r="P52" s="373"/>
      <c r="Q52" s="374"/>
    </row>
    <row r="53" spans="1:17" ht="13.8" thickTop="1" x14ac:dyDescent="0.25">
      <c r="A53" s="378"/>
      <c r="B53" s="403"/>
      <c r="C53" s="379"/>
      <c r="D53" s="363"/>
      <c r="E53" s="247"/>
      <c r="F53" s="364"/>
      <c r="G53" s="509"/>
      <c r="H53" s="366"/>
      <c r="I53" s="364"/>
      <c r="J53" s="380" t="s">
        <v>30</v>
      </c>
      <c r="K53" s="511">
        <f>SUM(K48:K52)</f>
        <v>42586</v>
      </c>
      <c r="O53" s="372"/>
      <c r="P53" s="402"/>
      <c r="Q53" s="374"/>
    </row>
    <row r="54" spans="1:17" ht="13.8" thickBot="1" x14ac:dyDescent="0.3">
      <c r="A54" s="571" t="s">
        <v>0</v>
      </c>
      <c r="B54" s="572" t="s">
        <v>1</v>
      </c>
      <c r="C54" s="1168" t="s">
        <v>646</v>
      </c>
      <c r="D54" s="1028"/>
      <c r="E54" s="1028"/>
      <c r="F54" s="1028"/>
      <c r="G54" s="1028" t="s">
        <v>34</v>
      </c>
      <c r="H54" s="1028"/>
      <c r="I54" s="1028"/>
      <c r="J54" s="573"/>
      <c r="K54" s="503"/>
      <c r="L54" s="382"/>
      <c r="M54" s="573"/>
      <c r="N54" s="384"/>
      <c r="O54" s="372"/>
      <c r="P54" s="373"/>
      <c r="Q54" s="374"/>
    </row>
    <row r="55" spans="1:17" ht="16.2" thickBot="1" x14ac:dyDescent="0.35">
      <c r="A55" s="536" t="s">
        <v>220</v>
      </c>
      <c r="B55" s="537" t="s">
        <v>221</v>
      </c>
      <c r="C55" s="582" t="s">
        <v>19</v>
      </c>
      <c r="D55" s="582" t="s">
        <v>33</v>
      </c>
      <c r="E55" s="583" t="s">
        <v>35</v>
      </c>
      <c r="F55" s="584" t="s">
        <v>30</v>
      </c>
      <c r="G55" s="585" t="s">
        <v>14</v>
      </c>
      <c r="H55" s="583" t="s">
        <v>35</v>
      </c>
      <c r="I55" s="584" t="s">
        <v>30</v>
      </c>
      <c r="J55" s="577" t="s">
        <v>649</v>
      </c>
      <c r="K55" s="586" t="s">
        <v>38</v>
      </c>
      <c r="L55" s="393"/>
      <c r="M55" s="589"/>
      <c r="N55" s="395"/>
      <c r="O55" s="372"/>
      <c r="P55" s="373"/>
      <c r="Q55" s="374"/>
    </row>
    <row r="56" spans="1:17" x14ac:dyDescent="0.25">
      <c r="A56" s="378"/>
      <c r="B56" s="7"/>
      <c r="C56" s="420"/>
      <c r="D56" s="363" t="s">
        <v>21</v>
      </c>
      <c r="E56" s="247">
        <v>0</v>
      </c>
      <c r="F56" s="364">
        <f>C56*E56</f>
        <v>0</v>
      </c>
      <c r="G56" s="509"/>
      <c r="H56" s="366">
        <v>0</v>
      </c>
      <c r="I56" s="364">
        <f>G56*H56</f>
        <v>0</v>
      </c>
      <c r="J56" s="579"/>
      <c r="K56" s="510">
        <f>F56+I56+J56</f>
        <v>0</v>
      </c>
      <c r="L56" s="369"/>
      <c r="M56" s="293"/>
      <c r="N56" s="371"/>
      <c r="O56" s="372"/>
      <c r="P56" s="373"/>
      <c r="Q56" s="374"/>
    </row>
    <row r="57" spans="1:17" ht="13.8" thickBot="1" x14ac:dyDescent="0.3">
      <c r="A57" s="378"/>
      <c r="B57" s="7"/>
      <c r="C57" s="362"/>
      <c r="D57" s="363" t="s">
        <v>21</v>
      </c>
      <c r="E57" s="247">
        <v>0</v>
      </c>
      <c r="F57" s="364">
        <f>C57*E57</f>
        <v>0</v>
      </c>
      <c r="G57" s="509"/>
      <c r="H57" s="366">
        <v>0</v>
      </c>
      <c r="I57" s="364">
        <f>G57*H57</f>
        <v>0</v>
      </c>
      <c r="J57" s="579"/>
      <c r="K57" s="510">
        <f>F57+I57+J57</f>
        <v>0</v>
      </c>
      <c r="L57" s="369"/>
      <c r="M57" s="293"/>
      <c r="N57" s="371"/>
      <c r="O57" s="372"/>
      <c r="P57" s="373"/>
      <c r="Q57" s="374"/>
    </row>
    <row r="58" spans="1:17" ht="13.8" thickTop="1" x14ac:dyDescent="0.25">
      <c r="A58" s="378"/>
      <c r="C58" s="379"/>
      <c r="D58" s="363"/>
      <c r="E58" s="247"/>
      <c r="F58" s="364"/>
      <c r="G58" s="509"/>
      <c r="H58" s="366"/>
      <c r="I58" s="364"/>
      <c r="J58" s="380" t="s">
        <v>30</v>
      </c>
      <c r="K58" s="511">
        <f>SUM(K56:K57)</f>
        <v>0</v>
      </c>
      <c r="L58" s="369"/>
      <c r="M58" s="293"/>
      <c r="N58" s="371"/>
      <c r="O58" s="372"/>
      <c r="P58" s="373"/>
      <c r="Q58" s="374"/>
    </row>
    <row r="59" spans="1:17" ht="13.8" thickBot="1" x14ac:dyDescent="0.3">
      <c r="A59" s="571" t="s">
        <v>0</v>
      </c>
      <c r="B59" s="572" t="s">
        <v>1</v>
      </c>
      <c r="C59" s="1168" t="s">
        <v>646</v>
      </c>
      <c r="D59" s="1028"/>
      <c r="E59" s="1028"/>
      <c r="F59" s="1028"/>
      <c r="G59" s="1028" t="s">
        <v>34</v>
      </c>
      <c r="H59" s="1028"/>
      <c r="I59" s="1028"/>
      <c r="J59" s="573"/>
      <c r="K59" s="503"/>
      <c r="L59" s="382"/>
      <c r="M59" s="573"/>
      <c r="N59" s="384"/>
      <c r="O59" s="372"/>
      <c r="P59" s="373"/>
      <c r="Q59" s="374"/>
    </row>
    <row r="60" spans="1:17" ht="16.2" thickBot="1" x14ac:dyDescent="0.35">
      <c r="A60" s="536" t="s">
        <v>222</v>
      </c>
      <c r="B60" s="537" t="s">
        <v>223</v>
      </c>
      <c r="C60" s="582" t="s">
        <v>19</v>
      </c>
      <c r="D60" s="582" t="s">
        <v>33</v>
      </c>
      <c r="E60" s="583" t="s">
        <v>35</v>
      </c>
      <c r="F60" s="584" t="s">
        <v>30</v>
      </c>
      <c r="G60" s="585" t="s">
        <v>14</v>
      </c>
      <c r="H60" s="583" t="s">
        <v>35</v>
      </c>
      <c r="I60" s="584" t="s">
        <v>30</v>
      </c>
      <c r="J60" s="577" t="s">
        <v>649</v>
      </c>
      <c r="K60" s="586" t="s">
        <v>38</v>
      </c>
      <c r="L60" s="393"/>
      <c r="M60" s="589"/>
      <c r="N60" s="395"/>
      <c r="O60" s="417"/>
      <c r="P60" s="418"/>
      <c r="Q60" s="374"/>
    </row>
    <row r="61" spans="1:17" x14ac:dyDescent="0.25">
      <c r="A61" s="378"/>
      <c r="B61" s="7"/>
      <c r="C61" s="362"/>
      <c r="D61" s="363" t="s">
        <v>21</v>
      </c>
      <c r="E61" s="247">
        <v>0</v>
      </c>
      <c r="F61" s="364">
        <f>C61*E61</f>
        <v>0</v>
      </c>
      <c r="G61" s="509"/>
      <c r="H61" s="366">
        <v>0</v>
      </c>
      <c r="I61" s="364">
        <f>G61*H61</f>
        <v>0</v>
      </c>
      <c r="J61" s="579"/>
      <c r="K61" s="510">
        <f>F61+I61+J61</f>
        <v>0</v>
      </c>
      <c r="L61" s="369"/>
      <c r="M61" s="293"/>
      <c r="N61" s="409"/>
      <c r="O61" s="417"/>
      <c r="P61" s="418"/>
      <c r="Q61" s="374"/>
    </row>
    <row r="62" spans="1:17" ht="13.8" thickBot="1" x14ac:dyDescent="0.3">
      <c r="A62" s="378"/>
      <c r="B62" s="7"/>
      <c r="C62" s="362"/>
      <c r="D62" s="363" t="s">
        <v>21</v>
      </c>
      <c r="E62" s="247">
        <v>0</v>
      </c>
      <c r="F62" s="364">
        <f>C62*E62</f>
        <v>0</v>
      </c>
      <c r="G62" s="509"/>
      <c r="H62" s="366">
        <v>0</v>
      </c>
      <c r="I62" s="364">
        <f>G62*H62</f>
        <v>0</v>
      </c>
      <c r="J62" s="579"/>
      <c r="K62" s="510">
        <f>F62+I62+J62</f>
        <v>0</v>
      </c>
      <c r="O62" s="401"/>
      <c r="P62" s="402"/>
      <c r="Q62" s="374"/>
    </row>
    <row r="63" spans="1:17" ht="13.8" thickTop="1" x14ac:dyDescent="0.25">
      <c r="A63" s="378"/>
      <c r="B63" s="403"/>
      <c r="C63" s="539"/>
      <c r="D63" s="363"/>
      <c r="E63" s="247"/>
      <c r="F63" s="364"/>
      <c r="G63" s="509"/>
      <c r="H63" s="366"/>
      <c r="I63" s="364"/>
      <c r="J63" s="380" t="s">
        <v>30</v>
      </c>
      <c r="K63" s="511">
        <f>SUM(K61:K62)</f>
        <v>0</v>
      </c>
      <c r="O63" s="372"/>
      <c r="P63" s="373"/>
      <c r="Q63" s="374"/>
    </row>
    <row r="64" spans="1:17" ht="13.8" thickBot="1" x14ac:dyDescent="0.3">
      <c r="A64" s="571" t="s">
        <v>0</v>
      </c>
      <c r="B64" s="572" t="s">
        <v>1</v>
      </c>
      <c r="C64" s="1028" t="s">
        <v>646</v>
      </c>
      <c r="D64" s="1028"/>
      <c r="E64" s="1028"/>
      <c r="F64" s="1028"/>
      <c r="G64" s="1028" t="s">
        <v>34</v>
      </c>
      <c r="H64" s="1028"/>
      <c r="I64" s="1028"/>
      <c r="J64" s="573"/>
      <c r="K64" s="503"/>
      <c r="L64" s="382"/>
      <c r="M64" s="573"/>
      <c r="N64" s="419"/>
      <c r="O64" s="372"/>
      <c r="P64" s="373"/>
      <c r="Q64" s="374"/>
    </row>
    <row r="65" spans="1:17" ht="16.2" thickBot="1" x14ac:dyDescent="0.35">
      <c r="A65" s="536" t="s">
        <v>226</v>
      </c>
      <c r="B65" s="537" t="s">
        <v>224</v>
      </c>
      <c r="C65" s="582" t="s">
        <v>19</v>
      </c>
      <c r="D65" s="582" t="s">
        <v>33</v>
      </c>
      <c r="E65" s="583" t="s">
        <v>35</v>
      </c>
      <c r="F65" s="584" t="s">
        <v>30</v>
      </c>
      <c r="G65" s="585" t="s">
        <v>14</v>
      </c>
      <c r="H65" s="583" t="s">
        <v>35</v>
      </c>
      <c r="I65" s="584" t="s">
        <v>30</v>
      </c>
      <c r="J65" s="577" t="s">
        <v>649</v>
      </c>
      <c r="K65" s="586" t="s">
        <v>38</v>
      </c>
      <c r="L65" s="393"/>
      <c r="M65" s="589"/>
      <c r="N65" s="400"/>
      <c r="O65" s="372"/>
      <c r="P65" s="373"/>
      <c r="Q65" s="374"/>
    </row>
    <row r="66" spans="1:17" x14ac:dyDescent="0.25">
      <c r="A66" s="378"/>
      <c r="B66" s="7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579"/>
      <c r="K66" s="510">
        <f>F66+I66+J66</f>
        <v>0</v>
      </c>
      <c r="L66" s="369"/>
      <c r="M66" s="580"/>
      <c r="N66" s="371"/>
      <c r="O66" s="372"/>
      <c r="P66" s="373"/>
      <c r="Q66" s="374"/>
    </row>
    <row r="67" spans="1:17" ht="13.8" thickBot="1" x14ac:dyDescent="0.3">
      <c r="A67" s="378"/>
      <c r="B67" s="7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579"/>
      <c r="K67" s="510">
        <f>F67+I67+J67</f>
        <v>0</v>
      </c>
      <c r="L67" s="369"/>
      <c r="M67" s="580"/>
      <c r="N67" s="371"/>
      <c r="O67" s="372"/>
      <c r="P67" s="373"/>
      <c r="Q67" s="374"/>
    </row>
    <row r="68" spans="1:17" ht="14.4" thickTop="1" thickBot="1" x14ac:dyDescent="0.3">
      <c r="A68" s="450"/>
      <c r="B68" s="156"/>
      <c r="C68" s="451"/>
      <c r="D68" s="452"/>
      <c r="E68" s="590"/>
      <c r="F68" s="454"/>
      <c r="G68" s="591"/>
      <c r="H68" s="590"/>
      <c r="I68" s="454"/>
      <c r="J68" s="456" t="s">
        <v>30</v>
      </c>
      <c r="K68" s="592">
        <f>SUM(K66:K67)</f>
        <v>0</v>
      </c>
      <c r="L68" s="369"/>
      <c r="M68" s="580"/>
      <c r="N68" s="371"/>
      <c r="O68" s="372"/>
      <c r="P68" s="373"/>
      <c r="Q68" s="374"/>
    </row>
    <row r="69" spans="1:17" ht="13.8" thickBot="1" x14ac:dyDescent="0.3">
      <c r="A69" s="571" t="s">
        <v>0</v>
      </c>
      <c r="B69" s="572" t="s">
        <v>1</v>
      </c>
      <c r="C69" s="1168" t="s">
        <v>646</v>
      </c>
      <c r="D69" s="1028"/>
      <c r="E69" s="1028"/>
      <c r="F69" s="1028"/>
      <c r="G69" s="1028" t="s">
        <v>34</v>
      </c>
      <c r="H69" s="1028"/>
      <c r="I69" s="1028"/>
      <c r="J69" s="573"/>
      <c r="K69" s="503"/>
      <c r="L69" s="382"/>
      <c r="M69" s="581"/>
      <c r="N69" s="384"/>
      <c r="O69" s="372"/>
      <c r="P69" s="373"/>
      <c r="Q69" s="374"/>
    </row>
    <row r="70" spans="1:17" ht="16.2" thickBot="1" x14ac:dyDescent="0.35">
      <c r="A70" s="536" t="s">
        <v>227</v>
      </c>
      <c r="B70" s="537" t="s">
        <v>225</v>
      </c>
      <c r="C70" s="582" t="s">
        <v>19</v>
      </c>
      <c r="D70" s="582" t="s">
        <v>33</v>
      </c>
      <c r="E70" s="583" t="s">
        <v>35</v>
      </c>
      <c r="F70" s="584" t="s">
        <v>30</v>
      </c>
      <c r="G70" s="585" t="s">
        <v>14</v>
      </c>
      <c r="H70" s="583" t="s">
        <v>35</v>
      </c>
      <c r="I70" s="584" t="s">
        <v>30</v>
      </c>
      <c r="J70" s="577" t="s">
        <v>649</v>
      </c>
      <c r="K70" s="586" t="s">
        <v>38</v>
      </c>
      <c r="L70" s="393"/>
      <c r="M70" s="587"/>
      <c r="N70" s="395"/>
      <c r="O70" s="372"/>
      <c r="P70" s="373"/>
      <c r="Q70" s="374"/>
    </row>
    <row r="71" spans="1:17" x14ac:dyDescent="0.25">
      <c r="A71" s="378"/>
      <c r="B71" s="7"/>
      <c r="C71" s="362"/>
      <c r="D71" s="363" t="s">
        <v>21</v>
      </c>
      <c r="E71" s="247">
        <v>0</v>
      </c>
      <c r="F71" s="364">
        <f>C71*E71</f>
        <v>0</v>
      </c>
      <c r="G71" s="509"/>
      <c r="H71" s="366">
        <v>0</v>
      </c>
      <c r="I71" s="364">
        <f>G71*H71</f>
        <v>0</v>
      </c>
      <c r="J71" s="579"/>
      <c r="K71" s="510">
        <f>F71+I71+J71</f>
        <v>0</v>
      </c>
      <c r="O71" s="372"/>
      <c r="P71" s="373"/>
      <c r="Q71" s="374"/>
    </row>
    <row r="72" spans="1:17" x14ac:dyDescent="0.25">
      <c r="A72" s="378"/>
      <c r="B72" s="7"/>
      <c r="C72" s="420"/>
      <c r="D72" s="363" t="s">
        <v>21</v>
      </c>
      <c r="E72" s="247">
        <v>0</v>
      </c>
      <c r="F72" s="364">
        <f>C72*E72</f>
        <v>0</v>
      </c>
      <c r="G72" s="509"/>
      <c r="H72" s="366">
        <v>0</v>
      </c>
      <c r="I72" s="364">
        <f>G72*H72</f>
        <v>0</v>
      </c>
      <c r="J72" s="579"/>
      <c r="K72" s="510">
        <f>F72+I72+J72</f>
        <v>0</v>
      </c>
      <c r="O72" s="372"/>
      <c r="P72" s="373"/>
      <c r="Q72" s="374"/>
    </row>
    <row r="73" spans="1:17" ht="13.8" thickBot="1" x14ac:dyDescent="0.3">
      <c r="A73" s="378"/>
      <c r="B73" s="7"/>
      <c r="C73" s="420"/>
      <c r="D73" s="363" t="s">
        <v>21</v>
      </c>
      <c r="E73" s="247">
        <v>0</v>
      </c>
      <c r="F73" s="364">
        <f>C73*E73</f>
        <v>0</v>
      </c>
      <c r="G73" s="509"/>
      <c r="H73" s="366">
        <v>0</v>
      </c>
      <c r="I73" s="364">
        <f>G73*H73</f>
        <v>0</v>
      </c>
      <c r="J73" s="579"/>
      <c r="K73" s="510">
        <f>F73+I73+J73</f>
        <v>0</v>
      </c>
      <c r="O73" s="372"/>
      <c r="P73" s="373"/>
      <c r="Q73" s="374"/>
    </row>
    <row r="74" spans="1:17" ht="14.4" thickTop="1" thickBot="1" x14ac:dyDescent="0.3">
      <c r="A74" s="450"/>
      <c r="B74" s="156"/>
      <c r="C74" s="451"/>
      <c r="D74" s="452"/>
      <c r="E74" s="590"/>
      <c r="F74" s="454"/>
      <c r="G74" s="591"/>
      <c r="H74" s="590"/>
      <c r="I74" s="454"/>
      <c r="J74" s="456" t="s">
        <v>30</v>
      </c>
      <c r="K74" s="592">
        <f>SUM(K71:K73)</f>
        <v>0</v>
      </c>
      <c r="L74" s="369"/>
      <c r="M74" s="580"/>
      <c r="N74" s="371"/>
      <c r="O74" s="372"/>
      <c r="P74" s="373"/>
      <c r="Q74" s="374"/>
    </row>
    <row r="75" spans="1:17" ht="13.8" thickBot="1" x14ac:dyDescent="0.3">
      <c r="A75" s="571" t="s">
        <v>0</v>
      </c>
      <c r="B75" s="572" t="s">
        <v>1</v>
      </c>
      <c r="C75" s="1168" t="s">
        <v>646</v>
      </c>
      <c r="D75" s="1028"/>
      <c r="E75" s="1028"/>
      <c r="F75" s="1028"/>
      <c r="G75" s="1028" t="s">
        <v>34</v>
      </c>
      <c r="H75" s="1028"/>
      <c r="I75" s="1028"/>
      <c r="J75" s="573"/>
      <c r="K75" s="503"/>
      <c r="L75" s="382"/>
      <c r="M75" s="581"/>
      <c r="N75" s="384"/>
      <c r="O75" s="372"/>
      <c r="P75" s="373"/>
      <c r="Q75" s="374"/>
    </row>
    <row r="76" spans="1:17" ht="16.2" thickBot="1" x14ac:dyDescent="0.35">
      <c r="A76" s="536" t="s">
        <v>228</v>
      </c>
      <c r="B76" s="537" t="s">
        <v>229</v>
      </c>
      <c r="C76" s="582" t="s">
        <v>19</v>
      </c>
      <c r="D76" s="582" t="s">
        <v>33</v>
      </c>
      <c r="E76" s="583" t="s">
        <v>35</v>
      </c>
      <c r="F76" s="584" t="s">
        <v>30</v>
      </c>
      <c r="G76" s="585" t="s">
        <v>14</v>
      </c>
      <c r="H76" s="583" t="s">
        <v>35</v>
      </c>
      <c r="I76" s="584" t="s">
        <v>30</v>
      </c>
      <c r="J76" s="577" t="s">
        <v>649</v>
      </c>
      <c r="K76" s="586" t="s">
        <v>38</v>
      </c>
      <c r="L76" s="393"/>
      <c r="M76" s="587"/>
      <c r="N76" s="395"/>
      <c r="O76" s="372"/>
      <c r="P76" s="373"/>
      <c r="Q76" s="374"/>
    </row>
    <row r="77" spans="1:17" x14ac:dyDescent="0.25">
      <c r="A77" s="250" t="s">
        <v>230</v>
      </c>
      <c r="B77" s="250" t="s">
        <v>232</v>
      </c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579"/>
      <c r="K77" s="510">
        <f>F77+I77+J77</f>
        <v>0</v>
      </c>
      <c r="L77" s="369"/>
      <c r="M77" s="580"/>
      <c r="N77" s="371"/>
      <c r="O77" s="372"/>
      <c r="P77" s="373"/>
      <c r="Q77" s="374"/>
    </row>
    <row r="78" spans="1:17" x14ac:dyDescent="0.25">
      <c r="A78" s="250" t="s">
        <v>231</v>
      </c>
      <c r="B78" s="250" t="s">
        <v>233</v>
      </c>
      <c r="C78" s="362"/>
      <c r="D78" s="363" t="s">
        <v>21</v>
      </c>
      <c r="E78" s="247">
        <v>0</v>
      </c>
      <c r="F78" s="364">
        <f>C78*E78</f>
        <v>0</v>
      </c>
      <c r="G78" s="509"/>
      <c r="H78" s="366">
        <v>0</v>
      </c>
      <c r="I78" s="364">
        <f>G78*H78</f>
        <v>0</v>
      </c>
      <c r="J78" s="579"/>
      <c r="K78" s="510">
        <f>F78+I78+J78</f>
        <v>0</v>
      </c>
      <c r="L78" s="369"/>
      <c r="M78" s="580"/>
      <c r="N78" s="371"/>
      <c r="O78" s="372"/>
      <c r="P78" s="373"/>
      <c r="Q78" s="374"/>
    </row>
    <row r="79" spans="1:17" ht="13.8" thickBot="1" x14ac:dyDescent="0.3">
      <c r="A79" s="378"/>
      <c r="B79" s="7"/>
      <c r="C79" s="362"/>
      <c r="D79" s="363" t="s">
        <v>21</v>
      </c>
      <c r="E79" s="247">
        <v>0</v>
      </c>
      <c r="F79" s="364">
        <f>C79*E79</f>
        <v>0</v>
      </c>
      <c r="G79" s="509"/>
      <c r="H79" s="366">
        <v>0</v>
      </c>
      <c r="I79" s="364">
        <f>G79*H79</f>
        <v>0</v>
      </c>
      <c r="J79" s="579"/>
      <c r="K79" s="510">
        <f>F79+I79+J79</f>
        <v>0</v>
      </c>
      <c r="L79" s="369"/>
      <c r="M79" s="580"/>
      <c r="N79" s="371"/>
      <c r="O79" s="372"/>
      <c r="P79" s="373"/>
      <c r="Q79" s="374"/>
    </row>
    <row r="80" spans="1:17" ht="14.4" thickTop="1" thickBot="1" x14ac:dyDescent="0.3">
      <c r="A80" s="450"/>
      <c r="B80" s="156"/>
      <c r="C80" s="451"/>
      <c r="D80" s="452"/>
      <c r="E80" s="590"/>
      <c r="F80" s="454"/>
      <c r="G80" s="591"/>
      <c r="H80" s="590"/>
      <c r="I80" s="454"/>
      <c r="J80" s="456" t="s">
        <v>30</v>
      </c>
      <c r="K80" s="592">
        <f>SUM(K77:K79)</f>
        <v>0</v>
      </c>
      <c r="L80" s="369"/>
      <c r="M80" s="580"/>
      <c r="N80" s="371"/>
      <c r="O80" s="372"/>
      <c r="P80" s="373"/>
      <c r="Q80" s="374"/>
    </row>
    <row r="81" spans="1:17" ht="13.8" thickBot="1" x14ac:dyDescent="0.3">
      <c r="A81" s="571" t="s">
        <v>0</v>
      </c>
      <c r="B81" s="572" t="s">
        <v>1</v>
      </c>
      <c r="C81" s="1168" t="s">
        <v>646</v>
      </c>
      <c r="D81" s="1028"/>
      <c r="E81" s="1028"/>
      <c r="F81" s="1028"/>
      <c r="G81" s="1028" t="s">
        <v>34</v>
      </c>
      <c r="H81" s="1028"/>
      <c r="I81" s="1028"/>
      <c r="J81" s="573"/>
      <c r="K81" s="503"/>
      <c r="L81" s="382"/>
      <c r="M81" s="581"/>
      <c r="N81" s="384"/>
      <c r="O81" s="372"/>
      <c r="P81" s="373"/>
      <c r="Q81" s="374"/>
    </row>
    <row r="82" spans="1:17" ht="16.2" thickBot="1" x14ac:dyDescent="0.35">
      <c r="A82" s="536" t="s">
        <v>234</v>
      </c>
      <c r="B82" s="537" t="s">
        <v>235</v>
      </c>
      <c r="C82" s="582" t="s">
        <v>19</v>
      </c>
      <c r="D82" s="582" t="s">
        <v>33</v>
      </c>
      <c r="E82" s="583" t="s">
        <v>35</v>
      </c>
      <c r="F82" s="584" t="s">
        <v>30</v>
      </c>
      <c r="G82" s="585" t="s">
        <v>14</v>
      </c>
      <c r="H82" s="583" t="s">
        <v>35</v>
      </c>
      <c r="I82" s="584" t="s">
        <v>30</v>
      </c>
      <c r="J82" s="577" t="s">
        <v>649</v>
      </c>
      <c r="K82" s="586" t="s">
        <v>38</v>
      </c>
      <c r="L82" s="393"/>
      <c r="M82" s="587"/>
      <c r="N82" s="395"/>
      <c r="O82" s="372"/>
      <c r="P82" s="373"/>
      <c r="Q82" s="374"/>
    </row>
    <row r="83" spans="1:17" x14ac:dyDescent="0.25">
      <c r="A83" s="895" t="s">
        <v>236</v>
      </c>
      <c r="B83" s="896" t="s">
        <v>995</v>
      </c>
      <c r="C83" s="833"/>
      <c r="D83" s="796" t="s">
        <v>21</v>
      </c>
      <c r="E83" s="834"/>
      <c r="F83" s="798">
        <f>C83*E83</f>
        <v>0</v>
      </c>
      <c r="G83" s="799"/>
      <c r="H83" s="800">
        <v>0</v>
      </c>
      <c r="I83" s="798">
        <f>G83*H83</f>
        <v>0</v>
      </c>
      <c r="J83" s="825">
        <f>M83</f>
        <v>4480</v>
      </c>
      <c r="K83" s="802">
        <f>F83+I83+J83</f>
        <v>4480</v>
      </c>
      <c r="L83" s="159" t="s">
        <v>1087</v>
      </c>
      <c r="M83" s="306">
        <v>4480</v>
      </c>
      <c r="O83" s="372"/>
      <c r="P83" s="373"/>
      <c r="Q83" s="374"/>
    </row>
    <row r="84" spans="1:17" x14ac:dyDescent="0.25">
      <c r="A84" s="378"/>
      <c r="B84" s="7"/>
      <c r="C84" s="420"/>
      <c r="D84" s="363" t="s">
        <v>21</v>
      </c>
      <c r="E84" s="247">
        <v>0</v>
      </c>
      <c r="F84" s="364">
        <f>C84*E84</f>
        <v>0</v>
      </c>
      <c r="G84" s="509"/>
      <c r="H84" s="366">
        <v>0</v>
      </c>
      <c r="I84" s="364">
        <f>G84*H84</f>
        <v>0</v>
      </c>
      <c r="J84" s="579"/>
      <c r="K84" s="510">
        <f>F84+I84+J84</f>
        <v>0</v>
      </c>
      <c r="L84" s="369"/>
      <c r="M84" s="580"/>
      <c r="N84" s="371"/>
      <c r="O84" s="372"/>
      <c r="P84" s="373"/>
      <c r="Q84" s="374"/>
    </row>
    <row r="85" spans="1:17" ht="13.8" thickBot="1" x14ac:dyDescent="0.3">
      <c r="A85" s="378"/>
      <c r="B85" s="7"/>
      <c r="C85" s="362"/>
      <c r="D85" s="363"/>
      <c r="E85" s="247"/>
      <c r="F85" s="364"/>
      <c r="G85" s="509"/>
      <c r="H85" s="366"/>
      <c r="I85" s="364"/>
      <c r="J85" s="579"/>
      <c r="K85" s="510"/>
      <c r="L85" s="369"/>
      <c r="M85" s="580"/>
      <c r="N85" s="371"/>
      <c r="O85" s="372"/>
      <c r="P85" s="373"/>
      <c r="Q85" s="374"/>
    </row>
    <row r="86" spans="1:17" ht="14.4" thickTop="1" thickBot="1" x14ac:dyDescent="0.3">
      <c r="A86" s="450"/>
      <c r="B86" s="156"/>
      <c r="C86" s="451"/>
      <c r="D86" s="452"/>
      <c r="E86" s="590"/>
      <c r="F86" s="454"/>
      <c r="G86" s="591"/>
      <c r="H86" s="590"/>
      <c r="I86" s="454"/>
      <c r="J86" s="456" t="s">
        <v>30</v>
      </c>
      <c r="K86" s="592">
        <f>SUM(K83:K85)</f>
        <v>4480</v>
      </c>
      <c r="L86" s="369"/>
      <c r="M86" s="580"/>
      <c r="N86" s="371"/>
      <c r="O86" s="372"/>
      <c r="P86" s="373"/>
      <c r="Q86" s="374"/>
    </row>
    <row r="87" spans="1:17" ht="13.8" thickBot="1" x14ac:dyDescent="0.3">
      <c r="A87" s="571" t="s">
        <v>0</v>
      </c>
      <c r="B87" s="572" t="s">
        <v>1</v>
      </c>
      <c r="C87" s="1168" t="s">
        <v>646</v>
      </c>
      <c r="D87" s="1028"/>
      <c r="E87" s="1028"/>
      <c r="F87" s="1028"/>
      <c r="G87" s="1028" t="s">
        <v>34</v>
      </c>
      <c r="H87" s="1028"/>
      <c r="I87" s="1028"/>
      <c r="J87" s="573"/>
      <c r="K87" s="503"/>
      <c r="L87" s="382"/>
      <c r="M87" s="581"/>
      <c r="N87" s="384"/>
      <c r="O87" s="372"/>
      <c r="P87" s="373"/>
      <c r="Q87" s="374"/>
    </row>
    <row r="88" spans="1:17" ht="16.2" thickBot="1" x14ac:dyDescent="0.35">
      <c r="A88" s="536" t="s">
        <v>237</v>
      </c>
      <c r="B88" s="537" t="s">
        <v>238</v>
      </c>
      <c r="C88" s="582" t="s">
        <v>19</v>
      </c>
      <c r="D88" s="582" t="s">
        <v>33</v>
      </c>
      <c r="E88" s="583" t="s">
        <v>35</v>
      </c>
      <c r="F88" s="584" t="s">
        <v>30</v>
      </c>
      <c r="G88" s="585" t="s">
        <v>14</v>
      </c>
      <c r="H88" s="583" t="s">
        <v>35</v>
      </c>
      <c r="I88" s="584" t="s">
        <v>30</v>
      </c>
      <c r="J88" s="577" t="s">
        <v>649</v>
      </c>
      <c r="K88" s="586" t="s">
        <v>38</v>
      </c>
      <c r="L88" s="393"/>
      <c r="M88" s="587"/>
      <c r="N88" s="395"/>
      <c r="O88" s="372"/>
      <c r="P88" s="373"/>
      <c r="Q88" s="374"/>
    </row>
    <row r="89" spans="1:17" x14ac:dyDescent="0.25">
      <c r="A89" s="378"/>
      <c r="B89" s="7"/>
      <c r="C89" s="362"/>
      <c r="D89" s="363" t="s">
        <v>21</v>
      </c>
      <c r="E89" s="247">
        <v>0</v>
      </c>
      <c r="F89" s="364">
        <f>C89*E89</f>
        <v>0</v>
      </c>
      <c r="G89" s="509"/>
      <c r="H89" s="366">
        <v>0</v>
      </c>
      <c r="I89" s="364">
        <f>G89*H89</f>
        <v>0</v>
      </c>
      <c r="J89" s="579"/>
      <c r="K89" s="510">
        <f>F89+I89+J89</f>
        <v>0</v>
      </c>
      <c r="O89" s="372"/>
      <c r="P89" s="373"/>
      <c r="Q89" s="374"/>
    </row>
    <row r="90" spans="1:17" x14ac:dyDescent="0.25">
      <c r="A90" s="378"/>
      <c r="B90" s="7"/>
      <c r="C90" s="362"/>
      <c r="D90" s="363" t="s">
        <v>21</v>
      </c>
      <c r="E90" s="247">
        <v>0</v>
      </c>
      <c r="F90" s="364">
        <f>C90*E90</f>
        <v>0</v>
      </c>
      <c r="G90" s="509"/>
      <c r="H90" s="366">
        <v>0</v>
      </c>
      <c r="I90" s="364">
        <f>G90*H90</f>
        <v>0</v>
      </c>
      <c r="J90" s="579"/>
      <c r="K90" s="510">
        <f>F90+I90+J90</f>
        <v>0</v>
      </c>
      <c r="L90" s="369"/>
      <c r="M90" s="580"/>
      <c r="N90" s="371"/>
      <c r="O90" s="372"/>
      <c r="P90" s="373"/>
      <c r="Q90" s="374"/>
    </row>
    <row r="91" spans="1:17" ht="13.8" thickBot="1" x14ac:dyDescent="0.3">
      <c r="A91" s="378"/>
      <c r="B91" s="7"/>
      <c r="C91" s="420"/>
      <c r="D91" s="363"/>
      <c r="E91" s="247"/>
      <c r="F91" s="364"/>
      <c r="G91" s="509"/>
      <c r="H91" s="366"/>
      <c r="I91" s="364"/>
      <c r="J91" s="579"/>
      <c r="K91" s="510"/>
      <c r="O91" s="372"/>
      <c r="P91" s="373"/>
      <c r="Q91" s="374"/>
    </row>
    <row r="92" spans="1:17" ht="14.4" thickTop="1" thickBot="1" x14ac:dyDescent="0.3">
      <c r="A92" s="450"/>
      <c r="B92" s="156"/>
      <c r="C92" s="451"/>
      <c r="D92" s="452"/>
      <c r="E92" s="590"/>
      <c r="F92" s="454"/>
      <c r="G92" s="591"/>
      <c r="H92" s="590"/>
      <c r="I92" s="454"/>
      <c r="J92" s="456" t="s">
        <v>30</v>
      </c>
      <c r="K92" s="592">
        <f>SUM(K89:K91)</f>
        <v>0</v>
      </c>
      <c r="O92" s="372"/>
      <c r="P92" s="373"/>
      <c r="Q92" s="374"/>
    </row>
    <row r="93" spans="1:17" ht="13.8" thickBot="1" x14ac:dyDescent="0.3">
      <c r="A93" s="571" t="s">
        <v>0</v>
      </c>
      <c r="B93" s="572" t="s">
        <v>1</v>
      </c>
      <c r="C93" s="1028" t="s">
        <v>646</v>
      </c>
      <c r="D93" s="1028"/>
      <c r="E93" s="1028"/>
      <c r="F93" s="1028"/>
      <c r="G93" s="1028" t="s">
        <v>34</v>
      </c>
      <c r="H93" s="1028"/>
      <c r="I93" s="1028"/>
      <c r="J93" s="573"/>
      <c r="K93" s="503"/>
      <c r="L93" s="382"/>
      <c r="M93" s="581"/>
      <c r="N93" s="384"/>
      <c r="O93" s="372"/>
      <c r="P93" s="373"/>
      <c r="Q93" s="374"/>
    </row>
    <row r="94" spans="1:17" ht="16.2" thickBot="1" x14ac:dyDescent="0.35">
      <c r="A94" s="385"/>
      <c r="B94" s="386"/>
      <c r="C94" s="595" t="s">
        <v>19</v>
      </c>
      <c r="D94" s="582" t="s">
        <v>33</v>
      </c>
      <c r="E94" s="583" t="s">
        <v>35</v>
      </c>
      <c r="F94" s="584" t="s">
        <v>30</v>
      </c>
      <c r="G94" s="585" t="s">
        <v>14</v>
      </c>
      <c r="H94" s="583" t="s">
        <v>35</v>
      </c>
      <c r="I94" s="584" t="s">
        <v>30</v>
      </c>
      <c r="J94" s="577" t="s">
        <v>649</v>
      </c>
      <c r="K94" s="586" t="s">
        <v>38</v>
      </c>
      <c r="L94" s="393"/>
      <c r="M94" s="587"/>
      <c r="N94" s="395"/>
      <c r="O94" s="372"/>
      <c r="P94" s="373"/>
      <c r="Q94" s="374"/>
    </row>
    <row r="95" spans="1:17" x14ac:dyDescent="0.25">
      <c r="A95" s="596"/>
      <c r="B95" s="597"/>
      <c r="C95" s="362"/>
      <c r="D95" s="363" t="s">
        <v>21</v>
      </c>
      <c r="E95" s="247">
        <v>0</v>
      </c>
      <c r="F95" s="364">
        <f>C95*E95</f>
        <v>0</v>
      </c>
      <c r="G95" s="509"/>
      <c r="H95" s="366">
        <v>0</v>
      </c>
      <c r="I95" s="364">
        <f>G95*H95</f>
        <v>0</v>
      </c>
      <c r="J95" s="579"/>
      <c r="K95" s="510">
        <f>F95+I95+J95</f>
        <v>0</v>
      </c>
      <c r="L95" s="369"/>
      <c r="M95" s="580"/>
      <c r="N95" s="371"/>
      <c r="O95" s="372"/>
      <c r="P95" s="373"/>
      <c r="Q95" s="374"/>
    </row>
    <row r="96" spans="1:17" x14ac:dyDescent="0.25">
      <c r="A96" s="378"/>
      <c r="B96" s="7"/>
      <c r="C96" s="362"/>
      <c r="D96" s="363" t="s">
        <v>21</v>
      </c>
      <c r="E96" s="247">
        <v>0</v>
      </c>
      <c r="F96" s="364">
        <f>C96*E96</f>
        <v>0</v>
      </c>
      <c r="G96" s="509"/>
      <c r="H96" s="366">
        <v>0</v>
      </c>
      <c r="I96" s="364">
        <f>G96*H96</f>
        <v>0</v>
      </c>
      <c r="J96" s="579"/>
      <c r="K96" s="510">
        <f>F96+I96+J96</f>
        <v>0</v>
      </c>
      <c r="L96" s="369"/>
      <c r="M96" s="580"/>
      <c r="N96" s="371"/>
      <c r="O96" s="372"/>
      <c r="P96" s="373"/>
      <c r="Q96" s="374"/>
    </row>
    <row r="97" spans="1:17" ht="13.8" thickBot="1" x14ac:dyDescent="0.3">
      <c r="A97" s="378"/>
      <c r="B97" s="7"/>
      <c r="C97" s="362"/>
      <c r="D97" s="363"/>
      <c r="E97" s="247"/>
      <c r="F97" s="364"/>
      <c r="G97" s="509"/>
      <c r="H97" s="366"/>
      <c r="I97" s="364"/>
      <c r="J97" s="579"/>
      <c r="K97" s="510"/>
      <c r="L97" s="369"/>
      <c r="M97" s="580"/>
      <c r="N97" s="371"/>
      <c r="O97" s="372"/>
      <c r="P97" s="373"/>
      <c r="Q97" s="374"/>
    </row>
    <row r="98" spans="1:17" ht="14.4" thickTop="1" thickBot="1" x14ac:dyDescent="0.3">
      <c r="A98" s="450"/>
      <c r="B98" s="156"/>
      <c r="C98" s="451"/>
      <c r="D98" s="452"/>
      <c r="E98" s="590"/>
      <c r="F98" s="454"/>
      <c r="G98" s="591"/>
      <c r="H98" s="590"/>
      <c r="I98" s="454"/>
      <c r="J98" s="456" t="s">
        <v>30</v>
      </c>
      <c r="K98" s="592">
        <f>SUM(K95:K97)</f>
        <v>0</v>
      </c>
      <c r="L98" s="540"/>
      <c r="M98" s="598"/>
      <c r="N98" s="542"/>
      <c r="O98" s="441"/>
      <c r="P98" s="442"/>
      <c r="Q98" s="443"/>
    </row>
    <row r="99" spans="1:17" ht="14.1" customHeight="1" x14ac:dyDescent="0.25">
      <c r="A99" s="458"/>
      <c r="B99" s="459"/>
      <c r="C99" s="460"/>
      <c r="D99" s="460"/>
      <c r="E99" s="599"/>
      <c r="F99" s="1170" t="s">
        <v>648</v>
      </c>
      <c r="G99" s="1040" t="s">
        <v>673</v>
      </c>
      <c r="H99" s="599"/>
      <c r="I99" s="1180" t="s">
        <v>647</v>
      </c>
      <c r="J99" s="1044" t="s">
        <v>674</v>
      </c>
      <c r="K99" s="1172" t="s">
        <v>31</v>
      </c>
    </row>
    <row r="100" spans="1:17" ht="13.8" x14ac:dyDescent="0.25">
      <c r="A100" s="462" t="s">
        <v>32</v>
      </c>
      <c r="B100" s="1169" t="s">
        <v>27</v>
      </c>
      <c r="C100" s="463"/>
      <c r="D100" s="600"/>
      <c r="E100" s="600"/>
      <c r="F100" s="1171"/>
      <c r="G100" s="1041"/>
      <c r="H100" s="601"/>
      <c r="I100" s="1181"/>
      <c r="J100" s="1045"/>
      <c r="K100" s="1173"/>
    </row>
    <row r="101" spans="1:17" ht="13.8" x14ac:dyDescent="0.25">
      <c r="A101" s="782">
        <f>K102/E6</f>
        <v>0</v>
      </c>
      <c r="B101" s="1169"/>
      <c r="C101" s="600"/>
      <c r="D101" s="600"/>
      <c r="E101" s="600"/>
      <c r="F101" s="1174">
        <f>SUM(F95:F97,F89:F91,F83:F85,F77:F79,F71:F73,F66:F67,F61:F62,F56:F57,F48:F52,F36:F44,F30:F32,F25:F26,F19:F21,F11:F15)</f>
        <v>0</v>
      </c>
      <c r="G101" s="1176">
        <f>SUM(G95:G97,G89:G91,G83:G85,G77:G79,G71:G73,G66:G67,G61:G62,G56:G57,G48:G52,G36:G44,G30:G32,G25:G26,G19:G21,G11:G15)</f>
        <v>0</v>
      </c>
      <c r="H101" s="601"/>
      <c r="I101" s="1174">
        <f>SUM(I95:I97,I89:I91,I83:I85,I77:I79,I71:I73,I66:I67,I61:I62,I56:I57,I48:I52,I36:I44,I30:I32,I25:I26,I19:I21,I11:I15)</f>
        <v>0</v>
      </c>
      <c r="J101" s="1174">
        <f>SUM(J95:J97,J89:J91,J83:J85,J77:J79,J71:J73,J66:J67,J61:J62,J56:J57,J48:J52,J36:J44,J30:J32,J25:J26,J19:J21,J11:J15)</f>
        <v>124516</v>
      </c>
      <c r="K101" s="1178">
        <f>K98+K92+K86+K80+K74+K68+K63+K58+K53+K45+K33+K27+K22+K16</f>
        <v>124516</v>
      </c>
    </row>
    <row r="102" spans="1:17" ht="14.4" thickBot="1" x14ac:dyDescent="0.3">
      <c r="A102" s="462"/>
      <c r="B102" s="529"/>
      <c r="C102" s="468"/>
      <c r="D102" s="468"/>
      <c r="E102" s="468"/>
      <c r="F102" s="1175"/>
      <c r="G102" s="1177"/>
      <c r="H102" s="468"/>
      <c r="I102" s="1175"/>
      <c r="J102" s="1175"/>
      <c r="K102" s="1179"/>
    </row>
    <row r="103" spans="1:17" ht="13.8" thickBot="1" x14ac:dyDescent="0.3">
      <c r="A103" s="469"/>
      <c r="B103" s="470"/>
      <c r="C103" s="470"/>
      <c r="D103" s="470"/>
      <c r="E103" s="470"/>
      <c r="F103" s="470"/>
      <c r="G103" s="470"/>
      <c r="H103" s="470"/>
      <c r="I103" s="470"/>
      <c r="J103" s="470"/>
      <c r="K103" s="471"/>
    </row>
  </sheetData>
  <mergeCells count="64">
    <mergeCell ref="Q9:Q10"/>
    <mergeCell ref="L9:L10"/>
    <mergeCell ref="M9:M10"/>
    <mergeCell ref="N9:N10"/>
    <mergeCell ref="O9:O10"/>
    <mergeCell ref="P9:P10"/>
    <mergeCell ref="C81:F81"/>
    <mergeCell ref="G81:I81"/>
    <mergeCell ref="K99:K100"/>
    <mergeCell ref="F101:F102"/>
    <mergeCell ref="G101:G102"/>
    <mergeCell ref="I101:I102"/>
    <mergeCell ref="J101:J102"/>
    <mergeCell ref="K101:K102"/>
    <mergeCell ref="J99:J100"/>
    <mergeCell ref="G99:G100"/>
    <mergeCell ref="I99:I100"/>
    <mergeCell ref="C54:F54"/>
    <mergeCell ref="G54:I54"/>
    <mergeCell ref="B100:B101"/>
    <mergeCell ref="C59:F59"/>
    <mergeCell ref="G59:I59"/>
    <mergeCell ref="C64:F64"/>
    <mergeCell ref="G64:I64"/>
    <mergeCell ref="C87:F87"/>
    <mergeCell ref="G87:I87"/>
    <mergeCell ref="C93:F93"/>
    <mergeCell ref="G93:I93"/>
    <mergeCell ref="F99:F100"/>
    <mergeCell ref="C69:F69"/>
    <mergeCell ref="G69:I69"/>
    <mergeCell ref="C75:F75"/>
    <mergeCell ref="G75:I75"/>
    <mergeCell ref="C28:F28"/>
    <mergeCell ref="G28:I28"/>
    <mergeCell ref="C34:F34"/>
    <mergeCell ref="G34:I34"/>
    <mergeCell ref="C46:F46"/>
    <mergeCell ref="G46:I46"/>
    <mergeCell ref="C9:F9"/>
    <mergeCell ref="G9:I9"/>
    <mergeCell ref="C17:F17"/>
    <mergeCell ref="G17:I17"/>
    <mergeCell ref="C23:F23"/>
    <mergeCell ref="G23:I23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7" top="0.75" bottom="0.75" header="0.5" footer="0.5"/>
  <pageSetup scale="57" fitToHeight="2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W114"/>
  <sheetViews>
    <sheetView topLeftCell="A5" zoomScale="90" zoomScaleNormal="75" zoomScaleSheetLayoutView="90" zoomScalePageLayoutView="75" workbookViewId="0">
      <pane xSplit="2" ySplit="6" topLeftCell="G11" activePane="bottomRight" state="frozen"/>
      <selection activeCell="A5" sqref="A5"/>
      <selection pane="topRight" activeCell="C5" sqref="C5"/>
      <selection pane="bottomLeft" activeCell="A11" sqref="A11"/>
      <selection pane="bottomRight" activeCell="P56" sqref="P56"/>
    </sheetView>
  </sheetViews>
  <sheetFormatPr defaultColWidth="9.33203125" defaultRowHeight="13.2" x14ac:dyDescent="0.25"/>
  <cols>
    <col min="1" max="1" width="12.6640625" style="157" bestFit="1" customWidth="1"/>
    <col min="2" max="2" width="46" style="157" customWidth="1"/>
    <col min="3" max="4" width="5" style="421" customWidth="1"/>
    <col min="5" max="5" width="11.44140625" style="157" bestFit="1" customWidth="1"/>
    <col min="6" max="6" width="14" style="157" customWidth="1"/>
    <col min="7" max="7" width="8.5546875" style="157" bestFit="1" customWidth="1"/>
    <col min="8" max="8" width="10.6640625" style="157" bestFit="1" customWidth="1"/>
    <col min="9" max="9" width="14.44140625" style="157" bestFit="1" customWidth="1"/>
    <col min="10" max="10" width="16.33203125" style="157" bestFit="1" customWidth="1"/>
    <col min="11" max="11" width="14.44140625" style="157" customWidth="1"/>
    <col min="12" max="12" width="17.6640625" style="159" bestFit="1" customWidth="1"/>
    <col min="13" max="13" width="14" style="306" bestFit="1" customWidth="1"/>
    <col min="14" max="14" width="22.6640625" style="157" bestFit="1" customWidth="1"/>
    <col min="15" max="15" width="9.5546875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566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5">
      <c r="A4" s="1014"/>
      <c r="B4" s="1015"/>
      <c r="C4" s="494"/>
      <c r="D4" s="1013"/>
      <c r="E4" s="1013"/>
      <c r="F4" s="1013"/>
      <c r="G4" s="567"/>
      <c r="H4" s="567"/>
      <c r="I4" s="566"/>
      <c r="J4" s="320"/>
      <c r="K4" s="321"/>
      <c r="L4" s="1022"/>
      <c r="M4" s="1023"/>
      <c r="N4" s="1024"/>
      <c r="O4" s="1024"/>
      <c r="P4" s="1025"/>
    </row>
    <row r="5" spans="1:17" ht="21.6" thickBot="1" x14ac:dyDescent="0.45">
      <c r="A5" s="568"/>
      <c r="B5" s="569"/>
      <c r="C5" s="496"/>
      <c r="D5" s="570"/>
      <c r="E5" s="332"/>
      <c r="F5" s="567"/>
      <c r="G5" s="1162" t="s">
        <v>240</v>
      </c>
      <c r="H5" s="1163"/>
      <c r="I5" s="1164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45">
      <c r="A6" s="568"/>
      <c r="B6" s="56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165"/>
      <c r="H6" s="1166"/>
      <c r="I6" s="1167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x14ac:dyDescent="0.25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x14ac:dyDescent="0.25">
      <c r="A9" s="501"/>
      <c r="B9" s="200"/>
      <c r="C9" s="1196"/>
      <c r="D9" s="1196"/>
      <c r="E9" s="1194"/>
      <c r="F9" s="1194"/>
      <c r="G9" s="1197"/>
      <c r="H9" s="1194"/>
      <c r="I9" s="1194"/>
      <c r="J9" s="1194"/>
      <c r="K9" s="1195"/>
      <c r="L9" s="448"/>
      <c r="M9" s="604"/>
      <c r="N9" s="404"/>
      <c r="O9" s="405"/>
      <c r="P9" s="405"/>
    </row>
    <row r="10" spans="1:17" ht="13.8" thickBot="1" x14ac:dyDescent="0.3">
      <c r="A10" s="605"/>
      <c r="B10" s="606"/>
      <c r="C10" s="1196"/>
      <c r="D10" s="1196"/>
      <c r="E10" s="1194"/>
      <c r="F10" s="1194"/>
      <c r="G10" s="1197"/>
      <c r="H10" s="1194"/>
      <c r="I10" s="1194"/>
      <c r="J10" s="1194"/>
      <c r="K10" s="1195"/>
      <c r="L10" s="448"/>
      <c r="M10" s="604"/>
      <c r="N10" s="404"/>
      <c r="O10" s="405"/>
      <c r="P10" s="405"/>
    </row>
    <row r="11" spans="1:17" ht="14.4" thickTop="1" thickBot="1" x14ac:dyDescent="0.3">
      <c r="A11" s="571" t="s">
        <v>0</v>
      </c>
      <c r="B11" s="572" t="s">
        <v>1</v>
      </c>
      <c r="C11" s="1028" t="s">
        <v>646</v>
      </c>
      <c r="D11" s="1028"/>
      <c r="E11" s="1028"/>
      <c r="F11" s="1028"/>
      <c r="G11" s="1028" t="s">
        <v>34</v>
      </c>
      <c r="H11" s="1028"/>
      <c r="I11" s="1028"/>
      <c r="J11" s="573"/>
      <c r="K11" s="503"/>
      <c r="L11" s="1184" t="s">
        <v>771</v>
      </c>
      <c r="M11" s="1186" t="s">
        <v>772</v>
      </c>
      <c r="N11" s="1188" t="s">
        <v>773</v>
      </c>
      <c r="O11" s="1190"/>
      <c r="P11" s="1192"/>
      <c r="Q11" s="1182"/>
    </row>
    <row r="12" spans="1:17" ht="16.2" thickBot="1" x14ac:dyDescent="0.35">
      <c r="A12" s="536" t="s">
        <v>241</v>
      </c>
      <c r="B12" s="537" t="s">
        <v>242</v>
      </c>
      <c r="C12" s="574" t="s">
        <v>19</v>
      </c>
      <c r="D12" s="574" t="s">
        <v>33</v>
      </c>
      <c r="E12" s="426" t="s">
        <v>35</v>
      </c>
      <c r="F12" s="575" t="s">
        <v>30</v>
      </c>
      <c r="G12" s="576" t="s">
        <v>14</v>
      </c>
      <c r="H12" s="426" t="s">
        <v>35</v>
      </c>
      <c r="I12" s="575" t="s">
        <v>30</v>
      </c>
      <c r="J12" s="577" t="s">
        <v>649</v>
      </c>
      <c r="K12" s="578" t="s">
        <v>38</v>
      </c>
      <c r="L12" s="1185"/>
      <c r="M12" s="1187"/>
      <c r="N12" s="1189"/>
      <c r="O12" s="1191"/>
      <c r="P12" s="1193"/>
      <c r="Q12" s="1183"/>
    </row>
    <row r="13" spans="1:17" x14ac:dyDescent="0.25">
      <c r="A13" s="827" t="s">
        <v>243</v>
      </c>
      <c r="B13" s="827" t="s">
        <v>242</v>
      </c>
      <c r="C13" s="795">
        <v>3</v>
      </c>
      <c r="D13" s="796" t="s">
        <v>880</v>
      </c>
      <c r="E13" s="797"/>
      <c r="F13" s="798">
        <f>C13*E13</f>
        <v>0</v>
      </c>
      <c r="G13" s="799">
        <f>C13*2</f>
        <v>6</v>
      </c>
      <c r="H13" s="800">
        <v>65</v>
      </c>
      <c r="I13" s="798">
        <f>G13*H13</f>
        <v>390</v>
      </c>
      <c r="J13" s="825">
        <f>M13</f>
        <v>71510</v>
      </c>
      <c r="K13" s="802">
        <f>F13+I13+J13</f>
        <v>71900</v>
      </c>
      <c r="L13" s="369" t="s">
        <v>1051</v>
      </c>
      <c r="M13" s="580">
        <v>71510</v>
      </c>
      <c r="N13" s="965" t="s">
        <v>1096</v>
      </c>
      <c r="O13" s="372"/>
      <c r="P13" s="373"/>
      <c r="Q13" s="374"/>
    </row>
    <row r="14" spans="1:17" x14ac:dyDescent="0.25">
      <c r="A14" s="157" t="s">
        <v>244</v>
      </c>
      <c r="B14" s="157" t="s">
        <v>46</v>
      </c>
      <c r="C14" s="362"/>
      <c r="D14" s="363" t="s">
        <v>21</v>
      </c>
      <c r="E14" s="247">
        <v>0</v>
      </c>
      <c r="F14" s="364">
        <f>C14*E14</f>
        <v>0</v>
      </c>
      <c r="G14" s="509"/>
      <c r="H14" s="366">
        <v>0</v>
      </c>
      <c r="I14" s="364">
        <f>G14*H14</f>
        <v>0</v>
      </c>
      <c r="J14" s="579"/>
      <c r="K14" s="510">
        <f>F14+I14+J14</f>
        <v>0</v>
      </c>
      <c r="L14" s="369" t="s">
        <v>1109</v>
      </c>
      <c r="M14" s="580">
        <v>29650</v>
      </c>
      <c r="N14" s="371" t="s">
        <v>1114</v>
      </c>
      <c r="O14" s="891"/>
      <c r="P14" s="373"/>
      <c r="Q14" s="374"/>
    </row>
    <row r="15" spans="1:17" x14ac:dyDescent="0.25">
      <c r="A15" s="250"/>
      <c r="B15" s="987" t="s">
        <v>1140</v>
      </c>
      <c r="C15" s="795">
        <v>1</v>
      </c>
      <c r="D15" s="796" t="s">
        <v>880</v>
      </c>
      <c r="E15" s="797">
        <v>0</v>
      </c>
      <c r="F15" s="798">
        <f>C15*E15</f>
        <v>0</v>
      </c>
      <c r="G15" s="799">
        <v>2</v>
      </c>
      <c r="H15" s="800">
        <v>65</v>
      </c>
      <c r="I15" s="798">
        <f>G15*H15</f>
        <v>130</v>
      </c>
      <c r="J15" s="825"/>
      <c r="K15" s="802">
        <f>F15+I15+J15</f>
        <v>130</v>
      </c>
      <c r="L15" s="369" t="s">
        <v>1113</v>
      </c>
      <c r="M15" s="580">
        <v>33085</v>
      </c>
      <c r="N15" s="371" t="s">
        <v>1114</v>
      </c>
      <c r="O15" s="372"/>
      <c r="P15" s="373"/>
      <c r="Q15" s="374"/>
    </row>
    <row r="16" spans="1:17" x14ac:dyDescent="0.25">
      <c r="A16" s="361"/>
      <c r="B16" s="5"/>
      <c r="C16" s="362"/>
      <c r="D16" s="363" t="s">
        <v>21</v>
      </c>
      <c r="E16" s="247">
        <v>0</v>
      </c>
      <c r="F16" s="364">
        <f>C16*E16</f>
        <v>0</v>
      </c>
      <c r="G16" s="509"/>
      <c r="H16" s="366">
        <v>0</v>
      </c>
      <c r="I16" s="364">
        <f>G16*H16</f>
        <v>0</v>
      </c>
      <c r="J16" s="579"/>
      <c r="K16" s="510">
        <f>F16+I16+J16</f>
        <v>0</v>
      </c>
      <c r="L16" s="369"/>
      <c r="M16" s="580"/>
      <c r="N16" s="371"/>
      <c r="O16" s="372"/>
      <c r="P16" s="373"/>
      <c r="Q16" s="374"/>
    </row>
    <row r="17" spans="1:23" ht="13.8" thickBot="1" x14ac:dyDescent="0.3">
      <c r="A17" s="378"/>
      <c r="B17" s="7"/>
      <c r="C17" s="379"/>
      <c r="D17" s="363"/>
      <c r="E17" s="247"/>
      <c r="F17" s="364"/>
      <c r="G17" s="509"/>
      <c r="H17" s="366"/>
      <c r="I17" s="364"/>
      <c r="J17" s="579"/>
      <c r="K17" s="510"/>
      <c r="L17" s="369"/>
      <c r="M17" s="580"/>
      <c r="N17" s="371"/>
      <c r="O17" s="372"/>
      <c r="P17" s="373"/>
      <c r="Q17" s="374"/>
    </row>
    <row r="18" spans="1:23" ht="13.8" thickTop="1" x14ac:dyDescent="0.25">
      <c r="A18" s="378"/>
      <c r="B18" s="7"/>
      <c r="C18" s="379"/>
      <c r="D18" s="363"/>
      <c r="E18" s="247"/>
      <c r="F18" s="364"/>
      <c r="G18" s="509"/>
      <c r="H18" s="366"/>
      <c r="I18" s="364"/>
      <c r="J18" s="380" t="s">
        <v>30</v>
      </c>
      <c r="K18" s="511">
        <f>SUM(K13:K17)</f>
        <v>72030</v>
      </c>
      <c r="L18" s="369"/>
      <c r="M18" s="580"/>
      <c r="N18" s="371"/>
      <c r="O18" s="372"/>
      <c r="P18" s="373"/>
      <c r="Q18" s="374"/>
    </row>
    <row r="19" spans="1:23" ht="13.8" hidden="1" thickBot="1" x14ac:dyDescent="0.3">
      <c r="A19" s="571" t="s">
        <v>0</v>
      </c>
      <c r="B19" s="572" t="s">
        <v>1</v>
      </c>
      <c r="C19" s="1028" t="s">
        <v>646</v>
      </c>
      <c r="D19" s="1028"/>
      <c r="E19" s="1028"/>
      <c r="F19" s="1028"/>
      <c r="G19" s="1028" t="s">
        <v>34</v>
      </c>
      <c r="H19" s="1028"/>
      <c r="I19" s="1028"/>
      <c r="J19" s="573"/>
      <c r="K19" s="503"/>
      <c r="L19" s="382"/>
      <c r="M19" s="581"/>
      <c r="N19" s="384"/>
      <c r="O19" s="372"/>
      <c r="P19" s="373"/>
      <c r="Q19" s="374"/>
    </row>
    <row r="20" spans="1:23" ht="16.2" hidden="1" thickBot="1" x14ac:dyDescent="0.35">
      <c r="A20" s="536" t="s">
        <v>245</v>
      </c>
      <c r="B20" s="537" t="s">
        <v>246</v>
      </c>
      <c r="C20" s="582" t="s">
        <v>19</v>
      </c>
      <c r="D20" s="582" t="s">
        <v>33</v>
      </c>
      <c r="E20" s="583" t="s">
        <v>35</v>
      </c>
      <c r="F20" s="584" t="s">
        <v>30</v>
      </c>
      <c r="G20" s="585" t="s">
        <v>14</v>
      </c>
      <c r="H20" s="583" t="s">
        <v>35</v>
      </c>
      <c r="I20" s="584" t="s">
        <v>30</v>
      </c>
      <c r="J20" s="577" t="s">
        <v>649</v>
      </c>
      <c r="K20" s="586" t="s">
        <v>38</v>
      </c>
      <c r="L20" s="393"/>
      <c r="M20" s="587"/>
      <c r="N20" s="395"/>
      <c r="O20" s="372"/>
      <c r="P20" s="373"/>
      <c r="Q20" s="374"/>
    </row>
    <row r="21" spans="1:23" hidden="1" x14ac:dyDescent="0.25">
      <c r="A21" s="378"/>
      <c r="B21" s="7"/>
      <c r="C21" s="362"/>
      <c r="D21" s="363" t="s">
        <v>21</v>
      </c>
      <c r="E21" s="247">
        <v>0</v>
      </c>
      <c r="F21" s="364">
        <f>C21*E21</f>
        <v>0</v>
      </c>
      <c r="G21" s="509"/>
      <c r="H21" s="366">
        <v>0</v>
      </c>
      <c r="I21" s="364">
        <f>G21*H21</f>
        <v>0</v>
      </c>
      <c r="J21" s="579"/>
      <c r="K21" s="510">
        <f>F21+I21+J21</f>
        <v>0</v>
      </c>
      <c r="L21" s="157"/>
      <c r="M21" s="588"/>
      <c r="O21" s="372"/>
      <c r="P21" s="373"/>
      <c r="Q21" s="374"/>
    </row>
    <row r="22" spans="1:23" hidden="1" x14ac:dyDescent="0.25">
      <c r="A22" s="378"/>
      <c r="B22" s="7"/>
      <c r="C22" s="362"/>
      <c r="D22" s="363" t="s">
        <v>21</v>
      </c>
      <c r="E22" s="247">
        <v>0</v>
      </c>
      <c r="F22" s="364">
        <f>C22*E22</f>
        <v>0</v>
      </c>
      <c r="G22" s="509"/>
      <c r="H22" s="366">
        <v>0</v>
      </c>
      <c r="I22" s="364">
        <f>G22*H22</f>
        <v>0</v>
      </c>
      <c r="J22" s="579"/>
      <c r="K22" s="510">
        <f>F22+I22+J22</f>
        <v>0</v>
      </c>
      <c r="O22" s="372"/>
      <c r="P22" s="373"/>
      <c r="Q22" s="374"/>
    </row>
    <row r="23" spans="1:23" ht="13.8" hidden="1" thickBot="1" x14ac:dyDescent="0.3">
      <c r="A23" s="378"/>
      <c r="B23" s="7"/>
      <c r="C23" s="362"/>
      <c r="D23" s="363" t="s">
        <v>21</v>
      </c>
      <c r="E23" s="247">
        <v>0</v>
      </c>
      <c r="F23" s="364">
        <f>C23*E23</f>
        <v>0</v>
      </c>
      <c r="G23" s="509"/>
      <c r="H23" s="366">
        <v>0</v>
      </c>
      <c r="I23" s="364">
        <f>G23*H23</f>
        <v>0</v>
      </c>
      <c r="J23" s="579"/>
      <c r="K23" s="510">
        <f>F23+I23+J23</f>
        <v>0</v>
      </c>
      <c r="L23" s="369"/>
      <c r="M23" s="580"/>
      <c r="N23" s="371"/>
      <c r="O23" s="372"/>
      <c r="P23" s="373"/>
      <c r="Q23" s="374"/>
    </row>
    <row r="24" spans="1:23" s="159" customFormat="1" ht="13.8" hidden="1" thickTop="1" x14ac:dyDescent="0.25">
      <c r="A24" s="378"/>
      <c r="B24" s="5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SUM(K21:K23)</f>
        <v>0</v>
      </c>
      <c r="L24" s="369"/>
      <c r="M24" s="580"/>
      <c r="N24" s="371"/>
      <c r="O24" s="372"/>
      <c r="P24" s="373"/>
      <c r="Q24" s="374"/>
      <c r="W24" s="157"/>
    </row>
    <row r="25" spans="1:23" s="159" customFormat="1" ht="13.8" hidden="1" thickBot="1" x14ac:dyDescent="0.3">
      <c r="A25" s="571" t="s">
        <v>0</v>
      </c>
      <c r="B25" s="572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573"/>
      <c r="K25" s="503"/>
      <c r="L25" s="382"/>
      <c r="M25" s="581"/>
      <c r="N25" s="384"/>
      <c r="O25" s="372"/>
      <c r="P25" s="373"/>
      <c r="Q25" s="374"/>
      <c r="W25" s="157"/>
    </row>
    <row r="26" spans="1:23" s="159" customFormat="1" ht="16.2" hidden="1" thickBot="1" x14ac:dyDescent="0.35">
      <c r="A26" s="536" t="s">
        <v>247</v>
      </c>
      <c r="B26" s="537" t="s">
        <v>248</v>
      </c>
      <c r="C26" s="582" t="s">
        <v>19</v>
      </c>
      <c r="D26" s="582" t="s">
        <v>33</v>
      </c>
      <c r="E26" s="583" t="s">
        <v>35</v>
      </c>
      <c r="F26" s="584" t="s">
        <v>30</v>
      </c>
      <c r="G26" s="585" t="s">
        <v>14</v>
      </c>
      <c r="H26" s="583" t="s">
        <v>35</v>
      </c>
      <c r="I26" s="584" t="s">
        <v>30</v>
      </c>
      <c r="J26" s="577" t="s">
        <v>649</v>
      </c>
      <c r="K26" s="586" t="s">
        <v>38</v>
      </c>
      <c r="L26" s="393"/>
      <c r="M26" s="589"/>
      <c r="N26" s="400"/>
      <c r="O26" s="372"/>
      <c r="P26" s="373"/>
      <c r="Q26" s="374"/>
      <c r="W26" s="157"/>
    </row>
    <row r="27" spans="1:23" s="159" customFormat="1" hidden="1" x14ac:dyDescent="0.25">
      <c r="A27" s="378"/>
      <c r="B27" s="7"/>
      <c r="C27" s="362"/>
      <c r="D27" s="363" t="s">
        <v>21</v>
      </c>
      <c r="E27" s="247">
        <v>0</v>
      </c>
      <c r="F27" s="364">
        <f>C27*E27</f>
        <v>0</v>
      </c>
      <c r="G27" s="509"/>
      <c r="H27" s="366">
        <v>0</v>
      </c>
      <c r="I27" s="364">
        <f>G27*H27</f>
        <v>0</v>
      </c>
      <c r="J27" s="579"/>
      <c r="K27" s="510">
        <f>F27+I27+J27</f>
        <v>0</v>
      </c>
      <c r="L27" s="157"/>
      <c r="M27" s="588"/>
      <c r="N27" s="157"/>
      <c r="O27" s="372"/>
      <c r="P27" s="373"/>
      <c r="Q27" s="374"/>
      <c r="W27" s="157"/>
    </row>
    <row r="28" spans="1:23" s="159" customFormat="1" ht="13.8" hidden="1" thickBot="1" x14ac:dyDescent="0.3">
      <c r="A28" s="378"/>
      <c r="B28" s="7"/>
      <c r="C28" s="362"/>
      <c r="D28" s="363" t="s">
        <v>21</v>
      </c>
      <c r="E28" s="247">
        <v>0</v>
      </c>
      <c r="F28" s="364">
        <f>C28*E28</f>
        <v>0</v>
      </c>
      <c r="G28" s="509"/>
      <c r="H28" s="366">
        <v>0</v>
      </c>
      <c r="I28" s="364">
        <f>G28*H28</f>
        <v>0</v>
      </c>
      <c r="J28" s="579"/>
      <c r="K28" s="510">
        <f>F28+I28+J28</f>
        <v>0</v>
      </c>
      <c r="L28" s="157"/>
      <c r="M28" s="588"/>
      <c r="N28" s="157"/>
      <c r="O28" s="372"/>
      <c r="P28" s="373"/>
      <c r="Q28" s="374"/>
      <c r="W28" s="157"/>
    </row>
    <row r="29" spans="1:23" ht="13.8" hidden="1" thickTop="1" x14ac:dyDescent="0.25">
      <c r="A29" s="378"/>
      <c r="B29" s="403"/>
      <c r="C29" s="379"/>
      <c r="D29" s="363"/>
      <c r="E29" s="247"/>
      <c r="F29" s="364"/>
      <c r="G29" s="509"/>
      <c r="H29" s="366"/>
      <c r="I29" s="364"/>
      <c r="J29" s="380" t="s">
        <v>30</v>
      </c>
      <c r="K29" s="511">
        <f>SUM(K27:K28)</f>
        <v>0</v>
      </c>
      <c r="L29" s="369"/>
      <c r="M29" s="580"/>
      <c r="N29" s="371"/>
      <c r="O29" s="372"/>
      <c r="P29" s="373"/>
      <c r="Q29" s="374"/>
    </row>
    <row r="30" spans="1:23" ht="13.8" hidden="1" thickBot="1" x14ac:dyDescent="0.3">
      <c r="A30" s="571" t="s">
        <v>0</v>
      </c>
      <c r="B30" s="572" t="s">
        <v>1</v>
      </c>
      <c r="C30" s="1028" t="s">
        <v>646</v>
      </c>
      <c r="D30" s="1028"/>
      <c r="E30" s="1028"/>
      <c r="F30" s="1028"/>
      <c r="G30" s="1028" t="s">
        <v>34</v>
      </c>
      <c r="H30" s="1028"/>
      <c r="I30" s="1028"/>
      <c r="J30" s="573"/>
      <c r="K30" s="503"/>
      <c r="L30" s="382"/>
      <c r="M30" s="581"/>
      <c r="N30" s="384"/>
      <c r="O30" s="372"/>
      <c r="P30" s="373"/>
      <c r="Q30" s="374"/>
    </row>
    <row r="31" spans="1:23" ht="16.2" hidden="1" thickBot="1" x14ac:dyDescent="0.35">
      <c r="A31" s="536" t="s">
        <v>249</v>
      </c>
      <c r="B31" s="537" t="s">
        <v>250</v>
      </c>
      <c r="C31" s="582" t="s">
        <v>19</v>
      </c>
      <c r="D31" s="582" t="s">
        <v>33</v>
      </c>
      <c r="E31" s="583" t="s">
        <v>35</v>
      </c>
      <c r="F31" s="584" t="s">
        <v>30</v>
      </c>
      <c r="G31" s="585" t="s">
        <v>14</v>
      </c>
      <c r="H31" s="583" t="s">
        <v>35</v>
      </c>
      <c r="I31" s="584" t="s">
        <v>30</v>
      </c>
      <c r="J31" s="577" t="s">
        <v>649</v>
      </c>
      <c r="K31" s="586" t="s">
        <v>38</v>
      </c>
      <c r="L31" s="393"/>
      <c r="M31" s="589"/>
      <c r="N31" s="400"/>
      <c r="O31" s="372"/>
      <c r="P31" s="373"/>
      <c r="Q31" s="374"/>
    </row>
    <row r="32" spans="1:23" hidden="1" x14ac:dyDescent="0.25">
      <c r="A32" s="378"/>
      <c r="B32" s="7"/>
      <c r="C32" s="362"/>
      <c r="D32" s="363" t="s">
        <v>21</v>
      </c>
      <c r="E32" s="247">
        <v>0</v>
      </c>
      <c r="F32" s="364">
        <f>C32*E32</f>
        <v>0</v>
      </c>
      <c r="G32" s="509"/>
      <c r="H32" s="366">
        <v>0</v>
      </c>
      <c r="I32" s="364">
        <f>G32*H32</f>
        <v>0</v>
      </c>
      <c r="J32" s="579"/>
      <c r="K32" s="510">
        <f>F32+I32+J32</f>
        <v>0</v>
      </c>
      <c r="L32" s="369"/>
      <c r="M32" s="580"/>
      <c r="N32" s="371"/>
      <c r="O32" s="372"/>
      <c r="P32" s="373"/>
      <c r="Q32" s="374"/>
    </row>
    <row r="33" spans="1:17" hidden="1" x14ac:dyDescent="0.25">
      <c r="A33" s="378"/>
      <c r="B33" s="7"/>
      <c r="C33" s="362"/>
      <c r="D33" s="363" t="s">
        <v>21</v>
      </c>
      <c r="E33" s="247">
        <v>0</v>
      </c>
      <c r="F33" s="364">
        <f>C33*E33</f>
        <v>0</v>
      </c>
      <c r="G33" s="509"/>
      <c r="H33" s="366">
        <v>0</v>
      </c>
      <c r="I33" s="364">
        <f>G33*H33</f>
        <v>0</v>
      </c>
      <c r="J33" s="579"/>
      <c r="K33" s="510">
        <f>F33+I33+J33</f>
        <v>0</v>
      </c>
      <c r="L33" s="369"/>
      <c r="M33" s="580"/>
      <c r="N33" s="371"/>
      <c r="O33" s="372"/>
      <c r="P33" s="373"/>
      <c r="Q33" s="374"/>
    </row>
    <row r="34" spans="1:17" ht="13.8" hidden="1" thickBot="1" x14ac:dyDescent="0.3">
      <c r="A34" s="378"/>
      <c r="B34" s="7"/>
      <c r="C34" s="362"/>
      <c r="D34" s="363" t="s">
        <v>21</v>
      </c>
      <c r="E34" s="247">
        <v>0</v>
      </c>
      <c r="F34" s="364">
        <f>C34*E34</f>
        <v>0</v>
      </c>
      <c r="G34" s="509"/>
      <c r="H34" s="366">
        <v>0</v>
      </c>
      <c r="I34" s="364">
        <f>G34*H34</f>
        <v>0</v>
      </c>
      <c r="J34" s="579"/>
      <c r="K34" s="510">
        <f>F34+I34+J34</f>
        <v>0</v>
      </c>
      <c r="L34" s="369"/>
      <c r="M34" s="580"/>
      <c r="N34" s="371"/>
      <c r="O34" s="372"/>
      <c r="P34" s="373"/>
      <c r="Q34" s="374"/>
    </row>
    <row r="35" spans="1:17" ht="13.8" hidden="1" thickTop="1" x14ac:dyDescent="0.25">
      <c r="A35" s="378"/>
      <c r="B35" s="403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SUM(K32:K34)</f>
        <v>0</v>
      </c>
      <c r="L35" s="369"/>
      <c r="M35" s="580"/>
      <c r="N35" s="371"/>
      <c r="O35" s="372"/>
      <c r="P35" s="373"/>
      <c r="Q35" s="374"/>
    </row>
    <row r="36" spans="1:17" ht="13.8" hidden="1" thickBot="1" x14ac:dyDescent="0.3">
      <c r="A36" s="571" t="s">
        <v>0</v>
      </c>
      <c r="B36" s="572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573"/>
      <c r="K36" s="503"/>
      <c r="L36" s="382"/>
      <c r="M36" s="581"/>
      <c r="N36" s="384"/>
      <c r="O36" s="372"/>
      <c r="P36" s="373"/>
      <c r="Q36" s="374"/>
    </row>
    <row r="37" spans="1:17" ht="16.2" hidden="1" thickBot="1" x14ac:dyDescent="0.35">
      <c r="A37" s="536" t="s">
        <v>251</v>
      </c>
      <c r="B37" s="537" t="s">
        <v>252</v>
      </c>
      <c r="C37" s="582" t="s">
        <v>19</v>
      </c>
      <c r="D37" s="582" t="s">
        <v>33</v>
      </c>
      <c r="E37" s="583" t="s">
        <v>35</v>
      </c>
      <c r="F37" s="584" t="s">
        <v>30</v>
      </c>
      <c r="G37" s="585" t="s">
        <v>14</v>
      </c>
      <c r="H37" s="583" t="s">
        <v>35</v>
      </c>
      <c r="I37" s="584" t="s">
        <v>30</v>
      </c>
      <c r="J37" s="577" t="s">
        <v>649</v>
      </c>
      <c r="K37" s="586" t="s">
        <v>38</v>
      </c>
      <c r="L37" s="393"/>
      <c r="M37" s="589"/>
      <c r="N37" s="400"/>
      <c r="O37" s="372"/>
      <c r="P37" s="373"/>
      <c r="Q37" s="374"/>
    </row>
    <row r="38" spans="1:17" hidden="1" x14ac:dyDescent="0.25">
      <c r="A38" s="378"/>
      <c r="B38" s="7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579"/>
      <c r="K38" s="510">
        <f>F38+I38+J38</f>
        <v>0</v>
      </c>
      <c r="O38" s="372"/>
      <c r="P38" s="373"/>
      <c r="Q38" s="374"/>
    </row>
    <row r="39" spans="1:17" hidden="1" x14ac:dyDescent="0.25">
      <c r="A39" s="378"/>
      <c r="B39" s="7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579"/>
      <c r="K39" s="510">
        <f>F39+I39+J39</f>
        <v>0</v>
      </c>
      <c r="L39" s="157"/>
      <c r="M39" s="588"/>
      <c r="O39" s="401"/>
      <c r="P39" s="402"/>
      <c r="Q39" s="374"/>
    </row>
    <row r="40" spans="1:17" ht="13.8" hidden="1" thickBot="1" x14ac:dyDescent="0.3">
      <c r="A40" s="378"/>
      <c r="B40" s="7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579"/>
      <c r="K40" s="510">
        <f>F40+I40+J40</f>
        <v>0</v>
      </c>
      <c r="L40" s="369"/>
      <c r="M40" s="293"/>
      <c r="N40" s="409"/>
      <c r="O40" s="401"/>
      <c r="P40" s="402"/>
      <c r="Q40" s="374"/>
    </row>
    <row r="41" spans="1:17" ht="13.8" hidden="1" thickTop="1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80" t="s">
        <v>30</v>
      </c>
      <c r="K41" s="511">
        <f>SUM(K38:K40)</f>
        <v>0</v>
      </c>
      <c r="L41" s="369"/>
      <c r="M41" s="293"/>
      <c r="N41" s="409"/>
      <c r="O41" s="401"/>
      <c r="P41" s="402"/>
      <c r="Q41" s="374"/>
    </row>
    <row r="42" spans="1:17" ht="13.8" hidden="1" thickBot="1" x14ac:dyDescent="0.3">
      <c r="A42" s="571" t="s">
        <v>0</v>
      </c>
      <c r="B42" s="572" t="s">
        <v>1</v>
      </c>
      <c r="C42" s="1028" t="s">
        <v>646</v>
      </c>
      <c r="D42" s="1028"/>
      <c r="E42" s="1028"/>
      <c r="F42" s="1028"/>
      <c r="G42" s="1028" t="s">
        <v>34</v>
      </c>
      <c r="H42" s="1028"/>
      <c r="I42" s="1028"/>
      <c r="J42" s="573"/>
      <c r="K42" s="503"/>
      <c r="L42" s="382"/>
      <c r="M42" s="581"/>
      <c r="N42" s="384"/>
      <c r="O42" s="401"/>
      <c r="P42" s="402"/>
      <c r="Q42" s="374"/>
    </row>
    <row r="43" spans="1:17" ht="16.2" hidden="1" thickBot="1" x14ac:dyDescent="0.35">
      <c r="A43" s="536" t="s">
        <v>253</v>
      </c>
      <c r="B43" s="537" t="s">
        <v>254</v>
      </c>
      <c r="C43" s="582" t="s">
        <v>19</v>
      </c>
      <c r="D43" s="582" t="s">
        <v>33</v>
      </c>
      <c r="E43" s="583" t="s">
        <v>35</v>
      </c>
      <c r="F43" s="584" t="s">
        <v>30</v>
      </c>
      <c r="G43" s="585" t="s">
        <v>14</v>
      </c>
      <c r="H43" s="583" t="s">
        <v>35</v>
      </c>
      <c r="I43" s="584" t="s">
        <v>30</v>
      </c>
      <c r="J43" s="577" t="s">
        <v>649</v>
      </c>
      <c r="K43" s="586" t="s">
        <v>38</v>
      </c>
      <c r="L43" s="393"/>
      <c r="M43" s="589"/>
      <c r="N43" s="400"/>
      <c r="O43" s="401"/>
      <c r="P43" s="402"/>
      <c r="Q43" s="374"/>
    </row>
    <row r="44" spans="1:17" hidden="1" x14ac:dyDescent="0.25">
      <c r="A44" s="378"/>
      <c r="B44" s="7"/>
      <c r="C44" s="362"/>
      <c r="D44" s="363" t="s">
        <v>21</v>
      </c>
      <c r="E44" s="247">
        <v>0</v>
      </c>
      <c r="F44" s="364">
        <f>C44*E44</f>
        <v>0</v>
      </c>
      <c r="G44" s="509"/>
      <c r="H44" s="366">
        <v>0</v>
      </c>
      <c r="I44" s="364">
        <f>G44*H44</f>
        <v>0</v>
      </c>
      <c r="J44" s="579"/>
      <c r="K44" s="510">
        <f>F44+I44+J44</f>
        <v>0</v>
      </c>
      <c r="L44" s="369"/>
      <c r="M44" s="293"/>
      <c r="N44" s="409"/>
      <c r="O44" s="401"/>
      <c r="P44" s="402"/>
      <c r="Q44" s="374"/>
    </row>
    <row r="45" spans="1:17" hidden="1" x14ac:dyDescent="0.25">
      <c r="A45" s="378"/>
      <c r="B45" s="7"/>
      <c r="C45" s="362"/>
      <c r="D45" s="363" t="s">
        <v>21</v>
      </c>
      <c r="E45" s="247">
        <v>0</v>
      </c>
      <c r="F45" s="364">
        <f>C45*E45</f>
        <v>0</v>
      </c>
      <c r="G45" s="509"/>
      <c r="H45" s="366">
        <v>0</v>
      </c>
      <c r="I45" s="364">
        <f>G45*H45</f>
        <v>0</v>
      </c>
      <c r="J45" s="579"/>
      <c r="K45" s="510">
        <f>F45+I45+J45</f>
        <v>0</v>
      </c>
      <c r="L45" s="369"/>
      <c r="M45" s="293"/>
      <c r="N45" s="371"/>
      <c r="O45" s="372"/>
      <c r="P45" s="373"/>
      <c r="Q45" s="374"/>
    </row>
    <row r="46" spans="1:17" ht="13.8" hidden="1" thickBot="1" x14ac:dyDescent="0.3">
      <c r="A46" s="378"/>
      <c r="B46" s="7"/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579"/>
      <c r="K46" s="510">
        <f>F46+I46+J46</f>
        <v>0</v>
      </c>
      <c r="L46" s="157"/>
      <c r="M46" s="588"/>
      <c r="O46" s="372"/>
      <c r="P46" s="373"/>
      <c r="Q46" s="374"/>
    </row>
    <row r="47" spans="1:17" ht="13.8" hidden="1" thickTop="1" x14ac:dyDescent="0.25">
      <c r="A47" s="378"/>
      <c r="B47" s="403"/>
      <c r="C47" s="379"/>
      <c r="D47" s="363"/>
      <c r="E47" s="247"/>
      <c r="F47" s="364"/>
      <c r="G47" s="509"/>
      <c r="H47" s="366"/>
      <c r="I47" s="364"/>
      <c r="J47" s="380" t="s">
        <v>30</v>
      </c>
      <c r="K47" s="511">
        <f>SUM(K44:K46)</f>
        <v>0</v>
      </c>
      <c r="O47" s="372"/>
      <c r="P47" s="402"/>
      <c r="Q47" s="374"/>
    </row>
    <row r="48" spans="1:17" ht="13.8" hidden="1" thickBot="1" x14ac:dyDescent="0.3">
      <c r="A48" s="571" t="s">
        <v>0</v>
      </c>
      <c r="B48" s="572" t="s">
        <v>1</v>
      </c>
      <c r="C48" s="1028" t="s">
        <v>646</v>
      </c>
      <c r="D48" s="1028"/>
      <c r="E48" s="1028"/>
      <c r="F48" s="1028"/>
      <c r="G48" s="1028" t="s">
        <v>34</v>
      </c>
      <c r="H48" s="1028"/>
      <c r="I48" s="1028"/>
      <c r="J48" s="573"/>
      <c r="K48" s="503"/>
      <c r="L48" s="382"/>
      <c r="M48" s="573"/>
      <c r="N48" s="384"/>
      <c r="O48" s="372"/>
      <c r="P48" s="373"/>
      <c r="Q48" s="374"/>
    </row>
    <row r="49" spans="1:17" ht="16.2" hidden="1" thickBot="1" x14ac:dyDescent="0.35">
      <c r="A49" s="536" t="s">
        <v>255</v>
      </c>
      <c r="B49" s="537" t="s">
        <v>60</v>
      </c>
      <c r="C49" s="582" t="s">
        <v>19</v>
      </c>
      <c r="D49" s="582" t="s">
        <v>33</v>
      </c>
      <c r="E49" s="583" t="s">
        <v>35</v>
      </c>
      <c r="F49" s="584" t="s">
        <v>30</v>
      </c>
      <c r="G49" s="585" t="s">
        <v>14</v>
      </c>
      <c r="H49" s="583" t="s">
        <v>35</v>
      </c>
      <c r="I49" s="584" t="s">
        <v>30</v>
      </c>
      <c r="J49" s="577" t="s">
        <v>649</v>
      </c>
      <c r="K49" s="586" t="s">
        <v>38</v>
      </c>
      <c r="L49" s="393"/>
      <c r="M49" s="589"/>
      <c r="N49" s="395"/>
      <c r="O49" s="372"/>
      <c r="P49" s="373"/>
      <c r="Q49" s="374"/>
    </row>
    <row r="50" spans="1:17" hidden="1" x14ac:dyDescent="0.25">
      <c r="A50" s="378"/>
      <c r="B50" s="7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579"/>
      <c r="K50" s="510">
        <f>F50+I50+J50</f>
        <v>0</v>
      </c>
      <c r="L50" s="369"/>
      <c r="M50" s="293"/>
      <c r="N50" s="371"/>
      <c r="O50" s="372"/>
      <c r="P50" s="373"/>
      <c r="Q50" s="374"/>
    </row>
    <row r="51" spans="1:17" ht="13.8" hidden="1" thickBot="1" x14ac:dyDescent="0.3">
      <c r="A51" s="378"/>
      <c r="B51" s="7"/>
      <c r="C51" s="362"/>
      <c r="D51" s="363" t="s">
        <v>21</v>
      </c>
      <c r="E51" s="247">
        <v>0</v>
      </c>
      <c r="F51" s="364">
        <f>C51*E51</f>
        <v>0</v>
      </c>
      <c r="G51" s="509"/>
      <c r="H51" s="366">
        <v>0</v>
      </c>
      <c r="I51" s="364">
        <f>G51*H51</f>
        <v>0</v>
      </c>
      <c r="J51" s="579"/>
      <c r="K51" s="510">
        <f>F51+I51+J51</f>
        <v>0</v>
      </c>
      <c r="L51" s="369"/>
      <c r="M51" s="293"/>
      <c r="N51" s="371"/>
      <c r="O51" s="372"/>
      <c r="P51" s="373"/>
      <c r="Q51" s="374"/>
    </row>
    <row r="52" spans="1:17" ht="13.8" hidden="1" thickTop="1" x14ac:dyDescent="0.25">
      <c r="A52" s="378"/>
      <c r="C52" s="379"/>
      <c r="D52" s="363"/>
      <c r="E52" s="247"/>
      <c r="F52" s="364"/>
      <c r="G52" s="509"/>
      <c r="H52" s="366"/>
      <c r="I52" s="364"/>
      <c r="J52" s="380" t="s">
        <v>30</v>
      </c>
      <c r="K52" s="511">
        <f>SUM(K50:K51)</f>
        <v>0</v>
      </c>
      <c r="L52" s="369"/>
      <c r="M52" s="293"/>
      <c r="N52" s="371"/>
      <c r="O52" s="372"/>
      <c r="P52" s="373"/>
      <c r="Q52" s="374"/>
    </row>
    <row r="53" spans="1:17" ht="13.8" thickBot="1" x14ac:dyDescent="0.3">
      <c r="A53" s="571" t="s">
        <v>0</v>
      </c>
      <c r="B53" s="572" t="s">
        <v>1</v>
      </c>
      <c r="C53" s="1028" t="s">
        <v>646</v>
      </c>
      <c r="D53" s="1028"/>
      <c r="E53" s="1028"/>
      <c r="F53" s="1028"/>
      <c r="G53" s="1028" t="s">
        <v>34</v>
      </c>
      <c r="H53" s="1028"/>
      <c r="I53" s="1028"/>
      <c r="J53" s="573"/>
      <c r="K53" s="503"/>
      <c r="L53" s="382"/>
      <c r="M53" s="573"/>
      <c r="N53" s="384"/>
      <c r="O53" s="372"/>
      <c r="P53" s="373"/>
      <c r="Q53" s="374"/>
    </row>
    <row r="54" spans="1:17" ht="16.2" thickBot="1" x14ac:dyDescent="0.35">
      <c r="A54" s="536" t="s">
        <v>256</v>
      </c>
      <c r="B54" s="537" t="s">
        <v>47</v>
      </c>
      <c r="C54" s="582" t="s">
        <v>19</v>
      </c>
      <c r="D54" s="582" t="s">
        <v>33</v>
      </c>
      <c r="E54" s="583" t="s">
        <v>35</v>
      </c>
      <c r="F54" s="584" t="s">
        <v>30</v>
      </c>
      <c r="G54" s="585" t="s">
        <v>14</v>
      </c>
      <c r="H54" s="583" t="s">
        <v>35</v>
      </c>
      <c r="I54" s="584" t="s">
        <v>30</v>
      </c>
      <c r="J54" s="577" t="s">
        <v>649</v>
      </c>
      <c r="K54" s="586" t="s">
        <v>38</v>
      </c>
      <c r="L54" s="393"/>
      <c r="M54" s="910"/>
      <c r="N54" s="911"/>
      <c r="O54" s="417"/>
      <c r="P54" s="418"/>
      <c r="Q54" s="374"/>
    </row>
    <row r="55" spans="1:17" ht="12.75" customHeight="1" x14ac:dyDescent="0.25">
      <c r="A55" s="828"/>
      <c r="B55" s="794" t="s">
        <v>1047</v>
      </c>
      <c r="C55" s="795"/>
      <c r="D55" s="796" t="s">
        <v>21</v>
      </c>
      <c r="E55" s="797"/>
      <c r="F55" s="798">
        <f>C55*E55</f>
        <v>0</v>
      </c>
      <c r="G55" s="799"/>
      <c r="H55" s="800">
        <v>0</v>
      </c>
      <c r="I55" s="798">
        <f>G55*H55</f>
        <v>0</v>
      </c>
      <c r="J55" s="825"/>
      <c r="K55" s="802">
        <f>F55+I55+J55</f>
        <v>0</v>
      </c>
      <c r="L55" s="945" t="s">
        <v>1049</v>
      </c>
      <c r="M55" s="943">
        <v>86475</v>
      </c>
      <c r="N55" s="371"/>
      <c r="O55" s="891"/>
      <c r="P55" s="418"/>
      <c r="Q55" s="374"/>
    </row>
    <row r="56" spans="1:17" ht="12.75" customHeight="1" x14ac:dyDescent="0.25">
      <c r="A56" s="828"/>
      <c r="B56" s="794" t="s">
        <v>1048</v>
      </c>
      <c r="C56" s="795"/>
      <c r="D56" s="796" t="s">
        <v>21</v>
      </c>
      <c r="E56" s="797"/>
      <c r="F56" s="798">
        <f>C56*E56</f>
        <v>0</v>
      </c>
      <c r="G56" s="799"/>
      <c r="H56" s="800">
        <v>0</v>
      </c>
      <c r="I56" s="798">
        <f>G56*H56</f>
        <v>0</v>
      </c>
      <c r="J56" s="825"/>
      <c r="K56" s="802">
        <f>F56+I56+J56</f>
        <v>0</v>
      </c>
      <c r="L56" s="972" t="s">
        <v>1050</v>
      </c>
      <c r="M56" s="943">
        <v>70915</v>
      </c>
      <c r="N56" s="966" t="s">
        <v>1097</v>
      </c>
      <c r="O56" s="891"/>
      <c r="P56" s="418"/>
      <c r="Q56" s="374"/>
    </row>
    <row r="57" spans="1:17" ht="12.75" customHeight="1" x14ac:dyDescent="0.25">
      <c r="A57" s="378"/>
      <c r="B57" s="5"/>
      <c r="C57" s="362"/>
      <c r="D57" s="363" t="s">
        <v>21</v>
      </c>
      <c r="E57" s="247"/>
      <c r="F57" s="364">
        <f>C57*E57</f>
        <v>0</v>
      </c>
      <c r="G57" s="509"/>
      <c r="H57" s="366">
        <v>0</v>
      </c>
      <c r="I57" s="364">
        <f>G57*H57</f>
        <v>0</v>
      </c>
      <c r="J57" s="579"/>
      <c r="K57" s="510">
        <f>F57+I57+J57</f>
        <v>0</v>
      </c>
      <c r="M57" s="306">
        <v>1980</v>
      </c>
      <c r="N57" s="157" t="s">
        <v>1119</v>
      </c>
      <c r="O57" s="891"/>
      <c r="P57" s="418"/>
      <c r="Q57" s="374"/>
    </row>
    <row r="58" spans="1:17" ht="13.8" thickBot="1" x14ac:dyDescent="0.3">
      <c r="A58" s="378"/>
      <c r="B58" s="5"/>
      <c r="C58" s="362"/>
      <c r="D58" s="363" t="s">
        <v>21</v>
      </c>
      <c r="E58" s="247"/>
      <c r="F58" s="364">
        <f>C58*E58</f>
        <v>0</v>
      </c>
      <c r="G58" s="509"/>
      <c r="H58" s="366">
        <v>0</v>
      </c>
      <c r="I58" s="364">
        <f>G58*H58</f>
        <v>0</v>
      </c>
      <c r="J58" s="579"/>
      <c r="K58" s="510">
        <f>F58+I58+J58</f>
        <v>0</v>
      </c>
      <c r="O58" s="891"/>
      <c r="P58" s="402"/>
      <c r="Q58" s="374"/>
    </row>
    <row r="59" spans="1:17" ht="13.8" thickTop="1" x14ac:dyDescent="0.25">
      <c r="A59" s="378"/>
      <c r="B59" s="403"/>
      <c r="C59" s="379"/>
      <c r="D59" s="363"/>
      <c r="E59" s="247"/>
      <c r="F59" s="364"/>
      <c r="G59" s="509"/>
      <c r="H59" s="366"/>
      <c r="I59" s="364"/>
      <c r="J59" s="380" t="s">
        <v>30</v>
      </c>
      <c r="K59" s="511">
        <f>SUM(K55:K58)</f>
        <v>0</v>
      </c>
      <c r="L59" s="945" t="s">
        <v>1059</v>
      </c>
      <c r="M59" s="943">
        <v>75091.34</v>
      </c>
      <c r="N59" s="967" t="s">
        <v>1099</v>
      </c>
      <c r="O59" s="891"/>
      <c r="P59" s="373"/>
      <c r="Q59" s="374"/>
    </row>
    <row r="60" spans="1:17" ht="13.8" thickBot="1" x14ac:dyDescent="0.3">
      <c r="A60" s="571" t="s">
        <v>0</v>
      </c>
      <c r="B60" s="572" t="s">
        <v>1</v>
      </c>
      <c r="C60" s="1028" t="s">
        <v>646</v>
      </c>
      <c r="D60" s="1028"/>
      <c r="E60" s="1028"/>
      <c r="F60" s="1028"/>
      <c r="G60" s="1028" t="s">
        <v>34</v>
      </c>
      <c r="H60" s="1028"/>
      <c r="I60" s="1028"/>
      <c r="J60" s="573"/>
      <c r="K60" s="503"/>
      <c r="L60" s="369" t="s">
        <v>1051</v>
      </c>
      <c r="M60" s="580">
        <v>71510</v>
      </c>
      <c r="N60" s="965" t="s">
        <v>1096</v>
      </c>
      <c r="O60" s="891"/>
      <c r="P60" s="373"/>
      <c r="Q60" s="374"/>
    </row>
    <row r="61" spans="1:17" ht="16.2" thickBot="1" x14ac:dyDescent="0.35">
      <c r="A61" s="536" t="s">
        <v>257</v>
      </c>
      <c r="B61" s="537" t="s">
        <v>258</v>
      </c>
      <c r="C61" s="582" t="s">
        <v>19</v>
      </c>
      <c r="D61" s="582" t="s">
        <v>33</v>
      </c>
      <c r="E61" s="583" t="s">
        <v>35</v>
      </c>
      <c r="F61" s="584" t="s">
        <v>30</v>
      </c>
      <c r="G61" s="585" t="s">
        <v>14</v>
      </c>
      <c r="H61" s="583" t="s">
        <v>35</v>
      </c>
      <c r="I61" s="584" t="s">
        <v>30</v>
      </c>
      <c r="J61" s="577" t="s">
        <v>649</v>
      </c>
      <c r="K61" s="586" t="s">
        <v>38</v>
      </c>
      <c r="L61" s="945"/>
      <c r="M61" s="943"/>
      <c r="N61" s="941"/>
      <c r="O61" s="891"/>
      <c r="P61" s="373"/>
      <c r="Q61" s="374"/>
    </row>
    <row r="62" spans="1:17" x14ac:dyDescent="0.25">
      <c r="A62" s="828"/>
      <c r="B62" s="794" t="s">
        <v>965</v>
      </c>
      <c r="C62" s="795"/>
      <c r="D62" s="796" t="s">
        <v>21</v>
      </c>
      <c r="E62" s="797"/>
      <c r="F62" s="798">
        <f>C62*E62</f>
        <v>0</v>
      </c>
      <c r="G62" s="799"/>
      <c r="H62" s="800">
        <v>0</v>
      </c>
      <c r="I62" s="798">
        <f>G62*H62</f>
        <v>0</v>
      </c>
      <c r="J62" s="825"/>
      <c r="K62" s="802">
        <f>F62+I62+J62</f>
        <v>0</v>
      </c>
      <c r="L62" s="945" t="s">
        <v>1049</v>
      </c>
      <c r="M62" s="943">
        <v>86475</v>
      </c>
      <c r="N62" s="371"/>
      <c r="O62" s="891"/>
      <c r="P62" s="418"/>
      <c r="Q62" s="374"/>
    </row>
    <row r="63" spans="1:17" ht="15" x14ac:dyDescent="0.25">
      <c r="A63" s="378"/>
      <c r="B63" s="7"/>
      <c r="C63" s="362"/>
      <c r="D63" s="363" t="s">
        <v>21</v>
      </c>
      <c r="E63" s="247">
        <v>0</v>
      </c>
      <c r="F63" s="364">
        <f>C63*E63</f>
        <v>0</v>
      </c>
      <c r="G63" s="509"/>
      <c r="H63" s="366">
        <v>0</v>
      </c>
      <c r="I63" s="364">
        <f>G63*H63</f>
        <v>0</v>
      </c>
      <c r="J63" s="579"/>
      <c r="K63" s="510">
        <f>F63+I63+J63</f>
        <v>0</v>
      </c>
      <c r="L63" s="972" t="s">
        <v>1050</v>
      </c>
      <c r="M63" s="943">
        <v>70915</v>
      </c>
      <c r="N63" s="966" t="s">
        <v>1097</v>
      </c>
      <c r="O63" s="891"/>
      <c r="P63" s="373"/>
      <c r="Q63" s="374"/>
    </row>
    <row r="64" spans="1:17" x14ac:dyDescent="0.25">
      <c r="A64" s="378"/>
      <c r="B64" s="7"/>
      <c r="C64" s="362"/>
      <c r="D64" s="363" t="s">
        <v>21</v>
      </c>
      <c r="E64" s="247">
        <v>0</v>
      </c>
      <c r="F64" s="364">
        <f>C64*E64</f>
        <v>0</v>
      </c>
      <c r="G64" s="509"/>
      <c r="H64" s="366">
        <v>0</v>
      </c>
      <c r="I64" s="364">
        <f>G64*H64</f>
        <v>0</v>
      </c>
      <c r="J64" s="579"/>
      <c r="K64" s="510">
        <f>F64+I64+J64</f>
        <v>0</v>
      </c>
      <c r="M64" s="306">
        <v>1980</v>
      </c>
      <c r="N64" s="157" t="s">
        <v>1119</v>
      </c>
      <c r="O64" s="891"/>
      <c r="P64" s="373"/>
      <c r="Q64" s="374"/>
    </row>
    <row r="65" spans="1:17" ht="13.8" thickBot="1" x14ac:dyDescent="0.3">
      <c r="A65" s="378"/>
      <c r="B65" s="7"/>
      <c r="C65" s="362"/>
      <c r="D65" s="363" t="s">
        <v>21</v>
      </c>
      <c r="E65" s="247">
        <v>0</v>
      </c>
      <c r="F65" s="364">
        <f>C65*E65</f>
        <v>0</v>
      </c>
      <c r="G65" s="509"/>
      <c r="H65" s="366">
        <v>0</v>
      </c>
      <c r="I65" s="364">
        <f>G65*H65</f>
        <v>0</v>
      </c>
      <c r="J65" s="579"/>
      <c r="K65" s="510">
        <f>F65+I65+J65</f>
        <v>0</v>
      </c>
      <c r="O65" s="891"/>
      <c r="P65" s="373"/>
      <c r="Q65" s="374"/>
    </row>
    <row r="66" spans="1:17" ht="14.4" thickTop="1" thickBot="1" x14ac:dyDescent="0.3">
      <c r="A66" s="450"/>
      <c r="B66" s="156"/>
      <c r="C66" s="451"/>
      <c r="D66" s="452"/>
      <c r="E66" s="590"/>
      <c r="F66" s="454"/>
      <c r="G66" s="591"/>
      <c r="H66" s="590"/>
      <c r="I66" s="454"/>
      <c r="J66" s="456" t="s">
        <v>30</v>
      </c>
      <c r="K66" s="592">
        <f>SUM(K62:K65)</f>
        <v>0</v>
      </c>
      <c r="L66" s="945" t="s">
        <v>1059</v>
      </c>
      <c r="M66" s="943">
        <v>75091.34</v>
      </c>
      <c r="N66" s="967" t="s">
        <v>1099</v>
      </c>
      <c r="O66" s="891"/>
      <c r="P66" s="373"/>
      <c r="Q66" s="374"/>
    </row>
    <row r="67" spans="1:17" ht="13.8" thickBot="1" x14ac:dyDescent="0.3">
      <c r="A67" s="571" t="s">
        <v>0</v>
      </c>
      <c r="B67" s="572" t="s">
        <v>1</v>
      </c>
      <c r="C67" s="1028" t="s">
        <v>646</v>
      </c>
      <c r="D67" s="1028"/>
      <c r="E67" s="1028"/>
      <c r="F67" s="1028"/>
      <c r="G67" s="1028" t="s">
        <v>34</v>
      </c>
      <c r="H67" s="1028"/>
      <c r="I67" s="1028"/>
      <c r="J67" s="573"/>
      <c r="K67" s="503"/>
      <c r="L67" s="369" t="s">
        <v>1051</v>
      </c>
      <c r="M67" s="580">
        <v>71510</v>
      </c>
      <c r="N67" s="965" t="s">
        <v>1096</v>
      </c>
      <c r="O67" s="893"/>
      <c r="P67" s="373"/>
      <c r="Q67" s="374"/>
    </row>
    <row r="68" spans="1:17" ht="16.2" thickBot="1" x14ac:dyDescent="0.35">
      <c r="A68" s="536" t="s">
        <v>259</v>
      </c>
      <c r="B68" s="537" t="s">
        <v>95</v>
      </c>
      <c r="C68" s="582" t="s">
        <v>19</v>
      </c>
      <c r="D68" s="582" t="s">
        <v>33</v>
      </c>
      <c r="E68" s="583" t="s">
        <v>35</v>
      </c>
      <c r="F68" s="584" t="s">
        <v>30</v>
      </c>
      <c r="G68" s="585" t="s">
        <v>14</v>
      </c>
      <c r="H68" s="583" t="s">
        <v>35</v>
      </c>
      <c r="I68" s="584" t="s">
        <v>30</v>
      </c>
      <c r="J68" s="577" t="s">
        <v>649</v>
      </c>
      <c r="K68" s="586" t="s">
        <v>38</v>
      </c>
      <c r="L68" s="360"/>
      <c r="M68" s="943"/>
      <c r="N68" s="941"/>
      <c r="O68" s="891"/>
      <c r="P68" s="373"/>
      <c r="Q68" s="374"/>
    </row>
    <row r="69" spans="1:17" x14ac:dyDescent="0.25">
      <c r="A69" s="179"/>
      <c r="B69" s="885" t="s">
        <v>260</v>
      </c>
      <c r="C69" s="602"/>
      <c r="D69" s="363" t="s">
        <v>21</v>
      </c>
      <c r="E69" s="247">
        <v>0</v>
      </c>
      <c r="F69" s="364">
        <f t="shared" ref="F69:F72" si="0">C69*E69</f>
        <v>0</v>
      </c>
      <c r="G69" s="509"/>
      <c r="H69" s="366">
        <v>0</v>
      </c>
      <c r="I69" s="364">
        <f t="shared" ref="I69:I72" si="1">G69*H69</f>
        <v>0</v>
      </c>
      <c r="J69" s="579"/>
      <c r="K69" s="510">
        <f t="shared" ref="K69:K72" si="2">F69+I69+J69</f>
        <v>0</v>
      </c>
      <c r="L69" s="360"/>
      <c r="M69" s="943"/>
      <c r="N69" s="941"/>
      <c r="O69" s="891"/>
      <c r="P69" s="373"/>
      <c r="Q69" s="374"/>
    </row>
    <row r="70" spans="1:17" x14ac:dyDescent="0.25">
      <c r="A70" s="158"/>
      <c r="B70" s="632" t="s">
        <v>61</v>
      </c>
      <c r="C70" s="602"/>
      <c r="D70" s="363" t="s">
        <v>21</v>
      </c>
      <c r="E70" s="247">
        <v>0</v>
      </c>
      <c r="F70" s="364">
        <f t="shared" si="0"/>
        <v>0</v>
      </c>
      <c r="G70" s="509"/>
      <c r="H70" s="366">
        <v>0</v>
      </c>
      <c r="I70" s="364">
        <f t="shared" si="1"/>
        <v>0</v>
      </c>
      <c r="J70" s="579"/>
      <c r="K70" s="510">
        <f t="shared" si="2"/>
        <v>0</v>
      </c>
      <c r="L70" s="360"/>
      <c r="M70" s="943"/>
      <c r="N70" s="941"/>
      <c r="O70" s="891"/>
      <c r="P70" s="373"/>
      <c r="Q70" s="374"/>
    </row>
    <row r="71" spans="1:17" x14ac:dyDescent="0.25">
      <c r="A71" s="158"/>
      <c r="B71" s="632" t="s">
        <v>261</v>
      </c>
      <c r="C71" s="602"/>
      <c r="D71" s="363" t="s">
        <v>21</v>
      </c>
      <c r="E71" s="247">
        <v>0</v>
      </c>
      <c r="F71" s="364">
        <f t="shared" si="0"/>
        <v>0</v>
      </c>
      <c r="G71" s="509"/>
      <c r="H71" s="366">
        <v>0</v>
      </c>
      <c r="I71" s="364">
        <f t="shared" si="1"/>
        <v>0</v>
      </c>
      <c r="J71" s="579"/>
      <c r="K71" s="510">
        <f t="shared" si="2"/>
        <v>0</v>
      </c>
      <c r="L71" s="360"/>
      <c r="M71" s="943"/>
      <c r="N71" s="941"/>
      <c r="O71" s="891"/>
      <c r="P71" s="373"/>
      <c r="Q71" s="374"/>
    </row>
    <row r="72" spans="1:17" ht="13.8" thickBot="1" x14ac:dyDescent="0.3">
      <c r="A72" s="158"/>
      <c r="B72" s="632" t="s">
        <v>262</v>
      </c>
      <c r="C72" s="602"/>
      <c r="D72" s="363" t="s">
        <v>21</v>
      </c>
      <c r="E72" s="247">
        <v>0</v>
      </c>
      <c r="F72" s="364">
        <f t="shared" si="0"/>
        <v>0</v>
      </c>
      <c r="G72" s="509"/>
      <c r="H72" s="366">
        <v>0</v>
      </c>
      <c r="I72" s="364">
        <f t="shared" si="1"/>
        <v>0</v>
      </c>
      <c r="J72" s="579"/>
      <c r="K72" s="510">
        <f t="shared" si="2"/>
        <v>0</v>
      </c>
      <c r="L72" s="360"/>
      <c r="M72" s="943"/>
      <c r="N72" s="941"/>
      <c r="O72" s="891"/>
      <c r="P72" s="373"/>
      <c r="Q72" s="374"/>
    </row>
    <row r="73" spans="1:17" ht="14.4" thickTop="1" thickBot="1" x14ac:dyDescent="0.3">
      <c r="A73" s="450"/>
      <c r="B73" s="156"/>
      <c r="C73" s="451"/>
      <c r="D73" s="452"/>
      <c r="E73" s="590"/>
      <c r="F73" s="454"/>
      <c r="G73" s="591"/>
      <c r="H73" s="590"/>
      <c r="I73" s="454"/>
      <c r="J73" s="456" t="s">
        <v>30</v>
      </c>
      <c r="K73" s="592">
        <f>SUM(K69:K72)</f>
        <v>0</v>
      </c>
      <c r="L73" s="940"/>
      <c r="M73" s="944"/>
      <c r="N73" s="942"/>
      <c r="O73" s="892"/>
      <c r="P73" s="373"/>
      <c r="Q73" s="374"/>
    </row>
    <row r="74" spans="1:17" ht="13.8" thickBot="1" x14ac:dyDescent="0.3">
      <c r="A74" s="571" t="s">
        <v>0</v>
      </c>
      <c r="B74" s="572" t="s">
        <v>1</v>
      </c>
      <c r="C74" s="1028" t="s">
        <v>646</v>
      </c>
      <c r="D74" s="1028"/>
      <c r="E74" s="1028"/>
      <c r="F74" s="1028"/>
      <c r="G74" s="1028" t="s">
        <v>34</v>
      </c>
      <c r="H74" s="1028"/>
      <c r="I74" s="1028"/>
      <c r="J74" s="573"/>
      <c r="K74" s="503"/>
      <c r="L74" s="382"/>
      <c r="M74" s="581"/>
      <c r="N74" s="384"/>
      <c r="O74" s="372"/>
      <c r="P74" s="373"/>
      <c r="Q74" s="374"/>
    </row>
    <row r="75" spans="1:17" ht="16.2" thickBot="1" x14ac:dyDescent="0.35">
      <c r="A75" s="536" t="s">
        <v>263</v>
      </c>
      <c r="B75" s="537" t="s">
        <v>62</v>
      </c>
      <c r="C75" s="582" t="s">
        <v>19</v>
      </c>
      <c r="D75" s="582" t="s">
        <v>33</v>
      </c>
      <c r="E75" s="583" t="s">
        <v>35</v>
      </c>
      <c r="F75" s="584" t="s">
        <v>30</v>
      </c>
      <c r="G75" s="585" t="s">
        <v>14</v>
      </c>
      <c r="H75" s="583" t="s">
        <v>35</v>
      </c>
      <c r="I75" s="584" t="s">
        <v>30</v>
      </c>
      <c r="J75" s="577" t="s">
        <v>649</v>
      </c>
      <c r="K75" s="586" t="s">
        <v>38</v>
      </c>
      <c r="L75" s="393"/>
      <c r="M75" s="587"/>
      <c r="N75" s="395"/>
      <c r="O75" s="372"/>
      <c r="P75" s="373"/>
      <c r="Q75" s="374"/>
    </row>
    <row r="76" spans="1:17" x14ac:dyDescent="0.25">
      <c r="A76" s="378"/>
      <c r="B76" s="7"/>
      <c r="C76" s="362"/>
      <c r="D76" s="363" t="s">
        <v>21</v>
      </c>
      <c r="E76" s="247">
        <v>0</v>
      </c>
      <c r="F76" s="364">
        <f>C76*E76</f>
        <v>0</v>
      </c>
      <c r="G76" s="509"/>
      <c r="H76" s="366">
        <v>0</v>
      </c>
      <c r="I76" s="364">
        <f>G76*H76</f>
        <v>0</v>
      </c>
      <c r="J76" s="579"/>
      <c r="K76" s="510">
        <f>F76+I76+J76</f>
        <v>0</v>
      </c>
      <c r="L76" s="369"/>
      <c r="M76" s="580"/>
      <c r="N76" s="371"/>
      <c r="O76" s="372"/>
      <c r="P76" s="373"/>
      <c r="Q76" s="374"/>
    </row>
    <row r="77" spans="1:17" x14ac:dyDescent="0.25">
      <c r="A77" s="378"/>
      <c r="B77" s="7"/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579"/>
      <c r="K77" s="510">
        <f>F77+I77+J77</f>
        <v>0</v>
      </c>
      <c r="L77" s="369"/>
      <c r="M77" s="580"/>
      <c r="N77" s="371"/>
      <c r="O77" s="372"/>
      <c r="P77" s="373"/>
      <c r="Q77" s="374"/>
    </row>
    <row r="78" spans="1:17" ht="13.8" thickBot="1" x14ac:dyDescent="0.3">
      <c r="A78" s="378"/>
      <c r="B78" s="7"/>
      <c r="C78" s="362"/>
      <c r="D78" s="363"/>
      <c r="E78" s="247"/>
      <c r="F78" s="364"/>
      <c r="G78" s="509"/>
      <c r="H78" s="366"/>
      <c r="I78" s="364"/>
      <c r="J78" s="579"/>
      <c r="K78" s="510"/>
      <c r="L78" s="369"/>
      <c r="M78" s="580"/>
      <c r="N78" s="371"/>
      <c r="O78" s="372"/>
      <c r="P78" s="373"/>
      <c r="Q78" s="374"/>
    </row>
    <row r="79" spans="1:17" ht="14.4" thickTop="1" thickBot="1" x14ac:dyDescent="0.3">
      <c r="A79" s="450"/>
      <c r="B79" s="156"/>
      <c r="C79" s="451"/>
      <c r="D79" s="452"/>
      <c r="E79" s="590"/>
      <c r="F79" s="454"/>
      <c r="G79" s="591"/>
      <c r="H79" s="590"/>
      <c r="I79" s="454"/>
      <c r="J79" s="456" t="s">
        <v>30</v>
      </c>
      <c r="K79" s="592">
        <f>SUM(K76:K78)</f>
        <v>0</v>
      </c>
      <c r="L79" s="369"/>
      <c r="M79" s="580"/>
      <c r="N79" s="371"/>
      <c r="O79" s="372"/>
      <c r="P79" s="373"/>
      <c r="Q79" s="374"/>
    </row>
    <row r="80" spans="1:17" ht="13.8" thickBot="1" x14ac:dyDescent="0.3">
      <c r="A80" s="571" t="s">
        <v>0</v>
      </c>
      <c r="B80" s="572" t="s">
        <v>1</v>
      </c>
      <c r="C80" s="1028" t="s">
        <v>646</v>
      </c>
      <c r="D80" s="1028"/>
      <c r="E80" s="1028"/>
      <c r="F80" s="1028"/>
      <c r="G80" s="1028" t="s">
        <v>34</v>
      </c>
      <c r="H80" s="1028"/>
      <c r="I80" s="1028"/>
      <c r="J80" s="573"/>
      <c r="K80" s="503"/>
      <c r="L80" s="382"/>
      <c r="M80" s="581"/>
      <c r="N80" s="384"/>
      <c r="O80" s="372"/>
      <c r="P80" s="373"/>
      <c r="Q80" s="374"/>
    </row>
    <row r="81" spans="1:17" ht="16.2" thickBot="1" x14ac:dyDescent="0.35">
      <c r="A81" s="536" t="s">
        <v>264</v>
      </c>
      <c r="B81" s="537" t="s">
        <v>265</v>
      </c>
      <c r="C81" s="582" t="s">
        <v>19</v>
      </c>
      <c r="D81" s="582" t="s">
        <v>33</v>
      </c>
      <c r="E81" s="583" t="s">
        <v>35</v>
      </c>
      <c r="F81" s="584" t="s">
        <v>30</v>
      </c>
      <c r="G81" s="585" t="s">
        <v>14</v>
      </c>
      <c r="H81" s="583" t="s">
        <v>35</v>
      </c>
      <c r="I81" s="584" t="s">
        <v>30</v>
      </c>
      <c r="J81" s="577" t="s">
        <v>649</v>
      </c>
      <c r="K81" s="586" t="s">
        <v>38</v>
      </c>
      <c r="L81" s="393"/>
      <c r="M81" s="587"/>
      <c r="N81" s="395"/>
      <c r="O81" s="372"/>
      <c r="P81" s="373"/>
      <c r="Q81" s="374"/>
    </row>
    <row r="82" spans="1:17" x14ac:dyDescent="0.25">
      <c r="A82" s="378"/>
      <c r="B82" s="7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579"/>
      <c r="K82" s="510">
        <f>F82+I82+J82</f>
        <v>0</v>
      </c>
      <c r="O82" s="372"/>
      <c r="P82" s="373"/>
      <c r="Q82" s="374"/>
    </row>
    <row r="83" spans="1:17" x14ac:dyDescent="0.25">
      <c r="A83" s="378"/>
      <c r="B83" s="7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579"/>
      <c r="K83" s="510">
        <f>F83+I83+J83</f>
        <v>0</v>
      </c>
      <c r="L83" s="369"/>
      <c r="M83" s="580"/>
      <c r="N83" s="371"/>
      <c r="O83" s="372"/>
      <c r="P83" s="373"/>
      <c r="Q83" s="374"/>
    </row>
    <row r="84" spans="1:17" ht="13.8" thickBot="1" x14ac:dyDescent="0.3">
      <c r="A84" s="378"/>
      <c r="B84" s="7"/>
      <c r="C84" s="362"/>
      <c r="D84" s="363"/>
      <c r="E84" s="247"/>
      <c r="F84" s="364"/>
      <c r="G84" s="509"/>
      <c r="H84" s="366"/>
      <c r="I84" s="364"/>
      <c r="J84" s="579"/>
      <c r="K84" s="510"/>
      <c r="L84" s="369"/>
      <c r="M84" s="580"/>
      <c r="N84" s="371"/>
      <c r="O84" s="372"/>
      <c r="P84" s="373"/>
      <c r="Q84" s="374"/>
    </row>
    <row r="85" spans="1:17" ht="14.4" thickTop="1" thickBot="1" x14ac:dyDescent="0.3">
      <c r="A85" s="450"/>
      <c r="B85" s="156"/>
      <c r="C85" s="451"/>
      <c r="D85" s="452"/>
      <c r="E85" s="590"/>
      <c r="F85" s="454"/>
      <c r="G85" s="591"/>
      <c r="H85" s="590"/>
      <c r="I85" s="454"/>
      <c r="J85" s="456" t="s">
        <v>30</v>
      </c>
      <c r="K85" s="592">
        <f>SUM(K82:K84)</f>
        <v>0</v>
      </c>
      <c r="L85" s="369"/>
      <c r="M85" s="580"/>
      <c r="N85" s="371"/>
      <c r="O85" s="372"/>
      <c r="P85" s="373"/>
      <c r="Q85" s="374"/>
    </row>
    <row r="86" spans="1:17" ht="13.8" thickBot="1" x14ac:dyDescent="0.3">
      <c r="A86" s="571" t="s">
        <v>0</v>
      </c>
      <c r="B86" s="572" t="s">
        <v>1</v>
      </c>
      <c r="C86" s="1028" t="s">
        <v>646</v>
      </c>
      <c r="D86" s="1028"/>
      <c r="E86" s="1028"/>
      <c r="F86" s="1028"/>
      <c r="G86" s="1028" t="s">
        <v>34</v>
      </c>
      <c r="H86" s="1028"/>
      <c r="I86" s="1028"/>
      <c r="J86" s="573"/>
      <c r="K86" s="503"/>
      <c r="L86" s="382"/>
      <c r="M86" s="581"/>
      <c r="N86" s="384"/>
      <c r="O86" s="372"/>
      <c r="P86" s="373"/>
      <c r="Q86" s="374"/>
    </row>
    <row r="87" spans="1:17" ht="16.2" thickBot="1" x14ac:dyDescent="0.35">
      <c r="A87" s="536" t="s">
        <v>266</v>
      </c>
      <c r="B87" s="537" t="s">
        <v>267</v>
      </c>
      <c r="C87" s="582" t="s">
        <v>19</v>
      </c>
      <c r="D87" s="582" t="s">
        <v>33</v>
      </c>
      <c r="E87" s="583" t="s">
        <v>35</v>
      </c>
      <c r="F87" s="584" t="s">
        <v>30</v>
      </c>
      <c r="G87" s="585" t="s">
        <v>14</v>
      </c>
      <c r="H87" s="583" t="s">
        <v>35</v>
      </c>
      <c r="I87" s="584" t="s">
        <v>30</v>
      </c>
      <c r="J87" s="577" t="s">
        <v>649</v>
      </c>
      <c r="K87" s="586" t="s">
        <v>38</v>
      </c>
      <c r="L87" s="393"/>
      <c r="M87" s="587"/>
      <c r="N87" s="395"/>
      <c r="O87" s="372"/>
      <c r="P87" s="373"/>
      <c r="Q87" s="374"/>
    </row>
    <row r="88" spans="1:17" x14ac:dyDescent="0.25">
      <c r="A88" s="378"/>
      <c r="B88" s="7"/>
      <c r="C88" s="362"/>
      <c r="D88" s="363" t="s">
        <v>21</v>
      </c>
      <c r="E88" s="247">
        <v>0</v>
      </c>
      <c r="F88" s="364">
        <f>C88*E88</f>
        <v>0</v>
      </c>
      <c r="G88" s="509"/>
      <c r="H88" s="366">
        <v>0</v>
      </c>
      <c r="I88" s="364">
        <f>G88*H88</f>
        <v>0</v>
      </c>
      <c r="J88" s="579"/>
      <c r="K88" s="510">
        <f>F88+I88+J88</f>
        <v>0</v>
      </c>
      <c r="O88" s="372"/>
      <c r="P88" s="373"/>
      <c r="Q88" s="374"/>
    </row>
    <row r="89" spans="1:17" x14ac:dyDescent="0.25">
      <c r="A89" s="378"/>
      <c r="B89" s="7"/>
      <c r="C89" s="362"/>
      <c r="D89" s="363" t="s">
        <v>21</v>
      </c>
      <c r="E89" s="247">
        <v>0</v>
      </c>
      <c r="F89" s="364">
        <f>C89*E89</f>
        <v>0</v>
      </c>
      <c r="G89" s="509"/>
      <c r="H89" s="366">
        <v>0</v>
      </c>
      <c r="I89" s="364">
        <f>G89*H89</f>
        <v>0</v>
      </c>
      <c r="J89" s="579"/>
      <c r="K89" s="510">
        <f>F89+I89+J89</f>
        <v>0</v>
      </c>
      <c r="L89" s="369"/>
      <c r="M89" s="580"/>
      <c r="N89" s="371"/>
      <c r="O89" s="372"/>
      <c r="P89" s="373"/>
      <c r="Q89" s="374"/>
    </row>
    <row r="90" spans="1:17" ht="13.8" thickBot="1" x14ac:dyDescent="0.3">
      <c r="A90" s="378"/>
      <c r="B90" s="7"/>
      <c r="C90" s="362"/>
      <c r="D90" s="363"/>
      <c r="E90" s="247"/>
      <c r="F90" s="364"/>
      <c r="G90" s="509"/>
      <c r="H90" s="366"/>
      <c r="I90" s="364"/>
      <c r="J90" s="579"/>
      <c r="K90" s="510"/>
      <c r="O90" s="372"/>
      <c r="P90" s="373"/>
      <c r="Q90" s="374"/>
    </row>
    <row r="91" spans="1:17" ht="14.4" thickTop="1" thickBot="1" x14ac:dyDescent="0.3">
      <c r="A91" s="450"/>
      <c r="B91" s="156"/>
      <c r="C91" s="451"/>
      <c r="D91" s="452"/>
      <c r="E91" s="590"/>
      <c r="F91" s="454"/>
      <c r="G91" s="591"/>
      <c r="H91" s="590"/>
      <c r="I91" s="454"/>
      <c r="J91" s="456" t="s">
        <v>30</v>
      </c>
      <c r="K91" s="592">
        <f>SUM(K88:K90)</f>
        <v>0</v>
      </c>
      <c r="O91" s="372"/>
      <c r="P91" s="373"/>
      <c r="Q91" s="374"/>
    </row>
    <row r="92" spans="1:17" ht="13.8" thickBot="1" x14ac:dyDescent="0.3">
      <c r="A92" s="571" t="s">
        <v>0</v>
      </c>
      <c r="B92" s="572" t="s">
        <v>1</v>
      </c>
      <c r="C92" s="1028" t="s">
        <v>646</v>
      </c>
      <c r="D92" s="1028"/>
      <c r="E92" s="1028"/>
      <c r="F92" s="1028"/>
      <c r="G92" s="1028" t="s">
        <v>34</v>
      </c>
      <c r="H92" s="1028"/>
      <c r="I92" s="1028"/>
      <c r="J92" s="573"/>
      <c r="K92" s="503"/>
      <c r="L92" s="382"/>
      <c r="M92" s="581"/>
      <c r="N92" s="384"/>
      <c r="O92" s="372"/>
      <c r="P92" s="373"/>
      <c r="Q92" s="374"/>
    </row>
    <row r="93" spans="1:17" ht="16.2" thickBot="1" x14ac:dyDescent="0.35">
      <c r="A93" s="536" t="s">
        <v>268</v>
      </c>
      <c r="B93" s="537" t="s">
        <v>269</v>
      </c>
      <c r="C93" s="582" t="s">
        <v>19</v>
      </c>
      <c r="D93" s="582" t="s">
        <v>33</v>
      </c>
      <c r="E93" s="583" t="s">
        <v>35</v>
      </c>
      <c r="F93" s="584" t="s">
        <v>30</v>
      </c>
      <c r="G93" s="585" t="s">
        <v>14</v>
      </c>
      <c r="H93" s="583" t="s">
        <v>35</v>
      </c>
      <c r="I93" s="584" t="s">
        <v>30</v>
      </c>
      <c r="J93" s="577" t="s">
        <v>649</v>
      </c>
      <c r="K93" s="586" t="s">
        <v>38</v>
      </c>
      <c r="L93" s="393"/>
      <c r="M93" s="587"/>
      <c r="N93" s="395"/>
      <c r="O93" s="372"/>
      <c r="P93" s="373"/>
      <c r="Q93" s="374"/>
    </row>
    <row r="94" spans="1:17" x14ac:dyDescent="0.25">
      <c r="A94" s="378"/>
      <c r="B94" s="7"/>
      <c r="C94" s="362"/>
      <c r="D94" s="363" t="s">
        <v>21</v>
      </c>
      <c r="E94" s="247">
        <v>0</v>
      </c>
      <c r="F94" s="364">
        <f>C94*E94</f>
        <v>0</v>
      </c>
      <c r="G94" s="509"/>
      <c r="H94" s="366">
        <v>0</v>
      </c>
      <c r="I94" s="364">
        <f>G94*H94</f>
        <v>0</v>
      </c>
      <c r="J94" s="579"/>
      <c r="K94" s="510">
        <f>F94+I94+J94</f>
        <v>0</v>
      </c>
      <c r="O94" s="372"/>
      <c r="P94" s="373"/>
      <c r="Q94" s="374"/>
    </row>
    <row r="95" spans="1:17" x14ac:dyDescent="0.25">
      <c r="A95" s="378"/>
      <c r="B95" s="7"/>
      <c r="C95" s="362"/>
      <c r="D95" s="363" t="s">
        <v>21</v>
      </c>
      <c r="E95" s="247">
        <v>0</v>
      </c>
      <c r="F95" s="364">
        <f>C95*E95</f>
        <v>0</v>
      </c>
      <c r="G95" s="509"/>
      <c r="H95" s="366">
        <v>0</v>
      </c>
      <c r="I95" s="364">
        <f>G95*H95</f>
        <v>0</v>
      </c>
      <c r="J95" s="579"/>
      <c r="K95" s="510">
        <f>F95+I95+J95</f>
        <v>0</v>
      </c>
      <c r="L95" s="369"/>
      <c r="M95" s="580"/>
      <c r="N95" s="371"/>
      <c r="O95" s="372"/>
      <c r="P95" s="373"/>
      <c r="Q95" s="374"/>
    </row>
    <row r="96" spans="1:17" ht="13.8" thickBot="1" x14ac:dyDescent="0.3">
      <c r="A96" s="378"/>
      <c r="B96" s="7"/>
      <c r="C96" s="362"/>
      <c r="D96" s="363"/>
      <c r="E96" s="247"/>
      <c r="F96" s="364"/>
      <c r="G96" s="509"/>
      <c r="H96" s="366"/>
      <c r="I96" s="364"/>
      <c r="J96" s="579"/>
      <c r="K96" s="510"/>
      <c r="O96" s="372"/>
      <c r="P96" s="373"/>
      <c r="Q96" s="374"/>
    </row>
    <row r="97" spans="1:17" ht="14.4" thickTop="1" thickBot="1" x14ac:dyDescent="0.3">
      <c r="A97" s="450"/>
      <c r="B97" s="156"/>
      <c r="C97" s="451"/>
      <c r="D97" s="452"/>
      <c r="E97" s="590"/>
      <c r="F97" s="454"/>
      <c r="G97" s="591"/>
      <c r="H97" s="590"/>
      <c r="I97" s="454"/>
      <c r="J97" s="456" t="s">
        <v>30</v>
      </c>
      <c r="K97" s="592">
        <f>SUM(K94:K96)</f>
        <v>0</v>
      </c>
      <c r="O97" s="372"/>
      <c r="P97" s="373"/>
      <c r="Q97" s="374"/>
    </row>
    <row r="98" spans="1:17" ht="13.8" hidden="1" thickBot="1" x14ac:dyDescent="0.3">
      <c r="A98" s="571" t="s">
        <v>0</v>
      </c>
      <c r="B98" s="572" t="s">
        <v>1</v>
      </c>
      <c r="C98" s="1028" t="s">
        <v>646</v>
      </c>
      <c r="D98" s="1028"/>
      <c r="E98" s="1028"/>
      <c r="F98" s="1028"/>
      <c r="G98" s="1028" t="s">
        <v>34</v>
      </c>
      <c r="H98" s="1028"/>
      <c r="I98" s="1028"/>
      <c r="J98" s="573"/>
      <c r="K98" s="503"/>
      <c r="L98" s="382"/>
      <c r="M98" s="581"/>
      <c r="N98" s="384"/>
      <c r="O98" s="372"/>
      <c r="P98" s="373"/>
      <c r="Q98" s="374"/>
    </row>
    <row r="99" spans="1:17" ht="16.2" hidden="1" thickBot="1" x14ac:dyDescent="0.35">
      <c r="A99" s="536" t="s">
        <v>270</v>
      </c>
      <c r="B99" s="537" t="s">
        <v>271</v>
      </c>
      <c r="C99" s="582" t="s">
        <v>19</v>
      </c>
      <c r="D99" s="582" t="s">
        <v>33</v>
      </c>
      <c r="E99" s="583" t="s">
        <v>35</v>
      </c>
      <c r="F99" s="584" t="s">
        <v>30</v>
      </c>
      <c r="G99" s="585" t="s">
        <v>14</v>
      </c>
      <c r="H99" s="583" t="s">
        <v>35</v>
      </c>
      <c r="I99" s="584" t="s">
        <v>30</v>
      </c>
      <c r="J99" s="577" t="s">
        <v>649</v>
      </c>
      <c r="K99" s="586" t="s">
        <v>38</v>
      </c>
      <c r="L99" s="393"/>
      <c r="M99" s="587"/>
      <c r="N99" s="395"/>
      <c r="O99" s="372"/>
      <c r="P99" s="373"/>
      <c r="Q99" s="374"/>
    </row>
    <row r="100" spans="1:17" hidden="1" x14ac:dyDescent="0.25">
      <c r="A100" s="378"/>
      <c r="B100" s="7"/>
      <c r="C100" s="362"/>
      <c r="D100" s="363" t="s">
        <v>21</v>
      </c>
      <c r="E100" s="247">
        <v>0</v>
      </c>
      <c r="F100" s="364">
        <f>C100*E100</f>
        <v>0</v>
      </c>
      <c r="G100" s="509"/>
      <c r="H100" s="366">
        <v>0</v>
      </c>
      <c r="I100" s="364">
        <f>G100*H100</f>
        <v>0</v>
      </c>
      <c r="J100" s="579"/>
      <c r="K100" s="510">
        <f>F100+I100+J100</f>
        <v>0</v>
      </c>
      <c r="O100" s="372"/>
      <c r="P100" s="373"/>
      <c r="Q100" s="374"/>
    </row>
    <row r="101" spans="1:17" hidden="1" x14ac:dyDescent="0.25">
      <c r="A101" s="378"/>
      <c r="B101" s="7"/>
      <c r="C101" s="362"/>
      <c r="D101" s="363" t="s">
        <v>21</v>
      </c>
      <c r="E101" s="247">
        <v>0</v>
      </c>
      <c r="F101" s="364">
        <f>C101*E101</f>
        <v>0</v>
      </c>
      <c r="G101" s="509"/>
      <c r="H101" s="366">
        <v>0</v>
      </c>
      <c r="I101" s="364">
        <f>G101*H101</f>
        <v>0</v>
      </c>
      <c r="J101" s="579"/>
      <c r="K101" s="510">
        <f>F101+I101+J101</f>
        <v>0</v>
      </c>
      <c r="L101" s="369"/>
      <c r="M101" s="580"/>
      <c r="N101" s="371"/>
      <c r="O101" s="372"/>
      <c r="P101" s="373"/>
      <c r="Q101" s="374"/>
    </row>
    <row r="102" spans="1:17" ht="13.8" hidden="1" thickBot="1" x14ac:dyDescent="0.3">
      <c r="A102" s="378"/>
      <c r="B102" s="7"/>
      <c r="C102" s="362"/>
      <c r="D102" s="363"/>
      <c r="E102" s="247"/>
      <c r="F102" s="364"/>
      <c r="G102" s="509"/>
      <c r="H102" s="366"/>
      <c r="I102" s="364"/>
      <c r="J102" s="579"/>
      <c r="K102" s="510"/>
      <c r="O102" s="372"/>
      <c r="P102" s="373"/>
      <c r="Q102" s="374"/>
    </row>
    <row r="103" spans="1:17" ht="14.4" hidden="1" thickTop="1" thickBot="1" x14ac:dyDescent="0.3">
      <c r="A103" s="450"/>
      <c r="B103" s="156"/>
      <c r="C103" s="451"/>
      <c r="D103" s="452"/>
      <c r="E103" s="590"/>
      <c r="F103" s="454"/>
      <c r="G103" s="591"/>
      <c r="H103" s="590"/>
      <c r="I103" s="454"/>
      <c r="J103" s="456" t="s">
        <v>30</v>
      </c>
      <c r="K103" s="592">
        <f>SUM(K100:K102)</f>
        <v>0</v>
      </c>
      <c r="O103" s="372"/>
      <c r="P103" s="373"/>
      <c r="Q103" s="374"/>
    </row>
    <row r="104" spans="1:17" ht="13.8" hidden="1" thickBot="1" x14ac:dyDescent="0.3">
      <c r="A104" s="571" t="s">
        <v>0</v>
      </c>
      <c r="B104" s="572" t="s">
        <v>1</v>
      </c>
      <c r="C104" s="1028" t="s">
        <v>646</v>
      </c>
      <c r="D104" s="1028"/>
      <c r="E104" s="1028"/>
      <c r="F104" s="1028"/>
      <c r="G104" s="1028" t="s">
        <v>34</v>
      </c>
      <c r="H104" s="1028"/>
      <c r="I104" s="1028"/>
      <c r="J104" s="573"/>
      <c r="K104" s="503"/>
      <c r="L104" s="382"/>
      <c r="M104" s="581"/>
      <c r="N104" s="384"/>
      <c r="O104" s="372"/>
      <c r="P104" s="373"/>
      <c r="Q104" s="374"/>
    </row>
    <row r="105" spans="1:17" ht="16.2" hidden="1" thickBot="1" x14ac:dyDescent="0.35">
      <c r="A105" s="385"/>
      <c r="B105" s="386"/>
      <c r="C105" s="595" t="s">
        <v>19</v>
      </c>
      <c r="D105" s="582" t="s">
        <v>33</v>
      </c>
      <c r="E105" s="583" t="s">
        <v>35</v>
      </c>
      <c r="F105" s="584" t="s">
        <v>30</v>
      </c>
      <c r="G105" s="585" t="s">
        <v>14</v>
      </c>
      <c r="H105" s="583" t="s">
        <v>35</v>
      </c>
      <c r="I105" s="584" t="s">
        <v>30</v>
      </c>
      <c r="J105" s="577" t="s">
        <v>649</v>
      </c>
      <c r="K105" s="586" t="s">
        <v>38</v>
      </c>
      <c r="L105" s="393"/>
      <c r="M105" s="587"/>
      <c r="N105" s="395"/>
      <c r="O105" s="372"/>
      <c r="P105" s="373"/>
      <c r="Q105" s="374"/>
    </row>
    <row r="106" spans="1:17" hidden="1" x14ac:dyDescent="0.25">
      <c r="A106" s="596"/>
      <c r="B106" s="597"/>
      <c r="C106" s="362"/>
      <c r="D106" s="363" t="s">
        <v>21</v>
      </c>
      <c r="E106" s="247">
        <v>0</v>
      </c>
      <c r="F106" s="364">
        <f>C106*E106</f>
        <v>0</v>
      </c>
      <c r="G106" s="509"/>
      <c r="H106" s="366">
        <v>0</v>
      </c>
      <c r="I106" s="364">
        <f>G106*H106</f>
        <v>0</v>
      </c>
      <c r="J106" s="579"/>
      <c r="K106" s="510">
        <f>F106+I106+J106</f>
        <v>0</v>
      </c>
      <c r="L106" s="369"/>
      <c r="M106" s="580"/>
      <c r="N106" s="371"/>
      <c r="O106" s="372"/>
      <c r="P106" s="373"/>
      <c r="Q106" s="374"/>
    </row>
    <row r="107" spans="1:17" hidden="1" x14ac:dyDescent="0.25">
      <c r="A107" s="378"/>
      <c r="B107" s="7"/>
      <c r="C107" s="362"/>
      <c r="D107" s="363" t="s">
        <v>21</v>
      </c>
      <c r="E107" s="247">
        <v>0</v>
      </c>
      <c r="F107" s="364">
        <f>C107*E107</f>
        <v>0</v>
      </c>
      <c r="G107" s="509"/>
      <c r="H107" s="366">
        <v>0</v>
      </c>
      <c r="I107" s="364">
        <f>G107*H107</f>
        <v>0</v>
      </c>
      <c r="J107" s="579"/>
      <c r="K107" s="510">
        <f>F107+I107+J107</f>
        <v>0</v>
      </c>
      <c r="L107" s="369"/>
      <c r="M107" s="580"/>
      <c r="N107" s="371"/>
      <c r="O107" s="372"/>
      <c r="P107" s="373"/>
      <c r="Q107" s="374"/>
    </row>
    <row r="108" spans="1:17" ht="13.8" hidden="1" thickBot="1" x14ac:dyDescent="0.3">
      <c r="A108" s="378"/>
      <c r="B108" s="7"/>
      <c r="C108" s="362"/>
      <c r="D108" s="363"/>
      <c r="E108" s="247"/>
      <c r="F108" s="364"/>
      <c r="G108" s="509"/>
      <c r="H108" s="366"/>
      <c r="I108" s="364"/>
      <c r="J108" s="579"/>
      <c r="K108" s="510"/>
      <c r="L108" s="369"/>
      <c r="M108" s="580"/>
      <c r="N108" s="371"/>
      <c r="O108" s="372"/>
      <c r="P108" s="373"/>
      <c r="Q108" s="374"/>
    </row>
    <row r="109" spans="1:17" ht="14.4" hidden="1" thickTop="1" thickBot="1" x14ac:dyDescent="0.3">
      <c r="A109" s="450"/>
      <c r="B109" s="156"/>
      <c r="C109" s="451"/>
      <c r="D109" s="452"/>
      <c r="E109" s="590"/>
      <c r="F109" s="454"/>
      <c r="G109" s="591"/>
      <c r="H109" s="590"/>
      <c r="I109" s="454"/>
      <c r="J109" s="456" t="s">
        <v>30</v>
      </c>
      <c r="K109" s="592">
        <f>SUM(K106:K108)</f>
        <v>0</v>
      </c>
      <c r="L109" s="540"/>
      <c r="M109" s="598"/>
      <c r="N109" s="542"/>
      <c r="O109" s="441"/>
      <c r="P109" s="442"/>
      <c r="Q109" s="443"/>
    </row>
    <row r="110" spans="1:17" ht="14.1" customHeight="1" x14ac:dyDescent="0.25">
      <c r="A110" s="458"/>
      <c r="B110" s="459"/>
      <c r="C110" s="460"/>
      <c r="D110" s="460"/>
      <c r="E110" s="599"/>
      <c r="F110" s="1170" t="s">
        <v>648</v>
      </c>
      <c r="G110" s="1040" t="s">
        <v>673</v>
      </c>
      <c r="H110" s="599"/>
      <c r="I110" s="1180" t="s">
        <v>647</v>
      </c>
      <c r="J110" s="1044" t="s">
        <v>674</v>
      </c>
      <c r="K110" s="1172" t="s">
        <v>31</v>
      </c>
    </row>
    <row r="111" spans="1:17" ht="13.8" x14ac:dyDescent="0.25">
      <c r="A111" s="462" t="s">
        <v>32</v>
      </c>
      <c r="B111" s="1169" t="s">
        <v>28</v>
      </c>
      <c r="C111" s="463"/>
      <c r="D111" s="600"/>
      <c r="E111" s="600"/>
      <c r="F111" s="1171"/>
      <c r="G111" s="1041"/>
      <c r="H111" s="601"/>
      <c r="I111" s="1181"/>
      <c r="J111" s="1045"/>
      <c r="K111" s="1173"/>
    </row>
    <row r="112" spans="1:17" ht="13.8" x14ac:dyDescent="0.25">
      <c r="A112" s="782">
        <f>K113/E6</f>
        <v>0</v>
      </c>
      <c r="B112" s="1169"/>
      <c r="C112" s="600"/>
      <c r="D112" s="600"/>
      <c r="E112" s="600"/>
      <c r="F112" s="1174">
        <f>SUM(F106:F108,F100:F102,F94:F96,F88:F90,F82:F84,F76:F78,F69:F72,F62:F65,F55:F58,F50:F51,F44:F46,F38:F40,F32:F34,F27:F28,F21:F23,F13:F17)</f>
        <v>0</v>
      </c>
      <c r="G112" s="1176">
        <f>SUM(G106:G108,G100:G102,G94:G96,G88:G90,G82:G84,G76:G78,G69:G72,G62:G65,G55:G58,G50:G51,G44:G46,G38:G40,G32:G34,G27:G28,G21:G23,G13:G17)</f>
        <v>8</v>
      </c>
      <c r="H112" s="601"/>
      <c r="I112" s="1174">
        <f>SUM(I106:I108,I100:I102,I94:I96,I88:I90,I82:I84,I76:I78,I69:I72,I62:I65,I55:I58,I50:I51,I44:I46,I38:I40,I32:I34,I27:I28,I21:I23,I13:I17)</f>
        <v>520</v>
      </c>
      <c r="J112" s="1174">
        <f>SUM(J106:J108,J100:J102,J94:J96,J88:J90,J82:J84,J76:J78,J69:J72,J62:J65,J55:J58,J50:J51,J44:J46,J38:J40,J32:J34,J27:J28,J21:J23,J13:J17)</f>
        <v>71510</v>
      </c>
      <c r="K112" s="1178">
        <f>SUM(K109,K103,K97,K91,K85,K79,K73,K18,K24,K29,K35,K41,K47,K52,K59,K66)</f>
        <v>72030</v>
      </c>
    </row>
    <row r="113" spans="1:11" ht="14.4" thickBot="1" x14ac:dyDescent="0.3">
      <c r="A113" s="462"/>
      <c r="B113" s="529"/>
      <c r="C113" s="468"/>
      <c r="D113" s="468"/>
      <c r="E113" s="468"/>
      <c r="F113" s="1175"/>
      <c r="G113" s="1177"/>
      <c r="H113" s="468"/>
      <c r="I113" s="1175"/>
      <c r="J113" s="1175"/>
      <c r="K113" s="1179"/>
    </row>
    <row r="114" spans="1:11" ht="13.8" thickBot="1" x14ac:dyDescent="0.3">
      <c r="A114" s="469"/>
      <c r="B114" s="470"/>
      <c r="C114" s="470"/>
      <c r="D114" s="470"/>
      <c r="E114" s="470"/>
      <c r="F114" s="470"/>
      <c r="G114" s="470"/>
      <c r="H114" s="470"/>
      <c r="I114" s="470"/>
      <c r="J114" s="470"/>
      <c r="K114" s="471"/>
    </row>
  </sheetData>
  <mergeCells count="77">
    <mergeCell ref="Q11:Q12"/>
    <mergeCell ref="L11:L12"/>
    <mergeCell ref="M11:M12"/>
    <mergeCell ref="N11:N12"/>
    <mergeCell ref="O11:O12"/>
    <mergeCell ref="P11:P12"/>
    <mergeCell ref="J112:J113"/>
    <mergeCell ref="K112:K113"/>
    <mergeCell ref="C92:F92"/>
    <mergeCell ref="G92:I92"/>
    <mergeCell ref="G110:G111"/>
    <mergeCell ref="I110:I111"/>
    <mergeCell ref="J110:J111"/>
    <mergeCell ref="K110:K111"/>
    <mergeCell ref="C80:F80"/>
    <mergeCell ref="G80:I80"/>
    <mergeCell ref="C86:F86"/>
    <mergeCell ref="G86:I86"/>
    <mergeCell ref="I112:I113"/>
    <mergeCell ref="C53:F53"/>
    <mergeCell ref="G53:I53"/>
    <mergeCell ref="B111:B112"/>
    <mergeCell ref="G104:I104"/>
    <mergeCell ref="F110:F111"/>
    <mergeCell ref="C60:F60"/>
    <mergeCell ref="G60:I60"/>
    <mergeCell ref="C67:F67"/>
    <mergeCell ref="G67:I67"/>
    <mergeCell ref="C98:F98"/>
    <mergeCell ref="G98:I98"/>
    <mergeCell ref="C104:F104"/>
    <mergeCell ref="F112:F113"/>
    <mergeCell ref="G112:G113"/>
    <mergeCell ref="C74:F74"/>
    <mergeCell ref="G74:I74"/>
    <mergeCell ref="C36:F36"/>
    <mergeCell ref="G36:I36"/>
    <mergeCell ref="C42:F42"/>
    <mergeCell ref="G42:I42"/>
    <mergeCell ref="C48:F48"/>
    <mergeCell ref="G48:I48"/>
    <mergeCell ref="C19:F19"/>
    <mergeCell ref="G19:I19"/>
    <mergeCell ref="C25:F25"/>
    <mergeCell ref="G25:I25"/>
    <mergeCell ref="C30:F30"/>
    <mergeCell ref="G30:I30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A7:K7"/>
    <mergeCell ref="C8:F8"/>
    <mergeCell ref="G8:I8"/>
    <mergeCell ref="A3:B3"/>
    <mergeCell ref="D3:F3"/>
    <mergeCell ref="A4:B4"/>
    <mergeCell ref="D4:F4"/>
    <mergeCell ref="N3:P3"/>
    <mergeCell ref="C1:K1"/>
    <mergeCell ref="D2:F2"/>
    <mergeCell ref="N4:P4"/>
    <mergeCell ref="G5:I6"/>
    <mergeCell ref="J5:K5"/>
    <mergeCell ref="L5:M5"/>
    <mergeCell ref="N5:P5"/>
    <mergeCell ref="L6:M6"/>
    <mergeCell ref="N6:P6"/>
    <mergeCell ref="L3:M3"/>
    <mergeCell ref="L4:M4"/>
  </mergeCells>
  <pageMargins left="0.7" right="0.7" top="0.75" bottom="0.75" header="0.5" footer="0.5"/>
  <pageSetup scale="58" fitToHeight="2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00B0F0"/>
    <pageSetUpPr fitToPage="1"/>
  </sheetPr>
  <dimension ref="A1:Q247"/>
  <sheetViews>
    <sheetView zoomScale="90" zoomScaleNormal="75" zoomScaleSheetLayoutView="90" zoomScalePageLayoutView="75" workbookViewId="0">
      <selection activeCell="O14" sqref="O14"/>
    </sheetView>
  </sheetViews>
  <sheetFormatPr defaultColWidth="9.33203125" defaultRowHeight="13.2" x14ac:dyDescent="0.25"/>
  <cols>
    <col min="1" max="1" width="12.33203125" style="157" bestFit="1" customWidth="1"/>
    <col min="2" max="2" width="45.44140625" style="157" customWidth="1"/>
    <col min="3" max="4" width="5" style="421" customWidth="1"/>
    <col min="5" max="5" width="11.441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157" bestFit="1" customWidth="1"/>
    <col min="11" max="11" width="14.44140625" style="157" bestFit="1" customWidth="1"/>
    <col min="12" max="12" width="17.6640625" style="159" bestFit="1" customWidth="1"/>
    <col min="13" max="13" width="14" style="306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566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5">
      <c r="A4" s="1014"/>
      <c r="B4" s="1015"/>
      <c r="C4" s="494"/>
      <c r="D4" s="1013"/>
      <c r="E4" s="1013"/>
      <c r="F4" s="1013"/>
      <c r="G4" s="567"/>
      <c r="H4" s="567"/>
      <c r="I4" s="566"/>
      <c r="J4" s="320"/>
      <c r="K4" s="321"/>
      <c r="L4" s="1022"/>
      <c r="M4" s="1023"/>
      <c r="N4" s="1024"/>
      <c r="O4" s="1024"/>
      <c r="P4" s="1025"/>
    </row>
    <row r="5" spans="1:17" ht="21.6" thickBot="1" x14ac:dyDescent="0.45">
      <c r="A5" s="568"/>
      <c r="B5" s="569"/>
      <c r="C5" s="496"/>
      <c r="D5" s="570"/>
      <c r="E5" s="332"/>
      <c r="F5" s="567"/>
      <c r="G5" s="1198" t="s">
        <v>8</v>
      </c>
      <c r="H5" s="1198"/>
      <c r="I5" s="1198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45">
      <c r="A6" s="568"/>
      <c r="B6" s="56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198"/>
      <c r="H6" s="1198"/>
      <c r="I6" s="1198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5" customHeight="1" thickTop="1" thickBot="1" x14ac:dyDescent="0.3">
      <c r="A9" s="571" t="s">
        <v>0</v>
      </c>
      <c r="B9" s="572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573"/>
      <c r="K9" s="503"/>
      <c r="L9" s="1184" t="s">
        <v>771</v>
      </c>
      <c r="M9" s="1186" t="s">
        <v>772</v>
      </c>
      <c r="N9" s="1188" t="s">
        <v>773</v>
      </c>
      <c r="O9" s="1190"/>
      <c r="P9" s="1192"/>
      <c r="Q9" s="1182"/>
    </row>
    <row r="10" spans="1:17" ht="16.2" thickBot="1" x14ac:dyDescent="0.35">
      <c r="A10" s="536" t="s">
        <v>273</v>
      </c>
      <c r="B10" s="537" t="s">
        <v>274</v>
      </c>
      <c r="C10" s="574" t="s">
        <v>19</v>
      </c>
      <c r="D10" s="574" t="s">
        <v>33</v>
      </c>
      <c r="E10" s="426" t="s">
        <v>35</v>
      </c>
      <c r="F10" s="575" t="s">
        <v>30</v>
      </c>
      <c r="G10" s="576" t="s">
        <v>14</v>
      </c>
      <c r="H10" s="426" t="s">
        <v>35</v>
      </c>
      <c r="I10" s="575" t="s">
        <v>30</v>
      </c>
      <c r="J10" s="577" t="s">
        <v>649</v>
      </c>
      <c r="K10" s="578" t="s">
        <v>38</v>
      </c>
      <c r="L10" s="1185"/>
      <c r="M10" s="1187"/>
      <c r="N10" s="1189"/>
      <c r="O10" s="1191"/>
      <c r="P10" s="1193"/>
      <c r="Q10" s="1183"/>
    </row>
    <row r="11" spans="1:17" x14ac:dyDescent="0.25">
      <c r="A11" s="793"/>
      <c r="B11" s="794" t="s">
        <v>962</v>
      </c>
      <c r="C11" s="795">
        <v>1</v>
      </c>
      <c r="D11" s="796" t="s">
        <v>21</v>
      </c>
      <c r="E11" s="797">
        <v>0</v>
      </c>
      <c r="F11" s="798">
        <f>C11*E11</f>
        <v>0</v>
      </c>
      <c r="G11" s="799"/>
      <c r="H11" s="800">
        <v>0</v>
      </c>
      <c r="I11" s="798">
        <f>G11*H11</f>
        <v>0</v>
      </c>
      <c r="J11" s="825">
        <f>M11</f>
        <v>36493.72</v>
      </c>
      <c r="K11" s="802">
        <f>F11+I11+J11</f>
        <v>36493.72</v>
      </c>
      <c r="L11" s="369" t="s">
        <v>1078</v>
      </c>
      <c r="M11" s="580">
        <v>36493.72</v>
      </c>
      <c r="N11" s="371"/>
      <c r="O11" s="372"/>
      <c r="P11" s="373"/>
      <c r="Q11" s="374"/>
    </row>
    <row r="12" spans="1:17" x14ac:dyDescent="0.25">
      <c r="A12" s="361"/>
      <c r="B12" s="5"/>
      <c r="C12" s="362"/>
      <c r="D12" s="363"/>
      <c r="E12" s="247"/>
      <c r="F12" s="364"/>
      <c r="G12" s="509"/>
      <c r="H12" s="366"/>
      <c r="I12" s="364"/>
      <c r="J12" s="579"/>
      <c r="K12" s="510"/>
      <c r="L12" s="369" t="s">
        <v>1079</v>
      </c>
      <c r="M12" s="580">
        <v>70000</v>
      </c>
      <c r="N12" s="965" t="s">
        <v>1117</v>
      </c>
      <c r="O12" s="372"/>
      <c r="P12" s="373"/>
      <c r="Q12" s="374"/>
    </row>
    <row r="13" spans="1:17" x14ac:dyDescent="0.25">
      <c r="A13" s="361"/>
      <c r="B13" s="939"/>
      <c r="C13" s="362"/>
      <c r="D13" s="363"/>
      <c r="E13" s="247"/>
      <c r="F13" s="364"/>
      <c r="G13" s="509"/>
      <c r="H13" s="366"/>
      <c r="I13" s="364"/>
      <c r="J13" s="579"/>
      <c r="K13" s="510"/>
      <c r="L13" s="369" t="s">
        <v>1081</v>
      </c>
      <c r="M13" s="580">
        <v>47000.47</v>
      </c>
      <c r="N13" s="371"/>
      <c r="O13" s="372"/>
      <c r="P13" s="373"/>
      <c r="Q13" s="374"/>
    </row>
    <row r="14" spans="1:17" x14ac:dyDescent="0.25">
      <c r="A14" s="361"/>
      <c r="B14" s="939"/>
      <c r="C14" s="362"/>
      <c r="D14" s="363"/>
      <c r="E14" s="247"/>
      <c r="F14" s="364"/>
      <c r="G14" s="509"/>
      <c r="H14" s="366"/>
      <c r="I14" s="364"/>
      <c r="J14" s="579"/>
      <c r="K14" s="510"/>
      <c r="L14" s="369" t="s">
        <v>1106</v>
      </c>
      <c r="M14" s="580">
        <v>64390</v>
      </c>
      <c r="N14" s="371"/>
      <c r="O14" s="372"/>
      <c r="P14" s="373"/>
      <c r="Q14" s="374"/>
    </row>
    <row r="15" spans="1:17" x14ac:dyDescent="0.25">
      <c r="A15" s="361"/>
      <c r="B15" s="939"/>
      <c r="C15" s="362"/>
      <c r="D15" s="363"/>
      <c r="E15" s="247"/>
      <c r="F15" s="364"/>
      <c r="G15" s="509"/>
      <c r="H15" s="366"/>
      <c r="I15" s="364"/>
      <c r="J15" s="579"/>
      <c r="K15" s="510"/>
      <c r="L15" s="369" t="s">
        <v>1108</v>
      </c>
      <c r="M15" s="580">
        <v>74750</v>
      </c>
      <c r="N15" s="371"/>
      <c r="O15" s="372"/>
      <c r="P15" s="373"/>
      <c r="Q15" s="374"/>
    </row>
    <row r="16" spans="1:17" x14ac:dyDescent="0.25">
      <c r="A16" s="361"/>
      <c r="B16" s="939"/>
      <c r="C16" s="362"/>
      <c r="D16" s="363"/>
      <c r="E16" s="247"/>
      <c r="F16" s="364"/>
      <c r="G16" s="509"/>
      <c r="H16" s="366"/>
      <c r="I16" s="364"/>
      <c r="J16" s="579"/>
      <c r="K16" s="510"/>
      <c r="L16" s="369"/>
      <c r="M16" s="580"/>
      <c r="N16" s="371"/>
      <c r="O16" s="372"/>
      <c r="P16" s="373"/>
      <c r="Q16" s="374"/>
    </row>
    <row r="17" spans="1:17" x14ac:dyDescent="0.25">
      <c r="A17" s="361"/>
      <c r="B17" s="939"/>
      <c r="C17" s="362"/>
      <c r="D17" s="363"/>
      <c r="E17" s="247"/>
      <c r="F17" s="364"/>
      <c r="G17" s="509"/>
      <c r="H17" s="366"/>
      <c r="I17" s="364"/>
      <c r="J17" s="579"/>
      <c r="K17" s="510"/>
      <c r="L17" s="843" t="s">
        <v>1082</v>
      </c>
      <c r="M17" s="580"/>
      <c r="N17" s="371"/>
      <c r="O17" s="372"/>
      <c r="P17" s="373"/>
      <c r="Q17" s="374"/>
    </row>
    <row r="18" spans="1:17" x14ac:dyDescent="0.25">
      <c r="A18" s="361"/>
      <c r="B18" s="939"/>
      <c r="C18" s="362"/>
      <c r="D18" s="363"/>
      <c r="E18" s="247"/>
      <c r="F18" s="364"/>
      <c r="G18" s="509"/>
      <c r="H18" s="366"/>
      <c r="I18" s="364"/>
      <c r="J18" s="579"/>
      <c r="K18" s="510"/>
      <c r="L18" s="369" t="s">
        <v>1083</v>
      </c>
      <c r="M18" s="986">
        <v>29995</v>
      </c>
      <c r="N18" s="371"/>
      <c r="O18" s="372"/>
      <c r="P18" s="373"/>
      <c r="Q18" s="374"/>
    </row>
    <row r="19" spans="1:17" x14ac:dyDescent="0.25">
      <c r="A19" s="361"/>
      <c r="B19" s="939"/>
      <c r="C19" s="362"/>
      <c r="D19" s="363"/>
      <c r="E19" s="247"/>
      <c r="F19" s="364"/>
      <c r="G19" s="509"/>
      <c r="H19" s="366"/>
      <c r="I19" s="364"/>
      <c r="J19" s="579"/>
      <c r="K19" s="510"/>
      <c r="L19" s="369" t="s">
        <v>81</v>
      </c>
      <c r="M19" s="580">
        <v>2954</v>
      </c>
      <c r="N19" s="371"/>
      <c r="O19" s="372"/>
      <c r="P19" s="373"/>
      <c r="Q19" s="374"/>
    </row>
    <row r="20" spans="1:17" x14ac:dyDescent="0.25">
      <c r="A20" s="361"/>
      <c r="B20" s="939"/>
      <c r="C20" s="362"/>
      <c r="D20" s="363"/>
      <c r="E20" s="247"/>
      <c r="F20" s="364"/>
      <c r="G20" s="509"/>
      <c r="H20" s="366"/>
      <c r="I20" s="364"/>
      <c r="J20" s="579"/>
      <c r="K20" s="510"/>
      <c r="L20" s="369"/>
      <c r="M20" s="580"/>
      <c r="N20" s="371"/>
      <c r="O20" s="372"/>
      <c r="P20" s="373"/>
      <c r="Q20" s="374"/>
    </row>
    <row r="21" spans="1:17" x14ac:dyDescent="0.25">
      <c r="A21" s="361"/>
      <c r="B21" s="939"/>
      <c r="C21" s="362"/>
      <c r="D21" s="363"/>
      <c r="E21" s="247"/>
      <c r="F21" s="364"/>
      <c r="G21" s="509"/>
      <c r="H21" s="366"/>
      <c r="I21" s="364"/>
      <c r="J21" s="579"/>
      <c r="K21" s="510"/>
      <c r="L21" s="843"/>
      <c r="M21" s="580"/>
      <c r="N21" s="371"/>
      <c r="O21" s="372"/>
      <c r="P21" s="373"/>
      <c r="Q21" s="374"/>
    </row>
    <row r="22" spans="1:17" x14ac:dyDescent="0.25">
      <c r="A22" s="361"/>
      <c r="B22" s="939"/>
      <c r="C22" s="362"/>
      <c r="D22" s="363"/>
      <c r="E22" s="247"/>
      <c r="F22" s="364"/>
      <c r="G22" s="509"/>
      <c r="H22" s="366"/>
      <c r="I22" s="364"/>
      <c r="J22" s="579"/>
      <c r="K22" s="510"/>
      <c r="L22" s="369"/>
      <c r="M22" s="580"/>
      <c r="N22" s="371"/>
      <c r="O22" s="372"/>
      <c r="P22" s="373"/>
      <c r="Q22" s="374"/>
    </row>
    <row r="23" spans="1:17" x14ac:dyDescent="0.25">
      <c r="A23" s="361"/>
      <c r="B23" s="939"/>
      <c r="C23" s="362"/>
      <c r="D23" s="363"/>
      <c r="E23" s="247"/>
      <c r="F23" s="364"/>
      <c r="G23" s="509"/>
      <c r="H23" s="366"/>
      <c r="I23" s="364"/>
      <c r="J23" s="579"/>
      <c r="K23" s="510"/>
      <c r="L23" s="369"/>
      <c r="M23" s="580"/>
      <c r="N23" s="371"/>
      <c r="O23" s="372"/>
      <c r="P23" s="373"/>
      <c r="Q23" s="374"/>
    </row>
    <row r="24" spans="1:17" ht="13.8" thickBot="1" x14ac:dyDescent="0.3">
      <c r="A24" s="378"/>
      <c r="B24" s="7"/>
      <c r="C24" s="379"/>
      <c r="D24" s="363"/>
      <c r="E24" s="247"/>
      <c r="F24" s="364"/>
      <c r="G24" s="509"/>
      <c r="H24" s="366"/>
      <c r="I24" s="364"/>
      <c r="J24" s="579"/>
      <c r="K24" s="510"/>
      <c r="L24" s="369"/>
      <c r="M24" s="580"/>
      <c r="N24" s="371"/>
      <c r="O24" s="372"/>
      <c r="P24" s="373"/>
      <c r="Q24" s="374"/>
    </row>
    <row r="25" spans="1:17" ht="13.8" thickTop="1" x14ac:dyDescent="0.25">
      <c r="A25" s="378"/>
      <c r="B25" s="7"/>
      <c r="C25" s="379"/>
      <c r="D25" s="363"/>
      <c r="E25" s="247"/>
      <c r="F25" s="364"/>
      <c r="G25" s="509"/>
      <c r="H25" s="366"/>
      <c r="I25" s="364"/>
      <c r="J25" s="380" t="s">
        <v>30</v>
      </c>
      <c r="K25" s="511">
        <f>SUM(K11:K24)</f>
        <v>36493.72</v>
      </c>
      <c r="L25" s="369"/>
      <c r="M25" s="580"/>
      <c r="N25" s="371"/>
      <c r="O25" s="372"/>
      <c r="P25" s="373"/>
      <c r="Q25" s="374"/>
    </row>
    <row r="26" spans="1:17" ht="13.8" thickBot="1" x14ac:dyDescent="0.3">
      <c r="A26" s="571" t="s">
        <v>0</v>
      </c>
      <c r="B26" s="572" t="s">
        <v>1</v>
      </c>
      <c r="C26" s="1028" t="s">
        <v>646</v>
      </c>
      <c r="D26" s="1028"/>
      <c r="E26" s="1028"/>
      <c r="F26" s="1028"/>
      <c r="G26" s="1028" t="s">
        <v>34</v>
      </c>
      <c r="H26" s="1028"/>
      <c r="I26" s="1028"/>
      <c r="J26" s="573"/>
      <c r="K26" s="503"/>
      <c r="L26" s="382"/>
      <c r="M26" s="581"/>
      <c r="N26" s="384"/>
      <c r="O26" s="372"/>
      <c r="P26" s="373"/>
      <c r="Q26" s="374"/>
    </row>
    <row r="27" spans="1:17" ht="16.2" thickBot="1" x14ac:dyDescent="0.35">
      <c r="A27" s="536" t="s">
        <v>275</v>
      </c>
      <c r="B27" s="537" t="s">
        <v>276</v>
      </c>
      <c r="C27" s="582" t="s">
        <v>19</v>
      </c>
      <c r="D27" s="582" t="s">
        <v>33</v>
      </c>
      <c r="E27" s="583" t="s">
        <v>35</v>
      </c>
      <c r="F27" s="584" t="s">
        <v>30</v>
      </c>
      <c r="G27" s="585" t="s">
        <v>14</v>
      </c>
      <c r="H27" s="583" t="s">
        <v>35</v>
      </c>
      <c r="I27" s="584" t="s">
        <v>30</v>
      </c>
      <c r="J27" s="577" t="s">
        <v>649</v>
      </c>
      <c r="K27" s="586" t="s">
        <v>38</v>
      </c>
      <c r="L27" s="393"/>
      <c r="M27" s="587"/>
      <c r="N27" s="395"/>
      <c r="O27" s="372"/>
      <c r="P27" s="373"/>
      <c r="Q27" s="374"/>
    </row>
    <row r="28" spans="1:17" x14ac:dyDescent="0.25">
      <c r="A28" s="361"/>
      <c r="B28" s="5"/>
      <c r="C28" s="362"/>
      <c r="D28" s="363" t="s">
        <v>721</v>
      </c>
      <c r="E28" s="247">
        <v>0</v>
      </c>
      <c r="F28" s="364">
        <f>C28*E28</f>
        <v>0</v>
      </c>
      <c r="G28" s="509"/>
      <c r="H28" s="366">
        <v>0</v>
      </c>
      <c r="I28" s="364">
        <f>G28*H28</f>
        <v>0</v>
      </c>
      <c r="J28" s="579"/>
      <c r="K28" s="510">
        <f>F28+I28+J28</f>
        <v>0</v>
      </c>
      <c r="L28" s="369"/>
      <c r="M28" s="580"/>
      <c r="N28" s="371"/>
      <c r="O28" s="372"/>
      <c r="P28" s="373"/>
      <c r="Q28" s="374"/>
    </row>
    <row r="29" spans="1:17" x14ac:dyDescent="0.25">
      <c r="A29" s="361"/>
      <c r="B29" s="5"/>
      <c r="C29" s="362"/>
      <c r="D29" s="363" t="s">
        <v>721</v>
      </c>
      <c r="E29" s="247">
        <v>0</v>
      </c>
      <c r="F29" s="364">
        <f>C29*E29</f>
        <v>0</v>
      </c>
      <c r="G29" s="509"/>
      <c r="H29" s="366">
        <v>0</v>
      </c>
      <c r="I29" s="364">
        <f>G29*H29</f>
        <v>0</v>
      </c>
      <c r="J29" s="579"/>
      <c r="K29" s="510">
        <f>F29+I29+J29</f>
        <v>0</v>
      </c>
      <c r="L29" s="369"/>
      <c r="M29" s="580"/>
      <c r="N29" s="371"/>
      <c r="O29" s="372"/>
      <c r="P29" s="373"/>
      <c r="Q29" s="374"/>
    </row>
    <row r="30" spans="1:17" x14ac:dyDescent="0.25">
      <c r="A30" s="361"/>
      <c r="B30" s="5"/>
      <c r="C30" s="362"/>
      <c r="D30" s="363" t="s">
        <v>721</v>
      </c>
      <c r="E30" s="247">
        <v>0</v>
      </c>
      <c r="F30" s="364">
        <f>C30*E30</f>
        <v>0</v>
      </c>
      <c r="G30" s="509"/>
      <c r="H30" s="366">
        <v>0</v>
      </c>
      <c r="I30" s="364">
        <f>G30*H30</f>
        <v>0</v>
      </c>
      <c r="J30" s="579"/>
      <c r="K30" s="510">
        <f>F30+I30+J30</f>
        <v>0</v>
      </c>
      <c r="L30" s="369"/>
      <c r="M30" s="580"/>
      <c r="N30" s="371"/>
      <c r="O30" s="372"/>
      <c r="P30" s="373"/>
      <c r="Q30" s="374"/>
    </row>
    <row r="31" spans="1:17" x14ac:dyDescent="0.25">
      <c r="A31" s="361"/>
      <c r="B31" s="5"/>
      <c r="C31" s="362"/>
      <c r="D31" s="363" t="s">
        <v>721</v>
      </c>
      <c r="E31" s="247">
        <v>0</v>
      </c>
      <c r="F31" s="364">
        <f>C31*E31</f>
        <v>0</v>
      </c>
      <c r="G31" s="509"/>
      <c r="H31" s="366">
        <v>0</v>
      </c>
      <c r="I31" s="364">
        <f>G31*H31</f>
        <v>0</v>
      </c>
      <c r="J31" s="579"/>
      <c r="K31" s="510">
        <f>F31+I31+J31</f>
        <v>0</v>
      </c>
      <c r="L31" s="369"/>
      <c r="M31" s="580"/>
      <c r="N31" s="371"/>
      <c r="O31" s="372"/>
      <c r="P31" s="373"/>
      <c r="Q31" s="374"/>
    </row>
    <row r="32" spans="1:17" ht="13.8" thickBot="1" x14ac:dyDescent="0.3">
      <c r="A32" s="361"/>
      <c r="B32" s="5"/>
      <c r="C32" s="379"/>
      <c r="D32" s="363"/>
      <c r="E32" s="247"/>
      <c r="F32" s="364"/>
      <c r="G32" s="509"/>
      <c r="H32" s="366"/>
      <c r="I32" s="364"/>
      <c r="J32" s="579"/>
      <c r="K32" s="514"/>
      <c r="L32" s="369"/>
      <c r="M32" s="580"/>
      <c r="N32" s="371"/>
      <c r="O32" s="372"/>
      <c r="P32" s="373"/>
      <c r="Q32" s="374"/>
    </row>
    <row r="33" spans="1:17" ht="13.8" thickTop="1" x14ac:dyDescent="0.25">
      <c r="A33" s="378"/>
      <c r="B33" s="5"/>
      <c r="C33" s="379"/>
      <c r="D33" s="363"/>
      <c r="E33" s="247"/>
      <c r="F33" s="364"/>
      <c r="G33" s="509"/>
      <c r="H33" s="366"/>
      <c r="I33" s="364"/>
      <c r="J33" s="380" t="s">
        <v>30</v>
      </c>
      <c r="K33" s="511">
        <f>SUM(K28:K32)</f>
        <v>0</v>
      </c>
      <c r="L33" s="369"/>
      <c r="M33" s="580"/>
      <c r="N33" s="371"/>
      <c r="O33" s="372"/>
      <c r="P33" s="373"/>
      <c r="Q33" s="374"/>
    </row>
    <row r="34" spans="1:17" ht="13.8" thickBot="1" x14ac:dyDescent="0.3">
      <c r="A34" s="571" t="s">
        <v>0</v>
      </c>
      <c r="B34" s="572" t="s">
        <v>1</v>
      </c>
      <c r="C34" s="1028" t="s">
        <v>646</v>
      </c>
      <c r="D34" s="1028"/>
      <c r="E34" s="1028"/>
      <c r="F34" s="1028"/>
      <c r="G34" s="1028" t="s">
        <v>34</v>
      </c>
      <c r="H34" s="1028"/>
      <c r="I34" s="1028"/>
      <c r="J34" s="573"/>
      <c r="K34" s="503"/>
      <c r="L34" s="382"/>
      <c r="M34" s="581"/>
      <c r="N34" s="384"/>
      <c r="O34" s="372"/>
      <c r="P34" s="373"/>
      <c r="Q34" s="374"/>
    </row>
    <row r="35" spans="1:17" ht="16.2" thickBot="1" x14ac:dyDescent="0.35">
      <c r="A35" s="536" t="s">
        <v>277</v>
      </c>
      <c r="B35" s="537" t="s">
        <v>278</v>
      </c>
      <c r="C35" s="582" t="s">
        <v>19</v>
      </c>
      <c r="D35" s="582" t="s">
        <v>33</v>
      </c>
      <c r="E35" s="583" t="s">
        <v>35</v>
      </c>
      <c r="F35" s="584" t="s">
        <v>30</v>
      </c>
      <c r="G35" s="585" t="s">
        <v>14</v>
      </c>
      <c r="H35" s="583" t="s">
        <v>35</v>
      </c>
      <c r="I35" s="584" t="s">
        <v>30</v>
      </c>
      <c r="J35" s="577" t="s">
        <v>649</v>
      </c>
      <c r="K35" s="586" t="s">
        <v>38</v>
      </c>
      <c r="L35" s="393"/>
      <c r="M35" s="587"/>
      <c r="N35" s="395"/>
      <c r="O35" s="372"/>
      <c r="P35" s="373"/>
      <c r="Q35" s="374"/>
    </row>
    <row r="36" spans="1:17" x14ac:dyDescent="0.25">
      <c r="A36" s="361"/>
      <c r="B36" s="5"/>
      <c r="C36" s="362"/>
      <c r="D36" s="363" t="s">
        <v>721</v>
      </c>
      <c r="E36" s="247">
        <v>0</v>
      </c>
      <c r="F36" s="364">
        <f>C36*E36</f>
        <v>0</v>
      </c>
      <c r="G36" s="509"/>
      <c r="H36" s="366">
        <v>0</v>
      </c>
      <c r="I36" s="364">
        <f>G36*H36</f>
        <v>0</v>
      </c>
      <c r="J36" s="579"/>
      <c r="K36" s="510">
        <f>F36+I36+J36</f>
        <v>0</v>
      </c>
      <c r="L36" s="369"/>
      <c r="M36" s="580"/>
      <c r="N36" s="371"/>
      <c r="O36" s="372"/>
      <c r="P36" s="373"/>
      <c r="Q36" s="374"/>
    </row>
    <row r="37" spans="1:17" x14ac:dyDescent="0.25">
      <c r="A37" s="361"/>
      <c r="B37" s="5"/>
      <c r="C37" s="362"/>
      <c r="D37" s="363" t="s">
        <v>721</v>
      </c>
      <c r="E37" s="247">
        <v>0</v>
      </c>
      <c r="F37" s="364">
        <f>C37*E37</f>
        <v>0</v>
      </c>
      <c r="G37" s="509"/>
      <c r="H37" s="366">
        <v>0</v>
      </c>
      <c r="I37" s="364">
        <f>G37*H37</f>
        <v>0</v>
      </c>
      <c r="J37" s="579"/>
      <c r="K37" s="510">
        <f>F37+I37+J37</f>
        <v>0</v>
      </c>
      <c r="L37" s="369"/>
      <c r="M37" s="580"/>
      <c r="N37" s="371"/>
      <c r="O37" s="372"/>
      <c r="P37" s="373"/>
      <c r="Q37" s="374"/>
    </row>
    <row r="38" spans="1:17" s="159" customFormat="1" ht="13.8" thickBot="1" x14ac:dyDescent="0.3">
      <c r="A38" s="378"/>
      <c r="B38" s="403"/>
      <c r="C38" s="379"/>
      <c r="D38" s="363"/>
      <c r="E38" s="247"/>
      <c r="F38" s="364"/>
      <c r="G38" s="509"/>
      <c r="H38" s="366"/>
      <c r="I38" s="364"/>
      <c r="J38" s="579"/>
      <c r="K38" s="514"/>
      <c r="L38" s="369"/>
      <c r="M38" s="580"/>
      <c r="N38" s="371"/>
      <c r="O38" s="372"/>
      <c r="P38" s="373"/>
      <c r="Q38" s="374"/>
    </row>
    <row r="39" spans="1:17" s="159" customFormat="1" ht="13.8" thickTop="1" x14ac:dyDescent="0.25">
      <c r="A39" s="378"/>
      <c r="B39" s="403"/>
      <c r="C39" s="379"/>
      <c r="D39" s="363"/>
      <c r="E39" s="247"/>
      <c r="F39" s="364"/>
      <c r="G39" s="509"/>
      <c r="H39" s="366"/>
      <c r="I39" s="364"/>
      <c r="J39" s="380" t="s">
        <v>30</v>
      </c>
      <c r="K39" s="511">
        <f>SUM(K36:K38)</f>
        <v>0</v>
      </c>
      <c r="L39" s="369"/>
      <c r="M39" s="580"/>
      <c r="N39" s="371"/>
      <c r="O39" s="372"/>
      <c r="P39" s="373"/>
      <c r="Q39" s="374"/>
    </row>
    <row r="40" spans="1:17" s="159" customFormat="1" ht="13.8" thickBot="1" x14ac:dyDescent="0.3">
      <c r="A40" s="571" t="s">
        <v>0</v>
      </c>
      <c r="B40" s="572" t="s">
        <v>1</v>
      </c>
      <c r="C40" s="1028" t="s">
        <v>646</v>
      </c>
      <c r="D40" s="1028"/>
      <c r="E40" s="1028"/>
      <c r="F40" s="1028"/>
      <c r="G40" s="1028" t="s">
        <v>34</v>
      </c>
      <c r="H40" s="1028"/>
      <c r="I40" s="1028"/>
      <c r="J40" s="573"/>
      <c r="K40" s="503"/>
      <c r="L40" s="382"/>
      <c r="M40" s="581"/>
      <c r="N40" s="384"/>
      <c r="O40" s="372"/>
      <c r="P40" s="373"/>
      <c r="Q40" s="374"/>
    </row>
    <row r="41" spans="1:17" s="159" customFormat="1" ht="16.2" thickBot="1" x14ac:dyDescent="0.35">
      <c r="A41" s="536" t="s">
        <v>279</v>
      </c>
      <c r="B41" s="537" t="s">
        <v>80</v>
      </c>
      <c r="C41" s="582" t="s">
        <v>19</v>
      </c>
      <c r="D41" s="582" t="s">
        <v>33</v>
      </c>
      <c r="E41" s="583" t="s">
        <v>35</v>
      </c>
      <c r="F41" s="584" t="s">
        <v>30</v>
      </c>
      <c r="G41" s="585" t="s">
        <v>14</v>
      </c>
      <c r="H41" s="583" t="s">
        <v>35</v>
      </c>
      <c r="I41" s="584" t="s">
        <v>30</v>
      </c>
      <c r="J41" s="577" t="s">
        <v>649</v>
      </c>
      <c r="K41" s="586" t="s">
        <v>38</v>
      </c>
      <c r="L41" s="393"/>
      <c r="M41" s="589"/>
      <c r="N41" s="400"/>
      <c r="O41" s="372"/>
      <c r="P41" s="373"/>
      <c r="Q41" s="374"/>
    </row>
    <row r="42" spans="1:17" s="159" customFormat="1" ht="15" x14ac:dyDescent="0.25">
      <c r="A42" s="593" t="s">
        <v>280</v>
      </c>
      <c r="B42" s="594" t="s">
        <v>884</v>
      </c>
      <c r="C42" s="602"/>
      <c r="D42" s="363" t="s">
        <v>721</v>
      </c>
      <c r="E42" s="247">
        <v>0</v>
      </c>
      <c r="F42" s="364">
        <f>C42*E42</f>
        <v>0</v>
      </c>
      <c r="G42" s="509"/>
      <c r="H42" s="366">
        <v>0</v>
      </c>
      <c r="I42" s="364">
        <f>G42*H42</f>
        <v>0</v>
      </c>
      <c r="J42" s="579"/>
      <c r="K42" s="510">
        <f>F42+I42+J42</f>
        <v>0</v>
      </c>
      <c r="L42" s="369"/>
      <c r="M42" s="580"/>
      <c r="N42" s="371"/>
      <c r="O42" s="372"/>
      <c r="P42" s="373"/>
      <c r="Q42" s="374"/>
    </row>
    <row r="43" spans="1:17" s="159" customFormat="1" x14ac:dyDescent="0.25">
      <c r="A43" s="207"/>
      <c r="B43" s="607"/>
      <c r="C43" s="602"/>
      <c r="D43" s="363" t="s">
        <v>721</v>
      </c>
      <c r="E43" s="247">
        <v>0</v>
      </c>
      <c r="F43" s="364">
        <f>C43*E43</f>
        <v>0</v>
      </c>
      <c r="G43" s="509"/>
      <c r="H43" s="366">
        <v>0</v>
      </c>
      <c r="I43" s="364">
        <f>G43*H43</f>
        <v>0</v>
      </c>
      <c r="J43" s="579">
        <f>M49</f>
        <v>19250</v>
      </c>
      <c r="K43" s="510">
        <f>F43+I43+J43</f>
        <v>19250</v>
      </c>
      <c r="L43" s="369" t="s">
        <v>1044</v>
      </c>
      <c r="M43" s="580">
        <v>23250</v>
      </c>
      <c r="N43" s="371" t="s">
        <v>1033</v>
      </c>
      <c r="O43" s="372"/>
      <c r="P43" s="373"/>
      <c r="Q43" s="374"/>
    </row>
    <row r="44" spans="1:17" s="159" customFormat="1" ht="15" x14ac:dyDescent="0.25">
      <c r="A44" s="195" t="s">
        <v>281</v>
      </c>
      <c r="B44" s="603" t="s">
        <v>282</v>
      </c>
      <c r="C44" s="602"/>
      <c r="D44" s="363" t="s">
        <v>721</v>
      </c>
      <c r="E44" s="247">
        <v>0</v>
      </c>
      <c r="F44" s="364">
        <f>C44*E44</f>
        <v>0</v>
      </c>
      <c r="G44" s="509"/>
      <c r="H44" s="366">
        <v>0</v>
      </c>
      <c r="I44" s="364">
        <f>G44*H44</f>
        <v>0</v>
      </c>
      <c r="J44" s="579"/>
      <c r="K44" s="510">
        <f>F44+I44+J44</f>
        <v>0</v>
      </c>
      <c r="L44" s="369" t="s">
        <v>1045</v>
      </c>
      <c r="M44" s="580">
        <v>23384.85</v>
      </c>
      <c r="N44" s="371" t="s">
        <v>1033</v>
      </c>
      <c r="O44" s="401"/>
      <c r="P44" s="402"/>
      <c r="Q44" s="374"/>
    </row>
    <row r="45" spans="1:17" s="159" customFormat="1" ht="15" x14ac:dyDescent="0.25">
      <c r="A45" s="195" t="s">
        <v>283</v>
      </c>
      <c r="B45" s="603" t="s">
        <v>64</v>
      </c>
      <c r="C45" s="602"/>
      <c r="D45" s="363" t="s">
        <v>721</v>
      </c>
      <c r="E45" s="247">
        <v>0</v>
      </c>
      <c r="F45" s="364">
        <f t="shared" ref="F45:F48" si="0">C45*E45</f>
        <v>0</v>
      </c>
      <c r="G45" s="509"/>
      <c r="H45" s="366">
        <v>0</v>
      </c>
      <c r="I45" s="364">
        <f t="shared" ref="I45:I48" si="1">G45*H45</f>
        <v>0</v>
      </c>
      <c r="J45" s="579"/>
      <c r="K45" s="510">
        <f t="shared" ref="K45:K48" si="2">F45+I45+J45</f>
        <v>0</v>
      </c>
      <c r="L45" s="369" t="s">
        <v>1100</v>
      </c>
      <c r="M45" s="580">
        <v>25015</v>
      </c>
      <c r="N45" s="371"/>
      <c r="O45" s="401"/>
      <c r="P45" s="402"/>
      <c r="Q45" s="374"/>
    </row>
    <row r="46" spans="1:17" s="159" customFormat="1" ht="15" x14ac:dyDescent="0.25">
      <c r="A46" s="195" t="s">
        <v>284</v>
      </c>
      <c r="B46" s="603" t="s">
        <v>885</v>
      </c>
      <c r="C46" s="602"/>
      <c r="D46" s="363" t="s">
        <v>721</v>
      </c>
      <c r="E46" s="247">
        <v>0</v>
      </c>
      <c r="F46" s="364">
        <f t="shared" si="0"/>
        <v>0</v>
      </c>
      <c r="G46" s="509"/>
      <c r="H46" s="366">
        <v>0</v>
      </c>
      <c r="I46" s="364">
        <f t="shared" si="1"/>
        <v>0</v>
      </c>
      <c r="J46" s="579"/>
      <c r="K46" s="510">
        <f t="shared" si="2"/>
        <v>0</v>
      </c>
      <c r="O46" s="401"/>
      <c r="P46" s="402"/>
      <c r="Q46" s="374"/>
    </row>
    <row r="47" spans="1:17" s="159" customFormat="1" ht="15" x14ac:dyDescent="0.25">
      <c r="A47" s="195" t="s">
        <v>285</v>
      </c>
      <c r="B47" s="196" t="s">
        <v>886</v>
      </c>
      <c r="C47" s="362"/>
      <c r="D47" s="363" t="s">
        <v>721</v>
      </c>
      <c r="E47" s="247">
        <v>0</v>
      </c>
      <c r="F47" s="364">
        <f t="shared" si="0"/>
        <v>0</v>
      </c>
      <c r="G47" s="509"/>
      <c r="H47" s="366">
        <v>0</v>
      </c>
      <c r="I47" s="364">
        <f t="shared" si="1"/>
        <v>0</v>
      </c>
      <c r="J47" s="579"/>
      <c r="K47" s="510">
        <f t="shared" si="2"/>
        <v>0</v>
      </c>
      <c r="L47" s="369" t="s">
        <v>1086</v>
      </c>
      <c r="M47" s="580">
        <v>14000</v>
      </c>
      <c r="N47" s="371" t="s">
        <v>1085</v>
      </c>
      <c r="O47" s="401"/>
      <c r="P47" s="402"/>
      <c r="Q47" s="374"/>
    </row>
    <row r="48" spans="1:17" s="159" customFormat="1" ht="15" x14ac:dyDescent="0.25">
      <c r="A48" s="195" t="s">
        <v>286</v>
      </c>
      <c r="B48" s="196" t="s">
        <v>887</v>
      </c>
      <c r="C48" s="362"/>
      <c r="D48" s="363" t="s">
        <v>721</v>
      </c>
      <c r="E48" s="247">
        <v>0</v>
      </c>
      <c r="F48" s="364">
        <f t="shared" si="0"/>
        <v>0</v>
      </c>
      <c r="G48" s="509"/>
      <c r="H48" s="366">
        <v>0</v>
      </c>
      <c r="I48" s="364">
        <f t="shared" si="1"/>
        <v>0</v>
      </c>
      <c r="J48" s="579"/>
      <c r="K48" s="510">
        <f t="shared" si="2"/>
        <v>0</v>
      </c>
      <c r="L48" s="369"/>
      <c r="M48" s="988">
        <v>5250</v>
      </c>
      <c r="N48" s="371" t="s">
        <v>1142</v>
      </c>
      <c r="O48" s="401"/>
      <c r="P48" s="402"/>
      <c r="Q48" s="374"/>
    </row>
    <row r="49" spans="1:17" s="159" customFormat="1" ht="13.8" thickBot="1" x14ac:dyDescent="0.3">
      <c r="A49" s="793"/>
      <c r="B49" s="794" t="s">
        <v>963</v>
      </c>
      <c r="C49" s="795"/>
      <c r="D49" s="796" t="s">
        <v>721</v>
      </c>
      <c r="E49" s="797"/>
      <c r="F49" s="798">
        <f t="shared" ref="F49:F50" si="3">C49*E49</f>
        <v>0</v>
      </c>
      <c r="G49" s="799"/>
      <c r="H49" s="800">
        <v>0</v>
      </c>
      <c r="I49" s="798">
        <f t="shared" ref="I49:I50" si="4">G49*H49</f>
        <v>0</v>
      </c>
      <c r="J49" s="825"/>
      <c r="K49" s="802">
        <f t="shared" ref="K49:K50" si="5">F49+I49+J49</f>
        <v>0</v>
      </c>
      <c r="M49" s="989">
        <f>SUM(M47:M48)</f>
        <v>19250</v>
      </c>
      <c r="O49" s="401"/>
      <c r="P49" s="402"/>
      <c r="Q49" s="374"/>
    </row>
    <row r="50" spans="1:17" s="159" customFormat="1" ht="13.8" thickTop="1" x14ac:dyDescent="0.25">
      <c r="A50" s="793"/>
      <c r="B50" s="794" t="s">
        <v>964</v>
      </c>
      <c r="C50" s="795"/>
      <c r="D50" s="796" t="s">
        <v>721</v>
      </c>
      <c r="E50" s="797"/>
      <c r="F50" s="798">
        <f t="shared" si="3"/>
        <v>0</v>
      </c>
      <c r="G50" s="799"/>
      <c r="H50" s="800">
        <v>0</v>
      </c>
      <c r="I50" s="798">
        <f t="shared" si="4"/>
        <v>0</v>
      </c>
      <c r="J50" s="825"/>
      <c r="K50" s="802">
        <f t="shared" si="5"/>
        <v>0</v>
      </c>
      <c r="O50" s="372"/>
      <c r="P50" s="373"/>
      <c r="Q50" s="374"/>
    </row>
    <row r="51" spans="1:17" s="159" customFormat="1" ht="13.8" thickBot="1" x14ac:dyDescent="0.3">
      <c r="A51" s="378"/>
      <c r="B51" s="403"/>
      <c r="C51" s="379"/>
      <c r="D51" s="363"/>
      <c r="E51" s="247"/>
      <c r="F51" s="364"/>
      <c r="G51" s="509"/>
      <c r="H51" s="366"/>
      <c r="I51" s="364"/>
      <c r="J51" s="579"/>
      <c r="K51" s="514"/>
      <c r="O51" s="372"/>
      <c r="P51" s="373"/>
      <c r="Q51" s="374"/>
    </row>
    <row r="52" spans="1:17" s="159" customFormat="1" ht="13.8" thickTop="1" x14ac:dyDescent="0.25">
      <c r="A52" s="378"/>
      <c r="B52" s="403"/>
      <c r="C52" s="379"/>
      <c r="D52" s="363"/>
      <c r="E52" s="247"/>
      <c r="F52" s="364"/>
      <c r="G52" s="509"/>
      <c r="H52" s="366"/>
      <c r="I52" s="364"/>
      <c r="J52" s="380" t="s">
        <v>30</v>
      </c>
      <c r="K52" s="511">
        <f>SUM(K42:K51)</f>
        <v>19250</v>
      </c>
      <c r="L52" s="369"/>
      <c r="M52" s="293"/>
      <c r="N52" s="371"/>
      <c r="O52" s="372"/>
      <c r="P52" s="373"/>
      <c r="Q52" s="374"/>
    </row>
    <row r="53" spans="1:17" s="159" customFormat="1" ht="13.8" thickBot="1" x14ac:dyDescent="0.3">
      <c r="A53" s="571" t="s">
        <v>0</v>
      </c>
      <c r="B53" s="572" t="s">
        <v>1</v>
      </c>
      <c r="C53" s="1028" t="s">
        <v>646</v>
      </c>
      <c r="D53" s="1028"/>
      <c r="E53" s="1028"/>
      <c r="F53" s="1028"/>
      <c r="G53" s="1028" t="s">
        <v>34</v>
      </c>
      <c r="H53" s="1028"/>
      <c r="I53" s="1028"/>
      <c r="J53" s="573"/>
      <c r="K53" s="503"/>
      <c r="L53" s="382"/>
      <c r="M53" s="573"/>
      <c r="N53" s="384"/>
      <c r="O53" s="372"/>
      <c r="P53" s="373"/>
      <c r="Q53" s="374"/>
    </row>
    <row r="54" spans="1:17" s="159" customFormat="1" ht="16.2" thickBot="1" x14ac:dyDescent="0.35">
      <c r="A54" s="536" t="s">
        <v>287</v>
      </c>
      <c r="B54" s="537" t="s">
        <v>67</v>
      </c>
      <c r="C54" s="582" t="s">
        <v>19</v>
      </c>
      <c r="D54" s="582" t="s">
        <v>33</v>
      </c>
      <c r="E54" s="583" t="s">
        <v>35</v>
      </c>
      <c r="F54" s="584" t="s">
        <v>30</v>
      </c>
      <c r="G54" s="585" t="s">
        <v>14</v>
      </c>
      <c r="H54" s="583" t="s">
        <v>35</v>
      </c>
      <c r="I54" s="584" t="s">
        <v>30</v>
      </c>
      <c r="J54" s="577" t="s">
        <v>649</v>
      </c>
      <c r="K54" s="586" t="s">
        <v>38</v>
      </c>
      <c r="L54" s="393"/>
      <c r="M54" s="589"/>
      <c r="N54" s="395"/>
      <c r="O54" s="372"/>
      <c r="P54" s="373"/>
      <c r="Q54" s="374"/>
    </row>
    <row r="55" spans="1:17" s="159" customFormat="1" x14ac:dyDescent="0.25">
      <c r="A55" s="361"/>
      <c r="B55" s="5"/>
      <c r="C55" s="362"/>
      <c r="D55" s="363" t="s">
        <v>721</v>
      </c>
      <c r="E55" s="247">
        <v>0</v>
      </c>
      <c r="F55" s="364">
        <f>C55*E55</f>
        <v>0</v>
      </c>
      <c r="G55" s="509"/>
      <c r="H55" s="366">
        <v>0</v>
      </c>
      <c r="I55" s="364">
        <f>G55*H55</f>
        <v>0</v>
      </c>
      <c r="J55" s="579"/>
      <c r="K55" s="510">
        <f>F55+I55+J55</f>
        <v>0</v>
      </c>
      <c r="L55" s="369"/>
      <c r="M55" s="293"/>
      <c r="N55" s="371"/>
      <c r="O55" s="372"/>
      <c r="P55" s="373"/>
      <c r="Q55" s="374"/>
    </row>
    <row r="56" spans="1:17" s="159" customFormat="1" x14ac:dyDescent="0.25">
      <c r="A56" s="361"/>
      <c r="B56" s="5"/>
      <c r="C56" s="362"/>
      <c r="D56" s="363" t="s">
        <v>721</v>
      </c>
      <c r="E56" s="247">
        <v>0</v>
      </c>
      <c r="F56" s="364">
        <f>C56*E56</f>
        <v>0</v>
      </c>
      <c r="G56" s="509"/>
      <c r="H56" s="366">
        <v>0</v>
      </c>
      <c r="I56" s="364">
        <f>G56*H56</f>
        <v>0</v>
      </c>
      <c r="J56" s="579"/>
      <c r="K56" s="510">
        <f>F56+I56+J56</f>
        <v>0</v>
      </c>
      <c r="L56" s="369"/>
      <c r="M56" s="293"/>
      <c r="N56" s="371"/>
      <c r="O56" s="372"/>
      <c r="P56" s="373"/>
      <c r="Q56" s="374"/>
    </row>
    <row r="57" spans="1:17" s="159" customFormat="1" ht="13.8" thickBot="1" x14ac:dyDescent="0.3">
      <c r="A57" s="378"/>
      <c r="B57" s="403"/>
      <c r="C57" s="362"/>
      <c r="D57" s="363"/>
      <c r="E57" s="247"/>
      <c r="F57" s="364"/>
      <c r="G57" s="509"/>
      <c r="H57" s="366"/>
      <c r="I57" s="364"/>
      <c r="J57" s="579"/>
      <c r="K57" s="510"/>
      <c r="L57" s="369"/>
      <c r="M57" s="293"/>
      <c r="N57" s="409"/>
      <c r="O57" s="417"/>
      <c r="P57" s="418"/>
      <c r="Q57" s="374"/>
    </row>
    <row r="58" spans="1:17" s="159" customFormat="1" ht="14.4" thickTop="1" thickBot="1" x14ac:dyDescent="0.3">
      <c r="A58" s="450"/>
      <c r="B58" s="156"/>
      <c r="C58" s="451"/>
      <c r="D58" s="452"/>
      <c r="E58" s="590"/>
      <c r="F58" s="454"/>
      <c r="G58" s="591"/>
      <c r="H58" s="590"/>
      <c r="I58" s="454"/>
      <c r="J58" s="456" t="s">
        <v>30</v>
      </c>
      <c r="K58" s="592">
        <f>SUM(K55:K57)</f>
        <v>0</v>
      </c>
      <c r="M58" s="266"/>
      <c r="O58" s="417"/>
      <c r="P58" s="418"/>
      <c r="Q58" s="374"/>
    </row>
    <row r="59" spans="1:17" s="159" customFormat="1" ht="13.8" thickBot="1" x14ac:dyDescent="0.3">
      <c r="A59" s="571" t="s">
        <v>0</v>
      </c>
      <c r="B59" s="572" t="s">
        <v>1</v>
      </c>
      <c r="C59" s="1028" t="s">
        <v>646</v>
      </c>
      <c r="D59" s="1028"/>
      <c r="E59" s="1028"/>
      <c r="F59" s="1028"/>
      <c r="G59" s="1028" t="s">
        <v>34</v>
      </c>
      <c r="H59" s="1028"/>
      <c r="I59" s="1028"/>
      <c r="J59" s="573"/>
      <c r="K59" s="503"/>
      <c r="L59" s="382"/>
      <c r="M59" s="573"/>
      <c r="N59" s="419"/>
      <c r="O59" s="401"/>
      <c r="P59" s="402"/>
      <c r="Q59" s="374"/>
    </row>
    <row r="60" spans="1:17" s="159" customFormat="1" ht="16.2" thickBot="1" x14ac:dyDescent="0.35">
      <c r="A60" s="536" t="s">
        <v>288</v>
      </c>
      <c r="B60" s="537" t="s">
        <v>81</v>
      </c>
      <c r="C60" s="582" t="s">
        <v>19</v>
      </c>
      <c r="D60" s="582" t="s">
        <v>33</v>
      </c>
      <c r="E60" s="583" t="s">
        <v>35</v>
      </c>
      <c r="F60" s="584" t="s">
        <v>30</v>
      </c>
      <c r="G60" s="585" t="s">
        <v>14</v>
      </c>
      <c r="H60" s="583" t="s">
        <v>35</v>
      </c>
      <c r="I60" s="584" t="s">
        <v>30</v>
      </c>
      <c r="J60" s="577" t="s">
        <v>649</v>
      </c>
      <c r="K60" s="586" t="s">
        <v>38</v>
      </c>
      <c r="L60" s="393"/>
      <c r="M60" s="589"/>
      <c r="N60" s="400"/>
      <c r="O60" s="372"/>
      <c r="P60" s="373"/>
      <c r="Q60" s="374"/>
    </row>
    <row r="61" spans="1:17" s="159" customFormat="1" x14ac:dyDescent="0.25">
      <c r="A61" s="158" t="s">
        <v>289</v>
      </c>
      <c r="B61" s="159" t="s">
        <v>65</v>
      </c>
      <c r="C61" s="362"/>
      <c r="D61" s="363" t="s">
        <v>721</v>
      </c>
      <c r="E61" s="247">
        <v>0</v>
      </c>
      <c r="F61" s="364">
        <f>C61*E61</f>
        <v>0</v>
      </c>
      <c r="G61" s="509"/>
      <c r="H61" s="366">
        <v>0</v>
      </c>
      <c r="I61" s="364">
        <f>G61*H61</f>
        <v>0</v>
      </c>
      <c r="J61" s="579"/>
      <c r="K61" s="510">
        <f>F61+I61+J61</f>
        <v>0</v>
      </c>
      <c r="L61" s="369"/>
      <c r="M61" s="580"/>
      <c r="N61" s="371"/>
      <c r="O61" s="372"/>
      <c r="P61" s="373"/>
      <c r="Q61" s="374"/>
    </row>
    <row r="62" spans="1:17" s="159" customFormat="1" x14ac:dyDescent="0.25">
      <c r="A62" s="886" t="s">
        <v>290</v>
      </c>
      <c r="B62" s="847" t="s">
        <v>66</v>
      </c>
      <c r="C62" s="839">
        <f>E6</f>
        <v>600</v>
      </c>
      <c r="D62" s="796" t="s">
        <v>721</v>
      </c>
      <c r="E62" s="797"/>
      <c r="F62" s="798">
        <f>C62*E62</f>
        <v>0</v>
      </c>
      <c r="G62" s="799"/>
      <c r="H62" s="800">
        <v>0</v>
      </c>
      <c r="I62" s="798">
        <f>G62*H62</f>
        <v>0</v>
      </c>
      <c r="J62" s="825">
        <f>M62</f>
        <v>5505.87</v>
      </c>
      <c r="K62" s="802">
        <f>F62+I62+J62</f>
        <v>5505.87</v>
      </c>
      <c r="L62" s="369" t="s">
        <v>1046</v>
      </c>
      <c r="M62" s="580">
        <v>5505.87</v>
      </c>
      <c r="N62" s="371"/>
      <c r="O62" s="372"/>
      <c r="P62" s="373"/>
      <c r="Q62" s="374"/>
    </row>
    <row r="63" spans="1:17" s="159" customFormat="1" ht="15" x14ac:dyDescent="0.25">
      <c r="A63" s="195"/>
      <c r="B63" s="603"/>
      <c r="C63" s="602"/>
      <c r="D63" s="363"/>
      <c r="E63" s="247"/>
      <c r="F63" s="364"/>
      <c r="G63" s="509"/>
      <c r="H63" s="366"/>
      <c r="I63" s="364"/>
      <c r="J63" s="579"/>
      <c r="K63" s="510"/>
      <c r="L63" s="369" t="s">
        <v>1082</v>
      </c>
      <c r="M63" s="580">
        <v>2954</v>
      </c>
      <c r="N63" s="371"/>
      <c r="O63" s="372"/>
      <c r="P63" s="373"/>
      <c r="Q63" s="374"/>
    </row>
    <row r="64" spans="1:17" s="159" customFormat="1" ht="15" x14ac:dyDescent="0.25">
      <c r="A64" s="195"/>
      <c r="B64" s="603"/>
      <c r="C64" s="602"/>
      <c r="D64" s="363"/>
      <c r="E64" s="247"/>
      <c r="F64" s="364"/>
      <c r="G64" s="509"/>
      <c r="H64" s="366"/>
      <c r="I64" s="364"/>
      <c r="J64" s="579"/>
      <c r="K64" s="510"/>
      <c r="L64" s="369" t="s">
        <v>1084</v>
      </c>
      <c r="M64" s="580">
        <v>8040</v>
      </c>
      <c r="N64" s="371"/>
      <c r="O64" s="372"/>
      <c r="P64" s="373"/>
      <c r="Q64" s="374"/>
    </row>
    <row r="65" spans="1:17" s="159" customFormat="1" ht="15" x14ac:dyDescent="0.25">
      <c r="A65" s="195"/>
      <c r="B65" s="603"/>
      <c r="C65" s="602"/>
      <c r="D65" s="363"/>
      <c r="E65" s="247"/>
      <c r="F65" s="364"/>
      <c r="G65" s="509"/>
      <c r="H65" s="366"/>
      <c r="I65" s="364"/>
      <c r="J65" s="579"/>
      <c r="K65" s="510"/>
      <c r="L65" s="369"/>
      <c r="M65" s="580"/>
      <c r="N65" s="371"/>
      <c r="O65" s="372"/>
      <c r="P65" s="373"/>
      <c r="Q65" s="374"/>
    </row>
    <row r="66" spans="1:17" s="159" customFormat="1" ht="15.6" thickBot="1" x14ac:dyDescent="0.3">
      <c r="A66" s="195"/>
      <c r="B66" s="603"/>
      <c r="C66" s="602"/>
      <c r="D66" s="363"/>
      <c r="E66" s="247"/>
      <c r="F66" s="364"/>
      <c r="G66" s="509"/>
      <c r="H66" s="366"/>
      <c r="I66" s="364"/>
      <c r="J66" s="293"/>
      <c r="K66" s="514"/>
      <c r="L66" s="369"/>
      <c r="M66" s="580"/>
      <c r="N66" s="371"/>
      <c r="O66" s="372"/>
      <c r="P66" s="373"/>
      <c r="Q66" s="374"/>
    </row>
    <row r="67" spans="1:17" s="159" customFormat="1" ht="14.4" thickTop="1" thickBot="1" x14ac:dyDescent="0.3">
      <c r="A67" s="450"/>
      <c r="B67" s="156"/>
      <c r="C67" s="451"/>
      <c r="D67" s="452"/>
      <c r="E67" s="590"/>
      <c r="F67" s="454"/>
      <c r="G67" s="591"/>
      <c r="H67" s="590"/>
      <c r="I67" s="454"/>
      <c r="J67" s="456" t="s">
        <v>30</v>
      </c>
      <c r="K67" s="592">
        <f>SUM(K61:K66)</f>
        <v>5505.87</v>
      </c>
      <c r="L67" s="369"/>
      <c r="M67" s="580"/>
      <c r="N67" s="371"/>
      <c r="O67" s="372"/>
      <c r="P67" s="373"/>
      <c r="Q67" s="374"/>
    </row>
    <row r="68" spans="1:17" s="159" customFormat="1" ht="14.1" customHeight="1" thickTop="1" x14ac:dyDescent="0.25">
      <c r="A68" s="458"/>
      <c r="B68" s="459"/>
      <c r="C68" s="460"/>
      <c r="D68" s="460"/>
      <c r="E68" s="599"/>
      <c r="F68" s="1170" t="s">
        <v>648</v>
      </c>
      <c r="G68" s="1040" t="s">
        <v>673</v>
      </c>
      <c r="H68" s="599"/>
      <c r="I68" s="1180" t="s">
        <v>647</v>
      </c>
      <c r="J68" s="1044" t="s">
        <v>674</v>
      </c>
      <c r="K68" s="1172" t="s">
        <v>31</v>
      </c>
      <c r="L68" s="521"/>
      <c r="M68" s="608"/>
      <c r="N68" s="609"/>
      <c r="O68" s="610"/>
      <c r="P68" s="610"/>
      <c r="Q68" s="609"/>
    </row>
    <row r="69" spans="1:17" s="159" customFormat="1" ht="13.8" x14ac:dyDescent="0.25">
      <c r="A69" s="462" t="s">
        <v>32</v>
      </c>
      <c r="B69" s="1169" t="s">
        <v>29</v>
      </c>
      <c r="C69" s="463"/>
      <c r="D69" s="600"/>
      <c r="E69" s="600"/>
      <c r="F69" s="1171"/>
      <c r="G69" s="1041"/>
      <c r="H69" s="601"/>
      <c r="I69" s="1181"/>
      <c r="J69" s="1045"/>
      <c r="K69" s="1173"/>
      <c r="M69" s="266"/>
      <c r="O69" s="474"/>
      <c r="P69" s="474"/>
    </row>
    <row r="70" spans="1:17" s="159" customFormat="1" ht="13.8" x14ac:dyDescent="0.25">
      <c r="A70" s="784" t="e">
        <f>K71/'Estimate Summary'!E6</f>
        <v>#VALUE!</v>
      </c>
      <c r="B70" s="1169"/>
      <c r="C70" s="600"/>
      <c r="D70" s="600"/>
      <c r="E70" s="600"/>
      <c r="F70" s="1174">
        <f>SUM(F61:F66,F42:F51,F36:F38,F28:F32,F12:F24,F55:F57)</f>
        <v>0</v>
      </c>
      <c r="G70" s="1199">
        <f>SUM(G61:G66,G42:G51,G36:G38,G28:G32,G12:G24)</f>
        <v>0</v>
      </c>
      <c r="H70" s="601"/>
      <c r="I70" s="1174">
        <f>SUM(I61:I66,I42:I51,I36:I38,I28:I32,I12:I24,I55:I57)</f>
        <v>0</v>
      </c>
      <c r="J70" s="1174">
        <f>SUM(J61:J66,J42:J51,J36:J38,J28:J32,J11:J24,J55:J57)</f>
        <v>61249.59</v>
      </c>
      <c r="K70" s="1178">
        <f>K67+K58+K52+K39+K33+K25</f>
        <v>61249.59</v>
      </c>
      <c r="M70" s="266"/>
      <c r="O70" s="474"/>
      <c r="P70" s="474"/>
    </row>
    <row r="71" spans="1:17" s="159" customFormat="1" ht="14.4" thickBot="1" x14ac:dyDescent="0.3">
      <c r="A71" s="462"/>
      <c r="B71" s="529"/>
      <c r="C71" s="468"/>
      <c r="D71" s="468"/>
      <c r="E71" s="468"/>
      <c r="F71" s="1175"/>
      <c r="G71" s="1177"/>
      <c r="H71" s="468"/>
      <c r="I71" s="1175"/>
      <c r="J71" s="1175"/>
      <c r="K71" s="1179"/>
      <c r="M71" s="266"/>
      <c r="O71" s="474"/>
      <c r="P71" s="474"/>
    </row>
    <row r="72" spans="1:17" s="159" customFormat="1" ht="13.8" thickBot="1" x14ac:dyDescent="0.3">
      <c r="A72" s="469"/>
      <c r="B72" s="470"/>
      <c r="C72" s="470"/>
      <c r="D72" s="470"/>
      <c r="E72" s="470"/>
      <c r="F72" s="470"/>
      <c r="G72" s="470"/>
      <c r="H72" s="470"/>
      <c r="I72" s="470"/>
      <c r="J72" s="470"/>
      <c r="K72" s="471"/>
      <c r="M72" s="266"/>
      <c r="O72" s="474"/>
      <c r="P72" s="474"/>
    </row>
    <row r="73" spans="1:17" s="159" customFormat="1" x14ac:dyDescent="0.25">
      <c r="C73" s="611"/>
      <c r="D73" s="611"/>
      <c r="M73" s="266"/>
      <c r="O73" s="474"/>
      <c r="P73" s="474"/>
    </row>
    <row r="74" spans="1:17" s="159" customFormat="1" x14ac:dyDescent="0.25">
      <c r="C74" s="611"/>
      <c r="D74" s="611"/>
      <c r="M74" s="266"/>
      <c r="O74" s="474"/>
      <c r="P74" s="474"/>
    </row>
    <row r="75" spans="1:17" s="159" customFormat="1" x14ac:dyDescent="0.25">
      <c r="C75" s="611"/>
      <c r="D75" s="611"/>
      <c r="M75" s="266"/>
      <c r="O75" s="474"/>
      <c r="P75" s="474"/>
    </row>
    <row r="76" spans="1:17" s="159" customFormat="1" x14ac:dyDescent="0.25">
      <c r="C76" s="611"/>
      <c r="D76" s="611"/>
      <c r="M76" s="266"/>
      <c r="O76" s="474"/>
      <c r="P76" s="474"/>
    </row>
    <row r="77" spans="1:17" s="159" customFormat="1" x14ac:dyDescent="0.25">
      <c r="C77" s="611"/>
      <c r="D77" s="611"/>
      <c r="M77" s="266"/>
      <c r="O77" s="474"/>
      <c r="P77" s="474"/>
    </row>
    <row r="78" spans="1:17" s="159" customFormat="1" x14ac:dyDescent="0.25">
      <c r="C78" s="611"/>
      <c r="D78" s="611"/>
      <c r="M78" s="266"/>
      <c r="O78" s="474"/>
      <c r="P78" s="474"/>
    </row>
    <row r="79" spans="1:17" s="159" customFormat="1" x14ac:dyDescent="0.25">
      <c r="C79" s="611"/>
      <c r="D79" s="611"/>
      <c r="M79" s="266"/>
      <c r="O79" s="474"/>
      <c r="P79" s="474"/>
    </row>
    <row r="80" spans="1:17" s="159" customFormat="1" x14ac:dyDescent="0.25">
      <c r="C80" s="611"/>
      <c r="D80" s="611"/>
      <c r="M80" s="266"/>
      <c r="O80" s="474"/>
      <c r="P80" s="474"/>
    </row>
    <row r="81" spans="3:16" s="159" customFormat="1" x14ac:dyDescent="0.25">
      <c r="C81" s="611"/>
      <c r="D81" s="611"/>
      <c r="M81" s="266"/>
      <c r="O81" s="474"/>
      <c r="P81" s="474"/>
    </row>
    <row r="82" spans="3:16" s="159" customFormat="1" x14ac:dyDescent="0.25">
      <c r="C82" s="611"/>
      <c r="D82" s="611"/>
      <c r="M82" s="266"/>
      <c r="O82" s="474"/>
      <c r="P82" s="474"/>
    </row>
    <row r="83" spans="3:16" s="159" customFormat="1" x14ac:dyDescent="0.25">
      <c r="C83" s="611"/>
      <c r="D83" s="611"/>
      <c r="M83" s="266"/>
      <c r="O83" s="474"/>
      <c r="P83" s="474"/>
    </row>
    <row r="84" spans="3:16" s="159" customFormat="1" x14ac:dyDescent="0.25">
      <c r="C84" s="611"/>
      <c r="D84" s="611"/>
      <c r="M84" s="266"/>
      <c r="O84" s="474"/>
      <c r="P84" s="474"/>
    </row>
    <row r="85" spans="3:16" s="159" customFormat="1" x14ac:dyDescent="0.25">
      <c r="C85" s="611"/>
      <c r="D85" s="611"/>
      <c r="M85" s="266"/>
      <c r="O85" s="474"/>
      <c r="P85" s="474"/>
    </row>
    <row r="86" spans="3:16" s="159" customFormat="1" x14ac:dyDescent="0.25">
      <c r="C86" s="611"/>
      <c r="D86" s="611"/>
      <c r="M86" s="266"/>
      <c r="O86" s="474"/>
      <c r="P86" s="474"/>
    </row>
    <row r="87" spans="3:16" s="159" customFormat="1" x14ac:dyDescent="0.25">
      <c r="C87" s="611"/>
      <c r="D87" s="611"/>
      <c r="M87" s="266"/>
      <c r="O87" s="474"/>
      <c r="P87" s="474"/>
    </row>
    <row r="88" spans="3:16" s="159" customFormat="1" x14ac:dyDescent="0.25">
      <c r="C88" s="611"/>
      <c r="D88" s="611"/>
      <c r="M88" s="266"/>
      <c r="O88" s="474"/>
      <c r="P88" s="474"/>
    </row>
    <row r="89" spans="3:16" s="159" customFormat="1" x14ac:dyDescent="0.25">
      <c r="C89" s="611"/>
      <c r="D89" s="611"/>
      <c r="M89" s="266"/>
      <c r="O89" s="474"/>
      <c r="P89" s="474"/>
    </row>
    <row r="90" spans="3:16" s="159" customFormat="1" x14ac:dyDescent="0.25">
      <c r="C90" s="611"/>
      <c r="D90" s="611"/>
      <c r="M90" s="266"/>
      <c r="O90" s="474"/>
      <c r="P90" s="474"/>
    </row>
    <row r="91" spans="3:16" s="159" customFormat="1" x14ac:dyDescent="0.25">
      <c r="C91" s="611"/>
      <c r="D91" s="611"/>
      <c r="M91" s="266"/>
      <c r="O91" s="474"/>
      <c r="P91" s="474"/>
    </row>
    <row r="92" spans="3:16" s="159" customFormat="1" x14ac:dyDescent="0.25">
      <c r="C92" s="611"/>
      <c r="D92" s="611"/>
      <c r="M92" s="266"/>
      <c r="O92" s="474"/>
      <c r="P92" s="474"/>
    </row>
    <row r="93" spans="3:16" s="159" customFormat="1" x14ac:dyDescent="0.25">
      <c r="C93" s="611"/>
      <c r="D93" s="611"/>
      <c r="M93" s="266"/>
      <c r="O93" s="474"/>
      <c r="P93" s="474"/>
    </row>
    <row r="94" spans="3:16" s="159" customFormat="1" x14ac:dyDescent="0.25">
      <c r="C94" s="611"/>
      <c r="D94" s="611"/>
      <c r="M94" s="266"/>
      <c r="O94" s="474"/>
      <c r="P94" s="474"/>
    </row>
    <row r="95" spans="3:16" s="159" customFormat="1" x14ac:dyDescent="0.25">
      <c r="C95" s="611"/>
      <c r="D95" s="611"/>
      <c r="M95" s="266"/>
      <c r="O95" s="474"/>
      <c r="P95" s="474"/>
    </row>
    <row r="96" spans="3:16" s="159" customFormat="1" x14ac:dyDescent="0.25">
      <c r="C96" s="611"/>
      <c r="D96" s="611"/>
      <c r="M96" s="266"/>
      <c r="O96" s="474"/>
      <c r="P96" s="474"/>
    </row>
    <row r="97" spans="3:16" s="159" customFormat="1" x14ac:dyDescent="0.25">
      <c r="C97" s="611"/>
      <c r="D97" s="611"/>
      <c r="M97" s="266"/>
      <c r="O97" s="474"/>
      <c r="P97" s="474"/>
    </row>
    <row r="98" spans="3:16" s="159" customFormat="1" x14ac:dyDescent="0.25">
      <c r="C98" s="611"/>
      <c r="D98" s="611"/>
      <c r="M98" s="266"/>
      <c r="O98" s="474"/>
      <c r="P98" s="474"/>
    </row>
    <row r="99" spans="3:16" s="159" customFormat="1" x14ac:dyDescent="0.25">
      <c r="C99" s="611"/>
      <c r="D99" s="611"/>
      <c r="M99" s="266"/>
      <c r="O99" s="474"/>
      <c r="P99" s="474"/>
    </row>
    <row r="100" spans="3:16" s="159" customFormat="1" x14ac:dyDescent="0.25">
      <c r="C100" s="611"/>
      <c r="D100" s="611"/>
      <c r="M100" s="266"/>
      <c r="O100" s="474"/>
      <c r="P100" s="474"/>
    </row>
    <row r="101" spans="3:16" s="159" customFormat="1" x14ac:dyDescent="0.25">
      <c r="C101" s="611"/>
      <c r="D101" s="611"/>
      <c r="M101" s="266"/>
      <c r="O101" s="474"/>
      <c r="P101" s="474"/>
    </row>
    <row r="102" spans="3:16" s="159" customFormat="1" x14ac:dyDescent="0.25">
      <c r="C102" s="611"/>
      <c r="D102" s="611"/>
      <c r="M102" s="266"/>
      <c r="O102" s="474"/>
      <c r="P102" s="474"/>
    </row>
    <row r="103" spans="3:16" s="159" customFormat="1" x14ac:dyDescent="0.25">
      <c r="C103" s="611"/>
      <c r="D103" s="611"/>
      <c r="M103" s="266"/>
      <c r="O103" s="474"/>
      <c r="P103" s="474"/>
    </row>
    <row r="104" spans="3:16" s="159" customFormat="1" x14ac:dyDescent="0.25">
      <c r="C104" s="611"/>
      <c r="D104" s="611"/>
      <c r="M104" s="266"/>
      <c r="O104" s="474"/>
      <c r="P104" s="474"/>
    </row>
    <row r="105" spans="3:16" s="159" customFormat="1" x14ac:dyDescent="0.25">
      <c r="C105" s="611"/>
      <c r="D105" s="611"/>
      <c r="M105" s="266"/>
      <c r="O105" s="474"/>
      <c r="P105" s="474"/>
    </row>
    <row r="106" spans="3:16" s="159" customFormat="1" x14ac:dyDescent="0.25">
      <c r="C106" s="611"/>
      <c r="D106" s="611"/>
      <c r="M106" s="266"/>
      <c r="O106" s="474"/>
      <c r="P106" s="474"/>
    </row>
    <row r="107" spans="3:16" s="159" customFormat="1" x14ac:dyDescent="0.25">
      <c r="C107" s="611"/>
      <c r="D107" s="611"/>
      <c r="M107" s="266"/>
      <c r="O107" s="474"/>
      <c r="P107" s="474"/>
    </row>
    <row r="108" spans="3:16" s="159" customFormat="1" x14ac:dyDescent="0.25">
      <c r="C108" s="611"/>
      <c r="D108" s="611"/>
      <c r="M108" s="266"/>
      <c r="O108" s="474"/>
      <c r="P108" s="474"/>
    </row>
    <row r="109" spans="3:16" s="159" customFormat="1" x14ac:dyDescent="0.25">
      <c r="C109" s="611"/>
      <c r="D109" s="611"/>
      <c r="M109" s="266"/>
      <c r="O109" s="474"/>
      <c r="P109" s="474"/>
    </row>
    <row r="110" spans="3:16" s="159" customFormat="1" x14ac:dyDescent="0.25">
      <c r="C110" s="611"/>
      <c r="D110" s="611"/>
      <c r="M110" s="266"/>
      <c r="O110" s="474"/>
      <c r="P110" s="474"/>
    </row>
    <row r="111" spans="3:16" s="159" customFormat="1" x14ac:dyDescent="0.25">
      <c r="C111" s="611"/>
      <c r="D111" s="611"/>
      <c r="M111" s="266"/>
      <c r="O111" s="474"/>
      <c r="P111" s="474"/>
    </row>
    <row r="112" spans="3:16" s="159" customFormat="1" x14ac:dyDescent="0.25">
      <c r="C112" s="611"/>
      <c r="D112" s="611"/>
      <c r="M112" s="266"/>
      <c r="O112" s="474"/>
      <c r="P112" s="474"/>
    </row>
    <row r="113" spans="3:16" s="159" customFormat="1" x14ac:dyDescent="0.25">
      <c r="C113" s="611"/>
      <c r="D113" s="611"/>
      <c r="M113" s="266"/>
      <c r="O113" s="474"/>
      <c r="P113" s="474"/>
    </row>
    <row r="114" spans="3:16" s="159" customFormat="1" x14ac:dyDescent="0.25">
      <c r="C114" s="611"/>
      <c r="D114" s="611"/>
      <c r="M114" s="266"/>
      <c r="O114" s="474"/>
      <c r="P114" s="474"/>
    </row>
    <row r="115" spans="3:16" s="159" customFormat="1" x14ac:dyDescent="0.25">
      <c r="C115" s="611"/>
      <c r="D115" s="611"/>
      <c r="M115" s="266"/>
      <c r="O115" s="474"/>
      <c r="P115" s="474"/>
    </row>
    <row r="116" spans="3:16" s="159" customFormat="1" x14ac:dyDescent="0.25">
      <c r="C116" s="611"/>
      <c r="D116" s="611"/>
      <c r="M116" s="266"/>
      <c r="O116" s="474"/>
      <c r="P116" s="474"/>
    </row>
    <row r="117" spans="3:16" s="159" customFormat="1" x14ac:dyDescent="0.25">
      <c r="C117" s="611"/>
      <c r="D117" s="611"/>
      <c r="M117" s="266"/>
      <c r="O117" s="474"/>
      <c r="P117" s="474"/>
    </row>
    <row r="118" spans="3:16" s="159" customFormat="1" x14ac:dyDescent="0.25">
      <c r="C118" s="611"/>
      <c r="D118" s="611"/>
      <c r="M118" s="266"/>
      <c r="O118" s="474"/>
      <c r="P118" s="474"/>
    </row>
    <row r="119" spans="3:16" s="159" customFormat="1" x14ac:dyDescent="0.25">
      <c r="C119" s="611"/>
      <c r="D119" s="611"/>
      <c r="M119" s="266"/>
      <c r="O119" s="474"/>
      <c r="P119" s="474"/>
    </row>
    <row r="120" spans="3:16" s="159" customFormat="1" x14ac:dyDescent="0.25">
      <c r="C120" s="611"/>
      <c r="D120" s="611"/>
      <c r="M120" s="266"/>
      <c r="O120" s="474"/>
      <c r="P120" s="474"/>
    </row>
    <row r="121" spans="3:16" s="159" customFormat="1" x14ac:dyDescent="0.25">
      <c r="C121" s="611"/>
      <c r="D121" s="611"/>
      <c r="M121" s="266"/>
      <c r="O121" s="474"/>
      <c r="P121" s="474"/>
    </row>
    <row r="122" spans="3:16" s="159" customFormat="1" x14ac:dyDescent="0.25">
      <c r="C122" s="611"/>
      <c r="D122" s="611"/>
      <c r="M122" s="266"/>
      <c r="O122" s="474"/>
      <c r="P122" s="474"/>
    </row>
    <row r="123" spans="3:16" s="159" customFormat="1" x14ac:dyDescent="0.25">
      <c r="C123" s="611"/>
      <c r="D123" s="611"/>
      <c r="M123" s="266"/>
      <c r="O123" s="474"/>
      <c r="P123" s="474"/>
    </row>
    <row r="124" spans="3:16" s="159" customFormat="1" x14ac:dyDescent="0.25">
      <c r="C124" s="611"/>
      <c r="D124" s="611"/>
      <c r="M124" s="266"/>
      <c r="O124" s="474"/>
      <c r="P124" s="474"/>
    </row>
    <row r="125" spans="3:16" s="159" customFormat="1" x14ac:dyDescent="0.25">
      <c r="C125" s="611"/>
      <c r="D125" s="611"/>
      <c r="M125" s="266"/>
      <c r="O125" s="474"/>
      <c r="P125" s="474"/>
    </row>
    <row r="126" spans="3:16" s="159" customFormat="1" x14ac:dyDescent="0.25">
      <c r="C126" s="611"/>
      <c r="D126" s="611"/>
      <c r="M126" s="266"/>
      <c r="O126" s="474"/>
      <c r="P126" s="474"/>
    </row>
    <row r="127" spans="3:16" s="159" customFormat="1" x14ac:dyDescent="0.25">
      <c r="C127" s="611"/>
      <c r="D127" s="611"/>
      <c r="M127" s="266"/>
      <c r="O127" s="474"/>
      <c r="P127" s="474"/>
    </row>
    <row r="128" spans="3:16" s="159" customFormat="1" x14ac:dyDescent="0.25">
      <c r="C128" s="611"/>
      <c r="D128" s="611"/>
      <c r="M128" s="266"/>
      <c r="O128" s="474"/>
      <c r="P128" s="474"/>
    </row>
    <row r="129" spans="3:16" s="159" customFormat="1" x14ac:dyDescent="0.25">
      <c r="C129" s="611"/>
      <c r="D129" s="611"/>
      <c r="M129" s="266"/>
      <c r="O129" s="474"/>
      <c r="P129" s="474"/>
    </row>
    <row r="130" spans="3:16" s="159" customFormat="1" x14ac:dyDescent="0.25">
      <c r="C130" s="611"/>
      <c r="D130" s="611"/>
      <c r="M130" s="266"/>
      <c r="O130" s="474"/>
      <c r="P130" s="474"/>
    </row>
    <row r="131" spans="3:16" s="159" customFormat="1" x14ac:dyDescent="0.25">
      <c r="C131" s="611"/>
      <c r="D131" s="611"/>
      <c r="M131" s="266"/>
      <c r="O131" s="474"/>
      <c r="P131" s="474"/>
    </row>
    <row r="132" spans="3:16" s="159" customFormat="1" x14ac:dyDescent="0.25">
      <c r="C132" s="611"/>
      <c r="D132" s="611"/>
      <c r="M132" s="266"/>
      <c r="O132" s="474"/>
      <c r="P132" s="474"/>
    </row>
    <row r="133" spans="3:16" s="159" customFormat="1" x14ac:dyDescent="0.25">
      <c r="C133" s="611"/>
      <c r="D133" s="611"/>
      <c r="M133" s="266"/>
      <c r="O133" s="474"/>
      <c r="P133" s="474"/>
    </row>
    <row r="134" spans="3:16" s="159" customFormat="1" x14ac:dyDescent="0.25">
      <c r="C134" s="611"/>
      <c r="D134" s="611"/>
      <c r="M134" s="266"/>
      <c r="O134" s="474"/>
      <c r="P134" s="474"/>
    </row>
    <row r="135" spans="3:16" s="159" customFormat="1" x14ac:dyDescent="0.25">
      <c r="C135" s="611"/>
      <c r="D135" s="611"/>
      <c r="M135" s="266"/>
      <c r="O135" s="474"/>
      <c r="P135" s="474"/>
    </row>
    <row r="136" spans="3:16" s="159" customFormat="1" x14ac:dyDescent="0.25">
      <c r="C136" s="611"/>
      <c r="D136" s="611"/>
      <c r="M136" s="266"/>
      <c r="O136" s="474"/>
      <c r="P136" s="474"/>
    </row>
    <row r="137" spans="3:16" s="159" customFormat="1" x14ac:dyDescent="0.25">
      <c r="C137" s="611"/>
      <c r="D137" s="611"/>
      <c r="M137" s="266"/>
      <c r="O137" s="474"/>
      <c r="P137" s="474"/>
    </row>
    <row r="138" spans="3:16" s="159" customFormat="1" x14ac:dyDescent="0.25">
      <c r="C138" s="611"/>
      <c r="D138" s="611"/>
      <c r="M138" s="266"/>
      <c r="O138" s="474"/>
      <c r="P138" s="474"/>
    </row>
    <row r="139" spans="3:16" s="159" customFormat="1" x14ac:dyDescent="0.25">
      <c r="C139" s="611"/>
      <c r="D139" s="611"/>
      <c r="M139" s="266"/>
      <c r="O139" s="474"/>
      <c r="P139" s="474"/>
    </row>
    <row r="140" spans="3:16" s="159" customFormat="1" x14ac:dyDescent="0.25">
      <c r="C140" s="611"/>
      <c r="D140" s="611"/>
      <c r="M140" s="266"/>
      <c r="O140" s="474"/>
      <c r="P140" s="474"/>
    </row>
    <row r="141" spans="3:16" s="159" customFormat="1" x14ac:dyDescent="0.25">
      <c r="C141" s="611"/>
      <c r="D141" s="611"/>
      <c r="M141" s="266"/>
      <c r="O141" s="474"/>
      <c r="P141" s="474"/>
    </row>
    <row r="142" spans="3:16" s="159" customFormat="1" x14ac:dyDescent="0.25">
      <c r="C142" s="611"/>
      <c r="D142" s="611"/>
      <c r="M142" s="266"/>
      <c r="O142" s="474"/>
      <c r="P142" s="474"/>
    </row>
    <row r="143" spans="3:16" s="159" customFormat="1" x14ac:dyDescent="0.25">
      <c r="C143" s="611"/>
      <c r="D143" s="611"/>
      <c r="M143" s="266"/>
      <c r="O143" s="474"/>
      <c r="P143" s="474"/>
    </row>
    <row r="144" spans="3:16" s="159" customFormat="1" x14ac:dyDescent="0.25">
      <c r="C144" s="611"/>
      <c r="D144" s="611"/>
      <c r="M144" s="266"/>
      <c r="O144" s="474"/>
      <c r="P144" s="474"/>
    </row>
    <row r="145" spans="3:16" s="159" customFormat="1" x14ac:dyDescent="0.25">
      <c r="C145" s="611"/>
      <c r="D145" s="611"/>
      <c r="M145" s="266"/>
      <c r="O145" s="474"/>
      <c r="P145" s="474"/>
    </row>
    <row r="146" spans="3:16" s="159" customFormat="1" x14ac:dyDescent="0.25">
      <c r="C146" s="611"/>
      <c r="D146" s="611"/>
      <c r="M146" s="266"/>
      <c r="O146" s="474"/>
      <c r="P146" s="474"/>
    </row>
    <row r="147" spans="3:16" s="159" customFormat="1" x14ac:dyDescent="0.25">
      <c r="C147" s="611"/>
      <c r="D147" s="611"/>
      <c r="M147" s="266"/>
      <c r="O147" s="474"/>
      <c r="P147" s="474"/>
    </row>
    <row r="148" spans="3:16" s="159" customFormat="1" x14ac:dyDescent="0.25">
      <c r="C148" s="611"/>
      <c r="D148" s="611"/>
      <c r="M148" s="266"/>
      <c r="O148" s="474"/>
      <c r="P148" s="474"/>
    </row>
    <row r="149" spans="3:16" s="159" customFormat="1" x14ac:dyDescent="0.25">
      <c r="C149" s="611"/>
      <c r="D149" s="611"/>
      <c r="M149" s="266"/>
      <c r="O149" s="474"/>
      <c r="P149" s="474"/>
    </row>
    <row r="150" spans="3:16" s="159" customFormat="1" x14ac:dyDescent="0.25">
      <c r="C150" s="611"/>
      <c r="D150" s="611"/>
      <c r="M150" s="266"/>
      <c r="O150" s="474"/>
      <c r="P150" s="474"/>
    </row>
    <row r="151" spans="3:16" s="159" customFormat="1" x14ac:dyDescent="0.25">
      <c r="C151" s="611"/>
      <c r="D151" s="611"/>
      <c r="M151" s="266"/>
      <c r="O151" s="474"/>
      <c r="P151" s="474"/>
    </row>
    <row r="152" spans="3:16" s="159" customFormat="1" x14ac:dyDescent="0.25">
      <c r="C152" s="611"/>
      <c r="D152" s="611"/>
      <c r="M152" s="266"/>
      <c r="O152" s="474"/>
      <c r="P152" s="474"/>
    </row>
    <row r="153" spans="3:16" s="159" customFormat="1" x14ac:dyDescent="0.25">
      <c r="C153" s="611"/>
      <c r="D153" s="611"/>
      <c r="M153" s="266"/>
      <c r="O153" s="474"/>
      <c r="P153" s="474"/>
    </row>
    <row r="154" spans="3:16" s="159" customFormat="1" x14ac:dyDescent="0.25">
      <c r="C154" s="611"/>
      <c r="D154" s="611"/>
      <c r="M154" s="266"/>
      <c r="O154" s="474"/>
      <c r="P154" s="474"/>
    </row>
    <row r="155" spans="3:16" s="159" customFormat="1" x14ac:dyDescent="0.25">
      <c r="C155" s="611"/>
      <c r="D155" s="611"/>
      <c r="M155" s="266"/>
      <c r="O155" s="474"/>
      <c r="P155" s="474"/>
    </row>
    <row r="156" spans="3:16" s="159" customFormat="1" x14ac:dyDescent="0.25">
      <c r="C156" s="611"/>
      <c r="D156" s="611"/>
      <c r="M156" s="266"/>
      <c r="O156" s="474"/>
      <c r="P156" s="474"/>
    </row>
    <row r="157" spans="3:16" s="159" customFormat="1" x14ac:dyDescent="0.25">
      <c r="C157" s="611"/>
      <c r="D157" s="611"/>
      <c r="M157" s="266"/>
      <c r="O157" s="474"/>
      <c r="P157" s="474"/>
    </row>
    <row r="158" spans="3:16" s="159" customFormat="1" x14ac:dyDescent="0.25">
      <c r="C158" s="611"/>
      <c r="D158" s="611"/>
      <c r="M158" s="266"/>
      <c r="O158" s="474"/>
      <c r="P158" s="474"/>
    </row>
    <row r="159" spans="3:16" s="159" customFormat="1" x14ac:dyDescent="0.25">
      <c r="C159" s="611"/>
      <c r="D159" s="611"/>
      <c r="M159" s="266"/>
      <c r="O159" s="474"/>
      <c r="P159" s="474"/>
    </row>
    <row r="160" spans="3:16" s="159" customFormat="1" x14ac:dyDescent="0.25">
      <c r="C160" s="611"/>
      <c r="D160" s="611"/>
      <c r="M160" s="266"/>
      <c r="O160" s="474"/>
      <c r="P160" s="474"/>
    </row>
    <row r="161" spans="3:16" s="159" customFormat="1" x14ac:dyDescent="0.25">
      <c r="C161" s="611"/>
      <c r="D161" s="611"/>
      <c r="M161" s="266"/>
      <c r="O161" s="474"/>
      <c r="P161" s="474"/>
    </row>
    <row r="162" spans="3:16" s="159" customFormat="1" x14ac:dyDescent="0.25">
      <c r="C162" s="611"/>
      <c r="D162" s="611"/>
      <c r="M162" s="266"/>
      <c r="O162" s="474"/>
      <c r="P162" s="474"/>
    </row>
    <row r="163" spans="3:16" s="159" customFormat="1" x14ac:dyDescent="0.25">
      <c r="C163" s="611"/>
      <c r="D163" s="611"/>
      <c r="M163" s="266"/>
      <c r="O163" s="474"/>
      <c r="P163" s="474"/>
    </row>
    <row r="164" spans="3:16" s="159" customFormat="1" x14ac:dyDescent="0.25">
      <c r="C164" s="611"/>
      <c r="D164" s="611"/>
      <c r="M164" s="266"/>
      <c r="O164" s="474"/>
      <c r="P164" s="474"/>
    </row>
    <row r="165" spans="3:16" s="159" customFormat="1" x14ac:dyDescent="0.25">
      <c r="C165" s="611"/>
      <c r="D165" s="611"/>
      <c r="M165" s="266"/>
      <c r="O165" s="474"/>
      <c r="P165" s="474"/>
    </row>
    <row r="166" spans="3:16" s="159" customFormat="1" x14ac:dyDescent="0.25">
      <c r="C166" s="611"/>
      <c r="D166" s="611"/>
      <c r="M166" s="266"/>
      <c r="O166" s="474"/>
      <c r="P166" s="474"/>
    </row>
    <row r="167" spans="3:16" s="159" customFormat="1" x14ac:dyDescent="0.25">
      <c r="C167" s="611"/>
      <c r="D167" s="611"/>
      <c r="M167" s="266"/>
      <c r="O167" s="474"/>
      <c r="P167" s="474"/>
    </row>
    <row r="168" spans="3:16" s="159" customFormat="1" x14ac:dyDescent="0.25">
      <c r="C168" s="611"/>
      <c r="D168" s="611"/>
      <c r="M168" s="266"/>
      <c r="O168" s="474"/>
      <c r="P168" s="474"/>
    </row>
    <row r="169" spans="3:16" s="159" customFormat="1" x14ac:dyDescent="0.25">
      <c r="C169" s="611"/>
      <c r="D169" s="611"/>
      <c r="M169" s="266"/>
      <c r="O169" s="474"/>
      <c r="P169" s="474"/>
    </row>
    <row r="170" spans="3:16" s="159" customFormat="1" x14ac:dyDescent="0.25">
      <c r="C170" s="611"/>
      <c r="D170" s="611"/>
      <c r="M170" s="266"/>
      <c r="O170" s="474"/>
      <c r="P170" s="474"/>
    </row>
    <row r="171" spans="3:16" s="159" customFormat="1" x14ac:dyDescent="0.25">
      <c r="C171" s="611"/>
      <c r="D171" s="611"/>
      <c r="M171" s="266"/>
      <c r="O171" s="474"/>
      <c r="P171" s="474"/>
    </row>
    <row r="172" spans="3:16" s="159" customFormat="1" x14ac:dyDescent="0.25">
      <c r="C172" s="611"/>
      <c r="D172" s="611"/>
      <c r="M172" s="266"/>
      <c r="O172" s="474"/>
      <c r="P172" s="474"/>
    </row>
    <row r="173" spans="3:16" s="159" customFormat="1" x14ac:dyDescent="0.25">
      <c r="C173" s="611"/>
      <c r="D173" s="611"/>
      <c r="M173" s="266"/>
      <c r="O173" s="474"/>
      <c r="P173" s="474"/>
    </row>
    <row r="174" spans="3:16" s="159" customFormat="1" x14ac:dyDescent="0.25">
      <c r="C174" s="611"/>
      <c r="D174" s="611"/>
      <c r="M174" s="266"/>
      <c r="O174" s="474"/>
      <c r="P174" s="474"/>
    </row>
    <row r="175" spans="3:16" s="159" customFormat="1" x14ac:dyDescent="0.25">
      <c r="C175" s="611"/>
      <c r="D175" s="611"/>
      <c r="M175" s="266"/>
      <c r="O175" s="474"/>
      <c r="P175" s="474"/>
    </row>
    <row r="176" spans="3:16" s="159" customFormat="1" x14ac:dyDescent="0.25">
      <c r="C176" s="611"/>
      <c r="D176" s="611"/>
      <c r="M176" s="266"/>
      <c r="O176" s="474"/>
      <c r="P176" s="474"/>
    </row>
    <row r="177" spans="3:16" s="159" customFormat="1" x14ac:dyDescent="0.25">
      <c r="C177" s="611"/>
      <c r="D177" s="611"/>
      <c r="M177" s="266"/>
      <c r="O177" s="474"/>
      <c r="P177" s="474"/>
    </row>
    <row r="178" spans="3:16" s="159" customFormat="1" x14ac:dyDescent="0.25">
      <c r="C178" s="611"/>
      <c r="D178" s="611"/>
      <c r="M178" s="266"/>
      <c r="O178" s="474"/>
      <c r="P178" s="474"/>
    </row>
    <row r="179" spans="3:16" s="159" customFormat="1" x14ac:dyDescent="0.25">
      <c r="C179" s="611"/>
      <c r="D179" s="611"/>
      <c r="M179" s="266"/>
      <c r="O179" s="474"/>
      <c r="P179" s="474"/>
    </row>
    <row r="180" spans="3:16" s="159" customFormat="1" x14ac:dyDescent="0.25">
      <c r="C180" s="611"/>
      <c r="D180" s="611"/>
      <c r="M180" s="266"/>
      <c r="O180" s="474"/>
      <c r="P180" s="474"/>
    </row>
    <row r="181" spans="3:16" s="159" customFormat="1" x14ac:dyDescent="0.25">
      <c r="C181" s="611"/>
      <c r="D181" s="611"/>
      <c r="M181" s="266"/>
      <c r="O181" s="474"/>
      <c r="P181" s="474"/>
    </row>
    <row r="182" spans="3:16" s="159" customFormat="1" x14ac:dyDescent="0.25">
      <c r="C182" s="611"/>
      <c r="D182" s="611"/>
      <c r="M182" s="266"/>
      <c r="O182" s="474"/>
      <c r="P182" s="474"/>
    </row>
    <row r="183" spans="3:16" s="159" customFormat="1" x14ac:dyDescent="0.25">
      <c r="C183" s="611"/>
      <c r="D183" s="611"/>
      <c r="M183" s="266"/>
      <c r="O183" s="474"/>
      <c r="P183" s="474"/>
    </row>
    <row r="184" spans="3:16" s="159" customFormat="1" x14ac:dyDescent="0.25">
      <c r="C184" s="611"/>
      <c r="D184" s="611"/>
      <c r="M184" s="266"/>
      <c r="O184" s="474"/>
      <c r="P184" s="474"/>
    </row>
    <row r="185" spans="3:16" s="159" customFormat="1" x14ac:dyDescent="0.25">
      <c r="C185" s="611"/>
      <c r="D185" s="611"/>
      <c r="M185" s="266"/>
      <c r="O185" s="474"/>
      <c r="P185" s="474"/>
    </row>
    <row r="186" spans="3:16" s="159" customFormat="1" x14ac:dyDescent="0.25">
      <c r="C186" s="611"/>
      <c r="D186" s="611"/>
      <c r="M186" s="266"/>
      <c r="O186" s="474"/>
      <c r="P186" s="474"/>
    </row>
    <row r="187" spans="3:16" s="159" customFormat="1" x14ac:dyDescent="0.25">
      <c r="C187" s="611"/>
      <c r="D187" s="611"/>
      <c r="M187" s="266"/>
      <c r="O187" s="474"/>
      <c r="P187" s="474"/>
    </row>
    <row r="188" spans="3:16" s="159" customFormat="1" x14ac:dyDescent="0.25">
      <c r="C188" s="611"/>
      <c r="D188" s="611"/>
      <c r="M188" s="266"/>
      <c r="O188" s="474"/>
      <c r="P188" s="474"/>
    </row>
    <row r="189" spans="3:16" s="159" customFormat="1" x14ac:dyDescent="0.25">
      <c r="C189" s="611"/>
      <c r="D189" s="611"/>
      <c r="M189" s="266"/>
      <c r="O189" s="474"/>
      <c r="P189" s="474"/>
    </row>
    <row r="190" spans="3:16" s="159" customFormat="1" x14ac:dyDescent="0.25">
      <c r="C190" s="611"/>
      <c r="D190" s="611"/>
      <c r="M190" s="266"/>
      <c r="O190" s="474"/>
      <c r="P190" s="474"/>
    </row>
    <row r="191" spans="3:16" s="159" customFormat="1" x14ac:dyDescent="0.25">
      <c r="C191" s="611"/>
      <c r="D191" s="611"/>
      <c r="M191" s="266"/>
      <c r="O191" s="474"/>
      <c r="P191" s="474"/>
    </row>
    <row r="192" spans="3:16" s="159" customFormat="1" x14ac:dyDescent="0.25">
      <c r="C192" s="611"/>
      <c r="D192" s="611"/>
      <c r="M192" s="266"/>
      <c r="O192" s="474"/>
      <c r="P192" s="474"/>
    </row>
    <row r="193" spans="3:16" s="159" customFormat="1" x14ac:dyDescent="0.25">
      <c r="C193" s="611"/>
      <c r="D193" s="611"/>
      <c r="M193" s="266"/>
      <c r="O193" s="474"/>
      <c r="P193" s="474"/>
    </row>
    <row r="194" spans="3:16" s="159" customFormat="1" x14ac:dyDescent="0.25">
      <c r="C194" s="611"/>
      <c r="D194" s="611"/>
      <c r="M194" s="266"/>
      <c r="O194" s="474"/>
      <c r="P194" s="474"/>
    </row>
    <row r="195" spans="3:16" s="159" customFormat="1" x14ac:dyDescent="0.25">
      <c r="C195" s="611"/>
      <c r="D195" s="611"/>
      <c r="M195" s="266"/>
      <c r="O195" s="474"/>
      <c r="P195" s="474"/>
    </row>
    <row r="196" spans="3:16" s="159" customFormat="1" x14ac:dyDescent="0.25">
      <c r="C196" s="611"/>
      <c r="D196" s="611"/>
      <c r="M196" s="266"/>
      <c r="O196" s="474"/>
      <c r="P196" s="474"/>
    </row>
    <row r="197" spans="3:16" s="159" customFormat="1" x14ac:dyDescent="0.25">
      <c r="C197" s="611"/>
      <c r="D197" s="611"/>
      <c r="M197" s="266"/>
      <c r="O197" s="474"/>
      <c r="P197" s="474"/>
    </row>
    <row r="198" spans="3:16" s="159" customFormat="1" x14ac:dyDescent="0.25">
      <c r="C198" s="611"/>
      <c r="D198" s="611"/>
      <c r="M198" s="266"/>
      <c r="O198" s="474"/>
      <c r="P198" s="474"/>
    </row>
    <row r="199" spans="3:16" s="159" customFormat="1" x14ac:dyDescent="0.25">
      <c r="C199" s="611"/>
      <c r="D199" s="611"/>
      <c r="M199" s="266"/>
      <c r="O199" s="474"/>
      <c r="P199" s="474"/>
    </row>
    <row r="200" spans="3:16" s="159" customFormat="1" x14ac:dyDescent="0.25">
      <c r="C200" s="611"/>
      <c r="D200" s="611"/>
      <c r="M200" s="266"/>
      <c r="O200" s="474"/>
      <c r="P200" s="474"/>
    </row>
    <row r="201" spans="3:16" s="159" customFormat="1" x14ac:dyDescent="0.25">
      <c r="C201" s="611"/>
      <c r="D201" s="611"/>
      <c r="M201" s="266"/>
      <c r="O201" s="474"/>
      <c r="P201" s="474"/>
    </row>
    <row r="202" spans="3:16" s="159" customFormat="1" x14ac:dyDescent="0.25">
      <c r="C202" s="611"/>
      <c r="D202" s="611"/>
      <c r="M202" s="266"/>
      <c r="O202" s="474"/>
      <c r="P202" s="474"/>
    </row>
    <row r="203" spans="3:16" s="159" customFormat="1" x14ac:dyDescent="0.25">
      <c r="C203" s="611"/>
      <c r="D203" s="611"/>
      <c r="M203" s="266"/>
      <c r="O203" s="474"/>
      <c r="P203" s="474"/>
    </row>
    <row r="204" spans="3:16" s="159" customFormat="1" x14ac:dyDescent="0.25">
      <c r="C204" s="611"/>
      <c r="D204" s="611"/>
      <c r="M204" s="266"/>
      <c r="O204" s="474"/>
      <c r="P204" s="474"/>
    </row>
    <row r="205" spans="3:16" s="159" customFormat="1" x14ac:dyDescent="0.25">
      <c r="C205" s="611"/>
      <c r="D205" s="611"/>
      <c r="M205" s="266"/>
      <c r="O205" s="474"/>
      <c r="P205" s="474"/>
    </row>
    <row r="206" spans="3:16" s="159" customFormat="1" x14ac:dyDescent="0.25">
      <c r="C206" s="611"/>
      <c r="D206" s="611"/>
      <c r="M206" s="266"/>
      <c r="O206" s="474"/>
      <c r="P206" s="474"/>
    </row>
    <row r="207" spans="3:16" s="159" customFormat="1" x14ac:dyDescent="0.25">
      <c r="C207" s="611"/>
      <c r="D207" s="611"/>
      <c r="M207" s="266"/>
      <c r="O207" s="474"/>
      <c r="P207" s="474"/>
    </row>
    <row r="208" spans="3:16" s="159" customFormat="1" x14ac:dyDescent="0.25">
      <c r="C208" s="611"/>
      <c r="D208" s="611"/>
      <c r="M208" s="266"/>
      <c r="O208" s="474"/>
      <c r="P208" s="474"/>
    </row>
    <row r="209" spans="3:16" s="159" customFormat="1" x14ac:dyDescent="0.25">
      <c r="C209" s="611"/>
      <c r="D209" s="611"/>
      <c r="M209" s="266"/>
      <c r="O209" s="474"/>
      <c r="P209" s="474"/>
    </row>
    <row r="210" spans="3:16" s="159" customFormat="1" x14ac:dyDescent="0.25">
      <c r="C210" s="611"/>
      <c r="D210" s="611"/>
      <c r="M210" s="266"/>
      <c r="O210" s="474"/>
      <c r="P210" s="474"/>
    </row>
    <row r="211" spans="3:16" s="159" customFormat="1" x14ac:dyDescent="0.25">
      <c r="C211" s="611"/>
      <c r="D211" s="611"/>
      <c r="M211" s="266"/>
      <c r="O211" s="474"/>
      <c r="P211" s="474"/>
    </row>
    <row r="212" spans="3:16" s="159" customFormat="1" x14ac:dyDescent="0.25">
      <c r="C212" s="611"/>
      <c r="D212" s="611"/>
      <c r="M212" s="266"/>
      <c r="O212" s="474"/>
      <c r="P212" s="474"/>
    </row>
    <row r="213" spans="3:16" s="159" customFormat="1" x14ac:dyDescent="0.25">
      <c r="C213" s="611"/>
      <c r="D213" s="611"/>
      <c r="M213" s="266"/>
      <c r="O213" s="474"/>
      <c r="P213" s="474"/>
    </row>
    <row r="214" spans="3:16" s="159" customFormat="1" x14ac:dyDescent="0.25">
      <c r="C214" s="611"/>
      <c r="D214" s="611"/>
      <c r="M214" s="266"/>
      <c r="O214" s="474"/>
      <c r="P214" s="474"/>
    </row>
    <row r="215" spans="3:16" s="159" customFormat="1" x14ac:dyDescent="0.25">
      <c r="C215" s="611"/>
      <c r="D215" s="611"/>
      <c r="M215" s="266"/>
      <c r="O215" s="474"/>
      <c r="P215" s="474"/>
    </row>
    <row r="216" spans="3:16" s="159" customFormat="1" x14ac:dyDescent="0.25">
      <c r="C216" s="611"/>
      <c r="D216" s="611"/>
      <c r="M216" s="266"/>
      <c r="O216" s="474"/>
      <c r="P216" s="474"/>
    </row>
    <row r="217" spans="3:16" s="159" customFormat="1" x14ac:dyDescent="0.25">
      <c r="C217" s="611"/>
      <c r="D217" s="611"/>
      <c r="M217" s="266"/>
      <c r="O217" s="474"/>
      <c r="P217" s="474"/>
    </row>
    <row r="218" spans="3:16" s="159" customFormat="1" x14ac:dyDescent="0.25">
      <c r="C218" s="611"/>
      <c r="D218" s="611"/>
      <c r="M218" s="266"/>
      <c r="O218" s="474"/>
      <c r="P218" s="474"/>
    </row>
    <row r="219" spans="3:16" s="159" customFormat="1" x14ac:dyDescent="0.25">
      <c r="C219" s="611"/>
      <c r="D219" s="611"/>
      <c r="M219" s="266"/>
      <c r="O219" s="474"/>
      <c r="P219" s="474"/>
    </row>
    <row r="220" spans="3:16" s="159" customFormat="1" x14ac:dyDescent="0.25">
      <c r="C220" s="611"/>
      <c r="D220" s="611"/>
      <c r="M220" s="266"/>
      <c r="O220" s="474"/>
      <c r="P220" s="474"/>
    </row>
    <row r="221" spans="3:16" s="159" customFormat="1" x14ac:dyDescent="0.25">
      <c r="C221" s="611"/>
      <c r="D221" s="611"/>
      <c r="M221" s="266"/>
      <c r="O221" s="474"/>
      <c r="P221" s="474"/>
    </row>
    <row r="222" spans="3:16" s="159" customFormat="1" x14ac:dyDescent="0.25">
      <c r="C222" s="611"/>
      <c r="D222" s="611"/>
      <c r="M222" s="266"/>
      <c r="O222" s="474"/>
      <c r="P222" s="474"/>
    </row>
    <row r="223" spans="3:16" s="159" customFormat="1" x14ac:dyDescent="0.25">
      <c r="C223" s="611"/>
      <c r="D223" s="611"/>
      <c r="M223" s="266"/>
      <c r="O223" s="474"/>
      <c r="P223" s="474"/>
    </row>
    <row r="224" spans="3:16" s="159" customFormat="1" x14ac:dyDescent="0.25">
      <c r="C224" s="611"/>
      <c r="D224" s="611"/>
      <c r="M224" s="266"/>
      <c r="O224" s="474"/>
      <c r="P224" s="474"/>
    </row>
    <row r="225" spans="3:16" s="159" customFormat="1" x14ac:dyDescent="0.25">
      <c r="C225" s="611"/>
      <c r="D225" s="611"/>
      <c r="M225" s="266"/>
      <c r="O225" s="474"/>
      <c r="P225" s="474"/>
    </row>
    <row r="226" spans="3:16" s="159" customFormat="1" x14ac:dyDescent="0.25">
      <c r="C226" s="611"/>
      <c r="D226" s="611"/>
      <c r="M226" s="266"/>
      <c r="O226" s="474"/>
      <c r="P226" s="474"/>
    </row>
    <row r="227" spans="3:16" s="159" customFormat="1" x14ac:dyDescent="0.25">
      <c r="C227" s="611"/>
      <c r="D227" s="611"/>
      <c r="M227" s="266"/>
      <c r="O227" s="474"/>
      <c r="P227" s="474"/>
    </row>
    <row r="228" spans="3:16" s="159" customFormat="1" x14ac:dyDescent="0.25">
      <c r="C228" s="611"/>
      <c r="D228" s="611"/>
      <c r="M228" s="266"/>
      <c r="O228" s="474"/>
      <c r="P228" s="474"/>
    </row>
    <row r="229" spans="3:16" s="159" customFormat="1" x14ac:dyDescent="0.25">
      <c r="C229" s="611"/>
      <c r="D229" s="611"/>
      <c r="M229" s="266"/>
      <c r="O229" s="474"/>
      <c r="P229" s="474"/>
    </row>
    <row r="230" spans="3:16" s="159" customFormat="1" x14ac:dyDescent="0.25">
      <c r="C230" s="611"/>
      <c r="D230" s="611"/>
      <c r="M230" s="266"/>
      <c r="O230" s="474"/>
      <c r="P230" s="474"/>
    </row>
    <row r="231" spans="3:16" s="159" customFormat="1" x14ac:dyDescent="0.25">
      <c r="C231" s="611"/>
      <c r="D231" s="611"/>
      <c r="M231" s="266"/>
      <c r="O231" s="474"/>
      <c r="P231" s="474"/>
    </row>
    <row r="232" spans="3:16" s="159" customFormat="1" x14ac:dyDescent="0.25">
      <c r="C232" s="611"/>
      <c r="D232" s="611"/>
      <c r="M232" s="266"/>
      <c r="O232" s="474"/>
      <c r="P232" s="474"/>
    </row>
    <row r="233" spans="3:16" s="159" customFormat="1" x14ac:dyDescent="0.25">
      <c r="C233" s="611"/>
      <c r="D233" s="611"/>
      <c r="M233" s="266"/>
      <c r="O233" s="474"/>
      <c r="P233" s="474"/>
    </row>
    <row r="234" spans="3:16" s="159" customFormat="1" x14ac:dyDescent="0.25">
      <c r="C234" s="611"/>
      <c r="D234" s="611"/>
      <c r="M234" s="266"/>
      <c r="O234" s="474"/>
      <c r="P234" s="474"/>
    </row>
    <row r="235" spans="3:16" s="159" customFormat="1" x14ac:dyDescent="0.25">
      <c r="C235" s="611"/>
      <c r="D235" s="611"/>
      <c r="M235" s="266"/>
      <c r="O235" s="474"/>
      <c r="P235" s="474"/>
    </row>
    <row r="236" spans="3:16" s="159" customFormat="1" x14ac:dyDescent="0.25">
      <c r="C236" s="611"/>
      <c r="D236" s="611"/>
      <c r="M236" s="266"/>
      <c r="O236" s="474"/>
      <c r="P236" s="474"/>
    </row>
    <row r="237" spans="3:16" s="159" customFormat="1" x14ac:dyDescent="0.25">
      <c r="C237" s="611"/>
      <c r="D237" s="611"/>
      <c r="M237" s="266"/>
      <c r="O237" s="474"/>
      <c r="P237" s="474"/>
    </row>
    <row r="238" spans="3:16" s="159" customFormat="1" x14ac:dyDescent="0.25">
      <c r="C238" s="611"/>
      <c r="D238" s="611"/>
      <c r="M238" s="266"/>
      <c r="O238" s="474"/>
      <c r="P238" s="474"/>
    </row>
    <row r="239" spans="3:16" s="159" customFormat="1" x14ac:dyDescent="0.25">
      <c r="C239" s="611"/>
      <c r="D239" s="611"/>
      <c r="M239" s="266"/>
      <c r="O239" s="474"/>
      <c r="P239" s="474"/>
    </row>
    <row r="240" spans="3:16" s="159" customFormat="1" x14ac:dyDescent="0.25">
      <c r="C240" s="611"/>
      <c r="D240" s="611"/>
      <c r="M240" s="266"/>
      <c r="O240" s="474"/>
      <c r="P240" s="474"/>
    </row>
    <row r="241" spans="3:16" s="159" customFormat="1" x14ac:dyDescent="0.25">
      <c r="C241" s="611"/>
      <c r="D241" s="611"/>
      <c r="M241" s="266"/>
      <c r="O241" s="474"/>
      <c r="P241" s="474"/>
    </row>
    <row r="242" spans="3:16" s="159" customFormat="1" x14ac:dyDescent="0.25">
      <c r="C242" s="611"/>
      <c r="D242" s="611"/>
      <c r="M242" s="266"/>
      <c r="O242" s="474"/>
      <c r="P242" s="474"/>
    </row>
    <row r="243" spans="3:16" s="159" customFormat="1" x14ac:dyDescent="0.25">
      <c r="C243" s="611"/>
      <c r="D243" s="611"/>
      <c r="M243" s="266"/>
      <c r="O243" s="474"/>
      <c r="P243" s="474"/>
    </row>
    <row r="244" spans="3:16" s="159" customFormat="1" x14ac:dyDescent="0.25">
      <c r="C244" s="611"/>
      <c r="D244" s="611"/>
      <c r="M244" s="266"/>
      <c r="O244" s="474"/>
      <c r="P244" s="474"/>
    </row>
    <row r="245" spans="3:16" s="159" customFormat="1" x14ac:dyDescent="0.25">
      <c r="C245" s="611"/>
      <c r="D245" s="611"/>
      <c r="M245" s="266"/>
      <c r="O245" s="474"/>
      <c r="P245" s="474"/>
    </row>
    <row r="246" spans="3:16" s="159" customFormat="1" x14ac:dyDescent="0.25">
      <c r="C246" s="611"/>
      <c r="D246" s="611"/>
      <c r="M246" s="266"/>
      <c r="O246" s="474"/>
      <c r="P246" s="474"/>
    </row>
    <row r="247" spans="3:16" s="159" customFormat="1" x14ac:dyDescent="0.25">
      <c r="C247" s="611"/>
      <c r="D247" s="611"/>
      <c r="M247" s="266"/>
      <c r="O247" s="474"/>
      <c r="P247" s="474"/>
    </row>
  </sheetData>
  <mergeCells count="48">
    <mergeCell ref="Q9:Q10"/>
    <mergeCell ref="L9:L10"/>
    <mergeCell ref="M9:M10"/>
    <mergeCell ref="N9:N10"/>
    <mergeCell ref="O9:O10"/>
    <mergeCell ref="P9:P10"/>
    <mergeCell ref="K68:K69"/>
    <mergeCell ref="F70:F71"/>
    <mergeCell ref="G70:G71"/>
    <mergeCell ref="I70:I71"/>
    <mergeCell ref="J70:J71"/>
    <mergeCell ref="K70:K71"/>
    <mergeCell ref="F68:F69"/>
    <mergeCell ref="J68:J69"/>
    <mergeCell ref="C26:F26"/>
    <mergeCell ref="G26:I26"/>
    <mergeCell ref="C34:F34"/>
    <mergeCell ref="G34:I34"/>
    <mergeCell ref="C40:F40"/>
    <mergeCell ref="G40:I40"/>
    <mergeCell ref="B69:B70"/>
    <mergeCell ref="G68:G69"/>
    <mergeCell ref="I68:I69"/>
    <mergeCell ref="L6:M6"/>
    <mergeCell ref="N6:P6"/>
    <mergeCell ref="G8:I8"/>
    <mergeCell ref="C8:F8"/>
    <mergeCell ref="G5:I6"/>
    <mergeCell ref="J5:K5"/>
    <mergeCell ref="A7:K7"/>
    <mergeCell ref="C53:F53"/>
    <mergeCell ref="G53:I53"/>
    <mergeCell ref="C59:F59"/>
    <mergeCell ref="G59:I59"/>
    <mergeCell ref="C9:F9"/>
    <mergeCell ref="G9:I9"/>
    <mergeCell ref="L3:M3"/>
    <mergeCell ref="N3:P3"/>
    <mergeCell ref="L4:M4"/>
    <mergeCell ref="N4:P4"/>
    <mergeCell ref="L5:M5"/>
    <mergeCell ref="N5:P5"/>
    <mergeCell ref="C1:K1"/>
    <mergeCell ref="D2:F2"/>
    <mergeCell ref="A3:B3"/>
    <mergeCell ref="D3:F3"/>
    <mergeCell ref="A4:B4"/>
    <mergeCell ref="D4:F4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pageSetUpPr fitToPage="1"/>
  </sheetPr>
  <dimension ref="A1:Q76"/>
  <sheetViews>
    <sheetView topLeftCell="A49" zoomScale="92" zoomScaleNormal="75" zoomScaleSheetLayoutView="90" zoomScalePageLayoutView="75" workbookViewId="0">
      <selection activeCell="E82" sqref="E82"/>
    </sheetView>
  </sheetViews>
  <sheetFormatPr defaultColWidth="9.33203125" defaultRowHeight="13.2" x14ac:dyDescent="0.25"/>
  <cols>
    <col min="1" max="1" width="12.5546875" style="157" bestFit="1" customWidth="1"/>
    <col min="2" max="2" width="47" style="157" bestFit="1" customWidth="1"/>
    <col min="3" max="3" width="5" style="421" customWidth="1"/>
    <col min="4" max="4" width="5" style="615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33203125" style="157" bestFit="1" customWidth="1"/>
    <col min="10" max="10" width="16.33203125" style="157" bestFit="1" customWidth="1"/>
    <col min="11" max="11" width="14.33203125" style="157" bestFit="1" customWidth="1"/>
    <col min="12" max="12" width="17.6640625" style="159" bestFit="1" customWidth="1"/>
    <col min="13" max="13" width="14" style="306" bestFit="1" customWidth="1"/>
    <col min="14" max="14" width="24.6640625" style="157" bestFit="1" customWidth="1"/>
    <col min="15" max="15" width="21.6640625" style="294" bestFit="1" customWidth="1"/>
    <col min="16" max="16" width="22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566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5">
      <c r="A4" s="1014"/>
      <c r="B4" s="1015"/>
      <c r="C4" s="494"/>
      <c r="D4" s="1013"/>
      <c r="E4" s="1013"/>
      <c r="F4" s="1013"/>
      <c r="G4" s="567"/>
      <c r="H4" s="567"/>
      <c r="I4" s="566"/>
      <c r="J4" s="320"/>
      <c r="K4" s="321"/>
      <c r="L4" s="1022"/>
      <c r="M4" s="1023"/>
      <c r="N4" s="1024"/>
      <c r="O4" s="1024"/>
      <c r="P4" s="1025"/>
    </row>
    <row r="5" spans="1:17" ht="21.6" thickBot="1" x14ac:dyDescent="0.45">
      <c r="A5" s="568"/>
      <c r="B5" s="569"/>
      <c r="C5" s="496"/>
      <c r="D5" s="570"/>
      <c r="E5" s="332"/>
      <c r="F5" s="567"/>
      <c r="G5" s="1198" t="s">
        <v>651</v>
      </c>
      <c r="H5" s="1198"/>
      <c r="I5" s="1198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45">
      <c r="A6" s="568"/>
      <c r="B6" s="56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198"/>
      <c r="H6" s="1198"/>
      <c r="I6" s="1198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571" t="s">
        <v>0</v>
      </c>
      <c r="B9" s="572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573"/>
      <c r="K9" s="503"/>
      <c r="L9" s="1184" t="s">
        <v>771</v>
      </c>
      <c r="M9" s="1186" t="s">
        <v>772</v>
      </c>
      <c r="N9" s="1188" t="s">
        <v>773</v>
      </c>
      <c r="O9" s="1190"/>
      <c r="P9" s="1192"/>
      <c r="Q9" s="1182"/>
    </row>
    <row r="10" spans="1:17" ht="15.6" x14ac:dyDescent="0.3">
      <c r="A10" s="505" t="s">
        <v>292</v>
      </c>
      <c r="B10" s="505" t="s">
        <v>293</v>
      </c>
      <c r="C10" s="616" t="s">
        <v>19</v>
      </c>
      <c r="D10" s="574" t="s">
        <v>33</v>
      </c>
      <c r="E10" s="426" t="s">
        <v>35</v>
      </c>
      <c r="F10" s="575" t="s">
        <v>30</v>
      </c>
      <c r="G10" s="576" t="s">
        <v>14</v>
      </c>
      <c r="H10" s="426" t="s">
        <v>35</v>
      </c>
      <c r="I10" s="575" t="s">
        <v>30</v>
      </c>
      <c r="J10" s="577" t="s">
        <v>649</v>
      </c>
      <c r="K10" s="578" t="s">
        <v>38</v>
      </c>
      <c r="L10" s="1185"/>
      <c r="M10" s="1187"/>
      <c r="N10" s="1189"/>
      <c r="O10" s="1191"/>
      <c r="P10" s="1193"/>
      <c r="Q10" s="1183"/>
    </row>
    <row r="11" spans="1:17" x14ac:dyDescent="0.25">
      <c r="A11" s="361"/>
      <c r="B11" s="5"/>
      <c r="C11" s="362"/>
      <c r="D11" s="363" t="s">
        <v>21</v>
      </c>
      <c r="E11" s="247">
        <v>0</v>
      </c>
      <c r="F11" s="364">
        <f>C11*E11</f>
        <v>0</v>
      </c>
      <c r="G11" s="509"/>
      <c r="H11" s="366">
        <v>0</v>
      </c>
      <c r="I11" s="364">
        <f>G11*H11</f>
        <v>0</v>
      </c>
      <c r="J11" s="579"/>
      <c r="K11" s="510">
        <f>F11+I11+J11</f>
        <v>0</v>
      </c>
      <c r="L11" s="369"/>
      <c r="M11" s="580"/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>C12*E12</f>
        <v>0</v>
      </c>
      <c r="G12" s="509"/>
      <c r="H12" s="366">
        <v>0</v>
      </c>
      <c r="I12" s="364">
        <f>G12*H12</f>
        <v>0</v>
      </c>
      <c r="J12" s="579"/>
      <c r="K12" s="510">
        <f>F12+I12+J12</f>
        <v>0</v>
      </c>
      <c r="L12" s="369"/>
      <c r="M12" s="580"/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>C13*E13</f>
        <v>0</v>
      </c>
      <c r="G13" s="509"/>
      <c r="H13" s="366">
        <v>0</v>
      </c>
      <c r="I13" s="364">
        <f>G13*H13</f>
        <v>0</v>
      </c>
      <c r="J13" s="579"/>
      <c r="K13" s="510">
        <f>F13+I13+J13</f>
        <v>0</v>
      </c>
      <c r="L13" s="369"/>
      <c r="M13" s="58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>C14*E14</f>
        <v>0</v>
      </c>
      <c r="G14" s="509"/>
      <c r="H14" s="366">
        <v>0</v>
      </c>
      <c r="I14" s="364">
        <f>G14*H14</f>
        <v>0</v>
      </c>
      <c r="J14" s="579"/>
      <c r="K14" s="510">
        <f>F14+I14+J14</f>
        <v>0</v>
      </c>
      <c r="L14" s="369"/>
      <c r="M14" s="58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>C15*E15</f>
        <v>0</v>
      </c>
      <c r="G15" s="509"/>
      <c r="H15" s="366">
        <v>0</v>
      </c>
      <c r="I15" s="364">
        <f>G15*H15</f>
        <v>0</v>
      </c>
      <c r="J15" s="579"/>
      <c r="K15" s="510">
        <f>F15+I15+J15</f>
        <v>0</v>
      </c>
      <c r="L15" s="369"/>
      <c r="M15" s="580"/>
      <c r="N15" s="371"/>
      <c r="O15" s="372"/>
      <c r="P15" s="373"/>
      <c r="Q15" s="374"/>
    </row>
    <row r="16" spans="1:17" ht="13.8" thickBot="1" x14ac:dyDescent="0.3">
      <c r="A16" s="378"/>
      <c r="B16" s="7"/>
      <c r="C16" s="379"/>
      <c r="D16" s="363"/>
      <c r="E16" s="247"/>
      <c r="F16" s="364"/>
      <c r="G16" s="509"/>
      <c r="H16" s="366"/>
      <c r="I16" s="364"/>
      <c r="J16" s="579"/>
      <c r="K16" s="510"/>
      <c r="L16" s="369"/>
      <c r="M16" s="580"/>
      <c r="N16" s="371"/>
      <c r="O16" s="372"/>
      <c r="P16" s="373"/>
      <c r="Q16" s="374"/>
    </row>
    <row r="17" spans="1:17" ht="13.8" thickTop="1" x14ac:dyDescent="0.25">
      <c r="A17" s="378"/>
      <c r="B17" s="7"/>
      <c r="C17" s="379"/>
      <c r="D17" s="363"/>
      <c r="E17" s="247"/>
      <c r="F17" s="364"/>
      <c r="G17" s="509"/>
      <c r="H17" s="366"/>
      <c r="I17" s="364"/>
      <c r="J17" s="380" t="s">
        <v>30</v>
      </c>
      <c r="K17" s="511">
        <f>SUM(K11:K16)</f>
        <v>0</v>
      </c>
      <c r="L17" s="369"/>
      <c r="M17" s="580"/>
      <c r="N17" s="371"/>
      <c r="O17" s="372"/>
      <c r="P17" s="373"/>
      <c r="Q17" s="374"/>
    </row>
    <row r="18" spans="1:17" ht="13.8" thickBot="1" x14ac:dyDescent="0.3">
      <c r="A18" s="571" t="s">
        <v>0</v>
      </c>
      <c r="B18" s="572" t="s">
        <v>1</v>
      </c>
      <c r="C18" s="1028" t="s">
        <v>646</v>
      </c>
      <c r="D18" s="1028"/>
      <c r="E18" s="1028"/>
      <c r="F18" s="1028"/>
      <c r="G18" s="1028" t="s">
        <v>34</v>
      </c>
      <c r="H18" s="1028"/>
      <c r="I18" s="1028"/>
      <c r="J18" s="573"/>
      <c r="K18" s="503"/>
      <c r="L18" s="382"/>
      <c r="M18" s="581"/>
      <c r="N18" s="384"/>
      <c r="O18" s="372"/>
      <c r="P18" s="373"/>
      <c r="Q18" s="374"/>
    </row>
    <row r="19" spans="1:17" ht="16.2" thickBot="1" x14ac:dyDescent="0.35">
      <c r="A19" s="505" t="s">
        <v>294</v>
      </c>
      <c r="B19" s="505" t="s">
        <v>295</v>
      </c>
      <c r="C19" s="595" t="s">
        <v>19</v>
      </c>
      <c r="D19" s="582" t="s">
        <v>33</v>
      </c>
      <c r="E19" s="583" t="s">
        <v>35</v>
      </c>
      <c r="F19" s="584" t="s">
        <v>30</v>
      </c>
      <c r="G19" s="585" t="s">
        <v>14</v>
      </c>
      <c r="H19" s="583" t="s">
        <v>35</v>
      </c>
      <c r="I19" s="584" t="s">
        <v>30</v>
      </c>
      <c r="J19" s="577" t="s">
        <v>649</v>
      </c>
      <c r="K19" s="586" t="s">
        <v>38</v>
      </c>
      <c r="L19" s="393"/>
      <c r="M19" s="587"/>
      <c r="N19" s="395"/>
      <c r="O19" s="372"/>
      <c r="P19" s="373"/>
      <c r="Q19" s="374"/>
    </row>
    <row r="20" spans="1:17" x14ac:dyDescent="0.25">
      <c r="A20" s="396"/>
      <c r="B20" s="397"/>
      <c r="C20" s="362"/>
      <c r="D20" s="363" t="s">
        <v>21</v>
      </c>
      <c r="E20" s="247">
        <v>0</v>
      </c>
      <c r="F20" s="364">
        <f>C20*E20</f>
        <v>0</v>
      </c>
      <c r="G20" s="509"/>
      <c r="H20" s="366">
        <v>0</v>
      </c>
      <c r="I20" s="364">
        <f>G20*H20</f>
        <v>0</v>
      </c>
      <c r="J20" s="579"/>
      <c r="K20" s="510">
        <f>F20+I20+J20</f>
        <v>0</v>
      </c>
      <c r="L20" s="369"/>
      <c r="M20" s="580"/>
      <c r="N20" s="371"/>
      <c r="O20" s="372"/>
      <c r="P20" s="373"/>
      <c r="Q20" s="374"/>
    </row>
    <row r="21" spans="1:17" x14ac:dyDescent="0.25">
      <c r="A21" s="361"/>
      <c r="B21" s="5"/>
      <c r="C21" s="362"/>
      <c r="D21" s="363" t="s">
        <v>21</v>
      </c>
      <c r="E21" s="247">
        <v>0</v>
      </c>
      <c r="F21" s="364">
        <f>C21*E21</f>
        <v>0</v>
      </c>
      <c r="G21" s="509"/>
      <c r="H21" s="366">
        <v>0</v>
      </c>
      <c r="I21" s="364">
        <f>G21*H21</f>
        <v>0</v>
      </c>
      <c r="J21" s="579"/>
      <c r="K21" s="510">
        <f>F21+I21+J21</f>
        <v>0</v>
      </c>
      <c r="L21" s="369"/>
      <c r="M21" s="580"/>
      <c r="N21" s="371"/>
      <c r="O21" s="372"/>
      <c r="P21" s="373"/>
      <c r="Q21" s="374"/>
    </row>
    <row r="22" spans="1:17" x14ac:dyDescent="0.25">
      <c r="A22" s="361"/>
      <c r="B22" s="5"/>
      <c r="C22" s="362"/>
      <c r="D22" s="363" t="s">
        <v>21</v>
      </c>
      <c r="E22" s="247">
        <v>0</v>
      </c>
      <c r="F22" s="364">
        <f>C22*E22</f>
        <v>0</v>
      </c>
      <c r="G22" s="509"/>
      <c r="H22" s="366">
        <v>0</v>
      </c>
      <c r="I22" s="364">
        <f>G22*H22</f>
        <v>0</v>
      </c>
      <c r="J22" s="579"/>
      <c r="K22" s="510">
        <f>F22+I22+J22</f>
        <v>0</v>
      </c>
      <c r="L22" s="369"/>
      <c r="M22" s="580"/>
      <c r="N22" s="371"/>
      <c r="O22" s="372"/>
      <c r="P22" s="373"/>
      <c r="Q22" s="374"/>
    </row>
    <row r="23" spans="1:17" x14ac:dyDescent="0.25">
      <c r="A23" s="361"/>
      <c r="B23" s="5"/>
      <c r="C23" s="362"/>
      <c r="D23" s="363" t="s">
        <v>21</v>
      </c>
      <c r="E23" s="247">
        <v>0</v>
      </c>
      <c r="F23" s="364">
        <f>C23*E23</f>
        <v>0</v>
      </c>
      <c r="G23" s="509"/>
      <c r="H23" s="366">
        <v>0</v>
      </c>
      <c r="I23" s="364">
        <f>G23*H23</f>
        <v>0</v>
      </c>
      <c r="J23" s="579"/>
      <c r="K23" s="510">
        <f>F23+I23+J23</f>
        <v>0</v>
      </c>
      <c r="L23" s="369"/>
      <c r="M23" s="580"/>
      <c r="N23" s="371"/>
      <c r="O23" s="372"/>
      <c r="P23" s="373"/>
      <c r="Q23" s="374"/>
    </row>
    <row r="24" spans="1:17" ht="13.8" thickBot="1" x14ac:dyDescent="0.3">
      <c r="A24" s="361"/>
      <c r="B24" s="5"/>
      <c r="C24" s="379"/>
      <c r="D24" s="363"/>
      <c r="E24" s="247"/>
      <c r="F24" s="364"/>
      <c r="G24" s="509"/>
      <c r="H24" s="366"/>
      <c r="I24" s="364"/>
      <c r="J24" s="579"/>
      <c r="K24" s="514"/>
      <c r="L24" s="157"/>
      <c r="M24" s="588"/>
      <c r="O24" s="372"/>
      <c r="P24" s="373"/>
      <c r="Q24" s="374"/>
    </row>
    <row r="25" spans="1:17" ht="13.8" thickTop="1" x14ac:dyDescent="0.25">
      <c r="A25" s="378"/>
      <c r="B25" s="5"/>
      <c r="C25" s="379"/>
      <c r="D25" s="363"/>
      <c r="E25" s="247"/>
      <c r="F25" s="364"/>
      <c r="G25" s="509"/>
      <c r="H25" s="366"/>
      <c r="I25" s="364"/>
      <c r="J25" s="380" t="s">
        <v>30</v>
      </c>
      <c r="K25" s="511">
        <f>SUM(K20:K24)</f>
        <v>0</v>
      </c>
      <c r="L25" s="157"/>
      <c r="M25" s="588"/>
      <c r="O25" s="372"/>
      <c r="P25" s="373"/>
      <c r="Q25" s="374"/>
    </row>
    <row r="26" spans="1:17" ht="13.8" thickBot="1" x14ac:dyDescent="0.3">
      <c r="A26" s="571" t="s">
        <v>0</v>
      </c>
      <c r="B26" s="572" t="s">
        <v>1</v>
      </c>
      <c r="C26" s="1028" t="s">
        <v>646</v>
      </c>
      <c r="D26" s="1028"/>
      <c r="E26" s="1028"/>
      <c r="F26" s="1028"/>
      <c r="G26" s="1028" t="s">
        <v>34</v>
      </c>
      <c r="H26" s="1028"/>
      <c r="I26" s="1028"/>
      <c r="J26" s="573"/>
      <c r="K26" s="503"/>
      <c r="L26" s="382"/>
      <c r="M26" s="581"/>
      <c r="N26" s="384"/>
      <c r="O26" s="372"/>
      <c r="P26" s="373"/>
      <c r="Q26" s="374"/>
    </row>
    <row r="27" spans="1:17" ht="16.2" thickBot="1" x14ac:dyDescent="0.35">
      <c r="A27" s="505" t="s">
        <v>296</v>
      </c>
      <c r="B27" s="505" t="s">
        <v>297</v>
      </c>
      <c r="C27" s="595" t="s">
        <v>19</v>
      </c>
      <c r="D27" s="582" t="s">
        <v>33</v>
      </c>
      <c r="E27" s="583" t="s">
        <v>35</v>
      </c>
      <c r="F27" s="584" t="s">
        <v>30</v>
      </c>
      <c r="G27" s="585" t="s">
        <v>14</v>
      </c>
      <c r="H27" s="583" t="s">
        <v>35</v>
      </c>
      <c r="I27" s="584" t="s">
        <v>30</v>
      </c>
      <c r="J27" s="577" t="s">
        <v>649</v>
      </c>
      <c r="K27" s="586" t="s">
        <v>38</v>
      </c>
      <c r="L27" s="393"/>
      <c r="M27" s="587"/>
      <c r="N27" s="395"/>
      <c r="O27" s="372"/>
      <c r="P27" s="373"/>
      <c r="Q27" s="374"/>
    </row>
    <row r="28" spans="1:17" ht="15" x14ac:dyDescent="0.25">
      <c r="A28" s="612" t="s">
        <v>298</v>
      </c>
      <c r="B28" s="594" t="s">
        <v>667</v>
      </c>
      <c r="C28" s="362"/>
      <c r="D28" s="363" t="s">
        <v>21</v>
      </c>
      <c r="E28" s="247">
        <v>0</v>
      </c>
      <c r="F28" s="364">
        <f t="shared" ref="F28:F34" si="0">C28*E28</f>
        <v>0</v>
      </c>
      <c r="G28" s="509"/>
      <c r="H28" s="366">
        <v>0</v>
      </c>
      <c r="I28" s="364">
        <f t="shared" ref="I28:I34" si="1">G28*H28</f>
        <v>0</v>
      </c>
      <c r="J28" s="579"/>
      <c r="K28" s="510">
        <f t="shared" ref="K28:K34" si="2">F28+I28+J28</f>
        <v>0</v>
      </c>
      <c r="O28" s="372"/>
      <c r="P28" s="373"/>
      <c r="Q28" s="374"/>
    </row>
    <row r="29" spans="1:17" x14ac:dyDescent="0.25">
      <c r="A29" s="158" t="s">
        <v>299</v>
      </c>
      <c r="B29" s="607" t="s">
        <v>300</v>
      </c>
      <c r="C29" s="362"/>
      <c r="D29" s="363" t="s">
        <v>21</v>
      </c>
      <c r="E29" s="247">
        <v>0</v>
      </c>
      <c r="F29" s="364">
        <f t="shared" si="0"/>
        <v>0</v>
      </c>
      <c r="G29" s="509"/>
      <c r="H29" s="366">
        <v>0</v>
      </c>
      <c r="I29" s="364">
        <f t="shared" si="1"/>
        <v>0</v>
      </c>
      <c r="J29" s="579"/>
      <c r="K29" s="510">
        <f t="shared" si="2"/>
        <v>0</v>
      </c>
      <c r="L29" s="369"/>
      <c r="M29" s="580"/>
      <c r="N29" s="371"/>
      <c r="O29" s="372"/>
      <c r="P29" s="373"/>
      <c r="Q29" s="374"/>
    </row>
    <row r="30" spans="1:17" ht="15" x14ac:dyDescent="0.25">
      <c r="A30" s="196" t="s">
        <v>301</v>
      </c>
      <c r="B30" s="603" t="s">
        <v>302</v>
      </c>
      <c r="C30" s="362"/>
      <c r="D30" s="363" t="s">
        <v>21</v>
      </c>
      <c r="E30" s="247">
        <v>0</v>
      </c>
      <c r="F30" s="364">
        <f t="shared" si="0"/>
        <v>0</v>
      </c>
      <c r="G30" s="509"/>
      <c r="H30" s="366">
        <v>0</v>
      </c>
      <c r="I30" s="364">
        <f t="shared" si="1"/>
        <v>0</v>
      </c>
      <c r="J30" s="579"/>
      <c r="K30" s="510">
        <f t="shared" si="2"/>
        <v>0</v>
      </c>
      <c r="L30" s="369"/>
      <c r="M30" s="580"/>
      <c r="N30" s="371"/>
      <c r="O30" s="372"/>
      <c r="P30" s="373"/>
      <c r="Q30" s="374"/>
    </row>
    <row r="31" spans="1:17" x14ac:dyDescent="0.25">
      <c r="A31" s="158" t="s">
        <v>303</v>
      </c>
      <c r="B31" s="607" t="s">
        <v>304</v>
      </c>
      <c r="C31" s="362"/>
      <c r="D31" s="363" t="s">
        <v>21</v>
      </c>
      <c r="E31" s="247">
        <v>0</v>
      </c>
      <c r="F31" s="364">
        <f t="shared" si="0"/>
        <v>0</v>
      </c>
      <c r="G31" s="509"/>
      <c r="H31" s="366">
        <v>0</v>
      </c>
      <c r="I31" s="364">
        <f t="shared" si="1"/>
        <v>0</v>
      </c>
      <c r="J31" s="579"/>
      <c r="K31" s="510">
        <f t="shared" si="2"/>
        <v>0</v>
      </c>
      <c r="L31" s="369"/>
      <c r="M31" s="580"/>
      <c r="N31" s="371"/>
      <c r="O31" s="372"/>
      <c r="P31" s="373"/>
      <c r="Q31" s="374"/>
    </row>
    <row r="32" spans="1:17" x14ac:dyDescent="0.25">
      <c r="A32" s="158" t="s">
        <v>305</v>
      </c>
      <c r="B32" s="607" t="s">
        <v>306</v>
      </c>
      <c r="C32" s="362"/>
      <c r="D32" s="363" t="s">
        <v>21</v>
      </c>
      <c r="E32" s="247">
        <v>0</v>
      </c>
      <c r="F32" s="364">
        <f t="shared" si="0"/>
        <v>0</v>
      </c>
      <c r="G32" s="509"/>
      <c r="H32" s="366">
        <v>0</v>
      </c>
      <c r="I32" s="364">
        <f t="shared" si="1"/>
        <v>0</v>
      </c>
      <c r="J32" s="579"/>
      <c r="K32" s="510">
        <f t="shared" si="2"/>
        <v>0</v>
      </c>
      <c r="L32" s="369"/>
      <c r="M32" s="580"/>
      <c r="N32" s="371"/>
      <c r="O32" s="372"/>
      <c r="P32" s="373"/>
      <c r="Q32" s="374"/>
    </row>
    <row r="33" spans="1:17" x14ac:dyDescent="0.25">
      <c r="A33" s="158" t="s">
        <v>308</v>
      </c>
      <c r="B33" s="607" t="s">
        <v>307</v>
      </c>
      <c r="C33" s="362"/>
      <c r="D33" s="363" t="s">
        <v>21</v>
      </c>
      <c r="E33" s="247">
        <v>0</v>
      </c>
      <c r="F33" s="364">
        <f t="shared" si="0"/>
        <v>0</v>
      </c>
      <c r="G33" s="509"/>
      <c r="H33" s="366">
        <v>0</v>
      </c>
      <c r="I33" s="364">
        <f t="shared" si="1"/>
        <v>0</v>
      </c>
      <c r="J33" s="579"/>
      <c r="K33" s="510">
        <f t="shared" si="2"/>
        <v>0</v>
      </c>
      <c r="O33" s="372"/>
      <c r="P33" s="373"/>
      <c r="Q33" s="374"/>
    </row>
    <row r="34" spans="1:17" ht="15" x14ac:dyDescent="0.25">
      <c r="A34" s="196" t="s">
        <v>309</v>
      </c>
      <c r="B34" s="603" t="s">
        <v>310</v>
      </c>
      <c r="C34" s="362"/>
      <c r="D34" s="363" t="s">
        <v>21</v>
      </c>
      <c r="E34" s="247">
        <v>0</v>
      </c>
      <c r="F34" s="364">
        <f t="shared" si="0"/>
        <v>0</v>
      </c>
      <c r="G34" s="509"/>
      <c r="H34" s="366">
        <v>0</v>
      </c>
      <c r="I34" s="364">
        <f t="shared" si="1"/>
        <v>0</v>
      </c>
      <c r="J34" s="579"/>
      <c r="K34" s="510">
        <f t="shared" si="2"/>
        <v>0</v>
      </c>
      <c r="O34" s="372"/>
      <c r="P34" s="373"/>
      <c r="Q34" s="374"/>
    </row>
    <row r="35" spans="1:17" x14ac:dyDescent="0.25">
      <c r="A35" s="361"/>
      <c r="B35" s="5"/>
      <c r="C35" s="362"/>
      <c r="D35" s="363"/>
      <c r="E35" s="247"/>
      <c r="F35" s="364"/>
      <c r="G35" s="509"/>
      <c r="H35" s="366"/>
      <c r="I35" s="364"/>
      <c r="J35" s="579"/>
      <c r="K35" s="514"/>
      <c r="L35" s="369"/>
      <c r="M35" s="580"/>
      <c r="N35" s="371"/>
      <c r="O35" s="372"/>
      <c r="P35" s="373"/>
      <c r="Q35" s="374"/>
    </row>
    <row r="36" spans="1:17" x14ac:dyDescent="0.25">
      <c r="A36" s="361"/>
      <c r="B36" s="5"/>
      <c r="C36" s="362"/>
      <c r="D36" s="363"/>
      <c r="E36" s="247"/>
      <c r="F36" s="364"/>
      <c r="G36" s="509"/>
      <c r="H36" s="366"/>
      <c r="I36" s="364"/>
      <c r="J36" s="579"/>
      <c r="K36" s="514"/>
      <c r="M36" s="266"/>
      <c r="N36" s="159"/>
      <c r="O36" s="372"/>
      <c r="P36" s="373"/>
      <c r="Q36" s="374"/>
    </row>
    <row r="37" spans="1:17" ht="13.8" thickBot="1" x14ac:dyDescent="0.3">
      <c r="A37" s="361"/>
      <c r="B37" s="5"/>
      <c r="C37" s="362"/>
      <c r="D37" s="363"/>
      <c r="E37" s="247"/>
      <c r="F37" s="364"/>
      <c r="G37" s="509"/>
      <c r="H37" s="366"/>
      <c r="I37" s="364"/>
      <c r="J37" s="579"/>
      <c r="K37" s="514"/>
      <c r="M37" s="266"/>
      <c r="N37" s="159"/>
      <c r="O37" s="401"/>
      <c r="P37" s="402"/>
      <c r="Q37" s="374"/>
    </row>
    <row r="38" spans="1:17" ht="13.8" thickTop="1" x14ac:dyDescent="0.25">
      <c r="A38" s="378"/>
      <c r="B38" s="403"/>
      <c r="C38" s="379"/>
      <c r="D38" s="363"/>
      <c r="E38" s="247"/>
      <c r="F38" s="364"/>
      <c r="G38" s="509"/>
      <c r="H38" s="366"/>
      <c r="I38" s="364"/>
      <c r="J38" s="380" t="s">
        <v>30</v>
      </c>
      <c r="K38" s="511">
        <f>SUM(K28:K37)</f>
        <v>0</v>
      </c>
      <c r="L38" s="369"/>
      <c r="M38" s="293"/>
      <c r="N38" s="409"/>
      <c r="O38" s="401"/>
      <c r="P38" s="402"/>
      <c r="Q38" s="374"/>
    </row>
    <row r="39" spans="1:17" ht="13.8" thickBot="1" x14ac:dyDescent="0.3">
      <c r="A39" s="571" t="s">
        <v>0</v>
      </c>
      <c r="B39" s="572" t="s">
        <v>1</v>
      </c>
      <c r="C39" s="1028" t="s">
        <v>646</v>
      </c>
      <c r="D39" s="1028"/>
      <c r="E39" s="1028"/>
      <c r="F39" s="1028"/>
      <c r="G39" s="1028" t="s">
        <v>34</v>
      </c>
      <c r="H39" s="1028"/>
      <c r="I39" s="1028"/>
      <c r="J39" s="573"/>
      <c r="K39" s="503"/>
      <c r="L39" s="382"/>
      <c r="M39" s="581"/>
      <c r="N39" s="384"/>
      <c r="O39" s="401"/>
      <c r="P39" s="402"/>
      <c r="Q39" s="374"/>
    </row>
    <row r="40" spans="1:17" ht="15.6" x14ac:dyDescent="0.3">
      <c r="A40" s="505" t="s">
        <v>311</v>
      </c>
      <c r="B40" s="505" t="s">
        <v>312</v>
      </c>
      <c r="C40" s="595" t="s">
        <v>19</v>
      </c>
      <c r="D40" s="582" t="s">
        <v>33</v>
      </c>
      <c r="E40" s="583" t="s">
        <v>35</v>
      </c>
      <c r="F40" s="584" t="s">
        <v>30</v>
      </c>
      <c r="G40" s="585" t="s">
        <v>14</v>
      </c>
      <c r="H40" s="583" t="s">
        <v>35</v>
      </c>
      <c r="I40" s="584" t="s">
        <v>30</v>
      </c>
      <c r="J40" s="577" t="s">
        <v>649</v>
      </c>
      <c r="K40" s="586" t="s">
        <v>38</v>
      </c>
      <c r="L40" s="393"/>
      <c r="M40" s="587"/>
      <c r="N40" s="395"/>
      <c r="O40" s="401"/>
      <c r="P40" s="402"/>
      <c r="Q40" s="374"/>
    </row>
    <row r="41" spans="1:17" x14ac:dyDescent="0.25">
      <c r="A41" s="250" t="s">
        <v>313</v>
      </c>
      <c r="B41" s="250" t="s">
        <v>44</v>
      </c>
      <c r="C41" s="362"/>
      <c r="D41" s="363" t="s">
        <v>21</v>
      </c>
      <c r="E41" s="247">
        <v>0</v>
      </c>
      <c r="F41" s="364">
        <f>C41*E41</f>
        <v>0</v>
      </c>
      <c r="G41" s="509"/>
      <c r="H41" s="366">
        <v>0</v>
      </c>
      <c r="I41" s="364">
        <f>G41*H41</f>
        <v>0</v>
      </c>
      <c r="J41" s="579"/>
      <c r="K41" s="510">
        <f>F41+I41+J41</f>
        <v>0</v>
      </c>
      <c r="L41" s="369"/>
      <c r="M41" s="293"/>
      <c r="N41" s="409"/>
      <c r="O41" s="401"/>
      <c r="P41" s="402"/>
      <c r="Q41" s="374"/>
    </row>
    <row r="42" spans="1:17" x14ac:dyDescent="0.25">
      <c r="A42" s="361"/>
      <c r="B42" s="5"/>
      <c r="C42" s="362"/>
      <c r="D42" s="363" t="s">
        <v>21</v>
      </c>
      <c r="E42" s="247">
        <v>0</v>
      </c>
      <c r="F42" s="364">
        <f>C42*E42</f>
        <v>0</v>
      </c>
      <c r="G42" s="509"/>
      <c r="H42" s="366">
        <v>0</v>
      </c>
      <c r="I42" s="364">
        <f>G42*H42</f>
        <v>0</v>
      </c>
      <c r="J42" s="579"/>
      <c r="K42" s="510">
        <f>F42+I42+J42</f>
        <v>0</v>
      </c>
      <c r="L42" s="369"/>
      <c r="M42" s="293"/>
      <c r="N42" s="409"/>
      <c r="O42" s="401"/>
      <c r="P42" s="402"/>
      <c r="Q42" s="374"/>
    </row>
    <row r="43" spans="1:17" ht="13.8" thickBot="1" x14ac:dyDescent="0.3">
      <c r="A43" s="378"/>
      <c r="B43" s="5"/>
      <c r="C43" s="379"/>
      <c r="D43" s="363"/>
      <c r="E43" s="247"/>
      <c r="F43" s="364"/>
      <c r="G43" s="509"/>
      <c r="H43" s="366"/>
      <c r="I43" s="364"/>
      <c r="J43" s="579"/>
      <c r="K43" s="514"/>
      <c r="L43" s="369"/>
      <c r="M43" s="293"/>
      <c r="N43" s="371"/>
      <c r="O43" s="372"/>
      <c r="P43" s="373"/>
      <c r="Q43" s="374"/>
    </row>
    <row r="44" spans="1:17" ht="13.8" thickTop="1" x14ac:dyDescent="0.25">
      <c r="A44" s="378"/>
      <c r="C44" s="379"/>
      <c r="D44" s="363"/>
      <c r="E44" s="247"/>
      <c r="F44" s="364"/>
      <c r="G44" s="509"/>
      <c r="H44" s="366"/>
      <c r="I44" s="364"/>
      <c r="J44" s="380" t="s">
        <v>30</v>
      </c>
      <c r="K44" s="511">
        <f>SUM(K41:K43)</f>
        <v>0</v>
      </c>
      <c r="M44" s="266"/>
      <c r="N44" s="159"/>
      <c r="O44" s="372"/>
      <c r="P44" s="373"/>
      <c r="Q44" s="374"/>
    </row>
    <row r="45" spans="1:17" ht="13.8" thickBot="1" x14ac:dyDescent="0.3">
      <c r="A45" s="571" t="s">
        <v>0</v>
      </c>
      <c r="B45" s="572" t="s">
        <v>1</v>
      </c>
      <c r="C45" s="1028" t="s">
        <v>646</v>
      </c>
      <c r="D45" s="1028"/>
      <c r="E45" s="1028"/>
      <c r="F45" s="1028"/>
      <c r="G45" s="1028" t="s">
        <v>34</v>
      </c>
      <c r="H45" s="1028"/>
      <c r="I45" s="1028"/>
      <c r="J45" s="573"/>
      <c r="K45" s="503"/>
      <c r="L45" s="382"/>
      <c r="M45" s="581"/>
      <c r="N45" s="384"/>
      <c r="O45" s="372"/>
      <c r="P45" s="402"/>
      <c r="Q45" s="374"/>
    </row>
    <row r="46" spans="1:17" ht="16.2" thickBot="1" x14ac:dyDescent="0.35">
      <c r="A46" s="505" t="s">
        <v>314</v>
      </c>
      <c r="B46" s="505" t="s">
        <v>68</v>
      </c>
      <c r="C46" s="595" t="s">
        <v>19</v>
      </c>
      <c r="D46" s="582" t="s">
        <v>33</v>
      </c>
      <c r="E46" s="583" t="s">
        <v>35</v>
      </c>
      <c r="F46" s="584" t="s">
        <v>30</v>
      </c>
      <c r="G46" s="585" t="s">
        <v>14</v>
      </c>
      <c r="H46" s="583" t="s">
        <v>35</v>
      </c>
      <c r="I46" s="584" t="s">
        <v>30</v>
      </c>
      <c r="J46" s="577" t="s">
        <v>649</v>
      </c>
      <c r="K46" s="586" t="s">
        <v>38</v>
      </c>
      <c r="L46" s="393"/>
      <c r="M46" s="589"/>
      <c r="N46" s="400"/>
      <c r="O46" s="372"/>
      <c r="P46" s="373"/>
      <c r="Q46" s="374"/>
    </row>
    <row r="47" spans="1:17" x14ac:dyDescent="0.25">
      <c r="A47" s="396"/>
      <c r="B47" s="397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579"/>
      <c r="K47" s="510">
        <f>F47+I47+J47</f>
        <v>0</v>
      </c>
      <c r="L47" s="369"/>
      <c r="M47" s="293"/>
      <c r="N47" s="371"/>
      <c r="O47" s="372"/>
      <c r="P47" s="373"/>
      <c r="Q47" s="374"/>
    </row>
    <row r="48" spans="1:17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579"/>
      <c r="K48" s="510">
        <f>F48+I48+J48</f>
        <v>0</v>
      </c>
      <c r="O48" s="372"/>
      <c r="P48" s="373"/>
      <c r="Q48" s="374"/>
    </row>
    <row r="49" spans="1:17" x14ac:dyDescent="0.25">
      <c r="A49" s="361"/>
      <c r="B49" s="159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579"/>
      <c r="K49" s="510">
        <f>F49+I49+J49</f>
        <v>0</v>
      </c>
      <c r="O49" s="372"/>
      <c r="P49" s="373"/>
      <c r="Q49" s="374"/>
    </row>
    <row r="50" spans="1:17" ht="13.8" thickBot="1" x14ac:dyDescent="0.3">
      <c r="A50" s="378"/>
      <c r="B50" s="5"/>
      <c r="C50" s="379"/>
      <c r="D50" s="363"/>
      <c r="E50" s="247"/>
      <c r="F50" s="364"/>
      <c r="G50" s="509"/>
      <c r="H50" s="366"/>
      <c r="I50" s="364"/>
      <c r="J50" s="579"/>
      <c r="K50" s="514"/>
      <c r="L50" s="369"/>
      <c r="M50" s="293"/>
      <c r="N50" s="371"/>
      <c r="O50" s="372"/>
      <c r="P50" s="373"/>
      <c r="Q50" s="374"/>
    </row>
    <row r="51" spans="1:17" ht="13.8" thickTop="1" x14ac:dyDescent="0.25">
      <c r="A51" s="378"/>
      <c r="B51" s="403"/>
      <c r="C51" s="379"/>
      <c r="D51" s="363"/>
      <c r="E51" s="247"/>
      <c r="F51" s="364"/>
      <c r="G51" s="509"/>
      <c r="H51" s="366"/>
      <c r="I51" s="364"/>
      <c r="J51" s="380" t="s">
        <v>30</v>
      </c>
      <c r="K51" s="511">
        <f>SUM(K47:K50)</f>
        <v>0</v>
      </c>
      <c r="L51" s="369"/>
      <c r="M51" s="293"/>
      <c r="N51" s="371"/>
      <c r="O51" s="372"/>
      <c r="P51" s="373"/>
      <c r="Q51" s="374"/>
    </row>
    <row r="52" spans="1:17" ht="13.8" thickBot="1" x14ac:dyDescent="0.3">
      <c r="A52" s="571" t="s">
        <v>0</v>
      </c>
      <c r="B52" s="572" t="s">
        <v>1</v>
      </c>
      <c r="C52" s="1028" t="s">
        <v>646</v>
      </c>
      <c r="D52" s="1028"/>
      <c r="E52" s="1028"/>
      <c r="F52" s="1028"/>
      <c r="G52" s="1028" t="s">
        <v>34</v>
      </c>
      <c r="H52" s="1028"/>
      <c r="I52" s="1028"/>
      <c r="J52" s="573"/>
      <c r="K52" s="503"/>
      <c r="L52" s="382"/>
      <c r="M52" s="573"/>
      <c r="N52" s="384"/>
      <c r="O52" s="417"/>
      <c r="P52" s="418"/>
      <c r="Q52" s="374"/>
    </row>
    <row r="53" spans="1:17" ht="16.2" thickBot="1" x14ac:dyDescent="0.35">
      <c r="A53" s="505" t="s">
        <v>315</v>
      </c>
      <c r="B53" s="505" t="s">
        <v>316</v>
      </c>
      <c r="C53" s="595" t="s">
        <v>19</v>
      </c>
      <c r="D53" s="582" t="s">
        <v>33</v>
      </c>
      <c r="E53" s="583" t="s">
        <v>35</v>
      </c>
      <c r="F53" s="584" t="s">
        <v>30</v>
      </c>
      <c r="G53" s="585" t="s">
        <v>14</v>
      </c>
      <c r="H53" s="583" t="s">
        <v>35</v>
      </c>
      <c r="I53" s="584" t="s">
        <v>30</v>
      </c>
      <c r="J53" s="577" t="s">
        <v>649</v>
      </c>
      <c r="K53" s="586" t="s">
        <v>38</v>
      </c>
      <c r="L53" s="393"/>
      <c r="M53" s="589"/>
      <c r="N53" s="395"/>
      <c r="O53" s="417"/>
      <c r="P53" s="418"/>
      <c r="Q53" s="374"/>
    </row>
    <row r="54" spans="1:17" x14ac:dyDescent="0.25">
      <c r="A54" s="396"/>
      <c r="B54" s="397"/>
      <c r="C54" s="362"/>
      <c r="D54" s="363" t="s">
        <v>21</v>
      </c>
      <c r="E54" s="247">
        <v>0</v>
      </c>
      <c r="F54" s="364">
        <f>C54*E54</f>
        <v>0</v>
      </c>
      <c r="G54" s="509"/>
      <c r="H54" s="366">
        <v>0</v>
      </c>
      <c r="I54" s="364">
        <f>G54*H54</f>
        <v>0</v>
      </c>
      <c r="J54" s="579"/>
      <c r="K54" s="510">
        <f>F54+I54+J54</f>
        <v>0</v>
      </c>
      <c r="O54" s="401"/>
      <c r="P54" s="402"/>
      <c r="Q54" s="374"/>
    </row>
    <row r="55" spans="1:17" x14ac:dyDescent="0.25">
      <c r="A55" s="361"/>
      <c r="B55" s="5"/>
      <c r="C55" s="362"/>
      <c r="D55" s="363" t="s">
        <v>21</v>
      </c>
      <c r="E55" s="247">
        <v>0</v>
      </c>
      <c r="F55" s="364">
        <f>C55*E55</f>
        <v>0</v>
      </c>
      <c r="G55" s="509"/>
      <c r="H55" s="366">
        <v>0</v>
      </c>
      <c r="I55" s="364">
        <f>G55*H55</f>
        <v>0</v>
      </c>
      <c r="J55" s="579"/>
      <c r="K55" s="510">
        <f>F55+I55+J55</f>
        <v>0</v>
      </c>
      <c r="O55" s="372"/>
      <c r="P55" s="373"/>
      <c r="Q55" s="374"/>
    </row>
    <row r="56" spans="1:17" ht="13.8" thickBot="1" x14ac:dyDescent="0.3">
      <c r="A56" s="378"/>
      <c r="B56" s="403"/>
      <c r="C56" s="362"/>
      <c r="D56" s="363"/>
      <c r="E56" s="247"/>
      <c r="F56" s="364"/>
      <c r="G56" s="509"/>
      <c r="H56" s="366"/>
      <c r="I56" s="364"/>
      <c r="J56" s="579"/>
      <c r="K56" s="510"/>
      <c r="L56" s="369"/>
      <c r="M56" s="580"/>
      <c r="N56" s="371"/>
      <c r="O56" s="372"/>
      <c r="P56" s="373"/>
      <c r="Q56" s="374"/>
    </row>
    <row r="57" spans="1:17" ht="14.4" thickTop="1" thickBot="1" x14ac:dyDescent="0.3">
      <c r="A57" s="450"/>
      <c r="B57" s="156"/>
      <c r="C57" s="451"/>
      <c r="D57" s="452"/>
      <c r="E57" s="590"/>
      <c r="F57" s="454"/>
      <c r="G57" s="591"/>
      <c r="H57" s="590"/>
      <c r="I57" s="454"/>
      <c r="J57" s="456" t="s">
        <v>30</v>
      </c>
      <c r="K57" s="592">
        <f>SUM(K54:K56)</f>
        <v>0</v>
      </c>
      <c r="L57" s="369"/>
      <c r="M57" s="580"/>
      <c r="N57" s="371"/>
      <c r="O57" s="372"/>
      <c r="P57" s="373"/>
      <c r="Q57" s="374"/>
    </row>
    <row r="58" spans="1:17" ht="13.8" thickBot="1" x14ac:dyDescent="0.3">
      <c r="A58" s="571" t="s">
        <v>0</v>
      </c>
      <c r="B58" s="572" t="s">
        <v>1</v>
      </c>
      <c r="C58" s="1028" t="s">
        <v>646</v>
      </c>
      <c r="D58" s="1028"/>
      <c r="E58" s="1028"/>
      <c r="F58" s="1028"/>
      <c r="G58" s="1028" t="s">
        <v>34</v>
      </c>
      <c r="H58" s="1028"/>
      <c r="I58" s="1028"/>
      <c r="J58" s="573"/>
      <c r="K58" s="503"/>
      <c r="L58" s="382"/>
      <c r="M58" s="573"/>
      <c r="N58" s="419"/>
      <c r="O58" s="372"/>
      <c r="P58" s="373"/>
      <c r="Q58" s="374"/>
    </row>
    <row r="59" spans="1:17" ht="15.6" x14ac:dyDescent="0.3">
      <c r="A59" s="505" t="s">
        <v>317</v>
      </c>
      <c r="B59" s="505" t="s">
        <v>318</v>
      </c>
      <c r="C59" s="595" t="s">
        <v>19</v>
      </c>
      <c r="D59" s="582" t="s">
        <v>33</v>
      </c>
      <c r="E59" s="583" t="s">
        <v>35</v>
      </c>
      <c r="F59" s="584" t="s">
        <v>30</v>
      </c>
      <c r="G59" s="585" t="s">
        <v>14</v>
      </c>
      <c r="H59" s="583" t="s">
        <v>35</v>
      </c>
      <c r="I59" s="584" t="s">
        <v>30</v>
      </c>
      <c r="J59" s="577" t="s">
        <v>649</v>
      </c>
      <c r="K59" s="586" t="s">
        <v>38</v>
      </c>
      <c r="L59" s="393"/>
      <c r="M59" s="589"/>
      <c r="N59" s="400"/>
      <c r="O59" s="372"/>
      <c r="P59" s="373"/>
      <c r="Q59" s="374"/>
    </row>
    <row r="60" spans="1:17" ht="15" x14ac:dyDescent="0.25">
      <c r="A60" s="196" t="s">
        <v>319</v>
      </c>
      <c r="B60" s="196" t="s">
        <v>320</v>
      </c>
      <c r="C60" s="362"/>
      <c r="D60" s="363" t="s">
        <v>21</v>
      </c>
      <c r="E60" s="247">
        <v>0</v>
      </c>
      <c r="F60" s="364">
        <f>C60*E60</f>
        <v>0</v>
      </c>
      <c r="G60" s="509"/>
      <c r="H60" s="366">
        <v>0</v>
      </c>
      <c r="I60" s="364">
        <f>G60*H60</f>
        <v>0</v>
      </c>
      <c r="J60" s="579"/>
      <c r="K60" s="510">
        <f>F60+I60+J60</f>
        <v>0</v>
      </c>
      <c r="L60" s="369"/>
      <c r="M60" s="580"/>
      <c r="N60" s="371"/>
      <c r="O60" s="372"/>
      <c r="P60" s="373"/>
      <c r="Q60" s="374"/>
    </row>
    <row r="61" spans="1:17" x14ac:dyDescent="0.25">
      <c r="A61" s="158" t="s">
        <v>321</v>
      </c>
      <c r="B61" s="159" t="s">
        <v>322</v>
      </c>
      <c r="C61" s="362"/>
      <c r="D61" s="363" t="s">
        <v>21</v>
      </c>
      <c r="E61" s="247">
        <v>0</v>
      </c>
      <c r="F61" s="364">
        <f>C61*E61</f>
        <v>0</v>
      </c>
      <c r="G61" s="509"/>
      <c r="H61" s="366">
        <v>0</v>
      </c>
      <c r="I61" s="364">
        <f>G61*H61</f>
        <v>0</v>
      </c>
      <c r="J61" s="579"/>
      <c r="K61" s="510">
        <f>F61+I61+J61</f>
        <v>0</v>
      </c>
      <c r="L61" s="369"/>
      <c r="M61" s="580"/>
      <c r="N61" s="371"/>
      <c r="O61" s="372"/>
      <c r="P61" s="373"/>
      <c r="Q61" s="374"/>
    </row>
    <row r="62" spans="1:17" ht="15.6" thickBot="1" x14ac:dyDescent="0.3">
      <c r="A62" s="196" t="s">
        <v>323</v>
      </c>
      <c r="B62" s="196" t="s">
        <v>324</v>
      </c>
      <c r="C62" s="362"/>
      <c r="D62" s="363"/>
      <c r="E62" s="247"/>
      <c r="F62" s="364"/>
      <c r="G62" s="509"/>
      <c r="H62" s="366"/>
      <c r="I62" s="364"/>
      <c r="J62" s="579"/>
      <c r="K62" s="510"/>
      <c r="L62" s="369"/>
      <c r="M62" s="580"/>
      <c r="N62" s="371"/>
      <c r="O62" s="372"/>
      <c r="P62" s="373"/>
      <c r="Q62" s="374"/>
    </row>
    <row r="63" spans="1:17" ht="14.4" thickTop="1" thickBot="1" x14ac:dyDescent="0.3">
      <c r="A63" s="450"/>
      <c r="B63" s="156"/>
      <c r="C63" s="451"/>
      <c r="D63" s="452"/>
      <c r="E63" s="590"/>
      <c r="F63" s="454"/>
      <c r="G63" s="591"/>
      <c r="H63" s="590"/>
      <c r="I63" s="454"/>
      <c r="J63" s="456" t="s">
        <v>30</v>
      </c>
      <c r="K63" s="592">
        <f>SUM(K60:K62)</f>
        <v>0</v>
      </c>
      <c r="O63" s="519"/>
      <c r="P63" s="520"/>
      <c r="Q63" s="374"/>
    </row>
    <row r="64" spans="1:17" ht="13.8" thickBot="1" x14ac:dyDescent="0.3">
      <c r="A64" s="571" t="s">
        <v>0</v>
      </c>
      <c r="B64" s="572" t="s">
        <v>1</v>
      </c>
      <c r="C64" s="1028" t="s">
        <v>646</v>
      </c>
      <c r="D64" s="1028"/>
      <c r="E64" s="1028"/>
      <c r="F64" s="1028"/>
      <c r="G64" s="1028" t="s">
        <v>34</v>
      </c>
      <c r="H64" s="1028"/>
      <c r="I64" s="1028"/>
      <c r="J64" s="573"/>
      <c r="K64" s="503"/>
      <c r="L64" s="382"/>
      <c r="M64" s="573"/>
      <c r="N64" s="419"/>
      <c r="O64" s="372"/>
      <c r="P64" s="373"/>
      <c r="Q64" s="374"/>
    </row>
    <row r="65" spans="1:17" ht="13.8" thickBot="1" x14ac:dyDescent="0.3">
      <c r="A65" s="200"/>
      <c r="B65" s="200"/>
      <c r="C65" s="595" t="s">
        <v>19</v>
      </c>
      <c r="D65" s="582" t="s">
        <v>33</v>
      </c>
      <c r="E65" s="583" t="s">
        <v>35</v>
      </c>
      <c r="F65" s="584" t="s">
        <v>30</v>
      </c>
      <c r="G65" s="585" t="s">
        <v>14</v>
      </c>
      <c r="H65" s="583" t="s">
        <v>35</v>
      </c>
      <c r="I65" s="584" t="s">
        <v>30</v>
      </c>
      <c r="J65" s="577" t="s">
        <v>649</v>
      </c>
      <c r="K65" s="586" t="s">
        <v>38</v>
      </c>
      <c r="L65" s="393"/>
      <c r="M65" s="589"/>
      <c r="N65" s="400"/>
      <c r="O65" s="372"/>
      <c r="P65" s="373"/>
      <c r="Q65" s="374"/>
    </row>
    <row r="66" spans="1:17" x14ac:dyDescent="0.25">
      <c r="A66" s="396"/>
      <c r="B66" s="397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579"/>
      <c r="K66" s="510">
        <f>F66+I66+J66</f>
        <v>0</v>
      </c>
      <c r="M66" s="266"/>
      <c r="N66" s="159"/>
      <c r="O66" s="372"/>
      <c r="P66" s="373"/>
      <c r="Q66" s="374"/>
    </row>
    <row r="67" spans="1:17" x14ac:dyDescent="0.25">
      <c r="A67" s="361"/>
      <c r="B67" s="5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579"/>
      <c r="K67" s="510">
        <f>F67+I67+J67</f>
        <v>0</v>
      </c>
      <c r="M67" s="266"/>
      <c r="N67" s="159"/>
      <c r="O67" s="372"/>
      <c r="P67" s="373"/>
      <c r="Q67" s="374"/>
    </row>
    <row r="68" spans="1:17" x14ac:dyDescent="0.25">
      <c r="A68" s="361"/>
      <c r="B68" s="5"/>
      <c r="C68" s="362"/>
      <c r="D68" s="363" t="s">
        <v>21</v>
      </c>
      <c r="E68" s="247">
        <v>0</v>
      </c>
      <c r="F68" s="364">
        <f>C68*E68</f>
        <v>0</v>
      </c>
      <c r="G68" s="509"/>
      <c r="H68" s="366">
        <v>0</v>
      </c>
      <c r="I68" s="364">
        <f>G68*H68</f>
        <v>0</v>
      </c>
      <c r="J68" s="579"/>
      <c r="K68" s="510">
        <f>F68+I68+J68</f>
        <v>0</v>
      </c>
      <c r="M68" s="266"/>
      <c r="N68" s="159"/>
      <c r="O68" s="519"/>
      <c r="P68" s="520"/>
      <c r="Q68" s="374"/>
    </row>
    <row r="69" spans="1:17" x14ac:dyDescent="0.25">
      <c r="A69" s="361"/>
      <c r="B69" s="5"/>
      <c r="C69" s="362"/>
      <c r="D69" s="363" t="s">
        <v>21</v>
      </c>
      <c r="E69" s="247">
        <v>0</v>
      </c>
      <c r="F69" s="364">
        <f>C69*E69</f>
        <v>0</v>
      </c>
      <c r="G69" s="509"/>
      <c r="H69" s="366">
        <v>0</v>
      </c>
      <c r="I69" s="364">
        <f>G69*H69</f>
        <v>0</v>
      </c>
      <c r="J69" s="579"/>
      <c r="K69" s="510">
        <f>F69+I69+J69</f>
        <v>0</v>
      </c>
      <c r="M69" s="266"/>
      <c r="N69" s="159"/>
      <c r="O69" s="372"/>
      <c r="P69" s="373"/>
      <c r="Q69" s="374"/>
    </row>
    <row r="70" spans="1:17" ht="13.8" thickBot="1" x14ac:dyDescent="0.3">
      <c r="A70" s="378"/>
      <c r="B70" s="403"/>
      <c r="C70" s="362"/>
      <c r="D70" s="363"/>
      <c r="E70" s="247"/>
      <c r="F70" s="364"/>
      <c r="G70" s="509"/>
      <c r="H70" s="366"/>
      <c r="I70" s="364"/>
      <c r="J70" s="579"/>
      <c r="K70" s="510"/>
      <c r="L70" s="526"/>
      <c r="M70" s="255"/>
      <c r="N70" s="159"/>
      <c r="O70" s="372"/>
      <c r="P70" s="373"/>
      <c r="Q70" s="374"/>
    </row>
    <row r="71" spans="1:17" ht="14.4" thickTop="1" thickBot="1" x14ac:dyDescent="0.3">
      <c r="A71" s="450"/>
      <c r="B71" s="156"/>
      <c r="C71" s="451"/>
      <c r="D71" s="452"/>
      <c r="E71" s="590"/>
      <c r="F71" s="454"/>
      <c r="G71" s="591"/>
      <c r="H71" s="590"/>
      <c r="I71" s="454"/>
      <c r="J71" s="456" t="s">
        <v>30</v>
      </c>
      <c r="K71" s="592">
        <f>SUM(K66:K70)</f>
        <v>0</v>
      </c>
      <c r="L71" s="540"/>
      <c r="M71" s="613"/>
      <c r="N71" s="614"/>
      <c r="O71" s="441"/>
      <c r="P71" s="442"/>
      <c r="Q71" s="443"/>
    </row>
    <row r="72" spans="1:17" ht="14.1" customHeight="1" x14ac:dyDescent="0.25">
      <c r="A72" s="458"/>
      <c r="B72" s="459"/>
      <c r="C72" s="460"/>
      <c r="D72" s="460"/>
      <c r="E72" s="599"/>
      <c r="F72" s="1170" t="s">
        <v>648</v>
      </c>
      <c r="G72" s="1040" t="s">
        <v>673</v>
      </c>
      <c r="H72" s="599"/>
      <c r="I72" s="1180" t="s">
        <v>647</v>
      </c>
      <c r="J72" s="1044" t="s">
        <v>674</v>
      </c>
      <c r="K72" s="1172" t="s">
        <v>31</v>
      </c>
    </row>
    <row r="73" spans="1:17" ht="13.8" x14ac:dyDescent="0.25">
      <c r="A73" s="462" t="s">
        <v>32</v>
      </c>
      <c r="B73" s="1169" t="s">
        <v>45</v>
      </c>
      <c r="C73" s="463"/>
      <c r="D73" s="600"/>
      <c r="E73" s="600"/>
      <c r="F73" s="1171"/>
      <c r="G73" s="1041"/>
      <c r="H73" s="601"/>
      <c r="I73" s="1181"/>
      <c r="J73" s="1045"/>
      <c r="K73" s="1173"/>
    </row>
    <row r="74" spans="1:17" ht="13.8" x14ac:dyDescent="0.25">
      <c r="A74" s="782">
        <f>K75/E6</f>
        <v>0</v>
      </c>
      <c r="B74" s="1169"/>
      <c r="C74" s="600"/>
      <c r="D74" s="600"/>
      <c r="E74" s="600"/>
      <c r="F74" s="1174">
        <f>SUM(F66:F70,F60:F62,F54:F56,F47:F50,F41:F43,F28:F37,F20:F24,F11:F16)</f>
        <v>0</v>
      </c>
      <c r="G74" s="1176">
        <f>SUM(G66:G70,G60:G62,G54:G56,G47:G50,G41:G43,G28:G37,G20:G24,G11:G16)</f>
        <v>0</v>
      </c>
      <c r="H74" s="601"/>
      <c r="I74" s="1174">
        <f>SUM(I66:I70,I60:I62,I54:I56,I47:I50,I41:I43,I28:I37,I20:I24,I11:I16)</f>
        <v>0</v>
      </c>
      <c r="J74" s="1174">
        <f>SUM(J66:J70,J60:J62,J54:J56,J47:J50,J41:J43,J28:J37,J20:J24,J11:J16)</f>
        <v>0</v>
      </c>
      <c r="K74" s="1178">
        <f>K71+K63+K57+K51+K44+K38+K25+K17</f>
        <v>0</v>
      </c>
    </row>
    <row r="75" spans="1:17" ht="14.4" thickBot="1" x14ac:dyDescent="0.3">
      <c r="A75" s="462"/>
      <c r="B75" s="529"/>
      <c r="C75" s="468"/>
      <c r="D75" s="468"/>
      <c r="E75" s="468"/>
      <c r="F75" s="1175"/>
      <c r="G75" s="1177"/>
      <c r="H75" s="468"/>
      <c r="I75" s="1175"/>
      <c r="J75" s="1175"/>
      <c r="K75" s="1179"/>
    </row>
    <row r="76" spans="1:17" ht="13.8" thickBot="1" x14ac:dyDescent="0.3">
      <c r="A76" s="469"/>
      <c r="B76" s="470"/>
      <c r="C76" s="470"/>
      <c r="D76" s="470"/>
      <c r="E76" s="470"/>
      <c r="F76" s="470"/>
      <c r="G76" s="470"/>
      <c r="H76" s="470"/>
      <c r="I76" s="470"/>
      <c r="J76" s="470"/>
      <c r="K76" s="471"/>
    </row>
  </sheetData>
  <mergeCells count="52">
    <mergeCell ref="Q9:Q10"/>
    <mergeCell ref="L9:L10"/>
    <mergeCell ref="M9:M10"/>
    <mergeCell ref="N9:N10"/>
    <mergeCell ref="O9:O10"/>
    <mergeCell ref="P9:P10"/>
    <mergeCell ref="J72:J73"/>
    <mergeCell ref="K72:K73"/>
    <mergeCell ref="B73:B74"/>
    <mergeCell ref="I74:I75"/>
    <mergeCell ref="J74:J75"/>
    <mergeCell ref="K74:K75"/>
    <mergeCell ref="C45:F45"/>
    <mergeCell ref="G45:I45"/>
    <mergeCell ref="C52:F52"/>
    <mergeCell ref="G52:I52"/>
    <mergeCell ref="F74:F75"/>
    <mergeCell ref="G74:G75"/>
    <mergeCell ref="C58:F58"/>
    <mergeCell ref="G58:I58"/>
    <mergeCell ref="C64:F64"/>
    <mergeCell ref="G64:I64"/>
    <mergeCell ref="F72:F73"/>
    <mergeCell ref="G72:G73"/>
    <mergeCell ref="I72:I73"/>
    <mergeCell ref="C9:F9"/>
    <mergeCell ref="G9:I9"/>
    <mergeCell ref="C39:F39"/>
    <mergeCell ref="G39:I39"/>
    <mergeCell ref="C18:F18"/>
    <mergeCell ref="G18:I18"/>
    <mergeCell ref="C26:F26"/>
    <mergeCell ref="G26:I2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07"/>
  <sheetViews>
    <sheetView zoomScale="90" zoomScaleNormal="90" zoomScaleSheetLayoutView="90" zoomScalePageLayoutView="90" workbookViewId="0">
      <selection activeCell="J93" sqref="J93"/>
    </sheetView>
  </sheetViews>
  <sheetFormatPr defaultColWidth="9.33203125" defaultRowHeight="13.2" x14ac:dyDescent="0.25"/>
  <cols>
    <col min="1" max="1" width="12.33203125" style="157" bestFit="1" customWidth="1"/>
    <col min="2" max="2" width="43.44140625" style="157" customWidth="1"/>
    <col min="3" max="3" width="5" style="421" customWidth="1"/>
    <col min="4" max="4" width="5" style="615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33203125" style="157" bestFit="1" customWidth="1"/>
    <col min="10" max="10" width="16.33203125" style="157" bestFit="1" customWidth="1"/>
    <col min="11" max="11" width="14.332031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71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5" customHeight="1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326</v>
      </c>
      <c r="B10" s="505" t="s">
        <v>327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361"/>
      <c r="B11" s="5"/>
      <c r="C11" s="362"/>
      <c r="D11" s="363" t="s">
        <v>21</v>
      </c>
      <c r="E11" s="247">
        <v>0</v>
      </c>
      <c r="F11" s="364">
        <f t="shared" ref="F11:F22" si="0">C11*E11</f>
        <v>0</v>
      </c>
      <c r="G11" s="509"/>
      <c r="H11" s="366">
        <v>0</v>
      </c>
      <c r="I11" s="364">
        <f t="shared" ref="I11:I22" si="1">G11*H11</f>
        <v>0</v>
      </c>
      <c r="J11" s="367"/>
      <c r="K11" s="510">
        <f t="shared" ref="K11:K22" si="2">F11+I11+J11</f>
        <v>0</v>
      </c>
      <c r="L11" s="369"/>
      <c r="M11" s="370"/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/>
      <c r="M12" s="370"/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/>
      <c r="M13" s="37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157"/>
      <c r="M17" s="449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157"/>
      <c r="M18" s="449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157"/>
      <c r="M19" s="449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157"/>
      <c r="M20" s="449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157"/>
      <c r="M21" s="449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157"/>
      <c r="M22" s="449"/>
      <c r="O22" s="372"/>
      <c r="P22" s="373"/>
      <c r="Q22" s="374"/>
    </row>
    <row r="23" spans="1:17" ht="13.8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67"/>
      <c r="K23" s="510"/>
      <c r="L23" s="157"/>
      <c r="M23" s="449"/>
      <c r="O23" s="372"/>
      <c r="P23" s="373"/>
      <c r="Q23" s="374"/>
    </row>
    <row r="24" spans="1:17" ht="13.8" thickTop="1" x14ac:dyDescent="0.25">
      <c r="A24" s="378"/>
      <c r="B24" s="7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SUM(K11:K23)</f>
        <v>0</v>
      </c>
      <c r="L24" s="157"/>
      <c r="M24" s="449"/>
      <c r="O24" s="372"/>
      <c r="P24" s="373"/>
      <c r="Q24" s="374"/>
    </row>
    <row r="25" spans="1:17" ht="13.8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ht="16.2" thickBot="1" x14ac:dyDescent="0.35">
      <c r="A26" s="505" t="s">
        <v>328</v>
      </c>
      <c r="B26" s="505" t="s">
        <v>329</v>
      </c>
      <c r="C26" s="387" t="s">
        <v>19</v>
      </c>
      <c r="D26" s="388" t="s">
        <v>33</v>
      </c>
      <c r="E26" s="389" t="s">
        <v>35</v>
      </c>
      <c r="F26" s="390" t="s">
        <v>30</v>
      </c>
      <c r="G26" s="512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x14ac:dyDescent="0.25">
      <c r="A27" s="396"/>
      <c r="B27" s="397"/>
      <c r="C27" s="362"/>
      <c r="D27" s="363" t="s">
        <v>21</v>
      </c>
      <c r="E27" s="247">
        <v>0</v>
      </c>
      <c r="F27" s="364">
        <f t="shared" ref="F27:F33" si="3">C27*E27</f>
        <v>0</v>
      </c>
      <c r="G27" s="509"/>
      <c r="H27" s="366">
        <v>0</v>
      </c>
      <c r="I27" s="364">
        <f t="shared" ref="I27:I33" si="4">G27*H27</f>
        <v>0</v>
      </c>
      <c r="J27" s="367"/>
      <c r="K27" s="510">
        <f t="shared" ref="K27:K33" si="5">F27+I27+J27</f>
        <v>0</v>
      </c>
      <c r="L27" s="157"/>
      <c r="M27" s="449"/>
      <c r="O27" s="372"/>
      <c r="P27" s="373"/>
      <c r="Q27" s="374"/>
    </row>
    <row r="28" spans="1:17" x14ac:dyDescent="0.25">
      <c r="A28" s="361"/>
      <c r="B28" s="5"/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O28" s="372"/>
      <c r="P28" s="373"/>
      <c r="Q28" s="374"/>
    </row>
    <row r="29" spans="1:17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372"/>
      <c r="P30" s="373"/>
      <c r="Q30" s="374"/>
    </row>
    <row r="31" spans="1:17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515"/>
      <c r="M31" s="531"/>
      <c r="N31" s="516"/>
      <c r="O31" s="372"/>
      <c r="P31" s="373"/>
      <c r="Q31" s="374"/>
    </row>
    <row r="32" spans="1:17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L32" s="517"/>
      <c r="M32" s="249"/>
      <c r="N32" s="409"/>
      <c r="O32" s="372"/>
      <c r="P32" s="373"/>
      <c r="Q32" s="374"/>
    </row>
    <row r="33" spans="1:17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L33" s="157"/>
      <c r="M33" s="449"/>
      <c r="O33" s="372"/>
      <c r="P33" s="373"/>
      <c r="Q33" s="374"/>
    </row>
    <row r="34" spans="1:17" ht="13.8" thickBot="1" x14ac:dyDescent="0.3">
      <c r="A34" s="361"/>
      <c r="B34" s="5"/>
      <c r="C34" s="379"/>
      <c r="D34" s="363"/>
      <c r="E34" s="247"/>
      <c r="F34" s="364"/>
      <c r="G34" s="509"/>
      <c r="H34" s="366"/>
      <c r="I34" s="364"/>
      <c r="J34" s="367"/>
      <c r="K34" s="514"/>
      <c r="L34" s="157"/>
      <c r="M34" s="449"/>
      <c r="O34" s="372"/>
      <c r="P34" s="373"/>
      <c r="Q34" s="374"/>
    </row>
    <row r="35" spans="1:17" ht="13.8" thickTop="1" x14ac:dyDescent="0.25">
      <c r="A35" s="378"/>
      <c r="B35" s="5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17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17" ht="15.6" x14ac:dyDescent="0.3">
      <c r="A37" s="505" t="s">
        <v>330</v>
      </c>
      <c r="B37" s="505" t="s">
        <v>331</v>
      </c>
      <c r="C37" s="387" t="s">
        <v>19</v>
      </c>
      <c r="D37" s="388" t="s">
        <v>33</v>
      </c>
      <c r="E37" s="389" t="s">
        <v>35</v>
      </c>
      <c r="F37" s="390" t="s">
        <v>30</v>
      </c>
      <c r="G37" s="512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17" x14ac:dyDescent="0.25">
      <c r="A38" s="250" t="s">
        <v>332</v>
      </c>
      <c r="B38" s="250" t="s">
        <v>333</v>
      </c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370"/>
      <c r="N38" s="371"/>
      <c r="O38" s="401"/>
      <c r="P38" s="402"/>
      <c r="Q38" s="374"/>
    </row>
    <row r="39" spans="1:17" x14ac:dyDescent="0.25">
      <c r="A39" s="361"/>
      <c r="B39" s="5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367"/>
      <c r="K39" s="510">
        <f>F39+I39+J39</f>
        <v>0</v>
      </c>
      <c r="L39" s="369"/>
      <c r="M39" s="370"/>
      <c r="N39" s="371"/>
      <c r="O39" s="401"/>
      <c r="P39" s="402"/>
      <c r="Q39" s="374"/>
    </row>
    <row r="40" spans="1:17" x14ac:dyDescent="0.25">
      <c r="A40" s="361"/>
      <c r="B40" s="5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L40" s="369"/>
      <c r="M40" s="370"/>
      <c r="N40" s="371"/>
      <c r="O40" s="401"/>
      <c r="P40" s="402"/>
      <c r="Q40" s="374"/>
    </row>
    <row r="41" spans="1:17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67"/>
      <c r="K41" s="514"/>
      <c r="L41" s="369"/>
      <c r="M41" s="370"/>
      <c r="N41" s="371"/>
      <c r="O41" s="401"/>
      <c r="P41" s="402"/>
      <c r="Q41" s="374"/>
    </row>
    <row r="42" spans="1:17" ht="13.8" thickBot="1" x14ac:dyDescent="0.3">
      <c r="A42" s="378"/>
      <c r="B42" s="403"/>
      <c r="C42" s="379"/>
      <c r="D42" s="363"/>
      <c r="E42" s="247"/>
      <c r="F42" s="364"/>
      <c r="G42" s="509"/>
      <c r="H42" s="366"/>
      <c r="I42" s="364"/>
      <c r="J42" s="367"/>
      <c r="K42" s="514"/>
      <c r="O42" s="401"/>
      <c r="P42" s="402"/>
      <c r="Q42" s="374"/>
    </row>
    <row r="43" spans="1:17" ht="13.8" thickTop="1" x14ac:dyDescent="0.25">
      <c r="A43" s="378"/>
      <c r="B43" s="403"/>
      <c r="C43" s="379"/>
      <c r="D43" s="363"/>
      <c r="E43" s="247"/>
      <c r="F43" s="364"/>
      <c r="G43" s="509"/>
      <c r="H43" s="366"/>
      <c r="I43" s="364"/>
      <c r="J43" s="380" t="s">
        <v>30</v>
      </c>
      <c r="K43" s="511">
        <f>SUM(K38:K42)</f>
        <v>0</v>
      </c>
      <c r="O43" s="372"/>
      <c r="P43" s="373"/>
      <c r="Q43" s="374"/>
    </row>
    <row r="44" spans="1:17" ht="13.8" thickBot="1" x14ac:dyDescent="0.3">
      <c r="A44" s="344" t="s">
        <v>0</v>
      </c>
      <c r="B44" s="345" t="s">
        <v>1</v>
      </c>
      <c r="C44" s="1028" t="s">
        <v>646</v>
      </c>
      <c r="D44" s="1028"/>
      <c r="E44" s="1028"/>
      <c r="F44" s="1028"/>
      <c r="G44" s="1028" t="s">
        <v>34</v>
      </c>
      <c r="H44" s="1028"/>
      <c r="I44" s="1028"/>
      <c r="J44" s="346"/>
      <c r="K44" s="503"/>
      <c r="L44" s="382"/>
      <c r="M44" s="383"/>
      <c r="N44" s="384"/>
      <c r="O44" s="372"/>
      <c r="P44" s="373"/>
      <c r="Q44" s="374"/>
    </row>
    <row r="45" spans="1:17" ht="15.6" x14ac:dyDescent="0.3">
      <c r="A45" s="505" t="s">
        <v>334</v>
      </c>
      <c r="B45" s="505" t="s">
        <v>335</v>
      </c>
      <c r="C45" s="387" t="s">
        <v>19</v>
      </c>
      <c r="D45" s="388" t="s">
        <v>33</v>
      </c>
      <c r="E45" s="389" t="s">
        <v>35</v>
      </c>
      <c r="F45" s="390" t="s">
        <v>30</v>
      </c>
      <c r="G45" s="512" t="s">
        <v>14</v>
      </c>
      <c r="H45" s="389" t="s">
        <v>35</v>
      </c>
      <c r="I45" s="390" t="s">
        <v>30</v>
      </c>
      <c r="J45" s="355" t="s">
        <v>649</v>
      </c>
      <c r="K45" s="513" t="s">
        <v>38</v>
      </c>
      <c r="L45" s="393"/>
      <c r="M45" s="399"/>
      <c r="N45" s="400"/>
      <c r="O45" s="372"/>
      <c r="P45" s="402"/>
      <c r="Q45" s="374"/>
    </row>
    <row r="46" spans="1:17" x14ac:dyDescent="0.25">
      <c r="A46" s="250" t="s">
        <v>336</v>
      </c>
      <c r="B46" s="250" t="s">
        <v>337</v>
      </c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409"/>
      <c r="O46" s="372"/>
      <c r="P46" s="373"/>
      <c r="Q46" s="374"/>
    </row>
    <row r="47" spans="1:17" x14ac:dyDescent="0.25">
      <c r="A47" s="361"/>
      <c r="B47" s="5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369"/>
      <c r="M47" s="249"/>
      <c r="N47" s="409"/>
      <c r="O47" s="372"/>
      <c r="P47" s="373"/>
      <c r="Q47" s="374"/>
    </row>
    <row r="48" spans="1:17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617"/>
      <c r="M48" s="618"/>
      <c r="N48" s="619"/>
      <c r="O48" s="372"/>
      <c r="P48" s="373"/>
      <c r="Q48" s="374"/>
    </row>
    <row r="49" spans="1:17" x14ac:dyDescent="0.25">
      <c r="A49" s="361"/>
      <c r="B49" s="5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620"/>
      <c r="M49" s="249"/>
      <c r="N49" s="409"/>
      <c r="O49" s="372"/>
      <c r="P49" s="373"/>
      <c r="Q49" s="374"/>
    </row>
    <row r="50" spans="1:17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409"/>
      <c r="O50" s="372"/>
      <c r="P50" s="373"/>
      <c r="Q50" s="374"/>
    </row>
    <row r="51" spans="1:17" ht="13.8" thickBot="1" x14ac:dyDescent="0.3">
      <c r="A51" s="378"/>
      <c r="B51" s="403"/>
      <c r="C51" s="379"/>
      <c r="D51" s="363"/>
      <c r="E51" s="247"/>
      <c r="F51" s="364"/>
      <c r="G51" s="509"/>
      <c r="H51" s="366"/>
      <c r="I51" s="364"/>
      <c r="J51" s="367"/>
      <c r="K51" s="514"/>
      <c r="L51" s="369"/>
      <c r="M51" s="249"/>
      <c r="N51" s="371"/>
      <c r="O51" s="372"/>
      <c r="P51" s="373"/>
      <c r="Q51" s="374"/>
    </row>
    <row r="52" spans="1:17" ht="13.8" thickTop="1" x14ac:dyDescent="0.25">
      <c r="A52" s="378"/>
      <c r="B52" s="403"/>
      <c r="C52" s="379"/>
      <c r="D52" s="363"/>
      <c r="E52" s="247"/>
      <c r="F52" s="364"/>
      <c r="G52" s="509"/>
      <c r="H52" s="366"/>
      <c r="I52" s="364"/>
      <c r="J52" s="380" t="s">
        <v>30</v>
      </c>
      <c r="K52" s="511">
        <f>SUM(K46:K51)</f>
        <v>0</v>
      </c>
      <c r="L52" s="157"/>
      <c r="M52" s="449"/>
      <c r="O52" s="417"/>
      <c r="P52" s="418"/>
      <c r="Q52" s="374"/>
    </row>
    <row r="53" spans="1:17" ht="13.8" thickBot="1" x14ac:dyDescent="0.3">
      <c r="A53" s="344" t="s">
        <v>0</v>
      </c>
      <c r="B53" s="345" t="s">
        <v>1</v>
      </c>
      <c r="C53" s="1028" t="s">
        <v>646</v>
      </c>
      <c r="D53" s="1028"/>
      <c r="E53" s="1028"/>
      <c r="F53" s="1028"/>
      <c r="G53" s="1028" t="s">
        <v>34</v>
      </c>
      <c r="H53" s="1028"/>
      <c r="I53" s="1028"/>
      <c r="J53" s="346"/>
      <c r="K53" s="503"/>
      <c r="L53" s="382"/>
      <c r="M53" s="346"/>
      <c r="N53" s="384"/>
      <c r="O53" s="417"/>
      <c r="P53" s="418"/>
      <c r="Q53" s="374"/>
    </row>
    <row r="54" spans="1:17" ht="15.6" x14ac:dyDescent="0.3">
      <c r="A54" s="505" t="s">
        <v>338</v>
      </c>
      <c r="B54" s="505" t="s">
        <v>339</v>
      </c>
      <c r="C54" s="387" t="s">
        <v>19</v>
      </c>
      <c r="D54" s="388" t="s">
        <v>33</v>
      </c>
      <c r="E54" s="389" t="s">
        <v>35</v>
      </c>
      <c r="F54" s="390" t="s">
        <v>30</v>
      </c>
      <c r="G54" s="512" t="s">
        <v>14</v>
      </c>
      <c r="H54" s="389" t="s">
        <v>35</v>
      </c>
      <c r="I54" s="390" t="s">
        <v>30</v>
      </c>
      <c r="J54" s="355" t="s">
        <v>649</v>
      </c>
      <c r="K54" s="513" t="s">
        <v>38</v>
      </c>
      <c r="L54" s="393"/>
      <c r="M54" s="399"/>
      <c r="N54" s="395"/>
      <c r="O54" s="401"/>
      <c r="P54" s="402"/>
      <c r="Q54" s="374"/>
    </row>
    <row r="55" spans="1:17" x14ac:dyDescent="0.25">
      <c r="A55" s="250" t="s">
        <v>340</v>
      </c>
      <c r="B55" s="250" t="s">
        <v>341</v>
      </c>
      <c r="C55" s="362"/>
      <c r="D55" s="363" t="s">
        <v>21</v>
      </c>
      <c r="E55" s="247">
        <v>0</v>
      </c>
      <c r="F55" s="364">
        <f t="shared" ref="F55:F61" si="6">C55*E55</f>
        <v>0</v>
      </c>
      <c r="G55" s="509"/>
      <c r="H55" s="366">
        <v>0</v>
      </c>
      <c r="I55" s="364">
        <f t="shared" ref="I55:I61" si="7">G55*H55</f>
        <v>0</v>
      </c>
      <c r="J55" s="367"/>
      <c r="K55" s="510">
        <f t="shared" ref="K55:K61" si="8">F55+I55+J55</f>
        <v>0</v>
      </c>
      <c r="O55" s="372"/>
      <c r="P55" s="373"/>
      <c r="Q55" s="374"/>
    </row>
    <row r="56" spans="1:17" x14ac:dyDescent="0.25">
      <c r="A56" s="361"/>
      <c r="B56" s="5"/>
      <c r="C56" s="362"/>
      <c r="D56" s="363" t="s">
        <v>21</v>
      </c>
      <c r="E56" s="247">
        <v>0</v>
      </c>
      <c r="F56" s="364">
        <f t="shared" si="6"/>
        <v>0</v>
      </c>
      <c r="G56" s="509"/>
      <c r="H56" s="366">
        <v>0</v>
      </c>
      <c r="I56" s="364">
        <f t="shared" si="7"/>
        <v>0</v>
      </c>
      <c r="J56" s="367"/>
      <c r="K56" s="510">
        <f t="shared" si="8"/>
        <v>0</v>
      </c>
      <c r="L56" s="369"/>
      <c r="M56" s="249"/>
      <c r="N56" s="371"/>
      <c r="O56" s="372"/>
      <c r="P56" s="373"/>
      <c r="Q56" s="374"/>
    </row>
    <row r="57" spans="1:17" x14ac:dyDescent="0.25">
      <c r="A57" s="361"/>
      <c r="B57" s="5"/>
      <c r="C57" s="362"/>
      <c r="D57" s="363" t="s">
        <v>21</v>
      </c>
      <c r="E57" s="247">
        <v>0</v>
      </c>
      <c r="F57" s="364">
        <f t="shared" si="6"/>
        <v>0</v>
      </c>
      <c r="G57" s="509"/>
      <c r="H57" s="366">
        <v>0</v>
      </c>
      <c r="I57" s="364">
        <f t="shared" si="7"/>
        <v>0</v>
      </c>
      <c r="J57" s="367"/>
      <c r="K57" s="510">
        <f t="shared" si="8"/>
        <v>0</v>
      </c>
      <c r="L57" s="369"/>
      <c r="M57" s="249"/>
      <c r="N57" s="371"/>
      <c r="O57" s="372"/>
      <c r="P57" s="373"/>
      <c r="Q57" s="374"/>
    </row>
    <row r="58" spans="1:17" x14ac:dyDescent="0.25">
      <c r="A58" s="361"/>
      <c r="B58" s="5"/>
      <c r="C58" s="362"/>
      <c r="D58" s="363" t="s">
        <v>21</v>
      </c>
      <c r="E58" s="247">
        <v>0</v>
      </c>
      <c r="F58" s="364">
        <f t="shared" si="6"/>
        <v>0</v>
      </c>
      <c r="G58" s="509"/>
      <c r="H58" s="366">
        <v>0</v>
      </c>
      <c r="I58" s="364">
        <f t="shared" si="7"/>
        <v>0</v>
      </c>
      <c r="J58" s="367"/>
      <c r="K58" s="510">
        <f t="shared" si="8"/>
        <v>0</v>
      </c>
      <c r="L58" s="369"/>
      <c r="M58" s="249"/>
      <c r="N58" s="371"/>
      <c r="O58" s="372"/>
      <c r="P58" s="373"/>
      <c r="Q58" s="374"/>
    </row>
    <row r="59" spans="1:17" x14ac:dyDescent="0.25">
      <c r="A59" s="361"/>
      <c r="B59" s="5"/>
      <c r="C59" s="362"/>
      <c r="D59" s="363" t="s">
        <v>21</v>
      </c>
      <c r="E59" s="247">
        <v>0</v>
      </c>
      <c r="F59" s="364">
        <f t="shared" si="6"/>
        <v>0</v>
      </c>
      <c r="G59" s="509"/>
      <c r="H59" s="366">
        <v>0</v>
      </c>
      <c r="I59" s="364">
        <f t="shared" si="7"/>
        <v>0</v>
      </c>
      <c r="J59" s="367"/>
      <c r="K59" s="510">
        <f t="shared" si="8"/>
        <v>0</v>
      </c>
      <c r="L59" s="617"/>
      <c r="M59" s="249"/>
      <c r="N59" s="619"/>
      <c r="O59" s="372"/>
      <c r="P59" s="373"/>
      <c r="Q59" s="374"/>
    </row>
    <row r="60" spans="1:17" x14ac:dyDescent="0.25">
      <c r="A60" s="361"/>
      <c r="B60" s="5"/>
      <c r="C60" s="362"/>
      <c r="D60" s="363" t="s">
        <v>21</v>
      </c>
      <c r="E60" s="247">
        <v>0</v>
      </c>
      <c r="F60" s="364">
        <f t="shared" si="6"/>
        <v>0</v>
      </c>
      <c r="G60" s="509"/>
      <c r="H60" s="366">
        <v>0</v>
      </c>
      <c r="I60" s="364">
        <f t="shared" si="7"/>
        <v>0</v>
      </c>
      <c r="J60" s="367"/>
      <c r="K60" s="510">
        <f t="shared" si="8"/>
        <v>0</v>
      </c>
      <c r="L60" s="620"/>
      <c r="M60" s="249"/>
      <c r="N60" s="621"/>
      <c r="O60" s="372"/>
      <c r="P60" s="373"/>
      <c r="Q60" s="374"/>
    </row>
    <row r="61" spans="1:17" x14ac:dyDescent="0.25">
      <c r="A61" s="361"/>
      <c r="B61" s="5"/>
      <c r="C61" s="362"/>
      <c r="D61" s="363" t="s">
        <v>21</v>
      </c>
      <c r="E61" s="247">
        <v>0</v>
      </c>
      <c r="F61" s="364">
        <f t="shared" si="6"/>
        <v>0</v>
      </c>
      <c r="G61" s="509"/>
      <c r="H61" s="366">
        <v>0</v>
      </c>
      <c r="I61" s="364">
        <f t="shared" si="7"/>
        <v>0</v>
      </c>
      <c r="J61" s="367"/>
      <c r="K61" s="510">
        <f t="shared" si="8"/>
        <v>0</v>
      </c>
      <c r="L61" s="369"/>
      <c r="M61" s="249"/>
      <c r="N61" s="409"/>
      <c r="O61" s="372"/>
      <c r="P61" s="373"/>
      <c r="Q61" s="374"/>
    </row>
    <row r="62" spans="1:17" ht="13.8" thickBot="1" x14ac:dyDescent="0.3">
      <c r="A62" s="378"/>
      <c r="B62" s="5"/>
      <c r="C62" s="379"/>
      <c r="D62" s="363"/>
      <c r="E62" s="247"/>
      <c r="F62" s="364"/>
      <c r="G62" s="509"/>
      <c r="H62" s="366"/>
      <c r="I62" s="364"/>
      <c r="J62" s="367"/>
      <c r="K62" s="514"/>
      <c r="O62" s="372"/>
      <c r="P62" s="373"/>
      <c r="Q62" s="374"/>
    </row>
    <row r="63" spans="1:17" ht="13.8" thickTop="1" x14ac:dyDescent="0.25">
      <c r="A63" s="378"/>
      <c r="B63" s="403"/>
      <c r="C63" s="379"/>
      <c r="D63" s="363"/>
      <c r="E63" s="247"/>
      <c r="F63" s="364"/>
      <c r="G63" s="509"/>
      <c r="H63" s="366"/>
      <c r="I63" s="364"/>
      <c r="J63" s="380" t="s">
        <v>30</v>
      </c>
      <c r="K63" s="511">
        <f>SUM(K55:K62)</f>
        <v>0</v>
      </c>
      <c r="O63" s="372"/>
      <c r="P63" s="373"/>
      <c r="Q63" s="374"/>
    </row>
    <row r="64" spans="1:17" ht="13.8" thickBot="1" x14ac:dyDescent="0.3">
      <c r="A64" s="344" t="s">
        <v>0</v>
      </c>
      <c r="B64" s="345" t="s">
        <v>1</v>
      </c>
      <c r="C64" s="1028" t="s">
        <v>646</v>
      </c>
      <c r="D64" s="1028"/>
      <c r="E64" s="1028"/>
      <c r="F64" s="1028"/>
      <c r="G64" s="1028" t="s">
        <v>34</v>
      </c>
      <c r="H64" s="1028"/>
      <c r="I64" s="1028"/>
      <c r="J64" s="346"/>
      <c r="K64" s="503"/>
      <c r="L64" s="382"/>
      <c r="M64" s="346"/>
      <c r="N64" s="419"/>
      <c r="O64" s="372"/>
      <c r="P64" s="373"/>
      <c r="Q64" s="374"/>
    </row>
    <row r="65" spans="1:17" ht="16.2" thickBot="1" x14ac:dyDescent="0.35">
      <c r="A65" s="505" t="s">
        <v>342</v>
      </c>
      <c r="B65" s="505" t="s">
        <v>343</v>
      </c>
      <c r="C65" s="387" t="s">
        <v>19</v>
      </c>
      <c r="D65" s="388" t="s">
        <v>33</v>
      </c>
      <c r="E65" s="389" t="s">
        <v>35</v>
      </c>
      <c r="F65" s="390" t="s">
        <v>30</v>
      </c>
      <c r="G65" s="512" t="s">
        <v>14</v>
      </c>
      <c r="H65" s="389" t="s">
        <v>35</v>
      </c>
      <c r="I65" s="390" t="s">
        <v>30</v>
      </c>
      <c r="J65" s="355" t="s">
        <v>649</v>
      </c>
      <c r="K65" s="513" t="s">
        <v>38</v>
      </c>
      <c r="L65" s="393"/>
      <c r="M65" s="399"/>
      <c r="N65" s="400"/>
      <c r="O65" s="372"/>
      <c r="P65" s="373"/>
      <c r="Q65" s="374"/>
    </row>
    <row r="66" spans="1:17" x14ac:dyDescent="0.25">
      <c r="A66" s="396"/>
      <c r="B66" s="397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367"/>
      <c r="K66" s="510">
        <f>F66+I66+J66</f>
        <v>0</v>
      </c>
      <c r="L66" s="369"/>
      <c r="M66" s="370"/>
      <c r="N66" s="371"/>
      <c r="O66" s="372"/>
      <c r="P66" s="373"/>
      <c r="Q66" s="374"/>
    </row>
    <row r="67" spans="1:17" x14ac:dyDescent="0.25">
      <c r="A67" s="361"/>
      <c r="B67" s="5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367"/>
      <c r="K67" s="510">
        <f>F67+I67+J67</f>
        <v>0</v>
      </c>
      <c r="L67" s="369"/>
      <c r="M67" s="370"/>
      <c r="N67" s="371"/>
      <c r="O67" s="372"/>
      <c r="P67" s="373"/>
      <c r="Q67" s="374"/>
    </row>
    <row r="68" spans="1:17" x14ac:dyDescent="0.25">
      <c r="A68" s="361"/>
      <c r="B68" s="5"/>
      <c r="C68" s="362"/>
      <c r="D68" s="363" t="s">
        <v>21</v>
      </c>
      <c r="E68" s="247">
        <v>0</v>
      </c>
      <c r="F68" s="364">
        <f>C68*E68</f>
        <v>0</v>
      </c>
      <c r="G68" s="509"/>
      <c r="H68" s="366">
        <v>0</v>
      </c>
      <c r="I68" s="364">
        <f>G68*H68</f>
        <v>0</v>
      </c>
      <c r="J68" s="367"/>
      <c r="K68" s="510">
        <f>F68+I68+J68</f>
        <v>0</v>
      </c>
      <c r="L68" s="369"/>
      <c r="M68" s="370"/>
      <c r="N68" s="371"/>
      <c r="O68" s="372"/>
      <c r="P68" s="373"/>
      <c r="Q68" s="374"/>
    </row>
    <row r="69" spans="1:17" x14ac:dyDescent="0.25">
      <c r="A69" s="361"/>
      <c r="B69" s="5"/>
      <c r="C69" s="362"/>
      <c r="D69" s="363" t="s">
        <v>21</v>
      </c>
      <c r="E69" s="247">
        <v>0</v>
      </c>
      <c r="F69" s="364">
        <f>C69*E69</f>
        <v>0</v>
      </c>
      <c r="G69" s="509"/>
      <c r="H69" s="366">
        <v>0</v>
      </c>
      <c r="I69" s="364">
        <f>G69*H69</f>
        <v>0</v>
      </c>
      <c r="J69" s="367"/>
      <c r="K69" s="510">
        <f>F69+I69+J69</f>
        <v>0</v>
      </c>
      <c r="O69" s="372"/>
      <c r="P69" s="373"/>
      <c r="Q69" s="374"/>
    </row>
    <row r="70" spans="1:17" x14ac:dyDescent="0.25">
      <c r="A70" s="361"/>
      <c r="B70" s="5"/>
      <c r="C70" s="362"/>
      <c r="D70" s="363" t="s">
        <v>21</v>
      </c>
      <c r="E70" s="247">
        <v>0</v>
      </c>
      <c r="F70" s="364">
        <f>C70*E70</f>
        <v>0</v>
      </c>
      <c r="G70" s="509"/>
      <c r="H70" s="366">
        <v>0</v>
      </c>
      <c r="I70" s="364">
        <f>G70*H70</f>
        <v>0</v>
      </c>
      <c r="J70" s="367"/>
      <c r="K70" s="510">
        <f>F70+I70+J70</f>
        <v>0</v>
      </c>
      <c r="O70" s="372"/>
      <c r="P70" s="373"/>
      <c r="Q70" s="374"/>
    </row>
    <row r="71" spans="1:17" ht="13.8" thickBot="1" x14ac:dyDescent="0.3">
      <c r="A71" s="378"/>
      <c r="B71" s="5"/>
      <c r="C71" s="379"/>
      <c r="D71" s="363"/>
      <c r="E71" s="247"/>
      <c r="F71" s="364"/>
      <c r="G71" s="509"/>
      <c r="H71" s="366"/>
      <c r="I71" s="364"/>
      <c r="J71" s="367"/>
      <c r="K71" s="514"/>
      <c r="O71" s="372"/>
      <c r="P71" s="373"/>
      <c r="Q71" s="374"/>
    </row>
    <row r="72" spans="1:17" ht="13.8" thickTop="1" x14ac:dyDescent="0.25">
      <c r="A72" s="378"/>
      <c r="B72" s="403"/>
      <c r="C72" s="379"/>
      <c r="D72" s="363"/>
      <c r="E72" s="247"/>
      <c r="F72" s="364"/>
      <c r="G72" s="509"/>
      <c r="H72" s="366"/>
      <c r="I72" s="364"/>
      <c r="J72" s="380" t="s">
        <v>30</v>
      </c>
      <c r="K72" s="511">
        <f>SUM(K66:K71)</f>
        <v>0</v>
      </c>
      <c r="O72" s="372"/>
      <c r="P72" s="373"/>
      <c r="Q72" s="374"/>
    </row>
    <row r="73" spans="1:17" ht="13.8" thickBot="1" x14ac:dyDescent="0.3">
      <c r="A73" s="344" t="s">
        <v>0</v>
      </c>
      <c r="B73" s="345" t="s">
        <v>1</v>
      </c>
      <c r="C73" s="1028" t="s">
        <v>646</v>
      </c>
      <c r="D73" s="1028"/>
      <c r="E73" s="1028"/>
      <c r="F73" s="1028"/>
      <c r="G73" s="1028" t="s">
        <v>34</v>
      </c>
      <c r="H73" s="1028"/>
      <c r="I73" s="1028"/>
      <c r="J73" s="346"/>
      <c r="K73" s="503"/>
      <c r="L73" s="382"/>
      <c r="M73" s="383"/>
      <c r="N73" s="384"/>
      <c r="O73" s="372"/>
      <c r="P73" s="373"/>
      <c r="Q73" s="374"/>
    </row>
    <row r="74" spans="1:17" ht="16.2" thickBot="1" x14ac:dyDescent="0.35">
      <c r="A74" s="505" t="s">
        <v>344</v>
      </c>
      <c r="B74" s="505" t="s">
        <v>345</v>
      </c>
      <c r="C74" s="387" t="s">
        <v>19</v>
      </c>
      <c r="D74" s="388" t="s">
        <v>33</v>
      </c>
      <c r="E74" s="389" t="s">
        <v>35</v>
      </c>
      <c r="F74" s="390" t="s">
        <v>30</v>
      </c>
      <c r="G74" s="512" t="s">
        <v>14</v>
      </c>
      <c r="H74" s="389" t="s">
        <v>35</v>
      </c>
      <c r="I74" s="390" t="s">
        <v>30</v>
      </c>
      <c r="J74" s="355" t="s">
        <v>649</v>
      </c>
      <c r="K74" s="513" t="s">
        <v>38</v>
      </c>
      <c r="L74" s="393"/>
      <c r="M74" s="394"/>
      <c r="N74" s="395"/>
      <c r="O74" s="372"/>
      <c r="P74" s="373"/>
      <c r="Q74" s="374"/>
    </row>
    <row r="75" spans="1:17" x14ac:dyDescent="0.25">
      <c r="A75" s="396"/>
      <c r="B75" s="397"/>
      <c r="C75" s="362"/>
      <c r="D75" s="363" t="s">
        <v>21</v>
      </c>
      <c r="E75" s="247">
        <v>0</v>
      </c>
      <c r="F75" s="364">
        <f>C75*E75</f>
        <v>0</v>
      </c>
      <c r="G75" s="509"/>
      <c r="H75" s="366">
        <v>0</v>
      </c>
      <c r="I75" s="364">
        <f>G75*H75</f>
        <v>0</v>
      </c>
      <c r="J75" s="367"/>
      <c r="K75" s="510">
        <f>F75+I75+J75</f>
        <v>0</v>
      </c>
      <c r="L75" s="369"/>
      <c r="M75" s="370"/>
      <c r="N75" s="371"/>
      <c r="O75" s="372"/>
      <c r="P75" s="373"/>
      <c r="Q75" s="374"/>
    </row>
    <row r="76" spans="1:17" x14ac:dyDescent="0.25">
      <c r="A76" s="361"/>
      <c r="B76" s="5"/>
      <c r="C76" s="362"/>
      <c r="D76" s="363" t="s">
        <v>21</v>
      </c>
      <c r="E76" s="247">
        <v>0</v>
      </c>
      <c r="F76" s="364">
        <f>C76*E76</f>
        <v>0</v>
      </c>
      <c r="G76" s="509"/>
      <c r="H76" s="366">
        <v>0</v>
      </c>
      <c r="I76" s="364">
        <f>G76*H76</f>
        <v>0</v>
      </c>
      <c r="J76" s="367"/>
      <c r="K76" s="510">
        <f>F76+I76+J76</f>
        <v>0</v>
      </c>
      <c r="L76" s="617"/>
      <c r="M76" s="618"/>
      <c r="N76" s="619"/>
      <c r="O76" s="372"/>
      <c r="P76" s="373"/>
      <c r="Q76" s="374"/>
    </row>
    <row r="77" spans="1:17" x14ac:dyDescent="0.25">
      <c r="A77" s="361"/>
      <c r="B77" s="5"/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367"/>
      <c r="K77" s="510">
        <f>F77+I77+J77</f>
        <v>0</v>
      </c>
      <c r="L77" s="620"/>
      <c r="M77" s="622"/>
      <c r="N77" s="621"/>
      <c r="O77" s="372"/>
      <c r="P77" s="373"/>
      <c r="Q77" s="374"/>
    </row>
    <row r="78" spans="1:17" ht="13.8" thickBot="1" x14ac:dyDescent="0.3">
      <c r="A78" s="378"/>
      <c r="B78" s="5"/>
      <c r="C78" s="379"/>
      <c r="D78" s="363"/>
      <c r="E78" s="247"/>
      <c r="F78" s="364"/>
      <c r="G78" s="509"/>
      <c r="H78" s="366"/>
      <c r="I78" s="364"/>
      <c r="J78" s="367"/>
      <c r="K78" s="514"/>
      <c r="L78" s="369"/>
      <c r="M78" s="370"/>
      <c r="N78" s="371"/>
      <c r="O78" s="372"/>
      <c r="P78" s="373"/>
      <c r="Q78" s="374"/>
    </row>
    <row r="79" spans="1:17" ht="13.8" thickTop="1" x14ac:dyDescent="0.25">
      <c r="A79" s="378"/>
      <c r="C79" s="379"/>
      <c r="D79" s="363"/>
      <c r="E79" s="247"/>
      <c r="F79" s="364"/>
      <c r="G79" s="509"/>
      <c r="H79" s="366"/>
      <c r="I79" s="364"/>
      <c r="J79" s="380" t="s">
        <v>30</v>
      </c>
      <c r="K79" s="511">
        <f>SUM(K75:K78)</f>
        <v>0</v>
      </c>
      <c r="L79" s="369"/>
      <c r="M79" s="370"/>
      <c r="N79" s="371"/>
      <c r="O79" s="372"/>
      <c r="P79" s="373"/>
      <c r="Q79" s="374"/>
    </row>
    <row r="80" spans="1:17" ht="13.8" thickBot="1" x14ac:dyDescent="0.3">
      <c r="A80" s="344" t="s">
        <v>0</v>
      </c>
      <c r="B80" s="345" t="s">
        <v>1</v>
      </c>
      <c r="C80" s="1028" t="s">
        <v>646</v>
      </c>
      <c r="D80" s="1028"/>
      <c r="E80" s="1028"/>
      <c r="F80" s="1028"/>
      <c r="G80" s="1028" t="s">
        <v>34</v>
      </c>
      <c r="H80" s="1028"/>
      <c r="I80" s="1028"/>
      <c r="J80" s="346"/>
      <c r="K80" s="503"/>
      <c r="L80" s="382"/>
      <c r="M80" s="383"/>
      <c r="N80" s="384"/>
      <c r="O80" s="372"/>
      <c r="P80" s="373"/>
      <c r="Q80" s="374"/>
    </row>
    <row r="81" spans="1:17" ht="16.2" thickBot="1" x14ac:dyDescent="0.35">
      <c r="A81" s="385"/>
      <c r="B81" s="386"/>
      <c r="C81" s="387" t="s">
        <v>19</v>
      </c>
      <c r="D81" s="388" t="s">
        <v>33</v>
      </c>
      <c r="E81" s="389" t="s">
        <v>35</v>
      </c>
      <c r="F81" s="390" t="s">
        <v>30</v>
      </c>
      <c r="G81" s="512" t="s">
        <v>14</v>
      </c>
      <c r="H81" s="389" t="s">
        <v>35</v>
      </c>
      <c r="I81" s="390" t="s">
        <v>30</v>
      </c>
      <c r="J81" s="355" t="s">
        <v>649</v>
      </c>
      <c r="K81" s="513" t="s">
        <v>38</v>
      </c>
      <c r="L81" s="393"/>
      <c r="M81" s="394"/>
      <c r="N81" s="395"/>
      <c r="O81" s="372"/>
      <c r="P81" s="373"/>
      <c r="Q81" s="374"/>
    </row>
    <row r="82" spans="1:17" x14ac:dyDescent="0.25">
      <c r="A82" s="396"/>
      <c r="B82" s="397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O82" s="372"/>
      <c r="P82" s="373"/>
      <c r="Q82" s="374"/>
    </row>
    <row r="83" spans="1:17" x14ac:dyDescent="0.25">
      <c r="A83" s="361"/>
      <c r="B83" s="5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367"/>
      <c r="K83" s="510">
        <f>F83+I83+J83</f>
        <v>0</v>
      </c>
      <c r="O83" s="372"/>
      <c r="P83" s="373"/>
      <c r="Q83" s="374"/>
    </row>
    <row r="84" spans="1:17" x14ac:dyDescent="0.25">
      <c r="A84" s="361"/>
      <c r="B84" s="159"/>
      <c r="C84" s="362"/>
      <c r="D84" s="363" t="s">
        <v>21</v>
      </c>
      <c r="E84" s="247">
        <v>0</v>
      </c>
      <c r="F84" s="364">
        <f>C84*E84</f>
        <v>0</v>
      </c>
      <c r="G84" s="509"/>
      <c r="H84" s="366">
        <v>0</v>
      </c>
      <c r="I84" s="364">
        <f>G84*H84</f>
        <v>0</v>
      </c>
      <c r="J84" s="367"/>
      <c r="K84" s="510">
        <f>F84+I84+J84</f>
        <v>0</v>
      </c>
      <c r="O84" s="372"/>
      <c r="P84" s="373"/>
      <c r="Q84" s="374"/>
    </row>
    <row r="85" spans="1:17" x14ac:dyDescent="0.25">
      <c r="A85" s="361"/>
      <c r="B85" s="5"/>
      <c r="C85" s="362"/>
      <c r="D85" s="363" t="s">
        <v>21</v>
      </c>
      <c r="E85" s="247">
        <v>0</v>
      </c>
      <c r="F85" s="364">
        <f>C85*E85</f>
        <v>0</v>
      </c>
      <c r="G85" s="509"/>
      <c r="H85" s="366">
        <v>0</v>
      </c>
      <c r="I85" s="364">
        <f>G85*H85</f>
        <v>0</v>
      </c>
      <c r="J85" s="367"/>
      <c r="K85" s="510">
        <f>F85+I85+J85</f>
        <v>0</v>
      </c>
      <c r="L85" s="369"/>
      <c r="M85" s="370"/>
      <c r="N85" s="371"/>
      <c r="O85" s="372"/>
      <c r="P85" s="373"/>
      <c r="Q85" s="374"/>
    </row>
    <row r="86" spans="1:17" x14ac:dyDescent="0.25">
      <c r="A86" s="361"/>
      <c r="B86" s="5"/>
      <c r="C86" s="362"/>
      <c r="D86" s="363" t="s">
        <v>21</v>
      </c>
      <c r="E86" s="247">
        <v>0</v>
      </c>
      <c r="F86" s="364">
        <f>C86*E86</f>
        <v>0</v>
      </c>
      <c r="G86" s="509"/>
      <c r="H86" s="366">
        <v>0</v>
      </c>
      <c r="I86" s="364">
        <f>G86*H86</f>
        <v>0</v>
      </c>
      <c r="J86" s="367"/>
      <c r="K86" s="510">
        <f>F86+I86+J86</f>
        <v>0</v>
      </c>
      <c r="L86" s="369"/>
      <c r="M86" s="370"/>
      <c r="N86" s="371"/>
      <c r="O86" s="372"/>
      <c r="P86" s="373"/>
      <c r="Q86" s="374"/>
    </row>
    <row r="87" spans="1:17" ht="13.8" thickBot="1" x14ac:dyDescent="0.3">
      <c r="A87" s="378"/>
      <c r="B87" s="5"/>
      <c r="C87" s="379"/>
      <c r="D87" s="363"/>
      <c r="E87" s="247"/>
      <c r="F87" s="364"/>
      <c r="G87" s="509"/>
      <c r="H87" s="366"/>
      <c r="I87" s="364"/>
      <c r="J87" s="367"/>
      <c r="K87" s="514"/>
      <c r="L87" s="369"/>
      <c r="M87" s="370"/>
      <c r="N87" s="371"/>
      <c r="O87" s="372"/>
      <c r="P87" s="373"/>
      <c r="Q87" s="374"/>
    </row>
    <row r="88" spans="1:17" ht="13.8" thickTop="1" x14ac:dyDescent="0.25">
      <c r="A88" s="378"/>
      <c r="B88" s="403"/>
      <c r="C88" s="379"/>
      <c r="D88" s="363"/>
      <c r="E88" s="247"/>
      <c r="F88" s="364"/>
      <c r="G88" s="509"/>
      <c r="H88" s="366"/>
      <c r="I88" s="364"/>
      <c r="J88" s="380" t="s">
        <v>30</v>
      </c>
      <c r="K88" s="511">
        <f>SUM(K82:K87)</f>
        <v>0</v>
      </c>
      <c r="O88" s="372"/>
      <c r="P88" s="373"/>
      <c r="Q88" s="374"/>
    </row>
    <row r="89" spans="1:17" ht="13.8" thickBot="1" x14ac:dyDescent="0.3">
      <c r="A89" s="344" t="s">
        <v>0</v>
      </c>
      <c r="B89" s="345" t="s">
        <v>1</v>
      </c>
      <c r="C89" s="1028" t="s">
        <v>646</v>
      </c>
      <c r="D89" s="1028"/>
      <c r="E89" s="1028"/>
      <c r="F89" s="1028"/>
      <c r="G89" s="1028" t="s">
        <v>34</v>
      </c>
      <c r="H89" s="1028"/>
      <c r="I89" s="1028"/>
      <c r="J89" s="346"/>
      <c r="K89" s="503"/>
      <c r="L89" s="382"/>
      <c r="M89" s="383"/>
      <c r="N89" s="384"/>
      <c r="O89" s="372"/>
      <c r="P89" s="373"/>
      <c r="Q89" s="374"/>
    </row>
    <row r="90" spans="1:17" ht="16.2" thickBot="1" x14ac:dyDescent="0.35">
      <c r="A90" s="385"/>
      <c r="B90" s="386"/>
      <c r="C90" s="387" t="s">
        <v>19</v>
      </c>
      <c r="D90" s="388" t="s">
        <v>33</v>
      </c>
      <c r="E90" s="389" t="s">
        <v>35</v>
      </c>
      <c r="F90" s="390" t="s">
        <v>30</v>
      </c>
      <c r="G90" s="512" t="s">
        <v>14</v>
      </c>
      <c r="H90" s="389" t="s">
        <v>35</v>
      </c>
      <c r="I90" s="390" t="s">
        <v>30</v>
      </c>
      <c r="J90" s="355" t="s">
        <v>649</v>
      </c>
      <c r="K90" s="513" t="s">
        <v>38</v>
      </c>
      <c r="L90" s="393"/>
      <c r="M90" s="394"/>
      <c r="N90" s="395"/>
      <c r="O90" s="372"/>
      <c r="P90" s="373"/>
      <c r="Q90" s="374"/>
    </row>
    <row r="91" spans="1:17" x14ac:dyDescent="0.25">
      <c r="A91" s="396"/>
      <c r="B91" s="397"/>
      <c r="C91" s="362"/>
      <c r="D91" s="363" t="s">
        <v>21</v>
      </c>
      <c r="E91" s="247">
        <v>0</v>
      </c>
      <c r="F91" s="364">
        <f>C91*E91</f>
        <v>0</v>
      </c>
      <c r="G91" s="509"/>
      <c r="H91" s="366">
        <v>0</v>
      </c>
      <c r="I91" s="364">
        <f>G91*H91</f>
        <v>0</v>
      </c>
      <c r="J91" s="367"/>
      <c r="K91" s="510">
        <f>F91+I91+J91</f>
        <v>0</v>
      </c>
      <c r="L91" s="369"/>
      <c r="M91" s="370"/>
      <c r="N91" s="371"/>
      <c r="O91" s="372"/>
      <c r="P91" s="373"/>
      <c r="Q91" s="374"/>
    </row>
    <row r="92" spans="1:17" x14ac:dyDescent="0.25">
      <c r="A92" s="361"/>
      <c r="B92" s="5"/>
      <c r="C92" s="362"/>
      <c r="D92" s="363" t="s">
        <v>21</v>
      </c>
      <c r="E92" s="247">
        <v>0</v>
      </c>
      <c r="F92" s="364">
        <f>C92*E92</f>
        <v>0</v>
      </c>
      <c r="G92" s="509"/>
      <c r="H92" s="366">
        <v>0</v>
      </c>
      <c r="I92" s="364">
        <f>G92*H92</f>
        <v>0</v>
      </c>
      <c r="J92" s="367"/>
      <c r="K92" s="510">
        <f>F92+I92+J92</f>
        <v>0</v>
      </c>
      <c r="L92" s="623"/>
      <c r="M92" s="624"/>
      <c r="N92" s="625"/>
      <c r="O92" s="372"/>
      <c r="P92" s="373"/>
      <c r="Q92" s="374"/>
    </row>
    <row r="93" spans="1:17" x14ac:dyDescent="0.25">
      <c r="A93" s="361"/>
      <c r="B93" s="5"/>
      <c r="C93" s="362"/>
      <c r="D93" s="363" t="s">
        <v>21</v>
      </c>
      <c r="E93" s="247">
        <v>0</v>
      </c>
      <c r="F93" s="364">
        <f>C93*E93</f>
        <v>0</v>
      </c>
      <c r="G93" s="509"/>
      <c r="H93" s="366">
        <v>0</v>
      </c>
      <c r="I93" s="364">
        <f>G93*H93</f>
        <v>0</v>
      </c>
      <c r="J93" s="367"/>
      <c r="K93" s="510">
        <f>F93+I93+J93</f>
        <v>0</v>
      </c>
      <c r="L93" s="623"/>
      <c r="M93" s="624"/>
      <c r="N93" s="626"/>
      <c r="O93" s="372"/>
      <c r="P93" s="373"/>
      <c r="Q93" s="374"/>
    </row>
    <row r="94" spans="1:17" x14ac:dyDescent="0.25">
      <c r="A94" s="361"/>
      <c r="B94" s="5"/>
      <c r="C94" s="362"/>
      <c r="D94" s="363" t="s">
        <v>21</v>
      </c>
      <c r="E94" s="247">
        <v>0</v>
      </c>
      <c r="F94" s="364">
        <f>C94*E94</f>
        <v>0</v>
      </c>
      <c r="G94" s="509"/>
      <c r="H94" s="366">
        <v>0</v>
      </c>
      <c r="I94" s="364">
        <f>G94*H94</f>
        <v>0</v>
      </c>
      <c r="J94" s="367"/>
      <c r="K94" s="510">
        <f>F94+I94+J94</f>
        <v>0</v>
      </c>
      <c r="L94" s="623"/>
      <c r="M94" s="624"/>
      <c r="N94" s="626"/>
      <c r="O94" s="372"/>
      <c r="P94" s="373"/>
      <c r="Q94" s="374"/>
    </row>
    <row r="95" spans="1:17" ht="13.8" thickBot="1" x14ac:dyDescent="0.3">
      <c r="A95" s="378"/>
      <c r="B95" s="403"/>
      <c r="C95" s="362"/>
      <c r="D95" s="363"/>
      <c r="E95" s="247"/>
      <c r="F95" s="364"/>
      <c r="G95" s="509"/>
      <c r="H95" s="366"/>
      <c r="I95" s="364"/>
      <c r="J95" s="367"/>
      <c r="K95" s="510"/>
      <c r="L95" s="623"/>
      <c r="M95" s="624"/>
      <c r="N95" s="626"/>
      <c r="O95" s="372"/>
      <c r="P95" s="373"/>
      <c r="Q95" s="374"/>
    </row>
    <row r="96" spans="1:17" ht="14.4" thickTop="1" thickBot="1" x14ac:dyDescent="0.3">
      <c r="A96" s="450"/>
      <c r="B96" s="156"/>
      <c r="C96" s="451"/>
      <c r="D96" s="452"/>
      <c r="E96" s="453"/>
      <c r="F96" s="454"/>
      <c r="G96" s="591"/>
      <c r="H96" s="453"/>
      <c r="I96" s="454"/>
      <c r="J96" s="456" t="s">
        <v>30</v>
      </c>
      <c r="K96" s="592">
        <f>SUM(K91:K95)</f>
        <v>0</v>
      </c>
      <c r="L96" s="623"/>
      <c r="M96" s="624"/>
      <c r="N96" s="626"/>
      <c r="O96" s="372"/>
      <c r="P96" s="373"/>
      <c r="Q96" s="374"/>
    </row>
    <row r="97" spans="1:17" ht="14.1" customHeight="1" thickBot="1" x14ac:dyDescent="0.3">
      <c r="A97" s="458"/>
      <c r="B97" s="459"/>
      <c r="C97" s="460"/>
      <c r="D97" s="460"/>
      <c r="E97" s="461"/>
      <c r="F97" s="1038" t="s">
        <v>648</v>
      </c>
      <c r="G97" s="1040" t="s">
        <v>673</v>
      </c>
      <c r="H97" s="461"/>
      <c r="I97" s="1042" t="s">
        <v>647</v>
      </c>
      <c r="J97" s="1044" t="s">
        <v>674</v>
      </c>
      <c r="K97" s="1121" t="s">
        <v>31</v>
      </c>
      <c r="L97" s="627"/>
      <c r="M97" s="628"/>
      <c r="N97" s="629"/>
      <c r="O97" s="441"/>
      <c r="P97" s="442"/>
      <c r="Q97" s="443"/>
    </row>
    <row r="98" spans="1:17" ht="14.4" thickTop="1" x14ac:dyDescent="0.25">
      <c r="A98" s="462" t="s">
        <v>32</v>
      </c>
      <c r="B98" s="1031" t="s">
        <v>653</v>
      </c>
      <c r="C98" s="463"/>
      <c r="D98" s="464"/>
      <c r="E98" s="464"/>
      <c r="F98" s="1039"/>
      <c r="G98" s="1041"/>
      <c r="H98" s="465"/>
      <c r="I98" s="1043"/>
      <c r="J98" s="1045"/>
      <c r="K98" s="1122"/>
      <c r="M98" s="249"/>
    </row>
    <row r="99" spans="1:17" ht="13.8" x14ac:dyDescent="0.25">
      <c r="A99" s="780">
        <f>K99/E6</f>
        <v>0</v>
      </c>
      <c r="B99" s="1031"/>
      <c r="C99" s="464"/>
      <c r="D99" s="464"/>
      <c r="E99" s="464"/>
      <c r="F99" s="1032">
        <f>SUM(F91:F95,F82:F87,F75:F78,F66:F71,F55:F61,F46:F51,F38:F42,F27:F34,F11:F23)</f>
        <v>0</v>
      </c>
      <c r="G99" s="1034">
        <f>SUM(G91:G95,G82:G87,G75:G78,G66:G71,G55:G61,G46:G51,G38:G42,G27:G34,G11:G23)</f>
        <v>0</v>
      </c>
      <c r="H99" s="465"/>
      <c r="I99" s="1032">
        <f>SUM(I91:I95,I82:I87,I75:I78,I66:I71,I55:I61,I46:I51,I38:I42,I27:I34,I11:I23)</f>
        <v>0</v>
      </c>
      <c r="J99" s="1032">
        <f>SUM(J91:J95,J82:J87,J75:J78,J66:J71,J55:J61,J46:J51,J38:J42,J27:J34,J11:J23)</f>
        <v>0</v>
      </c>
      <c r="K99" s="1119">
        <f>SUM(K96,K88,K79,K72,K63,K52,K43,K35,K24)</f>
        <v>0</v>
      </c>
      <c r="M99" s="249"/>
    </row>
    <row r="100" spans="1:17" ht="14.4" thickBot="1" x14ac:dyDescent="0.3">
      <c r="A100" s="462"/>
      <c r="B100" s="529"/>
      <c r="C100" s="468"/>
      <c r="D100" s="468"/>
      <c r="E100" s="468"/>
      <c r="F100" s="1033"/>
      <c r="G100" s="1035"/>
      <c r="H100" s="468"/>
      <c r="I100" s="1033"/>
      <c r="J100" s="1033"/>
      <c r="K100" s="1037"/>
      <c r="L100" s="526"/>
      <c r="M100" s="249"/>
    </row>
    <row r="101" spans="1:17" ht="13.8" thickBot="1" x14ac:dyDescent="0.3">
      <c r="A101" s="469"/>
      <c r="B101" s="470"/>
      <c r="C101" s="470"/>
      <c r="D101" s="470"/>
      <c r="E101" s="470"/>
      <c r="F101" s="470"/>
      <c r="G101" s="470"/>
      <c r="H101" s="470"/>
      <c r="I101" s="470"/>
      <c r="J101" s="470"/>
      <c r="K101" s="470"/>
      <c r="L101" s="526"/>
      <c r="M101" s="249"/>
    </row>
    <row r="102" spans="1:17" x14ac:dyDescent="0.25">
      <c r="M102" s="249"/>
    </row>
    <row r="103" spans="1:17" x14ac:dyDescent="0.25">
      <c r="M103" s="249"/>
    </row>
    <row r="104" spans="1:17" x14ac:dyDescent="0.25">
      <c r="M104" s="249"/>
    </row>
    <row r="105" spans="1:17" x14ac:dyDescent="0.25">
      <c r="M105" s="249"/>
    </row>
    <row r="106" spans="1:17" x14ac:dyDescent="0.25">
      <c r="M106" s="249"/>
    </row>
    <row r="107" spans="1:17" x14ac:dyDescent="0.25">
      <c r="M107" s="249"/>
    </row>
  </sheetData>
  <mergeCells count="54">
    <mergeCell ref="Q9:Q10"/>
    <mergeCell ref="L9:L10"/>
    <mergeCell ref="M9:M10"/>
    <mergeCell ref="N9:N10"/>
    <mergeCell ref="O9:O10"/>
    <mergeCell ref="P9:P1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C25:F25"/>
    <mergeCell ref="G25:I25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2" fitToHeight="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2"/>
  <sheetViews>
    <sheetView zoomScale="90" zoomScaleSheetLayoutView="90" workbookViewId="0">
      <selection activeCell="J93" sqref="J93"/>
    </sheetView>
  </sheetViews>
  <sheetFormatPr defaultColWidth="9.33203125" defaultRowHeight="13.2" x14ac:dyDescent="0.25"/>
  <cols>
    <col min="1" max="1" width="12.6640625" style="157" bestFit="1" customWidth="1"/>
    <col min="2" max="2" width="41.5546875" style="157" customWidth="1"/>
    <col min="3" max="3" width="5" style="421" customWidth="1"/>
    <col min="4" max="4" width="5" style="615" customWidth="1"/>
    <col min="5" max="5" width="11" style="157" customWidth="1"/>
    <col min="6" max="6" width="12.5546875" style="157" bestFit="1" customWidth="1"/>
    <col min="7" max="7" width="7.33203125" style="157" customWidth="1"/>
    <col min="8" max="8" width="11" style="157" bestFit="1" customWidth="1"/>
    <col min="9" max="9" width="12.5546875" style="157" bestFit="1" customWidth="1"/>
    <col min="10" max="10" width="16.44140625" style="157" customWidth="1"/>
    <col min="11" max="11" width="13.332031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652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347</v>
      </c>
      <c r="B10" s="505" t="s">
        <v>348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361"/>
      <c r="B11" s="5"/>
      <c r="C11" s="362"/>
      <c r="D11" s="363" t="s">
        <v>21</v>
      </c>
      <c r="E11" s="247">
        <v>0</v>
      </c>
      <c r="F11" s="364">
        <f t="shared" ref="F11:F22" si="0">C11*E11</f>
        <v>0</v>
      </c>
      <c r="G11" s="509"/>
      <c r="H11" s="366">
        <v>0</v>
      </c>
      <c r="I11" s="364">
        <f t="shared" ref="I11:I22" si="1">G11*H11</f>
        <v>0</v>
      </c>
      <c r="J11" s="367"/>
      <c r="K11" s="510">
        <f t="shared" ref="K11:K22" si="2">F11+I11+J11</f>
        <v>0</v>
      </c>
      <c r="L11" s="369"/>
      <c r="M11" s="370"/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/>
      <c r="M12" s="370"/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/>
      <c r="M13" s="37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157"/>
      <c r="M17" s="449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157"/>
      <c r="M18" s="449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157"/>
      <c r="M19" s="449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157"/>
      <c r="M20" s="449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157"/>
      <c r="M21" s="449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157"/>
      <c r="M22" s="449"/>
      <c r="O22" s="372"/>
      <c r="P22" s="373"/>
      <c r="Q22" s="374"/>
    </row>
    <row r="23" spans="1:17" s="630" customFormat="1" ht="13.8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67"/>
      <c r="K23" s="510"/>
      <c r="L23" s="157"/>
      <c r="M23" s="449"/>
      <c r="N23" s="157"/>
      <c r="O23" s="372"/>
      <c r="P23" s="373"/>
      <c r="Q23" s="374"/>
    </row>
    <row r="24" spans="1:17" s="630" customFormat="1" ht="13.8" thickTop="1" x14ac:dyDescent="0.25">
      <c r="A24" s="378"/>
      <c r="B24" s="7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SUM(K11:K23)</f>
        <v>0</v>
      </c>
      <c r="L24" s="157"/>
      <c r="M24" s="449"/>
      <c r="N24" s="157"/>
      <c r="O24" s="372"/>
      <c r="P24" s="373"/>
      <c r="Q24" s="374"/>
    </row>
    <row r="25" spans="1:17" s="630" customFormat="1" ht="13.8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s="630" customFormat="1" ht="16.2" thickBot="1" x14ac:dyDescent="0.35">
      <c r="A26" s="505" t="s">
        <v>349</v>
      </c>
      <c r="B26" s="505" t="s">
        <v>350</v>
      </c>
      <c r="C26" s="387" t="s">
        <v>19</v>
      </c>
      <c r="D26" s="388" t="s">
        <v>33</v>
      </c>
      <c r="E26" s="389" t="s">
        <v>35</v>
      </c>
      <c r="F26" s="390" t="s">
        <v>30</v>
      </c>
      <c r="G26" s="512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s="630" customFormat="1" x14ac:dyDescent="0.25">
      <c r="A27" s="396"/>
      <c r="B27" s="397"/>
      <c r="C27" s="362"/>
      <c r="D27" s="363" t="s">
        <v>21</v>
      </c>
      <c r="E27" s="247">
        <v>0</v>
      </c>
      <c r="F27" s="364">
        <f t="shared" ref="F27:F33" si="3">C27*E27</f>
        <v>0</v>
      </c>
      <c r="G27" s="509"/>
      <c r="H27" s="366">
        <v>0</v>
      </c>
      <c r="I27" s="364">
        <f t="shared" ref="I27:I33" si="4">G27*H27</f>
        <v>0</v>
      </c>
      <c r="J27" s="367"/>
      <c r="K27" s="510">
        <f t="shared" ref="K27:K33" si="5">F27+I27+J27</f>
        <v>0</v>
      </c>
      <c r="L27" s="157"/>
      <c r="M27" s="449"/>
      <c r="N27" s="157"/>
      <c r="O27" s="372"/>
      <c r="P27" s="373"/>
      <c r="Q27" s="374"/>
    </row>
    <row r="28" spans="1:17" s="630" customFormat="1" x14ac:dyDescent="0.25">
      <c r="A28" s="361"/>
      <c r="B28" s="5"/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L28" s="159"/>
      <c r="M28" s="268"/>
      <c r="N28" s="157"/>
      <c r="O28" s="372"/>
      <c r="P28" s="373"/>
      <c r="Q28" s="374"/>
    </row>
    <row r="29" spans="1:17" s="630" customFormat="1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s="630" customFormat="1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372"/>
      <c r="P30" s="373"/>
      <c r="Q30" s="374"/>
    </row>
    <row r="31" spans="1:17" s="630" customFormat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515"/>
      <c r="M31" s="531"/>
      <c r="N31" s="516"/>
      <c r="O31" s="372"/>
      <c r="P31" s="373"/>
      <c r="Q31" s="374"/>
    </row>
    <row r="32" spans="1:17" s="630" customFormat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L32" s="517"/>
      <c r="M32" s="249"/>
      <c r="N32" s="409"/>
      <c r="O32" s="372"/>
      <c r="P32" s="373"/>
      <c r="Q32" s="374"/>
    </row>
    <row r="33" spans="1:17" s="630" customFormat="1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L33" s="157"/>
      <c r="M33" s="449"/>
      <c r="N33" s="157"/>
      <c r="O33" s="372"/>
      <c r="P33" s="373"/>
      <c r="Q33" s="374"/>
    </row>
    <row r="34" spans="1:17" s="630" customFormat="1" ht="13.8" thickBot="1" x14ac:dyDescent="0.3">
      <c r="A34" s="361"/>
      <c r="B34" s="5"/>
      <c r="C34" s="379"/>
      <c r="D34" s="363"/>
      <c r="E34" s="247"/>
      <c r="F34" s="364"/>
      <c r="G34" s="509"/>
      <c r="H34" s="366"/>
      <c r="I34" s="364"/>
      <c r="J34" s="367"/>
      <c r="K34" s="514"/>
      <c r="L34" s="157"/>
      <c r="M34" s="449"/>
      <c r="N34" s="157"/>
      <c r="O34" s="372"/>
      <c r="P34" s="373"/>
      <c r="Q34" s="374"/>
    </row>
    <row r="35" spans="1:17" s="630" customFormat="1" ht="13.8" thickTop="1" x14ac:dyDescent="0.25">
      <c r="A35" s="378"/>
      <c r="B35" s="5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17" s="630" customFormat="1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17" s="630" customFormat="1" ht="16.2" thickBot="1" x14ac:dyDescent="0.35">
      <c r="A37" s="505" t="s">
        <v>351</v>
      </c>
      <c r="B37" s="505" t="s">
        <v>352</v>
      </c>
      <c r="C37" s="387" t="s">
        <v>19</v>
      </c>
      <c r="D37" s="388" t="s">
        <v>33</v>
      </c>
      <c r="E37" s="389" t="s">
        <v>35</v>
      </c>
      <c r="F37" s="390" t="s">
        <v>30</v>
      </c>
      <c r="G37" s="512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17" s="630" customFormat="1" x14ac:dyDescent="0.25">
      <c r="A38" s="396"/>
      <c r="B38" s="397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370"/>
      <c r="N38" s="371"/>
      <c r="O38" s="401"/>
      <c r="P38" s="402"/>
      <c r="Q38" s="374"/>
    </row>
    <row r="39" spans="1:17" s="630" customFormat="1" x14ac:dyDescent="0.25">
      <c r="A39" s="361"/>
      <c r="B39" s="5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367"/>
      <c r="K39" s="510">
        <f>F39+I39+J39</f>
        <v>0</v>
      </c>
      <c r="L39" s="369"/>
      <c r="M39" s="370"/>
      <c r="N39" s="371"/>
      <c r="O39" s="401"/>
      <c r="P39" s="402"/>
      <c r="Q39" s="374"/>
    </row>
    <row r="40" spans="1:17" s="630" customFormat="1" x14ac:dyDescent="0.25">
      <c r="A40" s="361"/>
      <c r="B40" s="5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L40" s="369"/>
      <c r="M40" s="370"/>
      <c r="N40" s="371"/>
      <c r="O40" s="401"/>
      <c r="P40" s="402"/>
      <c r="Q40" s="374"/>
    </row>
    <row r="41" spans="1:17" s="630" customFormat="1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67"/>
      <c r="K41" s="514"/>
      <c r="L41" s="369"/>
      <c r="M41" s="370"/>
      <c r="N41" s="371"/>
      <c r="O41" s="401"/>
      <c r="P41" s="402"/>
      <c r="Q41" s="374"/>
    </row>
    <row r="42" spans="1:17" s="630" customFormat="1" ht="13.8" thickBot="1" x14ac:dyDescent="0.3">
      <c r="A42" s="378"/>
      <c r="B42" s="403"/>
      <c r="C42" s="379"/>
      <c r="D42" s="363"/>
      <c r="E42" s="247"/>
      <c r="F42" s="364"/>
      <c r="G42" s="509"/>
      <c r="H42" s="366"/>
      <c r="I42" s="364"/>
      <c r="J42" s="367"/>
      <c r="K42" s="514"/>
      <c r="L42" s="159"/>
      <c r="M42" s="268"/>
      <c r="N42" s="157"/>
      <c r="O42" s="401"/>
      <c r="P42" s="402"/>
      <c r="Q42" s="374"/>
    </row>
    <row r="43" spans="1:17" s="630" customFormat="1" ht="13.8" thickTop="1" x14ac:dyDescent="0.25">
      <c r="A43" s="378"/>
      <c r="B43" s="403"/>
      <c r="C43" s="379"/>
      <c r="D43" s="363"/>
      <c r="E43" s="247"/>
      <c r="F43" s="364"/>
      <c r="G43" s="509"/>
      <c r="H43" s="366"/>
      <c r="I43" s="364"/>
      <c r="J43" s="380" t="s">
        <v>30</v>
      </c>
      <c r="K43" s="511">
        <f>SUM(K38:K42)</f>
        <v>0</v>
      </c>
      <c r="L43" s="159"/>
      <c r="M43" s="268"/>
      <c r="N43" s="157"/>
      <c r="O43" s="372"/>
      <c r="P43" s="373"/>
      <c r="Q43" s="374"/>
    </row>
    <row r="44" spans="1:17" s="630" customFormat="1" ht="13.8" thickBot="1" x14ac:dyDescent="0.3">
      <c r="A44" s="344" t="s">
        <v>0</v>
      </c>
      <c r="B44" s="345" t="s">
        <v>1</v>
      </c>
      <c r="C44" s="1028" t="s">
        <v>646</v>
      </c>
      <c r="D44" s="1028"/>
      <c r="E44" s="1028"/>
      <c r="F44" s="1028"/>
      <c r="G44" s="1028" t="s">
        <v>34</v>
      </c>
      <c r="H44" s="1028"/>
      <c r="I44" s="1028"/>
      <c r="J44" s="346"/>
      <c r="K44" s="503"/>
      <c r="L44" s="382"/>
      <c r="M44" s="383"/>
      <c r="N44" s="384"/>
      <c r="O44" s="372"/>
      <c r="P44" s="373"/>
      <c r="Q44" s="374"/>
    </row>
    <row r="45" spans="1:17" s="630" customFormat="1" ht="16.2" thickBot="1" x14ac:dyDescent="0.35">
      <c r="A45" s="505" t="s">
        <v>353</v>
      </c>
      <c r="B45" s="505" t="s">
        <v>355</v>
      </c>
      <c r="C45" s="387" t="s">
        <v>19</v>
      </c>
      <c r="D45" s="388" t="s">
        <v>33</v>
      </c>
      <c r="E45" s="389" t="s">
        <v>35</v>
      </c>
      <c r="F45" s="390" t="s">
        <v>30</v>
      </c>
      <c r="G45" s="512" t="s">
        <v>14</v>
      </c>
      <c r="H45" s="389" t="s">
        <v>35</v>
      </c>
      <c r="I45" s="390" t="s">
        <v>30</v>
      </c>
      <c r="J45" s="355" t="s">
        <v>649</v>
      </c>
      <c r="K45" s="513" t="s">
        <v>38</v>
      </c>
      <c r="L45" s="393"/>
      <c r="M45" s="399"/>
      <c r="N45" s="400"/>
      <c r="O45" s="372"/>
      <c r="P45" s="402"/>
      <c r="Q45" s="374"/>
    </row>
    <row r="46" spans="1:17" s="630" customFormat="1" x14ac:dyDescent="0.25">
      <c r="A46" s="396"/>
      <c r="B46" s="397"/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409"/>
      <c r="O46" s="372"/>
      <c r="P46" s="373"/>
      <c r="Q46" s="374"/>
    </row>
    <row r="47" spans="1:17" s="630" customFormat="1" x14ac:dyDescent="0.25">
      <c r="A47" s="361"/>
      <c r="B47" s="5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369"/>
      <c r="M47" s="249"/>
      <c r="N47" s="409"/>
      <c r="O47" s="372"/>
      <c r="P47" s="373"/>
      <c r="Q47" s="374"/>
    </row>
    <row r="48" spans="1:17" s="630" customFormat="1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617"/>
      <c r="M48" s="618"/>
      <c r="N48" s="619"/>
      <c r="O48" s="372"/>
      <c r="P48" s="373"/>
      <c r="Q48" s="374"/>
    </row>
    <row r="49" spans="1:17" s="630" customFormat="1" x14ac:dyDescent="0.25">
      <c r="A49" s="361"/>
      <c r="B49" s="5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620"/>
      <c r="M49" s="249"/>
      <c r="N49" s="409"/>
      <c r="O49" s="372"/>
      <c r="P49" s="373"/>
      <c r="Q49" s="374"/>
    </row>
    <row r="50" spans="1:17" s="630" customFormat="1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409"/>
      <c r="O50" s="372"/>
      <c r="P50" s="373"/>
      <c r="Q50" s="374"/>
    </row>
    <row r="51" spans="1:17" s="630" customFormat="1" ht="13.8" thickBot="1" x14ac:dyDescent="0.3">
      <c r="A51" s="378"/>
      <c r="B51" s="403"/>
      <c r="C51" s="379"/>
      <c r="D51" s="363"/>
      <c r="E51" s="247"/>
      <c r="F51" s="364"/>
      <c r="G51" s="509"/>
      <c r="H51" s="366"/>
      <c r="I51" s="364"/>
      <c r="J51" s="367"/>
      <c r="K51" s="514"/>
      <c r="L51" s="369"/>
      <c r="M51" s="249"/>
      <c r="N51" s="371"/>
      <c r="O51" s="372"/>
      <c r="P51" s="373"/>
      <c r="Q51" s="374"/>
    </row>
    <row r="52" spans="1:17" s="630" customFormat="1" ht="13.8" thickTop="1" x14ac:dyDescent="0.25">
      <c r="A52" s="378"/>
      <c r="B52" s="403"/>
      <c r="C52" s="379"/>
      <c r="D52" s="363"/>
      <c r="E52" s="247"/>
      <c r="F52" s="364"/>
      <c r="G52" s="509"/>
      <c r="H52" s="366"/>
      <c r="I52" s="364"/>
      <c r="J52" s="380" t="s">
        <v>30</v>
      </c>
      <c r="K52" s="511">
        <f>SUM(K46:K51)</f>
        <v>0</v>
      </c>
      <c r="L52" s="157"/>
      <c r="M52" s="449"/>
      <c r="N52" s="157"/>
      <c r="O52" s="417"/>
      <c r="P52" s="418"/>
      <c r="Q52" s="374"/>
    </row>
    <row r="53" spans="1:17" s="630" customFormat="1" ht="13.8" thickBot="1" x14ac:dyDescent="0.3">
      <c r="A53" s="344" t="s">
        <v>0</v>
      </c>
      <c r="B53" s="345" t="s">
        <v>1</v>
      </c>
      <c r="C53" s="1028" t="s">
        <v>646</v>
      </c>
      <c r="D53" s="1028"/>
      <c r="E53" s="1028"/>
      <c r="F53" s="1028"/>
      <c r="G53" s="1028" t="s">
        <v>34</v>
      </c>
      <c r="H53" s="1028"/>
      <c r="I53" s="1028"/>
      <c r="J53" s="346"/>
      <c r="K53" s="503"/>
      <c r="L53" s="382"/>
      <c r="M53" s="346"/>
      <c r="N53" s="384"/>
      <c r="O53" s="417"/>
      <c r="P53" s="418"/>
      <c r="Q53" s="374"/>
    </row>
    <row r="54" spans="1:17" s="630" customFormat="1" ht="16.2" thickBot="1" x14ac:dyDescent="0.35">
      <c r="A54" s="505" t="s">
        <v>354</v>
      </c>
      <c r="B54" s="505" t="s">
        <v>356</v>
      </c>
      <c r="C54" s="387" t="s">
        <v>19</v>
      </c>
      <c r="D54" s="388" t="s">
        <v>33</v>
      </c>
      <c r="E54" s="389" t="s">
        <v>35</v>
      </c>
      <c r="F54" s="390" t="s">
        <v>30</v>
      </c>
      <c r="G54" s="512" t="s">
        <v>14</v>
      </c>
      <c r="H54" s="389" t="s">
        <v>35</v>
      </c>
      <c r="I54" s="390" t="s">
        <v>30</v>
      </c>
      <c r="J54" s="355" t="s">
        <v>649</v>
      </c>
      <c r="K54" s="513" t="s">
        <v>38</v>
      </c>
      <c r="L54" s="393"/>
      <c r="M54" s="399"/>
      <c r="N54" s="395"/>
      <c r="O54" s="401"/>
      <c r="P54" s="402"/>
      <c r="Q54" s="374"/>
    </row>
    <row r="55" spans="1:17" s="630" customFormat="1" x14ac:dyDescent="0.25">
      <c r="A55" s="396"/>
      <c r="B55" s="397"/>
      <c r="C55" s="362"/>
      <c r="D55" s="363" t="s">
        <v>21</v>
      </c>
      <c r="E55" s="247">
        <v>0</v>
      </c>
      <c r="F55" s="364">
        <f t="shared" ref="F55:F61" si="6">C55*E55</f>
        <v>0</v>
      </c>
      <c r="G55" s="509"/>
      <c r="H55" s="366">
        <v>0</v>
      </c>
      <c r="I55" s="364">
        <f t="shared" ref="I55:I61" si="7">G55*H55</f>
        <v>0</v>
      </c>
      <c r="J55" s="367"/>
      <c r="K55" s="510">
        <f t="shared" ref="K55:K61" si="8">F55+I55+J55</f>
        <v>0</v>
      </c>
      <c r="L55" s="159"/>
      <c r="M55" s="268"/>
      <c r="N55" s="157"/>
      <c r="O55" s="372"/>
      <c r="P55" s="373"/>
      <c r="Q55" s="374"/>
    </row>
    <row r="56" spans="1:17" s="630" customFormat="1" x14ac:dyDescent="0.25">
      <c r="A56" s="361"/>
      <c r="B56" s="5"/>
      <c r="C56" s="362"/>
      <c r="D56" s="363" t="s">
        <v>21</v>
      </c>
      <c r="E56" s="247">
        <v>0</v>
      </c>
      <c r="F56" s="364">
        <f t="shared" si="6"/>
        <v>0</v>
      </c>
      <c r="G56" s="509"/>
      <c r="H56" s="366">
        <v>0</v>
      </c>
      <c r="I56" s="364">
        <f t="shared" si="7"/>
        <v>0</v>
      </c>
      <c r="J56" s="367"/>
      <c r="K56" s="510">
        <f t="shared" si="8"/>
        <v>0</v>
      </c>
      <c r="L56" s="369"/>
      <c r="M56" s="249"/>
      <c r="N56" s="371"/>
      <c r="O56" s="372"/>
      <c r="P56" s="373"/>
      <c r="Q56" s="374"/>
    </row>
    <row r="57" spans="1:17" s="630" customFormat="1" x14ac:dyDescent="0.25">
      <c r="A57" s="361"/>
      <c r="B57" s="5"/>
      <c r="C57" s="362"/>
      <c r="D57" s="363" t="s">
        <v>21</v>
      </c>
      <c r="E57" s="247">
        <v>0</v>
      </c>
      <c r="F57" s="364">
        <f t="shared" si="6"/>
        <v>0</v>
      </c>
      <c r="G57" s="509"/>
      <c r="H57" s="366">
        <v>0</v>
      </c>
      <c r="I57" s="364">
        <f t="shared" si="7"/>
        <v>0</v>
      </c>
      <c r="J57" s="367"/>
      <c r="K57" s="510">
        <f t="shared" si="8"/>
        <v>0</v>
      </c>
      <c r="L57" s="369"/>
      <c r="M57" s="249"/>
      <c r="N57" s="371"/>
      <c r="O57" s="372"/>
      <c r="P57" s="373"/>
      <c r="Q57" s="374"/>
    </row>
    <row r="58" spans="1:17" s="630" customFormat="1" x14ac:dyDescent="0.25">
      <c r="A58" s="361"/>
      <c r="B58" s="5"/>
      <c r="C58" s="362"/>
      <c r="D58" s="363" t="s">
        <v>21</v>
      </c>
      <c r="E58" s="247">
        <v>0</v>
      </c>
      <c r="F58" s="364">
        <f t="shared" si="6"/>
        <v>0</v>
      </c>
      <c r="G58" s="509"/>
      <c r="H58" s="366">
        <v>0</v>
      </c>
      <c r="I58" s="364">
        <f t="shared" si="7"/>
        <v>0</v>
      </c>
      <c r="J58" s="367"/>
      <c r="K58" s="510">
        <f t="shared" si="8"/>
        <v>0</v>
      </c>
      <c r="L58" s="369"/>
      <c r="M58" s="249"/>
      <c r="N58" s="371"/>
      <c r="O58" s="372"/>
      <c r="P58" s="373"/>
      <c r="Q58" s="374"/>
    </row>
    <row r="59" spans="1:17" s="630" customFormat="1" x14ac:dyDescent="0.25">
      <c r="A59" s="361"/>
      <c r="B59" s="5"/>
      <c r="C59" s="362"/>
      <c r="D59" s="363" t="s">
        <v>21</v>
      </c>
      <c r="E59" s="247">
        <v>0</v>
      </c>
      <c r="F59" s="364">
        <f t="shared" si="6"/>
        <v>0</v>
      </c>
      <c r="G59" s="509"/>
      <c r="H59" s="366">
        <v>0</v>
      </c>
      <c r="I59" s="364">
        <f t="shared" si="7"/>
        <v>0</v>
      </c>
      <c r="J59" s="367"/>
      <c r="K59" s="510">
        <f t="shared" si="8"/>
        <v>0</v>
      </c>
      <c r="L59" s="617"/>
      <c r="M59" s="249"/>
      <c r="N59" s="619"/>
      <c r="O59" s="372"/>
      <c r="P59" s="373"/>
      <c r="Q59" s="374"/>
    </row>
    <row r="60" spans="1:17" s="630" customFormat="1" x14ac:dyDescent="0.25">
      <c r="A60" s="361"/>
      <c r="B60" s="5"/>
      <c r="C60" s="362"/>
      <c r="D60" s="363" t="s">
        <v>21</v>
      </c>
      <c r="E60" s="247">
        <v>0</v>
      </c>
      <c r="F60" s="364">
        <f t="shared" si="6"/>
        <v>0</v>
      </c>
      <c r="G60" s="509"/>
      <c r="H60" s="366">
        <v>0</v>
      </c>
      <c r="I60" s="364">
        <f t="shared" si="7"/>
        <v>0</v>
      </c>
      <c r="J60" s="367"/>
      <c r="K60" s="510">
        <f t="shared" si="8"/>
        <v>0</v>
      </c>
      <c r="L60" s="620"/>
      <c r="M60" s="249"/>
      <c r="N60" s="621"/>
      <c r="O60" s="372"/>
      <c r="P60" s="373"/>
      <c r="Q60" s="374"/>
    </row>
    <row r="61" spans="1:17" s="630" customFormat="1" x14ac:dyDescent="0.25">
      <c r="A61" s="361"/>
      <c r="B61" s="5"/>
      <c r="C61" s="362"/>
      <c r="D61" s="363" t="s">
        <v>21</v>
      </c>
      <c r="E61" s="247">
        <v>0</v>
      </c>
      <c r="F61" s="364">
        <f t="shared" si="6"/>
        <v>0</v>
      </c>
      <c r="G61" s="509"/>
      <c r="H61" s="366">
        <v>0</v>
      </c>
      <c r="I61" s="364">
        <f t="shared" si="7"/>
        <v>0</v>
      </c>
      <c r="J61" s="367"/>
      <c r="K61" s="510">
        <f t="shared" si="8"/>
        <v>0</v>
      </c>
      <c r="L61" s="369"/>
      <c r="M61" s="249"/>
      <c r="N61" s="409"/>
      <c r="O61" s="372"/>
      <c r="P61" s="373"/>
      <c r="Q61" s="374"/>
    </row>
    <row r="62" spans="1:17" s="630" customFormat="1" ht="13.8" thickBot="1" x14ac:dyDescent="0.3">
      <c r="A62" s="378"/>
      <c r="B62" s="5"/>
      <c r="C62" s="379"/>
      <c r="D62" s="363"/>
      <c r="E62" s="247"/>
      <c r="F62" s="364"/>
      <c r="G62" s="509"/>
      <c r="H62" s="366"/>
      <c r="I62" s="364"/>
      <c r="J62" s="367"/>
      <c r="K62" s="514"/>
      <c r="L62" s="159"/>
      <c r="M62" s="268"/>
      <c r="N62" s="157"/>
      <c r="O62" s="372"/>
      <c r="P62" s="373"/>
      <c r="Q62" s="374"/>
    </row>
    <row r="63" spans="1:17" s="630" customFormat="1" ht="13.8" thickTop="1" x14ac:dyDescent="0.25">
      <c r="A63" s="378"/>
      <c r="B63" s="403"/>
      <c r="C63" s="379"/>
      <c r="D63" s="363"/>
      <c r="E63" s="247"/>
      <c r="F63" s="364"/>
      <c r="G63" s="509"/>
      <c r="H63" s="366"/>
      <c r="I63" s="364"/>
      <c r="J63" s="380" t="s">
        <v>30</v>
      </c>
      <c r="K63" s="511">
        <f>SUM(K55:K62)</f>
        <v>0</v>
      </c>
      <c r="L63" s="159"/>
      <c r="M63" s="268"/>
      <c r="N63" s="157"/>
      <c r="O63" s="372"/>
      <c r="P63" s="373"/>
      <c r="Q63" s="374"/>
    </row>
    <row r="64" spans="1:17" s="630" customFormat="1" ht="13.8" thickBot="1" x14ac:dyDescent="0.3">
      <c r="A64" s="344" t="s">
        <v>0</v>
      </c>
      <c r="B64" s="345" t="s">
        <v>1</v>
      </c>
      <c r="C64" s="1028" t="s">
        <v>646</v>
      </c>
      <c r="D64" s="1028"/>
      <c r="E64" s="1028"/>
      <c r="F64" s="1028"/>
      <c r="G64" s="1028" t="s">
        <v>34</v>
      </c>
      <c r="H64" s="1028"/>
      <c r="I64" s="1028"/>
      <c r="J64" s="346"/>
      <c r="K64" s="503"/>
      <c r="L64" s="382"/>
      <c r="M64" s="346"/>
      <c r="N64" s="419"/>
      <c r="O64" s="372"/>
      <c r="P64" s="373"/>
      <c r="Q64" s="374"/>
    </row>
    <row r="65" spans="1:17" s="630" customFormat="1" ht="16.2" thickBot="1" x14ac:dyDescent="0.35">
      <c r="A65" s="505" t="s">
        <v>358</v>
      </c>
      <c r="B65" s="505" t="s">
        <v>357</v>
      </c>
      <c r="C65" s="387" t="s">
        <v>19</v>
      </c>
      <c r="D65" s="388" t="s">
        <v>33</v>
      </c>
      <c r="E65" s="389" t="s">
        <v>35</v>
      </c>
      <c r="F65" s="390" t="s">
        <v>30</v>
      </c>
      <c r="G65" s="512" t="s">
        <v>14</v>
      </c>
      <c r="H65" s="389" t="s">
        <v>35</v>
      </c>
      <c r="I65" s="390" t="s">
        <v>30</v>
      </c>
      <c r="J65" s="355" t="s">
        <v>649</v>
      </c>
      <c r="K65" s="513" t="s">
        <v>38</v>
      </c>
      <c r="L65" s="393"/>
      <c r="M65" s="399"/>
      <c r="N65" s="400"/>
      <c r="O65" s="372"/>
      <c r="P65" s="373"/>
      <c r="Q65" s="374"/>
    </row>
    <row r="66" spans="1:17" s="630" customFormat="1" x14ac:dyDescent="0.25">
      <c r="A66" s="396"/>
      <c r="B66" s="397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367"/>
      <c r="K66" s="510">
        <f>F66+I66+J66</f>
        <v>0</v>
      </c>
      <c r="L66" s="369"/>
      <c r="M66" s="370"/>
      <c r="N66" s="371"/>
      <c r="O66" s="372"/>
      <c r="P66" s="373"/>
      <c r="Q66" s="374"/>
    </row>
    <row r="67" spans="1:17" s="630" customFormat="1" x14ac:dyDescent="0.25">
      <c r="A67" s="361"/>
      <c r="B67" s="5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367"/>
      <c r="K67" s="510">
        <f>F67+I67+J67</f>
        <v>0</v>
      </c>
      <c r="L67" s="369"/>
      <c r="M67" s="370"/>
      <c r="N67" s="371"/>
      <c r="O67" s="372"/>
      <c r="P67" s="373"/>
      <c r="Q67" s="374"/>
    </row>
    <row r="68" spans="1:17" s="630" customFormat="1" x14ac:dyDescent="0.25">
      <c r="A68" s="361"/>
      <c r="B68" s="5"/>
      <c r="C68" s="362"/>
      <c r="D68" s="363" t="s">
        <v>21</v>
      </c>
      <c r="E68" s="247">
        <v>0</v>
      </c>
      <c r="F68" s="364">
        <f>C68*E68</f>
        <v>0</v>
      </c>
      <c r="G68" s="509"/>
      <c r="H68" s="366">
        <v>0</v>
      </c>
      <c r="I68" s="364">
        <f>G68*H68</f>
        <v>0</v>
      </c>
      <c r="J68" s="367"/>
      <c r="K68" s="510">
        <f>F68+I68+J68</f>
        <v>0</v>
      </c>
      <c r="L68" s="369"/>
      <c r="M68" s="370"/>
      <c r="N68" s="371"/>
      <c r="O68" s="372"/>
      <c r="P68" s="373"/>
      <c r="Q68" s="374"/>
    </row>
    <row r="69" spans="1:17" s="630" customFormat="1" x14ac:dyDescent="0.25">
      <c r="A69" s="361"/>
      <c r="B69" s="5"/>
      <c r="C69" s="362"/>
      <c r="D69" s="363" t="s">
        <v>21</v>
      </c>
      <c r="E69" s="247">
        <v>0</v>
      </c>
      <c r="F69" s="364">
        <f>C69*E69</f>
        <v>0</v>
      </c>
      <c r="G69" s="509"/>
      <c r="H69" s="366">
        <v>0</v>
      </c>
      <c r="I69" s="364">
        <f>G69*H69</f>
        <v>0</v>
      </c>
      <c r="J69" s="367"/>
      <c r="K69" s="510">
        <f>F69+I69+J69</f>
        <v>0</v>
      </c>
      <c r="L69" s="159"/>
      <c r="M69" s="268"/>
      <c r="N69" s="157"/>
      <c r="O69" s="372"/>
      <c r="P69" s="373"/>
      <c r="Q69" s="374"/>
    </row>
    <row r="70" spans="1:17" s="630" customFormat="1" x14ac:dyDescent="0.25">
      <c r="A70" s="361"/>
      <c r="B70" s="5"/>
      <c r="C70" s="362"/>
      <c r="D70" s="363" t="s">
        <v>21</v>
      </c>
      <c r="E70" s="247">
        <v>0</v>
      </c>
      <c r="F70" s="364">
        <f>C70*E70</f>
        <v>0</v>
      </c>
      <c r="G70" s="509"/>
      <c r="H70" s="366">
        <v>0</v>
      </c>
      <c r="I70" s="364">
        <f>G70*H70</f>
        <v>0</v>
      </c>
      <c r="J70" s="367"/>
      <c r="K70" s="510">
        <f>F70+I70+J70</f>
        <v>0</v>
      </c>
      <c r="L70" s="159"/>
      <c r="M70" s="268"/>
      <c r="N70" s="157"/>
      <c r="O70" s="372"/>
      <c r="P70" s="373"/>
      <c r="Q70" s="374"/>
    </row>
    <row r="71" spans="1:17" s="630" customFormat="1" ht="13.8" thickBot="1" x14ac:dyDescent="0.3">
      <c r="A71" s="378"/>
      <c r="B71" s="5"/>
      <c r="C71" s="379"/>
      <c r="D71" s="363"/>
      <c r="E71" s="247"/>
      <c r="F71" s="364"/>
      <c r="G71" s="509"/>
      <c r="H71" s="366"/>
      <c r="I71" s="364"/>
      <c r="J71" s="367"/>
      <c r="K71" s="514"/>
      <c r="L71" s="159"/>
      <c r="M71" s="268"/>
      <c r="N71" s="157"/>
      <c r="O71" s="372"/>
      <c r="P71" s="373"/>
      <c r="Q71" s="374"/>
    </row>
    <row r="72" spans="1:17" s="630" customFormat="1" ht="13.8" thickTop="1" x14ac:dyDescent="0.25">
      <c r="A72" s="378"/>
      <c r="B72" s="403"/>
      <c r="C72" s="379"/>
      <c r="D72" s="363"/>
      <c r="E72" s="247"/>
      <c r="F72" s="364"/>
      <c r="G72" s="509"/>
      <c r="H72" s="366"/>
      <c r="I72" s="364"/>
      <c r="J72" s="380" t="s">
        <v>30</v>
      </c>
      <c r="K72" s="511">
        <f>SUM(K66:K71)</f>
        <v>0</v>
      </c>
      <c r="L72" s="159"/>
      <c r="M72" s="268"/>
      <c r="N72" s="157"/>
      <c r="O72" s="372"/>
      <c r="P72" s="373"/>
      <c r="Q72" s="374"/>
    </row>
    <row r="73" spans="1:17" s="630" customFormat="1" ht="13.8" thickBot="1" x14ac:dyDescent="0.3">
      <c r="A73" s="344" t="s">
        <v>0</v>
      </c>
      <c r="B73" s="345" t="s">
        <v>1</v>
      </c>
      <c r="C73" s="1028" t="s">
        <v>646</v>
      </c>
      <c r="D73" s="1028"/>
      <c r="E73" s="1028"/>
      <c r="F73" s="1028"/>
      <c r="G73" s="1028" t="s">
        <v>34</v>
      </c>
      <c r="H73" s="1028"/>
      <c r="I73" s="1028"/>
      <c r="J73" s="346"/>
      <c r="K73" s="503"/>
      <c r="L73" s="382"/>
      <c r="M73" s="383"/>
      <c r="N73" s="384"/>
      <c r="O73" s="372"/>
      <c r="P73" s="373"/>
      <c r="Q73" s="374"/>
    </row>
    <row r="74" spans="1:17" s="630" customFormat="1" ht="16.2" thickBot="1" x14ac:dyDescent="0.35">
      <c r="A74" s="385"/>
      <c r="B74" s="386"/>
      <c r="C74" s="387" t="s">
        <v>19</v>
      </c>
      <c r="D74" s="388" t="s">
        <v>33</v>
      </c>
      <c r="E74" s="389" t="s">
        <v>35</v>
      </c>
      <c r="F74" s="390" t="s">
        <v>30</v>
      </c>
      <c r="G74" s="512" t="s">
        <v>14</v>
      </c>
      <c r="H74" s="389" t="s">
        <v>35</v>
      </c>
      <c r="I74" s="390" t="s">
        <v>30</v>
      </c>
      <c r="J74" s="355" t="s">
        <v>649</v>
      </c>
      <c r="K74" s="513" t="s">
        <v>38</v>
      </c>
      <c r="L74" s="393"/>
      <c r="M74" s="394"/>
      <c r="N74" s="395"/>
      <c r="O74" s="372"/>
      <c r="P74" s="373"/>
      <c r="Q74" s="374"/>
    </row>
    <row r="75" spans="1:17" s="630" customFormat="1" x14ac:dyDescent="0.25">
      <c r="A75" s="396"/>
      <c r="B75" s="397"/>
      <c r="C75" s="362"/>
      <c r="D75" s="363" t="s">
        <v>21</v>
      </c>
      <c r="E75" s="247">
        <v>0</v>
      </c>
      <c r="F75" s="364">
        <f>C75*E75</f>
        <v>0</v>
      </c>
      <c r="G75" s="509"/>
      <c r="H75" s="366">
        <v>0</v>
      </c>
      <c r="I75" s="364">
        <f>G75*H75</f>
        <v>0</v>
      </c>
      <c r="J75" s="367"/>
      <c r="K75" s="510">
        <f>F75+I75+J75</f>
        <v>0</v>
      </c>
      <c r="L75" s="369"/>
      <c r="M75" s="370"/>
      <c r="N75" s="371"/>
      <c r="O75" s="372"/>
      <c r="P75" s="373"/>
      <c r="Q75" s="374"/>
    </row>
    <row r="76" spans="1:17" s="630" customFormat="1" x14ac:dyDescent="0.25">
      <c r="A76" s="361"/>
      <c r="B76" s="5"/>
      <c r="C76" s="362"/>
      <c r="D76" s="363" t="s">
        <v>21</v>
      </c>
      <c r="E76" s="247">
        <v>0</v>
      </c>
      <c r="F76" s="364">
        <f>C76*E76</f>
        <v>0</v>
      </c>
      <c r="G76" s="509"/>
      <c r="H76" s="366">
        <v>0</v>
      </c>
      <c r="I76" s="364">
        <f>G76*H76</f>
        <v>0</v>
      </c>
      <c r="J76" s="367"/>
      <c r="K76" s="510">
        <f>F76+I76+J76</f>
        <v>0</v>
      </c>
      <c r="L76" s="617"/>
      <c r="M76" s="618"/>
      <c r="N76" s="619"/>
      <c r="O76" s="372"/>
      <c r="P76" s="373"/>
      <c r="Q76" s="374"/>
    </row>
    <row r="77" spans="1:17" s="630" customFormat="1" x14ac:dyDescent="0.25">
      <c r="A77" s="361"/>
      <c r="B77" s="5"/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367"/>
      <c r="K77" s="510">
        <f>F77+I77+J77</f>
        <v>0</v>
      </c>
      <c r="L77" s="620"/>
      <c r="M77" s="622"/>
      <c r="N77" s="621"/>
      <c r="O77" s="372"/>
      <c r="P77" s="373"/>
      <c r="Q77" s="374"/>
    </row>
    <row r="78" spans="1:17" s="159" customFormat="1" ht="13.8" thickBot="1" x14ac:dyDescent="0.3">
      <c r="A78" s="378"/>
      <c r="B78" s="5"/>
      <c r="C78" s="379"/>
      <c r="D78" s="363"/>
      <c r="E78" s="247"/>
      <c r="F78" s="364"/>
      <c r="G78" s="509"/>
      <c r="H78" s="366"/>
      <c r="I78" s="364"/>
      <c r="J78" s="367"/>
      <c r="K78" s="514"/>
      <c r="L78" s="369"/>
      <c r="M78" s="370"/>
      <c r="N78" s="371"/>
      <c r="O78" s="372"/>
      <c r="P78" s="373"/>
      <c r="Q78" s="374"/>
    </row>
    <row r="79" spans="1:17" s="159" customFormat="1" ht="13.8" thickTop="1" x14ac:dyDescent="0.25">
      <c r="A79" s="378"/>
      <c r="B79" s="157"/>
      <c r="C79" s="379"/>
      <c r="D79" s="363"/>
      <c r="E79" s="247"/>
      <c r="F79" s="364"/>
      <c r="G79" s="509"/>
      <c r="H79" s="366"/>
      <c r="I79" s="364"/>
      <c r="J79" s="380" t="s">
        <v>30</v>
      </c>
      <c r="K79" s="511">
        <f>SUM(K75:K78)</f>
        <v>0</v>
      </c>
      <c r="L79" s="369"/>
      <c r="M79" s="370"/>
      <c r="N79" s="371"/>
      <c r="O79" s="372"/>
      <c r="P79" s="373"/>
      <c r="Q79" s="374"/>
    </row>
    <row r="80" spans="1:17" s="159" customFormat="1" ht="13.8" thickBot="1" x14ac:dyDescent="0.3">
      <c r="A80" s="344" t="s">
        <v>0</v>
      </c>
      <c r="B80" s="345" t="s">
        <v>1</v>
      </c>
      <c r="C80" s="1028" t="s">
        <v>646</v>
      </c>
      <c r="D80" s="1028"/>
      <c r="E80" s="1028"/>
      <c r="F80" s="1028"/>
      <c r="G80" s="1028" t="s">
        <v>34</v>
      </c>
      <c r="H80" s="1028"/>
      <c r="I80" s="1028"/>
      <c r="J80" s="346"/>
      <c r="K80" s="503"/>
      <c r="L80" s="382"/>
      <c r="M80" s="383"/>
      <c r="N80" s="384"/>
      <c r="O80" s="372"/>
      <c r="P80" s="373"/>
      <c r="Q80" s="374"/>
    </row>
    <row r="81" spans="1:17" s="159" customFormat="1" ht="16.2" thickBot="1" x14ac:dyDescent="0.35">
      <c r="A81" s="385"/>
      <c r="B81" s="386"/>
      <c r="C81" s="387" t="s">
        <v>19</v>
      </c>
      <c r="D81" s="388" t="s">
        <v>33</v>
      </c>
      <c r="E81" s="389" t="s">
        <v>35</v>
      </c>
      <c r="F81" s="390" t="s">
        <v>30</v>
      </c>
      <c r="G81" s="512" t="s">
        <v>14</v>
      </c>
      <c r="H81" s="389" t="s">
        <v>35</v>
      </c>
      <c r="I81" s="390" t="s">
        <v>30</v>
      </c>
      <c r="J81" s="355" t="s">
        <v>649</v>
      </c>
      <c r="K81" s="513" t="s">
        <v>38</v>
      </c>
      <c r="L81" s="393"/>
      <c r="M81" s="394"/>
      <c r="N81" s="395"/>
      <c r="O81" s="372"/>
      <c r="P81" s="373"/>
      <c r="Q81" s="374"/>
    </row>
    <row r="82" spans="1:17" s="159" customFormat="1" x14ac:dyDescent="0.25">
      <c r="A82" s="396"/>
      <c r="B82" s="397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M82" s="268"/>
      <c r="N82" s="157"/>
      <c r="O82" s="372"/>
      <c r="P82" s="373"/>
      <c r="Q82" s="374"/>
    </row>
    <row r="83" spans="1:17" s="159" customFormat="1" x14ac:dyDescent="0.25">
      <c r="A83" s="361"/>
      <c r="B83" s="5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367"/>
      <c r="K83" s="510">
        <f>F83+I83+J83</f>
        <v>0</v>
      </c>
      <c r="M83" s="268"/>
      <c r="N83" s="157"/>
      <c r="O83" s="372"/>
      <c r="P83" s="373"/>
      <c r="Q83" s="374"/>
    </row>
    <row r="84" spans="1:17" s="159" customFormat="1" x14ac:dyDescent="0.25">
      <c r="A84" s="361"/>
      <c r="C84" s="362"/>
      <c r="D84" s="363" t="s">
        <v>21</v>
      </c>
      <c r="E84" s="247">
        <v>0</v>
      </c>
      <c r="F84" s="364">
        <f>C84*E84</f>
        <v>0</v>
      </c>
      <c r="G84" s="509"/>
      <c r="H84" s="366">
        <v>0</v>
      </c>
      <c r="I84" s="364">
        <f>G84*H84</f>
        <v>0</v>
      </c>
      <c r="J84" s="367"/>
      <c r="K84" s="510">
        <f>F84+I84+J84</f>
        <v>0</v>
      </c>
      <c r="M84" s="268"/>
      <c r="N84" s="157"/>
      <c r="O84" s="372"/>
      <c r="P84" s="373"/>
      <c r="Q84" s="374"/>
    </row>
    <row r="85" spans="1:17" s="159" customFormat="1" x14ac:dyDescent="0.25">
      <c r="A85" s="361"/>
      <c r="B85" s="5"/>
      <c r="C85" s="362"/>
      <c r="D85" s="363" t="s">
        <v>21</v>
      </c>
      <c r="E85" s="247">
        <v>0</v>
      </c>
      <c r="F85" s="364">
        <f>C85*E85</f>
        <v>0</v>
      </c>
      <c r="G85" s="509"/>
      <c r="H85" s="366">
        <v>0</v>
      </c>
      <c r="I85" s="364">
        <f>G85*H85</f>
        <v>0</v>
      </c>
      <c r="J85" s="367"/>
      <c r="K85" s="510">
        <f>F85+I85+J85</f>
        <v>0</v>
      </c>
      <c r="L85" s="369"/>
      <c r="M85" s="370"/>
      <c r="N85" s="371"/>
      <c r="O85" s="372"/>
      <c r="P85" s="373"/>
      <c r="Q85" s="374"/>
    </row>
    <row r="86" spans="1:17" s="159" customFormat="1" x14ac:dyDescent="0.25">
      <c r="A86" s="361"/>
      <c r="B86" s="5"/>
      <c r="C86" s="362"/>
      <c r="D86" s="363" t="s">
        <v>21</v>
      </c>
      <c r="E86" s="247">
        <v>0</v>
      </c>
      <c r="F86" s="364">
        <f>C86*E86</f>
        <v>0</v>
      </c>
      <c r="G86" s="509"/>
      <c r="H86" s="366">
        <v>0</v>
      </c>
      <c r="I86" s="364">
        <f>G86*H86</f>
        <v>0</v>
      </c>
      <c r="J86" s="367"/>
      <c r="K86" s="510">
        <f>F86+I86+J86</f>
        <v>0</v>
      </c>
      <c r="L86" s="369"/>
      <c r="M86" s="370"/>
      <c r="N86" s="371"/>
      <c r="O86" s="372"/>
      <c r="P86" s="373"/>
      <c r="Q86" s="374"/>
    </row>
    <row r="87" spans="1:17" s="159" customFormat="1" ht="13.8" thickBot="1" x14ac:dyDescent="0.3">
      <c r="A87" s="378"/>
      <c r="B87" s="5"/>
      <c r="C87" s="379"/>
      <c r="D87" s="363"/>
      <c r="E87" s="247"/>
      <c r="F87" s="364"/>
      <c r="G87" s="509"/>
      <c r="H87" s="366"/>
      <c r="I87" s="364"/>
      <c r="J87" s="367"/>
      <c r="K87" s="514"/>
      <c r="L87" s="369"/>
      <c r="M87" s="370"/>
      <c r="N87" s="371"/>
      <c r="O87" s="372"/>
      <c r="P87" s="373"/>
      <c r="Q87" s="374"/>
    </row>
    <row r="88" spans="1:17" s="159" customFormat="1" ht="13.8" thickTop="1" x14ac:dyDescent="0.25">
      <c r="A88" s="378"/>
      <c r="B88" s="403"/>
      <c r="C88" s="379"/>
      <c r="D88" s="363"/>
      <c r="E88" s="247"/>
      <c r="F88" s="364"/>
      <c r="G88" s="509"/>
      <c r="H88" s="366"/>
      <c r="I88" s="364"/>
      <c r="J88" s="380" t="s">
        <v>30</v>
      </c>
      <c r="K88" s="511">
        <f>SUM(K82:K87)</f>
        <v>0</v>
      </c>
      <c r="M88" s="268"/>
      <c r="N88" s="157"/>
      <c r="O88" s="372"/>
      <c r="P88" s="373"/>
      <c r="Q88" s="374"/>
    </row>
    <row r="89" spans="1:17" s="159" customFormat="1" ht="13.8" thickBot="1" x14ac:dyDescent="0.3">
      <c r="A89" s="344" t="s">
        <v>0</v>
      </c>
      <c r="B89" s="345" t="s">
        <v>1</v>
      </c>
      <c r="C89" s="1028" t="s">
        <v>646</v>
      </c>
      <c r="D89" s="1028"/>
      <c r="E89" s="1028"/>
      <c r="F89" s="1028"/>
      <c r="G89" s="1028" t="s">
        <v>34</v>
      </c>
      <c r="H89" s="1028"/>
      <c r="I89" s="1028"/>
      <c r="J89" s="346"/>
      <c r="K89" s="503"/>
      <c r="L89" s="382"/>
      <c r="M89" s="383"/>
      <c r="N89" s="384"/>
      <c r="O89" s="372"/>
      <c r="P89" s="373"/>
      <c r="Q89" s="374"/>
    </row>
    <row r="90" spans="1:17" s="159" customFormat="1" ht="16.2" thickBot="1" x14ac:dyDescent="0.35">
      <c r="A90" s="385"/>
      <c r="B90" s="386"/>
      <c r="C90" s="387" t="s">
        <v>19</v>
      </c>
      <c r="D90" s="388" t="s">
        <v>33</v>
      </c>
      <c r="E90" s="389" t="s">
        <v>35</v>
      </c>
      <c r="F90" s="390" t="s">
        <v>30</v>
      </c>
      <c r="G90" s="512" t="s">
        <v>14</v>
      </c>
      <c r="H90" s="389" t="s">
        <v>35</v>
      </c>
      <c r="I90" s="390" t="s">
        <v>30</v>
      </c>
      <c r="J90" s="355" t="s">
        <v>649</v>
      </c>
      <c r="K90" s="513" t="s">
        <v>38</v>
      </c>
      <c r="L90" s="393"/>
      <c r="M90" s="394"/>
      <c r="N90" s="395"/>
      <c r="O90" s="372"/>
      <c r="P90" s="373"/>
      <c r="Q90" s="374"/>
    </row>
    <row r="91" spans="1:17" s="159" customFormat="1" x14ac:dyDescent="0.25">
      <c r="A91" s="396"/>
      <c r="B91" s="397"/>
      <c r="C91" s="362"/>
      <c r="D91" s="363" t="s">
        <v>21</v>
      </c>
      <c r="E91" s="247">
        <v>0</v>
      </c>
      <c r="F91" s="364">
        <f>C91*E91</f>
        <v>0</v>
      </c>
      <c r="G91" s="509"/>
      <c r="H91" s="366">
        <v>0</v>
      </c>
      <c r="I91" s="364">
        <f>G91*H91</f>
        <v>0</v>
      </c>
      <c r="J91" s="367"/>
      <c r="K91" s="510">
        <f>F91+I91+J91</f>
        <v>0</v>
      </c>
      <c r="L91" s="369"/>
      <c r="M91" s="370"/>
      <c r="N91" s="371"/>
      <c r="O91" s="372"/>
      <c r="P91" s="373"/>
      <c r="Q91" s="374"/>
    </row>
    <row r="92" spans="1:17" s="159" customFormat="1" x14ac:dyDescent="0.25">
      <c r="A92" s="361"/>
      <c r="B92" s="5"/>
      <c r="C92" s="362"/>
      <c r="D92" s="363" t="s">
        <v>21</v>
      </c>
      <c r="E92" s="247">
        <v>0</v>
      </c>
      <c r="F92" s="364">
        <f>C92*E92</f>
        <v>0</v>
      </c>
      <c r="G92" s="509"/>
      <c r="H92" s="366">
        <v>0</v>
      </c>
      <c r="I92" s="364">
        <f>G92*H92</f>
        <v>0</v>
      </c>
      <c r="J92" s="367"/>
      <c r="K92" s="510">
        <f>F92+I92+J92</f>
        <v>0</v>
      </c>
      <c r="L92" s="623"/>
      <c r="M92" s="624"/>
      <c r="N92" s="625"/>
      <c r="O92" s="372"/>
      <c r="P92" s="373"/>
      <c r="Q92" s="374"/>
    </row>
    <row r="93" spans="1:17" s="159" customFormat="1" x14ac:dyDescent="0.25">
      <c r="A93" s="361"/>
      <c r="B93" s="5"/>
      <c r="C93" s="362"/>
      <c r="D93" s="363" t="s">
        <v>21</v>
      </c>
      <c r="E93" s="247">
        <v>0</v>
      </c>
      <c r="F93" s="364">
        <f>C93*E93</f>
        <v>0</v>
      </c>
      <c r="G93" s="509"/>
      <c r="H93" s="366">
        <v>0</v>
      </c>
      <c r="I93" s="364">
        <f>G93*H93</f>
        <v>0</v>
      </c>
      <c r="J93" s="367"/>
      <c r="K93" s="510">
        <f>F93+I93+J93</f>
        <v>0</v>
      </c>
      <c r="L93" s="623"/>
      <c r="M93" s="624"/>
      <c r="N93" s="626"/>
      <c r="O93" s="372"/>
      <c r="P93" s="373"/>
      <c r="Q93" s="374"/>
    </row>
    <row r="94" spans="1:17" s="159" customFormat="1" x14ac:dyDescent="0.25">
      <c r="A94" s="361"/>
      <c r="B94" s="5"/>
      <c r="C94" s="362"/>
      <c r="D94" s="363" t="s">
        <v>21</v>
      </c>
      <c r="E94" s="247">
        <v>0</v>
      </c>
      <c r="F94" s="364">
        <f>C94*E94</f>
        <v>0</v>
      </c>
      <c r="G94" s="509"/>
      <c r="H94" s="366">
        <v>0</v>
      </c>
      <c r="I94" s="364">
        <f>G94*H94</f>
        <v>0</v>
      </c>
      <c r="J94" s="367"/>
      <c r="K94" s="510">
        <f>F94+I94+J94</f>
        <v>0</v>
      </c>
      <c r="L94" s="623"/>
      <c r="M94" s="624"/>
      <c r="N94" s="626"/>
      <c r="O94" s="372"/>
      <c r="P94" s="373"/>
      <c r="Q94" s="374"/>
    </row>
    <row r="95" spans="1:17" s="159" customFormat="1" ht="13.8" thickBot="1" x14ac:dyDescent="0.3">
      <c r="A95" s="378"/>
      <c r="B95" s="403"/>
      <c r="C95" s="362"/>
      <c r="D95" s="363"/>
      <c r="E95" s="247"/>
      <c r="F95" s="364"/>
      <c r="G95" s="509"/>
      <c r="H95" s="366"/>
      <c r="I95" s="364"/>
      <c r="J95" s="367"/>
      <c r="K95" s="510"/>
      <c r="L95" s="623"/>
      <c r="M95" s="624"/>
      <c r="N95" s="626"/>
      <c r="O95" s="372"/>
      <c r="P95" s="373"/>
      <c r="Q95" s="374"/>
    </row>
    <row r="96" spans="1:17" s="159" customFormat="1" ht="14.4" thickTop="1" thickBot="1" x14ac:dyDescent="0.3">
      <c r="A96" s="450"/>
      <c r="B96" s="156"/>
      <c r="C96" s="451"/>
      <c r="D96" s="452"/>
      <c r="E96" s="453"/>
      <c r="F96" s="454"/>
      <c r="G96" s="591"/>
      <c r="H96" s="453"/>
      <c r="I96" s="454"/>
      <c r="J96" s="456" t="s">
        <v>30</v>
      </c>
      <c r="K96" s="592">
        <f>SUM(K91:K95)</f>
        <v>0</v>
      </c>
      <c r="L96" s="623"/>
      <c r="M96" s="624"/>
      <c r="N96" s="626"/>
      <c r="O96" s="372"/>
      <c r="P96" s="373"/>
      <c r="Q96" s="374"/>
    </row>
    <row r="97" spans="1:17" s="159" customFormat="1" ht="14.1" customHeight="1" thickBot="1" x14ac:dyDescent="0.3">
      <c r="A97" s="458"/>
      <c r="B97" s="459"/>
      <c r="C97" s="460"/>
      <c r="D97" s="460"/>
      <c r="E97" s="461"/>
      <c r="F97" s="1038" t="s">
        <v>648</v>
      </c>
      <c r="G97" s="1040" t="s">
        <v>673</v>
      </c>
      <c r="H97" s="461"/>
      <c r="I97" s="1042" t="s">
        <v>647</v>
      </c>
      <c r="J97" s="1044" t="s">
        <v>674</v>
      </c>
      <c r="K97" s="1121" t="s">
        <v>31</v>
      </c>
      <c r="L97" s="627"/>
      <c r="M97" s="628"/>
      <c r="N97" s="629"/>
      <c r="O97" s="441"/>
      <c r="P97" s="442"/>
      <c r="Q97" s="443"/>
    </row>
    <row r="98" spans="1:17" s="159" customFormat="1" ht="14.4" thickTop="1" x14ac:dyDescent="0.25">
      <c r="A98" s="462" t="s">
        <v>32</v>
      </c>
      <c r="B98" s="1031" t="s">
        <v>654</v>
      </c>
      <c r="C98" s="463"/>
      <c r="D98" s="464"/>
      <c r="E98" s="464"/>
      <c r="F98" s="1039"/>
      <c r="G98" s="1041"/>
      <c r="H98" s="465"/>
      <c r="I98" s="1043"/>
      <c r="J98" s="1045"/>
      <c r="K98" s="1122"/>
      <c r="M98" s="268"/>
      <c r="N98" s="157"/>
      <c r="O98" s="294"/>
      <c r="P98" s="294"/>
    </row>
    <row r="99" spans="1:17" s="159" customFormat="1" ht="13.8" x14ac:dyDescent="0.25">
      <c r="A99" s="780">
        <f>K99/E6</f>
        <v>0</v>
      </c>
      <c r="B99" s="1031"/>
      <c r="C99" s="464"/>
      <c r="D99" s="464"/>
      <c r="E99" s="464"/>
      <c r="F99" s="1032">
        <f>SUM(F91:F95,F82:F87,F75:F78,F66:F71,F55:F61,F46:F51,F38:F42,F27:F34,F11:F23)</f>
        <v>0</v>
      </c>
      <c r="G99" s="1034">
        <f>SUM(G91:G95,G82:G87,G75:G78,G66:G71,G55:G61,G46:G51,G38:G42,G27:G34,G11:G23)</f>
        <v>0</v>
      </c>
      <c r="H99" s="465"/>
      <c r="I99" s="1032">
        <f>SUM(I91:I95,I82:I87,I75:I78,I66:I71,I55:I61,I46:I51,I38:I42,I27:I34,I11:I23)</f>
        <v>0</v>
      </c>
      <c r="J99" s="1032">
        <f>SUM(J91:J95,J82:J87,J75:J78,J66:J71,J55:J61,J46:J51,J38:J42,J27:J34,J11:J23)</f>
        <v>0</v>
      </c>
      <c r="K99" s="1119">
        <f>SUM(K96,K88,K79,K72,K63,K52,K43,K35,K24)</f>
        <v>0</v>
      </c>
      <c r="M99" s="268"/>
      <c r="N99" s="157"/>
      <c r="O99" s="294"/>
      <c r="P99" s="294"/>
    </row>
    <row r="100" spans="1:17" s="159" customFormat="1" ht="14.4" thickBot="1" x14ac:dyDescent="0.3">
      <c r="A100" s="462"/>
      <c r="B100" s="529"/>
      <c r="C100" s="468"/>
      <c r="D100" s="468"/>
      <c r="E100" s="468"/>
      <c r="F100" s="1033"/>
      <c r="G100" s="1035"/>
      <c r="H100" s="468"/>
      <c r="I100" s="1033"/>
      <c r="J100" s="1033"/>
      <c r="K100" s="1120"/>
      <c r="M100" s="268"/>
      <c r="N100" s="157"/>
      <c r="O100" s="294"/>
      <c r="P100" s="294"/>
    </row>
    <row r="101" spans="1:17" s="159" customFormat="1" ht="13.8" thickBot="1" x14ac:dyDescent="0.3">
      <c r="A101" s="469"/>
      <c r="B101" s="470"/>
      <c r="C101" s="470"/>
      <c r="D101" s="470"/>
      <c r="E101" s="470"/>
      <c r="F101" s="470"/>
      <c r="G101" s="470"/>
      <c r="H101" s="470"/>
      <c r="I101" s="470"/>
      <c r="J101" s="470"/>
      <c r="K101" s="471"/>
      <c r="M101" s="268"/>
      <c r="N101" s="157"/>
      <c r="O101" s="294"/>
      <c r="P101" s="294"/>
    </row>
    <row r="102" spans="1:17" s="159" customFormat="1" x14ac:dyDescent="0.25">
      <c r="C102" s="611"/>
      <c r="D102" s="611"/>
      <c r="M102" s="268"/>
      <c r="N102" s="157"/>
      <c r="O102" s="294"/>
      <c r="P102" s="294"/>
    </row>
    <row r="103" spans="1:17" s="159" customFormat="1" x14ac:dyDescent="0.25">
      <c r="C103" s="611"/>
      <c r="D103" s="611"/>
      <c r="M103" s="268"/>
      <c r="N103" s="157"/>
      <c r="O103" s="294"/>
      <c r="P103" s="294"/>
    </row>
    <row r="104" spans="1:17" s="159" customFormat="1" x14ac:dyDescent="0.25">
      <c r="C104" s="611"/>
      <c r="D104" s="611"/>
      <c r="M104" s="268"/>
      <c r="N104" s="157"/>
      <c r="O104" s="294"/>
      <c r="P104" s="294"/>
    </row>
    <row r="105" spans="1:17" s="159" customFormat="1" x14ac:dyDescent="0.25">
      <c r="C105" s="611"/>
      <c r="D105" s="611"/>
      <c r="M105" s="268"/>
      <c r="N105" s="157"/>
      <c r="O105" s="294"/>
      <c r="P105" s="294"/>
    </row>
    <row r="106" spans="1:17" s="159" customFormat="1" x14ac:dyDescent="0.25">
      <c r="C106" s="611"/>
      <c r="D106" s="611"/>
      <c r="M106" s="268"/>
      <c r="N106" s="157"/>
      <c r="O106" s="294"/>
      <c r="P106" s="294"/>
    </row>
    <row r="107" spans="1:17" s="159" customFormat="1" x14ac:dyDescent="0.25">
      <c r="C107" s="611"/>
      <c r="D107" s="611"/>
      <c r="M107" s="268"/>
      <c r="N107" s="157"/>
      <c r="O107" s="294"/>
      <c r="P107" s="294"/>
    </row>
    <row r="108" spans="1:17" s="159" customFormat="1" x14ac:dyDescent="0.25">
      <c r="C108" s="611"/>
      <c r="D108" s="611"/>
      <c r="M108" s="268"/>
      <c r="N108" s="157"/>
      <c r="O108" s="294"/>
      <c r="P108" s="294"/>
    </row>
    <row r="109" spans="1:17" s="159" customFormat="1" x14ac:dyDescent="0.25">
      <c r="C109" s="611"/>
      <c r="D109" s="611"/>
      <c r="M109" s="268"/>
      <c r="N109" s="157"/>
      <c r="O109" s="294"/>
      <c r="P109" s="294"/>
    </row>
    <row r="110" spans="1:17" s="159" customFormat="1" x14ac:dyDescent="0.25">
      <c r="C110" s="611"/>
      <c r="D110" s="611"/>
      <c r="M110" s="268"/>
      <c r="N110" s="157"/>
      <c r="O110" s="294"/>
      <c r="P110" s="294"/>
    </row>
    <row r="111" spans="1:17" s="159" customFormat="1" x14ac:dyDescent="0.25">
      <c r="C111" s="611"/>
      <c r="D111" s="611"/>
      <c r="M111" s="268"/>
      <c r="N111" s="157"/>
      <c r="O111" s="294"/>
      <c r="P111" s="294"/>
    </row>
    <row r="112" spans="1:17" s="159" customFormat="1" x14ac:dyDescent="0.25">
      <c r="C112" s="611"/>
      <c r="D112" s="611"/>
      <c r="M112" s="268"/>
      <c r="N112" s="157"/>
      <c r="O112" s="294"/>
      <c r="P112" s="294"/>
    </row>
    <row r="113" spans="3:16" s="159" customFormat="1" x14ac:dyDescent="0.25">
      <c r="C113" s="611"/>
      <c r="D113" s="611"/>
      <c r="M113" s="268"/>
      <c r="N113" s="157"/>
      <c r="O113" s="294"/>
      <c r="P113" s="294"/>
    </row>
    <row r="114" spans="3:16" s="159" customFormat="1" x14ac:dyDescent="0.25">
      <c r="C114" s="611"/>
      <c r="D114" s="611"/>
      <c r="M114" s="268"/>
      <c r="N114" s="157"/>
      <c r="O114" s="294"/>
      <c r="P114" s="294"/>
    </row>
    <row r="115" spans="3:16" s="159" customFormat="1" x14ac:dyDescent="0.25">
      <c r="C115" s="611"/>
      <c r="D115" s="611"/>
      <c r="M115" s="268"/>
      <c r="N115" s="157"/>
      <c r="O115" s="294"/>
      <c r="P115" s="294"/>
    </row>
    <row r="116" spans="3:16" s="159" customFormat="1" x14ac:dyDescent="0.25">
      <c r="C116" s="611"/>
      <c r="D116" s="611"/>
      <c r="M116" s="268"/>
      <c r="N116" s="157"/>
      <c r="O116" s="294"/>
      <c r="P116" s="294"/>
    </row>
    <row r="117" spans="3:16" s="159" customFormat="1" x14ac:dyDescent="0.25">
      <c r="C117" s="611"/>
      <c r="D117" s="611"/>
      <c r="M117" s="268"/>
      <c r="N117" s="157"/>
      <c r="O117" s="294"/>
      <c r="P117" s="294"/>
    </row>
    <row r="118" spans="3:16" s="159" customFormat="1" x14ac:dyDescent="0.25">
      <c r="C118" s="611"/>
      <c r="D118" s="611"/>
      <c r="M118" s="268"/>
      <c r="N118" s="157"/>
      <c r="O118" s="294"/>
      <c r="P118" s="294"/>
    </row>
    <row r="119" spans="3:16" s="159" customFormat="1" x14ac:dyDescent="0.25">
      <c r="C119" s="611"/>
      <c r="D119" s="611"/>
      <c r="M119" s="268"/>
      <c r="N119" s="157"/>
      <c r="O119" s="294"/>
      <c r="P119" s="294"/>
    </row>
    <row r="120" spans="3:16" s="159" customFormat="1" x14ac:dyDescent="0.25">
      <c r="C120" s="611"/>
      <c r="D120" s="611"/>
      <c r="M120" s="268"/>
      <c r="N120" s="157"/>
      <c r="O120" s="294"/>
      <c r="P120" s="294"/>
    </row>
    <row r="121" spans="3:16" s="159" customFormat="1" x14ac:dyDescent="0.25">
      <c r="C121" s="611"/>
      <c r="D121" s="611"/>
      <c r="M121" s="268"/>
      <c r="N121" s="157"/>
      <c r="O121" s="294"/>
      <c r="P121" s="294"/>
    </row>
    <row r="122" spans="3:16" s="159" customFormat="1" x14ac:dyDescent="0.25">
      <c r="C122" s="611"/>
      <c r="D122" s="611"/>
      <c r="M122" s="268"/>
      <c r="N122" s="157"/>
      <c r="O122" s="294"/>
      <c r="P122" s="294"/>
    </row>
    <row r="123" spans="3:16" s="159" customFormat="1" x14ac:dyDescent="0.25">
      <c r="C123" s="611"/>
      <c r="D123" s="611"/>
      <c r="M123" s="268"/>
      <c r="N123" s="157"/>
      <c r="O123" s="294"/>
      <c r="P123" s="294"/>
    </row>
    <row r="124" spans="3:16" s="159" customFormat="1" x14ac:dyDescent="0.25">
      <c r="C124" s="611"/>
      <c r="D124" s="611"/>
      <c r="M124" s="268"/>
      <c r="N124" s="157"/>
      <c r="O124" s="294"/>
      <c r="P124" s="294"/>
    </row>
    <row r="125" spans="3:16" s="159" customFormat="1" x14ac:dyDescent="0.25">
      <c r="C125" s="611"/>
      <c r="D125" s="611"/>
      <c r="M125" s="268"/>
      <c r="N125" s="157"/>
      <c r="O125" s="294"/>
      <c r="P125" s="294"/>
    </row>
    <row r="126" spans="3:16" s="159" customFormat="1" x14ac:dyDescent="0.25">
      <c r="C126" s="611"/>
      <c r="D126" s="611"/>
      <c r="M126" s="268"/>
      <c r="N126" s="157"/>
      <c r="O126" s="294"/>
      <c r="P126" s="294"/>
    </row>
    <row r="127" spans="3:16" s="159" customFormat="1" x14ac:dyDescent="0.25">
      <c r="C127" s="611"/>
      <c r="D127" s="611"/>
      <c r="M127" s="268"/>
      <c r="N127" s="157"/>
      <c r="O127" s="294"/>
      <c r="P127" s="294"/>
    </row>
    <row r="128" spans="3:16" s="159" customFormat="1" x14ac:dyDescent="0.25">
      <c r="C128" s="611"/>
      <c r="D128" s="611"/>
      <c r="M128" s="268"/>
      <c r="N128" s="157"/>
      <c r="O128" s="294"/>
      <c r="P128" s="294"/>
    </row>
    <row r="129" spans="3:16" s="159" customFormat="1" x14ac:dyDescent="0.25">
      <c r="C129" s="611"/>
      <c r="D129" s="611"/>
      <c r="M129" s="268"/>
      <c r="N129" s="157"/>
      <c r="O129" s="294"/>
      <c r="P129" s="294"/>
    </row>
    <row r="130" spans="3:16" s="159" customFormat="1" x14ac:dyDescent="0.25">
      <c r="C130" s="611"/>
      <c r="D130" s="611"/>
      <c r="M130" s="268"/>
      <c r="N130" s="157"/>
      <c r="O130" s="294"/>
      <c r="P130" s="294"/>
    </row>
    <row r="131" spans="3:16" s="159" customFormat="1" x14ac:dyDescent="0.25">
      <c r="C131" s="611"/>
      <c r="D131" s="611"/>
      <c r="M131" s="268"/>
      <c r="N131" s="157"/>
      <c r="O131" s="294"/>
      <c r="P131" s="294"/>
    </row>
    <row r="132" spans="3:16" s="159" customFormat="1" x14ac:dyDescent="0.25">
      <c r="C132" s="611"/>
      <c r="D132" s="611"/>
      <c r="M132" s="268"/>
      <c r="N132" s="157"/>
      <c r="O132" s="294"/>
      <c r="P132" s="294"/>
    </row>
    <row r="133" spans="3:16" s="159" customFormat="1" x14ac:dyDescent="0.25">
      <c r="C133" s="611"/>
      <c r="D133" s="611"/>
      <c r="M133" s="268"/>
      <c r="N133" s="157"/>
      <c r="O133" s="294"/>
      <c r="P133" s="294"/>
    </row>
    <row r="134" spans="3:16" s="159" customFormat="1" x14ac:dyDescent="0.25">
      <c r="C134" s="611"/>
      <c r="D134" s="611"/>
      <c r="M134" s="268"/>
      <c r="N134" s="157"/>
      <c r="O134" s="294"/>
      <c r="P134" s="294"/>
    </row>
    <row r="135" spans="3:16" s="159" customFormat="1" x14ac:dyDescent="0.25">
      <c r="C135" s="611"/>
      <c r="D135" s="611"/>
      <c r="M135" s="268"/>
      <c r="N135" s="157"/>
      <c r="O135" s="294"/>
      <c r="P135" s="294"/>
    </row>
    <row r="136" spans="3:16" s="159" customFormat="1" x14ac:dyDescent="0.25">
      <c r="C136" s="611"/>
      <c r="D136" s="611"/>
      <c r="M136" s="268"/>
      <c r="N136" s="157"/>
      <c r="O136" s="294"/>
      <c r="P136" s="294"/>
    </row>
    <row r="137" spans="3:16" s="159" customFormat="1" x14ac:dyDescent="0.25">
      <c r="C137" s="611"/>
      <c r="D137" s="611"/>
      <c r="M137" s="268"/>
      <c r="N137" s="157"/>
      <c r="O137" s="294"/>
      <c r="P137" s="294"/>
    </row>
    <row r="138" spans="3:16" s="159" customFormat="1" x14ac:dyDescent="0.25">
      <c r="C138" s="611"/>
      <c r="D138" s="611"/>
      <c r="M138" s="268"/>
      <c r="N138" s="157"/>
      <c r="O138" s="294"/>
      <c r="P138" s="294"/>
    </row>
    <row r="139" spans="3:16" s="159" customFormat="1" x14ac:dyDescent="0.25">
      <c r="C139" s="611"/>
      <c r="D139" s="611"/>
      <c r="M139" s="268"/>
      <c r="N139" s="157"/>
      <c r="O139" s="294"/>
      <c r="P139" s="294"/>
    </row>
    <row r="140" spans="3:16" s="159" customFormat="1" x14ac:dyDescent="0.25">
      <c r="C140" s="611"/>
      <c r="D140" s="611"/>
      <c r="M140" s="268"/>
      <c r="N140" s="157"/>
      <c r="O140" s="294"/>
      <c r="P140" s="294"/>
    </row>
    <row r="141" spans="3:16" s="159" customFormat="1" x14ac:dyDescent="0.25">
      <c r="C141" s="611"/>
      <c r="D141" s="611"/>
      <c r="M141" s="268"/>
      <c r="N141" s="157"/>
      <c r="O141" s="294"/>
      <c r="P141" s="294"/>
    </row>
    <row r="142" spans="3:16" s="159" customFormat="1" x14ac:dyDescent="0.25">
      <c r="C142" s="611"/>
      <c r="D142" s="611"/>
      <c r="M142" s="268"/>
      <c r="N142" s="157"/>
      <c r="O142" s="294"/>
      <c r="P142" s="294"/>
    </row>
    <row r="143" spans="3:16" s="159" customFormat="1" x14ac:dyDescent="0.25">
      <c r="C143" s="611"/>
      <c r="D143" s="611"/>
      <c r="M143" s="268"/>
      <c r="N143" s="157"/>
      <c r="O143" s="294"/>
      <c r="P143" s="294"/>
    </row>
    <row r="144" spans="3:16" s="159" customFormat="1" x14ac:dyDescent="0.25">
      <c r="C144" s="611"/>
      <c r="D144" s="611"/>
      <c r="M144" s="268"/>
      <c r="N144" s="157"/>
      <c r="O144" s="294"/>
      <c r="P144" s="294"/>
    </row>
    <row r="145" spans="3:16" s="159" customFormat="1" x14ac:dyDescent="0.25">
      <c r="C145" s="611"/>
      <c r="D145" s="611"/>
      <c r="M145" s="268"/>
      <c r="N145" s="157"/>
      <c r="O145" s="294"/>
      <c r="P145" s="294"/>
    </row>
    <row r="146" spans="3:16" s="159" customFormat="1" x14ac:dyDescent="0.25">
      <c r="C146" s="611"/>
      <c r="D146" s="611"/>
      <c r="M146" s="268"/>
      <c r="N146" s="157"/>
      <c r="O146" s="294"/>
      <c r="P146" s="294"/>
    </row>
    <row r="147" spans="3:16" s="159" customFormat="1" x14ac:dyDescent="0.25">
      <c r="C147" s="611"/>
      <c r="D147" s="611"/>
      <c r="M147" s="268"/>
      <c r="N147" s="157"/>
      <c r="O147" s="294"/>
      <c r="P147" s="294"/>
    </row>
    <row r="148" spans="3:16" s="159" customFormat="1" x14ac:dyDescent="0.25">
      <c r="C148" s="611"/>
      <c r="D148" s="611"/>
      <c r="M148" s="268"/>
      <c r="N148" s="157"/>
      <c r="O148" s="294"/>
      <c r="P148" s="294"/>
    </row>
    <row r="149" spans="3:16" s="159" customFormat="1" x14ac:dyDescent="0.25">
      <c r="C149" s="611"/>
      <c r="D149" s="611"/>
      <c r="M149" s="268"/>
      <c r="N149" s="157"/>
      <c r="O149" s="294"/>
      <c r="P149" s="294"/>
    </row>
    <row r="150" spans="3:16" s="159" customFormat="1" x14ac:dyDescent="0.25">
      <c r="C150" s="611"/>
      <c r="D150" s="611"/>
      <c r="M150" s="268"/>
      <c r="N150" s="157"/>
      <c r="O150" s="294"/>
      <c r="P150" s="294"/>
    </row>
    <row r="151" spans="3:16" s="159" customFormat="1" x14ac:dyDescent="0.25">
      <c r="C151" s="611"/>
      <c r="D151" s="611"/>
      <c r="M151" s="268"/>
      <c r="N151" s="157"/>
      <c r="O151" s="294"/>
      <c r="P151" s="294"/>
    </row>
    <row r="152" spans="3:16" s="159" customFormat="1" x14ac:dyDescent="0.25">
      <c r="C152" s="611"/>
      <c r="D152" s="611"/>
      <c r="M152" s="268"/>
      <c r="N152" s="157"/>
      <c r="O152" s="294"/>
      <c r="P152" s="294"/>
    </row>
    <row r="153" spans="3:16" s="159" customFormat="1" x14ac:dyDescent="0.25">
      <c r="C153" s="611"/>
      <c r="D153" s="611"/>
      <c r="M153" s="268"/>
      <c r="N153" s="157"/>
      <c r="O153" s="294"/>
      <c r="P153" s="294"/>
    </row>
    <row r="154" spans="3:16" s="159" customFormat="1" x14ac:dyDescent="0.25">
      <c r="C154" s="611"/>
      <c r="D154" s="611"/>
      <c r="M154" s="268"/>
      <c r="N154" s="157"/>
      <c r="O154" s="294"/>
      <c r="P154" s="294"/>
    </row>
    <row r="155" spans="3:16" s="159" customFormat="1" x14ac:dyDescent="0.25">
      <c r="C155" s="611"/>
      <c r="D155" s="611"/>
      <c r="M155" s="268"/>
      <c r="N155" s="157"/>
      <c r="O155" s="294"/>
      <c r="P155" s="294"/>
    </row>
    <row r="156" spans="3:16" s="159" customFormat="1" x14ac:dyDescent="0.25">
      <c r="C156" s="611"/>
      <c r="D156" s="611"/>
      <c r="M156" s="268"/>
      <c r="N156" s="157"/>
      <c r="O156" s="294"/>
      <c r="P156" s="294"/>
    </row>
    <row r="157" spans="3:16" s="159" customFormat="1" x14ac:dyDescent="0.25">
      <c r="C157" s="611"/>
      <c r="D157" s="611"/>
      <c r="M157" s="268"/>
      <c r="N157" s="157"/>
      <c r="O157" s="294"/>
      <c r="P157" s="294"/>
    </row>
    <row r="158" spans="3:16" s="159" customFormat="1" x14ac:dyDescent="0.25">
      <c r="C158" s="611"/>
      <c r="D158" s="611"/>
      <c r="M158" s="268"/>
      <c r="N158" s="157"/>
      <c r="O158" s="294"/>
      <c r="P158" s="294"/>
    </row>
    <row r="159" spans="3:16" s="159" customFormat="1" x14ac:dyDescent="0.25">
      <c r="C159" s="611"/>
      <c r="D159" s="611"/>
      <c r="M159" s="268"/>
      <c r="N159" s="157"/>
      <c r="O159" s="294"/>
      <c r="P159" s="294"/>
    </row>
    <row r="160" spans="3:16" s="159" customFormat="1" x14ac:dyDescent="0.25">
      <c r="C160" s="611"/>
      <c r="D160" s="611"/>
      <c r="M160" s="268"/>
      <c r="N160" s="157"/>
      <c r="O160" s="294"/>
      <c r="P160" s="294"/>
    </row>
    <row r="161" spans="3:16" s="159" customFormat="1" x14ac:dyDescent="0.25">
      <c r="C161" s="611"/>
      <c r="D161" s="611"/>
      <c r="M161" s="268"/>
      <c r="N161" s="157"/>
      <c r="O161" s="294"/>
      <c r="P161" s="294"/>
    </row>
    <row r="162" spans="3:16" s="159" customFormat="1" x14ac:dyDescent="0.25">
      <c r="C162" s="611"/>
      <c r="D162" s="611"/>
      <c r="M162" s="268"/>
      <c r="N162" s="157"/>
      <c r="O162" s="294"/>
      <c r="P162" s="294"/>
    </row>
    <row r="163" spans="3:16" s="159" customFormat="1" x14ac:dyDescent="0.25">
      <c r="C163" s="611"/>
      <c r="D163" s="611"/>
      <c r="M163" s="268"/>
      <c r="N163" s="157"/>
      <c r="O163" s="294"/>
      <c r="P163" s="294"/>
    </row>
    <row r="164" spans="3:16" s="159" customFormat="1" x14ac:dyDescent="0.25">
      <c r="C164" s="611"/>
      <c r="D164" s="611"/>
      <c r="M164" s="268"/>
      <c r="N164" s="157"/>
      <c r="O164" s="294"/>
      <c r="P164" s="294"/>
    </row>
    <row r="165" spans="3:16" s="159" customFormat="1" x14ac:dyDescent="0.25">
      <c r="C165" s="611"/>
      <c r="D165" s="611"/>
      <c r="M165" s="268"/>
      <c r="N165" s="157"/>
      <c r="O165" s="294"/>
      <c r="P165" s="294"/>
    </row>
    <row r="166" spans="3:16" s="159" customFormat="1" x14ac:dyDescent="0.25">
      <c r="C166" s="611"/>
      <c r="D166" s="611"/>
      <c r="M166" s="268"/>
      <c r="N166" s="157"/>
      <c r="O166" s="294"/>
      <c r="P166" s="294"/>
    </row>
    <row r="167" spans="3:16" s="159" customFormat="1" x14ac:dyDescent="0.25">
      <c r="C167" s="611"/>
      <c r="D167" s="611"/>
      <c r="M167" s="268"/>
      <c r="N167" s="157"/>
      <c r="O167" s="294"/>
      <c r="P167" s="294"/>
    </row>
    <row r="168" spans="3:16" s="159" customFormat="1" x14ac:dyDescent="0.25">
      <c r="C168" s="611"/>
      <c r="D168" s="611"/>
      <c r="M168" s="268"/>
      <c r="N168" s="157"/>
      <c r="O168" s="294"/>
      <c r="P168" s="294"/>
    </row>
    <row r="169" spans="3:16" s="159" customFormat="1" x14ac:dyDescent="0.25">
      <c r="C169" s="611"/>
      <c r="D169" s="611"/>
      <c r="M169" s="268"/>
      <c r="N169" s="157"/>
      <c r="O169" s="294"/>
      <c r="P169" s="294"/>
    </row>
    <row r="170" spans="3:16" s="159" customFormat="1" x14ac:dyDescent="0.25">
      <c r="C170" s="611"/>
      <c r="D170" s="611"/>
      <c r="M170" s="268"/>
      <c r="N170" s="157"/>
      <c r="O170" s="294"/>
      <c r="P170" s="294"/>
    </row>
    <row r="171" spans="3:16" s="159" customFormat="1" x14ac:dyDescent="0.25">
      <c r="C171" s="611"/>
      <c r="D171" s="611"/>
      <c r="M171" s="268"/>
      <c r="N171" s="157"/>
      <c r="O171" s="294"/>
      <c r="P171" s="294"/>
    </row>
    <row r="172" spans="3:16" s="159" customFormat="1" x14ac:dyDescent="0.25">
      <c r="C172" s="611"/>
      <c r="D172" s="611"/>
      <c r="M172" s="268"/>
      <c r="N172" s="157"/>
      <c r="O172" s="294"/>
      <c r="P172" s="294"/>
    </row>
    <row r="173" spans="3:16" s="159" customFormat="1" x14ac:dyDescent="0.25">
      <c r="C173" s="611"/>
      <c r="D173" s="611"/>
      <c r="M173" s="268"/>
      <c r="N173" s="157"/>
      <c r="O173" s="294"/>
      <c r="P173" s="294"/>
    </row>
    <row r="174" spans="3:16" s="159" customFormat="1" x14ac:dyDescent="0.25">
      <c r="C174" s="611"/>
      <c r="D174" s="611"/>
      <c r="M174" s="268"/>
      <c r="N174" s="157"/>
      <c r="O174" s="294"/>
      <c r="P174" s="294"/>
    </row>
    <row r="175" spans="3:16" s="159" customFormat="1" x14ac:dyDescent="0.25">
      <c r="C175" s="611"/>
      <c r="D175" s="611"/>
      <c r="M175" s="268"/>
      <c r="N175" s="157"/>
      <c r="O175" s="294"/>
      <c r="P175" s="294"/>
    </row>
    <row r="176" spans="3:16" s="159" customFormat="1" x14ac:dyDescent="0.25">
      <c r="C176" s="611"/>
      <c r="D176" s="611"/>
      <c r="M176" s="268"/>
      <c r="N176" s="157"/>
      <c r="O176" s="294"/>
      <c r="P176" s="294"/>
    </row>
    <row r="177" spans="3:16" s="159" customFormat="1" x14ac:dyDescent="0.25">
      <c r="C177" s="611"/>
      <c r="D177" s="611"/>
      <c r="M177" s="268"/>
      <c r="N177" s="157"/>
      <c r="O177" s="294"/>
      <c r="P177" s="294"/>
    </row>
    <row r="178" spans="3:16" s="159" customFormat="1" x14ac:dyDescent="0.25">
      <c r="C178" s="611"/>
      <c r="D178" s="611"/>
      <c r="M178" s="268"/>
      <c r="N178" s="157"/>
      <c r="O178" s="294"/>
      <c r="P178" s="294"/>
    </row>
    <row r="179" spans="3:16" s="159" customFormat="1" x14ac:dyDescent="0.25">
      <c r="C179" s="611"/>
      <c r="D179" s="611"/>
      <c r="M179" s="268"/>
      <c r="N179" s="157"/>
      <c r="O179" s="294"/>
      <c r="P179" s="294"/>
    </row>
    <row r="180" spans="3:16" s="159" customFormat="1" x14ac:dyDescent="0.25">
      <c r="C180" s="611"/>
      <c r="D180" s="611"/>
      <c r="M180" s="268"/>
      <c r="N180" s="157"/>
      <c r="O180" s="294"/>
      <c r="P180" s="294"/>
    </row>
    <row r="181" spans="3:16" s="159" customFormat="1" x14ac:dyDescent="0.25">
      <c r="C181" s="611"/>
      <c r="D181" s="611"/>
      <c r="M181" s="268"/>
      <c r="N181" s="157"/>
      <c r="O181" s="294"/>
      <c r="P181" s="294"/>
    </row>
    <row r="182" spans="3:16" s="159" customFormat="1" x14ac:dyDescent="0.25">
      <c r="C182" s="611"/>
      <c r="D182" s="611"/>
      <c r="M182" s="268"/>
      <c r="N182" s="157"/>
      <c r="O182" s="294"/>
      <c r="P182" s="294"/>
    </row>
    <row r="183" spans="3:16" s="159" customFormat="1" x14ac:dyDescent="0.25">
      <c r="C183" s="611"/>
      <c r="D183" s="611"/>
      <c r="M183" s="268"/>
      <c r="N183" s="157"/>
      <c r="O183" s="294"/>
      <c r="P183" s="294"/>
    </row>
    <row r="184" spans="3:16" s="159" customFormat="1" x14ac:dyDescent="0.25">
      <c r="C184" s="611"/>
      <c r="D184" s="611"/>
      <c r="M184" s="268"/>
      <c r="N184" s="157"/>
      <c r="O184" s="294"/>
      <c r="P184" s="294"/>
    </row>
    <row r="185" spans="3:16" s="159" customFormat="1" x14ac:dyDescent="0.25">
      <c r="C185" s="611"/>
      <c r="D185" s="611"/>
      <c r="M185" s="268"/>
      <c r="N185" s="157"/>
      <c r="O185" s="294"/>
      <c r="P185" s="294"/>
    </row>
    <row r="186" spans="3:16" s="159" customFormat="1" x14ac:dyDescent="0.25">
      <c r="C186" s="611"/>
      <c r="D186" s="611"/>
      <c r="M186" s="268"/>
      <c r="N186" s="157"/>
      <c r="O186" s="294"/>
      <c r="P186" s="294"/>
    </row>
    <row r="187" spans="3:16" s="159" customFormat="1" x14ac:dyDescent="0.25">
      <c r="C187" s="611"/>
      <c r="D187" s="611"/>
      <c r="M187" s="268"/>
      <c r="N187" s="157"/>
      <c r="O187" s="294"/>
      <c r="P187" s="294"/>
    </row>
    <row r="188" spans="3:16" s="159" customFormat="1" x14ac:dyDescent="0.25">
      <c r="C188" s="611"/>
      <c r="D188" s="611"/>
      <c r="M188" s="268"/>
      <c r="N188" s="157"/>
      <c r="O188" s="294"/>
      <c r="P188" s="294"/>
    </row>
    <row r="189" spans="3:16" s="159" customFormat="1" x14ac:dyDescent="0.25">
      <c r="C189" s="611"/>
      <c r="D189" s="611"/>
      <c r="M189" s="268"/>
      <c r="N189" s="157"/>
      <c r="O189" s="294"/>
      <c r="P189" s="294"/>
    </row>
    <row r="190" spans="3:16" s="159" customFormat="1" x14ac:dyDescent="0.25">
      <c r="C190" s="611"/>
      <c r="D190" s="611"/>
      <c r="M190" s="268"/>
      <c r="N190" s="157"/>
      <c r="O190" s="294"/>
      <c r="P190" s="294"/>
    </row>
    <row r="191" spans="3:16" s="159" customFormat="1" x14ac:dyDescent="0.25">
      <c r="C191" s="611"/>
      <c r="D191" s="611"/>
      <c r="M191" s="268"/>
      <c r="N191" s="157"/>
      <c r="O191" s="294"/>
      <c r="P191" s="294"/>
    </row>
    <row r="192" spans="3:16" s="159" customFormat="1" x14ac:dyDescent="0.25">
      <c r="C192" s="611"/>
      <c r="D192" s="611"/>
      <c r="M192" s="268"/>
      <c r="N192" s="157"/>
      <c r="O192" s="294"/>
      <c r="P192" s="294"/>
    </row>
    <row r="193" spans="3:16" s="159" customFormat="1" x14ac:dyDescent="0.25">
      <c r="C193" s="611"/>
      <c r="D193" s="611"/>
      <c r="M193" s="268"/>
      <c r="N193" s="157"/>
      <c r="O193" s="294"/>
      <c r="P193" s="294"/>
    </row>
    <row r="194" spans="3:16" s="159" customFormat="1" x14ac:dyDescent="0.25">
      <c r="C194" s="611"/>
      <c r="D194" s="611"/>
      <c r="M194" s="268"/>
      <c r="N194" s="157"/>
      <c r="O194" s="294"/>
      <c r="P194" s="294"/>
    </row>
    <row r="195" spans="3:16" s="159" customFormat="1" x14ac:dyDescent="0.25">
      <c r="C195" s="611"/>
      <c r="D195" s="611"/>
      <c r="M195" s="268"/>
      <c r="N195" s="157"/>
      <c r="O195" s="294"/>
      <c r="P195" s="294"/>
    </row>
    <row r="196" spans="3:16" s="159" customFormat="1" x14ac:dyDescent="0.25">
      <c r="C196" s="611"/>
      <c r="D196" s="611"/>
      <c r="M196" s="268"/>
      <c r="N196" s="157"/>
      <c r="O196" s="294"/>
      <c r="P196" s="294"/>
    </row>
    <row r="197" spans="3:16" s="159" customFormat="1" x14ac:dyDescent="0.25">
      <c r="C197" s="611"/>
      <c r="D197" s="611"/>
      <c r="M197" s="268"/>
      <c r="N197" s="157"/>
      <c r="O197" s="294"/>
      <c r="P197" s="294"/>
    </row>
    <row r="198" spans="3:16" s="159" customFormat="1" x14ac:dyDescent="0.25">
      <c r="C198" s="611"/>
      <c r="D198" s="611"/>
      <c r="M198" s="268"/>
      <c r="N198" s="157"/>
      <c r="O198" s="294"/>
      <c r="P198" s="294"/>
    </row>
    <row r="199" spans="3:16" s="159" customFormat="1" x14ac:dyDescent="0.25">
      <c r="C199" s="611"/>
      <c r="D199" s="611"/>
      <c r="M199" s="268"/>
      <c r="N199" s="157"/>
      <c r="O199" s="294"/>
      <c r="P199" s="294"/>
    </row>
    <row r="200" spans="3:16" s="159" customFormat="1" x14ac:dyDescent="0.25">
      <c r="C200" s="611"/>
      <c r="D200" s="611"/>
      <c r="M200" s="268"/>
      <c r="N200" s="157"/>
      <c r="O200" s="294"/>
      <c r="P200" s="294"/>
    </row>
    <row r="201" spans="3:16" s="159" customFormat="1" x14ac:dyDescent="0.25">
      <c r="C201" s="611"/>
      <c r="D201" s="611"/>
      <c r="M201" s="268"/>
      <c r="N201" s="157"/>
      <c r="O201" s="294"/>
      <c r="P201" s="294"/>
    </row>
    <row r="202" spans="3:16" s="159" customFormat="1" x14ac:dyDescent="0.25">
      <c r="C202" s="611"/>
      <c r="D202" s="611"/>
      <c r="M202" s="268"/>
      <c r="N202" s="157"/>
      <c r="O202" s="294"/>
      <c r="P202" s="294"/>
    </row>
    <row r="203" spans="3:16" s="159" customFormat="1" x14ac:dyDescent="0.25">
      <c r="C203" s="611"/>
      <c r="D203" s="611"/>
      <c r="M203" s="268"/>
      <c r="N203" s="157"/>
      <c r="O203" s="294"/>
      <c r="P203" s="294"/>
    </row>
    <row r="204" spans="3:16" s="159" customFormat="1" x14ac:dyDescent="0.25">
      <c r="C204" s="611"/>
      <c r="D204" s="611"/>
      <c r="M204" s="268"/>
      <c r="N204" s="157"/>
      <c r="O204" s="294"/>
      <c r="P204" s="294"/>
    </row>
    <row r="205" spans="3:16" s="159" customFormat="1" x14ac:dyDescent="0.25">
      <c r="C205" s="611"/>
      <c r="D205" s="611"/>
      <c r="M205" s="268"/>
      <c r="N205" s="157"/>
      <c r="O205" s="294"/>
      <c r="P205" s="294"/>
    </row>
    <row r="206" spans="3:16" s="159" customFormat="1" x14ac:dyDescent="0.25">
      <c r="C206" s="611"/>
      <c r="D206" s="611"/>
      <c r="M206" s="268"/>
      <c r="N206" s="157"/>
      <c r="O206" s="294"/>
      <c r="P206" s="294"/>
    </row>
    <row r="207" spans="3:16" s="159" customFormat="1" x14ac:dyDescent="0.25">
      <c r="C207" s="611"/>
      <c r="D207" s="611"/>
      <c r="M207" s="268"/>
      <c r="N207" s="157"/>
      <c r="O207" s="294"/>
      <c r="P207" s="294"/>
    </row>
    <row r="208" spans="3:16" s="159" customFormat="1" x14ac:dyDescent="0.25">
      <c r="C208" s="611"/>
      <c r="D208" s="611"/>
      <c r="M208" s="268"/>
      <c r="N208" s="157"/>
      <c r="O208" s="294"/>
      <c r="P208" s="294"/>
    </row>
    <row r="209" spans="3:16" s="159" customFormat="1" x14ac:dyDescent="0.25">
      <c r="C209" s="611"/>
      <c r="D209" s="611"/>
      <c r="M209" s="268"/>
      <c r="N209" s="157"/>
      <c r="O209" s="294"/>
      <c r="P209" s="294"/>
    </row>
    <row r="210" spans="3:16" s="159" customFormat="1" x14ac:dyDescent="0.25">
      <c r="C210" s="611"/>
      <c r="D210" s="611"/>
      <c r="M210" s="268"/>
      <c r="N210" s="157"/>
      <c r="O210" s="294"/>
      <c r="P210" s="294"/>
    </row>
    <row r="211" spans="3:16" s="159" customFormat="1" x14ac:dyDescent="0.25">
      <c r="C211" s="611"/>
      <c r="D211" s="611"/>
      <c r="M211" s="268"/>
      <c r="N211" s="157"/>
      <c r="O211" s="294"/>
      <c r="P211" s="294"/>
    </row>
    <row r="212" spans="3:16" s="159" customFormat="1" x14ac:dyDescent="0.25">
      <c r="C212" s="611"/>
      <c r="D212" s="611"/>
      <c r="M212" s="268"/>
      <c r="N212" s="157"/>
      <c r="O212" s="294"/>
      <c r="P212" s="294"/>
    </row>
    <row r="213" spans="3:16" s="159" customFormat="1" x14ac:dyDescent="0.25">
      <c r="C213" s="611"/>
      <c r="D213" s="611"/>
      <c r="M213" s="268"/>
      <c r="N213" s="157"/>
      <c r="O213" s="294"/>
      <c r="P213" s="294"/>
    </row>
    <row r="214" spans="3:16" s="159" customFormat="1" x14ac:dyDescent="0.25">
      <c r="C214" s="611"/>
      <c r="D214" s="611"/>
      <c r="M214" s="268"/>
      <c r="N214" s="157"/>
      <c r="O214" s="294"/>
      <c r="P214" s="294"/>
    </row>
    <row r="215" spans="3:16" s="159" customFormat="1" x14ac:dyDescent="0.25">
      <c r="C215" s="611"/>
      <c r="D215" s="611"/>
      <c r="M215" s="268"/>
      <c r="N215" s="157"/>
      <c r="O215" s="294"/>
      <c r="P215" s="294"/>
    </row>
    <row r="216" spans="3:16" s="159" customFormat="1" x14ac:dyDescent="0.25">
      <c r="C216" s="611"/>
      <c r="D216" s="611"/>
      <c r="M216" s="268"/>
      <c r="N216" s="157"/>
      <c r="O216" s="294"/>
      <c r="P216" s="294"/>
    </row>
    <row r="217" spans="3:16" s="159" customFormat="1" x14ac:dyDescent="0.25">
      <c r="C217" s="611"/>
      <c r="D217" s="611"/>
      <c r="M217" s="268"/>
      <c r="N217" s="157"/>
      <c r="O217" s="294"/>
      <c r="P217" s="294"/>
    </row>
    <row r="218" spans="3:16" s="159" customFormat="1" x14ac:dyDescent="0.25">
      <c r="C218" s="611"/>
      <c r="D218" s="611"/>
      <c r="M218" s="268"/>
      <c r="N218" s="157"/>
      <c r="O218" s="294"/>
      <c r="P218" s="294"/>
    </row>
    <row r="219" spans="3:16" s="159" customFormat="1" x14ac:dyDescent="0.25">
      <c r="C219" s="611"/>
      <c r="D219" s="611"/>
      <c r="M219" s="268"/>
      <c r="N219" s="157"/>
      <c r="O219" s="294"/>
      <c r="P219" s="294"/>
    </row>
    <row r="220" spans="3:16" s="159" customFormat="1" x14ac:dyDescent="0.25">
      <c r="C220" s="611"/>
      <c r="D220" s="611"/>
      <c r="M220" s="268"/>
      <c r="N220" s="157"/>
      <c r="O220" s="294"/>
      <c r="P220" s="294"/>
    </row>
    <row r="221" spans="3:16" s="159" customFormat="1" x14ac:dyDescent="0.25">
      <c r="C221" s="611"/>
      <c r="D221" s="611"/>
      <c r="M221" s="268"/>
      <c r="N221" s="157"/>
      <c r="O221" s="294"/>
      <c r="P221" s="294"/>
    </row>
    <row r="222" spans="3:16" s="159" customFormat="1" x14ac:dyDescent="0.25">
      <c r="C222" s="611"/>
      <c r="D222" s="611"/>
      <c r="M222" s="268"/>
      <c r="N222" s="157"/>
      <c r="O222" s="294"/>
      <c r="P222" s="294"/>
    </row>
    <row r="223" spans="3:16" s="159" customFormat="1" x14ac:dyDescent="0.25">
      <c r="C223" s="611"/>
      <c r="D223" s="611"/>
      <c r="M223" s="268"/>
      <c r="N223" s="157"/>
      <c r="O223" s="294"/>
      <c r="P223" s="294"/>
    </row>
    <row r="224" spans="3:16" s="159" customFormat="1" x14ac:dyDescent="0.25">
      <c r="C224" s="611"/>
      <c r="D224" s="611"/>
      <c r="M224" s="268"/>
      <c r="N224" s="157"/>
      <c r="O224" s="294"/>
      <c r="P224" s="294"/>
    </row>
    <row r="225" spans="3:16" s="159" customFormat="1" x14ac:dyDescent="0.25">
      <c r="C225" s="611"/>
      <c r="D225" s="611"/>
      <c r="M225" s="268"/>
      <c r="N225" s="157"/>
      <c r="O225" s="294"/>
      <c r="P225" s="294"/>
    </row>
    <row r="226" spans="3:16" s="159" customFormat="1" x14ac:dyDescent="0.25">
      <c r="C226" s="611"/>
      <c r="D226" s="611"/>
      <c r="M226" s="268"/>
      <c r="N226" s="157"/>
      <c r="O226" s="294"/>
      <c r="P226" s="294"/>
    </row>
    <row r="227" spans="3:16" s="159" customFormat="1" x14ac:dyDescent="0.25">
      <c r="C227" s="611"/>
      <c r="D227" s="611"/>
      <c r="M227" s="268"/>
      <c r="N227" s="157"/>
      <c r="O227" s="294"/>
      <c r="P227" s="294"/>
    </row>
    <row r="228" spans="3:16" s="159" customFormat="1" x14ac:dyDescent="0.25">
      <c r="C228" s="611"/>
      <c r="D228" s="611"/>
      <c r="M228" s="268"/>
      <c r="N228" s="157"/>
      <c r="O228" s="294"/>
      <c r="P228" s="294"/>
    </row>
    <row r="229" spans="3:16" s="159" customFormat="1" x14ac:dyDescent="0.25">
      <c r="C229" s="611"/>
      <c r="D229" s="611"/>
      <c r="M229" s="268"/>
      <c r="N229" s="157"/>
      <c r="O229" s="294"/>
      <c r="P229" s="294"/>
    </row>
    <row r="230" spans="3:16" s="159" customFormat="1" x14ac:dyDescent="0.25">
      <c r="C230" s="611"/>
      <c r="D230" s="611"/>
      <c r="M230" s="268"/>
      <c r="N230" s="157"/>
      <c r="O230" s="294"/>
      <c r="P230" s="294"/>
    </row>
    <row r="231" spans="3:16" s="159" customFormat="1" x14ac:dyDescent="0.25">
      <c r="C231" s="611"/>
      <c r="D231" s="611"/>
      <c r="M231" s="268"/>
      <c r="N231" s="157"/>
      <c r="O231" s="294"/>
      <c r="P231" s="294"/>
    </row>
    <row r="232" spans="3:16" s="159" customFormat="1" x14ac:dyDescent="0.25">
      <c r="C232" s="611"/>
      <c r="D232" s="611"/>
      <c r="M232" s="268"/>
      <c r="N232" s="157"/>
      <c r="O232" s="294"/>
      <c r="P232" s="294"/>
    </row>
    <row r="233" spans="3:16" s="159" customFormat="1" x14ac:dyDescent="0.25">
      <c r="C233" s="611"/>
      <c r="D233" s="611"/>
      <c r="M233" s="268"/>
      <c r="N233" s="157"/>
      <c r="O233" s="294"/>
      <c r="P233" s="294"/>
    </row>
    <row r="234" spans="3:16" s="159" customFormat="1" x14ac:dyDescent="0.25">
      <c r="C234" s="611"/>
      <c r="D234" s="611"/>
      <c r="M234" s="268"/>
      <c r="N234" s="157"/>
      <c r="O234" s="294"/>
      <c r="P234" s="294"/>
    </row>
    <row r="235" spans="3:16" s="159" customFormat="1" x14ac:dyDescent="0.25">
      <c r="C235" s="611"/>
      <c r="D235" s="611"/>
      <c r="M235" s="268"/>
      <c r="N235" s="157"/>
      <c r="O235" s="294"/>
      <c r="P235" s="294"/>
    </row>
    <row r="236" spans="3:16" s="159" customFormat="1" x14ac:dyDescent="0.25">
      <c r="C236" s="611"/>
      <c r="D236" s="611"/>
      <c r="M236" s="268"/>
      <c r="N236" s="157"/>
      <c r="O236" s="294"/>
      <c r="P236" s="294"/>
    </row>
    <row r="237" spans="3:16" s="159" customFormat="1" x14ac:dyDescent="0.25">
      <c r="C237" s="611"/>
      <c r="D237" s="611"/>
      <c r="M237" s="268"/>
      <c r="N237" s="157"/>
      <c r="O237" s="294"/>
      <c r="P237" s="294"/>
    </row>
    <row r="238" spans="3:16" s="159" customFormat="1" x14ac:dyDescent="0.25">
      <c r="C238" s="611"/>
      <c r="D238" s="611"/>
      <c r="M238" s="268"/>
      <c r="N238" s="157"/>
      <c r="O238" s="294"/>
      <c r="P238" s="294"/>
    </row>
    <row r="239" spans="3:16" s="159" customFormat="1" x14ac:dyDescent="0.25">
      <c r="C239" s="611"/>
      <c r="D239" s="611"/>
      <c r="M239" s="268"/>
      <c r="N239" s="157"/>
      <c r="O239" s="294"/>
      <c r="P239" s="294"/>
    </row>
    <row r="240" spans="3:16" s="159" customFormat="1" x14ac:dyDescent="0.25">
      <c r="C240" s="611"/>
      <c r="D240" s="611"/>
      <c r="M240" s="268"/>
      <c r="N240" s="157"/>
      <c r="O240" s="294"/>
      <c r="P240" s="294"/>
    </row>
    <row r="241" spans="3:16" s="159" customFormat="1" x14ac:dyDescent="0.25">
      <c r="C241" s="611"/>
      <c r="D241" s="611"/>
      <c r="M241" s="268"/>
      <c r="N241" s="157"/>
      <c r="O241" s="294"/>
      <c r="P241" s="294"/>
    </row>
    <row r="242" spans="3:16" s="159" customFormat="1" x14ac:dyDescent="0.25">
      <c r="C242" s="611"/>
      <c r="D242" s="611"/>
      <c r="M242" s="268"/>
      <c r="N242" s="157"/>
      <c r="O242" s="294"/>
      <c r="P242" s="294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38" right="0.7" top="0.75" bottom="0.75" header="0.5" footer="0.5"/>
  <pageSetup scale="7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52"/>
  <sheetViews>
    <sheetView zoomScale="90" zoomScaleSheetLayoutView="90" workbookViewId="0">
      <selection activeCell="L103" sqref="L103"/>
    </sheetView>
  </sheetViews>
  <sheetFormatPr defaultColWidth="9.33203125" defaultRowHeight="13.2" x14ac:dyDescent="0.25"/>
  <cols>
    <col min="1" max="1" width="10.44140625" style="157" customWidth="1"/>
    <col min="2" max="2" width="41.5546875" style="157" customWidth="1"/>
    <col min="3" max="3" width="5" style="421" customWidth="1"/>
    <col min="4" max="4" width="5" style="615" customWidth="1"/>
    <col min="5" max="5" width="11" style="157" bestFit="1" customWidth="1"/>
    <col min="6" max="6" width="12.5546875" style="157" bestFit="1" customWidth="1"/>
    <col min="7" max="7" width="7.33203125" style="157" bestFit="1" customWidth="1"/>
    <col min="8" max="8" width="11" style="157" bestFit="1" customWidth="1"/>
    <col min="9" max="9" width="12.5546875" style="157" bestFit="1" customWidth="1"/>
    <col min="10" max="10" width="16.44140625" style="157" bestFit="1" customWidth="1"/>
    <col min="11" max="11" width="13.332031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77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348"/>
      <c r="B10" s="349"/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361"/>
      <c r="B11" s="5"/>
      <c r="C11" s="362"/>
      <c r="D11" s="363" t="s">
        <v>21</v>
      </c>
      <c r="E11" s="247">
        <v>0</v>
      </c>
      <c r="F11" s="364">
        <f t="shared" ref="F11:F22" si="0">C11*E11</f>
        <v>0</v>
      </c>
      <c r="G11" s="509"/>
      <c r="H11" s="366">
        <v>0</v>
      </c>
      <c r="I11" s="364">
        <f t="shared" ref="I11:I22" si="1">G11*H11</f>
        <v>0</v>
      </c>
      <c r="J11" s="367"/>
      <c r="K11" s="510">
        <f t="shared" ref="K11:K22" si="2">F11+I11+J11</f>
        <v>0</v>
      </c>
      <c r="L11" s="369"/>
      <c r="M11" s="370"/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/>
      <c r="M12" s="370"/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/>
      <c r="M13" s="37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157"/>
      <c r="M17" s="449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157"/>
      <c r="M18" s="449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157"/>
      <c r="M19" s="449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157"/>
      <c r="M20" s="449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157"/>
      <c r="M21" s="449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157"/>
      <c r="M22" s="449"/>
      <c r="O22" s="372"/>
      <c r="P22" s="373"/>
      <c r="Q22" s="374"/>
    </row>
    <row r="23" spans="1:17" s="159" customFormat="1" ht="13.8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67"/>
      <c r="K23" s="510"/>
      <c r="L23" s="157"/>
      <c r="M23" s="449"/>
      <c r="N23" s="157"/>
      <c r="O23" s="372"/>
      <c r="P23" s="373"/>
      <c r="Q23" s="374"/>
    </row>
    <row r="24" spans="1:17" s="159" customFormat="1" ht="13.8" thickTop="1" x14ac:dyDescent="0.25">
      <c r="A24" s="378"/>
      <c r="B24" s="7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SUM(K11:K23)</f>
        <v>0</v>
      </c>
      <c r="L24" s="157"/>
      <c r="M24" s="449"/>
      <c r="N24" s="157"/>
      <c r="O24" s="372"/>
      <c r="P24" s="373"/>
      <c r="Q24" s="374"/>
    </row>
    <row r="25" spans="1:17" s="159" customFormat="1" ht="13.8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s="159" customFormat="1" ht="16.2" thickBot="1" x14ac:dyDescent="0.35">
      <c r="A26" s="385"/>
      <c r="B26" s="386"/>
      <c r="C26" s="387" t="s">
        <v>19</v>
      </c>
      <c r="D26" s="388" t="s">
        <v>33</v>
      </c>
      <c r="E26" s="389" t="s">
        <v>35</v>
      </c>
      <c r="F26" s="390" t="s">
        <v>30</v>
      </c>
      <c r="G26" s="512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s="159" customFormat="1" x14ac:dyDescent="0.25">
      <c r="A27" s="396"/>
      <c r="B27" s="397"/>
      <c r="C27" s="362"/>
      <c r="D27" s="363" t="s">
        <v>21</v>
      </c>
      <c r="E27" s="247">
        <v>0</v>
      </c>
      <c r="F27" s="364">
        <f t="shared" ref="F27:F33" si="3">C27*E27</f>
        <v>0</v>
      </c>
      <c r="G27" s="509"/>
      <c r="H27" s="366">
        <v>0</v>
      </c>
      <c r="I27" s="364">
        <f t="shared" ref="I27:I33" si="4">G27*H27</f>
        <v>0</v>
      </c>
      <c r="J27" s="367"/>
      <c r="K27" s="510">
        <f t="shared" ref="K27:K33" si="5">F27+I27+J27</f>
        <v>0</v>
      </c>
      <c r="L27" s="157"/>
      <c r="M27" s="449"/>
      <c r="N27" s="157"/>
      <c r="O27" s="372"/>
      <c r="P27" s="373"/>
      <c r="Q27" s="374"/>
    </row>
    <row r="28" spans="1:17" s="159" customFormat="1" x14ac:dyDescent="0.25">
      <c r="A28" s="361"/>
      <c r="B28" s="5"/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M28" s="268"/>
      <c r="N28" s="157"/>
      <c r="O28" s="372"/>
      <c r="P28" s="373"/>
      <c r="Q28" s="374"/>
    </row>
    <row r="29" spans="1:17" s="159" customFormat="1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s="159" customFormat="1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372"/>
      <c r="P30" s="373"/>
      <c r="Q30" s="374"/>
    </row>
    <row r="31" spans="1:17" s="159" customFormat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515"/>
      <c r="M31" s="531"/>
      <c r="N31" s="516"/>
      <c r="O31" s="372"/>
      <c r="P31" s="373"/>
      <c r="Q31" s="374"/>
    </row>
    <row r="32" spans="1:17" s="159" customFormat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L32" s="517"/>
      <c r="M32" s="249"/>
      <c r="N32" s="409"/>
      <c r="O32" s="372"/>
      <c r="P32" s="373"/>
      <c r="Q32" s="374"/>
    </row>
    <row r="33" spans="1:17" s="159" customFormat="1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L33" s="157"/>
      <c r="M33" s="449"/>
      <c r="N33" s="157"/>
      <c r="O33" s="372"/>
      <c r="P33" s="373"/>
      <c r="Q33" s="374"/>
    </row>
    <row r="34" spans="1:17" s="159" customFormat="1" ht="13.8" thickBot="1" x14ac:dyDescent="0.3">
      <c r="A34" s="361"/>
      <c r="B34" s="5"/>
      <c r="C34" s="379"/>
      <c r="D34" s="363"/>
      <c r="E34" s="247"/>
      <c r="F34" s="364"/>
      <c r="G34" s="509"/>
      <c r="H34" s="366"/>
      <c r="I34" s="364"/>
      <c r="J34" s="367"/>
      <c r="K34" s="514"/>
      <c r="L34" s="157"/>
      <c r="M34" s="449"/>
      <c r="N34" s="157"/>
      <c r="O34" s="372"/>
      <c r="P34" s="373"/>
      <c r="Q34" s="374"/>
    </row>
    <row r="35" spans="1:17" s="159" customFormat="1" ht="13.8" thickTop="1" x14ac:dyDescent="0.25">
      <c r="A35" s="378"/>
      <c r="B35" s="5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17" s="159" customFormat="1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17" s="159" customFormat="1" ht="16.2" thickBot="1" x14ac:dyDescent="0.35">
      <c r="A37" s="385"/>
      <c r="B37" s="386"/>
      <c r="C37" s="387" t="s">
        <v>19</v>
      </c>
      <c r="D37" s="388" t="s">
        <v>33</v>
      </c>
      <c r="E37" s="389" t="s">
        <v>35</v>
      </c>
      <c r="F37" s="390" t="s">
        <v>30</v>
      </c>
      <c r="G37" s="512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17" s="159" customFormat="1" x14ac:dyDescent="0.25">
      <c r="A38" s="396"/>
      <c r="B38" s="397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370"/>
      <c r="N38" s="371"/>
      <c r="O38" s="401"/>
      <c r="P38" s="402"/>
      <c r="Q38" s="374"/>
    </row>
    <row r="39" spans="1:17" s="159" customFormat="1" x14ac:dyDescent="0.25">
      <c r="A39" s="361"/>
      <c r="B39" s="5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367"/>
      <c r="K39" s="510">
        <f>F39+I39+J39</f>
        <v>0</v>
      </c>
      <c r="L39" s="369"/>
      <c r="M39" s="370"/>
      <c r="N39" s="371"/>
      <c r="O39" s="401"/>
      <c r="P39" s="402"/>
      <c r="Q39" s="374"/>
    </row>
    <row r="40" spans="1:17" s="159" customFormat="1" x14ac:dyDescent="0.25">
      <c r="A40" s="361"/>
      <c r="B40" s="5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L40" s="369"/>
      <c r="M40" s="370"/>
      <c r="N40" s="371"/>
      <c r="O40" s="401"/>
      <c r="P40" s="402"/>
      <c r="Q40" s="374"/>
    </row>
    <row r="41" spans="1:17" s="159" customFormat="1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67"/>
      <c r="K41" s="514"/>
      <c r="L41" s="369"/>
      <c r="M41" s="370"/>
      <c r="N41" s="371"/>
      <c r="O41" s="401"/>
      <c r="P41" s="402"/>
      <c r="Q41" s="374"/>
    </row>
    <row r="42" spans="1:17" s="159" customFormat="1" ht="13.8" thickBot="1" x14ac:dyDescent="0.3">
      <c r="A42" s="378"/>
      <c r="B42" s="403"/>
      <c r="C42" s="379"/>
      <c r="D42" s="363"/>
      <c r="E42" s="247"/>
      <c r="F42" s="364"/>
      <c r="G42" s="509"/>
      <c r="H42" s="366"/>
      <c r="I42" s="364"/>
      <c r="J42" s="367"/>
      <c r="K42" s="514"/>
      <c r="M42" s="268"/>
      <c r="N42" s="157"/>
      <c r="O42" s="401"/>
      <c r="P42" s="402"/>
      <c r="Q42" s="374"/>
    </row>
    <row r="43" spans="1:17" s="159" customFormat="1" ht="13.8" thickTop="1" x14ac:dyDescent="0.25">
      <c r="A43" s="378"/>
      <c r="B43" s="403"/>
      <c r="C43" s="379"/>
      <c r="D43" s="363"/>
      <c r="E43" s="247"/>
      <c r="F43" s="364"/>
      <c r="G43" s="509"/>
      <c r="H43" s="366"/>
      <c r="I43" s="364"/>
      <c r="J43" s="380" t="s">
        <v>30</v>
      </c>
      <c r="K43" s="511">
        <f>SUM(K38:K42)</f>
        <v>0</v>
      </c>
      <c r="M43" s="268"/>
      <c r="N43" s="157"/>
      <c r="O43" s="372"/>
      <c r="P43" s="373"/>
      <c r="Q43" s="374"/>
    </row>
    <row r="44" spans="1:17" s="159" customFormat="1" ht="13.8" thickBot="1" x14ac:dyDescent="0.3">
      <c r="A44" s="344" t="s">
        <v>0</v>
      </c>
      <c r="B44" s="345" t="s">
        <v>1</v>
      </c>
      <c r="C44" s="1028" t="s">
        <v>646</v>
      </c>
      <c r="D44" s="1028"/>
      <c r="E44" s="1028"/>
      <c r="F44" s="1028"/>
      <c r="G44" s="1028" t="s">
        <v>34</v>
      </c>
      <c r="H44" s="1028"/>
      <c r="I44" s="1028"/>
      <c r="J44" s="346"/>
      <c r="K44" s="503"/>
      <c r="L44" s="382"/>
      <c r="M44" s="383"/>
      <c r="N44" s="384"/>
      <c r="O44" s="372"/>
      <c r="P44" s="373"/>
      <c r="Q44" s="374"/>
    </row>
    <row r="45" spans="1:17" s="159" customFormat="1" ht="16.2" thickBot="1" x14ac:dyDescent="0.35">
      <c r="A45" s="385"/>
      <c r="B45" s="386"/>
      <c r="C45" s="387" t="s">
        <v>19</v>
      </c>
      <c r="D45" s="388" t="s">
        <v>33</v>
      </c>
      <c r="E45" s="389" t="s">
        <v>35</v>
      </c>
      <c r="F45" s="390" t="s">
        <v>30</v>
      </c>
      <c r="G45" s="512" t="s">
        <v>14</v>
      </c>
      <c r="H45" s="389" t="s">
        <v>35</v>
      </c>
      <c r="I45" s="390" t="s">
        <v>30</v>
      </c>
      <c r="J45" s="355" t="s">
        <v>649</v>
      </c>
      <c r="K45" s="513" t="s">
        <v>38</v>
      </c>
      <c r="L45" s="393"/>
      <c r="M45" s="399"/>
      <c r="N45" s="400"/>
      <c r="O45" s="372"/>
      <c r="P45" s="402"/>
      <c r="Q45" s="374"/>
    </row>
    <row r="46" spans="1:17" s="159" customFormat="1" x14ac:dyDescent="0.25">
      <c r="A46" s="396"/>
      <c r="B46" s="397"/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409"/>
      <c r="O46" s="372"/>
      <c r="P46" s="373"/>
      <c r="Q46" s="374"/>
    </row>
    <row r="47" spans="1:17" s="159" customFormat="1" x14ac:dyDescent="0.25">
      <c r="A47" s="361"/>
      <c r="B47" s="5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369"/>
      <c r="M47" s="249"/>
      <c r="N47" s="409"/>
      <c r="O47" s="372"/>
      <c r="P47" s="373"/>
      <c r="Q47" s="374"/>
    </row>
    <row r="48" spans="1:17" s="159" customFormat="1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617"/>
      <c r="M48" s="618"/>
      <c r="N48" s="619"/>
      <c r="O48" s="372"/>
      <c r="P48" s="373"/>
      <c r="Q48" s="374"/>
    </row>
    <row r="49" spans="1:17" s="159" customFormat="1" x14ac:dyDescent="0.25">
      <c r="A49" s="361"/>
      <c r="B49" s="5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620"/>
      <c r="M49" s="249"/>
      <c r="N49" s="409"/>
      <c r="O49" s="372"/>
      <c r="P49" s="373"/>
      <c r="Q49" s="374"/>
    </row>
    <row r="50" spans="1:17" s="159" customFormat="1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409"/>
      <c r="O50" s="372"/>
      <c r="P50" s="373"/>
      <c r="Q50" s="374"/>
    </row>
    <row r="51" spans="1:17" s="159" customFormat="1" ht="13.8" thickBot="1" x14ac:dyDescent="0.3">
      <c r="A51" s="378"/>
      <c r="B51" s="403"/>
      <c r="C51" s="379"/>
      <c r="D51" s="363"/>
      <c r="E51" s="247"/>
      <c r="F51" s="364"/>
      <c r="G51" s="509"/>
      <c r="H51" s="366"/>
      <c r="I51" s="364"/>
      <c r="J51" s="367"/>
      <c r="K51" s="514"/>
      <c r="L51" s="369"/>
      <c r="M51" s="249"/>
      <c r="N51" s="371"/>
      <c r="O51" s="372"/>
      <c r="P51" s="373"/>
      <c r="Q51" s="374"/>
    </row>
    <row r="52" spans="1:17" s="159" customFormat="1" ht="13.8" thickTop="1" x14ac:dyDescent="0.25">
      <c r="A52" s="378"/>
      <c r="B52" s="403"/>
      <c r="C52" s="379"/>
      <c r="D52" s="363"/>
      <c r="E52" s="247"/>
      <c r="F52" s="364"/>
      <c r="G52" s="509"/>
      <c r="H52" s="366"/>
      <c r="I52" s="364"/>
      <c r="J52" s="380" t="s">
        <v>30</v>
      </c>
      <c r="K52" s="511">
        <f>SUM(K46:K51)</f>
        <v>0</v>
      </c>
      <c r="L52" s="157"/>
      <c r="M52" s="449"/>
      <c r="N52" s="157"/>
      <c r="O52" s="417"/>
      <c r="P52" s="418"/>
      <c r="Q52" s="374"/>
    </row>
    <row r="53" spans="1:17" s="159" customFormat="1" ht="13.8" thickBot="1" x14ac:dyDescent="0.3">
      <c r="A53" s="344" t="s">
        <v>0</v>
      </c>
      <c r="B53" s="345" t="s">
        <v>1</v>
      </c>
      <c r="C53" s="1028" t="s">
        <v>646</v>
      </c>
      <c r="D53" s="1028"/>
      <c r="E53" s="1028"/>
      <c r="F53" s="1028"/>
      <c r="G53" s="1028" t="s">
        <v>34</v>
      </c>
      <c r="H53" s="1028"/>
      <c r="I53" s="1028"/>
      <c r="J53" s="346"/>
      <c r="K53" s="503"/>
      <c r="L53" s="382"/>
      <c r="M53" s="346"/>
      <c r="N53" s="384"/>
      <c r="O53" s="417"/>
      <c r="P53" s="418"/>
      <c r="Q53" s="374"/>
    </row>
    <row r="54" spans="1:17" s="159" customFormat="1" ht="16.2" thickBot="1" x14ac:dyDescent="0.35">
      <c r="A54" s="385"/>
      <c r="B54" s="386"/>
      <c r="C54" s="387" t="s">
        <v>19</v>
      </c>
      <c r="D54" s="388" t="s">
        <v>33</v>
      </c>
      <c r="E54" s="389" t="s">
        <v>35</v>
      </c>
      <c r="F54" s="390" t="s">
        <v>30</v>
      </c>
      <c r="G54" s="512" t="s">
        <v>14</v>
      </c>
      <c r="H54" s="389" t="s">
        <v>35</v>
      </c>
      <c r="I54" s="390" t="s">
        <v>30</v>
      </c>
      <c r="J54" s="355" t="s">
        <v>649</v>
      </c>
      <c r="K54" s="513" t="s">
        <v>38</v>
      </c>
      <c r="L54" s="393"/>
      <c r="M54" s="399"/>
      <c r="N54" s="395"/>
      <c r="O54" s="401"/>
      <c r="P54" s="402"/>
      <c r="Q54" s="374"/>
    </row>
    <row r="55" spans="1:17" s="159" customFormat="1" x14ac:dyDescent="0.25">
      <c r="A55" s="396"/>
      <c r="B55" s="397"/>
      <c r="C55" s="362"/>
      <c r="D55" s="363" t="s">
        <v>21</v>
      </c>
      <c r="E55" s="247">
        <v>0</v>
      </c>
      <c r="F55" s="364">
        <f t="shared" ref="F55:F61" si="6">C55*E55</f>
        <v>0</v>
      </c>
      <c r="G55" s="509"/>
      <c r="H55" s="366">
        <v>0</v>
      </c>
      <c r="I55" s="364">
        <f t="shared" ref="I55:I61" si="7">G55*H55</f>
        <v>0</v>
      </c>
      <c r="J55" s="367"/>
      <c r="K55" s="510">
        <f t="shared" ref="K55:K61" si="8">F55+I55+J55</f>
        <v>0</v>
      </c>
      <c r="M55" s="268"/>
      <c r="N55" s="157"/>
      <c r="O55" s="372"/>
      <c r="P55" s="373"/>
      <c r="Q55" s="374"/>
    </row>
    <row r="56" spans="1:17" s="159" customFormat="1" x14ac:dyDescent="0.25">
      <c r="A56" s="361"/>
      <c r="B56" s="5"/>
      <c r="C56" s="362"/>
      <c r="D56" s="363" t="s">
        <v>21</v>
      </c>
      <c r="E56" s="247">
        <v>0</v>
      </c>
      <c r="F56" s="364">
        <f t="shared" si="6"/>
        <v>0</v>
      </c>
      <c r="G56" s="509"/>
      <c r="H56" s="366">
        <v>0</v>
      </c>
      <c r="I56" s="364">
        <f t="shared" si="7"/>
        <v>0</v>
      </c>
      <c r="J56" s="367"/>
      <c r="K56" s="510">
        <f t="shared" si="8"/>
        <v>0</v>
      </c>
      <c r="L56" s="369"/>
      <c r="M56" s="249"/>
      <c r="N56" s="371"/>
      <c r="O56" s="372"/>
      <c r="P56" s="373"/>
      <c r="Q56" s="374"/>
    </row>
    <row r="57" spans="1:17" s="159" customFormat="1" x14ac:dyDescent="0.25">
      <c r="A57" s="361"/>
      <c r="B57" s="5"/>
      <c r="C57" s="362"/>
      <c r="D57" s="363" t="s">
        <v>21</v>
      </c>
      <c r="E57" s="247">
        <v>0</v>
      </c>
      <c r="F57" s="364">
        <f t="shared" si="6"/>
        <v>0</v>
      </c>
      <c r="G57" s="509"/>
      <c r="H57" s="366">
        <v>0</v>
      </c>
      <c r="I57" s="364">
        <f t="shared" si="7"/>
        <v>0</v>
      </c>
      <c r="J57" s="367"/>
      <c r="K57" s="510">
        <f t="shared" si="8"/>
        <v>0</v>
      </c>
      <c r="L57" s="369"/>
      <c r="M57" s="249"/>
      <c r="N57" s="371"/>
      <c r="O57" s="372"/>
      <c r="P57" s="373"/>
      <c r="Q57" s="374"/>
    </row>
    <row r="58" spans="1:17" s="159" customFormat="1" x14ac:dyDescent="0.25">
      <c r="A58" s="361"/>
      <c r="B58" s="5"/>
      <c r="C58" s="362"/>
      <c r="D58" s="363" t="s">
        <v>21</v>
      </c>
      <c r="E58" s="247">
        <v>0</v>
      </c>
      <c r="F58" s="364">
        <f t="shared" si="6"/>
        <v>0</v>
      </c>
      <c r="G58" s="509"/>
      <c r="H58" s="366">
        <v>0</v>
      </c>
      <c r="I58" s="364">
        <f t="shared" si="7"/>
        <v>0</v>
      </c>
      <c r="J58" s="367"/>
      <c r="K58" s="510">
        <f t="shared" si="8"/>
        <v>0</v>
      </c>
      <c r="L58" s="369"/>
      <c r="M58" s="249"/>
      <c r="N58" s="371"/>
      <c r="O58" s="372"/>
      <c r="P58" s="373"/>
      <c r="Q58" s="374"/>
    </row>
    <row r="59" spans="1:17" s="159" customFormat="1" x14ac:dyDescent="0.25">
      <c r="A59" s="361"/>
      <c r="B59" s="5"/>
      <c r="C59" s="362"/>
      <c r="D59" s="363" t="s">
        <v>21</v>
      </c>
      <c r="E59" s="247">
        <v>0</v>
      </c>
      <c r="F59" s="364">
        <f t="shared" si="6"/>
        <v>0</v>
      </c>
      <c r="G59" s="509"/>
      <c r="H59" s="366">
        <v>0</v>
      </c>
      <c r="I59" s="364">
        <f t="shared" si="7"/>
        <v>0</v>
      </c>
      <c r="J59" s="367"/>
      <c r="K59" s="510">
        <f t="shared" si="8"/>
        <v>0</v>
      </c>
      <c r="L59" s="617"/>
      <c r="M59" s="249"/>
      <c r="N59" s="619"/>
      <c r="O59" s="372"/>
      <c r="P59" s="373"/>
      <c r="Q59" s="374"/>
    </row>
    <row r="60" spans="1:17" s="159" customFormat="1" x14ac:dyDescent="0.25">
      <c r="A60" s="361"/>
      <c r="B60" s="5"/>
      <c r="C60" s="362"/>
      <c r="D60" s="363" t="s">
        <v>21</v>
      </c>
      <c r="E60" s="247">
        <v>0</v>
      </c>
      <c r="F60" s="364">
        <f t="shared" si="6"/>
        <v>0</v>
      </c>
      <c r="G60" s="509"/>
      <c r="H60" s="366">
        <v>0</v>
      </c>
      <c r="I60" s="364">
        <f t="shared" si="7"/>
        <v>0</v>
      </c>
      <c r="J60" s="367"/>
      <c r="K60" s="510">
        <f t="shared" si="8"/>
        <v>0</v>
      </c>
      <c r="L60" s="620"/>
      <c r="M60" s="249"/>
      <c r="N60" s="621"/>
      <c r="O60" s="372"/>
      <c r="P60" s="373"/>
      <c r="Q60" s="374"/>
    </row>
    <row r="61" spans="1:17" s="159" customFormat="1" x14ac:dyDescent="0.25">
      <c r="A61" s="361"/>
      <c r="B61" s="5"/>
      <c r="C61" s="362"/>
      <c r="D61" s="363" t="s">
        <v>21</v>
      </c>
      <c r="E61" s="247">
        <v>0</v>
      </c>
      <c r="F61" s="364">
        <f t="shared" si="6"/>
        <v>0</v>
      </c>
      <c r="G61" s="509"/>
      <c r="H61" s="366">
        <v>0</v>
      </c>
      <c r="I61" s="364">
        <f t="shared" si="7"/>
        <v>0</v>
      </c>
      <c r="J61" s="367"/>
      <c r="K61" s="510">
        <f t="shared" si="8"/>
        <v>0</v>
      </c>
      <c r="L61" s="369"/>
      <c r="M61" s="249"/>
      <c r="N61" s="409"/>
      <c r="O61" s="372"/>
      <c r="P61" s="373"/>
      <c r="Q61" s="374"/>
    </row>
    <row r="62" spans="1:17" s="159" customFormat="1" ht="13.8" thickBot="1" x14ac:dyDescent="0.3">
      <c r="A62" s="378"/>
      <c r="B62" s="5"/>
      <c r="C62" s="379"/>
      <c r="D62" s="363"/>
      <c r="E62" s="247"/>
      <c r="F62" s="364"/>
      <c r="G62" s="509"/>
      <c r="H62" s="366"/>
      <c r="I62" s="364"/>
      <c r="J62" s="367"/>
      <c r="K62" s="514"/>
      <c r="M62" s="268"/>
      <c r="N62" s="157"/>
      <c r="O62" s="372"/>
      <c r="P62" s="373"/>
      <c r="Q62" s="374"/>
    </row>
    <row r="63" spans="1:17" s="159" customFormat="1" ht="13.8" thickTop="1" x14ac:dyDescent="0.25">
      <c r="A63" s="378"/>
      <c r="B63" s="403"/>
      <c r="C63" s="379"/>
      <c r="D63" s="363"/>
      <c r="E63" s="247"/>
      <c r="F63" s="364"/>
      <c r="G63" s="509"/>
      <c r="H63" s="366"/>
      <c r="I63" s="364"/>
      <c r="J63" s="380" t="s">
        <v>30</v>
      </c>
      <c r="K63" s="511">
        <f>SUM(K55:K62)</f>
        <v>0</v>
      </c>
      <c r="M63" s="268"/>
      <c r="N63" s="157"/>
      <c r="O63" s="372"/>
      <c r="P63" s="373"/>
      <c r="Q63" s="374"/>
    </row>
    <row r="64" spans="1:17" s="159" customFormat="1" ht="13.8" thickBot="1" x14ac:dyDescent="0.3">
      <c r="A64" s="344" t="s">
        <v>0</v>
      </c>
      <c r="B64" s="345" t="s">
        <v>1</v>
      </c>
      <c r="C64" s="1028" t="s">
        <v>646</v>
      </c>
      <c r="D64" s="1028"/>
      <c r="E64" s="1028"/>
      <c r="F64" s="1028"/>
      <c r="G64" s="1028" t="s">
        <v>34</v>
      </c>
      <c r="H64" s="1028"/>
      <c r="I64" s="1028"/>
      <c r="J64" s="346"/>
      <c r="K64" s="503"/>
      <c r="L64" s="382"/>
      <c r="M64" s="346"/>
      <c r="N64" s="419"/>
      <c r="O64" s="372"/>
      <c r="P64" s="373"/>
      <c r="Q64" s="374"/>
    </row>
    <row r="65" spans="1:17" s="159" customFormat="1" ht="16.2" thickBot="1" x14ac:dyDescent="0.35">
      <c r="A65" s="385"/>
      <c r="B65" s="386"/>
      <c r="C65" s="387" t="s">
        <v>19</v>
      </c>
      <c r="D65" s="388" t="s">
        <v>33</v>
      </c>
      <c r="E65" s="389" t="s">
        <v>35</v>
      </c>
      <c r="F65" s="390" t="s">
        <v>30</v>
      </c>
      <c r="G65" s="512" t="s">
        <v>14</v>
      </c>
      <c r="H65" s="389" t="s">
        <v>35</v>
      </c>
      <c r="I65" s="390" t="s">
        <v>30</v>
      </c>
      <c r="J65" s="355" t="s">
        <v>649</v>
      </c>
      <c r="K65" s="513" t="s">
        <v>38</v>
      </c>
      <c r="L65" s="393"/>
      <c r="M65" s="399"/>
      <c r="N65" s="400"/>
      <c r="O65" s="372"/>
      <c r="P65" s="373"/>
      <c r="Q65" s="374"/>
    </row>
    <row r="66" spans="1:17" s="159" customFormat="1" x14ac:dyDescent="0.25">
      <c r="A66" s="396"/>
      <c r="B66" s="397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367"/>
      <c r="K66" s="510">
        <f>F66+I66+J66</f>
        <v>0</v>
      </c>
      <c r="L66" s="369"/>
      <c r="M66" s="370"/>
      <c r="N66" s="371"/>
      <c r="O66" s="372"/>
      <c r="P66" s="373"/>
      <c r="Q66" s="374"/>
    </row>
    <row r="67" spans="1:17" s="159" customFormat="1" x14ac:dyDescent="0.25">
      <c r="A67" s="361"/>
      <c r="B67" s="5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367"/>
      <c r="K67" s="510">
        <f>F67+I67+J67</f>
        <v>0</v>
      </c>
      <c r="L67" s="369"/>
      <c r="M67" s="370"/>
      <c r="N67" s="371"/>
      <c r="O67" s="372"/>
      <c r="P67" s="373"/>
      <c r="Q67" s="374"/>
    </row>
    <row r="68" spans="1:17" s="159" customFormat="1" x14ac:dyDescent="0.25">
      <c r="A68" s="361"/>
      <c r="B68" s="5"/>
      <c r="C68" s="362"/>
      <c r="D68" s="363" t="s">
        <v>21</v>
      </c>
      <c r="E68" s="247">
        <v>0</v>
      </c>
      <c r="F68" s="364">
        <f>C68*E68</f>
        <v>0</v>
      </c>
      <c r="G68" s="509"/>
      <c r="H68" s="366">
        <v>0</v>
      </c>
      <c r="I68" s="364">
        <f>G68*H68</f>
        <v>0</v>
      </c>
      <c r="J68" s="367"/>
      <c r="K68" s="510">
        <f>F68+I68+J68</f>
        <v>0</v>
      </c>
      <c r="L68" s="369"/>
      <c r="M68" s="370"/>
      <c r="N68" s="371"/>
      <c r="O68" s="372"/>
      <c r="P68" s="373"/>
      <c r="Q68" s="374"/>
    </row>
    <row r="69" spans="1:17" s="159" customFormat="1" x14ac:dyDescent="0.25">
      <c r="A69" s="361"/>
      <c r="B69" s="5"/>
      <c r="C69" s="362"/>
      <c r="D69" s="363" t="s">
        <v>21</v>
      </c>
      <c r="E69" s="247">
        <v>0</v>
      </c>
      <c r="F69" s="364">
        <f>C69*E69</f>
        <v>0</v>
      </c>
      <c r="G69" s="509"/>
      <c r="H69" s="366">
        <v>0</v>
      </c>
      <c r="I69" s="364">
        <f>G69*H69</f>
        <v>0</v>
      </c>
      <c r="J69" s="367"/>
      <c r="K69" s="510">
        <f>F69+I69+J69</f>
        <v>0</v>
      </c>
      <c r="M69" s="268"/>
      <c r="N69" s="157"/>
      <c r="O69" s="372"/>
      <c r="P69" s="373"/>
      <c r="Q69" s="374"/>
    </row>
    <row r="70" spans="1:17" s="159" customFormat="1" x14ac:dyDescent="0.25">
      <c r="A70" s="361"/>
      <c r="B70" s="5"/>
      <c r="C70" s="362"/>
      <c r="D70" s="363" t="s">
        <v>21</v>
      </c>
      <c r="E70" s="247">
        <v>0</v>
      </c>
      <c r="F70" s="364">
        <f>C70*E70</f>
        <v>0</v>
      </c>
      <c r="G70" s="509"/>
      <c r="H70" s="366">
        <v>0</v>
      </c>
      <c r="I70" s="364">
        <f>G70*H70</f>
        <v>0</v>
      </c>
      <c r="J70" s="367"/>
      <c r="K70" s="510">
        <f>F70+I70+J70</f>
        <v>0</v>
      </c>
      <c r="M70" s="268"/>
      <c r="N70" s="157"/>
      <c r="O70" s="372"/>
      <c r="P70" s="373"/>
      <c r="Q70" s="374"/>
    </row>
    <row r="71" spans="1:17" s="159" customFormat="1" ht="13.8" thickBot="1" x14ac:dyDescent="0.3">
      <c r="A71" s="378"/>
      <c r="B71" s="5"/>
      <c r="C71" s="379"/>
      <c r="D71" s="363"/>
      <c r="E71" s="247"/>
      <c r="F71" s="364"/>
      <c r="G71" s="509"/>
      <c r="H71" s="366"/>
      <c r="I71" s="364"/>
      <c r="J71" s="367"/>
      <c r="K71" s="514"/>
      <c r="M71" s="268"/>
      <c r="N71" s="157"/>
      <c r="O71" s="372"/>
      <c r="P71" s="373"/>
      <c r="Q71" s="374"/>
    </row>
    <row r="72" spans="1:17" s="159" customFormat="1" ht="13.8" thickTop="1" x14ac:dyDescent="0.25">
      <c r="A72" s="378"/>
      <c r="B72" s="403"/>
      <c r="C72" s="379"/>
      <c r="D72" s="363"/>
      <c r="E72" s="247"/>
      <c r="F72" s="364"/>
      <c r="G72" s="509"/>
      <c r="H72" s="366"/>
      <c r="I72" s="364"/>
      <c r="J72" s="380" t="s">
        <v>30</v>
      </c>
      <c r="K72" s="511">
        <f>SUM(K66:K71)</f>
        <v>0</v>
      </c>
      <c r="M72" s="268"/>
      <c r="N72" s="157"/>
      <c r="O72" s="372"/>
      <c r="P72" s="373"/>
      <c r="Q72" s="374"/>
    </row>
    <row r="73" spans="1:17" s="159" customFormat="1" ht="13.8" thickBot="1" x14ac:dyDescent="0.3">
      <c r="A73" s="344" t="s">
        <v>0</v>
      </c>
      <c r="B73" s="345" t="s">
        <v>1</v>
      </c>
      <c r="C73" s="1028" t="s">
        <v>646</v>
      </c>
      <c r="D73" s="1028"/>
      <c r="E73" s="1028"/>
      <c r="F73" s="1028"/>
      <c r="G73" s="1028" t="s">
        <v>34</v>
      </c>
      <c r="H73" s="1028"/>
      <c r="I73" s="1028"/>
      <c r="J73" s="346"/>
      <c r="K73" s="503"/>
      <c r="L73" s="382"/>
      <c r="M73" s="383"/>
      <c r="N73" s="384"/>
      <c r="O73" s="372"/>
      <c r="P73" s="373"/>
      <c r="Q73" s="374"/>
    </row>
    <row r="74" spans="1:17" s="159" customFormat="1" ht="16.2" thickBot="1" x14ac:dyDescent="0.35">
      <c r="A74" s="385"/>
      <c r="B74" s="386"/>
      <c r="C74" s="387" t="s">
        <v>19</v>
      </c>
      <c r="D74" s="388" t="s">
        <v>33</v>
      </c>
      <c r="E74" s="389" t="s">
        <v>35</v>
      </c>
      <c r="F74" s="390" t="s">
        <v>30</v>
      </c>
      <c r="G74" s="512" t="s">
        <v>14</v>
      </c>
      <c r="H74" s="389" t="s">
        <v>35</v>
      </c>
      <c r="I74" s="390" t="s">
        <v>30</v>
      </c>
      <c r="J74" s="355" t="s">
        <v>649</v>
      </c>
      <c r="K74" s="513" t="s">
        <v>38</v>
      </c>
      <c r="L74" s="393"/>
      <c r="M74" s="394"/>
      <c r="N74" s="395"/>
      <c r="O74" s="372"/>
      <c r="P74" s="373"/>
      <c r="Q74" s="374"/>
    </row>
    <row r="75" spans="1:17" s="159" customFormat="1" x14ac:dyDescent="0.25">
      <c r="A75" s="396"/>
      <c r="B75" s="397"/>
      <c r="C75" s="362"/>
      <c r="D75" s="363" t="s">
        <v>21</v>
      </c>
      <c r="E75" s="247">
        <v>0</v>
      </c>
      <c r="F75" s="364">
        <f>C75*E75</f>
        <v>0</v>
      </c>
      <c r="G75" s="509"/>
      <c r="H75" s="366">
        <v>0</v>
      </c>
      <c r="I75" s="364">
        <f>G75*H75</f>
        <v>0</v>
      </c>
      <c r="J75" s="367"/>
      <c r="K75" s="510">
        <f>F75+I75+J75</f>
        <v>0</v>
      </c>
      <c r="L75" s="369"/>
      <c r="M75" s="370"/>
      <c r="N75" s="371"/>
      <c r="O75" s="372"/>
      <c r="P75" s="373"/>
      <c r="Q75" s="374"/>
    </row>
    <row r="76" spans="1:17" s="159" customFormat="1" x14ac:dyDescent="0.25">
      <c r="A76" s="361"/>
      <c r="B76" s="5"/>
      <c r="C76" s="362"/>
      <c r="D76" s="363" t="s">
        <v>21</v>
      </c>
      <c r="E76" s="247">
        <v>0</v>
      </c>
      <c r="F76" s="364">
        <f>C76*E76</f>
        <v>0</v>
      </c>
      <c r="G76" s="509"/>
      <c r="H76" s="366">
        <v>0</v>
      </c>
      <c r="I76" s="364">
        <f>G76*H76</f>
        <v>0</v>
      </c>
      <c r="J76" s="367"/>
      <c r="K76" s="510">
        <f>F76+I76+J76</f>
        <v>0</v>
      </c>
      <c r="L76" s="617"/>
      <c r="M76" s="618"/>
      <c r="N76" s="619"/>
      <c r="O76" s="372"/>
      <c r="P76" s="373"/>
      <c r="Q76" s="374"/>
    </row>
    <row r="77" spans="1:17" s="159" customFormat="1" x14ac:dyDescent="0.25">
      <c r="A77" s="361"/>
      <c r="B77" s="5"/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367"/>
      <c r="K77" s="510">
        <f>F77+I77+J77</f>
        <v>0</v>
      </c>
      <c r="L77" s="620"/>
      <c r="M77" s="622"/>
      <c r="N77" s="621"/>
      <c r="O77" s="372"/>
      <c r="P77" s="373"/>
      <c r="Q77" s="374"/>
    </row>
    <row r="78" spans="1:17" s="159" customFormat="1" ht="13.8" thickBot="1" x14ac:dyDescent="0.3">
      <c r="A78" s="378"/>
      <c r="B78" s="5"/>
      <c r="C78" s="379"/>
      <c r="D78" s="363"/>
      <c r="E78" s="247"/>
      <c r="F78" s="364"/>
      <c r="G78" s="509"/>
      <c r="H78" s="366"/>
      <c r="I78" s="364"/>
      <c r="J78" s="367"/>
      <c r="K78" s="514"/>
      <c r="L78" s="369"/>
      <c r="M78" s="370"/>
      <c r="N78" s="371"/>
      <c r="O78" s="372"/>
      <c r="P78" s="373"/>
      <c r="Q78" s="374"/>
    </row>
    <row r="79" spans="1:17" s="159" customFormat="1" ht="13.8" thickTop="1" x14ac:dyDescent="0.25">
      <c r="A79" s="378"/>
      <c r="B79" s="157"/>
      <c r="C79" s="379"/>
      <c r="D79" s="363"/>
      <c r="E79" s="247"/>
      <c r="F79" s="364"/>
      <c r="G79" s="509"/>
      <c r="H79" s="366"/>
      <c r="I79" s="364"/>
      <c r="J79" s="380" t="s">
        <v>30</v>
      </c>
      <c r="K79" s="511">
        <f>SUM(K75:K78)</f>
        <v>0</v>
      </c>
      <c r="L79" s="369"/>
      <c r="M79" s="370"/>
      <c r="N79" s="371"/>
      <c r="O79" s="372"/>
      <c r="P79" s="373"/>
      <c r="Q79" s="374"/>
    </row>
    <row r="80" spans="1:17" s="159" customFormat="1" ht="13.8" thickBot="1" x14ac:dyDescent="0.3">
      <c r="A80" s="344" t="s">
        <v>0</v>
      </c>
      <c r="B80" s="345" t="s">
        <v>1</v>
      </c>
      <c r="C80" s="1028" t="s">
        <v>646</v>
      </c>
      <c r="D80" s="1028"/>
      <c r="E80" s="1028"/>
      <c r="F80" s="1028"/>
      <c r="G80" s="1028" t="s">
        <v>34</v>
      </c>
      <c r="H80" s="1028"/>
      <c r="I80" s="1028"/>
      <c r="J80" s="346"/>
      <c r="K80" s="503"/>
      <c r="L80" s="382"/>
      <c r="M80" s="383"/>
      <c r="N80" s="384"/>
      <c r="O80" s="372"/>
      <c r="P80" s="373"/>
      <c r="Q80" s="374"/>
    </row>
    <row r="81" spans="1:17" s="159" customFormat="1" ht="16.2" thickBot="1" x14ac:dyDescent="0.35">
      <c r="A81" s="385"/>
      <c r="B81" s="386"/>
      <c r="C81" s="387" t="s">
        <v>19</v>
      </c>
      <c r="D81" s="388" t="s">
        <v>33</v>
      </c>
      <c r="E81" s="389" t="s">
        <v>35</v>
      </c>
      <c r="F81" s="390" t="s">
        <v>30</v>
      </c>
      <c r="G81" s="512" t="s">
        <v>14</v>
      </c>
      <c r="H81" s="389" t="s">
        <v>35</v>
      </c>
      <c r="I81" s="390" t="s">
        <v>30</v>
      </c>
      <c r="J81" s="355" t="s">
        <v>649</v>
      </c>
      <c r="K81" s="513" t="s">
        <v>38</v>
      </c>
      <c r="L81" s="393"/>
      <c r="M81" s="394"/>
      <c r="N81" s="395"/>
      <c r="O81" s="372"/>
      <c r="P81" s="373"/>
      <c r="Q81" s="374"/>
    </row>
    <row r="82" spans="1:17" s="159" customFormat="1" x14ac:dyDescent="0.25">
      <c r="A82" s="396"/>
      <c r="B82" s="397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M82" s="268"/>
      <c r="N82" s="157"/>
      <c r="O82" s="372"/>
      <c r="P82" s="373"/>
      <c r="Q82" s="374"/>
    </row>
    <row r="83" spans="1:17" s="159" customFormat="1" x14ac:dyDescent="0.25">
      <c r="A83" s="361"/>
      <c r="B83" s="5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367"/>
      <c r="K83" s="510">
        <f>F83+I83+J83</f>
        <v>0</v>
      </c>
      <c r="M83" s="268"/>
      <c r="N83" s="157"/>
      <c r="O83" s="372"/>
      <c r="P83" s="373"/>
      <c r="Q83" s="374"/>
    </row>
    <row r="84" spans="1:17" s="159" customFormat="1" x14ac:dyDescent="0.25">
      <c r="A84" s="361"/>
      <c r="C84" s="362"/>
      <c r="D84" s="363" t="s">
        <v>21</v>
      </c>
      <c r="E84" s="247">
        <v>0</v>
      </c>
      <c r="F84" s="364">
        <f>C84*E84</f>
        <v>0</v>
      </c>
      <c r="G84" s="509"/>
      <c r="H84" s="366">
        <v>0</v>
      </c>
      <c r="I84" s="364">
        <f>G84*H84</f>
        <v>0</v>
      </c>
      <c r="J84" s="367"/>
      <c r="K84" s="510">
        <f>F84+I84+J84</f>
        <v>0</v>
      </c>
      <c r="M84" s="268"/>
      <c r="N84" s="157"/>
      <c r="O84" s="372"/>
      <c r="P84" s="373"/>
      <c r="Q84" s="374"/>
    </row>
    <row r="85" spans="1:17" s="159" customFormat="1" x14ac:dyDescent="0.25">
      <c r="A85" s="361"/>
      <c r="B85" s="5"/>
      <c r="C85" s="362"/>
      <c r="D85" s="363" t="s">
        <v>21</v>
      </c>
      <c r="E85" s="247">
        <v>0</v>
      </c>
      <c r="F85" s="364">
        <f>C85*E85</f>
        <v>0</v>
      </c>
      <c r="G85" s="509"/>
      <c r="H85" s="366">
        <v>0</v>
      </c>
      <c r="I85" s="364">
        <f>G85*H85</f>
        <v>0</v>
      </c>
      <c r="J85" s="367"/>
      <c r="K85" s="510">
        <f>F85+I85+J85</f>
        <v>0</v>
      </c>
      <c r="L85" s="369"/>
      <c r="M85" s="370"/>
      <c r="N85" s="371"/>
      <c r="O85" s="372"/>
      <c r="P85" s="373"/>
      <c r="Q85" s="374"/>
    </row>
    <row r="86" spans="1:17" s="159" customFormat="1" x14ac:dyDescent="0.25">
      <c r="A86" s="361"/>
      <c r="B86" s="5"/>
      <c r="C86" s="362"/>
      <c r="D86" s="363" t="s">
        <v>21</v>
      </c>
      <c r="E86" s="247">
        <v>0</v>
      </c>
      <c r="F86" s="364">
        <f>C86*E86</f>
        <v>0</v>
      </c>
      <c r="G86" s="509"/>
      <c r="H86" s="366">
        <v>0</v>
      </c>
      <c r="I86" s="364">
        <f>G86*H86</f>
        <v>0</v>
      </c>
      <c r="J86" s="367"/>
      <c r="K86" s="510">
        <f>F86+I86+J86</f>
        <v>0</v>
      </c>
      <c r="L86" s="369"/>
      <c r="M86" s="370"/>
      <c r="N86" s="371"/>
      <c r="O86" s="372"/>
      <c r="P86" s="373"/>
      <c r="Q86" s="374"/>
    </row>
    <row r="87" spans="1:17" s="159" customFormat="1" ht="13.8" thickBot="1" x14ac:dyDescent="0.3">
      <c r="A87" s="378"/>
      <c r="B87" s="5"/>
      <c r="C87" s="379"/>
      <c r="D87" s="363"/>
      <c r="E87" s="247"/>
      <c r="F87" s="364"/>
      <c r="G87" s="509"/>
      <c r="H87" s="366"/>
      <c r="I87" s="364"/>
      <c r="J87" s="367"/>
      <c r="K87" s="514"/>
      <c r="L87" s="369"/>
      <c r="M87" s="370"/>
      <c r="N87" s="371"/>
      <c r="O87" s="372"/>
      <c r="P87" s="373"/>
      <c r="Q87" s="374"/>
    </row>
    <row r="88" spans="1:17" s="159" customFormat="1" ht="13.8" thickTop="1" x14ac:dyDescent="0.25">
      <c r="A88" s="378"/>
      <c r="B88" s="403"/>
      <c r="C88" s="379"/>
      <c r="D88" s="363"/>
      <c r="E88" s="247"/>
      <c r="F88" s="364"/>
      <c r="G88" s="509"/>
      <c r="H88" s="366"/>
      <c r="I88" s="364"/>
      <c r="J88" s="380" t="s">
        <v>30</v>
      </c>
      <c r="K88" s="511">
        <f>SUM(K82:K87)</f>
        <v>0</v>
      </c>
      <c r="M88" s="268"/>
      <c r="N88" s="157"/>
      <c r="O88" s="372"/>
      <c r="P88" s="373"/>
      <c r="Q88" s="374"/>
    </row>
    <row r="89" spans="1:17" s="159" customFormat="1" ht="13.8" thickBot="1" x14ac:dyDescent="0.3">
      <c r="A89" s="344" t="s">
        <v>0</v>
      </c>
      <c r="B89" s="345" t="s">
        <v>1</v>
      </c>
      <c r="C89" s="1028" t="s">
        <v>646</v>
      </c>
      <c r="D89" s="1028"/>
      <c r="E89" s="1028"/>
      <c r="F89" s="1028"/>
      <c r="G89" s="1028" t="s">
        <v>34</v>
      </c>
      <c r="H89" s="1028"/>
      <c r="I89" s="1028"/>
      <c r="J89" s="346"/>
      <c r="K89" s="503"/>
      <c r="L89" s="382"/>
      <c r="M89" s="383"/>
      <c r="N89" s="384"/>
      <c r="O89" s="372"/>
      <c r="P89" s="373"/>
      <c r="Q89" s="374"/>
    </row>
    <row r="90" spans="1:17" s="159" customFormat="1" ht="16.2" thickBot="1" x14ac:dyDescent="0.35">
      <c r="A90" s="385"/>
      <c r="B90" s="386"/>
      <c r="C90" s="387" t="s">
        <v>19</v>
      </c>
      <c r="D90" s="388" t="s">
        <v>33</v>
      </c>
      <c r="E90" s="389" t="s">
        <v>35</v>
      </c>
      <c r="F90" s="390" t="s">
        <v>30</v>
      </c>
      <c r="G90" s="512" t="s">
        <v>14</v>
      </c>
      <c r="H90" s="389" t="s">
        <v>35</v>
      </c>
      <c r="I90" s="390" t="s">
        <v>30</v>
      </c>
      <c r="J90" s="355" t="s">
        <v>649</v>
      </c>
      <c r="K90" s="513" t="s">
        <v>38</v>
      </c>
      <c r="L90" s="393"/>
      <c r="M90" s="394"/>
      <c r="N90" s="395"/>
      <c r="O90" s="372"/>
      <c r="P90" s="373"/>
      <c r="Q90" s="374"/>
    </row>
    <row r="91" spans="1:17" s="159" customFormat="1" x14ac:dyDescent="0.25">
      <c r="A91" s="396"/>
      <c r="B91" s="397"/>
      <c r="C91" s="362"/>
      <c r="D91" s="363" t="s">
        <v>21</v>
      </c>
      <c r="E91" s="247">
        <v>0</v>
      </c>
      <c r="F91" s="364">
        <f>C91*E91</f>
        <v>0</v>
      </c>
      <c r="G91" s="509"/>
      <c r="H91" s="366">
        <v>0</v>
      </c>
      <c r="I91" s="364">
        <f>G91*H91</f>
        <v>0</v>
      </c>
      <c r="J91" s="367"/>
      <c r="K91" s="510">
        <f>F91+I91+J91</f>
        <v>0</v>
      </c>
      <c r="L91" s="369"/>
      <c r="M91" s="370"/>
      <c r="N91" s="371"/>
      <c r="O91" s="372"/>
      <c r="P91" s="373"/>
      <c r="Q91" s="374"/>
    </row>
    <row r="92" spans="1:17" s="159" customFormat="1" x14ac:dyDescent="0.25">
      <c r="A92" s="361"/>
      <c r="B92" s="5"/>
      <c r="C92" s="362"/>
      <c r="D92" s="363" t="s">
        <v>21</v>
      </c>
      <c r="E92" s="247">
        <v>0</v>
      </c>
      <c r="F92" s="364">
        <f>C92*E92</f>
        <v>0</v>
      </c>
      <c r="G92" s="509"/>
      <c r="H92" s="366">
        <v>0</v>
      </c>
      <c r="I92" s="364">
        <f>G92*H92</f>
        <v>0</v>
      </c>
      <c r="J92" s="367"/>
      <c r="K92" s="510">
        <f>F92+I92+J92</f>
        <v>0</v>
      </c>
      <c r="L92" s="623"/>
      <c r="M92" s="624"/>
      <c r="N92" s="625"/>
      <c r="O92" s="372"/>
      <c r="P92" s="373"/>
      <c r="Q92" s="374"/>
    </row>
    <row r="93" spans="1:17" s="159" customFormat="1" x14ac:dyDescent="0.25">
      <c r="A93" s="361"/>
      <c r="B93" s="5"/>
      <c r="C93" s="362"/>
      <c r="D93" s="363" t="s">
        <v>21</v>
      </c>
      <c r="E93" s="247">
        <v>0</v>
      </c>
      <c r="F93" s="364">
        <f>C93*E93</f>
        <v>0</v>
      </c>
      <c r="G93" s="509"/>
      <c r="H93" s="366">
        <v>0</v>
      </c>
      <c r="I93" s="364">
        <f>G93*H93</f>
        <v>0</v>
      </c>
      <c r="J93" s="367"/>
      <c r="K93" s="510">
        <f>F93+I93+J93</f>
        <v>0</v>
      </c>
      <c r="L93" s="623"/>
      <c r="M93" s="624"/>
      <c r="N93" s="626"/>
      <c r="O93" s="372"/>
      <c r="P93" s="373"/>
      <c r="Q93" s="374"/>
    </row>
    <row r="94" spans="1:17" s="159" customFormat="1" x14ac:dyDescent="0.25">
      <c r="A94" s="361"/>
      <c r="B94" s="5"/>
      <c r="C94" s="362"/>
      <c r="D94" s="363" t="s">
        <v>21</v>
      </c>
      <c r="E94" s="247">
        <v>0</v>
      </c>
      <c r="F94" s="364">
        <f>C94*E94</f>
        <v>0</v>
      </c>
      <c r="G94" s="509"/>
      <c r="H94" s="366">
        <v>0</v>
      </c>
      <c r="I94" s="364">
        <f>G94*H94</f>
        <v>0</v>
      </c>
      <c r="J94" s="367"/>
      <c r="K94" s="510">
        <f>F94+I94+J94</f>
        <v>0</v>
      </c>
      <c r="L94" s="623"/>
      <c r="M94" s="624"/>
      <c r="N94" s="626"/>
      <c r="O94" s="372"/>
      <c r="P94" s="373"/>
      <c r="Q94" s="374"/>
    </row>
    <row r="95" spans="1:17" s="159" customFormat="1" ht="13.8" thickBot="1" x14ac:dyDescent="0.3">
      <c r="A95" s="378"/>
      <c r="B95" s="403"/>
      <c r="C95" s="362"/>
      <c r="D95" s="363"/>
      <c r="E95" s="247"/>
      <c r="F95" s="364"/>
      <c r="G95" s="509"/>
      <c r="H95" s="366"/>
      <c r="I95" s="364"/>
      <c r="J95" s="367"/>
      <c r="K95" s="510"/>
      <c r="L95" s="623"/>
      <c r="M95" s="624"/>
      <c r="N95" s="626"/>
      <c r="O95" s="372"/>
      <c r="P95" s="373"/>
      <c r="Q95" s="374"/>
    </row>
    <row r="96" spans="1:17" s="159" customFormat="1" ht="14.4" thickTop="1" thickBot="1" x14ac:dyDescent="0.3">
      <c r="A96" s="450"/>
      <c r="B96" s="156"/>
      <c r="C96" s="451"/>
      <c r="D96" s="452"/>
      <c r="E96" s="453"/>
      <c r="F96" s="454"/>
      <c r="G96" s="591"/>
      <c r="H96" s="453"/>
      <c r="I96" s="454"/>
      <c r="J96" s="456" t="s">
        <v>30</v>
      </c>
      <c r="K96" s="592">
        <f>SUM(K91:K95)</f>
        <v>0</v>
      </c>
      <c r="L96" s="623"/>
      <c r="M96" s="624"/>
      <c r="N96" s="626"/>
      <c r="O96" s="372"/>
      <c r="P96" s="373"/>
      <c r="Q96" s="374"/>
    </row>
    <row r="97" spans="1:17" s="159" customFormat="1" ht="14.1" customHeight="1" thickBot="1" x14ac:dyDescent="0.3">
      <c r="A97" s="458"/>
      <c r="B97" s="459"/>
      <c r="C97" s="460"/>
      <c r="D97" s="460"/>
      <c r="E97" s="461"/>
      <c r="F97" s="1038" t="s">
        <v>648</v>
      </c>
      <c r="G97" s="1040" t="s">
        <v>673</v>
      </c>
      <c r="H97" s="461"/>
      <c r="I97" s="1042" t="s">
        <v>647</v>
      </c>
      <c r="J97" s="1044" t="s">
        <v>674</v>
      </c>
      <c r="K97" s="1121" t="s">
        <v>31</v>
      </c>
      <c r="L97" s="627"/>
      <c r="M97" s="628"/>
      <c r="N97" s="629"/>
      <c r="O97" s="441"/>
      <c r="P97" s="442"/>
      <c r="Q97" s="443"/>
    </row>
    <row r="98" spans="1:17" s="159" customFormat="1" ht="14.4" thickTop="1" x14ac:dyDescent="0.25">
      <c r="A98" s="462" t="s">
        <v>32</v>
      </c>
      <c r="B98" s="1031" t="s">
        <v>656</v>
      </c>
      <c r="C98" s="463"/>
      <c r="D98" s="464"/>
      <c r="E98" s="464"/>
      <c r="F98" s="1039"/>
      <c r="G98" s="1041"/>
      <c r="H98" s="465"/>
      <c r="I98" s="1043"/>
      <c r="J98" s="1045"/>
      <c r="K98" s="1122"/>
      <c r="M98" s="268"/>
      <c r="N98" s="157"/>
      <c r="O98" s="294"/>
      <c r="P98" s="294"/>
    </row>
    <row r="99" spans="1:17" s="159" customFormat="1" ht="13.8" x14ac:dyDescent="0.25">
      <c r="A99" s="780">
        <f>K99/E6</f>
        <v>0</v>
      </c>
      <c r="B99" s="1031"/>
      <c r="C99" s="464"/>
      <c r="D99" s="464"/>
      <c r="E99" s="464"/>
      <c r="F99" s="1032">
        <f>SUM(F91:F95,F82:F87,F75:F78,F66:F71,F55:F61,F46:F51,F38:F42,F27:F34,F11:F23)</f>
        <v>0</v>
      </c>
      <c r="G99" s="1034">
        <f>SUM(G91:G95,G82:G87,G75:G78,G66:G71,G55:G61,G46:G51,G38:G42,G27:G34,G11:G23)</f>
        <v>0</v>
      </c>
      <c r="H99" s="465"/>
      <c r="I99" s="1032">
        <f>SUM(I91:I95,I82:I87,I75:I78,I66:I71,I55:I61,I46:I51,I38:I42,I27:I34,I11:I23)</f>
        <v>0</v>
      </c>
      <c r="J99" s="1032">
        <f>SUM(J91:J95,J82:J87,J75:J78,J66:J71,J55:J61,J46:J51,J38:J42,J27:J34,J11:J23)</f>
        <v>0</v>
      </c>
      <c r="K99" s="1119">
        <f>SUM(K96,K88,K79,K72,K63,K52,K43,K35,K24)</f>
        <v>0</v>
      </c>
      <c r="M99" s="268"/>
      <c r="N99" s="157"/>
      <c r="O99" s="294"/>
      <c r="P99" s="294"/>
    </row>
    <row r="100" spans="1:17" s="159" customFormat="1" ht="14.4" thickBot="1" x14ac:dyDescent="0.3">
      <c r="A100" s="462"/>
      <c r="B100" s="529"/>
      <c r="C100" s="468"/>
      <c r="D100" s="468"/>
      <c r="E100" s="468"/>
      <c r="F100" s="1033"/>
      <c r="G100" s="1035"/>
      <c r="H100" s="468"/>
      <c r="I100" s="1033"/>
      <c r="J100" s="1033"/>
      <c r="K100" s="1120"/>
      <c r="M100" s="268"/>
      <c r="N100" s="157"/>
      <c r="O100" s="294"/>
      <c r="P100" s="294"/>
    </row>
    <row r="101" spans="1:17" s="159" customFormat="1" ht="13.8" thickBot="1" x14ac:dyDescent="0.3">
      <c r="A101" s="469"/>
      <c r="B101" s="470"/>
      <c r="C101" s="470"/>
      <c r="D101" s="470"/>
      <c r="E101" s="470"/>
      <c r="F101" s="470"/>
      <c r="G101" s="470"/>
      <c r="H101" s="470"/>
      <c r="I101" s="470"/>
      <c r="J101" s="470"/>
      <c r="K101" s="471"/>
      <c r="M101" s="268"/>
      <c r="N101" s="157"/>
      <c r="O101" s="294"/>
      <c r="P101" s="294"/>
    </row>
    <row r="102" spans="1:17" s="159" customFormat="1" x14ac:dyDescent="0.25">
      <c r="C102" s="611"/>
      <c r="D102" s="611"/>
      <c r="M102" s="268"/>
      <c r="N102" s="157"/>
      <c r="O102" s="294"/>
      <c r="P102" s="294"/>
    </row>
    <row r="103" spans="1:17" s="159" customFormat="1" x14ac:dyDescent="0.25">
      <c r="C103" s="611"/>
      <c r="D103" s="611"/>
      <c r="M103" s="268"/>
      <c r="N103" s="157"/>
      <c r="O103" s="294"/>
      <c r="P103" s="294"/>
    </row>
    <row r="104" spans="1:17" s="159" customFormat="1" x14ac:dyDescent="0.25">
      <c r="C104" s="611"/>
      <c r="D104" s="611"/>
      <c r="M104" s="268"/>
      <c r="N104" s="157"/>
      <c r="O104" s="294"/>
      <c r="P104" s="294"/>
    </row>
    <row r="105" spans="1:17" s="159" customFormat="1" x14ac:dyDescent="0.25">
      <c r="C105" s="611"/>
      <c r="D105" s="611"/>
      <c r="M105" s="268"/>
      <c r="N105" s="157"/>
      <c r="O105" s="294"/>
      <c r="P105" s="294"/>
    </row>
    <row r="106" spans="1:17" s="159" customFormat="1" x14ac:dyDescent="0.25">
      <c r="C106" s="611"/>
      <c r="D106" s="611"/>
      <c r="M106" s="268"/>
      <c r="N106" s="157"/>
      <c r="O106" s="294"/>
      <c r="P106" s="294"/>
    </row>
    <row r="107" spans="1:17" s="159" customFormat="1" x14ac:dyDescent="0.25">
      <c r="C107" s="611"/>
      <c r="D107" s="611"/>
      <c r="M107" s="268"/>
      <c r="N107" s="157"/>
      <c r="O107" s="294"/>
      <c r="P107" s="294"/>
    </row>
    <row r="108" spans="1:17" s="159" customFormat="1" x14ac:dyDescent="0.25">
      <c r="C108" s="611"/>
      <c r="D108" s="611"/>
      <c r="M108" s="268"/>
      <c r="N108" s="157"/>
      <c r="O108" s="294"/>
      <c r="P108" s="294"/>
    </row>
    <row r="109" spans="1:17" s="159" customFormat="1" x14ac:dyDescent="0.25">
      <c r="C109" s="611"/>
      <c r="D109" s="611"/>
      <c r="M109" s="268"/>
      <c r="N109" s="157"/>
      <c r="O109" s="294"/>
      <c r="P109" s="294"/>
    </row>
    <row r="110" spans="1:17" s="159" customFormat="1" x14ac:dyDescent="0.25">
      <c r="C110" s="611"/>
      <c r="D110" s="611"/>
      <c r="M110" s="268"/>
      <c r="N110" s="157"/>
      <c r="O110" s="294"/>
      <c r="P110" s="294"/>
    </row>
    <row r="111" spans="1:17" s="159" customFormat="1" x14ac:dyDescent="0.25">
      <c r="C111" s="611"/>
      <c r="D111" s="611"/>
      <c r="M111" s="268"/>
      <c r="N111" s="157"/>
      <c r="O111" s="294"/>
      <c r="P111" s="294"/>
    </row>
    <row r="112" spans="1:17" s="159" customFormat="1" x14ac:dyDescent="0.25">
      <c r="C112" s="611"/>
      <c r="D112" s="611"/>
      <c r="M112" s="268"/>
      <c r="N112" s="157"/>
      <c r="O112" s="294"/>
      <c r="P112" s="294"/>
    </row>
    <row r="113" spans="3:16" s="159" customFormat="1" x14ac:dyDescent="0.25">
      <c r="C113" s="611"/>
      <c r="D113" s="611"/>
      <c r="M113" s="268"/>
      <c r="N113" s="157"/>
      <c r="O113" s="294"/>
      <c r="P113" s="294"/>
    </row>
    <row r="114" spans="3:16" s="159" customFormat="1" x14ac:dyDescent="0.25">
      <c r="C114" s="611"/>
      <c r="D114" s="611"/>
      <c r="M114" s="268"/>
      <c r="N114" s="157"/>
      <c r="O114" s="294"/>
      <c r="P114" s="294"/>
    </row>
    <row r="115" spans="3:16" s="159" customFormat="1" x14ac:dyDescent="0.25">
      <c r="C115" s="611"/>
      <c r="D115" s="611"/>
      <c r="M115" s="268"/>
      <c r="N115" s="157"/>
      <c r="O115" s="294"/>
      <c r="P115" s="294"/>
    </row>
    <row r="116" spans="3:16" s="159" customFormat="1" x14ac:dyDescent="0.25">
      <c r="C116" s="611"/>
      <c r="D116" s="611"/>
      <c r="M116" s="268"/>
      <c r="N116" s="157"/>
      <c r="O116" s="294"/>
      <c r="P116" s="294"/>
    </row>
    <row r="117" spans="3:16" s="159" customFormat="1" x14ac:dyDescent="0.25">
      <c r="C117" s="611"/>
      <c r="D117" s="611"/>
      <c r="M117" s="268"/>
      <c r="N117" s="157"/>
      <c r="O117" s="294"/>
      <c r="P117" s="294"/>
    </row>
    <row r="118" spans="3:16" s="159" customFormat="1" x14ac:dyDescent="0.25">
      <c r="C118" s="611"/>
      <c r="D118" s="611"/>
      <c r="M118" s="268"/>
      <c r="N118" s="157"/>
      <c r="O118" s="294"/>
      <c r="P118" s="294"/>
    </row>
    <row r="119" spans="3:16" s="159" customFormat="1" x14ac:dyDescent="0.25">
      <c r="C119" s="611"/>
      <c r="D119" s="611"/>
      <c r="M119" s="268"/>
      <c r="N119" s="157"/>
      <c r="O119" s="294"/>
      <c r="P119" s="294"/>
    </row>
    <row r="120" spans="3:16" s="159" customFormat="1" x14ac:dyDescent="0.25">
      <c r="C120" s="611"/>
      <c r="D120" s="611"/>
      <c r="M120" s="268"/>
      <c r="N120" s="157"/>
      <c r="O120" s="294"/>
      <c r="P120" s="294"/>
    </row>
    <row r="121" spans="3:16" s="159" customFormat="1" x14ac:dyDescent="0.25">
      <c r="C121" s="611"/>
      <c r="D121" s="611"/>
      <c r="M121" s="268"/>
      <c r="N121" s="157"/>
      <c r="O121" s="294"/>
      <c r="P121" s="294"/>
    </row>
    <row r="122" spans="3:16" s="159" customFormat="1" x14ac:dyDescent="0.25">
      <c r="C122" s="611"/>
      <c r="D122" s="611"/>
      <c r="M122" s="268"/>
      <c r="N122" s="157"/>
      <c r="O122" s="294"/>
      <c r="P122" s="294"/>
    </row>
    <row r="123" spans="3:16" s="159" customFormat="1" x14ac:dyDescent="0.25">
      <c r="C123" s="611"/>
      <c r="D123" s="611"/>
      <c r="M123" s="268"/>
      <c r="N123" s="157"/>
      <c r="O123" s="294"/>
      <c r="P123" s="294"/>
    </row>
    <row r="124" spans="3:16" s="159" customFormat="1" x14ac:dyDescent="0.25">
      <c r="C124" s="611"/>
      <c r="D124" s="611"/>
      <c r="M124" s="268"/>
      <c r="N124" s="157"/>
      <c r="O124" s="294"/>
      <c r="P124" s="294"/>
    </row>
    <row r="125" spans="3:16" s="159" customFormat="1" x14ac:dyDescent="0.25">
      <c r="C125" s="611"/>
      <c r="D125" s="611"/>
      <c r="M125" s="268"/>
      <c r="N125" s="157"/>
      <c r="O125" s="294"/>
      <c r="P125" s="294"/>
    </row>
    <row r="126" spans="3:16" s="159" customFormat="1" x14ac:dyDescent="0.25">
      <c r="C126" s="611"/>
      <c r="D126" s="611"/>
      <c r="M126" s="268"/>
      <c r="N126" s="157"/>
      <c r="O126" s="294"/>
      <c r="P126" s="294"/>
    </row>
    <row r="127" spans="3:16" s="159" customFormat="1" x14ac:dyDescent="0.25">
      <c r="C127" s="611"/>
      <c r="D127" s="611"/>
      <c r="M127" s="268"/>
      <c r="N127" s="157"/>
      <c r="O127" s="294"/>
      <c r="P127" s="294"/>
    </row>
    <row r="128" spans="3:16" s="159" customFormat="1" x14ac:dyDescent="0.25">
      <c r="C128" s="611"/>
      <c r="D128" s="611"/>
      <c r="M128" s="268"/>
      <c r="N128" s="157"/>
      <c r="O128" s="294"/>
      <c r="P128" s="294"/>
    </row>
    <row r="129" spans="3:16" s="159" customFormat="1" x14ac:dyDescent="0.25">
      <c r="C129" s="611"/>
      <c r="D129" s="611"/>
      <c r="M129" s="268"/>
      <c r="N129" s="157"/>
      <c r="O129" s="294"/>
      <c r="P129" s="294"/>
    </row>
    <row r="130" spans="3:16" s="159" customFormat="1" x14ac:dyDescent="0.25">
      <c r="C130" s="611"/>
      <c r="D130" s="611"/>
      <c r="M130" s="268"/>
      <c r="N130" s="157"/>
      <c r="O130" s="294"/>
      <c r="P130" s="294"/>
    </row>
    <row r="131" spans="3:16" s="159" customFormat="1" x14ac:dyDescent="0.25">
      <c r="C131" s="611"/>
      <c r="D131" s="611"/>
      <c r="M131" s="268"/>
      <c r="N131" s="157"/>
      <c r="O131" s="294"/>
      <c r="P131" s="294"/>
    </row>
    <row r="132" spans="3:16" s="159" customFormat="1" x14ac:dyDescent="0.25">
      <c r="C132" s="611"/>
      <c r="D132" s="611"/>
      <c r="M132" s="268"/>
      <c r="N132" s="157"/>
      <c r="O132" s="294"/>
      <c r="P132" s="294"/>
    </row>
    <row r="133" spans="3:16" s="159" customFormat="1" x14ac:dyDescent="0.25">
      <c r="C133" s="611"/>
      <c r="D133" s="611"/>
      <c r="M133" s="268"/>
      <c r="N133" s="157"/>
      <c r="O133" s="294"/>
      <c r="P133" s="294"/>
    </row>
    <row r="134" spans="3:16" s="159" customFormat="1" x14ac:dyDescent="0.25">
      <c r="C134" s="611"/>
      <c r="D134" s="611"/>
      <c r="M134" s="268"/>
      <c r="N134" s="157"/>
      <c r="O134" s="294"/>
      <c r="P134" s="294"/>
    </row>
    <row r="135" spans="3:16" s="159" customFormat="1" x14ac:dyDescent="0.25">
      <c r="C135" s="611"/>
      <c r="D135" s="611"/>
      <c r="M135" s="268"/>
      <c r="N135" s="157"/>
      <c r="O135" s="294"/>
      <c r="P135" s="294"/>
    </row>
    <row r="136" spans="3:16" s="159" customFormat="1" x14ac:dyDescent="0.25">
      <c r="C136" s="611"/>
      <c r="D136" s="611"/>
      <c r="M136" s="268"/>
      <c r="N136" s="157"/>
      <c r="O136" s="294"/>
      <c r="P136" s="294"/>
    </row>
    <row r="137" spans="3:16" s="159" customFormat="1" x14ac:dyDescent="0.25">
      <c r="C137" s="611"/>
      <c r="D137" s="611"/>
      <c r="M137" s="268"/>
      <c r="N137" s="157"/>
      <c r="O137" s="294"/>
      <c r="P137" s="294"/>
    </row>
    <row r="138" spans="3:16" s="159" customFormat="1" x14ac:dyDescent="0.25">
      <c r="C138" s="611"/>
      <c r="D138" s="611"/>
      <c r="M138" s="268"/>
      <c r="N138" s="157"/>
      <c r="O138" s="294"/>
      <c r="P138" s="294"/>
    </row>
    <row r="139" spans="3:16" s="159" customFormat="1" x14ac:dyDescent="0.25">
      <c r="C139" s="611"/>
      <c r="D139" s="611"/>
      <c r="M139" s="268"/>
      <c r="N139" s="157"/>
      <c r="O139" s="294"/>
      <c r="P139" s="294"/>
    </row>
    <row r="140" spans="3:16" s="159" customFormat="1" x14ac:dyDescent="0.25">
      <c r="C140" s="611"/>
      <c r="D140" s="611"/>
      <c r="M140" s="268"/>
      <c r="N140" s="157"/>
      <c r="O140" s="294"/>
      <c r="P140" s="294"/>
    </row>
    <row r="141" spans="3:16" s="159" customFormat="1" x14ac:dyDescent="0.25">
      <c r="C141" s="611"/>
      <c r="D141" s="611"/>
      <c r="M141" s="268"/>
      <c r="N141" s="157"/>
      <c r="O141" s="294"/>
      <c r="P141" s="294"/>
    </row>
    <row r="142" spans="3:16" s="159" customFormat="1" x14ac:dyDescent="0.25">
      <c r="C142" s="611"/>
      <c r="D142" s="611"/>
      <c r="M142" s="268"/>
      <c r="N142" s="157"/>
      <c r="O142" s="294"/>
      <c r="P142" s="294"/>
    </row>
    <row r="143" spans="3:16" s="159" customFormat="1" x14ac:dyDescent="0.25">
      <c r="C143" s="611"/>
      <c r="D143" s="611"/>
      <c r="M143" s="268"/>
      <c r="N143" s="157"/>
      <c r="O143" s="294"/>
      <c r="P143" s="294"/>
    </row>
    <row r="144" spans="3:16" s="159" customFormat="1" x14ac:dyDescent="0.25">
      <c r="C144" s="611"/>
      <c r="D144" s="611"/>
      <c r="M144" s="268"/>
      <c r="N144" s="157"/>
      <c r="O144" s="294"/>
      <c r="P144" s="294"/>
    </row>
    <row r="145" spans="3:16" s="159" customFormat="1" x14ac:dyDescent="0.25">
      <c r="C145" s="611"/>
      <c r="D145" s="611"/>
      <c r="M145" s="268"/>
      <c r="N145" s="157"/>
      <c r="O145" s="294"/>
      <c r="P145" s="294"/>
    </row>
    <row r="146" spans="3:16" s="159" customFormat="1" x14ac:dyDescent="0.25">
      <c r="C146" s="611"/>
      <c r="D146" s="611"/>
      <c r="M146" s="268"/>
      <c r="N146" s="157"/>
      <c r="O146" s="294"/>
      <c r="P146" s="294"/>
    </row>
    <row r="147" spans="3:16" s="159" customFormat="1" x14ac:dyDescent="0.25">
      <c r="C147" s="611"/>
      <c r="D147" s="611"/>
      <c r="M147" s="268"/>
      <c r="N147" s="157"/>
      <c r="O147" s="294"/>
      <c r="P147" s="294"/>
    </row>
    <row r="148" spans="3:16" s="159" customFormat="1" x14ac:dyDescent="0.25">
      <c r="C148" s="611"/>
      <c r="D148" s="611"/>
      <c r="M148" s="268"/>
      <c r="N148" s="157"/>
      <c r="O148" s="294"/>
      <c r="P148" s="294"/>
    </row>
    <row r="149" spans="3:16" s="159" customFormat="1" x14ac:dyDescent="0.25">
      <c r="C149" s="611"/>
      <c r="D149" s="611"/>
      <c r="M149" s="268"/>
      <c r="N149" s="157"/>
      <c r="O149" s="294"/>
      <c r="P149" s="294"/>
    </row>
    <row r="150" spans="3:16" s="159" customFormat="1" x14ac:dyDescent="0.25">
      <c r="C150" s="611"/>
      <c r="D150" s="611"/>
      <c r="M150" s="268"/>
      <c r="N150" s="157"/>
      <c r="O150" s="294"/>
      <c r="P150" s="294"/>
    </row>
    <row r="151" spans="3:16" s="159" customFormat="1" x14ac:dyDescent="0.25">
      <c r="C151" s="611"/>
      <c r="D151" s="611"/>
      <c r="M151" s="268"/>
      <c r="N151" s="157"/>
      <c r="O151" s="294"/>
      <c r="P151" s="294"/>
    </row>
    <row r="152" spans="3:16" s="159" customFormat="1" x14ac:dyDescent="0.25">
      <c r="C152" s="611"/>
      <c r="D152" s="611"/>
      <c r="M152" s="268"/>
      <c r="N152" s="157"/>
      <c r="O152" s="294"/>
      <c r="P152" s="294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35" top="0.75" bottom="0.75" header="0.5" footer="0.5"/>
  <pageSetup scale="7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Q141"/>
  <sheetViews>
    <sheetView zoomScale="90" zoomScaleSheetLayoutView="90" workbookViewId="0">
      <selection activeCell="N97" sqref="N97"/>
    </sheetView>
  </sheetViews>
  <sheetFormatPr defaultColWidth="9.33203125" defaultRowHeight="13.2" x14ac:dyDescent="0.25"/>
  <cols>
    <col min="1" max="1" width="12.33203125" style="157" bestFit="1" customWidth="1"/>
    <col min="2" max="2" width="42.33203125" style="157" customWidth="1"/>
    <col min="3" max="3" width="5" style="421" customWidth="1"/>
    <col min="4" max="4" width="5" style="615" customWidth="1"/>
    <col min="5" max="5" width="10.6640625" style="157" bestFit="1" customWidth="1"/>
    <col min="6" max="6" width="12.5546875" style="157" customWidth="1"/>
    <col min="7" max="7" width="7" style="157" bestFit="1" customWidth="1"/>
    <col min="8" max="8" width="10.6640625" style="157" bestFit="1" customWidth="1"/>
    <col min="9" max="9" width="13.33203125" style="157" bestFit="1" customWidth="1"/>
    <col min="10" max="10" width="16.33203125" style="157" bestFit="1" customWidth="1"/>
    <col min="11" max="11" width="13.332031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361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362</v>
      </c>
      <c r="B10" s="505" t="s">
        <v>69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928"/>
      <c r="B11" s="929" t="s">
        <v>975</v>
      </c>
      <c r="C11" s="930"/>
      <c r="D11" s="931" t="s">
        <v>21</v>
      </c>
      <c r="E11" s="932">
        <v>0</v>
      </c>
      <c r="F11" s="933">
        <f t="shared" ref="F11:F21" si="0">C11*E11</f>
        <v>0</v>
      </c>
      <c r="G11" s="934"/>
      <c r="H11" s="935">
        <v>0</v>
      </c>
      <c r="I11" s="933">
        <f t="shared" ref="I11:I21" si="1">G11*H11</f>
        <v>0</v>
      </c>
      <c r="J11" s="936">
        <f>M11</f>
        <v>132800</v>
      </c>
      <c r="K11" s="937">
        <f t="shared" ref="K11:K21" si="2">F11+I11+J11</f>
        <v>132800</v>
      </c>
      <c r="L11" s="369" t="s">
        <v>956</v>
      </c>
      <c r="M11" s="938">
        <v>132800</v>
      </c>
      <c r="N11" s="927" t="s">
        <v>1043</v>
      </c>
      <c r="O11" s="898" t="s">
        <v>958</v>
      </c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 t="s">
        <v>957</v>
      </c>
      <c r="M12" s="370">
        <v>148000</v>
      </c>
      <c r="N12" s="371" t="s">
        <v>959</v>
      </c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 t="s">
        <v>955</v>
      </c>
      <c r="M13" s="370">
        <v>120275</v>
      </c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268">
        <v>360790</v>
      </c>
      <c r="N14" s="371" t="s">
        <v>1121</v>
      </c>
      <c r="O14" s="372"/>
      <c r="P14" s="373"/>
      <c r="Q14" s="374"/>
    </row>
    <row r="15" spans="1:17" x14ac:dyDescent="0.25">
      <c r="A15" s="375"/>
      <c r="B15" s="5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449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369"/>
      <c r="M17" s="449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369"/>
      <c r="M18" s="449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369"/>
      <c r="M19" s="449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369"/>
      <c r="M20" s="449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369"/>
      <c r="M21" s="449"/>
      <c r="O21" s="372"/>
      <c r="P21" s="373"/>
      <c r="Q21" s="374"/>
    </row>
    <row r="22" spans="1:17" s="159" customFormat="1" ht="13.8" thickBot="1" x14ac:dyDescent="0.3">
      <c r="A22" s="378"/>
      <c r="B22" s="7"/>
      <c r="C22" s="379"/>
      <c r="D22" s="363"/>
      <c r="E22" s="247"/>
      <c r="F22" s="364"/>
      <c r="G22" s="509"/>
      <c r="H22" s="366"/>
      <c r="I22" s="364"/>
      <c r="J22" s="367"/>
      <c r="K22" s="510"/>
      <c r="L22" s="369"/>
      <c r="M22" s="449"/>
      <c r="N22" s="157"/>
      <c r="O22" s="372"/>
      <c r="P22" s="373"/>
      <c r="Q22" s="374"/>
    </row>
    <row r="23" spans="1:17" s="159" customFormat="1" ht="14.4" thickTop="1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80" t="s">
        <v>30</v>
      </c>
      <c r="K23" s="511">
        <f>SUM(K11:K22)</f>
        <v>132800</v>
      </c>
      <c r="L23" s="369"/>
      <c r="M23" s="449"/>
      <c r="N23" s="157"/>
      <c r="O23" s="372"/>
      <c r="P23" s="373"/>
      <c r="Q23" s="374"/>
    </row>
    <row r="24" spans="1:17" s="159" customFormat="1" ht="13.8" hidden="1" thickBot="1" x14ac:dyDescent="0.3">
      <c r="A24" s="344" t="s">
        <v>0</v>
      </c>
      <c r="B24" s="345" t="s">
        <v>1</v>
      </c>
      <c r="C24" s="1028" t="s">
        <v>646</v>
      </c>
      <c r="D24" s="1028"/>
      <c r="E24" s="1028"/>
      <c r="F24" s="1028"/>
      <c r="G24" s="1028" t="s">
        <v>34</v>
      </c>
      <c r="H24" s="1028"/>
      <c r="I24" s="1028"/>
      <c r="J24" s="346"/>
      <c r="K24" s="503"/>
      <c r="L24" s="382"/>
      <c r="M24" s="383"/>
      <c r="N24" s="384"/>
      <c r="O24" s="372"/>
      <c r="P24" s="373"/>
      <c r="Q24" s="374"/>
    </row>
    <row r="25" spans="1:17" s="159" customFormat="1" ht="16.2" hidden="1" thickBot="1" x14ac:dyDescent="0.35">
      <c r="A25" s="505" t="s">
        <v>363</v>
      </c>
      <c r="B25" s="505" t="s">
        <v>70</v>
      </c>
      <c r="C25" s="387" t="s">
        <v>19</v>
      </c>
      <c r="D25" s="388" t="s">
        <v>33</v>
      </c>
      <c r="E25" s="389" t="s">
        <v>35</v>
      </c>
      <c r="F25" s="390" t="s">
        <v>30</v>
      </c>
      <c r="G25" s="512" t="s">
        <v>14</v>
      </c>
      <c r="H25" s="389" t="s">
        <v>35</v>
      </c>
      <c r="I25" s="390" t="s">
        <v>30</v>
      </c>
      <c r="J25" s="355" t="s">
        <v>649</v>
      </c>
      <c r="K25" s="513" t="s">
        <v>38</v>
      </c>
      <c r="L25" s="393"/>
      <c r="M25" s="394"/>
      <c r="N25" s="395"/>
      <c r="O25" s="372"/>
      <c r="P25" s="373"/>
      <c r="Q25" s="374"/>
    </row>
    <row r="26" spans="1:17" s="159" customFormat="1" hidden="1" x14ac:dyDescent="0.25">
      <c r="A26" s="396"/>
      <c r="B26" s="397"/>
      <c r="C26" s="362"/>
      <c r="D26" s="363" t="s">
        <v>21</v>
      </c>
      <c r="E26" s="247">
        <v>0</v>
      </c>
      <c r="F26" s="364">
        <f t="shared" ref="F26:F32" si="3">C26*E26</f>
        <v>0</v>
      </c>
      <c r="G26" s="509"/>
      <c r="H26" s="366">
        <v>0</v>
      </c>
      <c r="I26" s="364">
        <f t="shared" ref="I26:I32" si="4">G26*H26</f>
        <v>0</v>
      </c>
      <c r="J26" s="367"/>
      <c r="K26" s="510">
        <f t="shared" ref="K26:K32" si="5">F26+I26+J26</f>
        <v>0</v>
      </c>
      <c r="L26" s="157"/>
      <c r="M26" s="449"/>
      <c r="N26" s="157"/>
      <c r="O26" s="372"/>
      <c r="P26" s="373"/>
      <c r="Q26" s="374"/>
    </row>
    <row r="27" spans="1:17" s="159" customFormat="1" hidden="1" x14ac:dyDescent="0.25">
      <c r="A27" s="361"/>
      <c r="B27" s="5"/>
      <c r="C27" s="362"/>
      <c r="D27" s="363" t="s">
        <v>21</v>
      </c>
      <c r="E27" s="247">
        <v>0</v>
      </c>
      <c r="F27" s="364">
        <f t="shared" si="3"/>
        <v>0</v>
      </c>
      <c r="G27" s="509"/>
      <c r="H27" s="366">
        <v>0</v>
      </c>
      <c r="I27" s="364">
        <f t="shared" si="4"/>
        <v>0</v>
      </c>
      <c r="J27" s="367"/>
      <c r="K27" s="510">
        <f t="shared" si="5"/>
        <v>0</v>
      </c>
      <c r="M27" s="268"/>
      <c r="N27" s="157"/>
      <c r="O27" s="372"/>
      <c r="P27" s="373"/>
      <c r="Q27" s="374"/>
    </row>
    <row r="28" spans="1:17" s="159" customFormat="1" hidden="1" x14ac:dyDescent="0.25">
      <c r="A28" s="361"/>
      <c r="B28" s="5"/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L28" s="369"/>
      <c r="M28" s="370"/>
      <c r="N28" s="371"/>
      <c r="O28" s="372"/>
      <c r="P28" s="373"/>
      <c r="Q28" s="374"/>
    </row>
    <row r="29" spans="1:17" s="159" customFormat="1" hidden="1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s="159" customFormat="1" hidden="1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515"/>
      <c r="M30" s="531"/>
      <c r="N30" s="516"/>
      <c r="O30" s="372"/>
      <c r="P30" s="373"/>
      <c r="Q30" s="374"/>
    </row>
    <row r="31" spans="1:17" s="159" customFormat="1" hidden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517"/>
      <c r="M31" s="249"/>
      <c r="N31" s="409"/>
      <c r="O31" s="372"/>
      <c r="P31" s="373"/>
      <c r="Q31" s="374"/>
    </row>
    <row r="32" spans="1:17" s="159" customFormat="1" hidden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L32" s="157"/>
      <c r="M32" s="449"/>
      <c r="N32" s="157"/>
      <c r="O32" s="372"/>
      <c r="P32" s="373"/>
      <c r="Q32" s="374"/>
    </row>
    <row r="33" spans="1:17" s="159" customFormat="1" ht="13.8" hidden="1" thickBot="1" x14ac:dyDescent="0.3">
      <c r="A33" s="361"/>
      <c r="B33" s="5"/>
      <c r="C33" s="379"/>
      <c r="D33" s="363"/>
      <c r="E33" s="247"/>
      <c r="F33" s="364"/>
      <c r="G33" s="509"/>
      <c r="H33" s="366"/>
      <c r="I33" s="364"/>
      <c r="J33" s="367"/>
      <c r="K33" s="514"/>
      <c r="L33" s="157"/>
      <c r="M33" s="449"/>
      <c r="N33" s="157"/>
      <c r="O33" s="372"/>
      <c r="P33" s="373"/>
      <c r="Q33" s="374"/>
    </row>
    <row r="34" spans="1:17" s="159" customFormat="1" ht="13.8" hidden="1" thickTop="1" x14ac:dyDescent="0.25">
      <c r="A34" s="378"/>
      <c r="B34" s="5"/>
      <c r="C34" s="379"/>
      <c r="D34" s="363"/>
      <c r="E34" s="247"/>
      <c r="F34" s="364"/>
      <c r="G34" s="509"/>
      <c r="H34" s="366"/>
      <c r="I34" s="364"/>
      <c r="J34" s="380" t="s">
        <v>30</v>
      </c>
      <c r="K34" s="511">
        <f>SUM(K26:K33)</f>
        <v>0</v>
      </c>
      <c r="L34" s="369"/>
      <c r="M34" s="370"/>
      <c r="N34" s="371"/>
      <c r="O34" s="372"/>
      <c r="P34" s="373"/>
      <c r="Q34" s="374"/>
    </row>
    <row r="35" spans="1:17" s="159" customFormat="1" ht="13.8" hidden="1" thickBot="1" x14ac:dyDescent="0.3">
      <c r="A35" s="344" t="s">
        <v>0</v>
      </c>
      <c r="B35" s="345" t="s">
        <v>1</v>
      </c>
      <c r="C35" s="1028" t="s">
        <v>646</v>
      </c>
      <c r="D35" s="1028"/>
      <c r="E35" s="1028"/>
      <c r="F35" s="1028"/>
      <c r="G35" s="1028" t="s">
        <v>34</v>
      </c>
      <c r="H35" s="1028"/>
      <c r="I35" s="1028"/>
      <c r="J35" s="346"/>
      <c r="K35" s="503"/>
      <c r="L35" s="382"/>
      <c r="M35" s="383"/>
      <c r="N35" s="384"/>
      <c r="O35" s="372"/>
      <c r="P35" s="373"/>
      <c r="Q35" s="374"/>
    </row>
    <row r="36" spans="1:17" s="159" customFormat="1" ht="16.2" hidden="1" thickBot="1" x14ac:dyDescent="0.35">
      <c r="A36" s="505" t="s">
        <v>365</v>
      </c>
      <c r="B36" s="505" t="s">
        <v>364</v>
      </c>
      <c r="C36" s="387" t="s">
        <v>19</v>
      </c>
      <c r="D36" s="388" t="s">
        <v>33</v>
      </c>
      <c r="E36" s="389" t="s">
        <v>35</v>
      </c>
      <c r="F36" s="390" t="s">
        <v>30</v>
      </c>
      <c r="G36" s="512" t="s">
        <v>14</v>
      </c>
      <c r="H36" s="389" t="s">
        <v>35</v>
      </c>
      <c r="I36" s="390" t="s">
        <v>30</v>
      </c>
      <c r="J36" s="355" t="s">
        <v>649</v>
      </c>
      <c r="K36" s="513" t="s">
        <v>38</v>
      </c>
      <c r="L36" s="393"/>
      <c r="M36" s="399"/>
      <c r="N36" s="400"/>
      <c r="O36" s="401"/>
      <c r="P36" s="402"/>
      <c r="Q36" s="374"/>
    </row>
    <row r="37" spans="1:17" s="159" customFormat="1" hidden="1" x14ac:dyDescent="0.25">
      <c r="A37" s="396"/>
      <c r="B37" s="397"/>
      <c r="C37" s="362"/>
      <c r="D37" s="363" t="s">
        <v>21</v>
      </c>
      <c r="E37" s="247">
        <v>0</v>
      </c>
      <c r="F37" s="364">
        <f>C37*E37</f>
        <v>0</v>
      </c>
      <c r="G37" s="509"/>
      <c r="H37" s="366">
        <v>0</v>
      </c>
      <c r="I37" s="364">
        <f>G37*H37</f>
        <v>0</v>
      </c>
      <c r="J37" s="367"/>
      <c r="K37" s="510">
        <f>F37+I37+J37</f>
        <v>0</v>
      </c>
      <c r="L37" s="369"/>
      <c r="M37" s="370"/>
      <c r="N37" s="371"/>
      <c r="O37" s="401"/>
      <c r="P37" s="402"/>
      <c r="Q37" s="374"/>
    </row>
    <row r="38" spans="1:17" s="159" customFormat="1" hidden="1" x14ac:dyDescent="0.25">
      <c r="A38" s="361"/>
      <c r="B38" s="5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370"/>
      <c r="N38" s="371"/>
      <c r="O38" s="401"/>
      <c r="P38" s="402"/>
      <c r="Q38" s="374"/>
    </row>
    <row r="39" spans="1:17" s="159" customFormat="1" hidden="1" x14ac:dyDescent="0.25">
      <c r="A39" s="361"/>
      <c r="B39" s="5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367"/>
      <c r="K39" s="510">
        <f>F39+I39+J39</f>
        <v>0</v>
      </c>
      <c r="L39" s="369"/>
      <c r="M39" s="370"/>
      <c r="N39" s="371"/>
      <c r="O39" s="401"/>
      <c r="P39" s="402"/>
      <c r="Q39" s="374"/>
    </row>
    <row r="40" spans="1:17" s="159" customFormat="1" hidden="1" x14ac:dyDescent="0.25">
      <c r="A40" s="378"/>
      <c r="B40" s="403"/>
      <c r="C40" s="379"/>
      <c r="D40" s="363"/>
      <c r="E40" s="247"/>
      <c r="F40" s="364"/>
      <c r="G40" s="509"/>
      <c r="H40" s="366"/>
      <c r="I40" s="364"/>
      <c r="J40" s="367"/>
      <c r="K40" s="514"/>
      <c r="L40" s="369"/>
      <c r="M40" s="370"/>
      <c r="N40" s="371"/>
      <c r="O40" s="401"/>
      <c r="P40" s="402"/>
      <c r="Q40" s="374"/>
    </row>
    <row r="41" spans="1:17" s="159" customFormat="1" ht="13.8" hidden="1" thickBot="1" x14ac:dyDescent="0.3">
      <c r="A41" s="378"/>
      <c r="B41" s="403"/>
      <c r="C41" s="379"/>
      <c r="D41" s="363"/>
      <c r="E41" s="247"/>
      <c r="F41" s="364"/>
      <c r="G41" s="509"/>
      <c r="H41" s="366"/>
      <c r="I41" s="364"/>
      <c r="J41" s="367"/>
      <c r="K41" s="514"/>
      <c r="M41" s="268"/>
      <c r="N41" s="157"/>
      <c r="O41" s="401"/>
      <c r="P41" s="402"/>
      <c r="Q41" s="374"/>
    </row>
    <row r="42" spans="1:17" s="159" customFormat="1" ht="13.8" hidden="1" thickTop="1" x14ac:dyDescent="0.25">
      <c r="A42" s="378"/>
      <c r="B42" s="403"/>
      <c r="C42" s="379"/>
      <c r="D42" s="363"/>
      <c r="E42" s="247"/>
      <c r="F42" s="364"/>
      <c r="G42" s="509"/>
      <c r="H42" s="366"/>
      <c r="I42" s="364"/>
      <c r="J42" s="380" t="s">
        <v>30</v>
      </c>
      <c r="K42" s="511">
        <f>SUM(K37:K41)</f>
        <v>0</v>
      </c>
      <c r="M42" s="268"/>
      <c r="N42" s="157"/>
      <c r="O42" s="372"/>
      <c r="P42" s="373"/>
      <c r="Q42" s="374"/>
    </row>
    <row r="43" spans="1:17" s="159" customFormat="1" ht="13.8" hidden="1" thickBot="1" x14ac:dyDescent="0.3">
      <c r="A43" s="344" t="s">
        <v>0</v>
      </c>
      <c r="B43" s="345" t="s">
        <v>1</v>
      </c>
      <c r="C43" s="1028" t="s">
        <v>646</v>
      </c>
      <c r="D43" s="1028"/>
      <c r="E43" s="1028"/>
      <c r="F43" s="1028"/>
      <c r="G43" s="1028" t="s">
        <v>34</v>
      </c>
      <c r="H43" s="1028"/>
      <c r="I43" s="1028"/>
      <c r="J43" s="346"/>
      <c r="K43" s="503"/>
      <c r="L43" s="382"/>
      <c r="M43" s="383"/>
      <c r="N43" s="384"/>
      <c r="O43" s="372"/>
      <c r="P43" s="373"/>
      <c r="Q43" s="374"/>
    </row>
    <row r="44" spans="1:17" s="159" customFormat="1" ht="16.2" hidden="1" thickBot="1" x14ac:dyDescent="0.35">
      <c r="A44" s="385"/>
      <c r="B44" s="386"/>
      <c r="C44" s="387" t="s">
        <v>19</v>
      </c>
      <c r="D44" s="388" t="s">
        <v>33</v>
      </c>
      <c r="E44" s="389" t="s">
        <v>35</v>
      </c>
      <c r="F44" s="390" t="s">
        <v>30</v>
      </c>
      <c r="G44" s="512" t="s">
        <v>14</v>
      </c>
      <c r="H44" s="389" t="s">
        <v>35</v>
      </c>
      <c r="I44" s="390" t="s">
        <v>30</v>
      </c>
      <c r="J44" s="355" t="s">
        <v>649</v>
      </c>
      <c r="K44" s="513" t="s">
        <v>38</v>
      </c>
      <c r="L44" s="393"/>
      <c r="M44" s="399"/>
      <c r="N44" s="400"/>
      <c r="O44" s="372"/>
      <c r="P44" s="402"/>
      <c r="Q44" s="374"/>
    </row>
    <row r="45" spans="1:17" s="159" customFormat="1" hidden="1" x14ac:dyDescent="0.25">
      <c r="A45" s="396"/>
      <c r="B45" s="397"/>
      <c r="C45" s="362"/>
      <c r="D45" s="363" t="s">
        <v>21</v>
      </c>
      <c r="E45" s="247">
        <v>0</v>
      </c>
      <c r="F45" s="364">
        <f>C45*E45</f>
        <v>0</v>
      </c>
      <c r="G45" s="509"/>
      <c r="H45" s="366">
        <v>0</v>
      </c>
      <c r="I45" s="364">
        <f>G45*H45</f>
        <v>0</v>
      </c>
      <c r="J45" s="367"/>
      <c r="K45" s="510">
        <f>F45+I45+J45</f>
        <v>0</v>
      </c>
      <c r="L45" s="369"/>
      <c r="M45" s="249"/>
      <c r="N45" s="409"/>
      <c r="O45" s="372"/>
      <c r="P45" s="373"/>
      <c r="Q45" s="374"/>
    </row>
    <row r="46" spans="1:17" s="159" customFormat="1" hidden="1" x14ac:dyDescent="0.25">
      <c r="A46" s="361"/>
      <c r="B46" s="5"/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409"/>
      <c r="O46" s="372"/>
      <c r="P46" s="373"/>
      <c r="Q46" s="374"/>
    </row>
    <row r="47" spans="1:17" s="159" customFormat="1" hidden="1" x14ac:dyDescent="0.25">
      <c r="A47" s="361"/>
      <c r="B47" s="5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617"/>
      <c r="M47" s="618"/>
      <c r="N47" s="619"/>
      <c r="O47" s="372"/>
      <c r="P47" s="373"/>
      <c r="Q47" s="374"/>
    </row>
    <row r="48" spans="1:17" s="159" customFormat="1" hidden="1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620"/>
      <c r="M48" s="249"/>
      <c r="N48" s="409"/>
      <c r="O48" s="372"/>
      <c r="P48" s="373"/>
      <c r="Q48" s="374"/>
    </row>
    <row r="49" spans="1:17" s="159" customFormat="1" hidden="1" x14ac:dyDescent="0.25">
      <c r="A49" s="361"/>
      <c r="B49" s="5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369"/>
      <c r="M49" s="249"/>
      <c r="N49" s="409"/>
      <c r="O49" s="372"/>
      <c r="P49" s="373"/>
      <c r="Q49" s="374"/>
    </row>
    <row r="50" spans="1:17" s="159" customFormat="1" ht="13.8" hidden="1" thickBot="1" x14ac:dyDescent="0.3">
      <c r="A50" s="378"/>
      <c r="B50" s="403"/>
      <c r="C50" s="379"/>
      <c r="D50" s="363"/>
      <c r="E50" s="247"/>
      <c r="F50" s="364"/>
      <c r="G50" s="509"/>
      <c r="H50" s="366"/>
      <c r="I50" s="364"/>
      <c r="J50" s="367"/>
      <c r="K50" s="514"/>
      <c r="L50" s="369"/>
      <c r="M50" s="249"/>
      <c r="N50" s="371"/>
      <c r="O50" s="372"/>
      <c r="P50" s="373"/>
      <c r="Q50" s="374"/>
    </row>
    <row r="51" spans="1:17" s="159" customFormat="1" ht="13.8" hidden="1" thickTop="1" x14ac:dyDescent="0.25">
      <c r="A51" s="378"/>
      <c r="B51" s="403"/>
      <c r="C51" s="379"/>
      <c r="D51" s="363"/>
      <c r="E51" s="247"/>
      <c r="F51" s="364"/>
      <c r="G51" s="509"/>
      <c r="H51" s="366"/>
      <c r="I51" s="364"/>
      <c r="J51" s="380" t="s">
        <v>30</v>
      </c>
      <c r="K51" s="511">
        <f>SUM(K45:K50)</f>
        <v>0</v>
      </c>
      <c r="L51" s="157"/>
      <c r="M51" s="449"/>
      <c r="N51" s="157"/>
      <c r="O51" s="417"/>
      <c r="P51" s="418"/>
      <c r="Q51" s="374"/>
    </row>
    <row r="52" spans="1:17" s="159" customFormat="1" ht="13.8" hidden="1" thickBot="1" x14ac:dyDescent="0.3">
      <c r="A52" s="344" t="s">
        <v>0</v>
      </c>
      <c r="B52" s="345" t="s">
        <v>1</v>
      </c>
      <c r="C52" s="1028" t="s">
        <v>646</v>
      </c>
      <c r="D52" s="1028"/>
      <c r="E52" s="1028"/>
      <c r="F52" s="1028"/>
      <c r="G52" s="1028" t="s">
        <v>34</v>
      </c>
      <c r="H52" s="1028"/>
      <c r="I52" s="1028"/>
      <c r="J52" s="346"/>
      <c r="K52" s="503"/>
      <c r="L52" s="382"/>
      <c r="M52" s="346"/>
      <c r="N52" s="384"/>
      <c r="O52" s="417"/>
      <c r="P52" s="418"/>
      <c r="Q52" s="374"/>
    </row>
    <row r="53" spans="1:17" s="159" customFormat="1" ht="16.2" hidden="1" thickBot="1" x14ac:dyDescent="0.35">
      <c r="A53" s="385"/>
      <c r="B53" s="386"/>
      <c r="C53" s="387" t="s">
        <v>19</v>
      </c>
      <c r="D53" s="388" t="s">
        <v>33</v>
      </c>
      <c r="E53" s="389" t="s">
        <v>35</v>
      </c>
      <c r="F53" s="390" t="s">
        <v>30</v>
      </c>
      <c r="G53" s="512" t="s">
        <v>14</v>
      </c>
      <c r="H53" s="389" t="s">
        <v>35</v>
      </c>
      <c r="I53" s="390" t="s">
        <v>30</v>
      </c>
      <c r="J53" s="355" t="s">
        <v>649</v>
      </c>
      <c r="K53" s="513" t="s">
        <v>38</v>
      </c>
      <c r="L53" s="393"/>
      <c r="M53" s="399"/>
      <c r="N53" s="395"/>
      <c r="O53" s="401"/>
      <c r="P53" s="402"/>
      <c r="Q53" s="374"/>
    </row>
    <row r="54" spans="1:17" s="159" customFormat="1" hidden="1" x14ac:dyDescent="0.25">
      <c r="A54" s="396"/>
      <c r="B54" s="397"/>
      <c r="C54" s="362"/>
      <c r="D54" s="363" t="s">
        <v>21</v>
      </c>
      <c r="E54" s="247">
        <v>0</v>
      </c>
      <c r="F54" s="364">
        <f t="shared" ref="F54:F60" si="6">C54*E54</f>
        <v>0</v>
      </c>
      <c r="G54" s="509"/>
      <c r="H54" s="366">
        <v>0</v>
      </c>
      <c r="I54" s="364">
        <f t="shared" ref="I54:I60" si="7">G54*H54</f>
        <v>0</v>
      </c>
      <c r="J54" s="367"/>
      <c r="K54" s="510">
        <f t="shared" ref="K54:K60" si="8">F54+I54+J54</f>
        <v>0</v>
      </c>
      <c r="M54" s="268"/>
      <c r="N54" s="157"/>
      <c r="O54" s="372"/>
      <c r="P54" s="373"/>
      <c r="Q54" s="374"/>
    </row>
    <row r="55" spans="1:17" s="159" customFormat="1" hidden="1" x14ac:dyDescent="0.25">
      <c r="A55" s="361"/>
      <c r="B55" s="5"/>
      <c r="C55" s="362"/>
      <c r="D55" s="363" t="s">
        <v>21</v>
      </c>
      <c r="E55" s="247">
        <v>0</v>
      </c>
      <c r="F55" s="364">
        <f t="shared" si="6"/>
        <v>0</v>
      </c>
      <c r="G55" s="509"/>
      <c r="H55" s="366">
        <v>0</v>
      </c>
      <c r="I55" s="364">
        <f t="shared" si="7"/>
        <v>0</v>
      </c>
      <c r="J55" s="367"/>
      <c r="K55" s="510">
        <f t="shared" si="8"/>
        <v>0</v>
      </c>
      <c r="L55" s="369"/>
      <c r="M55" s="249"/>
      <c r="N55" s="371"/>
      <c r="O55" s="372"/>
      <c r="P55" s="373"/>
      <c r="Q55" s="374"/>
    </row>
    <row r="56" spans="1:17" s="159" customFormat="1" hidden="1" x14ac:dyDescent="0.25">
      <c r="A56" s="361"/>
      <c r="B56" s="5"/>
      <c r="C56" s="362"/>
      <c r="D56" s="363" t="s">
        <v>21</v>
      </c>
      <c r="E56" s="247">
        <v>0</v>
      </c>
      <c r="F56" s="364">
        <f t="shared" si="6"/>
        <v>0</v>
      </c>
      <c r="G56" s="509"/>
      <c r="H56" s="366">
        <v>0</v>
      </c>
      <c r="I56" s="364">
        <f t="shared" si="7"/>
        <v>0</v>
      </c>
      <c r="J56" s="367"/>
      <c r="K56" s="510">
        <f t="shared" si="8"/>
        <v>0</v>
      </c>
      <c r="L56" s="369"/>
      <c r="M56" s="249"/>
      <c r="N56" s="371"/>
      <c r="O56" s="372"/>
      <c r="P56" s="373"/>
      <c r="Q56" s="374"/>
    </row>
    <row r="57" spans="1:17" s="159" customFormat="1" hidden="1" x14ac:dyDescent="0.25">
      <c r="A57" s="361"/>
      <c r="B57" s="5"/>
      <c r="C57" s="362"/>
      <c r="D57" s="363" t="s">
        <v>21</v>
      </c>
      <c r="E57" s="247">
        <v>0</v>
      </c>
      <c r="F57" s="364">
        <f t="shared" si="6"/>
        <v>0</v>
      </c>
      <c r="G57" s="509"/>
      <c r="H57" s="366">
        <v>0</v>
      </c>
      <c r="I57" s="364">
        <f t="shared" si="7"/>
        <v>0</v>
      </c>
      <c r="J57" s="367"/>
      <c r="K57" s="510">
        <f t="shared" si="8"/>
        <v>0</v>
      </c>
      <c r="L57" s="369"/>
      <c r="M57" s="249"/>
      <c r="N57" s="371"/>
      <c r="O57" s="372"/>
      <c r="P57" s="373"/>
      <c r="Q57" s="374"/>
    </row>
    <row r="58" spans="1:17" s="159" customFormat="1" hidden="1" x14ac:dyDescent="0.25">
      <c r="A58" s="361"/>
      <c r="B58" s="5"/>
      <c r="C58" s="362"/>
      <c r="D58" s="363" t="s">
        <v>21</v>
      </c>
      <c r="E58" s="247">
        <v>0</v>
      </c>
      <c r="F58" s="364">
        <f t="shared" si="6"/>
        <v>0</v>
      </c>
      <c r="G58" s="509"/>
      <c r="H58" s="366">
        <v>0</v>
      </c>
      <c r="I58" s="364">
        <f t="shared" si="7"/>
        <v>0</v>
      </c>
      <c r="J58" s="367"/>
      <c r="K58" s="510">
        <f t="shared" si="8"/>
        <v>0</v>
      </c>
      <c r="L58" s="617"/>
      <c r="M58" s="249"/>
      <c r="N58" s="619"/>
      <c r="O58" s="372"/>
      <c r="P58" s="373"/>
      <c r="Q58" s="374"/>
    </row>
    <row r="59" spans="1:17" s="159" customFormat="1" hidden="1" x14ac:dyDescent="0.25">
      <c r="A59" s="361"/>
      <c r="B59" s="5"/>
      <c r="C59" s="362"/>
      <c r="D59" s="363" t="s">
        <v>21</v>
      </c>
      <c r="E59" s="247">
        <v>0</v>
      </c>
      <c r="F59" s="364">
        <f t="shared" si="6"/>
        <v>0</v>
      </c>
      <c r="G59" s="509"/>
      <c r="H59" s="366">
        <v>0</v>
      </c>
      <c r="I59" s="364">
        <f t="shared" si="7"/>
        <v>0</v>
      </c>
      <c r="J59" s="367"/>
      <c r="K59" s="510">
        <f t="shared" si="8"/>
        <v>0</v>
      </c>
      <c r="L59" s="620"/>
      <c r="M59" s="249"/>
      <c r="N59" s="621"/>
      <c r="O59" s="372"/>
      <c r="P59" s="373"/>
      <c r="Q59" s="374"/>
    </row>
    <row r="60" spans="1:17" s="159" customFormat="1" hidden="1" x14ac:dyDescent="0.25">
      <c r="A60" s="361"/>
      <c r="B60" s="5"/>
      <c r="C60" s="362"/>
      <c r="D60" s="363" t="s">
        <v>21</v>
      </c>
      <c r="E60" s="247">
        <v>0</v>
      </c>
      <c r="F60" s="364">
        <f t="shared" si="6"/>
        <v>0</v>
      </c>
      <c r="G60" s="509"/>
      <c r="H60" s="366">
        <v>0</v>
      </c>
      <c r="I60" s="364">
        <f t="shared" si="7"/>
        <v>0</v>
      </c>
      <c r="J60" s="367"/>
      <c r="K60" s="510">
        <f t="shared" si="8"/>
        <v>0</v>
      </c>
      <c r="L60" s="369"/>
      <c r="M60" s="249"/>
      <c r="N60" s="409"/>
      <c r="O60" s="372"/>
      <c r="P60" s="373"/>
      <c r="Q60" s="374"/>
    </row>
    <row r="61" spans="1:17" s="159" customFormat="1" ht="13.8" hidden="1" thickBot="1" x14ac:dyDescent="0.3">
      <c r="A61" s="378"/>
      <c r="B61" s="5"/>
      <c r="C61" s="379"/>
      <c r="D61" s="363"/>
      <c r="E61" s="247"/>
      <c r="F61" s="364"/>
      <c r="G61" s="509"/>
      <c r="H61" s="366"/>
      <c r="I61" s="364"/>
      <c r="J61" s="367"/>
      <c r="K61" s="514"/>
      <c r="M61" s="268"/>
      <c r="N61" s="157"/>
      <c r="O61" s="372"/>
      <c r="P61" s="373"/>
      <c r="Q61" s="374"/>
    </row>
    <row r="62" spans="1:17" s="159" customFormat="1" ht="13.8" hidden="1" thickTop="1" x14ac:dyDescent="0.25">
      <c r="A62" s="378"/>
      <c r="B62" s="403"/>
      <c r="C62" s="379"/>
      <c r="D62" s="363"/>
      <c r="E62" s="247"/>
      <c r="F62" s="364"/>
      <c r="G62" s="509"/>
      <c r="H62" s="366"/>
      <c r="I62" s="364"/>
      <c r="J62" s="380" t="s">
        <v>30</v>
      </c>
      <c r="K62" s="511">
        <f>SUM(K54:K61)</f>
        <v>0</v>
      </c>
      <c r="M62" s="268"/>
      <c r="N62" s="157"/>
      <c r="O62" s="372"/>
      <c r="P62" s="373"/>
      <c r="Q62" s="374"/>
    </row>
    <row r="63" spans="1:17" s="159" customFormat="1" ht="13.8" hidden="1" thickBot="1" x14ac:dyDescent="0.3">
      <c r="A63" s="344" t="s">
        <v>0</v>
      </c>
      <c r="B63" s="345" t="s">
        <v>1</v>
      </c>
      <c r="C63" s="1028" t="s">
        <v>646</v>
      </c>
      <c r="D63" s="1028"/>
      <c r="E63" s="1028"/>
      <c r="F63" s="1028"/>
      <c r="G63" s="1028" t="s">
        <v>34</v>
      </c>
      <c r="H63" s="1028"/>
      <c r="I63" s="1028"/>
      <c r="J63" s="346"/>
      <c r="K63" s="503"/>
      <c r="L63" s="382"/>
      <c r="M63" s="346"/>
      <c r="N63" s="419"/>
      <c r="O63" s="372"/>
      <c r="P63" s="373"/>
      <c r="Q63" s="374"/>
    </row>
    <row r="64" spans="1:17" s="159" customFormat="1" ht="16.2" hidden="1" thickBot="1" x14ac:dyDescent="0.35">
      <c r="A64" s="385"/>
      <c r="B64" s="386"/>
      <c r="C64" s="387" t="s">
        <v>19</v>
      </c>
      <c r="D64" s="388" t="s">
        <v>33</v>
      </c>
      <c r="E64" s="389" t="s">
        <v>35</v>
      </c>
      <c r="F64" s="390" t="s">
        <v>30</v>
      </c>
      <c r="G64" s="512" t="s">
        <v>14</v>
      </c>
      <c r="H64" s="389" t="s">
        <v>35</v>
      </c>
      <c r="I64" s="390" t="s">
        <v>30</v>
      </c>
      <c r="J64" s="355" t="s">
        <v>649</v>
      </c>
      <c r="K64" s="513" t="s">
        <v>38</v>
      </c>
      <c r="L64" s="393"/>
      <c r="M64" s="399"/>
      <c r="N64" s="400"/>
      <c r="O64" s="372"/>
      <c r="P64" s="373"/>
      <c r="Q64" s="374"/>
    </row>
    <row r="65" spans="1:17" s="159" customFormat="1" hidden="1" x14ac:dyDescent="0.25">
      <c r="A65" s="396"/>
      <c r="B65" s="397"/>
      <c r="C65" s="362"/>
      <c r="D65" s="363" t="s">
        <v>21</v>
      </c>
      <c r="E65" s="247">
        <v>0</v>
      </c>
      <c r="F65" s="364">
        <f>C65*E65</f>
        <v>0</v>
      </c>
      <c r="G65" s="509"/>
      <c r="H65" s="366">
        <v>0</v>
      </c>
      <c r="I65" s="364">
        <f>G65*H65</f>
        <v>0</v>
      </c>
      <c r="J65" s="367"/>
      <c r="K65" s="510">
        <f>F65+I65+J65</f>
        <v>0</v>
      </c>
      <c r="L65" s="369"/>
      <c r="M65" s="370"/>
      <c r="N65" s="371"/>
      <c r="O65" s="372"/>
      <c r="P65" s="373"/>
      <c r="Q65" s="374"/>
    </row>
    <row r="66" spans="1:17" s="159" customFormat="1" hidden="1" x14ac:dyDescent="0.25">
      <c r="A66" s="361"/>
      <c r="B66" s="5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367"/>
      <c r="K66" s="510">
        <f>F66+I66+J66</f>
        <v>0</v>
      </c>
      <c r="L66" s="369"/>
      <c r="M66" s="370"/>
      <c r="N66" s="371"/>
      <c r="O66" s="372"/>
      <c r="P66" s="373"/>
      <c r="Q66" s="374"/>
    </row>
    <row r="67" spans="1:17" s="159" customFormat="1" hidden="1" x14ac:dyDescent="0.25">
      <c r="A67" s="361"/>
      <c r="B67" s="5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367"/>
      <c r="K67" s="510">
        <f>F67+I67+J67</f>
        <v>0</v>
      </c>
      <c r="L67" s="369"/>
      <c r="M67" s="370"/>
      <c r="N67" s="371"/>
      <c r="O67" s="372"/>
      <c r="P67" s="373"/>
      <c r="Q67" s="374"/>
    </row>
    <row r="68" spans="1:17" s="159" customFormat="1" hidden="1" x14ac:dyDescent="0.25">
      <c r="A68" s="361"/>
      <c r="B68" s="5"/>
      <c r="C68" s="362"/>
      <c r="D68" s="363" t="s">
        <v>21</v>
      </c>
      <c r="E68" s="247">
        <v>0</v>
      </c>
      <c r="F68" s="364">
        <f>C68*E68</f>
        <v>0</v>
      </c>
      <c r="G68" s="509"/>
      <c r="H68" s="366">
        <v>0</v>
      </c>
      <c r="I68" s="364">
        <f>G68*H68</f>
        <v>0</v>
      </c>
      <c r="J68" s="367"/>
      <c r="K68" s="510">
        <f>F68+I68+J68</f>
        <v>0</v>
      </c>
      <c r="M68" s="268"/>
      <c r="N68" s="157"/>
      <c r="O68" s="372"/>
      <c r="P68" s="373"/>
      <c r="Q68" s="374"/>
    </row>
    <row r="69" spans="1:17" s="159" customFormat="1" hidden="1" x14ac:dyDescent="0.25">
      <c r="A69" s="361"/>
      <c r="B69" s="5"/>
      <c r="C69" s="362"/>
      <c r="D69" s="363" t="s">
        <v>21</v>
      </c>
      <c r="E69" s="247">
        <v>0</v>
      </c>
      <c r="F69" s="364">
        <f>C69*E69</f>
        <v>0</v>
      </c>
      <c r="G69" s="509"/>
      <c r="H69" s="366">
        <v>0</v>
      </c>
      <c r="I69" s="364">
        <f>G69*H69</f>
        <v>0</v>
      </c>
      <c r="J69" s="367"/>
      <c r="K69" s="510">
        <f>F69+I69+J69</f>
        <v>0</v>
      </c>
      <c r="M69" s="268"/>
      <c r="N69" s="157"/>
      <c r="O69" s="372"/>
      <c r="P69" s="373"/>
      <c r="Q69" s="374"/>
    </row>
    <row r="70" spans="1:17" s="159" customFormat="1" ht="13.8" hidden="1" thickBot="1" x14ac:dyDescent="0.3">
      <c r="A70" s="378"/>
      <c r="B70" s="5"/>
      <c r="C70" s="379"/>
      <c r="D70" s="363"/>
      <c r="E70" s="247"/>
      <c r="F70" s="364"/>
      <c r="G70" s="509"/>
      <c r="H70" s="366"/>
      <c r="I70" s="364"/>
      <c r="J70" s="367"/>
      <c r="K70" s="514"/>
      <c r="M70" s="268"/>
      <c r="N70" s="157"/>
      <c r="O70" s="372"/>
      <c r="P70" s="373"/>
      <c r="Q70" s="374"/>
    </row>
    <row r="71" spans="1:17" s="159" customFormat="1" ht="13.8" hidden="1" thickTop="1" x14ac:dyDescent="0.25">
      <c r="A71" s="378"/>
      <c r="B71" s="403"/>
      <c r="C71" s="379"/>
      <c r="D71" s="363"/>
      <c r="E71" s="247"/>
      <c r="F71" s="364"/>
      <c r="G71" s="509"/>
      <c r="H71" s="366"/>
      <c r="I71" s="364"/>
      <c r="J71" s="380" t="s">
        <v>30</v>
      </c>
      <c r="K71" s="511">
        <f>SUM(K65:K70)</f>
        <v>0</v>
      </c>
      <c r="M71" s="268"/>
      <c r="N71" s="157"/>
      <c r="O71" s="372"/>
      <c r="P71" s="373"/>
      <c r="Q71" s="374"/>
    </row>
    <row r="72" spans="1:17" s="159" customFormat="1" ht="13.8" hidden="1" thickBot="1" x14ac:dyDescent="0.3">
      <c r="A72" s="344" t="s">
        <v>0</v>
      </c>
      <c r="B72" s="345" t="s">
        <v>1</v>
      </c>
      <c r="C72" s="1028" t="s">
        <v>646</v>
      </c>
      <c r="D72" s="1028"/>
      <c r="E72" s="1028"/>
      <c r="F72" s="1028"/>
      <c r="G72" s="1028" t="s">
        <v>34</v>
      </c>
      <c r="H72" s="1028"/>
      <c r="I72" s="1028"/>
      <c r="J72" s="346"/>
      <c r="K72" s="503"/>
      <c r="L72" s="382"/>
      <c r="M72" s="383"/>
      <c r="N72" s="384"/>
      <c r="O72" s="372"/>
      <c r="P72" s="373"/>
      <c r="Q72" s="374"/>
    </row>
    <row r="73" spans="1:17" s="159" customFormat="1" ht="16.2" hidden="1" thickBot="1" x14ac:dyDescent="0.35">
      <c r="A73" s="385"/>
      <c r="B73" s="386"/>
      <c r="C73" s="387" t="s">
        <v>19</v>
      </c>
      <c r="D73" s="388" t="s">
        <v>33</v>
      </c>
      <c r="E73" s="389" t="s">
        <v>35</v>
      </c>
      <c r="F73" s="390" t="s">
        <v>30</v>
      </c>
      <c r="G73" s="512" t="s">
        <v>14</v>
      </c>
      <c r="H73" s="389" t="s">
        <v>35</v>
      </c>
      <c r="I73" s="390" t="s">
        <v>30</v>
      </c>
      <c r="J73" s="355" t="s">
        <v>649</v>
      </c>
      <c r="K73" s="513" t="s">
        <v>38</v>
      </c>
      <c r="L73" s="393"/>
      <c r="M73" s="394"/>
      <c r="N73" s="395"/>
      <c r="O73" s="372"/>
      <c r="P73" s="373"/>
      <c r="Q73" s="374"/>
    </row>
    <row r="74" spans="1:17" s="159" customFormat="1" hidden="1" x14ac:dyDescent="0.25">
      <c r="A74" s="396"/>
      <c r="B74" s="397"/>
      <c r="C74" s="362"/>
      <c r="D74" s="363" t="s">
        <v>21</v>
      </c>
      <c r="E74" s="247">
        <v>0</v>
      </c>
      <c r="F74" s="364">
        <f>C74*E74</f>
        <v>0</v>
      </c>
      <c r="G74" s="509"/>
      <c r="H74" s="366">
        <v>0</v>
      </c>
      <c r="I74" s="364">
        <f>G74*H74</f>
        <v>0</v>
      </c>
      <c r="J74" s="367"/>
      <c r="K74" s="510">
        <f>F74+I74+J74</f>
        <v>0</v>
      </c>
      <c r="L74" s="369"/>
      <c r="M74" s="370"/>
      <c r="N74" s="371"/>
      <c r="O74" s="372"/>
      <c r="P74" s="373"/>
      <c r="Q74" s="374"/>
    </row>
    <row r="75" spans="1:17" s="159" customFormat="1" hidden="1" x14ac:dyDescent="0.25">
      <c r="A75" s="361"/>
      <c r="B75" s="5"/>
      <c r="C75" s="362"/>
      <c r="D75" s="363" t="s">
        <v>21</v>
      </c>
      <c r="E75" s="247">
        <v>0</v>
      </c>
      <c r="F75" s="364">
        <f>C75*E75</f>
        <v>0</v>
      </c>
      <c r="G75" s="509"/>
      <c r="H75" s="366">
        <v>0</v>
      </c>
      <c r="I75" s="364">
        <f>G75*H75</f>
        <v>0</v>
      </c>
      <c r="J75" s="367"/>
      <c r="K75" s="510">
        <f>F75+I75+J75</f>
        <v>0</v>
      </c>
      <c r="L75" s="617"/>
      <c r="M75" s="618"/>
      <c r="N75" s="619"/>
      <c r="O75" s="372"/>
      <c r="P75" s="373"/>
      <c r="Q75" s="374"/>
    </row>
    <row r="76" spans="1:17" s="159" customFormat="1" hidden="1" x14ac:dyDescent="0.25">
      <c r="A76" s="361"/>
      <c r="B76" s="5"/>
      <c r="C76" s="362"/>
      <c r="D76" s="363" t="s">
        <v>21</v>
      </c>
      <c r="E76" s="247">
        <v>0</v>
      </c>
      <c r="F76" s="364">
        <f>C76*E76</f>
        <v>0</v>
      </c>
      <c r="G76" s="509"/>
      <c r="H76" s="366">
        <v>0</v>
      </c>
      <c r="I76" s="364">
        <f>G76*H76</f>
        <v>0</v>
      </c>
      <c r="J76" s="367"/>
      <c r="K76" s="510">
        <f>F76+I76+J76</f>
        <v>0</v>
      </c>
      <c r="L76" s="620"/>
      <c r="M76" s="622"/>
      <c r="N76" s="621"/>
      <c r="O76" s="372"/>
      <c r="P76" s="373"/>
      <c r="Q76" s="374"/>
    </row>
    <row r="77" spans="1:17" s="159" customFormat="1" ht="13.8" hidden="1" thickBot="1" x14ac:dyDescent="0.3">
      <c r="A77" s="378"/>
      <c r="B77" s="5"/>
      <c r="C77" s="379"/>
      <c r="D77" s="363"/>
      <c r="E77" s="247"/>
      <c r="F77" s="364"/>
      <c r="G77" s="509"/>
      <c r="H77" s="366"/>
      <c r="I77" s="364"/>
      <c r="J77" s="367"/>
      <c r="K77" s="514"/>
      <c r="L77" s="369"/>
      <c r="M77" s="370"/>
      <c r="N77" s="371"/>
      <c r="O77" s="372"/>
      <c r="P77" s="373"/>
      <c r="Q77" s="374"/>
    </row>
    <row r="78" spans="1:17" s="159" customFormat="1" ht="13.8" hidden="1" thickTop="1" x14ac:dyDescent="0.25">
      <c r="A78" s="378"/>
      <c r="B78" s="157"/>
      <c r="C78" s="379"/>
      <c r="D78" s="363"/>
      <c r="E78" s="247"/>
      <c r="F78" s="364"/>
      <c r="G78" s="509"/>
      <c r="H78" s="366"/>
      <c r="I78" s="364"/>
      <c r="J78" s="380" t="s">
        <v>30</v>
      </c>
      <c r="K78" s="511">
        <f>SUM(K74:K77)</f>
        <v>0</v>
      </c>
      <c r="L78" s="369"/>
      <c r="M78" s="370"/>
      <c r="N78" s="371"/>
      <c r="O78" s="372"/>
      <c r="P78" s="373"/>
      <c r="Q78" s="374"/>
    </row>
    <row r="79" spans="1:17" s="159" customFormat="1" ht="13.8" hidden="1" thickBot="1" x14ac:dyDescent="0.3">
      <c r="A79" s="344" t="s">
        <v>0</v>
      </c>
      <c r="B79" s="345" t="s">
        <v>1</v>
      </c>
      <c r="C79" s="1028" t="s">
        <v>646</v>
      </c>
      <c r="D79" s="1028"/>
      <c r="E79" s="1028"/>
      <c r="F79" s="1028"/>
      <c r="G79" s="1028" t="s">
        <v>34</v>
      </c>
      <c r="H79" s="1028"/>
      <c r="I79" s="1028"/>
      <c r="J79" s="346"/>
      <c r="K79" s="503"/>
      <c r="L79" s="382"/>
      <c r="M79" s="383"/>
      <c r="N79" s="384"/>
      <c r="O79" s="372"/>
      <c r="P79" s="373"/>
      <c r="Q79" s="374"/>
    </row>
    <row r="80" spans="1:17" s="159" customFormat="1" ht="16.2" hidden="1" thickBot="1" x14ac:dyDescent="0.35">
      <c r="A80" s="385"/>
      <c r="B80" s="386"/>
      <c r="C80" s="387" t="s">
        <v>19</v>
      </c>
      <c r="D80" s="388" t="s">
        <v>33</v>
      </c>
      <c r="E80" s="389" t="s">
        <v>35</v>
      </c>
      <c r="F80" s="390" t="s">
        <v>30</v>
      </c>
      <c r="G80" s="512" t="s">
        <v>14</v>
      </c>
      <c r="H80" s="389" t="s">
        <v>35</v>
      </c>
      <c r="I80" s="390" t="s">
        <v>30</v>
      </c>
      <c r="J80" s="355" t="s">
        <v>649</v>
      </c>
      <c r="K80" s="513" t="s">
        <v>38</v>
      </c>
      <c r="L80" s="393"/>
      <c r="M80" s="394"/>
      <c r="N80" s="395"/>
      <c r="O80" s="372"/>
      <c r="P80" s="373"/>
      <c r="Q80" s="374"/>
    </row>
    <row r="81" spans="1:17" s="159" customFormat="1" hidden="1" x14ac:dyDescent="0.25">
      <c r="A81" s="396"/>
      <c r="B81" s="397"/>
      <c r="C81" s="362"/>
      <c r="D81" s="363" t="s">
        <v>21</v>
      </c>
      <c r="E81" s="247">
        <v>0</v>
      </c>
      <c r="F81" s="364">
        <f>C81*E81</f>
        <v>0</v>
      </c>
      <c r="G81" s="509"/>
      <c r="H81" s="366">
        <v>0</v>
      </c>
      <c r="I81" s="364">
        <f>G81*H81</f>
        <v>0</v>
      </c>
      <c r="J81" s="367"/>
      <c r="K81" s="510">
        <f>F81+I81+J81</f>
        <v>0</v>
      </c>
      <c r="M81" s="268"/>
      <c r="N81" s="157"/>
      <c r="O81" s="372"/>
      <c r="P81" s="373"/>
      <c r="Q81" s="374"/>
    </row>
    <row r="82" spans="1:17" s="159" customFormat="1" hidden="1" x14ac:dyDescent="0.25">
      <c r="A82" s="361"/>
      <c r="B82" s="5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M82" s="268"/>
      <c r="N82" s="157"/>
      <c r="O82" s="372"/>
      <c r="P82" s="373"/>
      <c r="Q82" s="374"/>
    </row>
    <row r="83" spans="1:17" s="159" customFormat="1" hidden="1" x14ac:dyDescent="0.25">
      <c r="A83" s="361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367"/>
      <c r="K83" s="510">
        <f>F83+I83+J83</f>
        <v>0</v>
      </c>
      <c r="M83" s="268"/>
      <c r="N83" s="157"/>
      <c r="O83" s="372"/>
      <c r="P83" s="373"/>
      <c r="Q83" s="374"/>
    </row>
    <row r="84" spans="1:17" s="159" customFormat="1" hidden="1" x14ac:dyDescent="0.25">
      <c r="A84" s="361"/>
      <c r="B84" s="5"/>
      <c r="C84" s="362"/>
      <c r="D84" s="363" t="s">
        <v>21</v>
      </c>
      <c r="E84" s="247">
        <v>0</v>
      </c>
      <c r="F84" s="364">
        <f>C84*E84</f>
        <v>0</v>
      </c>
      <c r="G84" s="509"/>
      <c r="H84" s="366">
        <v>0</v>
      </c>
      <c r="I84" s="364">
        <f>G84*H84</f>
        <v>0</v>
      </c>
      <c r="J84" s="367"/>
      <c r="K84" s="510">
        <f>F84+I84+J84</f>
        <v>0</v>
      </c>
      <c r="L84" s="369"/>
      <c r="M84" s="370"/>
      <c r="N84" s="371"/>
      <c r="O84" s="372"/>
      <c r="P84" s="373"/>
      <c r="Q84" s="374"/>
    </row>
    <row r="85" spans="1:17" s="159" customFormat="1" hidden="1" x14ac:dyDescent="0.25">
      <c r="A85" s="361"/>
      <c r="B85" s="5"/>
      <c r="C85" s="362"/>
      <c r="D85" s="363" t="s">
        <v>21</v>
      </c>
      <c r="E85" s="247">
        <v>0</v>
      </c>
      <c r="F85" s="364">
        <f>C85*E85</f>
        <v>0</v>
      </c>
      <c r="G85" s="509"/>
      <c r="H85" s="366">
        <v>0</v>
      </c>
      <c r="I85" s="364">
        <f>G85*H85</f>
        <v>0</v>
      </c>
      <c r="J85" s="367"/>
      <c r="K85" s="510">
        <f>F85+I85+J85</f>
        <v>0</v>
      </c>
      <c r="L85" s="369"/>
      <c r="M85" s="370"/>
      <c r="N85" s="371"/>
      <c r="O85" s="372"/>
      <c r="P85" s="373"/>
      <c r="Q85" s="374"/>
    </row>
    <row r="86" spans="1:17" s="159" customFormat="1" ht="13.8" hidden="1" thickBot="1" x14ac:dyDescent="0.3">
      <c r="A86" s="378"/>
      <c r="B86" s="5"/>
      <c r="C86" s="379"/>
      <c r="D86" s="363"/>
      <c r="E86" s="247"/>
      <c r="F86" s="364"/>
      <c r="G86" s="509"/>
      <c r="H86" s="366"/>
      <c r="I86" s="364"/>
      <c r="J86" s="367"/>
      <c r="K86" s="514"/>
      <c r="L86" s="369"/>
      <c r="M86" s="370"/>
      <c r="N86" s="371"/>
      <c r="O86" s="372"/>
      <c r="P86" s="373"/>
      <c r="Q86" s="374"/>
    </row>
    <row r="87" spans="1:17" s="159" customFormat="1" ht="13.8" hidden="1" thickTop="1" x14ac:dyDescent="0.25">
      <c r="A87" s="378"/>
      <c r="B87" s="403"/>
      <c r="C87" s="379"/>
      <c r="D87" s="363"/>
      <c r="E87" s="247"/>
      <c r="F87" s="364"/>
      <c r="G87" s="509"/>
      <c r="H87" s="366"/>
      <c r="I87" s="364"/>
      <c r="J87" s="380" t="s">
        <v>30</v>
      </c>
      <c r="K87" s="511">
        <f>SUM(K81:K86)</f>
        <v>0</v>
      </c>
      <c r="M87" s="268"/>
      <c r="N87" s="157"/>
      <c r="O87" s="372"/>
      <c r="P87" s="373"/>
      <c r="Q87" s="374"/>
    </row>
    <row r="88" spans="1:17" s="159" customFormat="1" ht="13.8" hidden="1" thickBot="1" x14ac:dyDescent="0.3">
      <c r="A88" s="344" t="s">
        <v>0</v>
      </c>
      <c r="B88" s="345" t="s">
        <v>1</v>
      </c>
      <c r="C88" s="1028" t="s">
        <v>646</v>
      </c>
      <c r="D88" s="1028"/>
      <c r="E88" s="1028"/>
      <c r="F88" s="1028"/>
      <c r="G88" s="1028" t="s">
        <v>34</v>
      </c>
      <c r="H88" s="1028"/>
      <c r="I88" s="1028"/>
      <c r="J88" s="346"/>
      <c r="K88" s="503"/>
      <c r="L88" s="382"/>
      <c r="M88" s="383"/>
      <c r="N88" s="384"/>
      <c r="O88" s="372"/>
      <c r="P88" s="373"/>
      <c r="Q88" s="374"/>
    </row>
    <row r="89" spans="1:17" s="159" customFormat="1" ht="16.2" hidden="1" thickBot="1" x14ac:dyDescent="0.35">
      <c r="A89" s="385"/>
      <c r="B89" s="386"/>
      <c r="C89" s="387" t="s">
        <v>19</v>
      </c>
      <c r="D89" s="388" t="s">
        <v>33</v>
      </c>
      <c r="E89" s="389" t="s">
        <v>35</v>
      </c>
      <c r="F89" s="390" t="s">
        <v>30</v>
      </c>
      <c r="G89" s="512" t="s">
        <v>14</v>
      </c>
      <c r="H89" s="389" t="s">
        <v>35</v>
      </c>
      <c r="I89" s="390" t="s">
        <v>30</v>
      </c>
      <c r="J89" s="355" t="s">
        <v>649</v>
      </c>
      <c r="K89" s="513" t="s">
        <v>38</v>
      </c>
      <c r="L89" s="393"/>
      <c r="M89" s="394"/>
      <c r="N89" s="395"/>
      <c r="O89" s="372"/>
      <c r="P89" s="373"/>
      <c r="Q89" s="374"/>
    </row>
    <row r="90" spans="1:17" s="159" customFormat="1" hidden="1" x14ac:dyDescent="0.25">
      <c r="A90" s="396"/>
      <c r="B90" s="397"/>
      <c r="C90" s="362"/>
      <c r="D90" s="363" t="s">
        <v>21</v>
      </c>
      <c r="E90" s="247">
        <v>0</v>
      </c>
      <c r="F90" s="364">
        <f>C90*E90</f>
        <v>0</v>
      </c>
      <c r="G90" s="509"/>
      <c r="H90" s="366">
        <v>0</v>
      </c>
      <c r="I90" s="364">
        <f>G90*H90</f>
        <v>0</v>
      </c>
      <c r="J90" s="367"/>
      <c r="K90" s="510">
        <f>F90+I90+J90</f>
        <v>0</v>
      </c>
      <c r="L90" s="369"/>
      <c r="M90" s="370"/>
      <c r="N90" s="371"/>
      <c r="O90" s="372"/>
      <c r="P90" s="373"/>
      <c r="Q90" s="374"/>
    </row>
    <row r="91" spans="1:17" s="159" customFormat="1" hidden="1" x14ac:dyDescent="0.25">
      <c r="A91" s="361"/>
      <c r="B91" s="5"/>
      <c r="C91" s="362"/>
      <c r="D91" s="363" t="s">
        <v>21</v>
      </c>
      <c r="E91" s="247">
        <v>0</v>
      </c>
      <c r="F91" s="364">
        <f>C91*E91</f>
        <v>0</v>
      </c>
      <c r="G91" s="509"/>
      <c r="H91" s="366">
        <v>0</v>
      </c>
      <c r="I91" s="364">
        <f>G91*H91</f>
        <v>0</v>
      </c>
      <c r="J91" s="367"/>
      <c r="K91" s="510">
        <f>F91+I91+J91</f>
        <v>0</v>
      </c>
      <c r="L91" s="623"/>
      <c r="M91" s="624"/>
      <c r="N91" s="625"/>
      <c r="O91" s="372"/>
      <c r="P91" s="373"/>
      <c r="Q91" s="374"/>
    </row>
    <row r="92" spans="1:17" s="159" customFormat="1" hidden="1" x14ac:dyDescent="0.25">
      <c r="A92" s="361"/>
      <c r="B92" s="5"/>
      <c r="C92" s="362"/>
      <c r="D92" s="363" t="s">
        <v>21</v>
      </c>
      <c r="E92" s="247">
        <v>0</v>
      </c>
      <c r="F92" s="364">
        <f>C92*E92</f>
        <v>0</v>
      </c>
      <c r="G92" s="509"/>
      <c r="H92" s="366">
        <v>0</v>
      </c>
      <c r="I92" s="364">
        <f>G92*H92</f>
        <v>0</v>
      </c>
      <c r="J92" s="367"/>
      <c r="K92" s="510">
        <f>F92+I92+J92</f>
        <v>0</v>
      </c>
      <c r="L92" s="623"/>
      <c r="M92" s="624"/>
      <c r="N92" s="626"/>
      <c r="O92" s="372"/>
      <c r="P92" s="373"/>
      <c r="Q92" s="374"/>
    </row>
    <row r="93" spans="1:17" s="159" customFormat="1" hidden="1" x14ac:dyDescent="0.25">
      <c r="A93" s="361"/>
      <c r="B93" s="5"/>
      <c r="C93" s="362"/>
      <c r="D93" s="363" t="s">
        <v>21</v>
      </c>
      <c r="E93" s="247">
        <v>0</v>
      </c>
      <c r="F93" s="364">
        <f>C93*E93</f>
        <v>0</v>
      </c>
      <c r="G93" s="509"/>
      <c r="H93" s="366">
        <v>0</v>
      </c>
      <c r="I93" s="364">
        <f>G93*H93</f>
        <v>0</v>
      </c>
      <c r="J93" s="367"/>
      <c r="K93" s="510">
        <f>F93+I93+J93</f>
        <v>0</v>
      </c>
      <c r="L93" s="623"/>
      <c r="M93" s="624"/>
      <c r="N93" s="626"/>
      <c r="O93" s="372"/>
      <c r="P93" s="373"/>
      <c r="Q93" s="374"/>
    </row>
    <row r="94" spans="1:17" s="159" customFormat="1" ht="13.8" hidden="1" thickBot="1" x14ac:dyDescent="0.3">
      <c r="A94" s="378"/>
      <c r="B94" s="403"/>
      <c r="C94" s="362"/>
      <c r="D94" s="363"/>
      <c r="E94" s="247"/>
      <c r="F94" s="364"/>
      <c r="G94" s="509"/>
      <c r="H94" s="366"/>
      <c r="I94" s="364"/>
      <c r="J94" s="367"/>
      <c r="K94" s="510"/>
      <c r="L94" s="623"/>
      <c r="M94" s="624"/>
      <c r="N94" s="626"/>
      <c r="O94" s="372"/>
      <c r="P94" s="373"/>
      <c r="Q94" s="374"/>
    </row>
    <row r="95" spans="1:17" s="159" customFormat="1" ht="14.4" hidden="1" thickTop="1" thickBot="1" x14ac:dyDescent="0.3">
      <c r="A95" s="450"/>
      <c r="B95" s="156"/>
      <c r="C95" s="451"/>
      <c r="D95" s="452"/>
      <c r="E95" s="453"/>
      <c r="F95" s="454"/>
      <c r="G95" s="591"/>
      <c r="H95" s="453"/>
      <c r="I95" s="454"/>
      <c r="J95" s="456" t="s">
        <v>30</v>
      </c>
      <c r="K95" s="592">
        <f>SUM(K90:K94)</f>
        <v>0</v>
      </c>
      <c r="L95" s="623"/>
      <c r="M95" s="624"/>
      <c r="N95" s="626"/>
      <c r="O95" s="372"/>
      <c r="P95" s="373"/>
      <c r="Q95" s="374"/>
    </row>
    <row r="96" spans="1:17" s="159" customFormat="1" ht="14.1" customHeight="1" thickBot="1" x14ac:dyDescent="0.3">
      <c r="A96" s="458"/>
      <c r="B96" s="459"/>
      <c r="C96" s="460"/>
      <c r="D96" s="460"/>
      <c r="E96" s="461"/>
      <c r="F96" s="1038" t="s">
        <v>648</v>
      </c>
      <c r="G96" s="1040" t="s">
        <v>673</v>
      </c>
      <c r="H96" s="461"/>
      <c r="I96" s="1042" t="s">
        <v>647</v>
      </c>
      <c r="J96" s="1044" t="s">
        <v>674</v>
      </c>
      <c r="K96" s="1121" t="s">
        <v>31</v>
      </c>
      <c r="L96" s="627"/>
      <c r="M96" s="628"/>
      <c r="N96" s="629"/>
      <c r="O96" s="441"/>
      <c r="P96" s="442"/>
      <c r="Q96" s="443"/>
    </row>
    <row r="97" spans="1:16" s="159" customFormat="1" ht="14.4" thickTop="1" x14ac:dyDescent="0.25">
      <c r="A97" s="462" t="s">
        <v>32</v>
      </c>
      <c r="B97" s="1031" t="s">
        <v>655</v>
      </c>
      <c r="C97" s="463"/>
      <c r="D97" s="464"/>
      <c r="E97" s="464"/>
      <c r="F97" s="1039"/>
      <c r="G97" s="1041"/>
      <c r="H97" s="465"/>
      <c r="I97" s="1043"/>
      <c r="J97" s="1045"/>
      <c r="K97" s="1122"/>
      <c r="M97" s="268"/>
      <c r="N97" s="157"/>
      <c r="O97" s="294"/>
      <c r="P97" s="294"/>
    </row>
    <row r="98" spans="1:16" s="159" customFormat="1" ht="13.8" x14ac:dyDescent="0.25">
      <c r="A98" s="780">
        <f>K98/E6</f>
        <v>221.33333333333334</v>
      </c>
      <c r="B98" s="1031"/>
      <c r="C98" s="464"/>
      <c r="D98" s="464"/>
      <c r="E98" s="464"/>
      <c r="F98" s="1032">
        <f>SUM(F90:F94,F81:F86,F74:F77,F65:F70,F54:F60,F45:F50,F37:F41,F26:F33,F11:F22)</f>
        <v>0</v>
      </c>
      <c r="G98" s="1034">
        <f>SUM(G90:G94,G81:G86,G74:G77,G65:G70,G54:G60,G45:G50,G37:G41,G26:G33,G11:G22)</f>
        <v>0</v>
      </c>
      <c r="H98" s="465"/>
      <c r="I98" s="1032">
        <f>SUM(I90:I94,I81:I86,I74:I77,I65:I70,I54:I60,I45:I50,I37:I41,I26:I33,I11:I22)</f>
        <v>0</v>
      </c>
      <c r="J98" s="1032">
        <f>SUM(J90:J94,J81:J86,J74:J77,J65:J70,J54:J60,J45:J50,J37:J41,J26:J33,J11:J22)</f>
        <v>132800</v>
      </c>
      <c r="K98" s="1119">
        <f>SUM(K95,K87,K78,K71,K62,K51,K42,K34,K23)</f>
        <v>132800</v>
      </c>
      <c r="M98" s="268"/>
      <c r="N98" s="157"/>
      <c r="O98" s="294"/>
      <c r="P98" s="294"/>
    </row>
    <row r="99" spans="1:16" s="159" customFormat="1" ht="14.4" thickBot="1" x14ac:dyDescent="0.3">
      <c r="A99" s="462"/>
      <c r="B99" s="529"/>
      <c r="C99" s="468"/>
      <c r="D99" s="468"/>
      <c r="E99" s="468"/>
      <c r="F99" s="1033"/>
      <c r="G99" s="1035"/>
      <c r="H99" s="468"/>
      <c r="I99" s="1033"/>
      <c r="J99" s="1033"/>
      <c r="K99" s="1120"/>
      <c r="M99" s="268"/>
      <c r="N99" s="157"/>
      <c r="O99" s="294"/>
      <c r="P99" s="294"/>
    </row>
    <row r="100" spans="1:16" s="159" customFormat="1" ht="13.8" thickBot="1" x14ac:dyDescent="0.3">
      <c r="A100" s="469"/>
      <c r="B100" s="470"/>
      <c r="C100" s="470"/>
      <c r="D100" s="470"/>
      <c r="E100" s="470"/>
      <c r="F100" s="470"/>
      <c r="G100" s="470"/>
      <c r="H100" s="470"/>
      <c r="I100" s="470"/>
      <c r="J100" s="470"/>
      <c r="K100" s="471"/>
      <c r="M100" s="268"/>
      <c r="N100" s="157"/>
      <c r="O100" s="294"/>
      <c r="P100" s="294"/>
    </row>
    <row r="101" spans="1:16" s="159" customFormat="1" x14ac:dyDescent="0.25">
      <c r="C101" s="611"/>
      <c r="D101" s="611"/>
      <c r="M101" s="268"/>
      <c r="N101" s="157"/>
      <c r="O101" s="294"/>
      <c r="P101" s="294"/>
    </row>
    <row r="102" spans="1:16" s="159" customFormat="1" x14ac:dyDescent="0.25">
      <c r="C102" s="611"/>
      <c r="D102" s="611"/>
      <c r="M102" s="268"/>
      <c r="N102" s="157"/>
      <c r="O102" s="294"/>
      <c r="P102" s="294"/>
    </row>
    <row r="103" spans="1:16" s="159" customFormat="1" x14ac:dyDescent="0.25">
      <c r="C103" s="611"/>
      <c r="D103" s="611"/>
      <c r="M103" s="268"/>
      <c r="N103" s="157"/>
      <c r="O103" s="294"/>
      <c r="P103" s="294"/>
    </row>
    <row r="104" spans="1:16" s="159" customFormat="1" x14ac:dyDescent="0.25">
      <c r="C104" s="611"/>
      <c r="D104" s="611"/>
      <c r="M104" s="268"/>
      <c r="N104" s="157"/>
      <c r="O104" s="294"/>
      <c r="P104" s="294"/>
    </row>
    <row r="105" spans="1:16" s="159" customFormat="1" x14ac:dyDescent="0.25">
      <c r="C105" s="611"/>
      <c r="D105" s="611"/>
      <c r="M105" s="268"/>
      <c r="N105" s="157"/>
      <c r="O105" s="294"/>
      <c r="P105" s="294"/>
    </row>
    <row r="106" spans="1:16" s="159" customFormat="1" x14ac:dyDescent="0.25">
      <c r="C106" s="611"/>
      <c r="D106" s="611"/>
      <c r="M106" s="268"/>
      <c r="N106" s="157"/>
      <c r="O106" s="294"/>
      <c r="P106" s="294"/>
    </row>
    <row r="107" spans="1:16" s="159" customFormat="1" x14ac:dyDescent="0.25">
      <c r="C107" s="611"/>
      <c r="D107" s="611"/>
      <c r="M107" s="268"/>
      <c r="N107" s="157"/>
      <c r="O107" s="294"/>
      <c r="P107" s="294"/>
    </row>
    <row r="108" spans="1:16" s="159" customFormat="1" x14ac:dyDescent="0.25">
      <c r="C108" s="611"/>
      <c r="D108" s="611"/>
      <c r="M108" s="268"/>
      <c r="N108" s="157"/>
      <c r="O108" s="294"/>
      <c r="P108" s="294"/>
    </row>
    <row r="109" spans="1:16" s="159" customFormat="1" x14ac:dyDescent="0.25">
      <c r="C109" s="611"/>
      <c r="D109" s="611"/>
      <c r="M109" s="268"/>
      <c r="N109" s="157"/>
      <c r="O109" s="294"/>
      <c r="P109" s="294"/>
    </row>
    <row r="110" spans="1:16" s="159" customFormat="1" x14ac:dyDescent="0.25">
      <c r="C110" s="611"/>
      <c r="D110" s="611"/>
      <c r="M110" s="268"/>
      <c r="N110" s="157"/>
      <c r="O110" s="294"/>
      <c r="P110" s="294"/>
    </row>
    <row r="111" spans="1:16" s="159" customFormat="1" x14ac:dyDescent="0.25">
      <c r="C111" s="611"/>
      <c r="D111" s="611"/>
      <c r="M111" s="268"/>
      <c r="N111" s="157"/>
      <c r="O111" s="294"/>
      <c r="P111" s="294"/>
    </row>
    <row r="112" spans="1:16" s="159" customFormat="1" x14ac:dyDescent="0.25">
      <c r="C112" s="611"/>
      <c r="D112" s="611"/>
      <c r="M112" s="268"/>
      <c r="N112" s="157"/>
      <c r="O112" s="294"/>
      <c r="P112" s="294"/>
    </row>
    <row r="113" spans="3:16" s="159" customFormat="1" x14ac:dyDescent="0.25">
      <c r="C113" s="611"/>
      <c r="D113" s="611"/>
      <c r="M113" s="268"/>
      <c r="N113" s="157"/>
      <c r="O113" s="294"/>
      <c r="P113" s="294"/>
    </row>
    <row r="114" spans="3:16" s="159" customFormat="1" x14ac:dyDescent="0.25">
      <c r="C114" s="611"/>
      <c r="D114" s="611"/>
      <c r="M114" s="268"/>
      <c r="N114" s="157"/>
      <c r="O114" s="294"/>
      <c r="P114" s="294"/>
    </row>
    <row r="115" spans="3:16" s="159" customFormat="1" x14ac:dyDescent="0.25">
      <c r="C115" s="611"/>
      <c r="D115" s="611"/>
      <c r="M115" s="268"/>
      <c r="N115" s="157"/>
      <c r="O115" s="294"/>
      <c r="P115" s="294"/>
    </row>
    <row r="116" spans="3:16" s="159" customFormat="1" x14ac:dyDescent="0.25">
      <c r="C116" s="611"/>
      <c r="D116" s="611"/>
      <c r="M116" s="268"/>
      <c r="N116" s="157"/>
      <c r="O116" s="294"/>
      <c r="P116" s="294"/>
    </row>
    <row r="117" spans="3:16" s="159" customFormat="1" x14ac:dyDescent="0.25">
      <c r="C117" s="611"/>
      <c r="D117" s="611"/>
      <c r="M117" s="268"/>
      <c r="N117" s="157"/>
      <c r="O117" s="294"/>
      <c r="P117" s="294"/>
    </row>
    <row r="118" spans="3:16" s="159" customFormat="1" x14ac:dyDescent="0.25">
      <c r="C118" s="611"/>
      <c r="D118" s="611"/>
      <c r="M118" s="268"/>
      <c r="N118" s="157"/>
      <c r="O118" s="294"/>
      <c r="P118" s="294"/>
    </row>
    <row r="119" spans="3:16" s="159" customFormat="1" x14ac:dyDescent="0.25">
      <c r="C119" s="611"/>
      <c r="D119" s="611"/>
      <c r="M119" s="268"/>
      <c r="N119" s="157"/>
      <c r="O119" s="294"/>
      <c r="P119" s="294"/>
    </row>
    <row r="120" spans="3:16" s="159" customFormat="1" x14ac:dyDescent="0.25">
      <c r="C120" s="611"/>
      <c r="D120" s="611"/>
      <c r="M120" s="268"/>
      <c r="N120" s="157"/>
      <c r="O120" s="294"/>
      <c r="P120" s="294"/>
    </row>
    <row r="121" spans="3:16" s="159" customFormat="1" x14ac:dyDescent="0.25">
      <c r="C121" s="611"/>
      <c r="D121" s="611"/>
      <c r="M121" s="268"/>
      <c r="N121" s="157"/>
      <c r="O121" s="294"/>
      <c r="P121" s="294"/>
    </row>
    <row r="122" spans="3:16" s="159" customFormat="1" x14ac:dyDescent="0.25">
      <c r="C122" s="611"/>
      <c r="D122" s="611"/>
      <c r="M122" s="268"/>
      <c r="N122" s="157"/>
      <c r="O122" s="294"/>
      <c r="P122" s="294"/>
    </row>
    <row r="123" spans="3:16" s="159" customFormat="1" x14ac:dyDescent="0.25">
      <c r="C123" s="611"/>
      <c r="D123" s="611"/>
      <c r="M123" s="268"/>
      <c r="N123" s="157"/>
      <c r="O123" s="294"/>
      <c r="P123" s="294"/>
    </row>
    <row r="124" spans="3:16" s="159" customFormat="1" x14ac:dyDescent="0.25">
      <c r="C124" s="611"/>
      <c r="D124" s="611"/>
      <c r="M124" s="268"/>
      <c r="N124" s="157"/>
      <c r="O124" s="294"/>
      <c r="P124" s="294"/>
    </row>
    <row r="125" spans="3:16" s="159" customFormat="1" x14ac:dyDescent="0.25">
      <c r="C125" s="611"/>
      <c r="D125" s="611"/>
      <c r="M125" s="268"/>
      <c r="N125" s="157"/>
      <c r="O125" s="294"/>
      <c r="P125" s="294"/>
    </row>
    <row r="126" spans="3:16" s="159" customFormat="1" x14ac:dyDescent="0.25">
      <c r="C126" s="611"/>
      <c r="D126" s="611"/>
      <c r="M126" s="268"/>
      <c r="N126" s="157"/>
      <c r="O126" s="294"/>
      <c r="P126" s="294"/>
    </row>
    <row r="127" spans="3:16" s="159" customFormat="1" x14ac:dyDescent="0.25">
      <c r="C127" s="611"/>
      <c r="D127" s="611"/>
      <c r="M127" s="268"/>
      <c r="N127" s="157"/>
      <c r="O127" s="294"/>
      <c r="P127" s="294"/>
    </row>
    <row r="128" spans="3:16" s="159" customFormat="1" x14ac:dyDescent="0.25">
      <c r="C128" s="611"/>
      <c r="D128" s="611"/>
      <c r="M128" s="268"/>
      <c r="N128" s="157"/>
      <c r="O128" s="294"/>
      <c r="P128" s="294"/>
    </row>
    <row r="129" spans="3:16" s="159" customFormat="1" x14ac:dyDescent="0.25">
      <c r="C129" s="611"/>
      <c r="D129" s="611"/>
      <c r="M129" s="268"/>
      <c r="N129" s="157"/>
      <c r="O129" s="294"/>
      <c r="P129" s="294"/>
    </row>
    <row r="130" spans="3:16" s="159" customFormat="1" x14ac:dyDescent="0.25">
      <c r="C130" s="611"/>
      <c r="D130" s="611"/>
      <c r="M130" s="268"/>
      <c r="N130" s="157"/>
      <c r="O130" s="294"/>
      <c r="P130" s="294"/>
    </row>
    <row r="131" spans="3:16" s="159" customFormat="1" x14ac:dyDescent="0.25">
      <c r="C131" s="611"/>
      <c r="D131" s="611"/>
      <c r="M131" s="268"/>
      <c r="N131" s="157"/>
      <c r="O131" s="294"/>
      <c r="P131" s="294"/>
    </row>
    <row r="132" spans="3:16" s="159" customFormat="1" x14ac:dyDescent="0.25">
      <c r="C132" s="611"/>
      <c r="D132" s="611"/>
      <c r="M132" s="268"/>
      <c r="N132" s="157"/>
      <c r="O132" s="294"/>
      <c r="P132" s="294"/>
    </row>
    <row r="133" spans="3:16" s="159" customFormat="1" x14ac:dyDescent="0.25">
      <c r="C133" s="611"/>
      <c r="D133" s="611"/>
      <c r="M133" s="268"/>
      <c r="N133" s="157"/>
      <c r="O133" s="294"/>
      <c r="P133" s="294"/>
    </row>
    <row r="134" spans="3:16" s="159" customFormat="1" x14ac:dyDescent="0.25">
      <c r="C134" s="611"/>
      <c r="D134" s="611"/>
      <c r="M134" s="268"/>
      <c r="N134" s="157"/>
      <c r="O134" s="294"/>
      <c r="P134" s="294"/>
    </row>
    <row r="135" spans="3:16" s="159" customFormat="1" x14ac:dyDescent="0.25">
      <c r="C135" s="611"/>
      <c r="D135" s="611"/>
      <c r="M135" s="268"/>
      <c r="N135" s="157"/>
      <c r="O135" s="294"/>
      <c r="P135" s="294"/>
    </row>
    <row r="136" spans="3:16" s="159" customFormat="1" x14ac:dyDescent="0.25">
      <c r="C136" s="611"/>
      <c r="D136" s="611"/>
      <c r="M136" s="268"/>
      <c r="N136" s="157"/>
      <c r="O136" s="294"/>
      <c r="P136" s="294"/>
    </row>
    <row r="137" spans="3:16" s="159" customFormat="1" x14ac:dyDescent="0.25">
      <c r="C137" s="611"/>
      <c r="D137" s="611"/>
      <c r="M137" s="268"/>
      <c r="N137" s="157"/>
      <c r="O137" s="294"/>
      <c r="P137" s="294"/>
    </row>
    <row r="138" spans="3:16" s="159" customFormat="1" x14ac:dyDescent="0.25">
      <c r="C138" s="611"/>
      <c r="D138" s="611"/>
      <c r="M138" s="268"/>
      <c r="N138" s="157"/>
      <c r="O138" s="294"/>
      <c r="P138" s="294"/>
    </row>
    <row r="139" spans="3:16" s="159" customFormat="1" x14ac:dyDescent="0.25">
      <c r="C139" s="611"/>
      <c r="D139" s="611"/>
      <c r="M139" s="268"/>
      <c r="N139" s="157"/>
      <c r="O139" s="294"/>
      <c r="P139" s="294"/>
    </row>
    <row r="140" spans="3:16" s="159" customFormat="1" x14ac:dyDescent="0.25">
      <c r="C140" s="611"/>
      <c r="D140" s="611"/>
      <c r="M140" s="268"/>
      <c r="N140" s="157"/>
      <c r="O140" s="294"/>
      <c r="P140" s="294"/>
    </row>
    <row r="141" spans="3:16" s="159" customFormat="1" x14ac:dyDescent="0.25">
      <c r="C141" s="611"/>
      <c r="D141" s="611"/>
      <c r="M141" s="268"/>
      <c r="N141" s="157"/>
      <c r="O141" s="294"/>
      <c r="P141" s="294"/>
    </row>
  </sheetData>
  <mergeCells count="54">
    <mergeCell ref="Q9:Q10"/>
    <mergeCell ref="L9:L10"/>
    <mergeCell ref="M9:M10"/>
    <mergeCell ref="N9:N10"/>
    <mergeCell ref="O9:O10"/>
    <mergeCell ref="P9:P10"/>
    <mergeCell ref="J98:J99"/>
    <mergeCell ref="K98:K99"/>
    <mergeCell ref="F96:F97"/>
    <mergeCell ref="G96:G97"/>
    <mergeCell ref="I96:I97"/>
    <mergeCell ref="J96:J97"/>
    <mergeCell ref="K96:K97"/>
    <mergeCell ref="C72:F72"/>
    <mergeCell ref="G72:I72"/>
    <mergeCell ref="B97:B98"/>
    <mergeCell ref="C79:F79"/>
    <mergeCell ref="G79:I79"/>
    <mergeCell ref="C88:F88"/>
    <mergeCell ref="G88:I88"/>
    <mergeCell ref="F98:F99"/>
    <mergeCell ref="G98:G99"/>
    <mergeCell ref="I98:I99"/>
    <mergeCell ref="C43:F43"/>
    <mergeCell ref="G43:I43"/>
    <mergeCell ref="C52:F52"/>
    <mergeCell ref="G52:I52"/>
    <mergeCell ref="C63:F63"/>
    <mergeCell ref="G63:I63"/>
    <mergeCell ref="C9:F9"/>
    <mergeCell ref="G9:I9"/>
    <mergeCell ref="C24:F24"/>
    <mergeCell ref="G24:I24"/>
    <mergeCell ref="C35:F35"/>
    <mergeCell ref="G35:I35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37" top="0.75" bottom="0.75" header="0.5" footer="0.5"/>
  <pageSetup scale="7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tabColor rgb="FF00B0F0"/>
    <pageSetUpPr fitToPage="1"/>
  </sheetPr>
  <dimension ref="A1:Q273"/>
  <sheetViews>
    <sheetView zoomScale="90" zoomScaleNormal="75" zoomScaleSheetLayoutView="90" zoomScalePageLayoutView="75" workbookViewId="0">
      <selection activeCell="M37" sqref="M37"/>
    </sheetView>
  </sheetViews>
  <sheetFormatPr defaultColWidth="9.33203125" defaultRowHeight="13.2" x14ac:dyDescent="0.25"/>
  <cols>
    <col min="1" max="1" width="12.33203125" style="157" bestFit="1" customWidth="1"/>
    <col min="2" max="2" width="48.5546875" style="157" bestFit="1" customWidth="1"/>
    <col min="3" max="4" width="5" style="421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157" bestFit="1" customWidth="1"/>
    <col min="11" max="11" width="14.441406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148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367</v>
      </c>
      <c r="B10" s="505" t="s">
        <v>368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793"/>
      <c r="B11" s="794" t="s">
        <v>1042</v>
      </c>
      <c r="C11" s="795"/>
      <c r="D11" s="796" t="s">
        <v>21</v>
      </c>
      <c r="E11" s="797">
        <v>0</v>
      </c>
      <c r="F11" s="798">
        <f t="shared" ref="F11:F22" si="0">C11*E11</f>
        <v>0</v>
      </c>
      <c r="G11" s="799"/>
      <c r="H11" s="800">
        <v>0</v>
      </c>
      <c r="I11" s="798">
        <f t="shared" ref="I11:I22" si="1">G11*H11</f>
        <v>0</v>
      </c>
      <c r="J11" s="801">
        <f>M11</f>
        <v>19540</v>
      </c>
      <c r="K11" s="802">
        <f t="shared" ref="K11:K22" si="2">F11+I11+J11</f>
        <v>19540</v>
      </c>
      <c r="L11" s="369" t="s">
        <v>1141</v>
      </c>
      <c r="M11" s="370">
        <v>19540</v>
      </c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/>
      <c r="M12" s="370"/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/>
      <c r="M13" s="37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157"/>
      <c r="M17" s="449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157"/>
      <c r="M18" s="449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157"/>
      <c r="M19" s="449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157"/>
      <c r="M20" s="449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157"/>
      <c r="M21" s="449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157"/>
      <c r="M22" s="449"/>
      <c r="O22" s="372"/>
      <c r="P22" s="373"/>
      <c r="Q22" s="374"/>
    </row>
    <row r="23" spans="1:17" ht="13.8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67"/>
      <c r="K23" s="510"/>
      <c r="L23" s="157"/>
      <c r="M23" s="449"/>
      <c r="O23" s="372"/>
      <c r="P23" s="373"/>
      <c r="Q23" s="374"/>
    </row>
    <row r="24" spans="1:17" ht="13.8" thickTop="1" x14ac:dyDescent="0.25">
      <c r="A24" s="378"/>
      <c r="B24" s="7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SUM(K11:K23)</f>
        <v>19540</v>
      </c>
      <c r="L24" s="157"/>
      <c r="M24" s="449"/>
      <c r="O24" s="372"/>
      <c r="P24" s="373"/>
      <c r="Q24" s="374"/>
    </row>
    <row r="25" spans="1:17" ht="13.8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s="159" customFormat="1" ht="16.2" thickBot="1" x14ac:dyDescent="0.35">
      <c r="A26" s="385"/>
      <c r="B26" s="386"/>
      <c r="C26" s="387" t="s">
        <v>19</v>
      </c>
      <c r="D26" s="388" t="s">
        <v>33</v>
      </c>
      <c r="E26" s="389" t="s">
        <v>35</v>
      </c>
      <c r="F26" s="390" t="s">
        <v>30</v>
      </c>
      <c r="G26" s="512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s="159" customFormat="1" x14ac:dyDescent="0.25">
      <c r="A27" s="396"/>
      <c r="B27" s="397"/>
      <c r="C27" s="362"/>
      <c r="D27" s="363" t="s">
        <v>21</v>
      </c>
      <c r="E27" s="247">
        <v>0</v>
      </c>
      <c r="F27" s="364">
        <f t="shared" ref="F27:F33" si="3">C27*E27</f>
        <v>0</v>
      </c>
      <c r="G27" s="509"/>
      <c r="H27" s="366">
        <v>0</v>
      </c>
      <c r="I27" s="364">
        <f t="shared" ref="I27:I33" si="4">G27*H27</f>
        <v>0</v>
      </c>
      <c r="J27" s="367"/>
      <c r="K27" s="510">
        <f t="shared" ref="K27:K33" si="5">F27+I27+J27</f>
        <v>0</v>
      </c>
      <c r="L27" s="157"/>
      <c r="M27" s="449"/>
      <c r="N27" s="157"/>
      <c r="O27" s="372"/>
      <c r="P27" s="373"/>
      <c r="Q27" s="374"/>
    </row>
    <row r="28" spans="1:17" s="159" customFormat="1" x14ac:dyDescent="0.25">
      <c r="A28" s="361"/>
      <c r="B28" s="5"/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M28" s="268"/>
      <c r="N28" s="157"/>
      <c r="O28" s="372"/>
      <c r="P28" s="373"/>
      <c r="Q28" s="374"/>
    </row>
    <row r="29" spans="1:17" s="159" customFormat="1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s="159" customFormat="1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372"/>
      <c r="P30" s="373"/>
      <c r="Q30" s="374"/>
    </row>
    <row r="31" spans="1:17" s="159" customFormat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515"/>
      <c r="M31" s="531"/>
      <c r="N31" s="516"/>
      <c r="O31" s="372"/>
      <c r="P31" s="373"/>
      <c r="Q31" s="374"/>
    </row>
    <row r="32" spans="1:17" s="159" customFormat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L32" s="517"/>
      <c r="M32" s="249"/>
      <c r="N32" s="409"/>
      <c r="O32" s="372"/>
      <c r="P32" s="373"/>
      <c r="Q32" s="374"/>
    </row>
    <row r="33" spans="1:17" s="159" customFormat="1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L33" s="157"/>
      <c r="M33" s="449"/>
      <c r="N33" s="157"/>
      <c r="O33" s="372"/>
      <c r="P33" s="373"/>
      <c r="Q33" s="374"/>
    </row>
    <row r="34" spans="1:17" s="159" customFormat="1" ht="13.8" thickBot="1" x14ac:dyDescent="0.3">
      <c r="A34" s="361"/>
      <c r="B34" s="5"/>
      <c r="C34" s="379"/>
      <c r="D34" s="363"/>
      <c r="E34" s="247"/>
      <c r="F34" s="364"/>
      <c r="G34" s="509"/>
      <c r="H34" s="366"/>
      <c r="I34" s="364"/>
      <c r="J34" s="367"/>
      <c r="K34" s="514"/>
      <c r="L34" s="157"/>
      <c r="M34" s="449"/>
      <c r="N34" s="157"/>
      <c r="O34" s="372"/>
      <c r="P34" s="373"/>
      <c r="Q34" s="374"/>
    </row>
    <row r="35" spans="1:17" s="159" customFormat="1" ht="13.8" thickTop="1" x14ac:dyDescent="0.25">
      <c r="A35" s="378"/>
      <c r="B35" s="5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17" s="159" customFormat="1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17" s="159" customFormat="1" ht="16.2" thickBot="1" x14ac:dyDescent="0.35">
      <c r="A37" s="385"/>
      <c r="B37" s="386"/>
      <c r="C37" s="387" t="s">
        <v>19</v>
      </c>
      <c r="D37" s="388" t="s">
        <v>33</v>
      </c>
      <c r="E37" s="389" t="s">
        <v>35</v>
      </c>
      <c r="F37" s="390" t="s">
        <v>30</v>
      </c>
      <c r="G37" s="512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17" s="159" customFormat="1" x14ac:dyDescent="0.25">
      <c r="A38" s="396"/>
      <c r="B38" s="397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370"/>
      <c r="N38" s="371"/>
      <c r="O38" s="401"/>
      <c r="P38" s="402"/>
      <c r="Q38" s="374"/>
    </row>
    <row r="39" spans="1:17" s="159" customFormat="1" x14ac:dyDescent="0.25">
      <c r="A39" s="361"/>
      <c r="B39" s="5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367"/>
      <c r="K39" s="510">
        <f>F39+I39+J39</f>
        <v>0</v>
      </c>
      <c r="L39" s="369"/>
      <c r="M39" s="370"/>
      <c r="N39" s="371"/>
      <c r="O39" s="401"/>
      <c r="P39" s="402"/>
      <c r="Q39" s="374"/>
    </row>
    <row r="40" spans="1:17" s="159" customFormat="1" x14ac:dyDescent="0.25">
      <c r="A40" s="361"/>
      <c r="B40" s="5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L40" s="369"/>
      <c r="M40" s="370"/>
      <c r="N40" s="371"/>
      <c r="O40" s="401"/>
      <c r="P40" s="402"/>
      <c r="Q40" s="374"/>
    </row>
    <row r="41" spans="1:17" s="159" customFormat="1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67"/>
      <c r="K41" s="514"/>
      <c r="L41" s="369"/>
      <c r="M41" s="370"/>
      <c r="N41" s="371"/>
      <c r="O41" s="401"/>
      <c r="P41" s="402"/>
      <c r="Q41" s="374"/>
    </row>
    <row r="42" spans="1:17" s="159" customFormat="1" ht="13.8" thickBot="1" x14ac:dyDescent="0.3">
      <c r="A42" s="378"/>
      <c r="B42" s="403"/>
      <c r="C42" s="379"/>
      <c r="D42" s="363"/>
      <c r="E42" s="247"/>
      <c r="F42" s="364"/>
      <c r="G42" s="509"/>
      <c r="H42" s="366"/>
      <c r="I42" s="364"/>
      <c r="J42" s="367"/>
      <c r="K42" s="514"/>
      <c r="M42" s="268"/>
      <c r="N42" s="157"/>
      <c r="O42" s="401"/>
      <c r="P42" s="402"/>
      <c r="Q42" s="374"/>
    </row>
    <row r="43" spans="1:17" s="159" customFormat="1" ht="13.8" thickTop="1" x14ac:dyDescent="0.25">
      <c r="A43" s="378"/>
      <c r="B43" s="403"/>
      <c r="C43" s="379"/>
      <c r="D43" s="363"/>
      <c r="E43" s="247"/>
      <c r="F43" s="364"/>
      <c r="G43" s="509"/>
      <c r="H43" s="366"/>
      <c r="I43" s="364"/>
      <c r="J43" s="380" t="s">
        <v>30</v>
      </c>
      <c r="K43" s="511">
        <f>SUM(K38:K42)</f>
        <v>0</v>
      </c>
      <c r="M43" s="268"/>
      <c r="N43" s="157"/>
      <c r="O43" s="372"/>
      <c r="P43" s="373"/>
      <c r="Q43" s="374"/>
    </row>
    <row r="44" spans="1:17" s="159" customFormat="1" ht="13.8" thickBot="1" x14ac:dyDescent="0.3">
      <c r="A44" s="344" t="s">
        <v>0</v>
      </c>
      <c r="B44" s="345" t="s">
        <v>1</v>
      </c>
      <c r="C44" s="1028" t="s">
        <v>646</v>
      </c>
      <c r="D44" s="1028"/>
      <c r="E44" s="1028"/>
      <c r="F44" s="1028"/>
      <c r="G44" s="1028" t="s">
        <v>34</v>
      </c>
      <c r="H44" s="1028"/>
      <c r="I44" s="1028"/>
      <c r="J44" s="346"/>
      <c r="K44" s="503"/>
      <c r="L44" s="382"/>
      <c r="M44" s="383"/>
      <c r="N44" s="384"/>
      <c r="O44" s="372"/>
      <c r="P44" s="373"/>
      <c r="Q44" s="374"/>
    </row>
    <row r="45" spans="1:17" s="159" customFormat="1" ht="16.2" thickBot="1" x14ac:dyDescent="0.35">
      <c r="A45" s="385"/>
      <c r="B45" s="386"/>
      <c r="C45" s="387" t="s">
        <v>19</v>
      </c>
      <c r="D45" s="388" t="s">
        <v>33</v>
      </c>
      <c r="E45" s="389" t="s">
        <v>35</v>
      </c>
      <c r="F45" s="390" t="s">
        <v>30</v>
      </c>
      <c r="G45" s="512" t="s">
        <v>14</v>
      </c>
      <c r="H45" s="389" t="s">
        <v>35</v>
      </c>
      <c r="I45" s="390" t="s">
        <v>30</v>
      </c>
      <c r="J45" s="355" t="s">
        <v>649</v>
      </c>
      <c r="K45" s="513" t="s">
        <v>38</v>
      </c>
      <c r="L45" s="393"/>
      <c r="M45" s="399"/>
      <c r="N45" s="400"/>
      <c r="O45" s="372"/>
      <c r="P45" s="402"/>
      <c r="Q45" s="374"/>
    </row>
    <row r="46" spans="1:17" s="159" customFormat="1" x14ac:dyDescent="0.25">
      <c r="A46" s="396"/>
      <c r="B46" s="397"/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409"/>
      <c r="O46" s="372"/>
      <c r="P46" s="373"/>
      <c r="Q46" s="374"/>
    </row>
    <row r="47" spans="1:17" s="159" customFormat="1" x14ac:dyDescent="0.25">
      <c r="A47" s="361"/>
      <c r="B47" s="5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369"/>
      <c r="M47" s="249"/>
      <c r="N47" s="409"/>
      <c r="O47" s="372"/>
      <c r="P47" s="373"/>
      <c r="Q47" s="374"/>
    </row>
    <row r="48" spans="1:17" s="159" customFormat="1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617"/>
      <c r="M48" s="618"/>
      <c r="N48" s="619"/>
      <c r="O48" s="372"/>
      <c r="P48" s="373"/>
      <c r="Q48" s="374"/>
    </row>
    <row r="49" spans="1:17" s="159" customFormat="1" x14ac:dyDescent="0.25">
      <c r="A49" s="361"/>
      <c r="B49" s="5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620"/>
      <c r="M49" s="249"/>
      <c r="N49" s="409"/>
      <c r="O49" s="372"/>
      <c r="P49" s="373"/>
      <c r="Q49" s="374"/>
    </row>
    <row r="50" spans="1:17" s="159" customFormat="1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409"/>
      <c r="O50" s="372"/>
      <c r="P50" s="373"/>
      <c r="Q50" s="374"/>
    </row>
    <row r="51" spans="1:17" s="159" customFormat="1" ht="13.8" thickBot="1" x14ac:dyDescent="0.3">
      <c r="A51" s="378"/>
      <c r="B51" s="403"/>
      <c r="C51" s="379"/>
      <c r="D51" s="363"/>
      <c r="E51" s="247"/>
      <c r="F51" s="364"/>
      <c r="G51" s="509"/>
      <c r="H51" s="366"/>
      <c r="I51" s="364"/>
      <c r="J51" s="367"/>
      <c r="K51" s="514"/>
      <c r="L51" s="369"/>
      <c r="M51" s="249"/>
      <c r="N51" s="371"/>
      <c r="O51" s="372"/>
      <c r="P51" s="373"/>
      <c r="Q51" s="374"/>
    </row>
    <row r="52" spans="1:17" s="159" customFormat="1" ht="13.8" thickTop="1" x14ac:dyDescent="0.25">
      <c r="A52" s="378"/>
      <c r="B52" s="403"/>
      <c r="C52" s="379"/>
      <c r="D52" s="363"/>
      <c r="E52" s="247"/>
      <c r="F52" s="364"/>
      <c r="G52" s="509"/>
      <c r="H52" s="366"/>
      <c r="I52" s="364"/>
      <c r="J52" s="380" t="s">
        <v>30</v>
      </c>
      <c r="K52" s="511">
        <f>SUM(K46:K51)</f>
        <v>0</v>
      </c>
      <c r="L52" s="157"/>
      <c r="M52" s="449"/>
      <c r="N52" s="157"/>
      <c r="O52" s="417"/>
      <c r="P52" s="418"/>
      <c r="Q52" s="374"/>
    </row>
    <row r="53" spans="1:17" s="159" customFormat="1" ht="13.8" thickBot="1" x14ac:dyDescent="0.3">
      <c r="A53" s="344" t="s">
        <v>0</v>
      </c>
      <c r="B53" s="345" t="s">
        <v>1</v>
      </c>
      <c r="C53" s="1028" t="s">
        <v>646</v>
      </c>
      <c r="D53" s="1028"/>
      <c r="E53" s="1028"/>
      <c r="F53" s="1028"/>
      <c r="G53" s="1028" t="s">
        <v>34</v>
      </c>
      <c r="H53" s="1028"/>
      <c r="I53" s="1028"/>
      <c r="J53" s="346"/>
      <c r="K53" s="503"/>
      <c r="L53" s="382"/>
      <c r="M53" s="346"/>
      <c r="N53" s="384"/>
      <c r="O53" s="417"/>
      <c r="P53" s="418"/>
      <c r="Q53" s="374"/>
    </row>
    <row r="54" spans="1:17" s="159" customFormat="1" ht="16.2" thickBot="1" x14ac:dyDescent="0.35">
      <c r="A54" s="385"/>
      <c r="B54" s="386"/>
      <c r="C54" s="387" t="s">
        <v>19</v>
      </c>
      <c r="D54" s="388" t="s">
        <v>33</v>
      </c>
      <c r="E54" s="389" t="s">
        <v>35</v>
      </c>
      <c r="F54" s="390" t="s">
        <v>30</v>
      </c>
      <c r="G54" s="512" t="s">
        <v>14</v>
      </c>
      <c r="H54" s="389" t="s">
        <v>35</v>
      </c>
      <c r="I54" s="390" t="s">
        <v>30</v>
      </c>
      <c r="J54" s="355" t="s">
        <v>649</v>
      </c>
      <c r="K54" s="513" t="s">
        <v>38</v>
      </c>
      <c r="L54" s="393"/>
      <c r="M54" s="399"/>
      <c r="N54" s="395"/>
      <c r="O54" s="401"/>
      <c r="P54" s="402"/>
      <c r="Q54" s="374"/>
    </row>
    <row r="55" spans="1:17" s="159" customFormat="1" x14ac:dyDescent="0.25">
      <c r="A55" s="396"/>
      <c r="B55" s="397"/>
      <c r="C55" s="362"/>
      <c r="D55" s="363" t="s">
        <v>21</v>
      </c>
      <c r="E55" s="247">
        <v>0</v>
      </c>
      <c r="F55" s="364">
        <f t="shared" ref="F55:F61" si="6">C55*E55</f>
        <v>0</v>
      </c>
      <c r="G55" s="509"/>
      <c r="H55" s="366">
        <v>0</v>
      </c>
      <c r="I55" s="364">
        <f t="shared" ref="I55:I61" si="7">G55*H55</f>
        <v>0</v>
      </c>
      <c r="J55" s="367"/>
      <c r="K55" s="510">
        <f t="shared" ref="K55:K61" si="8">F55+I55+J55</f>
        <v>0</v>
      </c>
      <c r="M55" s="268"/>
      <c r="N55" s="157"/>
      <c r="O55" s="372"/>
      <c r="P55" s="373"/>
      <c r="Q55" s="374"/>
    </row>
    <row r="56" spans="1:17" s="159" customFormat="1" x14ac:dyDescent="0.25">
      <c r="A56" s="361"/>
      <c r="B56" s="5"/>
      <c r="C56" s="362"/>
      <c r="D56" s="363" t="s">
        <v>21</v>
      </c>
      <c r="E56" s="247">
        <v>0</v>
      </c>
      <c r="F56" s="364">
        <f t="shared" si="6"/>
        <v>0</v>
      </c>
      <c r="G56" s="509"/>
      <c r="H56" s="366">
        <v>0</v>
      </c>
      <c r="I56" s="364">
        <f t="shared" si="7"/>
        <v>0</v>
      </c>
      <c r="J56" s="367"/>
      <c r="K56" s="510">
        <f t="shared" si="8"/>
        <v>0</v>
      </c>
      <c r="L56" s="369"/>
      <c r="M56" s="249"/>
      <c r="N56" s="371"/>
      <c r="O56" s="372"/>
      <c r="P56" s="373"/>
      <c r="Q56" s="374"/>
    </row>
    <row r="57" spans="1:17" s="159" customFormat="1" x14ac:dyDescent="0.25">
      <c r="A57" s="361"/>
      <c r="B57" s="5"/>
      <c r="C57" s="362"/>
      <c r="D57" s="363" t="s">
        <v>21</v>
      </c>
      <c r="E57" s="247">
        <v>0</v>
      </c>
      <c r="F57" s="364">
        <f t="shared" si="6"/>
        <v>0</v>
      </c>
      <c r="G57" s="509"/>
      <c r="H57" s="366">
        <v>0</v>
      </c>
      <c r="I57" s="364">
        <f t="shared" si="7"/>
        <v>0</v>
      </c>
      <c r="J57" s="367"/>
      <c r="K57" s="510">
        <f t="shared" si="8"/>
        <v>0</v>
      </c>
      <c r="L57" s="369"/>
      <c r="M57" s="249"/>
      <c r="N57" s="371"/>
      <c r="O57" s="372"/>
      <c r="P57" s="373"/>
      <c r="Q57" s="374"/>
    </row>
    <row r="58" spans="1:17" s="159" customFormat="1" x14ac:dyDescent="0.25">
      <c r="A58" s="361"/>
      <c r="B58" s="5"/>
      <c r="C58" s="362"/>
      <c r="D58" s="363" t="s">
        <v>21</v>
      </c>
      <c r="E58" s="247">
        <v>0</v>
      </c>
      <c r="F58" s="364">
        <f t="shared" si="6"/>
        <v>0</v>
      </c>
      <c r="G58" s="509"/>
      <c r="H58" s="366">
        <v>0</v>
      </c>
      <c r="I58" s="364">
        <f t="shared" si="7"/>
        <v>0</v>
      </c>
      <c r="J58" s="367"/>
      <c r="K58" s="510">
        <f t="shared" si="8"/>
        <v>0</v>
      </c>
      <c r="L58" s="369"/>
      <c r="M58" s="249"/>
      <c r="N58" s="371"/>
      <c r="O58" s="372"/>
      <c r="P58" s="373"/>
      <c r="Q58" s="374"/>
    </row>
    <row r="59" spans="1:17" s="159" customFormat="1" x14ac:dyDescent="0.25">
      <c r="A59" s="361"/>
      <c r="B59" s="5"/>
      <c r="C59" s="362"/>
      <c r="D59" s="363" t="s">
        <v>21</v>
      </c>
      <c r="E59" s="247">
        <v>0</v>
      </c>
      <c r="F59" s="364">
        <f t="shared" si="6"/>
        <v>0</v>
      </c>
      <c r="G59" s="509"/>
      <c r="H59" s="366">
        <v>0</v>
      </c>
      <c r="I59" s="364">
        <f t="shared" si="7"/>
        <v>0</v>
      </c>
      <c r="J59" s="367"/>
      <c r="K59" s="510">
        <f t="shared" si="8"/>
        <v>0</v>
      </c>
      <c r="L59" s="617"/>
      <c r="M59" s="249"/>
      <c r="N59" s="619"/>
      <c r="O59" s="372"/>
      <c r="P59" s="373"/>
      <c r="Q59" s="374"/>
    </row>
    <row r="60" spans="1:17" s="159" customFormat="1" x14ac:dyDescent="0.25">
      <c r="A60" s="361"/>
      <c r="B60" s="5"/>
      <c r="C60" s="362"/>
      <c r="D60" s="363" t="s">
        <v>21</v>
      </c>
      <c r="E60" s="247">
        <v>0</v>
      </c>
      <c r="F60" s="364">
        <f t="shared" si="6"/>
        <v>0</v>
      </c>
      <c r="G60" s="509"/>
      <c r="H60" s="366">
        <v>0</v>
      </c>
      <c r="I60" s="364">
        <f t="shared" si="7"/>
        <v>0</v>
      </c>
      <c r="J60" s="367"/>
      <c r="K60" s="510">
        <f t="shared" si="8"/>
        <v>0</v>
      </c>
      <c r="L60" s="620"/>
      <c r="M60" s="249"/>
      <c r="N60" s="621"/>
      <c r="O60" s="372"/>
      <c r="P60" s="373"/>
      <c r="Q60" s="374"/>
    </row>
    <row r="61" spans="1:17" s="159" customFormat="1" x14ac:dyDescent="0.25">
      <c r="A61" s="361"/>
      <c r="B61" s="5"/>
      <c r="C61" s="362"/>
      <c r="D61" s="363" t="s">
        <v>21</v>
      </c>
      <c r="E61" s="247">
        <v>0</v>
      </c>
      <c r="F61" s="364">
        <f t="shared" si="6"/>
        <v>0</v>
      </c>
      <c r="G61" s="509"/>
      <c r="H61" s="366">
        <v>0</v>
      </c>
      <c r="I61" s="364">
        <f t="shared" si="7"/>
        <v>0</v>
      </c>
      <c r="J61" s="367"/>
      <c r="K61" s="510">
        <f t="shared" si="8"/>
        <v>0</v>
      </c>
      <c r="L61" s="369"/>
      <c r="M61" s="249"/>
      <c r="N61" s="409"/>
      <c r="O61" s="372"/>
      <c r="P61" s="373"/>
      <c r="Q61" s="374"/>
    </row>
    <row r="62" spans="1:17" s="159" customFormat="1" ht="13.8" thickBot="1" x14ac:dyDescent="0.3">
      <c r="A62" s="378"/>
      <c r="B62" s="5"/>
      <c r="C62" s="379"/>
      <c r="D62" s="363"/>
      <c r="E62" s="247"/>
      <c r="F62" s="364"/>
      <c r="G62" s="509"/>
      <c r="H62" s="366"/>
      <c r="I62" s="364"/>
      <c r="J62" s="367"/>
      <c r="K62" s="514"/>
      <c r="M62" s="268"/>
      <c r="N62" s="157"/>
      <c r="O62" s="372"/>
      <c r="P62" s="373"/>
      <c r="Q62" s="374"/>
    </row>
    <row r="63" spans="1:17" s="159" customFormat="1" ht="13.8" thickTop="1" x14ac:dyDescent="0.25">
      <c r="A63" s="378"/>
      <c r="B63" s="403"/>
      <c r="C63" s="379"/>
      <c r="D63" s="363"/>
      <c r="E63" s="247"/>
      <c r="F63" s="364"/>
      <c r="G63" s="509"/>
      <c r="H63" s="366"/>
      <c r="I63" s="364"/>
      <c r="J63" s="380" t="s">
        <v>30</v>
      </c>
      <c r="K63" s="511">
        <f>SUM(K55:K62)</f>
        <v>0</v>
      </c>
      <c r="M63" s="268"/>
      <c r="N63" s="157"/>
      <c r="O63" s="372"/>
      <c r="P63" s="373"/>
      <c r="Q63" s="374"/>
    </row>
    <row r="64" spans="1:17" s="159" customFormat="1" ht="13.8" thickBot="1" x14ac:dyDescent="0.3">
      <c r="A64" s="344" t="s">
        <v>0</v>
      </c>
      <c r="B64" s="345" t="s">
        <v>1</v>
      </c>
      <c r="C64" s="1028" t="s">
        <v>646</v>
      </c>
      <c r="D64" s="1028"/>
      <c r="E64" s="1028"/>
      <c r="F64" s="1028"/>
      <c r="G64" s="1028" t="s">
        <v>34</v>
      </c>
      <c r="H64" s="1028"/>
      <c r="I64" s="1028"/>
      <c r="J64" s="346"/>
      <c r="K64" s="503"/>
      <c r="L64" s="382"/>
      <c r="M64" s="346"/>
      <c r="N64" s="419"/>
      <c r="O64" s="372"/>
      <c r="P64" s="373"/>
      <c r="Q64" s="374"/>
    </row>
    <row r="65" spans="1:17" s="159" customFormat="1" ht="16.2" thickBot="1" x14ac:dyDescent="0.35">
      <c r="A65" s="385"/>
      <c r="B65" s="386"/>
      <c r="C65" s="387" t="s">
        <v>19</v>
      </c>
      <c r="D65" s="388" t="s">
        <v>33</v>
      </c>
      <c r="E65" s="389" t="s">
        <v>35</v>
      </c>
      <c r="F65" s="390" t="s">
        <v>30</v>
      </c>
      <c r="G65" s="512" t="s">
        <v>14</v>
      </c>
      <c r="H65" s="389" t="s">
        <v>35</v>
      </c>
      <c r="I65" s="390" t="s">
        <v>30</v>
      </c>
      <c r="J65" s="355" t="s">
        <v>649</v>
      </c>
      <c r="K65" s="513" t="s">
        <v>38</v>
      </c>
      <c r="L65" s="393"/>
      <c r="M65" s="399"/>
      <c r="N65" s="400"/>
      <c r="O65" s="372"/>
      <c r="P65" s="373"/>
      <c r="Q65" s="374"/>
    </row>
    <row r="66" spans="1:17" s="159" customFormat="1" x14ac:dyDescent="0.25">
      <c r="A66" s="396"/>
      <c r="B66" s="397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367"/>
      <c r="K66" s="510">
        <f>F66+I66+J66</f>
        <v>0</v>
      </c>
      <c r="L66" s="369"/>
      <c r="M66" s="370"/>
      <c r="N66" s="371"/>
      <c r="O66" s="372"/>
      <c r="P66" s="373"/>
      <c r="Q66" s="374"/>
    </row>
    <row r="67" spans="1:17" s="159" customFormat="1" x14ac:dyDescent="0.25">
      <c r="A67" s="361"/>
      <c r="B67" s="5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367"/>
      <c r="K67" s="510">
        <f>F67+I67+J67</f>
        <v>0</v>
      </c>
      <c r="L67" s="369"/>
      <c r="M67" s="370"/>
      <c r="N67" s="371"/>
      <c r="O67" s="372"/>
      <c r="P67" s="373"/>
      <c r="Q67" s="374"/>
    </row>
    <row r="68" spans="1:17" s="159" customFormat="1" x14ac:dyDescent="0.25">
      <c r="A68" s="361"/>
      <c r="B68" s="5"/>
      <c r="C68" s="362"/>
      <c r="D68" s="363" t="s">
        <v>21</v>
      </c>
      <c r="E68" s="247">
        <v>0</v>
      </c>
      <c r="F68" s="364">
        <f>C68*E68</f>
        <v>0</v>
      </c>
      <c r="G68" s="509"/>
      <c r="H68" s="366">
        <v>0</v>
      </c>
      <c r="I68" s="364">
        <f>G68*H68</f>
        <v>0</v>
      </c>
      <c r="J68" s="367"/>
      <c r="K68" s="510">
        <f>F68+I68+J68</f>
        <v>0</v>
      </c>
      <c r="L68" s="369"/>
      <c r="M68" s="370"/>
      <c r="N68" s="371"/>
      <c r="O68" s="372"/>
      <c r="P68" s="373"/>
      <c r="Q68" s="374"/>
    </row>
    <row r="69" spans="1:17" s="159" customFormat="1" x14ac:dyDescent="0.25">
      <c r="A69" s="361"/>
      <c r="B69" s="5"/>
      <c r="C69" s="362"/>
      <c r="D69" s="363" t="s">
        <v>21</v>
      </c>
      <c r="E69" s="247">
        <v>0</v>
      </c>
      <c r="F69" s="364">
        <f>C69*E69</f>
        <v>0</v>
      </c>
      <c r="G69" s="509"/>
      <c r="H69" s="366">
        <v>0</v>
      </c>
      <c r="I69" s="364">
        <f>G69*H69</f>
        <v>0</v>
      </c>
      <c r="J69" s="367"/>
      <c r="K69" s="510">
        <f>F69+I69+J69</f>
        <v>0</v>
      </c>
      <c r="M69" s="268"/>
      <c r="N69" s="157"/>
      <c r="O69" s="372"/>
      <c r="P69" s="373"/>
      <c r="Q69" s="374"/>
    </row>
    <row r="70" spans="1:17" s="159" customFormat="1" x14ac:dyDescent="0.25">
      <c r="A70" s="361"/>
      <c r="B70" s="5"/>
      <c r="C70" s="362"/>
      <c r="D70" s="363" t="s">
        <v>21</v>
      </c>
      <c r="E70" s="247">
        <v>0</v>
      </c>
      <c r="F70" s="364">
        <f>C70*E70</f>
        <v>0</v>
      </c>
      <c r="G70" s="509"/>
      <c r="H70" s="366">
        <v>0</v>
      </c>
      <c r="I70" s="364">
        <f>G70*H70</f>
        <v>0</v>
      </c>
      <c r="J70" s="367"/>
      <c r="K70" s="510">
        <f>F70+I70+J70</f>
        <v>0</v>
      </c>
      <c r="M70" s="268"/>
      <c r="N70" s="157"/>
      <c r="O70" s="372"/>
      <c r="P70" s="373"/>
      <c r="Q70" s="374"/>
    </row>
    <row r="71" spans="1:17" s="159" customFormat="1" ht="13.8" thickBot="1" x14ac:dyDescent="0.3">
      <c r="A71" s="378"/>
      <c r="B71" s="5"/>
      <c r="C71" s="379"/>
      <c r="D71" s="363"/>
      <c r="E71" s="247"/>
      <c r="F71" s="364"/>
      <c r="G71" s="509"/>
      <c r="H71" s="366"/>
      <c r="I71" s="364"/>
      <c r="J71" s="367"/>
      <c r="K71" s="514"/>
      <c r="M71" s="268"/>
      <c r="N71" s="157"/>
      <c r="O71" s="372"/>
      <c r="P71" s="373"/>
      <c r="Q71" s="374"/>
    </row>
    <row r="72" spans="1:17" s="159" customFormat="1" ht="13.8" thickTop="1" x14ac:dyDescent="0.25">
      <c r="A72" s="378"/>
      <c r="B72" s="403"/>
      <c r="C72" s="379"/>
      <c r="D72" s="363"/>
      <c r="E72" s="247"/>
      <c r="F72" s="364"/>
      <c r="G72" s="509"/>
      <c r="H72" s="366"/>
      <c r="I72" s="364"/>
      <c r="J72" s="380" t="s">
        <v>30</v>
      </c>
      <c r="K72" s="511">
        <f>SUM(K66:K71)</f>
        <v>0</v>
      </c>
      <c r="M72" s="268"/>
      <c r="N72" s="157"/>
      <c r="O72" s="372"/>
      <c r="P72" s="373"/>
      <c r="Q72" s="374"/>
    </row>
    <row r="73" spans="1:17" s="159" customFormat="1" ht="13.8" thickBot="1" x14ac:dyDescent="0.3">
      <c r="A73" s="344" t="s">
        <v>0</v>
      </c>
      <c r="B73" s="345" t="s">
        <v>1</v>
      </c>
      <c r="C73" s="1028" t="s">
        <v>646</v>
      </c>
      <c r="D73" s="1028"/>
      <c r="E73" s="1028"/>
      <c r="F73" s="1028"/>
      <c r="G73" s="1028" t="s">
        <v>34</v>
      </c>
      <c r="H73" s="1028"/>
      <c r="I73" s="1028"/>
      <c r="J73" s="346"/>
      <c r="K73" s="503"/>
      <c r="L73" s="382"/>
      <c r="M73" s="383"/>
      <c r="N73" s="384"/>
      <c r="O73" s="372"/>
      <c r="P73" s="373"/>
      <c r="Q73" s="374"/>
    </row>
    <row r="74" spans="1:17" s="159" customFormat="1" ht="16.2" thickBot="1" x14ac:dyDescent="0.35">
      <c r="A74" s="385"/>
      <c r="B74" s="386"/>
      <c r="C74" s="387" t="s">
        <v>19</v>
      </c>
      <c r="D74" s="388" t="s">
        <v>33</v>
      </c>
      <c r="E74" s="389" t="s">
        <v>35</v>
      </c>
      <c r="F74" s="390" t="s">
        <v>30</v>
      </c>
      <c r="G74" s="512" t="s">
        <v>14</v>
      </c>
      <c r="H74" s="389" t="s">
        <v>35</v>
      </c>
      <c r="I74" s="390" t="s">
        <v>30</v>
      </c>
      <c r="J74" s="355" t="s">
        <v>649</v>
      </c>
      <c r="K74" s="513" t="s">
        <v>38</v>
      </c>
      <c r="L74" s="393"/>
      <c r="M74" s="394"/>
      <c r="N74" s="395"/>
      <c r="O74" s="372"/>
      <c r="P74" s="373"/>
      <c r="Q74" s="374"/>
    </row>
    <row r="75" spans="1:17" s="159" customFormat="1" x14ac:dyDescent="0.25">
      <c r="A75" s="396"/>
      <c r="B75" s="397"/>
      <c r="C75" s="362"/>
      <c r="D75" s="363" t="s">
        <v>21</v>
      </c>
      <c r="E75" s="247">
        <v>0</v>
      </c>
      <c r="F75" s="364">
        <f>C75*E75</f>
        <v>0</v>
      </c>
      <c r="G75" s="509"/>
      <c r="H75" s="366">
        <v>0</v>
      </c>
      <c r="I75" s="364">
        <f>G75*H75</f>
        <v>0</v>
      </c>
      <c r="J75" s="367"/>
      <c r="K75" s="510">
        <f>F75+I75+J75</f>
        <v>0</v>
      </c>
      <c r="L75" s="369"/>
      <c r="M75" s="370"/>
      <c r="N75" s="371"/>
      <c r="O75" s="372"/>
      <c r="P75" s="373"/>
      <c r="Q75" s="374"/>
    </row>
    <row r="76" spans="1:17" s="159" customFormat="1" x14ac:dyDescent="0.25">
      <c r="A76" s="361"/>
      <c r="B76" s="5"/>
      <c r="C76" s="362"/>
      <c r="D76" s="363" t="s">
        <v>21</v>
      </c>
      <c r="E76" s="247">
        <v>0</v>
      </c>
      <c r="F76" s="364">
        <f>C76*E76</f>
        <v>0</v>
      </c>
      <c r="G76" s="509"/>
      <c r="H76" s="366">
        <v>0</v>
      </c>
      <c r="I76" s="364">
        <f>G76*H76</f>
        <v>0</v>
      </c>
      <c r="J76" s="367"/>
      <c r="K76" s="510">
        <f>F76+I76+J76</f>
        <v>0</v>
      </c>
      <c r="L76" s="617"/>
      <c r="M76" s="618"/>
      <c r="N76" s="619"/>
      <c r="O76" s="372"/>
      <c r="P76" s="373"/>
      <c r="Q76" s="374"/>
    </row>
    <row r="77" spans="1:17" s="159" customFormat="1" x14ac:dyDescent="0.25">
      <c r="A77" s="361"/>
      <c r="B77" s="5"/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367"/>
      <c r="K77" s="510">
        <f>F77+I77+J77</f>
        <v>0</v>
      </c>
      <c r="L77" s="620"/>
      <c r="M77" s="622"/>
      <c r="N77" s="621"/>
      <c r="O77" s="372"/>
      <c r="P77" s="373"/>
      <c r="Q77" s="374"/>
    </row>
    <row r="78" spans="1:17" s="159" customFormat="1" ht="13.8" thickBot="1" x14ac:dyDescent="0.3">
      <c r="A78" s="378"/>
      <c r="B78" s="5"/>
      <c r="C78" s="379"/>
      <c r="D78" s="363"/>
      <c r="E78" s="247"/>
      <c r="F78" s="364"/>
      <c r="G78" s="509"/>
      <c r="H78" s="366"/>
      <c r="I78" s="364"/>
      <c r="J78" s="367"/>
      <c r="K78" s="514"/>
      <c r="L78" s="369"/>
      <c r="M78" s="370"/>
      <c r="N78" s="371"/>
      <c r="O78" s="372"/>
      <c r="P78" s="373"/>
      <c r="Q78" s="374"/>
    </row>
    <row r="79" spans="1:17" s="159" customFormat="1" ht="13.8" thickTop="1" x14ac:dyDescent="0.25">
      <c r="A79" s="378"/>
      <c r="B79" s="157"/>
      <c r="C79" s="379"/>
      <c r="D79" s="363"/>
      <c r="E79" s="247"/>
      <c r="F79" s="364"/>
      <c r="G79" s="509"/>
      <c r="H79" s="366"/>
      <c r="I79" s="364"/>
      <c r="J79" s="380" t="s">
        <v>30</v>
      </c>
      <c r="K79" s="511">
        <f>SUM(K75:K78)</f>
        <v>0</v>
      </c>
      <c r="L79" s="369"/>
      <c r="M79" s="370"/>
      <c r="N79" s="371"/>
      <c r="O79" s="372"/>
      <c r="P79" s="373"/>
      <c r="Q79" s="374"/>
    </row>
    <row r="80" spans="1:17" s="159" customFormat="1" ht="13.8" thickBot="1" x14ac:dyDescent="0.3">
      <c r="A80" s="344" t="s">
        <v>0</v>
      </c>
      <c r="B80" s="345" t="s">
        <v>1</v>
      </c>
      <c r="C80" s="1028" t="s">
        <v>646</v>
      </c>
      <c r="D80" s="1028"/>
      <c r="E80" s="1028"/>
      <c r="F80" s="1028"/>
      <c r="G80" s="1028" t="s">
        <v>34</v>
      </c>
      <c r="H80" s="1028"/>
      <c r="I80" s="1028"/>
      <c r="J80" s="346"/>
      <c r="K80" s="503"/>
      <c r="L80" s="382"/>
      <c r="M80" s="383"/>
      <c r="N80" s="384"/>
      <c r="O80" s="372"/>
      <c r="P80" s="373"/>
      <c r="Q80" s="374"/>
    </row>
    <row r="81" spans="1:17" s="159" customFormat="1" ht="16.2" thickBot="1" x14ac:dyDescent="0.35">
      <c r="A81" s="385"/>
      <c r="B81" s="386"/>
      <c r="C81" s="387" t="s">
        <v>19</v>
      </c>
      <c r="D81" s="388" t="s">
        <v>33</v>
      </c>
      <c r="E81" s="389" t="s">
        <v>35</v>
      </c>
      <c r="F81" s="390" t="s">
        <v>30</v>
      </c>
      <c r="G81" s="512" t="s">
        <v>14</v>
      </c>
      <c r="H81" s="389" t="s">
        <v>35</v>
      </c>
      <c r="I81" s="390" t="s">
        <v>30</v>
      </c>
      <c r="J81" s="355" t="s">
        <v>649</v>
      </c>
      <c r="K81" s="513" t="s">
        <v>38</v>
      </c>
      <c r="L81" s="393"/>
      <c r="M81" s="394"/>
      <c r="N81" s="395"/>
      <c r="O81" s="372"/>
      <c r="P81" s="373"/>
      <c r="Q81" s="374"/>
    </row>
    <row r="82" spans="1:17" s="159" customFormat="1" x14ac:dyDescent="0.25">
      <c r="A82" s="396"/>
      <c r="B82" s="397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M82" s="268"/>
      <c r="N82" s="157"/>
      <c r="O82" s="372"/>
      <c r="P82" s="373"/>
      <c r="Q82" s="374"/>
    </row>
    <row r="83" spans="1:17" s="159" customFormat="1" x14ac:dyDescent="0.25">
      <c r="A83" s="361"/>
      <c r="B83" s="5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367"/>
      <c r="K83" s="510">
        <f>F83+I83+J83</f>
        <v>0</v>
      </c>
      <c r="M83" s="268"/>
      <c r="N83" s="157"/>
      <c r="O83" s="372"/>
      <c r="P83" s="373"/>
      <c r="Q83" s="374"/>
    </row>
    <row r="84" spans="1:17" s="159" customFormat="1" x14ac:dyDescent="0.25">
      <c r="A84" s="361"/>
      <c r="C84" s="362"/>
      <c r="D84" s="363" t="s">
        <v>21</v>
      </c>
      <c r="E84" s="247">
        <v>0</v>
      </c>
      <c r="F84" s="364">
        <f>C84*E84</f>
        <v>0</v>
      </c>
      <c r="G84" s="509"/>
      <c r="H84" s="366">
        <v>0</v>
      </c>
      <c r="I84" s="364">
        <f>G84*H84</f>
        <v>0</v>
      </c>
      <c r="J84" s="367"/>
      <c r="K84" s="510">
        <f>F84+I84+J84</f>
        <v>0</v>
      </c>
      <c r="M84" s="268"/>
      <c r="N84" s="157"/>
      <c r="O84" s="372"/>
      <c r="P84" s="373"/>
      <c r="Q84" s="374"/>
    </row>
    <row r="85" spans="1:17" s="159" customFormat="1" x14ac:dyDescent="0.25">
      <c r="A85" s="361"/>
      <c r="B85" s="5"/>
      <c r="C85" s="362"/>
      <c r="D85" s="363" t="s">
        <v>21</v>
      </c>
      <c r="E85" s="247">
        <v>0</v>
      </c>
      <c r="F85" s="364">
        <f>C85*E85</f>
        <v>0</v>
      </c>
      <c r="G85" s="509"/>
      <c r="H85" s="366">
        <v>0</v>
      </c>
      <c r="I85" s="364">
        <f>G85*H85</f>
        <v>0</v>
      </c>
      <c r="J85" s="367"/>
      <c r="K85" s="510">
        <f>F85+I85+J85</f>
        <v>0</v>
      </c>
      <c r="L85" s="369"/>
      <c r="M85" s="370"/>
      <c r="N85" s="371"/>
      <c r="O85" s="372"/>
      <c r="P85" s="373"/>
      <c r="Q85" s="374"/>
    </row>
    <row r="86" spans="1:17" s="159" customFormat="1" x14ac:dyDescent="0.25">
      <c r="A86" s="361"/>
      <c r="B86" s="5"/>
      <c r="C86" s="362"/>
      <c r="D86" s="363" t="s">
        <v>21</v>
      </c>
      <c r="E86" s="247">
        <v>0</v>
      </c>
      <c r="F86" s="364">
        <f>C86*E86</f>
        <v>0</v>
      </c>
      <c r="G86" s="509"/>
      <c r="H86" s="366">
        <v>0</v>
      </c>
      <c r="I86" s="364">
        <f>G86*H86</f>
        <v>0</v>
      </c>
      <c r="J86" s="367"/>
      <c r="K86" s="510">
        <f>F86+I86+J86</f>
        <v>0</v>
      </c>
      <c r="L86" s="369"/>
      <c r="M86" s="370"/>
      <c r="N86" s="371"/>
      <c r="O86" s="372"/>
      <c r="P86" s="373"/>
      <c r="Q86" s="374"/>
    </row>
    <row r="87" spans="1:17" s="159" customFormat="1" ht="13.8" thickBot="1" x14ac:dyDescent="0.3">
      <c r="A87" s="378"/>
      <c r="B87" s="5"/>
      <c r="C87" s="379"/>
      <c r="D87" s="363"/>
      <c r="E87" s="247"/>
      <c r="F87" s="364"/>
      <c r="G87" s="509"/>
      <c r="H87" s="366"/>
      <c r="I87" s="364"/>
      <c r="J87" s="367"/>
      <c r="K87" s="514"/>
      <c r="L87" s="369"/>
      <c r="M87" s="370"/>
      <c r="N87" s="371"/>
      <c r="O87" s="372"/>
      <c r="P87" s="373"/>
      <c r="Q87" s="374"/>
    </row>
    <row r="88" spans="1:17" s="159" customFormat="1" ht="13.8" thickTop="1" x14ac:dyDescent="0.25">
      <c r="A88" s="378"/>
      <c r="B88" s="403"/>
      <c r="C88" s="379"/>
      <c r="D88" s="363"/>
      <c r="E88" s="247"/>
      <c r="F88" s="364"/>
      <c r="G88" s="509"/>
      <c r="H88" s="366"/>
      <c r="I88" s="364"/>
      <c r="J88" s="380" t="s">
        <v>30</v>
      </c>
      <c r="K88" s="511">
        <f>SUM(K82:K87)</f>
        <v>0</v>
      </c>
      <c r="M88" s="268"/>
      <c r="N88" s="157"/>
      <c r="O88" s="372"/>
      <c r="P88" s="373"/>
      <c r="Q88" s="374"/>
    </row>
    <row r="89" spans="1:17" s="159" customFormat="1" ht="13.8" thickBot="1" x14ac:dyDescent="0.3">
      <c r="A89" s="344" t="s">
        <v>0</v>
      </c>
      <c r="B89" s="345" t="s">
        <v>1</v>
      </c>
      <c r="C89" s="1028" t="s">
        <v>646</v>
      </c>
      <c r="D89" s="1028"/>
      <c r="E89" s="1028"/>
      <c r="F89" s="1028"/>
      <c r="G89" s="1028" t="s">
        <v>34</v>
      </c>
      <c r="H89" s="1028"/>
      <c r="I89" s="1028"/>
      <c r="J89" s="346"/>
      <c r="K89" s="503"/>
      <c r="L89" s="382"/>
      <c r="M89" s="383"/>
      <c r="N89" s="384"/>
      <c r="O89" s="372"/>
      <c r="P89" s="373"/>
      <c r="Q89" s="374"/>
    </row>
    <row r="90" spans="1:17" s="159" customFormat="1" ht="16.2" thickBot="1" x14ac:dyDescent="0.35">
      <c r="A90" s="385"/>
      <c r="B90" s="386"/>
      <c r="C90" s="387" t="s">
        <v>19</v>
      </c>
      <c r="D90" s="388" t="s">
        <v>33</v>
      </c>
      <c r="E90" s="389" t="s">
        <v>35</v>
      </c>
      <c r="F90" s="390" t="s">
        <v>30</v>
      </c>
      <c r="G90" s="512" t="s">
        <v>14</v>
      </c>
      <c r="H90" s="389" t="s">
        <v>35</v>
      </c>
      <c r="I90" s="390" t="s">
        <v>30</v>
      </c>
      <c r="J90" s="355" t="s">
        <v>649</v>
      </c>
      <c r="K90" s="513" t="s">
        <v>38</v>
      </c>
      <c r="L90" s="393"/>
      <c r="M90" s="394"/>
      <c r="N90" s="395"/>
      <c r="O90" s="372"/>
      <c r="P90" s="373"/>
      <c r="Q90" s="374"/>
    </row>
    <row r="91" spans="1:17" s="159" customFormat="1" x14ac:dyDescent="0.25">
      <c r="A91" s="396"/>
      <c r="B91" s="397"/>
      <c r="C91" s="362"/>
      <c r="D91" s="363" t="s">
        <v>21</v>
      </c>
      <c r="E91" s="247">
        <v>0</v>
      </c>
      <c r="F91" s="364">
        <f>C91*E91</f>
        <v>0</v>
      </c>
      <c r="G91" s="509"/>
      <c r="H91" s="366">
        <v>0</v>
      </c>
      <c r="I91" s="364">
        <f>G91*H91</f>
        <v>0</v>
      </c>
      <c r="J91" s="367"/>
      <c r="K91" s="510">
        <f>F91+I91+J91</f>
        <v>0</v>
      </c>
      <c r="L91" s="369"/>
      <c r="M91" s="370"/>
      <c r="N91" s="371"/>
      <c r="O91" s="372"/>
      <c r="P91" s="373"/>
      <c r="Q91" s="374"/>
    </row>
    <row r="92" spans="1:17" s="159" customFormat="1" x14ac:dyDescent="0.25">
      <c r="A92" s="361"/>
      <c r="B92" s="5"/>
      <c r="C92" s="362"/>
      <c r="D92" s="363" t="s">
        <v>21</v>
      </c>
      <c r="E92" s="247">
        <v>0</v>
      </c>
      <c r="F92" s="364">
        <f>C92*E92</f>
        <v>0</v>
      </c>
      <c r="G92" s="509"/>
      <c r="H92" s="366">
        <v>0</v>
      </c>
      <c r="I92" s="364">
        <f>G92*H92</f>
        <v>0</v>
      </c>
      <c r="J92" s="367"/>
      <c r="K92" s="510">
        <f>F92+I92+J92</f>
        <v>0</v>
      </c>
      <c r="L92" s="623"/>
      <c r="M92" s="624"/>
      <c r="N92" s="625"/>
      <c r="O92" s="372"/>
      <c r="P92" s="373"/>
      <c r="Q92" s="374"/>
    </row>
    <row r="93" spans="1:17" s="159" customFormat="1" x14ac:dyDescent="0.25">
      <c r="A93" s="361"/>
      <c r="B93" s="5"/>
      <c r="C93" s="362"/>
      <c r="D93" s="363" t="s">
        <v>21</v>
      </c>
      <c r="E93" s="247">
        <v>0</v>
      </c>
      <c r="F93" s="364">
        <f>C93*E93</f>
        <v>0</v>
      </c>
      <c r="G93" s="509"/>
      <c r="H93" s="366">
        <v>0</v>
      </c>
      <c r="I93" s="364">
        <f>G93*H93</f>
        <v>0</v>
      </c>
      <c r="J93" s="367"/>
      <c r="K93" s="510">
        <f>F93+I93+J93</f>
        <v>0</v>
      </c>
      <c r="L93" s="623"/>
      <c r="M93" s="624"/>
      <c r="N93" s="626"/>
      <c r="O93" s="372"/>
      <c r="P93" s="373"/>
      <c r="Q93" s="374"/>
    </row>
    <row r="94" spans="1:17" s="159" customFormat="1" x14ac:dyDescent="0.25">
      <c r="A94" s="361"/>
      <c r="B94" s="5"/>
      <c r="C94" s="362"/>
      <c r="D94" s="363" t="s">
        <v>21</v>
      </c>
      <c r="E94" s="247">
        <v>0</v>
      </c>
      <c r="F94" s="364">
        <f>C94*E94</f>
        <v>0</v>
      </c>
      <c r="G94" s="509"/>
      <c r="H94" s="366">
        <v>0</v>
      </c>
      <c r="I94" s="364">
        <f>G94*H94</f>
        <v>0</v>
      </c>
      <c r="J94" s="367"/>
      <c r="K94" s="510">
        <f>F94+I94+J94</f>
        <v>0</v>
      </c>
      <c r="L94" s="623"/>
      <c r="M94" s="624"/>
      <c r="N94" s="626"/>
      <c r="O94" s="372"/>
      <c r="P94" s="373"/>
      <c r="Q94" s="374"/>
    </row>
    <row r="95" spans="1:17" s="159" customFormat="1" ht="13.8" thickBot="1" x14ac:dyDescent="0.3">
      <c r="A95" s="378"/>
      <c r="B95" s="403"/>
      <c r="C95" s="362"/>
      <c r="D95" s="363"/>
      <c r="E95" s="247"/>
      <c r="F95" s="364"/>
      <c r="G95" s="509"/>
      <c r="H95" s="366"/>
      <c r="I95" s="364"/>
      <c r="J95" s="367"/>
      <c r="K95" s="510"/>
      <c r="L95" s="623"/>
      <c r="M95" s="624"/>
      <c r="N95" s="626"/>
      <c r="O95" s="372"/>
      <c r="P95" s="373"/>
      <c r="Q95" s="374"/>
    </row>
    <row r="96" spans="1:17" s="159" customFormat="1" ht="14.4" thickTop="1" thickBot="1" x14ac:dyDescent="0.3">
      <c r="A96" s="450"/>
      <c r="B96" s="156"/>
      <c r="C96" s="451"/>
      <c r="D96" s="452"/>
      <c r="E96" s="453"/>
      <c r="F96" s="454"/>
      <c r="G96" s="591"/>
      <c r="H96" s="453"/>
      <c r="I96" s="454"/>
      <c r="J96" s="456" t="s">
        <v>30</v>
      </c>
      <c r="K96" s="592">
        <f>SUM(K91:K95)</f>
        <v>0</v>
      </c>
      <c r="L96" s="623"/>
      <c r="M96" s="624"/>
      <c r="N96" s="626"/>
      <c r="O96" s="372"/>
      <c r="P96" s="373"/>
      <c r="Q96" s="374"/>
    </row>
    <row r="97" spans="1:17" s="159" customFormat="1" ht="14.1" customHeight="1" thickBot="1" x14ac:dyDescent="0.3">
      <c r="A97" s="458"/>
      <c r="B97" s="459"/>
      <c r="C97" s="460"/>
      <c r="D97" s="460"/>
      <c r="E97" s="461"/>
      <c r="F97" s="1038" t="s">
        <v>648</v>
      </c>
      <c r="G97" s="1040" t="s">
        <v>673</v>
      </c>
      <c r="H97" s="461"/>
      <c r="I97" s="1042" t="s">
        <v>647</v>
      </c>
      <c r="J97" s="1044" t="s">
        <v>674</v>
      </c>
      <c r="K97" s="1121" t="s">
        <v>31</v>
      </c>
      <c r="L97" s="627"/>
      <c r="M97" s="628"/>
      <c r="N97" s="629"/>
      <c r="O97" s="441"/>
      <c r="P97" s="442"/>
      <c r="Q97" s="443"/>
    </row>
    <row r="98" spans="1:17" s="159" customFormat="1" ht="14.4" thickTop="1" x14ac:dyDescent="0.25">
      <c r="A98" s="462" t="s">
        <v>32</v>
      </c>
      <c r="B98" s="1031" t="s">
        <v>658</v>
      </c>
      <c r="C98" s="463"/>
      <c r="D98" s="464"/>
      <c r="E98" s="464"/>
      <c r="F98" s="1039"/>
      <c r="G98" s="1041"/>
      <c r="H98" s="465"/>
      <c r="I98" s="1043"/>
      <c r="J98" s="1045"/>
      <c r="K98" s="1122"/>
      <c r="M98" s="268"/>
      <c r="N98" s="157"/>
      <c r="O98" s="294"/>
      <c r="P98" s="294"/>
    </row>
    <row r="99" spans="1:17" s="159" customFormat="1" ht="13.8" x14ac:dyDescent="0.25">
      <c r="A99" s="780">
        <f>K99/E6</f>
        <v>32.56666666666667</v>
      </c>
      <c r="B99" s="1031"/>
      <c r="C99" s="464"/>
      <c r="D99" s="464"/>
      <c r="E99" s="464"/>
      <c r="F99" s="1032">
        <f>SUM(F91:F95,F82:F87,F75:F78,F66:F71,F55:F61,F46:F51,F38:F42,F27:F34,F11:F23)</f>
        <v>0</v>
      </c>
      <c r="G99" s="1034">
        <f>SUM(G91:G95,G82:G87,G75:G78,G66:G71,G55:G61,G46:G51,G38:G42,G27:G34,G11:G23)</f>
        <v>0</v>
      </c>
      <c r="H99" s="465"/>
      <c r="I99" s="1032">
        <f>SUM(I91:I95,I82:I87,I75:I78,I66:I71,I55:I61,I46:I51,I38:I42,I27:I34,I11:I23)</f>
        <v>0</v>
      </c>
      <c r="J99" s="1032">
        <f>SUM(J91:J95,J82:J87,J75:J78,J66:J71,J55:J61,J46:J51,J38:J42,J27:J34,J11:J23)</f>
        <v>19540</v>
      </c>
      <c r="K99" s="1119">
        <f>SUM(K96,K88,K79,K72,K63,K52,K43,K35,K24)</f>
        <v>19540</v>
      </c>
      <c r="M99" s="268"/>
      <c r="N99" s="157"/>
      <c r="O99" s="294"/>
      <c r="P99" s="294"/>
    </row>
    <row r="100" spans="1:17" s="159" customFormat="1" ht="14.4" thickBot="1" x14ac:dyDescent="0.3">
      <c r="A100" s="462"/>
      <c r="B100" s="529"/>
      <c r="C100" s="468"/>
      <c r="D100" s="468"/>
      <c r="E100" s="468"/>
      <c r="F100" s="1033"/>
      <c r="G100" s="1035"/>
      <c r="H100" s="468"/>
      <c r="I100" s="1033"/>
      <c r="J100" s="1033"/>
      <c r="K100" s="1120"/>
      <c r="M100" s="268"/>
      <c r="N100" s="157"/>
      <c r="O100" s="294"/>
      <c r="P100" s="294"/>
    </row>
    <row r="101" spans="1:17" s="159" customFormat="1" ht="13.8" thickBot="1" x14ac:dyDescent="0.3">
      <c r="A101" s="469"/>
      <c r="B101" s="470"/>
      <c r="C101" s="470"/>
      <c r="D101" s="470"/>
      <c r="E101" s="470"/>
      <c r="F101" s="470"/>
      <c r="G101" s="470"/>
      <c r="H101" s="470"/>
      <c r="I101" s="470"/>
      <c r="J101" s="470"/>
      <c r="K101" s="471"/>
      <c r="M101" s="268"/>
      <c r="N101" s="157"/>
      <c r="O101" s="294"/>
      <c r="P101" s="294"/>
    </row>
    <row r="102" spans="1:17" s="159" customFormat="1" x14ac:dyDescent="0.25">
      <c r="C102" s="611"/>
      <c r="D102" s="611"/>
      <c r="M102" s="268"/>
      <c r="N102" s="157"/>
      <c r="O102" s="294"/>
      <c r="P102" s="294"/>
    </row>
    <row r="103" spans="1:17" s="159" customFormat="1" x14ac:dyDescent="0.25">
      <c r="C103" s="611"/>
      <c r="D103" s="611"/>
      <c r="M103" s="268"/>
      <c r="N103" s="157"/>
      <c r="O103" s="294"/>
      <c r="P103" s="294"/>
    </row>
    <row r="104" spans="1:17" s="159" customFormat="1" x14ac:dyDescent="0.25">
      <c r="C104" s="611"/>
      <c r="D104" s="611"/>
      <c r="M104" s="268"/>
      <c r="N104" s="157"/>
      <c r="O104" s="294"/>
      <c r="P104" s="294"/>
    </row>
    <row r="105" spans="1:17" s="159" customFormat="1" x14ac:dyDescent="0.25">
      <c r="C105" s="611"/>
      <c r="D105" s="611"/>
      <c r="M105" s="268"/>
      <c r="N105" s="157"/>
      <c r="O105" s="294"/>
      <c r="P105" s="294"/>
    </row>
    <row r="106" spans="1:17" s="159" customFormat="1" x14ac:dyDescent="0.25">
      <c r="C106" s="611"/>
      <c r="D106" s="611"/>
      <c r="M106" s="268"/>
      <c r="N106" s="157"/>
      <c r="O106" s="294"/>
      <c r="P106" s="294"/>
    </row>
    <row r="107" spans="1:17" s="159" customFormat="1" x14ac:dyDescent="0.25">
      <c r="C107" s="611"/>
      <c r="D107" s="611"/>
      <c r="M107" s="268"/>
      <c r="N107" s="157"/>
      <c r="O107" s="294"/>
      <c r="P107" s="294"/>
    </row>
    <row r="108" spans="1:17" s="159" customFormat="1" x14ac:dyDescent="0.25">
      <c r="C108" s="611"/>
      <c r="D108" s="611"/>
      <c r="M108" s="268"/>
      <c r="N108" s="157"/>
      <c r="O108" s="294"/>
      <c r="P108" s="294"/>
    </row>
    <row r="109" spans="1:17" s="159" customFormat="1" x14ac:dyDescent="0.25">
      <c r="C109" s="611"/>
      <c r="D109" s="611"/>
      <c r="M109" s="268"/>
      <c r="N109" s="157"/>
      <c r="O109" s="294"/>
      <c r="P109" s="294"/>
    </row>
    <row r="110" spans="1:17" s="159" customFormat="1" x14ac:dyDescent="0.25">
      <c r="C110" s="611"/>
      <c r="D110" s="611"/>
      <c r="M110" s="268"/>
      <c r="N110" s="157"/>
      <c r="O110" s="294"/>
      <c r="P110" s="294"/>
    </row>
    <row r="111" spans="1:17" s="159" customFormat="1" x14ac:dyDescent="0.25">
      <c r="C111" s="611"/>
      <c r="D111" s="611"/>
      <c r="M111" s="268"/>
      <c r="N111" s="157"/>
      <c r="O111" s="294"/>
      <c r="P111" s="294"/>
    </row>
    <row r="112" spans="1:17" s="159" customFormat="1" x14ac:dyDescent="0.25">
      <c r="C112" s="611"/>
      <c r="D112" s="611"/>
      <c r="M112" s="268"/>
      <c r="N112" s="157"/>
      <c r="O112" s="294"/>
      <c r="P112" s="294"/>
    </row>
    <row r="113" spans="3:16" s="159" customFormat="1" x14ac:dyDescent="0.25">
      <c r="C113" s="611"/>
      <c r="D113" s="611"/>
      <c r="M113" s="268"/>
      <c r="N113" s="157"/>
      <c r="O113" s="294"/>
      <c r="P113" s="294"/>
    </row>
    <row r="114" spans="3:16" s="159" customFormat="1" x14ac:dyDescent="0.25">
      <c r="C114" s="611"/>
      <c r="D114" s="611"/>
      <c r="M114" s="268"/>
      <c r="N114" s="157"/>
      <c r="O114" s="294"/>
      <c r="P114" s="294"/>
    </row>
    <row r="115" spans="3:16" s="159" customFormat="1" x14ac:dyDescent="0.25">
      <c r="C115" s="611"/>
      <c r="D115" s="611"/>
      <c r="M115" s="268"/>
      <c r="N115" s="157"/>
      <c r="O115" s="294"/>
      <c r="P115" s="294"/>
    </row>
    <row r="116" spans="3:16" s="159" customFormat="1" x14ac:dyDescent="0.25">
      <c r="C116" s="611"/>
      <c r="D116" s="611"/>
      <c r="M116" s="268"/>
      <c r="N116" s="157"/>
      <c r="O116" s="294"/>
      <c r="P116" s="294"/>
    </row>
    <row r="117" spans="3:16" s="159" customFormat="1" x14ac:dyDescent="0.25">
      <c r="C117" s="611"/>
      <c r="D117" s="611"/>
      <c r="M117" s="268"/>
      <c r="N117" s="157"/>
      <c r="O117" s="294"/>
      <c r="P117" s="294"/>
    </row>
    <row r="118" spans="3:16" s="159" customFormat="1" x14ac:dyDescent="0.25">
      <c r="C118" s="611"/>
      <c r="D118" s="611"/>
      <c r="M118" s="268"/>
      <c r="N118" s="157"/>
      <c r="O118" s="294"/>
      <c r="P118" s="294"/>
    </row>
    <row r="119" spans="3:16" s="159" customFormat="1" x14ac:dyDescent="0.25">
      <c r="C119" s="611"/>
      <c r="D119" s="611"/>
      <c r="M119" s="268"/>
      <c r="N119" s="157"/>
      <c r="O119" s="294"/>
      <c r="P119" s="294"/>
    </row>
    <row r="120" spans="3:16" s="159" customFormat="1" x14ac:dyDescent="0.25">
      <c r="C120" s="611"/>
      <c r="D120" s="611"/>
      <c r="M120" s="268"/>
      <c r="N120" s="157"/>
      <c r="O120" s="294"/>
      <c r="P120" s="294"/>
    </row>
    <row r="121" spans="3:16" s="159" customFormat="1" x14ac:dyDescent="0.25">
      <c r="C121" s="611"/>
      <c r="D121" s="611"/>
      <c r="M121" s="268"/>
      <c r="N121" s="157"/>
      <c r="O121" s="294"/>
      <c r="P121" s="294"/>
    </row>
    <row r="122" spans="3:16" s="159" customFormat="1" x14ac:dyDescent="0.25">
      <c r="C122" s="611"/>
      <c r="D122" s="611"/>
      <c r="M122" s="268"/>
      <c r="N122" s="157"/>
      <c r="O122" s="294"/>
      <c r="P122" s="294"/>
    </row>
    <row r="123" spans="3:16" s="159" customFormat="1" x14ac:dyDescent="0.25">
      <c r="C123" s="611"/>
      <c r="D123" s="611"/>
      <c r="M123" s="268"/>
      <c r="N123" s="157"/>
      <c r="O123" s="294"/>
      <c r="P123" s="294"/>
    </row>
    <row r="124" spans="3:16" s="159" customFormat="1" x14ac:dyDescent="0.25">
      <c r="C124" s="611"/>
      <c r="D124" s="611"/>
      <c r="M124" s="268"/>
      <c r="N124" s="157"/>
      <c r="O124" s="294"/>
      <c r="P124" s="294"/>
    </row>
    <row r="125" spans="3:16" s="159" customFormat="1" x14ac:dyDescent="0.25">
      <c r="C125" s="611"/>
      <c r="D125" s="611"/>
      <c r="M125" s="268"/>
      <c r="N125" s="157"/>
      <c r="O125" s="294"/>
      <c r="P125" s="294"/>
    </row>
    <row r="126" spans="3:16" s="159" customFormat="1" x14ac:dyDescent="0.25">
      <c r="C126" s="611"/>
      <c r="D126" s="611"/>
      <c r="M126" s="268"/>
      <c r="N126" s="157"/>
      <c r="O126" s="294"/>
      <c r="P126" s="294"/>
    </row>
    <row r="127" spans="3:16" s="159" customFormat="1" x14ac:dyDescent="0.25">
      <c r="C127" s="611"/>
      <c r="D127" s="611"/>
      <c r="M127" s="268"/>
      <c r="N127" s="157"/>
      <c r="O127" s="294"/>
      <c r="P127" s="294"/>
    </row>
    <row r="128" spans="3:16" s="159" customFormat="1" x14ac:dyDescent="0.25">
      <c r="C128" s="611"/>
      <c r="D128" s="611"/>
      <c r="M128" s="268"/>
      <c r="N128" s="157"/>
      <c r="O128" s="294"/>
      <c r="P128" s="294"/>
    </row>
    <row r="129" spans="3:16" s="159" customFormat="1" x14ac:dyDescent="0.25">
      <c r="C129" s="611"/>
      <c r="D129" s="611"/>
      <c r="M129" s="268"/>
      <c r="N129" s="157"/>
      <c r="O129" s="294"/>
      <c r="P129" s="294"/>
    </row>
    <row r="130" spans="3:16" s="159" customFormat="1" x14ac:dyDescent="0.25">
      <c r="C130" s="611"/>
      <c r="D130" s="611"/>
      <c r="M130" s="268"/>
      <c r="N130" s="157"/>
      <c r="O130" s="294"/>
      <c r="P130" s="294"/>
    </row>
    <row r="131" spans="3:16" s="159" customFormat="1" x14ac:dyDescent="0.25">
      <c r="C131" s="611"/>
      <c r="D131" s="611"/>
      <c r="M131" s="268"/>
      <c r="N131" s="157"/>
      <c r="O131" s="294"/>
      <c r="P131" s="294"/>
    </row>
    <row r="132" spans="3:16" s="159" customFormat="1" x14ac:dyDescent="0.25">
      <c r="C132" s="611"/>
      <c r="D132" s="611"/>
      <c r="M132" s="268"/>
      <c r="N132" s="157"/>
      <c r="O132" s="294"/>
      <c r="P132" s="294"/>
    </row>
    <row r="133" spans="3:16" s="159" customFormat="1" x14ac:dyDescent="0.25">
      <c r="C133" s="611"/>
      <c r="D133" s="611"/>
      <c r="M133" s="268"/>
      <c r="N133" s="157"/>
      <c r="O133" s="294"/>
      <c r="P133" s="294"/>
    </row>
    <row r="134" spans="3:16" s="159" customFormat="1" x14ac:dyDescent="0.25">
      <c r="C134" s="611"/>
      <c r="D134" s="611"/>
      <c r="M134" s="268"/>
      <c r="N134" s="157"/>
      <c r="O134" s="294"/>
      <c r="P134" s="294"/>
    </row>
    <row r="135" spans="3:16" s="159" customFormat="1" x14ac:dyDescent="0.25">
      <c r="C135" s="611"/>
      <c r="D135" s="611"/>
      <c r="M135" s="268"/>
      <c r="N135" s="157"/>
      <c r="O135" s="294"/>
      <c r="P135" s="294"/>
    </row>
    <row r="136" spans="3:16" s="159" customFormat="1" x14ac:dyDescent="0.25">
      <c r="C136" s="611"/>
      <c r="D136" s="611"/>
      <c r="M136" s="268"/>
      <c r="N136" s="157"/>
      <c r="O136" s="294"/>
      <c r="P136" s="294"/>
    </row>
    <row r="137" spans="3:16" s="159" customFormat="1" x14ac:dyDescent="0.25">
      <c r="C137" s="611"/>
      <c r="D137" s="611"/>
      <c r="M137" s="268"/>
      <c r="N137" s="157"/>
      <c r="O137" s="294"/>
      <c r="P137" s="294"/>
    </row>
    <row r="138" spans="3:16" s="159" customFormat="1" x14ac:dyDescent="0.25">
      <c r="C138" s="611"/>
      <c r="D138" s="611"/>
      <c r="M138" s="268"/>
      <c r="N138" s="157"/>
      <c r="O138" s="294"/>
      <c r="P138" s="294"/>
    </row>
    <row r="139" spans="3:16" s="159" customFormat="1" x14ac:dyDescent="0.25">
      <c r="C139" s="611"/>
      <c r="D139" s="611"/>
      <c r="M139" s="268"/>
      <c r="N139" s="157"/>
      <c r="O139" s="294"/>
      <c r="P139" s="294"/>
    </row>
    <row r="140" spans="3:16" s="159" customFormat="1" x14ac:dyDescent="0.25">
      <c r="C140" s="611"/>
      <c r="D140" s="611"/>
      <c r="M140" s="268"/>
      <c r="N140" s="157"/>
      <c r="O140" s="294"/>
      <c r="P140" s="294"/>
    </row>
    <row r="141" spans="3:16" s="159" customFormat="1" x14ac:dyDescent="0.25">
      <c r="C141" s="611"/>
      <c r="D141" s="611"/>
      <c r="M141" s="268"/>
      <c r="N141" s="157"/>
      <c r="O141" s="294"/>
      <c r="P141" s="294"/>
    </row>
    <row r="142" spans="3:16" s="159" customFormat="1" x14ac:dyDescent="0.25">
      <c r="C142" s="611"/>
      <c r="D142" s="611"/>
      <c r="M142" s="268"/>
      <c r="N142" s="157"/>
      <c r="O142" s="294"/>
      <c r="P142" s="294"/>
    </row>
    <row r="143" spans="3:16" s="159" customFormat="1" x14ac:dyDescent="0.25">
      <c r="C143" s="611"/>
      <c r="D143" s="611"/>
      <c r="M143" s="268"/>
      <c r="N143" s="157"/>
      <c r="O143" s="294"/>
      <c r="P143" s="294"/>
    </row>
    <row r="144" spans="3:16" s="159" customFormat="1" x14ac:dyDescent="0.25">
      <c r="C144" s="611"/>
      <c r="D144" s="611"/>
      <c r="M144" s="268"/>
      <c r="N144" s="157"/>
      <c r="O144" s="294"/>
      <c r="P144" s="294"/>
    </row>
    <row r="145" spans="3:16" s="159" customFormat="1" x14ac:dyDescent="0.25">
      <c r="C145" s="611"/>
      <c r="D145" s="611"/>
      <c r="M145" s="268"/>
      <c r="N145" s="157"/>
      <c r="O145" s="294"/>
      <c r="P145" s="294"/>
    </row>
    <row r="146" spans="3:16" s="159" customFormat="1" x14ac:dyDescent="0.25">
      <c r="C146" s="611"/>
      <c r="D146" s="611"/>
      <c r="M146" s="268"/>
      <c r="N146" s="157"/>
      <c r="O146" s="294"/>
      <c r="P146" s="294"/>
    </row>
    <row r="147" spans="3:16" s="159" customFormat="1" x14ac:dyDescent="0.25">
      <c r="C147" s="611"/>
      <c r="D147" s="611"/>
      <c r="M147" s="268"/>
      <c r="N147" s="157"/>
      <c r="O147" s="294"/>
      <c r="P147" s="294"/>
    </row>
    <row r="148" spans="3:16" s="159" customFormat="1" x14ac:dyDescent="0.25">
      <c r="C148" s="611"/>
      <c r="D148" s="611"/>
      <c r="M148" s="268"/>
      <c r="N148" s="157"/>
      <c r="O148" s="294"/>
      <c r="P148" s="294"/>
    </row>
    <row r="149" spans="3:16" s="159" customFormat="1" x14ac:dyDescent="0.25">
      <c r="C149" s="611"/>
      <c r="D149" s="611"/>
      <c r="M149" s="268"/>
      <c r="N149" s="157"/>
      <c r="O149" s="294"/>
      <c r="P149" s="294"/>
    </row>
    <row r="150" spans="3:16" s="159" customFormat="1" x14ac:dyDescent="0.25">
      <c r="C150" s="611"/>
      <c r="D150" s="611"/>
      <c r="M150" s="268"/>
      <c r="N150" s="157"/>
      <c r="O150" s="294"/>
      <c r="P150" s="294"/>
    </row>
    <row r="151" spans="3:16" s="159" customFormat="1" x14ac:dyDescent="0.25">
      <c r="C151" s="611"/>
      <c r="D151" s="611"/>
      <c r="M151" s="268"/>
      <c r="N151" s="157"/>
      <c r="O151" s="294"/>
      <c r="P151" s="294"/>
    </row>
    <row r="152" spans="3:16" s="159" customFormat="1" x14ac:dyDescent="0.25">
      <c r="C152" s="611"/>
      <c r="D152" s="611"/>
      <c r="M152" s="268"/>
      <c r="N152" s="157"/>
      <c r="O152" s="294"/>
      <c r="P152" s="294"/>
    </row>
    <row r="153" spans="3:16" s="159" customFormat="1" x14ac:dyDescent="0.25">
      <c r="C153" s="611"/>
      <c r="D153" s="611"/>
      <c r="M153" s="268"/>
      <c r="N153" s="157"/>
      <c r="O153" s="294"/>
      <c r="P153" s="294"/>
    </row>
    <row r="154" spans="3:16" s="159" customFormat="1" x14ac:dyDescent="0.25">
      <c r="C154" s="611"/>
      <c r="D154" s="611"/>
      <c r="M154" s="268"/>
      <c r="N154" s="157"/>
      <c r="O154" s="294"/>
      <c r="P154" s="294"/>
    </row>
    <row r="155" spans="3:16" s="159" customFormat="1" x14ac:dyDescent="0.25">
      <c r="C155" s="611"/>
      <c r="D155" s="611"/>
      <c r="M155" s="268"/>
      <c r="N155" s="157"/>
      <c r="O155" s="294"/>
      <c r="P155" s="294"/>
    </row>
    <row r="156" spans="3:16" s="159" customFormat="1" x14ac:dyDescent="0.25">
      <c r="C156" s="611"/>
      <c r="D156" s="611"/>
      <c r="M156" s="268"/>
      <c r="N156" s="157"/>
      <c r="O156" s="294"/>
      <c r="P156" s="294"/>
    </row>
    <row r="157" spans="3:16" s="159" customFormat="1" x14ac:dyDescent="0.25">
      <c r="C157" s="611"/>
      <c r="D157" s="611"/>
      <c r="M157" s="268"/>
      <c r="N157" s="157"/>
      <c r="O157" s="294"/>
      <c r="P157" s="294"/>
    </row>
    <row r="158" spans="3:16" s="159" customFormat="1" x14ac:dyDescent="0.25">
      <c r="C158" s="611"/>
      <c r="D158" s="611"/>
      <c r="M158" s="268"/>
      <c r="N158" s="157"/>
      <c r="O158" s="294"/>
      <c r="P158" s="294"/>
    </row>
    <row r="159" spans="3:16" s="159" customFormat="1" x14ac:dyDescent="0.25">
      <c r="C159" s="611"/>
      <c r="D159" s="611"/>
      <c r="M159" s="268"/>
      <c r="N159" s="157"/>
      <c r="O159" s="294"/>
      <c r="P159" s="294"/>
    </row>
    <row r="160" spans="3:16" s="159" customFormat="1" x14ac:dyDescent="0.25">
      <c r="C160" s="611"/>
      <c r="D160" s="611"/>
      <c r="M160" s="268"/>
      <c r="N160" s="157"/>
      <c r="O160" s="294"/>
      <c r="P160" s="294"/>
    </row>
    <row r="161" spans="3:16" s="159" customFormat="1" x14ac:dyDescent="0.25">
      <c r="C161" s="611"/>
      <c r="D161" s="611"/>
      <c r="M161" s="268"/>
      <c r="N161" s="157"/>
      <c r="O161" s="294"/>
      <c r="P161" s="294"/>
    </row>
    <row r="162" spans="3:16" s="159" customFormat="1" x14ac:dyDescent="0.25">
      <c r="C162" s="611"/>
      <c r="D162" s="611"/>
      <c r="M162" s="268"/>
      <c r="N162" s="157"/>
      <c r="O162" s="294"/>
      <c r="P162" s="294"/>
    </row>
    <row r="163" spans="3:16" s="159" customFormat="1" x14ac:dyDescent="0.25">
      <c r="C163" s="611"/>
      <c r="D163" s="611"/>
      <c r="M163" s="268"/>
      <c r="N163" s="157"/>
      <c r="O163" s="294"/>
      <c r="P163" s="294"/>
    </row>
    <row r="164" spans="3:16" s="159" customFormat="1" x14ac:dyDescent="0.25">
      <c r="C164" s="611"/>
      <c r="D164" s="611"/>
      <c r="M164" s="268"/>
      <c r="N164" s="157"/>
      <c r="O164" s="294"/>
      <c r="P164" s="294"/>
    </row>
    <row r="165" spans="3:16" s="159" customFormat="1" x14ac:dyDescent="0.25">
      <c r="C165" s="611"/>
      <c r="D165" s="611"/>
      <c r="M165" s="268"/>
      <c r="N165" s="157"/>
      <c r="O165" s="294"/>
      <c r="P165" s="294"/>
    </row>
    <row r="166" spans="3:16" s="159" customFormat="1" x14ac:dyDescent="0.25">
      <c r="C166" s="611"/>
      <c r="D166" s="611"/>
      <c r="M166" s="268"/>
      <c r="N166" s="157"/>
      <c r="O166" s="294"/>
      <c r="P166" s="294"/>
    </row>
    <row r="167" spans="3:16" s="159" customFormat="1" x14ac:dyDescent="0.25">
      <c r="C167" s="611"/>
      <c r="D167" s="611"/>
      <c r="M167" s="268"/>
      <c r="N167" s="157"/>
      <c r="O167" s="294"/>
      <c r="P167" s="294"/>
    </row>
    <row r="168" spans="3:16" s="159" customFormat="1" x14ac:dyDescent="0.25">
      <c r="C168" s="611"/>
      <c r="D168" s="611"/>
      <c r="M168" s="268"/>
      <c r="N168" s="157"/>
      <c r="O168" s="294"/>
      <c r="P168" s="294"/>
    </row>
    <row r="169" spans="3:16" s="159" customFormat="1" x14ac:dyDescent="0.25">
      <c r="C169" s="611"/>
      <c r="D169" s="611"/>
      <c r="M169" s="268"/>
      <c r="N169" s="157"/>
      <c r="O169" s="294"/>
      <c r="P169" s="294"/>
    </row>
    <row r="170" spans="3:16" s="159" customFormat="1" x14ac:dyDescent="0.25">
      <c r="C170" s="611"/>
      <c r="D170" s="611"/>
      <c r="M170" s="268"/>
      <c r="N170" s="157"/>
      <c r="O170" s="294"/>
      <c r="P170" s="294"/>
    </row>
    <row r="171" spans="3:16" s="159" customFormat="1" x14ac:dyDescent="0.25">
      <c r="C171" s="611"/>
      <c r="D171" s="611"/>
      <c r="M171" s="268"/>
      <c r="N171" s="157"/>
      <c r="O171" s="294"/>
      <c r="P171" s="294"/>
    </row>
    <row r="172" spans="3:16" s="159" customFormat="1" x14ac:dyDescent="0.25">
      <c r="C172" s="611"/>
      <c r="D172" s="611"/>
      <c r="M172" s="268"/>
      <c r="N172" s="157"/>
      <c r="O172" s="294"/>
      <c r="P172" s="294"/>
    </row>
    <row r="173" spans="3:16" s="159" customFormat="1" x14ac:dyDescent="0.25">
      <c r="C173" s="611"/>
      <c r="D173" s="611"/>
      <c r="M173" s="268"/>
      <c r="N173" s="157"/>
      <c r="O173" s="294"/>
      <c r="P173" s="294"/>
    </row>
    <row r="174" spans="3:16" s="159" customFormat="1" x14ac:dyDescent="0.25">
      <c r="C174" s="611"/>
      <c r="D174" s="611"/>
      <c r="M174" s="268"/>
      <c r="N174" s="157"/>
      <c r="O174" s="294"/>
      <c r="P174" s="294"/>
    </row>
    <row r="175" spans="3:16" s="159" customFormat="1" x14ac:dyDescent="0.25">
      <c r="C175" s="611"/>
      <c r="D175" s="611"/>
      <c r="M175" s="268"/>
      <c r="N175" s="157"/>
      <c r="O175" s="294"/>
      <c r="P175" s="294"/>
    </row>
    <row r="176" spans="3:16" s="159" customFormat="1" x14ac:dyDescent="0.25">
      <c r="C176" s="611"/>
      <c r="D176" s="611"/>
      <c r="M176" s="268"/>
      <c r="N176" s="157"/>
      <c r="O176" s="294"/>
      <c r="P176" s="294"/>
    </row>
    <row r="177" spans="3:16" s="159" customFormat="1" x14ac:dyDescent="0.25">
      <c r="C177" s="611"/>
      <c r="D177" s="611"/>
      <c r="M177" s="268"/>
      <c r="N177" s="157"/>
      <c r="O177" s="294"/>
      <c r="P177" s="294"/>
    </row>
    <row r="178" spans="3:16" s="159" customFormat="1" x14ac:dyDescent="0.25">
      <c r="C178" s="611"/>
      <c r="D178" s="611"/>
      <c r="M178" s="268"/>
      <c r="N178" s="157"/>
      <c r="O178" s="294"/>
      <c r="P178" s="294"/>
    </row>
    <row r="179" spans="3:16" s="159" customFormat="1" x14ac:dyDescent="0.25">
      <c r="C179" s="611"/>
      <c r="D179" s="611"/>
      <c r="M179" s="268"/>
      <c r="N179" s="157"/>
      <c r="O179" s="294"/>
      <c r="P179" s="294"/>
    </row>
    <row r="180" spans="3:16" s="159" customFormat="1" x14ac:dyDescent="0.25">
      <c r="C180" s="611"/>
      <c r="D180" s="611"/>
      <c r="M180" s="268"/>
      <c r="N180" s="157"/>
      <c r="O180" s="294"/>
      <c r="P180" s="294"/>
    </row>
    <row r="181" spans="3:16" s="159" customFormat="1" x14ac:dyDescent="0.25">
      <c r="C181" s="611"/>
      <c r="D181" s="611"/>
      <c r="M181" s="268"/>
      <c r="N181" s="157"/>
      <c r="O181" s="294"/>
      <c r="P181" s="294"/>
    </row>
    <row r="182" spans="3:16" s="159" customFormat="1" x14ac:dyDescent="0.25">
      <c r="C182" s="611"/>
      <c r="D182" s="611"/>
      <c r="M182" s="268"/>
      <c r="N182" s="157"/>
      <c r="O182" s="294"/>
      <c r="P182" s="294"/>
    </row>
    <row r="183" spans="3:16" s="159" customFormat="1" x14ac:dyDescent="0.25">
      <c r="C183" s="611"/>
      <c r="D183" s="611"/>
      <c r="M183" s="268"/>
      <c r="N183" s="157"/>
      <c r="O183" s="294"/>
      <c r="P183" s="294"/>
    </row>
    <row r="184" spans="3:16" s="159" customFormat="1" x14ac:dyDescent="0.25">
      <c r="C184" s="611"/>
      <c r="D184" s="611"/>
      <c r="M184" s="268"/>
      <c r="N184" s="157"/>
      <c r="O184" s="294"/>
      <c r="P184" s="294"/>
    </row>
    <row r="185" spans="3:16" s="159" customFormat="1" x14ac:dyDescent="0.25">
      <c r="C185" s="611"/>
      <c r="D185" s="611"/>
      <c r="M185" s="268"/>
      <c r="N185" s="157"/>
      <c r="O185" s="294"/>
      <c r="P185" s="294"/>
    </row>
    <row r="186" spans="3:16" s="159" customFormat="1" x14ac:dyDescent="0.25">
      <c r="C186" s="611"/>
      <c r="D186" s="611"/>
      <c r="M186" s="268"/>
      <c r="N186" s="157"/>
      <c r="O186" s="294"/>
      <c r="P186" s="294"/>
    </row>
    <row r="187" spans="3:16" s="159" customFormat="1" x14ac:dyDescent="0.25">
      <c r="C187" s="611"/>
      <c r="D187" s="611"/>
      <c r="M187" s="268"/>
      <c r="N187" s="157"/>
      <c r="O187" s="294"/>
      <c r="P187" s="294"/>
    </row>
    <row r="188" spans="3:16" s="159" customFormat="1" x14ac:dyDescent="0.25">
      <c r="C188" s="611"/>
      <c r="D188" s="611"/>
      <c r="M188" s="268"/>
      <c r="N188" s="157"/>
      <c r="O188" s="294"/>
      <c r="P188" s="294"/>
    </row>
    <row r="189" spans="3:16" s="159" customFormat="1" x14ac:dyDescent="0.25">
      <c r="C189" s="611"/>
      <c r="D189" s="611"/>
      <c r="M189" s="268"/>
      <c r="N189" s="157"/>
      <c r="O189" s="294"/>
      <c r="P189" s="294"/>
    </row>
    <row r="190" spans="3:16" s="159" customFormat="1" x14ac:dyDescent="0.25">
      <c r="C190" s="611"/>
      <c r="D190" s="611"/>
      <c r="M190" s="268"/>
      <c r="N190" s="157"/>
      <c r="O190" s="294"/>
      <c r="P190" s="294"/>
    </row>
    <row r="191" spans="3:16" s="159" customFormat="1" x14ac:dyDescent="0.25">
      <c r="C191" s="611"/>
      <c r="D191" s="611"/>
      <c r="M191" s="268"/>
      <c r="N191" s="157"/>
      <c r="O191" s="294"/>
      <c r="P191" s="294"/>
    </row>
    <row r="192" spans="3:16" s="159" customFormat="1" x14ac:dyDescent="0.25">
      <c r="C192" s="611"/>
      <c r="D192" s="611"/>
      <c r="M192" s="268"/>
      <c r="N192" s="157"/>
      <c r="O192" s="294"/>
      <c r="P192" s="294"/>
    </row>
    <row r="193" spans="3:16" s="159" customFormat="1" x14ac:dyDescent="0.25">
      <c r="C193" s="611"/>
      <c r="D193" s="611"/>
      <c r="M193" s="268"/>
      <c r="N193" s="157"/>
      <c r="O193" s="294"/>
      <c r="P193" s="294"/>
    </row>
    <row r="194" spans="3:16" s="159" customFormat="1" x14ac:dyDescent="0.25">
      <c r="C194" s="611"/>
      <c r="D194" s="611"/>
      <c r="M194" s="268"/>
      <c r="N194" s="157"/>
      <c r="O194" s="294"/>
      <c r="P194" s="294"/>
    </row>
    <row r="195" spans="3:16" s="159" customFormat="1" x14ac:dyDescent="0.25">
      <c r="C195" s="611"/>
      <c r="D195" s="611"/>
      <c r="M195" s="268"/>
      <c r="N195" s="157"/>
      <c r="O195" s="294"/>
      <c r="P195" s="294"/>
    </row>
    <row r="196" spans="3:16" s="159" customFormat="1" x14ac:dyDescent="0.25">
      <c r="C196" s="611"/>
      <c r="D196" s="611"/>
      <c r="M196" s="268"/>
      <c r="N196" s="157"/>
      <c r="O196" s="294"/>
      <c r="P196" s="294"/>
    </row>
    <row r="197" spans="3:16" s="159" customFormat="1" x14ac:dyDescent="0.25">
      <c r="C197" s="611"/>
      <c r="D197" s="611"/>
      <c r="M197" s="268"/>
      <c r="N197" s="157"/>
      <c r="O197" s="294"/>
      <c r="P197" s="294"/>
    </row>
    <row r="198" spans="3:16" s="159" customFormat="1" x14ac:dyDescent="0.25">
      <c r="C198" s="611"/>
      <c r="D198" s="611"/>
      <c r="M198" s="268"/>
      <c r="N198" s="157"/>
      <c r="O198" s="294"/>
      <c r="P198" s="294"/>
    </row>
    <row r="199" spans="3:16" s="159" customFormat="1" x14ac:dyDescent="0.25">
      <c r="C199" s="611"/>
      <c r="D199" s="611"/>
      <c r="M199" s="268"/>
      <c r="N199" s="157"/>
      <c r="O199" s="294"/>
      <c r="P199" s="294"/>
    </row>
    <row r="200" spans="3:16" s="159" customFormat="1" x14ac:dyDescent="0.25">
      <c r="C200" s="611"/>
      <c r="D200" s="611"/>
      <c r="M200" s="268"/>
      <c r="N200" s="157"/>
      <c r="O200" s="294"/>
      <c r="P200" s="294"/>
    </row>
    <row r="201" spans="3:16" s="159" customFormat="1" x14ac:dyDescent="0.25">
      <c r="C201" s="611"/>
      <c r="D201" s="611"/>
      <c r="M201" s="268"/>
      <c r="N201" s="157"/>
      <c r="O201" s="294"/>
      <c r="P201" s="294"/>
    </row>
    <row r="202" spans="3:16" s="159" customFormat="1" x14ac:dyDescent="0.25">
      <c r="C202" s="611"/>
      <c r="D202" s="611"/>
      <c r="M202" s="268"/>
      <c r="N202" s="157"/>
      <c r="O202" s="294"/>
      <c r="P202" s="294"/>
    </row>
    <row r="203" spans="3:16" s="159" customFormat="1" x14ac:dyDescent="0.25">
      <c r="C203" s="611"/>
      <c r="D203" s="611"/>
      <c r="M203" s="268"/>
      <c r="N203" s="157"/>
      <c r="O203" s="294"/>
      <c r="P203" s="294"/>
    </row>
    <row r="204" spans="3:16" s="159" customFormat="1" x14ac:dyDescent="0.25">
      <c r="C204" s="611"/>
      <c r="D204" s="611"/>
      <c r="M204" s="268"/>
      <c r="N204" s="157"/>
      <c r="O204" s="294"/>
      <c r="P204" s="294"/>
    </row>
    <row r="205" spans="3:16" s="159" customFormat="1" x14ac:dyDescent="0.25">
      <c r="C205" s="611"/>
      <c r="D205" s="611"/>
      <c r="M205" s="268"/>
      <c r="N205" s="157"/>
      <c r="O205" s="294"/>
      <c r="P205" s="294"/>
    </row>
    <row r="206" spans="3:16" s="159" customFormat="1" x14ac:dyDescent="0.25">
      <c r="C206" s="611"/>
      <c r="D206" s="611"/>
      <c r="M206" s="268"/>
      <c r="N206" s="157"/>
      <c r="O206" s="294"/>
      <c r="P206" s="294"/>
    </row>
    <row r="207" spans="3:16" s="159" customFormat="1" x14ac:dyDescent="0.25">
      <c r="C207" s="611"/>
      <c r="D207" s="611"/>
      <c r="M207" s="268"/>
      <c r="N207" s="157"/>
      <c r="O207" s="294"/>
      <c r="P207" s="294"/>
    </row>
    <row r="208" spans="3:16" s="159" customFormat="1" x14ac:dyDescent="0.25">
      <c r="C208" s="611"/>
      <c r="D208" s="611"/>
      <c r="M208" s="268"/>
      <c r="N208" s="157"/>
      <c r="O208" s="294"/>
      <c r="P208" s="294"/>
    </row>
    <row r="209" spans="3:16" s="159" customFormat="1" x14ac:dyDescent="0.25">
      <c r="C209" s="611"/>
      <c r="D209" s="611"/>
      <c r="M209" s="268"/>
      <c r="N209" s="157"/>
      <c r="O209" s="294"/>
      <c r="P209" s="294"/>
    </row>
    <row r="210" spans="3:16" s="159" customFormat="1" x14ac:dyDescent="0.25">
      <c r="C210" s="611"/>
      <c r="D210" s="611"/>
      <c r="M210" s="268"/>
      <c r="N210" s="157"/>
      <c r="O210" s="294"/>
      <c r="P210" s="294"/>
    </row>
    <row r="211" spans="3:16" s="159" customFormat="1" x14ac:dyDescent="0.25">
      <c r="C211" s="611"/>
      <c r="D211" s="611"/>
      <c r="M211" s="268"/>
      <c r="N211" s="157"/>
      <c r="O211" s="294"/>
      <c r="P211" s="294"/>
    </row>
    <row r="212" spans="3:16" s="159" customFormat="1" x14ac:dyDescent="0.25">
      <c r="C212" s="611"/>
      <c r="D212" s="611"/>
      <c r="M212" s="268"/>
      <c r="N212" s="157"/>
      <c r="O212" s="294"/>
      <c r="P212" s="294"/>
    </row>
    <row r="213" spans="3:16" s="159" customFormat="1" x14ac:dyDescent="0.25">
      <c r="C213" s="611"/>
      <c r="D213" s="611"/>
      <c r="M213" s="268"/>
      <c r="N213" s="157"/>
      <c r="O213" s="294"/>
      <c r="P213" s="294"/>
    </row>
    <row r="214" spans="3:16" s="159" customFormat="1" x14ac:dyDescent="0.25">
      <c r="C214" s="611"/>
      <c r="D214" s="611"/>
      <c r="M214" s="268"/>
      <c r="N214" s="157"/>
      <c r="O214" s="294"/>
      <c r="P214" s="294"/>
    </row>
    <row r="215" spans="3:16" s="159" customFormat="1" x14ac:dyDescent="0.25">
      <c r="C215" s="611"/>
      <c r="D215" s="611"/>
      <c r="M215" s="268"/>
      <c r="N215" s="157"/>
      <c r="O215" s="294"/>
      <c r="P215" s="294"/>
    </row>
    <row r="216" spans="3:16" s="159" customFormat="1" x14ac:dyDescent="0.25">
      <c r="C216" s="611"/>
      <c r="D216" s="611"/>
      <c r="M216" s="268"/>
      <c r="N216" s="157"/>
      <c r="O216" s="294"/>
      <c r="P216" s="294"/>
    </row>
    <row r="217" spans="3:16" s="159" customFormat="1" x14ac:dyDescent="0.25">
      <c r="C217" s="611"/>
      <c r="D217" s="611"/>
      <c r="M217" s="268"/>
      <c r="N217" s="157"/>
      <c r="O217" s="294"/>
      <c r="P217" s="294"/>
    </row>
    <row r="218" spans="3:16" s="159" customFormat="1" x14ac:dyDescent="0.25">
      <c r="C218" s="611"/>
      <c r="D218" s="611"/>
      <c r="M218" s="268"/>
      <c r="N218" s="157"/>
      <c r="O218" s="294"/>
      <c r="P218" s="294"/>
    </row>
    <row r="219" spans="3:16" s="159" customFormat="1" x14ac:dyDescent="0.25">
      <c r="C219" s="611"/>
      <c r="D219" s="611"/>
      <c r="M219" s="268"/>
      <c r="N219" s="157"/>
      <c r="O219" s="294"/>
      <c r="P219" s="294"/>
    </row>
    <row r="220" spans="3:16" s="159" customFormat="1" x14ac:dyDescent="0.25">
      <c r="C220" s="611"/>
      <c r="D220" s="611"/>
      <c r="M220" s="268"/>
      <c r="N220" s="157"/>
      <c r="O220" s="294"/>
      <c r="P220" s="294"/>
    </row>
    <row r="221" spans="3:16" s="159" customFormat="1" x14ac:dyDescent="0.25">
      <c r="C221" s="611"/>
      <c r="D221" s="611"/>
      <c r="M221" s="268"/>
      <c r="N221" s="157"/>
      <c r="O221" s="294"/>
      <c r="P221" s="294"/>
    </row>
    <row r="222" spans="3:16" s="159" customFormat="1" x14ac:dyDescent="0.25">
      <c r="C222" s="611"/>
      <c r="D222" s="611"/>
      <c r="M222" s="268"/>
      <c r="N222" s="157"/>
      <c r="O222" s="294"/>
      <c r="P222" s="294"/>
    </row>
    <row r="223" spans="3:16" s="159" customFormat="1" x14ac:dyDescent="0.25">
      <c r="C223" s="611"/>
      <c r="D223" s="611"/>
      <c r="M223" s="268"/>
      <c r="N223" s="157"/>
      <c r="O223" s="294"/>
      <c r="P223" s="294"/>
    </row>
    <row r="224" spans="3:16" s="159" customFormat="1" x14ac:dyDescent="0.25">
      <c r="C224" s="611"/>
      <c r="D224" s="611"/>
      <c r="M224" s="268"/>
      <c r="N224" s="157"/>
      <c r="O224" s="294"/>
      <c r="P224" s="294"/>
    </row>
    <row r="225" spans="3:16" s="159" customFormat="1" x14ac:dyDescent="0.25">
      <c r="C225" s="611"/>
      <c r="D225" s="611"/>
      <c r="M225" s="268"/>
      <c r="N225" s="157"/>
      <c r="O225" s="294"/>
      <c r="P225" s="294"/>
    </row>
    <row r="226" spans="3:16" s="159" customFormat="1" x14ac:dyDescent="0.25">
      <c r="C226" s="611"/>
      <c r="D226" s="611"/>
      <c r="M226" s="268"/>
      <c r="N226" s="157"/>
      <c r="O226" s="294"/>
      <c r="P226" s="294"/>
    </row>
    <row r="227" spans="3:16" s="159" customFormat="1" x14ac:dyDescent="0.25">
      <c r="C227" s="611"/>
      <c r="D227" s="611"/>
      <c r="M227" s="268"/>
      <c r="N227" s="157"/>
      <c r="O227" s="294"/>
      <c r="P227" s="294"/>
    </row>
    <row r="228" spans="3:16" s="159" customFormat="1" x14ac:dyDescent="0.25">
      <c r="C228" s="611"/>
      <c r="D228" s="611"/>
      <c r="M228" s="268"/>
      <c r="N228" s="157"/>
      <c r="O228" s="294"/>
      <c r="P228" s="294"/>
    </row>
    <row r="229" spans="3:16" s="159" customFormat="1" x14ac:dyDescent="0.25">
      <c r="C229" s="611"/>
      <c r="D229" s="611"/>
      <c r="M229" s="268"/>
      <c r="N229" s="157"/>
      <c r="O229" s="294"/>
      <c r="P229" s="294"/>
    </row>
    <row r="230" spans="3:16" s="159" customFormat="1" x14ac:dyDescent="0.25">
      <c r="C230" s="611"/>
      <c r="D230" s="611"/>
      <c r="M230" s="268"/>
      <c r="N230" s="157"/>
      <c r="O230" s="294"/>
      <c r="P230" s="294"/>
    </row>
    <row r="231" spans="3:16" s="159" customFormat="1" x14ac:dyDescent="0.25">
      <c r="C231" s="611"/>
      <c r="D231" s="611"/>
      <c r="M231" s="268"/>
      <c r="N231" s="157"/>
      <c r="O231" s="294"/>
      <c r="P231" s="294"/>
    </row>
    <row r="232" spans="3:16" s="159" customFormat="1" x14ac:dyDescent="0.25">
      <c r="C232" s="611"/>
      <c r="D232" s="611"/>
      <c r="M232" s="268"/>
      <c r="N232" s="157"/>
      <c r="O232" s="294"/>
      <c r="P232" s="294"/>
    </row>
    <row r="233" spans="3:16" s="159" customFormat="1" x14ac:dyDescent="0.25">
      <c r="C233" s="611"/>
      <c r="D233" s="611"/>
      <c r="M233" s="268"/>
      <c r="N233" s="157"/>
      <c r="O233" s="294"/>
      <c r="P233" s="294"/>
    </row>
    <row r="234" spans="3:16" s="159" customFormat="1" x14ac:dyDescent="0.25">
      <c r="C234" s="611"/>
      <c r="D234" s="611"/>
      <c r="M234" s="268"/>
      <c r="N234" s="157"/>
      <c r="O234" s="294"/>
      <c r="P234" s="294"/>
    </row>
    <row r="235" spans="3:16" s="159" customFormat="1" x14ac:dyDescent="0.25">
      <c r="C235" s="611"/>
      <c r="D235" s="611"/>
      <c r="M235" s="268"/>
      <c r="N235" s="157"/>
      <c r="O235" s="294"/>
      <c r="P235" s="294"/>
    </row>
    <row r="236" spans="3:16" s="159" customFormat="1" x14ac:dyDescent="0.25">
      <c r="C236" s="611"/>
      <c r="D236" s="611"/>
      <c r="M236" s="268"/>
      <c r="N236" s="157"/>
      <c r="O236" s="294"/>
      <c r="P236" s="294"/>
    </row>
    <row r="237" spans="3:16" s="159" customFormat="1" x14ac:dyDescent="0.25">
      <c r="C237" s="611"/>
      <c r="D237" s="611"/>
      <c r="M237" s="268"/>
      <c r="N237" s="157"/>
      <c r="O237" s="294"/>
      <c r="P237" s="294"/>
    </row>
    <row r="238" spans="3:16" s="159" customFormat="1" x14ac:dyDescent="0.25">
      <c r="C238" s="611"/>
      <c r="D238" s="611"/>
      <c r="M238" s="268"/>
      <c r="N238" s="157"/>
      <c r="O238" s="294"/>
      <c r="P238" s="294"/>
    </row>
    <row r="239" spans="3:16" s="159" customFormat="1" x14ac:dyDescent="0.25">
      <c r="C239" s="611"/>
      <c r="D239" s="611"/>
      <c r="M239" s="268"/>
      <c r="N239" s="157"/>
      <c r="O239" s="294"/>
      <c r="P239" s="294"/>
    </row>
    <row r="240" spans="3:16" s="159" customFormat="1" x14ac:dyDescent="0.25">
      <c r="C240" s="611"/>
      <c r="D240" s="611"/>
      <c r="M240" s="268"/>
      <c r="N240" s="157"/>
      <c r="O240" s="294"/>
      <c r="P240" s="294"/>
    </row>
    <row r="241" spans="3:16" s="159" customFormat="1" x14ac:dyDescent="0.25">
      <c r="C241" s="611"/>
      <c r="D241" s="611"/>
      <c r="M241" s="268"/>
      <c r="N241" s="157"/>
      <c r="O241" s="294"/>
      <c r="P241" s="294"/>
    </row>
    <row r="242" spans="3:16" s="159" customFormat="1" x14ac:dyDescent="0.25">
      <c r="C242" s="611"/>
      <c r="D242" s="611"/>
      <c r="M242" s="268"/>
      <c r="N242" s="157"/>
      <c r="O242" s="294"/>
      <c r="P242" s="294"/>
    </row>
    <row r="243" spans="3:16" s="159" customFormat="1" x14ac:dyDescent="0.25">
      <c r="C243" s="611"/>
      <c r="D243" s="611"/>
      <c r="M243" s="268"/>
      <c r="N243" s="157"/>
      <c r="O243" s="294"/>
      <c r="P243" s="294"/>
    </row>
    <row r="244" spans="3:16" s="159" customFormat="1" x14ac:dyDescent="0.25">
      <c r="C244" s="611"/>
      <c r="D244" s="611"/>
      <c r="M244" s="268"/>
      <c r="N244" s="157"/>
      <c r="O244" s="294"/>
      <c r="P244" s="294"/>
    </row>
    <row r="245" spans="3:16" s="159" customFormat="1" x14ac:dyDescent="0.25">
      <c r="C245" s="611"/>
      <c r="D245" s="611"/>
      <c r="M245" s="268"/>
      <c r="N245" s="157"/>
      <c r="O245" s="294"/>
      <c r="P245" s="294"/>
    </row>
    <row r="246" spans="3:16" s="159" customFormat="1" x14ac:dyDescent="0.25">
      <c r="C246" s="611"/>
      <c r="D246" s="611"/>
      <c r="M246" s="268"/>
      <c r="N246" s="157"/>
      <c r="O246" s="294"/>
      <c r="P246" s="294"/>
    </row>
    <row r="247" spans="3:16" s="159" customFormat="1" x14ac:dyDescent="0.25">
      <c r="C247" s="611"/>
      <c r="D247" s="611"/>
      <c r="M247" s="268"/>
      <c r="N247" s="157"/>
      <c r="O247" s="294"/>
      <c r="P247" s="294"/>
    </row>
    <row r="248" spans="3:16" s="159" customFormat="1" x14ac:dyDescent="0.25">
      <c r="C248" s="611"/>
      <c r="D248" s="611"/>
      <c r="M248" s="268"/>
      <c r="N248" s="157"/>
      <c r="O248" s="294"/>
      <c r="P248" s="294"/>
    </row>
    <row r="249" spans="3:16" s="159" customFormat="1" x14ac:dyDescent="0.25">
      <c r="C249" s="611"/>
      <c r="D249" s="611"/>
      <c r="M249" s="268"/>
      <c r="N249" s="157"/>
      <c r="O249" s="294"/>
      <c r="P249" s="294"/>
    </row>
    <row r="250" spans="3:16" s="159" customFormat="1" x14ac:dyDescent="0.25">
      <c r="C250" s="611"/>
      <c r="D250" s="611"/>
      <c r="M250" s="268"/>
      <c r="N250" s="157"/>
      <c r="O250" s="294"/>
      <c r="P250" s="294"/>
    </row>
    <row r="251" spans="3:16" s="159" customFormat="1" x14ac:dyDescent="0.25">
      <c r="C251" s="611"/>
      <c r="D251" s="611"/>
      <c r="M251" s="268"/>
      <c r="N251" s="157"/>
      <c r="O251" s="294"/>
      <c r="P251" s="294"/>
    </row>
    <row r="252" spans="3:16" s="159" customFormat="1" x14ac:dyDescent="0.25">
      <c r="C252" s="611"/>
      <c r="D252" s="611"/>
      <c r="M252" s="268"/>
      <c r="N252" s="157"/>
      <c r="O252" s="294"/>
      <c r="P252" s="294"/>
    </row>
    <row r="253" spans="3:16" s="159" customFormat="1" x14ac:dyDescent="0.25">
      <c r="C253" s="611"/>
      <c r="D253" s="611"/>
      <c r="M253" s="268"/>
      <c r="N253" s="157"/>
      <c r="O253" s="294"/>
      <c r="P253" s="294"/>
    </row>
    <row r="254" spans="3:16" s="159" customFormat="1" x14ac:dyDescent="0.25">
      <c r="C254" s="611"/>
      <c r="D254" s="611"/>
      <c r="M254" s="268"/>
      <c r="N254" s="157"/>
      <c r="O254" s="294"/>
      <c r="P254" s="294"/>
    </row>
    <row r="255" spans="3:16" s="159" customFormat="1" x14ac:dyDescent="0.25">
      <c r="C255" s="611"/>
      <c r="D255" s="611"/>
      <c r="M255" s="268"/>
      <c r="N255" s="157"/>
      <c r="O255" s="294"/>
      <c r="P255" s="294"/>
    </row>
    <row r="256" spans="3:16" s="159" customFormat="1" x14ac:dyDescent="0.25">
      <c r="C256" s="611"/>
      <c r="D256" s="611"/>
      <c r="M256" s="268"/>
      <c r="N256" s="157"/>
      <c r="O256" s="294"/>
      <c r="P256" s="294"/>
    </row>
    <row r="257" spans="3:16" s="159" customFormat="1" x14ac:dyDescent="0.25">
      <c r="C257" s="611"/>
      <c r="D257" s="611"/>
      <c r="M257" s="268"/>
      <c r="N257" s="157"/>
      <c r="O257" s="294"/>
      <c r="P257" s="294"/>
    </row>
    <row r="258" spans="3:16" s="159" customFormat="1" x14ac:dyDescent="0.25">
      <c r="C258" s="611"/>
      <c r="D258" s="611"/>
      <c r="M258" s="268"/>
      <c r="N258" s="157"/>
      <c r="O258" s="294"/>
      <c r="P258" s="294"/>
    </row>
    <row r="259" spans="3:16" s="159" customFormat="1" x14ac:dyDescent="0.25">
      <c r="C259" s="611"/>
      <c r="D259" s="611"/>
      <c r="M259" s="268"/>
      <c r="N259" s="157"/>
      <c r="O259" s="294"/>
      <c r="P259" s="294"/>
    </row>
    <row r="260" spans="3:16" s="159" customFormat="1" x14ac:dyDescent="0.25">
      <c r="C260" s="611"/>
      <c r="D260" s="611"/>
      <c r="M260" s="268"/>
      <c r="N260" s="157"/>
      <c r="O260" s="294"/>
      <c r="P260" s="294"/>
    </row>
    <row r="261" spans="3:16" s="159" customFormat="1" x14ac:dyDescent="0.25">
      <c r="C261" s="611"/>
      <c r="D261" s="611"/>
      <c r="M261" s="268"/>
      <c r="N261" s="157"/>
      <c r="O261" s="294"/>
      <c r="P261" s="294"/>
    </row>
    <row r="262" spans="3:16" s="159" customFormat="1" x14ac:dyDescent="0.25">
      <c r="C262" s="611"/>
      <c r="D262" s="611"/>
      <c r="M262" s="268"/>
      <c r="N262" s="157"/>
      <c r="O262" s="294"/>
      <c r="P262" s="294"/>
    </row>
    <row r="263" spans="3:16" s="159" customFormat="1" x14ac:dyDescent="0.25">
      <c r="C263" s="611"/>
      <c r="D263" s="611"/>
      <c r="M263" s="268"/>
      <c r="N263" s="157"/>
      <c r="O263" s="294"/>
      <c r="P263" s="294"/>
    </row>
    <row r="264" spans="3:16" s="159" customFormat="1" x14ac:dyDescent="0.25">
      <c r="C264" s="611"/>
      <c r="D264" s="611"/>
      <c r="M264" s="268"/>
      <c r="N264" s="157"/>
      <c r="O264" s="294"/>
      <c r="P264" s="294"/>
    </row>
    <row r="265" spans="3:16" s="159" customFormat="1" x14ac:dyDescent="0.25">
      <c r="C265" s="611"/>
      <c r="D265" s="611"/>
      <c r="M265" s="268"/>
      <c r="N265" s="157"/>
      <c r="O265" s="294"/>
      <c r="P265" s="294"/>
    </row>
    <row r="266" spans="3:16" s="159" customFormat="1" x14ac:dyDescent="0.25">
      <c r="C266" s="611"/>
      <c r="D266" s="611"/>
      <c r="M266" s="268"/>
      <c r="N266" s="157"/>
      <c r="O266" s="294"/>
      <c r="P266" s="294"/>
    </row>
    <row r="267" spans="3:16" s="159" customFormat="1" x14ac:dyDescent="0.25">
      <c r="C267" s="611"/>
      <c r="D267" s="611"/>
      <c r="M267" s="268"/>
      <c r="N267" s="157"/>
      <c r="O267" s="294"/>
      <c r="P267" s="294"/>
    </row>
    <row r="268" spans="3:16" s="159" customFormat="1" x14ac:dyDescent="0.25">
      <c r="C268" s="611"/>
      <c r="D268" s="611"/>
      <c r="M268" s="268"/>
      <c r="N268" s="157"/>
      <c r="O268" s="294"/>
      <c r="P268" s="294"/>
    </row>
    <row r="269" spans="3:16" s="159" customFormat="1" x14ac:dyDescent="0.25">
      <c r="C269" s="611"/>
      <c r="D269" s="611"/>
      <c r="M269" s="268"/>
      <c r="N269" s="157"/>
      <c r="O269" s="294"/>
      <c r="P269" s="294"/>
    </row>
    <row r="270" spans="3:16" s="159" customFormat="1" x14ac:dyDescent="0.25">
      <c r="C270" s="611"/>
      <c r="D270" s="611"/>
      <c r="M270" s="268"/>
      <c r="N270" s="157"/>
      <c r="O270" s="294"/>
      <c r="P270" s="294"/>
    </row>
    <row r="271" spans="3:16" s="159" customFormat="1" x14ac:dyDescent="0.25">
      <c r="C271" s="611"/>
      <c r="D271" s="611"/>
      <c r="M271" s="268"/>
      <c r="N271" s="157"/>
      <c r="O271" s="294"/>
      <c r="P271" s="294"/>
    </row>
    <row r="272" spans="3:16" s="159" customFormat="1" x14ac:dyDescent="0.25">
      <c r="C272" s="611"/>
      <c r="D272" s="611"/>
      <c r="M272" s="268"/>
      <c r="N272" s="157"/>
      <c r="O272" s="294"/>
      <c r="P272" s="294"/>
    </row>
    <row r="273" spans="3:16" s="159" customFormat="1" x14ac:dyDescent="0.25">
      <c r="C273" s="611"/>
      <c r="D273" s="611"/>
      <c r="M273" s="268"/>
      <c r="N273" s="157"/>
      <c r="O273" s="294"/>
      <c r="P273" s="294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G8:I8"/>
    <mergeCell ref="C8:F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tabColor rgb="FF00B0F0"/>
    <pageSetUpPr fitToPage="1"/>
  </sheetPr>
  <dimension ref="A1:Q274"/>
  <sheetViews>
    <sheetView zoomScale="90" zoomScaleNormal="75" zoomScaleSheetLayoutView="90" zoomScalePageLayoutView="75" workbookViewId="0">
      <selection activeCell="M12" sqref="M12"/>
    </sheetView>
  </sheetViews>
  <sheetFormatPr defaultColWidth="9.33203125" defaultRowHeight="13.2" x14ac:dyDescent="0.25"/>
  <cols>
    <col min="1" max="1" width="12.33203125" style="157" bestFit="1" customWidth="1"/>
    <col min="2" max="2" width="50" style="157" customWidth="1"/>
    <col min="3" max="4" width="5" style="421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268" bestFit="1" customWidth="1"/>
    <col min="11" max="11" width="14.441406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41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370</v>
      </c>
      <c r="B10" s="505" t="s">
        <v>371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793"/>
      <c r="B11" s="794" t="s">
        <v>41</v>
      </c>
      <c r="C11" s="795"/>
      <c r="D11" s="796" t="s">
        <v>21</v>
      </c>
      <c r="E11" s="797">
        <v>0</v>
      </c>
      <c r="F11" s="798">
        <f t="shared" ref="F11:F22" si="0">C11*E11</f>
        <v>0</v>
      </c>
      <c r="G11" s="799"/>
      <c r="H11" s="800">
        <v>0</v>
      </c>
      <c r="I11" s="798">
        <f t="shared" ref="I11:I22" si="1">G11*H11</f>
        <v>0</v>
      </c>
      <c r="J11" s="801">
        <f>M12</f>
        <v>25448</v>
      </c>
      <c r="K11" s="802">
        <f t="shared" ref="K11:K22" si="2">F11+I11+J11</f>
        <v>25448</v>
      </c>
      <c r="L11" s="369" t="s">
        <v>1041</v>
      </c>
      <c r="M11" s="370">
        <v>29800</v>
      </c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 t="s">
        <v>1107</v>
      </c>
      <c r="M12" s="370">
        <v>25448</v>
      </c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 t="s">
        <v>1115</v>
      </c>
      <c r="M13" s="370">
        <v>29900</v>
      </c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157"/>
      <c r="M17" s="449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157"/>
      <c r="M18" s="449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157"/>
      <c r="M19" s="449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157"/>
      <c r="M20" s="449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157"/>
      <c r="M21" s="449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157"/>
      <c r="M22" s="449"/>
      <c r="O22" s="372"/>
      <c r="P22" s="373"/>
      <c r="Q22" s="374"/>
    </row>
    <row r="23" spans="1:17" ht="13.8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67"/>
      <c r="K23" s="510"/>
      <c r="L23" s="157"/>
      <c r="M23" s="449"/>
      <c r="O23" s="372"/>
      <c r="P23" s="373"/>
      <c r="Q23" s="374"/>
    </row>
    <row r="24" spans="1:17" ht="13.8" thickTop="1" x14ac:dyDescent="0.25">
      <c r="A24" s="378"/>
      <c r="B24" s="7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SUM(K11:K23)</f>
        <v>25448</v>
      </c>
      <c r="L24" s="157"/>
      <c r="M24" s="449"/>
      <c r="O24" s="372"/>
      <c r="P24" s="373"/>
      <c r="Q24" s="374"/>
    </row>
    <row r="25" spans="1:17" ht="13.8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ht="15.6" x14ac:dyDescent="0.3">
      <c r="A26" s="505" t="s">
        <v>372</v>
      </c>
      <c r="B26" s="505" t="s">
        <v>373</v>
      </c>
      <c r="C26" s="387" t="s">
        <v>19</v>
      </c>
      <c r="D26" s="388" t="s">
        <v>33</v>
      </c>
      <c r="E26" s="389" t="s">
        <v>35</v>
      </c>
      <c r="F26" s="390" t="s">
        <v>30</v>
      </c>
      <c r="G26" s="512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s="159" customFormat="1" ht="15" x14ac:dyDescent="0.25">
      <c r="A27" s="196" t="s">
        <v>374</v>
      </c>
      <c r="B27" s="196" t="s">
        <v>375</v>
      </c>
      <c r="C27" s="362"/>
      <c r="D27" s="363" t="s">
        <v>21</v>
      </c>
      <c r="E27" s="247">
        <v>0</v>
      </c>
      <c r="F27" s="364">
        <f t="shared" ref="F27:F33" si="3">C27*E27</f>
        <v>0</v>
      </c>
      <c r="G27" s="509"/>
      <c r="H27" s="366">
        <v>0</v>
      </c>
      <c r="I27" s="364">
        <f t="shared" ref="I27:I33" si="4">G27*H27</f>
        <v>0</v>
      </c>
      <c r="J27" s="367"/>
      <c r="K27" s="510">
        <f t="shared" ref="K27:K33" si="5">F27+I27+J27</f>
        <v>0</v>
      </c>
      <c r="L27" s="157"/>
      <c r="M27" s="449"/>
      <c r="N27" s="157"/>
      <c r="O27" s="372"/>
      <c r="P27" s="373"/>
      <c r="Q27" s="374"/>
    </row>
    <row r="28" spans="1:17" s="159" customFormat="1" ht="15" x14ac:dyDescent="0.25">
      <c r="A28" s="196" t="s">
        <v>376</v>
      </c>
      <c r="B28" s="196" t="s">
        <v>377</v>
      </c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M28" s="268"/>
      <c r="N28" s="157"/>
      <c r="O28" s="372"/>
      <c r="P28" s="373"/>
      <c r="Q28" s="374"/>
    </row>
    <row r="29" spans="1:17" s="159" customFormat="1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s="159" customFormat="1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372"/>
      <c r="P30" s="373"/>
      <c r="Q30" s="374"/>
    </row>
    <row r="31" spans="1:17" s="159" customFormat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515"/>
      <c r="M31" s="531"/>
      <c r="N31" s="516"/>
      <c r="O31" s="372"/>
      <c r="P31" s="373"/>
      <c r="Q31" s="374"/>
    </row>
    <row r="32" spans="1:17" s="159" customFormat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L32" s="517"/>
      <c r="M32" s="249"/>
      <c r="N32" s="409"/>
      <c r="O32" s="372"/>
      <c r="P32" s="373"/>
      <c r="Q32" s="374"/>
    </row>
    <row r="33" spans="1:17" s="159" customFormat="1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L33" s="157"/>
      <c r="M33" s="449"/>
      <c r="N33" s="157"/>
      <c r="O33" s="372"/>
      <c r="P33" s="373"/>
      <c r="Q33" s="374"/>
    </row>
    <row r="34" spans="1:17" s="159" customFormat="1" ht="13.8" thickBot="1" x14ac:dyDescent="0.3">
      <c r="A34" s="361"/>
      <c r="B34" s="5"/>
      <c r="C34" s="379"/>
      <c r="D34" s="363"/>
      <c r="E34" s="247"/>
      <c r="F34" s="364"/>
      <c r="G34" s="509"/>
      <c r="H34" s="366"/>
      <c r="I34" s="364"/>
      <c r="J34" s="367"/>
      <c r="K34" s="514"/>
      <c r="L34" s="157"/>
      <c r="M34" s="449"/>
      <c r="N34" s="157"/>
      <c r="O34" s="372"/>
      <c r="P34" s="373"/>
      <c r="Q34" s="374"/>
    </row>
    <row r="35" spans="1:17" s="159" customFormat="1" ht="13.8" thickTop="1" x14ac:dyDescent="0.25">
      <c r="A35" s="378"/>
      <c r="B35" s="5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17" s="159" customFormat="1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17" s="159" customFormat="1" ht="16.2" thickBot="1" x14ac:dyDescent="0.35">
      <c r="A37" s="505" t="s">
        <v>378</v>
      </c>
      <c r="B37" s="505" t="s">
        <v>379</v>
      </c>
      <c r="C37" s="387" t="s">
        <v>19</v>
      </c>
      <c r="D37" s="388" t="s">
        <v>33</v>
      </c>
      <c r="E37" s="389" t="s">
        <v>35</v>
      </c>
      <c r="F37" s="390" t="s">
        <v>30</v>
      </c>
      <c r="G37" s="512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17" s="159" customFormat="1" x14ac:dyDescent="0.25">
      <c r="A38" s="396"/>
      <c r="B38" s="397"/>
      <c r="C38" s="362"/>
      <c r="D38" s="363" t="s">
        <v>21</v>
      </c>
      <c r="E38" s="247">
        <v>0</v>
      </c>
      <c r="F38" s="364">
        <f t="shared" ref="F38:F44" si="6">C38*E38</f>
        <v>0</v>
      </c>
      <c r="G38" s="509"/>
      <c r="H38" s="366">
        <v>0</v>
      </c>
      <c r="I38" s="364">
        <f t="shared" ref="I38:I44" si="7">G38*H38</f>
        <v>0</v>
      </c>
      <c r="J38" s="367"/>
      <c r="K38" s="510">
        <f t="shared" ref="K38:K44" si="8">F38+I38+J38</f>
        <v>0</v>
      </c>
      <c r="L38" s="369"/>
      <c r="M38" s="370"/>
      <c r="N38" s="371"/>
      <c r="O38" s="401"/>
      <c r="P38" s="402"/>
      <c r="Q38" s="374"/>
    </row>
    <row r="39" spans="1:17" s="159" customFormat="1" x14ac:dyDescent="0.25">
      <c r="A39" s="361"/>
      <c r="B39" s="5"/>
      <c r="C39" s="362"/>
      <c r="D39" s="363" t="s">
        <v>21</v>
      </c>
      <c r="E39" s="247">
        <v>0</v>
      </c>
      <c r="F39" s="364">
        <f t="shared" si="6"/>
        <v>0</v>
      </c>
      <c r="G39" s="509"/>
      <c r="H39" s="366">
        <v>0</v>
      </c>
      <c r="I39" s="364">
        <f t="shared" si="7"/>
        <v>0</v>
      </c>
      <c r="J39" s="367"/>
      <c r="K39" s="510">
        <f t="shared" si="8"/>
        <v>0</v>
      </c>
      <c r="L39" s="369"/>
      <c r="M39" s="370"/>
      <c r="N39" s="371"/>
      <c r="O39" s="401"/>
      <c r="P39" s="402"/>
      <c r="Q39" s="374"/>
    </row>
    <row r="40" spans="1:17" s="159" customFormat="1" x14ac:dyDescent="0.25">
      <c r="A40" s="361"/>
      <c r="B40" s="5"/>
      <c r="C40" s="362"/>
      <c r="D40" s="363" t="s">
        <v>21</v>
      </c>
      <c r="E40" s="247">
        <v>0</v>
      </c>
      <c r="F40" s="364">
        <f t="shared" si="6"/>
        <v>0</v>
      </c>
      <c r="G40" s="509"/>
      <c r="H40" s="366">
        <v>0</v>
      </c>
      <c r="I40" s="364">
        <f t="shared" si="7"/>
        <v>0</v>
      </c>
      <c r="J40" s="367"/>
      <c r="K40" s="510">
        <f t="shared" si="8"/>
        <v>0</v>
      </c>
      <c r="L40" s="369"/>
      <c r="M40" s="370"/>
      <c r="N40" s="371"/>
      <c r="O40" s="401"/>
      <c r="P40" s="402"/>
      <c r="Q40" s="374"/>
    </row>
    <row r="41" spans="1:17" s="159" customFormat="1" x14ac:dyDescent="0.25">
      <c r="A41" s="361"/>
      <c r="B41" s="5"/>
      <c r="C41" s="362"/>
      <c r="D41" s="363" t="s">
        <v>21</v>
      </c>
      <c r="E41" s="247">
        <v>0</v>
      </c>
      <c r="F41" s="364">
        <f t="shared" si="6"/>
        <v>0</v>
      </c>
      <c r="G41" s="509"/>
      <c r="H41" s="366">
        <v>0</v>
      </c>
      <c r="I41" s="364">
        <f t="shared" si="7"/>
        <v>0</v>
      </c>
      <c r="J41" s="367"/>
      <c r="K41" s="510">
        <f t="shared" si="8"/>
        <v>0</v>
      </c>
      <c r="L41" s="369"/>
      <c r="M41" s="370"/>
      <c r="N41" s="371"/>
      <c r="O41" s="401"/>
      <c r="P41" s="402"/>
      <c r="Q41" s="374"/>
    </row>
    <row r="42" spans="1:17" s="159" customFormat="1" x14ac:dyDescent="0.25">
      <c r="A42" s="361"/>
      <c r="B42" s="5"/>
      <c r="C42" s="362"/>
      <c r="D42" s="363" t="s">
        <v>21</v>
      </c>
      <c r="E42" s="247">
        <v>0</v>
      </c>
      <c r="F42" s="364">
        <f t="shared" si="6"/>
        <v>0</v>
      </c>
      <c r="G42" s="509"/>
      <c r="H42" s="366">
        <v>0</v>
      </c>
      <c r="I42" s="364">
        <f t="shared" si="7"/>
        <v>0</v>
      </c>
      <c r="J42" s="367"/>
      <c r="K42" s="510">
        <f t="shared" si="8"/>
        <v>0</v>
      </c>
      <c r="M42" s="268"/>
      <c r="N42" s="157"/>
      <c r="O42" s="401"/>
      <c r="P42" s="402"/>
      <c r="Q42" s="374"/>
    </row>
    <row r="43" spans="1:17" s="159" customFormat="1" x14ac:dyDescent="0.25">
      <c r="A43" s="361"/>
      <c r="B43" s="5"/>
      <c r="C43" s="362"/>
      <c r="D43" s="363" t="s">
        <v>21</v>
      </c>
      <c r="E43" s="247">
        <v>0</v>
      </c>
      <c r="F43" s="364">
        <f t="shared" si="6"/>
        <v>0</v>
      </c>
      <c r="G43" s="509"/>
      <c r="H43" s="366">
        <v>0</v>
      </c>
      <c r="I43" s="364">
        <f t="shared" si="7"/>
        <v>0</v>
      </c>
      <c r="J43" s="367"/>
      <c r="K43" s="510">
        <f t="shared" si="8"/>
        <v>0</v>
      </c>
      <c r="M43" s="268"/>
      <c r="N43" s="157"/>
      <c r="O43" s="372"/>
      <c r="P43" s="373"/>
      <c r="Q43" s="374"/>
    </row>
    <row r="44" spans="1:17" s="159" customFormat="1" x14ac:dyDescent="0.25">
      <c r="A44" s="361"/>
      <c r="B44" s="5"/>
      <c r="C44" s="362"/>
      <c r="D44" s="363" t="s">
        <v>21</v>
      </c>
      <c r="E44" s="247">
        <v>0</v>
      </c>
      <c r="F44" s="364">
        <f t="shared" si="6"/>
        <v>0</v>
      </c>
      <c r="G44" s="509"/>
      <c r="H44" s="366">
        <v>0</v>
      </c>
      <c r="I44" s="364">
        <f t="shared" si="7"/>
        <v>0</v>
      </c>
      <c r="J44" s="367"/>
      <c r="K44" s="510">
        <f t="shared" si="8"/>
        <v>0</v>
      </c>
      <c r="M44" s="266"/>
      <c r="O44" s="372"/>
      <c r="P44" s="373"/>
      <c r="Q44" s="374"/>
    </row>
    <row r="45" spans="1:17" s="159" customFormat="1" ht="13.8" thickBot="1" x14ac:dyDescent="0.3">
      <c r="A45" s="378"/>
      <c r="B45" s="5"/>
      <c r="C45" s="379"/>
      <c r="D45" s="363"/>
      <c r="E45" s="247"/>
      <c r="F45" s="364"/>
      <c r="G45" s="509"/>
      <c r="H45" s="366"/>
      <c r="I45" s="364"/>
      <c r="J45" s="367"/>
      <c r="K45" s="514"/>
      <c r="M45" s="266"/>
      <c r="O45" s="372"/>
      <c r="P45" s="402"/>
      <c r="Q45" s="374"/>
    </row>
    <row r="46" spans="1:17" s="159" customFormat="1" ht="13.8" thickTop="1" x14ac:dyDescent="0.25">
      <c r="A46" s="378"/>
      <c r="B46" s="403"/>
      <c r="C46" s="379"/>
      <c r="D46" s="363"/>
      <c r="E46" s="247"/>
      <c r="F46" s="364"/>
      <c r="G46" s="509"/>
      <c r="H46" s="366"/>
      <c r="I46" s="364"/>
      <c r="J46" s="380" t="s">
        <v>30</v>
      </c>
      <c r="K46" s="511">
        <f>SUM(K38:K45)</f>
        <v>0</v>
      </c>
      <c r="L46" s="369"/>
      <c r="M46" s="249"/>
      <c r="N46" s="409"/>
      <c r="O46" s="372"/>
      <c r="P46" s="373"/>
      <c r="Q46" s="374"/>
    </row>
    <row r="47" spans="1:17" s="159" customFormat="1" ht="13.8" thickBot="1" x14ac:dyDescent="0.3">
      <c r="A47" s="344" t="s">
        <v>0</v>
      </c>
      <c r="B47" s="345" t="s">
        <v>1</v>
      </c>
      <c r="C47" s="1028" t="s">
        <v>646</v>
      </c>
      <c r="D47" s="1028"/>
      <c r="E47" s="1028"/>
      <c r="F47" s="1028"/>
      <c r="G47" s="1028" t="s">
        <v>34</v>
      </c>
      <c r="H47" s="1028"/>
      <c r="I47" s="1028"/>
      <c r="J47" s="346"/>
      <c r="K47" s="503"/>
      <c r="L47" s="382"/>
      <c r="M47" s="383"/>
      <c r="N47" s="384"/>
      <c r="O47" s="372"/>
      <c r="P47" s="373"/>
      <c r="Q47" s="374"/>
    </row>
    <row r="48" spans="1:17" s="159" customFormat="1" ht="15.6" x14ac:dyDescent="0.3">
      <c r="A48" s="505" t="s">
        <v>380</v>
      </c>
      <c r="B48" s="505" t="s">
        <v>381</v>
      </c>
      <c r="C48" s="387" t="s">
        <v>19</v>
      </c>
      <c r="D48" s="388" t="s">
        <v>33</v>
      </c>
      <c r="E48" s="389" t="s">
        <v>35</v>
      </c>
      <c r="F48" s="390" t="s">
        <v>30</v>
      </c>
      <c r="G48" s="512" t="s">
        <v>14</v>
      </c>
      <c r="H48" s="389" t="s">
        <v>35</v>
      </c>
      <c r="I48" s="390" t="s">
        <v>30</v>
      </c>
      <c r="J48" s="355" t="s">
        <v>649</v>
      </c>
      <c r="K48" s="513" t="s">
        <v>38</v>
      </c>
      <c r="L48" s="393"/>
      <c r="M48" s="399"/>
      <c r="N48" s="400"/>
      <c r="O48" s="372"/>
      <c r="P48" s="373"/>
      <c r="Q48" s="374"/>
    </row>
    <row r="49" spans="1:17" s="159" customFormat="1" x14ac:dyDescent="0.25">
      <c r="A49" s="158" t="s">
        <v>395</v>
      </c>
      <c r="B49" s="159" t="s">
        <v>668</v>
      </c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620"/>
      <c r="M49" s="249"/>
      <c r="N49" s="409"/>
      <c r="O49" s="372"/>
      <c r="P49" s="373"/>
      <c r="Q49" s="374"/>
    </row>
    <row r="50" spans="1:17" s="159" customFormat="1" x14ac:dyDescent="0.25">
      <c r="A50" s="631" t="s">
        <v>396</v>
      </c>
      <c r="B50" s="631" t="s">
        <v>393</v>
      </c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409"/>
      <c r="O50" s="372"/>
      <c r="P50" s="373"/>
      <c r="Q50" s="374"/>
    </row>
    <row r="51" spans="1:17" s="159" customFormat="1" x14ac:dyDescent="0.25">
      <c r="A51" s="631" t="s">
        <v>397</v>
      </c>
      <c r="B51" s="631" t="s">
        <v>382</v>
      </c>
      <c r="C51" s="362"/>
      <c r="D51" s="363" t="s">
        <v>21</v>
      </c>
      <c r="E51" s="247">
        <v>0</v>
      </c>
      <c r="F51" s="364">
        <f t="shared" ref="F51:F62" si="9">C51*E51</f>
        <v>0</v>
      </c>
      <c r="G51" s="509"/>
      <c r="H51" s="366">
        <v>0</v>
      </c>
      <c r="I51" s="364">
        <f t="shared" ref="I51:I62" si="10">G51*H51</f>
        <v>0</v>
      </c>
      <c r="J51" s="367"/>
      <c r="K51" s="510">
        <f t="shared" ref="K51:K62" si="11">F51+I51+J51</f>
        <v>0</v>
      </c>
      <c r="L51" s="369"/>
      <c r="M51" s="249"/>
      <c r="N51" s="371"/>
      <c r="O51" s="372"/>
      <c r="P51" s="373"/>
      <c r="Q51" s="374"/>
    </row>
    <row r="52" spans="1:17" s="159" customFormat="1" x14ac:dyDescent="0.25">
      <c r="A52" s="158" t="s">
        <v>398</v>
      </c>
      <c r="B52" s="159" t="s">
        <v>383</v>
      </c>
      <c r="C52" s="362"/>
      <c r="D52" s="363" t="s">
        <v>21</v>
      </c>
      <c r="E52" s="247">
        <v>0</v>
      </c>
      <c r="F52" s="364">
        <f t="shared" si="9"/>
        <v>0</v>
      </c>
      <c r="G52" s="509"/>
      <c r="H52" s="366">
        <v>0</v>
      </c>
      <c r="I52" s="364">
        <f t="shared" si="10"/>
        <v>0</v>
      </c>
      <c r="J52" s="367"/>
      <c r="K52" s="510">
        <f t="shared" si="11"/>
        <v>0</v>
      </c>
      <c r="L52" s="157"/>
      <c r="M52" s="449"/>
      <c r="N52" s="157"/>
      <c r="O52" s="417"/>
      <c r="P52" s="418"/>
      <c r="Q52" s="374"/>
    </row>
    <row r="53" spans="1:17" s="159" customFormat="1" x14ac:dyDescent="0.25">
      <c r="A53" s="631" t="s">
        <v>399</v>
      </c>
      <c r="B53" s="631" t="s">
        <v>384</v>
      </c>
      <c r="C53" s="362"/>
      <c r="D53" s="363" t="s">
        <v>21</v>
      </c>
      <c r="E53" s="247">
        <v>0</v>
      </c>
      <c r="F53" s="364">
        <f t="shared" si="9"/>
        <v>0</v>
      </c>
      <c r="G53" s="509"/>
      <c r="H53" s="366">
        <v>0</v>
      </c>
      <c r="I53" s="364">
        <f t="shared" si="10"/>
        <v>0</v>
      </c>
      <c r="J53" s="367"/>
      <c r="K53" s="510">
        <f t="shared" si="11"/>
        <v>0</v>
      </c>
      <c r="L53" s="617"/>
      <c r="M53" s="249"/>
      <c r="N53" s="619"/>
      <c r="O53" s="417"/>
      <c r="P53" s="418"/>
      <c r="Q53" s="374"/>
    </row>
    <row r="54" spans="1:17" s="159" customFormat="1" x14ac:dyDescent="0.25">
      <c r="A54" s="631" t="s">
        <v>400</v>
      </c>
      <c r="B54" s="631" t="s">
        <v>385</v>
      </c>
      <c r="C54" s="362"/>
      <c r="D54" s="363" t="s">
        <v>21</v>
      </c>
      <c r="E54" s="247">
        <v>0</v>
      </c>
      <c r="F54" s="364">
        <f t="shared" si="9"/>
        <v>0</v>
      </c>
      <c r="G54" s="509"/>
      <c r="H54" s="366">
        <v>0</v>
      </c>
      <c r="I54" s="364">
        <f t="shared" si="10"/>
        <v>0</v>
      </c>
      <c r="J54" s="367"/>
      <c r="K54" s="510">
        <f t="shared" si="11"/>
        <v>0</v>
      </c>
      <c r="L54" s="620"/>
      <c r="M54" s="249"/>
      <c r="N54" s="621"/>
      <c r="O54" s="401"/>
      <c r="P54" s="402"/>
      <c r="Q54" s="374"/>
    </row>
    <row r="55" spans="1:17" s="159" customFormat="1" x14ac:dyDescent="0.25">
      <c r="A55" s="158" t="s">
        <v>401</v>
      </c>
      <c r="B55" s="159" t="s">
        <v>386</v>
      </c>
      <c r="C55" s="362"/>
      <c r="D55" s="363" t="s">
        <v>21</v>
      </c>
      <c r="E55" s="247">
        <v>0</v>
      </c>
      <c r="F55" s="364">
        <f t="shared" si="9"/>
        <v>0</v>
      </c>
      <c r="G55" s="509"/>
      <c r="H55" s="366">
        <v>0</v>
      </c>
      <c r="I55" s="364">
        <f t="shared" si="10"/>
        <v>0</v>
      </c>
      <c r="J55" s="367"/>
      <c r="K55" s="510">
        <f t="shared" si="11"/>
        <v>0</v>
      </c>
      <c r="M55" s="268"/>
      <c r="N55" s="157"/>
      <c r="O55" s="372"/>
      <c r="P55" s="373"/>
      <c r="Q55" s="374"/>
    </row>
    <row r="56" spans="1:17" s="159" customFormat="1" x14ac:dyDescent="0.25">
      <c r="A56" s="158" t="s">
        <v>402</v>
      </c>
      <c r="B56" s="159" t="s">
        <v>387</v>
      </c>
      <c r="C56" s="362"/>
      <c r="D56" s="363" t="s">
        <v>21</v>
      </c>
      <c r="E56" s="247">
        <v>0</v>
      </c>
      <c r="F56" s="364">
        <f t="shared" si="9"/>
        <v>0</v>
      </c>
      <c r="G56" s="509"/>
      <c r="H56" s="366">
        <v>0</v>
      </c>
      <c r="I56" s="364">
        <f t="shared" si="10"/>
        <v>0</v>
      </c>
      <c r="J56" s="367"/>
      <c r="K56" s="510">
        <f t="shared" si="11"/>
        <v>0</v>
      </c>
      <c r="L56" s="369"/>
      <c r="M56" s="249"/>
      <c r="N56" s="371"/>
      <c r="O56" s="372"/>
      <c r="P56" s="373"/>
      <c r="Q56" s="374"/>
    </row>
    <row r="57" spans="1:17" s="159" customFormat="1" x14ac:dyDescent="0.25">
      <c r="A57" s="158" t="s">
        <v>403</v>
      </c>
      <c r="B57" s="159" t="s">
        <v>388</v>
      </c>
      <c r="C57" s="362"/>
      <c r="D57" s="363" t="s">
        <v>21</v>
      </c>
      <c r="E57" s="247">
        <v>0</v>
      </c>
      <c r="F57" s="364">
        <f t="shared" si="9"/>
        <v>0</v>
      </c>
      <c r="G57" s="509"/>
      <c r="H57" s="366">
        <v>0</v>
      </c>
      <c r="I57" s="364">
        <f t="shared" si="10"/>
        <v>0</v>
      </c>
      <c r="J57" s="367"/>
      <c r="K57" s="510">
        <f t="shared" si="11"/>
        <v>0</v>
      </c>
      <c r="L57" s="369"/>
      <c r="M57" s="249"/>
      <c r="N57" s="371"/>
      <c r="O57" s="372"/>
      <c r="P57" s="373"/>
      <c r="Q57" s="374"/>
    </row>
    <row r="58" spans="1:17" s="159" customFormat="1" x14ac:dyDescent="0.25">
      <c r="A58" s="158" t="s">
        <v>404</v>
      </c>
      <c r="B58" s="159" t="s">
        <v>389</v>
      </c>
      <c r="C58" s="362"/>
      <c r="D58" s="363" t="s">
        <v>21</v>
      </c>
      <c r="E58" s="247">
        <v>0</v>
      </c>
      <c r="F58" s="364">
        <f t="shared" si="9"/>
        <v>0</v>
      </c>
      <c r="G58" s="509"/>
      <c r="H58" s="366">
        <v>0</v>
      </c>
      <c r="I58" s="364">
        <f t="shared" si="10"/>
        <v>0</v>
      </c>
      <c r="J58" s="367"/>
      <c r="K58" s="510">
        <f t="shared" si="11"/>
        <v>0</v>
      </c>
      <c r="L58" s="369"/>
      <c r="M58" s="249"/>
      <c r="N58" s="371"/>
      <c r="O58" s="372"/>
      <c r="P58" s="373"/>
      <c r="Q58" s="374"/>
    </row>
    <row r="59" spans="1:17" s="159" customFormat="1" x14ac:dyDescent="0.25">
      <c r="A59" s="158" t="s">
        <v>405</v>
      </c>
      <c r="B59" s="159" t="s">
        <v>390</v>
      </c>
      <c r="C59" s="362"/>
      <c r="D59" s="363" t="s">
        <v>21</v>
      </c>
      <c r="E59" s="247">
        <v>0</v>
      </c>
      <c r="F59" s="364">
        <f t="shared" si="9"/>
        <v>0</v>
      </c>
      <c r="G59" s="509"/>
      <c r="H59" s="366">
        <v>0</v>
      </c>
      <c r="I59" s="364">
        <f t="shared" si="10"/>
        <v>0</v>
      </c>
      <c r="J59" s="367"/>
      <c r="K59" s="510">
        <f t="shared" si="11"/>
        <v>0</v>
      </c>
      <c r="L59" s="617"/>
      <c r="M59" s="249"/>
      <c r="N59" s="619"/>
      <c r="O59" s="372"/>
      <c r="P59" s="373"/>
      <c r="Q59" s="374"/>
    </row>
    <row r="60" spans="1:17" s="159" customFormat="1" x14ac:dyDescent="0.25">
      <c r="A60" s="158" t="s">
        <v>406</v>
      </c>
      <c r="B60" s="159" t="s">
        <v>391</v>
      </c>
      <c r="C60" s="362"/>
      <c r="D60" s="363" t="s">
        <v>21</v>
      </c>
      <c r="E60" s="247">
        <v>0</v>
      </c>
      <c r="F60" s="364">
        <f t="shared" si="9"/>
        <v>0</v>
      </c>
      <c r="G60" s="509"/>
      <c r="H60" s="366">
        <v>0</v>
      </c>
      <c r="I60" s="364">
        <f t="shared" si="10"/>
        <v>0</v>
      </c>
      <c r="J60" s="367"/>
      <c r="K60" s="510">
        <f t="shared" si="11"/>
        <v>0</v>
      </c>
      <c r="L60" s="620"/>
      <c r="M60" s="249"/>
      <c r="N60" s="621"/>
      <c r="O60" s="372"/>
      <c r="P60" s="373"/>
      <c r="Q60" s="374"/>
    </row>
    <row r="61" spans="1:17" s="159" customFormat="1" x14ac:dyDescent="0.25">
      <c r="A61" s="158" t="s">
        <v>407</v>
      </c>
      <c r="B61" s="159" t="s">
        <v>392</v>
      </c>
      <c r="C61" s="362"/>
      <c r="D61" s="363" t="s">
        <v>21</v>
      </c>
      <c r="E61" s="247">
        <v>0</v>
      </c>
      <c r="F61" s="364">
        <f t="shared" si="9"/>
        <v>0</v>
      </c>
      <c r="G61" s="509"/>
      <c r="H61" s="366">
        <v>0</v>
      </c>
      <c r="I61" s="364">
        <f t="shared" si="10"/>
        <v>0</v>
      </c>
      <c r="J61" s="367"/>
      <c r="K61" s="510">
        <f t="shared" si="11"/>
        <v>0</v>
      </c>
      <c r="L61" s="369"/>
      <c r="M61" s="249"/>
      <c r="N61" s="409"/>
      <c r="O61" s="372"/>
      <c r="P61" s="373"/>
      <c r="Q61" s="374"/>
    </row>
    <row r="62" spans="1:17" s="159" customFormat="1" x14ac:dyDescent="0.25">
      <c r="A62" s="158" t="s">
        <v>408</v>
      </c>
      <c r="B62" s="159" t="s">
        <v>394</v>
      </c>
      <c r="C62" s="362"/>
      <c r="D62" s="363" t="s">
        <v>21</v>
      </c>
      <c r="E62" s="247">
        <v>0</v>
      </c>
      <c r="F62" s="364">
        <f t="shared" si="9"/>
        <v>0</v>
      </c>
      <c r="G62" s="509"/>
      <c r="H62" s="366">
        <v>0</v>
      </c>
      <c r="I62" s="364">
        <f t="shared" si="10"/>
        <v>0</v>
      </c>
      <c r="J62" s="367"/>
      <c r="K62" s="510">
        <f t="shared" si="11"/>
        <v>0</v>
      </c>
      <c r="M62" s="268"/>
      <c r="N62" s="157"/>
      <c r="O62" s="372"/>
      <c r="P62" s="373"/>
      <c r="Q62" s="374"/>
    </row>
    <row r="63" spans="1:17" s="159" customFormat="1" x14ac:dyDescent="0.25">
      <c r="C63" s="362"/>
      <c r="D63" s="363" t="s">
        <v>21</v>
      </c>
      <c r="E63" s="247">
        <v>0</v>
      </c>
      <c r="F63" s="364">
        <f>C63*E63</f>
        <v>0</v>
      </c>
      <c r="G63" s="509"/>
      <c r="H63" s="366">
        <v>0</v>
      </c>
      <c r="I63" s="364">
        <f>G63*H63</f>
        <v>0</v>
      </c>
      <c r="J63" s="367"/>
      <c r="K63" s="510">
        <f>F63+I63+J63</f>
        <v>0</v>
      </c>
      <c r="M63" s="268"/>
      <c r="N63" s="157"/>
      <c r="O63" s="372"/>
      <c r="P63" s="373"/>
      <c r="Q63" s="374"/>
    </row>
    <row r="64" spans="1:17" s="159" customFormat="1" x14ac:dyDescent="0.25">
      <c r="C64" s="362"/>
      <c r="D64" s="363" t="s">
        <v>21</v>
      </c>
      <c r="E64" s="247">
        <v>0</v>
      </c>
      <c r="F64" s="364">
        <f>C64*E64</f>
        <v>0</v>
      </c>
      <c r="G64" s="509"/>
      <c r="H64" s="366">
        <v>0</v>
      </c>
      <c r="I64" s="364">
        <f>G64*H64</f>
        <v>0</v>
      </c>
      <c r="J64" s="367"/>
      <c r="K64" s="510">
        <f>F64+I64+J64</f>
        <v>0</v>
      </c>
      <c r="M64" s="266"/>
      <c r="O64" s="372"/>
      <c r="P64" s="373"/>
      <c r="Q64" s="374"/>
    </row>
    <row r="65" spans="1:17" s="159" customFormat="1" x14ac:dyDescent="0.25">
      <c r="A65" s="361"/>
      <c r="B65" s="5"/>
      <c r="C65" s="362"/>
      <c r="D65" s="363" t="s">
        <v>21</v>
      </c>
      <c r="E65" s="247">
        <v>0</v>
      </c>
      <c r="F65" s="364">
        <f>C65*E65</f>
        <v>0</v>
      </c>
      <c r="G65" s="509"/>
      <c r="H65" s="366">
        <v>0</v>
      </c>
      <c r="I65" s="364">
        <f>G65*H65</f>
        <v>0</v>
      </c>
      <c r="J65" s="367"/>
      <c r="K65" s="510">
        <f>F65+I65+J65</f>
        <v>0</v>
      </c>
      <c r="M65" s="266"/>
      <c r="O65" s="372"/>
      <c r="P65" s="373"/>
      <c r="Q65" s="374"/>
    </row>
    <row r="66" spans="1:17" s="159" customFormat="1" ht="13.8" thickBot="1" x14ac:dyDescent="0.3">
      <c r="A66" s="378"/>
      <c r="B66" s="5"/>
      <c r="C66" s="379"/>
      <c r="D66" s="363"/>
      <c r="E66" s="247"/>
      <c r="F66" s="364"/>
      <c r="G66" s="509"/>
      <c r="H66" s="366"/>
      <c r="I66" s="364"/>
      <c r="J66" s="367"/>
      <c r="K66" s="514"/>
      <c r="L66" s="369"/>
      <c r="M66" s="370"/>
      <c r="N66" s="371"/>
      <c r="O66" s="372"/>
      <c r="P66" s="373"/>
      <c r="Q66" s="374"/>
    </row>
    <row r="67" spans="1:17" s="159" customFormat="1" ht="13.8" thickTop="1" x14ac:dyDescent="0.25">
      <c r="A67" s="378"/>
      <c r="B67" s="403"/>
      <c r="C67" s="379"/>
      <c r="D67" s="363"/>
      <c r="E67" s="247"/>
      <c r="F67" s="364"/>
      <c r="G67" s="509"/>
      <c r="H67" s="366"/>
      <c r="I67" s="364"/>
      <c r="J67" s="380" t="s">
        <v>30</v>
      </c>
      <c r="K67" s="511">
        <f>SUM(K49:K66)</f>
        <v>0</v>
      </c>
      <c r="L67" s="369"/>
      <c r="M67" s="370"/>
      <c r="N67" s="371"/>
      <c r="O67" s="372"/>
      <c r="P67" s="373"/>
      <c r="Q67" s="374"/>
    </row>
    <row r="68" spans="1:17" s="159" customFormat="1" ht="13.8" thickBot="1" x14ac:dyDescent="0.3">
      <c r="A68" s="344" t="s">
        <v>0</v>
      </c>
      <c r="B68" s="345" t="s">
        <v>1</v>
      </c>
      <c r="C68" s="1028" t="s">
        <v>646</v>
      </c>
      <c r="D68" s="1028"/>
      <c r="E68" s="1028"/>
      <c r="F68" s="1028"/>
      <c r="G68" s="1028" t="s">
        <v>34</v>
      </c>
      <c r="H68" s="1028"/>
      <c r="I68" s="1028"/>
      <c r="J68" s="346"/>
      <c r="K68" s="503"/>
      <c r="L68" s="382"/>
      <c r="M68" s="346"/>
      <c r="N68" s="419"/>
      <c r="O68" s="372"/>
      <c r="P68" s="373"/>
      <c r="Q68" s="374"/>
    </row>
    <row r="69" spans="1:17" s="159" customFormat="1" ht="15.6" x14ac:dyDescent="0.3">
      <c r="A69" s="505" t="s">
        <v>409</v>
      </c>
      <c r="B69" s="505" t="s">
        <v>410</v>
      </c>
      <c r="C69" s="387" t="s">
        <v>19</v>
      </c>
      <c r="D69" s="388" t="s">
        <v>33</v>
      </c>
      <c r="E69" s="389" t="s">
        <v>35</v>
      </c>
      <c r="F69" s="390" t="s">
        <v>30</v>
      </c>
      <c r="G69" s="512" t="s">
        <v>14</v>
      </c>
      <c r="H69" s="389" t="s">
        <v>35</v>
      </c>
      <c r="I69" s="390" t="s">
        <v>30</v>
      </c>
      <c r="J69" s="355" t="s">
        <v>649</v>
      </c>
      <c r="K69" s="513" t="s">
        <v>38</v>
      </c>
      <c r="L69" s="393"/>
      <c r="M69" s="399"/>
      <c r="N69" s="400"/>
      <c r="O69" s="372"/>
      <c r="P69" s="373"/>
      <c r="Q69" s="374"/>
    </row>
    <row r="70" spans="1:17" s="159" customFormat="1" x14ac:dyDescent="0.25">
      <c r="A70" s="158" t="s">
        <v>411</v>
      </c>
      <c r="B70" s="159" t="s">
        <v>413</v>
      </c>
      <c r="C70" s="362"/>
      <c r="D70" s="363" t="s">
        <v>21</v>
      </c>
      <c r="E70" s="247">
        <v>0</v>
      </c>
      <c r="F70" s="364">
        <f>C70*E70</f>
        <v>0</v>
      </c>
      <c r="G70" s="509"/>
      <c r="H70" s="366">
        <v>0</v>
      </c>
      <c r="I70" s="364">
        <f>G70*H70</f>
        <v>0</v>
      </c>
      <c r="J70" s="367"/>
      <c r="K70" s="510">
        <f>F70+I70+J70</f>
        <v>0</v>
      </c>
      <c r="M70" s="268"/>
      <c r="N70" s="157"/>
      <c r="O70" s="372"/>
      <c r="P70" s="373"/>
      <c r="Q70" s="374"/>
    </row>
    <row r="71" spans="1:17" s="159" customFormat="1" x14ac:dyDescent="0.25">
      <c r="A71" s="158" t="s">
        <v>412</v>
      </c>
      <c r="B71" s="159" t="s">
        <v>414</v>
      </c>
      <c r="C71" s="362"/>
      <c r="D71" s="363" t="s">
        <v>21</v>
      </c>
      <c r="E71" s="247">
        <v>0</v>
      </c>
      <c r="F71" s="364">
        <f>C71*E71</f>
        <v>0</v>
      </c>
      <c r="G71" s="509"/>
      <c r="H71" s="366">
        <v>0</v>
      </c>
      <c r="I71" s="364">
        <f>G71*H71</f>
        <v>0</v>
      </c>
      <c r="J71" s="367"/>
      <c r="K71" s="510">
        <f>F71+I71+J71</f>
        <v>0</v>
      </c>
      <c r="M71" s="268"/>
      <c r="N71" s="157"/>
      <c r="O71" s="372"/>
      <c r="P71" s="373"/>
      <c r="Q71" s="374"/>
    </row>
    <row r="72" spans="1:17" s="159" customFormat="1" x14ac:dyDescent="0.25">
      <c r="A72" s="361"/>
      <c r="B72" s="5"/>
      <c r="C72" s="362"/>
      <c r="D72" s="363" t="s">
        <v>21</v>
      </c>
      <c r="E72" s="247">
        <v>0</v>
      </c>
      <c r="F72" s="364">
        <f>C72*E72</f>
        <v>0</v>
      </c>
      <c r="G72" s="509"/>
      <c r="H72" s="366">
        <v>0</v>
      </c>
      <c r="I72" s="364">
        <f>G72*H72</f>
        <v>0</v>
      </c>
      <c r="J72" s="367"/>
      <c r="K72" s="510">
        <f>F72+I72+J72</f>
        <v>0</v>
      </c>
      <c r="M72" s="268"/>
      <c r="N72" s="157"/>
      <c r="O72" s="372"/>
      <c r="P72" s="373"/>
      <c r="Q72" s="374"/>
    </row>
    <row r="73" spans="1:17" s="159" customFormat="1" ht="13.8" thickBot="1" x14ac:dyDescent="0.3">
      <c r="A73" s="378"/>
      <c r="B73" s="5"/>
      <c r="C73" s="379"/>
      <c r="D73" s="363"/>
      <c r="E73" s="247"/>
      <c r="F73" s="364"/>
      <c r="G73" s="509"/>
      <c r="H73" s="366"/>
      <c r="I73" s="364"/>
      <c r="J73" s="367"/>
      <c r="K73" s="514"/>
      <c r="M73" s="266"/>
      <c r="O73" s="372"/>
      <c r="P73" s="373"/>
      <c r="Q73" s="374"/>
    </row>
    <row r="74" spans="1:17" s="159" customFormat="1" ht="13.8" thickTop="1" x14ac:dyDescent="0.25">
      <c r="A74" s="378"/>
      <c r="B74" s="157"/>
      <c r="C74" s="379"/>
      <c r="D74" s="363"/>
      <c r="E74" s="247"/>
      <c r="F74" s="364"/>
      <c r="G74" s="509"/>
      <c r="H74" s="366"/>
      <c r="I74" s="364"/>
      <c r="J74" s="380" t="s">
        <v>30</v>
      </c>
      <c r="K74" s="511">
        <f>SUM(K70:K73)</f>
        <v>0</v>
      </c>
      <c r="M74" s="266"/>
      <c r="O74" s="372"/>
      <c r="P74" s="373"/>
      <c r="Q74" s="374"/>
    </row>
    <row r="75" spans="1:17" s="159" customFormat="1" ht="13.8" thickBot="1" x14ac:dyDescent="0.3">
      <c r="A75" s="344" t="s">
        <v>0</v>
      </c>
      <c r="B75" s="345" t="s">
        <v>1</v>
      </c>
      <c r="C75" s="1028" t="s">
        <v>646</v>
      </c>
      <c r="D75" s="1028"/>
      <c r="E75" s="1028"/>
      <c r="F75" s="1028"/>
      <c r="G75" s="1028" t="s">
        <v>34</v>
      </c>
      <c r="H75" s="1028"/>
      <c r="I75" s="1028"/>
      <c r="J75" s="346"/>
      <c r="K75" s="503"/>
      <c r="L75" s="382"/>
      <c r="M75" s="383"/>
      <c r="N75" s="384"/>
      <c r="O75" s="372"/>
      <c r="P75" s="373"/>
      <c r="Q75" s="374"/>
    </row>
    <row r="76" spans="1:17" s="159" customFormat="1" ht="16.2" thickBot="1" x14ac:dyDescent="0.35">
      <c r="A76" s="505" t="s">
        <v>415</v>
      </c>
      <c r="B76" s="505" t="s">
        <v>416</v>
      </c>
      <c r="C76" s="387" t="s">
        <v>19</v>
      </c>
      <c r="D76" s="388" t="s">
        <v>33</v>
      </c>
      <c r="E76" s="389" t="s">
        <v>35</v>
      </c>
      <c r="F76" s="390" t="s">
        <v>30</v>
      </c>
      <c r="G76" s="512" t="s">
        <v>14</v>
      </c>
      <c r="H76" s="389" t="s">
        <v>35</v>
      </c>
      <c r="I76" s="390" t="s">
        <v>30</v>
      </c>
      <c r="J76" s="355" t="s">
        <v>649</v>
      </c>
      <c r="K76" s="513" t="s">
        <v>38</v>
      </c>
      <c r="L76" s="393"/>
      <c r="M76" s="394"/>
      <c r="N76" s="395"/>
      <c r="O76" s="372"/>
      <c r="P76" s="373"/>
      <c r="Q76" s="374"/>
    </row>
    <row r="77" spans="1:17" s="159" customFormat="1" x14ac:dyDescent="0.25">
      <c r="A77" s="396"/>
      <c r="B77" s="397"/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367"/>
      <c r="K77" s="510">
        <f>F77+I77+J77</f>
        <v>0</v>
      </c>
      <c r="L77" s="620"/>
      <c r="M77" s="622"/>
      <c r="N77" s="621"/>
      <c r="O77" s="372"/>
      <c r="P77" s="373"/>
      <c r="Q77" s="374"/>
    </row>
    <row r="78" spans="1:17" s="159" customFormat="1" x14ac:dyDescent="0.25">
      <c r="A78" s="361"/>
      <c r="B78" s="5"/>
      <c r="C78" s="362"/>
      <c r="D78" s="363" t="s">
        <v>21</v>
      </c>
      <c r="E78" s="247">
        <v>0</v>
      </c>
      <c r="F78" s="364">
        <f>C78*E78</f>
        <v>0</v>
      </c>
      <c r="G78" s="509"/>
      <c r="H78" s="366">
        <v>0</v>
      </c>
      <c r="I78" s="364">
        <f>G78*H78</f>
        <v>0</v>
      </c>
      <c r="J78" s="367"/>
      <c r="K78" s="510">
        <f>F78+I78+J78</f>
        <v>0</v>
      </c>
      <c r="L78" s="369"/>
      <c r="M78" s="370"/>
      <c r="N78" s="371"/>
      <c r="O78" s="372"/>
      <c r="P78" s="373"/>
      <c r="Q78" s="374"/>
    </row>
    <row r="79" spans="1:17" s="159" customFormat="1" x14ac:dyDescent="0.25">
      <c r="A79" s="361"/>
      <c r="C79" s="362"/>
      <c r="D79" s="363" t="s">
        <v>21</v>
      </c>
      <c r="E79" s="247">
        <v>0</v>
      </c>
      <c r="F79" s="364">
        <f>C79*E79</f>
        <v>0</v>
      </c>
      <c r="G79" s="509"/>
      <c r="H79" s="366">
        <v>0</v>
      </c>
      <c r="I79" s="364">
        <f>G79*H79</f>
        <v>0</v>
      </c>
      <c r="J79" s="367"/>
      <c r="K79" s="510">
        <f>F79+I79+J79</f>
        <v>0</v>
      </c>
      <c r="L79" s="369"/>
      <c r="M79" s="370"/>
      <c r="N79" s="371"/>
      <c r="O79" s="372"/>
      <c r="P79" s="373"/>
      <c r="Q79" s="374"/>
    </row>
    <row r="80" spans="1:17" s="159" customFormat="1" x14ac:dyDescent="0.25">
      <c r="A80" s="361"/>
      <c r="B80" s="5"/>
      <c r="C80" s="362"/>
      <c r="D80" s="363" t="s">
        <v>21</v>
      </c>
      <c r="E80" s="247">
        <v>0</v>
      </c>
      <c r="F80" s="364">
        <f>C80*E80</f>
        <v>0</v>
      </c>
      <c r="G80" s="509"/>
      <c r="H80" s="366">
        <v>0</v>
      </c>
      <c r="I80" s="364">
        <f>G80*H80</f>
        <v>0</v>
      </c>
      <c r="J80" s="367"/>
      <c r="K80" s="510">
        <f>F80+I80+J80</f>
        <v>0</v>
      </c>
      <c r="M80" s="266"/>
      <c r="O80" s="372"/>
      <c r="P80" s="373"/>
      <c r="Q80" s="374"/>
    </row>
    <row r="81" spans="1:17" s="159" customFormat="1" x14ac:dyDescent="0.25">
      <c r="A81" s="361"/>
      <c r="B81" s="5"/>
      <c r="C81" s="362"/>
      <c r="D81" s="363" t="s">
        <v>21</v>
      </c>
      <c r="E81" s="247">
        <v>0</v>
      </c>
      <c r="F81" s="364">
        <f>C81*E81</f>
        <v>0</v>
      </c>
      <c r="G81" s="509"/>
      <c r="H81" s="366">
        <v>0</v>
      </c>
      <c r="I81" s="364">
        <f>G81*H81</f>
        <v>0</v>
      </c>
      <c r="J81" s="367"/>
      <c r="K81" s="510">
        <f>F81+I81+J81</f>
        <v>0</v>
      </c>
      <c r="M81" s="266"/>
      <c r="O81" s="372"/>
      <c r="P81" s="373"/>
      <c r="Q81" s="374"/>
    </row>
    <row r="82" spans="1:17" s="159" customFormat="1" ht="13.8" thickBot="1" x14ac:dyDescent="0.3">
      <c r="A82" s="378"/>
      <c r="B82" s="5"/>
      <c r="C82" s="379"/>
      <c r="D82" s="363"/>
      <c r="E82" s="247"/>
      <c r="F82" s="364"/>
      <c r="G82" s="509"/>
      <c r="H82" s="366"/>
      <c r="I82" s="364"/>
      <c r="J82" s="367"/>
      <c r="K82" s="514"/>
      <c r="M82" s="268"/>
      <c r="N82" s="157"/>
      <c r="O82" s="372"/>
      <c r="P82" s="373"/>
      <c r="Q82" s="374"/>
    </row>
    <row r="83" spans="1:17" s="159" customFormat="1" ht="13.8" thickTop="1" x14ac:dyDescent="0.25">
      <c r="A83" s="378"/>
      <c r="B83" s="403"/>
      <c r="C83" s="379"/>
      <c r="D83" s="363"/>
      <c r="E83" s="247"/>
      <c r="F83" s="364"/>
      <c r="G83" s="509"/>
      <c r="H83" s="366"/>
      <c r="I83" s="364"/>
      <c r="J83" s="380" t="s">
        <v>30</v>
      </c>
      <c r="K83" s="511">
        <f>SUM(K77:K82)</f>
        <v>0</v>
      </c>
      <c r="M83" s="268"/>
      <c r="N83" s="157"/>
      <c r="O83" s="372"/>
      <c r="P83" s="373"/>
      <c r="Q83" s="374"/>
    </row>
    <row r="84" spans="1:17" s="159" customFormat="1" ht="13.8" thickBot="1" x14ac:dyDescent="0.3">
      <c r="A84" s="344" t="s">
        <v>0</v>
      </c>
      <c r="B84" s="345" t="s">
        <v>1</v>
      </c>
      <c r="C84" s="1028" t="s">
        <v>646</v>
      </c>
      <c r="D84" s="1028"/>
      <c r="E84" s="1028"/>
      <c r="F84" s="1028"/>
      <c r="G84" s="1028" t="s">
        <v>34</v>
      </c>
      <c r="H84" s="1028"/>
      <c r="I84" s="1028"/>
      <c r="J84" s="346"/>
      <c r="K84" s="503"/>
      <c r="L84" s="382"/>
      <c r="M84" s="383"/>
      <c r="N84" s="384"/>
      <c r="O84" s="372"/>
      <c r="P84" s="373"/>
      <c r="Q84" s="374"/>
    </row>
    <row r="85" spans="1:17" s="159" customFormat="1" ht="16.2" thickBot="1" x14ac:dyDescent="0.35">
      <c r="A85" s="385"/>
      <c r="B85" s="386"/>
      <c r="C85" s="387" t="s">
        <v>19</v>
      </c>
      <c r="D85" s="388" t="s">
        <v>33</v>
      </c>
      <c r="E85" s="389" t="s">
        <v>35</v>
      </c>
      <c r="F85" s="390" t="s">
        <v>30</v>
      </c>
      <c r="G85" s="512" t="s">
        <v>14</v>
      </c>
      <c r="H85" s="389" t="s">
        <v>35</v>
      </c>
      <c r="I85" s="390" t="s">
        <v>30</v>
      </c>
      <c r="J85" s="355" t="s">
        <v>649</v>
      </c>
      <c r="K85" s="513" t="s">
        <v>38</v>
      </c>
      <c r="L85" s="393"/>
      <c r="M85" s="394"/>
      <c r="N85" s="395"/>
      <c r="O85" s="372"/>
      <c r="P85" s="373"/>
      <c r="Q85" s="374"/>
    </row>
    <row r="86" spans="1:17" s="159" customFormat="1" x14ac:dyDescent="0.25">
      <c r="A86" s="396"/>
      <c r="B86" s="397"/>
      <c r="C86" s="362"/>
      <c r="D86" s="363" t="s">
        <v>21</v>
      </c>
      <c r="E86" s="247">
        <v>0</v>
      </c>
      <c r="F86" s="364">
        <f>C86*E86</f>
        <v>0</v>
      </c>
      <c r="G86" s="509"/>
      <c r="H86" s="366">
        <v>0</v>
      </c>
      <c r="I86" s="364">
        <f>G86*H86</f>
        <v>0</v>
      </c>
      <c r="J86" s="367"/>
      <c r="K86" s="510">
        <f>F86+I86+J86</f>
        <v>0</v>
      </c>
      <c r="L86" s="369"/>
      <c r="M86" s="370"/>
      <c r="N86" s="371"/>
      <c r="O86" s="372"/>
      <c r="P86" s="373"/>
      <c r="Q86" s="374"/>
    </row>
    <row r="87" spans="1:17" s="159" customFormat="1" x14ac:dyDescent="0.25">
      <c r="A87" s="361"/>
      <c r="B87" s="5"/>
      <c r="C87" s="362"/>
      <c r="D87" s="363" t="s">
        <v>21</v>
      </c>
      <c r="E87" s="247">
        <v>0</v>
      </c>
      <c r="F87" s="364">
        <f>C87*E87</f>
        <v>0</v>
      </c>
      <c r="G87" s="509"/>
      <c r="H87" s="366">
        <v>0</v>
      </c>
      <c r="I87" s="364">
        <f>G87*H87</f>
        <v>0</v>
      </c>
      <c r="J87" s="367"/>
      <c r="K87" s="510">
        <f>F87+I87+J87</f>
        <v>0</v>
      </c>
      <c r="L87" s="623"/>
      <c r="M87" s="624"/>
      <c r="N87" s="626"/>
      <c r="O87" s="372"/>
      <c r="P87" s="373"/>
      <c r="Q87" s="374"/>
    </row>
    <row r="88" spans="1:17" s="159" customFormat="1" x14ac:dyDescent="0.25">
      <c r="A88" s="361"/>
      <c r="B88" s="5"/>
      <c r="C88" s="362"/>
      <c r="D88" s="363" t="s">
        <v>21</v>
      </c>
      <c r="E88" s="247">
        <v>0</v>
      </c>
      <c r="F88" s="364">
        <f>C88*E88</f>
        <v>0</v>
      </c>
      <c r="G88" s="509"/>
      <c r="H88" s="366">
        <v>0</v>
      </c>
      <c r="I88" s="364">
        <f>G88*H88</f>
        <v>0</v>
      </c>
      <c r="J88" s="367"/>
      <c r="K88" s="510">
        <f>F88+I88+J88</f>
        <v>0</v>
      </c>
      <c r="L88" s="623"/>
      <c r="M88" s="624"/>
      <c r="N88" s="626"/>
      <c r="O88" s="372"/>
      <c r="P88" s="373"/>
      <c r="Q88" s="374"/>
    </row>
    <row r="89" spans="1:17" s="159" customFormat="1" x14ac:dyDescent="0.25">
      <c r="A89" s="361"/>
      <c r="B89" s="5"/>
      <c r="C89" s="362"/>
      <c r="D89" s="363" t="s">
        <v>21</v>
      </c>
      <c r="E89" s="247">
        <v>0</v>
      </c>
      <c r="F89" s="364">
        <f>C89*E89</f>
        <v>0</v>
      </c>
      <c r="G89" s="509"/>
      <c r="H89" s="366">
        <v>0</v>
      </c>
      <c r="I89" s="364">
        <f>G89*H89</f>
        <v>0</v>
      </c>
      <c r="J89" s="367"/>
      <c r="K89" s="510">
        <f>F89+I89+J89</f>
        <v>0</v>
      </c>
      <c r="L89" s="623"/>
      <c r="M89" s="624"/>
      <c r="N89" s="626"/>
      <c r="O89" s="372"/>
      <c r="P89" s="373"/>
      <c r="Q89" s="374"/>
    </row>
    <row r="90" spans="1:17" s="159" customFormat="1" ht="13.8" thickBot="1" x14ac:dyDescent="0.3">
      <c r="A90" s="378"/>
      <c r="B90" s="403"/>
      <c r="C90" s="362"/>
      <c r="D90" s="363"/>
      <c r="E90" s="247"/>
      <c r="F90" s="364"/>
      <c r="G90" s="509"/>
      <c r="H90" s="366"/>
      <c r="I90" s="364"/>
      <c r="J90" s="367"/>
      <c r="K90" s="510"/>
      <c r="L90" s="623"/>
      <c r="M90" s="624"/>
      <c r="N90" s="626"/>
      <c r="O90" s="372"/>
      <c r="P90" s="373"/>
      <c r="Q90" s="374"/>
    </row>
    <row r="91" spans="1:17" s="159" customFormat="1" ht="14.4" thickTop="1" thickBot="1" x14ac:dyDescent="0.3">
      <c r="A91" s="450"/>
      <c r="B91" s="156"/>
      <c r="C91" s="451"/>
      <c r="D91" s="452"/>
      <c r="E91" s="453"/>
      <c r="F91" s="454"/>
      <c r="G91" s="591"/>
      <c r="H91" s="453"/>
      <c r="I91" s="454"/>
      <c r="J91" s="456" t="s">
        <v>30</v>
      </c>
      <c r="K91" s="592">
        <f>SUM(K86:K90)</f>
        <v>0</v>
      </c>
      <c r="M91" s="266"/>
    </row>
    <row r="92" spans="1:17" s="159" customFormat="1" ht="14.1" customHeight="1" thickBot="1" x14ac:dyDescent="0.3">
      <c r="A92" s="458"/>
      <c r="B92" s="459"/>
      <c r="C92" s="460"/>
      <c r="D92" s="460"/>
      <c r="E92" s="461"/>
      <c r="F92" s="1038" t="s">
        <v>648</v>
      </c>
      <c r="G92" s="1040" t="s">
        <v>673</v>
      </c>
      <c r="H92" s="461"/>
      <c r="I92" s="1042" t="s">
        <v>647</v>
      </c>
      <c r="J92" s="1044" t="s">
        <v>674</v>
      </c>
      <c r="K92" s="1121" t="s">
        <v>31</v>
      </c>
      <c r="L92" s="627"/>
      <c r="M92" s="628"/>
      <c r="N92" s="629"/>
      <c r="O92" s="441"/>
      <c r="P92" s="442"/>
      <c r="Q92" s="443"/>
    </row>
    <row r="93" spans="1:17" s="159" customFormat="1" ht="14.4" thickTop="1" x14ac:dyDescent="0.25">
      <c r="A93" s="462" t="s">
        <v>32</v>
      </c>
      <c r="B93" s="1031" t="s">
        <v>657</v>
      </c>
      <c r="C93" s="463"/>
      <c r="D93" s="464"/>
      <c r="E93" s="464"/>
      <c r="F93" s="1039"/>
      <c r="G93" s="1041"/>
      <c r="H93" s="465"/>
      <c r="I93" s="1043"/>
      <c r="J93" s="1045"/>
      <c r="K93" s="1122"/>
      <c r="M93" s="266"/>
    </row>
    <row r="94" spans="1:17" s="159" customFormat="1" ht="13.8" x14ac:dyDescent="0.25">
      <c r="A94" s="780">
        <f>K94/E6</f>
        <v>42.413333333333334</v>
      </c>
      <c r="B94" s="1031"/>
      <c r="C94" s="464"/>
      <c r="D94" s="464"/>
      <c r="E94" s="464"/>
      <c r="F94" s="1032">
        <f>SUM(F77:F82,F70:F73,F49:F66,F38:F45,F27:F34,F11:F23)</f>
        <v>0</v>
      </c>
      <c r="G94" s="1034">
        <f>SUM(G77:G82,G70:G73,G49:G66,G38:G45,G27:G34,G11:G23)</f>
        <v>0</v>
      </c>
      <c r="H94" s="465"/>
      <c r="I94" s="1032">
        <f>SUM(I77:I82,I70:I73,I49:I66,I38:I45,I27:I34,I11:I23)</f>
        <v>0</v>
      </c>
      <c r="J94" s="1032">
        <f>SUM(J77:J82,J70:J73,J49:J66,J38:J45,J27:J34,J11:J23)</f>
        <v>25448</v>
      </c>
      <c r="K94" s="1119">
        <f>K91+K83+K74+K67+K46+K35+K24</f>
        <v>25448</v>
      </c>
      <c r="M94" s="266"/>
    </row>
    <row r="95" spans="1:17" s="159" customFormat="1" ht="14.4" thickBot="1" x14ac:dyDescent="0.3">
      <c r="A95" s="462"/>
      <c r="B95" s="529"/>
      <c r="C95" s="468"/>
      <c r="D95" s="468"/>
      <c r="E95" s="468"/>
      <c r="F95" s="1033"/>
      <c r="G95" s="1035"/>
      <c r="H95" s="468"/>
      <c r="I95" s="1033"/>
      <c r="J95" s="1033"/>
      <c r="K95" s="1120"/>
      <c r="M95" s="266"/>
    </row>
    <row r="96" spans="1:17" s="159" customFormat="1" ht="13.8" thickBot="1" x14ac:dyDescent="0.3">
      <c r="A96" s="469"/>
      <c r="B96" s="470"/>
      <c r="C96" s="470"/>
      <c r="D96" s="470"/>
      <c r="E96" s="470"/>
      <c r="F96" s="470"/>
      <c r="G96" s="470"/>
      <c r="H96" s="470"/>
      <c r="I96" s="470"/>
      <c r="J96" s="470"/>
      <c r="K96" s="471"/>
      <c r="M96" s="266"/>
    </row>
    <row r="97" spans="3:16" s="159" customFormat="1" x14ac:dyDescent="0.25">
      <c r="C97" s="611"/>
      <c r="D97" s="611"/>
      <c r="J97" s="266"/>
      <c r="M97" s="266"/>
    </row>
    <row r="98" spans="3:16" s="159" customFormat="1" x14ac:dyDescent="0.25">
      <c r="C98" s="611"/>
      <c r="D98" s="611"/>
      <c r="J98" s="266"/>
      <c r="M98" s="268"/>
      <c r="N98" s="157"/>
      <c r="O98" s="294"/>
      <c r="P98" s="294"/>
    </row>
    <row r="99" spans="3:16" s="159" customFormat="1" x14ac:dyDescent="0.25">
      <c r="C99" s="611"/>
      <c r="D99" s="611"/>
      <c r="J99" s="266"/>
      <c r="M99" s="268"/>
      <c r="N99" s="157"/>
      <c r="O99" s="294"/>
      <c r="P99" s="294"/>
    </row>
    <row r="100" spans="3:16" s="159" customFormat="1" x14ac:dyDescent="0.25">
      <c r="C100" s="611"/>
      <c r="D100" s="611"/>
      <c r="J100" s="266"/>
      <c r="M100" s="268"/>
      <c r="N100" s="157"/>
      <c r="O100" s="294"/>
      <c r="P100" s="294"/>
    </row>
    <row r="101" spans="3:16" s="159" customFormat="1" x14ac:dyDescent="0.25">
      <c r="C101" s="611"/>
      <c r="D101" s="611"/>
      <c r="J101" s="266"/>
      <c r="M101" s="268"/>
      <c r="N101" s="157"/>
      <c r="O101" s="294"/>
      <c r="P101" s="294"/>
    </row>
    <row r="102" spans="3:16" s="159" customFormat="1" x14ac:dyDescent="0.25">
      <c r="C102" s="611"/>
      <c r="D102" s="611"/>
      <c r="J102" s="266"/>
      <c r="M102" s="268"/>
      <c r="N102" s="157"/>
      <c r="O102" s="294"/>
      <c r="P102" s="294"/>
    </row>
    <row r="103" spans="3:16" s="159" customFormat="1" x14ac:dyDescent="0.25">
      <c r="C103" s="611"/>
      <c r="D103" s="611"/>
      <c r="J103" s="266"/>
      <c r="M103" s="268"/>
      <c r="N103" s="157"/>
      <c r="O103" s="294"/>
      <c r="P103" s="294"/>
    </row>
    <row r="104" spans="3:16" s="159" customFormat="1" x14ac:dyDescent="0.25">
      <c r="C104" s="611"/>
      <c r="D104" s="611"/>
      <c r="J104" s="266"/>
      <c r="M104" s="268"/>
      <c r="N104" s="157"/>
      <c r="O104" s="294"/>
      <c r="P104" s="294"/>
    </row>
    <row r="105" spans="3:16" s="159" customFormat="1" x14ac:dyDescent="0.25">
      <c r="C105" s="611"/>
      <c r="D105" s="611"/>
      <c r="J105" s="266"/>
      <c r="M105" s="268"/>
      <c r="N105" s="157"/>
      <c r="O105" s="294"/>
      <c r="P105" s="294"/>
    </row>
    <row r="106" spans="3:16" s="159" customFormat="1" x14ac:dyDescent="0.25">
      <c r="C106" s="611"/>
      <c r="D106" s="611"/>
      <c r="J106" s="266"/>
      <c r="M106" s="268"/>
      <c r="N106" s="157"/>
      <c r="O106" s="294"/>
      <c r="P106" s="294"/>
    </row>
    <row r="107" spans="3:16" s="159" customFormat="1" x14ac:dyDescent="0.25">
      <c r="C107" s="611"/>
      <c r="D107" s="611"/>
      <c r="J107" s="266"/>
      <c r="M107" s="268"/>
      <c r="N107" s="157"/>
      <c r="O107" s="294"/>
      <c r="P107" s="294"/>
    </row>
    <row r="108" spans="3:16" s="159" customFormat="1" x14ac:dyDescent="0.25">
      <c r="C108" s="611"/>
      <c r="D108" s="611"/>
      <c r="J108" s="266"/>
      <c r="M108" s="268"/>
      <c r="N108" s="157"/>
      <c r="O108" s="294"/>
      <c r="P108" s="294"/>
    </row>
    <row r="109" spans="3:16" s="159" customFormat="1" x14ac:dyDescent="0.25">
      <c r="C109" s="611"/>
      <c r="D109" s="611"/>
      <c r="J109" s="266"/>
      <c r="M109" s="268"/>
      <c r="N109" s="157"/>
      <c r="O109" s="294"/>
      <c r="P109" s="294"/>
    </row>
    <row r="110" spans="3:16" s="159" customFormat="1" x14ac:dyDescent="0.25">
      <c r="C110" s="611"/>
      <c r="D110" s="611"/>
      <c r="J110" s="266"/>
      <c r="M110" s="268"/>
      <c r="N110" s="157"/>
      <c r="O110" s="294"/>
      <c r="P110" s="294"/>
    </row>
    <row r="111" spans="3:16" s="159" customFormat="1" x14ac:dyDescent="0.25">
      <c r="C111" s="611"/>
      <c r="D111" s="611"/>
      <c r="J111" s="266"/>
      <c r="M111" s="268"/>
      <c r="N111" s="157"/>
      <c r="O111" s="294"/>
      <c r="P111" s="294"/>
    </row>
    <row r="112" spans="3:16" s="159" customFormat="1" x14ac:dyDescent="0.25">
      <c r="C112" s="611"/>
      <c r="D112" s="611"/>
      <c r="J112" s="266"/>
      <c r="M112" s="268"/>
      <c r="N112" s="157"/>
      <c r="O112" s="294"/>
      <c r="P112" s="294"/>
    </row>
    <row r="113" spans="3:16" s="159" customFormat="1" x14ac:dyDescent="0.25">
      <c r="C113" s="611"/>
      <c r="D113" s="611"/>
      <c r="J113" s="266"/>
      <c r="M113" s="268"/>
      <c r="N113" s="157"/>
      <c r="O113" s="294"/>
      <c r="P113" s="294"/>
    </row>
    <row r="114" spans="3:16" s="159" customFormat="1" x14ac:dyDescent="0.25">
      <c r="C114" s="611"/>
      <c r="D114" s="611"/>
      <c r="J114" s="266"/>
      <c r="M114" s="268"/>
      <c r="N114" s="157"/>
      <c r="O114" s="294"/>
      <c r="P114" s="294"/>
    </row>
    <row r="115" spans="3:16" s="159" customFormat="1" x14ac:dyDescent="0.25">
      <c r="C115" s="611"/>
      <c r="D115" s="611"/>
      <c r="J115" s="266"/>
      <c r="M115" s="268"/>
      <c r="N115" s="157"/>
      <c r="O115" s="294"/>
      <c r="P115" s="294"/>
    </row>
    <row r="116" spans="3:16" s="159" customFormat="1" x14ac:dyDescent="0.25">
      <c r="C116" s="611"/>
      <c r="D116" s="611"/>
      <c r="J116" s="266"/>
      <c r="M116" s="268"/>
      <c r="N116" s="157"/>
      <c r="O116" s="294"/>
      <c r="P116" s="294"/>
    </row>
    <row r="117" spans="3:16" s="159" customFormat="1" x14ac:dyDescent="0.25">
      <c r="C117" s="611"/>
      <c r="D117" s="611"/>
      <c r="J117" s="266"/>
      <c r="M117" s="268"/>
      <c r="N117" s="157"/>
      <c r="O117" s="294"/>
      <c r="P117" s="294"/>
    </row>
    <row r="118" spans="3:16" s="159" customFormat="1" x14ac:dyDescent="0.25">
      <c r="C118" s="611"/>
      <c r="D118" s="611"/>
      <c r="J118" s="266"/>
      <c r="M118" s="268"/>
      <c r="N118" s="157"/>
      <c r="O118" s="294"/>
      <c r="P118" s="294"/>
    </row>
    <row r="119" spans="3:16" s="159" customFormat="1" x14ac:dyDescent="0.25">
      <c r="C119" s="611"/>
      <c r="D119" s="611"/>
      <c r="J119" s="266"/>
      <c r="M119" s="268"/>
      <c r="N119" s="157"/>
      <c r="O119" s="294"/>
      <c r="P119" s="294"/>
    </row>
    <row r="120" spans="3:16" s="159" customFormat="1" x14ac:dyDescent="0.25">
      <c r="C120" s="611"/>
      <c r="D120" s="611"/>
      <c r="J120" s="266"/>
      <c r="M120" s="268"/>
      <c r="N120" s="157"/>
      <c r="O120" s="294"/>
      <c r="P120" s="294"/>
    </row>
    <row r="121" spans="3:16" s="159" customFormat="1" x14ac:dyDescent="0.25">
      <c r="C121" s="611"/>
      <c r="D121" s="611"/>
      <c r="J121" s="266"/>
      <c r="M121" s="268"/>
      <c r="N121" s="157"/>
      <c r="O121" s="294"/>
      <c r="P121" s="294"/>
    </row>
    <row r="122" spans="3:16" s="159" customFormat="1" x14ac:dyDescent="0.25">
      <c r="C122" s="611"/>
      <c r="D122" s="611"/>
      <c r="J122" s="266"/>
      <c r="M122" s="268"/>
      <c r="N122" s="157"/>
      <c r="O122" s="294"/>
      <c r="P122" s="294"/>
    </row>
    <row r="123" spans="3:16" s="159" customFormat="1" x14ac:dyDescent="0.25">
      <c r="C123" s="611"/>
      <c r="D123" s="611"/>
      <c r="J123" s="266"/>
      <c r="M123" s="268"/>
      <c r="N123" s="157"/>
      <c r="O123" s="294"/>
      <c r="P123" s="294"/>
    </row>
    <row r="124" spans="3:16" s="159" customFormat="1" x14ac:dyDescent="0.25">
      <c r="C124" s="611"/>
      <c r="D124" s="611"/>
      <c r="J124" s="266"/>
      <c r="M124" s="268"/>
      <c r="N124" s="157"/>
      <c r="O124" s="294"/>
      <c r="P124" s="294"/>
    </row>
    <row r="125" spans="3:16" s="159" customFormat="1" x14ac:dyDescent="0.25">
      <c r="C125" s="611"/>
      <c r="D125" s="611"/>
      <c r="J125" s="266"/>
      <c r="M125" s="268"/>
      <c r="N125" s="157"/>
      <c r="O125" s="294"/>
      <c r="P125" s="294"/>
    </row>
    <row r="126" spans="3:16" s="159" customFormat="1" x14ac:dyDescent="0.25">
      <c r="C126" s="611"/>
      <c r="D126" s="611"/>
      <c r="J126" s="266"/>
      <c r="M126" s="268"/>
      <c r="N126" s="157"/>
      <c r="O126" s="294"/>
      <c r="P126" s="294"/>
    </row>
    <row r="127" spans="3:16" s="159" customFormat="1" x14ac:dyDescent="0.25">
      <c r="C127" s="611"/>
      <c r="D127" s="611"/>
      <c r="J127" s="266"/>
      <c r="M127" s="268"/>
      <c r="N127" s="157"/>
      <c r="O127" s="294"/>
      <c r="P127" s="294"/>
    </row>
    <row r="128" spans="3:16" s="159" customFormat="1" x14ac:dyDescent="0.25">
      <c r="C128" s="611"/>
      <c r="D128" s="611"/>
      <c r="J128" s="266"/>
      <c r="M128" s="268"/>
      <c r="N128" s="157"/>
      <c r="O128" s="294"/>
      <c r="P128" s="294"/>
    </row>
    <row r="129" spans="3:16" s="159" customFormat="1" x14ac:dyDescent="0.25">
      <c r="C129" s="611"/>
      <c r="D129" s="611"/>
      <c r="J129" s="266"/>
      <c r="M129" s="268"/>
      <c r="N129" s="157"/>
      <c r="O129" s="294"/>
      <c r="P129" s="294"/>
    </row>
    <row r="130" spans="3:16" s="159" customFormat="1" x14ac:dyDescent="0.25">
      <c r="C130" s="611"/>
      <c r="D130" s="611"/>
      <c r="J130" s="266"/>
      <c r="M130" s="268"/>
      <c r="N130" s="157"/>
      <c r="O130" s="294"/>
      <c r="P130" s="294"/>
    </row>
    <row r="131" spans="3:16" s="159" customFormat="1" x14ac:dyDescent="0.25">
      <c r="C131" s="611"/>
      <c r="D131" s="611"/>
      <c r="J131" s="266"/>
      <c r="M131" s="268"/>
      <c r="N131" s="157"/>
      <c r="O131" s="294"/>
      <c r="P131" s="294"/>
    </row>
    <row r="132" spans="3:16" s="159" customFormat="1" x14ac:dyDescent="0.25">
      <c r="C132" s="611"/>
      <c r="D132" s="611"/>
      <c r="J132" s="266"/>
      <c r="M132" s="268"/>
      <c r="N132" s="157"/>
      <c r="O132" s="294"/>
      <c r="P132" s="294"/>
    </row>
    <row r="133" spans="3:16" s="159" customFormat="1" x14ac:dyDescent="0.25">
      <c r="C133" s="611"/>
      <c r="D133" s="611"/>
      <c r="J133" s="266"/>
      <c r="M133" s="268"/>
      <c r="N133" s="157"/>
      <c r="O133" s="294"/>
      <c r="P133" s="294"/>
    </row>
    <row r="134" spans="3:16" s="159" customFormat="1" x14ac:dyDescent="0.25">
      <c r="C134" s="611"/>
      <c r="D134" s="611"/>
      <c r="J134" s="266"/>
      <c r="M134" s="268"/>
      <c r="N134" s="157"/>
      <c r="O134" s="294"/>
      <c r="P134" s="294"/>
    </row>
    <row r="135" spans="3:16" s="159" customFormat="1" x14ac:dyDescent="0.25">
      <c r="C135" s="611"/>
      <c r="D135" s="611"/>
      <c r="J135" s="266"/>
      <c r="M135" s="268"/>
      <c r="N135" s="157"/>
      <c r="O135" s="294"/>
      <c r="P135" s="294"/>
    </row>
    <row r="136" spans="3:16" s="159" customFormat="1" x14ac:dyDescent="0.25">
      <c r="C136" s="611"/>
      <c r="D136" s="611"/>
      <c r="J136" s="266"/>
      <c r="M136" s="268"/>
      <c r="N136" s="157"/>
      <c r="O136" s="294"/>
      <c r="P136" s="294"/>
    </row>
    <row r="137" spans="3:16" s="159" customFormat="1" x14ac:dyDescent="0.25">
      <c r="C137" s="611"/>
      <c r="D137" s="611"/>
      <c r="J137" s="266"/>
      <c r="M137" s="268"/>
      <c r="N137" s="157"/>
      <c r="O137" s="294"/>
      <c r="P137" s="294"/>
    </row>
    <row r="138" spans="3:16" s="159" customFormat="1" x14ac:dyDescent="0.25">
      <c r="C138" s="611"/>
      <c r="D138" s="611"/>
      <c r="J138" s="266"/>
      <c r="M138" s="268"/>
      <c r="N138" s="157"/>
      <c r="O138" s="294"/>
      <c r="P138" s="294"/>
    </row>
    <row r="139" spans="3:16" s="159" customFormat="1" x14ac:dyDescent="0.25">
      <c r="C139" s="611"/>
      <c r="D139" s="611"/>
      <c r="J139" s="266"/>
      <c r="M139" s="268"/>
      <c r="N139" s="157"/>
      <c r="O139" s="294"/>
      <c r="P139" s="294"/>
    </row>
    <row r="140" spans="3:16" s="159" customFormat="1" x14ac:dyDescent="0.25">
      <c r="C140" s="611"/>
      <c r="D140" s="611"/>
      <c r="J140" s="266"/>
      <c r="M140" s="268"/>
      <c r="N140" s="157"/>
      <c r="O140" s="294"/>
      <c r="P140" s="294"/>
    </row>
    <row r="141" spans="3:16" s="159" customFormat="1" x14ac:dyDescent="0.25">
      <c r="C141" s="611"/>
      <c r="D141" s="611"/>
      <c r="J141" s="266"/>
      <c r="M141" s="268"/>
      <c r="N141" s="157"/>
      <c r="O141" s="294"/>
      <c r="P141" s="294"/>
    </row>
    <row r="142" spans="3:16" s="159" customFormat="1" x14ac:dyDescent="0.25">
      <c r="C142" s="611"/>
      <c r="D142" s="611"/>
      <c r="J142" s="266"/>
      <c r="M142" s="268"/>
      <c r="N142" s="157"/>
      <c r="O142" s="294"/>
      <c r="P142" s="294"/>
    </row>
    <row r="143" spans="3:16" s="159" customFormat="1" x14ac:dyDescent="0.25">
      <c r="C143" s="611"/>
      <c r="D143" s="611"/>
      <c r="J143" s="266"/>
      <c r="M143" s="268"/>
      <c r="N143" s="157"/>
      <c r="O143" s="294"/>
      <c r="P143" s="294"/>
    </row>
    <row r="144" spans="3:16" s="159" customFormat="1" x14ac:dyDescent="0.25">
      <c r="C144" s="611"/>
      <c r="D144" s="611"/>
      <c r="J144" s="266"/>
      <c r="M144" s="268"/>
      <c r="N144" s="157"/>
      <c r="O144" s="294"/>
      <c r="P144" s="294"/>
    </row>
    <row r="145" spans="3:16" s="159" customFormat="1" x14ac:dyDescent="0.25">
      <c r="C145" s="611"/>
      <c r="D145" s="611"/>
      <c r="J145" s="266"/>
      <c r="M145" s="268"/>
      <c r="N145" s="157"/>
      <c r="O145" s="294"/>
      <c r="P145" s="294"/>
    </row>
    <row r="146" spans="3:16" s="159" customFormat="1" x14ac:dyDescent="0.25">
      <c r="C146" s="611"/>
      <c r="D146" s="611"/>
      <c r="J146" s="266"/>
      <c r="M146" s="268"/>
      <c r="N146" s="157"/>
      <c r="O146" s="294"/>
      <c r="P146" s="294"/>
    </row>
    <row r="147" spans="3:16" s="159" customFormat="1" x14ac:dyDescent="0.25">
      <c r="C147" s="611"/>
      <c r="D147" s="611"/>
      <c r="J147" s="266"/>
      <c r="M147" s="268"/>
      <c r="N147" s="157"/>
      <c r="O147" s="294"/>
      <c r="P147" s="294"/>
    </row>
    <row r="148" spans="3:16" s="159" customFormat="1" x14ac:dyDescent="0.25">
      <c r="C148" s="611"/>
      <c r="D148" s="611"/>
      <c r="J148" s="266"/>
      <c r="M148" s="268"/>
      <c r="N148" s="157"/>
      <c r="O148" s="294"/>
      <c r="P148" s="294"/>
    </row>
    <row r="149" spans="3:16" s="159" customFormat="1" x14ac:dyDescent="0.25">
      <c r="C149" s="611"/>
      <c r="D149" s="611"/>
      <c r="J149" s="266"/>
      <c r="M149" s="268"/>
      <c r="N149" s="157"/>
      <c r="O149" s="294"/>
      <c r="P149" s="294"/>
    </row>
    <row r="150" spans="3:16" s="159" customFormat="1" x14ac:dyDescent="0.25">
      <c r="C150" s="611"/>
      <c r="D150" s="611"/>
      <c r="J150" s="266"/>
      <c r="M150" s="268"/>
      <c r="N150" s="157"/>
      <c r="O150" s="294"/>
      <c r="P150" s="294"/>
    </row>
    <row r="151" spans="3:16" s="159" customFormat="1" x14ac:dyDescent="0.25">
      <c r="C151" s="611"/>
      <c r="D151" s="611"/>
      <c r="J151" s="266"/>
      <c r="M151" s="268"/>
      <c r="N151" s="157"/>
      <c r="O151" s="294"/>
      <c r="P151" s="294"/>
    </row>
    <row r="152" spans="3:16" s="159" customFormat="1" x14ac:dyDescent="0.25">
      <c r="C152" s="611"/>
      <c r="D152" s="611"/>
      <c r="J152" s="266"/>
      <c r="M152" s="268"/>
      <c r="N152" s="157"/>
      <c r="O152" s="294"/>
      <c r="P152" s="294"/>
    </row>
    <row r="153" spans="3:16" s="159" customFormat="1" x14ac:dyDescent="0.25">
      <c r="C153" s="611"/>
      <c r="D153" s="611"/>
      <c r="J153" s="266"/>
      <c r="M153" s="268"/>
      <c r="N153" s="157"/>
      <c r="O153" s="294"/>
      <c r="P153" s="294"/>
    </row>
    <row r="154" spans="3:16" s="159" customFormat="1" x14ac:dyDescent="0.25">
      <c r="C154" s="611"/>
      <c r="D154" s="611"/>
      <c r="J154" s="266"/>
      <c r="M154" s="268"/>
      <c r="N154" s="157"/>
      <c r="O154" s="294"/>
      <c r="P154" s="294"/>
    </row>
    <row r="155" spans="3:16" s="159" customFormat="1" x14ac:dyDescent="0.25">
      <c r="C155" s="611"/>
      <c r="D155" s="611"/>
      <c r="J155" s="266"/>
      <c r="M155" s="268"/>
      <c r="N155" s="157"/>
      <c r="O155" s="294"/>
      <c r="P155" s="294"/>
    </row>
    <row r="156" spans="3:16" s="159" customFormat="1" x14ac:dyDescent="0.25">
      <c r="C156" s="611"/>
      <c r="D156" s="611"/>
      <c r="J156" s="266"/>
      <c r="M156" s="268"/>
      <c r="N156" s="157"/>
      <c r="O156" s="294"/>
      <c r="P156" s="294"/>
    </row>
    <row r="157" spans="3:16" s="159" customFormat="1" x14ac:dyDescent="0.25">
      <c r="C157" s="611"/>
      <c r="D157" s="611"/>
      <c r="J157" s="266"/>
      <c r="M157" s="268"/>
      <c r="N157" s="157"/>
      <c r="O157" s="294"/>
      <c r="P157" s="294"/>
    </row>
    <row r="158" spans="3:16" s="159" customFormat="1" x14ac:dyDescent="0.25">
      <c r="C158" s="611"/>
      <c r="D158" s="611"/>
      <c r="J158" s="266"/>
      <c r="M158" s="268"/>
      <c r="N158" s="157"/>
      <c r="O158" s="294"/>
      <c r="P158" s="294"/>
    </row>
    <row r="159" spans="3:16" s="159" customFormat="1" x14ac:dyDescent="0.25">
      <c r="C159" s="611"/>
      <c r="D159" s="611"/>
      <c r="J159" s="266"/>
      <c r="M159" s="268"/>
      <c r="N159" s="157"/>
      <c r="O159" s="294"/>
      <c r="P159" s="294"/>
    </row>
    <row r="160" spans="3:16" s="159" customFormat="1" x14ac:dyDescent="0.25">
      <c r="C160" s="611"/>
      <c r="D160" s="611"/>
      <c r="J160" s="266"/>
      <c r="M160" s="268"/>
      <c r="N160" s="157"/>
      <c r="O160" s="294"/>
      <c r="P160" s="294"/>
    </row>
    <row r="161" spans="3:16" s="159" customFormat="1" x14ac:dyDescent="0.25">
      <c r="C161" s="611"/>
      <c r="D161" s="611"/>
      <c r="J161" s="266"/>
      <c r="M161" s="268"/>
      <c r="N161" s="157"/>
      <c r="O161" s="294"/>
      <c r="P161" s="294"/>
    </row>
    <row r="162" spans="3:16" s="159" customFormat="1" x14ac:dyDescent="0.25">
      <c r="C162" s="611"/>
      <c r="D162" s="611"/>
      <c r="J162" s="266"/>
      <c r="M162" s="268"/>
      <c r="N162" s="157"/>
      <c r="O162" s="294"/>
      <c r="P162" s="294"/>
    </row>
    <row r="163" spans="3:16" s="159" customFormat="1" x14ac:dyDescent="0.25">
      <c r="C163" s="611"/>
      <c r="D163" s="611"/>
      <c r="J163" s="266"/>
      <c r="M163" s="268"/>
      <c r="N163" s="157"/>
      <c r="O163" s="294"/>
      <c r="P163" s="294"/>
    </row>
    <row r="164" spans="3:16" s="159" customFormat="1" x14ac:dyDescent="0.25">
      <c r="C164" s="611"/>
      <c r="D164" s="611"/>
      <c r="J164" s="266"/>
      <c r="M164" s="268"/>
      <c r="N164" s="157"/>
      <c r="O164" s="294"/>
      <c r="P164" s="294"/>
    </row>
    <row r="165" spans="3:16" s="159" customFormat="1" x14ac:dyDescent="0.25">
      <c r="C165" s="611"/>
      <c r="D165" s="611"/>
      <c r="J165" s="266"/>
      <c r="M165" s="268"/>
      <c r="N165" s="157"/>
      <c r="O165" s="294"/>
      <c r="P165" s="294"/>
    </row>
    <row r="166" spans="3:16" s="159" customFormat="1" x14ac:dyDescent="0.25">
      <c r="C166" s="611"/>
      <c r="D166" s="611"/>
      <c r="J166" s="266"/>
      <c r="M166" s="268"/>
      <c r="N166" s="157"/>
      <c r="O166" s="294"/>
      <c r="P166" s="294"/>
    </row>
    <row r="167" spans="3:16" s="159" customFormat="1" x14ac:dyDescent="0.25">
      <c r="C167" s="611"/>
      <c r="D167" s="611"/>
      <c r="J167" s="266"/>
      <c r="M167" s="268"/>
      <c r="N167" s="157"/>
      <c r="O167" s="294"/>
      <c r="P167" s="294"/>
    </row>
    <row r="168" spans="3:16" s="159" customFormat="1" x14ac:dyDescent="0.25">
      <c r="C168" s="611"/>
      <c r="D168" s="611"/>
      <c r="J168" s="266"/>
      <c r="M168" s="268"/>
      <c r="N168" s="157"/>
      <c r="O168" s="294"/>
      <c r="P168" s="294"/>
    </row>
    <row r="169" spans="3:16" s="159" customFormat="1" x14ac:dyDescent="0.25">
      <c r="C169" s="611"/>
      <c r="D169" s="611"/>
      <c r="J169" s="266"/>
      <c r="M169" s="268"/>
      <c r="N169" s="157"/>
      <c r="O169" s="294"/>
      <c r="P169" s="294"/>
    </row>
    <row r="170" spans="3:16" s="159" customFormat="1" x14ac:dyDescent="0.25">
      <c r="C170" s="611"/>
      <c r="D170" s="611"/>
      <c r="J170" s="266"/>
      <c r="M170" s="268"/>
      <c r="N170" s="157"/>
      <c r="O170" s="294"/>
      <c r="P170" s="294"/>
    </row>
    <row r="171" spans="3:16" s="159" customFormat="1" x14ac:dyDescent="0.25">
      <c r="C171" s="611"/>
      <c r="D171" s="611"/>
      <c r="J171" s="266"/>
      <c r="M171" s="268"/>
      <c r="N171" s="157"/>
      <c r="O171" s="294"/>
      <c r="P171" s="294"/>
    </row>
    <row r="172" spans="3:16" s="159" customFormat="1" x14ac:dyDescent="0.25">
      <c r="C172" s="611"/>
      <c r="D172" s="611"/>
      <c r="J172" s="266"/>
      <c r="M172" s="268"/>
      <c r="N172" s="157"/>
      <c r="O172" s="294"/>
      <c r="P172" s="294"/>
    </row>
    <row r="173" spans="3:16" s="159" customFormat="1" x14ac:dyDescent="0.25">
      <c r="C173" s="611"/>
      <c r="D173" s="611"/>
      <c r="J173" s="266"/>
      <c r="M173" s="268"/>
      <c r="N173" s="157"/>
      <c r="O173" s="294"/>
      <c r="P173" s="294"/>
    </row>
    <row r="174" spans="3:16" s="159" customFormat="1" x14ac:dyDescent="0.25">
      <c r="C174" s="611"/>
      <c r="D174" s="611"/>
      <c r="J174" s="266"/>
      <c r="M174" s="268"/>
      <c r="N174" s="157"/>
      <c r="O174" s="294"/>
      <c r="P174" s="294"/>
    </row>
    <row r="175" spans="3:16" s="159" customFormat="1" x14ac:dyDescent="0.25">
      <c r="C175" s="611"/>
      <c r="D175" s="611"/>
      <c r="J175" s="266"/>
      <c r="M175" s="268"/>
      <c r="N175" s="157"/>
      <c r="O175" s="294"/>
      <c r="P175" s="294"/>
    </row>
    <row r="176" spans="3:16" s="159" customFormat="1" x14ac:dyDescent="0.25">
      <c r="C176" s="611"/>
      <c r="D176" s="611"/>
      <c r="J176" s="266"/>
      <c r="M176" s="268"/>
      <c r="N176" s="157"/>
      <c r="O176" s="294"/>
      <c r="P176" s="294"/>
    </row>
    <row r="177" spans="3:16" s="159" customFormat="1" x14ac:dyDescent="0.25">
      <c r="C177" s="611"/>
      <c r="D177" s="611"/>
      <c r="J177" s="266"/>
      <c r="M177" s="268"/>
      <c r="N177" s="157"/>
      <c r="O177" s="294"/>
      <c r="P177" s="294"/>
    </row>
    <row r="178" spans="3:16" s="159" customFormat="1" x14ac:dyDescent="0.25">
      <c r="C178" s="611"/>
      <c r="D178" s="611"/>
      <c r="J178" s="266"/>
      <c r="M178" s="268"/>
      <c r="N178" s="157"/>
      <c r="O178" s="294"/>
      <c r="P178" s="294"/>
    </row>
    <row r="179" spans="3:16" s="159" customFormat="1" x14ac:dyDescent="0.25">
      <c r="C179" s="611"/>
      <c r="D179" s="611"/>
      <c r="J179" s="266"/>
      <c r="M179" s="268"/>
      <c r="N179" s="157"/>
      <c r="O179" s="294"/>
      <c r="P179" s="294"/>
    </row>
    <row r="180" spans="3:16" s="159" customFormat="1" x14ac:dyDescent="0.25">
      <c r="C180" s="611"/>
      <c r="D180" s="611"/>
      <c r="J180" s="266"/>
      <c r="M180" s="268"/>
      <c r="N180" s="157"/>
      <c r="O180" s="294"/>
      <c r="P180" s="294"/>
    </row>
    <row r="181" spans="3:16" s="159" customFormat="1" x14ac:dyDescent="0.25">
      <c r="C181" s="611"/>
      <c r="D181" s="611"/>
      <c r="J181" s="266"/>
      <c r="M181" s="268"/>
      <c r="N181" s="157"/>
      <c r="O181" s="294"/>
      <c r="P181" s="294"/>
    </row>
    <row r="182" spans="3:16" s="159" customFormat="1" x14ac:dyDescent="0.25">
      <c r="C182" s="611"/>
      <c r="D182" s="611"/>
      <c r="J182" s="266"/>
      <c r="M182" s="268"/>
      <c r="N182" s="157"/>
      <c r="O182" s="294"/>
      <c r="P182" s="294"/>
    </row>
    <row r="183" spans="3:16" s="159" customFormat="1" x14ac:dyDescent="0.25">
      <c r="C183" s="611"/>
      <c r="D183" s="611"/>
      <c r="J183" s="266"/>
      <c r="M183" s="268"/>
      <c r="N183" s="157"/>
      <c r="O183" s="294"/>
      <c r="P183" s="294"/>
    </row>
    <row r="184" spans="3:16" s="159" customFormat="1" x14ac:dyDescent="0.25">
      <c r="C184" s="611"/>
      <c r="D184" s="611"/>
      <c r="J184" s="266"/>
      <c r="M184" s="268"/>
      <c r="N184" s="157"/>
      <c r="O184" s="294"/>
      <c r="P184" s="294"/>
    </row>
    <row r="185" spans="3:16" s="159" customFormat="1" x14ac:dyDescent="0.25">
      <c r="C185" s="611"/>
      <c r="D185" s="611"/>
      <c r="J185" s="266"/>
      <c r="M185" s="268"/>
      <c r="N185" s="157"/>
      <c r="O185" s="294"/>
      <c r="P185" s="294"/>
    </row>
    <row r="186" spans="3:16" s="159" customFormat="1" x14ac:dyDescent="0.25">
      <c r="C186" s="611"/>
      <c r="D186" s="611"/>
      <c r="J186" s="266"/>
      <c r="M186" s="268"/>
      <c r="N186" s="157"/>
      <c r="O186" s="294"/>
      <c r="P186" s="294"/>
    </row>
    <row r="187" spans="3:16" s="159" customFormat="1" x14ac:dyDescent="0.25">
      <c r="C187" s="611"/>
      <c r="D187" s="611"/>
      <c r="J187" s="266"/>
      <c r="M187" s="268"/>
      <c r="N187" s="157"/>
      <c r="O187" s="294"/>
      <c r="P187" s="294"/>
    </row>
    <row r="188" spans="3:16" s="159" customFormat="1" x14ac:dyDescent="0.25">
      <c r="C188" s="611"/>
      <c r="D188" s="611"/>
      <c r="J188" s="266"/>
      <c r="M188" s="268"/>
      <c r="N188" s="157"/>
      <c r="O188" s="294"/>
      <c r="P188" s="294"/>
    </row>
    <row r="189" spans="3:16" s="159" customFormat="1" x14ac:dyDescent="0.25">
      <c r="C189" s="611"/>
      <c r="D189" s="611"/>
      <c r="J189" s="266"/>
      <c r="M189" s="268"/>
      <c r="N189" s="157"/>
      <c r="O189" s="294"/>
      <c r="P189" s="294"/>
    </row>
    <row r="190" spans="3:16" s="159" customFormat="1" x14ac:dyDescent="0.25">
      <c r="C190" s="611"/>
      <c r="D190" s="611"/>
      <c r="J190" s="266"/>
      <c r="M190" s="268"/>
      <c r="N190" s="157"/>
      <c r="O190" s="294"/>
      <c r="P190" s="294"/>
    </row>
    <row r="191" spans="3:16" s="159" customFormat="1" x14ac:dyDescent="0.25">
      <c r="C191" s="611"/>
      <c r="D191" s="611"/>
      <c r="J191" s="266"/>
      <c r="M191" s="268"/>
      <c r="N191" s="157"/>
      <c r="O191" s="294"/>
      <c r="P191" s="294"/>
    </row>
    <row r="192" spans="3:16" s="159" customFormat="1" x14ac:dyDescent="0.25">
      <c r="C192" s="611"/>
      <c r="D192" s="611"/>
      <c r="J192" s="266"/>
      <c r="M192" s="268"/>
      <c r="N192" s="157"/>
      <c r="O192" s="294"/>
      <c r="P192" s="294"/>
    </row>
    <row r="193" spans="3:16" s="159" customFormat="1" x14ac:dyDescent="0.25">
      <c r="C193" s="611"/>
      <c r="D193" s="611"/>
      <c r="J193" s="266"/>
      <c r="M193" s="268"/>
      <c r="N193" s="157"/>
      <c r="O193" s="294"/>
      <c r="P193" s="294"/>
    </row>
    <row r="194" spans="3:16" s="159" customFormat="1" x14ac:dyDescent="0.25">
      <c r="C194" s="611"/>
      <c r="D194" s="611"/>
      <c r="J194" s="266"/>
      <c r="M194" s="268"/>
      <c r="N194" s="157"/>
      <c r="O194" s="294"/>
      <c r="P194" s="294"/>
    </row>
    <row r="195" spans="3:16" s="159" customFormat="1" x14ac:dyDescent="0.25">
      <c r="C195" s="611"/>
      <c r="D195" s="611"/>
      <c r="J195" s="266"/>
      <c r="M195" s="268"/>
      <c r="N195" s="157"/>
      <c r="O195" s="294"/>
      <c r="P195" s="294"/>
    </row>
    <row r="196" spans="3:16" s="159" customFormat="1" x14ac:dyDescent="0.25">
      <c r="C196" s="611"/>
      <c r="D196" s="611"/>
      <c r="J196" s="266"/>
      <c r="M196" s="268"/>
      <c r="N196" s="157"/>
      <c r="O196" s="294"/>
      <c r="P196" s="294"/>
    </row>
    <row r="197" spans="3:16" s="159" customFormat="1" x14ac:dyDescent="0.25">
      <c r="C197" s="611"/>
      <c r="D197" s="611"/>
      <c r="J197" s="266"/>
      <c r="M197" s="268"/>
      <c r="N197" s="157"/>
      <c r="O197" s="294"/>
      <c r="P197" s="294"/>
    </row>
    <row r="198" spans="3:16" s="159" customFormat="1" x14ac:dyDescent="0.25">
      <c r="C198" s="611"/>
      <c r="D198" s="611"/>
      <c r="J198" s="266"/>
      <c r="M198" s="268"/>
      <c r="N198" s="157"/>
      <c r="O198" s="294"/>
      <c r="P198" s="294"/>
    </row>
    <row r="199" spans="3:16" s="159" customFormat="1" x14ac:dyDescent="0.25">
      <c r="C199" s="611"/>
      <c r="D199" s="611"/>
      <c r="J199" s="266"/>
      <c r="M199" s="268"/>
      <c r="N199" s="157"/>
      <c r="O199" s="294"/>
      <c r="P199" s="294"/>
    </row>
    <row r="200" spans="3:16" s="159" customFormat="1" x14ac:dyDescent="0.25">
      <c r="C200" s="611"/>
      <c r="D200" s="611"/>
      <c r="J200" s="266"/>
      <c r="M200" s="268"/>
      <c r="N200" s="157"/>
      <c r="O200" s="294"/>
      <c r="P200" s="294"/>
    </row>
    <row r="201" spans="3:16" s="159" customFormat="1" x14ac:dyDescent="0.25">
      <c r="C201" s="611"/>
      <c r="D201" s="611"/>
      <c r="J201" s="266"/>
      <c r="M201" s="268"/>
      <c r="N201" s="157"/>
      <c r="O201" s="294"/>
      <c r="P201" s="294"/>
    </row>
    <row r="202" spans="3:16" s="159" customFormat="1" x14ac:dyDescent="0.25">
      <c r="C202" s="611"/>
      <c r="D202" s="611"/>
      <c r="J202" s="266"/>
      <c r="M202" s="268"/>
      <c r="N202" s="157"/>
      <c r="O202" s="294"/>
      <c r="P202" s="294"/>
    </row>
    <row r="203" spans="3:16" s="159" customFormat="1" x14ac:dyDescent="0.25">
      <c r="C203" s="611"/>
      <c r="D203" s="611"/>
      <c r="J203" s="266"/>
      <c r="M203" s="268"/>
      <c r="N203" s="157"/>
      <c r="O203" s="294"/>
      <c r="P203" s="294"/>
    </row>
    <row r="204" spans="3:16" s="159" customFormat="1" x14ac:dyDescent="0.25">
      <c r="C204" s="611"/>
      <c r="D204" s="611"/>
      <c r="J204" s="266"/>
      <c r="M204" s="268"/>
      <c r="N204" s="157"/>
      <c r="O204" s="294"/>
      <c r="P204" s="294"/>
    </row>
    <row r="205" spans="3:16" s="159" customFormat="1" x14ac:dyDescent="0.25">
      <c r="C205" s="611"/>
      <c r="D205" s="611"/>
      <c r="J205" s="266"/>
      <c r="M205" s="268"/>
      <c r="N205" s="157"/>
      <c r="O205" s="294"/>
      <c r="P205" s="294"/>
    </row>
    <row r="206" spans="3:16" s="159" customFormat="1" x14ac:dyDescent="0.25">
      <c r="C206" s="611"/>
      <c r="D206" s="611"/>
      <c r="J206" s="266"/>
      <c r="M206" s="268"/>
      <c r="N206" s="157"/>
      <c r="O206" s="294"/>
      <c r="P206" s="294"/>
    </row>
    <row r="207" spans="3:16" s="159" customFormat="1" x14ac:dyDescent="0.25">
      <c r="C207" s="611"/>
      <c r="D207" s="611"/>
      <c r="J207" s="266"/>
      <c r="M207" s="268"/>
      <c r="N207" s="157"/>
      <c r="O207" s="294"/>
      <c r="P207" s="294"/>
    </row>
    <row r="208" spans="3:16" s="159" customFormat="1" x14ac:dyDescent="0.25">
      <c r="C208" s="611"/>
      <c r="D208" s="611"/>
      <c r="J208" s="266"/>
      <c r="M208" s="268"/>
      <c r="N208" s="157"/>
      <c r="O208" s="294"/>
      <c r="P208" s="294"/>
    </row>
    <row r="209" spans="3:16" s="159" customFormat="1" x14ac:dyDescent="0.25">
      <c r="C209" s="611"/>
      <c r="D209" s="611"/>
      <c r="J209" s="266"/>
      <c r="M209" s="268"/>
      <c r="N209" s="157"/>
      <c r="O209" s="294"/>
      <c r="P209" s="294"/>
    </row>
    <row r="210" spans="3:16" s="159" customFormat="1" x14ac:dyDescent="0.25">
      <c r="C210" s="611"/>
      <c r="D210" s="611"/>
      <c r="J210" s="266"/>
      <c r="M210" s="268"/>
      <c r="N210" s="157"/>
      <c r="O210" s="294"/>
      <c r="P210" s="294"/>
    </row>
    <row r="211" spans="3:16" s="159" customFormat="1" x14ac:dyDescent="0.25">
      <c r="C211" s="611"/>
      <c r="D211" s="611"/>
      <c r="J211" s="266"/>
      <c r="M211" s="268"/>
      <c r="N211" s="157"/>
      <c r="O211" s="294"/>
      <c r="P211" s="294"/>
    </row>
    <row r="212" spans="3:16" s="159" customFormat="1" x14ac:dyDescent="0.25">
      <c r="C212" s="611"/>
      <c r="D212" s="611"/>
      <c r="J212" s="266"/>
      <c r="M212" s="268"/>
      <c r="N212" s="157"/>
      <c r="O212" s="294"/>
      <c r="P212" s="294"/>
    </row>
    <row r="213" spans="3:16" s="159" customFormat="1" x14ac:dyDescent="0.25">
      <c r="C213" s="611"/>
      <c r="D213" s="611"/>
      <c r="J213" s="266"/>
      <c r="M213" s="268"/>
      <c r="N213" s="157"/>
      <c r="O213" s="294"/>
      <c r="P213" s="294"/>
    </row>
    <row r="214" spans="3:16" s="159" customFormat="1" x14ac:dyDescent="0.25">
      <c r="C214" s="611"/>
      <c r="D214" s="611"/>
      <c r="J214" s="266"/>
      <c r="M214" s="268"/>
      <c r="N214" s="157"/>
      <c r="O214" s="294"/>
      <c r="P214" s="294"/>
    </row>
    <row r="215" spans="3:16" s="159" customFormat="1" x14ac:dyDescent="0.25">
      <c r="C215" s="611"/>
      <c r="D215" s="611"/>
      <c r="J215" s="266"/>
      <c r="M215" s="268"/>
      <c r="N215" s="157"/>
      <c r="O215" s="294"/>
      <c r="P215" s="294"/>
    </row>
    <row r="216" spans="3:16" s="159" customFormat="1" x14ac:dyDescent="0.25">
      <c r="C216" s="611"/>
      <c r="D216" s="611"/>
      <c r="J216" s="266"/>
      <c r="M216" s="268"/>
      <c r="N216" s="157"/>
      <c r="O216" s="294"/>
      <c r="P216" s="294"/>
    </row>
    <row r="217" spans="3:16" s="159" customFormat="1" x14ac:dyDescent="0.25">
      <c r="C217" s="611"/>
      <c r="D217" s="611"/>
      <c r="J217" s="266"/>
      <c r="M217" s="268"/>
      <c r="N217" s="157"/>
      <c r="O217" s="294"/>
      <c r="P217" s="294"/>
    </row>
    <row r="218" spans="3:16" s="159" customFormat="1" x14ac:dyDescent="0.25">
      <c r="C218" s="611"/>
      <c r="D218" s="611"/>
      <c r="J218" s="266"/>
      <c r="M218" s="268"/>
      <c r="N218" s="157"/>
      <c r="O218" s="294"/>
      <c r="P218" s="294"/>
    </row>
    <row r="219" spans="3:16" s="159" customFormat="1" x14ac:dyDescent="0.25">
      <c r="C219" s="611"/>
      <c r="D219" s="611"/>
      <c r="J219" s="266"/>
      <c r="M219" s="268"/>
      <c r="N219" s="157"/>
      <c r="O219" s="294"/>
      <c r="P219" s="294"/>
    </row>
    <row r="220" spans="3:16" s="159" customFormat="1" x14ac:dyDescent="0.25">
      <c r="C220" s="611"/>
      <c r="D220" s="611"/>
      <c r="J220" s="266"/>
      <c r="M220" s="268"/>
      <c r="N220" s="157"/>
      <c r="O220" s="294"/>
      <c r="P220" s="294"/>
    </row>
    <row r="221" spans="3:16" s="159" customFormat="1" x14ac:dyDescent="0.25">
      <c r="C221" s="611"/>
      <c r="D221" s="611"/>
      <c r="J221" s="266"/>
      <c r="M221" s="268"/>
      <c r="N221" s="157"/>
      <c r="O221" s="294"/>
      <c r="P221" s="294"/>
    </row>
    <row r="222" spans="3:16" s="159" customFormat="1" x14ac:dyDescent="0.25">
      <c r="C222" s="611"/>
      <c r="D222" s="611"/>
      <c r="J222" s="266"/>
      <c r="M222" s="268"/>
      <c r="N222" s="157"/>
      <c r="O222" s="294"/>
      <c r="P222" s="294"/>
    </row>
    <row r="223" spans="3:16" s="159" customFormat="1" x14ac:dyDescent="0.25">
      <c r="C223" s="611"/>
      <c r="D223" s="611"/>
      <c r="J223" s="266"/>
      <c r="M223" s="268"/>
      <c r="N223" s="157"/>
      <c r="O223" s="294"/>
      <c r="P223" s="294"/>
    </row>
    <row r="224" spans="3:16" s="159" customFormat="1" x14ac:dyDescent="0.25">
      <c r="C224" s="611"/>
      <c r="D224" s="611"/>
      <c r="J224" s="266"/>
      <c r="M224" s="268"/>
      <c r="N224" s="157"/>
      <c r="O224" s="294"/>
      <c r="P224" s="294"/>
    </row>
    <row r="225" spans="1:16" s="159" customFormat="1" x14ac:dyDescent="0.25">
      <c r="C225" s="611"/>
      <c r="D225" s="611"/>
      <c r="J225" s="266"/>
      <c r="M225" s="268"/>
      <c r="N225" s="157"/>
      <c r="O225" s="294"/>
      <c r="P225" s="294"/>
    </row>
    <row r="226" spans="1:16" s="159" customFormat="1" x14ac:dyDescent="0.25">
      <c r="C226" s="611"/>
      <c r="D226" s="611"/>
      <c r="J226" s="266"/>
      <c r="M226" s="268"/>
      <c r="N226" s="157"/>
      <c r="O226" s="294"/>
      <c r="P226" s="294"/>
    </row>
    <row r="227" spans="1:16" x14ac:dyDescent="0.25">
      <c r="A227" s="159"/>
      <c r="B227" s="159"/>
      <c r="C227" s="611"/>
      <c r="D227" s="611"/>
      <c r="E227" s="159"/>
      <c r="F227" s="159"/>
      <c r="G227" s="159"/>
      <c r="H227" s="159"/>
      <c r="I227" s="159"/>
      <c r="J227" s="266"/>
      <c r="K227" s="159"/>
    </row>
    <row r="228" spans="1:16" x14ac:dyDescent="0.25">
      <c r="A228" s="159"/>
      <c r="B228" s="159"/>
      <c r="C228" s="611"/>
      <c r="D228" s="611"/>
      <c r="E228" s="159"/>
      <c r="F228" s="159"/>
      <c r="G228" s="159"/>
      <c r="H228" s="159"/>
      <c r="I228" s="159"/>
      <c r="J228" s="266"/>
      <c r="K228" s="159"/>
    </row>
    <row r="229" spans="1:16" x14ac:dyDescent="0.25">
      <c r="A229" s="159"/>
      <c r="B229" s="159"/>
      <c r="C229" s="611"/>
      <c r="D229" s="611"/>
      <c r="E229" s="159"/>
      <c r="F229" s="159"/>
      <c r="G229" s="159"/>
      <c r="H229" s="159"/>
      <c r="I229" s="159"/>
      <c r="J229" s="266"/>
      <c r="K229" s="159"/>
    </row>
    <row r="230" spans="1:16" x14ac:dyDescent="0.25">
      <c r="A230" s="159"/>
      <c r="B230" s="159"/>
      <c r="C230" s="611"/>
      <c r="D230" s="611"/>
      <c r="E230" s="159"/>
      <c r="F230" s="159"/>
      <c r="G230" s="159"/>
      <c r="H230" s="159"/>
      <c r="I230" s="159"/>
      <c r="J230" s="266"/>
      <c r="K230" s="159"/>
    </row>
    <row r="231" spans="1:16" x14ac:dyDescent="0.25">
      <c r="A231" s="159"/>
      <c r="B231" s="159"/>
      <c r="C231" s="611"/>
      <c r="D231" s="611"/>
      <c r="E231" s="159"/>
      <c r="F231" s="159"/>
      <c r="G231" s="159"/>
      <c r="H231" s="159"/>
      <c r="I231" s="159"/>
      <c r="J231" s="266"/>
      <c r="K231" s="159"/>
    </row>
    <row r="232" spans="1:16" x14ac:dyDescent="0.25">
      <c r="A232" s="159"/>
      <c r="B232" s="159"/>
      <c r="C232" s="611"/>
      <c r="D232" s="611"/>
      <c r="E232" s="159"/>
      <c r="F232" s="159"/>
      <c r="G232" s="159"/>
      <c r="H232" s="159"/>
      <c r="I232" s="159"/>
      <c r="J232" s="266"/>
      <c r="K232" s="159"/>
    </row>
    <row r="233" spans="1:16" x14ac:dyDescent="0.25">
      <c r="A233" s="159"/>
      <c r="B233" s="159"/>
      <c r="C233" s="611"/>
      <c r="D233" s="611"/>
      <c r="E233" s="159"/>
      <c r="F233" s="159"/>
      <c r="G233" s="159"/>
      <c r="H233" s="159"/>
      <c r="I233" s="159"/>
      <c r="J233" s="266"/>
      <c r="K233" s="159"/>
    </row>
    <row r="234" spans="1:16" x14ac:dyDescent="0.25">
      <c r="A234" s="159"/>
      <c r="B234" s="159"/>
      <c r="C234" s="611"/>
      <c r="D234" s="611"/>
      <c r="E234" s="159"/>
      <c r="F234" s="159"/>
      <c r="G234" s="159"/>
      <c r="H234" s="159"/>
      <c r="I234" s="159"/>
      <c r="J234" s="266"/>
      <c r="K234" s="159"/>
    </row>
    <row r="235" spans="1:16" x14ac:dyDescent="0.25">
      <c r="A235" s="159"/>
      <c r="B235" s="159"/>
      <c r="C235" s="611"/>
      <c r="D235" s="611"/>
      <c r="E235" s="159"/>
      <c r="F235" s="159"/>
      <c r="G235" s="159"/>
      <c r="H235" s="159"/>
      <c r="I235" s="159"/>
      <c r="J235" s="266"/>
      <c r="K235" s="159"/>
    </row>
    <row r="236" spans="1:16" x14ac:dyDescent="0.25">
      <c r="A236" s="159"/>
      <c r="B236" s="159"/>
      <c r="C236" s="611"/>
      <c r="D236" s="611"/>
      <c r="E236" s="159"/>
      <c r="F236" s="159"/>
      <c r="G236" s="159"/>
      <c r="H236" s="159"/>
      <c r="I236" s="159"/>
      <c r="J236" s="266"/>
      <c r="K236" s="159"/>
    </row>
    <row r="237" spans="1:16" x14ac:dyDescent="0.25">
      <c r="A237" s="159"/>
      <c r="B237" s="159"/>
      <c r="C237" s="611"/>
      <c r="D237" s="611"/>
      <c r="E237" s="159"/>
      <c r="F237" s="159"/>
      <c r="G237" s="159"/>
      <c r="H237" s="159"/>
      <c r="I237" s="159"/>
      <c r="J237" s="266"/>
      <c r="K237" s="159"/>
    </row>
    <row r="238" spans="1:16" x14ac:dyDescent="0.25">
      <c r="A238" s="159"/>
      <c r="B238" s="159"/>
      <c r="C238" s="611"/>
      <c r="D238" s="611"/>
      <c r="E238" s="159"/>
      <c r="F238" s="159"/>
      <c r="G238" s="159"/>
      <c r="H238" s="159"/>
      <c r="I238" s="159"/>
      <c r="J238" s="266"/>
      <c r="K238" s="159"/>
    </row>
    <row r="239" spans="1:16" x14ac:dyDescent="0.25">
      <c r="A239" s="159"/>
      <c r="B239" s="159"/>
      <c r="C239" s="611"/>
      <c r="D239" s="611"/>
      <c r="E239" s="159"/>
      <c r="F239" s="159"/>
      <c r="G239" s="159"/>
      <c r="H239" s="159"/>
      <c r="I239" s="159"/>
      <c r="J239" s="266"/>
      <c r="K239" s="159"/>
    </row>
    <row r="240" spans="1:16" x14ac:dyDescent="0.25">
      <c r="A240" s="159"/>
      <c r="B240" s="159"/>
      <c r="C240" s="611"/>
      <c r="D240" s="611"/>
      <c r="E240" s="159"/>
      <c r="F240" s="159"/>
      <c r="G240" s="159"/>
      <c r="H240" s="159"/>
      <c r="I240" s="159"/>
      <c r="J240" s="266"/>
      <c r="K240" s="159"/>
    </row>
    <row r="241" spans="1:11" x14ac:dyDescent="0.25">
      <c r="A241" s="159"/>
      <c r="B241" s="159"/>
      <c r="C241" s="611"/>
      <c r="D241" s="611"/>
      <c r="E241" s="159"/>
      <c r="F241" s="159"/>
      <c r="G241" s="159"/>
      <c r="H241" s="159"/>
      <c r="I241" s="159"/>
      <c r="J241" s="266"/>
      <c r="K241" s="159"/>
    </row>
    <row r="242" spans="1:11" x14ac:dyDescent="0.25">
      <c r="A242" s="159"/>
      <c r="B242" s="159"/>
      <c r="C242" s="611"/>
      <c r="D242" s="611"/>
      <c r="E242" s="159"/>
      <c r="F242" s="159"/>
      <c r="G242" s="159"/>
      <c r="H242" s="159"/>
      <c r="I242" s="159"/>
      <c r="J242" s="266"/>
      <c r="K242" s="159"/>
    </row>
    <row r="243" spans="1:11" x14ac:dyDescent="0.25">
      <c r="A243" s="159"/>
      <c r="B243" s="159"/>
      <c r="C243" s="611"/>
      <c r="D243" s="611"/>
      <c r="E243" s="159"/>
      <c r="F243" s="159"/>
      <c r="G243" s="159"/>
      <c r="H243" s="159"/>
      <c r="I243" s="159"/>
      <c r="J243" s="266"/>
      <c r="K243" s="159"/>
    </row>
    <row r="244" spans="1:11" x14ac:dyDescent="0.25">
      <c r="A244" s="159"/>
      <c r="B244" s="159"/>
      <c r="C244" s="611"/>
      <c r="D244" s="611"/>
      <c r="E244" s="159"/>
      <c r="F244" s="159"/>
      <c r="G244" s="159"/>
      <c r="H244" s="159"/>
      <c r="I244" s="159"/>
      <c r="J244" s="266"/>
      <c r="K244" s="159"/>
    </row>
    <row r="245" spans="1:11" x14ac:dyDescent="0.25">
      <c r="A245" s="159"/>
      <c r="B245" s="159"/>
      <c r="C245" s="611"/>
      <c r="D245" s="611"/>
      <c r="E245" s="159"/>
      <c r="F245" s="159"/>
      <c r="G245" s="159"/>
      <c r="H245" s="159"/>
      <c r="I245" s="159"/>
      <c r="J245" s="266"/>
      <c r="K245" s="159"/>
    </row>
    <row r="246" spans="1:11" x14ac:dyDescent="0.25">
      <c r="A246" s="159"/>
      <c r="B246" s="159"/>
      <c r="C246" s="611"/>
      <c r="D246" s="611"/>
      <c r="E246" s="159"/>
      <c r="F246" s="159"/>
      <c r="G246" s="159"/>
      <c r="H246" s="159"/>
      <c r="I246" s="159"/>
      <c r="J246" s="266"/>
      <c r="K246" s="159"/>
    </row>
    <row r="247" spans="1:11" x14ac:dyDescent="0.25">
      <c r="A247" s="159"/>
      <c r="B247" s="159"/>
      <c r="C247" s="611"/>
      <c r="D247" s="611"/>
      <c r="E247" s="159"/>
      <c r="F247" s="159"/>
      <c r="G247" s="159"/>
      <c r="H247" s="159"/>
      <c r="I247" s="159"/>
      <c r="J247" s="266"/>
      <c r="K247" s="159"/>
    </row>
    <row r="248" spans="1:11" x14ac:dyDescent="0.25">
      <c r="A248" s="159"/>
      <c r="B248" s="159"/>
      <c r="C248" s="611"/>
      <c r="D248" s="611"/>
      <c r="E248" s="159"/>
      <c r="F248" s="159"/>
      <c r="G248" s="159"/>
      <c r="H248" s="159"/>
      <c r="I248" s="159"/>
      <c r="J248" s="266"/>
      <c r="K248" s="159"/>
    </row>
    <row r="249" spans="1:11" x14ac:dyDescent="0.25">
      <c r="A249" s="159"/>
      <c r="B249" s="159"/>
      <c r="C249" s="611"/>
      <c r="D249" s="611"/>
      <c r="E249" s="159"/>
      <c r="F249" s="159"/>
      <c r="G249" s="159"/>
      <c r="H249" s="159"/>
      <c r="I249" s="159"/>
      <c r="J249" s="266"/>
      <c r="K249" s="159"/>
    </row>
    <row r="250" spans="1:11" x14ac:dyDescent="0.25">
      <c r="A250" s="159"/>
      <c r="B250" s="159"/>
      <c r="C250" s="611"/>
      <c r="D250" s="611"/>
      <c r="E250" s="159"/>
      <c r="F250" s="159"/>
      <c r="G250" s="159"/>
      <c r="H250" s="159"/>
      <c r="I250" s="159"/>
      <c r="J250" s="266"/>
      <c r="K250" s="159"/>
    </row>
    <row r="251" spans="1:11" x14ac:dyDescent="0.25">
      <c r="A251" s="159"/>
      <c r="B251" s="159"/>
      <c r="C251" s="611"/>
      <c r="D251" s="611"/>
      <c r="E251" s="159"/>
      <c r="F251" s="159"/>
      <c r="G251" s="159"/>
      <c r="H251" s="159"/>
      <c r="I251" s="159"/>
      <c r="J251" s="266"/>
      <c r="K251" s="159"/>
    </row>
    <row r="252" spans="1:11" x14ac:dyDescent="0.25">
      <c r="A252" s="159"/>
      <c r="B252" s="159"/>
      <c r="C252" s="611"/>
      <c r="D252" s="611"/>
      <c r="E252" s="159"/>
      <c r="F252" s="159"/>
      <c r="G252" s="159"/>
      <c r="H252" s="159"/>
      <c r="I252" s="159"/>
      <c r="J252" s="266"/>
      <c r="K252" s="159"/>
    </row>
    <row r="253" spans="1:11" x14ac:dyDescent="0.25">
      <c r="A253" s="159"/>
      <c r="B253" s="159"/>
      <c r="C253" s="611"/>
      <c r="D253" s="611"/>
      <c r="E253" s="159"/>
      <c r="F253" s="159"/>
      <c r="G253" s="159"/>
      <c r="H253" s="159"/>
      <c r="I253" s="159"/>
      <c r="J253" s="266"/>
      <c r="K253" s="159"/>
    </row>
    <row r="254" spans="1:11" x14ac:dyDescent="0.25">
      <c r="A254" s="159"/>
      <c r="B254" s="159"/>
      <c r="C254" s="611"/>
      <c r="D254" s="611"/>
      <c r="E254" s="159"/>
      <c r="F254" s="159"/>
      <c r="G254" s="159"/>
      <c r="H254" s="159"/>
      <c r="I254" s="159"/>
      <c r="J254" s="266"/>
      <c r="K254" s="159"/>
    </row>
    <row r="255" spans="1:11" x14ac:dyDescent="0.25">
      <c r="A255" s="159"/>
      <c r="B255" s="159"/>
      <c r="C255" s="611"/>
      <c r="D255" s="611"/>
      <c r="E255" s="159"/>
      <c r="F255" s="159"/>
      <c r="G255" s="159"/>
      <c r="H255" s="159"/>
      <c r="I255" s="159"/>
      <c r="J255" s="266"/>
      <c r="K255" s="159"/>
    </row>
    <row r="256" spans="1:11" x14ac:dyDescent="0.25">
      <c r="A256" s="159"/>
      <c r="B256" s="159"/>
      <c r="C256" s="611"/>
      <c r="D256" s="611"/>
      <c r="E256" s="159"/>
      <c r="F256" s="159"/>
      <c r="G256" s="159"/>
      <c r="H256" s="159"/>
      <c r="I256" s="159"/>
      <c r="J256" s="266"/>
      <c r="K256" s="159"/>
    </row>
    <row r="257" spans="1:11" x14ac:dyDescent="0.25">
      <c r="A257" s="159"/>
      <c r="B257" s="159"/>
      <c r="C257" s="611"/>
      <c r="D257" s="611"/>
      <c r="E257" s="159"/>
      <c r="F257" s="159"/>
      <c r="G257" s="159"/>
      <c r="H257" s="159"/>
      <c r="I257" s="159"/>
      <c r="J257" s="266"/>
      <c r="K257" s="159"/>
    </row>
    <row r="258" spans="1:11" x14ac:dyDescent="0.25">
      <c r="A258" s="159"/>
      <c r="B258" s="159"/>
      <c r="C258" s="611"/>
      <c r="D258" s="611"/>
      <c r="E258" s="159"/>
      <c r="F258" s="159"/>
      <c r="G258" s="159"/>
      <c r="H258" s="159"/>
      <c r="I258" s="159"/>
      <c r="J258" s="266"/>
      <c r="K258" s="159"/>
    </row>
    <row r="259" spans="1:11" x14ac:dyDescent="0.25">
      <c r="A259" s="159"/>
      <c r="B259" s="159"/>
      <c r="C259" s="611"/>
      <c r="D259" s="611"/>
      <c r="E259" s="159"/>
      <c r="F259" s="159"/>
      <c r="G259" s="159"/>
      <c r="H259" s="159"/>
      <c r="I259" s="159"/>
      <c r="J259" s="266"/>
      <c r="K259" s="159"/>
    </row>
    <row r="260" spans="1:11" x14ac:dyDescent="0.25">
      <c r="A260" s="159"/>
      <c r="B260" s="159"/>
      <c r="C260" s="611"/>
      <c r="D260" s="611"/>
      <c r="E260" s="159"/>
      <c r="F260" s="159"/>
      <c r="G260" s="159"/>
      <c r="H260" s="159"/>
      <c r="I260" s="159"/>
      <c r="J260" s="266"/>
      <c r="K260" s="159"/>
    </row>
    <row r="261" spans="1:11" x14ac:dyDescent="0.25">
      <c r="A261" s="159"/>
      <c r="B261" s="159"/>
      <c r="C261" s="611"/>
      <c r="D261" s="611"/>
      <c r="E261" s="159"/>
      <c r="F261" s="159"/>
      <c r="G261" s="159"/>
      <c r="H261" s="159"/>
      <c r="I261" s="159"/>
      <c r="J261" s="266"/>
      <c r="K261" s="159"/>
    </row>
    <row r="262" spans="1:11" x14ac:dyDescent="0.25">
      <c r="A262" s="159"/>
      <c r="B262" s="159"/>
      <c r="C262" s="611"/>
      <c r="D262" s="611"/>
      <c r="E262" s="159"/>
      <c r="F262" s="159"/>
      <c r="G262" s="159"/>
      <c r="H262" s="159"/>
      <c r="I262" s="159"/>
      <c r="J262" s="266"/>
      <c r="K262" s="159"/>
    </row>
    <row r="263" spans="1:11" x14ac:dyDescent="0.25">
      <c r="A263" s="159"/>
      <c r="B263" s="159"/>
      <c r="C263" s="611"/>
      <c r="D263" s="611"/>
      <c r="E263" s="159"/>
      <c r="F263" s="159"/>
      <c r="G263" s="159"/>
      <c r="H263" s="159"/>
      <c r="I263" s="159"/>
      <c r="J263" s="266"/>
      <c r="K263" s="159"/>
    </row>
    <row r="264" spans="1:11" x14ac:dyDescent="0.25">
      <c r="A264" s="159"/>
      <c r="B264" s="159"/>
      <c r="C264" s="611"/>
      <c r="D264" s="611"/>
      <c r="E264" s="159"/>
      <c r="F264" s="159"/>
      <c r="G264" s="159"/>
      <c r="H264" s="159"/>
      <c r="I264" s="159"/>
      <c r="J264" s="266"/>
      <c r="K264" s="159"/>
    </row>
    <row r="265" spans="1:11" x14ac:dyDescent="0.25">
      <c r="A265" s="159"/>
      <c r="B265" s="159"/>
      <c r="C265" s="611"/>
      <c r="D265" s="611"/>
      <c r="E265" s="159"/>
      <c r="F265" s="159"/>
      <c r="G265" s="159"/>
      <c r="H265" s="159"/>
      <c r="I265" s="159"/>
      <c r="J265" s="266"/>
      <c r="K265" s="159"/>
    </row>
    <row r="266" spans="1:11" x14ac:dyDescent="0.25">
      <c r="A266" s="159"/>
      <c r="B266" s="159"/>
      <c r="C266" s="611"/>
      <c r="D266" s="611"/>
      <c r="E266" s="159"/>
      <c r="F266" s="159"/>
      <c r="G266" s="159"/>
      <c r="H266" s="159"/>
      <c r="I266" s="159"/>
      <c r="J266" s="266"/>
      <c r="K266" s="159"/>
    </row>
    <row r="267" spans="1:11" x14ac:dyDescent="0.25">
      <c r="A267" s="159"/>
      <c r="B267" s="159"/>
      <c r="C267" s="611"/>
      <c r="D267" s="611"/>
      <c r="E267" s="159"/>
      <c r="F267" s="159"/>
      <c r="G267" s="159"/>
      <c r="H267" s="159"/>
      <c r="I267" s="159"/>
      <c r="J267" s="266"/>
      <c r="K267" s="159"/>
    </row>
    <row r="268" spans="1:11" x14ac:dyDescent="0.25">
      <c r="A268" s="159"/>
      <c r="B268" s="159"/>
      <c r="C268" s="611"/>
      <c r="D268" s="611"/>
      <c r="E268" s="159"/>
      <c r="F268" s="159"/>
      <c r="G268" s="159"/>
      <c r="H268" s="159"/>
      <c r="I268" s="159"/>
      <c r="J268" s="266"/>
      <c r="K268" s="159"/>
    </row>
    <row r="269" spans="1:11" x14ac:dyDescent="0.25">
      <c r="A269" s="159"/>
      <c r="B269" s="159"/>
      <c r="C269" s="611"/>
      <c r="D269" s="611"/>
      <c r="E269" s="159"/>
      <c r="F269" s="159"/>
      <c r="G269" s="159"/>
      <c r="H269" s="159"/>
      <c r="I269" s="159"/>
      <c r="J269" s="266"/>
      <c r="K269" s="159"/>
    </row>
    <row r="270" spans="1:11" x14ac:dyDescent="0.25">
      <c r="A270" s="159"/>
      <c r="B270" s="159"/>
      <c r="C270" s="611"/>
      <c r="D270" s="611"/>
      <c r="E270" s="159"/>
      <c r="F270" s="159"/>
      <c r="G270" s="159"/>
      <c r="H270" s="159"/>
      <c r="I270" s="159"/>
      <c r="J270" s="266"/>
      <c r="K270" s="159"/>
    </row>
    <row r="271" spans="1:11" x14ac:dyDescent="0.25">
      <c r="A271" s="159"/>
      <c r="B271" s="159"/>
      <c r="C271" s="611"/>
      <c r="D271" s="611"/>
      <c r="E271" s="159"/>
      <c r="F271" s="159"/>
      <c r="G271" s="159"/>
      <c r="H271" s="159"/>
      <c r="I271" s="159"/>
      <c r="J271" s="266"/>
      <c r="K271" s="159"/>
    </row>
    <row r="272" spans="1:11" x14ac:dyDescent="0.25">
      <c r="A272" s="159"/>
      <c r="B272" s="159"/>
      <c r="C272" s="611"/>
      <c r="D272" s="611"/>
      <c r="E272" s="159"/>
      <c r="F272" s="159"/>
      <c r="G272" s="159"/>
      <c r="H272" s="159"/>
      <c r="I272" s="159"/>
      <c r="J272" s="266"/>
      <c r="K272" s="159"/>
    </row>
    <row r="273" spans="1:11" x14ac:dyDescent="0.25">
      <c r="A273" s="159"/>
      <c r="B273" s="159"/>
      <c r="C273" s="611"/>
      <c r="D273" s="611"/>
      <c r="E273" s="159"/>
      <c r="F273" s="159"/>
      <c r="G273" s="159"/>
      <c r="H273" s="159"/>
      <c r="I273" s="159"/>
      <c r="J273" s="266"/>
      <c r="K273" s="159"/>
    </row>
    <row r="274" spans="1:11" x14ac:dyDescent="0.25">
      <c r="A274" s="159"/>
      <c r="B274" s="159"/>
      <c r="C274" s="611"/>
      <c r="D274" s="611"/>
      <c r="E274" s="159"/>
      <c r="F274" s="159"/>
      <c r="G274" s="159"/>
      <c r="H274" s="159"/>
      <c r="I274" s="159"/>
      <c r="J274" s="266"/>
      <c r="K274" s="159"/>
    </row>
  </sheetData>
  <mergeCells count="50">
    <mergeCell ref="Q9:Q10"/>
    <mergeCell ref="L9:L10"/>
    <mergeCell ref="M9:M10"/>
    <mergeCell ref="N9:N10"/>
    <mergeCell ref="O9:O10"/>
    <mergeCell ref="P9:P10"/>
    <mergeCell ref="C68:F68"/>
    <mergeCell ref="G68:I68"/>
    <mergeCell ref="K92:K93"/>
    <mergeCell ref="F94:F95"/>
    <mergeCell ref="G94:G95"/>
    <mergeCell ref="I94:I95"/>
    <mergeCell ref="J94:J95"/>
    <mergeCell ref="K94:K95"/>
    <mergeCell ref="J92:J93"/>
    <mergeCell ref="C9:F9"/>
    <mergeCell ref="G9:I9"/>
    <mergeCell ref="C25:F25"/>
    <mergeCell ref="G25:I25"/>
    <mergeCell ref="B93:B94"/>
    <mergeCell ref="C75:F75"/>
    <mergeCell ref="G75:I75"/>
    <mergeCell ref="C84:F84"/>
    <mergeCell ref="G84:I84"/>
    <mergeCell ref="F92:F93"/>
    <mergeCell ref="G92:G93"/>
    <mergeCell ref="I92:I93"/>
    <mergeCell ref="C36:F36"/>
    <mergeCell ref="G36:I36"/>
    <mergeCell ref="C47:F47"/>
    <mergeCell ref="G47:I47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58" fitToHeight="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  <pageSetUpPr fitToPage="1"/>
  </sheetPr>
  <dimension ref="A1:Q282"/>
  <sheetViews>
    <sheetView topLeftCell="B1" zoomScaleNormal="100" zoomScaleSheetLayoutView="90" zoomScalePageLayoutView="90" workbookViewId="0">
      <selection activeCell="N30" sqref="N30"/>
    </sheetView>
  </sheetViews>
  <sheetFormatPr defaultColWidth="9.33203125" defaultRowHeight="13.2" x14ac:dyDescent="0.25"/>
  <cols>
    <col min="1" max="1" width="12.6640625" style="157" bestFit="1" customWidth="1"/>
    <col min="2" max="2" width="48.44140625" style="157" bestFit="1" customWidth="1"/>
    <col min="3" max="4" width="5" style="421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268" bestFit="1" customWidth="1"/>
    <col min="11" max="11" width="14.44140625" style="157" bestFit="1" customWidth="1"/>
    <col min="12" max="12" width="20.33203125" style="159" customWidth="1"/>
    <col min="13" max="13" width="14" style="268" bestFit="1" customWidth="1"/>
    <col min="14" max="14" width="25" style="157" bestFit="1" customWidth="1"/>
    <col min="15" max="15" width="21.6640625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42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419</v>
      </c>
      <c r="B10" s="505" t="s">
        <v>420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793"/>
      <c r="B11" s="794" t="s">
        <v>42</v>
      </c>
      <c r="C11" s="839"/>
      <c r="D11" s="796" t="s">
        <v>21</v>
      </c>
      <c r="E11" s="797">
        <v>0</v>
      </c>
      <c r="F11" s="798">
        <f t="shared" ref="F11:F16" si="0">C11*E11</f>
        <v>0</v>
      </c>
      <c r="G11" s="799"/>
      <c r="H11" s="800">
        <v>0</v>
      </c>
      <c r="I11" s="798">
        <f t="shared" ref="I11:I16" si="1">G11*H11</f>
        <v>0</v>
      </c>
      <c r="J11" s="801">
        <f>M11</f>
        <v>8400</v>
      </c>
      <c r="K11" s="802">
        <f t="shared" ref="K11:K16" si="2">F11+I11+J11</f>
        <v>8400</v>
      </c>
      <c r="L11" s="369" t="s">
        <v>1038</v>
      </c>
      <c r="M11" s="247">
        <v>8400</v>
      </c>
      <c r="N11" s="371" t="s">
        <v>1124</v>
      </c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 t="s">
        <v>1039</v>
      </c>
      <c r="M12" s="370">
        <v>15125</v>
      </c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 t="s">
        <v>1040</v>
      </c>
      <c r="M13" s="370"/>
      <c r="N13" s="371" t="s">
        <v>1033</v>
      </c>
      <c r="O13" s="372"/>
      <c r="P13" s="373"/>
      <c r="Q13" s="374"/>
    </row>
    <row r="14" spans="1:17" x14ac:dyDescent="0.25">
      <c r="A14" s="361"/>
      <c r="B14" s="973" t="s">
        <v>40</v>
      </c>
      <c r="C14" s="974"/>
      <c r="D14" s="975" t="s">
        <v>21</v>
      </c>
      <c r="E14" s="976">
        <v>0</v>
      </c>
      <c r="F14" s="977">
        <f t="shared" si="0"/>
        <v>0</v>
      </c>
      <c r="G14" s="978"/>
      <c r="H14" s="979">
        <v>0</v>
      </c>
      <c r="I14" s="977">
        <f t="shared" si="1"/>
        <v>0</v>
      </c>
      <c r="J14" s="980"/>
      <c r="K14" s="981">
        <f t="shared" si="2"/>
        <v>0</v>
      </c>
      <c r="L14" s="369" t="s">
        <v>1103</v>
      </c>
      <c r="M14" s="370">
        <v>17827</v>
      </c>
      <c r="N14" s="371"/>
      <c r="O14" s="372"/>
      <c r="P14" s="373"/>
      <c r="Q14" s="374"/>
    </row>
    <row r="15" spans="1:17" x14ac:dyDescent="0.25">
      <c r="A15" s="375"/>
      <c r="B15" s="5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971">
        <f>M12-M11</f>
        <v>6725</v>
      </c>
      <c r="O16" s="372"/>
      <c r="P16" s="373"/>
      <c r="Q16" s="374"/>
    </row>
    <row r="17" spans="1:17" ht="13.8" thickBot="1" x14ac:dyDescent="0.3">
      <c r="A17" s="378"/>
      <c r="B17" s="7"/>
      <c r="C17" s="379"/>
      <c r="D17" s="363"/>
      <c r="E17" s="247"/>
      <c r="F17" s="364"/>
      <c r="G17" s="509"/>
      <c r="H17" s="366"/>
      <c r="I17" s="364"/>
      <c r="J17" s="367"/>
      <c r="K17" s="510"/>
      <c r="L17" s="157"/>
      <c r="M17" s="449"/>
      <c r="O17" s="372"/>
      <c r="P17" s="373"/>
      <c r="Q17" s="374"/>
    </row>
    <row r="18" spans="1:17" ht="13.8" thickTop="1" x14ac:dyDescent="0.25">
      <c r="A18" s="378"/>
      <c r="B18" s="7"/>
      <c r="C18" s="379"/>
      <c r="D18" s="363"/>
      <c r="E18" s="247"/>
      <c r="F18" s="364"/>
      <c r="G18" s="509"/>
      <c r="H18" s="366"/>
      <c r="I18" s="364"/>
      <c r="J18" s="380" t="s">
        <v>30</v>
      </c>
      <c r="K18" s="511">
        <f>SUM(K11:K17)</f>
        <v>8400</v>
      </c>
      <c r="L18" s="157"/>
      <c r="M18" s="449"/>
      <c r="O18" s="372"/>
      <c r="P18" s="373"/>
      <c r="Q18" s="374"/>
    </row>
    <row r="19" spans="1:17" ht="13.8" thickBot="1" x14ac:dyDescent="0.3">
      <c r="A19" s="344" t="s">
        <v>0</v>
      </c>
      <c r="B19" s="345" t="s">
        <v>1</v>
      </c>
      <c r="C19" s="1028" t="s">
        <v>646</v>
      </c>
      <c r="D19" s="1028"/>
      <c r="E19" s="1028"/>
      <c r="F19" s="1028"/>
      <c r="G19" s="1028" t="s">
        <v>34</v>
      </c>
      <c r="H19" s="1028"/>
      <c r="I19" s="1028"/>
      <c r="J19" s="346"/>
      <c r="K19" s="503"/>
      <c r="L19" s="382"/>
      <c r="M19" s="383"/>
      <c r="N19" s="384"/>
      <c r="O19" s="372"/>
      <c r="P19" s="373"/>
      <c r="Q19" s="374"/>
    </row>
    <row r="20" spans="1:17" ht="16.2" thickBot="1" x14ac:dyDescent="0.35">
      <c r="A20" s="505" t="s">
        <v>421</v>
      </c>
      <c r="B20" s="505" t="s">
        <v>422</v>
      </c>
      <c r="C20" s="387" t="s">
        <v>19</v>
      </c>
      <c r="D20" s="388" t="s">
        <v>33</v>
      </c>
      <c r="E20" s="389" t="s">
        <v>35</v>
      </c>
      <c r="F20" s="390" t="s">
        <v>30</v>
      </c>
      <c r="G20" s="512" t="s">
        <v>14</v>
      </c>
      <c r="H20" s="389" t="s">
        <v>35</v>
      </c>
      <c r="I20" s="390" t="s">
        <v>30</v>
      </c>
      <c r="J20" s="355" t="s">
        <v>649</v>
      </c>
      <c r="K20" s="513" t="s">
        <v>38</v>
      </c>
      <c r="L20" s="393"/>
      <c r="M20" s="394"/>
      <c r="N20" s="395"/>
      <c r="O20" s="372"/>
      <c r="P20" s="373"/>
      <c r="Q20" s="374"/>
    </row>
    <row r="21" spans="1:17" s="159" customFormat="1" x14ac:dyDescent="0.25">
      <c r="A21" s="396"/>
      <c r="B21" s="397"/>
      <c r="C21" s="362"/>
      <c r="D21" s="363" t="s">
        <v>21</v>
      </c>
      <c r="E21" s="247">
        <v>0</v>
      </c>
      <c r="F21" s="364">
        <f>C21*E21</f>
        <v>0</v>
      </c>
      <c r="G21" s="509"/>
      <c r="H21" s="366">
        <v>0</v>
      </c>
      <c r="I21" s="364">
        <f>G21*H21</f>
        <v>0</v>
      </c>
      <c r="J21" s="367"/>
      <c r="K21" s="510">
        <f>F21+I21+J21</f>
        <v>0</v>
      </c>
      <c r="L21" s="157"/>
      <c r="M21" s="449"/>
      <c r="N21" s="157"/>
      <c r="O21" s="372"/>
      <c r="P21" s="373"/>
      <c r="Q21" s="374"/>
    </row>
    <row r="22" spans="1:17" s="159" customFormat="1" x14ac:dyDescent="0.25">
      <c r="A22" s="361"/>
      <c r="B22" s="5"/>
      <c r="C22" s="362"/>
      <c r="D22" s="363" t="s">
        <v>21</v>
      </c>
      <c r="E22" s="247">
        <v>0</v>
      </c>
      <c r="F22" s="364">
        <f>C22*E22</f>
        <v>0</v>
      </c>
      <c r="G22" s="509"/>
      <c r="H22" s="366">
        <v>0</v>
      </c>
      <c r="I22" s="364">
        <f>G22*H22</f>
        <v>0</v>
      </c>
      <c r="J22" s="367"/>
      <c r="K22" s="510">
        <f>F22+I22+J22</f>
        <v>0</v>
      </c>
      <c r="L22" s="157"/>
      <c r="M22" s="449"/>
      <c r="N22" s="157"/>
      <c r="O22" s="372"/>
      <c r="P22" s="373"/>
      <c r="Q22" s="374"/>
    </row>
    <row r="23" spans="1:17" s="159" customFormat="1" x14ac:dyDescent="0.25">
      <c r="A23" s="361"/>
      <c r="B23" s="5"/>
      <c r="C23" s="362"/>
      <c r="D23" s="363" t="s">
        <v>21</v>
      </c>
      <c r="E23" s="247">
        <v>0</v>
      </c>
      <c r="F23" s="364">
        <f>C23*E23</f>
        <v>0</v>
      </c>
      <c r="G23" s="509"/>
      <c r="H23" s="366">
        <v>0</v>
      </c>
      <c r="I23" s="364">
        <f>G23*H23</f>
        <v>0</v>
      </c>
      <c r="J23" s="367"/>
      <c r="K23" s="510">
        <f>F23+I23+J23</f>
        <v>0</v>
      </c>
      <c r="L23" s="157"/>
      <c r="M23" s="449"/>
      <c r="N23" s="157"/>
      <c r="O23" s="372"/>
      <c r="P23" s="373"/>
      <c r="Q23" s="374"/>
    </row>
    <row r="24" spans="1:17" s="159" customFormat="1" ht="13.8" thickBot="1" x14ac:dyDescent="0.3">
      <c r="A24" s="361"/>
      <c r="B24" s="5"/>
      <c r="C24" s="379"/>
      <c r="D24" s="363"/>
      <c r="E24" s="247"/>
      <c r="F24" s="364"/>
      <c r="G24" s="509"/>
      <c r="H24" s="366"/>
      <c r="I24" s="364"/>
      <c r="J24" s="367"/>
      <c r="K24" s="514"/>
      <c r="L24" s="157"/>
      <c r="M24" s="449"/>
      <c r="N24" s="157"/>
      <c r="O24" s="372"/>
      <c r="P24" s="373"/>
      <c r="Q24" s="374"/>
    </row>
    <row r="25" spans="1:17" s="159" customFormat="1" ht="13.8" thickTop="1" x14ac:dyDescent="0.25">
      <c r="A25" s="378"/>
      <c r="B25" s="5"/>
      <c r="C25" s="379"/>
      <c r="D25" s="363"/>
      <c r="E25" s="247"/>
      <c r="F25" s="364"/>
      <c r="G25" s="509"/>
      <c r="H25" s="366"/>
      <c r="I25" s="364"/>
      <c r="J25" s="380" t="s">
        <v>30</v>
      </c>
      <c r="K25" s="511">
        <f>SUM(K21:K24)</f>
        <v>0</v>
      </c>
      <c r="M25" s="266"/>
      <c r="O25" s="372"/>
      <c r="P25" s="373"/>
      <c r="Q25" s="374"/>
    </row>
    <row r="26" spans="1:17" s="159" customFormat="1" ht="13.8" thickBot="1" x14ac:dyDescent="0.3">
      <c r="A26" s="344" t="s">
        <v>0</v>
      </c>
      <c r="B26" s="345" t="s">
        <v>1</v>
      </c>
      <c r="C26" s="1028" t="s">
        <v>646</v>
      </c>
      <c r="D26" s="1028"/>
      <c r="E26" s="1028"/>
      <c r="F26" s="1028"/>
      <c r="G26" s="1028" t="s">
        <v>34</v>
      </c>
      <c r="H26" s="1028"/>
      <c r="I26" s="1028"/>
      <c r="J26" s="346"/>
      <c r="K26" s="503"/>
      <c r="L26" s="382"/>
      <c r="M26" s="383"/>
      <c r="N26" s="384"/>
      <c r="O26" s="372"/>
      <c r="P26" s="373"/>
      <c r="Q26" s="374"/>
    </row>
    <row r="27" spans="1:17" s="159" customFormat="1" ht="16.2" thickBot="1" x14ac:dyDescent="0.35">
      <c r="A27" s="505" t="s">
        <v>423</v>
      </c>
      <c r="B27" s="505" t="s">
        <v>424</v>
      </c>
      <c r="C27" s="387" t="s">
        <v>19</v>
      </c>
      <c r="D27" s="388" t="s">
        <v>33</v>
      </c>
      <c r="E27" s="389" t="s">
        <v>35</v>
      </c>
      <c r="F27" s="390" t="s">
        <v>30</v>
      </c>
      <c r="G27" s="512" t="s">
        <v>14</v>
      </c>
      <c r="H27" s="389" t="s">
        <v>35</v>
      </c>
      <c r="I27" s="390" t="s">
        <v>30</v>
      </c>
      <c r="J27" s="355" t="s">
        <v>649</v>
      </c>
      <c r="K27" s="513" t="s">
        <v>38</v>
      </c>
      <c r="L27" s="393"/>
      <c r="M27" s="394"/>
      <c r="N27" s="395"/>
      <c r="O27" s="372"/>
      <c r="P27" s="373"/>
      <c r="Q27" s="374"/>
    </row>
    <row r="28" spans="1:17" s="159" customFormat="1" x14ac:dyDescent="0.25">
      <c r="A28" s="396"/>
      <c r="B28" s="397"/>
      <c r="C28" s="362"/>
      <c r="D28" s="363" t="s">
        <v>21</v>
      </c>
      <c r="E28" s="247">
        <v>0</v>
      </c>
      <c r="F28" s="364">
        <f>C28*E28</f>
        <v>0</v>
      </c>
      <c r="G28" s="509"/>
      <c r="H28" s="366">
        <v>0</v>
      </c>
      <c r="I28" s="364">
        <f>G28*H28</f>
        <v>0</v>
      </c>
      <c r="J28" s="367"/>
      <c r="K28" s="510">
        <f>F28+I28+J28</f>
        <v>0</v>
      </c>
      <c r="M28" s="268"/>
      <c r="N28" s="157"/>
      <c r="O28" s="372"/>
      <c r="P28" s="373"/>
      <c r="Q28" s="374"/>
    </row>
    <row r="29" spans="1:17" s="159" customFormat="1" x14ac:dyDescent="0.25">
      <c r="A29" s="361"/>
      <c r="B29" s="5"/>
      <c r="C29" s="362"/>
      <c r="D29" s="363" t="s">
        <v>21</v>
      </c>
      <c r="E29" s="247">
        <v>0</v>
      </c>
      <c r="F29" s="364">
        <f>C29*E29</f>
        <v>0</v>
      </c>
      <c r="G29" s="509"/>
      <c r="H29" s="366">
        <v>0</v>
      </c>
      <c r="I29" s="364">
        <f>G29*H29</f>
        <v>0</v>
      </c>
      <c r="J29" s="367"/>
      <c r="K29" s="510">
        <f>F29+I29+J29</f>
        <v>0</v>
      </c>
      <c r="L29" s="369"/>
      <c r="M29" s="370"/>
      <c r="N29" s="371"/>
      <c r="O29" s="372"/>
      <c r="P29" s="373"/>
      <c r="Q29" s="374"/>
    </row>
    <row r="30" spans="1:17" s="159" customFormat="1" ht="13.8" thickBot="1" x14ac:dyDescent="0.3">
      <c r="A30" s="378"/>
      <c r="B30" s="403"/>
      <c r="C30" s="379"/>
      <c r="D30" s="363"/>
      <c r="E30" s="247"/>
      <c r="F30" s="364"/>
      <c r="G30" s="509"/>
      <c r="H30" s="366"/>
      <c r="I30" s="364"/>
      <c r="J30" s="367"/>
      <c r="K30" s="514"/>
      <c r="L30" s="369"/>
      <c r="M30" s="370"/>
      <c r="N30" s="371"/>
      <c r="O30" s="372"/>
      <c r="P30" s="373"/>
      <c r="Q30" s="374"/>
    </row>
    <row r="31" spans="1:17" s="159" customFormat="1" ht="13.8" thickTop="1" x14ac:dyDescent="0.25">
      <c r="A31" s="378"/>
      <c r="B31" s="403"/>
      <c r="C31" s="379"/>
      <c r="D31" s="363"/>
      <c r="E31" s="247"/>
      <c r="F31" s="364"/>
      <c r="G31" s="509"/>
      <c r="H31" s="366"/>
      <c r="I31" s="364"/>
      <c r="J31" s="380" t="s">
        <v>30</v>
      </c>
      <c r="K31" s="511">
        <f>SUM(K28:K30)</f>
        <v>0</v>
      </c>
      <c r="L31" s="515"/>
      <c r="M31" s="531"/>
      <c r="N31" s="516"/>
      <c r="O31" s="372"/>
      <c r="P31" s="373"/>
      <c r="Q31" s="374"/>
    </row>
    <row r="32" spans="1:17" s="159" customFormat="1" ht="13.8" thickBot="1" x14ac:dyDescent="0.3">
      <c r="A32" s="344" t="s">
        <v>0</v>
      </c>
      <c r="B32" s="345" t="s">
        <v>1</v>
      </c>
      <c r="C32" s="1028" t="s">
        <v>646</v>
      </c>
      <c r="D32" s="1028"/>
      <c r="E32" s="1028"/>
      <c r="F32" s="1028"/>
      <c r="G32" s="1028" t="s">
        <v>34</v>
      </c>
      <c r="H32" s="1028"/>
      <c r="I32" s="1028"/>
      <c r="J32" s="346"/>
      <c r="K32" s="503"/>
      <c r="L32" s="382"/>
      <c r="M32" s="383"/>
      <c r="N32" s="384"/>
      <c r="O32" s="372"/>
      <c r="P32" s="373"/>
      <c r="Q32" s="374"/>
    </row>
    <row r="33" spans="1:17" s="159" customFormat="1" ht="15.6" x14ac:dyDescent="0.3">
      <c r="A33" s="505" t="s">
        <v>670</v>
      </c>
      <c r="B33" s="505" t="s">
        <v>669</v>
      </c>
      <c r="C33" s="387" t="s">
        <v>19</v>
      </c>
      <c r="D33" s="388" t="s">
        <v>33</v>
      </c>
      <c r="E33" s="389" t="s">
        <v>35</v>
      </c>
      <c r="F33" s="390" t="s">
        <v>30</v>
      </c>
      <c r="G33" s="512" t="s">
        <v>14</v>
      </c>
      <c r="H33" s="389" t="s">
        <v>35</v>
      </c>
      <c r="I33" s="390" t="s">
        <v>30</v>
      </c>
      <c r="J33" s="355" t="s">
        <v>649</v>
      </c>
      <c r="K33" s="513" t="s">
        <v>38</v>
      </c>
      <c r="L33" s="393"/>
      <c r="M33" s="399"/>
      <c r="N33" s="400"/>
      <c r="O33" s="372"/>
      <c r="P33" s="373"/>
      <c r="Q33" s="374"/>
    </row>
    <row r="34" spans="1:17" s="159" customFormat="1" x14ac:dyDescent="0.25">
      <c r="A34" s="158" t="s">
        <v>427</v>
      </c>
      <c r="B34" s="157" t="s">
        <v>428</v>
      </c>
      <c r="C34" s="362"/>
      <c r="D34" s="363" t="s">
        <v>21</v>
      </c>
      <c r="E34" s="247">
        <v>0</v>
      </c>
      <c r="F34" s="364">
        <f>C34*E34</f>
        <v>0</v>
      </c>
      <c r="G34" s="509"/>
      <c r="H34" s="366">
        <v>0</v>
      </c>
      <c r="I34" s="364">
        <f>G34*H34</f>
        <v>0</v>
      </c>
      <c r="J34" s="367"/>
      <c r="K34" s="510">
        <f>F34+I34+J34</f>
        <v>0</v>
      </c>
      <c r="L34" s="157"/>
      <c r="M34" s="449"/>
      <c r="N34" s="157"/>
      <c r="O34" s="372"/>
      <c r="P34" s="373"/>
      <c r="Q34" s="374"/>
    </row>
    <row r="35" spans="1:17" s="159" customFormat="1" x14ac:dyDescent="0.25">
      <c r="A35" s="361"/>
      <c r="B35" s="5"/>
      <c r="C35" s="362"/>
      <c r="D35" s="363" t="s">
        <v>21</v>
      </c>
      <c r="E35" s="247">
        <v>0</v>
      </c>
      <c r="F35" s="364">
        <f>C35*E35</f>
        <v>0</v>
      </c>
      <c r="G35" s="509"/>
      <c r="H35" s="366">
        <v>0</v>
      </c>
      <c r="I35" s="364">
        <f>G35*H35</f>
        <v>0</v>
      </c>
      <c r="J35" s="367"/>
      <c r="K35" s="510">
        <f>F35+I35+J35</f>
        <v>0</v>
      </c>
      <c r="L35" s="369"/>
      <c r="M35" s="370"/>
      <c r="N35" s="371"/>
      <c r="O35" s="372"/>
      <c r="P35" s="373"/>
      <c r="Q35" s="374"/>
    </row>
    <row r="36" spans="1:17" s="159" customFormat="1" x14ac:dyDescent="0.25">
      <c r="A36" s="361"/>
      <c r="B36" s="5"/>
      <c r="C36" s="362"/>
      <c r="D36" s="363" t="s">
        <v>21</v>
      </c>
      <c r="E36" s="247">
        <v>0</v>
      </c>
      <c r="F36" s="364">
        <f>C36*E36</f>
        <v>0</v>
      </c>
      <c r="G36" s="509"/>
      <c r="H36" s="366">
        <v>0</v>
      </c>
      <c r="I36" s="364">
        <f>G36*H36</f>
        <v>0</v>
      </c>
      <c r="J36" s="367"/>
      <c r="K36" s="510">
        <f>F36+I36+J36</f>
        <v>0</v>
      </c>
      <c r="M36" s="266"/>
      <c r="O36" s="372"/>
      <c r="P36" s="373"/>
      <c r="Q36" s="374"/>
    </row>
    <row r="37" spans="1:17" s="159" customFormat="1" ht="13.8" thickBot="1" x14ac:dyDescent="0.3">
      <c r="A37" s="378"/>
      <c r="B37" s="403"/>
      <c r="C37" s="379"/>
      <c r="D37" s="363"/>
      <c r="E37" s="247"/>
      <c r="F37" s="364"/>
      <c r="G37" s="509"/>
      <c r="H37" s="366"/>
      <c r="I37" s="364"/>
      <c r="J37" s="367"/>
      <c r="K37" s="514"/>
      <c r="M37" s="266"/>
      <c r="O37" s="401"/>
      <c r="P37" s="402"/>
      <c r="Q37" s="374"/>
    </row>
    <row r="38" spans="1:17" s="159" customFormat="1" ht="13.8" thickTop="1" x14ac:dyDescent="0.25">
      <c r="A38" s="378"/>
      <c r="B38" s="403"/>
      <c r="C38" s="379"/>
      <c r="D38" s="363"/>
      <c r="E38" s="247"/>
      <c r="F38" s="364"/>
      <c r="G38" s="509"/>
      <c r="H38" s="366"/>
      <c r="I38" s="364"/>
      <c r="J38" s="380" t="s">
        <v>30</v>
      </c>
      <c r="K38" s="511">
        <f>SUM(K34:K37)</f>
        <v>0</v>
      </c>
      <c r="L38" s="369"/>
      <c r="M38" s="370"/>
      <c r="N38" s="371"/>
      <c r="O38" s="401"/>
      <c r="P38" s="402"/>
      <c r="Q38" s="374"/>
    </row>
    <row r="39" spans="1:17" s="159" customFormat="1" ht="13.8" thickBot="1" x14ac:dyDescent="0.3">
      <c r="A39" s="344" t="s">
        <v>0</v>
      </c>
      <c r="B39" s="345" t="s">
        <v>1</v>
      </c>
      <c r="C39" s="1028" t="s">
        <v>646</v>
      </c>
      <c r="D39" s="1028"/>
      <c r="E39" s="1028"/>
      <c r="F39" s="1028"/>
      <c r="G39" s="1028" t="s">
        <v>34</v>
      </c>
      <c r="H39" s="1028"/>
      <c r="I39" s="1028"/>
      <c r="J39" s="346"/>
      <c r="K39" s="503"/>
      <c r="L39" s="382"/>
      <c r="M39" s="383"/>
      <c r="N39" s="384"/>
      <c r="O39" s="401"/>
      <c r="P39" s="402"/>
      <c r="Q39" s="374"/>
    </row>
    <row r="40" spans="1:17" s="159" customFormat="1" ht="16.2" thickBot="1" x14ac:dyDescent="0.35">
      <c r="A40" s="505" t="s">
        <v>429</v>
      </c>
      <c r="B40" s="505" t="s">
        <v>430</v>
      </c>
      <c r="C40" s="387" t="s">
        <v>19</v>
      </c>
      <c r="D40" s="388" t="s">
        <v>33</v>
      </c>
      <c r="E40" s="389" t="s">
        <v>35</v>
      </c>
      <c r="F40" s="390" t="s">
        <v>30</v>
      </c>
      <c r="G40" s="512" t="s">
        <v>14</v>
      </c>
      <c r="H40" s="389" t="s">
        <v>35</v>
      </c>
      <c r="I40" s="390" t="s">
        <v>30</v>
      </c>
      <c r="J40" s="355" t="s">
        <v>649</v>
      </c>
      <c r="K40" s="513" t="s">
        <v>38</v>
      </c>
      <c r="L40" s="393"/>
      <c r="M40" s="399"/>
      <c r="N40" s="400"/>
      <c r="O40" s="401"/>
      <c r="P40" s="402"/>
      <c r="Q40" s="374"/>
    </row>
    <row r="41" spans="1:17" s="159" customFormat="1" x14ac:dyDescent="0.25">
      <c r="A41" s="396"/>
      <c r="B41" s="397"/>
      <c r="C41" s="362"/>
      <c r="D41" s="363" t="s">
        <v>21</v>
      </c>
      <c r="E41" s="247">
        <v>0</v>
      </c>
      <c r="F41" s="364">
        <f>C41*E41</f>
        <v>0</v>
      </c>
      <c r="G41" s="509"/>
      <c r="H41" s="366">
        <v>0</v>
      </c>
      <c r="I41" s="364">
        <f>G41*H41</f>
        <v>0</v>
      </c>
      <c r="J41" s="367"/>
      <c r="K41" s="510">
        <f>F41+I41+J41</f>
        <v>0</v>
      </c>
      <c r="L41" s="369"/>
      <c r="M41" s="370"/>
      <c r="N41" s="371"/>
      <c r="O41" s="401"/>
      <c r="P41" s="402"/>
      <c r="Q41" s="374"/>
    </row>
    <row r="42" spans="1:17" s="159" customFormat="1" x14ac:dyDescent="0.25">
      <c r="A42" s="361"/>
      <c r="B42" s="5"/>
      <c r="C42" s="362"/>
      <c r="D42" s="363" t="s">
        <v>21</v>
      </c>
      <c r="E42" s="247">
        <v>0</v>
      </c>
      <c r="F42" s="364">
        <f>C42*E42</f>
        <v>0</v>
      </c>
      <c r="G42" s="509"/>
      <c r="H42" s="366">
        <v>0</v>
      </c>
      <c r="I42" s="364">
        <f>G42*H42</f>
        <v>0</v>
      </c>
      <c r="J42" s="367"/>
      <c r="K42" s="510">
        <f>F42+I42+J42</f>
        <v>0</v>
      </c>
      <c r="M42" s="268"/>
      <c r="N42" s="157"/>
      <c r="O42" s="401"/>
      <c r="P42" s="402"/>
      <c r="Q42" s="374"/>
    </row>
    <row r="43" spans="1:17" s="159" customFormat="1" x14ac:dyDescent="0.25">
      <c r="A43" s="361"/>
      <c r="B43" s="5"/>
      <c r="C43" s="362"/>
      <c r="D43" s="363" t="s">
        <v>21</v>
      </c>
      <c r="E43" s="247">
        <v>0</v>
      </c>
      <c r="F43" s="364">
        <f>C43*E43</f>
        <v>0</v>
      </c>
      <c r="G43" s="509"/>
      <c r="H43" s="366">
        <v>0</v>
      </c>
      <c r="I43" s="364">
        <f>G43*H43</f>
        <v>0</v>
      </c>
      <c r="J43" s="367"/>
      <c r="K43" s="510">
        <f>F43+I43+J43</f>
        <v>0</v>
      </c>
      <c r="M43" s="268"/>
      <c r="N43" s="157"/>
      <c r="O43" s="372"/>
      <c r="P43" s="373"/>
      <c r="Q43" s="374"/>
    </row>
    <row r="44" spans="1:17" s="159" customFormat="1" x14ac:dyDescent="0.25">
      <c r="A44" s="361"/>
      <c r="B44" s="5"/>
      <c r="C44" s="362"/>
      <c r="D44" s="363" t="s">
        <v>21</v>
      </c>
      <c r="E44" s="247">
        <v>0</v>
      </c>
      <c r="F44" s="364">
        <f>C44*E44</f>
        <v>0</v>
      </c>
      <c r="G44" s="509"/>
      <c r="H44" s="366">
        <v>0</v>
      </c>
      <c r="I44" s="364">
        <f>G44*H44</f>
        <v>0</v>
      </c>
      <c r="J44" s="367"/>
      <c r="K44" s="510">
        <f>F44+I44+J44</f>
        <v>0</v>
      </c>
      <c r="M44" s="266"/>
      <c r="O44" s="372"/>
      <c r="P44" s="373"/>
      <c r="Q44" s="374"/>
    </row>
    <row r="45" spans="1:17" s="159" customFormat="1" ht="13.8" thickBot="1" x14ac:dyDescent="0.3">
      <c r="A45" s="378"/>
      <c r="B45" s="5"/>
      <c r="C45" s="379"/>
      <c r="D45" s="363"/>
      <c r="E45" s="247"/>
      <c r="F45" s="364"/>
      <c r="G45" s="509"/>
      <c r="H45" s="366"/>
      <c r="I45" s="364"/>
      <c r="J45" s="367"/>
      <c r="K45" s="514"/>
      <c r="M45" s="266"/>
      <c r="O45" s="372"/>
      <c r="P45" s="402"/>
      <c r="Q45" s="374"/>
    </row>
    <row r="46" spans="1:17" s="159" customFormat="1" ht="13.8" thickTop="1" x14ac:dyDescent="0.25">
      <c r="A46" s="378"/>
      <c r="B46" s="403"/>
      <c r="C46" s="379"/>
      <c r="D46" s="363"/>
      <c r="E46" s="247"/>
      <c r="F46" s="364"/>
      <c r="G46" s="509"/>
      <c r="H46" s="366"/>
      <c r="I46" s="364"/>
      <c r="J46" s="380" t="s">
        <v>30</v>
      </c>
      <c r="K46" s="511">
        <f>SUM(K41:K45)</f>
        <v>0</v>
      </c>
      <c r="L46" s="369"/>
      <c r="M46" s="249"/>
      <c r="N46" s="409"/>
      <c r="O46" s="372"/>
      <c r="P46" s="373"/>
      <c r="Q46" s="374"/>
    </row>
    <row r="47" spans="1:17" s="159" customFormat="1" ht="13.8" thickBot="1" x14ac:dyDescent="0.3">
      <c r="A47" s="344" t="s">
        <v>0</v>
      </c>
      <c r="B47" s="345" t="s">
        <v>1</v>
      </c>
      <c r="C47" s="1028" t="s">
        <v>646</v>
      </c>
      <c r="D47" s="1028"/>
      <c r="E47" s="1028"/>
      <c r="F47" s="1028"/>
      <c r="G47" s="1028" t="s">
        <v>34</v>
      </c>
      <c r="H47" s="1028"/>
      <c r="I47" s="1028"/>
      <c r="J47" s="346"/>
      <c r="K47" s="503"/>
      <c r="L47" s="382"/>
      <c r="M47" s="383"/>
      <c r="N47" s="384"/>
      <c r="O47" s="372"/>
      <c r="P47" s="373"/>
      <c r="Q47" s="374"/>
    </row>
    <row r="48" spans="1:17" s="159" customFormat="1" ht="16.2" thickBot="1" x14ac:dyDescent="0.35">
      <c r="A48" s="505" t="s">
        <v>431</v>
      </c>
      <c r="B48" s="505" t="s">
        <v>432</v>
      </c>
      <c r="C48" s="387" t="s">
        <v>19</v>
      </c>
      <c r="D48" s="388" t="s">
        <v>33</v>
      </c>
      <c r="E48" s="389" t="s">
        <v>35</v>
      </c>
      <c r="F48" s="390" t="s">
        <v>30</v>
      </c>
      <c r="G48" s="512" t="s">
        <v>14</v>
      </c>
      <c r="H48" s="389" t="s">
        <v>35</v>
      </c>
      <c r="I48" s="390" t="s">
        <v>30</v>
      </c>
      <c r="J48" s="355" t="s">
        <v>649</v>
      </c>
      <c r="K48" s="513" t="s">
        <v>38</v>
      </c>
      <c r="L48" s="393"/>
      <c r="M48" s="399"/>
      <c r="N48" s="400"/>
      <c r="O48" s="372"/>
      <c r="P48" s="373"/>
      <c r="Q48" s="374"/>
    </row>
    <row r="49" spans="1:17" s="159" customFormat="1" x14ac:dyDescent="0.25">
      <c r="A49" s="396"/>
      <c r="B49" s="397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620"/>
      <c r="M49" s="249"/>
      <c r="N49" s="409"/>
      <c r="O49" s="372"/>
      <c r="P49" s="373"/>
      <c r="Q49" s="374"/>
    </row>
    <row r="50" spans="1:17" s="159" customFormat="1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409"/>
      <c r="O50" s="372"/>
      <c r="P50" s="373"/>
      <c r="Q50" s="374"/>
    </row>
    <row r="51" spans="1:17" s="159" customFormat="1" x14ac:dyDescent="0.25">
      <c r="A51" s="361"/>
      <c r="B51" s="5"/>
      <c r="C51" s="362"/>
      <c r="D51" s="363" t="s">
        <v>21</v>
      </c>
      <c r="E51" s="247">
        <v>0</v>
      </c>
      <c r="F51" s="364">
        <f>C51*E51</f>
        <v>0</v>
      </c>
      <c r="G51" s="509"/>
      <c r="H51" s="366">
        <v>0</v>
      </c>
      <c r="I51" s="364">
        <f>G51*H51</f>
        <v>0</v>
      </c>
      <c r="J51" s="367"/>
      <c r="K51" s="510">
        <f>F51+I51+J51</f>
        <v>0</v>
      </c>
      <c r="L51" s="369"/>
      <c r="M51" s="249"/>
      <c r="N51" s="371"/>
      <c r="O51" s="372"/>
      <c r="P51" s="373"/>
      <c r="Q51" s="374"/>
    </row>
    <row r="52" spans="1:17" s="159" customFormat="1" ht="13.8" thickBot="1" x14ac:dyDescent="0.3">
      <c r="A52" s="378"/>
      <c r="B52" s="5"/>
      <c r="C52" s="379"/>
      <c r="D52" s="363"/>
      <c r="E52" s="247"/>
      <c r="F52" s="364"/>
      <c r="G52" s="509"/>
      <c r="H52" s="366"/>
      <c r="I52" s="364"/>
      <c r="J52" s="367"/>
      <c r="K52" s="514"/>
      <c r="L52" s="157"/>
      <c r="M52" s="449"/>
      <c r="N52" s="157"/>
      <c r="O52" s="417"/>
      <c r="P52" s="418"/>
      <c r="Q52" s="374"/>
    </row>
    <row r="53" spans="1:17" s="159" customFormat="1" ht="13.8" thickTop="1" x14ac:dyDescent="0.25">
      <c r="A53" s="378"/>
      <c r="B53" s="403"/>
      <c r="C53" s="379"/>
      <c r="D53" s="363"/>
      <c r="E53" s="247"/>
      <c r="F53" s="364"/>
      <c r="G53" s="509"/>
      <c r="H53" s="366"/>
      <c r="I53" s="364"/>
      <c r="J53" s="380" t="s">
        <v>30</v>
      </c>
      <c r="K53" s="511">
        <f>SUM(K49:K52)</f>
        <v>0</v>
      </c>
      <c r="L53" s="617"/>
      <c r="M53" s="249"/>
      <c r="N53" s="619"/>
      <c r="O53" s="417"/>
      <c r="P53" s="418"/>
      <c r="Q53" s="374"/>
    </row>
    <row r="54" spans="1:17" s="159" customFormat="1" ht="13.8" thickBot="1" x14ac:dyDescent="0.3">
      <c r="A54" s="344" t="s">
        <v>0</v>
      </c>
      <c r="B54" s="345" t="s">
        <v>1</v>
      </c>
      <c r="C54" s="1028" t="s">
        <v>646</v>
      </c>
      <c r="D54" s="1028"/>
      <c r="E54" s="1028"/>
      <c r="F54" s="1028"/>
      <c r="G54" s="1028" t="s">
        <v>34</v>
      </c>
      <c r="H54" s="1028"/>
      <c r="I54" s="1028"/>
      <c r="J54" s="346"/>
      <c r="K54" s="503"/>
      <c r="L54" s="382"/>
      <c r="M54" s="383"/>
      <c r="N54" s="384"/>
      <c r="O54" s="401"/>
      <c r="P54" s="402"/>
      <c r="Q54" s="374"/>
    </row>
    <row r="55" spans="1:17" s="159" customFormat="1" ht="16.2" thickBot="1" x14ac:dyDescent="0.35">
      <c r="A55" s="505" t="s">
        <v>433</v>
      </c>
      <c r="B55" s="505" t="s">
        <v>434</v>
      </c>
      <c r="C55" s="387" t="s">
        <v>19</v>
      </c>
      <c r="D55" s="388" t="s">
        <v>33</v>
      </c>
      <c r="E55" s="389" t="s">
        <v>35</v>
      </c>
      <c r="F55" s="390" t="s">
        <v>30</v>
      </c>
      <c r="G55" s="512" t="s">
        <v>14</v>
      </c>
      <c r="H55" s="389" t="s">
        <v>35</v>
      </c>
      <c r="I55" s="390" t="s">
        <v>30</v>
      </c>
      <c r="J55" s="355" t="s">
        <v>649</v>
      </c>
      <c r="K55" s="513" t="s">
        <v>38</v>
      </c>
      <c r="L55" s="393"/>
      <c r="M55" s="399"/>
      <c r="N55" s="400"/>
      <c r="O55" s="372"/>
      <c r="P55" s="373"/>
      <c r="Q55" s="374"/>
    </row>
    <row r="56" spans="1:17" s="159" customFormat="1" x14ac:dyDescent="0.25">
      <c r="A56" s="396"/>
      <c r="B56" s="397"/>
      <c r="C56" s="362"/>
      <c r="D56" s="363" t="s">
        <v>21</v>
      </c>
      <c r="E56" s="247">
        <v>0</v>
      </c>
      <c r="F56" s="364">
        <f>C56*E56</f>
        <v>0</v>
      </c>
      <c r="G56" s="509"/>
      <c r="H56" s="366">
        <v>0</v>
      </c>
      <c r="I56" s="364">
        <f>G56*H56</f>
        <v>0</v>
      </c>
      <c r="J56" s="367"/>
      <c r="K56" s="510">
        <f>F56+I56+J56</f>
        <v>0</v>
      </c>
      <c r="L56" s="369"/>
      <c r="M56" s="249"/>
      <c r="N56" s="371"/>
      <c r="O56" s="372"/>
      <c r="P56" s="373"/>
      <c r="Q56" s="374"/>
    </row>
    <row r="57" spans="1:17" s="159" customFormat="1" ht="13.8" thickBot="1" x14ac:dyDescent="0.3">
      <c r="A57" s="378"/>
      <c r="B57" s="5"/>
      <c r="C57" s="379"/>
      <c r="D57" s="363"/>
      <c r="E57" s="247"/>
      <c r="F57" s="364"/>
      <c r="G57" s="509"/>
      <c r="H57" s="366"/>
      <c r="I57" s="364"/>
      <c r="J57" s="367"/>
      <c r="K57" s="514"/>
      <c r="L57" s="369"/>
      <c r="M57" s="249"/>
      <c r="N57" s="371"/>
      <c r="O57" s="372"/>
      <c r="P57" s="373"/>
      <c r="Q57" s="374"/>
    </row>
    <row r="58" spans="1:17" s="159" customFormat="1" ht="13.8" thickTop="1" x14ac:dyDescent="0.25">
      <c r="A58" s="378"/>
      <c r="B58" s="157"/>
      <c r="C58" s="379"/>
      <c r="D58" s="363"/>
      <c r="E58" s="247"/>
      <c r="F58" s="364"/>
      <c r="G58" s="509"/>
      <c r="H58" s="366"/>
      <c r="I58" s="364"/>
      <c r="J58" s="380" t="s">
        <v>30</v>
      </c>
      <c r="K58" s="511">
        <f>SUM(K56:K57)</f>
        <v>0</v>
      </c>
      <c r="L58" s="369"/>
      <c r="M58" s="249"/>
      <c r="N58" s="371"/>
      <c r="O58" s="372"/>
      <c r="P58" s="373"/>
      <c r="Q58" s="374"/>
    </row>
    <row r="59" spans="1:17" s="159" customFormat="1" ht="13.8" thickBot="1" x14ac:dyDescent="0.3">
      <c r="A59" s="344" t="s">
        <v>0</v>
      </c>
      <c r="B59" s="345" t="s">
        <v>1</v>
      </c>
      <c r="C59" s="1028" t="s">
        <v>646</v>
      </c>
      <c r="D59" s="1028"/>
      <c r="E59" s="1028"/>
      <c r="F59" s="1028"/>
      <c r="G59" s="1028" t="s">
        <v>34</v>
      </c>
      <c r="H59" s="1028"/>
      <c r="I59" s="1028"/>
      <c r="J59" s="346"/>
      <c r="K59" s="503"/>
      <c r="L59" s="382"/>
      <c r="M59" s="383"/>
      <c r="N59" s="384"/>
      <c r="O59" s="372"/>
      <c r="P59" s="373"/>
      <c r="Q59" s="374"/>
    </row>
    <row r="60" spans="1:17" s="159" customFormat="1" ht="16.2" thickBot="1" x14ac:dyDescent="0.35">
      <c r="A60" s="505" t="s">
        <v>435</v>
      </c>
      <c r="B60" s="505" t="s">
        <v>436</v>
      </c>
      <c r="C60" s="387" t="s">
        <v>19</v>
      </c>
      <c r="D60" s="388" t="s">
        <v>33</v>
      </c>
      <c r="E60" s="389" t="s">
        <v>35</v>
      </c>
      <c r="F60" s="390" t="s">
        <v>30</v>
      </c>
      <c r="G60" s="512" t="s">
        <v>14</v>
      </c>
      <c r="H60" s="389" t="s">
        <v>35</v>
      </c>
      <c r="I60" s="390" t="s">
        <v>30</v>
      </c>
      <c r="J60" s="355" t="s">
        <v>649</v>
      </c>
      <c r="K60" s="513" t="s">
        <v>38</v>
      </c>
      <c r="L60" s="393"/>
      <c r="M60" s="399"/>
      <c r="N60" s="400"/>
      <c r="O60" s="372"/>
      <c r="P60" s="373"/>
      <c r="Q60" s="374"/>
    </row>
    <row r="61" spans="1:17" s="159" customFormat="1" ht="15" x14ac:dyDescent="0.25">
      <c r="A61" s="593" t="s">
        <v>438</v>
      </c>
      <c r="B61" s="594" t="s">
        <v>437</v>
      </c>
      <c r="C61" s="362"/>
      <c r="D61" s="363" t="s">
        <v>21</v>
      </c>
      <c r="E61" s="247">
        <v>0</v>
      </c>
      <c r="F61" s="364">
        <f>C61*E61</f>
        <v>0</v>
      </c>
      <c r="G61" s="509"/>
      <c r="H61" s="366">
        <v>0</v>
      </c>
      <c r="I61" s="364">
        <f>G61*H61</f>
        <v>0</v>
      </c>
      <c r="J61" s="367"/>
      <c r="K61" s="510">
        <f>F61+I61+J61</f>
        <v>0</v>
      </c>
      <c r="L61" s="369"/>
      <c r="M61" s="249"/>
      <c r="N61" s="409"/>
      <c r="O61" s="372"/>
      <c r="P61" s="373"/>
      <c r="Q61" s="374"/>
    </row>
    <row r="62" spans="1:17" s="159" customFormat="1" x14ac:dyDescent="0.25">
      <c r="A62" s="207" t="s">
        <v>439</v>
      </c>
      <c r="B62" s="632" t="s">
        <v>440</v>
      </c>
      <c r="C62" s="362"/>
      <c r="D62" s="363" t="s">
        <v>21</v>
      </c>
      <c r="E62" s="247">
        <v>0</v>
      </c>
      <c r="F62" s="364">
        <f>C62*E62</f>
        <v>0</v>
      </c>
      <c r="G62" s="509"/>
      <c r="H62" s="366">
        <v>0</v>
      </c>
      <c r="I62" s="364">
        <f>G62*H62</f>
        <v>0</v>
      </c>
      <c r="J62" s="367"/>
      <c r="K62" s="510">
        <f>F62+I62+J62</f>
        <v>0</v>
      </c>
      <c r="M62" s="268"/>
      <c r="N62" s="157"/>
      <c r="O62" s="372"/>
      <c r="P62" s="373"/>
      <c r="Q62" s="374"/>
    </row>
    <row r="63" spans="1:17" s="159" customFormat="1" x14ac:dyDescent="0.25">
      <c r="A63" s="633" t="s">
        <v>441</v>
      </c>
      <c r="B63" s="634" t="s">
        <v>442</v>
      </c>
      <c r="C63" s="362"/>
      <c r="D63" s="363" t="s">
        <v>21</v>
      </c>
      <c r="E63" s="247">
        <v>0</v>
      </c>
      <c r="F63" s="364">
        <f t="shared" ref="F63:F71" si="3">C63*E63</f>
        <v>0</v>
      </c>
      <c r="G63" s="509"/>
      <c r="H63" s="366">
        <v>0</v>
      </c>
      <c r="I63" s="364">
        <f t="shared" ref="I63:I71" si="4">G63*H63</f>
        <v>0</v>
      </c>
      <c r="J63" s="367"/>
      <c r="K63" s="510">
        <f t="shared" ref="K63:K71" si="5">F63+I63+J63</f>
        <v>0</v>
      </c>
      <c r="M63" s="268"/>
      <c r="N63" s="157"/>
      <c r="O63" s="372"/>
      <c r="P63" s="373"/>
      <c r="Q63" s="374"/>
    </row>
    <row r="64" spans="1:17" s="159" customFormat="1" x14ac:dyDescent="0.25">
      <c r="A64" s="633" t="s">
        <v>443</v>
      </c>
      <c r="B64" s="634" t="s">
        <v>444</v>
      </c>
      <c r="C64" s="362"/>
      <c r="D64" s="363" t="s">
        <v>21</v>
      </c>
      <c r="E64" s="247">
        <v>0</v>
      </c>
      <c r="F64" s="364">
        <f t="shared" si="3"/>
        <v>0</v>
      </c>
      <c r="G64" s="509"/>
      <c r="H64" s="366">
        <v>0</v>
      </c>
      <c r="I64" s="364">
        <f t="shared" si="4"/>
        <v>0</v>
      </c>
      <c r="J64" s="367"/>
      <c r="K64" s="510">
        <f t="shared" si="5"/>
        <v>0</v>
      </c>
      <c r="M64" s="266"/>
      <c r="O64" s="372"/>
      <c r="P64" s="373"/>
      <c r="Q64" s="374"/>
    </row>
    <row r="65" spans="1:17" s="159" customFormat="1" ht="15" x14ac:dyDescent="0.25">
      <c r="A65" s="195" t="s">
        <v>445</v>
      </c>
      <c r="B65" s="603" t="s">
        <v>446</v>
      </c>
      <c r="C65" s="362"/>
      <c r="D65" s="363" t="s">
        <v>21</v>
      </c>
      <c r="E65" s="247">
        <v>0</v>
      </c>
      <c r="F65" s="364">
        <f t="shared" si="3"/>
        <v>0</v>
      </c>
      <c r="G65" s="509"/>
      <c r="H65" s="366">
        <v>0</v>
      </c>
      <c r="I65" s="364">
        <f t="shared" si="4"/>
        <v>0</v>
      </c>
      <c r="J65" s="367"/>
      <c r="K65" s="510">
        <f t="shared" si="5"/>
        <v>0</v>
      </c>
      <c r="M65" s="266"/>
      <c r="O65" s="372"/>
      <c r="P65" s="373"/>
      <c r="Q65" s="374"/>
    </row>
    <row r="66" spans="1:17" s="159" customFormat="1" x14ac:dyDescent="0.25">
      <c r="A66" s="207" t="s">
        <v>447</v>
      </c>
      <c r="B66" s="632" t="s">
        <v>448</v>
      </c>
      <c r="C66" s="362"/>
      <c r="D66" s="363" t="s">
        <v>21</v>
      </c>
      <c r="E66" s="247">
        <v>0</v>
      </c>
      <c r="F66" s="364">
        <f t="shared" si="3"/>
        <v>0</v>
      </c>
      <c r="G66" s="509"/>
      <c r="H66" s="366">
        <v>0</v>
      </c>
      <c r="I66" s="364">
        <f t="shared" si="4"/>
        <v>0</v>
      </c>
      <c r="J66" s="367"/>
      <c r="K66" s="510">
        <f t="shared" si="5"/>
        <v>0</v>
      </c>
      <c r="L66" s="369"/>
      <c r="M66" s="370"/>
      <c r="N66" s="371"/>
      <c r="O66" s="372"/>
      <c r="P66" s="373"/>
      <c r="Q66" s="374"/>
    </row>
    <row r="67" spans="1:17" s="159" customFormat="1" ht="15" x14ac:dyDescent="0.25">
      <c r="A67" s="195" t="s">
        <v>449</v>
      </c>
      <c r="B67" s="603" t="s">
        <v>450</v>
      </c>
      <c r="C67" s="362"/>
      <c r="D67" s="363" t="s">
        <v>21</v>
      </c>
      <c r="E67" s="247">
        <v>0</v>
      </c>
      <c r="F67" s="364">
        <f t="shared" si="3"/>
        <v>0</v>
      </c>
      <c r="G67" s="509"/>
      <c r="H67" s="366">
        <v>0</v>
      </c>
      <c r="I67" s="364">
        <f t="shared" si="4"/>
        <v>0</v>
      </c>
      <c r="J67" s="367"/>
      <c r="K67" s="510">
        <f t="shared" si="5"/>
        <v>0</v>
      </c>
      <c r="L67" s="369"/>
      <c r="M67" s="370"/>
      <c r="N67" s="371"/>
      <c r="O67" s="372"/>
      <c r="P67" s="373"/>
      <c r="Q67" s="374"/>
    </row>
    <row r="68" spans="1:17" s="159" customFormat="1" ht="15" x14ac:dyDescent="0.25">
      <c r="A68" s="195" t="s">
        <v>451</v>
      </c>
      <c r="B68" s="603" t="s">
        <v>452</v>
      </c>
      <c r="C68" s="362"/>
      <c r="D68" s="363" t="s">
        <v>21</v>
      </c>
      <c r="E68" s="247">
        <v>0</v>
      </c>
      <c r="F68" s="364">
        <f t="shared" si="3"/>
        <v>0</v>
      </c>
      <c r="G68" s="509"/>
      <c r="H68" s="366">
        <v>0</v>
      </c>
      <c r="I68" s="364">
        <f t="shared" si="4"/>
        <v>0</v>
      </c>
      <c r="J68" s="367"/>
      <c r="K68" s="510">
        <f t="shared" si="5"/>
        <v>0</v>
      </c>
      <c r="M68" s="266"/>
      <c r="O68" s="372"/>
      <c r="P68" s="373"/>
      <c r="Q68" s="374"/>
    </row>
    <row r="69" spans="1:17" s="159" customFormat="1" x14ac:dyDescent="0.25">
      <c r="A69" s="361"/>
      <c r="B69" s="5"/>
      <c r="C69" s="362"/>
      <c r="D69" s="363" t="s">
        <v>21</v>
      </c>
      <c r="E69" s="247">
        <v>0</v>
      </c>
      <c r="F69" s="364">
        <f t="shared" si="3"/>
        <v>0</v>
      </c>
      <c r="G69" s="509"/>
      <c r="H69" s="366">
        <v>0</v>
      </c>
      <c r="I69" s="364">
        <f t="shared" si="4"/>
        <v>0</v>
      </c>
      <c r="J69" s="367"/>
      <c r="K69" s="510">
        <f t="shared" si="5"/>
        <v>0</v>
      </c>
      <c r="M69" s="266"/>
      <c r="O69" s="372"/>
      <c r="P69" s="373"/>
      <c r="Q69" s="374"/>
    </row>
    <row r="70" spans="1:17" s="159" customFormat="1" x14ac:dyDescent="0.25">
      <c r="A70" s="361"/>
      <c r="B70" s="5"/>
      <c r="C70" s="362"/>
      <c r="D70" s="363" t="s">
        <v>21</v>
      </c>
      <c r="E70" s="247">
        <v>0</v>
      </c>
      <c r="F70" s="364">
        <f t="shared" si="3"/>
        <v>0</v>
      </c>
      <c r="G70" s="509"/>
      <c r="H70" s="366">
        <v>0</v>
      </c>
      <c r="I70" s="364">
        <f t="shared" si="4"/>
        <v>0</v>
      </c>
      <c r="J70" s="367"/>
      <c r="K70" s="510">
        <f t="shared" si="5"/>
        <v>0</v>
      </c>
      <c r="M70" s="268"/>
      <c r="N70" s="157"/>
      <c r="O70" s="372"/>
      <c r="P70" s="373"/>
      <c r="Q70" s="374"/>
    </row>
    <row r="71" spans="1:17" s="159" customFormat="1" x14ac:dyDescent="0.25">
      <c r="A71" s="361"/>
      <c r="B71" s="5"/>
      <c r="C71" s="362"/>
      <c r="D71" s="363" t="s">
        <v>21</v>
      </c>
      <c r="E71" s="247">
        <v>0</v>
      </c>
      <c r="F71" s="364">
        <f t="shared" si="3"/>
        <v>0</v>
      </c>
      <c r="G71" s="509"/>
      <c r="H71" s="366">
        <v>0</v>
      </c>
      <c r="I71" s="364">
        <f t="shared" si="4"/>
        <v>0</v>
      </c>
      <c r="J71" s="367"/>
      <c r="K71" s="510">
        <f t="shared" si="5"/>
        <v>0</v>
      </c>
      <c r="M71" s="268"/>
      <c r="N71" s="157"/>
      <c r="O71" s="372"/>
      <c r="P71" s="373"/>
      <c r="Q71" s="374"/>
    </row>
    <row r="72" spans="1:17" s="159" customFormat="1" ht="13.8" thickBot="1" x14ac:dyDescent="0.3">
      <c r="A72" s="378"/>
      <c r="B72" s="5"/>
      <c r="C72" s="379"/>
      <c r="D72" s="363"/>
      <c r="E72" s="247"/>
      <c r="F72" s="364"/>
      <c r="G72" s="509"/>
      <c r="H72" s="366"/>
      <c r="I72" s="364"/>
      <c r="J72" s="367"/>
      <c r="K72" s="514"/>
      <c r="M72" s="268"/>
      <c r="N72" s="157"/>
      <c r="O72" s="372"/>
      <c r="P72" s="373"/>
      <c r="Q72" s="374"/>
    </row>
    <row r="73" spans="1:17" s="159" customFormat="1" ht="13.8" thickTop="1" x14ac:dyDescent="0.25">
      <c r="A73" s="378"/>
      <c r="B73" s="403"/>
      <c r="C73" s="379"/>
      <c r="D73" s="363"/>
      <c r="E73" s="247"/>
      <c r="F73" s="364"/>
      <c r="G73" s="509"/>
      <c r="H73" s="366"/>
      <c r="I73" s="364"/>
      <c r="J73" s="380" t="s">
        <v>30</v>
      </c>
      <c r="K73" s="511">
        <f>SUM(K61:K72)</f>
        <v>0</v>
      </c>
      <c r="M73" s="266"/>
      <c r="O73" s="372"/>
      <c r="P73" s="373"/>
      <c r="Q73" s="374"/>
    </row>
    <row r="74" spans="1:17" s="159" customFormat="1" ht="13.8" thickBot="1" x14ac:dyDescent="0.3">
      <c r="A74" s="344" t="s">
        <v>0</v>
      </c>
      <c r="B74" s="345" t="s">
        <v>1</v>
      </c>
      <c r="C74" s="1028" t="s">
        <v>646</v>
      </c>
      <c r="D74" s="1028"/>
      <c r="E74" s="1028"/>
      <c r="F74" s="1028"/>
      <c r="G74" s="1028" t="s">
        <v>34</v>
      </c>
      <c r="H74" s="1028"/>
      <c r="I74" s="1028"/>
      <c r="J74" s="346"/>
      <c r="K74" s="503"/>
      <c r="L74" s="382"/>
      <c r="M74" s="346"/>
      <c r="N74" s="419"/>
      <c r="O74" s="372"/>
      <c r="P74" s="373"/>
      <c r="Q74" s="374"/>
    </row>
    <row r="75" spans="1:17" s="159" customFormat="1" ht="16.2" thickBot="1" x14ac:dyDescent="0.35">
      <c r="A75" s="505" t="s">
        <v>453</v>
      </c>
      <c r="B75" s="505" t="s">
        <v>454</v>
      </c>
      <c r="C75" s="387" t="s">
        <v>19</v>
      </c>
      <c r="D75" s="388" t="s">
        <v>33</v>
      </c>
      <c r="E75" s="389" t="s">
        <v>35</v>
      </c>
      <c r="F75" s="390" t="s">
        <v>30</v>
      </c>
      <c r="G75" s="512" t="s">
        <v>14</v>
      </c>
      <c r="H75" s="389" t="s">
        <v>35</v>
      </c>
      <c r="I75" s="390" t="s">
        <v>30</v>
      </c>
      <c r="J75" s="355" t="s">
        <v>649</v>
      </c>
      <c r="K75" s="513" t="s">
        <v>38</v>
      </c>
      <c r="L75" s="393"/>
      <c r="M75" s="399"/>
      <c r="N75" s="400"/>
      <c r="O75" s="372"/>
      <c r="P75" s="373"/>
      <c r="Q75" s="374"/>
    </row>
    <row r="76" spans="1:17" s="159" customFormat="1" ht="15" x14ac:dyDescent="0.25">
      <c r="A76" s="612" t="s">
        <v>455</v>
      </c>
      <c r="B76" s="594" t="s">
        <v>456</v>
      </c>
      <c r="C76" s="362"/>
      <c r="D76" s="363" t="s">
        <v>21</v>
      </c>
      <c r="E76" s="247">
        <v>0</v>
      </c>
      <c r="F76" s="364">
        <f>C76*E76</f>
        <v>0</v>
      </c>
      <c r="G76" s="509"/>
      <c r="H76" s="366">
        <v>0</v>
      </c>
      <c r="I76" s="364">
        <f>G76*H76</f>
        <v>0</v>
      </c>
      <c r="J76" s="367"/>
      <c r="K76" s="510">
        <f>F76+I76+J76</f>
        <v>0</v>
      </c>
      <c r="M76" s="266"/>
      <c r="O76" s="372"/>
      <c r="P76" s="373"/>
      <c r="Q76" s="374"/>
    </row>
    <row r="77" spans="1:17" s="159" customFormat="1" x14ac:dyDescent="0.25">
      <c r="A77" s="361"/>
      <c r="B77" s="5"/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367"/>
      <c r="K77" s="510">
        <f>F77+I77+J77</f>
        <v>0</v>
      </c>
      <c r="L77" s="620"/>
      <c r="M77" s="622"/>
      <c r="N77" s="621"/>
      <c r="O77" s="372"/>
      <c r="P77" s="373"/>
      <c r="Q77" s="374"/>
    </row>
    <row r="78" spans="1:17" s="159" customFormat="1" ht="13.8" thickBot="1" x14ac:dyDescent="0.3">
      <c r="A78" s="378"/>
      <c r="B78" s="403"/>
      <c r="C78" s="362"/>
      <c r="D78" s="363"/>
      <c r="E78" s="247"/>
      <c r="F78" s="364"/>
      <c r="G78" s="509"/>
      <c r="H78" s="366"/>
      <c r="I78" s="364"/>
      <c r="J78" s="367"/>
      <c r="K78" s="510"/>
      <c r="L78" s="369"/>
      <c r="M78" s="370"/>
      <c r="N78" s="371"/>
      <c r="O78" s="372"/>
      <c r="P78" s="373"/>
      <c r="Q78" s="374"/>
    </row>
    <row r="79" spans="1:17" s="159" customFormat="1" ht="14.4" thickTop="1" thickBot="1" x14ac:dyDescent="0.3">
      <c r="A79" s="450"/>
      <c r="B79" s="156"/>
      <c r="C79" s="451"/>
      <c r="D79" s="452"/>
      <c r="E79" s="453"/>
      <c r="F79" s="454"/>
      <c r="G79" s="591"/>
      <c r="H79" s="453"/>
      <c r="I79" s="454"/>
      <c r="J79" s="456" t="s">
        <v>30</v>
      </c>
      <c r="K79" s="592">
        <f>SUM(K76:K78)</f>
        <v>0</v>
      </c>
      <c r="L79" s="369"/>
      <c r="M79" s="370"/>
      <c r="N79" s="371"/>
      <c r="O79" s="372"/>
      <c r="P79" s="373"/>
      <c r="Q79" s="374"/>
    </row>
    <row r="80" spans="1:17" s="159" customFormat="1" ht="13.8" thickBot="1" x14ac:dyDescent="0.3">
      <c r="A80" s="344" t="s">
        <v>0</v>
      </c>
      <c r="B80" s="345" t="s">
        <v>1</v>
      </c>
      <c r="C80" s="1028" t="s">
        <v>646</v>
      </c>
      <c r="D80" s="1028"/>
      <c r="E80" s="1028"/>
      <c r="F80" s="1028"/>
      <c r="G80" s="1028" t="s">
        <v>34</v>
      </c>
      <c r="H80" s="1028"/>
      <c r="I80" s="1028"/>
      <c r="J80" s="346"/>
      <c r="K80" s="503"/>
      <c r="L80" s="382"/>
      <c r="M80" s="383"/>
      <c r="N80" s="384"/>
      <c r="O80" s="372"/>
      <c r="P80" s="373"/>
      <c r="Q80" s="374"/>
    </row>
    <row r="81" spans="1:17" s="159" customFormat="1" ht="16.2" thickBot="1" x14ac:dyDescent="0.35">
      <c r="A81" s="505" t="s">
        <v>457</v>
      </c>
      <c r="B81" s="505" t="s">
        <v>458</v>
      </c>
      <c r="C81" s="387" t="s">
        <v>19</v>
      </c>
      <c r="D81" s="388" t="s">
        <v>33</v>
      </c>
      <c r="E81" s="389" t="s">
        <v>35</v>
      </c>
      <c r="F81" s="390" t="s">
        <v>30</v>
      </c>
      <c r="G81" s="512" t="s">
        <v>14</v>
      </c>
      <c r="H81" s="389" t="s">
        <v>35</v>
      </c>
      <c r="I81" s="390" t="s">
        <v>30</v>
      </c>
      <c r="J81" s="355" t="s">
        <v>649</v>
      </c>
      <c r="K81" s="513" t="s">
        <v>38</v>
      </c>
      <c r="L81" s="393"/>
      <c r="M81" s="394"/>
      <c r="N81" s="395"/>
      <c r="O81" s="372"/>
      <c r="P81" s="373"/>
      <c r="Q81" s="374"/>
    </row>
    <row r="82" spans="1:17" s="159" customFormat="1" x14ac:dyDescent="0.25">
      <c r="A82" s="396"/>
      <c r="B82" s="397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M82" s="268"/>
      <c r="N82" s="157"/>
      <c r="O82" s="372"/>
      <c r="P82" s="373"/>
      <c r="Q82" s="374"/>
    </row>
    <row r="83" spans="1:17" s="159" customFormat="1" x14ac:dyDescent="0.25">
      <c r="A83" s="361"/>
      <c r="B83" s="5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367"/>
      <c r="K83" s="510">
        <f>F83+I83+J83</f>
        <v>0</v>
      </c>
      <c r="M83" s="268"/>
      <c r="N83" s="157"/>
      <c r="O83" s="372"/>
      <c r="P83" s="373"/>
      <c r="Q83" s="374"/>
    </row>
    <row r="84" spans="1:17" s="159" customFormat="1" ht="13.8" thickBot="1" x14ac:dyDescent="0.3">
      <c r="A84" s="378"/>
      <c r="B84" s="403"/>
      <c r="C84" s="362"/>
      <c r="D84" s="363"/>
      <c r="E84" s="247"/>
      <c r="F84" s="364"/>
      <c r="G84" s="509"/>
      <c r="H84" s="366"/>
      <c r="I84" s="364"/>
      <c r="J84" s="367"/>
      <c r="K84" s="510"/>
      <c r="M84" s="266"/>
      <c r="O84" s="372"/>
      <c r="P84" s="373"/>
      <c r="Q84" s="374"/>
    </row>
    <row r="85" spans="1:17" s="159" customFormat="1" ht="14.4" thickTop="1" thickBot="1" x14ac:dyDescent="0.3">
      <c r="A85" s="450"/>
      <c r="B85" s="156"/>
      <c r="C85" s="451"/>
      <c r="D85" s="452"/>
      <c r="E85" s="453"/>
      <c r="F85" s="454"/>
      <c r="G85" s="591"/>
      <c r="H85" s="453"/>
      <c r="I85" s="454"/>
      <c r="J85" s="456" t="s">
        <v>30</v>
      </c>
      <c r="K85" s="592">
        <f>SUM(K82:K84)</f>
        <v>0</v>
      </c>
      <c r="M85" s="266"/>
      <c r="O85" s="372"/>
      <c r="P85" s="373"/>
      <c r="Q85" s="374"/>
    </row>
    <row r="86" spans="1:17" s="159" customFormat="1" ht="13.8" thickBot="1" x14ac:dyDescent="0.3">
      <c r="A86" s="344" t="s">
        <v>0</v>
      </c>
      <c r="B86" s="345" t="s">
        <v>1</v>
      </c>
      <c r="C86" s="1028" t="s">
        <v>646</v>
      </c>
      <c r="D86" s="1028"/>
      <c r="E86" s="1028"/>
      <c r="F86" s="1028"/>
      <c r="G86" s="1028" t="s">
        <v>34</v>
      </c>
      <c r="H86" s="1028"/>
      <c r="I86" s="1028"/>
      <c r="J86" s="346"/>
      <c r="K86" s="503"/>
      <c r="L86" s="382"/>
      <c r="M86" s="383"/>
      <c r="N86" s="384"/>
      <c r="O86" s="372"/>
      <c r="P86" s="373"/>
      <c r="Q86" s="374"/>
    </row>
    <row r="87" spans="1:17" s="159" customFormat="1" ht="16.2" thickBot="1" x14ac:dyDescent="0.35">
      <c r="A87" s="505" t="s">
        <v>459</v>
      </c>
      <c r="B87" s="505" t="s">
        <v>460</v>
      </c>
      <c r="C87" s="387" t="s">
        <v>19</v>
      </c>
      <c r="D87" s="388" t="s">
        <v>33</v>
      </c>
      <c r="E87" s="389" t="s">
        <v>35</v>
      </c>
      <c r="F87" s="390" t="s">
        <v>30</v>
      </c>
      <c r="G87" s="512" t="s">
        <v>14</v>
      </c>
      <c r="H87" s="389" t="s">
        <v>35</v>
      </c>
      <c r="I87" s="390" t="s">
        <v>30</v>
      </c>
      <c r="J87" s="355" t="s">
        <v>649</v>
      </c>
      <c r="K87" s="513" t="s">
        <v>38</v>
      </c>
      <c r="L87" s="393"/>
      <c r="M87" s="394"/>
      <c r="N87" s="395"/>
      <c r="O87" s="372"/>
      <c r="P87" s="373"/>
      <c r="Q87" s="374"/>
    </row>
    <row r="88" spans="1:17" s="159" customFormat="1" x14ac:dyDescent="0.25">
      <c r="A88" s="396"/>
      <c r="B88" s="397"/>
      <c r="C88" s="362"/>
      <c r="D88" s="363" t="s">
        <v>21</v>
      </c>
      <c r="E88" s="247">
        <v>0</v>
      </c>
      <c r="F88" s="364">
        <f>C88*E88</f>
        <v>0</v>
      </c>
      <c r="G88" s="509"/>
      <c r="H88" s="366">
        <v>0</v>
      </c>
      <c r="I88" s="364">
        <f>G88*H88</f>
        <v>0</v>
      </c>
      <c r="J88" s="367"/>
      <c r="K88" s="510">
        <f>F88+I88+J88</f>
        <v>0</v>
      </c>
      <c r="M88" s="268"/>
      <c r="N88" s="157"/>
      <c r="O88" s="372"/>
      <c r="P88" s="373"/>
      <c r="Q88" s="374"/>
    </row>
    <row r="89" spans="1:17" s="159" customFormat="1" x14ac:dyDescent="0.25">
      <c r="A89" s="361"/>
      <c r="B89" s="5"/>
      <c r="C89" s="362"/>
      <c r="D89" s="363" t="s">
        <v>21</v>
      </c>
      <c r="E89" s="247">
        <v>0</v>
      </c>
      <c r="F89" s="364">
        <f>C89*E89</f>
        <v>0</v>
      </c>
      <c r="G89" s="509"/>
      <c r="H89" s="366">
        <v>0</v>
      </c>
      <c r="I89" s="364">
        <f>G89*H89</f>
        <v>0</v>
      </c>
      <c r="J89" s="367"/>
      <c r="K89" s="510">
        <f>F89+I89+J89</f>
        <v>0</v>
      </c>
      <c r="M89" s="268"/>
      <c r="N89" s="157"/>
      <c r="O89" s="372"/>
      <c r="P89" s="373"/>
      <c r="Q89" s="374"/>
    </row>
    <row r="90" spans="1:17" s="159" customFormat="1" ht="13.8" thickBot="1" x14ac:dyDescent="0.3">
      <c r="A90" s="378"/>
      <c r="B90" s="403"/>
      <c r="C90" s="362"/>
      <c r="D90" s="363"/>
      <c r="E90" s="247"/>
      <c r="F90" s="364"/>
      <c r="G90" s="509"/>
      <c r="H90" s="366"/>
      <c r="I90" s="364"/>
      <c r="J90" s="367"/>
      <c r="K90" s="510"/>
      <c r="M90" s="266"/>
      <c r="O90" s="372"/>
      <c r="P90" s="373"/>
      <c r="Q90" s="374"/>
    </row>
    <row r="91" spans="1:17" s="159" customFormat="1" ht="14.4" thickTop="1" thickBot="1" x14ac:dyDescent="0.3">
      <c r="A91" s="450"/>
      <c r="B91" s="156"/>
      <c r="C91" s="451"/>
      <c r="D91" s="452"/>
      <c r="E91" s="453"/>
      <c r="F91" s="454"/>
      <c r="G91" s="591"/>
      <c r="H91" s="453"/>
      <c r="I91" s="454"/>
      <c r="J91" s="456" t="s">
        <v>30</v>
      </c>
      <c r="K91" s="592">
        <f>SUM(K88:K90)</f>
        <v>0</v>
      </c>
      <c r="M91" s="266"/>
      <c r="O91" s="372"/>
      <c r="P91" s="373"/>
      <c r="Q91" s="374"/>
    </row>
    <row r="92" spans="1:17" s="159" customFormat="1" ht="13.8" thickBot="1" x14ac:dyDescent="0.3">
      <c r="A92" s="344" t="s">
        <v>0</v>
      </c>
      <c r="B92" s="345" t="s">
        <v>1</v>
      </c>
      <c r="C92" s="1028" t="s">
        <v>646</v>
      </c>
      <c r="D92" s="1028"/>
      <c r="E92" s="1028"/>
      <c r="F92" s="1028"/>
      <c r="G92" s="1028" t="s">
        <v>34</v>
      </c>
      <c r="H92" s="1028"/>
      <c r="I92" s="1028"/>
      <c r="J92" s="346"/>
      <c r="K92" s="503"/>
      <c r="L92" s="382"/>
      <c r="M92" s="383"/>
      <c r="N92" s="384"/>
      <c r="O92" s="372"/>
      <c r="P92" s="373"/>
      <c r="Q92" s="374"/>
    </row>
    <row r="93" spans="1:17" s="159" customFormat="1" ht="16.2" thickBot="1" x14ac:dyDescent="0.35">
      <c r="A93" s="385"/>
      <c r="B93" s="386"/>
      <c r="C93" s="387" t="s">
        <v>19</v>
      </c>
      <c r="D93" s="388" t="s">
        <v>33</v>
      </c>
      <c r="E93" s="389" t="s">
        <v>35</v>
      </c>
      <c r="F93" s="390" t="s">
        <v>30</v>
      </c>
      <c r="G93" s="512" t="s">
        <v>14</v>
      </c>
      <c r="H93" s="389" t="s">
        <v>35</v>
      </c>
      <c r="I93" s="390" t="s">
        <v>30</v>
      </c>
      <c r="J93" s="355" t="s">
        <v>649</v>
      </c>
      <c r="K93" s="513" t="s">
        <v>38</v>
      </c>
      <c r="L93" s="393"/>
      <c r="M93" s="394"/>
      <c r="N93" s="395"/>
      <c r="O93" s="372"/>
      <c r="P93" s="373"/>
      <c r="Q93" s="374"/>
    </row>
    <row r="94" spans="1:17" s="159" customFormat="1" x14ac:dyDescent="0.25">
      <c r="A94" s="396"/>
      <c r="B94" s="397"/>
      <c r="C94" s="362"/>
      <c r="D94" s="363" t="s">
        <v>21</v>
      </c>
      <c r="E94" s="247">
        <v>0</v>
      </c>
      <c r="F94" s="364">
        <f>C94*E94</f>
        <v>0</v>
      </c>
      <c r="G94" s="509"/>
      <c r="H94" s="366">
        <v>0</v>
      </c>
      <c r="I94" s="364">
        <f>G94*H94</f>
        <v>0</v>
      </c>
      <c r="J94" s="367"/>
      <c r="K94" s="510">
        <f>F94+I94+J94</f>
        <v>0</v>
      </c>
      <c r="L94" s="623"/>
      <c r="M94" s="624"/>
      <c r="N94" s="626"/>
      <c r="O94" s="372"/>
      <c r="P94" s="373"/>
      <c r="Q94" s="374"/>
    </row>
    <row r="95" spans="1:17" s="159" customFormat="1" x14ac:dyDescent="0.25">
      <c r="A95" s="361"/>
      <c r="B95" s="5"/>
      <c r="C95" s="362"/>
      <c r="D95" s="363" t="s">
        <v>21</v>
      </c>
      <c r="E95" s="247">
        <v>0</v>
      </c>
      <c r="F95" s="364">
        <f>C95*E95</f>
        <v>0</v>
      </c>
      <c r="G95" s="509"/>
      <c r="H95" s="366">
        <v>0</v>
      </c>
      <c r="I95" s="364">
        <f>G95*H95</f>
        <v>0</v>
      </c>
      <c r="J95" s="367"/>
      <c r="K95" s="510">
        <f>F95+I95+J95</f>
        <v>0</v>
      </c>
      <c r="L95" s="623"/>
      <c r="M95" s="624"/>
      <c r="N95" s="626"/>
      <c r="O95" s="372"/>
      <c r="P95" s="373"/>
      <c r="Q95" s="374"/>
    </row>
    <row r="96" spans="1:17" s="159" customFormat="1" x14ac:dyDescent="0.25">
      <c r="A96" s="361"/>
      <c r="B96" s="5"/>
      <c r="C96" s="362"/>
      <c r="D96" s="363" t="s">
        <v>21</v>
      </c>
      <c r="E96" s="247">
        <v>0</v>
      </c>
      <c r="F96" s="364">
        <f>C96*E96</f>
        <v>0</v>
      </c>
      <c r="G96" s="509"/>
      <c r="H96" s="366">
        <v>0</v>
      </c>
      <c r="I96" s="364">
        <f>G96*H96</f>
        <v>0</v>
      </c>
      <c r="J96" s="367"/>
      <c r="K96" s="510">
        <f>F96+I96+J96</f>
        <v>0</v>
      </c>
      <c r="L96" s="623"/>
      <c r="M96" s="624"/>
      <c r="N96" s="626"/>
      <c r="O96" s="372"/>
      <c r="P96" s="373"/>
      <c r="Q96" s="374"/>
    </row>
    <row r="97" spans="1:17" s="159" customFormat="1" x14ac:dyDescent="0.25">
      <c r="A97" s="361"/>
      <c r="B97" s="5"/>
      <c r="C97" s="362"/>
      <c r="D97" s="363" t="s">
        <v>21</v>
      </c>
      <c r="E97" s="247">
        <v>0</v>
      </c>
      <c r="F97" s="364">
        <f>C97*E97</f>
        <v>0</v>
      </c>
      <c r="G97" s="509"/>
      <c r="H97" s="366">
        <v>0</v>
      </c>
      <c r="I97" s="364">
        <f>G97*H97</f>
        <v>0</v>
      </c>
      <c r="J97" s="367"/>
      <c r="K97" s="510">
        <f>F97+I97+J97</f>
        <v>0</v>
      </c>
      <c r="L97" s="623"/>
      <c r="M97" s="624"/>
      <c r="N97" s="626"/>
      <c r="O97" s="372"/>
      <c r="P97" s="373"/>
      <c r="Q97" s="374"/>
    </row>
    <row r="98" spans="1:17" s="159" customFormat="1" ht="13.8" thickBot="1" x14ac:dyDescent="0.3">
      <c r="A98" s="378"/>
      <c r="B98" s="403"/>
      <c r="C98" s="362"/>
      <c r="D98" s="363"/>
      <c r="E98" s="247"/>
      <c r="F98" s="364"/>
      <c r="G98" s="509"/>
      <c r="H98" s="366"/>
      <c r="I98" s="364"/>
      <c r="J98" s="367"/>
      <c r="K98" s="510"/>
      <c r="L98" s="623"/>
      <c r="M98" s="624"/>
      <c r="N98" s="626"/>
      <c r="O98" s="372"/>
      <c r="P98" s="373"/>
      <c r="Q98" s="374"/>
    </row>
    <row r="99" spans="1:17" s="159" customFormat="1" ht="14.4" thickTop="1" thickBot="1" x14ac:dyDescent="0.3">
      <c r="A99" s="450"/>
      <c r="B99" s="156"/>
      <c r="C99" s="451"/>
      <c r="D99" s="452"/>
      <c r="E99" s="453"/>
      <c r="F99" s="454"/>
      <c r="G99" s="591"/>
      <c r="H99" s="453"/>
      <c r="I99" s="454"/>
      <c r="J99" s="456" t="s">
        <v>30</v>
      </c>
      <c r="K99" s="592">
        <f>SUM(K94:K98)</f>
        <v>0</v>
      </c>
      <c r="L99" s="627"/>
      <c r="M99" s="628"/>
      <c r="N99" s="629"/>
      <c r="O99" s="441"/>
      <c r="P99" s="442"/>
      <c r="Q99" s="443"/>
    </row>
    <row r="100" spans="1:17" s="159" customFormat="1" ht="14.1" customHeight="1" x14ac:dyDescent="0.25">
      <c r="A100" s="458"/>
      <c r="B100" s="459"/>
      <c r="C100" s="460"/>
      <c r="D100" s="460"/>
      <c r="E100" s="461"/>
      <c r="F100" s="1038" t="s">
        <v>648</v>
      </c>
      <c r="G100" s="1040" t="s">
        <v>673</v>
      </c>
      <c r="H100" s="461"/>
      <c r="I100" s="1042" t="s">
        <v>647</v>
      </c>
      <c r="J100" s="1044" t="s">
        <v>674</v>
      </c>
      <c r="K100" s="1121" t="s">
        <v>31</v>
      </c>
      <c r="M100" s="268"/>
      <c r="N100" s="157"/>
      <c r="O100" s="294"/>
      <c r="P100" s="294"/>
    </row>
    <row r="101" spans="1:17" s="159" customFormat="1" ht="13.8" x14ac:dyDescent="0.25">
      <c r="A101" s="462" t="s">
        <v>32</v>
      </c>
      <c r="B101" s="1031" t="s">
        <v>666</v>
      </c>
      <c r="C101" s="463"/>
      <c r="D101" s="464"/>
      <c r="E101" s="464"/>
      <c r="F101" s="1039"/>
      <c r="G101" s="1041"/>
      <c r="H101" s="465"/>
      <c r="I101" s="1043"/>
      <c r="J101" s="1045"/>
      <c r="K101" s="1122"/>
      <c r="M101" s="268"/>
      <c r="N101" s="157"/>
      <c r="O101" s="294"/>
      <c r="P101" s="294"/>
    </row>
    <row r="102" spans="1:17" s="159" customFormat="1" ht="13.8" x14ac:dyDescent="0.25">
      <c r="A102" s="780">
        <f>K102/E6</f>
        <v>14</v>
      </c>
      <c r="B102" s="1031"/>
      <c r="C102" s="464"/>
      <c r="D102" s="464"/>
      <c r="E102" s="464"/>
      <c r="F102" s="1032">
        <f>SUM(F94:F98,F88:F90,F82:F84,F76:F78,F61:F72,F56:F57,F49:F52,F41:F45,F34:F37,F28:F30,F21:F24,F11:F17)</f>
        <v>0</v>
      </c>
      <c r="G102" s="1034">
        <f>SUM(G94:G98,G88:G90,G82:G84,G76:G78,G61:G72,G56:G57,G49:G52,G41:G45,G34:G37,G28:G30,G21:G24,G11:G17)</f>
        <v>0</v>
      </c>
      <c r="H102" s="465"/>
      <c r="I102" s="1032">
        <f>SUM(I94:I98,I88:I90,I82:I84,I76:I78,I61:I72,I56:I57,I49:I52,I41:I45,I34:I37,I28:I30,I21:I24,I11:I17)</f>
        <v>0</v>
      </c>
      <c r="J102" s="1032">
        <f>SUM(J94:J98,J88:J90,J82:J84,J76:J78,J61:J72,J56:J57,J49:J52,J41:J45,J34:J37,J28:J30,J21:J24,J11:J17)</f>
        <v>8400</v>
      </c>
      <c r="K102" s="1119">
        <f>K99+K91+K85+K79+K73+K58+K53+K46+K38+K31+K25+K18</f>
        <v>8400</v>
      </c>
      <c r="M102" s="268"/>
      <c r="N102" s="157"/>
      <c r="O102" s="294"/>
      <c r="P102" s="294"/>
    </row>
    <row r="103" spans="1:17" s="159" customFormat="1" ht="14.4" thickBot="1" x14ac:dyDescent="0.3">
      <c r="A103" s="462"/>
      <c r="B103" s="529"/>
      <c r="C103" s="468"/>
      <c r="D103" s="468"/>
      <c r="E103" s="468"/>
      <c r="F103" s="1033"/>
      <c r="G103" s="1035"/>
      <c r="H103" s="468"/>
      <c r="I103" s="1033"/>
      <c r="J103" s="1033"/>
      <c r="K103" s="1120"/>
      <c r="M103" s="268"/>
      <c r="N103" s="157"/>
      <c r="O103" s="294"/>
      <c r="P103" s="294"/>
    </row>
    <row r="104" spans="1:17" s="159" customFormat="1" ht="13.8" thickBot="1" x14ac:dyDescent="0.3">
      <c r="A104" s="469"/>
      <c r="B104" s="470"/>
      <c r="C104" s="470"/>
      <c r="D104" s="470"/>
      <c r="E104" s="470"/>
      <c r="F104" s="470"/>
      <c r="G104" s="470"/>
      <c r="H104" s="470"/>
      <c r="I104" s="470"/>
      <c r="J104" s="470"/>
      <c r="K104" s="471"/>
      <c r="M104" s="268"/>
      <c r="N104" s="157"/>
      <c r="O104" s="294"/>
      <c r="P104" s="294"/>
    </row>
    <row r="105" spans="1:17" s="159" customFormat="1" x14ac:dyDescent="0.25">
      <c r="C105" s="611"/>
      <c r="D105" s="611"/>
      <c r="J105" s="266"/>
      <c r="M105" s="268"/>
      <c r="N105" s="157"/>
      <c r="O105" s="294"/>
      <c r="P105" s="294"/>
    </row>
    <row r="106" spans="1:17" s="159" customFormat="1" x14ac:dyDescent="0.25">
      <c r="C106" s="611"/>
      <c r="D106" s="611"/>
      <c r="J106" s="266"/>
      <c r="M106" s="268"/>
      <c r="N106" s="157"/>
      <c r="O106" s="294"/>
      <c r="P106" s="294"/>
    </row>
    <row r="107" spans="1:17" s="159" customFormat="1" x14ac:dyDescent="0.25">
      <c r="C107" s="611"/>
      <c r="D107" s="611"/>
      <c r="J107" s="266"/>
      <c r="M107" s="268"/>
      <c r="N107" s="157"/>
      <c r="O107" s="294"/>
      <c r="P107" s="294"/>
    </row>
    <row r="108" spans="1:17" s="159" customFormat="1" x14ac:dyDescent="0.25">
      <c r="C108" s="611"/>
      <c r="D108" s="611"/>
      <c r="J108" s="266"/>
      <c r="M108" s="268"/>
      <c r="N108" s="157"/>
      <c r="O108" s="294"/>
      <c r="P108" s="294"/>
    </row>
    <row r="109" spans="1:17" s="159" customFormat="1" x14ac:dyDescent="0.25">
      <c r="C109" s="611"/>
      <c r="D109" s="611"/>
      <c r="J109" s="266"/>
      <c r="M109" s="268"/>
      <c r="N109" s="157"/>
      <c r="O109" s="294"/>
      <c r="P109" s="294"/>
    </row>
    <row r="110" spans="1:17" s="159" customFormat="1" x14ac:dyDescent="0.25">
      <c r="C110" s="611"/>
      <c r="D110" s="611"/>
      <c r="J110" s="266"/>
      <c r="M110" s="268"/>
      <c r="N110" s="157"/>
      <c r="O110" s="294"/>
      <c r="P110" s="294"/>
    </row>
    <row r="111" spans="1:17" s="159" customFormat="1" x14ac:dyDescent="0.25">
      <c r="C111" s="611"/>
      <c r="D111" s="611"/>
      <c r="J111" s="266"/>
      <c r="M111" s="268"/>
      <c r="N111" s="157"/>
      <c r="O111" s="294"/>
      <c r="P111" s="294"/>
    </row>
    <row r="112" spans="1:17" s="159" customFormat="1" x14ac:dyDescent="0.25">
      <c r="C112" s="611"/>
      <c r="D112" s="611"/>
      <c r="J112" s="266"/>
      <c r="M112" s="268"/>
      <c r="N112" s="157"/>
      <c r="O112" s="294"/>
      <c r="P112" s="294"/>
    </row>
    <row r="113" spans="3:16" s="159" customFormat="1" x14ac:dyDescent="0.25">
      <c r="C113" s="611"/>
      <c r="D113" s="611"/>
      <c r="J113" s="266"/>
      <c r="M113" s="268"/>
      <c r="N113" s="157"/>
      <c r="O113" s="294"/>
      <c r="P113" s="294"/>
    </row>
    <row r="114" spans="3:16" s="159" customFormat="1" x14ac:dyDescent="0.25">
      <c r="C114" s="611"/>
      <c r="D114" s="611"/>
      <c r="J114" s="266"/>
      <c r="M114" s="268"/>
      <c r="N114" s="157"/>
      <c r="O114" s="294"/>
      <c r="P114" s="294"/>
    </row>
    <row r="115" spans="3:16" s="159" customFormat="1" x14ac:dyDescent="0.25">
      <c r="C115" s="611"/>
      <c r="D115" s="611"/>
      <c r="J115" s="266"/>
      <c r="M115" s="268"/>
      <c r="N115" s="157"/>
      <c r="O115" s="294"/>
      <c r="P115" s="294"/>
    </row>
    <row r="116" spans="3:16" s="159" customFormat="1" x14ac:dyDescent="0.25">
      <c r="C116" s="611"/>
      <c r="D116" s="611"/>
      <c r="J116" s="266"/>
      <c r="M116" s="268"/>
      <c r="N116" s="157"/>
      <c r="O116" s="294"/>
      <c r="P116" s="294"/>
    </row>
    <row r="117" spans="3:16" s="159" customFormat="1" x14ac:dyDescent="0.25">
      <c r="C117" s="611"/>
      <c r="D117" s="611"/>
      <c r="J117" s="266"/>
      <c r="M117" s="268"/>
      <c r="N117" s="157"/>
      <c r="O117" s="294"/>
      <c r="P117" s="294"/>
    </row>
    <row r="118" spans="3:16" s="159" customFormat="1" x14ac:dyDescent="0.25">
      <c r="C118" s="611"/>
      <c r="D118" s="611"/>
      <c r="J118" s="266"/>
      <c r="M118" s="268"/>
      <c r="N118" s="157"/>
      <c r="O118" s="294"/>
      <c r="P118" s="294"/>
    </row>
    <row r="119" spans="3:16" s="159" customFormat="1" x14ac:dyDescent="0.25">
      <c r="C119" s="611"/>
      <c r="D119" s="611"/>
      <c r="J119" s="266"/>
      <c r="M119" s="268"/>
      <c r="N119" s="157"/>
      <c r="O119" s="294"/>
      <c r="P119" s="294"/>
    </row>
    <row r="120" spans="3:16" s="159" customFormat="1" x14ac:dyDescent="0.25">
      <c r="C120" s="611"/>
      <c r="D120" s="611"/>
      <c r="J120" s="266"/>
      <c r="M120" s="268"/>
      <c r="N120" s="157"/>
      <c r="O120" s="294"/>
      <c r="P120" s="294"/>
    </row>
    <row r="121" spans="3:16" s="159" customFormat="1" x14ac:dyDescent="0.25">
      <c r="C121" s="611"/>
      <c r="D121" s="611"/>
      <c r="J121" s="266"/>
      <c r="M121" s="268"/>
      <c r="N121" s="157"/>
      <c r="O121" s="294"/>
      <c r="P121" s="294"/>
    </row>
    <row r="122" spans="3:16" s="159" customFormat="1" x14ac:dyDescent="0.25">
      <c r="C122" s="611"/>
      <c r="D122" s="611"/>
      <c r="J122" s="266"/>
      <c r="M122" s="268"/>
      <c r="N122" s="157"/>
      <c r="O122" s="294"/>
      <c r="P122" s="294"/>
    </row>
    <row r="123" spans="3:16" s="159" customFormat="1" x14ac:dyDescent="0.25">
      <c r="C123" s="611"/>
      <c r="D123" s="611"/>
      <c r="J123" s="266"/>
      <c r="M123" s="268"/>
      <c r="N123" s="157"/>
      <c r="O123" s="294"/>
      <c r="P123" s="294"/>
    </row>
    <row r="124" spans="3:16" s="159" customFormat="1" x14ac:dyDescent="0.25">
      <c r="C124" s="611"/>
      <c r="D124" s="611"/>
      <c r="J124" s="266"/>
      <c r="M124" s="268"/>
      <c r="N124" s="157"/>
      <c r="O124" s="294"/>
      <c r="P124" s="294"/>
    </row>
    <row r="125" spans="3:16" s="159" customFormat="1" x14ac:dyDescent="0.25">
      <c r="C125" s="611"/>
      <c r="D125" s="611"/>
      <c r="J125" s="266"/>
      <c r="M125" s="268"/>
      <c r="N125" s="157"/>
      <c r="O125" s="294"/>
      <c r="P125" s="294"/>
    </row>
    <row r="126" spans="3:16" s="159" customFormat="1" x14ac:dyDescent="0.25">
      <c r="C126" s="611"/>
      <c r="D126" s="611"/>
      <c r="J126" s="266"/>
      <c r="M126" s="268"/>
      <c r="N126" s="157"/>
      <c r="O126" s="294"/>
      <c r="P126" s="294"/>
    </row>
    <row r="127" spans="3:16" s="159" customFormat="1" x14ac:dyDescent="0.25">
      <c r="C127" s="611"/>
      <c r="D127" s="611"/>
      <c r="J127" s="266"/>
      <c r="M127" s="268"/>
      <c r="N127" s="157"/>
      <c r="O127" s="294"/>
      <c r="P127" s="294"/>
    </row>
    <row r="128" spans="3:16" s="159" customFormat="1" x14ac:dyDescent="0.25">
      <c r="C128" s="611"/>
      <c r="D128" s="611"/>
      <c r="J128" s="266"/>
      <c r="M128" s="268"/>
      <c r="N128" s="157"/>
      <c r="O128" s="294"/>
      <c r="P128" s="294"/>
    </row>
    <row r="129" spans="3:16" s="159" customFormat="1" x14ac:dyDescent="0.25">
      <c r="C129" s="611"/>
      <c r="D129" s="611"/>
      <c r="J129" s="266"/>
      <c r="M129" s="268"/>
      <c r="N129" s="157"/>
      <c r="O129" s="294"/>
      <c r="P129" s="294"/>
    </row>
    <row r="130" spans="3:16" s="159" customFormat="1" x14ac:dyDescent="0.25">
      <c r="C130" s="611"/>
      <c r="D130" s="611"/>
      <c r="J130" s="266"/>
      <c r="M130" s="268"/>
      <c r="N130" s="157"/>
      <c r="O130" s="294"/>
      <c r="P130" s="294"/>
    </row>
    <row r="131" spans="3:16" s="159" customFormat="1" x14ac:dyDescent="0.25">
      <c r="C131" s="611"/>
      <c r="D131" s="611"/>
      <c r="J131" s="266"/>
      <c r="M131" s="268"/>
      <c r="N131" s="157"/>
      <c r="O131" s="294"/>
      <c r="P131" s="294"/>
    </row>
    <row r="132" spans="3:16" s="159" customFormat="1" x14ac:dyDescent="0.25">
      <c r="C132" s="611"/>
      <c r="D132" s="611"/>
      <c r="J132" s="266"/>
      <c r="M132" s="268"/>
      <c r="N132" s="157"/>
      <c r="O132" s="294"/>
      <c r="P132" s="294"/>
    </row>
    <row r="133" spans="3:16" s="159" customFormat="1" x14ac:dyDescent="0.25">
      <c r="C133" s="611"/>
      <c r="D133" s="611"/>
      <c r="J133" s="266"/>
      <c r="M133" s="268"/>
      <c r="N133" s="157"/>
      <c r="O133" s="294"/>
      <c r="P133" s="294"/>
    </row>
    <row r="134" spans="3:16" s="159" customFormat="1" x14ac:dyDescent="0.25">
      <c r="C134" s="611"/>
      <c r="D134" s="611"/>
      <c r="J134" s="266"/>
      <c r="M134" s="268"/>
      <c r="N134" s="157"/>
      <c r="O134" s="294"/>
      <c r="P134" s="294"/>
    </row>
    <row r="135" spans="3:16" s="159" customFormat="1" x14ac:dyDescent="0.25">
      <c r="C135" s="611"/>
      <c r="D135" s="611"/>
      <c r="J135" s="266"/>
      <c r="M135" s="268"/>
      <c r="N135" s="157"/>
      <c r="O135" s="294"/>
      <c r="P135" s="294"/>
    </row>
    <row r="136" spans="3:16" s="159" customFormat="1" x14ac:dyDescent="0.25">
      <c r="C136" s="611"/>
      <c r="D136" s="611"/>
      <c r="J136" s="266"/>
      <c r="M136" s="268"/>
      <c r="N136" s="157"/>
      <c r="O136" s="294"/>
      <c r="P136" s="294"/>
    </row>
    <row r="137" spans="3:16" s="159" customFormat="1" x14ac:dyDescent="0.25">
      <c r="C137" s="611"/>
      <c r="D137" s="611"/>
      <c r="J137" s="266"/>
      <c r="M137" s="268"/>
      <c r="N137" s="157"/>
      <c r="O137" s="294"/>
      <c r="P137" s="294"/>
    </row>
    <row r="138" spans="3:16" s="159" customFormat="1" x14ac:dyDescent="0.25">
      <c r="C138" s="611"/>
      <c r="D138" s="611"/>
      <c r="J138" s="266"/>
      <c r="M138" s="268"/>
      <c r="N138" s="157"/>
      <c r="O138" s="294"/>
      <c r="P138" s="294"/>
    </row>
    <row r="139" spans="3:16" s="159" customFormat="1" x14ac:dyDescent="0.25">
      <c r="C139" s="611"/>
      <c r="D139" s="611"/>
      <c r="J139" s="266"/>
      <c r="M139" s="268"/>
      <c r="N139" s="157"/>
      <c r="O139" s="294"/>
      <c r="P139" s="294"/>
    </row>
    <row r="140" spans="3:16" s="159" customFormat="1" x14ac:dyDescent="0.25">
      <c r="C140" s="611"/>
      <c r="D140" s="611"/>
      <c r="J140" s="266"/>
      <c r="M140" s="268"/>
      <c r="N140" s="157"/>
      <c r="O140" s="294"/>
      <c r="P140" s="294"/>
    </row>
    <row r="141" spans="3:16" s="159" customFormat="1" x14ac:dyDescent="0.25">
      <c r="C141" s="611"/>
      <c r="D141" s="611"/>
      <c r="J141" s="266"/>
      <c r="M141" s="268"/>
      <c r="N141" s="157"/>
      <c r="O141" s="294"/>
      <c r="P141" s="294"/>
    </row>
    <row r="142" spans="3:16" s="159" customFormat="1" x14ac:dyDescent="0.25">
      <c r="C142" s="611"/>
      <c r="D142" s="611"/>
      <c r="J142" s="266"/>
      <c r="M142" s="268"/>
      <c r="N142" s="157"/>
      <c r="O142" s="294"/>
      <c r="P142" s="294"/>
    </row>
    <row r="143" spans="3:16" s="159" customFormat="1" x14ac:dyDescent="0.25">
      <c r="C143" s="611"/>
      <c r="D143" s="611"/>
      <c r="J143" s="266"/>
      <c r="M143" s="268"/>
      <c r="N143" s="157"/>
      <c r="O143" s="294"/>
      <c r="P143" s="294"/>
    </row>
    <row r="144" spans="3:16" s="159" customFormat="1" x14ac:dyDescent="0.25">
      <c r="C144" s="611"/>
      <c r="D144" s="611"/>
      <c r="J144" s="266"/>
      <c r="M144" s="268"/>
      <c r="N144" s="157"/>
      <c r="O144" s="294"/>
      <c r="P144" s="294"/>
    </row>
    <row r="145" spans="3:16" s="159" customFormat="1" x14ac:dyDescent="0.25">
      <c r="C145" s="611"/>
      <c r="D145" s="611"/>
      <c r="J145" s="266"/>
      <c r="M145" s="268"/>
      <c r="N145" s="157"/>
      <c r="O145" s="294"/>
      <c r="P145" s="294"/>
    </row>
    <row r="146" spans="3:16" s="159" customFormat="1" x14ac:dyDescent="0.25">
      <c r="C146" s="611"/>
      <c r="D146" s="611"/>
      <c r="J146" s="266"/>
      <c r="M146" s="268"/>
      <c r="N146" s="157"/>
      <c r="O146" s="294"/>
      <c r="P146" s="294"/>
    </row>
    <row r="147" spans="3:16" s="159" customFormat="1" x14ac:dyDescent="0.25">
      <c r="C147" s="611"/>
      <c r="D147" s="611"/>
      <c r="J147" s="266"/>
      <c r="M147" s="268"/>
      <c r="N147" s="157"/>
      <c r="O147" s="294"/>
      <c r="P147" s="294"/>
    </row>
    <row r="148" spans="3:16" s="159" customFormat="1" x14ac:dyDescent="0.25">
      <c r="C148" s="611"/>
      <c r="D148" s="611"/>
      <c r="J148" s="266"/>
      <c r="M148" s="268"/>
      <c r="N148" s="157"/>
      <c r="O148" s="294"/>
      <c r="P148" s="294"/>
    </row>
    <row r="149" spans="3:16" s="159" customFormat="1" x14ac:dyDescent="0.25">
      <c r="C149" s="611"/>
      <c r="D149" s="611"/>
      <c r="J149" s="266"/>
      <c r="M149" s="268"/>
      <c r="N149" s="157"/>
      <c r="O149" s="294"/>
      <c r="P149" s="294"/>
    </row>
    <row r="150" spans="3:16" s="159" customFormat="1" x14ac:dyDescent="0.25">
      <c r="C150" s="611"/>
      <c r="D150" s="611"/>
      <c r="J150" s="266"/>
      <c r="M150" s="268"/>
      <c r="N150" s="157"/>
      <c r="O150" s="294"/>
      <c r="P150" s="294"/>
    </row>
    <row r="151" spans="3:16" s="159" customFormat="1" x14ac:dyDescent="0.25">
      <c r="C151" s="611"/>
      <c r="D151" s="611"/>
      <c r="J151" s="266"/>
      <c r="M151" s="268"/>
      <c r="N151" s="157"/>
      <c r="O151" s="294"/>
      <c r="P151" s="294"/>
    </row>
    <row r="152" spans="3:16" s="159" customFormat="1" x14ac:dyDescent="0.25">
      <c r="C152" s="611"/>
      <c r="D152" s="611"/>
      <c r="J152" s="266"/>
      <c r="M152" s="268"/>
      <c r="N152" s="157"/>
      <c r="O152" s="294"/>
      <c r="P152" s="294"/>
    </row>
    <row r="153" spans="3:16" s="159" customFormat="1" x14ac:dyDescent="0.25">
      <c r="C153" s="611"/>
      <c r="D153" s="611"/>
      <c r="J153" s="266"/>
      <c r="M153" s="268"/>
      <c r="N153" s="157"/>
      <c r="O153" s="294"/>
      <c r="P153" s="294"/>
    </row>
    <row r="154" spans="3:16" s="159" customFormat="1" x14ac:dyDescent="0.25">
      <c r="C154" s="611"/>
      <c r="D154" s="611"/>
      <c r="J154" s="266"/>
      <c r="M154" s="268"/>
      <c r="N154" s="157"/>
      <c r="O154" s="294"/>
      <c r="P154" s="294"/>
    </row>
    <row r="155" spans="3:16" s="159" customFormat="1" x14ac:dyDescent="0.25">
      <c r="C155" s="611"/>
      <c r="D155" s="611"/>
      <c r="J155" s="266"/>
      <c r="M155" s="268"/>
      <c r="N155" s="157"/>
      <c r="O155" s="294"/>
      <c r="P155" s="294"/>
    </row>
    <row r="156" spans="3:16" s="159" customFormat="1" x14ac:dyDescent="0.25">
      <c r="C156" s="611"/>
      <c r="D156" s="611"/>
      <c r="J156" s="266"/>
      <c r="M156" s="268"/>
      <c r="N156" s="157"/>
      <c r="O156" s="294"/>
      <c r="P156" s="294"/>
    </row>
    <row r="157" spans="3:16" s="159" customFormat="1" x14ac:dyDescent="0.25">
      <c r="C157" s="611"/>
      <c r="D157" s="611"/>
      <c r="J157" s="266"/>
      <c r="M157" s="268"/>
      <c r="N157" s="157"/>
      <c r="O157" s="294"/>
      <c r="P157" s="294"/>
    </row>
    <row r="158" spans="3:16" s="159" customFormat="1" x14ac:dyDescent="0.25">
      <c r="C158" s="611"/>
      <c r="D158" s="611"/>
      <c r="J158" s="266"/>
      <c r="M158" s="268"/>
      <c r="N158" s="157"/>
      <c r="O158" s="294"/>
      <c r="P158" s="294"/>
    </row>
    <row r="159" spans="3:16" s="159" customFormat="1" x14ac:dyDescent="0.25">
      <c r="C159" s="611"/>
      <c r="D159" s="611"/>
      <c r="J159" s="266"/>
      <c r="M159" s="268"/>
      <c r="N159" s="157"/>
      <c r="O159" s="294"/>
      <c r="P159" s="294"/>
    </row>
    <row r="160" spans="3:16" s="159" customFormat="1" x14ac:dyDescent="0.25">
      <c r="C160" s="611"/>
      <c r="D160" s="611"/>
      <c r="J160" s="266"/>
      <c r="M160" s="268"/>
      <c r="N160" s="157"/>
      <c r="O160" s="294"/>
      <c r="P160" s="294"/>
    </row>
    <row r="161" spans="3:16" s="159" customFormat="1" x14ac:dyDescent="0.25">
      <c r="C161" s="611"/>
      <c r="D161" s="611"/>
      <c r="J161" s="266"/>
      <c r="M161" s="268"/>
      <c r="N161" s="157"/>
      <c r="O161" s="294"/>
      <c r="P161" s="294"/>
    </row>
    <row r="162" spans="3:16" s="159" customFormat="1" x14ac:dyDescent="0.25">
      <c r="C162" s="611"/>
      <c r="D162" s="611"/>
      <c r="J162" s="266"/>
      <c r="M162" s="268"/>
      <c r="N162" s="157"/>
      <c r="O162" s="294"/>
      <c r="P162" s="294"/>
    </row>
    <row r="163" spans="3:16" s="159" customFormat="1" x14ac:dyDescent="0.25">
      <c r="C163" s="611"/>
      <c r="D163" s="611"/>
      <c r="J163" s="266"/>
      <c r="M163" s="268"/>
      <c r="N163" s="157"/>
      <c r="O163" s="294"/>
      <c r="P163" s="294"/>
    </row>
    <row r="164" spans="3:16" s="159" customFormat="1" x14ac:dyDescent="0.25">
      <c r="C164" s="611"/>
      <c r="D164" s="611"/>
      <c r="J164" s="266"/>
      <c r="M164" s="268"/>
      <c r="N164" s="157"/>
      <c r="O164" s="294"/>
      <c r="P164" s="294"/>
    </row>
    <row r="165" spans="3:16" s="159" customFormat="1" x14ac:dyDescent="0.25">
      <c r="C165" s="611"/>
      <c r="D165" s="611"/>
      <c r="J165" s="266"/>
      <c r="M165" s="268"/>
      <c r="N165" s="157"/>
      <c r="O165" s="294"/>
      <c r="P165" s="294"/>
    </row>
    <row r="166" spans="3:16" s="159" customFormat="1" x14ac:dyDescent="0.25">
      <c r="C166" s="611"/>
      <c r="D166" s="611"/>
      <c r="J166" s="266"/>
      <c r="M166" s="268"/>
      <c r="N166" s="157"/>
      <c r="O166" s="294"/>
      <c r="P166" s="294"/>
    </row>
    <row r="167" spans="3:16" s="159" customFormat="1" x14ac:dyDescent="0.25">
      <c r="C167" s="611"/>
      <c r="D167" s="611"/>
      <c r="J167" s="266"/>
      <c r="M167" s="268"/>
      <c r="N167" s="157"/>
      <c r="O167" s="294"/>
      <c r="P167" s="294"/>
    </row>
    <row r="168" spans="3:16" s="159" customFormat="1" x14ac:dyDescent="0.25">
      <c r="C168" s="611"/>
      <c r="D168" s="611"/>
      <c r="J168" s="266"/>
      <c r="M168" s="268"/>
      <c r="N168" s="157"/>
      <c r="O168" s="294"/>
      <c r="P168" s="294"/>
    </row>
    <row r="169" spans="3:16" s="159" customFormat="1" x14ac:dyDescent="0.25">
      <c r="C169" s="611"/>
      <c r="D169" s="611"/>
      <c r="J169" s="266"/>
      <c r="M169" s="268"/>
      <c r="N169" s="157"/>
      <c r="O169" s="294"/>
      <c r="P169" s="294"/>
    </row>
    <row r="170" spans="3:16" s="159" customFormat="1" x14ac:dyDescent="0.25">
      <c r="C170" s="611"/>
      <c r="D170" s="611"/>
      <c r="J170" s="266"/>
      <c r="M170" s="268"/>
      <c r="N170" s="157"/>
      <c r="O170" s="294"/>
      <c r="P170" s="294"/>
    </row>
    <row r="171" spans="3:16" s="159" customFormat="1" x14ac:dyDescent="0.25">
      <c r="C171" s="611"/>
      <c r="D171" s="611"/>
      <c r="J171" s="266"/>
      <c r="M171" s="268"/>
      <c r="N171" s="157"/>
      <c r="O171" s="294"/>
      <c r="P171" s="294"/>
    </row>
    <row r="172" spans="3:16" s="159" customFormat="1" x14ac:dyDescent="0.25">
      <c r="C172" s="611"/>
      <c r="D172" s="611"/>
      <c r="J172" s="266"/>
      <c r="M172" s="268"/>
      <c r="N172" s="157"/>
      <c r="O172" s="294"/>
      <c r="P172" s="294"/>
    </row>
    <row r="173" spans="3:16" s="159" customFormat="1" x14ac:dyDescent="0.25">
      <c r="C173" s="611"/>
      <c r="D173" s="611"/>
      <c r="J173" s="266"/>
      <c r="M173" s="268"/>
      <c r="N173" s="157"/>
      <c r="O173" s="294"/>
      <c r="P173" s="294"/>
    </row>
    <row r="174" spans="3:16" s="159" customFormat="1" x14ac:dyDescent="0.25">
      <c r="C174" s="611"/>
      <c r="D174" s="611"/>
      <c r="J174" s="266"/>
      <c r="M174" s="268"/>
      <c r="N174" s="157"/>
      <c r="O174" s="294"/>
      <c r="P174" s="294"/>
    </row>
    <row r="175" spans="3:16" s="159" customFormat="1" x14ac:dyDescent="0.25">
      <c r="C175" s="611"/>
      <c r="D175" s="611"/>
      <c r="J175" s="266"/>
      <c r="M175" s="268"/>
      <c r="N175" s="157"/>
      <c r="O175" s="294"/>
      <c r="P175" s="294"/>
    </row>
    <row r="176" spans="3:16" s="159" customFormat="1" x14ac:dyDescent="0.25">
      <c r="C176" s="611"/>
      <c r="D176" s="611"/>
      <c r="J176" s="266"/>
      <c r="M176" s="268"/>
      <c r="N176" s="157"/>
      <c r="O176" s="294"/>
      <c r="P176" s="294"/>
    </row>
    <row r="177" spans="3:16" s="159" customFormat="1" x14ac:dyDescent="0.25">
      <c r="C177" s="611"/>
      <c r="D177" s="611"/>
      <c r="J177" s="266"/>
      <c r="M177" s="268"/>
      <c r="N177" s="157"/>
      <c r="O177" s="294"/>
      <c r="P177" s="294"/>
    </row>
    <row r="178" spans="3:16" s="159" customFormat="1" x14ac:dyDescent="0.25">
      <c r="C178" s="611"/>
      <c r="D178" s="611"/>
      <c r="J178" s="266"/>
      <c r="M178" s="268"/>
      <c r="N178" s="157"/>
      <c r="O178" s="294"/>
      <c r="P178" s="294"/>
    </row>
    <row r="179" spans="3:16" s="159" customFormat="1" x14ac:dyDescent="0.25">
      <c r="C179" s="611"/>
      <c r="D179" s="611"/>
      <c r="J179" s="266"/>
      <c r="M179" s="268"/>
      <c r="N179" s="157"/>
      <c r="O179" s="294"/>
      <c r="P179" s="294"/>
    </row>
    <row r="180" spans="3:16" s="159" customFormat="1" x14ac:dyDescent="0.25">
      <c r="C180" s="611"/>
      <c r="D180" s="611"/>
      <c r="J180" s="266"/>
      <c r="M180" s="268"/>
      <c r="N180" s="157"/>
      <c r="O180" s="294"/>
      <c r="P180" s="294"/>
    </row>
    <row r="181" spans="3:16" s="159" customFormat="1" x14ac:dyDescent="0.25">
      <c r="C181" s="611"/>
      <c r="D181" s="611"/>
      <c r="J181" s="266"/>
      <c r="M181" s="268"/>
      <c r="N181" s="157"/>
      <c r="O181" s="294"/>
      <c r="P181" s="294"/>
    </row>
    <row r="182" spans="3:16" s="159" customFormat="1" x14ac:dyDescent="0.25">
      <c r="C182" s="611"/>
      <c r="D182" s="611"/>
      <c r="J182" s="266"/>
      <c r="M182" s="268"/>
      <c r="N182" s="157"/>
      <c r="O182" s="294"/>
      <c r="P182" s="294"/>
    </row>
    <row r="183" spans="3:16" s="159" customFormat="1" x14ac:dyDescent="0.25">
      <c r="C183" s="611"/>
      <c r="D183" s="611"/>
      <c r="J183" s="266"/>
      <c r="M183" s="268"/>
      <c r="N183" s="157"/>
      <c r="O183" s="294"/>
      <c r="P183" s="294"/>
    </row>
    <row r="184" spans="3:16" s="159" customFormat="1" x14ac:dyDescent="0.25">
      <c r="C184" s="611"/>
      <c r="D184" s="611"/>
      <c r="J184" s="266"/>
      <c r="M184" s="268"/>
      <c r="N184" s="157"/>
      <c r="O184" s="294"/>
      <c r="P184" s="294"/>
    </row>
    <row r="185" spans="3:16" s="159" customFormat="1" x14ac:dyDescent="0.25">
      <c r="C185" s="611"/>
      <c r="D185" s="611"/>
      <c r="J185" s="266"/>
      <c r="M185" s="268"/>
      <c r="N185" s="157"/>
      <c r="O185" s="294"/>
      <c r="P185" s="294"/>
    </row>
    <row r="186" spans="3:16" s="159" customFormat="1" x14ac:dyDescent="0.25">
      <c r="C186" s="611"/>
      <c r="D186" s="611"/>
      <c r="J186" s="266"/>
      <c r="M186" s="268"/>
      <c r="N186" s="157"/>
      <c r="O186" s="294"/>
      <c r="P186" s="294"/>
    </row>
    <row r="187" spans="3:16" s="159" customFormat="1" x14ac:dyDescent="0.25">
      <c r="C187" s="611"/>
      <c r="D187" s="611"/>
      <c r="J187" s="266"/>
      <c r="M187" s="268"/>
      <c r="N187" s="157"/>
      <c r="O187" s="294"/>
      <c r="P187" s="294"/>
    </row>
    <row r="188" spans="3:16" s="159" customFormat="1" x14ac:dyDescent="0.25">
      <c r="C188" s="611"/>
      <c r="D188" s="611"/>
      <c r="J188" s="266"/>
      <c r="M188" s="268"/>
      <c r="N188" s="157"/>
      <c r="O188" s="294"/>
      <c r="P188" s="294"/>
    </row>
    <row r="189" spans="3:16" s="159" customFormat="1" x14ac:dyDescent="0.25">
      <c r="C189" s="611"/>
      <c r="D189" s="611"/>
      <c r="J189" s="266"/>
      <c r="M189" s="268"/>
      <c r="N189" s="157"/>
      <c r="O189" s="294"/>
      <c r="P189" s="294"/>
    </row>
    <row r="190" spans="3:16" s="159" customFormat="1" x14ac:dyDescent="0.25">
      <c r="C190" s="611"/>
      <c r="D190" s="611"/>
      <c r="J190" s="266"/>
      <c r="M190" s="268"/>
      <c r="N190" s="157"/>
      <c r="O190" s="294"/>
      <c r="P190" s="294"/>
    </row>
    <row r="191" spans="3:16" s="159" customFormat="1" x14ac:dyDescent="0.25">
      <c r="C191" s="611"/>
      <c r="D191" s="611"/>
      <c r="J191" s="266"/>
      <c r="M191" s="268"/>
      <c r="N191" s="157"/>
      <c r="O191" s="294"/>
      <c r="P191" s="294"/>
    </row>
    <row r="192" spans="3:16" s="159" customFormat="1" x14ac:dyDescent="0.25">
      <c r="C192" s="611"/>
      <c r="D192" s="611"/>
      <c r="J192" s="266"/>
      <c r="M192" s="268"/>
      <c r="N192" s="157"/>
      <c r="O192" s="294"/>
      <c r="P192" s="294"/>
    </row>
    <row r="193" spans="3:16" s="159" customFormat="1" x14ac:dyDescent="0.25">
      <c r="C193" s="611"/>
      <c r="D193" s="611"/>
      <c r="J193" s="266"/>
      <c r="M193" s="268"/>
      <c r="N193" s="157"/>
      <c r="O193" s="294"/>
      <c r="P193" s="294"/>
    </row>
    <row r="194" spans="3:16" s="159" customFormat="1" x14ac:dyDescent="0.25">
      <c r="C194" s="611"/>
      <c r="D194" s="611"/>
      <c r="J194" s="266"/>
      <c r="M194" s="268"/>
      <c r="N194" s="157"/>
      <c r="O194" s="294"/>
      <c r="P194" s="294"/>
    </row>
    <row r="195" spans="3:16" s="159" customFormat="1" x14ac:dyDescent="0.25">
      <c r="C195" s="611"/>
      <c r="D195" s="611"/>
      <c r="J195" s="266"/>
      <c r="M195" s="268"/>
      <c r="N195" s="157"/>
      <c r="O195" s="294"/>
      <c r="P195" s="294"/>
    </row>
    <row r="196" spans="3:16" s="159" customFormat="1" x14ac:dyDescent="0.25">
      <c r="C196" s="611"/>
      <c r="D196" s="611"/>
      <c r="J196" s="266"/>
      <c r="M196" s="268"/>
      <c r="N196" s="157"/>
      <c r="O196" s="294"/>
      <c r="P196" s="294"/>
    </row>
    <row r="197" spans="3:16" s="159" customFormat="1" x14ac:dyDescent="0.25">
      <c r="C197" s="611"/>
      <c r="D197" s="611"/>
      <c r="J197" s="266"/>
      <c r="M197" s="268"/>
      <c r="N197" s="157"/>
      <c r="O197" s="294"/>
      <c r="P197" s="294"/>
    </row>
    <row r="198" spans="3:16" s="159" customFormat="1" x14ac:dyDescent="0.25">
      <c r="C198" s="611"/>
      <c r="D198" s="611"/>
      <c r="J198" s="266"/>
      <c r="M198" s="268"/>
      <c r="N198" s="157"/>
      <c r="O198" s="294"/>
      <c r="P198" s="294"/>
    </row>
    <row r="199" spans="3:16" s="159" customFormat="1" x14ac:dyDescent="0.25">
      <c r="C199" s="611"/>
      <c r="D199" s="611"/>
      <c r="J199" s="266"/>
      <c r="M199" s="268"/>
      <c r="N199" s="157"/>
      <c r="O199" s="294"/>
      <c r="P199" s="294"/>
    </row>
    <row r="200" spans="3:16" s="159" customFormat="1" x14ac:dyDescent="0.25">
      <c r="C200" s="611"/>
      <c r="D200" s="611"/>
      <c r="J200" s="266"/>
      <c r="M200" s="268"/>
      <c r="N200" s="157"/>
      <c r="O200" s="294"/>
      <c r="P200" s="294"/>
    </row>
    <row r="201" spans="3:16" s="159" customFormat="1" x14ac:dyDescent="0.25">
      <c r="C201" s="611"/>
      <c r="D201" s="611"/>
      <c r="J201" s="266"/>
      <c r="M201" s="268"/>
      <c r="N201" s="157"/>
      <c r="O201" s="294"/>
      <c r="P201" s="294"/>
    </row>
    <row r="202" spans="3:16" s="159" customFormat="1" x14ac:dyDescent="0.25">
      <c r="C202" s="611"/>
      <c r="D202" s="611"/>
      <c r="J202" s="266"/>
      <c r="M202" s="268"/>
      <c r="N202" s="157"/>
      <c r="O202" s="294"/>
      <c r="P202" s="294"/>
    </row>
    <row r="203" spans="3:16" s="159" customFormat="1" x14ac:dyDescent="0.25">
      <c r="C203" s="611"/>
      <c r="D203" s="611"/>
      <c r="J203" s="266"/>
      <c r="M203" s="268"/>
      <c r="N203" s="157"/>
      <c r="O203" s="294"/>
      <c r="P203" s="294"/>
    </row>
    <row r="204" spans="3:16" s="159" customFormat="1" x14ac:dyDescent="0.25">
      <c r="C204" s="611"/>
      <c r="D204" s="611"/>
      <c r="J204" s="266"/>
      <c r="M204" s="268"/>
      <c r="N204" s="157"/>
      <c r="O204" s="294"/>
      <c r="P204" s="294"/>
    </row>
    <row r="205" spans="3:16" s="159" customFormat="1" x14ac:dyDescent="0.25">
      <c r="C205" s="611"/>
      <c r="D205" s="611"/>
      <c r="J205" s="266"/>
      <c r="M205" s="268"/>
      <c r="N205" s="157"/>
      <c r="O205" s="294"/>
      <c r="P205" s="294"/>
    </row>
    <row r="206" spans="3:16" s="159" customFormat="1" x14ac:dyDescent="0.25">
      <c r="C206" s="611"/>
      <c r="D206" s="611"/>
      <c r="J206" s="266"/>
      <c r="M206" s="268"/>
      <c r="N206" s="157"/>
      <c r="O206" s="294"/>
      <c r="P206" s="294"/>
    </row>
    <row r="207" spans="3:16" s="159" customFormat="1" x14ac:dyDescent="0.25">
      <c r="C207" s="611"/>
      <c r="D207" s="611"/>
      <c r="J207" s="266"/>
      <c r="M207" s="268"/>
      <c r="N207" s="157"/>
      <c r="O207" s="294"/>
      <c r="P207" s="294"/>
    </row>
    <row r="208" spans="3:16" s="159" customFormat="1" x14ac:dyDescent="0.25">
      <c r="C208" s="611"/>
      <c r="D208" s="611"/>
      <c r="J208" s="266"/>
      <c r="M208" s="268"/>
      <c r="N208" s="157"/>
      <c r="O208" s="294"/>
      <c r="P208" s="294"/>
    </row>
    <row r="209" spans="3:16" s="159" customFormat="1" x14ac:dyDescent="0.25">
      <c r="C209" s="611"/>
      <c r="D209" s="611"/>
      <c r="J209" s="266"/>
      <c r="M209" s="268"/>
      <c r="N209" s="157"/>
      <c r="O209" s="294"/>
      <c r="P209" s="294"/>
    </row>
    <row r="210" spans="3:16" s="159" customFormat="1" x14ac:dyDescent="0.25">
      <c r="C210" s="611"/>
      <c r="D210" s="611"/>
      <c r="J210" s="266"/>
      <c r="M210" s="268"/>
      <c r="N210" s="157"/>
      <c r="O210" s="294"/>
      <c r="P210" s="294"/>
    </row>
    <row r="211" spans="3:16" s="159" customFormat="1" x14ac:dyDescent="0.25">
      <c r="C211" s="611"/>
      <c r="D211" s="611"/>
      <c r="J211" s="266"/>
      <c r="M211" s="268"/>
      <c r="N211" s="157"/>
      <c r="O211" s="294"/>
      <c r="P211" s="294"/>
    </row>
    <row r="212" spans="3:16" s="159" customFormat="1" x14ac:dyDescent="0.25">
      <c r="C212" s="611"/>
      <c r="D212" s="611"/>
      <c r="J212" s="266"/>
      <c r="M212" s="268"/>
      <c r="N212" s="157"/>
      <c r="O212" s="294"/>
      <c r="P212" s="294"/>
    </row>
    <row r="213" spans="3:16" s="159" customFormat="1" x14ac:dyDescent="0.25">
      <c r="C213" s="611"/>
      <c r="D213" s="611"/>
      <c r="J213" s="266"/>
      <c r="M213" s="268"/>
      <c r="N213" s="157"/>
      <c r="O213" s="294"/>
      <c r="P213" s="294"/>
    </row>
    <row r="214" spans="3:16" s="159" customFormat="1" x14ac:dyDescent="0.25">
      <c r="C214" s="611"/>
      <c r="D214" s="611"/>
      <c r="J214" s="266"/>
      <c r="M214" s="268"/>
      <c r="N214" s="157"/>
      <c r="O214" s="294"/>
      <c r="P214" s="294"/>
    </row>
    <row r="215" spans="3:16" s="159" customFormat="1" x14ac:dyDescent="0.25">
      <c r="C215" s="611"/>
      <c r="D215" s="611"/>
      <c r="J215" s="266"/>
      <c r="M215" s="268"/>
      <c r="N215" s="157"/>
      <c r="O215" s="294"/>
      <c r="P215" s="294"/>
    </row>
    <row r="216" spans="3:16" s="159" customFormat="1" x14ac:dyDescent="0.25">
      <c r="C216" s="611"/>
      <c r="D216" s="611"/>
      <c r="J216" s="266"/>
      <c r="M216" s="268"/>
      <c r="N216" s="157"/>
      <c r="O216" s="294"/>
      <c r="P216" s="294"/>
    </row>
    <row r="217" spans="3:16" s="159" customFormat="1" x14ac:dyDescent="0.25">
      <c r="C217" s="611"/>
      <c r="D217" s="611"/>
      <c r="J217" s="266"/>
      <c r="M217" s="268"/>
      <c r="N217" s="157"/>
      <c r="O217" s="294"/>
      <c r="P217" s="294"/>
    </row>
    <row r="218" spans="3:16" s="159" customFormat="1" x14ac:dyDescent="0.25">
      <c r="C218" s="611"/>
      <c r="D218" s="611"/>
      <c r="J218" s="266"/>
      <c r="M218" s="268"/>
      <c r="N218" s="157"/>
      <c r="O218" s="294"/>
      <c r="P218" s="294"/>
    </row>
    <row r="219" spans="3:16" s="159" customFormat="1" x14ac:dyDescent="0.25">
      <c r="C219" s="611"/>
      <c r="D219" s="611"/>
      <c r="J219" s="266"/>
      <c r="M219" s="268"/>
      <c r="N219" s="157"/>
      <c r="O219" s="294"/>
      <c r="P219" s="294"/>
    </row>
    <row r="220" spans="3:16" s="159" customFormat="1" x14ac:dyDescent="0.25">
      <c r="C220" s="611"/>
      <c r="D220" s="611"/>
      <c r="J220" s="266"/>
      <c r="M220" s="268"/>
      <c r="N220" s="157"/>
      <c r="O220" s="294"/>
      <c r="P220" s="294"/>
    </row>
    <row r="221" spans="3:16" s="159" customFormat="1" x14ac:dyDescent="0.25">
      <c r="C221" s="611"/>
      <c r="D221" s="611"/>
      <c r="J221" s="266"/>
      <c r="M221" s="268"/>
      <c r="N221" s="157"/>
      <c r="O221" s="294"/>
      <c r="P221" s="294"/>
    </row>
    <row r="222" spans="3:16" s="159" customFormat="1" x14ac:dyDescent="0.25">
      <c r="C222" s="611"/>
      <c r="D222" s="611"/>
      <c r="J222" s="266"/>
      <c r="M222" s="268"/>
      <c r="N222" s="157"/>
      <c r="O222" s="294"/>
      <c r="P222" s="294"/>
    </row>
    <row r="223" spans="3:16" s="159" customFormat="1" x14ac:dyDescent="0.25">
      <c r="C223" s="611"/>
      <c r="D223" s="611"/>
      <c r="J223" s="266"/>
      <c r="M223" s="268"/>
      <c r="N223" s="157"/>
      <c r="O223" s="294"/>
      <c r="P223" s="294"/>
    </row>
    <row r="224" spans="3:16" s="159" customFormat="1" x14ac:dyDescent="0.25">
      <c r="C224" s="611"/>
      <c r="D224" s="611"/>
      <c r="J224" s="266"/>
      <c r="M224" s="268"/>
      <c r="N224" s="157"/>
      <c r="O224" s="294"/>
      <c r="P224" s="294"/>
    </row>
    <row r="225" spans="3:16" s="159" customFormat="1" x14ac:dyDescent="0.25">
      <c r="C225" s="611"/>
      <c r="D225" s="611"/>
      <c r="J225" s="266"/>
      <c r="M225" s="268"/>
      <c r="N225" s="157"/>
      <c r="O225" s="294"/>
      <c r="P225" s="294"/>
    </row>
    <row r="226" spans="3:16" s="159" customFormat="1" x14ac:dyDescent="0.25">
      <c r="C226" s="611"/>
      <c r="D226" s="611"/>
      <c r="J226" s="266"/>
      <c r="M226" s="268"/>
      <c r="N226" s="157"/>
      <c r="O226" s="294"/>
      <c r="P226" s="294"/>
    </row>
    <row r="227" spans="3:16" s="159" customFormat="1" x14ac:dyDescent="0.25">
      <c r="C227" s="611"/>
      <c r="D227" s="611"/>
      <c r="J227" s="266"/>
      <c r="M227" s="268"/>
      <c r="N227" s="157"/>
      <c r="O227" s="294"/>
      <c r="P227" s="294"/>
    </row>
    <row r="228" spans="3:16" s="159" customFormat="1" x14ac:dyDescent="0.25">
      <c r="C228" s="611"/>
      <c r="D228" s="611"/>
      <c r="J228" s="266"/>
      <c r="M228" s="268"/>
      <c r="N228" s="157"/>
      <c r="O228" s="294"/>
      <c r="P228" s="294"/>
    </row>
    <row r="229" spans="3:16" s="159" customFormat="1" x14ac:dyDescent="0.25">
      <c r="C229" s="611"/>
      <c r="D229" s="611"/>
      <c r="J229" s="266"/>
      <c r="M229" s="268"/>
      <c r="N229" s="157"/>
      <c r="O229" s="294"/>
      <c r="P229" s="294"/>
    </row>
    <row r="230" spans="3:16" s="159" customFormat="1" x14ac:dyDescent="0.25">
      <c r="C230" s="611"/>
      <c r="D230" s="611"/>
      <c r="J230" s="266"/>
      <c r="M230" s="268"/>
      <c r="N230" s="157"/>
      <c r="O230" s="294"/>
      <c r="P230" s="294"/>
    </row>
    <row r="231" spans="3:16" s="159" customFormat="1" x14ac:dyDescent="0.25">
      <c r="C231" s="611"/>
      <c r="D231" s="611"/>
      <c r="J231" s="266"/>
      <c r="M231" s="268"/>
      <c r="N231" s="157"/>
      <c r="O231" s="294"/>
      <c r="P231" s="294"/>
    </row>
    <row r="232" spans="3:16" s="159" customFormat="1" x14ac:dyDescent="0.25">
      <c r="C232" s="611"/>
      <c r="D232" s="611"/>
      <c r="J232" s="266"/>
      <c r="M232" s="268"/>
      <c r="N232" s="157"/>
      <c r="O232" s="294"/>
      <c r="P232" s="294"/>
    </row>
    <row r="233" spans="3:16" s="159" customFormat="1" x14ac:dyDescent="0.25">
      <c r="C233" s="611"/>
      <c r="D233" s="611"/>
      <c r="J233" s="266"/>
      <c r="M233" s="268"/>
      <c r="N233" s="157"/>
      <c r="O233" s="294"/>
      <c r="P233" s="294"/>
    </row>
    <row r="234" spans="3:16" s="159" customFormat="1" x14ac:dyDescent="0.25">
      <c r="C234" s="611"/>
      <c r="D234" s="611"/>
      <c r="J234" s="266"/>
      <c r="M234" s="268"/>
      <c r="N234" s="157"/>
      <c r="O234" s="294"/>
      <c r="P234" s="294"/>
    </row>
    <row r="235" spans="3:16" s="159" customFormat="1" x14ac:dyDescent="0.25">
      <c r="C235" s="611"/>
      <c r="D235" s="611"/>
      <c r="J235" s="266"/>
      <c r="M235" s="268"/>
      <c r="N235" s="157"/>
      <c r="O235" s="294"/>
      <c r="P235" s="294"/>
    </row>
    <row r="236" spans="3:16" s="159" customFormat="1" x14ac:dyDescent="0.25">
      <c r="C236" s="611"/>
      <c r="D236" s="611"/>
      <c r="J236" s="266"/>
      <c r="M236" s="268"/>
      <c r="N236" s="157"/>
      <c r="O236" s="294"/>
      <c r="P236" s="294"/>
    </row>
    <row r="237" spans="3:16" s="159" customFormat="1" x14ac:dyDescent="0.25">
      <c r="C237" s="611"/>
      <c r="D237" s="611"/>
      <c r="J237" s="266"/>
      <c r="M237" s="268"/>
      <c r="N237" s="157"/>
      <c r="O237" s="294"/>
      <c r="P237" s="294"/>
    </row>
    <row r="238" spans="3:16" s="159" customFormat="1" x14ac:dyDescent="0.25">
      <c r="C238" s="611"/>
      <c r="D238" s="611"/>
      <c r="J238" s="266"/>
      <c r="M238" s="268"/>
      <c r="N238" s="157"/>
      <c r="O238" s="294"/>
      <c r="P238" s="294"/>
    </row>
    <row r="239" spans="3:16" s="159" customFormat="1" x14ac:dyDescent="0.25">
      <c r="C239" s="611"/>
      <c r="D239" s="611"/>
      <c r="J239" s="266"/>
      <c r="M239" s="268"/>
      <c r="N239" s="157"/>
      <c r="O239" s="294"/>
      <c r="P239" s="294"/>
    </row>
    <row r="240" spans="3:16" s="159" customFormat="1" x14ac:dyDescent="0.25">
      <c r="C240" s="611"/>
      <c r="D240" s="611"/>
      <c r="J240" s="266"/>
      <c r="M240" s="268"/>
      <c r="N240" s="157"/>
      <c r="O240" s="294"/>
      <c r="P240" s="294"/>
    </row>
    <row r="241" spans="3:16" s="159" customFormat="1" x14ac:dyDescent="0.25">
      <c r="C241" s="611"/>
      <c r="D241" s="611"/>
      <c r="J241" s="266"/>
      <c r="M241" s="268"/>
      <c r="N241" s="157"/>
      <c r="O241" s="294"/>
      <c r="P241" s="294"/>
    </row>
    <row r="242" spans="3:16" s="159" customFormat="1" x14ac:dyDescent="0.25">
      <c r="C242" s="611"/>
      <c r="D242" s="611"/>
      <c r="J242" s="266"/>
      <c r="M242" s="268"/>
      <c r="N242" s="157"/>
      <c r="O242" s="294"/>
      <c r="P242" s="294"/>
    </row>
    <row r="243" spans="3:16" s="159" customFormat="1" x14ac:dyDescent="0.25">
      <c r="C243" s="611"/>
      <c r="D243" s="611"/>
      <c r="J243" s="266"/>
      <c r="M243" s="268"/>
      <c r="N243" s="157"/>
      <c r="O243" s="294"/>
      <c r="P243" s="294"/>
    </row>
    <row r="244" spans="3:16" s="159" customFormat="1" x14ac:dyDescent="0.25">
      <c r="C244" s="611"/>
      <c r="D244" s="611"/>
      <c r="J244" s="266"/>
      <c r="M244" s="268"/>
      <c r="N244" s="157"/>
      <c r="O244" s="294"/>
      <c r="P244" s="294"/>
    </row>
    <row r="245" spans="3:16" s="159" customFormat="1" x14ac:dyDescent="0.25">
      <c r="C245" s="611"/>
      <c r="D245" s="611"/>
      <c r="J245" s="266"/>
      <c r="M245" s="268"/>
      <c r="N245" s="157"/>
      <c r="O245" s="294"/>
      <c r="P245" s="294"/>
    </row>
    <row r="246" spans="3:16" s="159" customFormat="1" x14ac:dyDescent="0.25">
      <c r="C246" s="611"/>
      <c r="D246" s="611"/>
      <c r="J246" s="266"/>
      <c r="M246" s="268"/>
      <c r="N246" s="157"/>
      <c r="O246" s="294"/>
      <c r="P246" s="294"/>
    </row>
    <row r="247" spans="3:16" s="159" customFormat="1" x14ac:dyDescent="0.25">
      <c r="C247" s="611"/>
      <c r="D247" s="611"/>
      <c r="J247" s="266"/>
      <c r="M247" s="268"/>
      <c r="N247" s="157"/>
      <c r="O247" s="294"/>
      <c r="P247" s="294"/>
    </row>
    <row r="248" spans="3:16" s="159" customFormat="1" x14ac:dyDescent="0.25">
      <c r="C248" s="611"/>
      <c r="D248" s="611"/>
      <c r="J248" s="266"/>
      <c r="M248" s="268"/>
      <c r="N248" s="157"/>
      <c r="O248" s="294"/>
      <c r="P248" s="294"/>
    </row>
    <row r="249" spans="3:16" s="159" customFormat="1" x14ac:dyDescent="0.25">
      <c r="C249" s="611"/>
      <c r="D249" s="611"/>
      <c r="J249" s="266"/>
      <c r="M249" s="268"/>
      <c r="N249" s="157"/>
      <c r="O249" s="294"/>
      <c r="P249" s="294"/>
    </row>
    <row r="250" spans="3:16" s="159" customFormat="1" x14ac:dyDescent="0.25">
      <c r="C250" s="611"/>
      <c r="D250" s="611"/>
      <c r="J250" s="266"/>
      <c r="M250" s="268"/>
      <c r="N250" s="157"/>
      <c r="O250" s="294"/>
      <c r="P250" s="294"/>
    </row>
    <row r="251" spans="3:16" s="159" customFormat="1" x14ac:dyDescent="0.25">
      <c r="C251" s="611"/>
      <c r="D251" s="611"/>
      <c r="J251" s="266"/>
      <c r="M251" s="268"/>
      <c r="N251" s="157"/>
      <c r="O251" s="294"/>
      <c r="P251" s="294"/>
    </row>
    <row r="252" spans="3:16" s="159" customFormat="1" x14ac:dyDescent="0.25">
      <c r="C252" s="611"/>
      <c r="D252" s="611"/>
      <c r="J252" s="266"/>
      <c r="M252" s="268"/>
      <c r="N252" s="157"/>
      <c r="O252" s="294"/>
      <c r="P252" s="294"/>
    </row>
    <row r="253" spans="3:16" s="159" customFormat="1" x14ac:dyDescent="0.25">
      <c r="C253" s="611"/>
      <c r="D253" s="611"/>
      <c r="J253" s="266"/>
      <c r="M253" s="268"/>
      <c r="N253" s="157"/>
      <c r="O253" s="294"/>
      <c r="P253" s="294"/>
    </row>
    <row r="254" spans="3:16" s="159" customFormat="1" x14ac:dyDescent="0.25">
      <c r="C254" s="611"/>
      <c r="D254" s="611"/>
      <c r="J254" s="266"/>
      <c r="M254" s="268"/>
      <c r="N254" s="157"/>
      <c r="O254" s="294"/>
      <c r="P254" s="294"/>
    </row>
    <row r="255" spans="3:16" s="159" customFormat="1" x14ac:dyDescent="0.25">
      <c r="C255" s="611"/>
      <c r="D255" s="611"/>
      <c r="J255" s="266"/>
      <c r="M255" s="268"/>
      <c r="N255" s="157"/>
      <c r="O255" s="294"/>
      <c r="P255" s="294"/>
    </row>
    <row r="256" spans="3:16" s="159" customFormat="1" x14ac:dyDescent="0.25">
      <c r="C256" s="611"/>
      <c r="D256" s="611"/>
      <c r="J256" s="266"/>
      <c r="M256" s="268"/>
      <c r="N256" s="157"/>
      <c r="O256" s="294"/>
      <c r="P256" s="294"/>
    </row>
    <row r="257" spans="3:16" s="159" customFormat="1" x14ac:dyDescent="0.25">
      <c r="C257" s="611"/>
      <c r="D257" s="611"/>
      <c r="J257" s="266"/>
      <c r="M257" s="268"/>
      <c r="N257" s="157"/>
      <c r="O257" s="294"/>
      <c r="P257" s="294"/>
    </row>
    <row r="258" spans="3:16" s="159" customFormat="1" x14ac:dyDescent="0.25">
      <c r="C258" s="611"/>
      <c r="D258" s="611"/>
      <c r="J258" s="266"/>
      <c r="M258" s="268"/>
      <c r="N258" s="157"/>
      <c r="O258" s="294"/>
      <c r="P258" s="294"/>
    </row>
    <row r="259" spans="3:16" s="159" customFormat="1" x14ac:dyDescent="0.25">
      <c r="C259" s="611"/>
      <c r="D259" s="611"/>
      <c r="J259" s="266"/>
      <c r="M259" s="268"/>
      <c r="N259" s="157"/>
      <c r="O259" s="294"/>
      <c r="P259" s="294"/>
    </row>
    <row r="260" spans="3:16" s="159" customFormat="1" x14ac:dyDescent="0.25">
      <c r="C260" s="611"/>
      <c r="D260" s="611"/>
      <c r="J260" s="266"/>
      <c r="M260" s="268"/>
      <c r="N260" s="157"/>
      <c r="O260" s="294"/>
      <c r="P260" s="294"/>
    </row>
    <row r="261" spans="3:16" s="159" customFormat="1" x14ac:dyDescent="0.25">
      <c r="C261" s="611"/>
      <c r="D261" s="611"/>
      <c r="J261" s="266"/>
      <c r="M261" s="268"/>
      <c r="N261" s="157"/>
      <c r="O261" s="294"/>
      <c r="P261" s="294"/>
    </row>
    <row r="262" spans="3:16" s="159" customFormat="1" x14ac:dyDescent="0.25">
      <c r="C262" s="611"/>
      <c r="D262" s="611"/>
      <c r="J262" s="266"/>
      <c r="M262" s="268"/>
      <c r="N262" s="157"/>
      <c r="O262" s="294"/>
      <c r="P262" s="294"/>
    </row>
    <row r="263" spans="3:16" s="159" customFormat="1" x14ac:dyDescent="0.25">
      <c r="C263" s="611"/>
      <c r="D263" s="611"/>
      <c r="J263" s="266"/>
      <c r="M263" s="268"/>
      <c r="N263" s="157"/>
      <c r="O263" s="294"/>
      <c r="P263" s="294"/>
    </row>
    <row r="264" spans="3:16" s="159" customFormat="1" x14ac:dyDescent="0.25">
      <c r="C264" s="611"/>
      <c r="D264" s="611"/>
      <c r="J264" s="266"/>
      <c r="M264" s="268"/>
      <c r="N264" s="157"/>
      <c r="O264" s="294"/>
      <c r="P264" s="294"/>
    </row>
    <row r="265" spans="3:16" s="159" customFormat="1" x14ac:dyDescent="0.25">
      <c r="C265" s="611"/>
      <c r="D265" s="611"/>
      <c r="J265" s="266"/>
      <c r="M265" s="268"/>
      <c r="N265" s="157"/>
      <c r="O265" s="294"/>
      <c r="P265" s="294"/>
    </row>
    <row r="266" spans="3:16" s="159" customFormat="1" x14ac:dyDescent="0.25">
      <c r="C266" s="611"/>
      <c r="D266" s="611"/>
      <c r="J266" s="266"/>
      <c r="M266" s="268"/>
      <c r="N266" s="157"/>
      <c r="O266" s="294"/>
      <c r="P266" s="294"/>
    </row>
    <row r="267" spans="3:16" s="159" customFormat="1" x14ac:dyDescent="0.25">
      <c r="C267" s="611"/>
      <c r="D267" s="611"/>
      <c r="J267" s="266"/>
      <c r="M267" s="268"/>
      <c r="N267" s="157"/>
      <c r="O267" s="294"/>
      <c r="P267" s="294"/>
    </row>
    <row r="268" spans="3:16" s="159" customFormat="1" x14ac:dyDescent="0.25">
      <c r="C268" s="611"/>
      <c r="D268" s="611"/>
      <c r="J268" s="266"/>
      <c r="M268" s="268"/>
      <c r="N268" s="157"/>
      <c r="O268" s="294"/>
      <c r="P268" s="294"/>
    </row>
    <row r="269" spans="3:16" s="159" customFormat="1" x14ac:dyDescent="0.25">
      <c r="C269" s="611"/>
      <c r="D269" s="611"/>
      <c r="J269" s="266"/>
      <c r="M269" s="268"/>
      <c r="N269" s="157"/>
      <c r="O269" s="294"/>
      <c r="P269" s="294"/>
    </row>
    <row r="270" spans="3:16" s="159" customFormat="1" x14ac:dyDescent="0.25">
      <c r="C270" s="611"/>
      <c r="D270" s="611"/>
      <c r="J270" s="266"/>
      <c r="M270" s="268"/>
      <c r="N270" s="157"/>
      <c r="O270" s="294"/>
      <c r="P270" s="294"/>
    </row>
    <row r="271" spans="3:16" s="159" customFormat="1" x14ac:dyDescent="0.25">
      <c r="C271" s="611"/>
      <c r="D271" s="611"/>
      <c r="J271" s="266"/>
      <c r="M271" s="268"/>
      <c r="N271" s="157"/>
      <c r="O271" s="294"/>
      <c r="P271" s="294"/>
    </row>
    <row r="272" spans="3:16" s="159" customFormat="1" x14ac:dyDescent="0.25">
      <c r="C272" s="611"/>
      <c r="D272" s="611"/>
      <c r="J272" s="266"/>
      <c r="M272" s="268"/>
      <c r="N272" s="157"/>
      <c r="O272" s="294"/>
      <c r="P272" s="294"/>
    </row>
    <row r="273" spans="3:16" s="159" customFormat="1" x14ac:dyDescent="0.25">
      <c r="C273" s="611"/>
      <c r="D273" s="611"/>
      <c r="J273" s="266"/>
      <c r="M273" s="268"/>
      <c r="N273" s="157"/>
      <c r="O273" s="294"/>
      <c r="P273" s="294"/>
    </row>
    <row r="274" spans="3:16" s="159" customFormat="1" x14ac:dyDescent="0.25">
      <c r="C274" s="611"/>
      <c r="D274" s="611"/>
      <c r="J274" s="266"/>
      <c r="M274" s="268"/>
      <c r="N274" s="157"/>
      <c r="O274" s="294"/>
      <c r="P274" s="294"/>
    </row>
    <row r="275" spans="3:16" s="159" customFormat="1" x14ac:dyDescent="0.25">
      <c r="C275" s="611"/>
      <c r="D275" s="611"/>
      <c r="J275" s="266"/>
      <c r="M275" s="268"/>
      <c r="N275" s="157"/>
      <c r="O275" s="294"/>
      <c r="P275" s="294"/>
    </row>
    <row r="276" spans="3:16" s="159" customFormat="1" x14ac:dyDescent="0.25">
      <c r="C276" s="611"/>
      <c r="D276" s="611"/>
      <c r="J276" s="266"/>
      <c r="M276" s="268"/>
      <c r="N276" s="157"/>
      <c r="O276" s="294"/>
      <c r="P276" s="294"/>
    </row>
    <row r="277" spans="3:16" s="159" customFormat="1" x14ac:dyDescent="0.25">
      <c r="C277" s="611"/>
      <c r="D277" s="611"/>
      <c r="J277" s="266"/>
      <c r="M277" s="268"/>
      <c r="N277" s="157"/>
      <c r="O277" s="294"/>
      <c r="P277" s="294"/>
    </row>
    <row r="278" spans="3:16" s="159" customFormat="1" x14ac:dyDescent="0.25">
      <c r="C278" s="611"/>
      <c r="D278" s="611"/>
      <c r="J278" s="266"/>
      <c r="M278" s="268"/>
      <c r="N278" s="157"/>
      <c r="O278" s="294"/>
      <c r="P278" s="294"/>
    </row>
    <row r="279" spans="3:16" s="159" customFormat="1" x14ac:dyDescent="0.25">
      <c r="C279" s="611"/>
      <c r="D279" s="611"/>
      <c r="J279" s="266"/>
      <c r="M279" s="268"/>
      <c r="N279" s="157"/>
      <c r="O279" s="294"/>
      <c r="P279" s="294"/>
    </row>
    <row r="280" spans="3:16" s="159" customFormat="1" x14ac:dyDescent="0.25">
      <c r="C280" s="611"/>
      <c r="D280" s="611"/>
      <c r="J280" s="266"/>
      <c r="M280" s="268"/>
      <c r="N280" s="157"/>
      <c r="O280" s="294"/>
      <c r="P280" s="294"/>
    </row>
    <row r="281" spans="3:16" s="159" customFormat="1" x14ac:dyDescent="0.25">
      <c r="C281" s="611"/>
      <c r="D281" s="611"/>
      <c r="J281" s="266"/>
      <c r="M281" s="268"/>
      <c r="N281" s="157"/>
      <c r="O281" s="294"/>
      <c r="P281" s="294"/>
    </row>
    <row r="282" spans="3:16" s="159" customFormat="1" x14ac:dyDescent="0.25">
      <c r="C282" s="611"/>
      <c r="D282" s="611"/>
      <c r="J282" s="266"/>
      <c r="M282" s="268"/>
      <c r="N282" s="157"/>
      <c r="O282" s="294"/>
      <c r="P282" s="294"/>
    </row>
  </sheetData>
  <mergeCells count="60">
    <mergeCell ref="Q9:Q10"/>
    <mergeCell ref="L9:L10"/>
    <mergeCell ref="M9:M10"/>
    <mergeCell ref="N9:N10"/>
    <mergeCell ref="O9:O10"/>
    <mergeCell ref="P9:P10"/>
    <mergeCell ref="G92:I92"/>
    <mergeCell ref="J100:J101"/>
    <mergeCell ref="K100:K101"/>
    <mergeCell ref="F102:F103"/>
    <mergeCell ref="G102:G103"/>
    <mergeCell ref="I102:I103"/>
    <mergeCell ref="J102:J103"/>
    <mergeCell ref="K102:K103"/>
    <mergeCell ref="F100:F101"/>
    <mergeCell ref="G100:G101"/>
    <mergeCell ref="I100:I101"/>
    <mergeCell ref="C39:F39"/>
    <mergeCell ref="G39:I39"/>
    <mergeCell ref="C74:F74"/>
    <mergeCell ref="G74:I74"/>
    <mergeCell ref="B101:B102"/>
    <mergeCell ref="C80:F80"/>
    <mergeCell ref="C47:F47"/>
    <mergeCell ref="G47:I47"/>
    <mergeCell ref="C54:F54"/>
    <mergeCell ref="G54:I54"/>
    <mergeCell ref="C59:F59"/>
    <mergeCell ref="G59:I59"/>
    <mergeCell ref="G80:I80"/>
    <mergeCell ref="C86:F86"/>
    <mergeCell ref="G86:I86"/>
    <mergeCell ref="C92:F92"/>
    <mergeCell ref="C19:F19"/>
    <mergeCell ref="G19:I19"/>
    <mergeCell ref="C26:F26"/>
    <mergeCell ref="G26:I26"/>
    <mergeCell ref="C32:F32"/>
    <mergeCell ref="G32:I32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234"/>
  <sheetViews>
    <sheetView zoomScale="90" zoomScaleNormal="75" zoomScaleSheetLayoutView="90" zoomScalePageLayoutView="75" workbookViewId="0">
      <selection activeCell="A55" sqref="A55"/>
    </sheetView>
  </sheetViews>
  <sheetFormatPr defaultColWidth="9.33203125" defaultRowHeight="13.2" x14ac:dyDescent="0.25"/>
  <cols>
    <col min="1" max="1" width="10.6640625" style="157" bestFit="1" customWidth="1"/>
    <col min="2" max="2" width="42.6640625" style="157" customWidth="1"/>
    <col min="3" max="4" width="5" style="421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268" bestFit="1" customWidth="1"/>
    <col min="11" max="11" width="14.441406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40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461</v>
      </c>
      <c r="B10" s="505" t="s">
        <v>462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361"/>
      <c r="B11" s="5"/>
      <c r="C11" s="362"/>
      <c r="D11" s="363" t="s">
        <v>21</v>
      </c>
      <c r="E11" s="247">
        <v>0</v>
      </c>
      <c r="F11" s="364">
        <f t="shared" ref="F11:F22" si="0">C11*E11</f>
        <v>0</v>
      </c>
      <c r="G11" s="509"/>
      <c r="H11" s="366">
        <v>0</v>
      </c>
      <c r="I11" s="364">
        <f t="shared" ref="I11:I22" si="1">G11*H11</f>
        <v>0</v>
      </c>
      <c r="J11" s="367"/>
      <c r="K11" s="510">
        <f t="shared" ref="K11:K22" si="2">F11+I11+J11</f>
        <v>0</v>
      </c>
      <c r="L11" s="369"/>
      <c r="M11" s="370"/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/>
      <c r="M12" s="370"/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/>
      <c r="M13" s="37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369"/>
      <c r="M17" s="370"/>
      <c r="N17" s="371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369"/>
      <c r="M18" s="370"/>
      <c r="N18" s="371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369"/>
      <c r="M19" s="370"/>
      <c r="N19" s="371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369"/>
      <c r="M20" s="370"/>
      <c r="N20" s="371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369"/>
      <c r="M21" s="370"/>
      <c r="N21" s="371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369"/>
      <c r="M22" s="370"/>
      <c r="N22" s="371"/>
      <c r="O22" s="372"/>
      <c r="P22" s="373"/>
      <c r="Q22" s="374"/>
    </row>
    <row r="23" spans="1:17" ht="13.8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67"/>
      <c r="K23" s="510"/>
      <c r="L23" s="369"/>
      <c r="M23" s="370"/>
      <c r="N23" s="371"/>
      <c r="O23" s="372"/>
      <c r="P23" s="373"/>
      <c r="Q23" s="374"/>
    </row>
    <row r="24" spans="1:17" ht="13.8" thickTop="1" x14ac:dyDescent="0.25">
      <c r="A24" s="378"/>
      <c r="B24" s="7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SUM(K11:K23)</f>
        <v>0</v>
      </c>
      <c r="L24" s="369"/>
      <c r="M24" s="370"/>
      <c r="N24" s="371"/>
      <c r="O24" s="372"/>
      <c r="P24" s="373"/>
      <c r="Q24" s="374"/>
    </row>
    <row r="25" spans="1:17" ht="13.8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ht="16.2" thickBot="1" x14ac:dyDescent="0.35">
      <c r="A26" s="385"/>
      <c r="B26" s="386"/>
      <c r="C26" s="387" t="s">
        <v>19</v>
      </c>
      <c r="D26" s="388" t="s">
        <v>33</v>
      </c>
      <c r="E26" s="389" t="s">
        <v>35</v>
      </c>
      <c r="F26" s="390" t="s">
        <v>30</v>
      </c>
      <c r="G26" s="512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s="159" customFormat="1" x14ac:dyDescent="0.25">
      <c r="A27" s="396"/>
      <c r="B27" s="397"/>
      <c r="C27" s="362"/>
      <c r="D27" s="363" t="s">
        <v>21</v>
      </c>
      <c r="E27" s="247">
        <v>0</v>
      </c>
      <c r="F27" s="364">
        <f t="shared" ref="F27:F33" si="3">C27*E27</f>
        <v>0</v>
      </c>
      <c r="G27" s="509"/>
      <c r="H27" s="366">
        <v>0</v>
      </c>
      <c r="I27" s="364">
        <f t="shared" ref="I27:I33" si="4">G27*H27</f>
        <v>0</v>
      </c>
      <c r="J27" s="367"/>
      <c r="K27" s="510">
        <f t="shared" ref="K27:K33" si="5">F27+I27+J27</f>
        <v>0</v>
      </c>
      <c r="L27" s="369"/>
      <c r="M27" s="370"/>
      <c r="N27" s="371"/>
      <c r="O27" s="372"/>
      <c r="P27" s="373"/>
      <c r="Q27" s="374"/>
    </row>
    <row r="28" spans="1:17" s="159" customFormat="1" x14ac:dyDescent="0.25">
      <c r="A28" s="361"/>
      <c r="B28" s="5"/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L28" s="369"/>
      <c r="M28" s="370"/>
      <c r="N28" s="371"/>
      <c r="O28" s="372"/>
      <c r="P28" s="373"/>
      <c r="Q28" s="374"/>
    </row>
    <row r="29" spans="1:17" s="159" customFormat="1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s="159" customFormat="1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372"/>
      <c r="P30" s="373"/>
      <c r="Q30" s="374"/>
    </row>
    <row r="31" spans="1:17" s="159" customFormat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369"/>
      <c r="M31" s="370"/>
      <c r="N31" s="371"/>
      <c r="O31" s="372"/>
      <c r="P31" s="373"/>
      <c r="Q31" s="374"/>
    </row>
    <row r="32" spans="1:17" s="159" customFormat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L32" s="369"/>
      <c r="M32" s="370"/>
      <c r="N32" s="371"/>
      <c r="O32" s="372"/>
      <c r="P32" s="373"/>
      <c r="Q32" s="374"/>
    </row>
    <row r="33" spans="1:17" s="159" customFormat="1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L33" s="369"/>
      <c r="M33" s="370"/>
      <c r="N33" s="371"/>
      <c r="O33" s="372"/>
      <c r="P33" s="373"/>
      <c r="Q33" s="374"/>
    </row>
    <row r="34" spans="1:17" s="159" customFormat="1" ht="13.8" thickBot="1" x14ac:dyDescent="0.3">
      <c r="A34" s="361"/>
      <c r="B34" s="5"/>
      <c r="C34" s="379"/>
      <c r="D34" s="363"/>
      <c r="E34" s="247"/>
      <c r="F34" s="364"/>
      <c r="G34" s="509"/>
      <c r="H34" s="366"/>
      <c r="I34" s="364"/>
      <c r="J34" s="367"/>
      <c r="K34" s="514"/>
      <c r="L34" s="369"/>
      <c r="M34" s="370"/>
      <c r="N34" s="371"/>
      <c r="O34" s="372"/>
      <c r="P34" s="373"/>
      <c r="Q34" s="374"/>
    </row>
    <row r="35" spans="1:17" s="159" customFormat="1" ht="13.8" thickTop="1" x14ac:dyDescent="0.25">
      <c r="A35" s="378"/>
      <c r="B35" s="5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17" s="159" customFormat="1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17" s="159" customFormat="1" ht="16.2" thickBot="1" x14ac:dyDescent="0.35">
      <c r="A37" s="385"/>
      <c r="B37" s="386"/>
      <c r="C37" s="387" t="s">
        <v>19</v>
      </c>
      <c r="D37" s="388" t="s">
        <v>33</v>
      </c>
      <c r="E37" s="389" t="s">
        <v>35</v>
      </c>
      <c r="F37" s="390" t="s">
        <v>30</v>
      </c>
      <c r="G37" s="512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17" s="159" customFormat="1" x14ac:dyDescent="0.25">
      <c r="A38" s="396"/>
      <c r="B38" s="397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249"/>
      <c r="N38" s="409"/>
      <c r="O38" s="401"/>
      <c r="P38" s="402"/>
      <c r="Q38" s="374"/>
    </row>
    <row r="39" spans="1:17" s="159" customFormat="1" x14ac:dyDescent="0.25">
      <c r="A39" s="361"/>
      <c r="B39" s="5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367"/>
      <c r="K39" s="510">
        <f>F39+I39+J39</f>
        <v>0</v>
      </c>
      <c r="L39" s="369"/>
      <c r="M39" s="249"/>
      <c r="N39" s="409"/>
      <c r="O39" s="401"/>
      <c r="P39" s="402"/>
      <c r="Q39" s="374"/>
    </row>
    <row r="40" spans="1:17" s="159" customFormat="1" x14ac:dyDescent="0.25">
      <c r="A40" s="361"/>
      <c r="B40" s="5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L40" s="369"/>
      <c r="M40" s="249"/>
      <c r="N40" s="409"/>
      <c r="O40" s="401"/>
      <c r="P40" s="402"/>
      <c r="Q40" s="374"/>
    </row>
    <row r="41" spans="1:17" s="159" customFormat="1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67"/>
      <c r="K41" s="514"/>
      <c r="L41" s="369"/>
      <c r="M41" s="249"/>
      <c r="N41" s="409"/>
      <c r="O41" s="401"/>
      <c r="P41" s="402"/>
      <c r="Q41" s="374"/>
    </row>
    <row r="42" spans="1:17" s="159" customFormat="1" ht="13.8" thickBot="1" x14ac:dyDescent="0.3">
      <c r="A42" s="378"/>
      <c r="B42" s="403"/>
      <c r="C42" s="379"/>
      <c r="D42" s="363"/>
      <c r="E42" s="247"/>
      <c r="F42" s="364"/>
      <c r="G42" s="509"/>
      <c r="H42" s="366"/>
      <c r="I42" s="364"/>
      <c r="J42" s="367"/>
      <c r="K42" s="514"/>
      <c r="L42" s="369"/>
      <c r="M42" s="249"/>
      <c r="N42" s="409"/>
      <c r="O42" s="401"/>
      <c r="P42" s="402"/>
      <c r="Q42" s="374"/>
    </row>
    <row r="43" spans="1:17" s="159" customFormat="1" ht="13.8" thickTop="1" x14ac:dyDescent="0.25">
      <c r="A43" s="378"/>
      <c r="B43" s="403"/>
      <c r="C43" s="379"/>
      <c r="D43" s="363"/>
      <c r="E43" s="247"/>
      <c r="F43" s="364"/>
      <c r="G43" s="509"/>
      <c r="H43" s="366"/>
      <c r="I43" s="364"/>
      <c r="J43" s="380" t="s">
        <v>30</v>
      </c>
      <c r="K43" s="511">
        <f>SUM(K38:K42)</f>
        <v>0</v>
      </c>
      <c r="L43" s="369"/>
      <c r="M43" s="249"/>
      <c r="N43" s="371"/>
      <c r="O43" s="372"/>
      <c r="P43" s="373"/>
      <c r="Q43" s="374"/>
    </row>
    <row r="44" spans="1:17" s="159" customFormat="1" ht="13.8" thickBot="1" x14ac:dyDescent="0.3">
      <c r="A44" s="344" t="s">
        <v>0</v>
      </c>
      <c r="B44" s="345" t="s">
        <v>1</v>
      </c>
      <c r="C44" s="1028" t="s">
        <v>646</v>
      </c>
      <c r="D44" s="1028"/>
      <c r="E44" s="1028"/>
      <c r="F44" s="1028"/>
      <c r="G44" s="1028" t="s">
        <v>34</v>
      </c>
      <c r="H44" s="1028"/>
      <c r="I44" s="1028"/>
      <c r="J44" s="346"/>
      <c r="K44" s="503"/>
      <c r="L44" s="382"/>
      <c r="M44" s="346"/>
      <c r="N44" s="384"/>
      <c r="O44" s="372"/>
      <c r="P44" s="373"/>
      <c r="Q44" s="374"/>
    </row>
    <row r="45" spans="1:17" s="159" customFormat="1" ht="16.2" thickBot="1" x14ac:dyDescent="0.35">
      <c r="A45" s="385"/>
      <c r="B45" s="386"/>
      <c r="C45" s="387" t="s">
        <v>19</v>
      </c>
      <c r="D45" s="388" t="s">
        <v>33</v>
      </c>
      <c r="E45" s="389" t="s">
        <v>35</v>
      </c>
      <c r="F45" s="390" t="s">
        <v>30</v>
      </c>
      <c r="G45" s="512" t="s">
        <v>14</v>
      </c>
      <c r="H45" s="389" t="s">
        <v>35</v>
      </c>
      <c r="I45" s="390" t="s">
        <v>30</v>
      </c>
      <c r="J45" s="355" t="s">
        <v>649</v>
      </c>
      <c r="K45" s="513" t="s">
        <v>38</v>
      </c>
      <c r="L45" s="393"/>
      <c r="M45" s="399"/>
      <c r="N45" s="395"/>
      <c r="O45" s="372"/>
      <c r="P45" s="402"/>
      <c r="Q45" s="374"/>
    </row>
    <row r="46" spans="1:17" s="159" customFormat="1" x14ac:dyDescent="0.25">
      <c r="A46" s="396"/>
      <c r="B46" s="397"/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371"/>
      <c r="O46" s="372"/>
      <c r="P46" s="373"/>
      <c r="Q46" s="374"/>
    </row>
    <row r="47" spans="1:17" s="159" customFormat="1" x14ac:dyDescent="0.25">
      <c r="A47" s="361"/>
      <c r="B47" s="5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369"/>
      <c r="M47" s="249"/>
      <c r="N47" s="371"/>
      <c r="O47" s="372"/>
      <c r="P47" s="373"/>
      <c r="Q47" s="374"/>
    </row>
    <row r="48" spans="1:17" s="159" customFormat="1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369"/>
      <c r="M48" s="249"/>
      <c r="N48" s="371"/>
      <c r="O48" s="372"/>
      <c r="P48" s="373"/>
      <c r="Q48" s="374"/>
    </row>
    <row r="49" spans="1:17" s="159" customFormat="1" x14ac:dyDescent="0.25">
      <c r="A49" s="361"/>
      <c r="B49" s="5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369"/>
      <c r="M49" s="249"/>
      <c r="N49" s="371"/>
      <c r="O49" s="372"/>
      <c r="P49" s="373"/>
      <c r="Q49" s="374"/>
    </row>
    <row r="50" spans="1:17" s="159" customFormat="1" ht="13.8" thickBot="1" x14ac:dyDescent="0.3">
      <c r="A50" s="378"/>
      <c r="B50" s="403"/>
      <c r="C50" s="362"/>
      <c r="D50" s="363"/>
      <c r="E50" s="247"/>
      <c r="F50" s="364"/>
      <c r="G50" s="509"/>
      <c r="H50" s="366"/>
      <c r="I50" s="364"/>
      <c r="J50" s="367"/>
      <c r="K50" s="510"/>
      <c r="L50" s="369"/>
      <c r="M50" s="249"/>
      <c r="N50" s="371"/>
      <c r="O50" s="372"/>
      <c r="P50" s="373"/>
      <c r="Q50" s="374"/>
    </row>
    <row r="51" spans="1:17" s="159" customFormat="1" ht="14.4" thickTop="1" thickBot="1" x14ac:dyDescent="0.3">
      <c r="A51" s="450"/>
      <c r="B51" s="156"/>
      <c r="C51" s="451"/>
      <c r="D51" s="452"/>
      <c r="E51" s="453"/>
      <c r="F51" s="454"/>
      <c r="G51" s="591"/>
      <c r="H51" s="453"/>
      <c r="I51" s="454"/>
      <c r="J51" s="456" t="s">
        <v>30</v>
      </c>
      <c r="K51" s="592">
        <f>SUM(K46:K50)</f>
        <v>0</v>
      </c>
      <c r="L51" s="515"/>
      <c r="M51" s="249"/>
      <c r="N51" s="516"/>
      <c r="O51" s="519"/>
      <c r="P51" s="520"/>
      <c r="Q51" s="374"/>
    </row>
    <row r="52" spans="1:17" s="159" customFormat="1" ht="14.1" customHeight="1" thickTop="1" x14ac:dyDescent="0.25">
      <c r="A52" s="458"/>
      <c r="B52" s="459"/>
      <c r="C52" s="460"/>
      <c r="D52" s="460"/>
      <c r="E52" s="461"/>
      <c r="F52" s="1038" t="s">
        <v>648</v>
      </c>
      <c r="G52" s="1040" t="s">
        <v>673</v>
      </c>
      <c r="H52" s="461"/>
      <c r="I52" s="1042" t="s">
        <v>647</v>
      </c>
      <c r="J52" s="1044" t="s">
        <v>674</v>
      </c>
      <c r="K52" s="1046" t="s">
        <v>31</v>
      </c>
      <c r="L52" s="609"/>
      <c r="M52" s="522"/>
      <c r="N52" s="523"/>
      <c r="O52" s="524"/>
      <c r="P52" s="524"/>
      <c r="Q52" s="525"/>
    </row>
    <row r="53" spans="1:17" s="159" customFormat="1" ht="13.8" x14ac:dyDescent="0.25">
      <c r="A53" s="462" t="s">
        <v>32</v>
      </c>
      <c r="B53" s="1031" t="s">
        <v>665</v>
      </c>
      <c r="C53" s="463"/>
      <c r="D53" s="464"/>
      <c r="E53" s="464"/>
      <c r="F53" s="1039"/>
      <c r="G53" s="1041"/>
      <c r="H53" s="465"/>
      <c r="I53" s="1043"/>
      <c r="J53" s="1045"/>
      <c r="K53" s="1047"/>
      <c r="M53" s="249"/>
      <c r="N53" s="157"/>
      <c r="O53" s="527"/>
      <c r="P53" s="527"/>
      <c r="Q53" s="528"/>
    </row>
    <row r="54" spans="1:17" s="159" customFormat="1" ht="13.8" x14ac:dyDescent="0.25">
      <c r="A54" s="780">
        <f>K54/E6</f>
        <v>0</v>
      </c>
      <c r="B54" s="1031"/>
      <c r="C54" s="464"/>
      <c r="D54" s="464"/>
      <c r="E54" s="464"/>
      <c r="F54" s="1032">
        <f>SUM(F46:F50,F38:F42,F27:F34,F11:F23)</f>
        <v>0</v>
      </c>
      <c r="G54" s="1034">
        <f>SUM(G46:G50,G38:G42,G27:G34,G11:G23)</f>
        <v>0</v>
      </c>
      <c r="H54" s="465"/>
      <c r="I54" s="1032">
        <f>SUM(I46:I50,I38:I42,I27:I34,I11:I23)</f>
        <v>0</v>
      </c>
      <c r="J54" s="1032">
        <f>SUM(J46:J50,J38:J42,J27:J34,J11:J23)</f>
        <v>0</v>
      </c>
      <c r="K54" s="1036">
        <f>K51+K43+K35+K24</f>
        <v>0</v>
      </c>
      <c r="M54" s="249"/>
      <c r="N54" s="157"/>
      <c r="O54" s="528"/>
      <c r="P54" s="528"/>
      <c r="Q54" s="528"/>
    </row>
    <row r="55" spans="1:17" s="159" customFormat="1" ht="14.4" thickBot="1" x14ac:dyDescent="0.3">
      <c r="A55" s="462"/>
      <c r="B55" s="529"/>
      <c r="C55" s="468"/>
      <c r="D55" s="468"/>
      <c r="E55" s="468"/>
      <c r="F55" s="1033"/>
      <c r="G55" s="1035"/>
      <c r="H55" s="468"/>
      <c r="I55" s="1033"/>
      <c r="J55" s="1033"/>
      <c r="K55" s="1037"/>
      <c r="M55" s="249"/>
      <c r="N55" s="157"/>
      <c r="O55" s="527"/>
      <c r="P55" s="527"/>
      <c r="Q55" s="528"/>
    </row>
    <row r="56" spans="1:17" s="159" customFormat="1" ht="13.8" thickBot="1" x14ac:dyDescent="0.3">
      <c r="A56" s="469"/>
      <c r="B56" s="470"/>
      <c r="C56" s="470"/>
      <c r="D56" s="470"/>
      <c r="E56" s="470"/>
      <c r="F56" s="470"/>
      <c r="G56" s="470"/>
      <c r="H56" s="470"/>
      <c r="I56" s="470"/>
      <c r="J56" s="470"/>
      <c r="K56" s="470"/>
      <c r="M56" s="249"/>
      <c r="N56" s="157"/>
      <c r="O56" s="527"/>
      <c r="P56" s="527"/>
      <c r="Q56" s="528"/>
    </row>
    <row r="57" spans="1:17" s="159" customFormat="1" x14ac:dyDescent="0.25">
      <c r="C57" s="611"/>
      <c r="D57" s="611"/>
      <c r="J57" s="266"/>
      <c r="M57" s="249"/>
      <c r="N57" s="157"/>
      <c r="O57" s="527"/>
      <c r="P57" s="527"/>
      <c r="Q57" s="528"/>
    </row>
    <row r="58" spans="1:17" s="159" customFormat="1" x14ac:dyDescent="0.25">
      <c r="C58" s="611"/>
      <c r="D58" s="611"/>
      <c r="J58" s="266"/>
      <c r="M58" s="249"/>
      <c r="N58" s="157"/>
      <c r="O58" s="527"/>
      <c r="P58" s="527"/>
      <c r="Q58" s="528"/>
    </row>
    <row r="59" spans="1:17" s="159" customFormat="1" x14ac:dyDescent="0.25">
      <c r="C59" s="611"/>
      <c r="D59" s="611"/>
      <c r="J59" s="266"/>
      <c r="M59" s="249"/>
      <c r="N59" s="157"/>
      <c r="O59" s="527"/>
      <c r="P59" s="527"/>
      <c r="Q59" s="528"/>
    </row>
    <row r="60" spans="1:17" s="159" customFormat="1" x14ac:dyDescent="0.25">
      <c r="C60" s="611"/>
      <c r="D60" s="611"/>
      <c r="J60" s="266"/>
      <c r="M60" s="249"/>
      <c r="N60" s="157"/>
      <c r="O60" s="527"/>
      <c r="P60" s="527"/>
      <c r="Q60" s="528"/>
    </row>
    <row r="61" spans="1:17" s="159" customFormat="1" x14ac:dyDescent="0.25">
      <c r="C61" s="611"/>
      <c r="D61" s="611"/>
      <c r="J61" s="266"/>
      <c r="M61" s="249"/>
      <c r="N61" s="157"/>
      <c r="O61" s="527"/>
      <c r="P61" s="527"/>
      <c r="Q61" s="528"/>
    </row>
    <row r="62" spans="1:17" s="159" customFormat="1" x14ac:dyDescent="0.25">
      <c r="C62" s="611"/>
      <c r="D62" s="611"/>
      <c r="J62" s="266"/>
      <c r="M62" s="249"/>
      <c r="N62" s="157"/>
      <c r="O62" s="527"/>
      <c r="P62" s="527"/>
      <c r="Q62" s="528"/>
    </row>
    <row r="63" spans="1:17" s="159" customFormat="1" x14ac:dyDescent="0.25">
      <c r="C63" s="611"/>
      <c r="D63" s="611"/>
      <c r="J63" s="266"/>
      <c r="M63" s="249"/>
      <c r="N63" s="157"/>
      <c r="O63" s="527"/>
      <c r="P63" s="527"/>
      <c r="Q63" s="528"/>
    </row>
    <row r="64" spans="1:17" s="159" customFormat="1" x14ac:dyDescent="0.25">
      <c r="C64" s="611"/>
      <c r="D64" s="611"/>
      <c r="J64" s="266"/>
      <c r="M64" s="268"/>
      <c r="N64" s="157"/>
      <c r="O64" s="294"/>
      <c r="P64" s="294"/>
    </row>
    <row r="65" spans="3:16" s="159" customFormat="1" x14ac:dyDescent="0.25">
      <c r="C65" s="611"/>
      <c r="D65" s="611"/>
      <c r="J65" s="266"/>
      <c r="M65" s="268"/>
      <c r="N65" s="157"/>
      <c r="O65" s="294"/>
      <c r="P65" s="294"/>
    </row>
    <row r="66" spans="3:16" s="159" customFormat="1" x14ac:dyDescent="0.25">
      <c r="C66" s="611"/>
      <c r="D66" s="611"/>
      <c r="J66" s="266"/>
      <c r="M66" s="268"/>
      <c r="N66" s="157"/>
      <c r="O66" s="294"/>
      <c r="P66" s="294"/>
    </row>
    <row r="67" spans="3:16" s="159" customFormat="1" x14ac:dyDescent="0.25">
      <c r="C67" s="611"/>
      <c r="D67" s="611"/>
      <c r="J67" s="266"/>
      <c r="M67" s="268"/>
      <c r="N67" s="157"/>
      <c r="O67" s="294"/>
      <c r="P67" s="294"/>
    </row>
    <row r="68" spans="3:16" s="159" customFormat="1" x14ac:dyDescent="0.25">
      <c r="C68" s="611"/>
      <c r="D68" s="611"/>
      <c r="J68" s="266"/>
      <c r="M68" s="268"/>
      <c r="N68" s="157"/>
      <c r="O68" s="294"/>
      <c r="P68" s="294"/>
    </row>
    <row r="69" spans="3:16" s="159" customFormat="1" x14ac:dyDescent="0.25">
      <c r="C69" s="611"/>
      <c r="D69" s="611"/>
      <c r="J69" s="266"/>
      <c r="M69" s="268"/>
      <c r="N69" s="157"/>
      <c r="O69" s="294"/>
      <c r="P69" s="294"/>
    </row>
    <row r="70" spans="3:16" s="159" customFormat="1" x14ac:dyDescent="0.25">
      <c r="C70" s="611"/>
      <c r="D70" s="611"/>
      <c r="J70" s="266"/>
      <c r="M70" s="268"/>
      <c r="N70" s="157"/>
      <c r="O70" s="294"/>
      <c r="P70" s="294"/>
    </row>
    <row r="71" spans="3:16" s="159" customFormat="1" x14ac:dyDescent="0.25">
      <c r="C71" s="611"/>
      <c r="D71" s="611"/>
      <c r="J71" s="266"/>
      <c r="M71" s="268"/>
      <c r="N71" s="157"/>
      <c r="O71" s="294"/>
      <c r="P71" s="294"/>
    </row>
    <row r="72" spans="3:16" s="159" customFormat="1" x14ac:dyDescent="0.25">
      <c r="C72" s="611"/>
      <c r="D72" s="611"/>
      <c r="J72" s="266"/>
      <c r="M72" s="268"/>
      <c r="N72" s="157"/>
      <c r="O72" s="294"/>
      <c r="P72" s="294"/>
    </row>
    <row r="73" spans="3:16" s="159" customFormat="1" x14ac:dyDescent="0.25">
      <c r="C73" s="611"/>
      <c r="D73" s="611"/>
      <c r="J73" s="266"/>
      <c r="M73" s="268"/>
      <c r="N73" s="157"/>
      <c r="O73" s="294"/>
      <c r="P73" s="294"/>
    </row>
    <row r="74" spans="3:16" s="159" customFormat="1" x14ac:dyDescent="0.25">
      <c r="C74" s="611"/>
      <c r="D74" s="611"/>
      <c r="J74" s="266"/>
      <c r="M74" s="268"/>
      <c r="N74" s="157"/>
      <c r="O74" s="294"/>
      <c r="P74" s="294"/>
    </row>
    <row r="75" spans="3:16" s="159" customFormat="1" x14ac:dyDescent="0.25">
      <c r="C75" s="611"/>
      <c r="D75" s="611"/>
      <c r="J75" s="266"/>
      <c r="M75" s="268"/>
      <c r="N75" s="157"/>
      <c r="O75" s="294"/>
      <c r="P75" s="294"/>
    </row>
    <row r="76" spans="3:16" s="159" customFormat="1" x14ac:dyDescent="0.25">
      <c r="C76" s="611"/>
      <c r="D76" s="611"/>
      <c r="J76" s="266"/>
      <c r="M76" s="268"/>
      <c r="N76" s="157"/>
      <c r="O76" s="294"/>
      <c r="P76" s="294"/>
    </row>
    <row r="77" spans="3:16" s="159" customFormat="1" x14ac:dyDescent="0.25">
      <c r="C77" s="611"/>
      <c r="D77" s="611"/>
      <c r="J77" s="266"/>
      <c r="M77" s="268"/>
      <c r="N77" s="157"/>
      <c r="O77" s="294"/>
      <c r="P77" s="294"/>
    </row>
    <row r="78" spans="3:16" s="159" customFormat="1" x14ac:dyDescent="0.25">
      <c r="C78" s="611"/>
      <c r="D78" s="611"/>
      <c r="J78" s="266"/>
      <c r="M78" s="268"/>
      <c r="N78" s="157"/>
      <c r="O78" s="294"/>
      <c r="P78" s="294"/>
    </row>
    <row r="79" spans="3:16" s="159" customFormat="1" x14ac:dyDescent="0.25">
      <c r="C79" s="611"/>
      <c r="D79" s="611"/>
      <c r="J79" s="266"/>
      <c r="M79" s="268"/>
      <c r="N79" s="157"/>
      <c r="O79" s="294"/>
      <c r="P79" s="294"/>
    </row>
    <row r="80" spans="3:16" s="159" customFormat="1" x14ac:dyDescent="0.25">
      <c r="C80" s="611"/>
      <c r="D80" s="611"/>
      <c r="J80" s="266"/>
      <c r="M80" s="268"/>
      <c r="N80" s="157"/>
      <c r="O80" s="294"/>
      <c r="P80" s="294"/>
    </row>
    <row r="81" spans="3:16" s="159" customFormat="1" x14ac:dyDescent="0.25">
      <c r="C81" s="611"/>
      <c r="D81" s="611"/>
      <c r="J81" s="266"/>
      <c r="M81" s="268"/>
      <c r="N81" s="157"/>
      <c r="O81" s="294"/>
      <c r="P81" s="294"/>
    </row>
    <row r="82" spans="3:16" s="159" customFormat="1" x14ac:dyDescent="0.25">
      <c r="C82" s="611"/>
      <c r="D82" s="611"/>
      <c r="J82" s="266"/>
      <c r="M82" s="268"/>
      <c r="N82" s="157"/>
      <c r="O82" s="294"/>
      <c r="P82" s="294"/>
    </row>
    <row r="83" spans="3:16" s="159" customFormat="1" x14ac:dyDescent="0.25">
      <c r="C83" s="611"/>
      <c r="D83" s="611"/>
      <c r="J83" s="266"/>
      <c r="M83" s="268"/>
      <c r="N83" s="157"/>
      <c r="O83" s="294"/>
      <c r="P83" s="294"/>
    </row>
    <row r="84" spans="3:16" s="159" customFormat="1" x14ac:dyDescent="0.25">
      <c r="C84" s="611"/>
      <c r="D84" s="611"/>
      <c r="J84" s="266"/>
      <c r="M84" s="268"/>
      <c r="N84" s="157"/>
      <c r="O84" s="294"/>
      <c r="P84" s="294"/>
    </row>
    <row r="85" spans="3:16" s="159" customFormat="1" x14ac:dyDescent="0.25">
      <c r="C85" s="611"/>
      <c r="D85" s="611"/>
      <c r="J85" s="266"/>
      <c r="M85" s="268"/>
      <c r="N85" s="157"/>
      <c r="O85" s="294"/>
      <c r="P85" s="294"/>
    </row>
    <row r="86" spans="3:16" s="159" customFormat="1" x14ac:dyDescent="0.25">
      <c r="C86" s="611"/>
      <c r="D86" s="611"/>
      <c r="J86" s="266"/>
      <c r="M86" s="268"/>
      <c r="N86" s="157"/>
      <c r="O86" s="294"/>
      <c r="P86" s="294"/>
    </row>
    <row r="87" spans="3:16" s="159" customFormat="1" x14ac:dyDescent="0.25">
      <c r="C87" s="611"/>
      <c r="D87" s="611"/>
      <c r="J87" s="266"/>
      <c r="M87" s="268"/>
      <c r="N87" s="157"/>
      <c r="O87" s="294"/>
      <c r="P87" s="294"/>
    </row>
    <row r="88" spans="3:16" s="159" customFormat="1" x14ac:dyDescent="0.25">
      <c r="C88" s="611"/>
      <c r="D88" s="611"/>
      <c r="J88" s="266"/>
      <c r="M88" s="268"/>
      <c r="N88" s="157"/>
      <c r="O88" s="294"/>
      <c r="P88" s="294"/>
    </row>
    <row r="89" spans="3:16" s="159" customFormat="1" x14ac:dyDescent="0.25">
      <c r="C89" s="611"/>
      <c r="D89" s="611"/>
      <c r="J89" s="266"/>
      <c r="M89" s="268"/>
      <c r="N89" s="157"/>
      <c r="O89" s="294"/>
      <c r="P89" s="294"/>
    </row>
    <row r="90" spans="3:16" s="159" customFormat="1" x14ac:dyDescent="0.25">
      <c r="C90" s="611"/>
      <c r="D90" s="611"/>
      <c r="J90" s="266"/>
      <c r="M90" s="268"/>
      <c r="N90" s="157"/>
      <c r="O90" s="294"/>
      <c r="P90" s="294"/>
    </row>
    <row r="91" spans="3:16" s="159" customFormat="1" x14ac:dyDescent="0.25">
      <c r="C91" s="611"/>
      <c r="D91" s="611"/>
      <c r="J91" s="266"/>
      <c r="M91" s="268"/>
      <c r="N91" s="157"/>
      <c r="O91" s="294"/>
      <c r="P91" s="294"/>
    </row>
    <row r="92" spans="3:16" s="159" customFormat="1" x14ac:dyDescent="0.25">
      <c r="C92" s="611"/>
      <c r="D92" s="611"/>
      <c r="J92" s="266"/>
      <c r="M92" s="268"/>
      <c r="N92" s="157"/>
      <c r="O92" s="294"/>
      <c r="P92" s="294"/>
    </row>
    <row r="93" spans="3:16" s="159" customFormat="1" x14ac:dyDescent="0.25">
      <c r="C93" s="611"/>
      <c r="D93" s="611"/>
      <c r="J93" s="266"/>
      <c r="M93" s="268"/>
      <c r="N93" s="157"/>
      <c r="O93" s="294"/>
      <c r="P93" s="294"/>
    </row>
    <row r="94" spans="3:16" s="159" customFormat="1" x14ac:dyDescent="0.25">
      <c r="C94" s="611"/>
      <c r="D94" s="611"/>
      <c r="J94" s="266"/>
      <c r="M94" s="268"/>
      <c r="N94" s="157"/>
      <c r="O94" s="294"/>
      <c r="P94" s="294"/>
    </row>
    <row r="95" spans="3:16" s="159" customFormat="1" x14ac:dyDescent="0.25">
      <c r="C95" s="611"/>
      <c r="D95" s="611"/>
      <c r="J95" s="266"/>
      <c r="M95" s="268"/>
      <c r="N95" s="157"/>
      <c r="O95" s="294"/>
      <c r="P95" s="294"/>
    </row>
    <row r="96" spans="3:16" s="159" customFormat="1" x14ac:dyDescent="0.25">
      <c r="C96" s="611"/>
      <c r="D96" s="611"/>
      <c r="J96" s="266"/>
      <c r="M96" s="268"/>
      <c r="N96" s="157"/>
      <c r="O96" s="294"/>
      <c r="P96" s="294"/>
    </row>
    <row r="97" spans="3:16" s="159" customFormat="1" x14ac:dyDescent="0.25">
      <c r="C97" s="611"/>
      <c r="D97" s="611"/>
      <c r="J97" s="266"/>
      <c r="M97" s="268"/>
      <c r="N97" s="157"/>
      <c r="O97" s="294"/>
      <c r="P97" s="294"/>
    </row>
    <row r="98" spans="3:16" s="159" customFormat="1" x14ac:dyDescent="0.25">
      <c r="C98" s="611"/>
      <c r="D98" s="611"/>
      <c r="J98" s="266"/>
      <c r="M98" s="268"/>
      <c r="N98" s="157"/>
      <c r="O98" s="294"/>
      <c r="P98" s="294"/>
    </row>
    <row r="99" spans="3:16" s="159" customFormat="1" x14ac:dyDescent="0.25">
      <c r="C99" s="611"/>
      <c r="D99" s="611"/>
      <c r="J99" s="266"/>
      <c r="M99" s="268"/>
      <c r="N99" s="157"/>
      <c r="O99" s="294"/>
      <c r="P99" s="294"/>
    </row>
    <row r="100" spans="3:16" s="159" customFormat="1" x14ac:dyDescent="0.25">
      <c r="C100" s="611"/>
      <c r="D100" s="611"/>
      <c r="J100" s="266"/>
      <c r="M100" s="268"/>
      <c r="N100" s="157"/>
      <c r="O100" s="294"/>
      <c r="P100" s="294"/>
    </row>
    <row r="101" spans="3:16" s="159" customFormat="1" x14ac:dyDescent="0.25">
      <c r="C101" s="611"/>
      <c r="D101" s="611"/>
      <c r="J101" s="266"/>
      <c r="M101" s="268"/>
      <c r="N101" s="157"/>
      <c r="O101" s="294"/>
      <c r="P101" s="294"/>
    </row>
    <row r="102" spans="3:16" s="159" customFormat="1" x14ac:dyDescent="0.25">
      <c r="C102" s="611"/>
      <c r="D102" s="611"/>
      <c r="J102" s="266"/>
      <c r="M102" s="268"/>
      <c r="N102" s="157"/>
      <c r="O102" s="294"/>
      <c r="P102" s="294"/>
    </row>
    <row r="103" spans="3:16" s="159" customFormat="1" x14ac:dyDescent="0.25">
      <c r="C103" s="611"/>
      <c r="D103" s="611"/>
      <c r="J103" s="266"/>
      <c r="M103" s="268"/>
      <c r="N103" s="157"/>
      <c r="O103" s="294"/>
      <c r="P103" s="294"/>
    </row>
    <row r="104" spans="3:16" s="159" customFormat="1" x14ac:dyDescent="0.25">
      <c r="C104" s="611"/>
      <c r="D104" s="611"/>
      <c r="J104" s="266"/>
      <c r="M104" s="268"/>
      <c r="N104" s="157"/>
      <c r="O104" s="294"/>
      <c r="P104" s="294"/>
    </row>
    <row r="105" spans="3:16" s="159" customFormat="1" x14ac:dyDescent="0.25">
      <c r="C105" s="611"/>
      <c r="D105" s="611"/>
      <c r="J105" s="266"/>
      <c r="M105" s="268"/>
      <c r="N105" s="157"/>
      <c r="O105" s="294"/>
      <c r="P105" s="294"/>
    </row>
    <row r="106" spans="3:16" s="159" customFormat="1" x14ac:dyDescent="0.25">
      <c r="C106" s="611"/>
      <c r="D106" s="611"/>
      <c r="J106" s="266"/>
      <c r="M106" s="268"/>
      <c r="N106" s="157"/>
      <c r="O106" s="294"/>
      <c r="P106" s="294"/>
    </row>
    <row r="107" spans="3:16" s="159" customFormat="1" x14ac:dyDescent="0.25">
      <c r="C107" s="611"/>
      <c r="D107" s="611"/>
      <c r="J107" s="266"/>
      <c r="M107" s="268"/>
      <c r="N107" s="157"/>
      <c r="O107" s="294"/>
      <c r="P107" s="294"/>
    </row>
    <row r="108" spans="3:16" s="159" customFormat="1" x14ac:dyDescent="0.25">
      <c r="C108" s="611"/>
      <c r="D108" s="611"/>
      <c r="J108" s="266"/>
      <c r="M108" s="268"/>
      <c r="N108" s="157"/>
      <c r="O108" s="294"/>
      <c r="P108" s="294"/>
    </row>
    <row r="109" spans="3:16" s="159" customFormat="1" x14ac:dyDescent="0.25">
      <c r="C109" s="611"/>
      <c r="D109" s="611"/>
      <c r="J109" s="266"/>
      <c r="M109" s="268"/>
      <c r="N109" s="157"/>
      <c r="O109" s="294"/>
      <c r="P109" s="294"/>
    </row>
    <row r="110" spans="3:16" s="159" customFormat="1" x14ac:dyDescent="0.25">
      <c r="C110" s="611"/>
      <c r="D110" s="611"/>
      <c r="J110" s="266"/>
      <c r="M110" s="268"/>
      <c r="N110" s="157"/>
      <c r="O110" s="294"/>
      <c r="P110" s="294"/>
    </row>
    <row r="111" spans="3:16" s="159" customFormat="1" x14ac:dyDescent="0.25">
      <c r="C111" s="611"/>
      <c r="D111" s="611"/>
      <c r="J111" s="266"/>
      <c r="M111" s="268"/>
      <c r="N111" s="157"/>
      <c r="O111" s="294"/>
      <c r="P111" s="294"/>
    </row>
    <row r="112" spans="3:16" s="159" customFormat="1" x14ac:dyDescent="0.25">
      <c r="C112" s="611"/>
      <c r="D112" s="611"/>
      <c r="J112" s="266"/>
      <c r="M112" s="268"/>
      <c r="N112" s="157"/>
      <c r="O112" s="294"/>
      <c r="P112" s="294"/>
    </row>
    <row r="113" spans="3:16" s="159" customFormat="1" x14ac:dyDescent="0.25">
      <c r="C113" s="611"/>
      <c r="D113" s="611"/>
      <c r="J113" s="266"/>
      <c r="M113" s="268"/>
      <c r="N113" s="157"/>
      <c r="O113" s="294"/>
      <c r="P113" s="294"/>
    </row>
    <row r="114" spans="3:16" s="159" customFormat="1" x14ac:dyDescent="0.25">
      <c r="C114" s="611"/>
      <c r="D114" s="611"/>
      <c r="J114" s="266"/>
      <c r="M114" s="268"/>
      <c r="N114" s="157"/>
      <c r="O114" s="294"/>
      <c r="P114" s="294"/>
    </row>
    <row r="115" spans="3:16" s="159" customFormat="1" x14ac:dyDescent="0.25">
      <c r="C115" s="611"/>
      <c r="D115" s="611"/>
      <c r="J115" s="266"/>
      <c r="M115" s="268"/>
      <c r="N115" s="157"/>
      <c r="O115" s="294"/>
      <c r="P115" s="294"/>
    </row>
    <row r="116" spans="3:16" s="159" customFormat="1" x14ac:dyDescent="0.25">
      <c r="C116" s="611"/>
      <c r="D116" s="611"/>
      <c r="J116" s="266"/>
      <c r="M116" s="268"/>
      <c r="N116" s="157"/>
      <c r="O116" s="294"/>
      <c r="P116" s="294"/>
    </row>
    <row r="117" spans="3:16" s="159" customFormat="1" x14ac:dyDescent="0.25">
      <c r="C117" s="611"/>
      <c r="D117" s="611"/>
      <c r="J117" s="266"/>
      <c r="M117" s="268"/>
      <c r="N117" s="157"/>
      <c r="O117" s="294"/>
      <c r="P117" s="294"/>
    </row>
    <row r="118" spans="3:16" s="159" customFormat="1" x14ac:dyDescent="0.25">
      <c r="C118" s="611"/>
      <c r="D118" s="611"/>
      <c r="J118" s="266"/>
      <c r="M118" s="268"/>
      <c r="N118" s="157"/>
      <c r="O118" s="294"/>
      <c r="P118" s="294"/>
    </row>
    <row r="119" spans="3:16" s="159" customFormat="1" x14ac:dyDescent="0.25">
      <c r="C119" s="611"/>
      <c r="D119" s="611"/>
      <c r="J119" s="266"/>
      <c r="M119" s="268"/>
      <c r="N119" s="157"/>
      <c r="O119" s="294"/>
      <c r="P119" s="294"/>
    </row>
    <row r="120" spans="3:16" s="159" customFormat="1" x14ac:dyDescent="0.25">
      <c r="C120" s="611"/>
      <c r="D120" s="611"/>
      <c r="J120" s="266"/>
      <c r="M120" s="268"/>
      <c r="N120" s="157"/>
      <c r="O120" s="294"/>
      <c r="P120" s="294"/>
    </row>
    <row r="121" spans="3:16" s="159" customFormat="1" x14ac:dyDescent="0.25">
      <c r="C121" s="611"/>
      <c r="D121" s="611"/>
      <c r="J121" s="266"/>
      <c r="M121" s="268"/>
      <c r="N121" s="157"/>
      <c r="O121" s="294"/>
      <c r="P121" s="294"/>
    </row>
    <row r="122" spans="3:16" s="159" customFormat="1" x14ac:dyDescent="0.25">
      <c r="C122" s="611"/>
      <c r="D122" s="611"/>
      <c r="J122" s="266"/>
      <c r="M122" s="268"/>
      <c r="N122" s="157"/>
      <c r="O122" s="294"/>
      <c r="P122" s="294"/>
    </row>
    <row r="123" spans="3:16" s="159" customFormat="1" x14ac:dyDescent="0.25">
      <c r="C123" s="611"/>
      <c r="D123" s="611"/>
      <c r="J123" s="266"/>
      <c r="M123" s="268"/>
      <c r="N123" s="157"/>
      <c r="O123" s="294"/>
      <c r="P123" s="294"/>
    </row>
    <row r="124" spans="3:16" s="159" customFormat="1" x14ac:dyDescent="0.25">
      <c r="C124" s="611"/>
      <c r="D124" s="611"/>
      <c r="J124" s="266"/>
      <c r="M124" s="268"/>
      <c r="N124" s="157"/>
      <c r="O124" s="294"/>
      <c r="P124" s="294"/>
    </row>
    <row r="125" spans="3:16" s="159" customFormat="1" x14ac:dyDescent="0.25">
      <c r="C125" s="611"/>
      <c r="D125" s="611"/>
      <c r="J125" s="266"/>
      <c r="M125" s="268"/>
      <c r="N125" s="157"/>
      <c r="O125" s="294"/>
      <c r="P125" s="294"/>
    </row>
    <row r="126" spans="3:16" s="159" customFormat="1" x14ac:dyDescent="0.25">
      <c r="C126" s="611"/>
      <c r="D126" s="611"/>
      <c r="J126" s="266"/>
      <c r="M126" s="268"/>
      <c r="N126" s="157"/>
      <c r="O126" s="294"/>
      <c r="P126" s="294"/>
    </row>
    <row r="127" spans="3:16" s="159" customFormat="1" x14ac:dyDescent="0.25">
      <c r="C127" s="611"/>
      <c r="D127" s="611"/>
      <c r="J127" s="266"/>
      <c r="M127" s="268"/>
      <c r="N127" s="157"/>
      <c r="O127" s="294"/>
      <c r="P127" s="294"/>
    </row>
    <row r="128" spans="3:16" s="159" customFormat="1" x14ac:dyDescent="0.25">
      <c r="C128" s="611"/>
      <c r="D128" s="611"/>
      <c r="J128" s="266"/>
      <c r="M128" s="268"/>
      <c r="N128" s="157"/>
      <c r="O128" s="294"/>
      <c r="P128" s="294"/>
    </row>
    <row r="129" spans="3:16" s="159" customFormat="1" x14ac:dyDescent="0.25">
      <c r="C129" s="611"/>
      <c r="D129" s="611"/>
      <c r="J129" s="266"/>
      <c r="M129" s="268"/>
      <c r="N129" s="157"/>
      <c r="O129" s="294"/>
      <c r="P129" s="294"/>
    </row>
    <row r="130" spans="3:16" s="159" customFormat="1" x14ac:dyDescent="0.25">
      <c r="C130" s="611"/>
      <c r="D130" s="611"/>
      <c r="J130" s="266"/>
      <c r="M130" s="268"/>
      <c r="N130" s="157"/>
      <c r="O130" s="294"/>
      <c r="P130" s="294"/>
    </row>
    <row r="131" spans="3:16" s="159" customFormat="1" x14ac:dyDescent="0.25">
      <c r="C131" s="611"/>
      <c r="D131" s="611"/>
      <c r="J131" s="266"/>
      <c r="M131" s="268"/>
      <c r="N131" s="157"/>
      <c r="O131" s="294"/>
      <c r="P131" s="294"/>
    </row>
    <row r="132" spans="3:16" s="159" customFormat="1" x14ac:dyDescent="0.25">
      <c r="C132" s="611"/>
      <c r="D132" s="611"/>
      <c r="J132" s="266"/>
      <c r="M132" s="268"/>
      <c r="N132" s="157"/>
      <c r="O132" s="294"/>
      <c r="P132" s="294"/>
    </row>
    <row r="133" spans="3:16" s="159" customFormat="1" x14ac:dyDescent="0.25">
      <c r="C133" s="611"/>
      <c r="D133" s="611"/>
      <c r="J133" s="266"/>
      <c r="M133" s="268"/>
      <c r="N133" s="157"/>
      <c r="O133" s="294"/>
      <c r="P133" s="294"/>
    </row>
    <row r="134" spans="3:16" s="159" customFormat="1" x14ac:dyDescent="0.25">
      <c r="C134" s="611"/>
      <c r="D134" s="611"/>
      <c r="J134" s="266"/>
      <c r="M134" s="268"/>
      <c r="N134" s="157"/>
      <c r="O134" s="294"/>
      <c r="P134" s="294"/>
    </row>
    <row r="135" spans="3:16" s="159" customFormat="1" x14ac:dyDescent="0.25">
      <c r="C135" s="611"/>
      <c r="D135" s="611"/>
      <c r="J135" s="266"/>
      <c r="M135" s="268"/>
      <c r="N135" s="157"/>
      <c r="O135" s="294"/>
      <c r="P135" s="294"/>
    </row>
    <row r="136" spans="3:16" s="159" customFormat="1" x14ac:dyDescent="0.25">
      <c r="C136" s="611"/>
      <c r="D136" s="611"/>
      <c r="J136" s="266"/>
      <c r="M136" s="268"/>
      <c r="N136" s="157"/>
      <c r="O136" s="294"/>
      <c r="P136" s="294"/>
    </row>
    <row r="137" spans="3:16" s="159" customFormat="1" x14ac:dyDescent="0.25">
      <c r="C137" s="611"/>
      <c r="D137" s="611"/>
      <c r="J137" s="266"/>
      <c r="M137" s="268"/>
      <c r="N137" s="157"/>
      <c r="O137" s="294"/>
      <c r="P137" s="294"/>
    </row>
    <row r="138" spans="3:16" s="159" customFormat="1" x14ac:dyDescent="0.25">
      <c r="C138" s="611"/>
      <c r="D138" s="611"/>
      <c r="J138" s="266"/>
      <c r="M138" s="268"/>
      <c r="N138" s="157"/>
      <c r="O138" s="294"/>
      <c r="P138" s="294"/>
    </row>
    <row r="139" spans="3:16" s="159" customFormat="1" x14ac:dyDescent="0.25">
      <c r="C139" s="611"/>
      <c r="D139" s="611"/>
      <c r="J139" s="266"/>
      <c r="M139" s="268"/>
      <c r="N139" s="157"/>
      <c r="O139" s="294"/>
      <c r="P139" s="294"/>
    </row>
    <row r="140" spans="3:16" s="159" customFormat="1" x14ac:dyDescent="0.25">
      <c r="C140" s="611"/>
      <c r="D140" s="611"/>
      <c r="J140" s="266"/>
      <c r="M140" s="268"/>
      <c r="N140" s="157"/>
      <c r="O140" s="294"/>
      <c r="P140" s="294"/>
    </row>
    <row r="141" spans="3:16" s="159" customFormat="1" x14ac:dyDescent="0.25">
      <c r="C141" s="611"/>
      <c r="D141" s="611"/>
      <c r="J141" s="266"/>
      <c r="M141" s="268"/>
      <c r="N141" s="157"/>
      <c r="O141" s="294"/>
      <c r="P141" s="294"/>
    </row>
    <row r="142" spans="3:16" s="159" customFormat="1" x14ac:dyDescent="0.25">
      <c r="C142" s="611"/>
      <c r="D142" s="611"/>
      <c r="J142" s="266"/>
      <c r="M142" s="268"/>
      <c r="N142" s="157"/>
      <c r="O142" s="294"/>
      <c r="P142" s="294"/>
    </row>
    <row r="143" spans="3:16" s="159" customFormat="1" x14ac:dyDescent="0.25">
      <c r="C143" s="611"/>
      <c r="D143" s="611"/>
      <c r="J143" s="266"/>
      <c r="M143" s="268"/>
      <c r="N143" s="157"/>
      <c r="O143" s="294"/>
      <c r="P143" s="294"/>
    </row>
    <row r="144" spans="3:16" s="159" customFormat="1" x14ac:dyDescent="0.25">
      <c r="C144" s="611"/>
      <c r="D144" s="611"/>
      <c r="J144" s="266"/>
      <c r="M144" s="268"/>
      <c r="N144" s="157"/>
      <c r="O144" s="294"/>
      <c r="P144" s="294"/>
    </row>
    <row r="145" spans="3:16" s="159" customFormat="1" x14ac:dyDescent="0.25">
      <c r="C145" s="611"/>
      <c r="D145" s="611"/>
      <c r="J145" s="266"/>
      <c r="M145" s="268"/>
      <c r="N145" s="157"/>
      <c r="O145" s="294"/>
      <c r="P145" s="294"/>
    </row>
    <row r="146" spans="3:16" s="159" customFormat="1" x14ac:dyDescent="0.25">
      <c r="C146" s="611"/>
      <c r="D146" s="611"/>
      <c r="J146" s="266"/>
      <c r="M146" s="268"/>
      <c r="N146" s="157"/>
      <c r="O146" s="294"/>
      <c r="P146" s="294"/>
    </row>
    <row r="147" spans="3:16" s="159" customFormat="1" x14ac:dyDescent="0.25">
      <c r="C147" s="611"/>
      <c r="D147" s="611"/>
      <c r="J147" s="266"/>
      <c r="M147" s="268"/>
      <c r="N147" s="157"/>
      <c r="O147" s="294"/>
      <c r="P147" s="294"/>
    </row>
    <row r="148" spans="3:16" s="159" customFormat="1" x14ac:dyDescent="0.25">
      <c r="C148" s="611"/>
      <c r="D148" s="611"/>
      <c r="J148" s="266"/>
      <c r="M148" s="268"/>
      <c r="N148" s="157"/>
      <c r="O148" s="294"/>
      <c r="P148" s="294"/>
    </row>
    <row r="149" spans="3:16" s="159" customFormat="1" x14ac:dyDescent="0.25">
      <c r="C149" s="611"/>
      <c r="D149" s="611"/>
      <c r="J149" s="266"/>
      <c r="M149" s="268"/>
      <c r="N149" s="157"/>
      <c r="O149" s="294"/>
      <c r="P149" s="294"/>
    </row>
    <row r="150" spans="3:16" s="159" customFormat="1" x14ac:dyDescent="0.25">
      <c r="C150" s="611"/>
      <c r="D150" s="611"/>
      <c r="J150" s="266"/>
      <c r="M150" s="268"/>
      <c r="N150" s="157"/>
      <c r="O150" s="294"/>
      <c r="P150" s="294"/>
    </row>
    <row r="151" spans="3:16" s="159" customFormat="1" x14ac:dyDescent="0.25">
      <c r="C151" s="611"/>
      <c r="D151" s="611"/>
      <c r="J151" s="266"/>
      <c r="M151" s="268"/>
      <c r="N151" s="157"/>
      <c r="O151" s="294"/>
      <c r="P151" s="294"/>
    </row>
    <row r="152" spans="3:16" s="159" customFormat="1" x14ac:dyDescent="0.25">
      <c r="C152" s="611"/>
      <c r="D152" s="611"/>
      <c r="J152" s="266"/>
      <c r="M152" s="268"/>
      <c r="N152" s="157"/>
      <c r="O152" s="294"/>
      <c r="P152" s="294"/>
    </row>
    <row r="153" spans="3:16" s="159" customFormat="1" x14ac:dyDescent="0.25">
      <c r="C153" s="611"/>
      <c r="D153" s="611"/>
      <c r="J153" s="266"/>
      <c r="M153" s="268"/>
      <c r="N153" s="157"/>
      <c r="O153" s="294"/>
      <c r="P153" s="294"/>
    </row>
    <row r="154" spans="3:16" s="159" customFormat="1" x14ac:dyDescent="0.25">
      <c r="C154" s="611"/>
      <c r="D154" s="611"/>
      <c r="J154" s="266"/>
      <c r="M154" s="268"/>
      <c r="N154" s="157"/>
      <c r="O154" s="294"/>
      <c r="P154" s="294"/>
    </row>
    <row r="155" spans="3:16" s="159" customFormat="1" x14ac:dyDescent="0.25">
      <c r="C155" s="611"/>
      <c r="D155" s="611"/>
      <c r="J155" s="266"/>
      <c r="M155" s="268"/>
      <c r="N155" s="157"/>
      <c r="O155" s="294"/>
      <c r="P155" s="294"/>
    </row>
    <row r="156" spans="3:16" s="159" customFormat="1" x14ac:dyDescent="0.25">
      <c r="C156" s="611"/>
      <c r="D156" s="611"/>
      <c r="J156" s="266"/>
      <c r="M156" s="268"/>
      <c r="N156" s="157"/>
      <c r="O156" s="294"/>
      <c r="P156" s="294"/>
    </row>
    <row r="157" spans="3:16" s="159" customFormat="1" x14ac:dyDescent="0.25">
      <c r="C157" s="611"/>
      <c r="D157" s="611"/>
      <c r="J157" s="266"/>
      <c r="M157" s="268"/>
      <c r="N157" s="157"/>
      <c r="O157" s="294"/>
      <c r="P157" s="294"/>
    </row>
    <row r="158" spans="3:16" s="159" customFormat="1" x14ac:dyDescent="0.25">
      <c r="C158" s="611"/>
      <c r="D158" s="611"/>
      <c r="J158" s="266"/>
      <c r="M158" s="268"/>
      <c r="N158" s="157"/>
      <c r="O158" s="294"/>
      <c r="P158" s="294"/>
    </row>
    <row r="159" spans="3:16" s="159" customFormat="1" x14ac:dyDescent="0.25">
      <c r="C159" s="611"/>
      <c r="D159" s="611"/>
      <c r="J159" s="266"/>
      <c r="M159" s="268"/>
      <c r="N159" s="157"/>
      <c r="O159" s="294"/>
      <c r="P159" s="294"/>
    </row>
    <row r="160" spans="3:16" s="159" customFormat="1" x14ac:dyDescent="0.25">
      <c r="C160" s="611"/>
      <c r="D160" s="611"/>
      <c r="J160" s="266"/>
      <c r="M160" s="268"/>
      <c r="N160" s="157"/>
      <c r="O160" s="294"/>
      <c r="P160" s="294"/>
    </row>
    <row r="161" spans="3:16" s="159" customFormat="1" x14ac:dyDescent="0.25">
      <c r="C161" s="611"/>
      <c r="D161" s="611"/>
      <c r="J161" s="266"/>
      <c r="M161" s="268"/>
      <c r="N161" s="157"/>
      <c r="O161" s="294"/>
      <c r="P161" s="294"/>
    </row>
    <row r="162" spans="3:16" s="159" customFormat="1" x14ac:dyDescent="0.25">
      <c r="C162" s="611"/>
      <c r="D162" s="611"/>
      <c r="J162" s="266"/>
      <c r="M162" s="268"/>
      <c r="N162" s="157"/>
      <c r="O162" s="294"/>
      <c r="P162" s="294"/>
    </row>
    <row r="163" spans="3:16" s="159" customFormat="1" x14ac:dyDescent="0.25">
      <c r="C163" s="611"/>
      <c r="D163" s="611"/>
      <c r="J163" s="266"/>
      <c r="M163" s="268"/>
      <c r="N163" s="157"/>
      <c r="O163" s="294"/>
      <c r="P163" s="294"/>
    </row>
    <row r="164" spans="3:16" s="159" customFormat="1" x14ac:dyDescent="0.25">
      <c r="C164" s="611"/>
      <c r="D164" s="611"/>
      <c r="J164" s="266"/>
      <c r="M164" s="268"/>
      <c r="N164" s="157"/>
      <c r="O164" s="294"/>
      <c r="P164" s="294"/>
    </row>
    <row r="165" spans="3:16" s="159" customFormat="1" x14ac:dyDescent="0.25">
      <c r="C165" s="611"/>
      <c r="D165" s="611"/>
      <c r="J165" s="266"/>
      <c r="M165" s="268"/>
      <c r="N165" s="157"/>
      <c r="O165" s="294"/>
      <c r="P165" s="294"/>
    </row>
    <row r="166" spans="3:16" s="159" customFormat="1" x14ac:dyDescent="0.25">
      <c r="C166" s="611"/>
      <c r="D166" s="611"/>
      <c r="J166" s="266"/>
      <c r="M166" s="268"/>
      <c r="N166" s="157"/>
      <c r="O166" s="294"/>
      <c r="P166" s="294"/>
    </row>
    <row r="167" spans="3:16" s="159" customFormat="1" x14ac:dyDescent="0.25">
      <c r="C167" s="611"/>
      <c r="D167" s="611"/>
      <c r="J167" s="266"/>
      <c r="M167" s="268"/>
      <c r="N167" s="157"/>
      <c r="O167" s="294"/>
      <c r="P167" s="294"/>
    </row>
    <row r="168" spans="3:16" s="159" customFormat="1" x14ac:dyDescent="0.25">
      <c r="C168" s="611"/>
      <c r="D168" s="611"/>
      <c r="J168" s="266"/>
      <c r="M168" s="268"/>
      <c r="N168" s="157"/>
      <c r="O168" s="294"/>
      <c r="P168" s="294"/>
    </row>
    <row r="169" spans="3:16" s="159" customFormat="1" x14ac:dyDescent="0.25">
      <c r="C169" s="611"/>
      <c r="D169" s="611"/>
      <c r="J169" s="266"/>
      <c r="M169" s="268"/>
      <c r="N169" s="157"/>
      <c r="O169" s="294"/>
      <c r="P169" s="294"/>
    </row>
    <row r="170" spans="3:16" s="159" customFormat="1" x14ac:dyDescent="0.25">
      <c r="C170" s="611"/>
      <c r="D170" s="611"/>
      <c r="J170" s="266"/>
      <c r="M170" s="268"/>
      <c r="N170" s="157"/>
      <c r="O170" s="294"/>
      <c r="P170" s="294"/>
    </row>
    <row r="171" spans="3:16" s="159" customFormat="1" x14ac:dyDescent="0.25">
      <c r="C171" s="611"/>
      <c r="D171" s="611"/>
      <c r="J171" s="266"/>
      <c r="M171" s="268"/>
      <c r="N171" s="157"/>
      <c r="O171" s="294"/>
      <c r="P171" s="294"/>
    </row>
    <row r="172" spans="3:16" s="159" customFormat="1" x14ac:dyDescent="0.25">
      <c r="C172" s="611"/>
      <c r="D172" s="611"/>
      <c r="J172" s="266"/>
      <c r="M172" s="268"/>
      <c r="N172" s="157"/>
      <c r="O172" s="294"/>
      <c r="P172" s="294"/>
    </row>
    <row r="173" spans="3:16" s="159" customFormat="1" x14ac:dyDescent="0.25">
      <c r="C173" s="611"/>
      <c r="D173" s="611"/>
      <c r="J173" s="266"/>
      <c r="M173" s="268"/>
      <c r="N173" s="157"/>
      <c r="O173" s="294"/>
      <c r="P173" s="294"/>
    </row>
    <row r="174" spans="3:16" s="159" customFormat="1" x14ac:dyDescent="0.25">
      <c r="C174" s="611"/>
      <c r="D174" s="611"/>
      <c r="J174" s="266"/>
      <c r="M174" s="268"/>
      <c r="N174" s="157"/>
      <c r="O174" s="294"/>
      <c r="P174" s="294"/>
    </row>
    <row r="175" spans="3:16" s="159" customFormat="1" x14ac:dyDescent="0.25">
      <c r="C175" s="611"/>
      <c r="D175" s="611"/>
      <c r="J175" s="266"/>
      <c r="M175" s="268"/>
      <c r="N175" s="157"/>
      <c r="O175" s="294"/>
      <c r="P175" s="294"/>
    </row>
    <row r="176" spans="3:16" s="159" customFormat="1" x14ac:dyDescent="0.25">
      <c r="C176" s="611"/>
      <c r="D176" s="611"/>
      <c r="J176" s="266"/>
      <c r="M176" s="268"/>
      <c r="N176" s="157"/>
      <c r="O176" s="294"/>
      <c r="P176" s="294"/>
    </row>
    <row r="177" spans="3:16" s="159" customFormat="1" x14ac:dyDescent="0.25">
      <c r="C177" s="611"/>
      <c r="D177" s="611"/>
      <c r="J177" s="266"/>
      <c r="M177" s="268"/>
      <c r="N177" s="157"/>
      <c r="O177" s="294"/>
      <c r="P177" s="294"/>
    </row>
    <row r="178" spans="3:16" s="159" customFormat="1" x14ac:dyDescent="0.25">
      <c r="C178" s="611"/>
      <c r="D178" s="611"/>
      <c r="J178" s="266"/>
      <c r="M178" s="268"/>
      <c r="N178" s="157"/>
      <c r="O178" s="294"/>
      <c r="P178" s="294"/>
    </row>
    <row r="179" spans="3:16" s="159" customFormat="1" x14ac:dyDescent="0.25">
      <c r="C179" s="611"/>
      <c r="D179" s="611"/>
      <c r="J179" s="266"/>
      <c r="M179" s="268"/>
      <c r="N179" s="157"/>
      <c r="O179" s="294"/>
      <c r="P179" s="294"/>
    </row>
    <row r="180" spans="3:16" s="159" customFormat="1" x14ac:dyDescent="0.25">
      <c r="C180" s="611"/>
      <c r="D180" s="611"/>
      <c r="J180" s="266"/>
      <c r="M180" s="268"/>
      <c r="N180" s="157"/>
      <c r="O180" s="294"/>
      <c r="P180" s="294"/>
    </row>
    <row r="181" spans="3:16" s="159" customFormat="1" x14ac:dyDescent="0.25">
      <c r="C181" s="611"/>
      <c r="D181" s="611"/>
      <c r="J181" s="266"/>
      <c r="M181" s="268"/>
      <c r="N181" s="157"/>
      <c r="O181" s="294"/>
      <c r="P181" s="294"/>
    </row>
    <row r="182" spans="3:16" s="159" customFormat="1" x14ac:dyDescent="0.25">
      <c r="C182" s="611"/>
      <c r="D182" s="611"/>
      <c r="J182" s="266"/>
      <c r="M182" s="268"/>
      <c r="N182" s="157"/>
      <c r="O182" s="294"/>
      <c r="P182" s="294"/>
    </row>
    <row r="183" spans="3:16" s="159" customFormat="1" x14ac:dyDescent="0.25">
      <c r="C183" s="611"/>
      <c r="D183" s="611"/>
      <c r="J183" s="266"/>
      <c r="M183" s="268"/>
      <c r="N183" s="157"/>
      <c r="O183" s="294"/>
      <c r="P183" s="294"/>
    </row>
    <row r="184" spans="3:16" s="159" customFormat="1" x14ac:dyDescent="0.25">
      <c r="C184" s="611"/>
      <c r="D184" s="611"/>
      <c r="J184" s="266"/>
      <c r="M184" s="268"/>
      <c r="N184" s="157"/>
      <c r="O184" s="294"/>
      <c r="P184" s="294"/>
    </row>
    <row r="185" spans="3:16" s="159" customFormat="1" x14ac:dyDescent="0.25">
      <c r="C185" s="611"/>
      <c r="D185" s="611"/>
      <c r="J185" s="266"/>
      <c r="M185" s="268"/>
      <c r="N185" s="157"/>
      <c r="O185" s="294"/>
      <c r="P185" s="294"/>
    </row>
    <row r="186" spans="3:16" s="159" customFormat="1" x14ac:dyDescent="0.25">
      <c r="C186" s="611"/>
      <c r="D186" s="611"/>
      <c r="J186" s="266"/>
      <c r="M186" s="268"/>
      <c r="N186" s="157"/>
      <c r="O186" s="294"/>
      <c r="P186" s="294"/>
    </row>
    <row r="187" spans="3:16" s="159" customFormat="1" x14ac:dyDescent="0.25">
      <c r="C187" s="611"/>
      <c r="D187" s="611"/>
      <c r="J187" s="266"/>
      <c r="M187" s="268"/>
      <c r="N187" s="157"/>
      <c r="O187" s="294"/>
      <c r="P187" s="294"/>
    </row>
    <row r="188" spans="3:16" s="159" customFormat="1" x14ac:dyDescent="0.25">
      <c r="C188" s="611"/>
      <c r="D188" s="611"/>
      <c r="J188" s="266"/>
      <c r="M188" s="268"/>
      <c r="N188" s="157"/>
      <c r="O188" s="294"/>
      <c r="P188" s="294"/>
    </row>
    <row r="189" spans="3:16" s="159" customFormat="1" x14ac:dyDescent="0.25">
      <c r="C189" s="611"/>
      <c r="D189" s="611"/>
      <c r="J189" s="266"/>
      <c r="M189" s="268"/>
      <c r="N189" s="157"/>
      <c r="O189" s="294"/>
      <c r="P189" s="294"/>
    </row>
    <row r="190" spans="3:16" s="159" customFormat="1" x14ac:dyDescent="0.25">
      <c r="C190" s="611"/>
      <c r="D190" s="611"/>
      <c r="J190" s="266"/>
      <c r="M190" s="268"/>
      <c r="N190" s="157"/>
      <c r="O190" s="294"/>
      <c r="P190" s="294"/>
    </row>
    <row r="191" spans="3:16" s="159" customFormat="1" x14ac:dyDescent="0.25">
      <c r="C191" s="611"/>
      <c r="D191" s="611"/>
      <c r="J191" s="266"/>
      <c r="M191" s="268"/>
      <c r="N191" s="157"/>
      <c r="O191" s="294"/>
      <c r="P191" s="294"/>
    </row>
    <row r="192" spans="3:16" s="159" customFormat="1" x14ac:dyDescent="0.25">
      <c r="C192" s="611"/>
      <c r="D192" s="611"/>
      <c r="J192" s="266"/>
      <c r="M192" s="268"/>
      <c r="N192" s="157"/>
      <c r="O192" s="294"/>
      <c r="P192" s="294"/>
    </row>
    <row r="193" spans="3:16" s="159" customFormat="1" x14ac:dyDescent="0.25">
      <c r="C193" s="611"/>
      <c r="D193" s="611"/>
      <c r="J193" s="266"/>
      <c r="M193" s="268"/>
      <c r="N193" s="157"/>
      <c r="O193" s="294"/>
      <c r="P193" s="294"/>
    </row>
    <row r="194" spans="3:16" s="159" customFormat="1" x14ac:dyDescent="0.25">
      <c r="C194" s="611"/>
      <c r="D194" s="611"/>
      <c r="J194" s="266"/>
      <c r="M194" s="268"/>
      <c r="N194" s="157"/>
      <c r="O194" s="294"/>
      <c r="P194" s="294"/>
    </row>
    <row r="195" spans="3:16" s="159" customFormat="1" x14ac:dyDescent="0.25">
      <c r="C195" s="611"/>
      <c r="D195" s="611"/>
      <c r="J195" s="266"/>
      <c r="M195" s="268"/>
      <c r="N195" s="157"/>
      <c r="O195" s="294"/>
      <c r="P195" s="294"/>
    </row>
    <row r="196" spans="3:16" s="159" customFormat="1" x14ac:dyDescent="0.25">
      <c r="C196" s="611"/>
      <c r="D196" s="611"/>
      <c r="J196" s="266"/>
      <c r="M196" s="268"/>
      <c r="N196" s="157"/>
      <c r="O196" s="294"/>
      <c r="P196" s="294"/>
    </row>
    <row r="197" spans="3:16" s="159" customFormat="1" x14ac:dyDescent="0.25">
      <c r="C197" s="611"/>
      <c r="D197" s="611"/>
      <c r="J197" s="266"/>
      <c r="M197" s="268"/>
      <c r="N197" s="157"/>
      <c r="O197" s="294"/>
      <c r="P197" s="294"/>
    </row>
    <row r="198" spans="3:16" s="159" customFormat="1" x14ac:dyDescent="0.25">
      <c r="C198" s="611"/>
      <c r="D198" s="611"/>
      <c r="J198" s="266"/>
      <c r="M198" s="268"/>
      <c r="N198" s="157"/>
      <c r="O198" s="294"/>
      <c r="P198" s="294"/>
    </row>
    <row r="199" spans="3:16" s="159" customFormat="1" x14ac:dyDescent="0.25">
      <c r="C199" s="611"/>
      <c r="D199" s="611"/>
      <c r="J199" s="266"/>
      <c r="M199" s="268"/>
      <c r="N199" s="157"/>
      <c r="O199" s="294"/>
      <c r="P199" s="294"/>
    </row>
    <row r="200" spans="3:16" s="159" customFormat="1" x14ac:dyDescent="0.25">
      <c r="C200" s="611"/>
      <c r="D200" s="611"/>
      <c r="J200" s="266"/>
      <c r="M200" s="268"/>
      <c r="N200" s="157"/>
      <c r="O200" s="294"/>
      <c r="P200" s="294"/>
    </row>
    <row r="201" spans="3:16" s="159" customFormat="1" x14ac:dyDescent="0.25">
      <c r="C201" s="611"/>
      <c r="D201" s="611"/>
      <c r="J201" s="266"/>
      <c r="M201" s="268"/>
      <c r="N201" s="157"/>
      <c r="O201" s="294"/>
      <c r="P201" s="294"/>
    </row>
    <row r="202" spans="3:16" s="159" customFormat="1" x14ac:dyDescent="0.25">
      <c r="C202" s="611"/>
      <c r="D202" s="611"/>
      <c r="J202" s="266"/>
      <c r="M202" s="268"/>
      <c r="N202" s="157"/>
      <c r="O202" s="294"/>
      <c r="P202" s="294"/>
    </row>
    <row r="203" spans="3:16" s="159" customFormat="1" x14ac:dyDescent="0.25">
      <c r="C203" s="611"/>
      <c r="D203" s="611"/>
      <c r="J203" s="266"/>
      <c r="M203" s="268"/>
      <c r="N203" s="157"/>
      <c r="O203" s="294"/>
      <c r="P203" s="294"/>
    </row>
    <row r="204" spans="3:16" s="159" customFormat="1" x14ac:dyDescent="0.25">
      <c r="C204" s="611"/>
      <c r="D204" s="611"/>
      <c r="J204" s="266"/>
      <c r="M204" s="268"/>
      <c r="N204" s="157"/>
      <c r="O204" s="294"/>
      <c r="P204" s="294"/>
    </row>
    <row r="205" spans="3:16" s="159" customFormat="1" x14ac:dyDescent="0.25">
      <c r="C205" s="611"/>
      <c r="D205" s="611"/>
      <c r="J205" s="266"/>
      <c r="M205" s="268"/>
      <c r="N205" s="157"/>
      <c r="O205" s="294"/>
      <c r="P205" s="294"/>
    </row>
    <row r="206" spans="3:16" s="159" customFormat="1" x14ac:dyDescent="0.25">
      <c r="C206" s="611"/>
      <c r="D206" s="611"/>
      <c r="J206" s="266"/>
      <c r="M206" s="268"/>
      <c r="N206" s="157"/>
      <c r="O206" s="294"/>
      <c r="P206" s="294"/>
    </row>
    <row r="207" spans="3:16" s="159" customFormat="1" x14ac:dyDescent="0.25">
      <c r="C207" s="611"/>
      <c r="D207" s="611"/>
      <c r="J207" s="266"/>
      <c r="M207" s="268"/>
      <c r="N207" s="157"/>
      <c r="O207" s="294"/>
      <c r="P207" s="294"/>
    </row>
    <row r="208" spans="3:16" s="159" customFormat="1" x14ac:dyDescent="0.25">
      <c r="C208" s="611"/>
      <c r="D208" s="611"/>
      <c r="J208" s="266"/>
      <c r="M208" s="268"/>
      <c r="N208" s="157"/>
      <c r="O208" s="294"/>
      <c r="P208" s="294"/>
    </row>
    <row r="209" spans="3:16" s="159" customFormat="1" x14ac:dyDescent="0.25">
      <c r="C209" s="611"/>
      <c r="D209" s="611"/>
      <c r="J209" s="266"/>
      <c r="M209" s="268"/>
      <c r="N209" s="157"/>
      <c r="O209" s="294"/>
      <c r="P209" s="294"/>
    </row>
    <row r="210" spans="3:16" s="159" customFormat="1" x14ac:dyDescent="0.25">
      <c r="C210" s="611"/>
      <c r="D210" s="611"/>
      <c r="J210" s="266"/>
      <c r="M210" s="268"/>
      <c r="N210" s="157"/>
      <c r="O210" s="294"/>
      <c r="P210" s="294"/>
    </row>
    <row r="211" spans="3:16" s="159" customFormat="1" x14ac:dyDescent="0.25">
      <c r="C211" s="611"/>
      <c r="D211" s="611"/>
      <c r="J211" s="266"/>
      <c r="M211" s="268"/>
      <c r="N211" s="157"/>
      <c r="O211" s="294"/>
      <c r="P211" s="294"/>
    </row>
    <row r="212" spans="3:16" s="159" customFormat="1" x14ac:dyDescent="0.25">
      <c r="C212" s="611"/>
      <c r="D212" s="611"/>
      <c r="J212" s="266"/>
      <c r="M212" s="268"/>
      <c r="N212" s="157"/>
      <c r="O212" s="294"/>
      <c r="P212" s="294"/>
    </row>
    <row r="213" spans="3:16" s="159" customFormat="1" x14ac:dyDescent="0.25">
      <c r="C213" s="611"/>
      <c r="D213" s="611"/>
      <c r="J213" s="266"/>
      <c r="M213" s="268"/>
      <c r="N213" s="157"/>
      <c r="O213" s="294"/>
      <c r="P213" s="294"/>
    </row>
    <row r="214" spans="3:16" s="159" customFormat="1" x14ac:dyDescent="0.25">
      <c r="C214" s="611"/>
      <c r="D214" s="611"/>
      <c r="J214" s="266"/>
      <c r="M214" s="268"/>
      <c r="N214" s="157"/>
      <c r="O214" s="294"/>
      <c r="P214" s="294"/>
    </row>
    <row r="215" spans="3:16" s="159" customFormat="1" x14ac:dyDescent="0.25">
      <c r="C215" s="611"/>
      <c r="D215" s="611"/>
      <c r="J215" s="266"/>
      <c r="M215" s="268"/>
      <c r="N215" s="157"/>
      <c r="O215" s="294"/>
      <c r="P215" s="294"/>
    </row>
    <row r="216" spans="3:16" s="159" customFormat="1" x14ac:dyDescent="0.25">
      <c r="C216" s="611"/>
      <c r="D216" s="611"/>
      <c r="J216" s="266"/>
      <c r="M216" s="268"/>
      <c r="N216" s="157"/>
      <c r="O216" s="294"/>
      <c r="P216" s="294"/>
    </row>
    <row r="217" spans="3:16" s="159" customFormat="1" x14ac:dyDescent="0.25">
      <c r="C217" s="611"/>
      <c r="D217" s="611"/>
      <c r="J217" s="266"/>
      <c r="M217" s="268"/>
      <c r="N217" s="157"/>
      <c r="O217" s="294"/>
      <c r="P217" s="294"/>
    </row>
    <row r="218" spans="3:16" s="159" customFormat="1" x14ac:dyDescent="0.25">
      <c r="C218" s="611"/>
      <c r="D218" s="611"/>
      <c r="J218" s="266"/>
      <c r="M218" s="268"/>
      <c r="N218" s="157"/>
      <c r="O218" s="294"/>
      <c r="P218" s="294"/>
    </row>
    <row r="219" spans="3:16" s="159" customFormat="1" x14ac:dyDescent="0.25">
      <c r="C219" s="611"/>
      <c r="D219" s="611"/>
      <c r="J219" s="266"/>
      <c r="M219" s="268"/>
      <c r="N219" s="157"/>
      <c r="O219" s="294"/>
      <c r="P219" s="294"/>
    </row>
    <row r="220" spans="3:16" s="159" customFormat="1" x14ac:dyDescent="0.25">
      <c r="C220" s="611"/>
      <c r="D220" s="611"/>
      <c r="J220" s="266"/>
      <c r="M220" s="268"/>
      <c r="N220" s="157"/>
      <c r="O220" s="294"/>
      <c r="P220" s="294"/>
    </row>
    <row r="221" spans="3:16" s="159" customFormat="1" x14ac:dyDescent="0.25">
      <c r="C221" s="611"/>
      <c r="D221" s="611"/>
      <c r="J221" s="266"/>
      <c r="M221" s="268"/>
      <c r="N221" s="157"/>
      <c r="O221" s="294"/>
      <c r="P221" s="294"/>
    </row>
    <row r="222" spans="3:16" s="159" customFormat="1" x14ac:dyDescent="0.25">
      <c r="C222" s="611"/>
      <c r="D222" s="611"/>
      <c r="J222" s="266"/>
      <c r="M222" s="268"/>
      <c r="N222" s="157"/>
      <c r="O222" s="294"/>
      <c r="P222" s="294"/>
    </row>
    <row r="223" spans="3:16" s="159" customFormat="1" x14ac:dyDescent="0.25">
      <c r="C223" s="611"/>
      <c r="D223" s="611"/>
      <c r="J223" s="266"/>
      <c r="M223" s="268"/>
      <c r="N223" s="157"/>
      <c r="O223" s="294"/>
      <c r="P223" s="294"/>
    </row>
    <row r="224" spans="3:16" s="159" customFormat="1" x14ac:dyDescent="0.25">
      <c r="C224" s="611"/>
      <c r="D224" s="611"/>
      <c r="J224" s="266"/>
      <c r="M224" s="268"/>
      <c r="N224" s="157"/>
      <c r="O224" s="294"/>
      <c r="P224" s="294"/>
    </row>
    <row r="225" spans="3:16" s="159" customFormat="1" x14ac:dyDescent="0.25">
      <c r="C225" s="611"/>
      <c r="D225" s="611"/>
      <c r="J225" s="266"/>
      <c r="M225" s="268"/>
      <c r="N225" s="157"/>
      <c r="O225" s="294"/>
      <c r="P225" s="294"/>
    </row>
    <row r="226" spans="3:16" s="159" customFormat="1" x14ac:dyDescent="0.25">
      <c r="C226" s="611"/>
      <c r="D226" s="611"/>
      <c r="J226" s="266"/>
      <c r="M226" s="268"/>
      <c r="N226" s="157"/>
      <c r="O226" s="294"/>
      <c r="P226" s="294"/>
    </row>
    <row r="227" spans="3:16" s="159" customFormat="1" x14ac:dyDescent="0.25">
      <c r="C227" s="611"/>
      <c r="D227" s="611"/>
      <c r="J227" s="266"/>
      <c r="M227" s="268"/>
      <c r="N227" s="157"/>
      <c r="O227" s="294"/>
      <c r="P227" s="294"/>
    </row>
    <row r="228" spans="3:16" s="159" customFormat="1" x14ac:dyDescent="0.25">
      <c r="C228" s="611"/>
      <c r="D228" s="611"/>
      <c r="J228" s="266"/>
      <c r="M228" s="268"/>
      <c r="N228" s="157"/>
      <c r="O228" s="294"/>
      <c r="P228" s="294"/>
    </row>
    <row r="229" spans="3:16" s="159" customFormat="1" x14ac:dyDescent="0.25">
      <c r="C229" s="611"/>
      <c r="D229" s="611"/>
      <c r="J229" s="266"/>
      <c r="M229" s="268"/>
      <c r="N229" s="157"/>
      <c r="O229" s="294"/>
      <c r="P229" s="294"/>
    </row>
    <row r="230" spans="3:16" s="159" customFormat="1" x14ac:dyDescent="0.25">
      <c r="C230" s="611"/>
      <c r="D230" s="611"/>
      <c r="J230" s="266"/>
      <c r="M230" s="268"/>
      <c r="N230" s="157"/>
      <c r="O230" s="294"/>
      <c r="P230" s="294"/>
    </row>
    <row r="231" spans="3:16" s="159" customFormat="1" x14ac:dyDescent="0.25">
      <c r="C231" s="611"/>
      <c r="D231" s="611"/>
      <c r="J231" s="266"/>
      <c r="M231" s="268"/>
      <c r="N231" s="157"/>
      <c r="O231" s="294"/>
      <c r="P231" s="294"/>
    </row>
    <row r="232" spans="3:16" s="159" customFormat="1" x14ac:dyDescent="0.25">
      <c r="C232" s="611"/>
      <c r="D232" s="611"/>
      <c r="J232" s="266"/>
      <c r="M232" s="268"/>
      <c r="N232" s="157"/>
      <c r="O232" s="294"/>
      <c r="P232" s="294"/>
    </row>
    <row r="233" spans="3:16" s="159" customFormat="1" x14ac:dyDescent="0.25">
      <c r="C233" s="611"/>
      <c r="D233" s="611"/>
      <c r="J233" s="266"/>
      <c r="M233" s="268"/>
      <c r="N233" s="157"/>
      <c r="O233" s="294"/>
      <c r="P233" s="294"/>
    </row>
    <row r="234" spans="3:16" s="159" customFormat="1" x14ac:dyDescent="0.25">
      <c r="C234" s="611"/>
      <c r="D234" s="611"/>
      <c r="J234" s="266"/>
      <c r="M234" s="268"/>
      <c r="N234" s="157"/>
      <c r="O234" s="294"/>
      <c r="P234" s="294"/>
    </row>
  </sheetData>
  <mergeCells count="44">
    <mergeCell ref="Q9:Q10"/>
    <mergeCell ref="L9:L10"/>
    <mergeCell ref="M9:M10"/>
    <mergeCell ref="N9:N10"/>
    <mergeCell ref="O9:O10"/>
    <mergeCell ref="P9:P10"/>
    <mergeCell ref="K54:K55"/>
    <mergeCell ref="F52:F53"/>
    <mergeCell ref="G52:G53"/>
    <mergeCell ref="I52:I53"/>
    <mergeCell ref="J52:J53"/>
    <mergeCell ref="K52:K53"/>
    <mergeCell ref="F54:F55"/>
    <mergeCell ref="G54:G55"/>
    <mergeCell ref="I54:I55"/>
    <mergeCell ref="J54:J55"/>
    <mergeCell ref="C25:F25"/>
    <mergeCell ref="G25:I25"/>
    <mergeCell ref="B53:B54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2" fitToHeight="2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  <pageSetUpPr fitToPage="1"/>
  </sheetPr>
  <dimension ref="A1:Q233"/>
  <sheetViews>
    <sheetView tabSelected="1" zoomScale="75" zoomScaleNormal="75" zoomScaleSheetLayoutView="90" zoomScalePageLayoutView="75" workbookViewId="0">
      <selection activeCell="J19" sqref="J19"/>
    </sheetView>
  </sheetViews>
  <sheetFormatPr defaultColWidth="9.33203125" defaultRowHeight="15" x14ac:dyDescent="0.25"/>
  <cols>
    <col min="1" max="1" width="12.33203125" style="196" bestFit="1" customWidth="1"/>
    <col min="2" max="2" width="65.44140625" style="196" bestFit="1" customWidth="1"/>
    <col min="3" max="4" width="5" style="757" customWidth="1"/>
    <col min="5" max="5" width="14.5546875" style="196" bestFit="1" customWidth="1"/>
    <col min="6" max="6" width="15.33203125" style="196" customWidth="1"/>
    <col min="7" max="7" width="7" style="196" bestFit="1" customWidth="1"/>
    <col min="8" max="8" width="10.6640625" style="196" bestFit="1" customWidth="1"/>
    <col min="9" max="9" width="14.44140625" style="196" bestFit="1" customWidth="1"/>
    <col min="10" max="10" width="16.33203125" style="640" bestFit="1" customWidth="1"/>
    <col min="11" max="11" width="14.44140625" style="196" bestFit="1" customWidth="1"/>
    <col min="12" max="12" width="22.6640625" style="194" customWidth="1"/>
    <col min="13" max="13" width="16.33203125" style="640" bestFit="1" customWidth="1"/>
    <col min="14" max="14" width="24.6640625" style="196" bestFit="1" customWidth="1"/>
    <col min="15" max="15" width="21.6640625" style="641" bestFit="1" customWidth="1"/>
    <col min="16" max="16" width="22" style="641" bestFit="1" customWidth="1"/>
    <col min="17" max="17" width="18.33203125" style="196" bestFit="1" customWidth="1"/>
    <col min="18" max="16384" width="9.33203125" style="196"/>
  </cols>
  <sheetData>
    <row r="1" spans="1:17" ht="16.2" thickBot="1" x14ac:dyDescent="0.35">
      <c r="A1" s="313"/>
      <c r="B1" s="639"/>
      <c r="C1" s="1202">
        <f>'Estimate Summary'!C1:H1</f>
        <v>0</v>
      </c>
      <c r="D1" s="1202"/>
      <c r="E1" s="1202"/>
      <c r="F1" s="1202"/>
      <c r="G1" s="1202"/>
      <c r="H1" s="1202"/>
      <c r="I1" s="1202"/>
      <c r="J1" s="1202"/>
      <c r="K1" s="1203"/>
    </row>
    <row r="2" spans="1:17" ht="16.2" thickBot="1" x14ac:dyDescent="0.35">
      <c r="A2" s="642"/>
      <c r="B2" s="643"/>
      <c r="C2" s="496"/>
      <c r="D2" s="1204"/>
      <c r="E2" s="1204"/>
      <c r="F2" s="1204"/>
      <c r="G2" s="496"/>
      <c r="H2" s="644"/>
      <c r="I2" s="645"/>
      <c r="J2" s="646"/>
      <c r="K2" s="647"/>
    </row>
    <row r="3" spans="1:17" ht="16.2" thickBot="1" x14ac:dyDescent="0.35">
      <c r="A3" s="1205"/>
      <c r="B3" s="1206"/>
      <c r="C3" s="496"/>
      <c r="D3" s="1204"/>
      <c r="E3" s="1204"/>
      <c r="F3" s="1204"/>
      <c r="G3" s="495"/>
      <c r="H3" s="648"/>
      <c r="I3" s="324"/>
      <c r="J3" s="324"/>
      <c r="K3" s="325"/>
      <c r="L3" s="1207"/>
      <c r="M3" s="1208"/>
      <c r="N3" s="1200"/>
      <c r="O3" s="1200"/>
      <c r="P3" s="1201"/>
    </row>
    <row r="4" spans="1:17" ht="16.2" thickBot="1" x14ac:dyDescent="0.35">
      <c r="A4" s="1205"/>
      <c r="B4" s="1206"/>
      <c r="C4" s="496"/>
      <c r="D4" s="1204"/>
      <c r="E4" s="1204"/>
      <c r="F4" s="1204"/>
      <c r="G4" s="649"/>
      <c r="H4" s="649"/>
      <c r="I4" s="645"/>
      <c r="J4" s="646"/>
      <c r="K4" s="647"/>
      <c r="L4" s="1207"/>
      <c r="M4" s="1208"/>
      <c r="N4" s="1200"/>
      <c r="O4" s="1200"/>
      <c r="P4" s="1201"/>
    </row>
    <row r="5" spans="1:17" ht="16.2" thickBot="1" x14ac:dyDescent="0.35">
      <c r="A5" s="650"/>
      <c r="B5" s="651"/>
      <c r="C5" s="496"/>
      <c r="D5" s="652"/>
      <c r="E5" s="653"/>
      <c r="F5" s="649"/>
      <c r="G5" s="1209" t="s">
        <v>10</v>
      </c>
      <c r="H5" s="1209"/>
      <c r="I5" s="1209"/>
      <c r="J5" s="1210" t="s">
        <v>73</v>
      </c>
      <c r="K5" s="1211"/>
      <c r="L5" s="1207"/>
      <c r="M5" s="1208"/>
      <c r="N5" s="1200"/>
      <c r="O5" s="1200"/>
      <c r="P5" s="1201"/>
    </row>
    <row r="6" spans="1:17" ht="16.2" thickBot="1" x14ac:dyDescent="0.35">
      <c r="A6" s="650"/>
      <c r="B6" s="651"/>
      <c r="C6" s="654"/>
      <c r="D6" s="655" t="str">
        <f>'Estimate Summary'!C11</f>
        <v>Area:</v>
      </c>
      <c r="E6" s="656">
        <f>'Estimate Summary'!D11</f>
        <v>600</v>
      </c>
      <c r="F6" s="657" t="str">
        <f>'Estimate Summary'!E11</f>
        <v>Sq. Ft.</v>
      </c>
      <c r="G6" s="1209"/>
      <c r="H6" s="1209"/>
      <c r="I6" s="1209"/>
      <c r="J6" s="658">
        <f>'1'!J6</f>
        <v>15</v>
      </c>
      <c r="K6" s="647" t="s">
        <v>74</v>
      </c>
      <c r="L6" s="1207"/>
      <c r="M6" s="1208"/>
      <c r="N6" s="1200"/>
      <c r="O6" s="1200"/>
      <c r="P6" s="1201"/>
    </row>
    <row r="7" spans="1:17" ht="15.6" x14ac:dyDescent="0.3">
      <c r="A7" s="1212"/>
      <c r="B7" s="1213"/>
      <c r="C7" s="1213"/>
      <c r="D7" s="1213"/>
      <c r="E7" s="1213"/>
      <c r="F7" s="1213"/>
      <c r="G7" s="1213"/>
      <c r="H7" s="1213"/>
      <c r="I7" s="1213"/>
      <c r="J7" s="1213"/>
      <c r="K7" s="1214"/>
    </row>
    <row r="8" spans="1:17" ht="15.6" x14ac:dyDescent="0.3">
      <c r="A8" s="659"/>
      <c r="B8" s="660"/>
      <c r="C8" s="1215"/>
      <c r="D8" s="1215"/>
      <c r="E8" s="1215"/>
      <c r="F8" s="1215"/>
      <c r="G8" s="1216"/>
      <c r="H8" s="1216"/>
      <c r="I8" s="1216"/>
      <c r="J8" s="661"/>
      <c r="K8" s="662"/>
      <c r="L8" s="663" t="s">
        <v>96</v>
      </c>
      <c r="M8" s="664" t="s">
        <v>97</v>
      </c>
      <c r="N8" s="663" t="s">
        <v>100</v>
      </c>
      <c r="O8" s="665" t="s">
        <v>98</v>
      </c>
      <c r="P8" s="665" t="s">
        <v>99</v>
      </c>
    </row>
    <row r="9" spans="1:17" x14ac:dyDescent="0.25">
      <c r="A9" s="666"/>
      <c r="B9" s="667"/>
      <c r="C9" s="1217"/>
      <c r="D9" s="1217"/>
      <c r="E9" s="1218"/>
      <c r="F9" s="1218"/>
      <c r="G9" s="1219"/>
      <c r="H9" s="1218"/>
      <c r="I9" s="1218"/>
      <c r="J9" s="1218"/>
      <c r="K9" s="1220"/>
      <c r="L9" s="668"/>
      <c r="M9" s="669"/>
      <c r="N9" s="670"/>
      <c r="O9" s="671"/>
      <c r="P9" s="671"/>
    </row>
    <row r="10" spans="1:17" ht="16.2" thickBot="1" x14ac:dyDescent="0.3">
      <c r="A10" s="672"/>
      <c r="B10" s="673"/>
      <c r="C10" s="1217"/>
      <c r="D10" s="1217"/>
      <c r="E10" s="1218"/>
      <c r="F10" s="1218"/>
      <c r="G10" s="1219"/>
      <c r="H10" s="1218"/>
      <c r="I10" s="1218"/>
      <c r="J10" s="1218"/>
      <c r="K10" s="1220"/>
      <c r="L10" s="668"/>
      <c r="M10" s="669"/>
      <c r="N10" s="670"/>
      <c r="O10" s="671"/>
      <c r="P10" s="671"/>
    </row>
    <row r="11" spans="1:17" ht="16.8" thickTop="1" thickBot="1" x14ac:dyDescent="0.3">
      <c r="A11" s="674" t="s">
        <v>0</v>
      </c>
      <c r="B11" s="675" t="s">
        <v>1</v>
      </c>
      <c r="C11" s="1221" t="s">
        <v>646</v>
      </c>
      <c r="D11" s="1221"/>
      <c r="E11" s="1221"/>
      <c r="F11" s="1221"/>
      <c r="G11" s="1221" t="s">
        <v>34</v>
      </c>
      <c r="H11" s="1221"/>
      <c r="I11" s="1221"/>
      <c r="J11" s="676"/>
      <c r="K11" s="677"/>
      <c r="L11" s="1241" t="s">
        <v>771</v>
      </c>
      <c r="M11" s="1243" t="s">
        <v>772</v>
      </c>
      <c r="N11" s="1245" t="s">
        <v>773</v>
      </c>
      <c r="O11" s="1247"/>
      <c r="P11" s="1249"/>
      <c r="Q11" s="1239"/>
    </row>
    <row r="12" spans="1:17" ht="15.6" x14ac:dyDescent="0.3">
      <c r="A12" s="505" t="s">
        <v>464</v>
      </c>
      <c r="B12" s="505" t="s">
        <v>465</v>
      </c>
      <c r="C12" s="678" t="s">
        <v>19</v>
      </c>
      <c r="D12" s="679" t="s">
        <v>33</v>
      </c>
      <c r="E12" s="680" t="s">
        <v>35</v>
      </c>
      <c r="F12" s="681" t="s">
        <v>30</v>
      </c>
      <c r="G12" s="682" t="s">
        <v>14</v>
      </c>
      <c r="H12" s="680" t="s">
        <v>35</v>
      </c>
      <c r="I12" s="681" t="s">
        <v>30</v>
      </c>
      <c r="J12" s="683" t="s">
        <v>649</v>
      </c>
      <c r="K12" s="684" t="s">
        <v>38</v>
      </c>
      <c r="L12" s="1242"/>
      <c r="M12" s="1244"/>
      <c r="N12" s="1246"/>
      <c r="O12" s="1248"/>
      <c r="P12" s="1250"/>
      <c r="Q12" s="1240"/>
    </row>
    <row r="13" spans="1:17" ht="15.6" x14ac:dyDescent="0.3">
      <c r="A13" s="848" t="s">
        <v>671</v>
      </c>
      <c r="B13" s="856" t="s">
        <v>1034</v>
      </c>
      <c r="C13" s="887"/>
      <c r="D13" s="849" t="s">
        <v>21</v>
      </c>
      <c r="E13" s="850">
        <v>0</v>
      </c>
      <c r="F13" s="851">
        <f t="shared" ref="F13:F20" si="0">C13*E13</f>
        <v>0</v>
      </c>
      <c r="G13" s="852"/>
      <c r="H13" s="853">
        <v>0</v>
      </c>
      <c r="I13" s="851">
        <f t="shared" ref="I13:I20" si="1">G13*H13</f>
        <v>0</v>
      </c>
      <c r="J13" s="854"/>
      <c r="K13" s="855">
        <f t="shared" ref="K13:K20" si="2">F13+I13+J13</f>
        <v>0</v>
      </c>
      <c r="L13" s="695" t="s">
        <v>1035</v>
      </c>
      <c r="M13" s="689">
        <v>84700</v>
      </c>
      <c r="N13" s="697" t="s">
        <v>1033</v>
      </c>
      <c r="O13" s="698"/>
      <c r="P13" s="699"/>
      <c r="Q13" s="700"/>
    </row>
    <row r="14" spans="1:17" ht="15.6" x14ac:dyDescent="0.3">
      <c r="A14" s="701"/>
      <c r="B14" s="15"/>
      <c r="C14" s="687"/>
      <c r="D14" s="688" t="s">
        <v>21</v>
      </c>
      <c r="E14" s="689">
        <v>0</v>
      </c>
      <c r="F14" s="690">
        <f t="shared" si="0"/>
        <v>0</v>
      </c>
      <c r="G14" s="691"/>
      <c r="H14" s="692">
        <v>0</v>
      </c>
      <c r="I14" s="690">
        <f t="shared" si="1"/>
        <v>0</v>
      </c>
      <c r="J14" s="693">
        <f>M15</f>
        <v>46000</v>
      </c>
      <c r="K14" s="694">
        <f t="shared" si="2"/>
        <v>46000</v>
      </c>
      <c r="L14" s="695"/>
      <c r="M14" s="689"/>
      <c r="N14" s="697"/>
      <c r="O14" s="698"/>
      <c r="P14" s="699"/>
      <c r="Q14" s="700"/>
    </row>
    <row r="15" spans="1:17" ht="15.6" x14ac:dyDescent="0.3">
      <c r="A15" s="701"/>
      <c r="B15" s="15"/>
      <c r="C15" s="687"/>
      <c r="D15" s="688" t="s">
        <v>21</v>
      </c>
      <c r="E15" s="689">
        <v>0</v>
      </c>
      <c r="F15" s="690">
        <f t="shared" si="0"/>
        <v>0</v>
      </c>
      <c r="G15" s="691"/>
      <c r="H15" s="692">
        <v>0</v>
      </c>
      <c r="I15" s="690">
        <f t="shared" si="1"/>
        <v>0</v>
      </c>
      <c r="J15" s="693">
        <f>M16</f>
        <v>6700</v>
      </c>
      <c r="K15" s="694">
        <f t="shared" si="2"/>
        <v>6700</v>
      </c>
      <c r="L15" s="968" t="s">
        <v>1036</v>
      </c>
      <c r="M15" s="689">
        <v>46000</v>
      </c>
      <c r="O15" s="698"/>
      <c r="P15" s="699"/>
      <c r="Q15" s="700"/>
    </row>
    <row r="16" spans="1:17" ht="15.6" x14ac:dyDescent="0.3">
      <c r="A16" s="701"/>
      <c r="B16" s="15"/>
      <c r="C16" s="687"/>
      <c r="D16" s="688" t="s">
        <v>21</v>
      </c>
      <c r="E16" s="689">
        <v>0</v>
      </c>
      <c r="F16" s="690">
        <f t="shared" si="0"/>
        <v>0</v>
      </c>
      <c r="G16" s="691"/>
      <c r="H16" s="692">
        <v>0</v>
      </c>
      <c r="I16" s="690">
        <f t="shared" si="1"/>
        <v>0</v>
      </c>
      <c r="J16" s="693"/>
      <c r="K16" s="694">
        <f t="shared" si="2"/>
        <v>0</v>
      </c>
      <c r="L16" s="695"/>
      <c r="M16" s="689">
        <v>6700</v>
      </c>
      <c r="N16" s="821" t="s">
        <v>1116</v>
      </c>
      <c r="O16" s="698"/>
      <c r="P16" s="699"/>
      <c r="Q16" s="700"/>
    </row>
    <row r="17" spans="1:17" ht="15.6" x14ac:dyDescent="0.3">
      <c r="A17" s="701"/>
      <c r="B17" s="15" t="s">
        <v>1162</v>
      </c>
      <c r="C17" s="687"/>
      <c r="D17" s="688" t="s">
        <v>21</v>
      </c>
      <c r="E17" s="689">
        <v>0</v>
      </c>
      <c r="F17" s="690">
        <f t="shared" si="0"/>
        <v>0</v>
      </c>
      <c r="G17" s="691"/>
      <c r="H17" s="692">
        <v>0</v>
      </c>
      <c r="I17" s="690">
        <f t="shared" si="1"/>
        <v>0</v>
      </c>
      <c r="J17" s="693">
        <f>M17</f>
        <v>28</v>
      </c>
      <c r="K17" s="694">
        <f t="shared" si="2"/>
        <v>28</v>
      </c>
      <c r="L17" s="695"/>
      <c r="M17" s="689">
        <v>28</v>
      </c>
      <c r="N17" s="705" t="s">
        <v>1162</v>
      </c>
      <c r="O17" s="698"/>
      <c r="P17" s="699"/>
      <c r="Q17" s="700"/>
    </row>
    <row r="18" spans="1:17" ht="15.6" x14ac:dyDescent="0.3">
      <c r="A18" s="701"/>
      <c r="B18" s="15" t="s">
        <v>1163</v>
      </c>
      <c r="C18" s="687"/>
      <c r="D18" s="688" t="s">
        <v>21</v>
      </c>
      <c r="E18" s="689">
        <v>0</v>
      </c>
      <c r="F18" s="690">
        <f t="shared" si="0"/>
        <v>0</v>
      </c>
      <c r="G18" s="691"/>
      <c r="H18" s="692">
        <v>0</v>
      </c>
      <c r="I18" s="690">
        <f t="shared" si="1"/>
        <v>0</v>
      </c>
      <c r="J18" s="693">
        <f>M18</f>
        <v>550</v>
      </c>
      <c r="K18" s="694">
        <f t="shared" si="2"/>
        <v>550</v>
      </c>
      <c r="L18" s="695"/>
      <c r="M18" s="689">
        <v>550</v>
      </c>
      <c r="N18" s="706" t="s">
        <v>1163</v>
      </c>
      <c r="O18" s="698"/>
      <c r="P18" s="699"/>
      <c r="Q18" s="700"/>
    </row>
    <row r="19" spans="1:17" ht="15.6" x14ac:dyDescent="0.3">
      <c r="A19" s="701"/>
      <c r="B19" s="15"/>
      <c r="C19" s="687"/>
      <c r="D19" s="688" t="s">
        <v>21</v>
      </c>
      <c r="E19" s="689">
        <v>0</v>
      </c>
      <c r="F19" s="690">
        <f t="shared" si="0"/>
        <v>0</v>
      </c>
      <c r="G19" s="691"/>
      <c r="H19" s="692">
        <v>0</v>
      </c>
      <c r="I19" s="690">
        <f t="shared" si="1"/>
        <v>0</v>
      </c>
      <c r="J19" s="693"/>
      <c r="K19" s="694">
        <f t="shared" si="2"/>
        <v>0</v>
      </c>
      <c r="L19" s="695"/>
      <c r="M19" s="689"/>
      <c r="O19" s="698"/>
      <c r="P19" s="699"/>
      <c r="Q19" s="700"/>
    </row>
    <row r="20" spans="1:17" ht="15.6" x14ac:dyDescent="0.3">
      <c r="A20" s="701"/>
      <c r="B20" s="15"/>
      <c r="C20" s="687"/>
      <c r="D20" s="688" t="s">
        <v>21</v>
      </c>
      <c r="E20" s="689">
        <v>0</v>
      </c>
      <c r="F20" s="690">
        <f t="shared" si="0"/>
        <v>0</v>
      </c>
      <c r="G20" s="691"/>
      <c r="H20" s="692">
        <v>0</v>
      </c>
      <c r="I20" s="690">
        <f t="shared" si="1"/>
        <v>0</v>
      </c>
      <c r="J20" s="693"/>
      <c r="K20" s="694">
        <f t="shared" si="2"/>
        <v>0</v>
      </c>
      <c r="L20" s="695"/>
      <c r="M20" s="689"/>
      <c r="O20" s="698"/>
      <c r="P20" s="699"/>
      <c r="Q20" s="700"/>
    </row>
    <row r="21" spans="1:17" ht="16.2" thickBot="1" x14ac:dyDescent="0.35">
      <c r="A21" s="707"/>
      <c r="B21" s="686"/>
      <c r="C21" s="708"/>
      <c r="D21" s="688"/>
      <c r="E21" s="689"/>
      <c r="F21" s="690"/>
      <c r="G21" s="691"/>
      <c r="H21" s="692"/>
      <c r="I21" s="690"/>
      <c r="J21" s="693"/>
      <c r="K21" s="694"/>
      <c r="L21" s="695"/>
      <c r="M21" s="689"/>
      <c r="O21" s="698"/>
      <c r="P21" s="699"/>
      <c r="Q21" s="700"/>
    </row>
    <row r="22" spans="1:17" ht="16.2" thickTop="1" x14ac:dyDescent="0.3">
      <c r="A22" s="707"/>
      <c r="B22" s="686"/>
      <c r="C22" s="708"/>
      <c r="D22" s="688"/>
      <c r="E22" s="689"/>
      <c r="F22" s="690"/>
      <c r="G22" s="691"/>
      <c r="H22" s="692"/>
      <c r="I22" s="690"/>
      <c r="J22" s="709" t="s">
        <v>30</v>
      </c>
      <c r="K22" s="710">
        <f>SUM(K13:K21)</f>
        <v>53278</v>
      </c>
      <c r="L22" s="695"/>
      <c r="M22" s="689"/>
      <c r="O22" s="698"/>
      <c r="P22" s="699"/>
      <c r="Q22" s="700"/>
    </row>
    <row r="23" spans="1:17" ht="16.2" thickBot="1" x14ac:dyDescent="0.35">
      <c r="A23" s="674" t="s">
        <v>0</v>
      </c>
      <c r="B23" s="675" t="s">
        <v>1</v>
      </c>
      <c r="C23" s="1221" t="s">
        <v>646</v>
      </c>
      <c r="D23" s="1221"/>
      <c r="E23" s="1221"/>
      <c r="F23" s="1221"/>
      <c r="G23" s="1221" t="s">
        <v>34</v>
      </c>
      <c r="H23" s="1221"/>
      <c r="I23" s="1221"/>
      <c r="J23" s="676"/>
      <c r="K23" s="677"/>
      <c r="L23" s="711"/>
      <c r="M23" s="712"/>
      <c r="N23" s="713"/>
      <c r="O23" s="698"/>
      <c r="P23" s="699"/>
      <c r="Q23" s="700"/>
    </row>
    <row r="24" spans="1:17" ht="15.6" x14ac:dyDescent="0.3">
      <c r="A24" s="505" t="s">
        <v>466</v>
      </c>
      <c r="B24" s="505" t="s">
        <v>467</v>
      </c>
      <c r="C24" s="714" t="s">
        <v>19</v>
      </c>
      <c r="D24" s="715" t="s">
        <v>33</v>
      </c>
      <c r="E24" s="716" t="s">
        <v>35</v>
      </c>
      <c r="F24" s="717" t="s">
        <v>30</v>
      </c>
      <c r="G24" s="718" t="s">
        <v>14</v>
      </c>
      <c r="H24" s="716" t="s">
        <v>35</v>
      </c>
      <c r="I24" s="717" t="s">
        <v>30</v>
      </c>
      <c r="J24" s="683" t="s">
        <v>649</v>
      </c>
      <c r="K24" s="719" t="s">
        <v>38</v>
      </c>
      <c r="L24" s="720"/>
      <c r="M24" s="721"/>
      <c r="N24" s="722"/>
      <c r="O24" s="698"/>
      <c r="P24" s="699"/>
      <c r="Q24" s="700"/>
    </row>
    <row r="25" spans="1:17" s="194" customFormat="1" ht="15.6" x14ac:dyDescent="0.3">
      <c r="A25" s="196" t="s">
        <v>468</v>
      </c>
      <c r="B25" s="196" t="s">
        <v>469</v>
      </c>
      <c r="C25" s="687"/>
      <c r="D25" s="688" t="s">
        <v>21</v>
      </c>
      <c r="E25" s="689">
        <v>0</v>
      </c>
      <c r="F25" s="690">
        <f t="shared" ref="F25:F31" si="3">C25*E25</f>
        <v>0</v>
      </c>
      <c r="G25" s="691"/>
      <c r="H25" s="692">
        <v>0</v>
      </c>
      <c r="I25" s="690">
        <f t="shared" ref="I25:I31" si="4">G25*H25</f>
        <v>0</v>
      </c>
      <c r="J25" s="693"/>
      <c r="K25" s="694">
        <f t="shared" ref="K25:K31" si="5">F25+I25+J25</f>
        <v>0</v>
      </c>
      <c r="M25" s="723"/>
      <c r="O25" s="698"/>
      <c r="P25" s="699"/>
      <c r="Q25" s="700"/>
    </row>
    <row r="26" spans="1:17" s="194" customFormat="1" ht="15.6" x14ac:dyDescent="0.3">
      <c r="A26" s="196" t="s">
        <v>470</v>
      </c>
      <c r="B26" s="196" t="s">
        <v>471</v>
      </c>
      <c r="C26" s="687"/>
      <c r="D26" s="688" t="s">
        <v>21</v>
      </c>
      <c r="E26" s="689">
        <v>0</v>
      </c>
      <c r="F26" s="690">
        <f t="shared" si="3"/>
        <v>0</v>
      </c>
      <c r="G26" s="691"/>
      <c r="H26" s="692">
        <v>0</v>
      </c>
      <c r="I26" s="690">
        <f t="shared" si="4"/>
        <v>0</v>
      </c>
      <c r="J26" s="693"/>
      <c r="K26" s="694">
        <f t="shared" si="5"/>
        <v>0</v>
      </c>
      <c r="M26" s="640"/>
      <c r="N26" s="196"/>
      <c r="O26" s="698"/>
      <c r="P26" s="699"/>
      <c r="Q26" s="700"/>
    </row>
    <row r="27" spans="1:17" s="194" customFormat="1" ht="15.6" x14ac:dyDescent="0.3">
      <c r="A27" s="196" t="s">
        <v>472</v>
      </c>
      <c r="B27" s="196" t="s">
        <v>473</v>
      </c>
      <c r="C27" s="687"/>
      <c r="D27" s="688" t="s">
        <v>21</v>
      </c>
      <c r="E27" s="689">
        <v>0</v>
      </c>
      <c r="F27" s="690">
        <f t="shared" si="3"/>
        <v>0</v>
      </c>
      <c r="G27" s="691"/>
      <c r="H27" s="692">
        <v>0</v>
      </c>
      <c r="I27" s="690">
        <f t="shared" si="4"/>
        <v>0</v>
      </c>
      <c r="J27" s="693"/>
      <c r="K27" s="694">
        <f t="shared" si="5"/>
        <v>0</v>
      </c>
      <c r="M27" s="696"/>
      <c r="N27" s="697"/>
      <c r="O27" s="698"/>
      <c r="P27" s="699"/>
      <c r="Q27" s="700"/>
    </row>
    <row r="28" spans="1:17" s="194" customFormat="1" ht="15.6" x14ac:dyDescent="0.3">
      <c r="A28" s="196" t="s">
        <v>474</v>
      </c>
      <c r="B28" s="196" t="s">
        <v>475</v>
      </c>
      <c r="C28" s="687"/>
      <c r="D28" s="688" t="s">
        <v>21</v>
      </c>
      <c r="E28" s="689">
        <v>0</v>
      </c>
      <c r="F28" s="690">
        <f t="shared" si="3"/>
        <v>0</v>
      </c>
      <c r="G28" s="691"/>
      <c r="H28" s="692">
        <v>0</v>
      </c>
      <c r="I28" s="690">
        <f t="shared" si="4"/>
        <v>0</v>
      </c>
      <c r="J28" s="693"/>
      <c r="K28" s="694">
        <f t="shared" si="5"/>
        <v>0</v>
      </c>
      <c r="M28" s="696"/>
      <c r="N28" s="697"/>
      <c r="O28" s="698"/>
      <c r="P28" s="699"/>
      <c r="Q28" s="700"/>
    </row>
    <row r="29" spans="1:17" s="194" customFormat="1" ht="15.6" x14ac:dyDescent="0.3">
      <c r="A29" s="196" t="s">
        <v>477</v>
      </c>
      <c r="B29" s="196" t="s">
        <v>476</v>
      </c>
      <c r="C29" s="687"/>
      <c r="D29" s="688" t="s">
        <v>21</v>
      </c>
      <c r="E29" s="689">
        <v>0</v>
      </c>
      <c r="F29" s="690">
        <f t="shared" si="3"/>
        <v>0</v>
      </c>
      <c r="G29" s="691"/>
      <c r="H29" s="692">
        <v>0</v>
      </c>
      <c r="I29" s="690">
        <f t="shared" si="4"/>
        <v>0</v>
      </c>
      <c r="J29" s="693"/>
      <c r="K29" s="694">
        <f t="shared" si="5"/>
        <v>0</v>
      </c>
      <c r="M29" s="704"/>
      <c r="N29" s="705"/>
      <c r="O29" s="698"/>
      <c r="P29" s="699"/>
      <c r="Q29" s="700"/>
    </row>
    <row r="30" spans="1:17" s="194" customFormat="1" ht="15.6" x14ac:dyDescent="0.3">
      <c r="A30" s="685"/>
      <c r="B30" s="15"/>
      <c r="C30" s="687"/>
      <c r="D30" s="688" t="s">
        <v>21</v>
      </c>
      <c r="E30" s="689">
        <v>0</v>
      </c>
      <c r="F30" s="690">
        <f t="shared" si="3"/>
        <v>0</v>
      </c>
      <c r="G30" s="691"/>
      <c r="H30" s="692">
        <v>0</v>
      </c>
      <c r="I30" s="690">
        <f t="shared" si="4"/>
        <v>0</v>
      </c>
      <c r="J30" s="693"/>
      <c r="K30" s="694">
        <f t="shared" si="5"/>
        <v>0</v>
      </c>
      <c r="M30" s="723"/>
      <c r="O30" s="698"/>
      <c r="P30" s="699"/>
      <c r="Q30" s="700"/>
    </row>
    <row r="31" spans="1:17" s="194" customFormat="1" ht="15.6" x14ac:dyDescent="0.3">
      <c r="A31" s="685"/>
      <c r="B31" s="15"/>
      <c r="C31" s="687"/>
      <c r="D31" s="688" t="s">
        <v>21</v>
      </c>
      <c r="E31" s="689">
        <v>0</v>
      </c>
      <c r="F31" s="690">
        <f t="shared" si="3"/>
        <v>0</v>
      </c>
      <c r="G31" s="691"/>
      <c r="H31" s="692">
        <v>0</v>
      </c>
      <c r="I31" s="690">
        <f t="shared" si="4"/>
        <v>0</v>
      </c>
      <c r="J31" s="693"/>
      <c r="K31" s="694">
        <f t="shared" si="5"/>
        <v>0</v>
      </c>
      <c r="M31" s="723"/>
      <c r="O31" s="698"/>
      <c r="P31" s="699"/>
      <c r="Q31" s="700"/>
    </row>
    <row r="32" spans="1:17" s="194" customFormat="1" ht="16.2" thickBot="1" x14ac:dyDescent="0.35">
      <c r="A32" s="685"/>
      <c r="B32" s="15"/>
      <c r="C32" s="708"/>
      <c r="D32" s="688"/>
      <c r="E32" s="689"/>
      <c r="F32" s="690"/>
      <c r="G32" s="691"/>
      <c r="H32" s="692"/>
      <c r="I32" s="690"/>
      <c r="J32" s="693"/>
      <c r="K32" s="724"/>
      <c r="M32" s="702"/>
      <c r="N32" s="196"/>
      <c r="O32" s="698"/>
      <c r="P32" s="699"/>
      <c r="Q32" s="700"/>
    </row>
    <row r="33" spans="1:17" s="194" customFormat="1" ht="16.2" thickTop="1" x14ac:dyDescent="0.3">
      <c r="A33" s="707"/>
      <c r="B33" s="15"/>
      <c r="C33" s="708"/>
      <c r="D33" s="688"/>
      <c r="E33" s="689"/>
      <c r="F33" s="690"/>
      <c r="G33" s="691"/>
      <c r="H33" s="692"/>
      <c r="I33" s="690"/>
      <c r="J33" s="709" t="s">
        <v>30</v>
      </c>
      <c r="K33" s="710">
        <f>SUM(K25:K32)</f>
        <v>0</v>
      </c>
      <c r="L33" s="695"/>
      <c r="M33" s="696"/>
      <c r="N33" s="697"/>
      <c r="O33" s="698"/>
      <c r="P33" s="699"/>
      <c r="Q33" s="700"/>
    </row>
    <row r="34" spans="1:17" s="194" customFormat="1" ht="16.2" thickBot="1" x14ac:dyDescent="0.35">
      <c r="A34" s="674" t="s">
        <v>0</v>
      </c>
      <c r="B34" s="675" t="s">
        <v>1</v>
      </c>
      <c r="C34" s="1221" t="s">
        <v>646</v>
      </c>
      <c r="D34" s="1221"/>
      <c r="E34" s="1221"/>
      <c r="F34" s="1221"/>
      <c r="G34" s="1221" t="s">
        <v>34</v>
      </c>
      <c r="H34" s="1221"/>
      <c r="I34" s="1221"/>
      <c r="J34" s="676"/>
      <c r="K34" s="677"/>
      <c r="L34" s="711"/>
      <c r="M34" s="712"/>
      <c r="N34" s="713"/>
      <c r="O34" s="698"/>
      <c r="P34" s="699"/>
      <c r="Q34" s="700"/>
    </row>
    <row r="35" spans="1:17" s="194" customFormat="1" ht="15.6" x14ac:dyDescent="0.3">
      <c r="A35" s="505" t="s">
        <v>478</v>
      </c>
      <c r="B35" s="505" t="s">
        <v>82</v>
      </c>
      <c r="C35" s="714" t="s">
        <v>19</v>
      </c>
      <c r="D35" s="715" t="s">
        <v>33</v>
      </c>
      <c r="E35" s="716" t="s">
        <v>35</v>
      </c>
      <c r="F35" s="717" t="s">
        <v>30</v>
      </c>
      <c r="G35" s="718" t="s">
        <v>14</v>
      </c>
      <c r="H35" s="716" t="s">
        <v>35</v>
      </c>
      <c r="I35" s="717" t="s">
        <v>30</v>
      </c>
      <c r="J35" s="683" t="s">
        <v>649</v>
      </c>
      <c r="K35" s="719" t="s">
        <v>38</v>
      </c>
      <c r="L35" s="720"/>
      <c r="M35" s="725"/>
      <c r="N35" s="726"/>
      <c r="O35" s="727"/>
      <c r="P35" s="728"/>
      <c r="Q35" s="700"/>
    </row>
    <row r="36" spans="1:17" s="194" customFormat="1" ht="15.6" x14ac:dyDescent="0.3">
      <c r="A36" s="196" t="s">
        <v>479</v>
      </c>
      <c r="B36" s="196" t="s">
        <v>1037</v>
      </c>
      <c r="C36" s="687"/>
      <c r="D36" s="688" t="s">
        <v>21</v>
      </c>
      <c r="E36" s="689">
        <v>0</v>
      </c>
      <c r="F36" s="690">
        <f>C36*E36</f>
        <v>0</v>
      </c>
      <c r="G36" s="691"/>
      <c r="H36" s="692">
        <v>0</v>
      </c>
      <c r="I36" s="690">
        <f>G36*H36</f>
        <v>0</v>
      </c>
      <c r="J36" s="693"/>
      <c r="K36" s="694">
        <f>F36+I36+J36</f>
        <v>0</v>
      </c>
      <c r="L36" s="695"/>
      <c r="M36" s="696"/>
      <c r="N36" s="697"/>
      <c r="O36" s="727"/>
      <c r="P36" s="728"/>
      <c r="Q36" s="700"/>
    </row>
    <row r="37" spans="1:17" s="194" customFormat="1" ht="15.6" x14ac:dyDescent="0.3">
      <c r="A37" s="196" t="s">
        <v>480</v>
      </c>
      <c r="B37" s="196" t="s">
        <v>482</v>
      </c>
      <c r="C37" s="687"/>
      <c r="D37" s="688" t="s">
        <v>21</v>
      </c>
      <c r="E37" s="689">
        <v>0</v>
      </c>
      <c r="F37" s="690">
        <f>C37*E37</f>
        <v>0</v>
      </c>
      <c r="G37" s="691"/>
      <c r="H37" s="692">
        <v>0</v>
      </c>
      <c r="I37" s="690">
        <f>G37*H37</f>
        <v>0</v>
      </c>
      <c r="J37" s="693"/>
      <c r="K37" s="694">
        <f>F37+I37+J37</f>
        <v>0</v>
      </c>
      <c r="L37" s="695"/>
      <c r="M37" s="723"/>
      <c r="O37" s="727"/>
      <c r="P37" s="728"/>
      <c r="Q37" s="700"/>
    </row>
    <row r="38" spans="1:17" s="194" customFormat="1" ht="15.6" x14ac:dyDescent="0.3">
      <c r="A38" s="196" t="s">
        <v>483</v>
      </c>
      <c r="B38" s="196" t="s">
        <v>481</v>
      </c>
      <c r="C38" s="687"/>
      <c r="D38" s="688" t="s">
        <v>21</v>
      </c>
      <c r="E38" s="689">
        <v>0</v>
      </c>
      <c r="F38" s="690">
        <f>C38*E38</f>
        <v>0</v>
      </c>
      <c r="G38" s="691"/>
      <c r="H38" s="692">
        <v>0</v>
      </c>
      <c r="I38" s="690">
        <f>G38*H38</f>
        <v>0</v>
      </c>
      <c r="J38" s="693"/>
      <c r="K38" s="694">
        <f>F38+I38+J38</f>
        <v>0</v>
      </c>
      <c r="L38" s="695"/>
      <c r="M38" s="723"/>
      <c r="O38" s="727"/>
      <c r="P38" s="728"/>
      <c r="Q38" s="700"/>
    </row>
    <row r="39" spans="1:17" s="194" customFormat="1" ht="15.6" x14ac:dyDescent="0.3">
      <c r="A39" s="707"/>
      <c r="B39" s="37"/>
      <c r="C39" s="708"/>
      <c r="D39" s="688"/>
      <c r="E39" s="689"/>
      <c r="F39" s="690"/>
      <c r="G39" s="691"/>
      <c r="H39" s="692"/>
      <c r="I39" s="690"/>
      <c r="J39" s="693"/>
      <c r="K39" s="724"/>
      <c r="L39" s="695"/>
      <c r="M39" s="696"/>
      <c r="N39" s="697"/>
      <c r="O39" s="727"/>
      <c r="P39" s="728"/>
      <c r="Q39" s="700"/>
    </row>
    <row r="40" spans="1:17" s="194" customFormat="1" ht="16.2" thickBot="1" x14ac:dyDescent="0.35">
      <c r="A40" s="707"/>
      <c r="B40" s="37"/>
      <c r="C40" s="708"/>
      <c r="D40" s="688"/>
      <c r="E40" s="689"/>
      <c r="F40" s="690"/>
      <c r="G40" s="691"/>
      <c r="H40" s="692"/>
      <c r="I40" s="690"/>
      <c r="J40" s="693"/>
      <c r="K40" s="724"/>
      <c r="L40" s="695"/>
      <c r="M40" s="640"/>
      <c r="N40" s="196"/>
      <c r="O40" s="727"/>
      <c r="P40" s="728"/>
      <c r="Q40" s="700"/>
    </row>
    <row r="41" spans="1:17" s="194" customFormat="1" ht="16.2" thickTop="1" x14ac:dyDescent="0.3">
      <c r="A41" s="707"/>
      <c r="B41" s="37"/>
      <c r="C41" s="708"/>
      <c r="D41" s="688"/>
      <c r="E41" s="689"/>
      <c r="F41" s="690"/>
      <c r="G41" s="691"/>
      <c r="H41" s="692"/>
      <c r="I41" s="690"/>
      <c r="J41" s="709" t="s">
        <v>30</v>
      </c>
      <c r="K41" s="710">
        <f>SUM(K36:K40)</f>
        <v>0</v>
      </c>
      <c r="L41" s="695"/>
      <c r="M41" s="640"/>
      <c r="N41" s="196"/>
      <c r="O41" s="698"/>
      <c r="P41" s="699"/>
      <c r="Q41" s="700"/>
    </row>
    <row r="42" spans="1:17" s="194" customFormat="1" ht="16.2" thickBot="1" x14ac:dyDescent="0.35">
      <c r="A42" s="674" t="s">
        <v>0</v>
      </c>
      <c r="B42" s="675" t="s">
        <v>1</v>
      </c>
      <c r="C42" s="1221" t="s">
        <v>646</v>
      </c>
      <c r="D42" s="1221"/>
      <c r="E42" s="1221"/>
      <c r="F42" s="1221"/>
      <c r="G42" s="1221" t="s">
        <v>34</v>
      </c>
      <c r="H42" s="1221"/>
      <c r="I42" s="1221"/>
      <c r="J42" s="676"/>
      <c r="K42" s="677"/>
      <c r="L42" s="711"/>
      <c r="M42" s="712"/>
      <c r="N42" s="713"/>
      <c r="O42" s="698"/>
      <c r="P42" s="699"/>
      <c r="Q42" s="700"/>
    </row>
    <row r="43" spans="1:17" s="194" customFormat="1" ht="16.2" thickBot="1" x14ac:dyDescent="0.35">
      <c r="A43" s="385"/>
      <c r="B43" s="386"/>
      <c r="C43" s="714" t="s">
        <v>19</v>
      </c>
      <c r="D43" s="715" t="s">
        <v>33</v>
      </c>
      <c r="E43" s="716" t="s">
        <v>35</v>
      </c>
      <c r="F43" s="717" t="s">
        <v>30</v>
      </c>
      <c r="G43" s="718" t="s">
        <v>14</v>
      </c>
      <c r="H43" s="716" t="s">
        <v>35</v>
      </c>
      <c r="I43" s="717" t="s">
        <v>30</v>
      </c>
      <c r="J43" s="683" t="s">
        <v>649</v>
      </c>
      <c r="K43" s="719" t="s">
        <v>38</v>
      </c>
      <c r="L43" s="720"/>
      <c r="M43" s="725"/>
      <c r="N43" s="726"/>
      <c r="O43" s="698"/>
      <c r="P43" s="728"/>
      <c r="Q43" s="700"/>
    </row>
    <row r="44" spans="1:17" s="194" customFormat="1" ht="15.6" x14ac:dyDescent="0.3">
      <c r="A44" s="729"/>
      <c r="B44" s="730"/>
      <c r="C44" s="687"/>
      <c r="D44" s="688" t="s">
        <v>21</v>
      </c>
      <c r="E44" s="689">
        <v>0</v>
      </c>
      <c r="F44" s="690">
        <f>C44*E44</f>
        <v>0</v>
      </c>
      <c r="G44" s="691"/>
      <c r="H44" s="692">
        <v>0</v>
      </c>
      <c r="I44" s="690">
        <f>G44*H44</f>
        <v>0</v>
      </c>
      <c r="J44" s="693"/>
      <c r="K44" s="694">
        <f>F44+I44+J44</f>
        <v>0</v>
      </c>
      <c r="L44" s="703"/>
      <c r="M44" s="731"/>
      <c r="N44" s="732"/>
      <c r="O44" s="698"/>
      <c r="P44" s="699"/>
      <c r="Q44" s="700"/>
    </row>
    <row r="45" spans="1:17" s="194" customFormat="1" ht="15.6" x14ac:dyDescent="0.3">
      <c r="A45" s="685"/>
      <c r="B45" s="15"/>
      <c r="C45" s="687"/>
      <c r="D45" s="688" t="s">
        <v>21</v>
      </c>
      <c r="E45" s="689">
        <v>0</v>
      </c>
      <c r="F45" s="690">
        <f>C45*E45</f>
        <v>0</v>
      </c>
      <c r="G45" s="691"/>
      <c r="H45" s="692">
        <v>0</v>
      </c>
      <c r="I45" s="690">
        <f>G45*H45</f>
        <v>0</v>
      </c>
      <c r="J45" s="693"/>
      <c r="K45" s="733">
        <f>F45+I45+J45</f>
        <v>0</v>
      </c>
      <c r="L45" s="734"/>
      <c r="M45" s="731"/>
      <c r="N45" s="732"/>
      <c r="O45" s="735"/>
      <c r="P45" s="699"/>
      <c r="Q45" s="700"/>
    </row>
    <row r="46" spans="1:17" s="194" customFormat="1" ht="15.6" x14ac:dyDescent="0.3">
      <c r="A46" s="685"/>
      <c r="B46" s="15"/>
      <c r="C46" s="687"/>
      <c r="D46" s="688" t="s">
        <v>21</v>
      </c>
      <c r="E46" s="689">
        <v>0</v>
      </c>
      <c r="F46" s="690">
        <f>C46*E46</f>
        <v>0</v>
      </c>
      <c r="G46" s="691"/>
      <c r="H46" s="692">
        <v>0</v>
      </c>
      <c r="I46" s="690">
        <f>G46*H46</f>
        <v>0</v>
      </c>
      <c r="J46" s="693"/>
      <c r="K46" s="733">
        <f>F46+I46+J46</f>
        <v>0</v>
      </c>
      <c r="L46" s="734"/>
      <c r="M46" s="731"/>
      <c r="N46" s="732"/>
      <c r="O46" s="735"/>
      <c r="P46" s="699"/>
      <c r="Q46" s="700"/>
    </row>
    <row r="47" spans="1:17" s="194" customFormat="1" ht="15.6" x14ac:dyDescent="0.3">
      <c r="A47" s="685"/>
      <c r="B47" s="15"/>
      <c r="C47" s="687"/>
      <c r="D47" s="688" t="s">
        <v>21</v>
      </c>
      <c r="E47" s="689">
        <v>0</v>
      </c>
      <c r="F47" s="690">
        <f>C47*E47</f>
        <v>0</v>
      </c>
      <c r="G47" s="691"/>
      <c r="H47" s="692">
        <v>0</v>
      </c>
      <c r="I47" s="690">
        <f>G47*H47</f>
        <v>0</v>
      </c>
      <c r="J47" s="693"/>
      <c r="K47" s="694">
        <f>F47+I47+J47</f>
        <v>0</v>
      </c>
      <c r="L47" s="736"/>
      <c r="M47" s="731"/>
      <c r="N47" s="732"/>
      <c r="O47" s="698"/>
      <c r="P47" s="699"/>
      <c r="Q47" s="700"/>
    </row>
    <row r="48" spans="1:17" s="194" customFormat="1" ht="15.6" x14ac:dyDescent="0.3">
      <c r="A48" s="685"/>
      <c r="B48" s="15"/>
      <c r="C48" s="687"/>
      <c r="D48" s="688" t="s">
        <v>21</v>
      </c>
      <c r="E48" s="689">
        <v>0</v>
      </c>
      <c r="F48" s="690">
        <f>C48*E48</f>
        <v>0</v>
      </c>
      <c r="G48" s="691"/>
      <c r="H48" s="692">
        <v>0</v>
      </c>
      <c r="I48" s="690">
        <f>G48*H48</f>
        <v>0</v>
      </c>
      <c r="J48" s="693"/>
      <c r="K48" s="694">
        <f>F48+I48+J48</f>
        <v>0</v>
      </c>
      <c r="L48" s="695"/>
      <c r="M48" s="731"/>
      <c r="N48" s="732"/>
      <c r="O48" s="698"/>
      <c r="P48" s="699"/>
      <c r="Q48" s="700"/>
    </row>
    <row r="49" spans="1:17" s="194" customFormat="1" ht="16.2" thickBot="1" x14ac:dyDescent="0.35">
      <c r="A49" s="707"/>
      <c r="B49" s="37"/>
      <c r="C49" s="708"/>
      <c r="D49" s="688"/>
      <c r="E49" s="689"/>
      <c r="F49" s="690"/>
      <c r="G49" s="691"/>
      <c r="H49" s="692"/>
      <c r="I49" s="690"/>
      <c r="J49" s="693"/>
      <c r="K49" s="724"/>
      <c r="L49" s="695"/>
      <c r="M49" s="731"/>
      <c r="N49" s="697"/>
      <c r="O49" s="698"/>
      <c r="P49" s="699"/>
      <c r="Q49" s="700"/>
    </row>
    <row r="50" spans="1:17" s="194" customFormat="1" ht="16.8" thickTop="1" thickBot="1" x14ac:dyDescent="0.35">
      <c r="A50" s="707"/>
      <c r="B50" s="37"/>
      <c r="C50" s="708"/>
      <c r="D50" s="688"/>
      <c r="E50" s="689"/>
      <c r="F50" s="690"/>
      <c r="G50" s="691"/>
      <c r="H50" s="692"/>
      <c r="I50" s="690"/>
      <c r="J50" s="709" t="s">
        <v>30</v>
      </c>
      <c r="K50" s="710">
        <f>SUM(K44:K49)</f>
        <v>0</v>
      </c>
      <c r="L50" s="737"/>
      <c r="M50" s="738"/>
      <c r="N50" s="739"/>
      <c r="O50" s="740"/>
      <c r="P50" s="741"/>
      <c r="Q50" s="742"/>
    </row>
    <row r="51" spans="1:17" s="194" customFormat="1" ht="14.1" customHeight="1" thickTop="1" x14ac:dyDescent="0.3">
      <c r="A51" s="743"/>
      <c r="B51" s="744"/>
      <c r="C51" s="745"/>
      <c r="D51" s="745"/>
      <c r="E51" s="746"/>
      <c r="F51" s="1225" t="s">
        <v>648</v>
      </c>
      <c r="G51" s="1227" t="s">
        <v>673</v>
      </c>
      <c r="H51" s="746"/>
      <c r="I51" s="1229" t="s">
        <v>647</v>
      </c>
      <c r="J51" s="1231" t="s">
        <v>674</v>
      </c>
      <c r="K51" s="1233" t="s">
        <v>31</v>
      </c>
      <c r="M51" s="723"/>
    </row>
    <row r="52" spans="1:17" s="194" customFormat="1" ht="15.6" x14ac:dyDescent="0.25">
      <c r="A52" s="747" t="s">
        <v>32</v>
      </c>
      <c r="B52" s="1222" t="s">
        <v>664</v>
      </c>
      <c r="C52" s="748"/>
      <c r="D52" s="749"/>
      <c r="E52" s="749"/>
      <c r="F52" s="1226"/>
      <c r="G52" s="1228"/>
      <c r="H52" s="750"/>
      <c r="I52" s="1230"/>
      <c r="J52" s="1232"/>
      <c r="K52" s="1234"/>
      <c r="M52" s="723"/>
    </row>
    <row r="53" spans="1:17" s="194" customFormat="1" ht="15.6" x14ac:dyDescent="0.3">
      <c r="A53" s="783">
        <f>K53/E6</f>
        <v>88.796666666666667</v>
      </c>
      <c r="B53" s="1222"/>
      <c r="C53" s="749"/>
      <c r="D53" s="749"/>
      <c r="E53" s="749"/>
      <c r="F53" s="1235">
        <f>SUM(F44:F49,F36:F40,F25:F32,F13:F21)</f>
        <v>0</v>
      </c>
      <c r="G53" s="1237">
        <f>SUM(G44:G49,G36:G40,G25:G32,G13:G21)</f>
        <v>0</v>
      </c>
      <c r="H53" s="750"/>
      <c r="I53" s="1235">
        <f>SUM(I44:I49,I36:I40,I25:I32,I13:I21)</f>
        <v>0</v>
      </c>
      <c r="J53" s="1235">
        <f>SUM(J44:J49,J36:J40,J25:J32,J13:J21)</f>
        <v>53278</v>
      </c>
      <c r="K53" s="1223">
        <f>SUM(K50,K41,K33,K22)</f>
        <v>53278</v>
      </c>
      <c r="M53" s="723"/>
    </row>
    <row r="54" spans="1:17" s="194" customFormat="1" ht="15.6" thickBot="1" x14ac:dyDescent="0.3">
      <c r="A54" s="747"/>
      <c r="B54" s="751"/>
      <c r="C54" s="752"/>
      <c r="D54" s="752"/>
      <c r="E54" s="752"/>
      <c r="F54" s="1236"/>
      <c r="G54" s="1238"/>
      <c r="H54" s="752"/>
      <c r="I54" s="1236"/>
      <c r="J54" s="1236"/>
      <c r="K54" s="1224"/>
      <c r="M54" s="640"/>
      <c r="N54" s="196"/>
      <c r="O54" s="641"/>
      <c r="P54" s="641"/>
    </row>
    <row r="55" spans="1:17" s="194" customFormat="1" ht="15.6" thickBot="1" x14ac:dyDescent="0.3">
      <c r="A55" s="753"/>
      <c r="B55" s="754"/>
      <c r="C55" s="754"/>
      <c r="D55" s="754"/>
      <c r="E55" s="754"/>
      <c r="F55" s="754"/>
      <c r="G55" s="754"/>
      <c r="H55" s="754"/>
      <c r="I55" s="754"/>
      <c r="J55" s="754"/>
      <c r="K55" s="755"/>
      <c r="M55" s="640"/>
      <c r="N55" s="196"/>
      <c r="O55" s="641"/>
      <c r="P55" s="641"/>
    </row>
    <row r="56" spans="1:17" s="194" customFormat="1" x14ac:dyDescent="0.25">
      <c r="C56" s="756"/>
      <c r="D56" s="756"/>
      <c r="J56" s="723"/>
      <c r="M56" s="640"/>
      <c r="N56" s="196"/>
      <c r="O56" s="641"/>
      <c r="P56" s="641"/>
    </row>
    <row r="57" spans="1:17" s="194" customFormat="1" x14ac:dyDescent="0.25">
      <c r="C57" s="756"/>
      <c r="D57" s="756"/>
      <c r="J57" s="723"/>
      <c r="M57" s="640"/>
      <c r="N57" s="196"/>
      <c r="O57" s="641"/>
      <c r="P57" s="641"/>
    </row>
    <row r="58" spans="1:17" s="194" customFormat="1" x14ac:dyDescent="0.25">
      <c r="C58" s="756"/>
      <c r="D58" s="756"/>
      <c r="J58" s="723"/>
      <c r="M58" s="640"/>
      <c r="N58" s="196"/>
      <c r="O58" s="641"/>
      <c r="P58" s="641"/>
    </row>
    <row r="59" spans="1:17" s="194" customFormat="1" x14ac:dyDescent="0.25">
      <c r="C59" s="756"/>
      <c r="D59" s="756"/>
      <c r="J59" s="723"/>
      <c r="M59" s="640"/>
      <c r="N59" s="196"/>
      <c r="O59" s="641"/>
      <c r="P59" s="641"/>
    </row>
    <row r="60" spans="1:17" s="194" customFormat="1" x14ac:dyDescent="0.25">
      <c r="C60" s="756"/>
      <c r="D60" s="756"/>
      <c r="J60" s="723"/>
      <c r="M60" s="640"/>
      <c r="N60" s="196"/>
      <c r="O60" s="641"/>
      <c r="P60" s="641"/>
    </row>
    <row r="61" spans="1:17" s="194" customFormat="1" x14ac:dyDescent="0.25">
      <c r="C61" s="756"/>
      <c r="D61" s="756"/>
      <c r="J61" s="723"/>
      <c r="M61" s="640"/>
      <c r="N61" s="196"/>
      <c r="O61" s="641"/>
      <c r="P61" s="641"/>
    </row>
    <row r="62" spans="1:17" s="194" customFormat="1" x14ac:dyDescent="0.25">
      <c r="C62" s="756"/>
      <c r="D62" s="756"/>
      <c r="J62" s="723"/>
      <c r="M62" s="640"/>
      <c r="N62" s="196"/>
      <c r="O62" s="641"/>
      <c r="P62" s="641"/>
    </row>
    <row r="63" spans="1:17" s="194" customFormat="1" x14ac:dyDescent="0.25">
      <c r="C63" s="756"/>
      <c r="D63" s="756"/>
      <c r="J63" s="723"/>
      <c r="M63" s="640"/>
      <c r="N63" s="196"/>
      <c r="O63" s="641"/>
      <c r="P63" s="641"/>
    </row>
    <row r="64" spans="1:17" s="194" customFormat="1" x14ac:dyDescent="0.25">
      <c r="C64" s="756"/>
      <c r="D64" s="756"/>
      <c r="J64" s="723"/>
      <c r="M64" s="640"/>
      <c r="N64" s="196"/>
      <c r="O64" s="641"/>
      <c r="P64" s="641"/>
    </row>
    <row r="65" spans="3:16" s="194" customFormat="1" x14ac:dyDescent="0.25">
      <c r="C65" s="756"/>
      <c r="D65" s="756"/>
      <c r="J65" s="723"/>
      <c r="M65" s="640"/>
      <c r="N65" s="196"/>
      <c r="O65" s="641"/>
      <c r="P65" s="641"/>
    </row>
    <row r="66" spans="3:16" s="194" customFormat="1" x14ac:dyDescent="0.25">
      <c r="C66" s="756"/>
      <c r="D66" s="756"/>
      <c r="J66" s="723"/>
      <c r="M66" s="640"/>
      <c r="N66" s="196"/>
      <c r="O66" s="641"/>
      <c r="P66" s="641"/>
    </row>
    <row r="67" spans="3:16" s="194" customFormat="1" x14ac:dyDescent="0.25">
      <c r="C67" s="756"/>
      <c r="D67" s="756"/>
      <c r="J67" s="723"/>
      <c r="M67" s="640"/>
      <c r="N67" s="196"/>
      <c r="O67" s="641"/>
      <c r="P67" s="641"/>
    </row>
    <row r="68" spans="3:16" s="194" customFormat="1" x14ac:dyDescent="0.25">
      <c r="C68" s="756"/>
      <c r="D68" s="756"/>
      <c r="J68" s="723"/>
      <c r="M68" s="640"/>
      <c r="N68" s="196"/>
      <c r="O68" s="641"/>
      <c r="P68" s="641"/>
    </row>
    <row r="69" spans="3:16" s="194" customFormat="1" x14ac:dyDescent="0.25">
      <c r="C69" s="756"/>
      <c r="D69" s="756"/>
      <c r="J69" s="723"/>
      <c r="M69" s="640"/>
      <c r="N69" s="196"/>
      <c r="O69" s="641"/>
      <c r="P69" s="641"/>
    </row>
    <row r="70" spans="3:16" s="194" customFormat="1" x14ac:dyDescent="0.25">
      <c r="C70" s="756"/>
      <c r="D70" s="756"/>
      <c r="J70" s="723"/>
      <c r="M70" s="640"/>
      <c r="N70" s="196"/>
      <c r="O70" s="641"/>
      <c r="P70" s="641"/>
    </row>
    <row r="71" spans="3:16" s="194" customFormat="1" x14ac:dyDescent="0.25">
      <c r="C71" s="756"/>
      <c r="D71" s="756"/>
      <c r="J71" s="723"/>
      <c r="M71" s="640"/>
      <c r="N71" s="196"/>
      <c r="O71" s="641"/>
      <c r="P71" s="641"/>
    </row>
    <row r="72" spans="3:16" s="194" customFormat="1" x14ac:dyDescent="0.25">
      <c r="C72" s="756"/>
      <c r="D72" s="756"/>
      <c r="J72" s="723"/>
      <c r="M72" s="640"/>
      <c r="N72" s="196"/>
      <c r="O72" s="641"/>
      <c r="P72" s="641"/>
    </row>
    <row r="73" spans="3:16" s="194" customFormat="1" x14ac:dyDescent="0.25">
      <c r="C73" s="756"/>
      <c r="D73" s="756"/>
      <c r="J73" s="723"/>
      <c r="M73" s="640"/>
      <c r="N73" s="196"/>
      <c r="O73" s="641"/>
      <c r="P73" s="641"/>
    </row>
    <row r="74" spans="3:16" s="194" customFormat="1" x14ac:dyDescent="0.25">
      <c r="C74" s="756"/>
      <c r="D74" s="756"/>
      <c r="J74" s="723"/>
      <c r="M74" s="640"/>
      <c r="N74" s="196"/>
      <c r="O74" s="641"/>
      <c r="P74" s="641"/>
    </row>
    <row r="75" spans="3:16" s="194" customFormat="1" x14ac:dyDescent="0.25">
      <c r="C75" s="756"/>
      <c r="D75" s="756"/>
      <c r="J75" s="723"/>
      <c r="M75" s="640"/>
      <c r="N75" s="196"/>
      <c r="O75" s="641"/>
      <c r="P75" s="641"/>
    </row>
    <row r="76" spans="3:16" s="194" customFormat="1" x14ac:dyDescent="0.25">
      <c r="C76" s="756"/>
      <c r="D76" s="756"/>
      <c r="J76" s="723"/>
      <c r="M76" s="640"/>
      <c r="N76" s="196"/>
      <c r="O76" s="641"/>
      <c r="P76" s="641"/>
    </row>
    <row r="77" spans="3:16" s="194" customFormat="1" x14ac:dyDescent="0.25">
      <c r="C77" s="756"/>
      <c r="D77" s="756"/>
      <c r="J77" s="723"/>
      <c r="M77" s="640"/>
      <c r="N77" s="196"/>
      <c r="O77" s="641"/>
      <c r="P77" s="641"/>
    </row>
    <row r="78" spans="3:16" s="194" customFormat="1" x14ac:dyDescent="0.25">
      <c r="C78" s="756"/>
      <c r="D78" s="756"/>
      <c r="J78" s="723"/>
      <c r="M78" s="640"/>
      <c r="N78" s="196"/>
      <c r="O78" s="641"/>
      <c r="P78" s="641"/>
    </row>
    <row r="79" spans="3:16" s="194" customFormat="1" x14ac:dyDescent="0.25">
      <c r="C79" s="756"/>
      <c r="D79" s="756"/>
      <c r="J79" s="723"/>
      <c r="M79" s="640"/>
      <c r="N79" s="196"/>
      <c r="O79" s="641"/>
      <c r="P79" s="641"/>
    </row>
    <row r="80" spans="3:16" s="194" customFormat="1" x14ac:dyDescent="0.25">
      <c r="C80" s="756"/>
      <c r="D80" s="756"/>
      <c r="J80" s="723"/>
      <c r="M80" s="640"/>
      <c r="N80" s="196"/>
      <c r="O80" s="641"/>
      <c r="P80" s="641"/>
    </row>
    <row r="81" spans="3:16" s="194" customFormat="1" x14ac:dyDescent="0.25">
      <c r="C81" s="756"/>
      <c r="D81" s="756"/>
      <c r="J81" s="723"/>
      <c r="M81" s="640"/>
      <c r="N81" s="196"/>
      <c r="O81" s="641"/>
      <c r="P81" s="641"/>
    </row>
    <row r="82" spans="3:16" s="194" customFormat="1" x14ac:dyDescent="0.25">
      <c r="C82" s="756"/>
      <c r="D82" s="756"/>
      <c r="J82" s="723"/>
      <c r="M82" s="640"/>
      <c r="N82" s="196"/>
      <c r="O82" s="641"/>
      <c r="P82" s="641"/>
    </row>
    <row r="83" spans="3:16" s="194" customFormat="1" x14ac:dyDescent="0.25">
      <c r="C83" s="756"/>
      <c r="D83" s="756"/>
      <c r="J83" s="723"/>
      <c r="M83" s="640"/>
      <c r="N83" s="196"/>
      <c r="O83" s="641"/>
      <c r="P83" s="641"/>
    </row>
    <row r="84" spans="3:16" s="194" customFormat="1" x14ac:dyDescent="0.25">
      <c r="C84" s="756"/>
      <c r="D84" s="756"/>
      <c r="J84" s="723"/>
      <c r="M84" s="640"/>
      <c r="N84" s="196"/>
      <c r="O84" s="641"/>
      <c r="P84" s="641"/>
    </row>
    <row r="85" spans="3:16" s="194" customFormat="1" x14ac:dyDescent="0.25">
      <c r="C85" s="756"/>
      <c r="D85" s="756"/>
      <c r="J85" s="723"/>
      <c r="M85" s="640"/>
      <c r="N85" s="196"/>
      <c r="O85" s="641"/>
      <c r="P85" s="641"/>
    </row>
    <row r="86" spans="3:16" s="194" customFormat="1" x14ac:dyDescent="0.25">
      <c r="C86" s="756"/>
      <c r="D86" s="756"/>
      <c r="J86" s="723"/>
      <c r="M86" s="640"/>
      <c r="N86" s="196"/>
      <c r="O86" s="641"/>
      <c r="P86" s="641"/>
    </row>
    <row r="87" spans="3:16" s="194" customFormat="1" x14ac:dyDescent="0.25">
      <c r="C87" s="756"/>
      <c r="D87" s="756"/>
      <c r="J87" s="723"/>
      <c r="M87" s="640"/>
      <c r="N87" s="196"/>
      <c r="O87" s="641"/>
      <c r="P87" s="641"/>
    </row>
    <row r="88" spans="3:16" s="194" customFormat="1" x14ac:dyDescent="0.25">
      <c r="C88" s="756"/>
      <c r="D88" s="756"/>
      <c r="J88" s="723"/>
      <c r="M88" s="640"/>
      <c r="N88" s="196"/>
      <c r="O88" s="641"/>
      <c r="P88" s="641"/>
    </row>
    <row r="89" spans="3:16" s="194" customFormat="1" x14ac:dyDescent="0.25">
      <c r="C89" s="756"/>
      <c r="D89" s="756"/>
      <c r="J89" s="723"/>
      <c r="M89" s="640"/>
      <c r="N89" s="196"/>
      <c r="O89" s="641"/>
      <c r="P89" s="641"/>
    </row>
    <row r="90" spans="3:16" s="194" customFormat="1" x14ac:dyDescent="0.25">
      <c r="C90" s="756"/>
      <c r="D90" s="756"/>
      <c r="J90" s="723"/>
      <c r="M90" s="640"/>
      <c r="N90" s="196"/>
      <c r="O90" s="641"/>
      <c r="P90" s="641"/>
    </row>
    <row r="91" spans="3:16" s="194" customFormat="1" x14ac:dyDescent="0.25">
      <c r="C91" s="756"/>
      <c r="D91" s="756"/>
      <c r="J91" s="723"/>
      <c r="M91" s="640"/>
      <c r="N91" s="196"/>
      <c r="O91" s="641"/>
      <c r="P91" s="641"/>
    </row>
    <row r="92" spans="3:16" s="194" customFormat="1" x14ac:dyDescent="0.25">
      <c r="C92" s="756"/>
      <c r="D92" s="756"/>
      <c r="J92" s="723"/>
      <c r="M92" s="640"/>
      <c r="N92" s="196"/>
      <c r="O92" s="641"/>
      <c r="P92" s="641"/>
    </row>
    <row r="93" spans="3:16" s="194" customFormat="1" x14ac:dyDescent="0.25">
      <c r="C93" s="756"/>
      <c r="D93" s="756"/>
      <c r="J93" s="723"/>
      <c r="M93" s="640"/>
      <c r="N93" s="196"/>
      <c r="O93" s="641"/>
      <c r="P93" s="641"/>
    </row>
    <row r="94" spans="3:16" s="194" customFormat="1" x14ac:dyDescent="0.25">
      <c r="C94" s="756"/>
      <c r="D94" s="756"/>
      <c r="J94" s="723"/>
      <c r="M94" s="640"/>
      <c r="N94" s="196"/>
      <c r="O94" s="641"/>
      <c r="P94" s="641"/>
    </row>
    <row r="95" spans="3:16" s="194" customFormat="1" x14ac:dyDescent="0.25">
      <c r="C95" s="756"/>
      <c r="D95" s="756"/>
      <c r="J95" s="723"/>
      <c r="M95" s="640"/>
      <c r="N95" s="196"/>
      <c r="O95" s="641"/>
      <c r="P95" s="641"/>
    </row>
    <row r="96" spans="3:16" s="194" customFormat="1" x14ac:dyDescent="0.25">
      <c r="C96" s="756"/>
      <c r="D96" s="756"/>
      <c r="J96" s="723"/>
      <c r="M96" s="640"/>
      <c r="N96" s="196"/>
      <c r="O96" s="641"/>
      <c r="P96" s="641"/>
    </row>
    <row r="97" spans="3:16" s="194" customFormat="1" x14ac:dyDescent="0.25">
      <c r="C97" s="756"/>
      <c r="D97" s="756"/>
      <c r="J97" s="723"/>
      <c r="M97" s="640"/>
      <c r="N97" s="196"/>
      <c r="O97" s="641"/>
      <c r="P97" s="641"/>
    </row>
    <row r="98" spans="3:16" s="194" customFormat="1" x14ac:dyDescent="0.25">
      <c r="C98" s="756"/>
      <c r="D98" s="756"/>
      <c r="J98" s="723"/>
      <c r="M98" s="640"/>
      <c r="N98" s="196"/>
      <c r="O98" s="641"/>
      <c r="P98" s="641"/>
    </row>
    <row r="99" spans="3:16" s="194" customFormat="1" x14ac:dyDescent="0.25">
      <c r="C99" s="756"/>
      <c r="D99" s="756"/>
      <c r="J99" s="723"/>
      <c r="M99" s="640"/>
      <c r="N99" s="196"/>
      <c r="O99" s="641"/>
      <c r="P99" s="641"/>
    </row>
    <row r="100" spans="3:16" s="194" customFormat="1" x14ac:dyDescent="0.25">
      <c r="C100" s="756"/>
      <c r="D100" s="756"/>
      <c r="J100" s="723"/>
      <c r="M100" s="640"/>
      <c r="N100" s="196"/>
      <c r="O100" s="641"/>
      <c r="P100" s="641"/>
    </row>
    <row r="101" spans="3:16" s="194" customFormat="1" x14ac:dyDescent="0.25">
      <c r="C101" s="756"/>
      <c r="D101" s="756"/>
      <c r="J101" s="723"/>
      <c r="M101" s="640"/>
      <c r="N101" s="196"/>
      <c r="O101" s="641"/>
      <c r="P101" s="641"/>
    </row>
    <row r="102" spans="3:16" s="194" customFormat="1" x14ac:dyDescent="0.25">
      <c r="C102" s="756"/>
      <c r="D102" s="756"/>
      <c r="J102" s="723"/>
      <c r="M102" s="640"/>
      <c r="N102" s="196"/>
      <c r="O102" s="641"/>
      <c r="P102" s="641"/>
    </row>
    <row r="103" spans="3:16" s="194" customFormat="1" x14ac:dyDescent="0.25">
      <c r="C103" s="756"/>
      <c r="D103" s="756"/>
      <c r="J103" s="723"/>
      <c r="M103" s="640"/>
      <c r="N103" s="196"/>
      <c r="O103" s="641"/>
      <c r="P103" s="641"/>
    </row>
    <row r="104" spans="3:16" s="194" customFormat="1" x14ac:dyDescent="0.25">
      <c r="C104" s="756"/>
      <c r="D104" s="756"/>
      <c r="J104" s="723"/>
      <c r="M104" s="640"/>
      <c r="N104" s="196"/>
      <c r="O104" s="641"/>
      <c r="P104" s="641"/>
    </row>
    <row r="105" spans="3:16" s="194" customFormat="1" x14ac:dyDescent="0.25">
      <c r="C105" s="756"/>
      <c r="D105" s="756"/>
      <c r="J105" s="723"/>
      <c r="M105" s="640"/>
      <c r="N105" s="196"/>
      <c r="O105" s="641"/>
      <c r="P105" s="641"/>
    </row>
    <row r="106" spans="3:16" s="194" customFormat="1" x14ac:dyDescent="0.25">
      <c r="C106" s="756"/>
      <c r="D106" s="756"/>
      <c r="J106" s="723"/>
      <c r="M106" s="640"/>
      <c r="N106" s="196"/>
      <c r="O106" s="641"/>
      <c r="P106" s="641"/>
    </row>
    <row r="107" spans="3:16" s="194" customFormat="1" x14ac:dyDescent="0.25">
      <c r="C107" s="756"/>
      <c r="D107" s="756"/>
      <c r="J107" s="723"/>
      <c r="M107" s="640"/>
      <c r="N107" s="196"/>
      <c r="O107" s="641"/>
      <c r="P107" s="641"/>
    </row>
    <row r="108" spans="3:16" s="194" customFormat="1" x14ac:dyDescent="0.25">
      <c r="C108" s="756"/>
      <c r="D108" s="756"/>
      <c r="J108" s="723"/>
      <c r="M108" s="640"/>
      <c r="N108" s="196"/>
      <c r="O108" s="641"/>
      <c r="P108" s="641"/>
    </row>
    <row r="109" spans="3:16" s="194" customFormat="1" x14ac:dyDescent="0.25">
      <c r="C109" s="756"/>
      <c r="D109" s="756"/>
      <c r="J109" s="723"/>
      <c r="M109" s="640"/>
      <c r="N109" s="196"/>
      <c r="O109" s="641"/>
      <c r="P109" s="641"/>
    </row>
    <row r="110" spans="3:16" s="194" customFormat="1" x14ac:dyDescent="0.25">
      <c r="C110" s="756"/>
      <c r="D110" s="756"/>
      <c r="J110" s="723"/>
      <c r="M110" s="640"/>
      <c r="N110" s="196"/>
      <c r="O110" s="641"/>
      <c r="P110" s="641"/>
    </row>
    <row r="111" spans="3:16" s="194" customFormat="1" x14ac:dyDescent="0.25">
      <c r="C111" s="756"/>
      <c r="D111" s="756"/>
      <c r="J111" s="723"/>
      <c r="M111" s="640"/>
      <c r="N111" s="196"/>
      <c r="O111" s="641"/>
      <c r="P111" s="641"/>
    </row>
    <row r="112" spans="3:16" s="194" customFormat="1" x14ac:dyDescent="0.25">
      <c r="C112" s="756"/>
      <c r="D112" s="756"/>
      <c r="J112" s="723"/>
      <c r="M112" s="640"/>
      <c r="N112" s="196"/>
      <c r="O112" s="641"/>
      <c r="P112" s="641"/>
    </row>
    <row r="113" spans="3:16" s="194" customFormat="1" x14ac:dyDescent="0.25">
      <c r="C113" s="756"/>
      <c r="D113" s="756"/>
      <c r="J113" s="723"/>
      <c r="M113" s="640"/>
      <c r="N113" s="196"/>
      <c r="O113" s="641"/>
      <c r="P113" s="641"/>
    </row>
    <row r="114" spans="3:16" s="194" customFormat="1" x14ac:dyDescent="0.25">
      <c r="C114" s="756"/>
      <c r="D114" s="756"/>
      <c r="J114" s="723"/>
      <c r="M114" s="640"/>
      <c r="N114" s="196"/>
      <c r="O114" s="641"/>
      <c r="P114" s="641"/>
    </row>
    <row r="115" spans="3:16" s="194" customFormat="1" x14ac:dyDescent="0.25">
      <c r="C115" s="756"/>
      <c r="D115" s="756"/>
      <c r="J115" s="723"/>
      <c r="M115" s="640"/>
      <c r="N115" s="196"/>
      <c r="O115" s="641"/>
      <c r="P115" s="641"/>
    </row>
    <row r="116" spans="3:16" s="194" customFormat="1" x14ac:dyDescent="0.25">
      <c r="C116" s="756"/>
      <c r="D116" s="756"/>
      <c r="J116" s="723"/>
      <c r="M116" s="640"/>
      <c r="N116" s="196"/>
      <c r="O116" s="641"/>
      <c r="P116" s="641"/>
    </row>
    <row r="117" spans="3:16" s="194" customFormat="1" x14ac:dyDescent="0.25">
      <c r="C117" s="756"/>
      <c r="D117" s="756"/>
      <c r="J117" s="723"/>
      <c r="M117" s="640"/>
      <c r="N117" s="196"/>
      <c r="O117" s="641"/>
      <c r="P117" s="641"/>
    </row>
    <row r="118" spans="3:16" s="194" customFormat="1" x14ac:dyDescent="0.25">
      <c r="C118" s="756"/>
      <c r="D118" s="756"/>
      <c r="J118" s="723"/>
      <c r="M118" s="640"/>
      <c r="N118" s="196"/>
      <c r="O118" s="641"/>
      <c r="P118" s="641"/>
    </row>
    <row r="119" spans="3:16" s="194" customFormat="1" x14ac:dyDescent="0.25">
      <c r="C119" s="756"/>
      <c r="D119" s="756"/>
      <c r="J119" s="723"/>
      <c r="M119" s="640"/>
      <c r="N119" s="196"/>
      <c r="O119" s="641"/>
      <c r="P119" s="641"/>
    </row>
    <row r="120" spans="3:16" s="194" customFormat="1" x14ac:dyDescent="0.25">
      <c r="C120" s="756"/>
      <c r="D120" s="756"/>
      <c r="J120" s="723"/>
      <c r="M120" s="640"/>
      <c r="N120" s="196"/>
      <c r="O120" s="641"/>
      <c r="P120" s="641"/>
    </row>
    <row r="121" spans="3:16" s="194" customFormat="1" x14ac:dyDescent="0.25">
      <c r="C121" s="756"/>
      <c r="D121" s="756"/>
      <c r="J121" s="723"/>
      <c r="M121" s="640"/>
      <c r="N121" s="196"/>
      <c r="O121" s="641"/>
      <c r="P121" s="641"/>
    </row>
    <row r="122" spans="3:16" s="194" customFormat="1" x14ac:dyDescent="0.25">
      <c r="C122" s="756"/>
      <c r="D122" s="756"/>
      <c r="J122" s="723"/>
      <c r="M122" s="640"/>
      <c r="N122" s="196"/>
      <c r="O122" s="641"/>
      <c r="P122" s="641"/>
    </row>
    <row r="123" spans="3:16" s="194" customFormat="1" x14ac:dyDescent="0.25">
      <c r="C123" s="756"/>
      <c r="D123" s="756"/>
      <c r="J123" s="723"/>
      <c r="M123" s="640"/>
      <c r="N123" s="196"/>
      <c r="O123" s="641"/>
      <c r="P123" s="641"/>
    </row>
    <row r="124" spans="3:16" s="194" customFormat="1" x14ac:dyDescent="0.25">
      <c r="C124" s="756"/>
      <c r="D124" s="756"/>
      <c r="J124" s="723"/>
      <c r="M124" s="640"/>
      <c r="N124" s="196"/>
      <c r="O124" s="641"/>
      <c r="P124" s="641"/>
    </row>
    <row r="125" spans="3:16" s="194" customFormat="1" x14ac:dyDescent="0.25">
      <c r="C125" s="756"/>
      <c r="D125" s="756"/>
      <c r="J125" s="723"/>
      <c r="M125" s="640"/>
      <c r="N125" s="196"/>
      <c r="O125" s="641"/>
      <c r="P125" s="641"/>
    </row>
    <row r="126" spans="3:16" s="194" customFormat="1" x14ac:dyDescent="0.25">
      <c r="C126" s="756"/>
      <c r="D126" s="756"/>
      <c r="J126" s="723"/>
      <c r="M126" s="640"/>
      <c r="N126" s="196"/>
      <c r="O126" s="641"/>
      <c r="P126" s="641"/>
    </row>
    <row r="127" spans="3:16" s="194" customFormat="1" x14ac:dyDescent="0.25">
      <c r="C127" s="756"/>
      <c r="D127" s="756"/>
      <c r="J127" s="723"/>
      <c r="M127" s="640"/>
      <c r="N127" s="196"/>
      <c r="O127" s="641"/>
      <c r="P127" s="641"/>
    </row>
    <row r="128" spans="3:16" s="194" customFormat="1" x14ac:dyDescent="0.25">
      <c r="C128" s="756"/>
      <c r="D128" s="756"/>
      <c r="J128" s="723"/>
      <c r="M128" s="640"/>
      <c r="N128" s="196"/>
      <c r="O128" s="641"/>
      <c r="P128" s="641"/>
    </row>
    <row r="129" spans="3:16" s="194" customFormat="1" x14ac:dyDescent="0.25">
      <c r="C129" s="756"/>
      <c r="D129" s="756"/>
      <c r="J129" s="723"/>
      <c r="M129" s="640"/>
      <c r="N129" s="196"/>
      <c r="O129" s="641"/>
      <c r="P129" s="641"/>
    </row>
    <row r="130" spans="3:16" s="194" customFormat="1" x14ac:dyDescent="0.25">
      <c r="C130" s="756"/>
      <c r="D130" s="756"/>
      <c r="J130" s="723"/>
      <c r="M130" s="640"/>
      <c r="N130" s="196"/>
      <c r="O130" s="641"/>
      <c r="P130" s="641"/>
    </row>
    <row r="131" spans="3:16" s="194" customFormat="1" x14ac:dyDescent="0.25">
      <c r="C131" s="756"/>
      <c r="D131" s="756"/>
      <c r="J131" s="723"/>
      <c r="M131" s="640"/>
      <c r="N131" s="196"/>
      <c r="O131" s="641"/>
      <c r="P131" s="641"/>
    </row>
    <row r="132" spans="3:16" s="194" customFormat="1" x14ac:dyDescent="0.25">
      <c r="C132" s="756"/>
      <c r="D132" s="756"/>
      <c r="J132" s="723"/>
      <c r="M132" s="640"/>
      <c r="N132" s="196"/>
      <c r="O132" s="641"/>
      <c r="P132" s="641"/>
    </row>
    <row r="133" spans="3:16" s="194" customFormat="1" x14ac:dyDescent="0.25">
      <c r="C133" s="756"/>
      <c r="D133" s="756"/>
      <c r="J133" s="723"/>
      <c r="M133" s="640"/>
      <c r="N133" s="196"/>
      <c r="O133" s="641"/>
      <c r="P133" s="641"/>
    </row>
    <row r="134" spans="3:16" s="194" customFormat="1" x14ac:dyDescent="0.25">
      <c r="C134" s="756"/>
      <c r="D134" s="756"/>
      <c r="J134" s="723"/>
      <c r="M134" s="640"/>
      <c r="N134" s="196"/>
      <c r="O134" s="641"/>
      <c r="P134" s="641"/>
    </row>
    <row r="135" spans="3:16" s="194" customFormat="1" x14ac:dyDescent="0.25">
      <c r="C135" s="756"/>
      <c r="D135" s="756"/>
      <c r="J135" s="723"/>
      <c r="M135" s="640"/>
      <c r="N135" s="196"/>
      <c r="O135" s="641"/>
      <c r="P135" s="641"/>
    </row>
    <row r="136" spans="3:16" s="194" customFormat="1" x14ac:dyDescent="0.25">
      <c r="C136" s="756"/>
      <c r="D136" s="756"/>
      <c r="J136" s="723"/>
      <c r="M136" s="640"/>
      <c r="N136" s="196"/>
      <c r="O136" s="641"/>
      <c r="P136" s="641"/>
    </row>
    <row r="137" spans="3:16" s="194" customFormat="1" x14ac:dyDescent="0.25">
      <c r="C137" s="756"/>
      <c r="D137" s="756"/>
      <c r="J137" s="723"/>
      <c r="M137" s="640"/>
      <c r="N137" s="196"/>
      <c r="O137" s="641"/>
      <c r="P137" s="641"/>
    </row>
    <row r="138" spans="3:16" s="194" customFormat="1" x14ac:dyDescent="0.25">
      <c r="C138" s="756"/>
      <c r="D138" s="756"/>
      <c r="J138" s="723"/>
      <c r="M138" s="640"/>
      <c r="N138" s="196"/>
      <c r="O138" s="641"/>
      <c r="P138" s="641"/>
    </row>
    <row r="139" spans="3:16" s="194" customFormat="1" x14ac:dyDescent="0.25">
      <c r="C139" s="756"/>
      <c r="D139" s="756"/>
      <c r="J139" s="723"/>
      <c r="M139" s="640"/>
      <c r="N139" s="196"/>
      <c r="O139" s="641"/>
      <c r="P139" s="641"/>
    </row>
    <row r="140" spans="3:16" s="194" customFormat="1" x14ac:dyDescent="0.25">
      <c r="C140" s="756"/>
      <c r="D140" s="756"/>
      <c r="J140" s="723"/>
      <c r="M140" s="640"/>
      <c r="N140" s="196"/>
      <c r="O140" s="641"/>
      <c r="P140" s="641"/>
    </row>
    <row r="141" spans="3:16" s="194" customFormat="1" x14ac:dyDescent="0.25">
      <c r="C141" s="756"/>
      <c r="D141" s="756"/>
      <c r="J141" s="723"/>
      <c r="M141" s="640"/>
      <c r="N141" s="196"/>
      <c r="O141" s="641"/>
      <c r="P141" s="641"/>
    </row>
    <row r="142" spans="3:16" s="194" customFormat="1" x14ac:dyDescent="0.25">
      <c r="C142" s="756"/>
      <c r="D142" s="756"/>
      <c r="J142" s="723"/>
      <c r="M142" s="640"/>
      <c r="N142" s="196"/>
      <c r="O142" s="641"/>
      <c r="P142" s="641"/>
    </row>
    <row r="143" spans="3:16" s="194" customFormat="1" x14ac:dyDescent="0.25">
      <c r="C143" s="756"/>
      <c r="D143" s="756"/>
      <c r="J143" s="723"/>
      <c r="M143" s="640"/>
      <c r="N143" s="196"/>
      <c r="O143" s="641"/>
      <c r="P143" s="641"/>
    </row>
    <row r="144" spans="3:16" s="194" customFormat="1" x14ac:dyDescent="0.25">
      <c r="C144" s="756"/>
      <c r="D144" s="756"/>
      <c r="J144" s="723"/>
      <c r="M144" s="640"/>
      <c r="N144" s="196"/>
      <c r="O144" s="641"/>
      <c r="P144" s="641"/>
    </row>
    <row r="145" spans="3:16" s="194" customFormat="1" x14ac:dyDescent="0.25">
      <c r="C145" s="756"/>
      <c r="D145" s="756"/>
      <c r="J145" s="723"/>
      <c r="M145" s="640"/>
      <c r="N145" s="196"/>
      <c r="O145" s="641"/>
      <c r="P145" s="641"/>
    </row>
    <row r="146" spans="3:16" s="194" customFormat="1" x14ac:dyDescent="0.25">
      <c r="C146" s="756"/>
      <c r="D146" s="756"/>
      <c r="J146" s="723"/>
      <c r="M146" s="640"/>
      <c r="N146" s="196"/>
      <c r="O146" s="641"/>
      <c r="P146" s="641"/>
    </row>
    <row r="147" spans="3:16" s="194" customFormat="1" x14ac:dyDescent="0.25">
      <c r="C147" s="756"/>
      <c r="D147" s="756"/>
      <c r="J147" s="723"/>
      <c r="M147" s="640"/>
      <c r="N147" s="196"/>
      <c r="O147" s="641"/>
      <c r="P147" s="641"/>
    </row>
    <row r="148" spans="3:16" s="194" customFormat="1" x14ac:dyDescent="0.25">
      <c r="C148" s="756"/>
      <c r="D148" s="756"/>
      <c r="J148" s="723"/>
      <c r="M148" s="640"/>
      <c r="N148" s="196"/>
      <c r="O148" s="641"/>
      <c r="P148" s="641"/>
    </row>
    <row r="149" spans="3:16" s="194" customFormat="1" x14ac:dyDescent="0.25">
      <c r="C149" s="756"/>
      <c r="D149" s="756"/>
      <c r="J149" s="723"/>
      <c r="M149" s="640"/>
      <c r="N149" s="196"/>
      <c r="O149" s="641"/>
      <c r="P149" s="641"/>
    </row>
    <row r="150" spans="3:16" s="194" customFormat="1" x14ac:dyDescent="0.25">
      <c r="C150" s="756"/>
      <c r="D150" s="756"/>
      <c r="J150" s="723"/>
      <c r="M150" s="640"/>
      <c r="N150" s="196"/>
      <c r="O150" s="641"/>
      <c r="P150" s="641"/>
    </row>
    <row r="151" spans="3:16" s="194" customFormat="1" x14ac:dyDescent="0.25">
      <c r="C151" s="756"/>
      <c r="D151" s="756"/>
      <c r="J151" s="723"/>
      <c r="M151" s="640"/>
      <c r="N151" s="196"/>
      <c r="O151" s="641"/>
      <c r="P151" s="641"/>
    </row>
    <row r="152" spans="3:16" s="194" customFormat="1" x14ac:dyDescent="0.25">
      <c r="C152" s="756"/>
      <c r="D152" s="756"/>
      <c r="J152" s="723"/>
      <c r="M152" s="640"/>
      <c r="N152" s="196"/>
      <c r="O152" s="641"/>
      <c r="P152" s="641"/>
    </row>
    <row r="153" spans="3:16" s="194" customFormat="1" x14ac:dyDescent="0.25">
      <c r="C153" s="756"/>
      <c r="D153" s="756"/>
      <c r="J153" s="723"/>
      <c r="M153" s="640"/>
      <c r="N153" s="196"/>
      <c r="O153" s="641"/>
      <c r="P153" s="641"/>
    </row>
    <row r="154" spans="3:16" s="194" customFormat="1" x14ac:dyDescent="0.25">
      <c r="C154" s="756"/>
      <c r="D154" s="756"/>
      <c r="J154" s="723"/>
      <c r="M154" s="640"/>
      <c r="N154" s="196"/>
      <c r="O154" s="641"/>
      <c r="P154" s="641"/>
    </row>
    <row r="155" spans="3:16" s="194" customFormat="1" x14ac:dyDescent="0.25">
      <c r="C155" s="756"/>
      <c r="D155" s="756"/>
      <c r="J155" s="723"/>
      <c r="M155" s="640"/>
      <c r="N155" s="196"/>
      <c r="O155" s="641"/>
      <c r="P155" s="641"/>
    </row>
    <row r="156" spans="3:16" s="194" customFormat="1" x14ac:dyDescent="0.25">
      <c r="C156" s="756"/>
      <c r="D156" s="756"/>
      <c r="J156" s="723"/>
      <c r="M156" s="640"/>
      <c r="N156" s="196"/>
      <c r="O156" s="641"/>
      <c r="P156" s="641"/>
    </row>
    <row r="157" spans="3:16" s="194" customFormat="1" x14ac:dyDescent="0.25">
      <c r="C157" s="756"/>
      <c r="D157" s="756"/>
      <c r="J157" s="723"/>
      <c r="M157" s="640"/>
      <c r="N157" s="196"/>
      <c r="O157" s="641"/>
      <c r="P157" s="641"/>
    </row>
    <row r="158" spans="3:16" s="194" customFormat="1" x14ac:dyDescent="0.25">
      <c r="C158" s="756"/>
      <c r="D158" s="756"/>
      <c r="J158" s="723"/>
      <c r="M158" s="640"/>
      <c r="N158" s="196"/>
      <c r="O158" s="641"/>
      <c r="P158" s="641"/>
    </row>
    <row r="159" spans="3:16" s="194" customFormat="1" x14ac:dyDescent="0.25">
      <c r="C159" s="756"/>
      <c r="D159" s="756"/>
      <c r="J159" s="723"/>
      <c r="M159" s="640"/>
      <c r="N159" s="196"/>
      <c r="O159" s="641"/>
      <c r="P159" s="641"/>
    </row>
    <row r="160" spans="3:16" s="194" customFormat="1" x14ac:dyDescent="0.25">
      <c r="C160" s="756"/>
      <c r="D160" s="756"/>
      <c r="J160" s="723"/>
      <c r="M160" s="640"/>
      <c r="N160" s="196"/>
      <c r="O160" s="641"/>
      <c r="P160" s="641"/>
    </row>
    <row r="161" spans="3:16" s="194" customFormat="1" x14ac:dyDescent="0.25">
      <c r="C161" s="756"/>
      <c r="D161" s="756"/>
      <c r="J161" s="723"/>
      <c r="M161" s="640"/>
      <c r="N161" s="196"/>
      <c r="O161" s="641"/>
      <c r="P161" s="641"/>
    </row>
    <row r="162" spans="3:16" s="194" customFormat="1" x14ac:dyDescent="0.25">
      <c r="C162" s="756"/>
      <c r="D162" s="756"/>
      <c r="J162" s="723"/>
      <c r="M162" s="640"/>
      <c r="N162" s="196"/>
      <c r="O162" s="641"/>
      <c r="P162" s="641"/>
    </row>
    <row r="163" spans="3:16" s="194" customFormat="1" x14ac:dyDescent="0.25">
      <c r="C163" s="756"/>
      <c r="D163" s="756"/>
      <c r="J163" s="723"/>
      <c r="M163" s="640"/>
      <c r="N163" s="196"/>
      <c r="O163" s="641"/>
      <c r="P163" s="641"/>
    </row>
    <row r="164" spans="3:16" s="194" customFormat="1" x14ac:dyDescent="0.25">
      <c r="C164" s="756"/>
      <c r="D164" s="756"/>
      <c r="J164" s="723"/>
      <c r="M164" s="640"/>
      <c r="N164" s="196"/>
      <c r="O164" s="641"/>
      <c r="P164" s="641"/>
    </row>
    <row r="165" spans="3:16" s="194" customFormat="1" x14ac:dyDescent="0.25">
      <c r="C165" s="756"/>
      <c r="D165" s="756"/>
      <c r="J165" s="723"/>
      <c r="M165" s="640"/>
      <c r="N165" s="196"/>
      <c r="O165" s="641"/>
      <c r="P165" s="641"/>
    </row>
    <row r="166" spans="3:16" s="194" customFormat="1" x14ac:dyDescent="0.25">
      <c r="C166" s="756"/>
      <c r="D166" s="756"/>
      <c r="J166" s="723"/>
      <c r="M166" s="640"/>
      <c r="N166" s="196"/>
      <c r="O166" s="641"/>
      <c r="P166" s="641"/>
    </row>
    <row r="167" spans="3:16" s="194" customFormat="1" x14ac:dyDescent="0.25">
      <c r="C167" s="756"/>
      <c r="D167" s="756"/>
      <c r="J167" s="723"/>
      <c r="M167" s="640"/>
      <c r="N167" s="196"/>
      <c r="O167" s="641"/>
      <c r="P167" s="641"/>
    </row>
    <row r="168" spans="3:16" s="194" customFormat="1" x14ac:dyDescent="0.25">
      <c r="C168" s="756"/>
      <c r="D168" s="756"/>
      <c r="J168" s="723"/>
      <c r="M168" s="640"/>
      <c r="N168" s="196"/>
      <c r="O168" s="641"/>
      <c r="P168" s="641"/>
    </row>
    <row r="169" spans="3:16" s="194" customFormat="1" x14ac:dyDescent="0.25">
      <c r="C169" s="756"/>
      <c r="D169" s="756"/>
      <c r="J169" s="723"/>
      <c r="M169" s="640"/>
      <c r="N169" s="196"/>
      <c r="O169" s="641"/>
      <c r="P169" s="641"/>
    </row>
    <row r="170" spans="3:16" s="194" customFormat="1" x14ac:dyDescent="0.25">
      <c r="C170" s="756"/>
      <c r="D170" s="756"/>
      <c r="J170" s="723"/>
      <c r="M170" s="640"/>
      <c r="N170" s="196"/>
      <c r="O170" s="641"/>
      <c r="P170" s="641"/>
    </row>
    <row r="171" spans="3:16" s="194" customFormat="1" x14ac:dyDescent="0.25">
      <c r="C171" s="756"/>
      <c r="D171" s="756"/>
      <c r="J171" s="723"/>
      <c r="M171" s="640"/>
      <c r="N171" s="196"/>
      <c r="O171" s="641"/>
      <c r="P171" s="641"/>
    </row>
    <row r="172" spans="3:16" s="194" customFormat="1" x14ac:dyDescent="0.25">
      <c r="C172" s="756"/>
      <c r="D172" s="756"/>
      <c r="J172" s="723"/>
      <c r="M172" s="640"/>
      <c r="N172" s="196"/>
      <c r="O172" s="641"/>
      <c r="P172" s="641"/>
    </row>
    <row r="173" spans="3:16" s="194" customFormat="1" x14ac:dyDescent="0.25">
      <c r="C173" s="756"/>
      <c r="D173" s="756"/>
      <c r="J173" s="723"/>
      <c r="M173" s="640"/>
      <c r="N173" s="196"/>
      <c r="O173" s="641"/>
      <c r="P173" s="641"/>
    </row>
    <row r="174" spans="3:16" s="194" customFormat="1" x14ac:dyDescent="0.25">
      <c r="C174" s="756"/>
      <c r="D174" s="756"/>
      <c r="J174" s="723"/>
      <c r="M174" s="640"/>
      <c r="N174" s="196"/>
      <c r="O174" s="641"/>
      <c r="P174" s="641"/>
    </row>
    <row r="175" spans="3:16" s="194" customFormat="1" x14ac:dyDescent="0.25">
      <c r="C175" s="756"/>
      <c r="D175" s="756"/>
      <c r="J175" s="723"/>
      <c r="M175" s="640"/>
      <c r="N175" s="196"/>
      <c r="O175" s="641"/>
      <c r="P175" s="641"/>
    </row>
    <row r="176" spans="3:16" s="194" customFormat="1" x14ac:dyDescent="0.25">
      <c r="C176" s="756"/>
      <c r="D176" s="756"/>
      <c r="J176" s="723"/>
      <c r="M176" s="640"/>
      <c r="N176" s="196"/>
      <c r="O176" s="641"/>
      <c r="P176" s="641"/>
    </row>
    <row r="177" spans="3:16" s="194" customFormat="1" x14ac:dyDescent="0.25">
      <c r="C177" s="756"/>
      <c r="D177" s="756"/>
      <c r="J177" s="723"/>
      <c r="M177" s="640"/>
      <c r="N177" s="196"/>
      <c r="O177" s="641"/>
      <c r="P177" s="641"/>
    </row>
    <row r="178" spans="3:16" s="194" customFormat="1" x14ac:dyDescent="0.25">
      <c r="C178" s="756"/>
      <c r="D178" s="756"/>
      <c r="J178" s="723"/>
      <c r="M178" s="640"/>
      <c r="N178" s="196"/>
      <c r="O178" s="641"/>
      <c r="P178" s="641"/>
    </row>
    <row r="179" spans="3:16" s="194" customFormat="1" x14ac:dyDescent="0.25">
      <c r="C179" s="756"/>
      <c r="D179" s="756"/>
      <c r="J179" s="723"/>
      <c r="M179" s="640"/>
      <c r="N179" s="196"/>
      <c r="O179" s="641"/>
      <c r="P179" s="641"/>
    </row>
    <row r="180" spans="3:16" s="194" customFormat="1" x14ac:dyDescent="0.25">
      <c r="C180" s="756"/>
      <c r="D180" s="756"/>
      <c r="J180" s="723"/>
      <c r="M180" s="640"/>
      <c r="N180" s="196"/>
      <c r="O180" s="641"/>
      <c r="P180" s="641"/>
    </row>
    <row r="181" spans="3:16" s="194" customFormat="1" x14ac:dyDescent="0.25">
      <c r="C181" s="756"/>
      <c r="D181" s="756"/>
      <c r="J181" s="723"/>
      <c r="M181" s="640"/>
      <c r="N181" s="196"/>
      <c r="O181" s="641"/>
      <c r="P181" s="641"/>
    </row>
    <row r="182" spans="3:16" s="194" customFormat="1" x14ac:dyDescent="0.25">
      <c r="C182" s="756"/>
      <c r="D182" s="756"/>
      <c r="J182" s="723"/>
      <c r="M182" s="640"/>
      <c r="N182" s="196"/>
      <c r="O182" s="641"/>
      <c r="P182" s="641"/>
    </row>
    <row r="183" spans="3:16" s="194" customFormat="1" x14ac:dyDescent="0.25">
      <c r="C183" s="756"/>
      <c r="D183" s="756"/>
      <c r="J183" s="723"/>
      <c r="M183" s="640"/>
      <c r="N183" s="196"/>
      <c r="O183" s="641"/>
      <c r="P183" s="641"/>
    </row>
    <row r="184" spans="3:16" s="194" customFormat="1" x14ac:dyDescent="0.25">
      <c r="C184" s="756"/>
      <c r="D184" s="756"/>
      <c r="J184" s="723"/>
      <c r="M184" s="640"/>
      <c r="N184" s="196"/>
      <c r="O184" s="641"/>
      <c r="P184" s="641"/>
    </row>
    <row r="185" spans="3:16" s="194" customFormat="1" x14ac:dyDescent="0.25">
      <c r="C185" s="756"/>
      <c r="D185" s="756"/>
      <c r="J185" s="723"/>
      <c r="M185" s="640"/>
      <c r="N185" s="196"/>
      <c r="O185" s="641"/>
      <c r="P185" s="641"/>
    </row>
    <row r="186" spans="3:16" s="194" customFormat="1" x14ac:dyDescent="0.25">
      <c r="C186" s="756"/>
      <c r="D186" s="756"/>
      <c r="J186" s="723"/>
      <c r="M186" s="640"/>
      <c r="N186" s="196"/>
      <c r="O186" s="641"/>
      <c r="P186" s="641"/>
    </row>
    <row r="187" spans="3:16" s="194" customFormat="1" x14ac:dyDescent="0.25">
      <c r="C187" s="756"/>
      <c r="D187" s="756"/>
      <c r="J187" s="723"/>
      <c r="M187" s="640"/>
      <c r="N187" s="196"/>
      <c r="O187" s="641"/>
      <c r="P187" s="641"/>
    </row>
    <row r="188" spans="3:16" s="194" customFormat="1" x14ac:dyDescent="0.25">
      <c r="C188" s="756"/>
      <c r="D188" s="756"/>
      <c r="J188" s="723"/>
      <c r="M188" s="640"/>
      <c r="N188" s="196"/>
      <c r="O188" s="641"/>
      <c r="P188" s="641"/>
    </row>
    <row r="189" spans="3:16" s="194" customFormat="1" x14ac:dyDescent="0.25">
      <c r="C189" s="756"/>
      <c r="D189" s="756"/>
      <c r="J189" s="723"/>
      <c r="M189" s="640"/>
      <c r="N189" s="196"/>
      <c r="O189" s="641"/>
      <c r="P189" s="641"/>
    </row>
    <row r="190" spans="3:16" s="194" customFormat="1" x14ac:dyDescent="0.25">
      <c r="C190" s="756"/>
      <c r="D190" s="756"/>
      <c r="J190" s="723"/>
      <c r="M190" s="640"/>
      <c r="N190" s="196"/>
      <c r="O190" s="641"/>
      <c r="P190" s="641"/>
    </row>
    <row r="191" spans="3:16" s="194" customFormat="1" x14ac:dyDescent="0.25">
      <c r="C191" s="756"/>
      <c r="D191" s="756"/>
      <c r="J191" s="723"/>
      <c r="M191" s="640"/>
      <c r="N191" s="196"/>
      <c r="O191" s="641"/>
      <c r="P191" s="641"/>
    </row>
    <row r="192" spans="3:16" s="194" customFormat="1" x14ac:dyDescent="0.25">
      <c r="C192" s="756"/>
      <c r="D192" s="756"/>
      <c r="J192" s="723"/>
      <c r="M192" s="640"/>
      <c r="N192" s="196"/>
      <c r="O192" s="641"/>
      <c r="P192" s="641"/>
    </row>
    <row r="193" spans="3:16" s="194" customFormat="1" x14ac:dyDescent="0.25">
      <c r="C193" s="756"/>
      <c r="D193" s="756"/>
      <c r="J193" s="723"/>
      <c r="M193" s="640"/>
      <c r="N193" s="196"/>
      <c r="O193" s="641"/>
      <c r="P193" s="641"/>
    </row>
    <row r="194" spans="3:16" s="194" customFormat="1" x14ac:dyDescent="0.25">
      <c r="C194" s="756"/>
      <c r="D194" s="756"/>
      <c r="J194" s="723"/>
      <c r="M194" s="640"/>
      <c r="N194" s="196"/>
      <c r="O194" s="641"/>
      <c r="P194" s="641"/>
    </row>
    <row r="195" spans="3:16" s="194" customFormat="1" x14ac:dyDescent="0.25">
      <c r="C195" s="756"/>
      <c r="D195" s="756"/>
      <c r="J195" s="723"/>
      <c r="M195" s="640"/>
      <c r="N195" s="196"/>
      <c r="O195" s="641"/>
      <c r="P195" s="641"/>
    </row>
    <row r="196" spans="3:16" s="194" customFormat="1" x14ac:dyDescent="0.25">
      <c r="C196" s="756"/>
      <c r="D196" s="756"/>
      <c r="J196" s="723"/>
      <c r="M196" s="640"/>
      <c r="N196" s="196"/>
      <c r="O196" s="641"/>
      <c r="P196" s="641"/>
    </row>
    <row r="197" spans="3:16" s="194" customFormat="1" x14ac:dyDescent="0.25">
      <c r="C197" s="756"/>
      <c r="D197" s="756"/>
      <c r="J197" s="723"/>
      <c r="M197" s="640"/>
      <c r="N197" s="196"/>
      <c r="O197" s="641"/>
      <c r="P197" s="641"/>
    </row>
    <row r="198" spans="3:16" s="194" customFormat="1" x14ac:dyDescent="0.25">
      <c r="C198" s="756"/>
      <c r="D198" s="756"/>
      <c r="J198" s="723"/>
      <c r="M198" s="640"/>
      <c r="N198" s="196"/>
      <c r="O198" s="641"/>
      <c r="P198" s="641"/>
    </row>
    <row r="199" spans="3:16" s="194" customFormat="1" x14ac:dyDescent="0.25">
      <c r="C199" s="756"/>
      <c r="D199" s="756"/>
      <c r="J199" s="723"/>
      <c r="M199" s="640"/>
      <c r="N199" s="196"/>
      <c r="O199" s="641"/>
      <c r="P199" s="641"/>
    </row>
    <row r="200" spans="3:16" s="194" customFormat="1" x14ac:dyDescent="0.25">
      <c r="C200" s="756"/>
      <c r="D200" s="756"/>
      <c r="J200" s="723"/>
      <c r="M200" s="640"/>
      <c r="N200" s="196"/>
      <c r="O200" s="641"/>
      <c r="P200" s="641"/>
    </row>
    <row r="201" spans="3:16" s="194" customFormat="1" x14ac:dyDescent="0.25">
      <c r="C201" s="756"/>
      <c r="D201" s="756"/>
      <c r="J201" s="723"/>
      <c r="M201" s="640"/>
      <c r="N201" s="196"/>
      <c r="O201" s="641"/>
      <c r="P201" s="641"/>
    </row>
    <row r="202" spans="3:16" s="194" customFormat="1" x14ac:dyDescent="0.25">
      <c r="C202" s="756"/>
      <c r="D202" s="756"/>
      <c r="J202" s="723"/>
      <c r="M202" s="640"/>
      <c r="N202" s="196"/>
      <c r="O202" s="641"/>
      <c r="P202" s="641"/>
    </row>
    <row r="203" spans="3:16" s="194" customFormat="1" x14ac:dyDescent="0.25">
      <c r="C203" s="756"/>
      <c r="D203" s="756"/>
      <c r="J203" s="723"/>
      <c r="M203" s="640"/>
      <c r="N203" s="196"/>
      <c r="O203" s="641"/>
      <c r="P203" s="641"/>
    </row>
    <row r="204" spans="3:16" s="194" customFormat="1" x14ac:dyDescent="0.25">
      <c r="C204" s="756"/>
      <c r="D204" s="756"/>
      <c r="J204" s="723"/>
      <c r="M204" s="640"/>
      <c r="N204" s="196"/>
      <c r="O204" s="641"/>
      <c r="P204" s="641"/>
    </row>
    <row r="205" spans="3:16" s="194" customFormat="1" x14ac:dyDescent="0.25">
      <c r="C205" s="756"/>
      <c r="D205" s="756"/>
      <c r="J205" s="723"/>
      <c r="M205" s="640"/>
      <c r="N205" s="196"/>
      <c r="O205" s="641"/>
      <c r="P205" s="641"/>
    </row>
    <row r="206" spans="3:16" s="194" customFormat="1" x14ac:dyDescent="0.25">
      <c r="C206" s="756"/>
      <c r="D206" s="756"/>
      <c r="J206" s="723"/>
      <c r="M206" s="640"/>
      <c r="N206" s="196"/>
      <c r="O206" s="641"/>
      <c r="P206" s="641"/>
    </row>
    <row r="207" spans="3:16" s="194" customFormat="1" x14ac:dyDescent="0.25">
      <c r="C207" s="756"/>
      <c r="D207" s="756"/>
      <c r="J207" s="723"/>
      <c r="M207" s="640"/>
      <c r="N207" s="196"/>
      <c r="O207" s="641"/>
      <c r="P207" s="641"/>
    </row>
    <row r="208" spans="3:16" s="194" customFormat="1" x14ac:dyDescent="0.25">
      <c r="C208" s="756"/>
      <c r="D208" s="756"/>
      <c r="J208" s="723"/>
      <c r="M208" s="640"/>
      <c r="N208" s="196"/>
      <c r="O208" s="641"/>
      <c r="P208" s="641"/>
    </row>
    <row r="209" spans="3:16" s="194" customFormat="1" x14ac:dyDescent="0.25">
      <c r="C209" s="756"/>
      <c r="D209" s="756"/>
      <c r="J209" s="723"/>
      <c r="M209" s="640"/>
      <c r="N209" s="196"/>
      <c r="O209" s="641"/>
      <c r="P209" s="641"/>
    </row>
    <row r="210" spans="3:16" s="194" customFormat="1" x14ac:dyDescent="0.25">
      <c r="C210" s="756"/>
      <c r="D210" s="756"/>
      <c r="J210" s="723"/>
      <c r="M210" s="640"/>
      <c r="N210" s="196"/>
      <c r="O210" s="641"/>
      <c r="P210" s="641"/>
    </row>
    <row r="211" spans="3:16" s="194" customFormat="1" x14ac:dyDescent="0.25">
      <c r="C211" s="756"/>
      <c r="D211" s="756"/>
      <c r="J211" s="723"/>
      <c r="M211" s="640"/>
      <c r="N211" s="196"/>
      <c r="O211" s="641"/>
      <c r="P211" s="641"/>
    </row>
    <row r="212" spans="3:16" s="194" customFormat="1" x14ac:dyDescent="0.25">
      <c r="C212" s="756"/>
      <c r="D212" s="756"/>
      <c r="J212" s="723"/>
      <c r="M212" s="640"/>
      <c r="N212" s="196"/>
      <c r="O212" s="641"/>
      <c r="P212" s="641"/>
    </row>
    <row r="213" spans="3:16" s="194" customFormat="1" x14ac:dyDescent="0.25">
      <c r="C213" s="756"/>
      <c r="D213" s="756"/>
      <c r="J213" s="723"/>
      <c r="M213" s="640"/>
      <c r="N213" s="196"/>
      <c r="O213" s="641"/>
      <c r="P213" s="641"/>
    </row>
    <row r="214" spans="3:16" s="194" customFormat="1" x14ac:dyDescent="0.25">
      <c r="C214" s="756"/>
      <c r="D214" s="756"/>
      <c r="J214" s="723"/>
      <c r="M214" s="640"/>
      <c r="N214" s="196"/>
      <c r="O214" s="641"/>
      <c r="P214" s="641"/>
    </row>
    <row r="215" spans="3:16" s="194" customFormat="1" x14ac:dyDescent="0.25">
      <c r="C215" s="756"/>
      <c r="D215" s="756"/>
      <c r="J215" s="723"/>
      <c r="M215" s="640"/>
      <c r="N215" s="196"/>
      <c r="O215" s="641"/>
      <c r="P215" s="641"/>
    </row>
    <row r="216" spans="3:16" s="194" customFormat="1" x14ac:dyDescent="0.25">
      <c r="C216" s="756"/>
      <c r="D216" s="756"/>
      <c r="J216" s="723"/>
      <c r="M216" s="640"/>
      <c r="N216" s="196"/>
      <c r="O216" s="641"/>
      <c r="P216" s="641"/>
    </row>
    <row r="217" spans="3:16" s="194" customFormat="1" x14ac:dyDescent="0.25">
      <c r="C217" s="756"/>
      <c r="D217" s="756"/>
      <c r="J217" s="723"/>
      <c r="M217" s="640"/>
      <c r="N217" s="196"/>
      <c r="O217" s="641"/>
      <c r="P217" s="641"/>
    </row>
    <row r="218" spans="3:16" s="194" customFormat="1" x14ac:dyDescent="0.25">
      <c r="C218" s="756"/>
      <c r="D218" s="756"/>
      <c r="J218" s="723"/>
      <c r="M218" s="640"/>
      <c r="N218" s="196"/>
      <c r="O218" s="641"/>
      <c r="P218" s="641"/>
    </row>
    <row r="219" spans="3:16" s="194" customFormat="1" x14ac:dyDescent="0.25">
      <c r="C219" s="756"/>
      <c r="D219" s="756"/>
      <c r="J219" s="723"/>
      <c r="M219" s="640"/>
      <c r="N219" s="196"/>
      <c r="O219" s="641"/>
      <c r="P219" s="641"/>
    </row>
    <row r="220" spans="3:16" s="194" customFormat="1" x14ac:dyDescent="0.25">
      <c r="C220" s="756"/>
      <c r="D220" s="756"/>
      <c r="J220" s="723"/>
      <c r="M220" s="640"/>
      <c r="N220" s="196"/>
      <c r="O220" s="641"/>
      <c r="P220" s="641"/>
    </row>
    <row r="221" spans="3:16" s="194" customFormat="1" x14ac:dyDescent="0.25">
      <c r="C221" s="756"/>
      <c r="D221" s="756"/>
      <c r="J221" s="723"/>
      <c r="M221" s="640"/>
      <c r="N221" s="196"/>
      <c r="O221" s="641"/>
      <c r="P221" s="641"/>
    </row>
    <row r="222" spans="3:16" s="194" customFormat="1" x14ac:dyDescent="0.25">
      <c r="C222" s="756"/>
      <c r="D222" s="756"/>
      <c r="J222" s="723"/>
      <c r="M222" s="640"/>
      <c r="N222" s="196"/>
      <c r="O222" s="641"/>
      <c r="P222" s="641"/>
    </row>
    <row r="223" spans="3:16" s="194" customFormat="1" x14ac:dyDescent="0.25">
      <c r="C223" s="756"/>
      <c r="D223" s="756"/>
      <c r="J223" s="723"/>
      <c r="M223" s="640"/>
      <c r="N223" s="196"/>
      <c r="O223" s="641"/>
      <c r="P223" s="641"/>
    </row>
    <row r="224" spans="3:16" s="194" customFormat="1" x14ac:dyDescent="0.25">
      <c r="C224" s="756"/>
      <c r="D224" s="756"/>
      <c r="J224" s="723"/>
      <c r="M224" s="640"/>
      <c r="N224" s="196"/>
      <c r="O224" s="641"/>
      <c r="P224" s="641"/>
    </row>
    <row r="225" spans="3:16" s="194" customFormat="1" x14ac:dyDescent="0.25">
      <c r="C225" s="756"/>
      <c r="D225" s="756"/>
      <c r="J225" s="723"/>
      <c r="M225" s="640"/>
      <c r="N225" s="196"/>
      <c r="O225" s="641"/>
      <c r="P225" s="641"/>
    </row>
    <row r="226" spans="3:16" s="194" customFormat="1" x14ac:dyDescent="0.25">
      <c r="C226" s="756"/>
      <c r="D226" s="756"/>
      <c r="J226" s="723"/>
      <c r="M226" s="640"/>
      <c r="N226" s="196"/>
      <c r="O226" s="641"/>
      <c r="P226" s="641"/>
    </row>
    <row r="227" spans="3:16" s="194" customFormat="1" x14ac:dyDescent="0.25">
      <c r="C227" s="756"/>
      <c r="D227" s="756"/>
      <c r="J227" s="723"/>
      <c r="M227" s="640"/>
      <c r="N227" s="196"/>
      <c r="O227" s="641"/>
      <c r="P227" s="641"/>
    </row>
    <row r="228" spans="3:16" s="194" customFormat="1" x14ac:dyDescent="0.25">
      <c r="C228" s="756"/>
      <c r="D228" s="756"/>
      <c r="J228" s="723"/>
      <c r="M228" s="640"/>
      <c r="N228" s="196"/>
      <c r="O228" s="641"/>
      <c r="P228" s="641"/>
    </row>
    <row r="229" spans="3:16" s="194" customFormat="1" x14ac:dyDescent="0.25">
      <c r="C229" s="756"/>
      <c r="D229" s="756"/>
      <c r="J229" s="723"/>
      <c r="M229" s="640"/>
      <c r="N229" s="196"/>
      <c r="O229" s="641"/>
      <c r="P229" s="641"/>
    </row>
    <row r="230" spans="3:16" s="194" customFormat="1" x14ac:dyDescent="0.25">
      <c r="C230" s="756"/>
      <c r="D230" s="756"/>
      <c r="J230" s="723"/>
      <c r="M230" s="640"/>
      <c r="N230" s="196"/>
      <c r="O230" s="641"/>
      <c r="P230" s="641"/>
    </row>
    <row r="231" spans="3:16" s="194" customFormat="1" x14ac:dyDescent="0.25">
      <c r="C231" s="756"/>
      <c r="D231" s="756"/>
      <c r="J231" s="723"/>
      <c r="M231" s="640"/>
      <c r="N231" s="196"/>
      <c r="O231" s="641"/>
      <c r="P231" s="641"/>
    </row>
    <row r="232" spans="3:16" s="194" customFormat="1" x14ac:dyDescent="0.25">
      <c r="C232" s="756"/>
      <c r="D232" s="756"/>
      <c r="J232" s="723"/>
      <c r="M232" s="640"/>
      <c r="N232" s="196"/>
      <c r="O232" s="641"/>
      <c r="P232" s="641"/>
    </row>
    <row r="233" spans="3:16" s="194" customFormat="1" x14ac:dyDescent="0.25">
      <c r="C233" s="756"/>
      <c r="D233" s="756"/>
      <c r="J233" s="723"/>
      <c r="M233" s="640"/>
      <c r="N233" s="196"/>
      <c r="O233" s="641"/>
      <c r="P233" s="641"/>
    </row>
  </sheetData>
  <mergeCells count="53">
    <mergeCell ref="Q11:Q12"/>
    <mergeCell ref="L11:L12"/>
    <mergeCell ref="M11:M12"/>
    <mergeCell ref="N11:N12"/>
    <mergeCell ref="O11:O12"/>
    <mergeCell ref="P11:P12"/>
    <mergeCell ref="C42:F42"/>
    <mergeCell ref="G42:I42"/>
    <mergeCell ref="B52:B53"/>
    <mergeCell ref="K53:K54"/>
    <mergeCell ref="F51:F52"/>
    <mergeCell ref="G51:G52"/>
    <mergeCell ref="I51:I52"/>
    <mergeCell ref="J51:J52"/>
    <mergeCell ref="K51:K52"/>
    <mergeCell ref="F53:F54"/>
    <mergeCell ref="G53:G54"/>
    <mergeCell ref="I53:I54"/>
    <mergeCell ref="J53:J54"/>
    <mergeCell ref="C11:F11"/>
    <mergeCell ref="G11:I11"/>
    <mergeCell ref="C23:F23"/>
    <mergeCell ref="G23:I23"/>
    <mergeCell ref="C34:F34"/>
    <mergeCell ref="G34:I34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52" fitToHeight="2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279"/>
  <sheetViews>
    <sheetView zoomScale="75" zoomScaleNormal="75" zoomScaleSheetLayoutView="90" zoomScalePageLayoutView="75" workbookViewId="0">
      <selection activeCell="A99" sqref="A99"/>
    </sheetView>
  </sheetViews>
  <sheetFormatPr defaultColWidth="9.33203125" defaultRowHeight="13.2" x14ac:dyDescent="0.25"/>
  <cols>
    <col min="1" max="1" width="12.33203125" style="157" bestFit="1" customWidth="1"/>
    <col min="2" max="2" width="66.6640625" style="157" bestFit="1" customWidth="1"/>
    <col min="3" max="4" width="5" style="421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268" bestFit="1" customWidth="1"/>
    <col min="11" max="11" width="14.441406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1.6640625" style="294" bestFit="1" customWidth="1"/>
    <col min="16" max="16" width="22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485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486</v>
      </c>
      <c r="B10" s="505" t="s">
        <v>487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x14ac:dyDescent="0.25">
      <c r="A11" s="361"/>
      <c r="B11" s="5"/>
      <c r="C11" s="362"/>
      <c r="D11" s="363" t="s">
        <v>21</v>
      </c>
      <c r="E11" s="247">
        <v>0</v>
      </c>
      <c r="F11" s="364">
        <f t="shared" ref="F11:F22" si="0">C11*E11</f>
        <v>0</v>
      </c>
      <c r="G11" s="509"/>
      <c r="H11" s="366">
        <v>0</v>
      </c>
      <c r="I11" s="364">
        <f t="shared" ref="I11:I22" si="1">G11*H11</f>
        <v>0</v>
      </c>
      <c r="J11" s="367"/>
      <c r="K11" s="510">
        <f t="shared" ref="K11:K22" si="2">F11+I11+J11</f>
        <v>0</v>
      </c>
      <c r="L11" s="369"/>
      <c r="M11" s="370"/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/>
      <c r="M12" s="370"/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/>
      <c r="M13" s="37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157"/>
      <c r="M17" s="449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157"/>
      <c r="M18" s="449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515"/>
      <c r="M19" s="531"/>
      <c r="N19" s="516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517"/>
      <c r="M20" s="444"/>
      <c r="N20" s="518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157"/>
      <c r="M21" s="449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157"/>
      <c r="M22" s="449"/>
      <c r="O22" s="372"/>
      <c r="P22" s="373"/>
      <c r="Q22" s="374"/>
    </row>
    <row r="23" spans="1:17" ht="13.8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67"/>
      <c r="K23" s="510"/>
      <c r="L23" s="157"/>
      <c r="M23" s="449"/>
      <c r="O23" s="372"/>
      <c r="P23" s="373"/>
      <c r="Q23" s="374"/>
    </row>
    <row r="24" spans="1:17" ht="13.8" thickTop="1" x14ac:dyDescent="0.25">
      <c r="A24" s="378"/>
      <c r="B24" s="7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SUM(K11:K23)</f>
        <v>0</v>
      </c>
      <c r="L24" s="157"/>
      <c r="M24" s="449"/>
      <c r="O24" s="372"/>
      <c r="P24" s="373"/>
      <c r="Q24" s="374"/>
    </row>
    <row r="25" spans="1:17" ht="13.8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ht="15.6" x14ac:dyDescent="0.3">
      <c r="A26" s="505" t="s">
        <v>488</v>
      </c>
      <c r="B26" s="505" t="s">
        <v>489</v>
      </c>
      <c r="C26" s="387" t="s">
        <v>19</v>
      </c>
      <c r="D26" s="388" t="s">
        <v>33</v>
      </c>
      <c r="E26" s="389" t="s">
        <v>35</v>
      </c>
      <c r="F26" s="390" t="s">
        <v>30</v>
      </c>
      <c r="G26" s="512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s="159" customFormat="1" ht="15" x14ac:dyDescent="0.25">
      <c r="A27" s="758" t="s">
        <v>490</v>
      </c>
      <c r="B27" s="758" t="s">
        <v>491</v>
      </c>
      <c r="C27" s="362"/>
      <c r="D27" s="363" t="s">
        <v>21</v>
      </c>
      <c r="E27" s="247">
        <v>0</v>
      </c>
      <c r="F27" s="364">
        <f t="shared" ref="F27:F33" si="3">C27*E27</f>
        <v>0</v>
      </c>
      <c r="G27" s="509"/>
      <c r="H27" s="366">
        <v>0</v>
      </c>
      <c r="I27" s="364">
        <f t="shared" ref="I27:I33" si="4">G27*H27</f>
        <v>0</v>
      </c>
      <c r="J27" s="367"/>
      <c r="K27" s="510">
        <f t="shared" ref="K27:K33" si="5">F27+I27+J27</f>
        <v>0</v>
      </c>
      <c r="M27" s="266"/>
      <c r="O27" s="372"/>
      <c r="P27" s="373"/>
      <c r="Q27" s="374"/>
    </row>
    <row r="28" spans="1:17" s="159" customFormat="1" ht="15" x14ac:dyDescent="0.25">
      <c r="A28" s="758" t="s">
        <v>492</v>
      </c>
      <c r="B28" s="758" t="s">
        <v>493</v>
      </c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M28" s="268"/>
      <c r="N28" s="157"/>
      <c r="O28" s="372"/>
      <c r="P28" s="373"/>
      <c r="Q28" s="374"/>
    </row>
    <row r="29" spans="1:17" s="159" customFormat="1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s="159" customFormat="1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372"/>
      <c r="P30" s="373"/>
      <c r="Q30" s="374"/>
    </row>
    <row r="31" spans="1:17" s="159" customFormat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515"/>
      <c r="M31" s="531"/>
      <c r="N31" s="516"/>
      <c r="O31" s="372"/>
      <c r="P31" s="373"/>
      <c r="Q31" s="374"/>
    </row>
    <row r="32" spans="1:17" s="159" customFormat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M32" s="266"/>
      <c r="O32" s="372"/>
      <c r="P32" s="373"/>
      <c r="Q32" s="374"/>
    </row>
    <row r="33" spans="1:23" s="159" customFormat="1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M33" s="266"/>
      <c r="O33" s="372"/>
      <c r="P33" s="373"/>
      <c r="Q33" s="374"/>
    </row>
    <row r="34" spans="1:23" s="159" customFormat="1" ht="13.8" thickBot="1" x14ac:dyDescent="0.3">
      <c r="A34" s="361"/>
      <c r="B34" s="5"/>
      <c r="C34" s="379"/>
      <c r="D34" s="363"/>
      <c r="E34" s="247"/>
      <c r="F34" s="364"/>
      <c r="G34" s="509"/>
      <c r="H34" s="366"/>
      <c r="I34" s="364"/>
      <c r="J34" s="367"/>
      <c r="K34" s="514"/>
      <c r="L34" s="157"/>
      <c r="M34" s="449"/>
      <c r="N34" s="157"/>
      <c r="O34" s="372"/>
      <c r="P34" s="373"/>
      <c r="Q34" s="374"/>
    </row>
    <row r="35" spans="1:23" s="159" customFormat="1" ht="13.8" thickTop="1" x14ac:dyDescent="0.25">
      <c r="A35" s="378"/>
      <c r="B35" s="5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23" s="159" customFormat="1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23" s="159" customFormat="1" ht="16.2" thickBot="1" x14ac:dyDescent="0.35">
      <c r="A37" s="505" t="s">
        <v>494</v>
      </c>
      <c r="B37" s="505" t="s">
        <v>495</v>
      </c>
      <c r="C37" s="387" t="s">
        <v>19</v>
      </c>
      <c r="D37" s="388" t="s">
        <v>33</v>
      </c>
      <c r="E37" s="389" t="s">
        <v>35</v>
      </c>
      <c r="F37" s="390" t="s">
        <v>30</v>
      </c>
      <c r="G37" s="512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23" s="159" customFormat="1" x14ac:dyDescent="0.25">
      <c r="A38" s="396"/>
      <c r="B38" s="397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370"/>
      <c r="N38" s="371"/>
      <c r="O38" s="401"/>
      <c r="P38" s="402"/>
      <c r="Q38" s="374"/>
    </row>
    <row r="39" spans="1:23" s="159" customFormat="1" x14ac:dyDescent="0.25">
      <c r="A39" s="361"/>
      <c r="B39" s="5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367"/>
      <c r="K39" s="510">
        <f>F39+I39+J39</f>
        <v>0</v>
      </c>
      <c r="M39" s="266"/>
      <c r="O39" s="401"/>
      <c r="P39" s="402"/>
      <c r="Q39" s="374"/>
    </row>
    <row r="40" spans="1:23" s="159" customFormat="1" x14ac:dyDescent="0.25">
      <c r="A40" s="361"/>
      <c r="B40" s="5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M40" s="266"/>
      <c r="O40" s="401"/>
      <c r="P40" s="402"/>
      <c r="Q40" s="374"/>
    </row>
    <row r="41" spans="1:23" s="159" customFormat="1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67"/>
      <c r="K41" s="514"/>
      <c r="L41" s="369"/>
      <c r="M41" s="370"/>
      <c r="N41" s="371"/>
      <c r="O41" s="401"/>
      <c r="P41" s="402"/>
      <c r="Q41" s="374"/>
    </row>
    <row r="42" spans="1:23" s="159" customFormat="1" ht="13.8" thickBot="1" x14ac:dyDescent="0.3">
      <c r="A42" s="378"/>
      <c r="B42" s="403"/>
      <c r="C42" s="379"/>
      <c r="D42" s="363"/>
      <c r="E42" s="247"/>
      <c r="F42" s="364"/>
      <c r="G42" s="509"/>
      <c r="H42" s="366"/>
      <c r="I42" s="364"/>
      <c r="J42" s="367"/>
      <c r="K42" s="514"/>
      <c r="M42" s="268"/>
      <c r="N42" s="157"/>
      <c r="O42" s="401"/>
      <c r="P42" s="402"/>
      <c r="Q42" s="374"/>
    </row>
    <row r="43" spans="1:23" s="159" customFormat="1" ht="15.6" thickTop="1" x14ac:dyDescent="0.25">
      <c r="A43" s="378"/>
      <c r="B43" s="403"/>
      <c r="C43" s="379"/>
      <c r="D43" s="363"/>
      <c r="E43" s="247"/>
      <c r="F43" s="364"/>
      <c r="G43" s="509"/>
      <c r="H43" s="366"/>
      <c r="I43" s="364"/>
      <c r="J43" s="380" t="s">
        <v>30</v>
      </c>
      <c r="K43" s="511">
        <f>SUM(K38:K42)</f>
        <v>0</v>
      </c>
      <c r="M43" s="268"/>
      <c r="N43" s="157"/>
      <c r="O43" s="372"/>
      <c r="P43" s="373"/>
      <c r="Q43" s="374"/>
      <c r="V43" s="196"/>
      <c r="W43" s="196"/>
    </row>
    <row r="44" spans="1:23" s="159" customFormat="1" ht="13.8" thickBot="1" x14ac:dyDescent="0.3">
      <c r="A44" s="344" t="s">
        <v>0</v>
      </c>
      <c r="B44" s="345" t="s">
        <v>1</v>
      </c>
      <c r="C44" s="1028" t="s">
        <v>646</v>
      </c>
      <c r="D44" s="1028"/>
      <c r="E44" s="1028"/>
      <c r="F44" s="1028"/>
      <c r="G44" s="1028" t="s">
        <v>34</v>
      </c>
      <c r="H44" s="1028"/>
      <c r="I44" s="1028"/>
      <c r="J44" s="346"/>
      <c r="K44" s="503"/>
      <c r="L44" s="382"/>
      <c r="M44" s="383"/>
      <c r="N44" s="384"/>
      <c r="O44" s="372"/>
      <c r="P44" s="373"/>
      <c r="Q44" s="374"/>
    </row>
    <row r="45" spans="1:23" s="159" customFormat="1" ht="16.2" thickBot="1" x14ac:dyDescent="0.35">
      <c r="A45" s="505" t="s">
        <v>496</v>
      </c>
      <c r="B45" s="505" t="s">
        <v>497</v>
      </c>
      <c r="C45" s="387" t="s">
        <v>19</v>
      </c>
      <c r="D45" s="388" t="s">
        <v>33</v>
      </c>
      <c r="E45" s="389" t="s">
        <v>35</v>
      </c>
      <c r="F45" s="390" t="s">
        <v>30</v>
      </c>
      <c r="G45" s="512" t="s">
        <v>14</v>
      </c>
      <c r="H45" s="389" t="s">
        <v>35</v>
      </c>
      <c r="I45" s="390" t="s">
        <v>30</v>
      </c>
      <c r="J45" s="355" t="s">
        <v>649</v>
      </c>
      <c r="K45" s="513" t="s">
        <v>38</v>
      </c>
      <c r="L45" s="393"/>
      <c r="M45" s="399"/>
      <c r="N45" s="400"/>
      <c r="O45" s="372"/>
      <c r="P45" s="402"/>
      <c r="Q45" s="374"/>
    </row>
    <row r="46" spans="1:23" s="159" customFormat="1" x14ac:dyDescent="0.25">
      <c r="A46" s="396"/>
      <c r="B46" s="397"/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409"/>
      <c r="O46" s="372"/>
      <c r="P46" s="373"/>
      <c r="Q46" s="374"/>
    </row>
    <row r="47" spans="1:23" s="159" customFormat="1" x14ac:dyDescent="0.25">
      <c r="A47" s="361"/>
      <c r="B47" s="5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515"/>
      <c r="M47" s="531"/>
      <c r="N47" s="516"/>
      <c r="O47" s="372"/>
      <c r="P47" s="373"/>
      <c r="Q47" s="374"/>
    </row>
    <row r="48" spans="1:23" s="159" customFormat="1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517"/>
      <c r="M48" s="249"/>
      <c r="N48" s="409"/>
      <c r="O48" s="372"/>
      <c r="P48" s="373"/>
      <c r="Q48" s="374"/>
    </row>
    <row r="49" spans="1:17" s="159" customFormat="1" x14ac:dyDescent="0.25">
      <c r="A49" s="361"/>
      <c r="B49" s="5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620"/>
      <c r="M49" s="249"/>
      <c r="N49" s="409"/>
      <c r="O49" s="372"/>
      <c r="P49" s="373"/>
      <c r="Q49" s="374"/>
    </row>
    <row r="50" spans="1:17" s="159" customFormat="1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409"/>
      <c r="O50" s="372"/>
      <c r="P50" s="373"/>
      <c r="Q50" s="374"/>
    </row>
    <row r="51" spans="1:17" s="159" customFormat="1" ht="13.8" thickBot="1" x14ac:dyDescent="0.3">
      <c r="A51" s="378"/>
      <c r="B51" s="403"/>
      <c r="C51" s="379"/>
      <c r="D51" s="363"/>
      <c r="E51" s="247"/>
      <c r="F51" s="364"/>
      <c r="G51" s="509"/>
      <c r="H51" s="366"/>
      <c r="I51" s="364"/>
      <c r="J51" s="367"/>
      <c r="K51" s="514"/>
      <c r="L51" s="369"/>
      <c r="M51" s="249"/>
      <c r="N51" s="371"/>
      <c r="O51" s="372"/>
      <c r="P51" s="373"/>
      <c r="Q51" s="374"/>
    </row>
    <row r="52" spans="1:17" s="159" customFormat="1" ht="13.8" thickTop="1" x14ac:dyDescent="0.25">
      <c r="A52" s="378"/>
      <c r="B52" s="403"/>
      <c r="C52" s="379"/>
      <c r="D52" s="363"/>
      <c r="E52" s="247"/>
      <c r="F52" s="364"/>
      <c r="G52" s="509"/>
      <c r="H52" s="366"/>
      <c r="I52" s="364"/>
      <c r="J52" s="380" t="s">
        <v>30</v>
      </c>
      <c r="K52" s="511">
        <f>SUM(K46:K51)</f>
        <v>0</v>
      </c>
      <c r="L52" s="157"/>
      <c r="M52" s="449"/>
      <c r="N52" s="157"/>
      <c r="O52" s="417"/>
      <c r="P52" s="418"/>
      <c r="Q52" s="374"/>
    </row>
    <row r="53" spans="1:17" s="159" customFormat="1" ht="13.8" thickBot="1" x14ac:dyDescent="0.3">
      <c r="A53" s="344" t="s">
        <v>0</v>
      </c>
      <c r="B53" s="345" t="s">
        <v>1</v>
      </c>
      <c r="C53" s="1028" t="s">
        <v>646</v>
      </c>
      <c r="D53" s="1028"/>
      <c r="E53" s="1028"/>
      <c r="F53" s="1028"/>
      <c r="G53" s="1028" t="s">
        <v>34</v>
      </c>
      <c r="H53" s="1028"/>
      <c r="I53" s="1028"/>
      <c r="J53" s="346"/>
      <c r="K53" s="503"/>
      <c r="L53" s="382"/>
      <c r="M53" s="383"/>
      <c r="N53" s="384"/>
      <c r="O53" s="417"/>
      <c r="P53" s="418"/>
      <c r="Q53" s="374"/>
    </row>
    <row r="54" spans="1:17" s="159" customFormat="1" ht="16.2" thickBot="1" x14ac:dyDescent="0.35">
      <c r="A54" s="505" t="s">
        <v>498</v>
      </c>
      <c r="B54" s="505" t="s">
        <v>499</v>
      </c>
      <c r="C54" s="387" t="s">
        <v>19</v>
      </c>
      <c r="D54" s="388" t="s">
        <v>33</v>
      </c>
      <c r="E54" s="389" t="s">
        <v>35</v>
      </c>
      <c r="F54" s="390" t="s">
        <v>30</v>
      </c>
      <c r="G54" s="512" t="s">
        <v>14</v>
      </c>
      <c r="H54" s="389" t="s">
        <v>35</v>
      </c>
      <c r="I54" s="390" t="s">
        <v>30</v>
      </c>
      <c r="J54" s="355" t="s">
        <v>649</v>
      </c>
      <c r="K54" s="513" t="s">
        <v>38</v>
      </c>
      <c r="L54" s="393"/>
      <c r="M54" s="399"/>
      <c r="N54" s="400"/>
      <c r="O54" s="401"/>
      <c r="P54" s="402"/>
      <c r="Q54" s="374"/>
    </row>
    <row r="55" spans="1:17" s="159" customFormat="1" x14ac:dyDescent="0.25">
      <c r="A55" s="396"/>
      <c r="B55" s="397"/>
      <c r="C55" s="362"/>
      <c r="D55" s="363" t="s">
        <v>21</v>
      </c>
      <c r="E55" s="247">
        <v>0</v>
      </c>
      <c r="F55" s="364">
        <f t="shared" ref="F55:F61" si="6">C55*E55</f>
        <v>0</v>
      </c>
      <c r="G55" s="509"/>
      <c r="H55" s="366">
        <v>0</v>
      </c>
      <c r="I55" s="364">
        <f t="shared" ref="I55:I61" si="7">G55*H55</f>
        <v>0</v>
      </c>
      <c r="J55" s="367"/>
      <c r="K55" s="510">
        <f t="shared" ref="K55:K61" si="8">F55+I55+J55</f>
        <v>0</v>
      </c>
      <c r="M55" s="266"/>
      <c r="O55" s="372"/>
      <c r="P55" s="373"/>
      <c r="Q55" s="374"/>
    </row>
    <row r="56" spans="1:17" s="159" customFormat="1" x14ac:dyDescent="0.25">
      <c r="A56" s="361"/>
      <c r="B56" s="5"/>
      <c r="C56" s="362"/>
      <c r="D56" s="363" t="s">
        <v>21</v>
      </c>
      <c r="E56" s="247">
        <v>0</v>
      </c>
      <c r="F56" s="364">
        <f t="shared" si="6"/>
        <v>0</v>
      </c>
      <c r="G56" s="509"/>
      <c r="H56" s="366">
        <v>0</v>
      </c>
      <c r="I56" s="364">
        <f t="shared" si="7"/>
        <v>0</v>
      </c>
      <c r="J56" s="367"/>
      <c r="K56" s="510">
        <f t="shared" si="8"/>
        <v>0</v>
      </c>
      <c r="L56" s="369"/>
      <c r="M56" s="249"/>
      <c r="N56" s="371"/>
      <c r="O56" s="372"/>
      <c r="P56" s="373"/>
      <c r="Q56" s="374"/>
    </row>
    <row r="57" spans="1:17" s="159" customFormat="1" x14ac:dyDescent="0.25">
      <c r="A57" s="361"/>
      <c r="B57" s="5"/>
      <c r="C57" s="362"/>
      <c r="D57" s="363" t="s">
        <v>21</v>
      </c>
      <c r="E57" s="247">
        <v>0</v>
      </c>
      <c r="F57" s="364">
        <f t="shared" si="6"/>
        <v>0</v>
      </c>
      <c r="G57" s="509"/>
      <c r="H57" s="366">
        <v>0</v>
      </c>
      <c r="I57" s="364">
        <f t="shared" si="7"/>
        <v>0</v>
      </c>
      <c r="J57" s="367"/>
      <c r="K57" s="510">
        <f t="shared" si="8"/>
        <v>0</v>
      </c>
      <c r="L57" s="369"/>
      <c r="M57" s="249"/>
      <c r="N57" s="371"/>
      <c r="O57" s="372"/>
      <c r="P57" s="373"/>
      <c r="Q57" s="374"/>
    </row>
    <row r="58" spans="1:17" s="159" customFormat="1" x14ac:dyDescent="0.25">
      <c r="A58" s="361"/>
      <c r="B58" s="5"/>
      <c r="C58" s="362"/>
      <c r="D58" s="363" t="s">
        <v>21</v>
      </c>
      <c r="E58" s="247">
        <v>0</v>
      </c>
      <c r="F58" s="364">
        <f t="shared" si="6"/>
        <v>0</v>
      </c>
      <c r="G58" s="509"/>
      <c r="H58" s="366">
        <v>0</v>
      </c>
      <c r="I58" s="364">
        <f t="shared" si="7"/>
        <v>0</v>
      </c>
      <c r="J58" s="367"/>
      <c r="K58" s="510">
        <f t="shared" si="8"/>
        <v>0</v>
      </c>
      <c r="L58" s="369"/>
      <c r="M58" s="249"/>
      <c r="N58" s="371"/>
      <c r="O58" s="372"/>
      <c r="P58" s="373"/>
      <c r="Q58" s="374"/>
    </row>
    <row r="59" spans="1:17" s="159" customFormat="1" x14ac:dyDescent="0.25">
      <c r="A59" s="361"/>
      <c r="B59" s="5"/>
      <c r="C59" s="362"/>
      <c r="D59" s="363" t="s">
        <v>21</v>
      </c>
      <c r="E59" s="247">
        <v>0</v>
      </c>
      <c r="F59" s="364">
        <f t="shared" si="6"/>
        <v>0</v>
      </c>
      <c r="G59" s="509"/>
      <c r="H59" s="366">
        <v>0</v>
      </c>
      <c r="I59" s="364">
        <f t="shared" si="7"/>
        <v>0</v>
      </c>
      <c r="J59" s="367"/>
      <c r="K59" s="510">
        <f t="shared" si="8"/>
        <v>0</v>
      </c>
      <c r="M59" s="266"/>
      <c r="O59" s="372"/>
      <c r="P59" s="373"/>
      <c r="Q59" s="374"/>
    </row>
    <row r="60" spans="1:17" s="159" customFormat="1" x14ac:dyDescent="0.25">
      <c r="A60" s="361"/>
      <c r="B60" s="5"/>
      <c r="C60" s="362"/>
      <c r="D60" s="363" t="s">
        <v>21</v>
      </c>
      <c r="E60" s="247">
        <v>0</v>
      </c>
      <c r="F60" s="364">
        <f t="shared" si="6"/>
        <v>0</v>
      </c>
      <c r="G60" s="509"/>
      <c r="H60" s="366">
        <v>0</v>
      </c>
      <c r="I60" s="364">
        <f t="shared" si="7"/>
        <v>0</v>
      </c>
      <c r="J60" s="367"/>
      <c r="K60" s="510">
        <f t="shared" si="8"/>
        <v>0</v>
      </c>
      <c r="M60" s="266"/>
      <c r="O60" s="372"/>
      <c r="P60" s="373"/>
      <c r="Q60" s="374"/>
    </row>
    <row r="61" spans="1:17" s="159" customFormat="1" x14ac:dyDescent="0.25">
      <c r="A61" s="361"/>
      <c r="B61" s="5"/>
      <c r="C61" s="362"/>
      <c r="D61" s="363" t="s">
        <v>21</v>
      </c>
      <c r="E61" s="247">
        <v>0</v>
      </c>
      <c r="F61" s="364">
        <f t="shared" si="6"/>
        <v>0</v>
      </c>
      <c r="G61" s="509"/>
      <c r="H61" s="366">
        <v>0</v>
      </c>
      <c r="I61" s="364">
        <f t="shared" si="7"/>
        <v>0</v>
      </c>
      <c r="J61" s="367"/>
      <c r="K61" s="510">
        <f t="shared" si="8"/>
        <v>0</v>
      </c>
      <c r="L61" s="369"/>
      <c r="M61" s="249"/>
      <c r="N61" s="409"/>
      <c r="O61" s="372"/>
      <c r="P61" s="373"/>
      <c r="Q61" s="374"/>
    </row>
    <row r="62" spans="1:17" s="159" customFormat="1" ht="13.8" thickBot="1" x14ac:dyDescent="0.3">
      <c r="A62" s="378"/>
      <c r="B62" s="5"/>
      <c r="C62" s="379"/>
      <c r="D62" s="363"/>
      <c r="E62" s="247"/>
      <c r="F62" s="364"/>
      <c r="G62" s="509"/>
      <c r="H62" s="366"/>
      <c r="I62" s="364"/>
      <c r="J62" s="367"/>
      <c r="K62" s="514"/>
      <c r="M62" s="268"/>
      <c r="N62" s="157"/>
      <c r="O62" s="372"/>
      <c r="P62" s="373"/>
      <c r="Q62" s="374"/>
    </row>
    <row r="63" spans="1:17" s="159" customFormat="1" ht="13.8" thickTop="1" x14ac:dyDescent="0.25">
      <c r="A63" s="378"/>
      <c r="B63" s="403"/>
      <c r="C63" s="379"/>
      <c r="D63" s="363"/>
      <c r="E63" s="247"/>
      <c r="F63" s="364"/>
      <c r="G63" s="509"/>
      <c r="H63" s="366"/>
      <c r="I63" s="364"/>
      <c r="J63" s="380" t="s">
        <v>30</v>
      </c>
      <c r="K63" s="511">
        <f>SUM(K55:K62)</f>
        <v>0</v>
      </c>
      <c r="M63" s="268"/>
      <c r="N63" s="157"/>
      <c r="O63" s="372"/>
      <c r="P63" s="373"/>
      <c r="Q63" s="374"/>
    </row>
    <row r="64" spans="1:17" s="159" customFormat="1" ht="13.8" thickBot="1" x14ac:dyDescent="0.3">
      <c r="A64" s="344" t="s">
        <v>0</v>
      </c>
      <c r="B64" s="345" t="s">
        <v>1</v>
      </c>
      <c r="C64" s="1028" t="s">
        <v>646</v>
      </c>
      <c r="D64" s="1028"/>
      <c r="E64" s="1028"/>
      <c r="F64" s="1028"/>
      <c r="G64" s="1028" t="s">
        <v>34</v>
      </c>
      <c r="H64" s="1028"/>
      <c r="I64" s="1028"/>
      <c r="J64" s="346"/>
      <c r="K64" s="503"/>
      <c r="L64" s="382"/>
      <c r="M64" s="383"/>
      <c r="N64" s="384"/>
      <c r="O64" s="372"/>
      <c r="P64" s="373"/>
      <c r="Q64" s="374"/>
    </row>
    <row r="65" spans="1:17" s="159" customFormat="1" ht="16.2" thickBot="1" x14ac:dyDescent="0.35">
      <c r="A65" s="385"/>
      <c r="B65" s="386"/>
      <c r="C65" s="387" t="s">
        <v>19</v>
      </c>
      <c r="D65" s="388" t="s">
        <v>33</v>
      </c>
      <c r="E65" s="389" t="s">
        <v>35</v>
      </c>
      <c r="F65" s="390" t="s">
        <v>30</v>
      </c>
      <c r="G65" s="512" t="s">
        <v>14</v>
      </c>
      <c r="H65" s="389" t="s">
        <v>35</v>
      </c>
      <c r="I65" s="390" t="s">
        <v>30</v>
      </c>
      <c r="J65" s="355" t="s">
        <v>649</v>
      </c>
      <c r="K65" s="513" t="s">
        <v>38</v>
      </c>
      <c r="L65" s="393"/>
      <c r="M65" s="399"/>
      <c r="N65" s="400"/>
      <c r="O65" s="372"/>
      <c r="P65" s="373"/>
      <c r="Q65" s="374"/>
    </row>
    <row r="66" spans="1:17" s="159" customFormat="1" x14ac:dyDescent="0.25">
      <c r="A66" s="396"/>
      <c r="B66" s="397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367"/>
      <c r="K66" s="510">
        <f>F66+I66+J66</f>
        <v>0</v>
      </c>
      <c r="L66" s="369"/>
      <c r="M66" s="370"/>
      <c r="N66" s="371"/>
      <c r="O66" s="372"/>
      <c r="P66" s="373"/>
      <c r="Q66" s="374"/>
    </row>
    <row r="67" spans="1:17" s="159" customFormat="1" x14ac:dyDescent="0.25">
      <c r="A67" s="361"/>
      <c r="B67" s="5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367"/>
      <c r="K67" s="510">
        <f>F67+I67+J67</f>
        <v>0</v>
      </c>
      <c r="L67" s="369"/>
      <c r="M67" s="370"/>
      <c r="N67" s="371"/>
      <c r="O67" s="372"/>
      <c r="P67" s="373"/>
      <c r="Q67" s="374"/>
    </row>
    <row r="68" spans="1:17" s="159" customFormat="1" x14ac:dyDescent="0.25">
      <c r="A68" s="361"/>
      <c r="B68" s="5"/>
      <c r="C68" s="362"/>
      <c r="D68" s="363" t="s">
        <v>21</v>
      </c>
      <c r="E68" s="247">
        <v>0</v>
      </c>
      <c r="F68" s="364">
        <f>C68*E68</f>
        <v>0</v>
      </c>
      <c r="G68" s="509"/>
      <c r="H68" s="366">
        <v>0</v>
      </c>
      <c r="I68" s="364">
        <f>G68*H68</f>
        <v>0</v>
      </c>
      <c r="J68" s="367"/>
      <c r="K68" s="510">
        <f>F68+I68+J68</f>
        <v>0</v>
      </c>
      <c r="M68" s="266"/>
      <c r="O68" s="372"/>
      <c r="P68" s="373"/>
      <c r="Q68" s="374"/>
    </row>
    <row r="69" spans="1:17" s="159" customFormat="1" x14ac:dyDescent="0.25">
      <c r="A69" s="361"/>
      <c r="B69" s="5"/>
      <c r="C69" s="362"/>
      <c r="D69" s="363" t="s">
        <v>21</v>
      </c>
      <c r="E69" s="247">
        <v>0</v>
      </c>
      <c r="F69" s="364">
        <f>C69*E69</f>
        <v>0</v>
      </c>
      <c r="G69" s="509"/>
      <c r="H69" s="366">
        <v>0</v>
      </c>
      <c r="I69" s="364">
        <f>G69*H69</f>
        <v>0</v>
      </c>
      <c r="J69" s="367"/>
      <c r="K69" s="510">
        <f>F69+I69+J69</f>
        <v>0</v>
      </c>
      <c r="M69" s="266"/>
      <c r="O69" s="372"/>
      <c r="P69" s="373"/>
      <c r="Q69" s="374"/>
    </row>
    <row r="70" spans="1:17" s="159" customFormat="1" x14ac:dyDescent="0.25">
      <c r="A70" s="361"/>
      <c r="B70" s="5"/>
      <c r="C70" s="362"/>
      <c r="D70" s="363" t="s">
        <v>21</v>
      </c>
      <c r="E70" s="247">
        <v>0</v>
      </c>
      <c r="F70" s="364">
        <f>C70*E70</f>
        <v>0</v>
      </c>
      <c r="G70" s="509"/>
      <c r="H70" s="366">
        <v>0</v>
      </c>
      <c r="I70" s="364">
        <f>G70*H70</f>
        <v>0</v>
      </c>
      <c r="J70" s="367"/>
      <c r="K70" s="510">
        <f>F70+I70+J70</f>
        <v>0</v>
      </c>
      <c r="M70" s="268"/>
      <c r="N70" s="157"/>
      <c r="O70" s="372"/>
      <c r="P70" s="373"/>
      <c r="Q70" s="374"/>
    </row>
    <row r="71" spans="1:17" s="159" customFormat="1" ht="13.8" thickBot="1" x14ac:dyDescent="0.3">
      <c r="A71" s="378"/>
      <c r="B71" s="5"/>
      <c r="C71" s="379"/>
      <c r="D71" s="363"/>
      <c r="E71" s="247"/>
      <c r="F71" s="364"/>
      <c r="G71" s="509"/>
      <c r="H71" s="366"/>
      <c r="I71" s="364"/>
      <c r="J71" s="367"/>
      <c r="K71" s="514"/>
      <c r="M71" s="268"/>
      <c r="N71" s="157"/>
      <c r="O71" s="372"/>
      <c r="P71" s="373"/>
      <c r="Q71" s="374"/>
    </row>
    <row r="72" spans="1:17" s="159" customFormat="1" ht="13.8" thickTop="1" x14ac:dyDescent="0.25">
      <c r="A72" s="378"/>
      <c r="B72" s="403"/>
      <c r="C72" s="379"/>
      <c r="D72" s="363"/>
      <c r="E72" s="247"/>
      <c r="F72" s="364"/>
      <c r="G72" s="509"/>
      <c r="H72" s="366"/>
      <c r="I72" s="364"/>
      <c r="J72" s="380" t="s">
        <v>30</v>
      </c>
      <c r="K72" s="511">
        <f>SUM(K66:K71)</f>
        <v>0</v>
      </c>
      <c r="M72" s="266"/>
      <c r="O72" s="372"/>
      <c r="P72" s="373"/>
      <c r="Q72" s="374"/>
    </row>
    <row r="73" spans="1:17" s="159" customFormat="1" ht="13.8" thickBot="1" x14ac:dyDescent="0.3">
      <c r="A73" s="344" t="s">
        <v>0</v>
      </c>
      <c r="B73" s="345" t="s">
        <v>1</v>
      </c>
      <c r="C73" s="1028" t="s">
        <v>646</v>
      </c>
      <c r="D73" s="1028"/>
      <c r="E73" s="1028"/>
      <c r="F73" s="1028"/>
      <c r="G73" s="1028" t="s">
        <v>34</v>
      </c>
      <c r="H73" s="1028"/>
      <c r="I73" s="1028"/>
      <c r="J73" s="346"/>
      <c r="K73" s="503"/>
      <c r="L73" s="382"/>
      <c r="M73" s="346"/>
      <c r="N73" s="419"/>
      <c r="O73" s="372"/>
      <c r="P73" s="373"/>
      <c r="Q73" s="374"/>
    </row>
    <row r="74" spans="1:17" s="159" customFormat="1" ht="16.2" thickBot="1" x14ac:dyDescent="0.35">
      <c r="A74" s="385"/>
      <c r="B74" s="386"/>
      <c r="C74" s="387" t="s">
        <v>19</v>
      </c>
      <c r="D74" s="388" t="s">
        <v>33</v>
      </c>
      <c r="E74" s="389" t="s">
        <v>35</v>
      </c>
      <c r="F74" s="390" t="s">
        <v>30</v>
      </c>
      <c r="G74" s="512" t="s">
        <v>14</v>
      </c>
      <c r="H74" s="389" t="s">
        <v>35</v>
      </c>
      <c r="I74" s="390" t="s">
        <v>30</v>
      </c>
      <c r="J74" s="355" t="s">
        <v>649</v>
      </c>
      <c r="K74" s="513" t="s">
        <v>38</v>
      </c>
      <c r="L74" s="393"/>
      <c r="M74" s="399"/>
      <c r="N74" s="400"/>
      <c r="O74" s="372"/>
      <c r="P74" s="373"/>
      <c r="Q74" s="374"/>
    </row>
    <row r="75" spans="1:17" s="159" customFormat="1" x14ac:dyDescent="0.25">
      <c r="A75" s="396"/>
      <c r="B75" s="397"/>
      <c r="C75" s="362"/>
      <c r="D75" s="363" t="s">
        <v>21</v>
      </c>
      <c r="E75" s="247">
        <v>0</v>
      </c>
      <c r="F75" s="364">
        <f>C75*E75</f>
        <v>0</v>
      </c>
      <c r="G75" s="509"/>
      <c r="H75" s="366">
        <v>0</v>
      </c>
      <c r="I75" s="364">
        <f>G75*H75</f>
        <v>0</v>
      </c>
      <c r="J75" s="367"/>
      <c r="K75" s="510">
        <f>F75+I75+J75</f>
        <v>0</v>
      </c>
      <c r="M75" s="266"/>
      <c r="O75" s="372"/>
      <c r="P75" s="373"/>
      <c r="Q75" s="374"/>
    </row>
    <row r="76" spans="1:17" s="159" customFormat="1" x14ac:dyDescent="0.25">
      <c r="A76" s="361"/>
      <c r="B76" s="5"/>
      <c r="C76" s="362"/>
      <c r="D76" s="363" t="s">
        <v>21</v>
      </c>
      <c r="E76" s="247">
        <v>0</v>
      </c>
      <c r="F76" s="364">
        <f>C76*E76</f>
        <v>0</v>
      </c>
      <c r="G76" s="509"/>
      <c r="H76" s="366">
        <v>0</v>
      </c>
      <c r="I76" s="364">
        <f>G76*H76</f>
        <v>0</v>
      </c>
      <c r="J76" s="367"/>
      <c r="K76" s="510">
        <f>F76+I76+J76</f>
        <v>0</v>
      </c>
      <c r="M76" s="266"/>
      <c r="O76" s="372"/>
      <c r="P76" s="373"/>
      <c r="Q76" s="374"/>
    </row>
    <row r="77" spans="1:17" s="159" customFormat="1" x14ac:dyDescent="0.25">
      <c r="A77" s="361"/>
      <c r="B77" s="5"/>
      <c r="C77" s="362"/>
      <c r="D77" s="363" t="s">
        <v>21</v>
      </c>
      <c r="E77" s="247">
        <v>0</v>
      </c>
      <c r="F77" s="364">
        <f>C77*E77</f>
        <v>0</v>
      </c>
      <c r="G77" s="509"/>
      <c r="H77" s="366">
        <v>0</v>
      </c>
      <c r="I77" s="364">
        <f>G77*H77</f>
        <v>0</v>
      </c>
      <c r="J77" s="367"/>
      <c r="K77" s="510">
        <f>F77+I77+J77</f>
        <v>0</v>
      </c>
      <c r="L77" s="620"/>
      <c r="M77" s="622"/>
      <c r="N77" s="621"/>
      <c r="O77" s="372"/>
      <c r="P77" s="373"/>
      <c r="Q77" s="374"/>
    </row>
    <row r="78" spans="1:17" s="159" customFormat="1" ht="13.8" thickBot="1" x14ac:dyDescent="0.3">
      <c r="A78" s="378"/>
      <c r="B78" s="5"/>
      <c r="C78" s="379"/>
      <c r="D78" s="363"/>
      <c r="E78" s="247"/>
      <c r="F78" s="364"/>
      <c r="G78" s="509"/>
      <c r="H78" s="366"/>
      <c r="I78" s="364"/>
      <c r="J78" s="367"/>
      <c r="K78" s="514"/>
      <c r="L78" s="369"/>
      <c r="M78" s="370"/>
      <c r="N78" s="371"/>
      <c r="O78" s="372"/>
      <c r="P78" s="373"/>
      <c r="Q78" s="374"/>
    </row>
    <row r="79" spans="1:17" s="159" customFormat="1" ht="13.8" thickTop="1" x14ac:dyDescent="0.25">
      <c r="A79" s="378"/>
      <c r="B79" s="157"/>
      <c r="C79" s="379"/>
      <c r="D79" s="363"/>
      <c r="E79" s="247"/>
      <c r="F79" s="364"/>
      <c r="G79" s="509"/>
      <c r="H79" s="366"/>
      <c r="I79" s="364"/>
      <c r="J79" s="380" t="s">
        <v>30</v>
      </c>
      <c r="K79" s="511">
        <f>SUM(K75:K78)</f>
        <v>0</v>
      </c>
      <c r="L79" s="369"/>
      <c r="M79" s="370"/>
      <c r="N79" s="371"/>
      <c r="O79" s="372"/>
      <c r="P79" s="373"/>
      <c r="Q79" s="374"/>
    </row>
    <row r="80" spans="1:17" s="159" customFormat="1" ht="13.8" thickBot="1" x14ac:dyDescent="0.3">
      <c r="A80" s="344" t="s">
        <v>0</v>
      </c>
      <c r="B80" s="345" t="s">
        <v>1</v>
      </c>
      <c r="C80" s="1028" t="s">
        <v>646</v>
      </c>
      <c r="D80" s="1028"/>
      <c r="E80" s="1028"/>
      <c r="F80" s="1028"/>
      <c r="G80" s="1028" t="s">
        <v>34</v>
      </c>
      <c r="H80" s="1028"/>
      <c r="I80" s="1028"/>
      <c r="J80" s="346"/>
      <c r="K80" s="503"/>
      <c r="L80" s="382"/>
      <c r="M80" s="383"/>
      <c r="N80" s="384"/>
      <c r="O80" s="372"/>
      <c r="P80" s="373"/>
      <c r="Q80" s="374"/>
    </row>
    <row r="81" spans="1:17" s="159" customFormat="1" ht="16.2" thickBot="1" x14ac:dyDescent="0.35">
      <c r="A81" s="385"/>
      <c r="B81" s="386"/>
      <c r="C81" s="387" t="s">
        <v>19</v>
      </c>
      <c r="D81" s="388" t="s">
        <v>33</v>
      </c>
      <c r="E81" s="389" t="s">
        <v>35</v>
      </c>
      <c r="F81" s="390" t="s">
        <v>30</v>
      </c>
      <c r="G81" s="512" t="s">
        <v>14</v>
      </c>
      <c r="H81" s="389" t="s">
        <v>35</v>
      </c>
      <c r="I81" s="390" t="s">
        <v>30</v>
      </c>
      <c r="J81" s="355" t="s">
        <v>649</v>
      </c>
      <c r="K81" s="513" t="s">
        <v>38</v>
      </c>
      <c r="L81" s="393"/>
      <c r="M81" s="394"/>
      <c r="N81" s="395"/>
      <c r="O81" s="372"/>
      <c r="P81" s="373"/>
      <c r="Q81" s="374"/>
    </row>
    <row r="82" spans="1:17" s="159" customFormat="1" x14ac:dyDescent="0.25">
      <c r="A82" s="396"/>
      <c r="B82" s="397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M82" s="268"/>
      <c r="N82" s="157"/>
      <c r="O82" s="372"/>
      <c r="P82" s="373"/>
      <c r="Q82" s="374"/>
    </row>
    <row r="83" spans="1:17" s="159" customFormat="1" x14ac:dyDescent="0.25">
      <c r="A83" s="361"/>
      <c r="B83" s="5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367"/>
      <c r="K83" s="510">
        <f>F83+I83+J83</f>
        <v>0</v>
      </c>
      <c r="M83" s="268"/>
      <c r="N83" s="157"/>
      <c r="O83" s="372"/>
      <c r="P83" s="373"/>
      <c r="Q83" s="374"/>
    </row>
    <row r="84" spans="1:17" s="159" customFormat="1" x14ac:dyDescent="0.25">
      <c r="A84" s="361"/>
      <c r="C84" s="362"/>
      <c r="D84" s="363" t="s">
        <v>21</v>
      </c>
      <c r="E84" s="247">
        <v>0</v>
      </c>
      <c r="F84" s="364">
        <f>C84*E84</f>
        <v>0</v>
      </c>
      <c r="G84" s="509"/>
      <c r="H84" s="366">
        <v>0</v>
      </c>
      <c r="I84" s="364">
        <f>G84*H84</f>
        <v>0</v>
      </c>
      <c r="J84" s="367"/>
      <c r="K84" s="510">
        <f>F84+I84+J84</f>
        <v>0</v>
      </c>
      <c r="M84" s="266"/>
      <c r="O84" s="372"/>
      <c r="P84" s="373"/>
      <c r="Q84" s="374"/>
    </row>
    <row r="85" spans="1:17" s="159" customFormat="1" x14ac:dyDescent="0.25">
      <c r="A85" s="361"/>
      <c r="B85" s="5"/>
      <c r="C85" s="362"/>
      <c r="D85" s="363" t="s">
        <v>21</v>
      </c>
      <c r="E85" s="247">
        <v>0</v>
      </c>
      <c r="F85" s="364">
        <f>C85*E85</f>
        <v>0</v>
      </c>
      <c r="G85" s="509"/>
      <c r="H85" s="366">
        <v>0</v>
      </c>
      <c r="I85" s="364">
        <f>G85*H85</f>
        <v>0</v>
      </c>
      <c r="J85" s="367"/>
      <c r="K85" s="510">
        <f>F85+I85+J85</f>
        <v>0</v>
      </c>
      <c r="M85" s="266"/>
      <c r="O85" s="372"/>
      <c r="P85" s="373"/>
      <c r="Q85" s="374"/>
    </row>
    <row r="86" spans="1:17" s="159" customFormat="1" x14ac:dyDescent="0.25">
      <c r="A86" s="361"/>
      <c r="B86" s="5"/>
      <c r="C86" s="362"/>
      <c r="D86" s="363" t="s">
        <v>21</v>
      </c>
      <c r="E86" s="247">
        <v>0</v>
      </c>
      <c r="F86" s="364">
        <f>C86*E86</f>
        <v>0</v>
      </c>
      <c r="G86" s="509"/>
      <c r="H86" s="366">
        <v>0</v>
      </c>
      <c r="I86" s="364">
        <f>G86*H86</f>
        <v>0</v>
      </c>
      <c r="J86" s="367"/>
      <c r="K86" s="510">
        <f>F86+I86+J86</f>
        <v>0</v>
      </c>
      <c r="M86" s="266"/>
      <c r="O86" s="372"/>
      <c r="P86" s="373"/>
      <c r="Q86" s="374"/>
    </row>
    <row r="87" spans="1:17" s="159" customFormat="1" ht="13.8" thickBot="1" x14ac:dyDescent="0.3">
      <c r="A87" s="378"/>
      <c r="B87" s="5"/>
      <c r="C87" s="379"/>
      <c r="D87" s="363"/>
      <c r="E87" s="247"/>
      <c r="F87" s="364"/>
      <c r="G87" s="509"/>
      <c r="H87" s="366"/>
      <c r="I87" s="364"/>
      <c r="J87" s="367"/>
      <c r="K87" s="514"/>
      <c r="M87" s="266"/>
      <c r="O87" s="372"/>
      <c r="P87" s="373"/>
      <c r="Q87" s="374"/>
    </row>
    <row r="88" spans="1:17" s="159" customFormat="1" ht="13.8" thickTop="1" x14ac:dyDescent="0.25">
      <c r="A88" s="378"/>
      <c r="B88" s="403"/>
      <c r="C88" s="379"/>
      <c r="D88" s="363"/>
      <c r="E88" s="247"/>
      <c r="F88" s="364"/>
      <c r="G88" s="509"/>
      <c r="H88" s="366"/>
      <c r="I88" s="364"/>
      <c r="J88" s="380" t="s">
        <v>30</v>
      </c>
      <c r="K88" s="511">
        <f>SUM(K82:K87)</f>
        <v>0</v>
      </c>
      <c r="M88" s="268"/>
      <c r="N88" s="157"/>
      <c r="O88" s="372"/>
      <c r="P88" s="373"/>
      <c r="Q88" s="374"/>
    </row>
    <row r="89" spans="1:17" s="159" customFormat="1" ht="13.8" thickBot="1" x14ac:dyDescent="0.3">
      <c r="A89" s="344" t="s">
        <v>0</v>
      </c>
      <c r="B89" s="345" t="s">
        <v>1</v>
      </c>
      <c r="C89" s="1028" t="s">
        <v>646</v>
      </c>
      <c r="D89" s="1028"/>
      <c r="E89" s="1028"/>
      <c r="F89" s="1028"/>
      <c r="G89" s="1028" t="s">
        <v>34</v>
      </c>
      <c r="H89" s="1028"/>
      <c r="I89" s="1028"/>
      <c r="J89" s="346"/>
      <c r="K89" s="503"/>
      <c r="L89" s="382"/>
      <c r="M89" s="383"/>
      <c r="N89" s="384"/>
      <c r="O89" s="372"/>
      <c r="P89" s="373"/>
      <c r="Q89" s="374"/>
    </row>
    <row r="90" spans="1:17" s="159" customFormat="1" ht="16.2" thickBot="1" x14ac:dyDescent="0.35">
      <c r="A90" s="385"/>
      <c r="B90" s="386"/>
      <c r="C90" s="387" t="s">
        <v>19</v>
      </c>
      <c r="D90" s="388" t="s">
        <v>33</v>
      </c>
      <c r="E90" s="389" t="s">
        <v>35</v>
      </c>
      <c r="F90" s="390" t="s">
        <v>30</v>
      </c>
      <c r="G90" s="512" t="s">
        <v>14</v>
      </c>
      <c r="H90" s="389" t="s">
        <v>35</v>
      </c>
      <c r="I90" s="390" t="s">
        <v>30</v>
      </c>
      <c r="J90" s="355" t="s">
        <v>649</v>
      </c>
      <c r="K90" s="513" t="s">
        <v>38</v>
      </c>
      <c r="L90" s="393"/>
      <c r="M90" s="394"/>
      <c r="N90" s="395"/>
      <c r="O90" s="372"/>
      <c r="P90" s="373"/>
      <c r="Q90" s="374"/>
    </row>
    <row r="91" spans="1:17" s="159" customFormat="1" x14ac:dyDescent="0.25">
      <c r="A91" s="396"/>
      <c r="B91" s="397"/>
      <c r="C91" s="362"/>
      <c r="D91" s="363" t="s">
        <v>21</v>
      </c>
      <c r="E91" s="247">
        <v>0</v>
      </c>
      <c r="F91" s="364">
        <f>C91*E91</f>
        <v>0</v>
      </c>
      <c r="G91" s="509"/>
      <c r="H91" s="366">
        <v>0</v>
      </c>
      <c r="I91" s="364">
        <f>G91*H91</f>
        <v>0</v>
      </c>
      <c r="J91" s="367"/>
      <c r="K91" s="510">
        <f>F91+I91+J91</f>
        <v>0</v>
      </c>
      <c r="M91" s="266"/>
      <c r="O91" s="372"/>
      <c r="P91" s="373"/>
      <c r="Q91" s="374"/>
    </row>
    <row r="92" spans="1:17" s="159" customFormat="1" x14ac:dyDescent="0.25">
      <c r="A92" s="361"/>
      <c r="B92" s="5"/>
      <c r="C92" s="362"/>
      <c r="D92" s="363" t="s">
        <v>21</v>
      </c>
      <c r="E92" s="247">
        <v>0</v>
      </c>
      <c r="F92" s="364">
        <f>C92*E92</f>
        <v>0</v>
      </c>
      <c r="G92" s="509"/>
      <c r="H92" s="366">
        <v>0</v>
      </c>
      <c r="I92" s="364">
        <f>G92*H92</f>
        <v>0</v>
      </c>
      <c r="J92" s="367"/>
      <c r="K92" s="510">
        <f>F92+I92+J92</f>
        <v>0</v>
      </c>
      <c r="L92" s="515"/>
      <c r="M92" s="531"/>
      <c r="N92" s="516"/>
      <c r="O92" s="372"/>
      <c r="P92" s="373"/>
      <c r="Q92" s="374"/>
    </row>
    <row r="93" spans="1:17" s="159" customFormat="1" x14ac:dyDescent="0.25">
      <c r="A93" s="361"/>
      <c r="B93" s="5"/>
      <c r="C93" s="362"/>
      <c r="D93" s="363" t="s">
        <v>21</v>
      </c>
      <c r="E93" s="247">
        <v>0</v>
      </c>
      <c r="F93" s="364">
        <f>C93*E93</f>
        <v>0</v>
      </c>
      <c r="G93" s="509"/>
      <c r="H93" s="366">
        <v>0</v>
      </c>
      <c r="I93" s="364">
        <f>G93*H93</f>
        <v>0</v>
      </c>
      <c r="J93" s="367"/>
      <c r="K93" s="510">
        <f>F93+I93+J93</f>
        <v>0</v>
      </c>
      <c r="L93" s="517"/>
      <c r="M93" s="444"/>
      <c r="N93" s="518"/>
      <c r="O93" s="372"/>
      <c r="P93" s="373"/>
      <c r="Q93" s="374"/>
    </row>
    <row r="94" spans="1:17" s="159" customFormat="1" x14ac:dyDescent="0.25">
      <c r="A94" s="361"/>
      <c r="B94" s="5"/>
      <c r="C94" s="362"/>
      <c r="D94" s="363" t="s">
        <v>21</v>
      </c>
      <c r="E94" s="247">
        <v>0</v>
      </c>
      <c r="F94" s="364">
        <f>C94*E94</f>
        <v>0</v>
      </c>
      <c r="G94" s="509"/>
      <c r="H94" s="366">
        <v>0</v>
      </c>
      <c r="I94" s="364">
        <f>G94*H94</f>
        <v>0</v>
      </c>
      <c r="J94" s="367"/>
      <c r="K94" s="510">
        <f>F94+I94+J94</f>
        <v>0</v>
      </c>
      <c r="L94" s="623"/>
      <c r="M94" s="624"/>
      <c r="N94" s="626"/>
      <c r="O94" s="372"/>
      <c r="P94" s="373"/>
      <c r="Q94" s="374"/>
    </row>
    <row r="95" spans="1:17" s="159" customFormat="1" ht="13.8" thickBot="1" x14ac:dyDescent="0.3">
      <c r="A95" s="378"/>
      <c r="B95" s="403"/>
      <c r="C95" s="362"/>
      <c r="D95" s="363"/>
      <c r="E95" s="247"/>
      <c r="F95" s="364"/>
      <c r="G95" s="509"/>
      <c r="H95" s="366"/>
      <c r="I95" s="364"/>
      <c r="J95" s="367"/>
      <c r="K95" s="510"/>
      <c r="L95" s="623"/>
      <c r="M95" s="624"/>
      <c r="N95" s="626"/>
      <c r="O95" s="372"/>
      <c r="P95" s="373"/>
      <c r="Q95" s="374"/>
    </row>
    <row r="96" spans="1:17" s="159" customFormat="1" ht="14.4" thickTop="1" thickBot="1" x14ac:dyDescent="0.3">
      <c r="A96" s="450"/>
      <c r="B96" s="156"/>
      <c r="C96" s="451"/>
      <c r="D96" s="452"/>
      <c r="E96" s="453"/>
      <c r="F96" s="454"/>
      <c r="G96" s="591"/>
      <c r="H96" s="453"/>
      <c r="I96" s="454"/>
      <c r="J96" s="456" t="s">
        <v>30</v>
      </c>
      <c r="K96" s="592">
        <f>SUM(K91:K95)</f>
        <v>0</v>
      </c>
      <c r="L96" s="627"/>
      <c r="M96" s="628"/>
      <c r="N96" s="629"/>
      <c r="O96" s="441"/>
      <c r="P96" s="442"/>
      <c r="Q96" s="443"/>
    </row>
    <row r="97" spans="1:16" s="159" customFormat="1" ht="14.1" customHeight="1" x14ac:dyDescent="0.25">
      <c r="A97" s="458"/>
      <c r="B97" s="459"/>
      <c r="C97" s="460"/>
      <c r="D97" s="460"/>
      <c r="E97" s="461"/>
      <c r="F97" s="1038" t="s">
        <v>648</v>
      </c>
      <c r="G97" s="1040" t="s">
        <v>673</v>
      </c>
      <c r="H97" s="461"/>
      <c r="I97" s="1042" t="s">
        <v>647</v>
      </c>
      <c r="J97" s="1044" t="s">
        <v>674</v>
      </c>
      <c r="K97" s="1121" t="s">
        <v>31</v>
      </c>
      <c r="M97" s="268"/>
      <c r="N97" s="157"/>
      <c r="O97" s="294"/>
      <c r="P97" s="294"/>
    </row>
    <row r="98" spans="1:16" s="159" customFormat="1" ht="13.8" x14ac:dyDescent="0.25">
      <c r="A98" s="462" t="s">
        <v>32</v>
      </c>
      <c r="B98" s="1031" t="s">
        <v>663</v>
      </c>
      <c r="C98" s="463"/>
      <c r="D98" s="464"/>
      <c r="E98" s="464"/>
      <c r="F98" s="1039"/>
      <c r="G98" s="1041"/>
      <c r="H98" s="465"/>
      <c r="I98" s="1043"/>
      <c r="J98" s="1045"/>
      <c r="K98" s="1122"/>
      <c r="M98" s="268"/>
      <c r="N98" s="157"/>
      <c r="O98" s="294"/>
      <c r="P98" s="294"/>
    </row>
    <row r="99" spans="1:16" s="159" customFormat="1" ht="13.8" x14ac:dyDescent="0.25">
      <c r="A99" s="466">
        <f>K99/E6</f>
        <v>0</v>
      </c>
      <c r="B99" s="1031"/>
      <c r="C99" s="464"/>
      <c r="D99" s="464"/>
      <c r="E99" s="464"/>
      <c r="F99" s="1032">
        <f>SUM(F91:F95,F82:F87,F75:F78,F66:F71,F55:F61,F46:F51,F38:F42,F27:F34,F11:F23)</f>
        <v>0</v>
      </c>
      <c r="G99" s="1034">
        <f>SUM(G91:G95,G82:G87,G75:G78,G66:G71,G55:G61,G46:G51,G38:G42,G27:G34,G11:G23)</f>
        <v>0</v>
      </c>
      <c r="H99" s="465"/>
      <c r="I99" s="1032">
        <f>SUM(I91:I95,I82:I87,I75:I78,I66:I71,I55:I61,I46:I51,I38:I42,I27:I34,I11:I23)</f>
        <v>0</v>
      </c>
      <c r="J99" s="1032">
        <f>SUM(J91:J95,J82:J87,J75:J78,J66:J71,J55:J61,J46:J51,J38:J42,J27:J34,J11:J23)</f>
        <v>0</v>
      </c>
      <c r="K99" s="1119">
        <f>K96+K88+K79+K72+K63+K52+K43+K35+K24</f>
        <v>0</v>
      </c>
      <c r="M99" s="268"/>
      <c r="N99" s="157"/>
      <c r="O99" s="294"/>
      <c r="P99" s="294"/>
    </row>
    <row r="100" spans="1:16" s="159" customFormat="1" ht="13.8" x14ac:dyDescent="0.25">
      <c r="A100" s="462"/>
      <c r="B100" s="529"/>
      <c r="C100" s="529"/>
      <c r="D100" s="529"/>
      <c r="E100" s="529"/>
      <c r="F100" s="1032"/>
      <c r="G100" s="1034"/>
      <c r="H100" s="529"/>
      <c r="I100" s="1032"/>
      <c r="J100" s="1032"/>
      <c r="K100" s="1119"/>
      <c r="M100" s="268"/>
      <c r="N100" s="157"/>
      <c r="O100" s="294"/>
      <c r="P100" s="294"/>
    </row>
    <row r="101" spans="1:16" s="159" customFormat="1" ht="13.8" thickBot="1" x14ac:dyDescent="0.3">
      <c r="A101" s="469"/>
      <c r="B101" s="470"/>
      <c r="C101" s="470"/>
      <c r="D101" s="470"/>
      <c r="E101" s="470"/>
      <c r="F101" s="470"/>
      <c r="G101" s="470"/>
      <c r="H101" s="470"/>
      <c r="I101" s="470"/>
      <c r="J101" s="470"/>
      <c r="K101" s="471"/>
      <c r="M101" s="268"/>
      <c r="N101" s="157"/>
      <c r="O101" s="294"/>
      <c r="P101" s="294"/>
    </row>
    <row r="102" spans="1:16" s="159" customFormat="1" x14ac:dyDescent="0.25">
      <c r="C102" s="611"/>
      <c r="D102" s="611"/>
      <c r="J102" s="266"/>
      <c r="M102" s="268"/>
      <c r="N102" s="157"/>
      <c r="O102" s="294"/>
      <c r="P102" s="294"/>
    </row>
    <row r="103" spans="1:16" s="159" customFormat="1" x14ac:dyDescent="0.25">
      <c r="C103" s="611"/>
      <c r="D103" s="611"/>
      <c r="J103" s="266"/>
      <c r="M103" s="268"/>
      <c r="N103" s="157"/>
      <c r="O103" s="294"/>
      <c r="P103" s="294"/>
    </row>
    <row r="104" spans="1:16" s="159" customFormat="1" x14ac:dyDescent="0.25">
      <c r="C104" s="611"/>
      <c r="D104" s="611"/>
      <c r="J104" s="266"/>
      <c r="M104" s="268"/>
      <c r="N104" s="157"/>
      <c r="O104" s="294"/>
      <c r="P104" s="294"/>
    </row>
    <row r="105" spans="1:16" s="159" customFormat="1" x14ac:dyDescent="0.25">
      <c r="C105" s="611"/>
      <c r="D105" s="611"/>
      <c r="J105" s="266"/>
      <c r="M105" s="268"/>
      <c r="N105" s="157"/>
      <c r="O105" s="294"/>
      <c r="P105" s="294"/>
    </row>
    <row r="106" spans="1:16" s="159" customFormat="1" x14ac:dyDescent="0.25">
      <c r="C106" s="611"/>
      <c r="D106" s="611"/>
      <c r="J106" s="266"/>
      <c r="M106" s="268"/>
      <c r="N106" s="157"/>
      <c r="O106" s="294"/>
      <c r="P106" s="294"/>
    </row>
    <row r="107" spans="1:16" s="159" customFormat="1" x14ac:dyDescent="0.25">
      <c r="C107" s="611"/>
      <c r="D107" s="611"/>
      <c r="J107" s="266"/>
      <c r="M107" s="268"/>
      <c r="N107" s="157"/>
      <c r="O107" s="294"/>
      <c r="P107" s="294"/>
    </row>
    <row r="108" spans="1:16" s="159" customFormat="1" x14ac:dyDescent="0.25">
      <c r="C108" s="611"/>
      <c r="D108" s="611"/>
      <c r="J108" s="266"/>
      <c r="M108" s="268"/>
      <c r="N108" s="157"/>
      <c r="O108" s="294"/>
      <c r="P108" s="294"/>
    </row>
    <row r="109" spans="1:16" s="159" customFormat="1" x14ac:dyDescent="0.25">
      <c r="C109" s="611"/>
      <c r="D109" s="611"/>
      <c r="J109" s="266"/>
      <c r="M109" s="268"/>
      <c r="N109" s="157"/>
      <c r="O109" s="294"/>
      <c r="P109" s="294"/>
    </row>
    <row r="110" spans="1:16" s="159" customFormat="1" x14ac:dyDescent="0.25">
      <c r="C110" s="611"/>
      <c r="D110" s="611"/>
      <c r="J110" s="266"/>
      <c r="M110" s="268"/>
      <c r="N110" s="157"/>
      <c r="O110" s="294"/>
      <c r="P110" s="294"/>
    </row>
    <row r="111" spans="1:16" s="159" customFormat="1" x14ac:dyDescent="0.25">
      <c r="C111" s="611"/>
      <c r="D111" s="611"/>
      <c r="J111" s="266"/>
      <c r="M111" s="268"/>
      <c r="N111" s="157"/>
      <c r="O111" s="294"/>
      <c r="P111" s="294"/>
    </row>
    <row r="112" spans="1:16" s="159" customFormat="1" x14ac:dyDescent="0.25">
      <c r="C112" s="611"/>
      <c r="D112" s="611"/>
      <c r="J112" s="266"/>
      <c r="M112" s="268"/>
      <c r="N112" s="157"/>
      <c r="O112" s="294"/>
      <c r="P112" s="294"/>
    </row>
    <row r="113" spans="3:16" s="159" customFormat="1" x14ac:dyDescent="0.25">
      <c r="C113" s="611"/>
      <c r="D113" s="611"/>
      <c r="J113" s="266"/>
      <c r="M113" s="268"/>
      <c r="N113" s="157"/>
      <c r="O113" s="294"/>
      <c r="P113" s="294"/>
    </row>
    <row r="114" spans="3:16" s="159" customFormat="1" x14ac:dyDescent="0.25">
      <c r="C114" s="611"/>
      <c r="D114" s="611"/>
      <c r="J114" s="266"/>
      <c r="M114" s="268"/>
      <c r="N114" s="157"/>
      <c r="O114" s="294"/>
      <c r="P114" s="294"/>
    </row>
    <row r="115" spans="3:16" s="159" customFormat="1" x14ac:dyDescent="0.25">
      <c r="C115" s="611"/>
      <c r="D115" s="611"/>
      <c r="J115" s="266"/>
      <c r="M115" s="268"/>
      <c r="N115" s="157"/>
      <c r="O115" s="294"/>
      <c r="P115" s="294"/>
    </row>
    <row r="116" spans="3:16" s="159" customFormat="1" x14ac:dyDescent="0.25">
      <c r="C116" s="611"/>
      <c r="D116" s="611"/>
      <c r="J116" s="266"/>
      <c r="M116" s="268"/>
      <c r="N116" s="157"/>
      <c r="O116" s="294"/>
      <c r="P116" s="294"/>
    </row>
    <row r="117" spans="3:16" s="159" customFormat="1" x14ac:dyDescent="0.25">
      <c r="C117" s="611"/>
      <c r="D117" s="611"/>
      <c r="J117" s="266"/>
      <c r="M117" s="268"/>
      <c r="N117" s="157"/>
      <c r="O117" s="294"/>
      <c r="P117" s="294"/>
    </row>
    <row r="118" spans="3:16" s="159" customFormat="1" x14ac:dyDescent="0.25">
      <c r="C118" s="611"/>
      <c r="D118" s="611"/>
      <c r="J118" s="266"/>
      <c r="M118" s="268"/>
      <c r="N118" s="157"/>
      <c r="O118" s="294"/>
      <c r="P118" s="294"/>
    </row>
    <row r="119" spans="3:16" s="159" customFormat="1" x14ac:dyDescent="0.25">
      <c r="C119" s="611"/>
      <c r="D119" s="611"/>
      <c r="J119" s="266"/>
      <c r="M119" s="268"/>
      <c r="N119" s="157"/>
      <c r="O119" s="294"/>
      <c r="P119" s="294"/>
    </row>
    <row r="120" spans="3:16" s="159" customFormat="1" x14ac:dyDescent="0.25">
      <c r="C120" s="611"/>
      <c r="D120" s="611"/>
      <c r="J120" s="266"/>
      <c r="M120" s="268"/>
      <c r="N120" s="157"/>
      <c r="O120" s="294"/>
      <c r="P120" s="294"/>
    </row>
    <row r="121" spans="3:16" s="159" customFormat="1" x14ac:dyDescent="0.25">
      <c r="C121" s="611"/>
      <c r="D121" s="611"/>
      <c r="J121" s="266"/>
      <c r="M121" s="268"/>
      <c r="N121" s="157"/>
      <c r="O121" s="294"/>
      <c r="P121" s="294"/>
    </row>
    <row r="122" spans="3:16" s="159" customFormat="1" x14ac:dyDescent="0.25">
      <c r="C122" s="611"/>
      <c r="D122" s="611"/>
      <c r="J122" s="266"/>
      <c r="M122" s="268"/>
      <c r="N122" s="157"/>
      <c r="O122" s="294"/>
      <c r="P122" s="294"/>
    </row>
    <row r="123" spans="3:16" s="159" customFormat="1" x14ac:dyDescent="0.25">
      <c r="C123" s="611"/>
      <c r="D123" s="611"/>
      <c r="J123" s="266"/>
      <c r="M123" s="268"/>
      <c r="N123" s="157"/>
      <c r="O123" s="294"/>
      <c r="P123" s="294"/>
    </row>
    <row r="124" spans="3:16" s="159" customFormat="1" x14ac:dyDescent="0.25">
      <c r="C124" s="611"/>
      <c r="D124" s="611"/>
      <c r="J124" s="266"/>
      <c r="M124" s="268"/>
      <c r="N124" s="157"/>
      <c r="O124" s="294"/>
      <c r="P124" s="294"/>
    </row>
    <row r="125" spans="3:16" s="159" customFormat="1" x14ac:dyDescent="0.25">
      <c r="C125" s="611"/>
      <c r="D125" s="611"/>
      <c r="J125" s="266"/>
      <c r="M125" s="268"/>
      <c r="N125" s="157"/>
      <c r="O125" s="294"/>
      <c r="P125" s="294"/>
    </row>
    <row r="126" spans="3:16" s="159" customFormat="1" x14ac:dyDescent="0.25">
      <c r="C126" s="611"/>
      <c r="D126" s="611"/>
      <c r="J126" s="266"/>
      <c r="M126" s="268"/>
      <c r="N126" s="157"/>
      <c r="O126" s="294"/>
      <c r="P126" s="294"/>
    </row>
    <row r="127" spans="3:16" s="159" customFormat="1" x14ac:dyDescent="0.25">
      <c r="C127" s="611"/>
      <c r="D127" s="611"/>
      <c r="J127" s="266"/>
      <c r="M127" s="268"/>
      <c r="N127" s="157"/>
      <c r="O127" s="294"/>
      <c r="P127" s="294"/>
    </row>
    <row r="128" spans="3:16" s="159" customFormat="1" x14ac:dyDescent="0.25">
      <c r="C128" s="611"/>
      <c r="D128" s="611"/>
      <c r="J128" s="266"/>
      <c r="M128" s="268"/>
      <c r="N128" s="157"/>
      <c r="O128" s="294"/>
      <c r="P128" s="294"/>
    </row>
    <row r="129" spans="3:16" s="159" customFormat="1" x14ac:dyDescent="0.25">
      <c r="C129" s="611"/>
      <c r="D129" s="611"/>
      <c r="J129" s="266"/>
      <c r="M129" s="268"/>
      <c r="N129" s="157"/>
      <c r="O129" s="294"/>
      <c r="P129" s="294"/>
    </row>
    <row r="130" spans="3:16" s="159" customFormat="1" x14ac:dyDescent="0.25">
      <c r="C130" s="611"/>
      <c r="D130" s="611"/>
      <c r="J130" s="266"/>
      <c r="M130" s="268"/>
      <c r="N130" s="157"/>
      <c r="O130" s="294"/>
      <c r="P130" s="294"/>
    </row>
    <row r="131" spans="3:16" s="159" customFormat="1" x14ac:dyDescent="0.25">
      <c r="C131" s="611"/>
      <c r="D131" s="611"/>
      <c r="J131" s="266"/>
      <c r="M131" s="268"/>
      <c r="N131" s="157"/>
      <c r="O131" s="294"/>
      <c r="P131" s="294"/>
    </row>
    <row r="132" spans="3:16" s="159" customFormat="1" x14ac:dyDescent="0.25">
      <c r="C132" s="611"/>
      <c r="D132" s="611"/>
      <c r="J132" s="266"/>
      <c r="M132" s="268"/>
      <c r="N132" s="157"/>
      <c r="O132" s="294"/>
      <c r="P132" s="294"/>
    </row>
    <row r="133" spans="3:16" s="159" customFormat="1" x14ac:dyDescent="0.25">
      <c r="C133" s="611"/>
      <c r="D133" s="611"/>
      <c r="J133" s="266"/>
      <c r="M133" s="268"/>
      <c r="N133" s="157"/>
      <c r="O133" s="294"/>
      <c r="P133" s="294"/>
    </row>
    <row r="134" spans="3:16" s="159" customFormat="1" x14ac:dyDescent="0.25">
      <c r="C134" s="611"/>
      <c r="D134" s="611"/>
      <c r="J134" s="266"/>
      <c r="M134" s="268"/>
      <c r="N134" s="157"/>
      <c r="O134" s="294"/>
      <c r="P134" s="294"/>
    </row>
    <row r="135" spans="3:16" s="159" customFormat="1" x14ac:dyDescent="0.25">
      <c r="C135" s="611"/>
      <c r="D135" s="611"/>
      <c r="J135" s="266"/>
      <c r="M135" s="268"/>
      <c r="N135" s="157"/>
      <c r="O135" s="294"/>
      <c r="P135" s="294"/>
    </row>
    <row r="136" spans="3:16" s="159" customFormat="1" x14ac:dyDescent="0.25">
      <c r="C136" s="611"/>
      <c r="D136" s="611"/>
      <c r="J136" s="266"/>
      <c r="M136" s="268"/>
      <c r="N136" s="157"/>
      <c r="O136" s="294"/>
      <c r="P136" s="294"/>
    </row>
    <row r="137" spans="3:16" s="159" customFormat="1" x14ac:dyDescent="0.25">
      <c r="C137" s="611"/>
      <c r="D137" s="611"/>
      <c r="J137" s="266"/>
      <c r="M137" s="268"/>
      <c r="N137" s="157"/>
      <c r="O137" s="294"/>
      <c r="P137" s="294"/>
    </row>
    <row r="138" spans="3:16" s="159" customFormat="1" x14ac:dyDescent="0.25">
      <c r="C138" s="611"/>
      <c r="D138" s="611"/>
      <c r="J138" s="266"/>
      <c r="M138" s="268"/>
      <c r="N138" s="157"/>
      <c r="O138" s="294"/>
      <c r="P138" s="294"/>
    </row>
    <row r="139" spans="3:16" s="159" customFormat="1" x14ac:dyDescent="0.25">
      <c r="C139" s="611"/>
      <c r="D139" s="611"/>
      <c r="J139" s="266"/>
      <c r="M139" s="268"/>
      <c r="N139" s="157"/>
      <c r="O139" s="294"/>
      <c r="P139" s="294"/>
    </row>
    <row r="140" spans="3:16" s="159" customFormat="1" x14ac:dyDescent="0.25">
      <c r="C140" s="611"/>
      <c r="D140" s="611"/>
      <c r="J140" s="266"/>
      <c r="M140" s="268"/>
      <c r="N140" s="157"/>
      <c r="O140" s="294"/>
      <c r="P140" s="294"/>
    </row>
    <row r="141" spans="3:16" s="159" customFormat="1" x14ac:dyDescent="0.25">
      <c r="C141" s="611"/>
      <c r="D141" s="611"/>
      <c r="J141" s="266"/>
      <c r="M141" s="268"/>
      <c r="N141" s="157"/>
      <c r="O141" s="294"/>
      <c r="P141" s="294"/>
    </row>
    <row r="142" spans="3:16" s="159" customFormat="1" x14ac:dyDescent="0.25">
      <c r="C142" s="611"/>
      <c r="D142" s="611"/>
      <c r="J142" s="266"/>
      <c r="M142" s="268"/>
      <c r="N142" s="157"/>
      <c r="O142" s="294"/>
      <c r="P142" s="294"/>
    </row>
    <row r="143" spans="3:16" s="159" customFormat="1" x14ac:dyDescent="0.25">
      <c r="C143" s="611"/>
      <c r="D143" s="611"/>
      <c r="J143" s="266"/>
      <c r="M143" s="268"/>
      <c r="N143" s="157"/>
      <c r="O143" s="294"/>
      <c r="P143" s="294"/>
    </row>
    <row r="144" spans="3:16" s="159" customFormat="1" x14ac:dyDescent="0.25">
      <c r="C144" s="611"/>
      <c r="D144" s="611"/>
      <c r="J144" s="266"/>
      <c r="M144" s="268"/>
      <c r="N144" s="157"/>
      <c r="O144" s="294"/>
      <c r="P144" s="294"/>
    </row>
    <row r="145" spans="3:16" s="159" customFormat="1" x14ac:dyDescent="0.25">
      <c r="C145" s="611"/>
      <c r="D145" s="611"/>
      <c r="J145" s="266"/>
      <c r="M145" s="268"/>
      <c r="N145" s="157"/>
      <c r="O145" s="294"/>
      <c r="P145" s="294"/>
    </row>
    <row r="146" spans="3:16" s="159" customFormat="1" x14ac:dyDescent="0.25">
      <c r="C146" s="611"/>
      <c r="D146" s="611"/>
      <c r="J146" s="266"/>
      <c r="M146" s="268"/>
      <c r="N146" s="157"/>
      <c r="O146" s="294"/>
      <c r="P146" s="294"/>
    </row>
    <row r="147" spans="3:16" s="159" customFormat="1" x14ac:dyDescent="0.25">
      <c r="C147" s="611"/>
      <c r="D147" s="611"/>
      <c r="J147" s="266"/>
      <c r="M147" s="268"/>
      <c r="N147" s="157"/>
      <c r="O147" s="294"/>
      <c r="P147" s="294"/>
    </row>
    <row r="148" spans="3:16" s="159" customFormat="1" x14ac:dyDescent="0.25">
      <c r="C148" s="611"/>
      <c r="D148" s="611"/>
      <c r="J148" s="266"/>
      <c r="M148" s="268"/>
      <c r="N148" s="157"/>
      <c r="O148" s="294"/>
      <c r="P148" s="294"/>
    </row>
    <row r="149" spans="3:16" s="159" customFormat="1" x14ac:dyDescent="0.25">
      <c r="C149" s="611"/>
      <c r="D149" s="611"/>
      <c r="J149" s="266"/>
      <c r="M149" s="268"/>
      <c r="N149" s="157"/>
      <c r="O149" s="294"/>
      <c r="P149" s="294"/>
    </row>
    <row r="150" spans="3:16" s="159" customFormat="1" x14ac:dyDescent="0.25">
      <c r="C150" s="611"/>
      <c r="D150" s="611"/>
      <c r="J150" s="266"/>
      <c r="M150" s="268"/>
      <c r="N150" s="157"/>
      <c r="O150" s="294"/>
      <c r="P150" s="294"/>
    </row>
    <row r="151" spans="3:16" s="159" customFormat="1" x14ac:dyDescent="0.25">
      <c r="C151" s="611"/>
      <c r="D151" s="611"/>
      <c r="J151" s="266"/>
      <c r="M151" s="268"/>
      <c r="N151" s="157"/>
      <c r="O151" s="294"/>
      <c r="P151" s="294"/>
    </row>
    <row r="152" spans="3:16" s="159" customFormat="1" x14ac:dyDescent="0.25">
      <c r="C152" s="611"/>
      <c r="D152" s="611"/>
      <c r="J152" s="266"/>
      <c r="M152" s="268"/>
      <c r="N152" s="157"/>
      <c r="O152" s="294"/>
      <c r="P152" s="294"/>
    </row>
    <row r="153" spans="3:16" s="159" customFormat="1" x14ac:dyDescent="0.25">
      <c r="C153" s="611"/>
      <c r="D153" s="611"/>
      <c r="J153" s="266"/>
      <c r="M153" s="268"/>
      <c r="N153" s="157"/>
      <c r="O153" s="294"/>
      <c r="P153" s="294"/>
    </row>
    <row r="154" spans="3:16" s="159" customFormat="1" x14ac:dyDescent="0.25">
      <c r="C154" s="611"/>
      <c r="D154" s="611"/>
      <c r="J154" s="266"/>
      <c r="M154" s="268"/>
      <c r="N154" s="157"/>
      <c r="O154" s="294"/>
      <c r="P154" s="294"/>
    </row>
    <row r="155" spans="3:16" s="159" customFormat="1" x14ac:dyDescent="0.25">
      <c r="C155" s="611"/>
      <c r="D155" s="611"/>
      <c r="J155" s="266"/>
      <c r="M155" s="268"/>
      <c r="N155" s="157"/>
      <c r="O155" s="294"/>
      <c r="P155" s="294"/>
    </row>
    <row r="156" spans="3:16" s="159" customFormat="1" x14ac:dyDescent="0.25">
      <c r="C156" s="611"/>
      <c r="D156" s="611"/>
      <c r="J156" s="266"/>
      <c r="M156" s="268"/>
      <c r="N156" s="157"/>
      <c r="O156" s="294"/>
      <c r="P156" s="294"/>
    </row>
    <row r="157" spans="3:16" s="159" customFormat="1" x14ac:dyDescent="0.25">
      <c r="C157" s="611"/>
      <c r="D157" s="611"/>
      <c r="J157" s="266"/>
      <c r="M157" s="268"/>
      <c r="N157" s="157"/>
      <c r="O157" s="294"/>
      <c r="P157" s="294"/>
    </row>
    <row r="158" spans="3:16" s="159" customFormat="1" x14ac:dyDescent="0.25">
      <c r="C158" s="611"/>
      <c r="D158" s="611"/>
      <c r="J158" s="266"/>
      <c r="M158" s="268"/>
      <c r="N158" s="157"/>
      <c r="O158" s="294"/>
      <c r="P158" s="294"/>
    </row>
    <row r="159" spans="3:16" s="159" customFormat="1" x14ac:dyDescent="0.25">
      <c r="C159" s="611"/>
      <c r="D159" s="611"/>
      <c r="J159" s="266"/>
      <c r="M159" s="268"/>
      <c r="N159" s="157"/>
      <c r="O159" s="294"/>
      <c r="P159" s="294"/>
    </row>
    <row r="160" spans="3:16" s="159" customFormat="1" x14ac:dyDescent="0.25">
      <c r="C160" s="611"/>
      <c r="D160" s="611"/>
      <c r="J160" s="266"/>
      <c r="M160" s="268"/>
      <c r="N160" s="157"/>
      <c r="O160" s="294"/>
      <c r="P160" s="294"/>
    </row>
    <row r="161" spans="3:16" s="159" customFormat="1" x14ac:dyDescent="0.25">
      <c r="C161" s="611"/>
      <c r="D161" s="611"/>
      <c r="J161" s="266"/>
      <c r="M161" s="268"/>
      <c r="N161" s="157"/>
      <c r="O161" s="294"/>
      <c r="P161" s="294"/>
    </row>
    <row r="162" spans="3:16" s="159" customFormat="1" x14ac:dyDescent="0.25">
      <c r="C162" s="611"/>
      <c r="D162" s="611"/>
      <c r="J162" s="266"/>
      <c r="M162" s="268"/>
      <c r="N162" s="157"/>
      <c r="O162" s="294"/>
      <c r="P162" s="294"/>
    </row>
    <row r="163" spans="3:16" s="159" customFormat="1" x14ac:dyDescent="0.25">
      <c r="C163" s="611"/>
      <c r="D163" s="611"/>
      <c r="J163" s="266"/>
      <c r="M163" s="268"/>
      <c r="N163" s="157"/>
      <c r="O163" s="294"/>
      <c r="P163" s="294"/>
    </row>
    <row r="164" spans="3:16" s="159" customFormat="1" x14ac:dyDescent="0.25">
      <c r="C164" s="611"/>
      <c r="D164" s="611"/>
      <c r="J164" s="266"/>
      <c r="M164" s="268"/>
      <c r="N164" s="157"/>
      <c r="O164" s="294"/>
      <c r="P164" s="294"/>
    </row>
    <row r="165" spans="3:16" s="159" customFormat="1" x14ac:dyDescent="0.25">
      <c r="C165" s="611"/>
      <c r="D165" s="611"/>
      <c r="J165" s="266"/>
      <c r="M165" s="268"/>
      <c r="N165" s="157"/>
      <c r="O165" s="294"/>
      <c r="P165" s="294"/>
    </row>
    <row r="166" spans="3:16" s="159" customFormat="1" x14ac:dyDescent="0.25">
      <c r="C166" s="611"/>
      <c r="D166" s="611"/>
      <c r="J166" s="266"/>
      <c r="M166" s="268"/>
      <c r="N166" s="157"/>
      <c r="O166" s="294"/>
      <c r="P166" s="294"/>
    </row>
    <row r="167" spans="3:16" s="159" customFormat="1" x14ac:dyDescent="0.25">
      <c r="C167" s="611"/>
      <c r="D167" s="611"/>
      <c r="J167" s="266"/>
      <c r="M167" s="268"/>
      <c r="N167" s="157"/>
      <c r="O167" s="294"/>
      <c r="P167" s="294"/>
    </row>
    <row r="168" spans="3:16" s="159" customFormat="1" x14ac:dyDescent="0.25">
      <c r="C168" s="611"/>
      <c r="D168" s="611"/>
      <c r="J168" s="266"/>
      <c r="M168" s="268"/>
      <c r="N168" s="157"/>
      <c r="O168" s="294"/>
      <c r="P168" s="294"/>
    </row>
    <row r="169" spans="3:16" s="159" customFormat="1" x14ac:dyDescent="0.25">
      <c r="C169" s="611"/>
      <c r="D169" s="611"/>
      <c r="J169" s="266"/>
      <c r="M169" s="268"/>
      <c r="N169" s="157"/>
      <c r="O169" s="294"/>
      <c r="P169" s="294"/>
    </row>
    <row r="170" spans="3:16" s="159" customFormat="1" x14ac:dyDescent="0.25">
      <c r="C170" s="611"/>
      <c r="D170" s="611"/>
      <c r="J170" s="266"/>
      <c r="M170" s="268"/>
      <c r="N170" s="157"/>
      <c r="O170" s="294"/>
      <c r="P170" s="294"/>
    </row>
    <row r="171" spans="3:16" s="159" customFormat="1" x14ac:dyDescent="0.25">
      <c r="C171" s="611"/>
      <c r="D171" s="611"/>
      <c r="J171" s="266"/>
      <c r="M171" s="268"/>
      <c r="N171" s="157"/>
      <c r="O171" s="294"/>
      <c r="P171" s="294"/>
    </row>
    <row r="172" spans="3:16" s="159" customFormat="1" x14ac:dyDescent="0.25">
      <c r="C172" s="611"/>
      <c r="D172" s="611"/>
      <c r="J172" s="266"/>
      <c r="M172" s="268"/>
      <c r="N172" s="157"/>
      <c r="O172" s="294"/>
      <c r="P172" s="294"/>
    </row>
    <row r="173" spans="3:16" s="159" customFormat="1" x14ac:dyDescent="0.25">
      <c r="C173" s="611"/>
      <c r="D173" s="611"/>
      <c r="J173" s="266"/>
      <c r="M173" s="268"/>
      <c r="N173" s="157"/>
      <c r="O173" s="294"/>
      <c r="P173" s="294"/>
    </row>
    <row r="174" spans="3:16" s="159" customFormat="1" x14ac:dyDescent="0.25">
      <c r="C174" s="611"/>
      <c r="D174" s="611"/>
      <c r="J174" s="266"/>
      <c r="M174" s="268"/>
      <c r="N174" s="157"/>
      <c r="O174" s="294"/>
      <c r="P174" s="294"/>
    </row>
    <row r="175" spans="3:16" s="159" customFormat="1" x14ac:dyDescent="0.25">
      <c r="C175" s="611"/>
      <c r="D175" s="611"/>
      <c r="J175" s="266"/>
      <c r="M175" s="268"/>
      <c r="N175" s="157"/>
      <c r="O175" s="294"/>
      <c r="P175" s="294"/>
    </row>
    <row r="176" spans="3:16" s="159" customFormat="1" x14ac:dyDescent="0.25">
      <c r="C176" s="611"/>
      <c r="D176" s="611"/>
      <c r="J176" s="266"/>
      <c r="M176" s="268"/>
      <c r="N176" s="157"/>
      <c r="O176" s="294"/>
      <c r="P176" s="294"/>
    </row>
    <row r="177" spans="3:16" s="159" customFormat="1" x14ac:dyDescent="0.25">
      <c r="C177" s="611"/>
      <c r="D177" s="611"/>
      <c r="J177" s="266"/>
      <c r="M177" s="268"/>
      <c r="N177" s="157"/>
      <c r="O177" s="294"/>
      <c r="P177" s="294"/>
    </row>
    <row r="178" spans="3:16" s="159" customFormat="1" x14ac:dyDescent="0.25">
      <c r="C178" s="611"/>
      <c r="D178" s="611"/>
      <c r="J178" s="266"/>
      <c r="M178" s="268"/>
      <c r="N178" s="157"/>
      <c r="O178" s="294"/>
      <c r="P178" s="294"/>
    </row>
    <row r="179" spans="3:16" s="159" customFormat="1" x14ac:dyDescent="0.25">
      <c r="C179" s="611"/>
      <c r="D179" s="611"/>
      <c r="J179" s="266"/>
      <c r="M179" s="268"/>
      <c r="N179" s="157"/>
      <c r="O179" s="294"/>
      <c r="P179" s="294"/>
    </row>
    <row r="180" spans="3:16" s="159" customFormat="1" x14ac:dyDescent="0.25">
      <c r="C180" s="611"/>
      <c r="D180" s="611"/>
      <c r="J180" s="266"/>
      <c r="M180" s="268"/>
      <c r="N180" s="157"/>
      <c r="O180" s="294"/>
      <c r="P180" s="294"/>
    </row>
    <row r="181" spans="3:16" s="159" customFormat="1" x14ac:dyDescent="0.25">
      <c r="C181" s="611"/>
      <c r="D181" s="611"/>
      <c r="J181" s="266"/>
      <c r="M181" s="268"/>
      <c r="N181" s="157"/>
      <c r="O181" s="294"/>
      <c r="P181" s="294"/>
    </row>
    <row r="182" spans="3:16" s="159" customFormat="1" x14ac:dyDescent="0.25">
      <c r="C182" s="611"/>
      <c r="D182" s="611"/>
      <c r="J182" s="266"/>
      <c r="M182" s="268"/>
      <c r="N182" s="157"/>
      <c r="O182" s="294"/>
      <c r="P182" s="294"/>
    </row>
    <row r="183" spans="3:16" s="159" customFormat="1" x14ac:dyDescent="0.25">
      <c r="C183" s="611"/>
      <c r="D183" s="611"/>
      <c r="J183" s="266"/>
      <c r="M183" s="268"/>
      <c r="N183" s="157"/>
      <c r="O183" s="294"/>
      <c r="P183" s="294"/>
    </row>
    <row r="184" spans="3:16" s="159" customFormat="1" x14ac:dyDescent="0.25">
      <c r="C184" s="611"/>
      <c r="D184" s="611"/>
      <c r="J184" s="266"/>
      <c r="M184" s="268"/>
      <c r="N184" s="157"/>
      <c r="O184" s="294"/>
      <c r="P184" s="294"/>
    </row>
    <row r="185" spans="3:16" s="159" customFormat="1" x14ac:dyDescent="0.25">
      <c r="C185" s="611"/>
      <c r="D185" s="611"/>
      <c r="J185" s="266"/>
      <c r="M185" s="268"/>
      <c r="N185" s="157"/>
      <c r="O185" s="294"/>
      <c r="P185" s="294"/>
    </row>
    <row r="186" spans="3:16" s="159" customFormat="1" x14ac:dyDescent="0.25">
      <c r="C186" s="611"/>
      <c r="D186" s="611"/>
      <c r="J186" s="266"/>
      <c r="M186" s="268"/>
      <c r="N186" s="157"/>
      <c r="O186" s="294"/>
      <c r="P186" s="294"/>
    </row>
    <row r="187" spans="3:16" s="159" customFormat="1" x14ac:dyDescent="0.25">
      <c r="C187" s="611"/>
      <c r="D187" s="611"/>
      <c r="J187" s="266"/>
      <c r="M187" s="268"/>
      <c r="N187" s="157"/>
      <c r="O187" s="294"/>
      <c r="P187" s="294"/>
    </row>
    <row r="188" spans="3:16" s="159" customFormat="1" x14ac:dyDescent="0.25">
      <c r="C188" s="611"/>
      <c r="D188" s="611"/>
      <c r="J188" s="266"/>
      <c r="M188" s="268"/>
      <c r="N188" s="157"/>
      <c r="O188" s="294"/>
      <c r="P188" s="294"/>
    </row>
    <row r="189" spans="3:16" s="159" customFormat="1" x14ac:dyDescent="0.25">
      <c r="C189" s="611"/>
      <c r="D189" s="611"/>
      <c r="J189" s="266"/>
      <c r="M189" s="268"/>
      <c r="N189" s="157"/>
      <c r="O189" s="294"/>
      <c r="P189" s="294"/>
    </row>
    <row r="190" spans="3:16" s="159" customFormat="1" x14ac:dyDescent="0.25">
      <c r="C190" s="611"/>
      <c r="D190" s="611"/>
      <c r="J190" s="266"/>
      <c r="M190" s="268"/>
      <c r="N190" s="157"/>
      <c r="O190" s="294"/>
      <c r="P190" s="294"/>
    </row>
    <row r="191" spans="3:16" s="159" customFormat="1" x14ac:dyDescent="0.25">
      <c r="C191" s="611"/>
      <c r="D191" s="611"/>
      <c r="J191" s="266"/>
      <c r="M191" s="268"/>
      <c r="N191" s="157"/>
      <c r="O191" s="294"/>
      <c r="P191" s="294"/>
    </row>
    <row r="192" spans="3:16" s="159" customFormat="1" x14ac:dyDescent="0.25">
      <c r="C192" s="611"/>
      <c r="D192" s="611"/>
      <c r="J192" s="266"/>
      <c r="M192" s="268"/>
      <c r="N192" s="157"/>
      <c r="O192" s="294"/>
      <c r="P192" s="294"/>
    </row>
    <row r="193" spans="3:16" s="159" customFormat="1" x14ac:dyDescent="0.25">
      <c r="C193" s="611"/>
      <c r="D193" s="611"/>
      <c r="J193" s="266"/>
      <c r="M193" s="268"/>
      <c r="N193" s="157"/>
      <c r="O193" s="294"/>
      <c r="P193" s="294"/>
    </row>
    <row r="194" spans="3:16" s="159" customFormat="1" x14ac:dyDescent="0.25">
      <c r="C194" s="611"/>
      <c r="D194" s="611"/>
      <c r="J194" s="266"/>
      <c r="M194" s="268"/>
      <c r="N194" s="157"/>
      <c r="O194" s="294"/>
      <c r="P194" s="294"/>
    </row>
    <row r="195" spans="3:16" s="159" customFormat="1" x14ac:dyDescent="0.25">
      <c r="C195" s="611"/>
      <c r="D195" s="611"/>
      <c r="J195" s="266"/>
      <c r="M195" s="268"/>
      <c r="N195" s="157"/>
      <c r="O195" s="294"/>
      <c r="P195" s="294"/>
    </row>
    <row r="196" spans="3:16" s="159" customFormat="1" x14ac:dyDescent="0.25">
      <c r="C196" s="611"/>
      <c r="D196" s="611"/>
      <c r="J196" s="266"/>
      <c r="M196" s="268"/>
      <c r="N196" s="157"/>
      <c r="O196" s="294"/>
      <c r="P196" s="294"/>
    </row>
    <row r="197" spans="3:16" s="159" customFormat="1" x14ac:dyDescent="0.25">
      <c r="C197" s="611"/>
      <c r="D197" s="611"/>
      <c r="J197" s="266"/>
      <c r="M197" s="268"/>
      <c r="N197" s="157"/>
      <c r="O197" s="294"/>
      <c r="P197" s="294"/>
    </row>
    <row r="198" spans="3:16" s="159" customFormat="1" x14ac:dyDescent="0.25">
      <c r="C198" s="611"/>
      <c r="D198" s="611"/>
      <c r="J198" s="266"/>
      <c r="M198" s="268"/>
      <c r="N198" s="157"/>
      <c r="O198" s="294"/>
      <c r="P198" s="294"/>
    </row>
    <row r="199" spans="3:16" s="159" customFormat="1" x14ac:dyDescent="0.25">
      <c r="C199" s="611"/>
      <c r="D199" s="611"/>
      <c r="J199" s="266"/>
      <c r="M199" s="268"/>
      <c r="N199" s="157"/>
      <c r="O199" s="294"/>
      <c r="P199" s="294"/>
    </row>
    <row r="200" spans="3:16" s="159" customFormat="1" x14ac:dyDescent="0.25">
      <c r="C200" s="611"/>
      <c r="D200" s="611"/>
      <c r="J200" s="266"/>
      <c r="M200" s="268"/>
      <c r="N200" s="157"/>
      <c r="O200" s="294"/>
      <c r="P200" s="294"/>
    </row>
    <row r="201" spans="3:16" s="159" customFormat="1" x14ac:dyDescent="0.25">
      <c r="C201" s="611"/>
      <c r="D201" s="611"/>
      <c r="J201" s="266"/>
      <c r="M201" s="268"/>
      <c r="N201" s="157"/>
      <c r="O201" s="294"/>
      <c r="P201" s="294"/>
    </row>
    <row r="202" spans="3:16" s="159" customFormat="1" x14ac:dyDescent="0.25">
      <c r="C202" s="611"/>
      <c r="D202" s="611"/>
      <c r="J202" s="266"/>
      <c r="M202" s="268"/>
      <c r="N202" s="157"/>
      <c r="O202" s="294"/>
      <c r="P202" s="294"/>
    </row>
    <row r="203" spans="3:16" s="159" customFormat="1" x14ac:dyDescent="0.25">
      <c r="C203" s="611"/>
      <c r="D203" s="611"/>
      <c r="J203" s="266"/>
      <c r="M203" s="268"/>
      <c r="N203" s="157"/>
      <c r="O203" s="294"/>
      <c r="P203" s="294"/>
    </row>
    <row r="204" spans="3:16" s="159" customFormat="1" x14ac:dyDescent="0.25">
      <c r="C204" s="611"/>
      <c r="D204" s="611"/>
      <c r="J204" s="266"/>
      <c r="M204" s="268"/>
      <c r="N204" s="157"/>
      <c r="O204" s="294"/>
      <c r="P204" s="294"/>
    </row>
    <row r="205" spans="3:16" s="159" customFormat="1" x14ac:dyDescent="0.25">
      <c r="C205" s="611"/>
      <c r="D205" s="611"/>
      <c r="J205" s="266"/>
      <c r="M205" s="268"/>
      <c r="N205" s="157"/>
      <c r="O205" s="294"/>
      <c r="P205" s="294"/>
    </row>
    <row r="206" spans="3:16" s="159" customFormat="1" x14ac:dyDescent="0.25">
      <c r="C206" s="611"/>
      <c r="D206" s="611"/>
      <c r="J206" s="266"/>
      <c r="M206" s="268"/>
      <c r="N206" s="157"/>
      <c r="O206" s="294"/>
      <c r="P206" s="294"/>
    </row>
    <row r="207" spans="3:16" s="159" customFormat="1" x14ac:dyDescent="0.25">
      <c r="C207" s="611"/>
      <c r="D207" s="611"/>
      <c r="J207" s="266"/>
      <c r="M207" s="268"/>
      <c r="N207" s="157"/>
      <c r="O207" s="294"/>
      <c r="P207" s="294"/>
    </row>
    <row r="208" spans="3:16" s="159" customFormat="1" x14ac:dyDescent="0.25">
      <c r="C208" s="611"/>
      <c r="D208" s="611"/>
      <c r="J208" s="266"/>
      <c r="M208" s="268"/>
      <c r="N208" s="157"/>
      <c r="O208" s="294"/>
      <c r="P208" s="294"/>
    </row>
    <row r="209" spans="3:16" s="159" customFormat="1" x14ac:dyDescent="0.25">
      <c r="C209" s="611"/>
      <c r="D209" s="611"/>
      <c r="J209" s="266"/>
      <c r="M209" s="268"/>
      <c r="N209" s="157"/>
      <c r="O209" s="294"/>
      <c r="P209" s="294"/>
    </row>
    <row r="210" spans="3:16" s="159" customFormat="1" x14ac:dyDescent="0.25">
      <c r="C210" s="611"/>
      <c r="D210" s="611"/>
      <c r="J210" s="266"/>
      <c r="M210" s="268"/>
      <c r="N210" s="157"/>
      <c r="O210" s="294"/>
      <c r="P210" s="294"/>
    </row>
    <row r="211" spans="3:16" s="159" customFormat="1" x14ac:dyDescent="0.25">
      <c r="C211" s="611"/>
      <c r="D211" s="611"/>
      <c r="J211" s="266"/>
      <c r="M211" s="268"/>
      <c r="N211" s="157"/>
      <c r="O211" s="294"/>
      <c r="P211" s="294"/>
    </row>
    <row r="212" spans="3:16" s="159" customFormat="1" x14ac:dyDescent="0.25">
      <c r="C212" s="611"/>
      <c r="D212" s="611"/>
      <c r="J212" s="266"/>
      <c r="M212" s="268"/>
      <c r="N212" s="157"/>
      <c r="O212" s="294"/>
      <c r="P212" s="294"/>
    </row>
    <row r="213" spans="3:16" s="159" customFormat="1" x14ac:dyDescent="0.25">
      <c r="C213" s="611"/>
      <c r="D213" s="611"/>
      <c r="J213" s="266"/>
      <c r="M213" s="268"/>
      <c r="N213" s="157"/>
      <c r="O213" s="294"/>
      <c r="P213" s="294"/>
    </row>
    <row r="214" spans="3:16" s="159" customFormat="1" x14ac:dyDescent="0.25">
      <c r="C214" s="611"/>
      <c r="D214" s="611"/>
      <c r="J214" s="266"/>
      <c r="M214" s="268"/>
      <c r="N214" s="157"/>
      <c r="O214" s="294"/>
      <c r="P214" s="294"/>
    </row>
    <row r="215" spans="3:16" s="159" customFormat="1" x14ac:dyDescent="0.25">
      <c r="C215" s="611"/>
      <c r="D215" s="611"/>
      <c r="J215" s="266"/>
      <c r="M215" s="268"/>
      <c r="N215" s="157"/>
      <c r="O215" s="294"/>
      <c r="P215" s="294"/>
    </row>
    <row r="216" spans="3:16" s="159" customFormat="1" x14ac:dyDescent="0.25">
      <c r="C216" s="611"/>
      <c r="D216" s="611"/>
      <c r="J216" s="266"/>
      <c r="M216" s="268"/>
      <c r="N216" s="157"/>
      <c r="O216" s="294"/>
      <c r="P216" s="294"/>
    </row>
    <row r="217" spans="3:16" s="159" customFormat="1" x14ac:dyDescent="0.25">
      <c r="C217" s="611"/>
      <c r="D217" s="611"/>
      <c r="J217" s="266"/>
      <c r="M217" s="268"/>
      <c r="N217" s="157"/>
      <c r="O217" s="294"/>
      <c r="P217" s="294"/>
    </row>
    <row r="218" spans="3:16" s="159" customFormat="1" x14ac:dyDescent="0.25">
      <c r="C218" s="611"/>
      <c r="D218" s="611"/>
      <c r="J218" s="266"/>
      <c r="M218" s="268"/>
      <c r="N218" s="157"/>
      <c r="O218" s="294"/>
      <c r="P218" s="294"/>
    </row>
    <row r="219" spans="3:16" s="159" customFormat="1" x14ac:dyDescent="0.25">
      <c r="C219" s="611"/>
      <c r="D219" s="611"/>
      <c r="J219" s="266"/>
      <c r="M219" s="268"/>
      <c r="N219" s="157"/>
      <c r="O219" s="294"/>
      <c r="P219" s="294"/>
    </row>
    <row r="220" spans="3:16" s="159" customFormat="1" x14ac:dyDescent="0.25">
      <c r="C220" s="611"/>
      <c r="D220" s="611"/>
      <c r="J220" s="266"/>
      <c r="M220" s="268"/>
      <c r="N220" s="157"/>
      <c r="O220" s="294"/>
      <c r="P220" s="294"/>
    </row>
    <row r="221" spans="3:16" s="159" customFormat="1" x14ac:dyDescent="0.25">
      <c r="C221" s="611"/>
      <c r="D221" s="611"/>
      <c r="J221" s="266"/>
      <c r="M221" s="268"/>
      <c r="N221" s="157"/>
      <c r="O221" s="294"/>
      <c r="P221" s="294"/>
    </row>
    <row r="222" spans="3:16" s="159" customFormat="1" x14ac:dyDescent="0.25">
      <c r="C222" s="611"/>
      <c r="D222" s="611"/>
      <c r="J222" s="266"/>
      <c r="M222" s="268"/>
      <c r="N222" s="157"/>
      <c r="O222" s="294"/>
      <c r="P222" s="294"/>
    </row>
    <row r="223" spans="3:16" s="159" customFormat="1" x14ac:dyDescent="0.25">
      <c r="C223" s="611"/>
      <c r="D223" s="611"/>
      <c r="J223" s="266"/>
      <c r="M223" s="268"/>
      <c r="N223" s="157"/>
      <c r="O223" s="294"/>
      <c r="P223" s="294"/>
    </row>
    <row r="224" spans="3:16" s="159" customFormat="1" x14ac:dyDescent="0.25">
      <c r="C224" s="611"/>
      <c r="D224" s="611"/>
      <c r="J224" s="266"/>
      <c r="M224" s="268"/>
      <c r="N224" s="157"/>
      <c r="O224" s="294"/>
      <c r="P224" s="294"/>
    </row>
    <row r="225" spans="3:16" s="159" customFormat="1" x14ac:dyDescent="0.25">
      <c r="C225" s="611"/>
      <c r="D225" s="611"/>
      <c r="J225" s="266"/>
      <c r="M225" s="268"/>
      <c r="N225" s="157"/>
      <c r="O225" s="294"/>
      <c r="P225" s="294"/>
    </row>
    <row r="226" spans="3:16" s="159" customFormat="1" x14ac:dyDescent="0.25">
      <c r="C226" s="611"/>
      <c r="D226" s="611"/>
      <c r="J226" s="266"/>
      <c r="M226" s="268"/>
      <c r="N226" s="157"/>
      <c r="O226" s="294"/>
      <c r="P226" s="294"/>
    </row>
    <row r="227" spans="3:16" s="159" customFormat="1" x14ac:dyDescent="0.25">
      <c r="C227" s="611"/>
      <c r="D227" s="611"/>
      <c r="J227" s="266"/>
      <c r="M227" s="268"/>
      <c r="N227" s="157"/>
      <c r="O227" s="294"/>
      <c r="P227" s="294"/>
    </row>
    <row r="228" spans="3:16" s="159" customFormat="1" x14ac:dyDescent="0.25">
      <c r="C228" s="611"/>
      <c r="D228" s="611"/>
      <c r="J228" s="266"/>
      <c r="M228" s="268"/>
      <c r="N228" s="157"/>
      <c r="O228" s="294"/>
      <c r="P228" s="294"/>
    </row>
    <row r="229" spans="3:16" s="159" customFormat="1" x14ac:dyDescent="0.25">
      <c r="C229" s="611"/>
      <c r="D229" s="611"/>
      <c r="J229" s="266"/>
      <c r="M229" s="268"/>
      <c r="N229" s="157"/>
      <c r="O229" s="294"/>
      <c r="P229" s="294"/>
    </row>
    <row r="230" spans="3:16" s="159" customFormat="1" x14ac:dyDescent="0.25">
      <c r="C230" s="611"/>
      <c r="D230" s="611"/>
      <c r="J230" s="266"/>
      <c r="M230" s="268"/>
      <c r="N230" s="157"/>
      <c r="O230" s="294"/>
      <c r="P230" s="294"/>
    </row>
    <row r="231" spans="3:16" s="159" customFormat="1" x14ac:dyDescent="0.25">
      <c r="C231" s="611"/>
      <c r="D231" s="611"/>
      <c r="J231" s="266"/>
      <c r="M231" s="268"/>
      <c r="N231" s="157"/>
      <c r="O231" s="294"/>
      <c r="P231" s="294"/>
    </row>
    <row r="232" spans="3:16" s="159" customFormat="1" x14ac:dyDescent="0.25">
      <c r="C232" s="611"/>
      <c r="D232" s="611"/>
      <c r="J232" s="266"/>
      <c r="M232" s="268"/>
      <c r="N232" s="157"/>
      <c r="O232" s="294"/>
      <c r="P232" s="294"/>
    </row>
    <row r="233" spans="3:16" s="159" customFormat="1" x14ac:dyDescent="0.25">
      <c r="C233" s="611"/>
      <c r="D233" s="611"/>
      <c r="J233" s="266"/>
      <c r="M233" s="268"/>
      <c r="N233" s="157"/>
      <c r="O233" s="294"/>
      <c r="P233" s="294"/>
    </row>
    <row r="234" spans="3:16" s="159" customFormat="1" x14ac:dyDescent="0.25">
      <c r="C234" s="611"/>
      <c r="D234" s="611"/>
      <c r="J234" s="266"/>
      <c r="M234" s="268"/>
      <c r="N234" s="157"/>
      <c r="O234" s="294"/>
      <c r="P234" s="294"/>
    </row>
    <row r="235" spans="3:16" s="159" customFormat="1" x14ac:dyDescent="0.25">
      <c r="C235" s="611"/>
      <c r="D235" s="611"/>
      <c r="J235" s="266"/>
      <c r="M235" s="268"/>
      <c r="N235" s="157"/>
      <c r="O235" s="294"/>
      <c r="P235" s="294"/>
    </row>
    <row r="236" spans="3:16" s="159" customFormat="1" x14ac:dyDescent="0.25">
      <c r="C236" s="611"/>
      <c r="D236" s="611"/>
      <c r="J236" s="266"/>
      <c r="M236" s="268"/>
      <c r="N236" s="157"/>
      <c r="O236" s="294"/>
      <c r="P236" s="294"/>
    </row>
    <row r="237" spans="3:16" s="159" customFormat="1" x14ac:dyDescent="0.25">
      <c r="C237" s="611"/>
      <c r="D237" s="611"/>
      <c r="J237" s="266"/>
      <c r="M237" s="268"/>
      <c r="N237" s="157"/>
      <c r="O237" s="294"/>
      <c r="P237" s="294"/>
    </row>
    <row r="238" spans="3:16" s="159" customFormat="1" x14ac:dyDescent="0.25">
      <c r="C238" s="611"/>
      <c r="D238" s="611"/>
      <c r="J238" s="266"/>
      <c r="M238" s="268"/>
      <c r="N238" s="157"/>
      <c r="O238" s="294"/>
      <c r="P238" s="294"/>
    </row>
    <row r="239" spans="3:16" s="159" customFormat="1" x14ac:dyDescent="0.25">
      <c r="C239" s="611"/>
      <c r="D239" s="611"/>
      <c r="J239" s="266"/>
      <c r="M239" s="268"/>
      <c r="N239" s="157"/>
      <c r="O239" s="294"/>
      <c r="P239" s="294"/>
    </row>
    <row r="240" spans="3:16" s="159" customFormat="1" x14ac:dyDescent="0.25">
      <c r="C240" s="611"/>
      <c r="D240" s="611"/>
      <c r="J240" s="266"/>
      <c r="M240" s="268"/>
      <c r="N240" s="157"/>
      <c r="O240" s="294"/>
      <c r="P240" s="294"/>
    </row>
    <row r="241" spans="3:16" s="159" customFormat="1" x14ac:dyDescent="0.25">
      <c r="C241" s="611"/>
      <c r="D241" s="611"/>
      <c r="J241" s="266"/>
      <c r="M241" s="268"/>
      <c r="N241" s="157"/>
      <c r="O241" s="294"/>
      <c r="P241" s="294"/>
    </row>
    <row r="242" spans="3:16" s="159" customFormat="1" x14ac:dyDescent="0.25">
      <c r="C242" s="611"/>
      <c r="D242" s="611"/>
      <c r="J242" s="266"/>
      <c r="M242" s="268"/>
      <c r="N242" s="157"/>
      <c r="O242" s="294"/>
      <c r="P242" s="294"/>
    </row>
    <row r="243" spans="3:16" s="159" customFormat="1" x14ac:dyDescent="0.25">
      <c r="C243" s="611"/>
      <c r="D243" s="611"/>
      <c r="J243" s="266"/>
      <c r="M243" s="268"/>
      <c r="N243" s="157"/>
      <c r="O243" s="294"/>
      <c r="P243" s="294"/>
    </row>
    <row r="244" spans="3:16" s="159" customFormat="1" x14ac:dyDescent="0.25">
      <c r="C244" s="611"/>
      <c r="D244" s="611"/>
      <c r="J244" s="266"/>
      <c r="M244" s="268"/>
      <c r="N244" s="157"/>
      <c r="O244" s="294"/>
      <c r="P244" s="294"/>
    </row>
    <row r="245" spans="3:16" s="159" customFormat="1" x14ac:dyDescent="0.25">
      <c r="C245" s="611"/>
      <c r="D245" s="611"/>
      <c r="J245" s="266"/>
      <c r="M245" s="268"/>
      <c r="N245" s="157"/>
      <c r="O245" s="294"/>
      <c r="P245" s="294"/>
    </row>
    <row r="246" spans="3:16" s="159" customFormat="1" x14ac:dyDescent="0.25">
      <c r="C246" s="611"/>
      <c r="D246" s="611"/>
      <c r="J246" s="266"/>
      <c r="M246" s="268"/>
      <c r="N246" s="157"/>
      <c r="O246" s="294"/>
      <c r="P246" s="294"/>
    </row>
    <row r="247" spans="3:16" s="159" customFormat="1" x14ac:dyDescent="0.25">
      <c r="C247" s="611"/>
      <c r="D247" s="611"/>
      <c r="J247" s="266"/>
      <c r="M247" s="268"/>
      <c r="N247" s="157"/>
      <c r="O247" s="294"/>
      <c r="P247" s="294"/>
    </row>
    <row r="248" spans="3:16" s="159" customFormat="1" x14ac:dyDescent="0.25">
      <c r="C248" s="611"/>
      <c r="D248" s="611"/>
      <c r="J248" s="266"/>
      <c r="M248" s="268"/>
      <c r="N248" s="157"/>
      <c r="O248" s="294"/>
      <c r="P248" s="294"/>
    </row>
    <row r="249" spans="3:16" s="159" customFormat="1" x14ac:dyDescent="0.25">
      <c r="C249" s="611"/>
      <c r="D249" s="611"/>
      <c r="J249" s="266"/>
      <c r="M249" s="268"/>
      <c r="N249" s="157"/>
      <c r="O249" s="294"/>
      <c r="P249" s="294"/>
    </row>
    <row r="250" spans="3:16" s="159" customFormat="1" x14ac:dyDescent="0.25">
      <c r="C250" s="611"/>
      <c r="D250" s="611"/>
      <c r="J250" s="266"/>
      <c r="M250" s="268"/>
      <c r="N250" s="157"/>
      <c r="O250" s="294"/>
      <c r="P250" s="294"/>
    </row>
    <row r="251" spans="3:16" s="159" customFormat="1" x14ac:dyDescent="0.25">
      <c r="C251" s="611"/>
      <c r="D251" s="611"/>
      <c r="J251" s="266"/>
      <c r="M251" s="268"/>
      <c r="N251" s="157"/>
      <c r="O251" s="294"/>
      <c r="P251" s="294"/>
    </row>
    <row r="252" spans="3:16" s="159" customFormat="1" x14ac:dyDescent="0.25">
      <c r="C252" s="611"/>
      <c r="D252" s="611"/>
      <c r="J252" s="266"/>
      <c r="M252" s="268"/>
      <c r="N252" s="157"/>
      <c r="O252" s="294"/>
      <c r="P252" s="294"/>
    </row>
    <row r="253" spans="3:16" s="159" customFormat="1" x14ac:dyDescent="0.25">
      <c r="C253" s="611"/>
      <c r="D253" s="611"/>
      <c r="J253" s="266"/>
      <c r="M253" s="268"/>
      <c r="N253" s="157"/>
      <c r="O253" s="294"/>
      <c r="P253" s="294"/>
    </row>
    <row r="254" spans="3:16" s="159" customFormat="1" x14ac:dyDescent="0.25">
      <c r="C254" s="611"/>
      <c r="D254" s="611"/>
      <c r="J254" s="266"/>
      <c r="M254" s="268"/>
      <c r="N254" s="157"/>
      <c r="O254" s="294"/>
      <c r="P254" s="294"/>
    </row>
    <row r="255" spans="3:16" s="159" customFormat="1" x14ac:dyDescent="0.25">
      <c r="C255" s="611"/>
      <c r="D255" s="611"/>
      <c r="J255" s="266"/>
      <c r="M255" s="268"/>
      <c r="N255" s="157"/>
      <c r="O255" s="294"/>
      <c r="P255" s="294"/>
    </row>
    <row r="256" spans="3:16" s="159" customFormat="1" x14ac:dyDescent="0.25">
      <c r="C256" s="611"/>
      <c r="D256" s="611"/>
      <c r="J256" s="266"/>
      <c r="M256" s="268"/>
      <c r="N256" s="157"/>
      <c r="O256" s="294"/>
      <c r="P256" s="294"/>
    </row>
    <row r="257" spans="3:16" s="159" customFormat="1" x14ac:dyDescent="0.25">
      <c r="C257" s="611"/>
      <c r="D257" s="611"/>
      <c r="J257" s="266"/>
      <c r="M257" s="268"/>
      <c r="N257" s="157"/>
      <c r="O257" s="294"/>
      <c r="P257" s="294"/>
    </row>
    <row r="258" spans="3:16" s="159" customFormat="1" x14ac:dyDescent="0.25">
      <c r="C258" s="611"/>
      <c r="D258" s="611"/>
      <c r="J258" s="266"/>
      <c r="M258" s="268"/>
      <c r="N258" s="157"/>
      <c r="O258" s="294"/>
      <c r="P258" s="294"/>
    </row>
    <row r="259" spans="3:16" s="159" customFormat="1" x14ac:dyDescent="0.25">
      <c r="C259" s="611"/>
      <c r="D259" s="611"/>
      <c r="J259" s="266"/>
      <c r="M259" s="268"/>
      <c r="N259" s="157"/>
      <c r="O259" s="294"/>
      <c r="P259" s="294"/>
    </row>
    <row r="260" spans="3:16" s="159" customFormat="1" x14ac:dyDescent="0.25">
      <c r="C260" s="611"/>
      <c r="D260" s="611"/>
      <c r="J260" s="266"/>
      <c r="M260" s="268"/>
      <c r="N260" s="157"/>
      <c r="O260" s="294"/>
      <c r="P260" s="294"/>
    </row>
    <row r="261" spans="3:16" s="159" customFormat="1" x14ac:dyDescent="0.25">
      <c r="C261" s="611"/>
      <c r="D261" s="611"/>
      <c r="J261" s="266"/>
      <c r="M261" s="268"/>
      <c r="N261" s="157"/>
      <c r="O261" s="294"/>
      <c r="P261" s="294"/>
    </row>
    <row r="262" spans="3:16" s="159" customFormat="1" x14ac:dyDescent="0.25">
      <c r="C262" s="611"/>
      <c r="D262" s="611"/>
      <c r="J262" s="266"/>
      <c r="M262" s="268"/>
      <c r="N262" s="157"/>
      <c r="O262" s="294"/>
      <c r="P262" s="294"/>
    </row>
    <row r="263" spans="3:16" s="159" customFormat="1" x14ac:dyDescent="0.25">
      <c r="C263" s="611"/>
      <c r="D263" s="611"/>
      <c r="J263" s="266"/>
      <c r="M263" s="268"/>
      <c r="N263" s="157"/>
      <c r="O263" s="294"/>
      <c r="P263" s="294"/>
    </row>
    <row r="264" spans="3:16" s="159" customFormat="1" x14ac:dyDescent="0.25">
      <c r="C264" s="611"/>
      <c r="D264" s="611"/>
      <c r="J264" s="266"/>
      <c r="M264" s="268"/>
      <c r="N264" s="157"/>
      <c r="O264" s="294"/>
      <c r="P264" s="294"/>
    </row>
    <row r="265" spans="3:16" s="159" customFormat="1" x14ac:dyDescent="0.25">
      <c r="C265" s="611"/>
      <c r="D265" s="611"/>
      <c r="J265" s="266"/>
      <c r="M265" s="268"/>
      <c r="N265" s="157"/>
      <c r="O265" s="294"/>
      <c r="P265" s="294"/>
    </row>
    <row r="266" spans="3:16" s="159" customFormat="1" x14ac:dyDescent="0.25">
      <c r="C266" s="611"/>
      <c r="D266" s="611"/>
      <c r="J266" s="266"/>
      <c r="M266" s="268"/>
      <c r="N266" s="157"/>
      <c r="O266" s="294"/>
      <c r="P266" s="294"/>
    </row>
    <row r="267" spans="3:16" s="159" customFormat="1" x14ac:dyDescent="0.25">
      <c r="C267" s="611"/>
      <c r="D267" s="611"/>
      <c r="J267" s="266"/>
      <c r="M267" s="268"/>
      <c r="N267" s="157"/>
      <c r="O267" s="294"/>
      <c r="P267" s="294"/>
    </row>
    <row r="268" spans="3:16" s="159" customFormat="1" x14ac:dyDescent="0.25">
      <c r="C268" s="611"/>
      <c r="D268" s="611"/>
      <c r="J268" s="266"/>
      <c r="M268" s="268"/>
      <c r="N268" s="157"/>
      <c r="O268" s="294"/>
      <c r="P268" s="294"/>
    </row>
    <row r="269" spans="3:16" s="159" customFormat="1" x14ac:dyDescent="0.25">
      <c r="C269" s="611"/>
      <c r="D269" s="611"/>
      <c r="J269" s="266"/>
      <c r="M269" s="268"/>
      <c r="N269" s="157"/>
      <c r="O269" s="294"/>
      <c r="P269" s="294"/>
    </row>
    <row r="270" spans="3:16" s="159" customFormat="1" x14ac:dyDescent="0.25">
      <c r="C270" s="611"/>
      <c r="D270" s="611"/>
      <c r="J270" s="266"/>
      <c r="M270" s="268"/>
      <c r="N270" s="157"/>
      <c r="O270" s="294"/>
      <c r="P270" s="294"/>
    </row>
    <row r="271" spans="3:16" s="159" customFormat="1" x14ac:dyDescent="0.25">
      <c r="C271" s="611"/>
      <c r="D271" s="611"/>
      <c r="J271" s="266"/>
      <c r="M271" s="268"/>
      <c r="N271" s="157"/>
      <c r="O271" s="294"/>
      <c r="P271" s="294"/>
    </row>
    <row r="272" spans="3:16" s="159" customFormat="1" x14ac:dyDescent="0.25">
      <c r="C272" s="611"/>
      <c r="D272" s="611"/>
      <c r="J272" s="266"/>
      <c r="M272" s="268"/>
      <c r="N272" s="157"/>
      <c r="O272" s="294"/>
      <c r="P272" s="294"/>
    </row>
    <row r="273" spans="3:16" s="159" customFormat="1" x14ac:dyDescent="0.25">
      <c r="C273" s="611"/>
      <c r="D273" s="611"/>
      <c r="J273" s="266"/>
      <c r="M273" s="268"/>
      <c r="N273" s="157"/>
      <c r="O273" s="294"/>
      <c r="P273" s="294"/>
    </row>
    <row r="274" spans="3:16" s="159" customFormat="1" x14ac:dyDescent="0.25">
      <c r="C274" s="611"/>
      <c r="D274" s="611"/>
      <c r="J274" s="266"/>
      <c r="M274" s="268"/>
      <c r="N274" s="157"/>
      <c r="O274" s="294"/>
      <c r="P274" s="294"/>
    </row>
    <row r="275" spans="3:16" s="159" customFormat="1" x14ac:dyDescent="0.25">
      <c r="C275" s="611"/>
      <c r="D275" s="611"/>
      <c r="J275" s="266"/>
      <c r="M275" s="268"/>
      <c r="N275" s="157"/>
      <c r="O275" s="294"/>
      <c r="P275" s="294"/>
    </row>
    <row r="276" spans="3:16" s="159" customFormat="1" x14ac:dyDescent="0.25">
      <c r="C276" s="611"/>
      <c r="D276" s="611"/>
      <c r="J276" s="266"/>
      <c r="M276" s="268"/>
      <c r="N276" s="157"/>
      <c r="O276" s="294"/>
      <c r="P276" s="294"/>
    </row>
    <row r="277" spans="3:16" s="159" customFormat="1" x14ac:dyDescent="0.25">
      <c r="C277" s="611"/>
      <c r="D277" s="611"/>
      <c r="J277" s="266"/>
      <c r="M277" s="268"/>
      <c r="N277" s="157"/>
      <c r="O277" s="294"/>
      <c r="P277" s="294"/>
    </row>
    <row r="278" spans="3:16" s="159" customFormat="1" x14ac:dyDescent="0.25">
      <c r="C278" s="611"/>
      <c r="D278" s="611"/>
      <c r="J278" s="266"/>
      <c r="M278" s="268"/>
      <c r="N278" s="157"/>
      <c r="O278" s="294"/>
      <c r="P278" s="294"/>
    </row>
    <row r="279" spans="3:16" s="159" customFormat="1" x14ac:dyDescent="0.25">
      <c r="C279" s="611"/>
      <c r="D279" s="611"/>
      <c r="J279" s="266"/>
      <c r="M279" s="268"/>
      <c r="N279" s="157"/>
      <c r="O279" s="294"/>
      <c r="P279" s="294"/>
    </row>
  </sheetData>
  <mergeCells count="54">
    <mergeCell ref="Q9:Q10"/>
    <mergeCell ref="L9:L10"/>
    <mergeCell ref="M9:M10"/>
    <mergeCell ref="N9:N10"/>
    <mergeCell ref="O9:O10"/>
    <mergeCell ref="P9:P1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C25:F25"/>
    <mergeCell ref="G25:I25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52" fitToHeight="2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235"/>
  <sheetViews>
    <sheetView topLeftCell="A28" zoomScale="90" zoomScaleNormal="75" zoomScaleSheetLayoutView="90" zoomScalePageLayoutView="75" workbookViewId="0">
      <selection activeCell="A55" sqref="A55"/>
    </sheetView>
  </sheetViews>
  <sheetFormatPr defaultColWidth="9.33203125" defaultRowHeight="13.2" x14ac:dyDescent="0.25"/>
  <cols>
    <col min="1" max="1" width="12.33203125" style="157" bestFit="1" customWidth="1"/>
    <col min="2" max="2" width="42.6640625" style="157" customWidth="1"/>
    <col min="3" max="4" width="5" style="421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268" bestFit="1" customWidth="1"/>
    <col min="11" max="11" width="14.441406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75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502</v>
      </c>
      <c r="B10" s="505" t="s">
        <v>503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ht="15" x14ac:dyDescent="0.25">
      <c r="A11" s="196" t="s">
        <v>504</v>
      </c>
      <c r="B11" s="196" t="s">
        <v>505</v>
      </c>
      <c r="C11" s="362"/>
      <c r="D11" s="363" t="s">
        <v>21</v>
      </c>
      <c r="E11" s="247">
        <v>0</v>
      </c>
      <c r="F11" s="364">
        <f t="shared" ref="F11:F22" si="0">C11*E11</f>
        <v>0</v>
      </c>
      <c r="G11" s="509"/>
      <c r="H11" s="366">
        <v>0</v>
      </c>
      <c r="I11" s="364">
        <f t="shared" ref="I11:I22" si="1">G11*H11</f>
        <v>0</v>
      </c>
      <c r="J11" s="367"/>
      <c r="K11" s="510">
        <f t="shared" ref="K11:K22" si="2">F11+I11+J11</f>
        <v>0</v>
      </c>
      <c r="L11" s="369"/>
      <c r="M11" s="370"/>
      <c r="N11" s="371"/>
      <c r="O11" s="372"/>
      <c r="P11" s="373"/>
      <c r="Q11" s="374"/>
    </row>
    <row r="12" spans="1:17" x14ac:dyDescent="0.25">
      <c r="A12" s="361"/>
      <c r="B12" s="5"/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/>
      <c r="M12" s="370"/>
      <c r="N12" s="371"/>
      <c r="O12" s="372"/>
      <c r="P12" s="373"/>
      <c r="Q12" s="374"/>
    </row>
    <row r="13" spans="1:17" x14ac:dyDescent="0.25">
      <c r="A13" s="361"/>
      <c r="B13" s="5"/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/>
      <c r="M13" s="370"/>
      <c r="N13" s="371"/>
      <c r="O13" s="372"/>
      <c r="P13" s="373"/>
      <c r="Q13" s="374"/>
    </row>
    <row r="14" spans="1:17" x14ac:dyDescent="0.25">
      <c r="A14" s="361"/>
      <c r="B14" s="5"/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6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75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75"/>
      <c r="B17" s="5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157"/>
      <c r="M17" s="449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157"/>
      <c r="M18" s="449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515"/>
      <c r="M19" s="531"/>
      <c r="N19" s="516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517"/>
      <c r="M20" s="444"/>
      <c r="N20" s="518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157"/>
      <c r="M21" s="449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157"/>
      <c r="M22" s="449"/>
      <c r="O22" s="372"/>
      <c r="P22" s="373"/>
      <c r="Q22" s="374"/>
    </row>
    <row r="23" spans="1:17" ht="13.8" thickBot="1" x14ac:dyDescent="0.3">
      <c r="A23" s="378"/>
      <c r="B23" s="7"/>
      <c r="C23" s="379"/>
      <c r="D23" s="363"/>
      <c r="E23" s="247"/>
      <c r="F23" s="364"/>
      <c r="G23" s="509"/>
      <c r="H23" s="366"/>
      <c r="I23" s="364"/>
      <c r="J23" s="367"/>
      <c r="K23" s="510"/>
      <c r="L23" s="157"/>
      <c r="M23" s="449"/>
      <c r="O23" s="372"/>
      <c r="P23" s="373"/>
      <c r="Q23" s="374"/>
    </row>
    <row r="24" spans="1:17" ht="13.8" thickTop="1" x14ac:dyDescent="0.25">
      <c r="A24" s="378"/>
      <c r="B24" s="7"/>
      <c r="C24" s="379"/>
      <c r="D24" s="363"/>
      <c r="E24" s="247"/>
      <c r="F24" s="364"/>
      <c r="G24" s="509"/>
      <c r="H24" s="366"/>
      <c r="I24" s="364"/>
      <c r="J24" s="380" t="s">
        <v>30</v>
      </c>
      <c r="K24" s="511">
        <f>SUM(K11:K23)</f>
        <v>0</v>
      </c>
      <c r="L24" s="157"/>
      <c r="M24" s="449"/>
      <c r="O24" s="372"/>
      <c r="P24" s="373"/>
      <c r="Q24" s="374"/>
    </row>
    <row r="25" spans="1:17" ht="13.8" thickBot="1" x14ac:dyDescent="0.3">
      <c r="A25" s="344" t="s">
        <v>0</v>
      </c>
      <c r="B25" s="345" t="s">
        <v>1</v>
      </c>
      <c r="C25" s="1028" t="s">
        <v>646</v>
      </c>
      <c r="D25" s="1028"/>
      <c r="E25" s="1028"/>
      <c r="F25" s="1028"/>
      <c r="G25" s="1028" t="s">
        <v>34</v>
      </c>
      <c r="H25" s="1028"/>
      <c r="I25" s="1028"/>
      <c r="J25" s="346"/>
      <c r="K25" s="503"/>
      <c r="L25" s="382"/>
      <c r="M25" s="383"/>
      <c r="N25" s="384"/>
      <c r="O25" s="372"/>
      <c r="P25" s="373"/>
      <c r="Q25" s="374"/>
    </row>
    <row r="26" spans="1:17" ht="16.2" thickBot="1" x14ac:dyDescent="0.35">
      <c r="A26" s="505" t="s">
        <v>506</v>
      </c>
      <c r="B26" s="505" t="s">
        <v>507</v>
      </c>
      <c r="C26" s="387" t="s">
        <v>19</v>
      </c>
      <c r="D26" s="388" t="s">
        <v>33</v>
      </c>
      <c r="E26" s="389" t="s">
        <v>35</v>
      </c>
      <c r="F26" s="390" t="s">
        <v>30</v>
      </c>
      <c r="G26" s="512" t="s">
        <v>14</v>
      </c>
      <c r="H26" s="389" t="s">
        <v>35</v>
      </c>
      <c r="I26" s="390" t="s">
        <v>30</v>
      </c>
      <c r="J26" s="355" t="s">
        <v>649</v>
      </c>
      <c r="K26" s="513" t="s">
        <v>38</v>
      </c>
      <c r="L26" s="393"/>
      <c r="M26" s="394"/>
      <c r="N26" s="395"/>
      <c r="O26" s="372"/>
      <c r="P26" s="373"/>
      <c r="Q26" s="374"/>
    </row>
    <row r="27" spans="1:17" s="159" customFormat="1" x14ac:dyDescent="0.25">
      <c r="A27" s="396"/>
      <c r="B27" s="397"/>
      <c r="C27" s="362"/>
      <c r="D27" s="363" t="s">
        <v>21</v>
      </c>
      <c r="E27" s="247">
        <v>0</v>
      </c>
      <c r="F27" s="364">
        <f t="shared" ref="F27:F33" si="3">C27*E27</f>
        <v>0</v>
      </c>
      <c r="G27" s="509"/>
      <c r="H27" s="366">
        <v>0</v>
      </c>
      <c r="I27" s="364">
        <f t="shared" ref="I27:I33" si="4">G27*H27</f>
        <v>0</v>
      </c>
      <c r="J27" s="367"/>
      <c r="K27" s="510">
        <f t="shared" ref="K27:K33" si="5">F27+I27+J27</f>
        <v>0</v>
      </c>
      <c r="M27" s="266"/>
      <c r="O27" s="372"/>
      <c r="P27" s="373"/>
      <c r="Q27" s="374"/>
    </row>
    <row r="28" spans="1:17" s="159" customFormat="1" x14ac:dyDescent="0.25">
      <c r="A28" s="361"/>
      <c r="B28" s="5"/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M28" s="268"/>
      <c r="N28" s="157"/>
      <c r="O28" s="372"/>
      <c r="P28" s="373"/>
      <c r="Q28" s="374"/>
    </row>
    <row r="29" spans="1:17" s="159" customFormat="1" x14ac:dyDescent="0.25">
      <c r="A29" s="361"/>
      <c r="B29" s="5"/>
      <c r="C29" s="362"/>
      <c r="D29" s="363" t="s">
        <v>21</v>
      </c>
      <c r="E29" s="247">
        <v>0</v>
      </c>
      <c r="F29" s="364">
        <f t="shared" si="3"/>
        <v>0</v>
      </c>
      <c r="G29" s="509"/>
      <c r="H29" s="366">
        <v>0</v>
      </c>
      <c r="I29" s="364">
        <f t="shared" si="4"/>
        <v>0</v>
      </c>
      <c r="J29" s="367"/>
      <c r="K29" s="510">
        <f t="shared" si="5"/>
        <v>0</v>
      </c>
      <c r="L29" s="369"/>
      <c r="M29" s="370"/>
      <c r="N29" s="371"/>
      <c r="O29" s="372"/>
      <c r="P29" s="373"/>
      <c r="Q29" s="374"/>
    </row>
    <row r="30" spans="1:17" s="159" customFormat="1" x14ac:dyDescent="0.25">
      <c r="A30" s="361"/>
      <c r="B30" s="5"/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372"/>
      <c r="P30" s="373"/>
      <c r="Q30" s="374"/>
    </row>
    <row r="31" spans="1:17" s="159" customFormat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L31" s="515"/>
      <c r="M31" s="531"/>
      <c r="N31" s="516"/>
      <c r="O31" s="372"/>
      <c r="P31" s="373"/>
      <c r="Q31" s="374"/>
    </row>
    <row r="32" spans="1:17" s="159" customFormat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M32" s="266"/>
      <c r="O32" s="372"/>
      <c r="P32" s="373"/>
      <c r="Q32" s="374"/>
    </row>
    <row r="33" spans="1:17" s="159" customFormat="1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M33" s="266"/>
      <c r="O33" s="372"/>
      <c r="P33" s="373"/>
      <c r="Q33" s="374"/>
    </row>
    <row r="34" spans="1:17" s="159" customFormat="1" ht="13.8" thickBot="1" x14ac:dyDescent="0.3">
      <c r="A34" s="361"/>
      <c r="B34" s="5"/>
      <c r="C34" s="379"/>
      <c r="D34" s="363"/>
      <c r="E34" s="247"/>
      <c r="F34" s="364"/>
      <c r="G34" s="509"/>
      <c r="H34" s="366"/>
      <c r="I34" s="364"/>
      <c r="J34" s="367"/>
      <c r="K34" s="514"/>
      <c r="L34" s="157"/>
      <c r="M34" s="449"/>
      <c r="N34" s="157"/>
      <c r="O34" s="372"/>
      <c r="P34" s="373"/>
      <c r="Q34" s="374"/>
    </row>
    <row r="35" spans="1:17" s="159" customFormat="1" ht="13.8" thickTop="1" x14ac:dyDescent="0.25">
      <c r="A35" s="378"/>
      <c r="B35" s="5"/>
      <c r="C35" s="379"/>
      <c r="D35" s="363"/>
      <c r="E35" s="247"/>
      <c r="F35" s="364"/>
      <c r="G35" s="509"/>
      <c r="H35" s="366"/>
      <c r="I35" s="364"/>
      <c r="J35" s="380" t="s">
        <v>30</v>
      </c>
      <c r="K35" s="511">
        <f>SUM(K27:K34)</f>
        <v>0</v>
      </c>
      <c r="L35" s="369"/>
      <c r="M35" s="370"/>
      <c r="N35" s="371"/>
      <c r="O35" s="372"/>
      <c r="P35" s="373"/>
      <c r="Q35" s="374"/>
    </row>
    <row r="36" spans="1:17" s="159" customFormat="1" ht="13.8" thickBot="1" x14ac:dyDescent="0.3">
      <c r="A36" s="344" t="s">
        <v>0</v>
      </c>
      <c r="B36" s="345" t="s">
        <v>1</v>
      </c>
      <c r="C36" s="1028" t="s">
        <v>646</v>
      </c>
      <c r="D36" s="1028"/>
      <c r="E36" s="1028"/>
      <c r="F36" s="1028"/>
      <c r="G36" s="1028" t="s">
        <v>34</v>
      </c>
      <c r="H36" s="1028"/>
      <c r="I36" s="1028"/>
      <c r="J36" s="346"/>
      <c r="K36" s="503"/>
      <c r="L36" s="382"/>
      <c r="M36" s="383"/>
      <c r="N36" s="384"/>
      <c r="O36" s="372"/>
      <c r="P36" s="373"/>
      <c r="Q36" s="374"/>
    </row>
    <row r="37" spans="1:17" s="159" customFormat="1" ht="16.2" thickBot="1" x14ac:dyDescent="0.35">
      <c r="A37" s="505" t="s">
        <v>508</v>
      </c>
      <c r="B37" s="505" t="s">
        <v>509</v>
      </c>
      <c r="C37" s="387" t="s">
        <v>19</v>
      </c>
      <c r="D37" s="388" t="s">
        <v>33</v>
      </c>
      <c r="E37" s="389" t="s">
        <v>35</v>
      </c>
      <c r="F37" s="390" t="s">
        <v>30</v>
      </c>
      <c r="G37" s="512" t="s">
        <v>14</v>
      </c>
      <c r="H37" s="389" t="s">
        <v>35</v>
      </c>
      <c r="I37" s="390" t="s">
        <v>30</v>
      </c>
      <c r="J37" s="355" t="s">
        <v>649</v>
      </c>
      <c r="K37" s="513" t="s">
        <v>38</v>
      </c>
      <c r="L37" s="393"/>
      <c r="M37" s="399"/>
      <c r="N37" s="400"/>
      <c r="O37" s="401"/>
      <c r="P37" s="402"/>
      <c r="Q37" s="374"/>
    </row>
    <row r="38" spans="1:17" s="159" customFormat="1" x14ac:dyDescent="0.25">
      <c r="A38" s="396"/>
      <c r="B38" s="397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370"/>
      <c r="N38" s="371"/>
      <c r="O38" s="401"/>
      <c r="P38" s="402"/>
      <c r="Q38" s="374"/>
    </row>
    <row r="39" spans="1:17" s="159" customFormat="1" x14ac:dyDescent="0.25">
      <c r="A39" s="361"/>
      <c r="B39" s="5"/>
      <c r="C39" s="362"/>
      <c r="D39" s="363" t="s">
        <v>21</v>
      </c>
      <c r="E39" s="247">
        <v>0</v>
      </c>
      <c r="F39" s="364">
        <f>C39*E39</f>
        <v>0</v>
      </c>
      <c r="G39" s="509"/>
      <c r="H39" s="366">
        <v>0</v>
      </c>
      <c r="I39" s="364">
        <f>G39*H39</f>
        <v>0</v>
      </c>
      <c r="J39" s="367"/>
      <c r="K39" s="510">
        <f>F39+I39+J39</f>
        <v>0</v>
      </c>
      <c r="M39" s="266"/>
      <c r="O39" s="401"/>
      <c r="P39" s="402"/>
      <c r="Q39" s="374"/>
    </row>
    <row r="40" spans="1:17" s="159" customFormat="1" x14ac:dyDescent="0.25">
      <c r="A40" s="361"/>
      <c r="B40" s="5"/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M40" s="266"/>
      <c r="O40" s="401"/>
      <c r="P40" s="402"/>
      <c r="Q40" s="374"/>
    </row>
    <row r="41" spans="1:17" s="159" customFormat="1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67"/>
      <c r="K41" s="514"/>
      <c r="L41" s="369"/>
      <c r="M41" s="370"/>
      <c r="N41" s="371"/>
      <c r="O41" s="401"/>
      <c r="P41" s="402"/>
      <c r="Q41" s="374"/>
    </row>
    <row r="42" spans="1:17" s="159" customFormat="1" ht="13.8" thickBot="1" x14ac:dyDescent="0.3">
      <c r="A42" s="378"/>
      <c r="B42" s="403"/>
      <c r="C42" s="379"/>
      <c r="D42" s="363"/>
      <c r="E42" s="247"/>
      <c r="F42" s="364"/>
      <c r="G42" s="509"/>
      <c r="H42" s="366"/>
      <c r="I42" s="364"/>
      <c r="J42" s="367"/>
      <c r="K42" s="514"/>
      <c r="M42" s="268"/>
      <c r="N42" s="157"/>
      <c r="O42" s="401"/>
      <c r="P42" s="402"/>
      <c r="Q42" s="374"/>
    </row>
    <row r="43" spans="1:17" s="159" customFormat="1" ht="13.8" thickTop="1" x14ac:dyDescent="0.25">
      <c r="A43" s="378"/>
      <c r="B43" s="403"/>
      <c r="C43" s="379"/>
      <c r="D43" s="363"/>
      <c r="E43" s="247"/>
      <c r="F43" s="364"/>
      <c r="G43" s="509"/>
      <c r="H43" s="366"/>
      <c r="I43" s="364"/>
      <c r="J43" s="380" t="s">
        <v>30</v>
      </c>
      <c r="K43" s="511">
        <f>SUM(K38:K42)</f>
        <v>0</v>
      </c>
      <c r="M43" s="268"/>
      <c r="N43" s="157"/>
      <c r="O43" s="372"/>
      <c r="P43" s="373"/>
      <c r="Q43" s="374"/>
    </row>
    <row r="44" spans="1:17" s="159" customFormat="1" ht="13.8" thickBot="1" x14ac:dyDescent="0.3">
      <c r="A44" s="344" t="s">
        <v>0</v>
      </c>
      <c r="B44" s="345" t="s">
        <v>1</v>
      </c>
      <c r="C44" s="1028" t="s">
        <v>646</v>
      </c>
      <c r="D44" s="1028"/>
      <c r="E44" s="1028"/>
      <c r="F44" s="1028"/>
      <c r="G44" s="1028" t="s">
        <v>34</v>
      </c>
      <c r="H44" s="1028"/>
      <c r="I44" s="1028"/>
      <c r="J44" s="346"/>
      <c r="K44" s="503"/>
      <c r="L44" s="382"/>
      <c r="M44" s="383"/>
      <c r="N44" s="384"/>
      <c r="O44" s="372"/>
      <c r="P44" s="373"/>
      <c r="Q44" s="374"/>
    </row>
    <row r="45" spans="1:17" s="159" customFormat="1" ht="15.6" x14ac:dyDescent="0.3">
      <c r="A45" s="505" t="s">
        <v>510</v>
      </c>
      <c r="B45" s="505" t="s">
        <v>512</v>
      </c>
      <c r="C45" s="387" t="s">
        <v>19</v>
      </c>
      <c r="D45" s="388" t="s">
        <v>33</v>
      </c>
      <c r="E45" s="389" t="s">
        <v>35</v>
      </c>
      <c r="F45" s="390" t="s">
        <v>30</v>
      </c>
      <c r="G45" s="512" t="s">
        <v>14</v>
      </c>
      <c r="H45" s="389" t="s">
        <v>35</v>
      </c>
      <c r="I45" s="390" t="s">
        <v>30</v>
      </c>
      <c r="J45" s="355" t="s">
        <v>649</v>
      </c>
      <c r="K45" s="513" t="s">
        <v>38</v>
      </c>
      <c r="L45" s="393"/>
      <c r="M45" s="399"/>
      <c r="N45" s="400"/>
      <c r="O45" s="372"/>
      <c r="P45" s="402"/>
      <c r="Q45" s="374"/>
    </row>
    <row r="46" spans="1:17" s="159" customFormat="1" ht="15" x14ac:dyDescent="0.25">
      <c r="A46" s="758" t="s">
        <v>511</v>
      </c>
      <c r="B46" s="758" t="s">
        <v>513</v>
      </c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409"/>
      <c r="O46" s="372"/>
      <c r="P46" s="373"/>
      <c r="Q46" s="374"/>
    </row>
    <row r="47" spans="1:17" s="159" customFormat="1" x14ac:dyDescent="0.25">
      <c r="A47" s="361"/>
      <c r="B47" s="5"/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515"/>
      <c r="M47" s="531"/>
      <c r="N47" s="516"/>
      <c r="O47" s="372"/>
      <c r="P47" s="373"/>
      <c r="Q47" s="374"/>
    </row>
    <row r="48" spans="1:17" s="159" customFormat="1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517"/>
      <c r="M48" s="249"/>
      <c r="N48" s="409"/>
      <c r="O48" s="372"/>
      <c r="P48" s="373"/>
      <c r="Q48" s="374"/>
    </row>
    <row r="49" spans="1:17" s="159" customFormat="1" x14ac:dyDescent="0.25">
      <c r="A49" s="361"/>
      <c r="B49" s="5"/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620"/>
      <c r="M49" s="249"/>
      <c r="N49" s="409"/>
      <c r="O49" s="372"/>
      <c r="P49" s="373"/>
      <c r="Q49" s="374"/>
    </row>
    <row r="50" spans="1:17" s="159" customFormat="1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409"/>
      <c r="O50" s="372"/>
      <c r="P50" s="373"/>
      <c r="Q50" s="374"/>
    </row>
    <row r="51" spans="1:17" s="159" customFormat="1" ht="13.8" thickBot="1" x14ac:dyDescent="0.3">
      <c r="A51" s="378"/>
      <c r="B51" s="403"/>
      <c r="C51" s="379"/>
      <c r="D51" s="363"/>
      <c r="E51" s="247"/>
      <c r="F51" s="364"/>
      <c r="G51" s="509"/>
      <c r="H51" s="366"/>
      <c r="I51" s="364"/>
      <c r="J51" s="367"/>
      <c r="K51" s="514"/>
      <c r="L51" s="369"/>
      <c r="M51" s="249"/>
      <c r="N51" s="371"/>
      <c r="O51" s="372"/>
      <c r="P51" s="373"/>
      <c r="Q51" s="374"/>
    </row>
    <row r="52" spans="1:17" s="159" customFormat="1" ht="14.4" thickTop="1" thickBot="1" x14ac:dyDescent="0.3">
      <c r="A52" s="378"/>
      <c r="B52" s="403"/>
      <c r="C52" s="379"/>
      <c r="D52" s="363"/>
      <c r="E52" s="247"/>
      <c r="F52" s="364"/>
      <c r="G52" s="509"/>
      <c r="H52" s="366"/>
      <c r="I52" s="364"/>
      <c r="J52" s="380" t="s">
        <v>30</v>
      </c>
      <c r="K52" s="511">
        <f>SUM(K46:K51)</f>
        <v>0</v>
      </c>
      <c r="L52" s="635"/>
      <c r="M52" s="636"/>
      <c r="N52" s="542"/>
      <c r="O52" s="637"/>
      <c r="P52" s="638"/>
      <c r="Q52" s="443"/>
    </row>
    <row r="53" spans="1:17" s="159" customFormat="1" ht="14.1" customHeight="1" thickTop="1" x14ac:dyDescent="0.25">
      <c r="A53" s="458"/>
      <c r="B53" s="459"/>
      <c r="C53" s="460"/>
      <c r="D53" s="460"/>
      <c r="E53" s="461"/>
      <c r="F53" s="1038" t="s">
        <v>648</v>
      </c>
      <c r="G53" s="1040" t="s">
        <v>673</v>
      </c>
      <c r="H53" s="461"/>
      <c r="I53" s="1042" t="s">
        <v>647</v>
      </c>
      <c r="J53" s="1044" t="s">
        <v>674</v>
      </c>
      <c r="K53" s="1121" t="s">
        <v>31</v>
      </c>
      <c r="M53" s="268"/>
      <c r="N53" s="157"/>
      <c r="O53" s="294"/>
      <c r="P53" s="294"/>
    </row>
    <row r="54" spans="1:17" s="159" customFormat="1" ht="14.1" customHeight="1" x14ac:dyDescent="0.25">
      <c r="A54" s="462" t="s">
        <v>32</v>
      </c>
      <c r="B54" s="1031" t="s">
        <v>662</v>
      </c>
      <c r="C54" s="463"/>
      <c r="D54" s="464"/>
      <c r="E54" s="464"/>
      <c r="F54" s="1039"/>
      <c r="G54" s="1041"/>
      <c r="H54" s="465"/>
      <c r="I54" s="1043"/>
      <c r="J54" s="1045"/>
      <c r="K54" s="1122"/>
      <c r="M54" s="268"/>
      <c r="N54" s="157"/>
      <c r="O54" s="294"/>
      <c r="P54" s="294"/>
    </row>
    <row r="55" spans="1:17" s="159" customFormat="1" ht="13.8" x14ac:dyDescent="0.25">
      <c r="A55" s="466">
        <f>K55/E6</f>
        <v>0</v>
      </c>
      <c r="B55" s="1031"/>
      <c r="C55" s="464"/>
      <c r="D55" s="464"/>
      <c r="E55" s="464"/>
      <c r="F55" s="1032">
        <f>SUM(F46:F51,F38:F42,F27:F34,F11:F23)</f>
        <v>0</v>
      </c>
      <c r="G55" s="1251">
        <f>SUM(G46:G51,G38:G42,G27:G34,G11:G23)</f>
        <v>0</v>
      </c>
      <c r="H55" s="465"/>
      <c r="I55" s="1032">
        <f>SUM(I46:I51,I38:I42,I27:I34,I11:I23)</f>
        <v>0</v>
      </c>
      <c r="J55" s="1032">
        <f>SUM(J46:J51,J38:J42,J27:J34,J11:J23)</f>
        <v>0</v>
      </c>
      <c r="K55" s="1119">
        <f>K52+K43+K35+K24</f>
        <v>0</v>
      </c>
      <c r="M55" s="268"/>
      <c r="N55" s="157"/>
      <c r="O55" s="294"/>
      <c r="P55" s="294"/>
    </row>
    <row r="56" spans="1:17" s="159" customFormat="1" ht="13.8" x14ac:dyDescent="0.25">
      <c r="A56" s="462"/>
      <c r="B56" s="529"/>
      <c r="C56" s="529"/>
      <c r="D56" s="529"/>
      <c r="E56" s="529"/>
      <c r="F56" s="1032"/>
      <c r="G56" s="1034"/>
      <c r="H56" s="529"/>
      <c r="I56" s="1032"/>
      <c r="J56" s="1032"/>
      <c r="K56" s="1119"/>
      <c r="M56" s="268"/>
      <c r="N56" s="157"/>
      <c r="O56" s="294"/>
      <c r="P56" s="294"/>
    </row>
    <row r="57" spans="1:17" s="159" customFormat="1" ht="13.8" thickBot="1" x14ac:dyDescent="0.3">
      <c r="A57" s="469"/>
      <c r="B57" s="470"/>
      <c r="C57" s="470"/>
      <c r="D57" s="470"/>
      <c r="E57" s="470"/>
      <c r="F57" s="470"/>
      <c r="G57" s="470"/>
      <c r="H57" s="470"/>
      <c r="I57" s="470"/>
      <c r="J57" s="470"/>
      <c r="K57" s="471"/>
      <c r="M57" s="268"/>
      <c r="N57" s="157"/>
      <c r="O57" s="294"/>
      <c r="P57" s="294"/>
    </row>
    <row r="58" spans="1:17" s="159" customFormat="1" x14ac:dyDescent="0.25">
      <c r="C58" s="611"/>
      <c r="D58" s="611"/>
      <c r="J58" s="266"/>
      <c r="M58" s="268"/>
      <c r="N58" s="157"/>
      <c r="O58" s="294"/>
      <c r="P58" s="294"/>
    </row>
    <row r="59" spans="1:17" s="159" customFormat="1" x14ac:dyDescent="0.25">
      <c r="C59" s="611"/>
      <c r="D59" s="611"/>
      <c r="J59" s="266"/>
      <c r="M59" s="268"/>
      <c r="N59" s="157"/>
      <c r="O59" s="294"/>
      <c r="P59" s="294"/>
    </row>
    <row r="60" spans="1:17" s="159" customFormat="1" x14ac:dyDescent="0.25">
      <c r="C60" s="611"/>
      <c r="D60" s="611"/>
      <c r="J60" s="266"/>
      <c r="M60" s="268"/>
      <c r="N60" s="157"/>
      <c r="O60" s="294"/>
      <c r="P60" s="294"/>
    </row>
    <row r="61" spans="1:17" s="159" customFormat="1" x14ac:dyDescent="0.25">
      <c r="C61" s="611"/>
      <c r="D61" s="611"/>
      <c r="J61" s="266"/>
      <c r="M61" s="268"/>
      <c r="N61" s="157"/>
      <c r="O61" s="294"/>
      <c r="P61" s="294"/>
    </row>
    <row r="62" spans="1:17" s="159" customFormat="1" x14ac:dyDescent="0.25">
      <c r="C62" s="611"/>
      <c r="D62" s="611"/>
      <c r="J62" s="266"/>
      <c r="M62" s="268"/>
      <c r="N62" s="157"/>
      <c r="O62" s="294"/>
      <c r="P62" s="294"/>
    </row>
    <row r="63" spans="1:17" s="159" customFormat="1" x14ac:dyDescent="0.25">
      <c r="C63" s="611"/>
      <c r="D63" s="611"/>
      <c r="J63" s="266"/>
      <c r="M63" s="268"/>
      <c r="N63" s="157"/>
      <c r="O63" s="294"/>
      <c r="P63" s="294"/>
    </row>
    <row r="64" spans="1:17" s="159" customFormat="1" x14ac:dyDescent="0.25">
      <c r="C64" s="611"/>
      <c r="D64" s="611"/>
      <c r="J64" s="266"/>
      <c r="M64" s="268"/>
      <c r="N64" s="157"/>
      <c r="O64" s="294"/>
      <c r="P64" s="294"/>
    </row>
    <row r="65" spans="3:16" s="159" customFormat="1" x14ac:dyDescent="0.25">
      <c r="C65" s="611"/>
      <c r="D65" s="611"/>
      <c r="J65" s="266"/>
      <c r="M65" s="268"/>
      <c r="N65" s="157"/>
      <c r="O65" s="294"/>
      <c r="P65" s="294"/>
    </row>
    <row r="66" spans="3:16" s="159" customFormat="1" x14ac:dyDescent="0.25">
      <c r="C66" s="611"/>
      <c r="D66" s="611"/>
      <c r="J66" s="266"/>
      <c r="M66" s="268"/>
      <c r="N66" s="157"/>
      <c r="O66" s="294"/>
      <c r="P66" s="294"/>
    </row>
    <row r="67" spans="3:16" s="159" customFormat="1" x14ac:dyDescent="0.25">
      <c r="C67" s="611"/>
      <c r="D67" s="611"/>
      <c r="J67" s="266"/>
      <c r="M67" s="268"/>
      <c r="N67" s="157"/>
      <c r="O67" s="294"/>
      <c r="P67" s="294"/>
    </row>
    <row r="68" spans="3:16" s="159" customFormat="1" x14ac:dyDescent="0.25">
      <c r="C68" s="611"/>
      <c r="D68" s="611"/>
      <c r="J68" s="266"/>
      <c r="M68" s="268"/>
      <c r="N68" s="157"/>
      <c r="O68" s="294"/>
      <c r="P68" s="294"/>
    </row>
    <row r="69" spans="3:16" s="159" customFormat="1" x14ac:dyDescent="0.25">
      <c r="C69" s="611"/>
      <c r="D69" s="611"/>
      <c r="J69" s="266"/>
      <c r="M69" s="268"/>
      <c r="N69" s="157"/>
      <c r="O69" s="294"/>
      <c r="P69" s="294"/>
    </row>
    <row r="70" spans="3:16" s="159" customFormat="1" x14ac:dyDescent="0.25">
      <c r="C70" s="611"/>
      <c r="D70" s="611"/>
      <c r="J70" s="266"/>
      <c r="M70" s="268"/>
      <c r="N70" s="157"/>
      <c r="O70" s="294"/>
      <c r="P70" s="294"/>
    </row>
    <row r="71" spans="3:16" s="159" customFormat="1" x14ac:dyDescent="0.25">
      <c r="C71" s="611"/>
      <c r="D71" s="611"/>
      <c r="J71" s="266"/>
      <c r="M71" s="268"/>
      <c r="N71" s="157"/>
      <c r="O71" s="294"/>
      <c r="P71" s="294"/>
    </row>
    <row r="72" spans="3:16" s="159" customFormat="1" x14ac:dyDescent="0.25">
      <c r="C72" s="611"/>
      <c r="D72" s="611"/>
      <c r="J72" s="266"/>
      <c r="M72" s="268"/>
      <c r="N72" s="157"/>
      <c r="O72" s="294"/>
      <c r="P72" s="294"/>
    </row>
    <row r="73" spans="3:16" s="159" customFormat="1" x14ac:dyDescent="0.25">
      <c r="C73" s="611"/>
      <c r="D73" s="611"/>
      <c r="J73" s="266"/>
      <c r="M73" s="268"/>
      <c r="N73" s="157"/>
      <c r="O73" s="294"/>
      <c r="P73" s="294"/>
    </row>
    <row r="74" spans="3:16" s="159" customFormat="1" x14ac:dyDescent="0.25">
      <c r="C74" s="611"/>
      <c r="D74" s="611"/>
      <c r="J74" s="266"/>
      <c r="M74" s="268"/>
      <c r="N74" s="157"/>
      <c r="O74" s="294"/>
      <c r="P74" s="294"/>
    </row>
    <row r="75" spans="3:16" s="159" customFormat="1" x14ac:dyDescent="0.25">
      <c r="C75" s="611"/>
      <c r="D75" s="611"/>
      <c r="J75" s="266"/>
      <c r="M75" s="268"/>
      <c r="N75" s="157"/>
      <c r="O75" s="294"/>
      <c r="P75" s="294"/>
    </row>
    <row r="76" spans="3:16" s="159" customFormat="1" x14ac:dyDescent="0.25">
      <c r="C76" s="611"/>
      <c r="D76" s="611"/>
      <c r="J76" s="266"/>
      <c r="M76" s="268"/>
      <c r="N76" s="157"/>
      <c r="O76" s="294"/>
      <c r="P76" s="294"/>
    </row>
    <row r="77" spans="3:16" s="159" customFormat="1" x14ac:dyDescent="0.25">
      <c r="C77" s="611"/>
      <c r="D77" s="611"/>
      <c r="J77" s="266"/>
      <c r="M77" s="268"/>
      <c r="N77" s="157"/>
      <c r="O77" s="294"/>
      <c r="P77" s="294"/>
    </row>
    <row r="78" spans="3:16" s="159" customFormat="1" x14ac:dyDescent="0.25">
      <c r="C78" s="611"/>
      <c r="D78" s="611"/>
      <c r="J78" s="266"/>
      <c r="M78" s="268"/>
      <c r="N78" s="157"/>
      <c r="O78" s="294"/>
      <c r="P78" s="294"/>
    </row>
    <row r="79" spans="3:16" s="159" customFormat="1" x14ac:dyDescent="0.25">
      <c r="C79" s="611"/>
      <c r="D79" s="611"/>
      <c r="J79" s="266"/>
      <c r="M79" s="268"/>
      <c r="N79" s="157"/>
      <c r="O79" s="294"/>
      <c r="P79" s="294"/>
    </row>
    <row r="80" spans="3:16" s="159" customFormat="1" x14ac:dyDescent="0.25">
      <c r="C80" s="611"/>
      <c r="D80" s="611"/>
      <c r="J80" s="266"/>
      <c r="M80" s="268"/>
      <c r="N80" s="157"/>
      <c r="O80" s="294"/>
      <c r="P80" s="294"/>
    </row>
    <row r="81" spans="3:16" s="159" customFormat="1" x14ac:dyDescent="0.25">
      <c r="C81" s="611"/>
      <c r="D81" s="611"/>
      <c r="J81" s="266"/>
      <c r="M81" s="268"/>
      <c r="N81" s="157"/>
      <c r="O81" s="294"/>
      <c r="P81" s="294"/>
    </row>
    <row r="82" spans="3:16" s="159" customFormat="1" x14ac:dyDescent="0.25">
      <c r="C82" s="611"/>
      <c r="D82" s="611"/>
      <c r="J82" s="266"/>
      <c r="M82" s="268"/>
      <c r="N82" s="157"/>
      <c r="O82" s="294"/>
      <c r="P82" s="294"/>
    </row>
    <row r="83" spans="3:16" s="159" customFormat="1" x14ac:dyDescent="0.25">
      <c r="C83" s="611"/>
      <c r="D83" s="611"/>
      <c r="J83" s="266"/>
      <c r="M83" s="268"/>
      <c r="N83" s="157"/>
      <c r="O83" s="294"/>
      <c r="P83" s="294"/>
    </row>
    <row r="84" spans="3:16" s="159" customFormat="1" x14ac:dyDescent="0.25">
      <c r="C84" s="611"/>
      <c r="D84" s="611"/>
      <c r="J84" s="266"/>
      <c r="M84" s="268"/>
      <c r="N84" s="157"/>
      <c r="O84" s="294"/>
      <c r="P84" s="294"/>
    </row>
    <row r="85" spans="3:16" s="159" customFormat="1" x14ac:dyDescent="0.25">
      <c r="C85" s="611"/>
      <c r="D85" s="611"/>
      <c r="J85" s="266"/>
      <c r="M85" s="268"/>
      <c r="N85" s="157"/>
      <c r="O85" s="294"/>
      <c r="P85" s="294"/>
    </row>
    <row r="86" spans="3:16" s="159" customFormat="1" x14ac:dyDescent="0.25">
      <c r="C86" s="611"/>
      <c r="D86" s="611"/>
      <c r="J86" s="266"/>
      <c r="M86" s="268"/>
      <c r="N86" s="157"/>
      <c r="O86" s="294"/>
      <c r="P86" s="294"/>
    </row>
    <row r="87" spans="3:16" s="159" customFormat="1" x14ac:dyDescent="0.25">
      <c r="C87" s="611"/>
      <c r="D87" s="611"/>
      <c r="J87" s="266"/>
      <c r="M87" s="268"/>
      <c r="N87" s="157"/>
      <c r="O87" s="294"/>
      <c r="P87" s="294"/>
    </row>
    <row r="88" spans="3:16" s="159" customFormat="1" x14ac:dyDescent="0.25">
      <c r="C88" s="611"/>
      <c r="D88" s="611"/>
      <c r="J88" s="266"/>
      <c r="M88" s="268"/>
      <c r="N88" s="157"/>
      <c r="O88" s="294"/>
      <c r="P88" s="294"/>
    </row>
    <row r="89" spans="3:16" s="159" customFormat="1" x14ac:dyDescent="0.25">
      <c r="C89" s="611"/>
      <c r="D89" s="611"/>
      <c r="J89" s="266"/>
      <c r="M89" s="268"/>
      <c r="N89" s="157"/>
      <c r="O89" s="294"/>
      <c r="P89" s="294"/>
    </row>
    <row r="90" spans="3:16" s="159" customFormat="1" x14ac:dyDescent="0.25">
      <c r="C90" s="611"/>
      <c r="D90" s="611"/>
      <c r="J90" s="266"/>
      <c r="M90" s="268"/>
      <c r="N90" s="157"/>
      <c r="O90" s="294"/>
      <c r="P90" s="294"/>
    </row>
    <row r="91" spans="3:16" s="159" customFormat="1" x14ac:dyDescent="0.25">
      <c r="C91" s="611"/>
      <c r="D91" s="611"/>
      <c r="J91" s="266"/>
      <c r="M91" s="268"/>
      <c r="N91" s="157"/>
      <c r="O91" s="294"/>
      <c r="P91" s="294"/>
    </row>
    <row r="92" spans="3:16" s="159" customFormat="1" x14ac:dyDescent="0.25">
      <c r="C92" s="611"/>
      <c r="D92" s="611"/>
      <c r="J92" s="266"/>
      <c r="M92" s="268"/>
      <c r="N92" s="157"/>
      <c r="O92" s="294"/>
      <c r="P92" s="294"/>
    </row>
    <row r="93" spans="3:16" s="159" customFormat="1" x14ac:dyDescent="0.25">
      <c r="C93" s="611"/>
      <c r="D93" s="611"/>
      <c r="J93" s="266"/>
      <c r="M93" s="268"/>
      <c r="N93" s="157"/>
      <c r="O93" s="294"/>
      <c r="P93" s="294"/>
    </row>
    <row r="94" spans="3:16" s="159" customFormat="1" x14ac:dyDescent="0.25">
      <c r="C94" s="611"/>
      <c r="D94" s="611"/>
      <c r="J94" s="266"/>
      <c r="M94" s="268"/>
      <c r="N94" s="157"/>
      <c r="O94" s="294"/>
      <c r="P94" s="294"/>
    </row>
    <row r="95" spans="3:16" s="159" customFormat="1" x14ac:dyDescent="0.25">
      <c r="C95" s="611"/>
      <c r="D95" s="611"/>
      <c r="J95" s="266"/>
      <c r="M95" s="268"/>
      <c r="N95" s="157"/>
      <c r="O95" s="294"/>
      <c r="P95" s="294"/>
    </row>
    <row r="96" spans="3:16" s="159" customFormat="1" x14ac:dyDescent="0.25">
      <c r="C96" s="611"/>
      <c r="D96" s="611"/>
      <c r="J96" s="266"/>
      <c r="M96" s="268"/>
      <c r="N96" s="157"/>
      <c r="O96" s="294"/>
      <c r="P96" s="294"/>
    </row>
    <row r="97" spans="3:16" s="159" customFormat="1" x14ac:dyDescent="0.25">
      <c r="C97" s="611"/>
      <c r="D97" s="611"/>
      <c r="J97" s="266"/>
      <c r="M97" s="268"/>
      <c r="N97" s="157"/>
      <c r="O97" s="294"/>
      <c r="P97" s="294"/>
    </row>
    <row r="98" spans="3:16" s="159" customFormat="1" x14ac:dyDescent="0.25">
      <c r="C98" s="611"/>
      <c r="D98" s="611"/>
      <c r="J98" s="266"/>
      <c r="M98" s="268"/>
      <c r="N98" s="157"/>
      <c r="O98" s="294"/>
      <c r="P98" s="294"/>
    </row>
    <row r="99" spans="3:16" s="159" customFormat="1" x14ac:dyDescent="0.25">
      <c r="C99" s="611"/>
      <c r="D99" s="611"/>
      <c r="J99" s="266"/>
      <c r="M99" s="268"/>
      <c r="N99" s="157"/>
      <c r="O99" s="294"/>
      <c r="P99" s="294"/>
    </row>
    <row r="100" spans="3:16" s="159" customFormat="1" x14ac:dyDescent="0.25">
      <c r="C100" s="611"/>
      <c r="D100" s="611"/>
      <c r="J100" s="266"/>
      <c r="M100" s="268"/>
      <c r="N100" s="157"/>
      <c r="O100" s="294"/>
      <c r="P100" s="294"/>
    </row>
    <row r="101" spans="3:16" s="159" customFormat="1" x14ac:dyDescent="0.25">
      <c r="C101" s="611"/>
      <c r="D101" s="611"/>
      <c r="J101" s="266"/>
      <c r="M101" s="268"/>
      <c r="N101" s="157"/>
      <c r="O101" s="294"/>
      <c r="P101" s="294"/>
    </row>
    <row r="102" spans="3:16" s="159" customFormat="1" x14ac:dyDescent="0.25">
      <c r="C102" s="611"/>
      <c r="D102" s="611"/>
      <c r="J102" s="266"/>
      <c r="M102" s="268"/>
      <c r="N102" s="157"/>
      <c r="O102" s="294"/>
      <c r="P102" s="294"/>
    </row>
    <row r="103" spans="3:16" s="159" customFormat="1" x14ac:dyDescent="0.25">
      <c r="C103" s="611"/>
      <c r="D103" s="611"/>
      <c r="J103" s="266"/>
      <c r="M103" s="268"/>
      <c r="N103" s="157"/>
      <c r="O103" s="294"/>
      <c r="P103" s="294"/>
    </row>
    <row r="104" spans="3:16" s="159" customFormat="1" x14ac:dyDescent="0.25">
      <c r="C104" s="611"/>
      <c r="D104" s="611"/>
      <c r="J104" s="266"/>
      <c r="M104" s="268"/>
      <c r="N104" s="157"/>
      <c r="O104" s="294"/>
      <c r="P104" s="294"/>
    </row>
    <row r="105" spans="3:16" s="159" customFormat="1" x14ac:dyDescent="0.25">
      <c r="C105" s="611"/>
      <c r="D105" s="611"/>
      <c r="J105" s="266"/>
      <c r="M105" s="268"/>
      <c r="N105" s="157"/>
      <c r="O105" s="294"/>
      <c r="P105" s="294"/>
    </row>
    <row r="106" spans="3:16" s="159" customFormat="1" x14ac:dyDescent="0.25">
      <c r="C106" s="611"/>
      <c r="D106" s="611"/>
      <c r="J106" s="266"/>
      <c r="M106" s="268"/>
      <c r="N106" s="157"/>
      <c r="O106" s="294"/>
      <c r="P106" s="294"/>
    </row>
    <row r="107" spans="3:16" s="159" customFormat="1" x14ac:dyDescent="0.25">
      <c r="C107" s="611"/>
      <c r="D107" s="611"/>
      <c r="J107" s="266"/>
      <c r="M107" s="268"/>
      <c r="N107" s="157"/>
      <c r="O107" s="294"/>
      <c r="P107" s="294"/>
    </row>
    <row r="108" spans="3:16" s="159" customFormat="1" x14ac:dyDescent="0.25">
      <c r="C108" s="611"/>
      <c r="D108" s="611"/>
      <c r="J108" s="266"/>
      <c r="M108" s="268"/>
      <c r="N108" s="157"/>
      <c r="O108" s="294"/>
      <c r="P108" s="294"/>
    </row>
    <row r="109" spans="3:16" s="159" customFormat="1" x14ac:dyDescent="0.25">
      <c r="C109" s="611"/>
      <c r="D109" s="611"/>
      <c r="J109" s="266"/>
      <c r="M109" s="268"/>
      <c r="N109" s="157"/>
      <c r="O109" s="294"/>
      <c r="P109" s="294"/>
    </row>
    <row r="110" spans="3:16" s="159" customFormat="1" x14ac:dyDescent="0.25">
      <c r="C110" s="611"/>
      <c r="D110" s="611"/>
      <c r="J110" s="266"/>
      <c r="M110" s="268"/>
      <c r="N110" s="157"/>
      <c r="O110" s="294"/>
      <c r="P110" s="294"/>
    </row>
    <row r="111" spans="3:16" s="159" customFormat="1" x14ac:dyDescent="0.25">
      <c r="C111" s="611"/>
      <c r="D111" s="611"/>
      <c r="J111" s="266"/>
      <c r="M111" s="268"/>
      <c r="N111" s="157"/>
      <c r="O111" s="294"/>
      <c r="P111" s="294"/>
    </row>
    <row r="112" spans="3:16" s="159" customFormat="1" x14ac:dyDescent="0.25">
      <c r="C112" s="611"/>
      <c r="D112" s="611"/>
      <c r="J112" s="266"/>
      <c r="M112" s="268"/>
      <c r="N112" s="157"/>
      <c r="O112" s="294"/>
      <c r="P112" s="294"/>
    </row>
    <row r="113" spans="3:16" s="159" customFormat="1" x14ac:dyDescent="0.25">
      <c r="C113" s="611"/>
      <c r="D113" s="611"/>
      <c r="J113" s="266"/>
      <c r="M113" s="268"/>
      <c r="N113" s="157"/>
      <c r="O113" s="294"/>
      <c r="P113" s="294"/>
    </row>
    <row r="114" spans="3:16" s="159" customFormat="1" x14ac:dyDescent="0.25">
      <c r="C114" s="611"/>
      <c r="D114" s="611"/>
      <c r="J114" s="266"/>
      <c r="M114" s="268"/>
      <c r="N114" s="157"/>
      <c r="O114" s="294"/>
      <c r="P114" s="294"/>
    </row>
    <row r="115" spans="3:16" s="159" customFormat="1" x14ac:dyDescent="0.25">
      <c r="C115" s="611"/>
      <c r="D115" s="611"/>
      <c r="J115" s="266"/>
      <c r="M115" s="268"/>
      <c r="N115" s="157"/>
      <c r="O115" s="294"/>
      <c r="P115" s="294"/>
    </row>
    <row r="116" spans="3:16" s="159" customFormat="1" x14ac:dyDescent="0.25">
      <c r="C116" s="611"/>
      <c r="D116" s="611"/>
      <c r="J116" s="266"/>
      <c r="M116" s="268"/>
      <c r="N116" s="157"/>
      <c r="O116" s="294"/>
      <c r="P116" s="294"/>
    </row>
    <row r="117" spans="3:16" s="159" customFormat="1" x14ac:dyDescent="0.25">
      <c r="C117" s="611"/>
      <c r="D117" s="611"/>
      <c r="J117" s="266"/>
      <c r="M117" s="268"/>
      <c r="N117" s="157"/>
      <c r="O117" s="294"/>
      <c r="P117" s="294"/>
    </row>
    <row r="118" spans="3:16" s="159" customFormat="1" x14ac:dyDescent="0.25">
      <c r="C118" s="611"/>
      <c r="D118" s="611"/>
      <c r="J118" s="266"/>
      <c r="M118" s="268"/>
      <c r="N118" s="157"/>
      <c r="O118" s="294"/>
      <c r="P118" s="294"/>
    </row>
    <row r="119" spans="3:16" s="159" customFormat="1" x14ac:dyDescent="0.25">
      <c r="C119" s="611"/>
      <c r="D119" s="611"/>
      <c r="J119" s="266"/>
      <c r="M119" s="268"/>
      <c r="N119" s="157"/>
      <c r="O119" s="294"/>
      <c r="P119" s="294"/>
    </row>
    <row r="120" spans="3:16" s="159" customFormat="1" x14ac:dyDescent="0.25">
      <c r="C120" s="611"/>
      <c r="D120" s="611"/>
      <c r="J120" s="266"/>
      <c r="M120" s="268"/>
      <c r="N120" s="157"/>
      <c r="O120" s="294"/>
      <c r="P120" s="294"/>
    </row>
    <row r="121" spans="3:16" s="159" customFormat="1" x14ac:dyDescent="0.25">
      <c r="C121" s="611"/>
      <c r="D121" s="611"/>
      <c r="J121" s="266"/>
      <c r="M121" s="268"/>
      <c r="N121" s="157"/>
      <c r="O121" s="294"/>
      <c r="P121" s="294"/>
    </row>
    <row r="122" spans="3:16" s="159" customFormat="1" x14ac:dyDescent="0.25">
      <c r="C122" s="611"/>
      <c r="D122" s="611"/>
      <c r="J122" s="266"/>
      <c r="M122" s="268"/>
      <c r="N122" s="157"/>
      <c r="O122" s="294"/>
      <c r="P122" s="294"/>
    </row>
    <row r="123" spans="3:16" s="159" customFormat="1" x14ac:dyDescent="0.25">
      <c r="C123" s="611"/>
      <c r="D123" s="611"/>
      <c r="J123" s="266"/>
      <c r="M123" s="268"/>
      <c r="N123" s="157"/>
      <c r="O123" s="294"/>
      <c r="P123" s="294"/>
    </row>
    <row r="124" spans="3:16" s="159" customFormat="1" x14ac:dyDescent="0.25">
      <c r="C124" s="611"/>
      <c r="D124" s="611"/>
      <c r="J124" s="266"/>
      <c r="M124" s="268"/>
      <c r="N124" s="157"/>
      <c r="O124" s="294"/>
      <c r="P124" s="294"/>
    </row>
    <row r="125" spans="3:16" s="159" customFormat="1" x14ac:dyDescent="0.25">
      <c r="C125" s="611"/>
      <c r="D125" s="611"/>
      <c r="J125" s="266"/>
      <c r="M125" s="268"/>
      <c r="N125" s="157"/>
      <c r="O125" s="294"/>
      <c r="P125" s="294"/>
    </row>
    <row r="126" spans="3:16" s="159" customFormat="1" x14ac:dyDescent="0.25">
      <c r="C126" s="611"/>
      <c r="D126" s="611"/>
      <c r="J126" s="266"/>
      <c r="M126" s="268"/>
      <c r="N126" s="157"/>
      <c r="O126" s="294"/>
      <c r="P126" s="294"/>
    </row>
    <row r="127" spans="3:16" s="159" customFormat="1" x14ac:dyDescent="0.25">
      <c r="C127" s="611"/>
      <c r="D127" s="611"/>
      <c r="J127" s="266"/>
      <c r="M127" s="268"/>
      <c r="N127" s="157"/>
      <c r="O127" s="294"/>
      <c r="P127" s="294"/>
    </row>
    <row r="128" spans="3:16" s="159" customFormat="1" x14ac:dyDescent="0.25">
      <c r="C128" s="611"/>
      <c r="D128" s="611"/>
      <c r="J128" s="266"/>
      <c r="M128" s="268"/>
      <c r="N128" s="157"/>
      <c r="O128" s="294"/>
      <c r="P128" s="294"/>
    </row>
    <row r="129" spans="3:16" s="159" customFormat="1" x14ac:dyDescent="0.25">
      <c r="C129" s="611"/>
      <c r="D129" s="611"/>
      <c r="J129" s="266"/>
      <c r="M129" s="268"/>
      <c r="N129" s="157"/>
      <c r="O129" s="294"/>
      <c r="P129" s="294"/>
    </row>
    <row r="130" spans="3:16" s="159" customFormat="1" x14ac:dyDescent="0.25">
      <c r="C130" s="611"/>
      <c r="D130" s="611"/>
      <c r="J130" s="266"/>
      <c r="M130" s="268"/>
      <c r="N130" s="157"/>
      <c r="O130" s="294"/>
      <c r="P130" s="294"/>
    </row>
    <row r="131" spans="3:16" s="159" customFormat="1" x14ac:dyDescent="0.25">
      <c r="C131" s="611"/>
      <c r="D131" s="611"/>
      <c r="J131" s="266"/>
      <c r="M131" s="268"/>
      <c r="N131" s="157"/>
      <c r="O131" s="294"/>
      <c r="P131" s="294"/>
    </row>
    <row r="132" spans="3:16" s="159" customFormat="1" x14ac:dyDescent="0.25">
      <c r="C132" s="611"/>
      <c r="D132" s="611"/>
      <c r="J132" s="266"/>
      <c r="M132" s="268"/>
      <c r="N132" s="157"/>
      <c r="O132" s="294"/>
      <c r="P132" s="294"/>
    </row>
    <row r="133" spans="3:16" s="159" customFormat="1" x14ac:dyDescent="0.25">
      <c r="C133" s="611"/>
      <c r="D133" s="611"/>
      <c r="J133" s="266"/>
      <c r="M133" s="268"/>
      <c r="N133" s="157"/>
      <c r="O133" s="294"/>
      <c r="P133" s="294"/>
    </row>
    <row r="134" spans="3:16" s="159" customFormat="1" x14ac:dyDescent="0.25">
      <c r="C134" s="611"/>
      <c r="D134" s="611"/>
      <c r="J134" s="266"/>
      <c r="M134" s="268"/>
      <c r="N134" s="157"/>
      <c r="O134" s="294"/>
      <c r="P134" s="294"/>
    </row>
    <row r="135" spans="3:16" s="159" customFormat="1" x14ac:dyDescent="0.25">
      <c r="C135" s="611"/>
      <c r="D135" s="611"/>
      <c r="J135" s="266"/>
      <c r="M135" s="268"/>
      <c r="N135" s="157"/>
      <c r="O135" s="294"/>
      <c r="P135" s="294"/>
    </row>
    <row r="136" spans="3:16" s="159" customFormat="1" x14ac:dyDescent="0.25">
      <c r="C136" s="611"/>
      <c r="D136" s="611"/>
      <c r="J136" s="266"/>
      <c r="M136" s="268"/>
      <c r="N136" s="157"/>
      <c r="O136" s="294"/>
      <c r="P136" s="294"/>
    </row>
    <row r="137" spans="3:16" s="159" customFormat="1" x14ac:dyDescent="0.25">
      <c r="C137" s="611"/>
      <c r="D137" s="611"/>
      <c r="J137" s="266"/>
      <c r="M137" s="268"/>
      <c r="N137" s="157"/>
      <c r="O137" s="294"/>
      <c r="P137" s="294"/>
    </row>
    <row r="138" spans="3:16" s="159" customFormat="1" x14ac:dyDescent="0.25">
      <c r="C138" s="611"/>
      <c r="D138" s="611"/>
      <c r="J138" s="266"/>
      <c r="M138" s="268"/>
      <c r="N138" s="157"/>
      <c r="O138" s="294"/>
      <c r="P138" s="294"/>
    </row>
    <row r="139" spans="3:16" s="159" customFormat="1" x14ac:dyDescent="0.25">
      <c r="C139" s="611"/>
      <c r="D139" s="611"/>
      <c r="J139" s="266"/>
      <c r="M139" s="268"/>
      <c r="N139" s="157"/>
      <c r="O139" s="294"/>
      <c r="P139" s="294"/>
    </row>
    <row r="140" spans="3:16" s="159" customFormat="1" x14ac:dyDescent="0.25">
      <c r="C140" s="611"/>
      <c r="D140" s="611"/>
      <c r="J140" s="266"/>
      <c r="M140" s="268"/>
      <c r="N140" s="157"/>
      <c r="O140" s="294"/>
      <c r="P140" s="294"/>
    </row>
    <row r="141" spans="3:16" s="159" customFormat="1" x14ac:dyDescent="0.25">
      <c r="C141" s="611"/>
      <c r="D141" s="611"/>
      <c r="J141" s="266"/>
      <c r="M141" s="268"/>
      <c r="N141" s="157"/>
      <c r="O141" s="294"/>
      <c r="P141" s="294"/>
    </row>
    <row r="142" spans="3:16" s="159" customFormat="1" x14ac:dyDescent="0.25">
      <c r="C142" s="611"/>
      <c r="D142" s="611"/>
      <c r="J142" s="266"/>
      <c r="M142" s="268"/>
      <c r="N142" s="157"/>
      <c r="O142" s="294"/>
      <c r="P142" s="294"/>
    </row>
    <row r="143" spans="3:16" s="159" customFormat="1" x14ac:dyDescent="0.25">
      <c r="C143" s="611"/>
      <c r="D143" s="611"/>
      <c r="J143" s="266"/>
      <c r="M143" s="268"/>
      <c r="N143" s="157"/>
      <c r="O143" s="294"/>
      <c r="P143" s="294"/>
    </row>
    <row r="144" spans="3:16" s="159" customFormat="1" x14ac:dyDescent="0.25">
      <c r="C144" s="611"/>
      <c r="D144" s="611"/>
      <c r="J144" s="266"/>
      <c r="M144" s="268"/>
      <c r="N144" s="157"/>
      <c r="O144" s="294"/>
      <c r="P144" s="294"/>
    </row>
    <row r="145" spans="3:16" s="159" customFormat="1" x14ac:dyDescent="0.25">
      <c r="C145" s="611"/>
      <c r="D145" s="611"/>
      <c r="J145" s="266"/>
      <c r="M145" s="268"/>
      <c r="N145" s="157"/>
      <c r="O145" s="294"/>
      <c r="P145" s="294"/>
    </row>
    <row r="146" spans="3:16" s="159" customFormat="1" x14ac:dyDescent="0.25">
      <c r="C146" s="611"/>
      <c r="D146" s="611"/>
      <c r="J146" s="266"/>
      <c r="M146" s="268"/>
      <c r="N146" s="157"/>
      <c r="O146" s="294"/>
      <c r="P146" s="294"/>
    </row>
    <row r="147" spans="3:16" s="159" customFormat="1" x14ac:dyDescent="0.25">
      <c r="C147" s="611"/>
      <c r="D147" s="611"/>
      <c r="J147" s="266"/>
      <c r="M147" s="268"/>
      <c r="N147" s="157"/>
      <c r="O147" s="294"/>
      <c r="P147" s="294"/>
    </row>
    <row r="148" spans="3:16" s="159" customFormat="1" x14ac:dyDescent="0.25">
      <c r="C148" s="611"/>
      <c r="D148" s="611"/>
      <c r="J148" s="266"/>
      <c r="M148" s="268"/>
      <c r="N148" s="157"/>
      <c r="O148" s="294"/>
      <c r="P148" s="294"/>
    </row>
    <row r="149" spans="3:16" s="159" customFormat="1" x14ac:dyDescent="0.25">
      <c r="C149" s="611"/>
      <c r="D149" s="611"/>
      <c r="J149" s="266"/>
      <c r="M149" s="268"/>
      <c r="N149" s="157"/>
      <c r="O149" s="294"/>
      <c r="P149" s="294"/>
    </row>
    <row r="150" spans="3:16" s="159" customFormat="1" x14ac:dyDescent="0.25">
      <c r="C150" s="611"/>
      <c r="D150" s="611"/>
      <c r="J150" s="266"/>
      <c r="M150" s="268"/>
      <c r="N150" s="157"/>
      <c r="O150" s="294"/>
      <c r="P150" s="294"/>
    </row>
    <row r="151" spans="3:16" s="159" customFormat="1" x14ac:dyDescent="0.25">
      <c r="C151" s="611"/>
      <c r="D151" s="611"/>
      <c r="J151" s="266"/>
      <c r="M151" s="268"/>
      <c r="N151" s="157"/>
      <c r="O151" s="294"/>
      <c r="P151" s="294"/>
    </row>
    <row r="152" spans="3:16" s="159" customFormat="1" x14ac:dyDescent="0.25">
      <c r="C152" s="611"/>
      <c r="D152" s="611"/>
      <c r="J152" s="266"/>
      <c r="M152" s="268"/>
      <c r="N152" s="157"/>
      <c r="O152" s="294"/>
      <c r="P152" s="294"/>
    </row>
    <row r="153" spans="3:16" s="159" customFormat="1" x14ac:dyDescent="0.25">
      <c r="C153" s="611"/>
      <c r="D153" s="611"/>
      <c r="J153" s="266"/>
      <c r="M153" s="268"/>
      <c r="N153" s="157"/>
      <c r="O153" s="294"/>
      <c r="P153" s="294"/>
    </row>
    <row r="154" spans="3:16" s="159" customFormat="1" x14ac:dyDescent="0.25">
      <c r="C154" s="611"/>
      <c r="D154" s="611"/>
      <c r="J154" s="266"/>
      <c r="M154" s="268"/>
      <c r="N154" s="157"/>
      <c r="O154" s="294"/>
      <c r="P154" s="294"/>
    </row>
    <row r="155" spans="3:16" s="159" customFormat="1" x14ac:dyDescent="0.25">
      <c r="C155" s="611"/>
      <c r="D155" s="611"/>
      <c r="J155" s="266"/>
      <c r="M155" s="268"/>
      <c r="N155" s="157"/>
      <c r="O155" s="294"/>
      <c r="P155" s="294"/>
    </row>
    <row r="156" spans="3:16" s="159" customFormat="1" x14ac:dyDescent="0.25">
      <c r="C156" s="611"/>
      <c r="D156" s="611"/>
      <c r="J156" s="266"/>
      <c r="M156" s="268"/>
      <c r="N156" s="157"/>
      <c r="O156" s="294"/>
      <c r="P156" s="294"/>
    </row>
    <row r="157" spans="3:16" s="159" customFormat="1" x14ac:dyDescent="0.25">
      <c r="C157" s="611"/>
      <c r="D157" s="611"/>
      <c r="J157" s="266"/>
      <c r="M157" s="268"/>
      <c r="N157" s="157"/>
      <c r="O157" s="294"/>
      <c r="P157" s="294"/>
    </row>
    <row r="158" spans="3:16" s="159" customFormat="1" x14ac:dyDescent="0.25">
      <c r="C158" s="611"/>
      <c r="D158" s="611"/>
      <c r="J158" s="266"/>
      <c r="M158" s="268"/>
      <c r="N158" s="157"/>
      <c r="O158" s="294"/>
      <c r="P158" s="294"/>
    </row>
    <row r="159" spans="3:16" s="159" customFormat="1" x14ac:dyDescent="0.25">
      <c r="C159" s="611"/>
      <c r="D159" s="611"/>
      <c r="J159" s="266"/>
      <c r="M159" s="268"/>
      <c r="N159" s="157"/>
      <c r="O159" s="294"/>
      <c r="P159" s="294"/>
    </row>
    <row r="160" spans="3:16" s="159" customFormat="1" x14ac:dyDescent="0.25">
      <c r="C160" s="611"/>
      <c r="D160" s="611"/>
      <c r="J160" s="266"/>
      <c r="M160" s="268"/>
      <c r="N160" s="157"/>
      <c r="O160" s="294"/>
      <c r="P160" s="294"/>
    </row>
    <row r="161" spans="3:16" s="159" customFormat="1" x14ac:dyDescent="0.25">
      <c r="C161" s="611"/>
      <c r="D161" s="611"/>
      <c r="J161" s="266"/>
      <c r="M161" s="268"/>
      <c r="N161" s="157"/>
      <c r="O161" s="294"/>
      <c r="P161" s="294"/>
    </row>
    <row r="162" spans="3:16" s="159" customFormat="1" x14ac:dyDescent="0.25">
      <c r="C162" s="611"/>
      <c r="D162" s="611"/>
      <c r="J162" s="266"/>
      <c r="M162" s="268"/>
      <c r="N162" s="157"/>
      <c r="O162" s="294"/>
      <c r="P162" s="294"/>
    </row>
    <row r="163" spans="3:16" s="159" customFormat="1" x14ac:dyDescent="0.25">
      <c r="C163" s="611"/>
      <c r="D163" s="611"/>
      <c r="J163" s="266"/>
      <c r="M163" s="268"/>
      <c r="N163" s="157"/>
      <c r="O163" s="294"/>
      <c r="P163" s="294"/>
    </row>
    <row r="164" spans="3:16" s="159" customFormat="1" x14ac:dyDescent="0.25">
      <c r="C164" s="611"/>
      <c r="D164" s="611"/>
      <c r="J164" s="266"/>
      <c r="M164" s="268"/>
      <c r="N164" s="157"/>
      <c r="O164" s="294"/>
      <c r="P164" s="294"/>
    </row>
    <row r="165" spans="3:16" s="159" customFormat="1" x14ac:dyDescent="0.25">
      <c r="C165" s="611"/>
      <c r="D165" s="611"/>
      <c r="J165" s="266"/>
      <c r="M165" s="268"/>
      <c r="N165" s="157"/>
      <c r="O165" s="294"/>
      <c r="P165" s="294"/>
    </row>
    <row r="166" spans="3:16" s="159" customFormat="1" x14ac:dyDescent="0.25">
      <c r="C166" s="611"/>
      <c r="D166" s="611"/>
      <c r="J166" s="266"/>
      <c r="M166" s="268"/>
      <c r="N166" s="157"/>
      <c r="O166" s="294"/>
      <c r="P166" s="294"/>
    </row>
    <row r="167" spans="3:16" s="159" customFormat="1" x14ac:dyDescent="0.25">
      <c r="C167" s="611"/>
      <c r="D167" s="611"/>
      <c r="J167" s="266"/>
      <c r="M167" s="268"/>
      <c r="N167" s="157"/>
      <c r="O167" s="294"/>
      <c r="P167" s="294"/>
    </row>
    <row r="168" spans="3:16" s="159" customFormat="1" x14ac:dyDescent="0.25">
      <c r="C168" s="611"/>
      <c r="D168" s="611"/>
      <c r="J168" s="266"/>
      <c r="M168" s="268"/>
      <c r="N168" s="157"/>
      <c r="O168" s="294"/>
      <c r="P168" s="294"/>
    </row>
    <row r="169" spans="3:16" s="159" customFormat="1" x14ac:dyDescent="0.25">
      <c r="C169" s="611"/>
      <c r="D169" s="611"/>
      <c r="J169" s="266"/>
      <c r="M169" s="268"/>
      <c r="N169" s="157"/>
      <c r="O169" s="294"/>
      <c r="P169" s="294"/>
    </row>
    <row r="170" spans="3:16" s="159" customFormat="1" x14ac:dyDescent="0.25">
      <c r="C170" s="611"/>
      <c r="D170" s="611"/>
      <c r="J170" s="266"/>
      <c r="M170" s="268"/>
      <c r="N170" s="157"/>
      <c r="O170" s="294"/>
      <c r="P170" s="294"/>
    </row>
    <row r="171" spans="3:16" s="159" customFormat="1" x14ac:dyDescent="0.25">
      <c r="C171" s="611"/>
      <c r="D171" s="611"/>
      <c r="J171" s="266"/>
      <c r="M171" s="268"/>
      <c r="N171" s="157"/>
      <c r="O171" s="294"/>
      <c r="P171" s="294"/>
    </row>
    <row r="172" spans="3:16" s="159" customFormat="1" x14ac:dyDescent="0.25">
      <c r="C172" s="611"/>
      <c r="D172" s="611"/>
      <c r="J172" s="266"/>
      <c r="M172" s="268"/>
      <c r="N172" s="157"/>
      <c r="O172" s="294"/>
      <c r="P172" s="294"/>
    </row>
    <row r="173" spans="3:16" s="159" customFormat="1" x14ac:dyDescent="0.25">
      <c r="C173" s="611"/>
      <c r="D173" s="611"/>
      <c r="J173" s="266"/>
      <c r="M173" s="268"/>
      <c r="N173" s="157"/>
      <c r="O173" s="294"/>
      <c r="P173" s="294"/>
    </row>
    <row r="174" spans="3:16" s="159" customFormat="1" x14ac:dyDescent="0.25">
      <c r="C174" s="611"/>
      <c r="D174" s="611"/>
      <c r="J174" s="266"/>
      <c r="M174" s="268"/>
      <c r="N174" s="157"/>
      <c r="O174" s="294"/>
      <c r="P174" s="294"/>
    </row>
    <row r="175" spans="3:16" s="159" customFormat="1" x14ac:dyDescent="0.25">
      <c r="C175" s="611"/>
      <c r="D175" s="611"/>
      <c r="J175" s="266"/>
      <c r="M175" s="268"/>
      <c r="N175" s="157"/>
      <c r="O175" s="294"/>
      <c r="P175" s="294"/>
    </row>
    <row r="176" spans="3:16" s="159" customFormat="1" x14ac:dyDescent="0.25">
      <c r="C176" s="611"/>
      <c r="D176" s="611"/>
      <c r="J176" s="266"/>
      <c r="M176" s="268"/>
      <c r="N176" s="157"/>
      <c r="O176" s="294"/>
      <c r="P176" s="294"/>
    </row>
    <row r="177" spans="3:16" s="159" customFormat="1" x14ac:dyDescent="0.25">
      <c r="C177" s="611"/>
      <c r="D177" s="611"/>
      <c r="J177" s="266"/>
      <c r="M177" s="268"/>
      <c r="N177" s="157"/>
      <c r="O177" s="294"/>
      <c r="P177" s="294"/>
    </row>
    <row r="178" spans="3:16" s="159" customFormat="1" x14ac:dyDescent="0.25">
      <c r="C178" s="611"/>
      <c r="D178" s="611"/>
      <c r="J178" s="266"/>
      <c r="M178" s="268"/>
      <c r="N178" s="157"/>
      <c r="O178" s="294"/>
      <c r="P178" s="294"/>
    </row>
    <row r="179" spans="3:16" s="159" customFormat="1" x14ac:dyDescent="0.25">
      <c r="C179" s="611"/>
      <c r="D179" s="611"/>
      <c r="J179" s="266"/>
      <c r="M179" s="268"/>
      <c r="N179" s="157"/>
      <c r="O179" s="294"/>
      <c r="P179" s="294"/>
    </row>
    <row r="180" spans="3:16" s="159" customFormat="1" x14ac:dyDescent="0.25">
      <c r="C180" s="611"/>
      <c r="D180" s="611"/>
      <c r="J180" s="266"/>
      <c r="M180" s="268"/>
      <c r="N180" s="157"/>
      <c r="O180" s="294"/>
      <c r="P180" s="294"/>
    </row>
    <row r="181" spans="3:16" s="159" customFormat="1" x14ac:dyDescent="0.25">
      <c r="C181" s="611"/>
      <c r="D181" s="611"/>
      <c r="J181" s="266"/>
      <c r="M181" s="268"/>
      <c r="N181" s="157"/>
      <c r="O181" s="294"/>
      <c r="P181" s="294"/>
    </row>
    <row r="182" spans="3:16" s="159" customFormat="1" x14ac:dyDescent="0.25">
      <c r="C182" s="611"/>
      <c r="D182" s="611"/>
      <c r="J182" s="266"/>
      <c r="M182" s="268"/>
      <c r="N182" s="157"/>
      <c r="O182" s="294"/>
      <c r="P182" s="294"/>
    </row>
    <row r="183" spans="3:16" s="159" customFormat="1" x14ac:dyDescent="0.25">
      <c r="C183" s="611"/>
      <c r="D183" s="611"/>
      <c r="J183" s="266"/>
      <c r="M183" s="268"/>
      <c r="N183" s="157"/>
      <c r="O183" s="294"/>
      <c r="P183" s="294"/>
    </row>
    <row r="184" spans="3:16" s="159" customFormat="1" x14ac:dyDescent="0.25">
      <c r="C184" s="611"/>
      <c r="D184" s="611"/>
      <c r="J184" s="266"/>
      <c r="M184" s="268"/>
      <c r="N184" s="157"/>
      <c r="O184" s="294"/>
      <c r="P184" s="294"/>
    </row>
    <row r="185" spans="3:16" s="159" customFormat="1" x14ac:dyDescent="0.25">
      <c r="C185" s="611"/>
      <c r="D185" s="611"/>
      <c r="J185" s="266"/>
      <c r="M185" s="268"/>
      <c r="N185" s="157"/>
      <c r="O185" s="294"/>
      <c r="P185" s="294"/>
    </row>
    <row r="186" spans="3:16" s="159" customFormat="1" x14ac:dyDescent="0.25">
      <c r="C186" s="611"/>
      <c r="D186" s="611"/>
      <c r="J186" s="266"/>
      <c r="M186" s="268"/>
      <c r="N186" s="157"/>
      <c r="O186" s="294"/>
      <c r="P186" s="294"/>
    </row>
    <row r="187" spans="3:16" s="159" customFormat="1" x14ac:dyDescent="0.25">
      <c r="C187" s="611"/>
      <c r="D187" s="611"/>
      <c r="J187" s="266"/>
      <c r="M187" s="268"/>
      <c r="N187" s="157"/>
      <c r="O187" s="294"/>
      <c r="P187" s="294"/>
    </row>
    <row r="188" spans="3:16" s="159" customFormat="1" x14ac:dyDescent="0.25">
      <c r="C188" s="611"/>
      <c r="D188" s="611"/>
      <c r="J188" s="266"/>
      <c r="M188" s="268"/>
      <c r="N188" s="157"/>
      <c r="O188" s="294"/>
      <c r="P188" s="294"/>
    </row>
    <row r="189" spans="3:16" s="159" customFormat="1" x14ac:dyDescent="0.25">
      <c r="C189" s="611"/>
      <c r="D189" s="611"/>
      <c r="J189" s="266"/>
      <c r="M189" s="268"/>
      <c r="N189" s="157"/>
      <c r="O189" s="294"/>
      <c r="P189" s="294"/>
    </row>
    <row r="190" spans="3:16" s="159" customFormat="1" x14ac:dyDescent="0.25">
      <c r="C190" s="611"/>
      <c r="D190" s="611"/>
      <c r="J190" s="266"/>
      <c r="M190" s="268"/>
      <c r="N190" s="157"/>
      <c r="O190" s="294"/>
      <c r="P190" s="294"/>
    </row>
    <row r="191" spans="3:16" s="159" customFormat="1" x14ac:dyDescent="0.25">
      <c r="C191" s="611"/>
      <c r="D191" s="611"/>
      <c r="J191" s="266"/>
      <c r="M191" s="268"/>
      <c r="N191" s="157"/>
      <c r="O191" s="294"/>
      <c r="P191" s="294"/>
    </row>
    <row r="192" spans="3:16" s="159" customFormat="1" x14ac:dyDescent="0.25">
      <c r="C192" s="611"/>
      <c r="D192" s="611"/>
      <c r="J192" s="266"/>
      <c r="M192" s="268"/>
      <c r="N192" s="157"/>
      <c r="O192" s="294"/>
      <c r="P192" s="294"/>
    </row>
    <row r="193" spans="3:16" s="159" customFormat="1" x14ac:dyDescent="0.25">
      <c r="C193" s="611"/>
      <c r="D193" s="611"/>
      <c r="J193" s="266"/>
      <c r="M193" s="268"/>
      <c r="N193" s="157"/>
      <c r="O193" s="294"/>
      <c r="P193" s="294"/>
    </row>
    <row r="194" spans="3:16" s="159" customFormat="1" x14ac:dyDescent="0.25">
      <c r="C194" s="611"/>
      <c r="D194" s="611"/>
      <c r="J194" s="266"/>
      <c r="M194" s="268"/>
      <c r="N194" s="157"/>
      <c r="O194" s="294"/>
      <c r="P194" s="294"/>
    </row>
    <row r="195" spans="3:16" s="159" customFormat="1" x14ac:dyDescent="0.25">
      <c r="C195" s="611"/>
      <c r="D195" s="611"/>
      <c r="J195" s="266"/>
      <c r="M195" s="268"/>
      <c r="N195" s="157"/>
      <c r="O195" s="294"/>
      <c r="P195" s="294"/>
    </row>
    <row r="196" spans="3:16" s="159" customFormat="1" x14ac:dyDescent="0.25">
      <c r="C196" s="611"/>
      <c r="D196" s="611"/>
      <c r="J196" s="266"/>
      <c r="M196" s="268"/>
      <c r="N196" s="157"/>
      <c r="O196" s="294"/>
      <c r="P196" s="294"/>
    </row>
    <row r="197" spans="3:16" s="159" customFormat="1" x14ac:dyDescent="0.25">
      <c r="C197" s="611"/>
      <c r="D197" s="611"/>
      <c r="J197" s="266"/>
      <c r="M197" s="268"/>
      <c r="N197" s="157"/>
      <c r="O197" s="294"/>
      <c r="P197" s="294"/>
    </row>
    <row r="198" spans="3:16" s="159" customFormat="1" x14ac:dyDescent="0.25">
      <c r="C198" s="611"/>
      <c r="D198" s="611"/>
      <c r="J198" s="266"/>
      <c r="M198" s="268"/>
      <c r="N198" s="157"/>
      <c r="O198" s="294"/>
      <c r="P198" s="294"/>
    </row>
    <row r="199" spans="3:16" s="159" customFormat="1" x14ac:dyDescent="0.25">
      <c r="C199" s="611"/>
      <c r="D199" s="611"/>
      <c r="J199" s="266"/>
      <c r="M199" s="268"/>
      <c r="N199" s="157"/>
      <c r="O199" s="294"/>
      <c r="P199" s="294"/>
    </row>
    <row r="200" spans="3:16" s="159" customFormat="1" x14ac:dyDescent="0.25">
      <c r="C200" s="611"/>
      <c r="D200" s="611"/>
      <c r="J200" s="266"/>
      <c r="M200" s="268"/>
      <c r="N200" s="157"/>
      <c r="O200" s="294"/>
      <c r="P200" s="294"/>
    </row>
    <row r="201" spans="3:16" s="159" customFormat="1" x14ac:dyDescent="0.25">
      <c r="C201" s="611"/>
      <c r="D201" s="611"/>
      <c r="J201" s="266"/>
      <c r="M201" s="268"/>
      <c r="N201" s="157"/>
      <c r="O201" s="294"/>
      <c r="P201" s="294"/>
    </row>
    <row r="202" spans="3:16" s="159" customFormat="1" x14ac:dyDescent="0.25">
      <c r="C202" s="611"/>
      <c r="D202" s="611"/>
      <c r="J202" s="266"/>
      <c r="M202" s="268"/>
      <c r="N202" s="157"/>
      <c r="O202" s="294"/>
      <c r="P202" s="294"/>
    </row>
    <row r="203" spans="3:16" s="159" customFormat="1" x14ac:dyDescent="0.25">
      <c r="C203" s="611"/>
      <c r="D203" s="611"/>
      <c r="J203" s="266"/>
      <c r="M203" s="268"/>
      <c r="N203" s="157"/>
      <c r="O203" s="294"/>
      <c r="P203" s="294"/>
    </row>
    <row r="204" spans="3:16" s="159" customFormat="1" x14ac:dyDescent="0.25">
      <c r="C204" s="611"/>
      <c r="D204" s="611"/>
      <c r="J204" s="266"/>
      <c r="M204" s="268"/>
      <c r="N204" s="157"/>
      <c r="O204" s="294"/>
      <c r="P204" s="294"/>
    </row>
    <row r="205" spans="3:16" s="159" customFormat="1" x14ac:dyDescent="0.25">
      <c r="C205" s="611"/>
      <c r="D205" s="611"/>
      <c r="J205" s="266"/>
      <c r="M205" s="268"/>
      <c r="N205" s="157"/>
      <c r="O205" s="294"/>
      <c r="P205" s="294"/>
    </row>
    <row r="206" spans="3:16" s="159" customFormat="1" x14ac:dyDescent="0.25">
      <c r="C206" s="611"/>
      <c r="D206" s="611"/>
      <c r="J206" s="266"/>
      <c r="M206" s="268"/>
      <c r="N206" s="157"/>
      <c r="O206" s="294"/>
      <c r="P206" s="294"/>
    </row>
    <row r="207" spans="3:16" s="159" customFormat="1" x14ac:dyDescent="0.25">
      <c r="C207" s="611"/>
      <c r="D207" s="611"/>
      <c r="J207" s="266"/>
      <c r="M207" s="268"/>
      <c r="N207" s="157"/>
      <c r="O207" s="294"/>
      <c r="P207" s="294"/>
    </row>
    <row r="208" spans="3:16" s="159" customFormat="1" x14ac:dyDescent="0.25">
      <c r="C208" s="611"/>
      <c r="D208" s="611"/>
      <c r="J208" s="266"/>
      <c r="M208" s="268"/>
      <c r="N208" s="157"/>
      <c r="O208" s="294"/>
      <c r="P208" s="294"/>
    </row>
    <row r="209" spans="3:16" s="159" customFormat="1" x14ac:dyDescent="0.25">
      <c r="C209" s="611"/>
      <c r="D209" s="611"/>
      <c r="J209" s="266"/>
      <c r="M209" s="268"/>
      <c r="N209" s="157"/>
      <c r="O209" s="294"/>
      <c r="P209" s="294"/>
    </row>
    <row r="210" spans="3:16" s="159" customFormat="1" x14ac:dyDescent="0.25">
      <c r="C210" s="611"/>
      <c r="D210" s="611"/>
      <c r="J210" s="266"/>
      <c r="M210" s="268"/>
      <c r="N210" s="157"/>
      <c r="O210" s="294"/>
      <c r="P210" s="294"/>
    </row>
    <row r="211" spans="3:16" s="159" customFormat="1" x14ac:dyDescent="0.25">
      <c r="C211" s="611"/>
      <c r="D211" s="611"/>
      <c r="J211" s="266"/>
      <c r="M211" s="268"/>
      <c r="N211" s="157"/>
      <c r="O211" s="294"/>
      <c r="P211" s="294"/>
    </row>
    <row r="212" spans="3:16" s="159" customFormat="1" x14ac:dyDescent="0.25">
      <c r="C212" s="611"/>
      <c r="D212" s="611"/>
      <c r="J212" s="266"/>
      <c r="M212" s="268"/>
      <c r="N212" s="157"/>
      <c r="O212" s="294"/>
      <c r="P212" s="294"/>
    </row>
    <row r="213" spans="3:16" s="159" customFormat="1" x14ac:dyDescent="0.25">
      <c r="C213" s="611"/>
      <c r="D213" s="611"/>
      <c r="J213" s="266"/>
      <c r="M213" s="268"/>
      <c r="N213" s="157"/>
      <c r="O213" s="294"/>
      <c r="P213" s="294"/>
    </row>
    <row r="214" spans="3:16" s="159" customFormat="1" x14ac:dyDescent="0.25">
      <c r="C214" s="611"/>
      <c r="D214" s="611"/>
      <c r="J214" s="266"/>
      <c r="M214" s="268"/>
      <c r="N214" s="157"/>
      <c r="O214" s="294"/>
      <c r="P214" s="294"/>
    </row>
    <row r="215" spans="3:16" s="159" customFormat="1" x14ac:dyDescent="0.25">
      <c r="C215" s="611"/>
      <c r="D215" s="611"/>
      <c r="J215" s="266"/>
      <c r="M215" s="268"/>
      <c r="N215" s="157"/>
      <c r="O215" s="294"/>
      <c r="P215" s="294"/>
    </row>
    <row r="216" spans="3:16" s="159" customFormat="1" x14ac:dyDescent="0.25">
      <c r="C216" s="611"/>
      <c r="D216" s="611"/>
      <c r="J216" s="266"/>
      <c r="M216" s="268"/>
      <c r="N216" s="157"/>
      <c r="O216" s="294"/>
      <c r="P216" s="294"/>
    </row>
    <row r="217" spans="3:16" s="159" customFormat="1" x14ac:dyDescent="0.25">
      <c r="C217" s="611"/>
      <c r="D217" s="611"/>
      <c r="J217" s="266"/>
      <c r="M217" s="268"/>
      <c r="N217" s="157"/>
      <c r="O217" s="294"/>
      <c r="P217" s="294"/>
    </row>
    <row r="218" spans="3:16" s="159" customFormat="1" x14ac:dyDescent="0.25">
      <c r="C218" s="611"/>
      <c r="D218" s="611"/>
      <c r="J218" s="266"/>
      <c r="M218" s="268"/>
      <c r="N218" s="157"/>
      <c r="O218" s="294"/>
      <c r="P218" s="294"/>
    </row>
    <row r="219" spans="3:16" s="159" customFormat="1" x14ac:dyDescent="0.25">
      <c r="C219" s="611"/>
      <c r="D219" s="611"/>
      <c r="J219" s="266"/>
      <c r="M219" s="268"/>
      <c r="N219" s="157"/>
      <c r="O219" s="294"/>
      <c r="P219" s="294"/>
    </row>
    <row r="220" spans="3:16" s="159" customFormat="1" x14ac:dyDescent="0.25">
      <c r="C220" s="611"/>
      <c r="D220" s="611"/>
      <c r="J220" s="266"/>
      <c r="M220" s="268"/>
      <c r="N220" s="157"/>
      <c r="O220" s="294"/>
      <c r="P220" s="294"/>
    </row>
    <row r="221" spans="3:16" s="159" customFormat="1" x14ac:dyDescent="0.25">
      <c r="C221" s="611"/>
      <c r="D221" s="611"/>
      <c r="J221" s="266"/>
      <c r="M221" s="268"/>
      <c r="N221" s="157"/>
      <c r="O221" s="294"/>
      <c r="P221" s="294"/>
    </row>
    <row r="222" spans="3:16" s="159" customFormat="1" x14ac:dyDescent="0.25">
      <c r="C222" s="611"/>
      <c r="D222" s="611"/>
      <c r="J222" s="266"/>
      <c r="M222" s="268"/>
      <c r="N222" s="157"/>
      <c r="O222" s="294"/>
      <c r="P222" s="294"/>
    </row>
    <row r="223" spans="3:16" s="159" customFormat="1" x14ac:dyDescent="0.25">
      <c r="C223" s="611"/>
      <c r="D223" s="611"/>
      <c r="J223" s="266"/>
      <c r="M223" s="268"/>
      <c r="N223" s="157"/>
      <c r="O223" s="294"/>
      <c r="P223" s="294"/>
    </row>
    <row r="224" spans="3:16" s="159" customFormat="1" x14ac:dyDescent="0.25">
      <c r="C224" s="611"/>
      <c r="D224" s="611"/>
      <c r="J224" s="266"/>
      <c r="M224" s="268"/>
      <c r="N224" s="157"/>
      <c r="O224" s="294"/>
      <c r="P224" s="294"/>
    </row>
    <row r="225" spans="3:16" s="159" customFormat="1" x14ac:dyDescent="0.25">
      <c r="C225" s="611"/>
      <c r="D225" s="611"/>
      <c r="J225" s="266"/>
      <c r="M225" s="268"/>
      <c r="N225" s="157"/>
      <c r="O225" s="294"/>
      <c r="P225" s="294"/>
    </row>
    <row r="226" spans="3:16" s="159" customFormat="1" x14ac:dyDescent="0.25">
      <c r="C226" s="611"/>
      <c r="D226" s="611"/>
      <c r="J226" s="266"/>
      <c r="M226" s="268"/>
      <c r="N226" s="157"/>
      <c r="O226" s="294"/>
      <c r="P226" s="294"/>
    </row>
    <row r="227" spans="3:16" s="159" customFormat="1" x14ac:dyDescent="0.25">
      <c r="C227" s="611"/>
      <c r="D227" s="611"/>
      <c r="J227" s="266"/>
      <c r="M227" s="268"/>
      <c r="N227" s="157"/>
      <c r="O227" s="294"/>
      <c r="P227" s="294"/>
    </row>
    <row r="228" spans="3:16" s="159" customFormat="1" x14ac:dyDescent="0.25">
      <c r="C228" s="611"/>
      <c r="D228" s="611"/>
      <c r="J228" s="266"/>
      <c r="M228" s="268"/>
      <c r="N228" s="157"/>
      <c r="O228" s="294"/>
      <c r="P228" s="294"/>
    </row>
    <row r="229" spans="3:16" s="159" customFormat="1" x14ac:dyDescent="0.25">
      <c r="C229" s="611"/>
      <c r="D229" s="611"/>
      <c r="J229" s="266"/>
      <c r="M229" s="268"/>
      <c r="N229" s="157"/>
      <c r="O229" s="294"/>
      <c r="P229" s="294"/>
    </row>
    <row r="230" spans="3:16" s="159" customFormat="1" x14ac:dyDescent="0.25">
      <c r="C230" s="611"/>
      <c r="D230" s="611"/>
      <c r="J230" s="266"/>
      <c r="M230" s="268"/>
      <c r="N230" s="157"/>
      <c r="O230" s="294"/>
      <c r="P230" s="294"/>
    </row>
    <row r="231" spans="3:16" s="159" customFormat="1" x14ac:dyDescent="0.25">
      <c r="C231" s="611"/>
      <c r="D231" s="611"/>
      <c r="J231" s="266"/>
      <c r="M231" s="268"/>
      <c r="N231" s="157"/>
      <c r="O231" s="294"/>
      <c r="P231" s="294"/>
    </row>
    <row r="232" spans="3:16" s="159" customFormat="1" x14ac:dyDescent="0.25">
      <c r="C232" s="611"/>
      <c r="D232" s="611"/>
      <c r="J232" s="266"/>
      <c r="M232" s="268"/>
      <c r="N232" s="157"/>
      <c r="O232" s="294"/>
      <c r="P232" s="294"/>
    </row>
    <row r="233" spans="3:16" s="159" customFormat="1" x14ac:dyDescent="0.25">
      <c r="C233" s="611"/>
      <c r="D233" s="611"/>
      <c r="J233" s="266"/>
      <c r="M233" s="268"/>
      <c r="N233" s="157"/>
      <c r="O233" s="294"/>
      <c r="P233" s="294"/>
    </row>
    <row r="234" spans="3:16" s="159" customFormat="1" x14ac:dyDescent="0.25">
      <c r="C234" s="611"/>
      <c r="D234" s="611"/>
      <c r="J234" s="266"/>
      <c r="M234" s="268"/>
      <c r="N234" s="157"/>
      <c r="O234" s="294"/>
      <c r="P234" s="294"/>
    </row>
    <row r="235" spans="3:16" s="159" customFormat="1" x14ac:dyDescent="0.25">
      <c r="C235" s="611"/>
      <c r="D235" s="611"/>
      <c r="J235" s="266"/>
      <c r="M235" s="268"/>
      <c r="N235" s="157"/>
      <c r="O235" s="294"/>
      <c r="P235" s="294"/>
    </row>
  </sheetData>
  <mergeCells count="44">
    <mergeCell ref="Q9:Q10"/>
    <mergeCell ref="L9:L10"/>
    <mergeCell ref="M9:M10"/>
    <mergeCell ref="N9:N10"/>
    <mergeCell ref="O9:O10"/>
    <mergeCell ref="P9:P10"/>
    <mergeCell ref="J53:J54"/>
    <mergeCell ref="K53:K54"/>
    <mergeCell ref="F55:F56"/>
    <mergeCell ref="G55:G56"/>
    <mergeCell ref="I55:I56"/>
    <mergeCell ref="J55:J56"/>
    <mergeCell ref="A7:K7"/>
    <mergeCell ref="C8:F8"/>
    <mergeCell ref="G8:I8"/>
    <mergeCell ref="B54:B55"/>
    <mergeCell ref="C44:F44"/>
    <mergeCell ref="G44:I44"/>
    <mergeCell ref="C9:F9"/>
    <mergeCell ref="G9:I9"/>
    <mergeCell ref="C25:F25"/>
    <mergeCell ref="G25:I25"/>
    <mergeCell ref="C36:F36"/>
    <mergeCell ref="G36:I36"/>
    <mergeCell ref="K55:K56"/>
    <mergeCell ref="F53:F54"/>
    <mergeCell ref="G53:G54"/>
    <mergeCell ref="I53:I54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1" fitToHeight="2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  <pageSetUpPr fitToPage="1"/>
  </sheetPr>
  <dimension ref="A1:AA239"/>
  <sheetViews>
    <sheetView zoomScale="90" zoomScaleNormal="75" zoomScaleSheetLayoutView="90" zoomScalePageLayoutView="75" workbookViewId="0">
      <selection activeCell="P29" sqref="P28:P29"/>
    </sheetView>
  </sheetViews>
  <sheetFormatPr defaultColWidth="9.33203125" defaultRowHeight="13.2" x14ac:dyDescent="0.25"/>
  <cols>
    <col min="1" max="1" width="12.33203125" style="157" bestFit="1" customWidth="1"/>
    <col min="2" max="2" width="42.6640625" style="157" customWidth="1"/>
    <col min="3" max="4" width="5" style="421" customWidth="1"/>
    <col min="5" max="5" width="12.332031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268" bestFit="1" customWidth="1"/>
    <col min="11" max="11" width="14.441406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515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x14ac:dyDescent="0.25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x14ac:dyDescent="0.25">
      <c r="A9" s="501"/>
      <c r="B9" s="200"/>
      <c r="C9" s="1029"/>
      <c r="D9" s="1029"/>
      <c r="E9" s="1026"/>
      <c r="F9" s="1026"/>
      <c r="G9" s="1030"/>
      <c r="H9" s="1026"/>
      <c r="I9" s="1026"/>
      <c r="J9" s="1026"/>
      <c r="K9" s="1027"/>
      <c r="L9" s="448"/>
      <c r="M9" s="447"/>
      <c r="N9" s="404"/>
      <c r="O9" s="405"/>
      <c r="P9" s="405"/>
    </row>
    <row r="10" spans="1:17" ht="13.8" thickBot="1" x14ac:dyDescent="0.3">
      <c r="A10" s="392"/>
      <c r="B10" s="502"/>
      <c r="C10" s="1029"/>
      <c r="D10" s="1029"/>
      <c r="E10" s="1026"/>
      <c r="F10" s="1026"/>
      <c r="G10" s="1030"/>
      <c r="H10" s="1026"/>
      <c r="I10" s="1026"/>
      <c r="J10" s="1026"/>
      <c r="K10" s="1027"/>
      <c r="L10" s="448"/>
      <c r="M10" s="447"/>
      <c r="N10" s="404"/>
      <c r="O10" s="405"/>
      <c r="P10" s="405"/>
    </row>
    <row r="11" spans="1:17" ht="14.4" thickTop="1" thickBot="1" x14ac:dyDescent="0.3">
      <c r="A11" s="344" t="s">
        <v>0</v>
      </c>
      <c r="B11" s="345" t="s">
        <v>1</v>
      </c>
      <c r="C11" s="1028" t="s">
        <v>646</v>
      </c>
      <c r="D11" s="1028"/>
      <c r="E11" s="1028"/>
      <c r="F11" s="1028"/>
      <c r="G11" s="1028" t="s">
        <v>34</v>
      </c>
      <c r="H11" s="1028"/>
      <c r="I11" s="1028"/>
      <c r="J11" s="346"/>
      <c r="K11" s="503"/>
      <c r="L11" s="1050" t="s">
        <v>771</v>
      </c>
      <c r="M11" s="1052" t="s">
        <v>772</v>
      </c>
      <c r="N11" s="1054" t="s">
        <v>773</v>
      </c>
      <c r="O11" s="1056"/>
      <c r="P11" s="1058"/>
      <c r="Q11" s="1048"/>
    </row>
    <row r="12" spans="1:17" ht="15.6" x14ac:dyDescent="0.3">
      <c r="A12" s="505" t="s">
        <v>516</v>
      </c>
      <c r="B12" s="505" t="s">
        <v>517</v>
      </c>
      <c r="C12" s="350" t="s">
        <v>19</v>
      </c>
      <c r="D12" s="351" t="s">
        <v>33</v>
      </c>
      <c r="E12" s="352" t="s">
        <v>35</v>
      </c>
      <c r="F12" s="353" t="s">
        <v>30</v>
      </c>
      <c r="G12" s="506" t="s">
        <v>14</v>
      </c>
      <c r="H12" s="352" t="s">
        <v>35</v>
      </c>
      <c r="I12" s="353" t="s">
        <v>30</v>
      </c>
      <c r="J12" s="355" t="s">
        <v>649</v>
      </c>
      <c r="K12" s="507" t="s">
        <v>38</v>
      </c>
      <c r="L12" s="1051"/>
      <c r="M12" s="1053"/>
      <c r="N12" s="1055"/>
      <c r="O12" s="1057"/>
      <c r="P12" s="1059"/>
      <c r="Q12" s="1049"/>
    </row>
    <row r="13" spans="1:17" ht="15" x14ac:dyDescent="0.25">
      <c r="A13" s="508" t="s">
        <v>516</v>
      </c>
      <c r="B13" s="194" t="s">
        <v>517</v>
      </c>
      <c r="C13" s="362"/>
      <c r="D13" s="363" t="s">
        <v>21</v>
      </c>
      <c r="E13" s="247">
        <v>0</v>
      </c>
      <c r="F13" s="364">
        <f t="shared" ref="F13:F15" si="0">C13*E13</f>
        <v>0</v>
      </c>
      <c r="G13" s="509"/>
      <c r="H13" s="366">
        <v>0</v>
      </c>
      <c r="I13" s="364">
        <f t="shared" ref="I13:I15" si="1">G13*H13</f>
        <v>0</v>
      </c>
      <c r="J13" s="367"/>
      <c r="K13" s="510">
        <f t="shared" ref="K13:K15" si="2">F13+I13+J13</f>
        <v>0</v>
      </c>
      <c r="L13" s="369"/>
      <c r="M13" s="370"/>
      <c r="N13" s="371"/>
      <c r="O13" s="372"/>
      <c r="P13" s="373"/>
      <c r="Q13" s="374"/>
    </row>
    <row r="14" spans="1:17" ht="15" x14ac:dyDescent="0.25">
      <c r="A14" s="508" t="s">
        <v>519</v>
      </c>
      <c r="B14" s="194" t="s">
        <v>518</v>
      </c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75"/>
      <c r="B15" s="5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O15" s="372"/>
      <c r="P15" s="373"/>
      <c r="Q15" s="374"/>
    </row>
    <row r="16" spans="1:17" ht="13.8" thickBot="1" x14ac:dyDescent="0.3">
      <c r="A16" s="378"/>
      <c r="B16" s="7"/>
      <c r="C16" s="379"/>
      <c r="D16" s="363"/>
      <c r="E16" s="247"/>
      <c r="F16" s="364"/>
      <c r="G16" s="509"/>
      <c r="H16" s="366"/>
      <c r="I16" s="364"/>
      <c r="J16" s="367"/>
      <c r="K16" s="510"/>
      <c r="L16" s="369"/>
      <c r="M16" s="370"/>
      <c r="O16" s="372"/>
      <c r="P16" s="373"/>
      <c r="Q16" s="374"/>
    </row>
    <row r="17" spans="1:17" ht="13.8" thickTop="1" x14ac:dyDescent="0.25">
      <c r="A17" s="378"/>
      <c r="B17" s="7"/>
      <c r="C17" s="379"/>
      <c r="D17" s="363"/>
      <c r="E17" s="247"/>
      <c r="F17" s="364"/>
      <c r="G17" s="509"/>
      <c r="H17" s="366"/>
      <c r="I17" s="364"/>
      <c r="J17" s="380" t="s">
        <v>30</v>
      </c>
      <c r="K17" s="511">
        <f>SUM(K13:K16)</f>
        <v>0</v>
      </c>
      <c r="L17" s="369"/>
      <c r="M17" s="370"/>
      <c r="O17" s="372"/>
      <c r="P17" s="373"/>
      <c r="Q17" s="374"/>
    </row>
    <row r="18" spans="1:17" ht="13.8" thickBot="1" x14ac:dyDescent="0.3">
      <c r="A18" s="344" t="s">
        <v>0</v>
      </c>
      <c r="B18" s="345" t="s">
        <v>1</v>
      </c>
      <c r="C18" s="1028" t="s">
        <v>646</v>
      </c>
      <c r="D18" s="1028"/>
      <c r="E18" s="1028"/>
      <c r="F18" s="1028"/>
      <c r="G18" s="1028" t="s">
        <v>34</v>
      </c>
      <c r="H18" s="1028"/>
      <c r="I18" s="1028"/>
      <c r="J18" s="346"/>
      <c r="K18" s="503"/>
      <c r="L18" s="382"/>
      <c r="M18" s="383"/>
      <c r="N18" s="384"/>
      <c r="O18" s="372"/>
      <c r="P18" s="373"/>
      <c r="Q18" s="374"/>
    </row>
    <row r="19" spans="1:17" ht="15.6" x14ac:dyDescent="0.3">
      <c r="A19" s="505" t="s">
        <v>520</v>
      </c>
      <c r="B19" s="505" t="s">
        <v>521</v>
      </c>
      <c r="C19" s="387" t="s">
        <v>19</v>
      </c>
      <c r="D19" s="388" t="s">
        <v>33</v>
      </c>
      <c r="E19" s="389" t="s">
        <v>35</v>
      </c>
      <c r="F19" s="390" t="s">
        <v>30</v>
      </c>
      <c r="G19" s="512" t="s">
        <v>14</v>
      </c>
      <c r="H19" s="389" t="s">
        <v>35</v>
      </c>
      <c r="I19" s="390" t="s">
        <v>30</v>
      </c>
      <c r="J19" s="355" t="s">
        <v>649</v>
      </c>
      <c r="K19" s="513" t="s">
        <v>38</v>
      </c>
      <c r="L19" s="393"/>
      <c r="M19" s="394"/>
      <c r="N19" s="395"/>
      <c r="O19" s="372"/>
      <c r="P19" s="373"/>
      <c r="Q19" s="374"/>
    </row>
    <row r="20" spans="1:17" s="159" customFormat="1" ht="15" x14ac:dyDescent="0.25">
      <c r="A20" s="194" t="s">
        <v>522</v>
      </c>
      <c r="B20" s="194" t="s">
        <v>523</v>
      </c>
      <c r="C20" s="362"/>
      <c r="D20" s="363" t="s">
        <v>21</v>
      </c>
      <c r="E20" s="247">
        <v>0</v>
      </c>
      <c r="F20" s="364">
        <f>C20*E20</f>
        <v>0</v>
      </c>
      <c r="G20" s="509"/>
      <c r="H20" s="366">
        <v>0</v>
      </c>
      <c r="I20" s="364">
        <f>G20*H20</f>
        <v>0</v>
      </c>
      <c r="J20" s="367"/>
      <c r="K20" s="510">
        <f>F20+I20+J20</f>
        <v>0</v>
      </c>
      <c r="L20" s="369"/>
      <c r="M20" s="884"/>
      <c r="O20" s="372"/>
      <c r="P20" s="373"/>
      <c r="Q20" s="374"/>
    </row>
    <row r="21" spans="1:17" s="159" customFormat="1" x14ac:dyDescent="0.25">
      <c r="A21" s="158" t="s">
        <v>526</v>
      </c>
      <c r="B21" s="159" t="s">
        <v>524</v>
      </c>
      <c r="C21" s="362"/>
      <c r="D21" s="363" t="s">
        <v>21</v>
      </c>
      <c r="E21" s="247">
        <v>0</v>
      </c>
      <c r="F21" s="364">
        <f>C21*E21</f>
        <v>0</v>
      </c>
      <c r="G21" s="509"/>
      <c r="H21" s="366">
        <v>0</v>
      </c>
      <c r="I21" s="364">
        <f>G21*H21</f>
        <v>0</v>
      </c>
      <c r="J21" s="367"/>
      <c r="K21" s="510">
        <f>F21+I21+J21</f>
        <v>0</v>
      </c>
      <c r="L21" s="369"/>
      <c r="M21" s="370"/>
      <c r="N21" s="157"/>
      <c r="O21" s="372"/>
      <c r="P21" s="373"/>
      <c r="Q21" s="374"/>
    </row>
    <row r="22" spans="1:17" s="159" customFormat="1" x14ac:dyDescent="0.25">
      <c r="A22" s="158" t="s">
        <v>527</v>
      </c>
      <c r="B22" s="159" t="s">
        <v>525</v>
      </c>
      <c r="C22" s="362"/>
      <c r="D22" s="363" t="s">
        <v>21</v>
      </c>
      <c r="E22" s="247">
        <v>0</v>
      </c>
      <c r="F22" s="364">
        <f t="shared" ref="F22:F37" si="3">C22*E22</f>
        <v>0</v>
      </c>
      <c r="G22" s="509"/>
      <c r="H22" s="366">
        <v>0</v>
      </c>
      <c r="I22" s="364">
        <f t="shared" ref="I22:I37" si="4">G22*H22</f>
        <v>0</v>
      </c>
      <c r="J22" s="367"/>
      <c r="K22" s="510">
        <f t="shared" ref="K22:K37" si="5">F22+I22+J22</f>
        <v>0</v>
      </c>
      <c r="L22" s="369" t="s">
        <v>1110</v>
      </c>
      <c r="M22" s="370">
        <v>77204.350000000006</v>
      </c>
      <c r="N22" s="371" t="s">
        <v>1122</v>
      </c>
      <c r="O22" s="372"/>
      <c r="P22" s="373"/>
      <c r="Q22" s="374"/>
    </row>
    <row r="23" spans="1:17" s="159" customFormat="1" ht="15" x14ac:dyDescent="0.25">
      <c r="A23" s="894" t="s">
        <v>528</v>
      </c>
      <c r="B23" s="894" t="s">
        <v>529</v>
      </c>
      <c r="C23" s="795"/>
      <c r="D23" s="796" t="s">
        <v>21</v>
      </c>
      <c r="E23" s="797"/>
      <c r="F23" s="798">
        <f t="shared" ref="F23" si="6">C23*E23</f>
        <v>0</v>
      </c>
      <c r="G23" s="799"/>
      <c r="H23" s="800"/>
      <c r="I23" s="798">
        <f t="shared" ref="I23" si="7">G23*H23</f>
        <v>0</v>
      </c>
      <c r="J23" s="801">
        <f>M26</f>
        <v>35000</v>
      </c>
      <c r="K23" s="802">
        <f t="shared" ref="K23" si="8">F23+I23+J23</f>
        <v>35000</v>
      </c>
      <c r="L23" s="369" t="s">
        <v>1028</v>
      </c>
      <c r="M23" s="370"/>
      <c r="N23" s="371" t="s">
        <v>1033</v>
      </c>
      <c r="O23" s="372"/>
      <c r="P23" s="373"/>
      <c r="Q23" s="374"/>
    </row>
    <row r="24" spans="1:17" s="159" customFormat="1" x14ac:dyDescent="0.25">
      <c r="A24" s="158" t="s">
        <v>537</v>
      </c>
      <c r="B24" s="159" t="s">
        <v>529</v>
      </c>
      <c r="C24" s="362"/>
      <c r="D24" s="363" t="s">
        <v>21</v>
      </c>
      <c r="E24" s="247">
        <v>0</v>
      </c>
      <c r="F24" s="364">
        <f t="shared" si="3"/>
        <v>0</v>
      </c>
      <c r="G24" s="509"/>
      <c r="H24" s="366">
        <v>0</v>
      </c>
      <c r="I24" s="364">
        <f t="shared" si="4"/>
        <v>0</v>
      </c>
      <c r="J24" s="367"/>
      <c r="K24" s="510">
        <f t="shared" si="5"/>
        <v>0</v>
      </c>
      <c r="L24" s="369" t="s">
        <v>1029</v>
      </c>
      <c r="M24" s="370">
        <v>39600</v>
      </c>
      <c r="N24" s="371" t="s">
        <v>1123</v>
      </c>
      <c r="O24" s="372"/>
      <c r="P24" s="373"/>
      <c r="Q24" s="374"/>
    </row>
    <row r="25" spans="1:17" s="159" customFormat="1" x14ac:dyDescent="0.25">
      <c r="A25" s="631" t="s">
        <v>538</v>
      </c>
      <c r="B25" s="631" t="s">
        <v>530</v>
      </c>
      <c r="C25" s="362"/>
      <c r="D25" s="363" t="s">
        <v>21</v>
      </c>
      <c r="E25" s="247">
        <v>0</v>
      </c>
      <c r="F25" s="364">
        <f t="shared" si="3"/>
        <v>0</v>
      </c>
      <c r="G25" s="509"/>
      <c r="H25" s="366">
        <v>0</v>
      </c>
      <c r="I25" s="364">
        <f t="shared" si="4"/>
        <v>0</v>
      </c>
      <c r="J25" s="367"/>
      <c r="K25" s="510">
        <f t="shared" si="5"/>
        <v>0</v>
      </c>
      <c r="L25" s="369" t="s">
        <v>1030</v>
      </c>
      <c r="M25" s="370"/>
      <c r="N25" s="371" t="s">
        <v>1033</v>
      </c>
      <c r="O25" s="372"/>
      <c r="P25" s="373"/>
      <c r="Q25" s="374"/>
    </row>
    <row r="26" spans="1:17" s="159" customFormat="1" x14ac:dyDescent="0.25">
      <c r="A26" s="631" t="s">
        <v>539</v>
      </c>
      <c r="B26" s="631" t="s">
        <v>531</v>
      </c>
      <c r="C26" s="362"/>
      <c r="D26" s="363" t="s">
        <v>21</v>
      </c>
      <c r="E26" s="247">
        <v>0</v>
      </c>
      <c r="F26" s="364">
        <f t="shared" ref="F26" si="9">C26*E26</f>
        <v>0</v>
      </c>
      <c r="G26" s="509"/>
      <c r="H26" s="366">
        <v>0</v>
      </c>
      <c r="I26" s="364">
        <f t="shared" ref="I26" si="10">G26*H26</f>
        <v>0</v>
      </c>
      <c r="J26" s="367"/>
      <c r="K26" s="510">
        <f t="shared" ref="K26" si="11">F26+I26+J26</f>
        <v>0</v>
      </c>
      <c r="L26" s="369" t="s">
        <v>1031</v>
      </c>
      <c r="M26" s="370">
        <v>35000</v>
      </c>
      <c r="N26" s="371" t="s">
        <v>1104</v>
      </c>
      <c r="O26" s="372"/>
      <c r="P26" s="373"/>
      <c r="Q26" s="374"/>
    </row>
    <row r="27" spans="1:17" s="159" customFormat="1" x14ac:dyDescent="0.25">
      <c r="A27" s="631" t="s">
        <v>540</v>
      </c>
      <c r="B27" s="631" t="s">
        <v>532</v>
      </c>
      <c r="C27" s="362"/>
      <c r="D27" s="363" t="s">
        <v>21</v>
      </c>
      <c r="E27" s="247">
        <v>0</v>
      </c>
      <c r="F27" s="364">
        <f t="shared" si="3"/>
        <v>0</v>
      </c>
      <c r="G27" s="509"/>
      <c r="H27" s="366">
        <v>0</v>
      </c>
      <c r="I27" s="364">
        <f t="shared" si="4"/>
        <v>0</v>
      </c>
      <c r="J27" s="367"/>
      <c r="K27" s="510">
        <f t="shared" si="5"/>
        <v>0</v>
      </c>
      <c r="L27" s="369"/>
      <c r="M27" s="370"/>
      <c r="N27" s="371" t="s">
        <v>1105</v>
      </c>
      <c r="O27" s="372"/>
      <c r="P27" s="373"/>
      <c r="Q27" s="374"/>
    </row>
    <row r="28" spans="1:17" s="159" customFormat="1" x14ac:dyDescent="0.25">
      <c r="A28" s="158" t="s">
        <v>541</v>
      </c>
      <c r="B28" s="159" t="s">
        <v>533</v>
      </c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L28" s="369"/>
      <c r="M28" s="370"/>
      <c r="N28" s="516"/>
      <c r="O28" s="372"/>
      <c r="P28" s="373"/>
      <c r="Q28" s="374"/>
    </row>
    <row r="29" spans="1:17" s="159" customFormat="1" x14ac:dyDescent="0.25">
      <c r="A29" s="158" t="s">
        <v>542</v>
      </c>
      <c r="B29" s="847" t="s">
        <v>1128</v>
      </c>
      <c r="C29" s="795"/>
      <c r="D29" s="796" t="s">
        <v>21</v>
      </c>
      <c r="E29" s="797">
        <v>0</v>
      </c>
      <c r="F29" s="798">
        <f t="shared" si="3"/>
        <v>0</v>
      </c>
      <c r="G29" s="799"/>
      <c r="H29" s="800">
        <v>0</v>
      </c>
      <c r="I29" s="798">
        <f t="shared" si="4"/>
        <v>0</v>
      </c>
      <c r="J29" s="801"/>
      <c r="K29" s="802">
        <f t="shared" si="5"/>
        <v>0</v>
      </c>
      <c r="L29" s="369"/>
      <c r="M29" s="370"/>
      <c r="N29" s="984">
        <f>M22-M26</f>
        <v>42204.350000000006</v>
      </c>
      <c r="O29" s="401"/>
      <c r="P29" s="402"/>
      <c r="Q29" s="374"/>
    </row>
    <row r="30" spans="1:17" s="159" customFormat="1" x14ac:dyDescent="0.25">
      <c r="A30" s="631" t="s">
        <v>543</v>
      </c>
      <c r="B30" s="631" t="s">
        <v>534</v>
      </c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L30" s="369"/>
      <c r="M30" s="370"/>
      <c r="N30" s="371"/>
      <c r="O30" s="401"/>
      <c r="P30" s="402"/>
      <c r="Q30" s="374"/>
    </row>
    <row r="31" spans="1:17" s="159" customFormat="1" x14ac:dyDescent="0.25">
      <c r="A31" s="631" t="s">
        <v>544</v>
      </c>
      <c r="B31" s="985" t="s">
        <v>1133</v>
      </c>
      <c r="C31" s="795"/>
      <c r="D31" s="796" t="s">
        <v>21</v>
      </c>
      <c r="E31" s="797">
        <v>0</v>
      </c>
      <c r="F31" s="798">
        <f t="shared" si="3"/>
        <v>0</v>
      </c>
      <c r="G31" s="799"/>
      <c r="H31" s="800">
        <v>0</v>
      </c>
      <c r="I31" s="798">
        <f t="shared" si="4"/>
        <v>0</v>
      </c>
      <c r="J31" s="801">
        <v>6500</v>
      </c>
      <c r="K31" s="802">
        <f t="shared" si="5"/>
        <v>6500</v>
      </c>
      <c r="L31" s="369"/>
      <c r="M31" s="370"/>
      <c r="N31" s="847" t="s">
        <v>1134</v>
      </c>
      <c r="O31" s="401"/>
      <c r="P31" s="402"/>
      <c r="Q31" s="374"/>
    </row>
    <row r="32" spans="1:17" s="159" customFormat="1" x14ac:dyDescent="0.25">
      <c r="A32" s="631" t="s">
        <v>545</v>
      </c>
      <c r="B32" s="985" t="s">
        <v>1137</v>
      </c>
      <c r="C32" s="795"/>
      <c r="D32" s="796" t="s">
        <v>21</v>
      </c>
      <c r="E32" s="797">
        <v>0</v>
      </c>
      <c r="F32" s="798">
        <f t="shared" si="3"/>
        <v>0</v>
      </c>
      <c r="G32" s="799"/>
      <c r="H32" s="800">
        <v>0</v>
      </c>
      <c r="I32" s="798">
        <f t="shared" si="4"/>
        <v>0</v>
      </c>
      <c r="J32" s="801">
        <f>M32</f>
        <v>750</v>
      </c>
      <c r="K32" s="802">
        <f t="shared" si="5"/>
        <v>750</v>
      </c>
      <c r="L32" s="369" t="s">
        <v>1136</v>
      </c>
      <c r="M32" s="370">
        <v>750</v>
      </c>
      <c r="N32" s="159" t="s">
        <v>1138</v>
      </c>
      <c r="O32" s="401"/>
      <c r="P32" s="402"/>
      <c r="Q32" s="374"/>
    </row>
    <row r="33" spans="1:27" s="159" customFormat="1" x14ac:dyDescent="0.25">
      <c r="A33" s="631" t="s">
        <v>546</v>
      </c>
      <c r="B33" s="631" t="s">
        <v>535</v>
      </c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L33" s="369"/>
      <c r="M33" s="370"/>
      <c r="N33" s="371"/>
      <c r="O33" s="401"/>
      <c r="P33" s="402"/>
      <c r="Q33" s="374"/>
    </row>
    <row r="34" spans="1:27" s="159" customFormat="1" x14ac:dyDescent="0.25">
      <c r="A34" s="158" t="s">
        <v>547</v>
      </c>
      <c r="B34" s="159" t="s">
        <v>536</v>
      </c>
      <c r="C34" s="362"/>
      <c r="D34" s="363" t="s">
        <v>21</v>
      </c>
      <c r="E34" s="247">
        <v>0</v>
      </c>
      <c r="F34" s="364">
        <f t="shared" si="3"/>
        <v>0</v>
      </c>
      <c r="G34" s="509"/>
      <c r="H34" s="366">
        <v>0</v>
      </c>
      <c r="I34" s="364">
        <f t="shared" si="4"/>
        <v>0</v>
      </c>
      <c r="J34" s="367"/>
      <c r="K34" s="510">
        <f t="shared" si="5"/>
        <v>0</v>
      </c>
      <c r="L34" s="369"/>
      <c r="M34" s="370"/>
      <c r="N34" s="157"/>
      <c r="O34" s="401"/>
      <c r="P34" s="402"/>
      <c r="Q34" s="374"/>
    </row>
    <row r="35" spans="1:27" s="159" customFormat="1" ht="15" x14ac:dyDescent="0.25">
      <c r="A35" s="194" t="s">
        <v>548</v>
      </c>
      <c r="B35" s="194" t="s">
        <v>549</v>
      </c>
      <c r="C35" s="362"/>
      <c r="D35" s="363" t="s">
        <v>21</v>
      </c>
      <c r="E35" s="247">
        <v>0</v>
      </c>
      <c r="F35" s="364">
        <f t="shared" si="3"/>
        <v>0</v>
      </c>
      <c r="G35" s="509"/>
      <c r="H35" s="366">
        <v>0</v>
      </c>
      <c r="I35" s="364">
        <f t="shared" si="4"/>
        <v>0</v>
      </c>
      <c r="J35" s="367"/>
      <c r="K35" s="510">
        <f t="shared" si="5"/>
        <v>0</v>
      </c>
      <c r="L35" s="369"/>
      <c r="M35" s="370"/>
      <c r="N35" s="157"/>
      <c r="O35" s="372"/>
      <c r="P35" s="373"/>
      <c r="Q35" s="374"/>
    </row>
    <row r="36" spans="1:27" s="159" customFormat="1" x14ac:dyDescent="0.25">
      <c r="A36" s="847"/>
      <c r="B36" s="847" t="s">
        <v>1026</v>
      </c>
      <c r="C36" s="795">
        <v>200</v>
      </c>
      <c r="D36" s="796" t="s">
        <v>721</v>
      </c>
      <c r="E36" s="797">
        <v>95</v>
      </c>
      <c r="F36" s="798"/>
      <c r="G36" s="799"/>
      <c r="H36" s="800">
        <v>0</v>
      </c>
      <c r="I36" s="798">
        <f t="shared" si="4"/>
        <v>0</v>
      </c>
      <c r="J36" s="801"/>
      <c r="K36" s="802">
        <f t="shared" si="5"/>
        <v>0</v>
      </c>
      <c r="L36" s="369" t="s">
        <v>1027</v>
      </c>
      <c r="M36" s="370"/>
      <c r="N36" s="159" t="s">
        <v>1032</v>
      </c>
      <c r="O36" s="372"/>
      <c r="P36" s="373"/>
      <c r="Q36" s="374"/>
    </row>
    <row r="37" spans="1:27" s="159" customFormat="1" x14ac:dyDescent="0.25">
      <c r="C37" s="362"/>
      <c r="D37" s="363" t="s">
        <v>21</v>
      </c>
      <c r="E37" s="247">
        <v>0</v>
      </c>
      <c r="F37" s="364">
        <f t="shared" si="3"/>
        <v>0</v>
      </c>
      <c r="G37" s="509"/>
      <c r="H37" s="366">
        <v>0</v>
      </c>
      <c r="I37" s="364">
        <f t="shared" si="4"/>
        <v>0</v>
      </c>
      <c r="J37" s="367"/>
      <c r="K37" s="510">
        <f t="shared" si="5"/>
        <v>0</v>
      </c>
      <c r="L37" s="369"/>
      <c r="M37" s="370"/>
      <c r="O37" s="372"/>
      <c r="P37" s="402"/>
      <c r="Q37" s="374"/>
    </row>
    <row r="38" spans="1:27" s="159" customFormat="1" ht="13.8" thickBot="1" x14ac:dyDescent="0.3">
      <c r="A38" s="361"/>
      <c r="B38" s="5"/>
      <c r="C38" s="379"/>
      <c r="D38" s="363"/>
      <c r="E38" s="247"/>
      <c r="F38" s="364"/>
      <c r="G38" s="509"/>
      <c r="H38" s="366"/>
      <c r="I38" s="364"/>
      <c r="J38" s="367"/>
      <c r="K38" s="514"/>
      <c r="L38" s="369"/>
      <c r="M38" s="370"/>
      <c r="N38" s="409"/>
      <c r="O38" s="372"/>
      <c r="P38" s="373"/>
      <c r="Q38" s="374"/>
    </row>
    <row r="39" spans="1:27" s="159" customFormat="1" ht="13.8" thickTop="1" x14ac:dyDescent="0.25">
      <c r="A39" s="378"/>
      <c r="B39" s="5"/>
      <c r="C39" s="379">
        <f>40+290</f>
        <v>330</v>
      </c>
      <c r="D39" s="363" t="s">
        <v>721</v>
      </c>
      <c r="E39" s="247">
        <f>K39/C39</f>
        <v>128.03030303030303</v>
      </c>
      <c r="F39" s="364"/>
      <c r="G39" s="509"/>
      <c r="H39" s="366"/>
      <c r="I39" s="364"/>
      <c r="J39" s="380" t="s">
        <v>30</v>
      </c>
      <c r="K39" s="511">
        <f>SUM(K20:K38)</f>
        <v>42250</v>
      </c>
      <c r="L39" s="515"/>
      <c r="M39" s="531"/>
      <c r="N39" s="516"/>
      <c r="O39" s="372"/>
      <c r="P39" s="373"/>
      <c r="Q39" s="374"/>
    </row>
    <row r="40" spans="1:27" s="159" customFormat="1" ht="13.8" thickBot="1" x14ac:dyDescent="0.3">
      <c r="A40" s="344" t="s">
        <v>0</v>
      </c>
      <c r="B40" s="345" t="s">
        <v>1</v>
      </c>
      <c r="C40" s="1028" t="s">
        <v>646</v>
      </c>
      <c r="D40" s="1028"/>
      <c r="E40" s="1028"/>
      <c r="F40" s="1028"/>
      <c r="G40" s="1028" t="s">
        <v>34</v>
      </c>
      <c r="H40" s="1028"/>
      <c r="I40" s="1028"/>
      <c r="J40" s="346"/>
      <c r="K40" s="503"/>
      <c r="L40" s="382"/>
      <c r="M40" s="383"/>
      <c r="N40" s="384"/>
      <c r="O40" s="372"/>
      <c r="P40" s="373"/>
      <c r="Q40" s="374"/>
    </row>
    <row r="41" spans="1:27" s="159" customFormat="1" ht="16.2" thickBot="1" x14ac:dyDescent="0.35">
      <c r="A41" s="759" t="s">
        <v>551</v>
      </c>
      <c r="B41" s="759" t="s">
        <v>550</v>
      </c>
      <c r="C41" s="387" t="s">
        <v>19</v>
      </c>
      <c r="D41" s="388" t="s">
        <v>33</v>
      </c>
      <c r="E41" s="389" t="s">
        <v>35</v>
      </c>
      <c r="F41" s="390" t="s">
        <v>30</v>
      </c>
      <c r="G41" s="512" t="s">
        <v>14</v>
      </c>
      <c r="H41" s="389" t="s">
        <v>35</v>
      </c>
      <c r="I41" s="390" t="s">
        <v>30</v>
      </c>
      <c r="J41" s="355" t="s">
        <v>649</v>
      </c>
      <c r="K41" s="513" t="s">
        <v>38</v>
      </c>
      <c r="L41" s="393"/>
      <c r="M41" s="399"/>
      <c r="N41" s="400"/>
      <c r="O41" s="372"/>
      <c r="P41" s="373"/>
      <c r="Q41" s="374"/>
      <c r="Z41" s="196"/>
      <c r="AA41" s="196"/>
    </row>
    <row r="42" spans="1:27" s="159" customFormat="1" ht="15" x14ac:dyDescent="0.25">
      <c r="A42" s="396"/>
      <c r="B42" s="397"/>
      <c r="C42" s="362"/>
      <c r="D42" s="363" t="s">
        <v>21</v>
      </c>
      <c r="E42" s="247">
        <v>0</v>
      </c>
      <c r="F42" s="364">
        <f>C42*E42</f>
        <v>0</v>
      </c>
      <c r="G42" s="509"/>
      <c r="H42" s="366">
        <v>0</v>
      </c>
      <c r="I42" s="364">
        <f>G42*H42</f>
        <v>0</v>
      </c>
      <c r="J42" s="367"/>
      <c r="K42" s="510">
        <f>F42+I42+J42</f>
        <v>0</v>
      </c>
      <c r="L42" s="369"/>
      <c r="M42" s="249"/>
      <c r="N42" s="409"/>
      <c r="O42" s="372"/>
      <c r="P42" s="373"/>
      <c r="Q42" s="374"/>
      <c r="Z42" s="196"/>
      <c r="AA42" s="196"/>
    </row>
    <row r="43" spans="1:27" s="159" customFormat="1" x14ac:dyDescent="0.25">
      <c r="A43" s="361"/>
      <c r="B43" s="5"/>
      <c r="C43" s="362"/>
      <c r="D43" s="363" t="s">
        <v>21</v>
      </c>
      <c r="E43" s="247">
        <v>0</v>
      </c>
      <c r="F43" s="364">
        <f>C43*E43</f>
        <v>0</v>
      </c>
      <c r="G43" s="509"/>
      <c r="H43" s="366">
        <v>0</v>
      </c>
      <c r="I43" s="364">
        <f>G43*H43</f>
        <v>0</v>
      </c>
      <c r="J43" s="367"/>
      <c r="K43" s="510">
        <f>F43+I43+J43</f>
        <v>0</v>
      </c>
      <c r="L43" s="369"/>
      <c r="M43" s="249"/>
      <c r="N43" s="371"/>
      <c r="O43" s="372"/>
      <c r="P43" s="373"/>
      <c r="Q43" s="374"/>
    </row>
    <row r="44" spans="1:27" s="159" customFormat="1" x14ac:dyDescent="0.25">
      <c r="A44" s="361"/>
      <c r="B44" s="5"/>
      <c r="C44" s="362"/>
      <c r="D44" s="363" t="s">
        <v>21</v>
      </c>
      <c r="E44" s="247">
        <v>0</v>
      </c>
      <c r="F44" s="364">
        <f>C44*E44</f>
        <v>0</v>
      </c>
      <c r="G44" s="509"/>
      <c r="H44" s="366">
        <v>0</v>
      </c>
      <c r="I44" s="364">
        <f>G44*H44</f>
        <v>0</v>
      </c>
      <c r="J44" s="367"/>
      <c r="K44" s="510">
        <f>F44+I44+J44</f>
        <v>0</v>
      </c>
      <c r="L44" s="369"/>
      <c r="M44" s="449"/>
      <c r="N44" s="157"/>
      <c r="O44" s="417"/>
      <c r="P44" s="418"/>
      <c r="Q44" s="374"/>
    </row>
    <row r="45" spans="1:27" s="159" customFormat="1" x14ac:dyDescent="0.25">
      <c r="A45" s="378"/>
      <c r="B45" s="403"/>
      <c r="C45" s="379"/>
      <c r="D45" s="363"/>
      <c r="E45" s="247"/>
      <c r="F45" s="364"/>
      <c r="G45" s="509"/>
      <c r="H45" s="366"/>
      <c r="I45" s="364"/>
      <c r="J45" s="367"/>
      <c r="K45" s="514"/>
      <c r="L45" s="369"/>
      <c r="M45" s="266"/>
      <c r="O45" s="417"/>
      <c r="P45" s="418"/>
      <c r="Q45" s="374"/>
    </row>
    <row r="46" spans="1:27" s="159" customFormat="1" ht="13.8" thickBot="1" x14ac:dyDescent="0.3">
      <c r="A46" s="378"/>
      <c r="B46" s="403"/>
      <c r="C46" s="379"/>
      <c r="D46" s="363"/>
      <c r="E46" s="247"/>
      <c r="F46" s="364"/>
      <c r="G46" s="509"/>
      <c r="H46" s="366"/>
      <c r="I46" s="364"/>
      <c r="J46" s="367"/>
      <c r="K46" s="514"/>
      <c r="L46" s="369"/>
      <c r="M46" s="266"/>
      <c r="O46" s="401"/>
      <c r="P46" s="402"/>
      <c r="Q46" s="374"/>
    </row>
    <row r="47" spans="1:27" s="159" customFormat="1" ht="13.8" thickTop="1" x14ac:dyDescent="0.25">
      <c r="A47" s="378"/>
      <c r="B47" s="403"/>
      <c r="C47" s="379"/>
      <c r="D47" s="363"/>
      <c r="E47" s="247"/>
      <c r="F47" s="364"/>
      <c r="G47" s="509"/>
      <c r="H47" s="366"/>
      <c r="I47" s="364"/>
      <c r="J47" s="380" t="s">
        <v>30</v>
      </c>
      <c r="K47" s="511">
        <f>SUM(K42:K46)</f>
        <v>0</v>
      </c>
      <c r="L47" s="369"/>
      <c r="M47" s="266"/>
      <c r="O47" s="372"/>
      <c r="P47" s="373"/>
      <c r="Q47" s="374"/>
    </row>
    <row r="48" spans="1:27" s="159" customFormat="1" ht="13.8" thickBot="1" x14ac:dyDescent="0.3">
      <c r="A48" s="344" t="s">
        <v>0</v>
      </c>
      <c r="B48" s="345" t="s">
        <v>1</v>
      </c>
      <c r="C48" s="1028" t="s">
        <v>646</v>
      </c>
      <c r="D48" s="1028"/>
      <c r="E48" s="1028"/>
      <c r="F48" s="1028"/>
      <c r="G48" s="1028" t="s">
        <v>34</v>
      </c>
      <c r="H48" s="1028"/>
      <c r="I48" s="1028"/>
      <c r="J48" s="346"/>
      <c r="K48" s="503"/>
      <c r="L48" s="382"/>
      <c r="M48" s="383"/>
      <c r="N48" s="384"/>
      <c r="O48" s="372"/>
      <c r="P48" s="373"/>
      <c r="Q48" s="374"/>
    </row>
    <row r="49" spans="1:17" s="159" customFormat="1" ht="16.2" thickBot="1" x14ac:dyDescent="0.35">
      <c r="A49" s="759" t="s">
        <v>552</v>
      </c>
      <c r="B49" s="759" t="s">
        <v>553</v>
      </c>
      <c r="C49" s="387" t="s">
        <v>19</v>
      </c>
      <c r="D49" s="388" t="s">
        <v>33</v>
      </c>
      <c r="E49" s="389" t="s">
        <v>35</v>
      </c>
      <c r="F49" s="390" t="s">
        <v>30</v>
      </c>
      <c r="G49" s="512" t="s">
        <v>14</v>
      </c>
      <c r="H49" s="389" t="s">
        <v>35</v>
      </c>
      <c r="I49" s="390" t="s">
        <v>30</v>
      </c>
      <c r="J49" s="355" t="s">
        <v>649</v>
      </c>
      <c r="K49" s="513" t="s">
        <v>38</v>
      </c>
      <c r="L49" s="393"/>
      <c r="M49" s="399"/>
      <c r="N49" s="400"/>
      <c r="O49" s="372"/>
      <c r="P49" s="373"/>
      <c r="Q49" s="374"/>
    </row>
    <row r="50" spans="1:17" s="159" customFormat="1" x14ac:dyDescent="0.25">
      <c r="A50" s="396"/>
      <c r="B50" s="397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L50" s="369"/>
      <c r="M50" s="249"/>
      <c r="N50" s="371"/>
      <c r="O50" s="372"/>
      <c r="P50" s="373"/>
      <c r="Q50" s="374"/>
    </row>
    <row r="51" spans="1:17" s="159" customFormat="1" x14ac:dyDescent="0.25">
      <c r="A51" s="361"/>
      <c r="B51" s="5"/>
      <c r="C51" s="362"/>
      <c r="D51" s="363" t="s">
        <v>21</v>
      </c>
      <c r="E51" s="247">
        <v>0</v>
      </c>
      <c r="F51" s="364">
        <f>C51*E51</f>
        <v>0</v>
      </c>
      <c r="G51" s="509"/>
      <c r="H51" s="366">
        <v>0</v>
      </c>
      <c r="I51" s="364">
        <f>G51*H51</f>
        <v>0</v>
      </c>
      <c r="J51" s="367"/>
      <c r="K51" s="510">
        <f>F51+I51+J51</f>
        <v>0</v>
      </c>
      <c r="L51" s="369"/>
      <c r="M51" s="266"/>
      <c r="O51" s="372"/>
      <c r="P51" s="373"/>
      <c r="Q51" s="374"/>
    </row>
    <row r="52" spans="1:17" s="159" customFormat="1" x14ac:dyDescent="0.25">
      <c r="A52" s="361"/>
      <c r="B52" s="5"/>
      <c r="C52" s="362"/>
      <c r="D52" s="363" t="s">
        <v>21</v>
      </c>
      <c r="E52" s="247">
        <v>0</v>
      </c>
      <c r="F52" s="364">
        <f>C52*E52</f>
        <v>0</v>
      </c>
      <c r="G52" s="509"/>
      <c r="H52" s="366">
        <v>0</v>
      </c>
      <c r="I52" s="364">
        <f>G52*H52</f>
        <v>0</v>
      </c>
      <c r="J52" s="367"/>
      <c r="K52" s="510">
        <f>F52+I52+J52</f>
        <v>0</v>
      </c>
      <c r="L52" s="369"/>
      <c r="M52" s="266"/>
      <c r="O52" s="372"/>
      <c r="P52" s="373"/>
      <c r="Q52" s="374"/>
    </row>
    <row r="53" spans="1:17" s="159" customFormat="1" x14ac:dyDescent="0.25">
      <c r="A53" s="361"/>
      <c r="B53" s="5"/>
      <c r="C53" s="362"/>
      <c r="D53" s="363" t="s">
        <v>21</v>
      </c>
      <c r="E53" s="247">
        <v>0</v>
      </c>
      <c r="F53" s="364">
        <f>C53*E53</f>
        <v>0</v>
      </c>
      <c r="G53" s="509"/>
      <c r="H53" s="366">
        <v>0</v>
      </c>
      <c r="I53" s="364">
        <f>G53*H53</f>
        <v>0</v>
      </c>
      <c r="J53" s="367"/>
      <c r="K53" s="510">
        <f>F53+I53+J53</f>
        <v>0</v>
      </c>
      <c r="L53" s="369"/>
      <c r="M53" s="249"/>
      <c r="N53" s="409"/>
      <c r="O53" s="372"/>
      <c r="P53" s="373"/>
      <c r="Q53" s="374"/>
    </row>
    <row r="54" spans="1:17" s="159" customFormat="1" x14ac:dyDescent="0.25">
      <c r="A54" s="361"/>
      <c r="B54" s="5"/>
      <c r="C54" s="362"/>
      <c r="D54" s="363" t="s">
        <v>21</v>
      </c>
      <c r="E54" s="247">
        <v>0</v>
      </c>
      <c r="F54" s="364">
        <f>C54*E54</f>
        <v>0</v>
      </c>
      <c r="G54" s="509"/>
      <c r="H54" s="366">
        <v>0</v>
      </c>
      <c r="I54" s="364">
        <f>G54*H54</f>
        <v>0</v>
      </c>
      <c r="J54" s="367"/>
      <c r="K54" s="510">
        <f>F54+I54+J54</f>
        <v>0</v>
      </c>
      <c r="L54" s="369"/>
      <c r="M54" s="268"/>
      <c r="N54" s="157"/>
      <c r="O54" s="372"/>
      <c r="P54" s="373"/>
      <c r="Q54" s="374"/>
    </row>
    <row r="55" spans="1:17" s="159" customFormat="1" ht="13.8" thickBot="1" x14ac:dyDescent="0.3">
      <c r="A55" s="378"/>
      <c r="B55" s="403"/>
      <c r="C55" s="379"/>
      <c r="D55" s="363"/>
      <c r="E55" s="247"/>
      <c r="F55" s="364"/>
      <c r="G55" s="509"/>
      <c r="H55" s="366"/>
      <c r="I55" s="364"/>
      <c r="J55" s="367"/>
      <c r="K55" s="514"/>
      <c r="L55" s="369"/>
      <c r="M55" s="268"/>
      <c r="N55" s="157"/>
      <c r="O55" s="372"/>
      <c r="P55" s="373"/>
      <c r="Q55" s="374"/>
    </row>
    <row r="56" spans="1:17" s="159" customFormat="1" ht="14.4" thickTop="1" thickBot="1" x14ac:dyDescent="0.3">
      <c r="A56" s="378"/>
      <c r="B56" s="403"/>
      <c r="C56" s="379"/>
      <c r="D56" s="363"/>
      <c r="E56" s="247"/>
      <c r="F56" s="364"/>
      <c r="G56" s="509"/>
      <c r="H56" s="366"/>
      <c r="I56" s="364"/>
      <c r="J56" s="380" t="s">
        <v>30</v>
      </c>
      <c r="K56" s="511">
        <f>SUM(K50:K55)</f>
        <v>0</v>
      </c>
      <c r="M56" s="266"/>
      <c r="O56" s="372"/>
      <c r="P56" s="373"/>
      <c r="Q56" s="374"/>
    </row>
    <row r="57" spans="1:17" s="159" customFormat="1" ht="14.1" customHeight="1" x14ac:dyDescent="0.25">
      <c r="A57" s="458"/>
      <c r="B57" s="459"/>
      <c r="C57" s="460"/>
      <c r="D57" s="460"/>
      <c r="E57" s="461"/>
      <c r="F57" s="1038" t="s">
        <v>648</v>
      </c>
      <c r="G57" s="1040" t="s">
        <v>673</v>
      </c>
      <c r="H57" s="461"/>
      <c r="I57" s="1042" t="s">
        <v>647</v>
      </c>
      <c r="J57" s="1044" t="s">
        <v>674</v>
      </c>
      <c r="K57" s="1121" t="s">
        <v>31</v>
      </c>
      <c r="M57" s="268"/>
      <c r="N57" s="157"/>
      <c r="O57" s="294"/>
      <c r="P57" s="294"/>
    </row>
    <row r="58" spans="1:17" s="159" customFormat="1" ht="13.8" x14ac:dyDescent="0.25">
      <c r="A58" s="462" t="s">
        <v>32</v>
      </c>
      <c r="B58" s="1031" t="s">
        <v>661</v>
      </c>
      <c r="C58" s="463"/>
      <c r="D58" s="464"/>
      <c r="E58" s="464"/>
      <c r="F58" s="1039"/>
      <c r="G58" s="1041"/>
      <c r="H58" s="465"/>
      <c r="I58" s="1043"/>
      <c r="J58" s="1045"/>
      <c r="K58" s="1122"/>
      <c r="M58" s="268"/>
      <c r="N58" s="157"/>
      <c r="O58" s="294"/>
      <c r="P58" s="294"/>
    </row>
    <row r="59" spans="1:17" s="159" customFormat="1" ht="13.8" x14ac:dyDescent="0.25">
      <c r="A59" s="780">
        <f>K59/E6</f>
        <v>70.416666666666671</v>
      </c>
      <c r="B59" s="1031"/>
      <c r="C59" s="464"/>
      <c r="D59" s="464"/>
      <c r="E59" s="464"/>
      <c r="F59" s="1032">
        <f>SUM(F13:F15,F50:F55,F42:F46,F20:F38)</f>
        <v>0</v>
      </c>
      <c r="G59" s="1251">
        <f>SUM(G13:G15,G50:G55,G42:G46,G20:G38)</f>
        <v>0</v>
      </c>
      <c r="H59" s="465"/>
      <c r="I59" s="1032">
        <f>SUM(I13:I15,I50:I55,I42:I46,I20:I38)</f>
        <v>0</v>
      </c>
      <c r="J59" s="1032">
        <f>SUM(J13:J15,J50:J55,J42:J46,J20:J38)</f>
        <v>42250</v>
      </c>
      <c r="K59" s="1119">
        <f>SUM(K56,K47,K39,K17)</f>
        <v>42250</v>
      </c>
      <c r="M59" s="268"/>
      <c r="N59" s="157"/>
      <c r="O59" s="294"/>
      <c r="P59" s="294"/>
    </row>
    <row r="60" spans="1:17" s="159" customFormat="1" ht="14.4" thickBot="1" x14ac:dyDescent="0.3">
      <c r="A60" s="462"/>
      <c r="B60" s="529"/>
      <c r="C60" s="468"/>
      <c r="D60" s="468"/>
      <c r="E60" s="468"/>
      <c r="F60" s="1033"/>
      <c r="G60" s="1035"/>
      <c r="H60" s="468"/>
      <c r="I60" s="1033"/>
      <c r="J60" s="1033"/>
      <c r="K60" s="1120"/>
      <c r="M60" s="268"/>
      <c r="N60" s="157"/>
      <c r="O60" s="294"/>
      <c r="P60" s="294"/>
    </row>
    <row r="61" spans="1:17" s="159" customFormat="1" ht="13.8" thickBot="1" x14ac:dyDescent="0.3">
      <c r="A61" s="469"/>
      <c r="B61" s="470"/>
      <c r="C61" s="470"/>
      <c r="D61" s="470"/>
      <c r="E61" s="470"/>
      <c r="F61" s="470"/>
      <c r="G61" s="470"/>
      <c r="H61" s="470"/>
      <c r="I61" s="470"/>
      <c r="J61" s="470"/>
      <c r="K61" s="471"/>
      <c r="M61" s="268"/>
      <c r="N61" s="157"/>
      <c r="O61" s="294"/>
      <c r="P61" s="294"/>
    </row>
    <row r="62" spans="1:17" s="159" customFormat="1" x14ac:dyDescent="0.25">
      <c r="C62" s="611"/>
      <c r="D62" s="611"/>
      <c r="J62" s="266"/>
      <c r="M62" s="268"/>
      <c r="N62" s="157"/>
      <c r="O62" s="294"/>
      <c r="P62" s="294"/>
    </row>
    <row r="63" spans="1:17" s="159" customFormat="1" x14ac:dyDescent="0.25">
      <c r="C63" s="611"/>
      <c r="D63" s="611"/>
      <c r="J63" s="266"/>
      <c r="M63" s="268"/>
      <c r="N63" s="157"/>
      <c r="O63" s="294"/>
      <c r="P63" s="294"/>
    </row>
    <row r="64" spans="1:17" s="159" customFormat="1" x14ac:dyDescent="0.25">
      <c r="C64" s="611"/>
      <c r="D64" s="611"/>
      <c r="J64" s="266"/>
      <c r="M64" s="268"/>
      <c r="N64" s="157"/>
      <c r="O64" s="294"/>
      <c r="P64" s="294"/>
    </row>
    <row r="65" spans="3:16" s="159" customFormat="1" x14ac:dyDescent="0.25">
      <c r="C65" s="611"/>
      <c r="D65" s="611"/>
      <c r="J65" s="266"/>
      <c r="M65" s="268"/>
      <c r="N65" s="157"/>
      <c r="O65" s="294"/>
      <c r="P65" s="294"/>
    </row>
    <row r="66" spans="3:16" s="159" customFormat="1" x14ac:dyDescent="0.25">
      <c r="C66" s="611"/>
      <c r="D66" s="611"/>
      <c r="J66" s="266"/>
      <c r="M66" s="268"/>
      <c r="N66" s="157"/>
      <c r="O66" s="294"/>
      <c r="P66" s="294"/>
    </row>
    <row r="67" spans="3:16" s="159" customFormat="1" x14ac:dyDescent="0.25">
      <c r="C67" s="611"/>
      <c r="D67" s="611"/>
      <c r="J67" s="266"/>
      <c r="M67" s="268"/>
      <c r="N67" s="157"/>
      <c r="O67" s="294"/>
      <c r="P67" s="294"/>
    </row>
    <row r="68" spans="3:16" s="159" customFormat="1" x14ac:dyDescent="0.25">
      <c r="C68" s="611"/>
      <c r="D68" s="611"/>
      <c r="J68" s="266"/>
      <c r="M68" s="268"/>
      <c r="N68" s="157"/>
      <c r="O68" s="294"/>
      <c r="P68" s="294"/>
    </row>
    <row r="69" spans="3:16" s="159" customFormat="1" x14ac:dyDescent="0.25">
      <c r="C69" s="611"/>
      <c r="D69" s="611"/>
      <c r="J69" s="266"/>
      <c r="M69" s="268"/>
      <c r="N69" s="157"/>
      <c r="O69" s="294"/>
      <c r="P69" s="294"/>
    </row>
    <row r="70" spans="3:16" s="159" customFormat="1" x14ac:dyDescent="0.25">
      <c r="C70" s="611"/>
      <c r="D70" s="611"/>
      <c r="J70" s="266"/>
      <c r="M70" s="268"/>
      <c r="N70" s="157"/>
      <c r="O70" s="294"/>
      <c r="P70" s="294"/>
    </row>
    <row r="71" spans="3:16" s="159" customFormat="1" x14ac:dyDescent="0.25">
      <c r="C71" s="611"/>
      <c r="D71" s="611"/>
      <c r="J71" s="266"/>
      <c r="M71" s="268"/>
      <c r="N71" s="157"/>
      <c r="O71" s="294"/>
      <c r="P71" s="294"/>
    </row>
    <row r="72" spans="3:16" s="159" customFormat="1" x14ac:dyDescent="0.25">
      <c r="C72" s="611"/>
      <c r="D72" s="611"/>
      <c r="J72" s="266"/>
      <c r="M72" s="268"/>
      <c r="N72" s="157"/>
      <c r="O72" s="294"/>
      <c r="P72" s="294"/>
    </row>
    <row r="73" spans="3:16" s="159" customFormat="1" x14ac:dyDescent="0.25">
      <c r="C73" s="611"/>
      <c r="D73" s="611"/>
      <c r="J73" s="266"/>
      <c r="M73" s="268"/>
      <c r="N73" s="157"/>
      <c r="O73" s="294"/>
      <c r="P73" s="294"/>
    </row>
    <row r="74" spans="3:16" s="159" customFormat="1" x14ac:dyDescent="0.25">
      <c r="C74" s="611"/>
      <c r="D74" s="611"/>
      <c r="J74" s="266"/>
      <c r="M74" s="268"/>
      <c r="N74" s="157"/>
      <c r="O74" s="294"/>
      <c r="P74" s="294"/>
    </row>
    <row r="75" spans="3:16" s="159" customFormat="1" x14ac:dyDescent="0.25">
      <c r="C75" s="611"/>
      <c r="D75" s="611"/>
      <c r="J75" s="266"/>
      <c r="M75" s="268"/>
      <c r="N75" s="157"/>
      <c r="O75" s="294"/>
      <c r="P75" s="294"/>
    </row>
    <row r="76" spans="3:16" s="159" customFormat="1" x14ac:dyDescent="0.25">
      <c r="C76" s="611"/>
      <c r="D76" s="611"/>
      <c r="J76" s="266"/>
      <c r="M76" s="268"/>
      <c r="N76" s="157"/>
      <c r="O76" s="294"/>
      <c r="P76" s="294"/>
    </row>
    <row r="77" spans="3:16" s="159" customFormat="1" x14ac:dyDescent="0.25">
      <c r="C77" s="611"/>
      <c r="D77" s="611"/>
      <c r="J77" s="266"/>
      <c r="M77" s="268"/>
      <c r="N77" s="157"/>
      <c r="O77" s="294"/>
      <c r="P77" s="294"/>
    </row>
    <row r="78" spans="3:16" s="159" customFormat="1" x14ac:dyDescent="0.25">
      <c r="C78" s="611"/>
      <c r="D78" s="611"/>
      <c r="J78" s="266"/>
      <c r="M78" s="268"/>
      <c r="N78" s="157"/>
      <c r="O78" s="294"/>
      <c r="P78" s="294"/>
    </row>
    <row r="79" spans="3:16" s="159" customFormat="1" x14ac:dyDescent="0.25">
      <c r="C79" s="611"/>
      <c r="D79" s="611"/>
      <c r="J79" s="266"/>
      <c r="M79" s="268"/>
      <c r="N79" s="157"/>
      <c r="O79" s="294"/>
      <c r="P79" s="294"/>
    </row>
    <row r="80" spans="3:16" s="159" customFormat="1" x14ac:dyDescent="0.25">
      <c r="C80" s="611"/>
      <c r="D80" s="611"/>
      <c r="J80" s="266"/>
      <c r="M80" s="268"/>
      <c r="N80" s="157"/>
      <c r="O80" s="294"/>
      <c r="P80" s="294"/>
    </row>
    <row r="81" spans="3:16" s="159" customFormat="1" x14ac:dyDescent="0.25">
      <c r="C81" s="611"/>
      <c r="D81" s="611"/>
      <c r="J81" s="266"/>
      <c r="M81" s="268"/>
      <c r="N81" s="157"/>
      <c r="O81" s="294"/>
      <c r="P81" s="294"/>
    </row>
    <row r="82" spans="3:16" s="159" customFormat="1" x14ac:dyDescent="0.25">
      <c r="C82" s="611"/>
      <c r="D82" s="611"/>
      <c r="J82" s="266"/>
      <c r="M82" s="268"/>
      <c r="N82" s="157"/>
      <c r="O82" s="294"/>
      <c r="P82" s="294"/>
    </row>
    <row r="83" spans="3:16" s="159" customFormat="1" x14ac:dyDescent="0.25">
      <c r="C83" s="611"/>
      <c r="D83" s="611"/>
      <c r="J83" s="266"/>
      <c r="M83" s="268"/>
      <c r="N83" s="157"/>
      <c r="O83" s="294"/>
      <c r="P83" s="294"/>
    </row>
    <row r="84" spans="3:16" s="159" customFormat="1" x14ac:dyDescent="0.25">
      <c r="C84" s="611"/>
      <c r="D84" s="611"/>
      <c r="J84" s="266"/>
      <c r="M84" s="268"/>
      <c r="N84" s="157"/>
      <c r="O84" s="294"/>
      <c r="P84" s="294"/>
    </row>
    <row r="85" spans="3:16" s="159" customFormat="1" x14ac:dyDescent="0.25">
      <c r="C85" s="611"/>
      <c r="D85" s="611"/>
      <c r="J85" s="266"/>
      <c r="M85" s="268"/>
      <c r="N85" s="157"/>
      <c r="O85" s="294"/>
      <c r="P85" s="294"/>
    </row>
    <row r="86" spans="3:16" s="159" customFormat="1" x14ac:dyDescent="0.25">
      <c r="C86" s="611"/>
      <c r="D86" s="611"/>
      <c r="J86" s="266"/>
      <c r="M86" s="268"/>
      <c r="N86" s="157"/>
      <c r="O86" s="294"/>
      <c r="P86" s="294"/>
    </row>
    <row r="87" spans="3:16" s="159" customFormat="1" x14ac:dyDescent="0.25">
      <c r="C87" s="611"/>
      <c r="D87" s="611"/>
      <c r="J87" s="266"/>
      <c r="M87" s="268"/>
      <c r="N87" s="157"/>
      <c r="O87" s="294"/>
      <c r="P87" s="294"/>
    </row>
    <row r="88" spans="3:16" s="159" customFormat="1" x14ac:dyDescent="0.25">
      <c r="C88" s="611"/>
      <c r="D88" s="611"/>
      <c r="J88" s="266"/>
      <c r="M88" s="268"/>
      <c r="N88" s="157"/>
      <c r="O88" s="294"/>
      <c r="P88" s="294"/>
    </row>
    <row r="89" spans="3:16" s="159" customFormat="1" x14ac:dyDescent="0.25">
      <c r="C89" s="611"/>
      <c r="D89" s="611"/>
      <c r="J89" s="266"/>
      <c r="M89" s="268"/>
      <c r="N89" s="157"/>
      <c r="O89" s="294"/>
      <c r="P89" s="294"/>
    </row>
    <row r="90" spans="3:16" s="159" customFormat="1" x14ac:dyDescent="0.25">
      <c r="C90" s="611"/>
      <c r="D90" s="611"/>
      <c r="J90" s="266"/>
      <c r="M90" s="268"/>
      <c r="N90" s="157"/>
      <c r="O90" s="294"/>
      <c r="P90" s="294"/>
    </row>
    <row r="91" spans="3:16" s="159" customFormat="1" x14ac:dyDescent="0.25">
      <c r="C91" s="611"/>
      <c r="D91" s="611"/>
      <c r="J91" s="266"/>
      <c r="M91" s="268"/>
      <c r="N91" s="157"/>
      <c r="O91" s="294"/>
      <c r="P91" s="294"/>
    </row>
    <row r="92" spans="3:16" s="159" customFormat="1" x14ac:dyDescent="0.25">
      <c r="C92" s="611"/>
      <c r="D92" s="611"/>
      <c r="J92" s="266"/>
      <c r="M92" s="268"/>
      <c r="N92" s="157"/>
      <c r="O92" s="294"/>
      <c r="P92" s="294"/>
    </row>
    <row r="93" spans="3:16" s="159" customFormat="1" x14ac:dyDescent="0.25">
      <c r="C93" s="611"/>
      <c r="D93" s="611"/>
      <c r="J93" s="266"/>
      <c r="M93" s="268"/>
      <c r="N93" s="157"/>
      <c r="O93" s="294"/>
      <c r="P93" s="294"/>
    </row>
    <row r="94" spans="3:16" s="159" customFormat="1" x14ac:dyDescent="0.25">
      <c r="C94" s="611"/>
      <c r="D94" s="611"/>
      <c r="J94" s="266"/>
      <c r="M94" s="268"/>
      <c r="N94" s="157"/>
      <c r="O94" s="294"/>
      <c r="P94" s="294"/>
    </row>
    <row r="95" spans="3:16" s="159" customFormat="1" x14ac:dyDescent="0.25">
      <c r="C95" s="611"/>
      <c r="D95" s="611"/>
      <c r="J95" s="266"/>
      <c r="M95" s="268"/>
      <c r="N95" s="157"/>
      <c r="O95" s="294"/>
      <c r="P95" s="294"/>
    </row>
    <row r="96" spans="3:16" s="159" customFormat="1" x14ac:dyDescent="0.25">
      <c r="C96" s="611"/>
      <c r="D96" s="611"/>
      <c r="J96" s="266"/>
      <c r="M96" s="268"/>
      <c r="N96" s="157"/>
      <c r="O96" s="294"/>
      <c r="P96" s="294"/>
    </row>
    <row r="97" spans="3:16" s="159" customFormat="1" x14ac:dyDescent="0.25">
      <c r="C97" s="611"/>
      <c r="D97" s="611"/>
      <c r="J97" s="266"/>
      <c r="M97" s="268"/>
      <c r="N97" s="157"/>
      <c r="O97" s="294"/>
      <c r="P97" s="294"/>
    </row>
    <row r="98" spans="3:16" s="159" customFormat="1" x14ac:dyDescent="0.25">
      <c r="C98" s="611"/>
      <c r="D98" s="611"/>
      <c r="J98" s="266"/>
      <c r="M98" s="268"/>
      <c r="N98" s="157"/>
      <c r="O98" s="294"/>
      <c r="P98" s="294"/>
    </row>
    <row r="99" spans="3:16" s="159" customFormat="1" x14ac:dyDescent="0.25">
      <c r="C99" s="611"/>
      <c r="D99" s="611"/>
      <c r="J99" s="266"/>
      <c r="M99" s="268"/>
      <c r="N99" s="157"/>
      <c r="O99" s="294"/>
      <c r="P99" s="294"/>
    </row>
    <row r="100" spans="3:16" s="159" customFormat="1" x14ac:dyDescent="0.25">
      <c r="C100" s="611"/>
      <c r="D100" s="611"/>
      <c r="J100" s="266"/>
      <c r="M100" s="268"/>
      <c r="N100" s="157"/>
      <c r="O100" s="294"/>
      <c r="P100" s="294"/>
    </row>
    <row r="101" spans="3:16" s="159" customFormat="1" x14ac:dyDescent="0.25">
      <c r="C101" s="611"/>
      <c r="D101" s="611"/>
      <c r="J101" s="266"/>
      <c r="M101" s="268"/>
      <c r="N101" s="157"/>
      <c r="O101" s="294"/>
      <c r="P101" s="294"/>
    </row>
    <row r="102" spans="3:16" s="159" customFormat="1" x14ac:dyDescent="0.25">
      <c r="C102" s="611"/>
      <c r="D102" s="611"/>
      <c r="J102" s="266"/>
      <c r="M102" s="268"/>
      <c r="N102" s="157"/>
      <c r="O102" s="294"/>
      <c r="P102" s="294"/>
    </row>
    <row r="103" spans="3:16" s="159" customFormat="1" x14ac:dyDescent="0.25">
      <c r="C103" s="611"/>
      <c r="D103" s="611"/>
      <c r="J103" s="266"/>
      <c r="M103" s="268"/>
      <c r="N103" s="157"/>
      <c r="O103" s="294"/>
      <c r="P103" s="294"/>
    </row>
    <row r="104" spans="3:16" s="159" customFormat="1" x14ac:dyDescent="0.25">
      <c r="C104" s="611"/>
      <c r="D104" s="611"/>
      <c r="J104" s="266"/>
      <c r="M104" s="268"/>
      <c r="N104" s="157"/>
      <c r="O104" s="294"/>
      <c r="P104" s="294"/>
    </row>
    <row r="105" spans="3:16" s="159" customFormat="1" x14ac:dyDescent="0.25">
      <c r="C105" s="611"/>
      <c r="D105" s="611"/>
      <c r="J105" s="266"/>
      <c r="M105" s="268"/>
      <c r="N105" s="157"/>
      <c r="O105" s="294"/>
      <c r="P105" s="294"/>
    </row>
    <row r="106" spans="3:16" s="159" customFormat="1" x14ac:dyDescent="0.25">
      <c r="C106" s="611"/>
      <c r="D106" s="611"/>
      <c r="J106" s="266"/>
      <c r="M106" s="268"/>
      <c r="N106" s="157"/>
      <c r="O106" s="294"/>
      <c r="P106" s="294"/>
    </row>
    <row r="107" spans="3:16" s="159" customFormat="1" x14ac:dyDescent="0.25">
      <c r="C107" s="611"/>
      <c r="D107" s="611"/>
      <c r="J107" s="266"/>
      <c r="M107" s="268"/>
      <c r="N107" s="157"/>
      <c r="O107" s="294"/>
      <c r="P107" s="294"/>
    </row>
    <row r="108" spans="3:16" s="159" customFormat="1" x14ac:dyDescent="0.25">
      <c r="C108" s="611"/>
      <c r="D108" s="611"/>
      <c r="J108" s="266"/>
      <c r="M108" s="268"/>
      <c r="N108" s="157"/>
      <c r="O108" s="294"/>
      <c r="P108" s="294"/>
    </row>
    <row r="109" spans="3:16" s="159" customFormat="1" x14ac:dyDescent="0.25">
      <c r="C109" s="611"/>
      <c r="D109" s="611"/>
      <c r="J109" s="266"/>
      <c r="M109" s="268"/>
      <c r="N109" s="157"/>
      <c r="O109" s="294"/>
      <c r="P109" s="294"/>
    </row>
    <row r="110" spans="3:16" s="159" customFormat="1" x14ac:dyDescent="0.25">
      <c r="C110" s="611"/>
      <c r="D110" s="611"/>
      <c r="J110" s="266"/>
      <c r="M110" s="268"/>
      <c r="N110" s="157"/>
      <c r="O110" s="294"/>
      <c r="P110" s="294"/>
    </row>
    <row r="111" spans="3:16" s="159" customFormat="1" x14ac:dyDescent="0.25">
      <c r="C111" s="611"/>
      <c r="D111" s="611"/>
      <c r="J111" s="266"/>
      <c r="M111" s="268"/>
      <c r="N111" s="157"/>
      <c r="O111" s="294"/>
      <c r="P111" s="294"/>
    </row>
    <row r="112" spans="3:16" s="159" customFormat="1" x14ac:dyDescent="0.25">
      <c r="C112" s="611"/>
      <c r="D112" s="611"/>
      <c r="J112" s="266"/>
      <c r="M112" s="268"/>
      <c r="N112" s="157"/>
      <c r="O112" s="294"/>
      <c r="P112" s="294"/>
    </row>
    <row r="113" spans="3:16" s="159" customFormat="1" x14ac:dyDescent="0.25">
      <c r="C113" s="611"/>
      <c r="D113" s="611"/>
      <c r="J113" s="266"/>
      <c r="M113" s="268"/>
      <c r="N113" s="157"/>
      <c r="O113" s="294"/>
      <c r="P113" s="294"/>
    </row>
    <row r="114" spans="3:16" s="159" customFormat="1" x14ac:dyDescent="0.25">
      <c r="C114" s="611"/>
      <c r="D114" s="611"/>
      <c r="J114" s="266"/>
      <c r="M114" s="268"/>
      <c r="N114" s="157"/>
      <c r="O114" s="294"/>
      <c r="P114" s="294"/>
    </row>
    <row r="115" spans="3:16" s="159" customFormat="1" x14ac:dyDescent="0.25">
      <c r="C115" s="611"/>
      <c r="D115" s="611"/>
      <c r="J115" s="266"/>
      <c r="M115" s="268"/>
      <c r="N115" s="157"/>
      <c r="O115" s="294"/>
      <c r="P115" s="294"/>
    </row>
    <row r="116" spans="3:16" s="159" customFormat="1" x14ac:dyDescent="0.25">
      <c r="C116" s="611"/>
      <c r="D116" s="611"/>
      <c r="J116" s="266"/>
      <c r="M116" s="268"/>
      <c r="N116" s="157"/>
      <c r="O116" s="294"/>
      <c r="P116" s="294"/>
    </row>
    <row r="117" spans="3:16" s="159" customFormat="1" x14ac:dyDescent="0.25">
      <c r="C117" s="611"/>
      <c r="D117" s="611"/>
      <c r="J117" s="266"/>
      <c r="M117" s="268"/>
      <c r="N117" s="157"/>
      <c r="O117" s="294"/>
      <c r="P117" s="294"/>
    </row>
    <row r="118" spans="3:16" s="159" customFormat="1" x14ac:dyDescent="0.25">
      <c r="C118" s="611"/>
      <c r="D118" s="611"/>
      <c r="J118" s="266"/>
      <c r="M118" s="268"/>
      <c r="N118" s="157"/>
      <c r="O118" s="294"/>
      <c r="P118" s="294"/>
    </row>
    <row r="119" spans="3:16" s="159" customFormat="1" x14ac:dyDescent="0.25">
      <c r="C119" s="611"/>
      <c r="D119" s="611"/>
      <c r="J119" s="266"/>
      <c r="M119" s="268"/>
      <c r="N119" s="157"/>
      <c r="O119" s="294"/>
      <c r="P119" s="294"/>
    </row>
    <row r="120" spans="3:16" s="159" customFormat="1" x14ac:dyDescent="0.25">
      <c r="C120" s="611"/>
      <c r="D120" s="611"/>
      <c r="J120" s="266"/>
      <c r="M120" s="268"/>
      <c r="N120" s="157"/>
      <c r="O120" s="294"/>
      <c r="P120" s="294"/>
    </row>
    <row r="121" spans="3:16" s="159" customFormat="1" x14ac:dyDescent="0.25">
      <c r="C121" s="611"/>
      <c r="D121" s="611"/>
      <c r="J121" s="266"/>
      <c r="M121" s="268"/>
      <c r="N121" s="157"/>
      <c r="O121" s="294"/>
      <c r="P121" s="294"/>
    </row>
    <row r="122" spans="3:16" s="159" customFormat="1" x14ac:dyDescent="0.25">
      <c r="C122" s="611"/>
      <c r="D122" s="611"/>
      <c r="J122" s="266"/>
      <c r="M122" s="268"/>
      <c r="N122" s="157"/>
      <c r="O122" s="294"/>
      <c r="P122" s="294"/>
    </row>
    <row r="123" spans="3:16" s="159" customFormat="1" x14ac:dyDescent="0.25">
      <c r="C123" s="611"/>
      <c r="D123" s="611"/>
      <c r="J123" s="266"/>
      <c r="M123" s="268"/>
      <c r="N123" s="157"/>
      <c r="O123" s="294"/>
      <c r="P123" s="294"/>
    </row>
    <row r="124" spans="3:16" s="159" customFormat="1" x14ac:dyDescent="0.25">
      <c r="C124" s="611"/>
      <c r="D124" s="611"/>
      <c r="J124" s="266"/>
      <c r="M124" s="268"/>
      <c r="N124" s="157"/>
      <c r="O124" s="294"/>
      <c r="P124" s="294"/>
    </row>
    <row r="125" spans="3:16" s="159" customFormat="1" x14ac:dyDescent="0.25">
      <c r="C125" s="611"/>
      <c r="D125" s="611"/>
      <c r="J125" s="266"/>
      <c r="M125" s="268"/>
      <c r="N125" s="157"/>
      <c r="O125" s="294"/>
      <c r="P125" s="294"/>
    </row>
    <row r="126" spans="3:16" s="159" customFormat="1" x14ac:dyDescent="0.25">
      <c r="C126" s="611"/>
      <c r="D126" s="611"/>
      <c r="J126" s="266"/>
      <c r="M126" s="268"/>
      <c r="N126" s="157"/>
      <c r="O126" s="294"/>
      <c r="P126" s="294"/>
    </row>
    <row r="127" spans="3:16" s="159" customFormat="1" x14ac:dyDescent="0.25">
      <c r="C127" s="611"/>
      <c r="D127" s="611"/>
      <c r="J127" s="266"/>
      <c r="M127" s="268"/>
      <c r="N127" s="157"/>
      <c r="O127" s="294"/>
      <c r="P127" s="294"/>
    </row>
    <row r="128" spans="3:16" s="159" customFormat="1" x14ac:dyDescent="0.25">
      <c r="C128" s="611"/>
      <c r="D128" s="611"/>
      <c r="J128" s="266"/>
      <c r="M128" s="268"/>
      <c r="N128" s="157"/>
      <c r="O128" s="294"/>
      <c r="P128" s="294"/>
    </row>
    <row r="129" spans="3:16" s="159" customFormat="1" x14ac:dyDescent="0.25">
      <c r="C129" s="611"/>
      <c r="D129" s="611"/>
      <c r="J129" s="266"/>
      <c r="M129" s="268"/>
      <c r="N129" s="157"/>
      <c r="O129" s="294"/>
      <c r="P129" s="294"/>
    </row>
    <row r="130" spans="3:16" s="159" customFormat="1" x14ac:dyDescent="0.25">
      <c r="C130" s="611"/>
      <c r="D130" s="611"/>
      <c r="J130" s="266"/>
      <c r="M130" s="268"/>
      <c r="N130" s="157"/>
      <c r="O130" s="294"/>
      <c r="P130" s="294"/>
    </row>
    <row r="131" spans="3:16" s="159" customFormat="1" x14ac:dyDescent="0.25">
      <c r="C131" s="611"/>
      <c r="D131" s="611"/>
      <c r="J131" s="266"/>
      <c r="M131" s="268"/>
      <c r="N131" s="157"/>
      <c r="O131" s="294"/>
      <c r="P131" s="294"/>
    </row>
    <row r="132" spans="3:16" s="159" customFormat="1" x14ac:dyDescent="0.25">
      <c r="C132" s="611"/>
      <c r="D132" s="611"/>
      <c r="J132" s="266"/>
      <c r="M132" s="268"/>
      <c r="N132" s="157"/>
      <c r="O132" s="294"/>
      <c r="P132" s="294"/>
    </row>
    <row r="133" spans="3:16" s="159" customFormat="1" x14ac:dyDescent="0.25">
      <c r="C133" s="611"/>
      <c r="D133" s="611"/>
      <c r="J133" s="266"/>
      <c r="M133" s="268"/>
      <c r="N133" s="157"/>
      <c r="O133" s="294"/>
      <c r="P133" s="294"/>
    </row>
    <row r="134" spans="3:16" s="159" customFormat="1" x14ac:dyDescent="0.25">
      <c r="C134" s="611"/>
      <c r="D134" s="611"/>
      <c r="J134" s="266"/>
      <c r="M134" s="268"/>
      <c r="N134" s="157"/>
      <c r="O134" s="294"/>
      <c r="P134" s="294"/>
    </row>
    <row r="135" spans="3:16" s="159" customFormat="1" x14ac:dyDescent="0.25">
      <c r="C135" s="611"/>
      <c r="D135" s="611"/>
      <c r="J135" s="266"/>
      <c r="M135" s="268"/>
      <c r="N135" s="157"/>
      <c r="O135" s="294"/>
      <c r="P135" s="294"/>
    </row>
    <row r="136" spans="3:16" s="159" customFormat="1" x14ac:dyDescent="0.25">
      <c r="C136" s="611"/>
      <c r="D136" s="611"/>
      <c r="J136" s="266"/>
      <c r="M136" s="268"/>
      <c r="N136" s="157"/>
      <c r="O136" s="294"/>
      <c r="P136" s="294"/>
    </row>
    <row r="137" spans="3:16" s="159" customFormat="1" x14ac:dyDescent="0.25">
      <c r="C137" s="611"/>
      <c r="D137" s="611"/>
      <c r="J137" s="266"/>
      <c r="M137" s="268"/>
      <c r="N137" s="157"/>
      <c r="O137" s="294"/>
      <c r="P137" s="294"/>
    </row>
    <row r="138" spans="3:16" s="159" customFormat="1" x14ac:dyDescent="0.25">
      <c r="C138" s="611"/>
      <c r="D138" s="611"/>
      <c r="J138" s="266"/>
      <c r="M138" s="268"/>
      <c r="N138" s="157"/>
      <c r="O138" s="294"/>
      <c r="P138" s="294"/>
    </row>
    <row r="139" spans="3:16" s="159" customFormat="1" x14ac:dyDescent="0.25">
      <c r="C139" s="611"/>
      <c r="D139" s="611"/>
      <c r="J139" s="266"/>
      <c r="M139" s="268"/>
      <c r="N139" s="157"/>
      <c r="O139" s="294"/>
      <c r="P139" s="294"/>
    </row>
    <row r="140" spans="3:16" s="159" customFormat="1" x14ac:dyDescent="0.25">
      <c r="C140" s="611"/>
      <c r="D140" s="611"/>
      <c r="J140" s="266"/>
      <c r="M140" s="268"/>
      <c r="N140" s="157"/>
      <c r="O140" s="294"/>
      <c r="P140" s="294"/>
    </row>
    <row r="141" spans="3:16" s="159" customFormat="1" x14ac:dyDescent="0.25">
      <c r="C141" s="611"/>
      <c r="D141" s="611"/>
      <c r="J141" s="266"/>
      <c r="M141" s="268"/>
      <c r="N141" s="157"/>
      <c r="O141" s="294"/>
      <c r="P141" s="294"/>
    </row>
    <row r="142" spans="3:16" s="159" customFormat="1" x14ac:dyDescent="0.25">
      <c r="C142" s="611"/>
      <c r="D142" s="611"/>
      <c r="J142" s="266"/>
      <c r="M142" s="268"/>
      <c r="N142" s="157"/>
      <c r="O142" s="294"/>
      <c r="P142" s="294"/>
    </row>
    <row r="143" spans="3:16" s="159" customFormat="1" x14ac:dyDescent="0.25">
      <c r="C143" s="611"/>
      <c r="D143" s="611"/>
      <c r="J143" s="266"/>
      <c r="M143" s="268"/>
      <c r="N143" s="157"/>
      <c r="O143" s="294"/>
      <c r="P143" s="294"/>
    </row>
    <row r="144" spans="3:16" s="159" customFormat="1" x14ac:dyDescent="0.25">
      <c r="C144" s="611"/>
      <c r="D144" s="611"/>
      <c r="J144" s="266"/>
      <c r="M144" s="268"/>
      <c r="N144" s="157"/>
      <c r="O144" s="294"/>
      <c r="P144" s="294"/>
    </row>
    <row r="145" spans="3:16" s="159" customFormat="1" x14ac:dyDescent="0.25">
      <c r="C145" s="611"/>
      <c r="D145" s="611"/>
      <c r="J145" s="266"/>
      <c r="M145" s="268"/>
      <c r="N145" s="157"/>
      <c r="O145" s="294"/>
      <c r="P145" s="294"/>
    </row>
    <row r="146" spans="3:16" s="159" customFormat="1" x14ac:dyDescent="0.25">
      <c r="C146" s="611"/>
      <c r="D146" s="611"/>
      <c r="J146" s="266"/>
      <c r="M146" s="268"/>
      <c r="N146" s="157"/>
      <c r="O146" s="294"/>
      <c r="P146" s="294"/>
    </row>
    <row r="147" spans="3:16" s="159" customFormat="1" x14ac:dyDescent="0.25">
      <c r="C147" s="611"/>
      <c r="D147" s="611"/>
      <c r="J147" s="266"/>
      <c r="M147" s="268"/>
      <c r="N147" s="157"/>
      <c r="O147" s="294"/>
      <c r="P147" s="294"/>
    </row>
    <row r="148" spans="3:16" s="159" customFormat="1" x14ac:dyDescent="0.25">
      <c r="C148" s="611"/>
      <c r="D148" s="611"/>
      <c r="J148" s="266"/>
      <c r="M148" s="268"/>
      <c r="N148" s="157"/>
      <c r="O148" s="294"/>
      <c r="P148" s="294"/>
    </row>
    <row r="149" spans="3:16" s="159" customFormat="1" x14ac:dyDescent="0.25">
      <c r="C149" s="611"/>
      <c r="D149" s="611"/>
      <c r="J149" s="266"/>
      <c r="M149" s="268"/>
      <c r="N149" s="157"/>
      <c r="O149" s="294"/>
      <c r="P149" s="294"/>
    </row>
    <row r="150" spans="3:16" s="159" customFormat="1" x14ac:dyDescent="0.25">
      <c r="C150" s="611"/>
      <c r="D150" s="611"/>
      <c r="J150" s="266"/>
      <c r="M150" s="268"/>
      <c r="N150" s="157"/>
      <c r="O150" s="294"/>
      <c r="P150" s="294"/>
    </row>
    <row r="151" spans="3:16" s="159" customFormat="1" x14ac:dyDescent="0.25">
      <c r="C151" s="611"/>
      <c r="D151" s="611"/>
      <c r="J151" s="266"/>
      <c r="M151" s="268"/>
      <c r="N151" s="157"/>
      <c r="O151" s="294"/>
      <c r="P151" s="294"/>
    </row>
    <row r="152" spans="3:16" s="159" customFormat="1" x14ac:dyDescent="0.25">
      <c r="C152" s="611"/>
      <c r="D152" s="611"/>
      <c r="J152" s="266"/>
      <c r="M152" s="268"/>
      <c r="N152" s="157"/>
      <c r="O152" s="294"/>
      <c r="P152" s="294"/>
    </row>
    <row r="153" spans="3:16" s="159" customFormat="1" x14ac:dyDescent="0.25">
      <c r="C153" s="611"/>
      <c r="D153" s="611"/>
      <c r="J153" s="266"/>
      <c r="M153" s="268"/>
      <c r="N153" s="157"/>
      <c r="O153" s="294"/>
      <c r="P153" s="294"/>
    </row>
    <row r="154" spans="3:16" s="159" customFormat="1" x14ac:dyDescent="0.25">
      <c r="C154" s="611"/>
      <c r="D154" s="611"/>
      <c r="J154" s="266"/>
      <c r="M154" s="268"/>
      <c r="N154" s="157"/>
      <c r="O154" s="294"/>
      <c r="P154" s="294"/>
    </row>
    <row r="155" spans="3:16" s="159" customFormat="1" x14ac:dyDescent="0.25">
      <c r="C155" s="611"/>
      <c r="D155" s="611"/>
      <c r="J155" s="266"/>
      <c r="M155" s="268"/>
      <c r="N155" s="157"/>
      <c r="O155" s="294"/>
      <c r="P155" s="294"/>
    </row>
    <row r="156" spans="3:16" s="159" customFormat="1" x14ac:dyDescent="0.25">
      <c r="C156" s="611"/>
      <c r="D156" s="611"/>
      <c r="J156" s="266"/>
      <c r="M156" s="268"/>
      <c r="N156" s="157"/>
      <c r="O156" s="294"/>
      <c r="P156" s="294"/>
    </row>
    <row r="157" spans="3:16" s="159" customFormat="1" x14ac:dyDescent="0.25">
      <c r="C157" s="611"/>
      <c r="D157" s="611"/>
      <c r="J157" s="266"/>
      <c r="M157" s="268"/>
      <c r="N157" s="157"/>
      <c r="O157" s="294"/>
      <c r="P157" s="294"/>
    </row>
    <row r="158" spans="3:16" s="159" customFormat="1" x14ac:dyDescent="0.25">
      <c r="C158" s="611"/>
      <c r="D158" s="611"/>
      <c r="J158" s="266"/>
      <c r="M158" s="268"/>
      <c r="N158" s="157"/>
      <c r="O158" s="294"/>
      <c r="P158" s="294"/>
    </row>
    <row r="159" spans="3:16" s="159" customFormat="1" x14ac:dyDescent="0.25">
      <c r="C159" s="611"/>
      <c r="D159" s="611"/>
      <c r="J159" s="266"/>
      <c r="M159" s="268"/>
      <c r="N159" s="157"/>
      <c r="O159" s="294"/>
      <c r="P159" s="294"/>
    </row>
    <row r="160" spans="3:16" s="159" customFormat="1" x14ac:dyDescent="0.25">
      <c r="C160" s="611"/>
      <c r="D160" s="611"/>
      <c r="J160" s="266"/>
      <c r="M160" s="268"/>
      <c r="N160" s="157"/>
      <c r="O160" s="294"/>
      <c r="P160" s="294"/>
    </row>
    <row r="161" spans="3:16" s="159" customFormat="1" x14ac:dyDescent="0.25">
      <c r="C161" s="611"/>
      <c r="D161" s="611"/>
      <c r="J161" s="266"/>
      <c r="M161" s="268"/>
      <c r="N161" s="157"/>
      <c r="O161" s="294"/>
      <c r="P161" s="294"/>
    </row>
    <row r="162" spans="3:16" s="159" customFormat="1" x14ac:dyDescent="0.25">
      <c r="C162" s="611"/>
      <c r="D162" s="611"/>
      <c r="J162" s="266"/>
      <c r="M162" s="268"/>
      <c r="N162" s="157"/>
      <c r="O162" s="294"/>
      <c r="P162" s="294"/>
    </row>
    <row r="163" spans="3:16" s="159" customFormat="1" x14ac:dyDescent="0.25">
      <c r="C163" s="611"/>
      <c r="D163" s="611"/>
      <c r="J163" s="266"/>
      <c r="M163" s="268"/>
      <c r="N163" s="157"/>
      <c r="O163" s="294"/>
      <c r="P163" s="294"/>
    </row>
    <row r="164" spans="3:16" s="159" customFormat="1" x14ac:dyDescent="0.25">
      <c r="C164" s="611"/>
      <c r="D164" s="611"/>
      <c r="J164" s="266"/>
      <c r="M164" s="268"/>
      <c r="N164" s="157"/>
      <c r="O164" s="294"/>
      <c r="P164" s="294"/>
    </row>
    <row r="165" spans="3:16" s="159" customFormat="1" x14ac:dyDescent="0.25">
      <c r="C165" s="611"/>
      <c r="D165" s="611"/>
      <c r="J165" s="266"/>
      <c r="M165" s="268"/>
      <c r="N165" s="157"/>
      <c r="O165" s="294"/>
      <c r="P165" s="294"/>
    </row>
    <row r="166" spans="3:16" s="159" customFormat="1" x14ac:dyDescent="0.25">
      <c r="C166" s="611"/>
      <c r="D166" s="611"/>
      <c r="J166" s="266"/>
      <c r="M166" s="268"/>
      <c r="N166" s="157"/>
      <c r="O166" s="294"/>
      <c r="P166" s="294"/>
    </row>
    <row r="167" spans="3:16" s="159" customFormat="1" x14ac:dyDescent="0.25">
      <c r="C167" s="611"/>
      <c r="D167" s="611"/>
      <c r="J167" s="266"/>
      <c r="M167" s="268"/>
      <c r="N167" s="157"/>
      <c r="O167" s="294"/>
      <c r="P167" s="294"/>
    </row>
    <row r="168" spans="3:16" s="159" customFormat="1" x14ac:dyDescent="0.25">
      <c r="C168" s="611"/>
      <c r="D168" s="611"/>
      <c r="J168" s="266"/>
      <c r="M168" s="268"/>
      <c r="N168" s="157"/>
      <c r="O168" s="294"/>
      <c r="P168" s="294"/>
    </row>
    <row r="169" spans="3:16" s="159" customFormat="1" x14ac:dyDescent="0.25">
      <c r="C169" s="611"/>
      <c r="D169" s="611"/>
      <c r="J169" s="266"/>
      <c r="M169" s="268"/>
      <c r="N169" s="157"/>
      <c r="O169" s="294"/>
      <c r="P169" s="294"/>
    </row>
    <row r="170" spans="3:16" s="159" customFormat="1" x14ac:dyDescent="0.25">
      <c r="C170" s="611"/>
      <c r="D170" s="611"/>
      <c r="J170" s="266"/>
      <c r="M170" s="268"/>
      <c r="N170" s="157"/>
      <c r="O170" s="294"/>
      <c r="P170" s="294"/>
    </row>
    <row r="171" spans="3:16" s="159" customFormat="1" x14ac:dyDescent="0.25">
      <c r="C171" s="611"/>
      <c r="D171" s="611"/>
      <c r="J171" s="266"/>
      <c r="M171" s="268"/>
      <c r="N171" s="157"/>
      <c r="O171" s="294"/>
      <c r="P171" s="294"/>
    </row>
    <row r="172" spans="3:16" s="159" customFormat="1" x14ac:dyDescent="0.25">
      <c r="C172" s="611"/>
      <c r="D172" s="611"/>
      <c r="J172" s="266"/>
      <c r="M172" s="268"/>
      <c r="N172" s="157"/>
      <c r="O172" s="294"/>
      <c r="P172" s="294"/>
    </row>
    <row r="173" spans="3:16" s="159" customFormat="1" x14ac:dyDescent="0.25">
      <c r="C173" s="611"/>
      <c r="D173" s="611"/>
      <c r="J173" s="266"/>
      <c r="M173" s="268"/>
      <c r="N173" s="157"/>
      <c r="O173" s="294"/>
      <c r="P173" s="294"/>
    </row>
    <row r="174" spans="3:16" s="159" customFormat="1" x14ac:dyDescent="0.25">
      <c r="C174" s="611"/>
      <c r="D174" s="611"/>
      <c r="J174" s="266"/>
      <c r="M174" s="268"/>
      <c r="N174" s="157"/>
      <c r="O174" s="294"/>
      <c r="P174" s="294"/>
    </row>
    <row r="175" spans="3:16" s="159" customFormat="1" x14ac:dyDescent="0.25">
      <c r="C175" s="611"/>
      <c r="D175" s="611"/>
      <c r="J175" s="266"/>
      <c r="M175" s="268"/>
      <c r="N175" s="157"/>
      <c r="O175" s="294"/>
      <c r="P175" s="294"/>
    </row>
    <row r="176" spans="3:16" s="159" customFormat="1" x14ac:dyDescent="0.25">
      <c r="C176" s="611"/>
      <c r="D176" s="611"/>
      <c r="J176" s="266"/>
      <c r="M176" s="268"/>
      <c r="N176" s="157"/>
      <c r="O176" s="294"/>
      <c r="P176" s="294"/>
    </row>
    <row r="177" spans="3:16" s="159" customFormat="1" x14ac:dyDescent="0.25">
      <c r="C177" s="611"/>
      <c r="D177" s="611"/>
      <c r="J177" s="266"/>
      <c r="M177" s="268"/>
      <c r="N177" s="157"/>
      <c r="O177" s="294"/>
      <c r="P177" s="294"/>
    </row>
    <row r="178" spans="3:16" s="159" customFormat="1" x14ac:dyDescent="0.25">
      <c r="C178" s="611"/>
      <c r="D178" s="611"/>
      <c r="J178" s="266"/>
      <c r="M178" s="268"/>
      <c r="N178" s="157"/>
      <c r="O178" s="294"/>
      <c r="P178" s="294"/>
    </row>
    <row r="179" spans="3:16" s="159" customFormat="1" x14ac:dyDescent="0.25">
      <c r="C179" s="611"/>
      <c r="D179" s="611"/>
      <c r="J179" s="266"/>
      <c r="M179" s="268"/>
      <c r="N179" s="157"/>
      <c r="O179" s="294"/>
      <c r="P179" s="294"/>
    </row>
    <row r="180" spans="3:16" s="159" customFormat="1" x14ac:dyDescent="0.25">
      <c r="C180" s="611"/>
      <c r="D180" s="611"/>
      <c r="J180" s="266"/>
      <c r="M180" s="268"/>
      <c r="N180" s="157"/>
      <c r="O180" s="294"/>
      <c r="P180" s="294"/>
    </row>
    <row r="181" spans="3:16" s="159" customFormat="1" x14ac:dyDescent="0.25">
      <c r="C181" s="611"/>
      <c r="D181" s="611"/>
      <c r="J181" s="266"/>
      <c r="M181" s="268"/>
      <c r="N181" s="157"/>
      <c r="O181" s="294"/>
      <c r="P181" s="294"/>
    </row>
    <row r="182" spans="3:16" s="159" customFormat="1" x14ac:dyDescent="0.25">
      <c r="C182" s="611"/>
      <c r="D182" s="611"/>
      <c r="J182" s="266"/>
      <c r="M182" s="268"/>
      <c r="N182" s="157"/>
      <c r="O182" s="294"/>
      <c r="P182" s="294"/>
    </row>
    <row r="183" spans="3:16" s="159" customFormat="1" x14ac:dyDescent="0.25">
      <c r="C183" s="611"/>
      <c r="D183" s="611"/>
      <c r="J183" s="266"/>
      <c r="M183" s="268"/>
      <c r="N183" s="157"/>
      <c r="O183" s="294"/>
      <c r="P183" s="294"/>
    </row>
    <row r="184" spans="3:16" s="159" customFormat="1" x14ac:dyDescent="0.25">
      <c r="C184" s="611"/>
      <c r="D184" s="611"/>
      <c r="J184" s="266"/>
      <c r="M184" s="268"/>
      <c r="N184" s="157"/>
      <c r="O184" s="294"/>
      <c r="P184" s="294"/>
    </row>
    <row r="185" spans="3:16" s="159" customFormat="1" x14ac:dyDescent="0.25">
      <c r="C185" s="611"/>
      <c r="D185" s="611"/>
      <c r="J185" s="266"/>
      <c r="M185" s="268"/>
      <c r="N185" s="157"/>
      <c r="O185" s="294"/>
      <c r="P185" s="294"/>
    </row>
    <row r="186" spans="3:16" s="159" customFormat="1" x14ac:dyDescent="0.25">
      <c r="C186" s="611"/>
      <c r="D186" s="611"/>
      <c r="J186" s="266"/>
      <c r="M186" s="268"/>
      <c r="N186" s="157"/>
      <c r="O186" s="294"/>
      <c r="P186" s="294"/>
    </row>
    <row r="187" spans="3:16" s="159" customFormat="1" x14ac:dyDescent="0.25">
      <c r="C187" s="611"/>
      <c r="D187" s="611"/>
      <c r="J187" s="266"/>
      <c r="M187" s="268"/>
      <c r="N187" s="157"/>
      <c r="O187" s="294"/>
      <c r="P187" s="294"/>
    </row>
    <row r="188" spans="3:16" s="159" customFormat="1" x14ac:dyDescent="0.25">
      <c r="C188" s="611"/>
      <c r="D188" s="611"/>
      <c r="J188" s="266"/>
      <c r="M188" s="268"/>
      <c r="N188" s="157"/>
      <c r="O188" s="294"/>
      <c r="P188" s="294"/>
    </row>
    <row r="189" spans="3:16" s="159" customFormat="1" x14ac:dyDescent="0.25">
      <c r="C189" s="611"/>
      <c r="D189" s="611"/>
      <c r="J189" s="266"/>
      <c r="M189" s="268"/>
      <c r="N189" s="157"/>
      <c r="O189" s="294"/>
      <c r="P189" s="294"/>
    </row>
    <row r="190" spans="3:16" s="159" customFormat="1" x14ac:dyDescent="0.25">
      <c r="C190" s="611"/>
      <c r="D190" s="611"/>
      <c r="J190" s="266"/>
      <c r="M190" s="268"/>
      <c r="N190" s="157"/>
      <c r="O190" s="294"/>
      <c r="P190" s="294"/>
    </row>
    <row r="191" spans="3:16" s="159" customFormat="1" x14ac:dyDescent="0.25">
      <c r="C191" s="611"/>
      <c r="D191" s="611"/>
      <c r="J191" s="266"/>
      <c r="M191" s="268"/>
      <c r="N191" s="157"/>
      <c r="O191" s="294"/>
      <c r="P191" s="294"/>
    </row>
    <row r="192" spans="3:16" s="159" customFormat="1" x14ac:dyDescent="0.25">
      <c r="C192" s="611"/>
      <c r="D192" s="611"/>
      <c r="J192" s="266"/>
      <c r="M192" s="268"/>
      <c r="N192" s="157"/>
      <c r="O192" s="294"/>
      <c r="P192" s="294"/>
    </row>
    <row r="193" spans="3:16" s="159" customFormat="1" x14ac:dyDescent="0.25">
      <c r="C193" s="611"/>
      <c r="D193" s="611"/>
      <c r="J193" s="266"/>
      <c r="M193" s="268"/>
      <c r="N193" s="157"/>
      <c r="O193" s="294"/>
      <c r="P193" s="294"/>
    </row>
    <row r="194" spans="3:16" s="159" customFormat="1" x14ac:dyDescent="0.25">
      <c r="C194" s="611"/>
      <c r="D194" s="611"/>
      <c r="J194" s="266"/>
      <c r="M194" s="268"/>
      <c r="N194" s="157"/>
      <c r="O194" s="294"/>
      <c r="P194" s="294"/>
    </row>
    <row r="195" spans="3:16" s="159" customFormat="1" x14ac:dyDescent="0.25">
      <c r="C195" s="611"/>
      <c r="D195" s="611"/>
      <c r="J195" s="266"/>
      <c r="M195" s="268"/>
      <c r="N195" s="157"/>
      <c r="O195" s="294"/>
      <c r="P195" s="294"/>
    </row>
    <row r="196" spans="3:16" s="159" customFormat="1" x14ac:dyDescent="0.25">
      <c r="C196" s="611"/>
      <c r="D196" s="611"/>
      <c r="J196" s="266"/>
      <c r="M196" s="268"/>
      <c r="N196" s="157"/>
      <c r="O196" s="294"/>
      <c r="P196" s="294"/>
    </row>
    <row r="197" spans="3:16" s="159" customFormat="1" x14ac:dyDescent="0.25">
      <c r="C197" s="611"/>
      <c r="D197" s="611"/>
      <c r="J197" s="266"/>
      <c r="M197" s="268"/>
      <c r="N197" s="157"/>
      <c r="O197" s="294"/>
      <c r="P197" s="294"/>
    </row>
    <row r="198" spans="3:16" s="159" customFormat="1" x14ac:dyDescent="0.25">
      <c r="C198" s="611"/>
      <c r="D198" s="611"/>
      <c r="J198" s="266"/>
      <c r="M198" s="268"/>
      <c r="N198" s="157"/>
      <c r="O198" s="294"/>
      <c r="P198" s="294"/>
    </row>
    <row r="199" spans="3:16" s="159" customFormat="1" x14ac:dyDescent="0.25">
      <c r="C199" s="611"/>
      <c r="D199" s="611"/>
      <c r="J199" s="266"/>
      <c r="M199" s="268"/>
      <c r="N199" s="157"/>
      <c r="O199" s="294"/>
      <c r="P199" s="294"/>
    </row>
    <row r="200" spans="3:16" s="159" customFormat="1" x14ac:dyDescent="0.25">
      <c r="C200" s="611"/>
      <c r="D200" s="611"/>
      <c r="J200" s="266"/>
      <c r="M200" s="268"/>
      <c r="N200" s="157"/>
      <c r="O200" s="294"/>
      <c r="P200" s="294"/>
    </row>
    <row r="201" spans="3:16" s="159" customFormat="1" x14ac:dyDescent="0.25">
      <c r="C201" s="611"/>
      <c r="D201" s="611"/>
      <c r="J201" s="266"/>
      <c r="M201" s="268"/>
      <c r="N201" s="157"/>
      <c r="O201" s="294"/>
      <c r="P201" s="294"/>
    </row>
    <row r="202" spans="3:16" s="159" customFormat="1" x14ac:dyDescent="0.25">
      <c r="C202" s="611"/>
      <c r="D202" s="611"/>
      <c r="J202" s="266"/>
      <c r="M202" s="268"/>
      <c r="N202" s="157"/>
      <c r="O202" s="294"/>
      <c r="P202" s="294"/>
    </row>
    <row r="203" spans="3:16" s="159" customFormat="1" x14ac:dyDescent="0.25">
      <c r="C203" s="611"/>
      <c r="D203" s="611"/>
      <c r="J203" s="266"/>
      <c r="M203" s="268"/>
      <c r="N203" s="157"/>
      <c r="O203" s="294"/>
      <c r="P203" s="294"/>
    </row>
    <row r="204" spans="3:16" s="159" customFormat="1" x14ac:dyDescent="0.25">
      <c r="C204" s="611"/>
      <c r="D204" s="611"/>
      <c r="J204" s="266"/>
      <c r="M204" s="268"/>
      <c r="N204" s="157"/>
      <c r="O204" s="294"/>
      <c r="P204" s="294"/>
    </row>
    <row r="205" spans="3:16" s="159" customFormat="1" x14ac:dyDescent="0.25">
      <c r="C205" s="611"/>
      <c r="D205" s="611"/>
      <c r="J205" s="266"/>
      <c r="M205" s="268"/>
      <c r="N205" s="157"/>
      <c r="O205" s="294"/>
      <c r="P205" s="294"/>
    </row>
    <row r="206" spans="3:16" s="159" customFormat="1" x14ac:dyDescent="0.25">
      <c r="C206" s="611"/>
      <c r="D206" s="611"/>
      <c r="J206" s="266"/>
      <c r="M206" s="268"/>
      <c r="N206" s="157"/>
      <c r="O206" s="294"/>
      <c r="P206" s="294"/>
    </row>
    <row r="207" spans="3:16" s="159" customFormat="1" x14ac:dyDescent="0.25">
      <c r="C207" s="611"/>
      <c r="D207" s="611"/>
      <c r="J207" s="266"/>
      <c r="M207" s="268"/>
      <c r="N207" s="157"/>
      <c r="O207" s="294"/>
      <c r="P207" s="294"/>
    </row>
    <row r="208" spans="3:16" s="159" customFormat="1" x14ac:dyDescent="0.25">
      <c r="C208" s="611"/>
      <c r="D208" s="611"/>
      <c r="J208" s="266"/>
      <c r="M208" s="268"/>
      <c r="N208" s="157"/>
      <c r="O208" s="294"/>
      <c r="P208" s="294"/>
    </row>
    <row r="209" spans="3:16" s="159" customFormat="1" x14ac:dyDescent="0.25">
      <c r="C209" s="611"/>
      <c r="D209" s="611"/>
      <c r="J209" s="266"/>
      <c r="M209" s="268"/>
      <c r="N209" s="157"/>
      <c r="O209" s="294"/>
      <c r="P209" s="294"/>
    </row>
    <row r="210" spans="3:16" s="159" customFormat="1" x14ac:dyDescent="0.25">
      <c r="C210" s="611"/>
      <c r="D210" s="611"/>
      <c r="J210" s="266"/>
      <c r="M210" s="268"/>
      <c r="N210" s="157"/>
      <c r="O210" s="294"/>
      <c r="P210" s="294"/>
    </row>
    <row r="211" spans="3:16" s="159" customFormat="1" x14ac:dyDescent="0.25">
      <c r="C211" s="611"/>
      <c r="D211" s="611"/>
      <c r="J211" s="266"/>
      <c r="M211" s="268"/>
      <c r="N211" s="157"/>
      <c r="O211" s="294"/>
      <c r="P211" s="294"/>
    </row>
    <row r="212" spans="3:16" s="159" customFormat="1" x14ac:dyDescent="0.25">
      <c r="C212" s="611"/>
      <c r="D212" s="611"/>
      <c r="J212" s="266"/>
      <c r="M212" s="268"/>
      <c r="N212" s="157"/>
      <c r="O212" s="294"/>
      <c r="P212" s="294"/>
    </row>
    <row r="213" spans="3:16" s="159" customFormat="1" x14ac:dyDescent="0.25">
      <c r="C213" s="611"/>
      <c r="D213" s="611"/>
      <c r="J213" s="266"/>
      <c r="M213" s="268"/>
      <c r="N213" s="157"/>
      <c r="O213" s="294"/>
      <c r="P213" s="294"/>
    </row>
    <row r="214" spans="3:16" s="159" customFormat="1" x14ac:dyDescent="0.25">
      <c r="C214" s="611"/>
      <c r="D214" s="611"/>
      <c r="J214" s="266"/>
      <c r="M214" s="268"/>
      <c r="N214" s="157"/>
      <c r="O214" s="294"/>
      <c r="P214" s="294"/>
    </row>
    <row r="215" spans="3:16" s="159" customFormat="1" x14ac:dyDescent="0.25">
      <c r="C215" s="611"/>
      <c r="D215" s="611"/>
      <c r="J215" s="266"/>
      <c r="M215" s="268"/>
      <c r="N215" s="157"/>
      <c r="O215" s="294"/>
      <c r="P215" s="294"/>
    </row>
    <row r="216" spans="3:16" s="159" customFormat="1" x14ac:dyDescent="0.25">
      <c r="C216" s="611"/>
      <c r="D216" s="611"/>
      <c r="J216" s="266"/>
      <c r="M216" s="268"/>
      <c r="N216" s="157"/>
      <c r="O216" s="294"/>
      <c r="P216" s="294"/>
    </row>
    <row r="217" spans="3:16" s="159" customFormat="1" x14ac:dyDescent="0.25">
      <c r="C217" s="611"/>
      <c r="D217" s="611"/>
      <c r="J217" s="266"/>
      <c r="M217" s="268"/>
      <c r="N217" s="157"/>
      <c r="O217" s="294"/>
      <c r="P217" s="294"/>
    </row>
    <row r="218" spans="3:16" s="159" customFormat="1" x14ac:dyDescent="0.25">
      <c r="C218" s="611"/>
      <c r="D218" s="611"/>
      <c r="J218" s="266"/>
      <c r="M218" s="268"/>
      <c r="N218" s="157"/>
      <c r="O218" s="294"/>
      <c r="P218" s="294"/>
    </row>
    <row r="219" spans="3:16" s="159" customFormat="1" x14ac:dyDescent="0.25">
      <c r="C219" s="611"/>
      <c r="D219" s="611"/>
      <c r="J219" s="266"/>
      <c r="M219" s="268"/>
      <c r="N219" s="157"/>
      <c r="O219" s="294"/>
      <c r="P219" s="294"/>
    </row>
    <row r="220" spans="3:16" s="159" customFormat="1" x14ac:dyDescent="0.25">
      <c r="C220" s="611"/>
      <c r="D220" s="611"/>
      <c r="J220" s="266"/>
      <c r="M220" s="268"/>
      <c r="N220" s="157"/>
      <c r="O220" s="294"/>
      <c r="P220" s="294"/>
    </row>
    <row r="221" spans="3:16" s="159" customFormat="1" x14ac:dyDescent="0.25">
      <c r="C221" s="611"/>
      <c r="D221" s="611"/>
      <c r="J221" s="266"/>
      <c r="M221" s="268"/>
      <c r="N221" s="157"/>
      <c r="O221" s="294"/>
      <c r="P221" s="294"/>
    </row>
    <row r="222" spans="3:16" s="159" customFormat="1" x14ac:dyDescent="0.25">
      <c r="C222" s="611"/>
      <c r="D222" s="611"/>
      <c r="J222" s="266"/>
      <c r="M222" s="268"/>
      <c r="N222" s="157"/>
      <c r="O222" s="294"/>
      <c r="P222" s="294"/>
    </row>
    <row r="223" spans="3:16" s="159" customFormat="1" x14ac:dyDescent="0.25">
      <c r="C223" s="611"/>
      <c r="D223" s="611"/>
      <c r="J223" s="266"/>
      <c r="M223" s="268"/>
      <c r="N223" s="157"/>
      <c r="O223" s="294"/>
      <c r="P223" s="294"/>
    </row>
    <row r="224" spans="3:16" s="159" customFormat="1" x14ac:dyDescent="0.25">
      <c r="C224" s="611"/>
      <c r="D224" s="611"/>
      <c r="J224" s="266"/>
      <c r="M224" s="268"/>
      <c r="N224" s="157"/>
      <c r="O224" s="294"/>
      <c r="P224" s="294"/>
    </row>
    <row r="225" spans="3:16" s="159" customFormat="1" x14ac:dyDescent="0.25">
      <c r="C225" s="611"/>
      <c r="D225" s="611"/>
      <c r="J225" s="266"/>
      <c r="M225" s="268"/>
      <c r="N225" s="157"/>
      <c r="O225" s="294"/>
      <c r="P225" s="294"/>
    </row>
    <row r="226" spans="3:16" s="159" customFormat="1" x14ac:dyDescent="0.25">
      <c r="C226" s="611"/>
      <c r="D226" s="611"/>
      <c r="J226" s="266"/>
      <c r="M226" s="268"/>
      <c r="N226" s="157"/>
      <c r="O226" s="294"/>
      <c r="P226" s="294"/>
    </row>
    <row r="227" spans="3:16" s="159" customFormat="1" x14ac:dyDescent="0.25">
      <c r="C227" s="611"/>
      <c r="D227" s="611"/>
      <c r="J227" s="266"/>
      <c r="M227" s="268"/>
      <c r="N227" s="157"/>
      <c r="O227" s="294"/>
      <c r="P227" s="294"/>
    </row>
    <row r="228" spans="3:16" s="159" customFormat="1" x14ac:dyDescent="0.25">
      <c r="C228" s="611"/>
      <c r="D228" s="611"/>
      <c r="J228" s="266"/>
      <c r="M228" s="268"/>
      <c r="N228" s="157"/>
      <c r="O228" s="294"/>
      <c r="P228" s="294"/>
    </row>
    <row r="229" spans="3:16" s="159" customFormat="1" x14ac:dyDescent="0.25">
      <c r="C229" s="611"/>
      <c r="D229" s="611"/>
      <c r="J229" s="266"/>
      <c r="M229" s="268"/>
      <c r="N229" s="157"/>
      <c r="O229" s="294"/>
      <c r="P229" s="294"/>
    </row>
    <row r="230" spans="3:16" s="159" customFormat="1" x14ac:dyDescent="0.25">
      <c r="C230" s="611"/>
      <c r="D230" s="611"/>
      <c r="J230" s="266"/>
      <c r="M230" s="268"/>
      <c r="N230" s="157"/>
      <c r="O230" s="294"/>
      <c r="P230" s="294"/>
    </row>
    <row r="231" spans="3:16" s="159" customFormat="1" x14ac:dyDescent="0.25">
      <c r="C231" s="611"/>
      <c r="D231" s="611"/>
      <c r="J231" s="266"/>
      <c r="M231" s="268"/>
      <c r="N231" s="157"/>
      <c r="O231" s="294"/>
      <c r="P231" s="294"/>
    </row>
    <row r="232" spans="3:16" s="159" customFormat="1" x14ac:dyDescent="0.25">
      <c r="C232" s="611"/>
      <c r="D232" s="611"/>
      <c r="J232" s="266"/>
      <c r="M232" s="268"/>
      <c r="N232" s="157"/>
      <c r="O232" s="294"/>
      <c r="P232" s="294"/>
    </row>
    <row r="233" spans="3:16" s="159" customFormat="1" x14ac:dyDescent="0.25">
      <c r="C233" s="611"/>
      <c r="D233" s="611"/>
      <c r="J233" s="266"/>
      <c r="M233" s="268"/>
      <c r="N233" s="157"/>
      <c r="O233" s="294"/>
      <c r="P233" s="294"/>
    </row>
    <row r="234" spans="3:16" s="159" customFormat="1" x14ac:dyDescent="0.25">
      <c r="C234" s="611"/>
      <c r="D234" s="611"/>
      <c r="J234" s="266"/>
      <c r="M234" s="268"/>
      <c r="N234" s="157"/>
      <c r="O234" s="294"/>
      <c r="P234" s="294"/>
    </row>
    <row r="235" spans="3:16" s="159" customFormat="1" x14ac:dyDescent="0.25">
      <c r="C235" s="611"/>
      <c r="D235" s="611"/>
      <c r="J235" s="266"/>
      <c r="M235" s="268"/>
      <c r="N235" s="157"/>
      <c r="O235" s="294"/>
      <c r="P235" s="294"/>
    </row>
    <row r="236" spans="3:16" s="159" customFormat="1" x14ac:dyDescent="0.25">
      <c r="C236" s="611"/>
      <c r="D236" s="611"/>
      <c r="J236" s="266"/>
      <c r="M236" s="268"/>
      <c r="N236" s="157"/>
      <c r="O236" s="294"/>
      <c r="P236" s="294"/>
    </row>
    <row r="237" spans="3:16" s="159" customFormat="1" x14ac:dyDescent="0.25">
      <c r="C237" s="611"/>
      <c r="D237" s="611"/>
      <c r="J237" s="266"/>
      <c r="M237" s="268"/>
      <c r="N237" s="157"/>
      <c r="O237" s="294"/>
      <c r="P237" s="294"/>
    </row>
    <row r="238" spans="3:16" s="159" customFormat="1" x14ac:dyDescent="0.25">
      <c r="C238" s="611"/>
      <c r="D238" s="611"/>
      <c r="J238" s="266"/>
      <c r="M238" s="268"/>
      <c r="N238" s="157"/>
      <c r="O238" s="294"/>
      <c r="P238" s="294"/>
    </row>
    <row r="239" spans="3:16" s="159" customFormat="1" x14ac:dyDescent="0.25">
      <c r="C239" s="611"/>
      <c r="D239" s="611"/>
      <c r="J239" s="266"/>
      <c r="M239" s="268"/>
      <c r="N239" s="157"/>
      <c r="O239" s="294"/>
      <c r="P239" s="294"/>
    </row>
  </sheetData>
  <mergeCells count="53">
    <mergeCell ref="Q11:Q12"/>
    <mergeCell ref="L11:L12"/>
    <mergeCell ref="M11:M12"/>
    <mergeCell ref="N11:N12"/>
    <mergeCell ref="O11:O12"/>
    <mergeCell ref="P11:P12"/>
    <mergeCell ref="K59:K60"/>
    <mergeCell ref="F57:F58"/>
    <mergeCell ref="G57:G58"/>
    <mergeCell ref="I57:I58"/>
    <mergeCell ref="J57:J58"/>
    <mergeCell ref="K57:K58"/>
    <mergeCell ref="F59:F60"/>
    <mergeCell ref="G59:G60"/>
    <mergeCell ref="I59:I60"/>
    <mergeCell ref="J59:J60"/>
    <mergeCell ref="B58:B59"/>
    <mergeCell ref="C48:F48"/>
    <mergeCell ref="G48:I48"/>
    <mergeCell ref="C11:F11"/>
    <mergeCell ref="G11:I11"/>
    <mergeCell ref="C18:F18"/>
    <mergeCell ref="G18:I18"/>
    <mergeCell ref="C40:F40"/>
    <mergeCell ref="G40:I40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  <pageSetUpPr fitToPage="1"/>
  </sheetPr>
  <dimension ref="A1:T277"/>
  <sheetViews>
    <sheetView topLeftCell="A18" zoomScale="90" zoomScaleNormal="75" zoomScaleSheetLayoutView="90" zoomScalePageLayoutView="75" workbookViewId="0">
      <selection activeCell="B32" sqref="B32"/>
    </sheetView>
  </sheetViews>
  <sheetFormatPr defaultColWidth="9.33203125" defaultRowHeight="13.2" x14ac:dyDescent="0.25"/>
  <cols>
    <col min="1" max="1" width="12.6640625" style="157" bestFit="1" customWidth="1"/>
    <col min="2" max="2" width="52.5546875" style="157" bestFit="1" customWidth="1"/>
    <col min="3" max="4" width="5" style="421" customWidth="1"/>
    <col min="5" max="5" width="10.6640625" style="157" bestFit="1" customWidth="1"/>
    <col min="6" max="6" width="12.5546875" style="157" bestFit="1" customWidth="1"/>
    <col min="7" max="7" width="7" style="157" bestFit="1" customWidth="1"/>
    <col min="8" max="8" width="10.6640625" style="157" bestFit="1" customWidth="1"/>
    <col min="9" max="9" width="14.44140625" style="157" bestFit="1" customWidth="1"/>
    <col min="10" max="10" width="16.33203125" style="268" bestFit="1" customWidth="1"/>
    <col min="11" max="11" width="14.441406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555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ht="13.8" thickBot="1" x14ac:dyDescent="0.3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ht="14.4" thickTop="1" thickBot="1" x14ac:dyDescent="0.3">
      <c r="A9" s="344" t="s">
        <v>0</v>
      </c>
      <c r="B9" s="345" t="s">
        <v>1</v>
      </c>
      <c r="C9" s="1028" t="s">
        <v>646</v>
      </c>
      <c r="D9" s="1028"/>
      <c r="E9" s="1028"/>
      <c r="F9" s="1028"/>
      <c r="G9" s="1028" t="s">
        <v>34</v>
      </c>
      <c r="H9" s="1028"/>
      <c r="I9" s="1028"/>
      <c r="J9" s="346"/>
      <c r="K9" s="503"/>
      <c r="L9" s="1050" t="s">
        <v>771</v>
      </c>
      <c r="M9" s="1052" t="s">
        <v>772</v>
      </c>
      <c r="N9" s="1054" t="s">
        <v>773</v>
      </c>
      <c r="O9" s="1056"/>
      <c r="P9" s="1058"/>
      <c r="Q9" s="1048"/>
    </row>
    <row r="10" spans="1:17" ht="15.6" x14ac:dyDescent="0.3">
      <c r="A10" s="505" t="s">
        <v>556</v>
      </c>
      <c r="B10" s="505" t="s">
        <v>557</v>
      </c>
      <c r="C10" s="350" t="s">
        <v>19</v>
      </c>
      <c r="D10" s="351" t="s">
        <v>33</v>
      </c>
      <c r="E10" s="352" t="s">
        <v>35</v>
      </c>
      <c r="F10" s="353" t="s">
        <v>30</v>
      </c>
      <c r="G10" s="506" t="s">
        <v>14</v>
      </c>
      <c r="H10" s="352" t="s">
        <v>35</v>
      </c>
      <c r="I10" s="353" t="s">
        <v>30</v>
      </c>
      <c r="J10" s="355" t="s">
        <v>649</v>
      </c>
      <c r="K10" s="507" t="s">
        <v>38</v>
      </c>
      <c r="L10" s="1051"/>
      <c r="M10" s="1053"/>
      <c r="N10" s="1055"/>
      <c r="O10" s="1057"/>
      <c r="P10" s="1059"/>
      <c r="Q10" s="1049"/>
    </row>
    <row r="11" spans="1:17" ht="15" x14ac:dyDescent="0.25">
      <c r="A11" s="194" t="s">
        <v>559</v>
      </c>
      <c r="B11" s="194" t="s">
        <v>558</v>
      </c>
      <c r="C11" s="362"/>
      <c r="D11" s="363" t="s">
        <v>21</v>
      </c>
      <c r="E11" s="247">
        <v>0</v>
      </c>
      <c r="F11" s="364">
        <f t="shared" ref="F11:F19" si="0">C11*E11</f>
        <v>0</v>
      </c>
      <c r="G11" s="509"/>
      <c r="H11" s="366">
        <v>0</v>
      </c>
      <c r="I11" s="364">
        <f t="shared" ref="I11:I19" si="1">G11*H11</f>
        <v>0</v>
      </c>
      <c r="J11" s="367"/>
      <c r="K11" s="510">
        <f t="shared" ref="K11:K19" si="2">F11+I11+J11</f>
        <v>0</v>
      </c>
      <c r="L11" s="369"/>
      <c r="M11" s="370"/>
      <c r="N11" s="371"/>
      <c r="O11" s="372"/>
      <c r="P11" s="373"/>
      <c r="Q11" s="374"/>
    </row>
    <row r="12" spans="1:17" ht="15" x14ac:dyDescent="0.25">
      <c r="A12" s="194" t="s">
        <v>560</v>
      </c>
      <c r="B12" s="194" t="s">
        <v>561</v>
      </c>
      <c r="C12" s="362"/>
      <c r="D12" s="363" t="s">
        <v>21</v>
      </c>
      <c r="E12" s="247">
        <v>0</v>
      </c>
      <c r="F12" s="364">
        <f t="shared" si="0"/>
        <v>0</v>
      </c>
      <c r="G12" s="509"/>
      <c r="H12" s="366">
        <v>0</v>
      </c>
      <c r="I12" s="364">
        <f t="shared" si="1"/>
        <v>0</v>
      </c>
      <c r="J12" s="367"/>
      <c r="K12" s="510">
        <f t="shared" si="2"/>
        <v>0</v>
      </c>
      <c r="L12" s="369"/>
      <c r="M12" s="370"/>
      <c r="N12" s="371"/>
      <c r="O12" s="372"/>
      <c r="P12" s="373"/>
      <c r="Q12" s="374"/>
    </row>
    <row r="13" spans="1:17" ht="15" x14ac:dyDescent="0.25">
      <c r="A13" s="194" t="s">
        <v>563</v>
      </c>
      <c r="B13" s="194" t="s">
        <v>562</v>
      </c>
      <c r="C13" s="362"/>
      <c r="D13" s="363" t="s">
        <v>21</v>
      </c>
      <c r="E13" s="247">
        <v>0</v>
      </c>
      <c r="F13" s="364">
        <f t="shared" si="0"/>
        <v>0</v>
      </c>
      <c r="G13" s="509"/>
      <c r="H13" s="366">
        <v>0</v>
      </c>
      <c r="I13" s="364">
        <f t="shared" si="1"/>
        <v>0</v>
      </c>
      <c r="J13" s="367"/>
      <c r="K13" s="510">
        <f t="shared" si="2"/>
        <v>0</v>
      </c>
      <c r="L13" s="369"/>
      <c r="M13" s="370"/>
      <c r="N13" s="371"/>
      <c r="O13" s="372"/>
      <c r="P13" s="373"/>
      <c r="Q13" s="374"/>
    </row>
    <row r="14" spans="1:17" x14ac:dyDescent="0.25"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157"/>
      <c r="M17" s="449"/>
      <c r="O17" s="372"/>
      <c r="P17" s="373"/>
      <c r="Q17" s="374"/>
    </row>
    <row r="18" spans="1:17" x14ac:dyDescent="0.25"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157"/>
      <c r="M18" s="449"/>
      <c r="O18" s="372"/>
      <c r="P18" s="373"/>
      <c r="Q18" s="374"/>
    </row>
    <row r="19" spans="1:17" x14ac:dyDescent="0.25"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515"/>
      <c r="M19" s="531"/>
      <c r="N19" s="516"/>
      <c r="O19" s="372"/>
      <c r="P19" s="373"/>
      <c r="Q19" s="374"/>
    </row>
    <row r="20" spans="1:17" ht="13.8" thickBot="1" x14ac:dyDescent="0.3">
      <c r="A20" s="378"/>
      <c r="B20" s="7"/>
      <c r="C20" s="379"/>
      <c r="D20" s="363"/>
      <c r="E20" s="247"/>
      <c r="F20" s="364"/>
      <c r="G20" s="509"/>
      <c r="H20" s="366"/>
      <c r="I20" s="364"/>
      <c r="J20" s="367"/>
      <c r="K20" s="510"/>
      <c r="L20" s="517"/>
      <c r="M20" s="444"/>
      <c r="N20" s="518"/>
      <c r="O20" s="372"/>
      <c r="P20" s="373"/>
      <c r="Q20" s="374"/>
    </row>
    <row r="21" spans="1:17" ht="13.8" thickTop="1" x14ac:dyDescent="0.25">
      <c r="A21" s="378"/>
      <c r="B21" s="7"/>
      <c r="C21" s="379"/>
      <c r="D21" s="363"/>
      <c r="E21" s="247"/>
      <c r="F21" s="364"/>
      <c r="G21" s="509"/>
      <c r="H21" s="366"/>
      <c r="I21" s="364"/>
      <c r="J21" s="380" t="s">
        <v>30</v>
      </c>
      <c r="K21" s="511">
        <f>SUM(K11:K20)</f>
        <v>0</v>
      </c>
      <c r="L21" s="157"/>
      <c r="M21" s="449"/>
      <c r="O21" s="372"/>
      <c r="P21" s="373"/>
      <c r="Q21" s="374"/>
    </row>
    <row r="22" spans="1:17" ht="13.8" thickBot="1" x14ac:dyDescent="0.3">
      <c r="A22" s="344" t="s">
        <v>0</v>
      </c>
      <c r="B22" s="345" t="s">
        <v>1</v>
      </c>
      <c r="C22" s="1028" t="s">
        <v>646</v>
      </c>
      <c r="D22" s="1028"/>
      <c r="E22" s="1028"/>
      <c r="F22" s="1028"/>
      <c r="G22" s="1028" t="s">
        <v>34</v>
      </c>
      <c r="H22" s="1028"/>
      <c r="I22" s="1028"/>
      <c r="J22" s="346"/>
      <c r="K22" s="503"/>
      <c r="L22" s="157"/>
      <c r="M22" s="449"/>
      <c r="O22" s="372"/>
      <c r="P22" s="373"/>
      <c r="Q22" s="374"/>
    </row>
    <row r="23" spans="1:17" ht="16.2" thickBot="1" x14ac:dyDescent="0.35">
      <c r="A23" s="504" t="s">
        <v>564</v>
      </c>
      <c r="B23" s="504" t="s">
        <v>565</v>
      </c>
      <c r="C23" s="387" t="s">
        <v>19</v>
      </c>
      <c r="D23" s="388" t="s">
        <v>33</v>
      </c>
      <c r="E23" s="389" t="s">
        <v>35</v>
      </c>
      <c r="F23" s="390" t="s">
        <v>30</v>
      </c>
      <c r="G23" s="512" t="s">
        <v>14</v>
      </c>
      <c r="H23" s="389" t="s">
        <v>35</v>
      </c>
      <c r="I23" s="390" t="s">
        <v>30</v>
      </c>
      <c r="J23" s="355" t="s">
        <v>649</v>
      </c>
      <c r="K23" s="513" t="s">
        <v>38</v>
      </c>
      <c r="L23" s="382"/>
      <c r="M23" s="383"/>
      <c r="N23" s="384"/>
      <c r="O23" s="372"/>
      <c r="P23" s="373"/>
      <c r="Q23" s="374"/>
    </row>
    <row r="24" spans="1:17" s="159" customFormat="1" x14ac:dyDescent="0.25">
      <c r="A24" s="158" t="s">
        <v>566</v>
      </c>
      <c r="B24" s="159" t="s">
        <v>577</v>
      </c>
      <c r="C24" s="362"/>
      <c r="D24" s="363" t="s">
        <v>21</v>
      </c>
      <c r="E24" s="247">
        <v>0</v>
      </c>
      <c r="F24" s="364">
        <f t="shared" ref="F24:F30" si="3">C24*E24</f>
        <v>0</v>
      </c>
      <c r="G24" s="509"/>
      <c r="H24" s="366">
        <v>0</v>
      </c>
      <c r="I24" s="364">
        <f t="shared" ref="I24:I30" si="4">G24*H24</f>
        <v>0</v>
      </c>
      <c r="J24" s="367"/>
      <c r="K24" s="510">
        <f t="shared" ref="K24:K30" si="5">F24+I24+J24</f>
        <v>0</v>
      </c>
      <c r="L24" s="393"/>
      <c r="M24" s="394"/>
      <c r="N24" s="395"/>
      <c r="O24" s="372"/>
      <c r="P24" s="373"/>
      <c r="Q24" s="374"/>
    </row>
    <row r="25" spans="1:17" s="159" customFormat="1" x14ac:dyDescent="0.25">
      <c r="A25" s="631" t="s">
        <v>567</v>
      </c>
      <c r="B25" s="631" t="s">
        <v>576</v>
      </c>
      <c r="C25" s="362"/>
      <c r="D25" s="363" t="s">
        <v>21</v>
      </c>
      <c r="E25" s="247">
        <v>0</v>
      </c>
      <c r="F25" s="364">
        <f t="shared" si="3"/>
        <v>0</v>
      </c>
      <c r="G25" s="509"/>
      <c r="H25" s="366">
        <v>0</v>
      </c>
      <c r="I25" s="364">
        <f t="shared" si="4"/>
        <v>0</v>
      </c>
      <c r="J25" s="367"/>
      <c r="K25" s="510">
        <f t="shared" si="5"/>
        <v>0</v>
      </c>
      <c r="M25" s="266"/>
      <c r="O25" s="372"/>
      <c r="P25" s="373"/>
      <c r="Q25" s="374"/>
    </row>
    <row r="26" spans="1:17" s="159" customFormat="1" x14ac:dyDescent="0.25">
      <c r="A26" s="631" t="s">
        <v>568</v>
      </c>
      <c r="B26" s="631" t="s">
        <v>575</v>
      </c>
      <c r="C26" s="362"/>
      <c r="D26" s="363" t="s">
        <v>21</v>
      </c>
      <c r="E26" s="247">
        <v>0</v>
      </c>
      <c r="F26" s="364">
        <f t="shared" si="3"/>
        <v>0</v>
      </c>
      <c r="G26" s="509"/>
      <c r="H26" s="366">
        <v>0</v>
      </c>
      <c r="I26" s="364">
        <f t="shared" si="4"/>
        <v>0</v>
      </c>
      <c r="J26" s="367"/>
      <c r="K26" s="510">
        <f t="shared" si="5"/>
        <v>0</v>
      </c>
      <c r="M26" s="266"/>
      <c r="O26" s="372"/>
      <c r="P26" s="373"/>
      <c r="Q26" s="374"/>
    </row>
    <row r="27" spans="1:17" s="159" customFormat="1" ht="15.6" x14ac:dyDescent="0.3">
      <c r="A27" s="631" t="s">
        <v>569</v>
      </c>
      <c r="B27" s="1002" t="s">
        <v>1153</v>
      </c>
      <c r="C27" s="795"/>
      <c r="D27" s="796" t="s">
        <v>21</v>
      </c>
      <c r="E27" s="797">
        <v>0</v>
      </c>
      <c r="F27" s="798">
        <f t="shared" si="3"/>
        <v>0</v>
      </c>
      <c r="G27" s="799"/>
      <c r="H27" s="800">
        <v>0</v>
      </c>
      <c r="I27" s="798">
        <f t="shared" si="4"/>
        <v>0</v>
      </c>
      <c r="J27" s="801"/>
      <c r="K27" s="802">
        <f t="shared" si="5"/>
        <v>0</v>
      </c>
      <c r="M27" s="266"/>
      <c r="O27" s="372"/>
      <c r="P27" s="373"/>
      <c r="Q27" s="374"/>
    </row>
    <row r="28" spans="1:17" s="159" customFormat="1" x14ac:dyDescent="0.25">
      <c r="A28" s="631" t="s">
        <v>570</v>
      </c>
      <c r="B28" s="631" t="s">
        <v>574</v>
      </c>
      <c r="C28" s="362"/>
      <c r="D28" s="363" t="s">
        <v>21</v>
      </c>
      <c r="E28" s="247">
        <v>0</v>
      </c>
      <c r="F28" s="364">
        <f t="shared" si="3"/>
        <v>0</v>
      </c>
      <c r="G28" s="509"/>
      <c r="H28" s="366">
        <v>0</v>
      </c>
      <c r="I28" s="364">
        <f t="shared" si="4"/>
        <v>0</v>
      </c>
      <c r="J28" s="367"/>
      <c r="K28" s="510">
        <f t="shared" si="5"/>
        <v>0</v>
      </c>
      <c r="M28" s="268"/>
      <c r="N28" s="157"/>
      <c r="O28" s="372"/>
      <c r="P28" s="373"/>
      <c r="Q28" s="374"/>
    </row>
    <row r="29" spans="1:17" s="159" customFormat="1" x14ac:dyDescent="0.25">
      <c r="A29" s="631" t="s">
        <v>571</v>
      </c>
      <c r="B29" s="990" t="s">
        <v>1159</v>
      </c>
      <c r="C29" s="991"/>
      <c r="D29" s="992" t="s">
        <v>1135</v>
      </c>
      <c r="E29" s="993">
        <v>0</v>
      </c>
      <c r="F29" s="994">
        <f t="shared" si="3"/>
        <v>0</v>
      </c>
      <c r="G29" s="995"/>
      <c r="H29" s="996">
        <v>0</v>
      </c>
      <c r="I29" s="994">
        <f t="shared" si="4"/>
        <v>0</v>
      </c>
      <c r="J29" s="997">
        <v>2000</v>
      </c>
      <c r="K29" s="998">
        <f t="shared" si="5"/>
        <v>2000</v>
      </c>
      <c r="M29" s="370"/>
      <c r="N29" s="371"/>
      <c r="O29" s="372"/>
      <c r="P29" s="373"/>
      <c r="Q29" s="374"/>
    </row>
    <row r="30" spans="1:17" s="159" customFormat="1" x14ac:dyDescent="0.25">
      <c r="A30" s="158" t="s">
        <v>572</v>
      </c>
      <c r="B30" s="847" t="s">
        <v>55</v>
      </c>
      <c r="C30" s="795">
        <v>45</v>
      </c>
      <c r="D30" s="796" t="s">
        <v>1135</v>
      </c>
      <c r="E30" s="797">
        <v>100</v>
      </c>
      <c r="F30" s="798">
        <f t="shared" si="3"/>
        <v>4500</v>
      </c>
      <c r="G30" s="799"/>
      <c r="H30" s="800">
        <v>0</v>
      </c>
      <c r="I30" s="798">
        <f t="shared" si="4"/>
        <v>0</v>
      </c>
      <c r="J30" s="801"/>
      <c r="K30" s="802">
        <f t="shared" si="5"/>
        <v>4500</v>
      </c>
      <c r="L30" s="369" t="s">
        <v>1152</v>
      </c>
      <c r="M30" s="370"/>
      <c r="N30" s="371"/>
      <c r="O30" s="372"/>
      <c r="P30" s="373"/>
      <c r="Q30" s="374"/>
    </row>
    <row r="31" spans="1:17" s="159" customFormat="1" x14ac:dyDescent="0.25">
      <c r="A31" s="158" t="s">
        <v>573</v>
      </c>
      <c r="B31" s="847" t="s">
        <v>1139</v>
      </c>
      <c r="C31" s="795">
        <f>59-C30</f>
        <v>14</v>
      </c>
      <c r="D31" s="796" t="s">
        <v>1135</v>
      </c>
      <c r="E31" s="797">
        <v>100</v>
      </c>
      <c r="F31" s="798">
        <f>C31*E31</f>
        <v>1400</v>
      </c>
      <c r="G31" s="799"/>
      <c r="H31" s="800">
        <v>0</v>
      </c>
      <c r="I31" s="798">
        <f>G31*H31</f>
        <v>0</v>
      </c>
      <c r="J31" s="801"/>
      <c r="K31" s="802">
        <f>F31+I31+J31</f>
        <v>1400</v>
      </c>
      <c r="L31" s="369" t="s">
        <v>1152</v>
      </c>
      <c r="M31" s="531"/>
      <c r="N31" s="516"/>
      <c r="O31" s="372"/>
      <c r="P31" s="373"/>
      <c r="Q31" s="374"/>
    </row>
    <row r="32" spans="1:17" s="159" customFormat="1" ht="13.8" thickBot="1" x14ac:dyDescent="0.3">
      <c r="A32" s="158"/>
      <c r="C32" s="379"/>
      <c r="D32" s="363"/>
      <c r="E32" s="247"/>
      <c r="F32" s="364"/>
      <c r="G32" s="509"/>
      <c r="H32" s="366"/>
      <c r="I32" s="364"/>
      <c r="J32" s="249"/>
      <c r="K32" s="514"/>
      <c r="M32" s="266"/>
      <c r="O32" s="372"/>
      <c r="P32" s="373"/>
      <c r="Q32" s="374"/>
    </row>
    <row r="33" spans="1:20" s="159" customFormat="1" ht="13.8" thickTop="1" x14ac:dyDescent="0.25">
      <c r="A33" s="378"/>
      <c r="B33" s="5"/>
      <c r="C33" s="379"/>
      <c r="D33" s="363"/>
      <c r="E33" s="247"/>
      <c r="F33" s="364"/>
      <c r="G33" s="509"/>
      <c r="H33" s="366"/>
      <c r="I33" s="364"/>
      <c r="J33" s="380" t="s">
        <v>30</v>
      </c>
      <c r="K33" s="511">
        <f>SUM(K24:K32)</f>
        <v>7900</v>
      </c>
      <c r="M33" s="266"/>
      <c r="O33" s="372"/>
      <c r="P33" s="373"/>
      <c r="Q33" s="374"/>
    </row>
    <row r="34" spans="1:20" s="159" customFormat="1" ht="13.8" thickBot="1" x14ac:dyDescent="0.3">
      <c r="A34" s="344" t="s">
        <v>0</v>
      </c>
      <c r="B34" s="345" t="s">
        <v>1</v>
      </c>
      <c r="C34" s="1028" t="s">
        <v>646</v>
      </c>
      <c r="D34" s="1028"/>
      <c r="E34" s="1028"/>
      <c r="F34" s="1028"/>
      <c r="G34" s="1028" t="s">
        <v>34</v>
      </c>
      <c r="H34" s="1028"/>
      <c r="I34" s="1028"/>
      <c r="J34" s="346"/>
      <c r="K34" s="503"/>
      <c r="L34" s="157"/>
      <c r="M34" s="449"/>
      <c r="N34" s="157"/>
      <c r="O34" s="372"/>
      <c r="P34" s="373"/>
      <c r="Q34" s="374"/>
    </row>
    <row r="35" spans="1:20" s="159" customFormat="1" ht="16.2" thickBot="1" x14ac:dyDescent="0.35">
      <c r="A35" s="504" t="s">
        <v>578</v>
      </c>
      <c r="B35" s="504" t="s">
        <v>579</v>
      </c>
      <c r="C35" s="387" t="s">
        <v>19</v>
      </c>
      <c r="D35" s="388" t="s">
        <v>33</v>
      </c>
      <c r="E35" s="389" t="s">
        <v>35</v>
      </c>
      <c r="F35" s="390" t="s">
        <v>30</v>
      </c>
      <c r="G35" s="512" t="s">
        <v>14</v>
      </c>
      <c r="H35" s="389" t="s">
        <v>35</v>
      </c>
      <c r="I35" s="390" t="s">
        <v>30</v>
      </c>
      <c r="J35" s="355" t="s">
        <v>649</v>
      </c>
      <c r="K35" s="513" t="s">
        <v>38</v>
      </c>
      <c r="L35" s="382"/>
      <c r="M35" s="383"/>
      <c r="N35" s="384"/>
      <c r="O35" s="372"/>
      <c r="P35" s="373"/>
      <c r="Q35" s="374"/>
    </row>
    <row r="36" spans="1:20" s="159" customFormat="1" x14ac:dyDescent="0.25">
      <c r="A36" s="158" t="s">
        <v>583</v>
      </c>
      <c r="B36" s="159" t="s">
        <v>580</v>
      </c>
      <c r="C36" s="362"/>
      <c r="D36" s="363" t="s">
        <v>21</v>
      </c>
      <c r="E36" s="247">
        <v>0</v>
      </c>
      <c r="F36" s="364">
        <f>C36*E36</f>
        <v>0</v>
      </c>
      <c r="G36" s="509"/>
      <c r="H36" s="366">
        <v>0</v>
      </c>
      <c r="I36" s="364">
        <f>G36*H36</f>
        <v>0</v>
      </c>
      <c r="J36" s="367"/>
      <c r="K36" s="510">
        <f>F36+I36+J36</f>
        <v>0</v>
      </c>
      <c r="L36" s="393"/>
      <c r="M36" s="394"/>
      <c r="N36" s="395"/>
      <c r="O36" s="372"/>
      <c r="P36" s="373"/>
      <c r="Q36" s="374"/>
    </row>
    <row r="37" spans="1:20" s="159" customFormat="1" x14ac:dyDescent="0.25">
      <c r="A37" s="158" t="s">
        <v>582</v>
      </c>
      <c r="B37" s="159" t="s">
        <v>581</v>
      </c>
      <c r="C37" s="362"/>
      <c r="D37" s="363" t="s">
        <v>21</v>
      </c>
      <c r="E37" s="247">
        <v>0</v>
      </c>
      <c r="F37" s="364">
        <f>C37*E37</f>
        <v>0</v>
      </c>
      <c r="G37" s="509"/>
      <c r="H37" s="366">
        <v>0</v>
      </c>
      <c r="I37" s="364">
        <f>G37*H37</f>
        <v>0</v>
      </c>
      <c r="J37" s="367"/>
      <c r="K37" s="510">
        <f>F37+I37+J37</f>
        <v>0</v>
      </c>
      <c r="L37" s="517"/>
      <c r="M37" s="622"/>
      <c r="N37" s="621"/>
      <c r="O37" s="401"/>
      <c r="P37" s="402"/>
      <c r="Q37" s="374"/>
    </row>
    <row r="38" spans="1:20" s="159" customFormat="1" x14ac:dyDescent="0.25">
      <c r="A38" s="361"/>
      <c r="B38" s="5"/>
      <c r="C38" s="362"/>
      <c r="D38" s="363" t="s">
        <v>21</v>
      </c>
      <c r="E38" s="247">
        <v>0</v>
      </c>
      <c r="F38" s="364">
        <f>C38*E38</f>
        <v>0</v>
      </c>
      <c r="G38" s="509"/>
      <c r="H38" s="366">
        <v>0</v>
      </c>
      <c r="I38" s="364">
        <f>G38*H38</f>
        <v>0</v>
      </c>
      <c r="J38" s="367"/>
      <c r="K38" s="510">
        <f>F38+I38+J38</f>
        <v>0</v>
      </c>
      <c r="L38" s="369"/>
      <c r="M38" s="370"/>
      <c r="N38" s="371"/>
      <c r="O38" s="401"/>
      <c r="P38" s="402"/>
      <c r="Q38" s="374"/>
    </row>
    <row r="39" spans="1:20" s="159" customFormat="1" ht="15" x14ac:dyDescent="0.25">
      <c r="A39" s="378"/>
      <c r="B39" s="403"/>
      <c r="C39" s="379"/>
      <c r="D39" s="363"/>
      <c r="E39" s="247"/>
      <c r="F39" s="364"/>
      <c r="G39" s="509"/>
      <c r="H39" s="366"/>
      <c r="I39" s="364"/>
      <c r="J39" s="367"/>
      <c r="K39" s="514"/>
      <c r="M39" s="266"/>
      <c r="O39" s="401"/>
      <c r="P39" s="402"/>
      <c r="Q39" s="374"/>
      <c r="S39" s="196"/>
      <c r="T39" s="196"/>
    </row>
    <row r="40" spans="1:20" s="159" customFormat="1" ht="15.6" thickBot="1" x14ac:dyDescent="0.3">
      <c r="A40" s="378"/>
      <c r="B40" s="403"/>
      <c r="C40" s="379"/>
      <c r="D40" s="363"/>
      <c r="E40" s="247"/>
      <c r="F40" s="364"/>
      <c r="G40" s="509"/>
      <c r="H40" s="366"/>
      <c r="I40" s="364"/>
      <c r="J40" s="367"/>
      <c r="K40" s="514"/>
      <c r="M40" s="266"/>
      <c r="O40" s="401"/>
      <c r="P40" s="402"/>
      <c r="Q40" s="374"/>
      <c r="S40" s="196"/>
      <c r="T40" s="196"/>
    </row>
    <row r="41" spans="1:20" s="159" customFormat="1" ht="15.6" thickTop="1" x14ac:dyDescent="0.25">
      <c r="A41" s="378"/>
      <c r="B41" s="403"/>
      <c r="C41" s="379"/>
      <c r="D41" s="363"/>
      <c r="E41" s="247"/>
      <c r="F41" s="364"/>
      <c r="G41" s="509"/>
      <c r="H41" s="366"/>
      <c r="I41" s="364"/>
      <c r="J41" s="380" t="s">
        <v>30</v>
      </c>
      <c r="K41" s="511">
        <f>SUM(K36:K40)</f>
        <v>0</v>
      </c>
      <c r="L41" s="369"/>
      <c r="M41" s="370"/>
      <c r="N41" s="371"/>
      <c r="O41" s="401"/>
      <c r="P41" s="402"/>
      <c r="Q41" s="374"/>
      <c r="S41" s="196"/>
      <c r="T41" s="196"/>
    </row>
    <row r="42" spans="1:20" s="159" customFormat="1" ht="15.6" thickBot="1" x14ac:dyDescent="0.3">
      <c r="A42" s="344" t="s">
        <v>0</v>
      </c>
      <c r="B42" s="345" t="s">
        <v>1</v>
      </c>
      <c r="C42" s="1028" t="s">
        <v>646</v>
      </c>
      <c r="D42" s="1028"/>
      <c r="E42" s="1028"/>
      <c r="F42" s="1028"/>
      <c r="G42" s="1028" t="s">
        <v>34</v>
      </c>
      <c r="H42" s="1028"/>
      <c r="I42" s="1028"/>
      <c r="J42" s="346"/>
      <c r="K42" s="503"/>
      <c r="L42" s="382"/>
      <c r="M42" s="383"/>
      <c r="N42" s="384"/>
      <c r="O42" s="401"/>
      <c r="P42" s="402"/>
      <c r="Q42" s="374"/>
      <c r="S42" s="196"/>
      <c r="T42" s="196"/>
    </row>
    <row r="43" spans="1:20" s="159" customFormat="1" ht="15.6" x14ac:dyDescent="0.3">
      <c r="A43" s="505" t="s">
        <v>584</v>
      </c>
      <c r="B43" s="505" t="s">
        <v>585</v>
      </c>
      <c r="C43" s="387" t="s">
        <v>19</v>
      </c>
      <c r="D43" s="388" t="s">
        <v>33</v>
      </c>
      <c r="E43" s="389" t="s">
        <v>35</v>
      </c>
      <c r="F43" s="390" t="s">
        <v>30</v>
      </c>
      <c r="G43" s="512" t="s">
        <v>14</v>
      </c>
      <c r="H43" s="389" t="s">
        <v>35</v>
      </c>
      <c r="I43" s="390" t="s">
        <v>30</v>
      </c>
      <c r="J43" s="355" t="s">
        <v>649</v>
      </c>
      <c r="K43" s="513" t="s">
        <v>38</v>
      </c>
      <c r="L43" s="393"/>
      <c r="M43" s="399"/>
      <c r="N43" s="400"/>
      <c r="O43" s="372"/>
      <c r="P43" s="373"/>
      <c r="Q43" s="374"/>
      <c r="S43" s="157"/>
      <c r="T43" s="157"/>
    </row>
    <row r="44" spans="1:20" s="159" customFormat="1" ht="15" x14ac:dyDescent="0.25">
      <c r="A44" s="508" t="s">
        <v>586</v>
      </c>
      <c r="B44" s="196" t="s">
        <v>587</v>
      </c>
      <c r="C44" s="362"/>
      <c r="D44" s="363" t="s">
        <v>21</v>
      </c>
      <c r="E44" s="247">
        <v>0</v>
      </c>
      <c r="F44" s="364">
        <f>C44*E44</f>
        <v>0</v>
      </c>
      <c r="G44" s="509"/>
      <c r="H44" s="366">
        <v>0</v>
      </c>
      <c r="I44" s="364">
        <f>G44*H44</f>
        <v>0</v>
      </c>
      <c r="J44" s="367"/>
      <c r="K44" s="510">
        <f>F44+I44+J44</f>
        <v>0</v>
      </c>
      <c r="M44" s="266"/>
      <c r="O44" s="372"/>
      <c r="P44" s="373"/>
      <c r="Q44" s="374"/>
    </row>
    <row r="45" spans="1:20" s="159" customFormat="1" ht="15" x14ac:dyDescent="0.25">
      <c r="A45" s="508" t="s">
        <v>588</v>
      </c>
      <c r="B45" s="196" t="s">
        <v>589</v>
      </c>
      <c r="C45" s="362"/>
      <c r="D45" s="363" t="s">
        <v>21</v>
      </c>
      <c r="E45" s="247">
        <v>0</v>
      </c>
      <c r="F45" s="364">
        <f>C45*E45</f>
        <v>0</v>
      </c>
      <c r="G45" s="509"/>
      <c r="H45" s="366">
        <v>0</v>
      </c>
      <c r="I45" s="364">
        <f>G45*H45</f>
        <v>0</v>
      </c>
      <c r="J45" s="367"/>
      <c r="K45" s="510">
        <f>F45+I45+J45</f>
        <v>0</v>
      </c>
      <c r="M45" s="266"/>
      <c r="O45" s="372"/>
      <c r="P45" s="402"/>
      <c r="Q45" s="374"/>
    </row>
    <row r="46" spans="1:20" s="159" customFormat="1" ht="15" x14ac:dyDescent="0.25">
      <c r="A46" s="508" t="s">
        <v>590</v>
      </c>
      <c r="B46" s="196" t="s">
        <v>591</v>
      </c>
      <c r="C46" s="362"/>
      <c r="D46" s="363" t="s">
        <v>21</v>
      </c>
      <c r="E46" s="247">
        <v>0</v>
      </c>
      <c r="F46" s="364">
        <f>C46*E46</f>
        <v>0</v>
      </c>
      <c r="G46" s="509"/>
      <c r="H46" s="366">
        <v>0</v>
      </c>
      <c r="I46" s="364">
        <f>G46*H46</f>
        <v>0</v>
      </c>
      <c r="J46" s="367"/>
      <c r="K46" s="510">
        <f>F46+I46+J46</f>
        <v>0</v>
      </c>
      <c r="L46" s="369"/>
      <c r="M46" s="249"/>
      <c r="N46" s="409"/>
      <c r="O46" s="372"/>
      <c r="P46" s="373"/>
      <c r="Q46" s="374"/>
    </row>
    <row r="47" spans="1:20" s="159" customFormat="1" x14ac:dyDescent="0.25">
      <c r="A47" s="250" t="s">
        <v>593</v>
      </c>
      <c r="B47" s="250" t="s">
        <v>592</v>
      </c>
      <c r="C47" s="362"/>
      <c r="D47" s="363" t="s">
        <v>21</v>
      </c>
      <c r="E47" s="247">
        <v>0</v>
      </c>
      <c r="F47" s="364">
        <f>C47*E47</f>
        <v>0</v>
      </c>
      <c r="G47" s="509"/>
      <c r="H47" s="366">
        <v>0</v>
      </c>
      <c r="I47" s="364">
        <f>G47*H47</f>
        <v>0</v>
      </c>
      <c r="J47" s="367"/>
      <c r="K47" s="510">
        <f>F47+I47+J47</f>
        <v>0</v>
      </c>
      <c r="L47" s="515"/>
      <c r="M47" s="531"/>
      <c r="N47" s="516"/>
      <c r="O47" s="372"/>
      <c r="P47" s="373"/>
      <c r="Q47" s="374"/>
    </row>
    <row r="48" spans="1:20" s="159" customFormat="1" x14ac:dyDescent="0.25">
      <c r="A48" s="361"/>
      <c r="B48" s="5"/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M48" s="266"/>
      <c r="O48" s="372"/>
      <c r="P48" s="373"/>
      <c r="Q48" s="374"/>
    </row>
    <row r="49" spans="1:17" s="159" customFormat="1" ht="13.8" thickBot="1" x14ac:dyDescent="0.3">
      <c r="A49" s="378"/>
      <c r="B49" s="403"/>
      <c r="C49" s="379"/>
      <c r="D49" s="363"/>
      <c r="E49" s="247"/>
      <c r="F49" s="364"/>
      <c r="G49" s="509"/>
      <c r="H49" s="366"/>
      <c r="I49" s="364"/>
      <c r="J49" s="367"/>
      <c r="K49" s="514"/>
      <c r="M49" s="266"/>
      <c r="O49" s="372"/>
      <c r="P49" s="373"/>
      <c r="Q49" s="374"/>
    </row>
    <row r="50" spans="1:17" s="159" customFormat="1" ht="13.8" thickTop="1" x14ac:dyDescent="0.25">
      <c r="A50" s="378"/>
      <c r="B50" s="403"/>
      <c r="C50" s="379"/>
      <c r="D50" s="363"/>
      <c r="E50" s="247"/>
      <c r="F50" s="364"/>
      <c r="G50" s="509"/>
      <c r="H50" s="366"/>
      <c r="I50" s="364"/>
      <c r="J50" s="380" t="s">
        <v>30</v>
      </c>
      <c r="K50" s="511">
        <f>SUM(K44:K49)</f>
        <v>0</v>
      </c>
      <c r="L50" s="369"/>
      <c r="M50" s="249"/>
      <c r="N50" s="409"/>
      <c r="O50" s="372"/>
      <c r="P50" s="373"/>
      <c r="Q50" s="374"/>
    </row>
    <row r="51" spans="1:17" s="159" customFormat="1" ht="13.8" thickBot="1" x14ac:dyDescent="0.3">
      <c r="A51" s="344" t="s">
        <v>0</v>
      </c>
      <c r="B51" s="345" t="s">
        <v>1</v>
      </c>
      <c r="C51" s="1028" t="s">
        <v>646</v>
      </c>
      <c r="D51" s="1028"/>
      <c r="E51" s="1028"/>
      <c r="F51" s="1028"/>
      <c r="G51" s="1028" t="s">
        <v>34</v>
      </c>
      <c r="H51" s="1028"/>
      <c r="I51" s="1028"/>
      <c r="J51" s="346"/>
      <c r="K51" s="503"/>
      <c r="L51" s="382"/>
      <c r="M51" s="383"/>
      <c r="N51" s="384"/>
      <c r="O51" s="372"/>
      <c r="P51" s="373"/>
      <c r="Q51" s="374"/>
    </row>
    <row r="52" spans="1:17" s="159" customFormat="1" ht="15.6" x14ac:dyDescent="0.3">
      <c r="A52" s="505" t="s">
        <v>594</v>
      </c>
      <c r="B52" s="505" t="s">
        <v>595</v>
      </c>
      <c r="C52" s="387" t="s">
        <v>19</v>
      </c>
      <c r="D52" s="388" t="s">
        <v>33</v>
      </c>
      <c r="E52" s="389" t="s">
        <v>35</v>
      </c>
      <c r="F52" s="390" t="s">
        <v>30</v>
      </c>
      <c r="G52" s="512" t="s">
        <v>14</v>
      </c>
      <c r="H52" s="389" t="s">
        <v>35</v>
      </c>
      <c r="I52" s="390" t="s">
        <v>30</v>
      </c>
      <c r="J52" s="355" t="s">
        <v>649</v>
      </c>
      <c r="K52" s="513" t="s">
        <v>38</v>
      </c>
      <c r="L52" s="393"/>
      <c r="M52" s="399"/>
      <c r="N52" s="400"/>
      <c r="O52" s="417"/>
      <c r="P52" s="418"/>
      <c r="Q52" s="374"/>
    </row>
    <row r="53" spans="1:17" s="159" customFormat="1" ht="15" x14ac:dyDescent="0.25">
      <c r="A53" s="196" t="s">
        <v>596</v>
      </c>
      <c r="B53" s="196" t="s">
        <v>597</v>
      </c>
      <c r="C53" s="362"/>
      <c r="D53" s="363" t="s">
        <v>21</v>
      </c>
      <c r="E53" s="247">
        <v>0</v>
      </c>
      <c r="F53" s="364">
        <f t="shared" ref="F53:F59" si="6">C53*E53</f>
        <v>0</v>
      </c>
      <c r="G53" s="509"/>
      <c r="H53" s="366">
        <v>0</v>
      </c>
      <c r="I53" s="364">
        <f t="shared" ref="I53:I59" si="7">G53*H53</f>
        <v>0</v>
      </c>
      <c r="J53" s="367"/>
      <c r="K53" s="510">
        <f t="shared" ref="K53:K59" si="8">F53+I53+J53</f>
        <v>0</v>
      </c>
      <c r="M53" s="266"/>
      <c r="O53" s="417"/>
      <c r="P53" s="418"/>
      <c r="Q53" s="374"/>
    </row>
    <row r="54" spans="1:17" s="159" customFormat="1" ht="15" x14ac:dyDescent="0.25">
      <c r="A54" s="196" t="s">
        <v>598</v>
      </c>
      <c r="B54" s="196" t="s">
        <v>599</v>
      </c>
      <c r="C54" s="362"/>
      <c r="D54" s="363" t="s">
        <v>21</v>
      </c>
      <c r="E54" s="247">
        <v>0</v>
      </c>
      <c r="F54" s="364">
        <f t="shared" si="6"/>
        <v>0</v>
      </c>
      <c r="G54" s="509"/>
      <c r="H54" s="366">
        <v>0</v>
      </c>
      <c r="I54" s="364">
        <f t="shared" si="7"/>
        <v>0</v>
      </c>
      <c r="J54" s="367"/>
      <c r="K54" s="510">
        <f t="shared" si="8"/>
        <v>0</v>
      </c>
      <c r="M54" s="266"/>
      <c r="O54" s="401"/>
      <c r="P54" s="402"/>
      <c r="Q54" s="374"/>
    </row>
    <row r="55" spans="1:17" s="159" customFormat="1" ht="15" x14ac:dyDescent="0.25">
      <c r="A55" s="196" t="s">
        <v>601</v>
      </c>
      <c r="B55" s="196" t="s">
        <v>600</v>
      </c>
      <c r="C55" s="362"/>
      <c r="D55" s="363" t="s">
        <v>21</v>
      </c>
      <c r="E55" s="247">
        <v>0</v>
      </c>
      <c r="F55" s="364">
        <f t="shared" si="6"/>
        <v>0</v>
      </c>
      <c r="G55" s="509"/>
      <c r="H55" s="366">
        <v>0</v>
      </c>
      <c r="I55" s="364">
        <f t="shared" si="7"/>
        <v>0</v>
      </c>
      <c r="J55" s="367"/>
      <c r="K55" s="510">
        <f t="shared" si="8"/>
        <v>0</v>
      </c>
      <c r="M55" s="266"/>
      <c r="O55" s="372"/>
      <c r="P55" s="373"/>
      <c r="Q55" s="374"/>
    </row>
    <row r="56" spans="1:17" s="159" customFormat="1" x14ac:dyDescent="0.25">
      <c r="A56" s="361"/>
      <c r="B56" s="5"/>
      <c r="C56" s="362"/>
      <c r="D56" s="363" t="s">
        <v>21</v>
      </c>
      <c r="E56" s="247">
        <v>0</v>
      </c>
      <c r="F56" s="364">
        <f t="shared" si="6"/>
        <v>0</v>
      </c>
      <c r="G56" s="509"/>
      <c r="H56" s="366">
        <v>0</v>
      </c>
      <c r="I56" s="364">
        <f t="shared" si="7"/>
        <v>0</v>
      </c>
      <c r="J56" s="367"/>
      <c r="K56" s="510">
        <f t="shared" si="8"/>
        <v>0</v>
      </c>
      <c r="M56" s="266"/>
      <c r="O56" s="372"/>
      <c r="P56" s="373"/>
      <c r="Q56" s="374"/>
    </row>
    <row r="57" spans="1:17" s="159" customFormat="1" x14ac:dyDescent="0.25">
      <c r="A57" s="361"/>
      <c r="B57" s="5"/>
      <c r="C57" s="362"/>
      <c r="D57" s="363" t="s">
        <v>21</v>
      </c>
      <c r="E57" s="247">
        <v>0</v>
      </c>
      <c r="F57" s="364">
        <f t="shared" si="6"/>
        <v>0</v>
      </c>
      <c r="G57" s="509"/>
      <c r="H57" s="366">
        <v>0</v>
      </c>
      <c r="I57" s="364">
        <f t="shared" si="7"/>
        <v>0</v>
      </c>
      <c r="J57" s="367"/>
      <c r="K57" s="510">
        <f t="shared" si="8"/>
        <v>0</v>
      </c>
      <c r="M57" s="266"/>
      <c r="O57" s="372"/>
      <c r="P57" s="373"/>
      <c r="Q57" s="374"/>
    </row>
    <row r="58" spans="1:17" s="159" customFormat="1" x14ac:dyDescent="0.25">
      <c r="A58" s="361"/>
      <c r="B58" s="5"/>
      <c r="C58" s="362"/>
      <c r="D58" s="363" t="s">
        <v>21</v>
      </c>
      <c r="E58" s="247">
        <v>0</v>
      </c>
      <c r="F58" s="364">
        <f t="shared" si="6"/>
        <v>0</v>
      </c>
      <c r="G58" s="509"/>
      <c r="H58" s="366">
        <v>0</v>
      </c>
      <c r="I58" s="364">
        <f t="shared" si="7"/>
        <v>0</v>
      </c>
      <c r="J58" s="367"/>
      <c r="K58" s="510">
        <f t="shared" si="8"/>
        <v>0</v>
      </c>
      <c r="L58" s="369"/>
      <c r="M58" s="249"/>
      <c r="N58" s="371"/>
      <c r="O58" s="372"/>
      <c r="P58" s="373"/>
      <c r="Q58" s="374"/>
    </row>
    <row r="59" spans="1:17" s="159" customFormat="1" x14ac:dyDescent="0.25">
      <c r="A59" s="361"/>
      <c r="B59" s="5"/>
      <c r="C59" s="362"/>
      <c r="D59" s="363" t="s">
        <v>21</v>
      </c>
      <c r="E59" s="247">
        <v>0</v>
      </c>
      <c r="F59" s="364">
        <f t="shared" si="6"/>
        <v>0</v>
      </c>
      <c r="G59" s="509"/>
      <c r="H59" s="366">
        <v>0</v>
      </c>
      <c r="I59" s="364">
        <f t="shared" si="7"/>
        <v>0</v>
      </c>
      <c r="J59" s="367"/>
      <c r="K59" s="510">
        <f t="shared" si="8"/>
        <v>0</v>
      </c>
      <c r="M59" s="266"/>
      <c r="O59" s="372"/>
      <c r="P59" s="373"/>
      <c r="Q59" s="374"/>
    </row>
    <row r="60" spans="1:17" s="159" customFormat="1" ht="13.8" thickBot="1" x14ac:dyDescent="0.3">
      <c r="A60" s="378"/>
      <c r="B60" s="5"/>
      <c r="C60" s="379"/>
      <c r="D60" s="363"/>
      <c r="E60" s="247"/>
      <c r="F60" s="364"/>
      <c r="G60" s="509"/>
      <c r="H60" s="366"/>
      <c r="I60" s="364"/>
      <c r="J60" s="367"/>
      <c r="K60" s="514"/>
      <c r="M60" s="266"/>
      <c r="O60" s="372"/>
      <c r="P60" s="373"/>
      <c r="Q60" s="374"/>
    </row>
    <row r="61" spans="1:17" s="159" customFormat="1" ht="13.8" thickTop="1" x14ac:dyDescent="0.25">
      <c r="A61" s="378"/>
      <c r="B61" s="403"/>
      <c r="C61" s="379"/>
      <c r="D61" s="363"/>
      <c r="E61" s="247"/>
      <c r="F61" s="364"/>
      <c r="G61" s="509"/>
      <c r="H61" s="366"/>
      <c r="I61" s="364"/>
      <c r="J61" s="380" t="s">
        <v>30</v>
      </c>
      <c r="K61" s="511">
        <f>SUM(K53:K60)</f>
        <v>0</v>
      </c>
      <c r="L61" s="369"/>
      <c r="M61" s="249"/>
      <c r="N61" s="409"/>
      <c r="O61" s="372"/>
      <c r="P61" s="373"/>
      <c r="Q61" s="374"/>
    </row>
    <row r="62" spans="1:17" s="159" customFormat="1" ht="13.8" thickBot="1" x14ac:dyDescent="0.3">
      <c r="A62" s="344" t="s">
        <v>0</v>
      </c>
      <c r="B62" s="345" t="s">
        <v>1</v>
      </c>
      <c r="C62" s="1028" t="s">
        <v>646</v>
      </c>
      <c r="D62" s="1028"/>
      <c r="E62" s="1028"/>
      <c r="F62" s="1028"/>
      <c r="G62" s="1028" t="s">
        <v>34</v>
      </c>
      <c r="H62" s="1028"/>
      <c r="I62" s="1028"/>
      <c r="J62" s="346"/>
      <c r="K62" s="503"/>
      <c r="L62" s="382"/>
      <c r="M62" s="383"/>
      <c r="N62" s="384"/>
      <c r="O62" s="372"/>
      <c r="P62" s="373"/>
      <c r="Q62" s="374"/>
    </row>
    <row r="63" spans="1:17" s="159" customFormat="1" ht="16.2" thickBot="1" x14ac:dyDescent="0.35">
      <c r="A63" s="385"/>
      <c r="B63" s="386"/>
      <c r="C63" s="387" t="s">
        <v>19</v>
      </c>
      <c r="D63" s="388" t="s">
        <v>33</v>
      </c>
      <c r="E63" s="389" t="s">
        <v>35</v>
      </c>
      <c r="F63" s="390" t="s">
        <v>30</v>
      </c>
      <c r="G63" s="512" t="s">
        <v>14</v>
      </c>
      <c r="H63" s="389" t="s">
        <v>35</v>
      </c>
      <c r="I63" s="390" t="s">
        <v>30</v>
      </c>
      <c r="J63" s="355" t="s">
        <v>649</v>
      </c>
      <c r="K63" s="513" t="s">
        <v>38</v>
      </c>
      <c r="L63" s="393"/>
      <c r="M63" s="399"/>
      <c r="N63" s="400"/>
      <c r="O63" s="372"/>
      <c r="P63" s="373"/>
      <c r="Q63" s="374"/>
    </row>
    <row r="64" spans="1:17" s="159" customFormat="1" x14ac:dyDescent="0.25">
      <c r="A64" s="396"/>
      <c r="B64" s="397"/>
      <c r="C64" s="362"/>
      <c r="D64" s="363" t="s">
        <v>21</v>
      </c>
      <c r="E64" s="247">
        <v>0</v>
      </c>
      <c r="F64" s="364">
        <f>C64*E64</f>
        <v>0</v>
      </c>
      <c r="G64" s="509"/>
      <c r="H64" s="366">
        <v>0</v>
      </c>
      <c r="I64" s="364">
        <f>G64*H64</f>
        <v>0</v>
      </c>
      <c r="J64" s="367"/>
      <c r="K64" s="510">
        <f>F64+I64+J64</f>
        <v>0</v>
      </c>
      <c r="M64" s="266"/>
      <c r="O64" s="372"/>
      <c r="P64" s="373"/>
      <c r="Q64" s="374"/>
    </row>
    <row r="65" spans="1:17" s="159" customFormat="1" x14ac:dyDescent="0.25">
      <c r="A65" s="361"/>
      <c r="B65" s="5"/>
      <c r="C65" s="362"/>
      <c r="D65" s="363" t="s">
        <v>21</v>
      </c>
      <c r="E65" s="247">
        <v>0</v>
      </c>
      <c r="F65" s="364">
        <f>C65*E65</f>
        <v>0</v>
      </c>
      <c r="G65" s="509"/>
      <c r="H65" s="366">
        <v>0</v>
      </c>
      <c r="I65" s="364">
        <f>G65*H65</f>
        <v>0</v>
      </c>
      <c r="J65" s="367"/>
      <c r="K65" s="510">
        <f>F65+I65+J65</f>
        <v>0</v>
      </c>
      <c r="M65" s="266"/>
      <c r="O65" s="372"/>
      <c r="P65" s="373"/>
      <c r="Q65" s="374"/>
    </row>
    <row r="66" spans="1:17" s="159" customFormat="1" x14ac:dyDescent="0.25">
      <c r="A66" s="361"/>
      <c r="B66" s="5"/>
      <c r="C66" s="362"/>
      <c r="D66" s="363" t="s">
        <v>21</v>
      </c>
      <c r="E66" s="247">
        <v>0</v>
      </c>
      <c r="F66" s="364">
        <f>C66*E66</f>
        <v>0</v>
      </c>
      <c r="G66" s="509"/>
      <c r="H66" s="366">
        <v>0</v>
      </c>
      <c r="I66" s="364">
        <f>G66*H66</f>
        <v>0</v>
      </c>
      <c r="J66" s="367"/>
      <c r="K66" s="510">
        <f>F66+I66+J66</f>
        <v>0</v>
      </c>
      <c r="M66" s="266"/>
      <c r="O66" s="372"/>
      <c r="P66" s="373"/>
      <c r="Q66" s="374"/>
    </row>
    <row r="67" spans="1:17" s="159" customFormat="1" x14ac:dyDescent="0.25">
      <c r="A67" s="361"/>
      <c r="B67" s="5"/>
      <c r="C67" s="362"/>
      <c r="D67" s="363" t="s">
        <v>21</v>
      </c>
      <c r="E67" s="247">
        <v>0</v>
      </c>
      <c r="F67" s="364">
        <f>C67*E67</f>
        <v>0</v>
      </c>
      <c r="G67" s="509"/>
      <c r="H67" s="366">
        <v>0</v>
      </c>
      <c r="I67" s="364">
        <f>G67*H67</f>
        <v>0</v>
      </c>
      <c r="J67" s="367"/>
      <c r="K67" s="510">
        <f>F67+I67+J67</f>
        <v>0</v>
      </c>
      <c r="L67" s="369"/>
      <c r="M67" s="370"/>
      <c r="N67" s="371"/>
      <c r="O67" s="372"/>
      <c r="P67" s="373"/>
      <c r="Q67" s="374"/>
    </row>
    <row r="68" spans="1:17" s="159" customFormat="1" x14ac:dyDescent="0.25">
      <c r="A68" s="361"/>
      <c r="B68" s="5"/>
      <c r="C68" s="362"/>
      <c r="D68" s="363" t="s">
        <v>21</v>
      </c>
      <c r="E68" s="247">
        <v>0</v>
      </c>
      <c r="F68" s="364">
        <f>C68*E68</f>
        <v>0</v>
      </c>
      <c r="G68" s="509"/>
      <c r="H68" s="366">
        <v>0</v>
      </c>
      <c r="I68" s="364">
        <f>G68*H68</f>
        <v>0</v>
      </c>
      <c r="J68" s="367"/>
      <c r="K68" s="510">
        <f>F68+I68+J68</f>
        <v>0</v>
      </c>
      <c r="M68" s="266"/>
      <c r="O68" s="372"/>
      <c r="P68" s="373"/>
      <c r="Q68" s="374"/>
    </row>
    <row r="69" spans="1:17" s="159" customFormat="1" ht="13.8" thickBot="1" x14ac:dyDescent="0.3">
      <c r="A69" s="378"/>
      <c r="B69" s="5"/>
      <c r="C69" s="379"/>
      <c r="D69" s="363"/>
      <c r="E69" s="247"/>
      <c r="F69" s="364"/>
      <c r="G69" s="509"/>
      <c r="H69" s="366"/>
      <c r="I69" s="364"/>
      <c r="J69" s="367"/>
      <c r="K69" s="514"/>
      <c r="M69" s="266"/>
      <c r="O69" s="372"/>
      <c r="P69" s="373"/>
      <c r="Q69" s="374"/>
    </row>
    <row r="70" spans="1:17" s="159" customFormat="1" ht="13.8" thickTop="1" x14ac:dyDescent="0.25">
      <c r="A70" s="378"/>
      <c r="B70" s="403"/>
      <c r="C70" s="379"/>
      <c r="D70" s="363"/>
      <c r="E70" s="247"/>
      <c r="F70" s="364"/>
      <c r="G70" s="509"/>
      <c r="H70" s="366"/>
      <c r="I70" s="364"/>
      <c r="J70" s="380" t="s">
        <v>30</v>
      </c>
      <c r="K70" s="511">
        <f>SUM(K64:K69)</f>
        <v>0</v>
      </c>
      <c r="M70" s="268"/>
      <c r="N70" s="157"/>
      <c r="O70" s="372"/>
      <c r="P70" s="373"/>
      <c r="Q70" s="374"/>
    </row>
    <row r="71" spans="1:17" s="159" customFormat="1" ht="13.8" thickBot="1" x14ac:dyDescent="0.3">
      <c r="A71" s="344" t="s">
        <v>0</v>
      </c>
      <c r="B71" s="345" t="s">
        <v>1</v>
      </c>
      <c r="C71" s="1028" t="s">
        <v>646</v>
      </c>
      <c r="D71" s="1028"/>
      <c r="E71" s="1028"/>
      <c r="F71" s="1028"/>
      <c r="G71" s="1028" t="s">
        <v>34</v>
      </c>
      <c r="H71" s="1028"/>
      <c r="I71" s="1028"/>
      <c r="J71" s="346"/>
      <c r="K71" s="503"/>
      <c r="L71" s="382"/>
      <c r="M71" s="383"/>
      <c r="N71" s="384"/>
      <c r="O71" s="372"/>
      <c r="P71" s="373"/>
      <c r="Q71" s="374"/>
    </row>
    <row r="72" spans="1:17" s="159" customFormat="1" ht="16.2" thickBot="1" x14ac:dyDescent="0.35">
      <c r="A72" s="385"/>
      <c r="B72" s="386"/>
      <c r="C72" s="387" t="s">
        <v>19</v>
      </c>
      <c r="D72" s="388" t="s">
        <v>33</v>
      </c>
      <c r="E72" s="389" t="s">
        <v>35</v>
      </c>
      <c r="F72" s="390" t="s">
        <v>30</v>
      </c>
      <c r="G72" s="512" t="s">
        <v>14</v>
      </c>
      <c r="H72" s="389" t="s">
        <v>35</v>
      </c>
      <c r="I72" s="390" t="s">
        <v>30</v>
      </c>
      <c r="J72" s="355" t="s">
        <v>649</v>
      </c>
      <c r="K72" s="513" t="s">
        <v>38</v>
      </c>
      <c r="L72" s="393"/>
      <c r="M72" s="399"/>
      <c r="N72" s="400"/>
      <c r="O72" s="372"/>
      <c r="P72" s="373"/>
      <c r="Q72" s="374"/>
    </row>
    <row r="73" spans="1:17" s="159" customFormat="1" x14ac:dyDescent="0.25">
      <c r="A73" s="396"/>
      <c r="B73" s="397"/>
      <c r="C73" s="362"/>
      <c r="D73" s="363" t="s">
        <v>21</v>
      </c>
      <c r="E73" s="247">
        <v>0</v>
      </c>
      <c r="F73" s="364">
        <f>C73*E73</f>
        <v>0</v>
      </c>
      <c r="G73" s="509"/>
      <c r="H73" s="366">
        <v>0</v>
      </c>
      <c r="I73" s="364">
        <f>G73*H73</f>
        <v>0</v>
      </c>
      <c r="J73" s="367"/>
      <c r="K73" s="510">
        <f>F73+I73+J73</f>
        <v>0</v>
      </c>
      <c r="M73" s="266"/>
      <c r="O73" s="372"/>
      <c r="P73" s="373"/>
      <c r="Q73" s="374"/>
    </row>
    <row r="74" spans="1:17" s="159" customFormat="1" x14ac:dyDescent="0.25">
      <c r="A74" s="361"/>
      <c r="B74" s="5"/>
      <c r="C74" s="362"/>
      <c r="D74" s="363" t="s">
        <v>21</v>
      </c>
      <c r="E74" s="247">
        <v>0</v>
      </c>
      <c r="F74" s="364">
        <f>C74*E74</f>
        <v>0</v>
      </c>
      <c r="G74" s="509"/>
      <c r="H74" s="366">
        <v>0</v>
      </c>
      <c r="I74" s="364">
        <f>G74*H74</f>
        <v>0</v>
      </c>
      <c r="J74" s="367"/>
      <c r="K74" s="510">
        <f>F74+I74+J74</f>
        <v>0</v>
      </c>
      <c r="M74" s="266"/>
      <c r="O74" s="372"/>
      <c r="P74" s="373"/>
      <c r="Q74" s="374"/>
    </row>
    <row r="75" spans="1:17" s="159" customFormat="1" x14ac:dyDescent="0.25">
      <c r="A75" s="361"/>
      <c r="B75" s="5"/>
      <c r="C75" s="362"/>
      <c r="D75" s="363" t="s">
        <v>21</v>
      </c>
      <c r="E75" s="247">
        <v>0</v>
      </c>
      <c r="F75" s="364">
        <f>C75*E75</f>
        <v>0</v>
      </c>
      <c r="G75" s="509"/>
      <c r="H75" s="366">
        <v>0</v>
      </c>
      <c r="I75" s="364">
        <f>G75*H75</f>
        <v>0</v>
      </c>
      <c r="J75" s="367"/>
      <c r="K75" s="510">
        <f>F75+I75+J75</f>
        <v>0</v>
      </c>
      <c r="M75" s="266"/>
      <c r="O75" s="372"/>
      <c r="P75" s="373"/>
      <c r="Q75" s="374"/>
    </row>
    <row r="76" spans="1:17" s="159" customFormat="1" ht="13.8" thickBot="1" x14ac:dyDescent="0.3">
      <c r="A76" s="378"/>
      <c r="B76" s="5"/>
      <c r="C76" s="379"/>
      <c r="D76" s="363"/>
      <c r="E76" s="247"/>
      <c r="F76" s="364"/>
      <c r="G76" s="509"/>
      <c r="H76" s="366"/>
      <c r="I76" s="364"/>
      <c r="J76" s="367"/>
      <c r="K76" s="514"/>
      <c r="M76" s="266"/>
      <c r="O76" s="372"/>
      <c r="P76" s="373"/>
      <c r="Q76" s="374"/>
    </row>
    <row r="77" spans="1:17" s="159" customFormat="1" ht="13.8" thickTop="1" x14ac:dyDescent="0.25">
      <c r="A77" s="378"/>
      <c r="B77" s="157"/>
      <c r="C77" s="379"/>
      <c r="D77" s="363"/>
      <c r="E77" s="247"/>
      <c r="F77" s="364"/>
      <c r="G77" s="509"/>
      <c r="H77" s="366"/>
      <c r="I77" s="364"/>
      <c r="J77" s="380" t="s">
        <v>30</v>
      </c>
      <c r="K77" s="511">
        <f>SUM(K73:K76)</f>
        <v>0</v>
      </c>
      <c r="M77" s="266"/>
      <c r="O77" s="372"/>
      <c r="P77" s="373"/>
      <c r="Q77" s="374"/>
    </row>
    <row r="78" spans="1:17" s="159" customFormat="1" ht="13.8" thickBot="1" x14ac:dyDescent="0.3">
      <c r="A78" s="344" t="s">
        <v>0</v>
      </c>
      <c r="B78" s="345" t="s">
        <v>1</v>
      </c>
      <c r="C78" s="1028" t="s">
        <v>646</v>
      </c>
      <c r="D78" s="1028"/>
      <c r="E78" s="1028"/>
      <c r="F78" s="1028"/>
      <c r="G78" s="1028" t="s">
        <v>34</v>
      </c>
      <c r="H78" s="1028"/>
      <c r="I78" s="1028"/>
      <c r="J78" s="346"/>
      <c r="K78" s="503"/>
      <c r="L78" s="382"/>
      <c r="M78" s="346"/>
      <c r="N78" s="419"/>
      <c r="O78" s="372"/>
      <c r="P78" s="373"/>
      <c r="Q78" s="374"/>
    </row>
    <row r="79" spans="1:17" s="159" customFormat="1" ht="16.2" thickBot="1" x14ac:dyDescent="0.35">
      <c r="A79" s="385"/>
      <c r="B79" s="386"/>
      <c r="C79" s="387" t="s">
        <v>19</v>
      </c>
      <c r="D79" s="388" t="s">
        <v>33</v>
      </c>
      <c r="E79" s="389" t="s">
        <v>35</v>
      </c>
      <c r="F79" s="390" t="s">
        <v>30</v>
      </c>
      <c r="G79" s="512" t="s">
        <v>14</v>
      </c>
      <c r="H79" s="389" t="s">
        <v>35</v>
      </c>
      <c r="I79" s="390" t="s">
        <v>30</v>
      </c>
      <c r="J79" s="355" t="s">
        <v>649</v>
      </c>
      <c r="K79" s="513" t="s">
        <v>38</v>
      </c>
      <c r="L79" s="393"/>
      <c r="M79" s="399"/>
      <c r="N79" s="400"/>
      <c r="O79" s="372"/>
      <c r="P79" s="373"/>
      <c r="Q79" s="374"/>
    </row>
    <row r="80" spans="1:17" s="159" customFormat="1" x14ac:dyDescent="0.25">
      <c r="A80" s="396"/>
      <c r="B80" s="397"/>
      <c r="C80" s="362"/>
      <c r="D80" s="363" t="s">
        <v>21</v>
      </c>
      <c r="E80" s="247">
        <v>0</v>
      </c>
      <c r="F80" s="364">
        <f>C80*E80</f>
        <v>0</v>
      </c>
      <c r="G80" s="509"/>
      <c r="H80" s="366">
        <v>0</v>
      </c>
      <c r="I80" s="364">
        <f>G80*H80</f>
        <v>0</v>
      </c>
      <c r="J80" s="367"/>
      <c r="K80" s="510">
        <f>F80+I80+J80</f>
        <v>0</v>
      </c>
      <c r="M80" s="266"/>
      <c r="O80" s="372"/>
      <c r="P80" s="373"/>
      <c r="Q80" s="374"/>
    </row>
    <row r="81" spans="1:17" s="159" customFormat="1" x14ac:dyDescent="0.25">
      <c r="A81" s="361"/>
      <c r="B81" s="5"/>
      <c r="C81" s="362"/>
      <c r="D81" s="363" t="s">
        <v>21</v>
      </c>
      <c r="E81" s="247">
        <v>0</v>
      </c>
      <c r="F81" s="364">
        <f>C81*E81</f>
        <v>0</v>
      </c>
      <c r="G81" s="509"/>
      <c r="H81" s="366">
        <v>0</v>
      </c>
      <c r="I81" s="364">
        <f>G81*H81</f>
        <v>0</v>
      </c>
      <c r="J81" s="367"/>
      <c r="K81" s="510">
        <f>F81+I81+J81</f>
        <v>0</v>
      </c>
      <c r="M81" s="266"/>
      <c r="O81" s="372"/>
      <c r="P81" s="373"/>
      <c r="Q81" s="374"/>
    </row>
    <row r="82" spans="1:17" s="159" customFormat="1" x14ac:dyDescent="0.25">
      <c r="A82" s="361"/>
      <c r="C82" s="362"/>
      <c r="D82" s="363" t="s">
        <v>21</v>
      </c>
      <c r="E82" s="247">
        <v>0</v>
      </c>
      <c r="F82" s="364">
        <f>C82*E82</f>
        <v>0</v>
      </c>
      <c r="G82" s="509"/>
      <c r="H82" s="366">
        <v>0</v>
      </c>
      <c r="I82" s="364">
        <f>G82*H82</f>
        <v>0</v>
      </c>
      <c r="J82" s="367"/>
      <c r="K82" s="510">
        <f>F82+I82+J82</f>
        <v>0</v>
      </c>
      <c r="M82" s="268"/>
      <c r="N82" s="157"/>
      <c r="O82" s="372"/>
      <c r="P82" s="373"/>
      <c r="Q82" s="374"/>
    </row>
    <row r="83" spans="1:17" s="159" customFormat="1" x14ac:dyDescent="0.25">
      <c r="A83" s="361"/>
      <c r="B83" s="5"/>
      <c r="C83" s="362"/>
      <c r="D83" s="363" t="s">
        <v>21</v>
      </c>
      <c r="E83" s="247">
        <v>0</v>
      </c>
      <c r="F83" s="364">
        <f>C83*E83</f>
        <v>0</v>
      </c>
      <c r="G83" s="509"/>
      <c r="H83" s="366">
        <v>0</v>
      </c>
      <c r="I83" s="364">
        <f>G83*H83</f>
        <v>0</v>
      </c>
      <c r="J83" s="367"/>
      <c r="K83" s="510">
        <f>F83+I83+J83</f>
        <v>0</v>
      </c>
      <c r="M83" s="268"/>
      <c r="N83" s="157"/>
      <c r="O83" s="372"/>
      <c r="P83" s="373"/>
      <c r="Q83" s="374"/>
    </row>
    <row r="84" spans="1:17" s="159" customFormat="1" x14ac:dyDescent="0.25">
      <c r="A84" s="361"/>
      <c r="B84" s="5"/>
      <c r="C84" s="362"/>
      <c r="D84" s="363" t="s">
        <v>21</v>
      </c>
      <c r="E84" s="247">
        <v>0</v>
      </c>
      <c r="F84" s="364">
        <f>C84*E84</f>
        <v>0</v>
      </c>
      <c r="G84" s="509"/>
      <c r="H84" s="366">
        <v>0</v>
      </c>
      <c r="I84" s="364">
        <f>G84*H84</f>
        <v>0</v>
      </c>
      <c r="J84" s="367"/>
      <c r="K84" s="510">
        <f>F84+I84+J84</f>
        <v>0</v>
      </c>
      <c r="M84" s="266"/>
      <c r="O84" s="372"/>
      <c r="P84" s="373"/>
      <c r="Q84" s="374"/>
    </row>
    <row r="85" spans="1:17" s="159" customFormat="1" ht="13.8" thickBot="1" x14ac:dyDescent="0.3">
      <c r="A85" s="378"/>
      <c r="B85" s="5"/>
      <c r="C85" s="379"/>
      <c r="D85" s="363"/>
      <c r="E85" s="247"/>
      <c r="F85" s="364"/>
      <c r="G85" s="509"/>
      <c r="H85" s="366"/>
      <c r="I85" s="364"/>
      <c r="J85" s="367"/>
      <c r="K85" s="514"/>
      <c r="M85" s="266"/>
      <c r="O85" s="372"/>
      <c r="P85" s="373"/>
      <c r="Q85" s="374"/>
    </row>
    <row r="86" spans="1:17" s="159" customFormat="1" ht="13.8" thickTop="1" x14ac:dyDescent="0.25">
      <c r="A86" s="378"/>
      <c r="B86" s="403"/>
      <c r="C86" s="379"/>
      <c r="D86" s="363"/>
      <c r="E86" s="247"/>
      <c r="F86" s="364"/>
      <c r="G86" s="509"/>
      <c r="H86" s="366"/>
      <c r="I86" s="364"/>
      <c r="J86" s="380" t="s">
        <v>30</v>
      </c>
      <c r="K86" s="511">
        <f>SUM(K80:K85)</f>
        <v>0</v>
      </c>
      <c r="M86" s="266"/>
      <c r="O86" s="372"/>
      <c r="P86" s="373"/>
      <c r="Q86" s="374"/>
    </row>
    <row r="87" spans="1:17" s="159" customFormat="1" ht="13.8" thickBot="1" x14ac:dyDescent="0.3">
      <c r="A87" s="344" t="s">
        <v>0</v>
      </c>
      <c r="B87" s="345" t="s">
        <v>1</v>
      </c>
      <c r="C87" s="1028" t="s">
        <v>646</v>
      </c>
      <c r="D87" s="1028"/>
      <c r="E87" s="1028"/>
      <c r="F87" s="1028"/>
      <c r="G87" s="1028" t="s">
        <v>34</v>
      </c>
      <c r="H87" s="1028"/>
      <c r="I87" s="1028"/>
      <c r="J87" s="346"/>
      <c r="K87" s="503"/>
      <c r="L87" s="382"/>
      <c r="M87" s="383"/>
      <c r="N87" s="384"/>
      <c r="O87" s="372"/>
      <c r="P87" s="373"/>
      <c r="Q87" s="374"/>
    </row>
    <row r="88" spans="1:17" s="159" customFormat="1" ht="16.2" thickBot="1" x14ac:dyDescent="0.35">
      <c r="A88" s="385"/>
      <c r="B88" s="386"/>
      <c r="C88" s="387" t="s">
        <v>19</v>
      </c>
      <c r="D88" s="388" t="s">
        <v>33</v>
      </c>
      <c r="E88" s="389" t="s">
        <v>35</v>
      </c>
      <c r="F88" s="390" t="s">
        <v>30</v>
      </c>
      <c r="G88" s="512" t="s">
        <v>14</v>
      </c>
      <c r="H88" s="389" t="s">
        <v>35</v>
      </c>
      <c r="I88" s="390" t="s">
        <v>30</v>
      </c>
      <c r="J88" s="355" t="s">
        <v>649</v>
      </c>
      <c r="K88" s="513" t="s">
        <v>38</v>
      </c>
      <c r="L88" s="393"/>
      <c r="M88" s="394"/>
      <c r="N88" s="395"/>
      <c r="O88" s="372"/>
      <c r="P88" s="373"/>
      <c r="Q88" s="374"/>
    </row>
    <row r="89" spans="1:17" s="159" customFormat="1" x14ac:dyDescent="0.25">
      <c r="A89" s="396"/>
      <c r="B89" s="397"/>
      <c r="C89" s="362"/>
      <c r="D89" s="363" t="s">
        <v>21</v>
      </c>
      <c r="E89" s="247">
        <v>0</v>
      </c>
      <c r="F89" s="364">
        <f>C89*E89</f>
        <v>0</v>
      </c>
      <c r="G89" s="509"/>
      <c r="H89" s="366">
        <v>0</v>
      </c>
      <c r="I89" s="364">
        <f>G89*H89</f>
        <v>0</v>
      </c>
      <c r="J89" s="367"/>
      <c r="K89" s="510">
        <f>F89+I89+J89</f>
        <v>0</v>
      </c>
      <c r="M89" s="266"/>
      <c r="O89" s="372"/>
      <c r="P89" s="373"/>
      <c r="Q89" s="374"/>
    </row>
    <row r="90" spans="1:17" s="159" customFormat="1" x14ac:dyDescent="0.25">
      <c r="A90" s="361"/>
      <c r="B90" s="5"/>
      <c r="C90" s="362"/>
      <c r="D90" s="363" t="s">
        <v>21</v>
      </c>
      <c r="E90" s="247">
        <v>0</v>
      </c>
      <c r="F90" s="364">
        <f>C90*E90</f>
        <v>0</v>
      </c>
      <c r="G90" s="509"/>
      <c r="H90" s="366">
        <v>0</v>
      </c>
      <c r="I90" s="364">
        <f>G90*H90</f>
        <v>0</v>
      </c>
      <c r="J90" s="367"/>
      <c r="K90" s="510">
        <f>F90+I90+J90</f>
        <v>0</v>
      </c>
      <c r="L90" s="515"/>
      <c r="M90" s="531"/>
      <c r="N90" s="516"/>
      <c r="O90" s="372"/>
      <c r="P90" s="373"/>
      <c r="Q90" s="374"/>
    </row>
    <row r="91" spans="1:17" s="159" customFormat="1" x14ac:dyDescent="0.25">
      <c r="A91" s="361"/>
      <c r="B91" s="5"/>
      <c r="C91" s="362"/>
      <c r="D91" s="363" t="s">
        <v>21</v>
      </c>
      <c r="E91" s="247">
        <v>0</v>
      </c>
      <c r="F91" s="364">
        <f>C91*E91</f>
        <v>0</v>
      </c>
      <c r="G91" s="509"/>
      <c r="H91" s="366">
        <v>0</v>
      </c>
      <c r="I91" s="364">
        <f>G91*H91</f>
        <v>0</v>
      </c>
      <c r="J91" s="367"/>
      <c r="K91" s="510">
        <f>F91+I91+J91</f>
        <v>0</v>
      </c>
      <c r="L91" s="517"/>
      <c r="M91" s="444"/>
      <c r="N91" s="518"/>
      <c r="O91" s="372"/>
      <c r="P91" s="373"/>
      <c r="Q91" s="374"/>
    </row>
    <row r="92" spans="1:17" s="159" customFormat="1" x14ac:dyDescent="0.25">
      <c r="A92" s="361"/>
      <c r="B92" s="5"/>
      <c r="C92" s="362"/>
      <c r="D92" s="363" t="s">
        <v>21</v>
      </c>
      <c r="E92" s="247">
        <v>0</v>
      </c>
      <c r="F92" s="364">
        <f>C92*E92</f>
        <v>0</v>
      </c>
      <c r="G92" s="509"/>
      <c r="H92" s="366">
        <v>0</v>
      </c>
      <c r="I92" s="364">
        <f>G92*H92</f>
        <v>0</v>
      </c>
      <c r="J92" s="367"/>
      <c r="K92" s="510">
        <f>F92+I92+J92</f>
        <v>0</v>
      </c>
      <c r="L92" s="623"/>
      <c r="M92" s="624"/>
      <c r="N92" s="626"/>
      <c r="O92" s="372"/>
      <c r="P92" s="373"/>
      <c r="Q92" s="374"/>
    </row>
    <row r="93" spans="1:17" s="159" customFormat="1" ht="13.8" thickBot="1" x14ac:dyDescent="0.3">
      <c r="A93" s="378"/>
      <c r="B93" s="403"/>
      <c r="C93" s="362"/>
      <c r="D93" s="363"/>
      <c r="E93" s="247"/>
      <c r="F93" s="364"/>
      <c r="G93" s="509"/>
      <c r="H93" s="366"/>
      <c r="I93" s="364"/>
      <c r="J93" s="367"/>
      <c r="K93" s="510"/>
      <c r="L93" s="623"/>
      <c r="M93" s="624"/>
      <c r="N93" s="626"/>
      <c r="O93" s="372"/>
      <c r="P93" s="373"/>
      <c r="Q93" s="374"/>
    </row>
    <row r="94" spans="1:17" s="159" customFormat="1" ht="14.4" thickTop="1" thickBot="1" x14ac:dyDescent="0.3">
      <c r="A94" s="450"/>
      <c r="B94" s="156"/>
      <c r="C94" s="451"/>
      <c r="D94" s="452"/>
      <c r="E94" s="453"/>
      <c r="F94" s="454"/>
      <c r="G94" s="591"/>
      <c r="H94" s="453"/>
      <c r="I94" s="454"/>
      <c r="J94" s="456" t="s">
        <v>30</v>
      </c>
      <c r="K94" s="592">
        <f>SUM(K89:K93)</f>
        <v>0</v>
      </c>
      <c r="L94" s="627"/>
      <c r="M94" s="628"/>
      <c r="N94" s="629"/>
      <c r="O94" s="441"/>
      <c r="P94" s="442"/>
      <c r="Q94" s="443"/>
    </row>
    <row r="95" spans="1:17" s="159" customFormat="1" ht="14.1" customHeight="1" thickTop="1" x14ac:dyDescent="0.25">
      <c r="A95" s="458"/>
      <c r="B95" s="459"/>
      <c r="C95" s="460"/>
      <c r="D95" s="460"/>
      <c r="E95" s="461"/>
      <c r="F95" s="1038" t="s">
        <v>648</v>
      </c>
      <c r="G95" s="1040" t="s">
        <v>673</v>
      </c>
      <c r="H95" s="461"/>
      <c r="I95" s="1042" t="s">
        <v>647</v>
      </c>
      <c r="J95" s="1044" t="s">
        <v>674</v>
      </c>
      <c r="K95" s="1046" t="s">
        <v>31</v>
      </c>
      <c r="L95" s="760"/>
      <c r="M95" s="532"/>
      <c r="N95" s="523"/>
      <c r="O95" s="524"/>
      <c r="P95" s="524"/>
      <c r="Q95" s="525"/>
    </row>
    <row r="96" spans="1:17" s="159" customFormat="1" ht="13.8" x14ac:dyDescent="0.25">
      <c r="A96" s="462" t="s">
        <v>32</v>
      </c>
      <c r="B96" s="1031" t="s">
        <v>660</v>
      </c>
      <c r="C96" s="463"/>
      <c r="D96" s="464"/>
      <c r="E96" s="464"/>
      <c r="F96" s="1039"/>
      <c r="G96" s="1041"/>
      <c r="H96" s="465"/>
      <c r="I96" s="1043"/>
      <c r="J96" s="1045"/>
      <c r="K96" s="1047"/>
      <c r="L96" s="761"/>
      <c r="M96" s="255"/>
      <c r="O96" s="527"/>
      <c r="P96" s="527"/>
      <c r="Q96" s="528"/>
    </row>
    <row r="97" spans="1:17" s="159" customFormat="1" ht="13.8" x14ac:dyDescent="0.25">
      <c r="A97" s="466">
        <f>K97/E6</f>
        <v>13.166666666666666</v>
      </c>
      <c r="B97" s="1031"/>
      <c r="C97" s="464"/>
      <c r="D97" s="464"/>
      <c r="E97" s="464"/>
      <c r="F97" s="1032">
        <f>SUM(F89:F93,F80:F85,F73:F76,F64:F69,F53:F60,F44:F49,F36:F40,F24:F32,F11:F20)</f>
        <v>5900</v>
      </c>
      <c r="G97" s="1034">
        <f>SUM(G89:G93,G80:G85,G73:G76,G64:G69,G53:G60,G44:G49,G36:G40,G25:G32,G11:G20)</f>
        <v>0</v>
      </c>
      <c r="H97" s="465"/>
      <c r="I97" s="1032">
        <f>SUM(I89:I93,I80:I85,I73:I76,I64:I69,I53:I60,I44:I49,I36:I40,I25:I32,I11:I20)</f>
        <v>0</v>
      </c>
      <c r="J97" s="1032">
        <f>SUM(J89:J93,J80:J85,J73:J76,J64:J69,J53:J60,J44:J49,J36:J40,J24:J32,J11:J20)</f>
        <v>2000</v>
      </c>
      <c r="K97" s="1036">
        <f>SUM(K94,K86,K77,K70,K61,K50,K41,K33,K21)</f>
        <v>7900</v>
      </c>
      <c r="L97" s="761"/>
      <c r="M97" s="255"/>
      <c r="O97" s="527"/>
      <c r="P97" s="527"/>
      <c r="Q97" s="528"/>
    </row>
    <row r="98" spans="1:17" s="159" customFormat="1" ht="14.4" thickBot="1" x14ac:dyDescent="0.3">
      <c r="A98" s="462"/>
      <c r="B98" s="529"/>
      <c r="C98" s="468"/>
      <c r="D98" s="468"/>
      <c r="E98" s="468"/>
      <c r="F98" s="1033"/>
      <c r="G98" s="1035"/>
      <c r="H98" s="468"/>
      <c r="I98" s="1033"/>
      <c r="J98" s="1033"/>
      <c r="K98" s="1037"/>
      <c r="L98" s="761"/>
      <c r="M98" s="255"/>
      <c r="O98" s="527"/>
      <c r="P98" s="527"/>
      <c r="Q98" s="528"/>
    </row>
    <row r="99" spans="1:17" s="159" customFormat="1" ht="13.8" thickBot="1" x14ac:dyDescent="0.3">
      <c r="A99" s="469"/>
      <c r="B99" s="470"/>
      <c r="C99" s="470"/>
      <c r="D99" s="470"/>
      <c r="E99" s="470"/>
      <c r="F99" s="470"/>
      <c r="G99" s="470"/>
      <c r="H99" s="470"/>
      <c r="I99" s="470"/>
      <c r="J99" s="470"/>
      <c r="K99" s="470"/>
      <c r="L99" s="761"/>
      <c r="M99" s="255"/>
      <c r="O99" s="527"/>
      <c r="P99" s="527"/>
      <c r="Q99" s="528"/>
    </row>
    <row r="100" spans="1:17" s="159" customFormat="1" x14ac:dyDescent="0.25">
      <c r="C100" s="611"/>
      <c r="D100" s="611"/>
      <c r="J100" s="266"/>
      <c r="M100" s="219"/>
      <c r="N100" s="157"/>
      <c r="O100" s="527"/>
      <c r="P100" s="527"/>
      <c r="Q100" s="528"/>
    </row>
    <row r="101" spans="1:17" s="159" customFormat="1" x14ac:dyDescent="0.25">
      <c r="C101" s="611"/>
      <c r="D101" s="611"/>
      <c r="J101" s="266"/>
      <c r="M101" s="266"/>
    </row>
    <row r="102" spans="1:17" s="159" customFormat="1" x14ac:dyDescent="0.25">
      <c r="C102" s="611"/>
      <c r="D102" s="611"/>
      <c r="J102" s="266"/>
      <c r="M102" s="266"/>
    </row>
    <row r="103" spans="1:17" s="159" customFormat="1" x14ac:dyDescent="0.25">
      <c r="C103" s="611"/>
      <c r="D103" s="611"/>
      <c r="J103" s="266"/>
      <c r="M103" s="266"/>
    </row>
    <row r="104" spans="1:17" s="159" customFormat="1" x14ac:dyDescent="0.25">
      <c r="C104" s="611"/>
      <c r="D104" s="611"/>
      <c r="J104" s="266"/>
      <c r="M104" s="266"/>
    </row>
    <row r="105" spans="1:17" s="159" customFormat="1" x14ac:dyDescent="0.25">
      <c r="C105" s="611"/>
      <c r="D105" s="611"/>
      <c r="J105" s="266"/>
      <c r="M105" s="266"/>
    </row>
    <row r="106" spans="1:17" s="159" customFormat="1" x14ac:dyDescent="0.25">
      <c r="C106" s="611"/>
      <c r="D106" s="611"/>
      <c r="J106" s="266"/>
      <c r="M106" s="266"/>
    </row>
    <row r="107" spans="1:17" s="159" customFormat="1" x14ac:dyDescent="0.25">
      <c r="C107" s="611"/>
      <c r="D107" s="611"/>
      <c r="J107" s="266"/>
      <c r="M107" s="266"/>
    </row>
    <row r="108" spans="1:17" s="159" customFormat="1" x14ac:dyDescent="0.25">
      <c r="C108" s="611"/>
      <c r="D108" s="611"/>
      <c r="J108" s="266"/>
      <c r="M108" s="266"/>
    </row>
    <row r="109" spans="1:17" s="159" customFormat="1" x14ac:dyDescent="0.25">
      <c r="C109" s="611"/>
      <c r="D109" s="611"/>
      <c r="J109" s="266"/>
      <c r="M109" s="268"/>
      <c r="N109" s="157"/>
      <c r="O109" s="294"/>
      <c r="P109" s="294"/>
    </row>
    <row r="110" spans="1:17" s="159" customFormat="1" x14ac:dyDescent="0.25">
      <c r="C110" s="611"/>
      <c r="D110" s="611"/>
      <c r="J110" s="266"/>
      <c r="M110" s="268"/>
      <c r="N110" s="157"/>
      <c r="O110" s="294"/>
      <c r="P110" s="294"/>
    </row>
    <row r="111" spans="1:17" s="159" customFormat="1" x14ac:dyDescent="0.25">
      <c r="C111" s="611"/>
      <c r="D111" s="611"/>
      <c r="J111" s="266"/>
      <c r="M111" s="268"/>
      <c r="N111" s="157"/>
      <c r="O111" s="294"/>
      <c r="P111" s="294"/>
    </row>
    <row r="112" spans="1:17" s="159" customFormat="1" x14ac:dyDescent="0.25">
      <c r="C112" s="611"/>
      <c r="D112" s="611"/>
      <c r="J112" s="266"/>
      <c r="M112" s="268"/>
      <c r="N112" s="157"/>
      <c r="O112" s="294"/>
      <c r="P112" s="294"/>
    </row>
    <row r="113" spans="3:16" s="159" customFormat="1" x14ac:dyDescent="0.25">
      <c r="C113" s="611"/>
      <c r="D113" s="611"/>
      <c r="J113" s="266"/>
      <c r="M113" s="268"/>
      <c r="N113" s="157"/>
      <c r="O113" s="294"/>
      <c r="P113" s="294"/>
    </row>
    <row r="114" spans="3:16" s="159" customFormat="1" x14ac:dyDescent="0.25">
      <c r="C114" s="611"/>
      <c r="D114" s="611"/>
      <c r="J114" s="266"/>
      <c r="M114" s="268"/>
      <c r="N114" s="157"/>
      <c r="O114" s="294"/>
      <c r="P114" s="294"/>
    </row>
    <row r="115" spans="3:16" s="159" customFormat="1" x14ac:dyDescent="0.25">
      <c r="C115" s="611"/>
      <c r="D115" s="611"/>
      <c r="J115" s="266"/>
      <c r="M115" s="268"/>
      <c r="N115" s="157"/>
      <c r="O115" s="294"/>
      <c r="P115" s="294"/>
    </row>
    <row r="116" spans="3:16" s="159" customFormat="1" x14ac:dyDescent="0.25">
      <c r="C116" s="611"/>
      <c r="D116" s="611"/>
      <c r="J116" s="266"/>
      <c r="M116" s="268"/>
      <c r="N116" s="157"/>
      <c r="O116" s="294"/>
      <c r="P116" s="294"/>
    </row>
    <row r="117" spans="3:16" s="159" customFormat="1" x14ac:dyDescent="0.25">
      <c r="C117" s="611"/>
      <c r="D117" s="611"/>
      <c r="J117" s="266"/>
      <c r="M117" s="268"/>
      <c r="N117" s="157"/>
      <c r="O117" s="294"/>
      <c r="P117" s="294"/>
    </row>
    <row r="118" spans="3:16" s="159" customFormat="1" x14ac:dyDescent="0.25">
      <c r="C118" s="611"/>
      <c r="D118" s="611"/>
      <c r="J118" s="266"/>
      <c r="M118" s="268"/>
      <c r="N118" s="157"/>
      <c r="O118" s="294"/>
      <c r="P118" s="294"/>
    </row>
    <row r="119" spans="3:16" s="159" customFormat="1" x14ac:dyDescent="0.25">
      <c r="C119" s="611"/>
      <c r="D119" s="611"/>
      <c r="J119" s="266"/>
      <c r="M119" s="268"/>
      <c r="N119" s="157"/>
      <c r="O119" s="294"/>
      <c r="P119" s="294"/>
    </row>
    <row r="120" spans="3:16" s="159" customFormat="1" x14ac:dyDescent="0.25">
      <c r="C120" s="611"/>
      <c r="D120" s="611"/>
      <c r="J120" s="266"/>
      <c r="M120" s="268"/>
      <c r="N120" s="157"/>
      <c r="O120" s="294"/>
      <c r="P120" s="294"/>
    </row>
    <row r="121" spans="3:16" s="159" customFormat="1" x14ac:dyDescent="0.25">
      <c r="C121" s="611"/>
      <c r="D121" s="611"/>
      <c r="J121" s="266"/>
      <c r="M121" s="268"/>
      <c r="N121" s="157"/>
      <c r="O121" s="294"/>
      <c r="P121" s="294"/>
    </row>
    <row r="122" spans="3:16" s="159" customFormat="1" x14ac:dyDescent="0.25">
      <c r="C122" s="611"/>
      <c r="D122" s="611"/>
      <c r="J122" s="266"/>
      <c r="M122" s="268"/>
      <c r="N122" s="157"/>
      <c r="O122" s="294"/>
      <c r="P122" s="294"/>
    </row>
    <row r="123" spans="3:16" s="159" customFormat="1" x14ac:dyDescent="0.25">
      <c r="C123" s="611"/>
      <c r="D123" s="611"/>
      <c r="J123" s="266"/>
      <c r="M123" s="268"/>
      <c r="N123" s="157"/>
      <c r="O123" s="294"/>
      <c r="P123" s="294"/>
    </row>
    <row r="124" spans="3:16" s="159" customFormat="1" x14ac:dyDescent="0.25">
      <c r="C124" s="611"/>
      <c r="D124" s="611"/>
      <c r="J124" s="266"/>
      <c r="M124" s="268"/>
      <c r="N124" s="157"/>
      <c r="O124" s="294"/>
      <c r="P124" s="294"/>
    </row>
    <row r="125" spans="3:16" s="159" customFormat="1" x14ac:dyDescent="0.25">
      <c r="C125" s="611"/>
      <c r="D125" s="611"/>
      <c r="J125" s="266"/>
      <c r="M125" s="268"/>
      <c r="N125" s="157"/>
      <c r="O125" s="294"/>
      <c r="P125" s="294"/>
    </row>
    <row r="126" spans="3:16" s="159" customFormat="1" x14ac:dyDescent="0.25">
      <c r="C126" s="611"/>
      <c r="D126" s="611"/>
      <c r="J126" s="266"/>
      <c r="M126" s="268"/>
      <c r="N126" s="157"/>
      <c r="O126" s="294"/>
      <c r="P126" s="294"/>
    </row>
    <row r="127" spans="3:16" s="159" customFormat="1" x14ac:dyDescent="0.25">
      <c r="C127" s="611"/>
      <c r="D127" s="611"/>
      <c r="J127" s="266"/>
      <c r="M127" s="268"/>
      <c r="N127" s="157"/>
      <c r="O127" s="294"/>
      <c r="P127" s="294"/>
    </row>
    <row r="128" spans="3:16" s="159" customFormat="1" x14ac:dyDescent="0.25">
      <c r="C128" s="611"/>
      <c r="D128" s="611"/>
      <c r="J128" s="266"/>
      <c r="M128" s="268"/>
      <c r="N128" s="157"/>
      <c r="O128" s="294"/>
      <c r="P128" s="294"/>
    </row>
    <row r="129" spans="3:16" s="159" customFormat="1" x14ac:dyDescent="0.25">
      <c r="C129" s="611"/>
      <c r="D129" s="611"/>
      <c r="J129" s="266"/>
      <c r="M129" s="268"/>
      <c r="N129" s="157"/>
      <c r="O129" s="294"/>
      <c r="P129" s="294"/>
    </row>
    <row r="130" spans="3:16" s="159" customFormat="1" x14ac:dyDescent="0.25">
      <c r="C130" s="611"/>
      <c r="D130" s="611"/>
      <c r="J130" s="266"/>
      <c r="M130" s="268"/>
      <c r="N130" s="157"/>
      <c r="O130" s="294"/>
      <c r="P130" s="294"/>
    </row>
    <row r="131" spans="3:16" s="159" customFormat="1" x14ac:dyDescent="0.25">
      <c r="C131" s="611"/>
      <c r="D131" s="611"/>
      <c r="J131" s="266"/>
      <c r="M131" s="268"/>
      <c r="N131" s="157"/>
      <c r="O131" s="294"/>
      <c r="P131" s="294"/>
    </row>
    <row r="132" spans="3:16" s="159" customFormat="1" x14ac:dyDescent="0.25">
      <c r="C132" s="611"/>
      <c r="D132" s="611"/>
      <c r="J132" s="266"/>
      <c r="M132" s="268"/>
      <c r="N132" s="157"/>
      <c r="O132" s="294"/>
      <c r="P132" s="294"/>
    </row>
    <row r="133" spans="3:16" s="159" customFormat="1" x14ac:dyDescent="0.25">
      <c r="C133" s="611"/>
      <c r="D133" s="611"/>
      <c r="J133" s="266"/>
      <c r="M133" s="268"/>
      <c r="N133" s="157"/>
      <c r="O133" s="294"/>
      <c r="P133" s="294"/>
    </row>
    <row r="134" spans="3:16" s="159" customFormat="1" x14ac:dyDescent="0.25">
      <c r="C134" s="611"/>
      <c r="D134" s="611"/>
      <c r="J134" s="266"/>
      <c r="M134" s="268"/>
      <c r="N134" s="157"/>
      <c r="O134" s="294"/>
      <c r="P134" s="294"/>
    </row>
    <row r="135" spans="3:16" s="159" customFormat="1" x14ac:dyDescent="0.25">
      <c r="C135" s="611"/>
      <c r="D135" s="611"/>
      <c r="J135" s="266"/>
      <c r="M135" s="268"/>
      <c r="N135" s="157"/>
      <c r="O135" s="294"/>
      <c r="P135" s="294"/>
    </row>
    <row r="136" spans="3:16" s="159" customFormat="1" x14ac:dyDescent="0.25">
      <c r="C136" s="611"/>
      <c r="D136" s="611"/>
      <c r="J136" s="266"/>
      <c r="M136" s="268"/>
      <c r="N136" s="157"/>
      <c r="O136" s="294"/>
      <c r="P136" s="294"/>
    </row>
    <row r="137" spans="3:16" s="159" customFormat="1" x14ac:dyDescent="0.25">
      <c r="C137" s="611"/>
      <c r="D137" s="611"/>
      <c r="J137" s="266"/>
      <c r="M137" s="268"/>
      <c r="N137" s="157"/>
      <c r="O137" s="294"/>
      <c r="P137" s="294"/>
    </row>
    <row r="138" spans="3:16" s="159" customFormat="1" x14ac:dyDescent="0.25">
      <c r="C138" s="611"/>
      <c r="D138" s="611"/>
      <c r="J138" s="266"/>
      <c r="M138" s="268"/>
      <c r="N138" s="157"/>
      <c r="O138" s="294"/>
      <c r="P138" s="294"/>
    </row>
    <row r="139" spans="3:16" s="159" customFormat="1" x14ac:dyDescent="0.25">
      <c r="C139" s="611"/>
      <c r="D139" s="611"/>
      <c r="J139" s="266"/>
      <c r="M139" s="268"/>
      <c r="N139" s="157"/>
      <c r="O139" s="294"/>
      <c r="P139" s="294"/>
    </row>
    <row r="140" spans="3:16" s="159" customFormat="1" x14ac:dyDescent="0.25">
      <c r="C140" s="611"/>
      <c r="D140" s="611"/>
      <c r="J140" s="266"/>
      <c r="M140" s="268"/>
      <c r="N140" s="157"/>
      <c r="O140" s="294"/>
      <c r="P140" s="294"/>
    </row>
    <row r="141" spans="3:16" s="159" customFormat="1" x14ac:dyDescent="0.25">
      <c r="C141" s="611"/>
      <c r="D141" s="611"/>
      <c r="J141" s="266"/>
      <c r="M141" s="268"/>
      <c r="N141" s="157"/>
      <c r="O141" s="294"/>
      <c r="P141" s="294"/>
    </row>
    <row r="142" spans="3:16" s="159" customFormat="1" x14ac:dyDescent="0.25">
      <c r="C142" s="611"/>
      <c r="D142" s="611"/>
      <c r="J142" s="266"/>
      <c r="M142" s="268"/>
      <c r="N142" s="157"/>
      <c r="O142" s="294"/>
      <c r="P142" s="294"/>
    </row>
    <row r="143" spans="3:16" s="159" customFormat="1" x14ac:dyDescent="0.25">
      <c r="C143" s="611"/>
      <c r="D143" s="611"/>
      <c r="J143" s="266"/>
      <c r="M143" s="268"/>
      <c r="N143" s="157"/>
      <c r="O143" s="294"/>
      <c r="P143" s="294"/>
    </row>
    <row r="144" spans="3:16" s="159" customFormat="1" x14ac:dyDescent="0.25">
      <c r="C144" s="611"/>
      <c r="D144" s="611"/>
      <c r="J144" s="266"/>
      <c r="M144" s="268"/>
      <c r="N144" s="157"/>
      <c r="O144" s="294"/>
      <c r="P144" s="294"/>
    </row>
    <row r="145" spans="3:16" s="159" customFormat="1" x14ac:dyDescent="0.25">
      <c r="C145" s="611"/>
      <c r="D145" s="611"/>
      <c r="J145" s="266"/>
      <c r="M145" s="268"/>
      <c r="N145" s="157"/>
      <c r="O145" s="294"/>
      <c r="P145" s="294"/>
    </row>
    <row r="146" spans="3:16" s="159" customFormat="1" x14ac:dyDescent="0.25">
      <c r="C146" s="611"/>
      <c r="D146" s="611"/>
      <c r="J146" s="266"/>
      <c r="M146" s="268"/>
      <c r="N146" s="157"/>
      <c r="O146" s="294"/>
      <c r="P146" s="294"/>
    </row>
    <row r="147" spans="3:16" s="159" customFormat="1" x14ac:dyDescent="0.25">
      <c r="C147" s="611"/>
      <c r="D147" s="611"/>
      <c r="J147" s="266"/>
      <c r="M147" s="268"/>
      <c r="N147" s="157"/>
      <c r="O147" s="294"/>
      <c r="P147" s="294"/>
    </row>
    <row r="148" spans="3:16" s="159" customFormat="1" x14ac:dyDescent="0.25">
      <c r="C148" s="611"/>
      <c r="D148" s="611"/>
      <c r="J148" s="266"/>
      <c r="M148" s="268"/>
      <c r="N148" s="157"/>
      <c r="O148" s="294"/>
      <c r="P148" s="294"/>
    </row>
    <row r="149" spans="3:16" s="159" customFormat="1" x14ac:dyDescent="0.25">
      <c r="C149" s="611"/>
      <c r="D149" s="611"/>
      <c r="J149" s="266"/>
      <c r="M149" s="268"/>
      <c r="N149" s="157"/>
      <c r="O149" s="294"/>
      <c r="P149" s="294"/>
    </row>
    <row r="150" spans="3:16" s="159" customFormat="1" x14ac:dyDescent="0.25">
      <c r="C150" s="611"/>
      <c r="D150" s="611"/>
      <c r="J150" s="266"/>
      <c r="M150" s="268"/>
      <c r="N150" s="157"/>
      <c r="O150" s="294"/>
      <c r="P150" s="294"/>
    </row>
    <row r="151" spans="3:16" s="159" customFormat="1" x14ac:dyDescent="0.25">
      <c r="C151" s="611"/>
      <c r="D151" s="611"/>
      <c r="J151" s="266"/>
      <c r="M151" s="268"/>
      <c r="N151" s="157"/>
      <c r="O151" s="294"/>
      <c r="P151" s="294"/>
    </row>
    <row r="152" spans="3:16" s="159" customFormat="1" x14ac:dyDescent="0.25">
      <c r="C152" s="611"/>
      <c r="D152" s="611"/>
      <c r="J152" s="266"/>
      <c r="M152" s="268"/>
      <c r="N152" s="157"/>
      <c r="O152" s="294"/>
      <c r="P152" s="294"/>
    </row>
    <row r="153" spans="3:16" s="159" customFormat="1" x14ac:dyDescent="0.25">
      <c r="C153" s="611"/>
      <c r="D153" s="611"/>
      <c r="J153" s="266"/>
      <c r="M153" s="268"/>
      <c r="N153" s="157"/>
      <c r="O153" s="294"/>
      <c r="P153" s="294"/>
    </row>
    <row r="154" spans="3:16" s="159" customFormat="1" x14ac:dyDescent="0.25">
      <c r="C154" s="611"/>
      <c r="D154" s="611"/>
      <c r="J154" s="266"/>
      <c r="M154" s="268"/>
      <c r="N154" s="157"/>
      <c r="O154" s="294"/>
      <c r="P154" s="294"/>
    </row>
    <row r="155" spans="3:16" s="159" customFormat="1" x14ac:dyDescent="0.25">
      <c r="C155" s="611"/>
      <c r="D155" s="611"/>
      <c r="J155" s="266"/>
      <c r="M155" s="268"/>
      <c r="N155" s="157"/>
      <c r="O155" s="294"/>
      <c r="P155" s="294"/>
    </row>
    <row r="156" spans="3:16" s="159" customFormat="1" x14ac:dyDescent="0.25">
      <c r="C156" s="611"/>
      <c r="D156" s="611"/>
      <c r="J156" s="266"/>
      <c r="M156" s="268"/>
      <c r="N156" s="157"/>
      <c r="O156" s="294"/>
      <c r="P156" s="294"/>
    </row>
    <row r="157" spans="3:16" s="159" customFormat="1" x14ac:dyDescent="0.25">
      <c r="C157" s="611"/>
      <c r="D157" s="611"/>
      <c r="J157" s="266"/>
      <c r="M157" s="268"/>
      <c r="N157" s="157"/>
      <c r="O157" s="294"/>
      <c r="P157" s="294"/>
    </row>
    <row r="158" spans="3:16" s="159" customFormat="1" x14ac:dyDescent="0.25">
      <c r="C158" s="611"/>
      <c r="D158" s="611"/>
      <c r="J158" s="266"/>
      <c r="M158" s="268"/>
      <c r="N158" s="157"/>
      <c r="O158" s="294"/>
      <c r="P158" s="294"/>
    </row>
    <row r="159" spans="3:16" s="159" customFormat="1" x14ac:dyDescent="0.25">
      <c r="C159" s="611"/>
      <c r="D159" s="611"/>
      <c r="J159" s="266"/>
      <c r="M159" s="268"/>
      <c r="N159" s="157"/>
      <c r="O159" s="294"/>
      <c r="P159" s="294"/>
    </row>
    <row r="160" spans="3:16" s="159" customFormat="1" x14ac:dyDescent="0.25">
      <c r="C160" s="611"/>
      <c r="D160" s="611"/>
      <c r="J160" s="266"/>
      <c r="M160" s="268"/>
      <c r="N160" s="157"/>
      <c r="O160" s="294"/>
      <c r="P160" s="294"/>
    </row>
    <row r="161" spans="3:16" s="159" customFormat="1" x14ac:dyDescent="0.25">
      <c r="C161" s="611"/>
      <c r="D161" s="611"/>
      <c r="J161" s="266"/>
      <c r="M161" s="268"/>
      <c r="N161" s="157"/>
      <c r="O161" s="294"/>
      <c r="P161" s="294"/>
    </row>
    <row r="162" spans="3:16" s="159" customFormat="1" x14ac:dyDescent="0.25">
      <c r="C162" s="611"/>
      <c r="D162" s="611"/>
      <c r="J162" s="266"/>
      <c r="M162" s="268"/>
      <c r="N162" s="157"/>
      <c r="O162" s="294"/>
      <c r="P162" s="294"/>
    </row>
    <row r="163" spans="3:16" s="159" customFormat="1" x14ac:dyDescent="0.25">
      <c r="C163" s="611"/>
      <c r="D163" s="611"/>
      <c r="J163" s="266"/>
      <c r="M163" s="268"/>
      <c r="N163" s="157"/>
      <c r="O163" s="294"/>
      <c r="P163" s="294"/>
    </row>
    <row r="164" spans="3:16" s="159" customFormat="1" x14ac:dyDescent="0.25">
      <c r="C164" s="611"/>
      <c r="D164" s="611"/>
      <c r="J164" s="266"/>
      <c r="M164" s="268"/>
      <c r="N164" s="157"/>
      <c r="O164" s="294"/>
      <c r="P164" s="294"/>
    </row>
    <row r="165" spans="3:16" s="159" customFormat="1" x14ac:dyDescent="0.25">
      <c r="C165" s="611"/>
      <c r="D165" s="611"/>
      <c r="J165" s="266"/>
      <c r="M165" s="268"/>
      <c r="N165" s="157"/>
      <c r="O165" s="294"/>
      <c r="P165" s="294"/>
    </row>
    <row r="166" spans="3:16" s="159" customFormat="1" x14ac:dyDescent="0.25">
      <c r="C166" s="611"/>
      <c r="D166" s="611"/>
      <c r="J166" s="266"/>
      <c r="M166" s="268"/>
      <c r="N166" s="157"/>
      <c r="O166" s="294"/>
      <c r="P166" s="294"/>
    </row>
    <row r="167" spans="3:16" s="159" customFormat="1" x14ac:dyDescent="0.25">
      <c r="C167" s="611"/>
      <c r="D167" s="611"/>
      <c r="J167" s="266"/>
      <c r="M167" s="268"/>
      <c r="N167" s="157"/>
      <c r="O167" s="294"/>
      <c r="P167" s="294"/>
    </row>
    <row r="168" spans="3:16" s="159" customFormat="1" x14ac:dyDescent="0.25">
      <c r="C168" s="611"/>
      <c r="D168" s="611"/>
      <c r="J168" s="266"/>
      <c r="M168" s="268"/>
      <c r="N168" s="157"/>
      <c r="O168" s="294"/>
      <c r="P168" s="294"/>
    </row>
    <row r="169" spans="3:16" s="159" customFormat="1" x14ac:dyDescent="0.25">
      <c r="C169" s="611"/>
      <c r="D169" s="611"/>
      <c r="J169" s="266"/>
      <c r="M169" s="268"/>
      <c r="N169" s="157"/>
      <c r="O169" s="294"/>
      <c r="P169" s="294"/>
    </row>
    <row r="170" spans="3:16" s="159" customFormat="1" x14ac:dyDescent="0.25">
      <c r="C170" s="611"/>
      <c r="D170" s="611"/>
      <c r="J170" s="266"/>
      <c r="M170" s="268"/>
      <c r="N170" s="157"/>
      <c r="O170" s="294"/>
      <c r="P170" s="294"/>
    </row>
    <row r="171" spans="3:16" s="159" customFormat="1" x14ac:dyDescent="0.25">
      <c r="C171" s="611"/>
      <c r="D171" s="611"/>
      <c r="J171" s="266"/>
      <c r="M171" s="268"/>
      <c r="N171" s="157"/>
      <c r="O171" s="294"/>
      <c r="P171" s="294"/>
    </row>
    <row r="172" spans="3:16" s="159" customFormat="1" x14ac:dyDescent="0.25">
      <c r="C172" s="611"/>
      <c r="D172" s="611"/>
      <c r="J172" s="266"/>
      <c r="M172" s="268"/>
      <c r="N172" s="157"/>
      <c r="O172" s="294"/>
      <c r="P172" s="294"/>
    </row>
    <row r="173" spans="3:16" s="159" customFormat="1" x14ac:dyDescent="0.25">
      <c r="C173" s="611"/>
      <c r="D173" s="611"/>
      <c r="J173" s="266"/>
      <c r="M173" s="268"/>
      <c r="N173" s="157"/>
      <c r="O173" s="294"/>
      <c r="P173" s="294"/>
    </row>
    <row r="174" spans="3:16" s="159" customFormat="1" x14ac:dyDescent="0.25">
      <c r="C174" s="611"/>
      <c r="D174" s="611"/>
      <c r="J174" s="266"/>
      <c r="M174" s="268"/>
      <c r="N174" s="157"/>
      <c r="O174" s="294"/>
      <c r="P174" s="294"/>
    </row>
    <row r="175" spans="3:16" s="159" customFormat="1" x14ac:dyDescent="0.25">
      <c r="C175" s="611"/>
      <c r="D175" s="611"/>
      <c r="J175" s="266"/>
      <c r="M175" s="268"/>
      <c r="N175" s="157"/>
      <c r="O175" s="294"/>
      <c r="P175" s="294"/>
    </row>
    <row r="176" spans="3:16" s="159" customFormat="1" x14ac:dyDescent="0.25">
      <c r="C176" s="611"/>
      <c r="D176" s="611"/>
      <c r="J176" s="266"/>
      <c r="M176" s="268"/>
      <c r="N176" s="157"/>
      <c r="O176" s="294"/>
      <c r="P176" s="294"/>
    </row>
    <row r="177" spans="3:16" s="159" customFormat="1" x14ac:dyDescent="0.25">
      <c r="C177" s="611"/>
      <c r="D177" s="611"/>
      <c r="J177" s="266"/>
      <c r="M177" s="268"/>
      <c r="N177" s="157"/>
      <c r="O177" s="294"/>
      <c r="P177" s="294"/>
    </row>
    <row r="178" spans="3:16" s="159" customFormat="1" x14ac:dyDescent="0.25">
      <c r="C178" s="611"/>
      <c r="D178" s="611"/>
      <c r="J178" s="266"/>
      <c r="M178" s="268"/>
      <c r="N178" s="157"/>
      <c r="O178" s="294"/>
      <c r="P178" s="294"/>
    </row>
    <row r="179" spans="3:16" s="159" customFormat="1" x14ac:dyDescent="0.25">
      <c r="C179" s="611"/>
      <c r="D179" s="611"/>
      <c r="J179" s="266"/>
      <c r="M179" s="268"/>
      <c r="N179" s="157"/>
      <c r="O179" s="294"/>
      <c r="P179" s="294"/>
    </row>
    <row r="180" spans="3:16" s="159" customFormat="1" x14ac:dyDescent="0.25">
      <c r="C180" s="611"/>
      <c r="D180" s="611"/>
      <c r="J180" s="266"/>
      <c r="M180" s="268"/>
      <c r="N180" s="157"/>
      <c r="O180" s="294"/>
      <c r="P180" s="294"/>
    </row>
    <row r="181" spans="3:16" s="159" customFormat="1" x14ac:dyDescent="0.25">
      <c r="C181" s="611"/>
      <c r="D181" s="611"/>
      <c r="J181" s="266"/>
      <c r="M181" s="268"/>
      <c r="N181" s="157"/>
      <c r="O181" s="294"/>
      <c r="P181" s="294"/>
    </row>
    <row r="182" spans="3:16" s="159" customFormat="1" x14ac:dyDescent="0.25">
      <c r="C182" s="611"/>
      <c r="D182" s="611"/>
      <c r="J182" s="266"/>
      <c r="M182" s="268"/>
      <c r="N182" s="157"/>
      <c r="O182" s="294"/>
      <c r="P182" s="294"/>
    </row>
    <row r="183" spans="3:16" s="159" customFormat="1" x14ac:dyDescent="0.25">
      <c r="C183" s="611"/>
      <c r="D183" s="611"/>
      <c r="J183" s="266"/>
      <c r="M183" s="268"/>
      <c r="N183" s="157"/>
      <c r="O183" s="294"/>
      <c r="P183" s="294"/>
    </row>
    <row r="184" spans="3:16" s="159" customFormat="1" x14ac:dyDescent="0.25">
      <c r="C184" s="611"/>
      <c r="D184" s="611"/>
      <c r="J184" s="266"/>
      <c r="M184" s="268"/>
      <c r="N184" s="157"/>
      <c r="O184" s="294"/>
      <c r="P184" s="294"/>
    </row>
    <row r="185" spans="3:16" s="159" customFormat="1" x14ac:dyDescent="0.25">
      <c r="C185" s="611"/>
      <c r="D185" s="611"/>
      <c r="J185" s="266"/>
      <c r="M185" s="268"/>
      <c r="N185" s="157"/>
      <c r="O185" s="294"/>
      <c r="P185" s="294"/>
    </row>
    <row r="186" spans="3:16" s="159" customFormat="1" x14ac:dyDescent="0.25">
      <c r="C186" s="611"/>
      <c r="D186" s="611"/>
      <c r="J186" s="266"/>
      <c r="M186" s="268"/>
      <c r="N186" s="157"/>
      <c r="O186" s="294"/>
      <c r="P186" s="294"/>
    </row>
    <row r="187" spans="3:16" s="159" customFormat="1" x14ac:dyDescent="0.25">
      <c r="C187" s="611"/>
      <c r="D187" s="611"/>
      <c r="J187" s="266"/>
      <c r="M187" s="268"/>
      <c r="N187" s="157"/>
      <c r="O187" s="294"/>
      <c r="P187" s="294"/>
    </row>
    <row r="188" spans="3:16" s="159" customFormat="1" x14ac:dyDescent="0.25">
      <c r="C188" s="611"/>
      <c r="D188" s="611"/>
      <c r="J188" s="266"/>
      <c r="M188" s="268"/>
      <c r="N188" s="157"/>
      <c r="O188" s="294"/>
      <c r="P188" s="294"/>
    </row>
    <row r="189" spans="3:16" s="159" customFormat="1" x14ac:dyDescent="0.25">
      <c r="C189" s="611"/>
      <c r="D189" s="611"/>
      <c r="J189" s="266"/>
      <c r="M189" s="268"/>
      <c r="N189" s="157"/>
      <c r="O189" s="294"/>
      <c r="P189" s="294"/>
    </row>
    <row r="190" spans="3:16" s="159" customFormat="1" x14ac:dyDescent="0.25">
      <c r="C190" s="611"/>
      <c r="D190" s="611"/>
      <c r="J190" s="266"/>
      <c r="M190" s="268"/>
      <c r="N190" s="157"/>
      <c r="O190" s="294"/>
      <c r="P190" s="294"/>
    </row>
    <row r="191" spans="3:16" s="159" customFormat="1" x14ac:dyDescent="0.25">
      <c r="C191" s="611"/>
      <c r="D191" s="611"/>
      <c r="J191" s="266"/>
      <c r="M191" s="268"/>
      <c r="N191" s="157"/>
      <c r="O191" s="294"/>
      <c r="P191" s="294"/>
    </row>
    <row r="192" spans="3:16" s="159" customFormat="1" x14ac:dyDescent="0.25">
      <c r="C192" s="611"/>
      <c r="D192" s="611"/>
      <c r="J192" s="266"/>
      <c r="M192" s="268"/>
      <c r="N192" s="157"/>
      <c r="O192" s="294"/>
      <c r="P192" s="294"/>
    </row>
    <row r="193" spans="3:16" s="159" customFormat="1" x14ac:dyDescent="0.25">
      <c r="C193" s="611"/>
      <c r="D193" s="611"/>
      <c r="J193" s="266"/>
      <c r="M193" s="268"/>
      <c r="N193" s="157"/>
      <c r="O193" s="294"/>
      <c r="P193" s="294"/>
    </row>
    <row r="194" spans="3:16" s="159" customFormat="1" x14ac:dyDescent="0.25">
      <c r="C194" s="611"/>
      <c r="D194" s="611"/>
      <c r="J194" s="266"/>
      <c r="M194" s="268"/>
      <c r="N194" s="157"/>
      <c r="O194" s="294"/>
      <c r="P194" s="294"/>
    </row>
    <row r="195" spans="3:16" s="159" customFormat="1" x14ac:dyDescent="0.25">
      <c r="C195" s="611"/>
      <c r="D195" s="611"/>
      <c r="J195" s="266"/>
      <c r="M195" s="268"/>
      <c r="N195" s="157"/>
      <c r="O195" s="294"/>
      <c r="P195" s="294"/>
    </row>
    <row r="196" spans="3:16" s="159" customFormat="1" x14ac:dyDescent="0.25">
      <c r="C196" s="611"/>
      <c r="D196" s="611"/>
      <c r="J196" s="266"/>
      <c r="M196" s="268"/>
      <c r="N196" s="157"/>
      <c r="O196" s="294"/>
      <c r="P196" s="294"/>
    </row>
    <row r="197" spans="3:16" s="159" customFormat="1" x14ac:dyDescent="0.25">
      <c r="C197" s="611"/>
      <c r="D197" s="611"/>
      <c r="J197" s="266"/>
      <c r="M197" s="268"/>
      <c r="N197" s="157"/>
      <c r="O197" s="294"/>
      <c r="P197" s="294"/>
    </row>
    <row r="198" spans="3:16" s="159" customFormat="1" x14ac:dyDescent="0.25">
      <c r="C198" s="611"/>
      <c r="D198" s="611"/>
      <c r="J198" s="266"/>
      <c r="M198" s="268"/>
      <c r="N198" s="157"/>
      <c r="O198" s="294"/>
      <c r="P198" s="294"/>
    </row>
    <row r="199" spans="3:16" s="159" customFormat="1" x14ac:dyDescent="0.25">
      <c r="C199" s="611"/>
      <c r="D199" s="611"/>
      <c r="J199" s="266"/>
      <c r="M199" s="268"/>
      <c r="N199" s="157"/>
      <c r="O199" s="294"/>
      <c r="P199" s="294"/>
    </row>
    <row r="200" spans="3:16" s="159" customFormat="1" x14ac:dyDescent="0.25">
      <c r="C200" s="611"/>
      <c r="D200" s="611"/>
      <c r="J200" s="266"/>
      <c r="M200" s="268"/>
      <c r="N200" s="157"/>
      <c r="O200" s="294"/>
      <c r="P200" s="294"/>
    </row>
    <row r="201" spans="3:16" s="159" customFormat="1" x14ac:dyDescent="0.25">
      <c r="C201" s="611"/>
      <c r="D201" s="611"/>
      <c r="J201" s="266"/>
      <c r="M201" s="268"/>
      <c r="N201" s="157"/>
      <c r="O201" s="294"/>
      <c r="P201" s="294"/>
    </row>
    <row r="202" spans="3:16" s="159" customFormat="1" x14ac:dyDescent="0.25">
      <c r="C202" s="611"/>
      <c r="D202" s="611"/>
      <c r="J202" s="266"/>
      <c r="M202" s="268"/>
      <c r="N202" s="157"/>
      <c r="O202" s="294"/>
      <c r="P202" s="294"/>
    </row>
    <row r="203" spans="3:16" s="159" customFormat="1" x14ac:dyDescent="0.25">
      <c r="C203" s="611"/>
      <c r="D203" s="611"/>
      <c r="J203" s="266"/>
      <c r="M203" s="268"/>
      <c r="N203" s="157"/>
      <c r="O203" s="294"/>
      <c r="P203" s="294"/>
    </row>
    <row r="204" spans="3:16" s="159" customFormat="1" x14ac:dyDescent="0.25">
      <c r="C204" s="611"/>
      <c r="D204" s="611"/>
      <c r="J204" s="266"/>
      <c r="M204" s="268"/>
      <c r="N204" s="157"/>
      <c r="O204" s="294"/>
      <c r="P204" s="294"/>
    </row>
    <row r="205" spans="3:16" s="159" customFormat="1" x14ac:dyDescent="0.25">
      <c r="C205" s="611"/>
      <c r="D205" s="611"/>
      <c r="J205" s="266"/>
      <c r="M205" s="268"/>
      <c r="N205" s="157"/>
      <c r="O205" s="294"/>
      <c r="P205" s="294"/>
    </row>
    <row r="206" spans="3:16" s="159" customFormat="1" x14ac:dyDescent="0.25">
      <c r="C206" s="611"/>
      <c r="D206" s="611"/>
      <c r="J206" s="266"/>
      <c r="M206" s="268"/>
      <c r="N206" s="157"/>
      <c r="O206" s="294"/>
      <c r="P206" s="294"/>
    </row>
    <row r="207" spans="3:16" s="159" customFormat="1" x14ac:dyDescent="0.25">
      <c r="C207" s="611"/>
      <c r="D207" s="611"/>
      <c r="J207" s="266"/>
      <c r="M207" s="268"/>
      <c r="N207" s="157"/>
      <c r="O207" s="294"/>
      <c r="P207" s="294"/>
    </row>
    <row r="208" spans="3:16" s="159" customFormat="1" x14ac:dyDescent="0.25">
      <c r="C208" s="611"/>
      <c r="D208" s="611"/>
      <c r="J208" s="266"/>
      <c r="M208" s="268"/>
      <c r="N208" s="157"/>
      <c r="O208" s="294"/>
      <c r="P208" s="294"/>
    </row>
    <row r="209" spans="3:16" s="159" customFormat="1" x14ac:dyDescent="0.25">
      <c r="C209" s="611"/>
      <c r="D209" s="611"/>
      <c r="J209" s="266"/>
      <c r="M209" s="268"/>
      <c r="N209" s="157"/>
      <c r="O209" s="294"/>
      <c r="P209" s="294"/>
    </row>
    <row r="210" spans="3:16" s="159" customFormat="1" x14ac:dyDescent="0.25">
      <c r="C210" s="611"/>
      <c r="D210" s="611"/>
      <c r="J210" s="266"/>
      <c r="M210" s="268"/>
      <c r="N210" s="157"/>
      <c r="O210" s="294"/>
      <c r="P210" s="294"/>
    </row>
    <row r="211" spans="3:16" s="159" customFormat="1" x14ac:dyDescent="0.25">
      <c r="C211" s="611"/>
      <c r="D211" s="611"/>
      <c r="J211" s="266"/>
      <c r="M211" s="268"/>
      <c r="N211" s="157"/>
      <c r="O211" s="294"/>
      <c r="P211" s="294"/>
    </row>
    <row r="212" spans="3:16" s="159" customFormat="1" x14ac:dyDescent="0.25">
      <c r="C212" s="611"/>
      <c r="D212" s="611"/>
      <c r="J212" s="266"/>
      <c r="M212" s="268"/>
      <c r="N212" s="157"/>
      <c r="O212" s="294"/>
      <c r="P212" s="294"/>
    </row>
    <row r="213" spans="3:16" s="159" customFormat="1" x14ac:dyDescent="0.25">
      <c r="C213" s="611"/>
      <c r="D213" s="611"/>
      <c r="J213" s="266"/>
      <c r="M213" s="268"/>
      <c r="N213" s="157"/>
      <c r="O213" s="294"/>
      <c r="P213" s="294"/>
    </row>
    <row r="214" spans="3:16" s="159" customFormat="1" x14ac:dyDescent="0.25">
      <c r="C214" s="611"/>
      <c r="D214" s="611"/>
      <c r="J214" s="266"/>
      <c r="M214" s="268"/>
      <c r="N214" s="157"/>
      <c r="O214" s="294"/>
      <c r="P214" s="294"/>
    </row>
    <row r="215" spans="3:16" s="159" customFormat="1" x14ac:dyDescent="0.25">
      <c r="C215" s="611"/>
      <c r="D215" s="611"/>
      <c r="J215" s="266"/>
      <c r="M215" s="268"/>
      <c r="N215" s="157"/>
      <c r="O215" s="294"/>
      <c r="P215" s="294"/>
    </row>
    <row r="216" spans="3:16" s="159" customFormat="1" x14ac:dyDescent="0.25">
      <c r="C216" s="611"/>
      <c r="D216" s="611"/>
      <c r="J216" s="266"/>
      <c r="M216" s="268"/>
      <c r="N216" s="157"/>
      <c r="O216" s="294"/>
      <c r="P216" s="294"/>
    </row>
    <row r="217" spans="3:16" s="159" customFormat="1" x14ac:dyDescent="0.25">
      <c r="C217" s="611"/>
      <c r="D217" s="611"/>
      <c r="J217" s="266"/>
      <c r="M217" s="268"/>
      <c r="N217" s="157"/>
      <c r="O217" s="294"/>
      <c r="P217" s="294"/>
    </row>
    <row r="218" spans="3:16" s="159" customFormat="1" x14ac:dyDescent="0.25">
      <c r="C218" s="611"/>
      <c r="D218" s="611"/>
      <c r="J218" s="266"/>
      <c r="M218" s="268"/>
      <c r="N218" s="157"/>
      <c r="O218" s="294"/>
      <c r="P218" s="294"/>
    </row>
    <row r="219" spans="3:16" s="159" customFormat="1" x14ac:dyDescent="0.25">
      <c r="C219" s="611"/>
      <c r="D219" s="611"/>
      <c r="J219" s="266"/>
      <c r="M219" s="268"/>
      <c r="N219" s="157"/>
      <c r="O219" s="294"/>
      <c r="P219" s="294"/>
    </row>
    <row r="220" spans="3:16" s="159" customFormat="1" x14ac:dyDescent="0.25">
      <c r="C220" s="611"/>
      <c r="D220" s="611"/>
      <c r="J220" s="266"/>
      <c r="M220" s="268"/>
      <c r="N220" s="157"/>
      <c r="O220" s="294"/>
      <c r="P220" s="294"/>
    </row>
    <row r="221" spans="3:16" s="159" customFormat="1" x14ac:dyDescent="0.25">
      <c r="C221" s="611"/>
      <c r="D221" s="611"/>
      <c r="J221" s="266"/>
      <c r="M221" s="268"/>
      <c r="N221" s="157"/>
      <c r="O221" s="294"/>
      <c r="P221" s="294"/>
    </row>
    <row r="222" spans="3:16" s="159" customFormat="1" x14ac:dyDescent="0.25">
      <c r="C222" s="611"/>
      <c r="D222" s="611"/>
      <c r="J222" s="266"/>
      <c r="M222" s="268"/>
      <c r="N222" s="157"/>
      <c r="O222" s="294"/>
      <c r="P222" s="294"/>
    </row>
    <row r="223" spans="3:16" s="159" customFormat="1" x14ac:dyDescent="0.25">
      <c r="C223" s="611"/>
      <c r="D223" s="611"/>
      <c r="J223" s="266"/>
      <c r="M223" s="268"/>
      <c r="N223" s="157"/>
      <c r="O223" s="294"/>
      <c r="P223" s="294"/>
    </row>
    <row r="224" spans="3:16" s="159" customFormat="1" x14ac:dyDescent="0.25">
      <c r="C224" s="611"/>
      <c r="D224" s="611"/>
      <c r="J224" s="266"/>
      <c r="M224" s="268"/>
      <c r="N224" s="157"/>
      <c r="O224" s="294"/>
      <c r="P224" s="294"/>
    </row>
    <row r="225" spans="3:16" s="159" customFormat="1" x14ac:dyDescent="0.25">
      <c r="C225" s="611"/>
      <c r="D225" s="611"/>
      <c r="J225" s="266"/>
      <c r="M225" s="268"/>
      <c r="N225" s="157"/>
      <c r="O225" s="294"/>
      <c r="P225" s="294"/>
    </row>
    <row r="226" spans="3:16" s="159" customFormat="1" x14ac:dyDescent="0.25">
      <c r="C226" s="611"/>
      <c r="D226" s="611"/>
      <c r="J226" s="266"/>
      <c r="M226" s="268"/>
      <c r="N226" s="157"/>
      <c r="O226" s="294"/>
      <c r="P226" s="294"/>
    </row>
    <row r="227" spans="3:16" s="159" customFormat="1" x14ac:dyDescent="0.25">
      <c r="C227" s="611"/>
      <c r="D227" s="611"/>
      <c r="J227" s="266"/>
      <c r="M227" s="268"/>
      <c r="N227" s="157"/>
      <c r="O227" s="294"/>
      <c r="P227" s="294"/>
    </row>
    <row r="228" spans="3:16" s="159" customFormat="1" x14ac:dyDescent="0.25">
      <c r="C228" s="611"/>
      <c r="D228" s="611"/>
      <c r="J228" s="266"/>
      <c r="M228" s="268"/>
      <c r="N228" s="157"/>
      <c r="O228" s="294"/>
      <c r="P228" s="294"/>
    </row>
    <row r="229" spans="3:16" s="159" customFormat="1" x14ac:dyDescent="0.25">
      <c r="C229" s="611"/>
      <c r="D229" s="611"/>
      <c r="J229" s="266"/>
      <c r="M229" s="268"/>
      <c r="N229" s="157"/>
      <c r="O229" s="294"/>
      <c r="P229" s="294"/>
    </row>
    <row r="230" spans="3:16" s="159" customFormat="1" x14ac:dyDescent="0.25">
      <c r="C230" s="611"/>
      <c r="D230" s="611"/>
      <c r="J230" s="266"/>
      <c r="M230" s="268"/>
      <c r="N230" s="157"/>
      <c r="O230" s="294"/>
      <c r="P230" s="294"/>
    </row>
    <row r="231" spans="3:16" s="159" customFormat="1" x14ac:dyDescent="0.25">
      <c r="C231" s="611"/>
      <c r="D231" s="611"/>
      <c r="J231" s="266"/>
      <c r="M231" s="268"/>
      <c r="N231" s="157"/>
      <c r="O231" s="294"/>
      <c r="P231" s="294"/>
    </row>
    <row r="232" spans="3:16" s="159" customFormat="1" x14ac:dyDescent="0.25">
      <c r="C232" s="611"/>
      <c r="D232" s="611"/>
      <c r="J232" s="266"/>
      <c r="M232" s="268"/>
      <c r="N232" s="157"/>
      <c r="O232" s="294"/>
      <c r="P232" s="294"/>
    </row>
    <row r="233" spans="3:16" s="159" customFormat="1" x14ac:dyDescent="0.25">
      <c r="C233" s="611"/>
      <c r="D233" s="611"/>
      <c r="J233" s="266"/>
      <c r="M233" s="268"/>
      <c r="N233" s="157"/>
      <c r="O233" s="294"/>
      <c r="P233" s="294"/>
    </row>
    <row r="234" spans="3:16" s="159" customFormat="1" x14ac:dyDescent="0.25">
      <c r="C234" s="611"/>
      <c r="D234" s="611"/>
      <c r="J234" s="266"/>
      <c r="M234" s="268"/>
      <c r="N234" s="157"/>
      <c r="O234" s="294"/>
      <c r="P234" s="294"/>
    </row>
    <row r="235" spans="3:16" s="159" customFormat="1" x14ac:dyDescent="0.25">
      <c r="C235" s="611"/>
      <c r="D235" s="611"/>
      <c r="J235" s="266"/>
      <c r="M235" s="268"/>
      <c r="N235" s="157"/>
      <c r="O235" s="294"/>
      <c r="P235" s="294"/>
    </row>
    <row r="236" spans="3:16" s="159" customFormat="1" x14ac:dyDescent="0.25">
      <c r="C236" s="611"/>
      <c r="D236" s="611"/>
      <c r="J236" s="266"/>
      <c r="M236" s="268"/>
      <c r="N236" s="157"/>
      <c r="O236" s="294"/>
      <c r="P236" s="294"/>
    </row>
    <row r="237" spans="3:16" s="159" customFormat="1" x14ac:dyDescent="0.25">
      <c r="C237" s="611"/>
      <c r="D237" s="611"/>
      <c r="J237" s="266"/>
      <c r="M237" s="268"/>
      <c r="N237" s="157"/>
      <c r="O237" s="294"/>
      <c r="P237" s="294"/>
    </row>
    <row r="238" spans="3:16" s="159" customFormat="1" x14ac:dyDescent="0.25">
      <c r="C238" s="611"/>
      <c r="D238" s="611"/>
      <c r="J238" s="266"/>
      <c r="M238" s="268"/>
      <c r="N238" s="157"/>
      <c r="O238" s="294"/>
      <c r="P238" s="294"/>
    </row>
    <row r="239" spans="3:16" s="159" customFormat="1" x14ac:dyDescent="0.25">
      <c r="C239" s="611"/>
      <c r="D239" s="611"/>
      <c r="J239" s="266"/>
      <c r="M239" s="268"/>
      <c r="N239" s="157"/>
      <c r="O239" s="294"/>
      <c r="P239" s="294"/>
    </row>
    <row r="240" spans="3:16" s="159" customFormat="1" x14ac:dyDescent="0.25">
      <c r="C240" s="611"/>
      <c r="D240" s="611"/>
      <c r="J240" s="266"/>
      <c r="M240" s="268"/>
      <c r="N240" s="157"/>
      <c r="O240" s="294"/>
      <c r="P240" s="294"/>
    </row>
    <row r="241" spans="3:16" s="159" customFormat="1" x14ac:dyDescent="0.25">
      <c r="C241" s="611"/>
      <c r="D241" s="611"/>
      <c r="J241" s="266"/>
      <c r="M241" s="268"/>
      <c r="N241" s="157"/>
      <c r="O241" s="294"/>
      <c r="P241" s="294"/>
    </row>
    <row r="242" spans="3:16" s="159" customFormat="1" x14ac:dyDescent="0.25">
      <c r="C242" s="611"/>
      <c r="D242" s="611"/>
      <c r="J242" s="266"/>
      <c r="M242" s="268"/>
      <c r="N242" s="157"/>
      <c r="O242" s="294"/>
      <c r="P242" s="294"/>
    </row>
    <row r="243" spans="3:16" s="159" customFormat="1" x14ac:dyDescent="0.25">
      <c r="C243" s="611"/>
      <c r="D243" s="611"/>
      <c r="J243" s="266"/>
      <c r="M243" s="268"/>
      <c r="N243" s="157"/>
      <c r="O243" s="294"/>
      <c r="P243" s="294"/>
    </row>
    <row r="244" spans="3:16" s="159" customFormat="1" x14ac:dyDescent="0.25">
      <c r="C244" s="611"/>
      <c r="D244" s="611"/>
      <c r="J244" s="266"/>
      <c r="M244" s="268"/>
      <c r="N244" s="157"/>
      <c r="O244" s="294"/>
      <c r="P244" s="294"/>
    </row>
    <row r="245" spans="3:16" s="159" customFormat="1" x14ac:dyDescent="0.25">
      <c r="C245" s="611"/>
      <c r="D245" s="611"/>
      <c r="J245" s="266"/>
      <c r="M245" s="268"/>
      <c r="N245" s="157"/>
      <c r="O245" s="294"/>
      <c r="P245" s="294"/>
    </row>
    <row r="246" spans="3:16" s="159" customFormat="1" x14ac:dyDescent="0.25">
      <c r="C246" s="611"/>
      <c r="D246" s="611"/>
      <c r="J246" s="266"/>
      <c r="M246" s="268"/>
      <c r="N246" s="157"/>
      <c r="O246" s="294"/>
      <c r="P246" s="294"/>
    </row>
    <row r="247" spans="3:16" s="159" customFormat="1" x14ac:dyDescent="0.25">
      <c r="C247" s="611"/>
      <c r="D247" s="611"/>
      <c r="J247" s="266"/>
      <c r="M247" s="268"/>
      <c r="N247" s="157"/>
      <c r="O247" s="294"/>
      <c r="P247" s="294"/>
    </row>
    <row r="248" spans="3:16" s="159" customFormat="1" x14ac:dyDescent="0.25">
      <c r="C248" s="611"/>
      <c r="D248" s="611"/>
      <c r="J248" s="266"/>
      <c r="M248" s="268"/>
      <c r="N248" s="157"/>
      <c r="O248" s="294"/>
      <c r="P248" s="294"/>
    </row>
    <row r="249" spans="3:16" s="159" customFormat="1" x14ac:dyDescent="0.25">
      <c r="C249" s="611"/>
      <c r="D249" s="611"/>
      <c r="J249" s="266"/>
      <c r="M249" s="268"/>
      <c r="N249" s="157"/>
      <c r="O249" s="294"/>
      <c r="P249" s="294"/>
    </row>
    <row r="250" spans="3:16" s="159" customFormat="1" x14ac:dyDescent="0.25">
      <c r="C250" s="611"/>
      <c r="D250" s="611"/>
      <c r="J250" s="266"/>
      <c r="M250" s="268"/>
      <c r="N250" s="157"/>
      <c r="O250" s="294"/>
      <c r="P250" s="294"/>
    </row>
    <row r="251" spans="3:16" s="159" customFormat="1" x14ac:dyDescent="0.25">
      <c r="C251" s="611"/>
      <c r="D251" s="611"/>
      <c r="J251" s="266"/>
      <c r="M251" s="268"/>
      <c r="N251" s="157"/>
      <c r="O251" s="294"/>
      <c r="P251" s="294"/>
    </row>
    <row r="252" spans="3:16" s="159" customFormat="1" x14ac:dyDescent="0.25">
      <c r="C252" s="611"/>
      <c r="D252" s="611"/>
      <c r="J252" s="266"/>
      <c r="M252" s="268"/>
      <c r="N252" s="157"/>
      <c r="O252" s="294"/>
      <c r="P252" s="294"/>
    </row>
    <row r="253" spans="3:16" s="159" customFormat="1" x14ac:dyDescent="0.25">
      <c r="C253" s="611"/>
      <c r="D253" s="611"/>
      <c r="J253" s="266"/>
      <c r="M253" s="268"/>
      <c r="N253" s="157"/>
      <c r="O253" s="294"/>
      <c r="P253" s="294"/>
    </row>
    <row r="254" spans="3:16" s="159" customFormat="1" x14ac:dyDescent="0.25">
      <c r="C254" s="611"/>
      <c r="D254" s="611"/>
      <c r="J254" s="266"/>
      <c r="M254" s="268"/>
      <c r="N254" s="157"/>
      <c r="O254" s="294"/>
      <c r="P254" s="294"/>
    </row>
    <row r="255" spans="3:16" s="159" customFormat="1" x14ac:dyDescent="0.25">
      <c r="C255" s="611"/>
      <c r="D255" s="611"/>
      <c r="J255" s="266"/>
      <c r="M255" s="268"/>
      <c r="N255" s="157"/>
      <c r="O255" s="294"/>
      <c r="P255" s="294"/>
    </row>
    <row r="256" spans="3:16" s="159" customFormat="1" x14ac:dyDescent="0.25">
      <c r="C256" s="611"/>
      <c r="D256" s="611"/>
      <c r="J256" s="266"/>
      <c r="M256" s="268"/>
      <c r="N256" s="157"/>
      <c r="O256" s="294"/>
      <c r="P256" s="294"/>
    </row>
    <row r="257" spans="3:16" s="159" customFormat="1" x14ac:dyDescent="0.25">
      <c r="C257" s="611"/>
      <c r="D257" s="611"/>
      <c r="J257" s="266"/>
      <c r="M257" s="268"/>
      <c r="N257" s="157"/>
      <c r="O257" s="294"/>
      <c r="P257" s="294"/>
    </row>
    <row r="258" spans="3:16" s="159" customFormat="1" x14ac:dyDescent="0.25">
      <c r="C258" s="611"/>
      <c r="D258" s="611"/>
      <c r="J258" s="266"/>
      <c r="M258" s="268"/>
      <c r="N258" s="157"/>
      <c r="O258" s="294"/>
      <c r="P258" s="294"/>
    </row>
    <row r="259" spans="3:16" s="159" customFormat="1" x14ac:dyDescent="0.25">
      <c r="C259" s="611"/>
      <c r="D259" s="611"/>
      <c r="J259" s="266"/>
      <c r="M259" s="268"/>
      <c r="N259" s="157"/>
      <c r="O259" s="294"/>
      <c r="P259" s="294"/>
    </row>
    <row r="260" spans="3:16" s="159" customFormat="1" x14ac:dyDescent="0.25">
      <c r="C260" s="611"/>
      <c r="D260" s="611"/>
      <c r="J260" s="266"/>
      <c r="M260" s="268"/>
      <c r="N260" s="157"/>
      <c r="O260" s="294"/>
      <c r="P260" s="294"/>
    </row>
    <row r="261" spans="3:16" s="159" customFormat="1" x14ac:dyDescent="0.25">
      <c r="C261" s="611"/>
      <c r="D261" s="611"/>
      <c r="J261" s="266"/>
      <c r="M261" s="268"/>
      <c r="N261" s="157"/>
      <c r="O261" s="294"/>
      <c r="P261" s="294"/>
    </row>
    <row r="262" spans="3:16" s="159" customFormat="1" x14ac:dyDescent="0.25">
      <c r="C262" s="611"/>
      <c r="D262" s="611"/>
      <c r="J262" s="266"/>
      <c r="M262" s="268"/>
      <c r="N262" s="157"/>
      <c r="O262" s="294"/>
      <c r="P262" s="294"/>
    </row>
    <row r="263" spans="3:16" s="159" customFormat="1" x14ac:dyDescent="0.25">
      <c r="C263" s="611"/>
      <c r="D263" s="611"/>
      <c r="J263" s="266"/>
      <c r="M263" s="268"/>
      <c r="N263" s="157"/>
      <c r="O263" s="294"/>
      <c r="P263" s="294"/>
    </row>
    <row r="264" spans="3:16" s="159" customFormat="1" x14ac:dyDescent="0.25">
      <c r="C264" s="611"/>
      <c r="D264" s="611"/>
      <c r="J264" s="266"/>
      <c r="M264" s="268"/>
      <c r="N264" s="157"/>
      <c r="O264" s="294"/>
      <c r="P264" s="294"/>
    </row>
    <row r="265" spans="3:16" s="159" customFormat="1" x14ac:dyDescent="0.25">
      <c r="C265" s="611"/>
      <c r="D265" s="611"/>
      <c r="J265" s="266"/>
      <c r="M265" s="268"/>
      <c r="N265" s="157"/>
      <c r="O265" s="294"/>
      <c r="P265" s="294"/>
    </row>
    <row r="266" spans="3:16" s="159" customFormat="1" x14ac:dyDescent="0.25">
      <c r="C266" s="611"/>
      <c r="D266" s="611"/>
      <c r="J266" s="266"/>
      <c r="M266" s="268"/>
      <c r="N266" s="157"/>
      <c r="O266" s="294"/>
      <c r="P266" s="294"/>
    </row>
    <row r="267" spans="3:16" s="159" customFormat="1" x14ac:dyDescent="0.25">
      <c r="C267" s="611"/>
      <c r="D267" s="611"/>
      <c r="J267" s="266"/>
      <c r="M267" s="268"/>
      <c r="N267" s="157"/>
      <c r="O267" s="294"/>
      <c r="P267" s="294"/>
    </row>
    <row r="268" spans="3:16" s="159" customFormat="1" x14ac:dyDescent="0.25">
      <c r="C268" s="611"/>
      <c r="D268" s="611"/>
      <c r="J268" s="266"/>
      <c r="M268" s="268"/>
      <c r="N268" s="157"/>
      <c r="O268" s="294"/>
      <c r="P268" s="294"/>
    </row>
    <row r="269" spans="3:16" s="159" customFormat="1" x14ac:dyDescent="0.25">
      <c r="C269" s="611"/>
      <c r="D269" s="611"/>
      <c r="J269" s="266"/>
      <c r="M269" s="268"/>
      <c r="N269" s="157"/>
      <c r="O269" s="294"/>
      <c r="P269" s="294"/>
    </row>
    <row r="270" spans="3:16" s="159" customFormat="1" x14ac:dyDescent="0.25">
      <c r="C270" s="611"/>
      <c r="D270" s="611"/>
      <c r="J270" s="266"/>
      <c r="M270" s="268"/>
      <c r="N270" s="157"/>
      <c r="O270" s="294"/>
      <c r="P270" s="294"/>
    </row>
    <row r="271" spans="3:16" s="159" customFormat="1" x14ac:dyDescent="0.25">
      <c r="C271" s="611"/>
      <c r="D271" s="611"/>
      <c r="J271" s="266"/>
      <c r="M271" s="268"/>
      <c r="N271" s="157"/>
      <c r="O271" s="294"/>
      <c r="P271" s="294"/>
    </row>
    <row r="272" spans="3:16" s="159" customFormat="1" x14ac:dyDescent="0.25">
      <c r="C272" s="611"/>
      <c r="D272" s="611"/>
      <c r="J272" s="266"/>
      <c r="M272" s="268"/>
      <c r="N272" s="157"/>
      <c r="O272" s="294"/>
      <c r="P272" s="294"/>
    </row>
    <row r="273" spans="3:16" s="159" customFormat="1" x14ac:dyDescent="0.25">
      <c r="C273" s="611"/>
      <c r="D273" s="611"/>
      <c r="J273" s="266"/>
      <c r="M273" s="268"/>
      <c r="N273" s="157"/>
      <c r="O273" s="294"/>
      <c r="P273" s="294"/>
    </row>
    <row r="274" spans="3:16" s="159" customFormat="1" x14ac:dyDescent="0.25">
      <c r="C274" s="611"/>
      <c r="D274" s="611"/>
      <c r="J274" s="266"/>
      <c r="M274" s="268"/>
      <c r="N274" s="157"/>
      <c r="O274" s="294"/>
      <c r="P274" s="294"/>
    </row>
    <row r="275" spans="3:16" s="159" customFormat="1" x14ac:dyDescent="0.25">
      <c r="C275" s="611"/>
      <c r="D275" s="611"/>
      <c r="J275" s="266"/>
      <c r="M275" s="268"/>
      <c r="N275" s="157"/>
      <c r="O275" s="294"/>
      <c r="P275" s="294"/>
    </row>
    <row r="276" spans="3:16" s="159" customFormat="1" x14ac:dyDescent="0.25">
      <c r="C276" s="611"/>
      <c r="D276" s="611"/>
      <c r="J276" s="266"/>
      <c r="M276" s="268"/>
      <c r="N276" s="157"/>
      <c r="O276" s="294"/>
      <c r="P276" s="294"/>
    </row>
    <row r="277" spans="3:16" s="159" customFormat="1" x14ac:dyDescent="0.25">
      <c r="C277" s="611"/>
      <c r="D277" s="611"/>
      <c r="J277" s="266"/>
      <c r="M277" s="268"/>
      <c r="N277" s="157"/>
      <c r="O277" s="294"/>
      <c r="P277" s="294"/>
    </row>
  </sheetData>
  <mergeCells count="54">
    <mergeCell ref="Q9:Q10"/>
    <mergeCell ref="L9:L10"/>
    <mergeCell ref="M9:M10"/>
    <mergeCell ref="N9:N10"/>
    <mergeCell ref="O9:O10"/>
    <mergeCell ref="P9:P10"/>
    <mergeCell ref="K97:K98"/>
    <mergeCell ref="F95:F96"/>
    <mergeCell ref="G95:G96"/>
    <mergeCell ref="I95:I96"/>
    <mergeCell ref="J95:J96"/>
    <mergeCell ref="K95:K96"/>
    <mergeCell ref="F97:F98"/>
    <mergeCell ref="G97:G98"/>
    <mergeCell ref="I97:I98"/>
    <mergeCell ref="J97:J98"/>
    <mergeCell ref="C51:F51"/>
    <mergeCell ref="G51:I51"/>
    <mergeCell ref="C87:F87"/>
    <mergeCell ref="G87:I87"/>
    <mergeCell ref="B96:B97"/>
    <mergeCell ref="C62:F62"/>
    <mergeCell ref="G62:I62"/>
    <mergeCell ref="C71:F71"/>
    <mergeCell ref="G71:I71"/>
    <mergeCell ref="C78:F78"/>
    <mergeCell ref="G78:I78"/>
    <mergeCell ref="C22:F22"/>
    <mergeCell ref="G22:I22"/>
    <mergeCell ref="C34:F34"/>
    <mergeCell ref="G34:I34"/>
    <mergeCell ref="C42:F42"/>
    <mergeCell ref="G42:I42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58" fitToHeight="2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37"/>
  <sheetViews>
    <sheetView zoomScale="90" zoomScaleNormal="75" zoomScaleSheetLayoutView="90" zoomScalePageLayoutView="75" workbookViewId="0">
      <selection activeCell="A57" sqref="A57"/>
    </sheetView>
  </sheetViews>
  <sheetFormatPr defaultColWidth="9.33203125" defaultRowHeight="13.2" x14ac:dyDescent="0.25"/>
  <cols>
    <col min="1" max="1" width="12.33203125" style="157" bestFit="1" customWidth="1"/>
    <col min="2" max="2" width="52.44140625" style="157" bestFit="1" customWidth="1"/>
    <col min="3" max="4" width="5" style="421" customWidth="1"/>
    <col min="5" max="5" width="10.6640625" style="157" bestFit="1" customWidth="1"/>
    <col min="6" max="6" width="12.5546875" style="157" bestFit="1" customWidth="1"/>
    <col min="7" max="7" width="8" style="157" bestFit="1" customWidth="1"/>
    <col min="8" max="8" width="10.6640625" style="157" bestFit="1" customWidth="1"/>
    <col min="9" max="9" width="14.44140625" style="157" bestFit="1" customWidth="1"/>
    <col min="10" max="10" width="16.33203125" style="268" bestFit="1" customWidth="1"/>
    <col min="11" max="11" width="14.44140625" style="157" bestFit="1" customWidth="1"/>
    <col min="12" max="12" width="17.6640625" style="159" bestFit="1" customWidth="1"/>
    <col min="13" max="13" width="14" style="268" bestFit="1" customWidth="1"/>
    <col min="14" max="14" width="24.6640625" style="157" bestFit="1" customWidth="1"/>
    <col min="15" max="15" width="22" style="294" bestFit="1" customWidth="1"/>
    <col min="16" max="16" width="22.33203125" style="294" bestFit="1" customWidth="1"/>
    <col min="17" max="17" width="18.33203125" style="157" bestFit="1" customWidth="1"/>
    <col min="18" max="16384" width="9.33203125" style="157"/>
  </cols>
  <sheetData>
    <row r="1" spans="1:17" ht="18" thickBot="1" x14ac:dyDescent="0.35">
      <c r="A1" s="313"/>
      <c r="B1" s="314"/>
      <c r="C1" s="1011">
        <f>'Estimate Summary'!C1:H1</f>
        <v>0</v>
      </c>
      <c r="D1" s="1011"/>
      <c r="E1" s="1011"/>
      <c r="F1" s="1011"/>
      <c r="G1" s="1011"/>
      <c r="H1" s="1011"/>
      <c r="I1" s="1011"/>
      <c r="J1" s="1011"/>
      <c r="K1" s="1012"/>
    </row>
    <row r="2" spans="1:17" ht="13.8" thickBot="1" x14ac:dyDescent="0.3">
      <c r="A2" s="315"/>
      <c r="B2" s="316"/>
      <c r="C2" s="494"/>
      <c r="D2" s="1013"/>
      <c r="E2" s="1013"/>
      <c r="F2" s="1013"/>
      <c r="G2" s="494"/>
      <c r="H2" s="318"/>
      <c r="I2" s="319"/>
      <c r="J2" s="320"/>
      <c r="K2" s="321"/>
    </row>
    <row r="3" spans="1:17" ht="16.2" thickBot="1" x14ac:dyDescent="0.35">
      <c r="A3" s="1014"/>
      <c r="B3" s="1015"/>
      <c r="C3" s="494"/>
      <c r="D3" s="1013"/>
      <c r="E3" s="1013"/>
      <c r="F3" s="1013"/>
      <c r="G3" s="495"/>
      <c r="H3" s="323"/>
      <c r="I3" s="324"/>
      <c r="J3" s="324"/>
      <c r="K3" s="325"/>
      <c r="L3" s="1022"/>
      <c r="M3" s="1023"/>
      <c r="N3" s="1024"/>
      <c r="O3" s="1024"/>
      <c r="P3" s="1025"/>
    </row>
    <row r="4" spans="1:17" ht="18" thickBot="1" x14ac:dyDescent="0.3">
      <c r="A4" s="1014"/>
      <c r="B4" s="1015"/>
      <c r="C4" s="494"/>
      <c r="D4" s="1013"/>
      <c r="E4" s="1013"/>
      <c r="F4" s="1013"/>
      <c r="G4" s="327"/>
      <c r="H4" s="327"/>
      <c r="I4" s="319"/>
      <c r="J4" s="320"/>
      <c r="K4" s="321"/>
      <c r="L4" s="1022"/>
      <c r="M4" s="1023"/>
      <c r="N4" s="1024"/>
      <c r="O4" s="1024"/>
      <c r="P4" s="1025"/>
    </row>
    <row r="5" spans="1:17" ht="21.6" thickBot="1" x14ac:dyDescent="0.35">
      <c r="A5" s="328"/>
      <c r="B5" s="329"/>
      <c r="C5" s="496"/>
      <c r="D5" s="331"/>
      <c r="E5" s="332"/>
      <c r="F5" s="327"/>
      <c r="G5" s="1016" t="s">
        <v>603</v>
      </c>
      <c r="H5" s="1016"/>
      <c r="I5" s="1016"/>
      <c r="J5" s="1017" t="s">
        <v>73</v>
      </c>
      <c r="K5" s="1018"/>
      <c r="L5" s="1022"/>
      <c r="M5" s="1023"/>
      <c r="N5" s="1024"/>
      <c r="O5" s="1024"/>
      <c r="P5" s="1025"/>
    </row>
    <row r="6" spans="1:17" ht="21.6" thickBot="1" x14ac:dyDescent="0.3">
      <c r="A6" s="328"/>
      <c r="B6" s="329"/>
      <c r="C6" s="497"/>
      <c r="D6" s="334" t="str">
        <f>'Estimate Summary'!C11</f>
        <v>Area:</v>
      </c>
      <c r="E6" s="335">
        <f>'Estimate Summary'!D11</f>
        <v>600</v>
      </c>
      <c r="F6" s="232" t="str">
        <f>'Estimate Summary'!E11</f>
        <v>Sq. Ft.</v>
      </c>
      <c r="G6" s="1016"/>
      <c r="H6" s="1016"/>
      <c r="I6" s="1016"/>
      <c r="J6" s="336">
        <f>'1'!J6</f>
        <v>15</v>
      </c>
      <c r="K6" s="321" t="s">
        <v>74</v>
      </c>
      <c r="L6" s="1022"/>
      <c r="M6" s="1023"/>
      <c r="N6" s="1024"/>
      <c r="O6" s="1024"/>
      <c r="P6" s="1025"/>
    </row>
    <row r="7" spans="1:17" x14ac:dyDescent="0.25">
      <c r="A7" s="1019"/>
      <c r="B7" s="1020"/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7" x14ac:dyDescent="0.25">
      <c r="A8" s="337"/>
      <c r="B8" s="338"/>
      <c r="C8" s="1009"/>
      <c r="D8" s="1009"/>
      <c r="E8" s="1009"/>
      <c r="F8" s="1009"/>
      <c r="G8" s="1010"/>
      <c r="H8" s="1010"/>
      <c r="I8" s="1010"/>
      <c r="J8" s="339"/>
      <c r="K8" s="340"/>
      <c r="L8" s="498"/>
      <c r="M8" s="499"/>
      <c r="N8" s="498"/>
      <c r="O8" s="500"/>
      <c r="P8" s="500"/>
    </row>
    <row r="9" spans="1:17" x14ac:dyDescent="0.25">
      <c r="A9" s="501"/>
      <c r="B9" s="200"/>
      <c r="C9" s="1029"/>
      <c r="D9" s="1029"/>
      <c r="E9" s="1026"/>
      <c r="F9" s="1026"/>
      <c r="G9" s="1030"/>
      <c r="H9" s="1026"/>
      <c r="I9" s="1026"/>
      <c r="J9" s="1026"/>
      <c r="K9" s="1027"/>
      <c r="L9" s="448"/>
      <c r="M9" s="447"/>
      <c r="N9" s="404"/>
      <c r="O9" s="405"/>
      <c r="P9" s="405"/>
    </row>
    <row r="10" spans="1:17" ht="13.8" thickBot="1" x14ac:dyDescent="0.3">
      <c r="A10" s="392"/>
      <c r="B10" s="502"/>
      <c r="C10" s="1029"/>
      <c r="D10" s="1029"/>
      <c r="E10" s="1026"/>
      <c r="F10" s="1026"/>
      <c r="G10" s="1030"/>
      <c r="H10" s="1026"/>
      <c r="I10" s="1026"/>
      <c r="J10" s="1026"/>
      <c r="K10" s="1027"/>
      <c r="L10" s="448"/>
      <c r="M10" s="447"/>
      <c r="N10" s="404"/>
      <c r="O10" s="405"/>
      <c r="P10" s="405"/>
    </row>
    <row r="11" spans="1:17" ht="14.4" thickTop="1" thickBot="1" x14ac:dyDescent="0.3">
      <c r="A11" s="344" t="s">
        <v>0</v>
      </c>
      <c r="B11" s="345" t="s">
        <v>1</v>
      </c>
      <c r="C11" s="1028" t="s">
        <v>646</v>
      </c>
      <c r="D11" s="1028"/>
      <c r="E11" s="1028"/>
      <c r="F11" s="1028"/>
      <c r="G11" s="1028" t="s">
        <v>34</v>
      </c>
      <c r="H11" s="1028"/>
      <c r="I11" s="1028"/>
      <c r="J11" s="346"/>
      <c r="K11" s="503"/>
      <c r="L11" s="1050" t="s">
        <v>771</v>
      </c>
      <c r="M11" s="1052" t="s">
        <v>772</v>
      </c>
      <c r="N11" s="1054" t="s">
        <v>773</v>
      </c>
      <c r="O11" s="1056"/>
      <c r="P11" s="1058"/>
      <c r="Q11" s="1048"/>
    </row>
    <row r="12" spans="1:17" ht="15.6" x14ac:dyDescent="0.3">
      <c r="A12" s="505" t="s">
        <v>604</v>
      </c>
      <c r="B12" s="505" t="s">
        <v>605</v>
      </c>
      <c r="C12" s="350" t="s">
        <v>19</v>
      </c>
      <c r="D12" s="351" t="s">
        <v>33</v>
      </c>
      <c r="E12" s="352" t="s">
        <v>35</v>
      </c>
      <c r="F12" s="353" t="s">
        <v>30</v>
      </c>
      <c r="G12" s="506" t="s">
        <v>14</v>
      </c>
      <c r="H12" s="352" t="s">
        <v>35</v>
      </c>
      <c r="I12" s="353" t="s">
        <v>30</v>
      </c>
      <c r="J12" s="355" t="s">
        <v>649</v>
      </c>
      <c r="K12" s="507" t="s">
        <v>38</v>
      </c>
      <c r="L12" s="1051"/>
      <c r="M12" s="1053"/>
      <c r="N12" s="1055"/>
      <c r="O12" s="1057"/>
      <c r="P12" s="1059"/>
      <c r="Q12" s="1049"/>
    </row>
    <row r="13" spans="1:17" ht="15" x14ac:dyDescent="0.25">
      <c r="A13" s="196" t="s">
        <v>607</v>
      </c>
      <c r="B13" s="196" t="s">
        <v>606</v>
      </c>
      <c r="C13" s="362"/>
      <c r="D13" s="363" t="s">
        <v>21</v>
      </c>
      <c r="E13" s="247">
        <v>0</v>
      </c>
      <c r="F13" s="364">
        <f t="shared" ref="F13:F24" si="0">C13*E13</f>
        <v>0</v>
      </c>
      <c r="G13" s="509"/>
      <c r="H13" s="366">
        <v>0</v>
      </c>
      <c r="I13" s="364">
        <f t="shared" ref="I13:I24" si="1">G13*H13</f>
        <v>0</v>
      </c>
      <c r="J13" s="367"/>
      <c r="K13" s="510">
        <f t="shared" ref="K13:K24" si="2">F13+I13+J13</f>
        <v>0</v>
      </c>
      <c r="L13" s="369"/>
      <c r="M13" s="370"/>
      <c r="N13" s="371"/>
      <c r="O13" s="372"/>
      <c r="P13" s="373"/>
      <c r="Q13" s="374"/>
    </row>
    <row r="14" spans="1:17" ht="15" x14ac:dyDescent="0.25">
      <c r="A14" s="196" t="s">
        <v>608</v>
      </c>
      <c r="B14" s="196" t="s">
        <v>609</v>
      </c>
      <c r="C14" s="362"/>
      <c r="D14" s="363" t="s">
        <v>21</v>
      </c>
      <c r="E14" s="247">
        <v>0</v>
      </c>
      <c r="F14" s="364">
        <f t="shared" si="0"/>
        <v>0</v>
      </c>
      <c r="G14" s="509"/>
      <c r="H14" s="366">
        <v>0</v>
      </c>
      <c r="I14" s="364">
        <f t="shared" si="1"/>
        <v>0</v>
      </c>
      <c r="J14" s="367"/>
      <c r="K14" s="510">
        <f t="shared" si="2"/>
        <v>0</v>
      </c>
      <c r="L14" s="369"/>
      <c r="M14" s="370"/>
      <c r="N14" s="371"/>
      <c r="O14" s="372"/>
      <c r="P14" s="373"/>
      <c r="Q14" s="374"/>
    </row>
    <row r="15" spans="1:17" x14ac:dyDescent="0.25">
      <c r="A15" s="361"/>
      <c r="B15" s="5"/>
      <c r="C15" s="362"/>
      <c r="D15" s="363" t="s">
        <v>21</v>
      </c>
      <c r="E15" s="247">
        <v>0</v>
      </c>
      <c r="F15" s="364">
        <f t="shared" si="0"/>
        <v>0</v>
      </c>
      <c r="G15" s="509"/>
      <c r="H15" s="366">
        <v>0</v>
      </c>
      <c r="I15" s="364">
        <f t="shared" si="1"/>
        <v>0</v>
      </c>
      <c r="J15" s="367"/>
      <c r="K15" s="510">
        <f t="shared" si="2"/>
        <v>0</v>
      </c>
      <c r="L15" s="369"/>
      <c r="M15" s="370"/>
      <c r="N15" s="371"/>
      <c r="O15" s="372"/>
      <c r="P15" s="373"/>
      <c r="Q15" s="374"/>
    </row>
    <row r="16" spans="1:17" x14ac:dyDescent="0.25">
      <c r="A16" s="361"/>
      <c r="B16" s="5"/>
      <c r="C16" s="362"/>
      <c r="D16" s="363" t="s">
        <v>21</v>
      </c>
      <c r="E16" s="247">
        <v>0</v>
      </c>
      <c r="F16" s="364">
        <f t="shared" si="0"/>
        <v>0</v>
      </c>
      <c r="G16" s="509"/>
      <c r="H16" s="366">
        <v>0</v>
      </c>
      <c r="I16" s="364">
        <f t="shared" si="1"/>
        <v>0</v>
      </c>
      <c r="J16" s="367"/>
      <c r="K16" s="510">
        <f t="shared" si="2"/>
        <v>0</v>
      </c>
      <c r="L16" s="369"/>
      <c r="M16" s="370"/>
      <c r="N16" s="371"/>
      <c r="O16" s="372"/>
      <c r="P16" s="373"/>
      <c r="Q16" s="374"/>
    </row>
    <row r="17" spans="1:17" x14ac:dyDescent="0.25">
      <c r="A17" s="361"/>
      <c r="B17" s="6"/>
      <c r="C17" s="362"/>
      <c r="D17" s="363" t="s">
        <v>21</v>
      </c>
      <c r="E17" s="247">
        <v>0</v>
      </c>
      <c r="F17" s="364">
        <f t="shared" si="0"/>
        <v>0</v>
      </c>
      <c r="G17" s="509"/>
      <c r="H17" s="366">
        <v>0</v>
      </c>
      <c r="I17" s="364">
        <f t="shared" si="1"/>
        <v>0</v>
      </c>
      <c r="J17" s="367"/>
      <c r="K17" s="510">
        <f t="shared" si="2"/>
        <v>0</v>
      </c>
      <c r="L17" s="369"/>
      <c r="M17" s="370"/>
      <c r="N17" s="371"/>
      <c r="O17" s="372"/>
      <c r="P17" s="373"/>
      <c r="Q17" s="374"/>
    </row>
    <row r="18" spans="1:17" x14ac:dyDescent="0.25">
      <c r="A18" s="375"/>
      <c r="B18" s="5"/>
      <c r="C18" s="362"/>
      <c r="D18" s="363" t="s">
        <v>21</v>
      </c>
      <c r="E18" s="247">
        <v>0</v>
      </c>
      <c r="F18" s="364">
        <f t="shared" si="0"/>
        <v>0</v>
      </c>
      <c r="G18" s="509"/>
      <c r="H18" s="366">
        <v>0</v>
      </c>
      <c r="I18" s="364">
        <f t="shared" si="1"/>
        <v>0</v>
      </c>
      <c r="J18" s="367"/>
      <c r="K18" s="510">
        <f t="shared" si="2"/>
        <v>0</v>
      </c>
      <c r="L18" s="369"/>
      <c r="M18" s="370"/>
      <c r="N18" s="371"/>
      <c r="O18" s="372"/>
      <c r="P18" s="373"/>
      <c r="Q18" s="374"/>
    </row>
    <row r="19" spans="1:17" x14ac:dyDescent="0.25">
      <c r="A19" s="375"/>
      <c r="B19" s="5"/>
      <c r="C19" s="362"/>
      <c r="D19" s="363" t="s">
        <v>21</v>
      </c>
      <c r="E19" s="247">
        <v>0</v>
      </c>
      <c r="F19" s="364">
        <f t="shared" si="0"/>
        <v>0</v>
      </c>
      <c r="G19" s="509"/>
      <c r="H19" s="366">
        <v>0</v>
      </c>
      <c r="I19" s="364">
        <f t="shared" si="1"/>
        <v>0</v>
      </c>
      <c r="J19" s="367"/>
      <c r="K19" s="510">
        <f t="shared" si="2"/>
        <v>0</v>
      </c>
      <c r="L19" s="157"/>
      <c r="M19" s="449"/>
      <c r="O19" s="372"/>
      <c r="P19" s="373"/>
      <c r="Q19" s="374"/>
    </row>
    <row r="20" spans="1:17" x14ac:dyDescent="0.25">
      <c r="A20" s="375"/>
      <c r="B20" s="5"/>
      <c r="C20" s="362"/>
      <c r="D20" s="363" t="s">
        <v>21</v>
      </c>
      <c r="E20" s="247">
        <v>0</v>
      </c>
      <c r="F20" s="364">
        <f t="shared" si="0"/>
        <v>0</v>
      </c>
      <c r="G20" s="509"/>
      <c r="H20" s="366">
        <v>0</v>
      </c>
      <c r="I20" s="364">
        <f t="shared" si="1"/>
        <v>0</v>
      </c>
      <c r="J20" s="367"/>
      <c r="K20" s="510">
        <f t="shared" si="2"/>
        <v>0</v>
      </c>
      <c r="L20" s="157"/>
      <c r="M20" s="449"/>
      <c r="O20" s="372"/>
      <c r="P20" s="373"/>
      <c r="Q20" s="374"/>
    </row>
    <row r="21" spans="1:17" x14ac:dyDescent="0.25">
      <c r="A21" s="375"/>
      <c r="B21" s="5"/>
      <c r="C21" s="362"/>
      <c r="D21" s="363" t="s">
        <v>21</v>
      </c>
      <c r="E21" s="247">
        <v>0</v>
      </c>
      <c r="F21" s="364">
        <f t="shared" si="0"/>
        <v>0</v>
      </c>
      <c r="G21" s="509"/>
      <c r="H21" s="366">
        <v>0</v>
      </c>
      <c r="I21" s="364">
        <f t="shared" si="1"/>
        <v>0</v>
      </c>
      <c r="J21" s="367"/>
      <c r="K21" s="510">
        <f t="shared" si="2"/>
        <v>0</v>
      </c>
      <c r="L21" s="515"/>
      <c r="M21" s="531"/>
      <c r="N21" s="516"/>
      <c r="O21" s="372"/>
      <c r="P21" s="373"/>
      <c r="Q21" s="374"/>
    </row>
    <row r="22" spans="1:17" x14ac:dyDescent="0.25">
      <c r="A22" s="375"/>
      <c r="B22" s="5"/>
      <c r="C22" s="362"/>
      <c r="D22" s="363" t="s">
        <v>21</v>
      </c>
      <c r="E22" s="247">
        <v>0</v>
      </c>
      <c r="F22" s="364">
        <f t="shared" si="0"/>
        <v>0</v>
      </c>
      <c r="G22" s="509"/>
      <c r="H22" s="366">
        <v>0</v>
      </c>
      <c r="I22" s="364">
        <f t="shared" si="1"/>
        <v>0</v>
      </c>
      <c r="J22" s="367"/>
      <c r="K22" s="510">
        <f t="shared" si="2"/>
        <v>0</v>
      </c>
      <c r="L22" s="517"/>
      <c r="M22" s="444"/>
      <c r="N22" s="518"/>
      <c r="O22" s="372"/>
      <c r="P22" s="373"/>
      <c r="Q22" s="374"/>
    </row>
    <row r="23" spans="1:17" x14ac:dyDescent="0.25">
      <c r="A23" s="375"/>
      <c r="B23" s="5"/>
      <c r="C23" s="362"/>
      <c r="D23" s="363" t="s">
        <v>21</v>
      </c>
      <c r="E23" s="247">
        <v>0</v>
      </c>
      <c r="F23" s="364">
        <f t="shared" si="0"/>
        <v>0</v>
      </c>
      <c r="G23" s="509"/>
      <c r="H23" s="366">
        <v>0</v>
      </c>
      <c r="I23" s="364">
        <f t="shared" si="1"/>
        <v>0</v>
      </c>
      <c r="J23" s="367"/>
      <c r="K23" s="510">
        <f t="shared" si="2"/>
        <v>0</v>
      </c>
      <c r="L23" s="157"/>
      <c r="M23" s="449"/>
      <c r="O23" s="372"/>
      <c r="P23" s="373"/>
      <c r="Q23" s="374"/>
    </row>
    <row r="24" spans="1:17" x14ac:dyDescent="0.25">
      <c r="A24" s="375"/>
      <c r="B24" s="5"/>
      <c r="C24" s="362"/>
      <c r="D24" s="363" t="s">
        <v>21</v>
      </c>
      <c r="E24" s="247">
        <v>0</v>
      </c>
      <c r="F24" s="364">
        <f t="shared" si="0"/>
        <v>0</v>
      </c>
      <c r="G24" s="509"/>
      <c r="H24" s="366">
        <v>0</v>
      </c>
      <c r="I24" s="364">
        <f t="shared" si="1"/>
        <v>0</v>
      </c>
      <c r="J24" s="367"/>
      <c r="K24" s="510">
        <f t="shared" si="2"/>
        <v>0</v>
      </c>
      <c r="L24" s="157"/>
      <c r="M24" s="449"/>
      <c r="O24" s="372"/>
      <c r="P24" s="373"/>
      <c r="Q24" s="374"/>
    </row>
    <row r="25" spans="1:17" ht="13.8" thickBot="1" x14ac:dyDescent="0.3">
      <c r="A25" s="378"/>
      <c r="B25" s="7"/>
      <c r="C25" s="379"/>
      <c r="D25" s="363"/>
      <c r="E25" s="247"/>
      <c r="F25" s="364"/>
      <c r="G25" s="509"/>
      <c r="H25" s="366"/>
      <c r="I25" s="364"/>
      <c r="J25" s="367"/>
      <c r="K25" s="510"/>
      <c r="O25" s="372"/>
      <c r="P25" s="373"/>
      <c r="Q25" s="374"/>
    </row>
    <row r="26" spans="1:17" ht="13.8" thickTop="1" x14ac:dyDescent="0.25">
      <c r="A26" s="378"/>
      <c r="B26" s="7"/>
      <c r="C26" s="379"/>
      <c r="D26" s="363"/>
      <c r="E26" s="247"/>
      <c r="F26" s="364"/>
      <c r="G26" s="509"/>
      <c r="H26" s="366"/>
      <c r="I26" s="364"/>
      <c r="J26" s="380" t="s">
        <v>30</v>
      </c>
      <c r="K26" s="511">
        <f>SUM(K13:K25)</f>
        <v>0</v>
      </c>
      <c r="O26" s="372"/>
      <c r="P26" s="373"/>
      <c r="Q26" s="374"/>
    </row>
    <row r="27" spans="1:17" ht="13.8" thickBot="1" x14ac:dyDescent="0.3">
      <c r="A27" s="344" t="s">
        <v>0</v>
      </c>
      <c r="B27" s="345" t="s">
        <v>1</v>
      </c>
      <c r="C27" s="1028" t="s">
        <v>646</v>
      </c>
      <c r="D27" s="1028"/>
      <c r="E27" s="1028"/>
      <c r="F27" s="1028"/>
      <c r="G27" s="1028" t="s">
        <v>34</v>
      </c>
      <c r="H27" s="1028"/>
      <c r="I27" s="1028"/>
      <c r="J27" s="346"/>
      <c r="K27" s="503"/>
      <c r="L27" s="382"/>
      <c r="M27" s="383"/>
      <c r="N27" s="384"/>
      <c r="O27" s="372"/>
      <c r="P27" s="373"/>
      <c r="Q27" s="374"/>
    </row>
    <row r="28" spans="1:17" ht="15.6" x14ac:dyDescent="0.3">
      <c r="A28" s="505" t="s">
        <v>610</v>
      </c>
      <c r="B28" s="505" t="s">
        <v>611</v>
      </c>
      <c r="C28" s="387" t="s">
        <v>19</v>
      </c>
      <c r="D28" s="388" t="s">
        <v>33</v>
      </c>
      <c r="E28" s="389" t="s">
        <v>35</v>
      </c>
      <c r="F28" s="390" t="s">
        <v>30</v>
      </c>
      <c r="G28" s="512" t="s">
        <v>14</v>
      </c>
      <c r="H28" s="389" t="s">
        <v>35</v>
      </c>
      <c r="I28" s="390" t="s">
        <v>30</v>
      </c>
      <c r="J28" s="355" t="s">
        <v>649</v>
      </c>
      <c r="K28" s="513" t="s">
        <v>38</v>
      </c>
      <c r="L28" s="393"/>
      <c r="M28" s="394"/>
      <c r="N28" s="395"/>
      <c r="O28" s="372"/>
      <c r="P28" s="373"/>
      <c r="Q28" s="374"/>
    </row>
    <row r="29" spans="1:17" s="159" customFormat="1" ht="15" x14ac:dyDescent="0.25">
      <c r="A29" s="196" t="s">
        <v>613</v>
      </c>
      <c r="B29" s="196" t="s">
        <v>612</v>
      </c>
      <c r="C29" s="362"/>
      <c r="D29" s="363" t="s">
        <v>21</v>
      </c>
      <c r="E29" s="247">
        <v>0</v>
      </c>
      <c r="F29" s="364">
        <f t="shared" ref="F29:F35" si="3">C29*E29</f>
        <v>0</v>
      </c>
      <c r="G29" s="509"/>
      <c r="H29" s="366">
        <v>0</v>
      </c>
      <c r="I29" s="364">
        <f t="shared" ref="I29:I35" si="4">G29*H29</f>
        <v>0</v>
      </c>
      <c r="J29" s="367"/>
      <c r="K29" s="510">
        <f t="shared" ref="K29:K35" si="5">F29+I29+J29</f>
        <v>0</v>
      </c>
      <c r="M29" s="266"/>
      <c r="O29" s="372"/>
      <c r="P29" s="373"/>
      <c r="Q29" s="374"/>
    </row>
    <row r="30" spans="1:17" s="159" customFormat="1" ht="15" x14ac:dyDescent="0.25">
      <c r="A30" s="196" t="s">
        <v>614</v>
      </c>
      <c r="B30" s="196" t="s">
        <v>615</v>
      </c>
      <c r="C30" s="362"/>
      <c r="D30" s="363" t="s">
        <v>21</v>
      </c>
      <c r="E30" s="247">
        <v>0</v>
      </c>
      <c r="F30" s="364">
        <f t="shared" si="3"/>
        <v>0</v>
      </c>
      <c r="G30" s="509"/>
      <c r="H30" s="366">
        <v>0</v>
      </c>
      <c r="I30" s="364">
        <f t="shared" si="4"/>
        <v>0</v>
      </c>
      <c r="J30" s="367"/>
      <c r="K30" s="510">
        <f t="shared" si="5"/>
        <v>0</v>
      </c>
      <c r="M30" s="266"/>
      <c r="O30" s="372"/>
      <c r="P30" s="373"/>
      <c r="Q30" s="374"/>
    </row>
    <row r="31" spans="1:17" s="159" customFormat="1" x14ac:dyDescent="0.25">
      <c r="A31" s="361"/>
      <c r="B31" s="5"/>
      <c r="C31" s="362"/>
      <c r="D31" s="363" t="s">
        <v>21</v>
      </c>
      <c r="E31" s="247">
        <v>0</v>
      </c>
      <c r="F31" s="364">
        <f t="shared" si="3"/>
        <v>0</v>
      </c>
      <c r="G31" s="509"/>
      <c r="H31" s="366">
        <v>0</v>
      </c>
      <c r="I31" s="364">
        <f t="shared" si="4"/>
        <v>0</v>
      </c>
      <c r="J31" s="367"/>
      <c r="K31" s="510">
        <f t="shared" si="5"/>
        <v>0</v>
      </c>
      <c r="M31" s="266"/>
      <c r="O31" s="372"/>
      <c r="P31" s="373"/>
      <c r="Q31" s="374"/>
    </row>
    <row r="32" spans="1:17" s="159" customFormat="1" x14ac:dyDescent="0.25">
      <c r="A32" s="361"/>
      <c r="B32" s="5"/>
      <c r="C32" s="362"/>
      <c r="D32" s="363" t="s">
        <v>21</v>
      </c>
      <c r="E32" s="247">
        <v>0</v>
      </c>
      <c r="F32" s="364">
        <f t="shared" si="3"/>
        <v>0</v>
      </c>
      <c r="G32" s="509"/>
      <c r="H32" s="366">
        <v>0</v>
      </c>
      <c r="I32" s="364">
        <f t="shared" si="4"/>
        <v>0</v>
      </c>
      <c r="J32" s="367"/>
      <c r="K32" s="510">
        <f t="shared" si="5"/>
        <v>0</v>
      </c>
      <c r="M32" s="268"/>
      <c r="N32" s="157"/>
      <c r="O32" s="372"/>
      <c r="P32" s="373"/>
      <c r="Q32" s="374"/>
    </row>
    <row r="33" spans="1:17" s="159" customFormat="1" x14ac:dyDescent="0.25">
      <c r="A33" s="361"/>
      <c r="B33" s="5"/>
      <c r="C33" s="362"/>
      <c r="D33" s="363" t="s">
        <v>21</v>
      </c>
      <c r="E33" s="247">
        <v>0</v>
      </c>
      <c r="F33" s="364">
        <f t="shared" si="3"/>
        <v>0</v>
      </c>
      <c r="G33" s="509"/>
      <c r="H33" s="366">
        <v>0</v>
      </c>
      <c r="I33" s="364">
        <f t="shared" si="4"/>
        <v>0</v>
      </c>
      <c r="J33" s="367"/>
      <c r="K33" s="510">
        <f t="shared" si="5"/>
        <v>0</v>
      </c>
      <c r="L33" s="369"/>
      <c r="M33" s="370"/>
      <c r="N33" s="371"/>
      <c r="O33" s="372"/>
      <c r="P33" s="373"/>
      <c r="Q33" s="374"/>
    </row>
    <row r="34" spans="1:17" s="159" customFormat="1" x14ac:dyDescent="0.25">
      <c r="A34" s="361"/>
      <c r="B34" s="5"/>
      <c r="C34" s="362"/>
      <c r="D34" s="363" t="s">
        <v>21</v>
      </c>
      <c r="E34" s="247">
        <v>0</v>
      </c>
      <c r="F34" s="364">
        <f t="shared" si="3"/>
        <v>0</v>
      </c>
      <c r="G34" s="509"/>
      <c r="H34" s="366">
        <v>0</v>
      </c>
      <c r="I34" s="364">
        <f t="shared" si="4"/>
        <v>0</v>
      </c>
      <c r="J34" s="367"/>
      <c r="K34" s="510">
        <f t="shared" si="5"/>
        <v>0</v>
      </c>
      <c r="L34" s="369"/>
      <c r="M34" s="370"/>
      <c r="N34" s="371"/>
      <c r="O34" s="372"/>
      <c r="P34" s="373"/>
      <c r="Q34" s="374"/>
    </row>
    <row r="35" spans="1:17" s="159" customFormat="1" x14ac:dyDescent="0.25">
      <c r="A35" s="361"/>
      <c r="B35" s="5"/>
      <c r="C35" s="362"/>
      <c r="D35" s="363" t="s">
        <v>21</v>
      </c>
      <c r="E35" s="247">
        <v>0</v>
      </c>
      <c r="F35" s="364">
        <f t="shared" si="3"/>
        <v>0</v>
      </c>
      <c r="G35" s="509"/>
      <c r="H35" s="366">
        <v>0</v>
      </c>
      <c r="I35" s="364">
        <f t="shared" si="4"/>
        <v>0</v>
      </c>
      <c r="J35" s="367"/>
      <c r="K35" s="510">
        <f t="shared" si="5"/>
        <v>0</v>
      </c>
      <c r="L35" s="515"/>
      <c r="M35" s="531"/>
      <c r="N35" s="516"/>
      <c r="O35" s="372"/>
      <c r="P35" s="373"/>
      <c r="Q35" s="374"/>
    </row>
    <row r="36" spans="1:17" s="159" customFormat="1" ht="13.8" thickBot="1" x14ac:dyDescent="0.3">
      <c r="A36" s="361"/>
      <c r="B36" s="5"/>
      <c r="C36" s="379"/>
      <c r="D36" s="363"/>
      <c r="E36" s="247"/>
      <c r="F36" s="364"/>
      <c r="G36" s="509"/>
      <c r="H36" s="366"/>
      <c r="I36" s="364"/>
      <c r="J36" s="367"/>
      <c r="K36" s="514"/>
      <c r="M36" s="266"/>
      <c r="O36" s="372"/>
      <c r="P36" s="373"/>
      <c r="Q36" s="374"/>
    </row>
    <row r="37" spans="1:17" s="159" customFormat="1" ht="13.8" thickTop="1" x14ac:dyDescent="0.25">
      <c r="A37" s="378"/>
      <c r="B37" s="5"/>
      <c r="C37" s="379"/>
      <c r="D37" s="363"/>
      <c r="E37" s="247"/>
      <c r="F37" s="364"/>
      <c r="G37" s="509"/>
      <c r="H37" s="366"/>
      <c r="I37" s="364"/>
      <c r="J37" s="380" t="s">
        <v>30</v>
      </c>
      <c r="K37" s="511">
        <f>SUM(K29:K36)</f>
        <v>0</v>
      </c>
      <c r="M37" s="266"/>
      <c r="O37" s="372"/>
      <c r="P37" s="373"/>
      <c r="Q37" s="374"/>
    </row>
    <row r="38" spans="1:17" s="159" customFormat="1" ht="13.8" thickBot="1" x14ac:dyDescent="0.3">
      <c r="A38" s="344" t="s">
        <v>0</v>
      </c>
      <c r="B38" s="345" t="s">
        <v>1</v>
      </c>
      <c r="C38" s="1028" t="s">
        <v>646</v>
      </c>
      <c r="D38" s="1028"/>
      <c r="E38" s="1028"/>
      <c r="F38" s="1028"/>
      <c r="G38" s="1028" t="s">
        <v>34</v>
      </c>
      <c r="H38" s="1028"/>
      <c r="I38" s="1028"/>
      <c r="J38" s="346"/>
      <c r="K38" s="503"/>
      <c r="L38" s="382"/>
      <c r="M38" s="383"/>
      <c r="N38" s="384"/>
      <c r="O38" s="372"/>
      <c r="P38" s="373"/>
      <c r="Q38" s="374"/>
    </row>
    <row r="39" spans="1:17" s="159" customFormat="1" ht="15.6" x14ac:dyDescent="0.3">
      <c r="A39" s="505" t="s">
        <v>616</v>
      </c>
      <c r="B39" s="505" t="s">
        <v>617</v>
      </c>
      <c r="C39" s="387" t="s">
        <v>19</v>
      </c>
      <c r="D39" s="388" t="s">
        <v>33</v>
      </c>
      <c r="E39" s="389" t="s">
        <v>35</v>
      </c>
      <c r="F39" s="390" t="s">
        <v>30</v>
      </c>
      <c r="G39" s="512" t="s">
        <v>14</v>
      </c>
      <c r="H39" s="389" t="s">
        <v>35</v>
      </c>
      <c r="I39" s="390" t="s">
        <v>30</v>
      </c>
      <c r="J39" s="355" t="s">
        <v>649</v>
      </c>
      <c r="K39" s="513" t="s">
        <v>38</v>
      </c>
      <c r="L39" s="393"/>
      <c r="M39" s="394"/>
      <c r="N39" s="395"/>
      <c r="O39" s="401"/>
      <c r="P39" s="402"/>
      <c r="Q39" s="374"/>
    </row>
    <row r="40" spans="1:17" s="159" customFormat="1" ht="15" x14ac:dyDescent="0.25">
      <c r="A40" s="196" t="s">
        <v>618</v>
      </c>
      <c r="B40" s="196" t="s">
        <v>619</v>
      </c>
      <c r="C40" s="362"/>
      <c r="D40" s="363" t="s">
        <v>21</v>
      </c>
      <c r="E40" s="247">
        <v>0</v>
      </c>
      <c r="F40" s="364">
        <f>C40*E40</f>
        <v>0</v>
      </c>
      <c r="G40" s="509"/>
      <c r="H40" s="366">
        <v>0</v>
      </c>
      <c r="I40" s="364">
        <f>G40*H40</f>
        <v>0</v>
      </c>
      <c r="J40" s="367"/>
      <c r="K40" s="510">
        <f>F40+I40+J40</f>
        <v>0</v>
      </c>
      <c r="M40" s="266"/>
      <c r="O40" s="401"/>
      <c r="P40" s="402"/>
      <c r="Q40" s="374"/>
    </row>
    <row r="41" spans="1:17" s="159" customFormat="1" x14ac:dyDescent="0.25">
      <c r="A41" s="250" t="s">
        <v>621</v>
      </c>
      <c r="B41" s="250" t="s">
        <v>620</v>
      </c>
      <c r="C41" s="362"/>
      <c r="D41" s="363" t="s">
        <v>21</v>
      </c>
      <c r="E41" s="247">
        <v>0</v>
      </c>
      <c r="F41" s="364">
        <f>C41*E41</f>
        <v>0</v>
      </c>
      <c r="G41" s="509"/>
      <c r="H41" s="366">
        <v>0</v>
      </c>
      <c r="I41" s="364">
        <f>G41*H41</f>
        <v>0</v>
      </c>
      <c r="J41" s="367"/>
      <c r="K41" s="510">
        <f>F41+I41+J41</f>
        <v>0</v>
      </c>
      <c r="L41" s="517"/>
      <c r="M41" s="622"/>
      <c r="N41" s="621"/>
      <c r="O41" s="401"/>
      <c r="P41" s="402"/>
      <c r="Q41" s="374"/>
    </row>
    <row r="42" spans="1:17" s="159" customFormat="1" ht="15" x14ac:dyDescent="0.25">
      <c r="A42" s="196" t="s">
        <v>622</v>
      </c>
      <c r="B42" s="196" t="s">
        <v>623</v>
      </c>
      <c r="C42" s="362"/>
      <c r="D42" s="363" t="s">
        <v>21</v>
      </c>
      <c r="E42" s="247">
        <v>0</v>
      </c>
      <c r="F42" s="364">
        <f>C42*E42</f>
        <v>0</v>
      </c>
      <c r="G42" s="509"/>
      <c r="H42" s="366">
        <v>0</v>
      </c>
      <c r="I42" s="364">
        <f>G42*H42</f>
        <v>0</v>
      </c>
      <c r="J42" s="367"/>
      <c r="K42" s="510">
        <f>F42+I42+J42</f>
        <v>0</v>
      </c>
      <c r="L42" s="369"/>
      <c r="M42" s="370"/>
      <c r="N42" s="371"/>
      <c r="O42" s="401"/>
      <c r="P42" s="402"/>
      <c r="Q42" s="374"/>
    </row>
    <row r="43" spans="1:17" s="159" customFormat="1" ht="15" x14ac:dyDescent="0.25">
      <c r="A43" s="196" t="s">
        <v>624</v>
      </c>
      <c r="B43" s="196" t="s">
        <v>625</v>
      </c>
      <c r="C43" s="362"/>
      <c r="D43" s="363" t="s">
        <v>21</v>
      </c>
      <c r="E43" s="247">
        <v>0</v>
      </c>
      <c r="F43" s="364">
        <f>C43*E43</f>
        <v>0</v>
      </c>
      <c r="G43" s="509"/>
      <c r="H43" s="366">
        <v>0</v>
      </c>
      <c r="I43" s="364">
        <f>G43*H43</f>
        <v>0</v>
      </c>
      <c r="J43" s="367"/>
      <c r="K43" s="510">
        <f>F43+I43+J43</f>
        <v>0</v>
      </c>
      <c r="M43" s="266"/>
      <c r="O43" s="401"/>
      <c r="P43" s="402"/>
      <c r="Q43" s="374"/>
    </row>
    <row r="44" spans="1:17" s="159" customFormat="1" ht="13.8" thickBot="1" x14ac:dyDescent="0.3">
      <c r="A44" s="378"/>
      <c r="B44" s="403"/>
      <c r="C44" s="379"/>
      <c r="D44" s="363"/>
      <c r="E44" s="247"/>
      <c r="F44" s="364"/>
      <c r="G44" s="509"/>
      <c r="H44" s="366"/>
      <c r="I44" s="364"/>
      <c r="J44" s="367"/>
      <c r="K44" s="514"/>
      <c r="M44" s="266"/>
      <c r="O44" s="401"/>
      <c r="P44" s="402"/>
      <c r="Q44" s="374"/>
    </row>
    <row r="45" spans="1:17" s="159" customFormat="1" ht="13.8" thickTop="1" x14ac:dyDescent="0.25">
      <c r="A45" s="378"/>
      <c r="B45" s="403"/>
      <c r="C45" s="379"/>
      <c r="D45" s="363"/>
      <c r="E45" s="247"/>
      <c r="F45" s="364"/>
      <c r="G45" s="509"/>
      <c r="H45" s="366"/>
      <c r="I45" s="364"/>
      <c r="J45" s="380" t="s">
        <v>30</v>
      </c>
      <c r="K45" s="511">
        <f>SUM(K40:K44)</f>
        <v>0</v>
      </c>
      <c r="L45" s="369"/>
      <c r="M45" s="370"/>
      <c r="N45" s="371"/>
      <c r="O45" s="372"/>
      <c r="P45" s="373"/>
      <c r="Q45" s="374"/>
    </row>
    <row r="46" spans="1:17" s="159" customFormat="1" ht="13.8" thickBot="1" x14ac:dyDescent="0.3">
      <c r="A46" s="344" t="s">
        <v>0</v>
      </c>
      <c r="B46" s="345" t="s">
        <v>1</v>
      </c>
      <c r="C46" s="1028" t="s">
        <v>646</v>
      </c>
      <c r="D46" s="1028"/>
      <c r="E46" s="1028"/>
      <c r="F46" s="1028"/>
      <c r="G46" s="1028" t="s">
        <v>34</v>
      </c>
      <c r="H46" s="1028"/>
      <c r="I46" s="1028"/>
      <c r="J46" s="346"/>
      <c r="K46" s="503"/>
      <c r="L46" s="382"/>
      <c r="M46" s="383"/>
      <c r="N46" s="384"/>
      <c r="O46" s="372"/>
      <c r="P46" s="373"/>
      <c r="Q46" s="374"/>
    </row>
    <row r="47" spans="1:17" s="159" customFormat="1" ht="15.6" x14ac:dyDescent="0.3">
      <c r="A47" s="505" t="s">
        <v>626</v>
      </c>
      <c r="B47" s="505" t="s">
        <v>627</v>
      </c>
      <c r="C47" s="387" t="s">
        <v>19</v>
      </c>
      <c r="D47" s="388" t="s">
        <v>33</v>
      </c>
      <c r="E47" s="389" t="s">
        <v>35</v>
      </c>
      <c r="F47" s="390" t="s">
        <v>30</v>
      </c>
      <c r="G47" s="512" t="s">
        <v>14</v>
      </c>
      <c r="H47" s="389" t="s">
        <v>35</v>
      </c>
      <c r="I47" s="390" t="s">
        <v>30</v>
      </c>
      <c r="J47" s="355" t="s">
        <v>649</v>
      </c>
      <c r="K47" s="513" t="s">
        <v>38</v>
      </c>
      <c r="L47" s="393"/>
      <c r="M47" s="399"/>
      <c r="N47" s="400"/>
      <c r="O47" s="372"/>
      <c r="P47" s="402"/>
      <c r="Q47" s="374"/>
    </row>
    <row r="48" spans="1:17" s="159" customFormat="1" ht="15" x14ac:dyDescent="0.25">
      <c r="A48" s="196" t="s">
        <v>628</v>
      </c>
      <c r="B48" s="196" t="s">
        <v>629</v>
      </c>
      <c r="C48" s="362"/>
      <c r="D48" s="363" t="s">
        <v>21</v>
      </c>
      <c r="E48" s="247">
        <v>0</v>
      </c>
      <c r="F48" s="364">
        <f>C48*E48</f>
        <v>0</v>
      </c>
      <c r="G48" s="509"/>
      <c r="H48" s="366">
        <v>0</v>
      </c>
      <c r="I48" s="364">
        <f>G48*H48</f>
        <v>0</v>
      </c>
      <c r="J48" s="367"/>
      <c r="K48" s="510">
        <f>F48+I48+J48</f>
        <v>0</v>
      </c>
      <c r="L48" s="369"/>
      <c r="M48" s="249"/>
      <c r="N48" s="409"/>
      <c r="O48" s="372"/>
      <c r="P48" s="373"/>
      <c r="Q48" s="374"/>
    </row>
    <row r="49" spans="1:17" s="159" customFormat="1" x14ac:dyDescent="0.25">
      <c r="A49" s="250" t="s">
        <v>630</v>
      </c>
      <c r="B49" s="250" t="s">
        <v>631</v>
      </c>
      <c r="C49" s="362"/>
      <c r="D49" s="363" t="s">
        <v>21</v>
      </c>
      <c r="E49" s="247">
        <v>0</v>
      </c>
      <c r="F49" s="364">
        <f>C49*E49</f>
        <v>0</v>
      </c>
      <c r="G49" s="509"/>
      <c r="H49" s="366">
        <v>0</v>
      </c>
      <c r="I49" s="364">
        <f>G49*H49</f>
        <v>0</v>
      </c>
      <c r="J49" s="367"/>
      <c r="K49" s="510">
        <f>F49+I49+J49</f>
        <v>0</v>
      </c>
      <c r="L49" s="515"/>
      <c r="M49" s="531"/>
      <c r="N49" s="516"/>
      <c r="O49" s="372"/>
      <c r="P49" s="373"/>
      <c r="Q49" s="374"/>
    </row>
    <row r="50" spans="1:17" s="159" customFormat="1" x14ac:dyDescent="0.25">
      <c r="A50" s="361"/>
      <c r="B50" s="5"/>
      <c r="C50" s="362"/>
      <c r="D50" s="363" t="s">
        <v>21</v>
      </c>
      <c r="E50" s="247">
        <v>0</v>
      </c>
      <c r="F50" s="364">
        <f>C50*E50</f>
        <v>0</v>
      </c>
      <c r="G50" s="509"/>
      <c r="H50" s="366">
        <v>0</v>
      </c>
      <c r="I50" s="364">
        <f>G50*H50</f>
        <v>0</v>
      </c>
      <c r="J50" s="367"/>
      <c r="K50" s="510">
        <f>F50+I50+J50</f>
        <v>0</v>
      </c>
      <c r="M50" s="266"/>
      <c r="O50" s="372"/>
      <c r="P50" s="373"/>
      <c r="Q50" s="374"/>
    </row>
    <row r="51" spans="1:17" s="159" customFormat="1" x14ac:dyDescent="0.25">
      <c r="A51" s="361"/>
      <c r="B51" s="5"/>
      <c r="C51" s="362"/>
      <c r="D51" s="363" t="s">
        <v>21</v>
      </c>
      <c r="E51" s="247">
        <v>0</v>
      </c>
      <c r="F51" s="364">
        <f>C51*E51</f>
        <v>0</v>
      </c>
      <c r="G51" s="509"/>
      <c r="H51" s="366">
        <v>0</v>
      </c>
      <c r="I51" s="364">
        <f>G51*H51</f>
        <v>0</v>
      </c>
      <c r="J51" s="367"/>
      <c r="K51" s="510">
        <f>F51+I51+J51</f>
        <v>0</v>
      </c>
      <c r="M51" s="266"/>
      <c r="O51" s="372"/>
      <c r="P51" s="373"/>
      <c r="Q51" s="374"/>
    </row>
    <row r="52" spans="1:17" s="159" customFormat="1" x14ac:dyDescent="0.25">
      <c r="A52" s="361"/>
      <c r="B52" s="5"/>
      <c r="C52" s="362"/>
      <c r="D52" s="363" t="s">
        <v>21</v>
      </c>
      <c r="E52" s="247">
        <v>0</v>
      </c>
      <c r="F52" s="364">
        <f>C52*E52</f>
        <v>0</v>
      </c>
      <c r="G52" s="509"/>
      <c r="H52" s="366">
        <v>0</v>
      </c>
      <c r="I52" s="364">
        <f>G52*H52</f>
        <v>0</v>
      </c>
      <c r="J52" s="367"/>
      <c r="K52" s="510">
        <f>F52+I52+J52</f>
        <v>0</v>
      </c>
      <c r="L52" s="369"/>
      <c r="M52" s="249"/>
      <c r="N52" s="409"/>
      <c r="O52" s="372"/>
      <c r="P52" s="373"/>
      <c r="Q52" s="374"/>
    </row>
    <row r="53" spans="1:17" s="159" customFormat="1" ht="13.8" thickBot="1" x14ac:dyDescent="0.3">
      <c r="A53" s="378"/>
      <c r="B53" s="403"/>
      <c r="C53" s="379"/>
      <c r="D53" s="363"/>
      <c r="E53" s="247"/>
      <c r="F53" s="364"/>
      <c r="G53" s="509"/>
      <c r="H53" s="366"/>
      <c r="I53" s="364"/>
      <c r="J53" s="367"/>
      <c r="K53" s="514"/>
      <c r="M53" s="266"/>
      <c r="O53" s="372"/>
      <c r="P53" s="373"/>
      <c r="Q53" s="374"/>
    </row>
    <row r="54" spans="1:17" s="159" customFormat="1" ht="14.4" thickTop="1" thickBot="1" x14ac:dyDescent="0.3">
      <c r="A54" s="378"/>
      <c r="B54" s="403"/>
      <c r="C54" s="379"/>
      <c r="D54" s="363"/>
      <c r="E54" s="247"/>
      <c r="F54" s="364"/>
      <c r="G54" s="509"/>
      <c r="H54" s="366"/>
      <c r="I54" s="364"/>
      <c r="J54" s="380" t="s">
        <v>30</v>
      </c>
      <c r="K54" s="511">
        <f>SUM(K48:K53)</f>
        <v>0</v>
      </c>
      <c r="L54" s="540"/>
      <c r="M54" s="613"/>
      <c r="N54" s="614"/>
      <c r="O54" s="637"/>
      <c r="P54" s="638"/>
      <c r="Q54" s="443"/>
    </row>
    <row r="55" spans="1:17" s="159" customFormat="1" ht="14.1" customHeight="1" thickTop="1" x14ac:dyDescent="0.25">
      <c r="A55" s="458"/>
      <c r="B55" s="459"/>
      <c r="C55" s="460"/>
      <c r="D55" s="460"/>
      <c r="E55" s="461"/>
      <c r="F55" s="1038" t="s">
        <v>648</v>
      </c>
      <c r="G55" s="1040" t="s">
        <v>673</v>
      </c>
      <c r="H55" s="461"/>
      <c r="I55" s="1042" t="s">
        <v>647</v>
      </c>
      <c r="J55" s="1044" t="s">
        <v>674</v>
      </c>
      <c r="K55" s="1121" t="s">
        <v>31</v>
      </c>
      <c r="M55" s="268"/>
      <c r="N55" s="157"/>
      <c r="O55" s="294"/>
      <c r="P55" s="294"/>
    </row>
    <row r="56" spans="1:17" s="159" customFormat="1" ht="13.8" x14ac:dyDescent="0.25">
      <c r="A56" s="462" t="s">
        <v>32</v>
      </c>
      <c r="B56" s="1031" t="s">
        <v>659</v>
      </c>
      <c r="C56" s="463"/>
      <c r="D56" s="464"/>
      <c r="E56" s="464"/>
      <c r="F56" s="1039"/>
      <c r="G56" s="1041"/>
      <c r="H56" s="465"/>
      <c r="I56" s="1043"/>
      <c r="J56" s="1045"/>
      <c r="K56" s="1122"/>
      <c r="M56" s="268"/>
      <c r="N56" s="157"/>
      <c r="O56" s="294"/>
      <c r="P56" s="294"/>
    </row>
    <row r="57" spans="1:17" s="159" customFormat="1" ht="13.8" x14ac:dyDescent="0.25">
      <c r="A57" s="466">
        <f>K57/E6</f>
        <v>0</v>
      </c>
      <c r="B57" s="1031"/>
      <c r="C57" s="464"/>
      <c r="D57" s="464"/>
      <c r="E57" s="464"/>
      <c r="F57" s="1036">
        <f>SUM(F48:F53,F40:F44,F29:F36,F13:F25)</f>
        <v>0</v>
      </c>
      <c r="G57" s="1123">
        <f>SUM(G48:G53,G40:G44,G29:G36,G13:G24)</f>
        <v>0</v>
      </c>
      <c r="H57" s="465"/>
      <c r="I57" s="1036">
        <f>SUM(I48:I53,I40:I44,I29:I36,I13:I25)</f>
        <v>0</v>
      </c>
      <c r="J57" s="1032">
        <f>SUM(J48:J53,J40:J44,J29:J36,J13:J25)</f>
        <v>0</v>
      </c>
      <c r="K57" s="1119">
        <f>SUM(K54,K45,K37,K26)</f>
        <v>0</v>
      </c>
      <c r="M57" s="268"/>
      <c r="N57" s="157"/>
      <c r="O57" s="294"/>
      <c r="P57" s="294"/>
    </row>
    <row r="58" spans="1:17" s="159" customFormat="1" ht="14.4" thickBot="1" x14ac:dyDescent="0.3">
      <c r="A58" s="462"/>
      <c r="B58" s="529"/>
      <c r="C58" s="468"/>
      <c r="D58" s="468"/>
      <c r="E58" s="468"/>
      <c r="F58" s="1037"/>
      <c r="G58" s="1124"/>
      <c r="H58" s="468"/>
      <c r="I58" s="1037"/>
      <c r="J58" s="1033"/>
      <c r="K58" s="1120"/>
      <c r="M58" s="268"/>
      <c r="N58" s="157"/>
      <c r="O58" s="294"/>
      <c r="P58" s="294"/>
    </row>
    <row r="59" spans="1:17" s="159" customFormat="1" ht="13.8" thickBot="1" x14ac:dyDescent="0.3">
      <c r="A59" s="469"/>
      <c r="B59" s="470"/>
      <c r="C59" s="470"/>
      <c r="D59" s="470"/>
      <c r="E59" s="470"/>
      <c r="F59" s="470"/>
      <c r="G59" s="470"/>
      <c r="H59" s="470"/>
      <c r="I59" s="470"/>
      <c r="J59" s="470"/>
      <c r="K59" s="471"/>
      <c r="M59" s="268"/>
      <c r="N59" s="157"/>
      <c r="O59" s="294"/>
      <c r="P59" s="294"/>
    </row>
    <row r="60" spans="1:17" s="159" customFormat="1" x14ac:dyDescent="0.25">
      <c r="C60" s="611"/>
      <c r="D60" s="611"/>
      <c r="J60" s="266"/>
      <c r="M60" s="268"/>
      <c r="N60" s="157"/>
      <c r="O60" s="294"/>
      <c r="P60" s="294"/>
    </row>
    <row r="61" spans="1:17" s="159" customFormat="1" x14ac:dyDescent="0.25">
      <c r="C61" s="611"/>
      <c r="D61" s="611"/>
      <c r="J61" s="266"/>
      <c r="M61" s="268"/>
      <c r="N61" s="157"/>
      <c r="O61" s="294"/>
      <c r="P61" s="294"/>
    </row>
    <row r="62" spans="1:17" s="159" customFormat="1" x14ac:dyDescent="0.25">
      <c r="C62" s="611"/>
      <c r="D62" s="611"/>
      <c r="J62" s="266"/>
      <c r="M62" s="268"/>
      <c r="N62" s="157"/>
      <c r="O62" s="294"/>
      <c r="P62" s="294"/>
    </row>
    <row r="63" spans="1:17" s="159" customFormat="1" x14ac:dyDescent="0.25">
      <c r="C63" s="611"/>
      <c r="D63" s="611"/>
      <c r="J63" s="266"/>
      <c r="M63" s="268"/>
      <c r="N63" s="157"/>
      <c r="O63" s="294"/>
      <c r="P63" s="294"/>
    </row>
    <row r="64" spans="1:17" s="159" customFormat="1" x14ac:dyDescent="0.25">
      <c r="C64" s="611"/>
      <c r="D64" s="611"/>
      <c r="J64" s="266"/>
      <c r="M64" s="268"/>
      <c r="N64" s="157"/>
      <c r="O64" s="294"/>
      <c r="P64" s="294"/>
    </row>
    <row r="65" spans="3:16" s="159" customFormat="1" x14ac:dyDescent="0.25">
      <c r="C65" s="611"/>
      <c r="D65" s="611"/>
      <c r="J65" s="266"/>
      <c r="M65" s="268"/>
      <c r="N65" s="157"/>
      <c r="O65" s="294"/>
      <c r="P65" s="294"/>
    </row>
    <row r="66" spans="3:16" s="159" customFormat="1" x14ac:dyDescent="0.25">
      <c r="C66" s="611"/>
      <c r="D66" s="611"/>
      <c r="J66" s="266"/>
      <c r="M66" s="268"/>
      <c r="N66" s="157"/>
      <c r="O66" s="294"/>
      <c r="P66" s="294"/>
    </row>
    <row r="67" spans="3:16" s="159" customFormat="1" x14ac:dyDescent="0.25">
      <c r="C67" s="611"/>
      <c r="D67" s="611"/>
      <c r="J67" s="266"/>
      <c r="M67" s="268"/>
      <c r="N67" s="157"/>
      <c r="O67" s="294"/>
      <c r="P67" s="294"/>
    </row>
    <row r="68" spans="3:16" s="159" customFormat="1" x14ac:dyDescent="0.25">
      <c r="C68" s="611"/>
      <c r="D68" s="611"/>
      <c r="J68" s="266"/>
      <c r="M68" s="268"/>
      <c r="N68" s="157"/>
      <c r="O68" s="294"/>
      <c r="P68" s="294"/>
    </row>
    <row r="69" spans="3:16" s="159" customFormat="1" x14ac:dyDescent="0.25">
      <c r="C69" s="611"/>
      <c r="D69" s="611"/>
      <c r="J69" s="266"/>
      <c r="M69" s="268"/>
      <c r="N69" s="157"/>
      <c r="O69" s="294"/>
      <c r="P69" s="294"/>
    </row>
    <row r="70" spans="3:16" s="159" customFormat="1" x14ac:dyDescent="0.25">
      <c r="C70" s="611"/>
      <c r="D70" s="611"/>
      <c r="J70" s="266"/>
      <c r="M70" s="268"/>
      <c r="N70" s="157"/>
      <c r="O70" s="294"/>
      <c r="P70" s="294"/>
    </row>
    <row r="71" spans="3:16" s="159" customFormat="1" x14ac:dyDescent="0.25">
      <c r="C71" s="611"/>
      <c r="D71" s="611"/>
      <c r="J71" s="266"/>
      <c r="M71" s="268"/>
      <c r="N71" s="157"/>
      <c r="O71" s="294"/>
      <c r="P71" s="294"/>
    </row>
    <row r="72" spans="3:16" s="159" customFormat="1" x14ac:dyDescent="0.25">
      <c r="C72" s="611"/>
      <c r="D72" s="611"/>
      <c r="J72" s="266"/>
      <c r="M72" s="268"/>
      <c r="N72" s="157"/>
      <c r="O72" s="294"/>
      <c r="P72" s="294"/>
    </row>
    <row r="73" spans="3:16" s="159" customFormat="1" x14ac:dyDescent="0.25">
      <c r="C73" s="611"/>
      <c r="D73" s="611"/>
      <c r="J73" s="266"/>
      <c r="M73" s="268"/>
      <c r="N73" s="157"/>
      <c r="O73" s="294"/>
      <c r="P73" s="294"/>
    </row>
    <row r="74" spans="3:16" s="159" customFormat="1" x14ac:dyDescent="0.25">
      <c r="C74" s="611"/>
      <c r="D74" s="611"/>
      <c r="J74" s="266"/>
      <c r="M74" s="268"/>
      <c r="N74" s="157"/>
      <c r="O74" s="294"/>
      <c r="P74" s="294"/>
    </row>
    <row r="75" spans="3:16" s="159" customFormat="1" x14ac:dyDescent="0.25">
      <c r="C75" s="611"/>
      <c r="D75" s="611"/>
      <c r="J75" s="266"/>
      <c r="M75" s="268"/>
      <c r="N75" s="157"/>
      <c r="O75" s="294"/>
      <c r="P75" s="294"/>
    </row>
    <row r="76" spans="3:16" s="159" customFormat="1" x14ac:dyDescent="0.25">
      <c r="C76" s="611"/>
      <c r="D76" s="611"/>
      <c r="J76" s="266"/>
      <c r="M76" s="268"/>
      <c r="N76" s="157"/>
      <c r="O76" s="294"/>
      <c r="P76" s="294"/>
    </row>
    <row r="77" spans="3:16" s="159" customFormat="1" x14ac:dyDescent="0.25">
      <c r="C77" s="611"/>
      <c r="D77" s="611"/>
      <c r="J77" s="266"/>
      <c r="M77" s="268"/>
      <c r="N77" s="157"/>
      <c r="O77" s="294"/>
      <c r="P77" s="294"/>
    </row>
    <row r="78" spans="3:16" s="159" customFormat="1" x14ac:dyDescent="0.25">
      <c r="C78" s="611"/>
      <c r="D78" s="611"/>
      <c r="J78" s="266"/>
      <c r="M78" s="268"/>
      <c r="N78" s="157"/>
      <c r="O78" s="294"/>
      <c r="P78" s="294"/>
    </row>
    <row r="79" spans="3:16" s="159" customFormat="1" x14ac:dyDescent="0.25">
      <c r="C79" s="611"/>
      <c r="D79" s="611"/>
      <c r="J79" s="266"/>
      <c r="M79" s="268"/>
      <c r="N79" s="157"/>
      <c r="O79" s="294"/>
      <c r="P79" s="294"/>
    </row>
    <row r="80" spans="3:16" s="159" customFormat="1" x14ac:dyDescent="0.25">
      <c r="C80" s="611"/>
      <c r="D80" s="611"/>
      <c r="J80" s="266"/>
      <c r="M80" s="268"/>
      <c r="N80" s="157"/>
      <c r="O80" s="294"/>
      <c r="P80" s="294"/>
    </row>
    <row r="81" spans="3:16" s="159" customFormat="1" x14ac:dyDescent="0.25">
      <c r="C81" s="611"/>
      <c r="D81" s="611"/>
      <c r="J81" s="266"/>
      <c r="M81" s="268"/>
      <c r="N81" s="157"/>
      <c r="O81" s="294"/>
      <c r="P81" s="294"/>
    </row>
    <row r="82" spans="3:16" s="159" customFormat="1" x14ac:dyDescent="0.25">
      <c r="C82" s="611"/>
      <c r="D82" s="611"/>
      <c r="J82" s="266"/>
      <c r="M82" s="268"/>
      <c r="N82" s="157"/>
      <c r="O82" s="294"/>
      <c r="P82" s="294"/>
    </row>
    <row r="83" spans="3:16" s="159" customFormat="1" x14ac:dyDescent="0.25">
      <c r="C83" s="611"/>
      <c r="D83" s="611"/>
      <c r="J83" s="266"/>
      <c r="M83" s="268"/>
      <c r="N83" s="157"/>
      <c r="O83" s="294"/>
      <c r="P83" s="294"/>
    </row>
    <row r="84" spans="3:16" s="159" customFormat="1" x14ac:dyDescent="0.25">
      <c r="C84" s="611"/>
      <c r="D84" s="611"/>
      <c r="J84" s="266"/>
      <c r="M84" s="268"/>
      <c r="N84" s="157"/>
      <c r="O84" s="294"/>
      <c r="P84" s="294"/>
    </row>
    <row r="85" spans="3:16" s="159" customFormat="1" x14ac:dyDescent="0.25">
      <c r="C85" s="611"/>
      <c r="D85" s="611"/>
      <c r="J85" s="266"/>
      <c r="M85" s="268"/>
      <c r="N85" s="157"/>
      <c r="O85" s="294"/>
      <c r="P85" s="294"/>
    </row>
    <row r="86" spans="3:16" s="159" customFormat="1" x14ac:dyDescent="0.25">
      <c r="C86" s="611"/>
      <c r="D86" s="611"/>
      <c r="J86" s="266"/>
      <c r="M86" s="268"/>
      <c r="N86" s="157"/>
      <c r="O86" s="294"/>
      <c r="P86" s="294"/>
    </row>
    <row r="87" spans="3:16" s="159" customFormat="1" x14ac:dyDescent="0.25">
      <c r="C87" s="611"/>
      <c r="D87" s="611"/>
      <c r="J87" s="266"/>
      <c r="M87" s="268"/>
      <c r="N87" s="157"/>
      <c r="O87" s="294"/>
      <c r="P87" s="294"/>
    </row>
    <row r="88" spans="3:16" s="159" customFormat="1" x14ac:dyDescent="0.25">
      <c r="C88" s="611"/>
      <c r="D88" s="611"/>
      <c r="J88" s="266"/>
      <c r="M88" s="268"/>
      <c r="N88" s="157"/>
      <c r="O88" s="294"/>
      <c r="P88" s="294"/>
    </row>
    <row r="89" spans="3:16" s="159" customFormat="1" x14ac:dyDescent="0.25">
      <c r="C89" s="611"/>
      <c r="D89" s="611"/>
      <c r="J89" s="266"/>
      <c r="M89" s="268"/>
      <c r="N89" s="157"/>
      <c r="O89" s="294"/>
      <c r="P89" s="294"/>
    </row>
    <row r="90" spans="3:16" s="159" customFormat="1" x14ac:dyDescent="0.25">
      <c r="C90" s="611"/>
      <c r="D90" s="611"/>
      <c r="J90" s="266"/>
      <c r="M90" s="268"/>
      <c r="N90" s="157"/>
      <c r="O90" s="294"/>
      <c r="P90" s="294"/>
    </row>
    <row r="91" spans="3:16" s="159" customFormat="1" x14ac:dyDescent="0.25">
      <c r="C91" s="611"/>
      <c r="D91" s="611"/>
      <c r="J91" s="266"/>
      <c r="M91" s="268"/>
      <c r="N91" s="157"/>
      <c r="O91" s="294"/>
      <c r="P91" s="294"/>
    </row>
    <row r="92" spans="3:16" s="159" customFormat="1" x14ac:dyDescent="0.25">
      <c r="C92" s="611"/>
      <c r="D92" s="611"/>
      <c r="J92" s="266"/>
      <c r="M92" s="268"/>
      <c r="N92" s="157"/>
      <c r="O92" s="294"/>
      <c r="P92" s="294"/>
    </row>
    <row r="93" spans="3:16" s="159" customFormat="1" x14ac:dyDescent="0.25">
      <c r="C93" s="611"/>
      <c r="D93" s="611"/>
      <c r="J93" s="266"/>
      <c r="M93" s="268"/>
      <c r="N93" s="157"/>
      <c r="O93" s="294"/>
      <c r="P93" s="294"/>
    </row>
    <row r="94" spans="3:16" s="159" customFormat="1" x14ac:dyDescent="0.25">
      <c r="C94" s="611"/>
      <c r="D94" s="611"/>
      <c r="J94" s="266"/>
      <c r="M94" s="268"/>
      <c r="N94" s="157"/>
      <c r="O94" s="294"/>
      <c r="P94" s="294"/>
    </row>
    <row r="95" spans="3:16" s="159" customFormat="1" x14ac:dyDescent="0.25">
      <c r="C95" s="611"/>
      <c r="D95" s="611"/>
      <c r="J95" s="266"/>
      <c r="M95" s="268"/>
      <c r="N95" s="157"/>
      <c r="O95" s="294"/>
      <c r="P95" s="294"/>
    </row>
    <row r="96" spans="3:16" s="159" customFormat="1" x14ac:dyDescent="0.25">
      <c r="C96" s="611"/>
      <c r="D96" s="611"/>
      <c r="J96" s="266"/>
      <c r="M96" s="268"/>
      <c r="N96" s="157"/>
      <c r="O96" s="294"/>
      <c r="P96" s="294"/>
    </row>
    <row r="97" spans="3:16" s="159" customFormat="1" x14ac:dyDescent="0.25">
      <c r="C97" s="611"/>
      <c r="D97" s="611"/>
      <c r="J97" s="266"/>
      <c r="M97" s="268"/>
      <c r="N97" s="157"/>
      <c r="O97" s="294"/>
      <c r="P97" s="294"/>
    </row>
    <row r="98" spans="3:16" s="159" customFormat="1" x14ac:dyDescent="0.25">
      <c r="C98" s="611"/>
      <c r="D98" s="611"/>
      <c r="J98" s="266"/>
      <c r="M98" s="268"/>
      <c r="N98" s="157"/>
      <c r="O98" s="294"/>
      <c r="P98" s="294"/>
    </row>
    <row r="99" spans="3:16" s="159" customFormat="1" x14ac:dyDescent="0.25">
      <c r="C99" s="611"/>
      <c r="D99" s="611"/>
      <c r="J99" s="266"/>
      <c r="M99" s="268"/>
      <c r="N99" s="157"/>
      <c r="O99" s="294"/>
      <c r="P99" s="294"/>
    </row>
    <row r="100" spans="3:16" s="159" customFormat="1" x14ac:dyDescent="0.25">
      <c r="C100" s="611"/>
      <c r="D100" s="611"/>
      <c r="J100" s="266"/>
      <c r="M100" s="268"/>
      <c r="N100" s="157"/>
      <c r="O100" s="294"/>
      <c r="P100" s="294"/>
    </row>
    <row r="101" spans="3:16" s="159" customFormat="1" x14ac:dyDescent="0.25">
      <c r="C101" s="611"/>
      <c r="D101" s="611"/>
      <c r="J101" s="266"/>
      <c r="M101" s="268"/>
      <c r="N101" s="157"/>
      <c r="O101" s="294"/>
      <c r="P101" s="294"/>
    </row>
    <row r="102" spans="3:16" s="159" customFormat="1" x14ac:dyDescent="0.25">
      <c r="C102" s="611"/>
      <c r="D102" s="611"/>
      <c r="J102" s="266"/>
      <c r="M102" s="268"/>
      <c r="N102" s="157"/>
      <c r="O102" s="294"/>
      <c r="P102" s="294"/>
    </row>
    <row r="103" spans="3:16" s="159" customFormat="1" x14ac:dyDescent="0.25">
      <c r="C103" s="611"/>
      <c r="D103" s="611"/>
      <c r="J103" s="266"/>
      <c r="M103" s="268"/>
      <c r="N103" s="157"/>
      <c r="O103" s="294"/>
      <c r="P103" s="294"/>
    </row>
    <row r="104" spans="3:16" s="159" customFormat="1" x14ac:dyDescent="0.25">
      <c r="C104" s="611"/>
      <c r="D104" s="611"/>
      <c r="J104" s="266"/>
      <c r="M104" s="268"/>
      <c r="N104" s="157"/>
      <c r="O104" s="294"/>
      <c r="P104" s="294"/>
    </row>
    <row r="105" spans="3:16" s="159" customFormat="1" x14ac:dyDescent="0.25">
      <c r="C105" s="611"/>
      <c r="D105" s="611"/>
      <c r="J105" s="266"/>
      <c r="M105" s="268"/>
      <c r="N105" s="157"/>
      <c r="O105" s="294"/>
      <c r="P105" s="294"/>
    </row>
    <row r="106" spans="3:16" s="159" customFormat="1" x14ac:dyDescent="0.25">
      <c r="C106" s="611"/>
      <c r="D106" s="611"/>
      <c r="J106" s="266"/>
      <c r="M106" s="268"/>
      <c r="N106" s="157"/>
      <c r="O106" s="294"/>
      <c r="P106" s="294"/>
    </row>
    <row r="107" spans="3:16" s="159" customFormat="1" x14ac:dyDescent="0.25">
      <c r="C107" s="611"/>
      <c r="D107" s="611"/>
      <c r="J107" s="266"/>
      <c r="M107" s="268"/>
      <c r="N107" s="157"/>
      <c r="O107" s="294"/>
      <c r="P107" s="294"/>
    </row>
    <row r="108" spans="3:16" s="159" customFormat="1" x14ac:dyDescent="0.25">
      <c r="C108" s="611"/>
      <c r="D108" s="611"/>
      <c r="J108" s="266"/>
      <c r="M108" s="268"/>
      <c r="N108" s="157"/>
      <c r="O108" s="294"/>
      <c r="P108" s="294"/>
    </row>
    <row r="109" spans="3:16" s="159" customFormat="1" x14ac:dyDescent="0.25">
      <c r="C109" s="611"/>
      <c r="D109" s="611"/>
      <c r="J109" s="266"/>
      <c r="M109" s="268"/>
      <c r="N109" s="157"/>
      <c r="O109" s="294"/>
      <c r="P109" s="294"/>
    </row>
    <row r="110" spans="3:16" s="159" customFormat="1" x14ac:dyDescent="0.25">
      <c r="C110" s="611"/>
      <c r="D110" s="611"/>
      <c r="J110" s="266"/>
      <c r="M110" s="268"/>
      <c r="N110" s="157"/>
      <c r="O110" s="294"/>
      <c r="P110" s="294"/>
    </row>
    <row r="111" spans="3:16" s="159" customFormat="1" x14ac:dyDescent="0.25">
      <c r="C111" s="611"/>
      <c r="D111" s="611"/>
      <c r="J111" s="266"/>
      <c r="M111" s="268"/>
      <c r="N111" s="157"/>
      <c r="O111" s="294"/>
      <c r="P111" s="294"/>
    </row>
    <row r="112" spans="3:16" s="159" customFormat="1" x14ac:dyDescent="0.25">
      <c r="C112" s="611"/>
      <c r="D112" s="611"/>
      <c r="J112" s="266"/>
      <c r="M112" s="268"/>
      <c r="N112" s="157"/>
      <c r="O112" s="294"/>
      <c r="P112" s="294"/>
    </row>
    <row r="113" spans="3:16" s="159" customFormat="1" x14ac:dyDescent="0.25">
      <c r="C113" s="611"/>
      <c r="D113" s="611"/>
      <c r="J113" s="266"/>
      <c r="M113" s="268"/>
      <c r="N113" s="157"/>
      <c r="O113" s="294"/>
      <c r="P113" s="294"/>
    </row>
    <row r="114" spans="3:16" s="159" customFormat="1" x14ac:dyDescent="0.25">
      <c r="C114" s="611"/>
      <c r="D114" s="611"/>
      <c r="J114" s="266"/>
      <c r="M114" s="268"/>
      <c r="N114" s="157"/>
      <c r="O114" s="294"/>
      <c r="P114" s="294"/>
    </row>
    <row r="115" spans="3:16" s="159" customFormat="1" x14ac:dyDescent="0.25">
      <c r="C115" s="611"/>
      <c r="D115" s="611"/>
      <c r="J115" s="266"/>
      <c r="M115" s="268"/>
      <c r="N115" s="157"/>
      <c r="O115" s="294"/>
      <c r="P115" s="294"/>
    </row>
    <row r="116" spans="3:16" s="159" customFormat="1" x14ac:dyDescent="0.25">
      <c r="C116" s="611"/>
      <c r="D116" s="611"/>
      <c r="J116" s="266"/>
      <c r="M116" s="268"/>
      <c r="N116" s="157"/>
      <c r="O116" s="294"/>
      <c r="P116" s="294"/>
    </row>
    <row r="117" spans="3:16" s="159" customFormat="1" x14ac:dyDescent="0.25">
      <c r="C117" s="611"/>
      <c r="D117" s="611"/>
      <c r="J117" s="266"/>
      <c r="M117" s="268"/>
      <c r="N117" s="157"/>
      <c r="O117" s="294"/>
      <c r="P117" s="294"/>
    </row>
    <row r="118" spans="3:16" s="159" customFormat="1" x14ac:dyDescent="0.25">
      <c r="C118" s="611"/>
      <c r="D118" s="611"/>
      <c r="J118" s="266"/>
      <c r="M118" s="268"/>
      <c r="N118" s="157"/>
      <c r="O118" s="294"/>
      <c r="P118" s="294"/>
    </row>
    <row r="119" spans="3:16" s="159" customFormat="1" x14ac:dyDescent="0.25">
      <c r="C119" s="611"/>
      <c r="D119" s="611"/>
      <c r="J119" s="266"/>
      <c r="M119" s="268"/>
      <c r="N119" s="157"/>
      <c r="O119" s="294"/>
      <c r="P119" s="294"/>
    </row>
    <row r="120" spans="3:16" s="159" customFormat="1" x14ac:dyDescent="0.25">
      <c r="C120" s="611"/>
      <c r="D120" s="611"/>
      <c r="J120" s="266"/>
      <c r="M120" s="268"/>
      <c r="N120" s="157"/>
      <c r="O120" s="294"/>
      <c r="P120" s="294"/>
    </row>
    <row r="121" spans="3:16" s="159" customFormat="1" x14ac:dyDescent="0.25">
      <c r="C121" s="611"/>
      <c r="D121" s="611"/>
      <c r="J121" s="266"/>
      <c r="M121" s="268"/>
      <c r="N121" s="157"/>
      <c r="O121" s="294"/>
      <c r="P121" s="294"/>
    </row>
    <row r="122" spans="3:16" s="159" customFormat="1" x14ac:dyDescent="0.25">
      <c r="C122" s="611"/>
      <c r="D122" s="611"/>
      <c r="J122" s="266"/>
      <c r="M122" s="268"/>
      <c r="N122" s="157"/>
      <c r="O122" s="294"/>
      <c r="P122" s="294"/>
    </row>
    <row r="123" spans="3:16" s="159" customFormat="1" x14ac:dyDescent="0.25">
      <c r="C123" s="611"/>
      <c r="D123" s="611"/>
      <c r="J123" s="266"/>
      <c r="M123" s="268"/>
      <c r="N123" s="157"/>
      <c r="O123" s="294"/>
      <c r="P123" s="294"/>
    </row>
    <row r="124" spans="3:16" s="159" customFormat="1" x14ac:dyDescent="0.25">
      <c r="C124" s="611"/>
      <c r="D124" s="611"/>
      <c r="J124" s="266"/>
      <c r="M124" s="268"/>
      <c r="N124" s="157"/>
      <c r="O124" s="294"/>
      <c r="P124" s="294"/>
    </row>
    <row r="125" spans="3:16" s="159" customFormat="1" x14ac:dyDescent="0.25">
      <c r="C125" s="611"/>
      <c r="D125" s="611"/>
      <c r="J125" s="266"/>
      <c r="M125" s="268"/>
      <c r="N125" s="157"/>
      <c r="O125" s="294"/>
      <c r="P125" s="294"/>
    </row>
    <row r="126" spans="3:16" s="159" customFormat="1" x14ac:dyDescent="0.25">
      <c r="C126" s="611"/>
      <c r="D126" s="611"/>
      <c r="J126" s="266"/>
      <c r="M126" s="268"/>
      <c r="N126" s="157"/>
      <c r="O126" s="294"/>
      <c r="P126" s="294"/>
    </row>
    <row r="127" spans="3:16" s="159" customFormat="1" x14ac:dyDescent="0.25">
      <c r="C127" s="611"/>
      <c r="D127" s="611"/>
      <c r="J127" s="266"/>
      <c r="M127" s="268"/>
      <c r="N127" s="157"/>
      <c r="O127" s="294"/>
      <c r="P127" s="294"/>
    </row>
    <row r="128" spans="3:16" s="159" customFormat="1" x14ac:dyDescent="0.25">
      <c r="C128" s="611"/>
      <c r="D128" s="611"/>
      <c r="J128" s="266"/>
      <c r="M128" s="268"/>
      <c r="N128" s="157"/>
      <c r="O128" s="294"/>
      <c r="P128" s="294"/>
    </row>
    <row r="129" spans="3:16" s="159" customFormat="1" x14ac:dyDescent="0.25">
      <c r="C129" s="611"/>
      <c r="D129" s="611"/>
      <c r="J129" s="266"/>
      <c r="M129" s="268"/>
      <c r="N129" s="157"/>
      <c r="O129" s="294"/>
      <c r="P129" s="294"/>
    </row>
    <row r="130" spans="3:16" s="159" customFormat="1" x14ac:dyDescent="0.25">
      <c r="C130" s="611"/>
      <c r="D130" s="611"/>
      <c r="J130" s="266"/>
      <c r="M130" s="268"/>
      <c r="N130" s="157"/>
      <c r="O130" s="294"/>
      <c r="P130" s="294"/>
    </row>
    <row r="131" spans="3:16" s="159" customFormat="1" x14ac:dyDescent="0.25">
      <c r="C131" s="611"/>
      <c r="D131" s="611"/>
      <c r="J131" s="266"/>
      <c r="M131" s="268"/>
      <c r="N131" s="157"/>
      <c r="O131" s="294"/>
      <c r="P131" s="294"/>
    </row>
    <row r="132" spans="3:16" s="159" customFormat="1" x14ac:dyDescent="0.25">
      <c r="C132" s="611"/>
      <c r="D132" s="611"/>
      <c r="J132" s="266"/>
      <c r="M132" s="268"/>
      <c r="N132" s="157"/>
      <c r="O132" s="294"/>
      <c r="P132" s="294"/>
    </row>
    <row r="133" spans="3:16" s="159" customFormat="1" x14ac:dyDescent="0.25">
      <c r="C133" s="611"/>
      <c r="D133" s="611"/>
      <c r="J133" s="266"/>
      <c r="M133" s="268"/>
      <c r="N133" s="157"/>
      <c r="O133" s="294"/>
      <c r="P133" s="294"/>
    </row>
    <row r="134" spans="3:16" s="159" customFormat="1" x14ac:dyDescent="0.25">
      <c r="C134" s="611"/>
      <c r="D134" s="611"/>
      <c r="J134" s="266"/>
      <c r="M134" s="268"/>
      <c r="N134" s="157"/>
      <c r="O134" s="294"/>
      <c r="P134" s="294"/>
    </row>
    <row r="135" spans="3:16" s="159" customFormat="1" x14ac:dyDescent="0.25">
      <c r="C135" s="611"/>
      <c r="D135" s="611"/>
      <c r="J135" s="266"/>
      <c r="M135" s="268"/>
      <c r="N135" s="157"/>
      <c r="O135" s="294"/>
      <c r="P135" s="294"/>
    </row>
    <row r="136" spans="3:16" s="159" customFormat="1" x14ac:dyDescent="0.25">
      <c r="C136" s="611"/>
      <c r="D136" s="611"/>
      <c r="J136" s="266"/>
      <c r="M136" s="268"/>
      <c r="N136" s="157"/>
      <c r="O136" s="294"/>
      <c r="P136" s="294"/>
    </row>
    <row r="137" spans="3:16" s="159" customFormat="1" x14ac:dyDescent="0.25">
      <c r="C137" s="611"/>
      <c r="D137" s="611"/>
      <c r="J137" s="266"/>
      <c r="M137" s="268"/>
      <c r="N137" s="157"/>
      <c r="O137" s="294"/>
      <c r="P137" s="294"/>
    </row>
    <row r="138" spans="3:16" s="159" customFormat="1" x14ac:dyDescent="0.25">
      <c r="C138" s="611"/>
      <c r="D138" s="611"/>
      <c r="J138" s="266"/>
      <c r="M138" s="268"/>
      <c r="N138" s="157"/>
      <c r="O138" s="294"/>
      <c r="P138" s="294"/>
    </row>
    <row r="139" spans="3:16" s="159" customFormat="1" x14ac:dyDescent="0.25">
      <c r="C139" s="611"/>
      <c r="D139" s="611"/>
      <c r="J139" s="266"/>
      <c r="M139" s="268"/>
      <c r="N139" s="157"/>
      <c r="O139" s="294"/>
      <c r="P139" s="294"/>
    </row>
    <row r="140" spans="3:16" s="159" customFormat="1" x14ac:dyDescent="0.25">
      <c r="C140" s="611"/>
      <c r="D140" s="611"/>
      <c r="J140" s="266"/>
      <c r="M140" s="268"/>
      <c r="N140" s="157"/>
      <c r="O140" s="294"/>
      <c r="P140" s="294"/>
    </row>
    <row r="141" spans="3:16" s="159" customFormat="1" x14ac:dyDescent="0.25">
      <c r="C141" s="611"/>
      <c r="D141" s="611"/>
      <c r="J141" s="266"/>
      <c r="M141" s="268"/>
      <c r="N141" s="157"/>
      <c r="O141" s="294"/>
      <c r="P141" s="294"/>
    </row>
    <row r="142" spans="3:16" s="159" customFormat="1" x14ac:dyDescent="0.25">
      <c r="C142" s="611"/>
      <c r="D142" s="611"/>
      <c r="J142" s="266"/>
      <c r="M142" s="268"/>
      <c r="N142" s="157"/>
      <c r="O142" s="294"/>
      <c r="P142" s="294"/>
    </row>
    <row r="143" spans="3:16" s="159" customFormat="1" x14ac:dyDescent="0.25">
      <c r="C143" s="611"/>
      <c r="D143" s="611"/>
      <c r="J143" s="266"/>
      <c r="M143" s="268"/>
      <c r="N143" s="157"/>
      <c r="O143" s="294"/>
      <c r="P143" s="294"/>
    </row>
    <row r="144" spans="3:16" s="159" customFormat="1" x14ac:dyDescent="0.25">
      <c r="C144" s="611"/>
      <c r="D144" s="611"/>
      <c r="J144" s="266"/>
      <c r="M144" s="268"/>
      <c r="N144" s="157"/>
      <c r="O144" s="294"/>
      <c r="P144" s="294"/>
    </row>
    <row r="145" spans="3:16" s="159" customFormat="1" x14ac:dyDescent="0.25">
      <c r="C145" s="611"/>
      <c r="D145" s="611"/>
      <c r="J145" s="266"/>
      <c r="M145" s="268"/>
      <c r="N145" s="157"/>
      <c r="O145" s="294"/>
      <c r="P145" s="294"/>
    </row>
    <row r="146" spans="3:16" s="159" customFormat="1" x14ac:dyDescent="0.25">
      <c r="C146" s="611"/>
      <c r="D146" s="611"/>
      <c r="J146" s="266"/>
      <c r="M146" s="268"/>
      <c r="N146" s="157"/>
      <c r="O146" s="294"/>
      <c r="P146" s="294"/>
    </row>
    <row r="147" spans="3:16" s="159" customFormat="1" x14ac:dyDescent="0.25">
      <c r="C147" s="611"/>
      <c r="D147" s="611"/>
      <c r="J147" s="266"/>
      <c r="M147" s="268"/>
      <c r="N147" s="157"/>
      <c r="O147" s="294"/>
      <c r="P147" s="294"/>
    </row>
    <row r="148" spans="3:16" s="159" customFormat="1" x14ac:dyDescent="0.25">
      <c r="C148" s="611"/>
      <c r="D148" s="611"/>
      <c r="J148" s="266"/>
      <c r="M148" s="268"/>
      <c r="N148" s="157"/>
      <c r="O148" s="294"/>
      <c r="P148" s="294"/>
    </row>
    <row r="149" spans="3:16" s="159" customFormat="1" x14ac:dyDescent="0.25">
      <c r="C149" s="611"/>
      <c r="D149" s="611"/>
      <c r="J149" s="266"/>
      <c r="M149" s="268"/>
      <c r="N149" s="157"/>
      <c r="O149" s="294"/>
      <c r="P149" s="294"/>
    </row>
    <row r="150" spans="3:16" s="159" customFormat="1" x14ac:dyDescent="0.25">
      <c r="C150" s="611"/>
      <c r="D150" s="611"/>
      <c r="J150" s="266"/>
      <c r="M150" s="268"/>
      <c r="N150" s="157"/>
      <c r="O150" s="294"/>
      <c r="P150" s="294"/>
    </row>
    <row r="151" spans="3:16" s="159" customFormat="1" x14ac:dyDescent="0.25">
      <c r="C151" s="611"/>
      <c r="D151" s="611"/>
      <c r="J151" s="266"/>
      <c r="M151" s="268"/>
      <c r="N151" s="157"/>
      <c r="O151" s="294"/>
      <c r="P151" s="294"/>
    </row>
    <row r="152" spans="3:16" s="159" customFormat="1" x14ac:dyDescent="0.25">
      <c r="C152" s="611"/>
      <c r="D152" s="611"/>
      <c r="J152" s="266"/>
      <c r="M152" s="268"/>
      <c r="N152" s="157"/>
      <c r="O152" s="294"/>
      <c r="P152" s="294"/>
    </row>
    <row r="153" spans="3:16" s="159" customFormat="1" x14ac:dyDescent="0.25">
      <c r="C153" s="611"/>
      <c r="D153" s="611"/>
      <c r="J153" s="266"/>
      <c r="M153" s="268"/>
      <c r="N153" s="157"/>
      <c r="O153" s="294"/>
      <c r="P153" s="294"/>
    </row>
    <row r="154" spans="3:16" s="159" customFormat="1" x14ac:dyDescent="0.25">
      <c r="C154" s="611"/>
      <c r="D154" s="611"/>
      <c r="J154" s="266"/>
      <c r="M154" s="268"/>
      <c r="N154" s="157"/>
      <c r="O154" s="294"/>
      <c r="P154" s="294"/>
    </row>
    <row r="155" spans="3:16" s="159" customFormat="1" x14ac:dyDescent="0.25">
      <c r="C155" s="611"/>
      <c r="D155" s="611"/>
      <c r="J155" s="266"/>
      <c r="M155" s="268"/>
      <c r="N155" s="157"/>
      <c r="O155" s="294"/>
      <c r="P155" s="294"/>
    </row>
    <row r="156" spans="3:16" s="159" customFormat="1" x14ac:dyDescent="0.25">
      <c r="C156" s="611"/>
      <c r="D156" s="611"/>
      <c r="J156" s="266"/>
      <c r="M156" s="268"/>
      <c r="N156" s="157"/>
      <c r="O156" s="294"/>
      <c r="P156" s="294"/>
    </row>
    <row r="157" spans="3:16" s="159" customFormat="1" x14ac:dyDescent="0.25">
      <c r="C157" s="611"/>
      <c r="D157" s="611"/>
      <c r="J157" s="266"/>
      <c r="M157" s="268"/>
      <c r="N157" s="157"/>
      <c r="O157" s="294"/>
      <c r="P157" s="294"/>
    </row>
    <row r="158" spans="3:16" s="159" customFormat="1" x14ac:dyDescent="0.25">
      <c r="C158" s="611"/>
      <c r="D158" s="611"/>
      <c r="J158" s="266"/>
      <c r="M158" s="268"/>
      <c r="N158" s="157"/>
      <c r="O158" s="294"/>
      <c r="P158" s="294"/>
    </row>
    <row r="159" spans="3:16" s="159" customFormat="1" x14ac:dyDescent="0.25">
      <c r="C159" s="611"/>
      <c r="D159" s="611"/>
      <c r="J159" s="266"/>
      <c r="M159" s="268"/>
      <c r="N159" s="157"/>
      <c r="O159" s="294"/>
      <c r="P159" s="294"/>
    </row>
    <row r="160" spans="3:16" s="159" customFormat="1" x14ac:dyDescent="0.25">
      <c r="C160" s="611"/>
      <c r="D160" s="611"/>
      <c r="J160" s="266"/>
      <c r="M160" s="268"/>
      <c r="N160" s="157"/>
      <c r="O160" s="294"/>
      <c r="P160" s="294"/>
    </row>
    <row r="161" spans="3:16" s="159" customFormat="1" x14ac:dyDescent="0.25">
      <c r="C161" s="611"/>
      <c r="D161" s="611"/>
      <c r="J161" s="266"/>
      <c r="M161" s="268"/>
      <c r="N161" s="157"/>
      <c r="O161" s="294"/>
      <c r="P161" s="294"/>
    </row>
    <row r="162" spans="3:16" s="159" customFormat="1" x14ac:dyDescent="0.25">
      <c r="C162" s="611"/>
      <c r="D162" s="611"/>
      <c r="J162" s="266"/>
      <c r="M162" s="268"/>
      <c r="N162" s="157"/>
      <c r="O162" s="294"/>
      <c r="P162" s="294"/>
    </row>
    <row r="163" spans="3:16" s="159" customFormat="1" x14ac:dyDescent="0.25">
      <c r="C163" s="611"/>
      <c r="D163" s="611"/>
      <c r="J163" s="266"/>
      <c r="M163" s="268"/>
      <c r="N163" s="157"/>
      <c r="O163" s="294"/>
      <c r="P163" s="294"/>
    </row>
    <row r="164" spans="3:16" s="159" customFormat="1" x14ac:dyDescent="0.25">
      <c r="C164" s="611"/>
      <c r="D164" s="611"/>
      <c r="J164" s="266"/>
      <c r="M164" s="268"/>
      <c r="N164" s="157"/>
      <c r="O164" s="294"/>
      <c r="P164" s="294"/>
    </row>
    <row r="165" spans="3:16" s="159" customFormat="1" x14ac:dyDescent="0.25">
      <c r="C165" s="611"/>
      <c r="D165" s="611"/>
      <c r="J165" s="266"/>
      <c r="M165" s="268"/>
      <c r="N165" s="157"/>
      <c r="O165" s="294"/>
      <c r="P165" s="294"/>
    </row>
    <row r="166" spans="3:16" s="159" customFormat="1" x14ac:dyDescent="0.25">
      <c r="C166" s="611"/>
      <c r="D166" s="611"/>
      <c r="J166" s="266"/>
      <c r="M166" s="268"/>
      <c r="N166" s="157"/>
      <c r="O166" s="294"/>
      <c r="P166" s="294"/>
    </row>
    <row r="167" spans="3:16" s="159" customFormat="1" x14ac:dyDescent="0.25">
      <c r="C167" s="611"/>
      <c r="D167" s="611"/>
      <c r="J167" s="266"/>
      <c r="M167" s="268"/>
      <c r="N167" s="157"/>
      <c r="O167" s="294"/>
      <c r="P167" s="294"/>
    </row>
    <row r="168" spans="3:16" s="159" customFormat="1" x14ac:dyDescent="0.25">
      <c r="C168" s="611"/>
      <c r="D168" s="611"/>
      <c r="J168" s="266"/>
      <c r="M168" s="268"/>
      <c r="N168" s="157"/>
      <c r="O168" s="294"/>
      <c r="P168" s="294"/>
    </row>
    <row r="169" spans="3:16" s="159" customFormat="1" x14ac:dyDescent="0.25">
      <c r="C169" s="611"/>
      <c r="D169" s="611"/>
      <c r="J169" s="266"/>
      <c r="M169" s="268"/>
      <c r="N169" s="157"/>
      <c r="O169" s="294"/>
      <c r="P169" s="294"/>
    </row>
    <row r="170" spans="3:16" s="159" customFormat="1" x14ac:dyDescent="0.25">
      <c r="C170" s="611"/>
      <c r="D170" s="611"/>
      <c r="J170" s="266"/>
      <c r="M170" s="268"/>
      <c r="N170" s="157"/>
      <c r="O170" s="294"/>
      <c r="P170" s="294"/>
    </row>
    <row r="171" spans="3:16" s="159" customFormat="1" x14ac:dyDescent="0.25">
      <c r="C171" s="611"/>
      <c r="D171" s="611"/>
      <c r="J171" s="266"/>
      <c r="M171" s="268"/>
      <c r="N171" s="157"/>
      <c r="O171" s="294"/>
      <c r="P171" s="294"/>
    </row>
    <row r="172" spans="3:16" s="159" customFormat="1" x14ac:dyDescent="0.25">
      <c r="C172" s="611"/>
      <c r="D172" s="611"/>
      <c r="J172" s="266"/>
      <c r="M172" s="268"/>
      <c r="N172" s="157"/>
      <c r="O172" s="294"/>
      <c r="P172" s="294"/>
    </row>
    <row r="173" spans="3:16" s="159" customFormat="1" x14ac:dyDescent="0.25">
      <c r="C173" s="611"/>
      <c r="D173" s="611"/>
      <c r="J173" s="266"/>
      <c r="M173" s="268"/>
      <c r="N173" s="157"/>
      <c r="O173" s="294"/>
      <c r="P173" s="294"/>
    </row>
    <row r="174" spans="3:16" s="159" customFormat="1" x14ac:dyDescent="0.25">
      <c r="C174" s="611"/>
      <c r="D174" s="611"/>
      <c r="J174" s="266"/>
      <c r="M174" s="268"/>
      <c r="N174" s="157"/>
      <c r="O174" s="294"/>
      <c r="P174" s="294"/>
    </row>
    <row r="175" spans="3:16" s="159" customFormat="1" x14ac:dyDescent="0.25">
      <c r="C175" s="611"/>
      <c r="D175" s="611"/>
      <c r="J175" s="266"/>
      <c r="M175" s="268"/>
      <c r="N175" s="157"/>
      <c r="O175" s="294"/>
      <c r="P175" s="294"/>
    </row>
    <row r="176" spans="3:16" s="159" customFormat="1" x14ac:dyDescent="0.25">
      <c r="C176" s="611"/>
      <c r="D176" s="611"/>
      <c r="J176" s="266"/>
      <c r="M176" s="268"/>
      <c r="N176" s="157"/>
      <c r="O176" s="294"/>
      <c r="P176" s="294"/>
    </row>
    <row r="177" spans="3:16" s="159" customFormat="1" x14ac:dyDescent="0.25">
      <c r="C177" s="611"/>
      <c r="D177" s="611"/>
      <c r="J177" s="266"/>
      <c r="M177" s="268"/>
      <c r="N177" s="157"/>
      <c r="O177" s="294"/>
      <c r="P177" s="294"/>
    </row>
    <row r="178" spans="3:16" s="159" customFormat="1" x14ac:dyDescent="0.25">
      <c r="C178" s="611"/>
      <c r="D178" s="611"/>
      <c r="J178" s="266"/>
      <c r="M178" s="268"/>
      <c r="N178" s="157"/>
      <c r="O178" s="294"/>
      <c r="P178" s="294"/>
    </row>
    <row r="179" spans="3:16" s="159" customFormat="1" x14ac:dyDescent="0.25">
      <c r="C179" s="611"/>
      <c r="D179" s="611"/>
      <c r="J179" s="266"/>
      <c r="M179" s="268"/>
      <c r="N179" s="157"/>
      <c r="O179" s="294"/>
      <c r="P179" s="294"/>
    </row>
    <row r="180" spans="3:16" s="159" customFormat="1" x14ac:dyDescent="0.25">
      <c r="C180" s="611"/>
      <c r="D180" s="611"/>
      <c r="J180" s="266"/>
      <c r="M180" s="268"/>
      <c r="N180" s="157"/>
      <c r="O180" s="294"/>
      <c r="P180" s="294"/>
    </row>
    <row r="181" spans="3:16" s="159" customFormat="1" x14ac:dyDescent="0.25">
      <c r="C181" s="611"/>
      <c r="D181" s="611"/>
      <c r="J181" s="266"/>
      <c r="M181" s="268"/>
      <c r="N181" s="157"/>
      <c r="O181" s="294"/>
      <c r="P181" s="294"/>
    </row>
    <row r="182" spans="3:16" s="159" customFormat="1" x14ac:dyDescent="0.25">
      <c r="C182" s="611"/>
      <c r="D182" s="611"/>
      <c r="J182" s="266"/>
      <c r="M182" s="268"/>
      <c r="N182" s="157"/>
      <c r="O182" s="294"/>
      <c r="P182" s="294"/>
    </row>
    <row r="183" spans="3:16" s="159" customFormat="1" x14ac:dyDescent="0.25">
      <c r="C183" s="611"/>
      <c r="D183" s="611"/>
      <c r="J183" s="266"/>
      <c r="M183" s="268"/>
      <c r="N183" s="157"/>
      <c r="O183" s="294"/>
      <c r="P183" s="294"/>
    </row>
    <row r="184" spans="3:16" s="159" customFormat="1" x14ac:dyDescent="0.25">
      <c r="C184" s="611"/>
      <c r="D184" s="611"/>
      <c r="J184" s="266"/>
      <c r="M184" s="268"/>
      <c r="N184" s="157"/>
      <c r="O184" s="294"/>
      <c r="P184" s="294"/>
    </row>
    <row r="185" spans="3:16" s="159" customFormat="1" x14ac:dyDescent="0.25">
      <c r="C185" s="611"/>
      <c r="D185" s="611"/>
      <c r="J185" s="266"/>
      <c r="M185" s="268"/>
      <c r="N185" s="157"/>
      <c r="O185" s="294"/>
      <c r="P185" s="294"/>
    </row>
    <row r="186" spans="3:16" s="159" customFormat="1" x14ac:dyDescent="0.25">
      <c r="C186" s="611"/>
      <c r="D186" s="611"/>
      <c r="J186" s="266"/>
      <c r="M186" s="268"/>
      <c r="N186" s="157"/>
      <c r="O186" s="294"/>
      <c r="P186" s="294"/>
    </row>
    <row r="187" spans="3:16" s="159" customFormat="1" x14ac:dyDescent="0.25">
      <c r="C187" s="611"/>
      <c r="D187" s="611"/>
      <c r="J187" s="266"/>
      <c r="M187" s="268"/>
      <c r="N187" s="157"/>
      <c r="O187" s="294"/>
      <c r="P187" s="294"/>
    </row>
    <row r="188" spans="3:16" s="159" customFormat="1" x14ac:dyDescent="0.25">
      <c r="C188" s="611"/>
      <c r="D188" s="611"/>
      <c r="J188" s="266"/>
      <c r="M188" s="268"/>
      <c r="N188" s="157"/>
      <c r="O188" s="294"/>
      <c r="P188" s="294"/>
    </row>
    <row r="189" spans="3:16" s="159" customFormat="1" x14ac:dyDescent="0.25">
      <c r="C189" s="611"/>
      <c r="D189" s="611"/>
      <c r="J189" s="266"/>
      <c r="M189" s="268"/>
      <c r="N189" s="157"/>
      <c r="O189" s="294"/>
      <c r="P189" s="294"/>
    </row>
    <row r="190" spans="3:16" s="159" customFormat="1" x14ac:dyDescent="0.25">
      <c r="C190" s="611"/>
      <c r="D190" s="611"/>
      <c r="J190" s="266"/>
      <c r="M190" s="268"/>
      <c r="N190" s="157"/>
      <c r="O190" s="294"/>
      <c r="P190" s="294"/>
    </row>
    <row r="191" spans="3:16" s="159" customFormat="1" x14ac:dyDescent="0.25">
      <c r="C191" s="611"/>
      <c r="D191" s="611"/>
      <c r="J191" s="266"/>
      <c r="M191" s="268"/>
      <c r="N191" s="157"/>
      <c r="O191" s="294"/>
      <c r="P191" s="294"/>
    </row>
    <row r="192" spans="3:16" s="159" customFormat="1" x14ac:dyDescent="0.25">
      <c r="C192" s="611"/>
      <c r="D192" s="611"/>
      <c r="J192" s="266"/>
      <c r="M192" s="268"/>
      <c r="N192" s="157"/>
      <c r="O192" s="294"/>
      <c r="P192" s="294"/>
    </row>
    <row r="193" spans="3:16" s="159" customFormat="1" x14ac:dyDescent="0.25">
      <c r="C193" s="611"/>
      <c r="D193" s="611"/>
      <c r="J193" s="266"/>
      <c r="M193" s="268"/>
      <c r="N193" s="157"/>
      <c r="O193" s="294"/>
      <c r="P193" s="294"/>
    </row>
    <row r="194" spans="3:16" s="159" customFormat="1" x14ac:dyDescent="0.25">
      <c r="C194" s="611"/>
      <c r="D194" s="611"/>
      <c r="J194" s="266"/>
      <c r="M194" s="268"/>
      <c r="N194" s="157"/>
      <c r="O194" s="294"/>
      <c r="P194" s="294"/>
    </row>
    <row r="195" spans="3:16" s="159" customFormat="1" x14ac:dyDescent="0.25">
      <c r="C195" s="611"/>
      <c r="D195" s="611"/>
      <c r="J195" s="266"/>
      <c r="M195" s="268"/>
      <c r="N195" s="157"/>
      <c r="O195" s="294"/>
      <c r="P195" s="294"/>
    </row>
    <row r="196" spans="3:16" s="159" customFormat="1" x14ac:dyDescent="0.25">
      <c r="C196" s="611"/>
      <c r="D196" s="611"/>
      <c r="J196" s="266"/>
      <c r="M196" s="268"/>
      <c r="N196" s="157"/>
      <c r="O196" s="294"/>
      <c r="P196" s="294"/>
    </row>
    <row r="197" spans="3:16" s="159" customFormat="1" x14ac:dyDescent="0.25">
      <c r="C197" s="611"/>
      <c r="D197" s="611"/>
      <c r="J197" s="266"/>
      <c r="M197" s="268"/>
      <c r="N197" s="157"/>
      <c r="O197" s="294"/>
      <c r="P197" s="294"/>
    </row>
    <row r="198" spans="3:16" s="159" customFormat="1" x14ac:dyDescent="0.25">
      <c r="C198" s="611"/>
      <c r="D198" s="611"/>
      <c r="J198" s="266"/>
      <c r="M198" s="268"/>
      <c r="N198" s="157"/>
      <c r="O198" s="294"/>
      <c r="P198" s="294"/>
    </row>
    <row r="199" spans="3:16" s="159" customFormat="1" x14ac:dyDescent="0.25">
      <c r="C199" s="611"/>
      <c r="D199" s="611"/>
      <c r="J199" s="266"/>
      <c r="M199" s="268"/>
      <c r="N199" s="157"/>
      <c r="O199" s="294"/>
      <c r="P199" s="294"/>
    </row>
    <row r="200" spans="3:16" s="159" customFormat="1" x14ac:dyDescent="0.25">
      <c r="C200" s="611"/>
      <c r="D200" s="611"/>
      <c r="J200" s="266"/>
      <c r="M200" s="268"/>
      <c r="N200" s="157"/>
      <c r="O200" s="294"/>
      <c r="P200" s="294"/>
    </row>
    <row r="201" spans="3:16" s="159" customFormat="1" x14ac:dyDescent="0.25">
      <c r="C201" s="611"/>
      <c r="D201" s="611"/>
      <c r="J201" s="266"/>
      <c r="M201" s="268"/>
      <c r="N201" s="157"/>
      <c r="O201" s="294"/>
      <c r="P201" s="294"/>
    </row>
    <row r="202" spans="3:16" s="159" customFormat="1" x14ac:dyDescent="0.25">
      <c r="C202" s="611"/>
      <c r="D202" s="611"/>
      <c r="J202" s="266"/>
      <c r="M202" s="268"/>
      <c r="N202" s="157"/>
      <c r="O202" s="294"/>
      <c r="P202" s="294"/>
    </row>
    <row r="203" spans="3:16" s="159" customFormat="1" x14ac:dyDescent="0.25">
      <c r="C203" s="611"/>
      <c r="D203" s="611"/>
      <c r="J203" s="266"/>
      <c r="M203" s="268"/>
      <c r="N203" s="157"/>
      <c r="O203" s="294"/>
      <c r="P203" s="294"/>
    </row>
    <row r="204" spans="3:16" s="159" customFormat="1" x14ac:dyDescent="0.25">
      <c r="C204" s="611"/>
      <c r="D204" s="611"/>
      <c r="J204" s="266"/>
      <c r="M204" s="268"/>
      <c r="N204" s="157"/>
      <c r="O204" s="294"/>
      <c r="P204" s="294"/>
    </row>
    <row r="205" spans="3:16" s="159" customFormat="1" x14ac:dyDescent="0.25">
      <c r="C205" s="611"/>
      <c r="D205" s="611"/>
      <c r="J205" s="266"/>
      <c r="M205" s="268"/>
      <c r="N205" s="157"/>
      <c r="O205" s="294"/>
      <c r="P205" s="294"/>
    </row>
    <row r="206" spans="3:16" s="159" customFormat="1" x14ac:dyDescent="0.25">
      <c r="C206" s="611"/>
      <c r="D206" s="611"/>
      <c r="J206" s="266"/>
      <c r="M206" s="268"/>
      <c r="N206" s="157"/>
      <c r="O206" s="294"/>
      <c r="P206" s="294"/>
    </row>
    <row r="207" spans="3:16" s="159" customFormat="1" x14ac:dyDescent="0.25">
      <c r="C207" s="611"/>
      <c r="D207" s="611"/>
      <c r="J207" s="266"/>
      <c r="M207" s="268"/>
      <c r="N207" s="157"/>
      <c r="O207" s="294"/>
      <c r="P207" s="294"/>
    </row>
    <row r="208" spans="3:16" s="159" customFormat="1" x14ac:dyDescent="0.25">
      <c r="C208" s="611"/>
      <c r="D208" s="611"/>
      <c r="J208" s="266"/>
      <c r="M208" s="268"/>
      <c r="N208" s="157"/>
      <c r="O208" s="294"/>
      <c r="P208" s="294"/>
    </row>
    <row r="209" spans="3:16" s="159" customFormat="1" x14ac:dyDescent="0.25">
      <c r="C209" s="611"/>
      <c r="D209" s="611"/>
      <c r="J209" s="266"/>
      <c r="M209" s="268"/>
      <c r="N209" s="157"/>
      <c r="O209" s="294"/>
      <c r="P209" s="294"/>
    </row>
    <row r="210" spans="3:16" s="159" customFormat="1" x14ac:dyDescent="0.25">
      <c r="C210" s="611"/>
      <c r="D210" s="611"/>
      <c r="J210" s="266"/>
      <c r="M210" s="268"/>
      <c r="N210" s="157"/>
      <c r="O210" s="294"/>
      <c r="P210" s="294"/>
    </row>
    <row r="211" spans="3:16" s="159" customFormat="1" x14ac:dyDescent="0.25">
      <c r="C211" s="611"/>
      <c r="D211" s="611"/>
      <c r="J211" s="266"/>
      <c r="M211" s="268"/>
      <c r="N211" s="157"/>
      <c r="O211" s="294"/>
      <c r="P211" s="294"/>
    </row>
    <row r="212" spans="3:16" s="159" customFormat="1" x14ac:dyDescent="0.25">
      <c r="C212" s="611"/>
      <c r="D212" s="611"/>
      <c r="J212" s="266"/>
      <c r="M212" s="268"/>
      <c r="N212" s="157"/>
      <c r="O212" s="294"/>
      <c r="P212" s="294"/>
    </row>
    <row r="213" spans="3:16" s="159" customFormat="1" x14ac:dyDescent="0.25">
      <c r="C213" s="611"/>
      <c r="D213" s="611"/>
      <c r="J213" s="266"/>
      <c r="M213" s="268"/>
      <c r="N213" s="157"/>
      <c r="O213" s="294"/>
      <c r="P213" s="294"/>
    </row>
    <row r="214" spans="3:16" s="159" customFormat="1" x14ac:dyDescent="0.25">
      <c r="C214" s="611"/>
      <c r="D214" s="611"/>
      <c r="J214" s="266"/>
      <c r="M214" s="268"/>
      <c r="N214" s="157"/>
      <c r="O214" s="294"/>
      <c r="P214" s="294"/>
    </row>
    <row r="215" spans="3:16" s="159" customFormat="1" x14ac:dyDescent="0.25">
      <c r="C215" s="611"/>
      <c r="D215" s="611"/>
      <c r="J215" s="266"/>
      <c r="M215" s="268"/>
      <c r="N215" s="157"/>
      <c r="O215" s="294"/>
      <c r="P215" s="294"/>
    </row>
    <row r="216" spans="3:16" s="159" customFormat="1" x14ac:dyDescent="0.25">
      <c r="C216" s="611"/>
      <c r="D216" s="611"/>
      <c r="J216" s="266"/>
      <c r="M216" s="268"/>
      <c r="N216" s="157"/>
      <c r="O216" s="294"/>
      <c r="P216" s="294"/>
    </row>
    <row r="217" spans="3:16" s="159" customFormat="1" x14ac:dyDescent="0.25">
      <c r="C217" s="611"/>
      <c r="D217" s="611"/>
      <c r="J217" s="266"/>
      <c r="M217" s="268"/>
      <c r="N217" s="157"/>
      <c r="O217" s="294"/>
      <c r="P217" s="294"/>
    </row>
    <row r="218" spans="3:16" s="159" customFormat="1" x14ac:dyDescent="0.25">
      <c r="C218" s="611"/>
      <c r="D218" s="611"/>
      <c r="J218" s="266"/>
      <c r="M218" s="268"/>
      <c r="N218" s="157"/>
      <c r="O218" s="294"/>
      <c r="P218" s="294"/>
    </row>
    <row r="219" spans="3:16" s="159" customFormat="1" x14ac:dyDescent="0.25">
      <c r="C219" s="611"/>
      <c r="D219" s="611"/>
      <c r="J219" s="266"/>
      <c r="M219" s="268"/>
      <c r="N219" s="157"/>
      <c r="O219" s="294"/>
      <c r="P219" s="294"/>
    </row>
    <row r="220" spans="3:16" s="159" customFormat="1" x14ac:dyDescent="0.25">
      <c r="C220" s="611"/>
      <c r="D220" s="611"/>
      <c r="J220" s="266"/>
      <c r="M220" s="268"/>
      <c r="N220" s="157"/>
      <c r="O220" s="294"/>
      <c r="P220" s="294"/>
    </row>
    <row r="221" spans="3:16" s="159" customFormat="1" x14ac:dyDescent="0.25">
      <c r="C221" s="611"/>
      <c r="D221" s="611"/>
      <c r="J221" s="266"/>
      <c r="M221" s="268"/>
      <c r="N221" s="157"/>
      <c r="O221" s="294"/>
      <c r="P221" s="294"/>
    </row>
    <row r="222" spans="3:16" s="159" customFormat="1" x14ac:dyDescent="0.25">
      <c r="C222" s="611"/>
      <c r="D222" s="611"/>
      <c r="J222" s="266"/>
      <c r="M222" s="268"/>
      <c r="N222" s="157"/>
      <c r="O222" s="294"/>
      <c r="P222" s="294"/>
    </row>
    <row r="223" spans="3:16" s="159" customFormat="1" x14ac:dyDescent="0.25">
      <c r="C223" s="611"/>
      <c r="D223" s="611"/>
      <c r="J223" s="266"/>
      <c r="M223" s="268"/>
      <c r="N223" s="157"/>
      <c r="O223" s="294"/>
      <c r="P223" s="294"/>
    </row>
    <row r="224" spans="3:16" s="159" customFormat="1" x14ac:dyDescent="0.25">
      <c r="C224" s="611"/>
      <c r="D224" s="611"/>
      <c r="J224" s="266"/>
      <c r="M224" s="268"/>
      <c r="N224" s="157"/>
      <c r="O224" s="294"/>
      <c r="P224" s="294"/>
    </row>
    <row r="225" spans="3:16" s="159" customFormat="1" x14ac:dyDescent="0.25">
      <c r="C225" s="611"/>
      <c r="D225" s="611"/>
      <c r="J225" s="266"/>
      <c r="M225" s="268"/>
      <c r="N225" s="157"/>
      <c r="O225" s="294"/>
      <c r="P225" s="294"/>
    </row>
    <row r="226" spans="3:16" s="159" customFormat="1" x14ac:dyDescent="0.25">
      <c r="C226" s="611"/>
      <c r="D226" s="611"/>
      <c r="J226" s="266"/>
      <c r="M226" s="268"/>
      <c r="N226" s="157"/>
      <c r="O226" s="294"/>
      <c r="P226" s="294"/>
    </row>
    <row r="227" spans="3:16" s="159" customFormat="1" x14ac:dyDescent="0.25">
      <c r="C227" s="611"/>
      <c r="D227" s="611"/>
      <c r="J227" s="266"/>
      <c r="M227" s="268"/>
      <c r="N227" s="157"/>
      <c r="O227" s="294"/>
      <c r="P227" s="294"/>
    </row>
    <row r="228" spans="3:16" s="159" customFormat="1" x14ac:dyDescent="0.25">
      <c r="C228" s="611"/>
      <c r="D228" s="611"/>
      <c r="J228" s="266"/>
      <c r="M228" s="268"/>
      <c r="N228" s="157"/>
      <c r="O228" s="294"/>
      <c r="P228" s="294"/>
    </row>
    <row r="229" spans="3:16" s="159" customFormat="1" x14ac:dyDescent="0.25">
      <c r="C229" s="611"/>
      <c r="D229" s="611"/>
      <c r="J229" s="266"/>
      <c r="M229" s="268"/>
      <c r="N229" s="157"/>
      <c r="O229" s="294"/>
      <c r="P229" s="294"/>
    </row>
    <row r="230" spans="3:16" s="159" customFormat="1" x14ac:dyDescent="0.25">
      <c r="C230" s="611"/>
      <c r="D230" s="611"/>
      <c r="J230" s="266"/>
      <c r="M230" s="268"/>
      <c r="N230" s="157"/>
      <c r="O230" s="294"/>
      <c r="P230" s="294"/>
    </row>
    <row r="231" spans="3:16" s="159" customFormat="1" x14ac:dyDescent="0.25">
      <c r="C231" s="611"/>
      <c r="D231" s="611"/>
      <c r="J231" s="266"/>
      <c r="M231" s="268"/>
      <c r="N231" s="157"/>
      <c r="O231" s="294"/>
      <c r="P231" s="294"/>
    </row>
    <row r="232" spans="3:16" s="159" customFormat="1" x14ac:dyDescent="0.25">
      <c r="C232" s="611"/>
      <c r="D232" s="611"/>
      <c r="J232" s="266"/>
      <c r="M232" s="268"/>
      <c r="N232" s="157"/>
      <c r="O232" s="294"/>
      <c r="P232" s="294"/>
    </row>
    <row r="233" spans="3:16" s="159" customFormat="1" x14ac:dyDescent="0.25">
      <c r="C233" s="611"/>
      <c r="D233" s="611"/>
      <c r="J233" s="266"/>
      <c r="M233" s="268"/>
      <c r="N233" s="157"/>
      <c r="O233" s="294"/>
      <c r="P233" s="294"/>
    </row>
    <row r="234" spans="3:16" s="159" customFormat="1" x14ac:dyDescent="0.25">
      <c r="C234" s="611"/>
      <c r="D234" s="611"/>
      <c r="J234" s="266"/>
      <c r="M234" s="268"/>
      <c r="N234" s="157"/>
      <c r="O234" s="294"/>
      <c r="P234" s="294"/>
    </row>
    <row r="235" spans="3:16" s="159" customFormat="1" x14ac:dyDescent="0.25">
      <c r="C235" s="611"/>
      <c r="D235" s="611"/>
      <c r="J235" s="266"/>
      <c r="M235" s="268"/>
      <c r="N235" s="157"/>
      <c r="O235" s="294"/>
      <c r="P235" s="294"/>
    </row>
    <row r="236" spans="3:16" s="159" customFormat="1" x14ac:dyDescent="0.25">
      <c r="C236" s="611"/>
      <c r="D236" s="611"/>
      <c r="J236" s="266"/>
      <c r="M236" s="268"/>
      <c r="N236" s="157"/>
      <c r="O236" s="294"/>
      <c r="P236" s="294"/>
    </row>
    <row r="237" spans="3:16" s="159" customFormat="1" x14ac:dyDescent="0.25">
      <c r="C237" s="611"/>
      <c r="D237" s="611"/>
      <c r="J237" s="266"/>
      <c r="M237" s="268"/>
      <c r="N237" s="157"/>
      <c r="O237" s="294"/>
      <c r="P237" s="294"/>
    </row>
  </sheetData>
  <mergeCells count="53">
    <mergeCell ref="Q11:Q12"/>
    <mergeCell ref="L11:L12"/>
    <mergeCell ref="M11:M12"/>
    <mergeCell ref="N11:N12"/>
    <mergeCell ref="O11:O12"/>
    <mergeCell ref="P11:P12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B56:B57"/>
    <mergeCell ref="C46:F46"/>
    <mergeCell ref="G46:I46"/>
    <mergeCell ref="C11:F11"/>
    <mergeCell ref="G11:I11"/>
    <mergeCell ref="C27:F27"/>
    <mergeCell ref="G27:I27"/>
    <mergeCell ref="C38:F38"/>
    <mergeCell ref="G38:I38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58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27</vt:i4>
      </vt:variant>
    </vt:vector>
  </HeadingPairs>
  <TitlesOfParts>
    <vt:vector size="57" baseType="lpstr">
      <vt:lpstr>Cost Data</vt:lpstr>
      <vt:lpstr>Cost Report</vt:lpstr>
      <vt:lpstr>DATA</vt:lpstr>
      <vt:lpstr>Estimate Version Comparison</vt:lpstr>
      <vt:lpstr>Client  Detailed Summary </vt:lpstr>
      <vt:lpstr>Estimate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'21'!Print_Area</vt:lpstr>
      <vt:lpstr>'22'!Print_Area</vt:lpstr>
      <vt:lpstr>'23'!Print_Area</vt:lpstr>
      <vt:lpstr>'25'!Print_Area</vt:lpstr>
      <vt:lpstr>'26'!Print_Area</vt:lpstr>
      <vt:lpstr>'27'!Print_Area</vt:lpstr>
      <vt:lpstr>'28'!Print_Area</vt:lpstr>
      <vt:lpstr>'3'!Print_Area</vt:lpstr>
      <vt:lpstr>'31'!Print_Area</vt:lpstr>
      <vt:lpstr>'32'!Print_Area</vt:lpstr>
      <vt:lpstr>'33'!Print_Area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'Client  Detailed Summary '!Print_Area</vt:lpstr>
      <vt:lpstr>'Estimate Summary'!Print_Area</vt:lpstr>
      <vt:lpstr>'Estimate Version Comparison'!Print_Area</vt:lpstr>
    </vt:vector>
  </TitlesOfParts>
  <Company>Global Construction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Estimate</dc:title>
  <dc:creator>Greg McConnachie</dc:creator>
  <cp:lastModifiedBy>Olukemi Salako</cp:lastModifiedBy>
  <cp:lastPrinted>2026-04-28T15:13:59Z</cp:lastPrinted>
  <dcterms:created xsi:type="dcterms:W3CDTF">1999-04-26T00:27:24Z</dcterms:created>
  <dcterms:modified xsi:type="dcterms:W3CDTF">2026-05-29T13:51:21Z</dcterms:modified>
</cp:coreProperties>
</file>